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le\SynologyDrive\Spreadsheets\"/>
    </mc:Choice>
  </mc:AlternateContent>
  <xr:revisionPtr revIDLastSave="0" documentId="13_ncr:1_{63A339F0-041E-4931-955B-3BCFC90A8980}" xr6:coauthVersionLast="47" xr6:coauthVersionMax="47" xr10:uidLastSave="{00000000-0000-0000-0000-000000000000}"/>
  <bookViews>
    <workbookView xWindow="-120" yWindow="-120" windowWidth="38640" windowHeight="20460" tabRatio="608" activeTab="2" xr2:uid="{00000000-000D-0000-FFFF-FFFF00000000}"/>
  </bookViews>
  <sheets>
    <sheet name="README" sheetId="101" r:id="rId1"/>
    <sheet name="Posts" sheetId="98" r:id="rId2"/>
    <sheet name="Themes" sheetId="13" r:id="rId3"/>
    <sheet name="Register" sheetId="59" r:id="rId4"/>
    <sheet name="Register_AI" sheetId="99" r:id="rId5"/>
    <sheet name="Register_Conv" sheetId="100" r:id="rId6"/>
    <sheet name="Adoption" sheetId="93" r:id="rId7"/>
    <sheet name="CHES" sheetId="85" r:id="rId8"/>
    <sheet name="Media Format" sheetId="89" r:id="rId9"/>
  </sheets>
  <definedNames>
    <definedName name="acc_tbl">README!$A$20:$A$38</definedName>
    <definedName name="acct">Posts!$B$3:$B$6208</definedName>
    <definedName name="ai_full">Posts!$V$3:$V$6208</definedName>
    <definedName name="ai_st">Posts!$F$3:$F$6208</definedName>
    <definedName name="is_ai">Posts!$R$3:$R$6208</definedName>
    <definedName name="is_conv">Posts!$S$3:$S$6208</definedName>
    <definedName name="n_top">Posts!$T$3:$T$6208</definedName>
    <definedName name="T_CRI">Posts!$K$3:$K$6208</definedName>
    <definedName name="T_CULT">Posts!$O$3:$O$6208</definedName>
    <definedName name="T_DEF">Posts!$P$3:$P$6208</definedName>
    <definedName name="T_ECON">Posts!$M$3:$M$6208</definedName>
    <definedName name="T_IMM">Posts!$I$3:$I$6208</definedName>
    <definedName name="T_ISL">Posts!$J$3:$J$6208</definedName>
    <definedName name="T_LAND">Posts!$N$3:$N$6208</definedName>
    <definedName name="T_SOV">Posts!$L$3:$L$6208</definedName>
    <definedName name="topical">Posts!$U$3:$U$6208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89" l="1"/>
  <c r="D37" i="89"/>
  <c r="B37" i="89"/>
  <c r="H36" i="89"/>
  <c r="G36" i="89"/>
  <c r="E36" i="89"/>
  <c r="C36" i="89"/>
  <c r="H35" i="89"/>
  <c r="G35" i="89"/>
  <c r="E35" i="89"/>
  <c r="C35" i="89"/>
  <c r="H34" i="89"/>
  <c r="G34" i="89"/>
  <c r="E34" i="89"/>
  <c r="C34" i="89"/>
  <c r="H33" i="89"/>
  <c r="G33" i="89"/>
  <c r="E33" i="89"/>
  <c r="C33" i="89"/>
  <c r="H32" i="89"/>
  <c r="G32" i="89"/>
  <c r="E32" i="89"/>
  <c r="C32" i="89"/>
  <c r="H31" i="89"/>
  <c r="G31" i="89"/>
  <c r="E31" i="89"/>
  <c r="C31" i="89"/>
  <c r="H30" i="89"/>
  <c r="G30" i="89"/>
  <c r="E30" i="89"/>
  <c r="C30" i="89"/>
  <c r="H29" i="89"/>
  <c r="G29" i="89"/>
  <c r="E29" i="89"/>
  <c r="C29" i="89"/>
  <c r="H28" i="89"/>
  <c r="G28" i="89"/>
  <c r="E28" i="89"/>
  <c r="C28" i="89"/>
  <c r="H27" i="89"/>
  <c r="G27" i="89"/>
  <c r="E27" i="89"/>
  <c r="C27" i="89"/>
  <c r="H26" i="89"/>
  <c r="G26" i="89"/>
  <c r="E26" i="89"/>
  <c r="C26" i="89"/>
  <c r="H25" i="89"/>
  <c r="G25" i="89"/>
  <c r="E25" i="89"/>
  <c r="C25" i="89"/>
  <c r="H24" i="89"/>
  <c r="G24" i="89"/>
  <c r="E24" i="89"/>
  <c r="C24" i="89"/>
  <c r="H23" i="89"/>
  <c r="G23" i="89"/>
  <c r="E23" i="89"/>
  <c r="C23" i="89"/>
  <c r="H22" i="89"/>
  <c r="G22" i="89"/>
  <c r="E22" i="89"/>
  <c r="C22" i="89"/>
  <c r="H21" i="89"/>
  <c r="G21" i="89"/>
  <c r="E21" i="89"/>
  <c r="C21" i="89"/>
  <c r="H20" i="89"/>
  <c r="G20" i="89"/>
  <c r="E20" i="89"/>
  <c r="C20" i="89"/>
  <c r="H19" i="89"/>
  <c r="G19" i="89"/>
  <c r="E19" i="89"/>
  <c r="C19" i="89"/>
  <c r="H18" i="89"/>
  <c r="H37" i="89" s="1"/>
  <c r="G18" i="89"/>
  <c r="E18" i="89"/>
  <c r="C18" i="89"/>
  <c r="F15" i="89"/>
  <c r="D15" i="89"/>
  <c r="B15" i="89"/>
  <c r="H14" i="89"/>
  <c r="G14" i="89"/>
  <c r="E14" i="89"/>
  <c r="C14" i="89"/>
  <c r="H13" i="89"/>
  <c r="G13" i="89"/>
  <c r="E13" i="89"/>
  <c r="C13" i="89"/>
  <c r="H12" i="89"/>
  <c r="G12" i="89"/>
  <c r="E12" i="89"/>
  <c r="C12" i="89"/>
  <c r="H11" i="89"/>
  <c r="G11" i="89"/>
  <c r="E11" i="89"/>
  <c r="C11" i="89"/>
  <c r="H10" i="89"/>
  <c r="G10" i="89"/>
  <c r="E10" i="89"/>
  <c r="C10" i="89"/>
  <c r="H9" i="89"/>
  <c r="G9" i="89"/>
  <c r="E9" i="89"/>
  <c r="C9" i="89"/>
  <c r="H8" i="89"/>
  <c r="G8" i="89"/>
  <c r="E8" i="89"/>
  <c r="C8" i="89"/>
  <c r="H7" i="89"/>
  <c r="G7" i="89"/>
  <c r="E7" i="89"/>
  <c r="C7" i="89"/>
  <c r="H6" i="89"/>
  <c r="H15" i="89" s="1"/>
  <c r="G6" i="89"/>
  <c r="E6" i="89"/>
  <c r="C6" i="89"/>
  <c r="F49" i="93" a="1"/>
  <c r="F48" i="93" a="1"/>
  <c r="F47" i="93" a="1"/>
  <c r="F46" i="93" a="1"/>
  <c r="F45" i="93" a="1"/>
  <c r="F44" i="93" a="1"/>
  <c r="F43" i="93" a="1"/>
  <c r="F42" i="93" a="1"/>
  <c r="F41" i="93" a="1"/>
  <c r="F50" i="93" s="1"/>
  <c r="F35" i="93"/>
  <c r="F34" i="93"/>
  <c r="F36" i="93" s="1"/>
  <c r="W28" i="93"/>
  <c r="Q28" i="93"/>
  <c r="P28" i="93"/>
  <c r="N28" i="93"/>
  <c r="M28" i="93"/>
  <c r="I28" i="93"/>
  <c r="G28" i="93"/>
  <c r="F28" i="93"/>
  <c r="D28" i="93"/>
  <c r="C28" i="93"/>
  <c r="W27" i="93"/>
  <c r="S27" i="93"/>
  <c r="O27" i="93"/>
  <c r="X28" i="93" s="1"/>
  <c r="H27" i="93"/>
  <c r="E27" i="93"/>
  <c r="W26" i="93"/>
  <c r="S26" i="93"/>
  <c r="O26" i="93"/>
  <c r="X27" i="93" s="1"/>
  <c r="H26" i="93"/>
  <c r="E26" i="93"/>
  <c r="W25" i="93"/>
  <c r="T25" i="93"/>
  <c r="Y26" i="93" s="1"/>
  <c r="S25" i="93"/>
  <c r="O25" i="93"/>
  <c r="X26" i="93" s="1"/>
  <c r="H25" i="93"/>
  <c r="E25" i="93"/>
  <c r="W24" i="93"/>
  <c r="T24" i="93"/>
  <c r="Y25" i="93" s="1"/>
  <c r="S24" i="93"/>
  <c r="O24" i="93"/>
  <c r="X25" i="93" s="1"/>
  <c r="H24" i="93"/>
  <c r="E24" i="93"/>
  <c r="W23" i="93"/>
  <c r="T23" i="93"/>
  <c r="Y24" i="93" s="1"/>
  <c r="S23" i="93"/>
  <c r="O23" i="93"/>
  <c r="X24" i="93" s="1"/>
  <c r="H23" i="93"/>
  <c r="E23" i="93"/>
  <c r="W22" i="93"/>
  <c r="T22" i="93"/>
  <c r="Y23" i="93" s="1"/>
  <c r="S22" i="93"/>
  <c r="O22" i="93"/>
  <c r="X23" i="93" s="1"/>
  <c r="H22" i="93"/>
  <c r="E22" i="93"/>
  <c r="W21" i="93"/>
  <c r="T21" i="93"/>
  <c r="Y22" i="93" s="1"/>
  <c r="S21" i="93"/>
  <c r="O21" i="93"/>
  <c r="X22" i="93" s="1"/>
  <c r="H21" i="93"/>
  <c r="E21" i="93"/>
  <c r="W20" i="93"/>
  <c r="T20" i="93"/>
  <c r="Y21" i="93" s="1"/>
  <c r="S20" i="93"/>
  <c r="O20" i="93"/>
  <c r="X21" i="93" s="1"/>
  <c r="H20" i="93"/>
  <c r="E20" i="93"/>
  <c r="W19" i="93"/>
  <c r="T19" i="93"/>
  <c r="Y20" i="93" s="1"/>
  <c r="S19" i="93"/>
  <c r="O19" i="93"/>
  <c r="X20" i="93" s="1"/>
  <c r="H19" i="93"/>
  <c r="E19" i="93"/>
  <c r="W18" i="93"/>
  <c r="T18" i="93"/>
  <c r="Y19" i="93" s="1"/>
  <c r="S18" i="93"/>
  <c r="O18" i="93"/>
  <c r="X19" i="93" s="1"/>
  <c r="H18" i="93"/>
  <c r="E18" i="93"/>
  <c r="W17" i="93"/>
  <c r="T17" i="93"/>
  <c r="Y18" i="93" s="1"/>
  <c r="S17" i="93"/>
  <c r="O17" i="93"/>
  <c r="X18" i="93" s="1"/>
  <c r="H17" i="93"/>
  <c r="E17" i="93"/>
  <c r="W16" i="93"/>
  <c r="T16" i="93"/>
  <c r="Y17" i="93" s="1"/>
  <c r="S16" i="93"/>
  <c r="O16" i="93"/>
  <c r="X17" i="93" s="1"/>
  <c r="H16" i="93"/>
  <c r="E16" i="93"/>
  <c r="W15" i="93"/>
  <c r="T15" i="93"/>
  <c r="Y16" i="93" s="1"/>
  <c r="S15" i="93"/>
  <c r="O15" i="93"/>
  <c r="X16" i="93" s="1"/>
  <c r="H15" i="93"/>
  <c r="E15" i="93"/>
  <c r="W14" i="93"/>
  <c r="T14" i="93"/>
  <c r="Y15" i="93" s="1"/>
  <c r="S14" i="93"/>
  <c r="O14" i="93"/>
  <c r="X15" i="93" s="1"/>
  <c r="H14" i="93"/>
  <c r="E14" i="93"/>
  <c r="W13" i="93"/>
  <c r="T13" i="93"/>
  <c r="Y14" i="93" s="1"/>
  <c r="S13" i="93"/>
  <c r="O13" i="93"/>
  <c r="X14" i="93" s="1"/>
  <c r="H13" i="93"/>
  <c r="E13" i="93"/>
  <c r="W12" i="93"/>
  <c r="T12" i="93"/>
  <c r="Y13" i="93" s="1"/>
  <c r="S12" i="93"/>
  <c r="O12" i="93"/>
  <c r="X13" i="93" s="1"/>
  <c r="H12" i="93"/>
  <c r="E12" i="93"/>
  <c r="W11" i="93"/>
  <c r="T11" i="93"/>
  <c r="Y12" i="93" s="1"/>
  <c r="S11" i="93"/>
  <c r="O11" i="93"/>
  <c r="X12" i="93" s="1"/>
  <c r="H11" i="93"/>
  <c r="E11" i="93"/>
  <c r="W10" i="93"/>
  <c r="T10" i="93"/>
  <c r="S10" i="93"/>
  <c r="O10" i="93"/>
  <c r="H10" i="93"/>
  <c r="E10" i="93"/>
  <c r="C34" i="93" s="1"/>
  <c r="T9" i="93"/>
  <c r="S9" i="93"/>
  <c r="O9" i="93"/>
  <c r="H9" i="93"/>
  <c r="E9" i="93"/>
  <c r="P487" i="100"/>
  <c r="P486" i="100"/>
  <c r="P485" i="100"/>
  <c r="P484" i="100"/>
  <c r="P483" i="100"/>
  <c r="P482" i="100"/>
  <c r="P481" i="100"/>
  <c r="P480" i="100"/>
  <c r="P479" i="100"/>
  <c r="P478" i="100"/>
  <c r="P477" i="100"/>
  <c r="P476" i="100"/>
  <c r="P475" i="100"/>
  <c r="P474" i="100"/>
  <c r="P473" i="100"/>
  <c r="P472" i="100"/>
  <c r="P471" i="100"/>
  <c r="P470" i="100"/>
  <c r="P469" i="100"/>
  <c r="P468" i="100"/>
  <c r="P467" i="100"/>
  <c r="P466" i="100"/>
  <c r="P465" i="100"/>
  <c r="P464" i="100"/>
  <c r="P463" i="100"/>
  <c r="P462" i="100"/>
  <c r="P461" i="100"/>
  <c r="P460" i="100"/>
  <c r="P459" i="100"/>
  <c r="P458" i="100"/>
  <c r="P457" i="100"/>
  <c r="Q456" i="100"/>
  <c r="P456" i="100"/>
  <c r="P455" i="100"/>
  <c r="P454" i="100"/>
  <c r="P453" i="100"/>
  <c r="P452" i="100"/>
  <c r="P451" i="100"/>
  <c r="P450" i="100"/>
  <c r="P449" i="100"/>
  <c r="P448" i="100"/>
  <c r="P447" i="100"/>
  <c r="P446" i="100"/>
  <c r="P445" i="100"/>
  <c r="P444" i="100"/>
  <c r="P443" i="100"/>
  <c r="P442" i="100"/>
  <c r="P441" i="100"/>
  <c r="P440" i="100"/>
  <c r="P439" i="100"/>
  <c r="P438" i="100"/>
  <c r="P437" i="100"/>
  <c r="Q436" i="100"/>
  <c r="P436" i="100"/>
  <c r="P435" i="100"/>
  <c r="P434" i="100"/>
  <c r="P433" i="100"/>
  <c r="P432" i="100"/>
  <c r="P431" i="100"/>
  <c r="P430" i="100"/>
  <c r="P429" i="100"/>
  <c r="P428" i="100"/>
  <c r="P427" i="100"/>
  <c r="P426" i="100"/>
  <c r="Q425" i="100"/>
  <c r="P425" i="100"/>
  <c r="P424" i="100"/>
  <c r="P423" i="100"/>
  <c r="Q422" i="100"/>
  <c r="P422" i="100"/>
  <c r="P421" i="100"/>
  <c r="P420" i="100"/>
  <c r="P419" i="100"/>
  <c r="P418" i="100"/>
  <c r="P417" i="100"/>
  <c r="P416" i="100"/>
  <c r="P415" i="100"/>
  <c r="P414" i="100"/>
  <c r="P413" i="100"/>
  <c r="P412" i="100"/>
  <c r="P411" i="100"/>
  <c r="P410" i="100"/>
  <c r="P409" i="100"/>
  <c r="P408" i="100"/>
  <c r="P407" i="100"/>
  <c r="P406" i="100"/>
  <c r="P405" i="100"/>
  <c r="P404" i="100"/>
  <c r="P403" i="100"/>
  <c r="P402" i="100"/>
  <c r="P401" i="100"/>
  <c r="P400" i="100"/>
  <c r="P399" i="100"/>
  <c r="P398" i="100"/>
  <c r="P397" i="100"/>
  <c r="P396" i="100"/>
  <c r="P395" i="100"/>
  <c r="P394" i="100"/>
  <c r="P393" i="100"/>
  <c r="P392" i="100"/>
  <c r="P391" i="100"/>
  <c r="P390" i="100"/>
  <c r="P389" i="100"/>
  <c r="P388" i="100"/>
  <c r="Q387" i="100"/>
  <c r="P387" i="100"/>
  <c r="P386" i="100"/>
  <c r="P385" i="100"/>
  <c r="P384" i="100"/>
  <c r="P383" i="100"/>
  <c r="P382" i="100"/>
  <c r="P381" i="100"/>
  <c r="P380" i="100"/>
  <c r="P379" i="100"/>
  <c r="P378" i="100"/>
  <c r="P377" i="100"/>
  <c r="P376" i="100"/>
  <c r="P375" i="100"/>
  <c r="P374" i="100"/>
  <c r="P373" i="100"/>
  <c r="P372" i="100"/>
  <c r="P371" i="100"/>
  <c r="P370" i="100"/>
  <c r="P369" i="100"/>
  <c r="P368" i="100"/>
  <c r="P367" i="100"/>
  <c r="P366" i="100"/>
  <c r="P365" i="100"/>
  <c r="P364" i="100"/>
  <c r="P363" i="100"/>
  <c r="P362" i="100"/>
  <c r="P361" i="100"/>
  <c r="P360" i="100"/>
  <c r="P359" i="100"/>
  <c r="P358" i="100"/>
  <c r="P357" i="100"/>
  <c r="P356" i="100"/>
  <c r="P355" i="100"/>
  <c r="P354" i="100"/>
  <c r="P353" i="100"/>
  <c r="P352" i="100"/>
  <c r="P351" i="100"/>
  <c r="P350" i="100"/>
  <c r="P349" i="100"/>
  <c r="P348" i="100"/>
  <c r="P347" i="100"/>
  <c r="P346" i="100"/>
  <c r="P345" i="100"/>
  <c r="P344" i="100"/>
  <c r="P343" i="100"/>
  <c r="P342" i="100"/>
  <c r="Q341" i="100"/>
  <c r="P341" i="100"/>
  <c r="P340" i="100"/>
  <c r="P339" i="100"/>
  <c r="P338" i="100"/>
  <c r="P337" i="100"/>
  <c r="P336" i="100"/>
  <c r="P335" i="100"/>
  <c r="P334" i="100"/>
  <c r="P333" i="100"/>
  <c r="P332" i="100"/>
  <c r="P331" i="100"/>
  <c r="P330" i="100"/>
  <c r="P329" i="100"/>
  <c r="P328" i="100"/>
  <c r="P327" i="100"/>
  <c r="P326" i="100"/>
  <c r="Q325" i="100"/>
  <c r="R325" i="100" s="1"/>
  <c r="P325" i="100"/>
  <c r="P324" i="100"/>
  <c r="P323" i="100"/>
  <c r="P322" i="100"/>
  <c r="P321" i="100"/>
  <c r="P320" i="100"/>
  <c r="P319" i="100"/>
  <c r="P318" i="100"/>
  <c r="P317" i="100"/>
  <c r="P316" i="100"/>
  <c r="P315" i="100"/>
  <c r="P314" i="100"/>
  <c r="P313" i="100"/>
  <c r="Q312" i="100"/>
  <c r="P312" i="100"/>
  <c r="P311" i="100"/>
  <c r="P310" i="100"/>
  <c r="P309" i="100"/>
  <c r="P308" i="100"/>
  <c r="P307" i="100"/>
  <c r="P306" i="100"/>
  <c r="P305" i="100"/>
  <c r="P304" i="100"/>
  <c r="P303" i="100"/>
  <c r="P302" i="100"/>
  <c r="P301" i="100"/>
  <c r="P300" i="100"/>
  <c r="P299" i="100"/>
  <c r="P298" i="100"/>
  <c r="P297" i="100"/>
  <c r="P296" i="100"/>
  <c r="P295" i="100"/>
  <c r="P294" i="100"/>
  <c r="P293" i="100"/>
  <c r="P292" i="100"/>
  <c r="P291" i="100"/>
  <c r="P290" i="100"/>
  <c r="P289" i="100"/>
  <c r="P288" i="100"/>
  <c r="P287" i="100"/>
  <c r="P286" i="100"/>
  <c r="P285" i="100"/>
  <c r="P284" i="100"/>
  <c r="P283" i="100"/>
  <c r="P282" i="100"/>
  <c r="P281" i="100"/>
  <c r="P280" i="100"/>
  <c r="P279" i="100"/>
  <c r="P278" i="100"/>
  <c r="P277" i="100"/>
  <c r="P276" i="100"/>
  <c r="P275" i="100"/>
  <c r="P274" i="100"/>
  <c r="P273" i="100"/>
  <c r="P272" i="100"/>
  <c r="P271" i="100"/>
  <c r="P270" i="100"/>
  <c r="P269" i="100"/>
  <c r="P268" i="100"/>
  <c r="P267" i="100"/>
  <c r="P266" i="100"/>
  <c r="P265" i="100"/>
  <c r="P264" i="100"/>
  <c r="P263" i="100"/>
  <c r="P262" i="100"/>
  <c r="P261" i="100"/>
  <c r="P260" i="100"/>
  <c r="P259" i="100"/>
  <c r="Q258" i="100"/>
  <c r="P258" i="100"/>
  <c r="P257" i="100"/>
  <c r="P256" i="100"/>
  <c r="P255" i="100"/>
  <c r="P254" i="100"/>
  <c r="P253" i="100"/>
  <c r="P252" i="100"/>
  <c r="P251" i="100"/>
  <c r="P250" i="100"/>
  <c r="P249" i="100"/>
  <c r="P248" i="100"/>
  <c r="P247" i="100"/>
  <c r="P246" i="100"/>
  <c r="P245" i="100"/>
  <c r="P244" i="100"/>
  <c r="P243" i="100"/>
  <c r="P242" i="100"/>
  <c r="P241" i="100"/>
  <c r="P240" i="100"/>
  <c r="P239" i="100"/>
  <c r="P238" i="100"/>
  <c r="P237" i="100"/>
  <c r="P236" i="100"/>
  <c r="P235" i="100"/>
  <c r="P234" i="100"/>
  <c r="P233" i="100"/>
  <c r="P232" i="100"/>
  <c r="P231" i="100"/>
  <c r="P230" i="100"/>
  <c r="P229" i="100"/>
  <c r="P228" i="100"/>
  <c r="P227" i="100"/>
  <c r="P226" i="100"/>
  <c r="P225" i="100"/>
  <c r="T224" i="100"/>
  <c r="P224" i="100"/>
  <c r="P223" i="100"/>
  <c r="P222" i="100"/>
  <c r="P221" i="100"/>
  <c r="P220" i="100"/>
  <c r="P219" i="100"/>
  <c r="P218" i="100"/>
  <c r="P217" i="100"/>
  <c r="P216" i="100"/>
  <c r="P215" i="100"/>
  <c r="P214" i="100"/>
  <c r="P213" i="100"/>
  <c r="P212" i="100"/>
  <c r="P211" i="100"/>
  <c r="P210" i="100"/>
  <c r="P209" i="100"/>
  <c r="P208" i="100"/>
  <c r="P207" i="100"/>
  <c r="P206" i="100"/>
  <c r="P205" i="100"/>
  <c r="P204" i="100"/>
  <c r="P203" i="100"/>
  <c r="P202" i="100"/>
  <c r="P201" i="100"/>
  <c r="P200" i="100"/>
  <c r="P199" i="100"/>
  <c r="P198" i="100"/>
  <c r="P197" i="100"/>
  <c r="P196" i="100"/>
  <c r="P195" i="100"/>
  <c r="P194" i="100"/>
  <c r="P193" i="100"/>
  <c r="P192" i="100"/>
  <c r="Q191" i="100"/>
  <c r="P191" i="100"/>
  <c r="P190" i="100"/>
  <c r="P189" i="100"/>
  <c r="P188" i="100"/>
  <c r="P187" i="100"/>
  <c r="P186" i="100"/>
  <c r="P185" i="100"/>
  <c r="P184" i="100"/>
  <c r="P183" i="100"/>
  <c r="P182" i="100"/>
  <c r="P181" i="100"/>
  <c r="P180" i="100"/>
  <c r="P179" i="100"/>
  <c r="P178" i="100"/>
  <c r="P177" i="100"/>
  <c r="P176" i="100"/>
  <c r="P175" i="100"/>
  <c r="P174" i="100"/>
  <c r="P173" i="100"/>
  <c r="P172" i="100"/>
  <c r="P171" i="100"/>
  <c r="P170" i="100"/>
  <c r="P169" i="100"/>
  <c r="Q168" i="100"/>
  <c r="P168" i="100"/>
  <c r="P167" i="100"/>
  <c r="P166" i="100"/>
  <c r="P165" i="100"/>
  <c r="P164" i="100"/>
  <c r="P163" i="100"/>
  <c r="P162" i="100"/>
  <c r="P161" i="100"/>
  <c r="P160" i="100"/>
  <c r="P159" i="100"/>
  <c r="P158" i="100"/>
  <c r="P157" i="100"/>
  <c r="P156" i="100"/>
  <c r="P155" i="100"/>
  <c r="T154" i="100"/>
  <c r="P154" i="100"/>
  <c r="P153" i="100"/>
  <c r="P152" i="100"/>
  <c r="P151" i="100"/>
  <c r="P150" i="100"/>
  <c r="P149" i="100"/>
  <c r="P148" i="100"/>
  <c r="P147" i="100"/>
  <c r="P146" i="100"/>
  <c r="P145" i="100"/>
  <c r="P144" i="100"/>
  <c r="P143" i="100"/>
  <c r="P142" i="100"/>
  <c r="P141" i="100"/>
  <c r="P140" i="100"/>
  <c r="P139" i="100"/>
  <c r="P138" i="100"/>
  <c r="P137" i="100"/>
  <c r="P136" i="100"/>
  <c r="P135" i="100"/>
  <c r="P134" i="100"/>
  <c r="P133" i="100"/>
  <c r="P132" i="100"/>
  <c r="P131" i="100"/>
  <c r="P130" i="100"/>
  <c r="P129" i="100"/>
  <c r="P128" i="100"/>
  <c r="Q127" i="100"/>
  <c r="P127" i="100"/>
  <c r="P126" i="100"/>
  <c r="P125" i="100"/>
  <c r="P124" i="100"/>
  <c r="P123" i="100"/>
  <c r="P122" i="100"/>
  <c r="P121" i="100"/>
  <c r="P120" i="100"/>
  <c r="P119" i="100"/>
  <c r="P118" i="100"/>
  <c r="P117" i="100"/>
  <c r="P116" i="100"/>
  <c r="P115" i="100"/>
  <c r="P114" i="100"/>
  <c r="P113" i="100"/>
  <c r="P112" i="100"/>
  <c r="Q111" i="100"/>
  <c r="R111" i="100" s="1"/>
  <c r="P111" i="100"/>
  <c r="P110" i="100"/>
  <c r="P109" i="100"/>
  <c r="P108" i="100"/>
  <c r="Q107" i="100"/>
  <c r="P107" i="100"/>
  <c r="P106" i="100"/>
  <c r="P105" i="100"/>
  <c r="P104" i="100"/>
  <c r="P103" i="100"/>
  <c r="P102" i="100"/>
  <c r="P101" i="100"/>
  <c r="P100" i="100"/>
  <c r="P99" i="100"/>
  <c r="P98" i="100"/>
  <c r="P97" i="100"/>
  <c r="P96" i="100"/>
  <c r="P95" i="100"/>
  <c r="P94" i="100"/>
  <c r="P93" i="100"/>
  <c r="P92" i="100"/>
  <c r="P91" i="100"/>
  <c r="P90" i="100"/>
  <c r="P89" i="100"/>
  <c r="P88" i="100"/>
  <c r="P87" i="100"/>
  <c r="P86" i="100"/>
  <c r="P85" i="100"/>
  <c r="P84" i="100"/>
  <c r="P83" i="100"/>
  <c r="P82" i="100"/>
  <c r="P81" i="100"/>
  <c r="P80" i="100"/>
  <c r="P79" i="100"/>
  <c r="P78" i="100"/>
  <c r="P77" i="100"/>
  <c r="P76" i="100"/>
  <c r="P75" i="100"/>
  <c r="P74" i="100"/>
  <c r="P73" i="100"/>
  <c r="Q72" i="100"/>
  <c r="P72" i="100"/>
  <c r="P71" i="100"/>
  <c r="P70" i="100"/>
  <c r="P69" i="100"/>
  <c r="P68" i="100"/>
  <c r="P67" i="100"/>
  <c r="P66" i="100"/>
  <c r="P65" i="100"/>
  <c r="P64" i="100"/>
  <c r="P63" i="100"/>
  <c r="P62" i="100"/>
  <c r="P61" i="100"/>
  <c r="P60" i="100"/>
  <c r="P59" i="100"/>
  <c r="P58" i="100"/>
  <c r="P57" i="100"/>
  <c r="P56" i="100"/>
  <c r="P55" i="100"/>
  <c r="P54" i="100"/>
  <c r="P53" i="100"/>
  <c r="P52" i="100"/>
  <c r="P51" i="100"/>
  <c r="P50" i="100"/>
  <c r="P49" i="100"/>
  <c r="P48" i="100"/>
  <c r="P47" i="100"/>
  <c r="P46" i="100"/>
  <c r="P45" i="100"/>
  <c r="P44" i="100"/>
  <c r="P43" i="100"/>
  <c r="P42" i="100"/>
  <c r="P41" i="100"/>
  <c r="P40" i="100"/>
  <c r="P39" i="100"/>
  <c r="P38" i="100"/>
  <c r="P37" i="100"/>
  <c r="P36" i="100"/>
  <c r="P35" i="100"/>
  <c r="P34" i="100"/>
  <c r="P33" i="100"/>
  <c r="P32" i="100"/>
  <c r="P31" i="100"/>
  <c r="P30" i="100"/>
  <c r="P29" i="100"/>
  <c r="P28" i="100"/>
  <c r="P27" i="100"/>
  <c r="P26" i="100"/>
  <c r="P25" i="100"/>
  <c r="P24" i="100"/>
  <c r="P23" i="100"/>
  <c r="P22" i="100"/>
  <c r="Q21" i="100"/>
  <c r="P21" i="100"/>
  <c r="P20" i="100"/>
  <c r="P19" i="100"/>
  <c r="P18" i="100"/>
  <c r="P17" i="100"/>
  <c r="P16" i="100"/>
  <c r="P15" i="100"/>
  <c r="P14" i="100"/>
  <c r="P13" i="100"/>
  <c r="P12" i="100"/>
  <c r="P11" i="100"/>
  <c r="P10" i="100"/>
  <c r="P9" i="100"/>
  <c r="P8" i="100"/>
  <c r="P7" i="100"/>
  <c r="P6" i="100"/>
  <c r="P5" i="100"/>
  <c r="P4" i="100"/>
  <c r="P3" i="100"/>
  <c r="Q2" i="100"/>
  <c r="P2" i="100"/>
  <c r="P288" i="99"/>
  <c r="P287" i="99"/>
  <c r="Q286" i="99"/>
  <c r="P286" i="99"/>
  <c r="P285" i="99"/>
  <c r="P284" i="99"/>
  <c r="P283" i="99"/>
  <c r="Q282" i="99"/>
  <c r="P282" i="99"/>
  <c r="P281" i="99"/>
  <c r="P280" i="99"/>
  <c r="P279" i="99"/>
  <c r="P278" i="99"/>
  <c r="P277" i="99"/>
  <c r="P276" i="99"/>
  <c r="P275" i="99"/>
  <c r="P274" i="99"/>
  <c r="P273" i="99"/>
  <c r="P272" i="99"/>
  <c r="P271" i="99"/>
  <c r="P270" i="99"/>
  <c r="P269" i="99"/>
  <c r="P268" i="99"/>
  <c r="P267" i="99"/>
  <c r="P266" i="99"/>
  <c r="P265" i="99"/>
  <c r="P264" i="99"/>
  <c r="P263" i="99"/>
  <c r="P262" i="99"/>
  <c r="P261" i="99"/>
  <c r="P260" i="99"/>
  <c r="P259" i="99"/>
  <c r="P258" i="99"/>
  <c r="P257" i="99"/>
  <c r="P256" i="99"/>
  <c r="P255" i="99"/>
  <c r="P254" i="99"/>
  <c r="P253" i="99"/>
  <c r="P252" i="99"/>
  <c r="P251" i="99"/>
  <c r="P250" i="99"/>
  <c r="P249" i="99"/>
  <c r="P248" i="99"/>
  <c r="P247" i="99"/>
  <c r="P246" i="99"/>
  <c r="P245" i="99"/>
  <c r="P244" i="99"/>
  <c r="T243" i="99"/>
  <c r="P243" i="99"/>
  <c r="P242" i="99"/>
  <c r="P241" i="99"/>
  <c r="P240" i="99"/>
  <c r="P239" i="99"/>
  <c r="P238" i="99"/>
  <c r="P237" i="99"/>
  <c r="P236" i="99"/>
  <c r="P235" i="99"/>
  <c r="P234" i="99"/>
  <c r="P233" i="99"/>
  <c r="P232" i="99"/>
  <c r="P231" i="99"/>
  <c r="P230" i="99"/>
  <c r="P229" i="99"/>
  <c r="P228" i="99"/>
  <c r="P227" i="99"/>
  <c r="P226" i="99"/>
  <c r="Q225" i="99"/>
  <c r="P225" i="99"/>
  <c r="P224" i="99"/>
  <c r="P223" i="99"/>
  <c r="P222" i="99"/>
  <c r="P221" i="99"/>
  <c r="P220" i="99"/>
  <c r="P219" i="99"/>
  <c r="P218" i="99"/>
  <c r="P217" i="99"/>
  <c r="Q216" i="99"/>
  <c r="P216" i="99"/>
  <c r="P215" i="99"/>
  <c r="P214" i="99"/>
  <c r="P213" i="99"/>
  <c r="P212" i="99"/>
  <c r="P211" i="99"/>
  <c r="P210" i="99"/>
  <c r="P209" i="99"/>
  <c r="P208" i="99"/>
  <c r="P207" i="99"/>
  <c r="P206" i="99"/>
  <c r="P205" i="99"/>
  <c r="Q204" i="99"/>
  <c r="P204" i="99"/>
  <c r="P203" i="99"/>
  <c r="P202" i="99"/>
  <c r="P201" i="99"/>
  <c r="P200" i="99"/>
  <c r="P199" i="99"/>
  <c r="P198" i="99"/>
  <c r="P197" i="99"/>
  <c r="P196" i="99"/>
  <c r="P195" i="99"/>
  <c r="P194" i="99"/>
  <c r="P193" i="99"/>
  <c r="Q192" i="99"/>
  <c r="P192" i="99"/>
  <c r="P191" i="99"/>
  <c r="P190" i="99"/>
  <c r="P189" i="99"/>
  <c r="P188" i="99"/>
  <c r="P187" i="99"/>
  <c r="P186" i="99"/>
  <c r="P185" i="99"/>
  <c r="P184" i="99"/>
  <c r="P183" i="99"/>
  <c r="P182" i="99"/>
  <c r="P181" i="99"/>
  <c r="P180" i="99"/>
  <c r="P179" i="99"/>
  <c r="P178" i="99"/>
  <c r="P177" i="99"/>
  <c r="P176" i="99"/>
  <c r="P175" i="99"/>
  <c r="P174" i="99"/>
  <c r="P173" i="99"/>
  <c r="P172" i="99"/>
  <c r="P171" i="99"/>
  <c r="P170" i="99"/>
  <c r="P169" i="99"/>
  <c r="P168" i="99"/>
  <c r="P167" i="99"/>
  <c r="P166" i="99"/>
  <c r="P165" i="99"/>
  <c r="P164" i="99"/>
  <c r="P163" i="99"/>
  <c r="P162" i="99"/>
  <c r="P161" i="99"/>
  <c r="P160" i="99"/>
  <c r="P159" i="99"/>
  <c r="P158" i="99"/>
  <c r="P157" i="99"/>
  <c r="P156" i="99"/>
  <c r="P155" i="99"/>
  <c r="P154" i="99"/>
  <c r="P153" i="99"/>
  <c r="P152" i="99"/>
  <c r="P151" i="99"/>
  <c r="P150" i="99"/>
  <c r="P149" i="99"/>
  <c r="Q148" i="99"/>
  <c r="P148" i="99"/>
  <c r="P147" i="99"/>
  <c r="P146" i="99"/>
  <c r="P145" i="99"/>
  <c r="P144" i="99"/>
  <c r="P143" i="99"/>
  <c r="P142" i="99"/>
  <c r="P141" i="99"/>
  <c r="P140" i="99"/>
  <c r="P139" i="99"/>
  <c r="P138" i="99"/>
  <c r="P137" i="99"/>
  <c r="P136" i="99"/>
  <c r="P135" i="99"/>
  <c r="P134" i="99"/>
  <c r="P133" i="99"/>
  <c r="P132" i="99"/>
  <c r="P131" i="99"/>
  <c r="P130" i="99"/>
  <c r="P129" i="99"/>
  <c r="P128" i="99"/>
  <c r="P127" i="99"/>
  <c r="P126" i="99"/>
  <c r="P125" i="99"/>
  <c r="P124" i="99"/>
  <c r="P123" i="99"/>
  <c r="P122" i="99"/>
  <c r="P121" i="99"/>
  <c r="Q120" i="99"/>
  <c r="P120" i="99"/>
  <c r="P119" i="99"/>
  <c r="P118" i="99"/>
  <c r="P117" i="99"/>
  <c r="Q116" i="99"/>
  <c r="P116" i="99"/>
  <c r="P115" i="99"/>
  <c r="P114" i="99"/>
  <c r="P113" i="99"/>
  <c r="P112" i="99"/>
  <c r="P111" i="99"/>
  <c r="P110" i="99"/>
  <c r="Q109" i="99"/>
  <c r="P109" i="99"/>
  <c r="P108" i="99"/>
  <c r="P107" i="99"/>
  <c r="P106" i="99"/>
  <c r="P105" i="99"/>
  <c r="P104" i="99"/>
  <c r="P103" i="99"/>
  <c r="P102" i="99"/>
  <c r="P101" i="99"/>
  <c r="P100" i="99"/>
  <c r="P99" i="99"/>
  <c r="P98" i="99"/>
  <c r="P97" i="99"/>
  <c r="P96" i="99"/>
  <c r="P95" i="99"/>
  <c r="P94" i="99"/>
  <c r="P93" i="99"/>
  <c r="P92" i="99"/>
  <c r="P91" i="99"/>
  <c r="P90" i="99"/>
  <c r="P89" i="99"/>
  <c r="P88" i="99"/>
  <c r="P87" i="99"/>
  <c r="P86" i="99"/>
  <c r="P85" i="99"/>
  <c r="P84" i="99"/>
  <c r="P83" i="99"/>
  <c r="Q82" i="99"/>
  <c r="P82" i="99"/>
  <c r="P81" i="99"/>
  <c r="P80" i="99"/>
  <c r="P79" i="99"/>
  <c r="P78" i="99"/>
  <c r="Q77" i="99"/>
  <c r="P77" i="99"/>
  <c r="P76" i="99"/>
  <c r="P75" i="99"/>
  <c r="P74" i="99"/>
  <c r="P73" i="99"/>
  <c r="P72" i="99"/>
  <c r="P71" i="99"/>
  <c r="P70" i="99"/>
  <c r="P69" i="99"/>
  <c r="P68" i="99"/>
  <c r="P67" i="99"/>
  <c r="P66" i="99"/>
  <c r="Q65" i="99"/>
  <c r="P65" i="99"/>
  <c r="P64" i="99"/>
  <c r="P63" i="99"/>
  <c r="P62" i="99"/>
  <c r="P61" i="99"/>
  <c r="P60" i="99"/>
  <c r="P59" i="99"/>
  <c r="P58" i="99"/>
  <c r="P57" i="99"/>
  <c r="P56" i="99"/>
  <c r="P55" i="99"/>
  <c r="P54" i="99"/>
  <c r="P53" i="99"/>
  <c r="P52" i="99"/>
  <c r="P51" i="99"/>
  <c r="P50" i="99"/>
  <c r="Q49" i="99"/>
  <c r="P49" i="99"/>
  <c r="P48" i="99"/>
  <c r="P47" i="99"/>
  <c r="P46" i="99"/>
  <c r="P45" i="99"/>
  <c r="P44" i="99"/>
  <c r="P43" i="99"/>
  <c r="P42" i="99"/>
  <c r="P41" i="99"/>
  <c r="P40" i="99"/>
  <c r="P39" i="99"/>
  <c r="P38" i="99"/>
  <c r="P37" i="99"/>
  <c r="Q36" i="99"/>
  <c r="P36" i="99"/>
  <c r="P35" i="99"/>
  <c r="P34" i="99"/>
  <c r="P33" i="99"/>
  <c r="P32" i="99"/>
  <c r="P31" i="99"/>
  <c r="P30" i="99"/>
  <c r="P29" i="99"/>
  <c r="P28" i="99"/>
  <c r="P27" i="99"/>
  <c r="P26" i="99"/>
  <c r="P25" i="99"/>
  <c r="Q24" i="99"/>
  <c r="P24" i="99"/>
  <c r="P23" i="99"/>
  <c r="P22" i="99"/>
  <c r="P21" i="99"/>
  <c r="P20" i="99"/>
  <c r="P19" i="99"/>
  <c r="P18" i="99"/>
  <c r="P17" i="99"/>
  <c r="P16" i="99"/>
  <c r="P15" i="99"/>
  <c r="P14" i="99"/>
  <c r="P13" i="99"/>
  <c r="P12" i="99"/>
  <c r="P11" i="99"/>
  <c r="P10" i="99"/>
  <c r="Q9" i="99"/>
  <c r="P9" i="99"/>
  <c r="P8" i="99"/>
  <c r="P7" i="99"/>
  <c r="P6" i="99"/>
  <c r="P5" i="99"/>
  <c r="P4" i="99"/>
  <c r="P3" i="99"/>
  <c r="P2" i="99"/>
  <c r="C138" i="59"/>
  <c r="E138" i="59" s="1"/>
  <c r="B138" i="59"/>
  <c r="C137" i="59"/>
  <c r="E137" i="59" s="1"/>
  <c r="B137" i="59"/>
  <c r="C136" i="59"/>
  <c r="E136" i="59" s="1"/>
  <c r="B136" i="59"/>
  <c r="C135" i="59"/>
  <c r="E135" i="59" s="1"/>
  <c r="B135" i="59"/>
  <c r="C134" i="59"/>
  <c r="E134" i="59" s="1"/>
  <c r="B134" i="59"/>
  <c r="C133" i="59"/>
  <c r="E133" i="59" s="1"/>
  <c r="B133" i="59"/>
  <c r="C132" i="59"/>
  <c r="E132" i="59" s="1"/>
  <c r="B132" i="59"/>
  <c r="C120" i="59"/>
  <c r="E120" i="59" s="1"/>
  <c r="B120" i="59"/>
  <c r="C119" i="59"/>
  <c r="E119" i="59" s="1"/>
  <c r="B119" i="59"/>
  <c r="C118" i="59"/>
  <c r="E118" i="59" s="1"/>
  <c r="B118" i="59"/>
  <c r="C117" i="59"/>
  <c r="E117" i="59" s="1"/>
  <c r="B117" i="59"/>
  <c r="C116" i="59"/>
  <c r="E116" i="59" s="1"/>
  <c r="B116" i="59"/>
  <c r="C115" i="59"/>
  <c r="E115" i="59" s="1"/>
  <c r="B115" i="59"/>
  <c r="C114" i="59"/>
  <c r="E114" i="59" s="1"/>
  <c r="B114" i="59"/>
  <c r="C113" i="59"/>
  <c r="E113" i="59" s="1"/>
  <c r="B113" i="59"/>
  <c r="C112" i="59"/>
  <c r="E112" i="59" s="1"/>
  <c r="B112" i="59"/>
  <c r="D105" i="59"/>
  <c r="C105" i="59"/>
  <c r="D104" i="59"/>
  <c r="C104" i="59"/>
  <c r="D103" i="59"/>
  <c r="C103" i="59"/>
  <c r="D102" i="59"/>
  <c r="C102" i="59"/>
  <c r="D101" i="59"/>
  <c r="C101" i="59"/>
  <c r="D100" i="59"/>
  <c r="C100" i="59"/>
  <c r="D99" i="59"/>
  <c r="C99" i="59"/>
  <c r="D98" i="59"/>
  <c r="C98" i="59"/>
  <c r="D97" i="59"/>
  <c r="C97" i="59"/>
  <c r="D96" i="59"/>
  <c r="C96" i="59"/>
  <c r="D95" i="59"/>
  <c r="C95" i="59"/>
  <c r="D94" i="59"/>
  <c r="C94" i="59"/>
  <c r="D93" i="59"/>
  <c r="C93" i="59"/>
  <c r="I88" i="59"/>
  <c r="H88" i="59"/>
  <c r="G88" i="59"/>
  <c r="F88" i="59"/>
  <c r="E88" i="59"/>
  <c r="D88" i="59"/>
  <c r="C88" i="59"/>
  <c r="B88" i="59"/>
  <c r="J88" i="59" s="1"/>
  <c r="I87" i="59"/>
  <c r="H87" i="59"/>
  <c r="G87" i="59"/>
  <c r="F87" i="59"/>
  <c r="E87" i="59"/>
  <c r="D87" i="59"/>
  <c r="C87" i="59"/>
  <c r="B87" i="59"/>
  <c r="J87" i="59" s="1"/>
  <c r="I86" i="59"/>
  <c r="H86" i="59"/>
  <c r="G86" i="59"/>
  <c r="F86" i="59"/>
  <c r="E86" i="59"/>
  <c r="D86" i="59"/>
  <c r="C86" i="59"/>
  <c r="B86" i="59"/>
  <c r="J86" i="59" s="1"/>
  <c r="I85" i="59"/>
  <c r="H85" i="59"/>
  <c r="G85" i="59"/>
  <c r="F85" i="59"/>
  <c r="E85" i="59"/>
  <c r="D85" i="59"/>
  <c r="C85" i="59"/>
  <c r="B85" i="59"/>
  <c r="J85" i="59" s="1"/>
  <c r="I84" i="59"/>
  <c r="H84" i="59"/>
  <c r="G84" i="59"/>
  <c r="F84" i="59"/>
  <c r="E84" i="59"/>
  <c r="D84" i="59"/>
  <c r="C84" i="59"/>
  <c r="B84" i="59"/>
  <c r="I83" i="59"/>
  <c r="H83" i="59"/>
  <c r="G83" i="59"/>
  <c r="F83" i="59"/>
  <c r="E83" i="59"/>
  <c r="D83" i="59"/>
  <c r="C83" i="59"/>
  <c r="B83" i="59"/>
  <c r="J83" i="59" s="1"/>
  <c r="I82" i="59"/>
  <c r="H82" i="59"/>
  <c r="G82" i="59"/>
  <c r="F82" i="59"/>
  <c r="E82" i="59"/>
  <c r="D82" i="59"/>
  <c r="C82" i="59"/>
  <c r="B82" i="59"/>
  <c r="J82" i="59" s="1"/>
  <c r="I81" i="59"/>
  <c r="H81" i="59"/>
  <c r="G81" i="59"/>
  <c r="F81" i="59"/>
  <c r="E81" i="59"/>
  <c r="D81" i="59"/>
  <c r="C81" i="59"/>
  <c r="B81" i="59"/>
  <c r="J81" i="59" s="1"/>
  <c r="I80" i="59"/>
  <c r="I89" i="59" s="1"/>
  <c r="H80" i="59"/>
  <c r="H89" i="59" s="1"/>
  <c r="G80" i="59"/>
  <c r="G89" i="59" s="1"/>
  <c r="F80" i="59"/>
  <c r="F89" i="59" s="1"/>
  <c r="E80" i="59"/>
  <c r="E89" i="59" s="1"/>
  <c r="D80" i="59"/>
  <c r="D89" i="59" s="1"/>
  <c r="C80" i="59"/>
  <c r="C89" i="59" s="1"/>
  <c r="B80" i="59"/>
  <c r="I76" i="59"/>
  <c r="H76" i="59"/>
  <c r="G76" i="59"/>
  <c r="F76" i="59"/>
  <c r="E76" i="59"/>
  <c r="D76" i="59"/>
  <c r="C76" i="59"/>
  <c r="B76" i="59"/>
  <c r="J76" i="59" s="1"/>
  <c r="I75" i="59"/>
  <c r="H75" i="59"/>
  <c r="G75" i="59"/>
  <c r="F75" i="59"/>
  <c r="E75" i="59"/>
  <c r="D75" i="59"/>
  <c r="C75" i="59"/>
  <c r="B75" i="59"/>
  <c r="J75" i="59" s="1"/>
  <c r="I74" i="59"/>
  <c r="H74" i="59"/>
  <c r="G74" i="59"/>
  <c r="F74" i="59"/>
  <c r="E74" i="59"/>
  <c r="D74" i="59"/>
  <c r="C74" i="59"/>
  <c r="B74" i="59"/>
  <c r="J74" i="59" s="1"/>
  <c r="I73" i="59"/>
  <c r="H73" i="59"/>
  <c r="G73" i="59"/>
  <c r="F73" i="59"/>
  <c r="E73" i="59"/>
  <c r="D73" i="59"/>
  <c r="C73" i="59"/>
  <c r="B73" i="59"/>
  <c r="J73" i="59" s="1"/>
  <c r="I72" i="59"/>
  <c r="H72" i="59"/>
  <c r="G72" i="59"/>
  <c r="F72" i="59"/>
  <c r="E72" i="59"/>
  <c r="D72" i="59"/>
  <c r="C72" i="59"/>
  <c r="B72" i="59"/>
  <c r="J72" i="59" s="1"/>
  <c r="I71" i="59"/>
  <c r="H71" i="59"/>
  <c r="G71" i="59"/>
  <c r="F71" i="59"/>
  <c r="E71" i="59"/>
  <c r="D71" i="59"/>
  <c r="C71" i="59"/>
  <c r="B71" i="59"/>
  <c r="J71" i="59" s="1"/>
  <c r="I70" i="59"/>
  <c r="H70" i="59"/>
  <c r="G70" i="59"/>
  <c r="F70" i="59"/>
  <c r="E70" i="59"/>
  <c r="D70" i="59"/>
  <c r="C70" i="59"/>
  <c r="B70" i="59"/>
  <c r="J70" i="59" s="1"/>
  <c r="I69" i="59"/>
  <c r="H69" i="59"/>
  <c r="G69" i="59"/>
  <c r="F69" i="59"/>
  <c r="E69" i="59"/>
  <c r="D69" i="59"/>
  <c r="C69" i="59"/>
  <c r="B69" i="59"/>
  <c r="J69" i="59" s="1"/>
  <c r="I68" i="59"/>
  <c r="I77" i="59" s="1"/>
  <c r="H68" i="59"/>
  <c r="H77" i="59" s="1"/>
  <c r="G68" i="59"/>
  <c r="G77" i="59" s="1"/>
  <c r="N68" i="59" s="1"/>
  <c r="F68" i="59"/>
  <c r="F77" i="59" s="1"/>
  <c r="E68" i="59"/>
  <c r="E77" i="59" s="1"/>
  <c r="D68" i="59"/>
  <c r="D77" i="59" s="1"/>
  <c r="C68" i="59"/>
  <c r="C77" i="59" s="1"/>
  <c r="B68" i="59"/>
  <c r="C46" i="59"/>
  <c r="B46" i="59"/>
  <c r="C45" i="59"/>
  <c r="E45" i="59" s="1"/>
  <c r="B45" i="59"/>
  <c r="D45" i="59" s="1"/>
  <c r="C44" i="59"/>
  <c r="E44" i="59" s="1"/>
  <c r="B44" i="59"/>
  <c r="D44" i="59" s="1"/>
  <c r="C43" i="59"/>
  <c r="E43" i="59" s="1"/>
  <c r="B43" i="59"/>
  <c r="D43" i="59" s="1"/>
  <c r="C42" i="59"/>
  <c r="E42" i="59" s="1"/>
  <c r="B42" i="59"/>
  <c r="D42" i="59" s="1"/>
  <c r="C41" i="59"/>
  <c r="E41" i="59" s="1"/>
  <c r="B41" i="59"/>
  <c r="D41" i="59" s="1"/>
  <c r="C40" i="59"/>
  <c r="E40" i="59" s="1"/>
  <c r="B40" i="59"/>
  <c r="D40" i="59" s="1"/>
  <c r="C39" i="59"/>
  <c r="E39" i="59" s="1"/>
  <c r="B39" i="59"/>
  <c r="D39" i="59" s="1"/>
  <c r="C38" i="59"/>
  <c r="E38" i="59" s="1"/>
  <c r="B38" i="59"/>
  <c r="D38" i="59" s="1"/>
  <c r="B33" i="59"/>
  <c r="D33" i="59" s="1"/>
  <c r="B32" i="59"/>
  <c r="D32" i="59" s="1"/>
  <c r="C26" i="59"/>
  <c r="E26" i="59" s="1"/>
  <c r="B26" i="59"/>
  <c r="C25" i="59"/>
  <c r="E25" i="59" s="1"/>
  <c r="B25" i="59"/>
  <c r="C24" i="59"/>
  <c r="E24" i="59" s="1"/>
  <c r="B24" i="59"/>
  <c r="C23" i="59"/>
  <c r="E23" i="59" s="1"/>
  <c r="B23" i="59"/>
  <c r="C22" i="59"/>
  <c r="E22" i="59" s="1"/>
  <c r="B22" i="59"/>
  <c r="C21" i="59"/>
  <c r="E21" i="59" s="1"/>
  <c r="B21" i="59"/>
  <c r="C20" i="59"/>
  <c r="E20" i="59" s="1"/>
  <c r="B20" i="59"/>
  <c r="C19" i="59"/>
  <c r="E19" i="59" s="1"/>
  <c r="B19" i="59"/>
  <c r="C18" i="59"/>
  <c r="E18" i="59" s="1"/>
  <c r="B18" i="59"/>
  <c r="C17" i="59"/>
  <c r="E17" i="59" s="1"/>
  <c r="B17" i="59"/>
  <c r="B12" i="59"/>
  <c r="B11" i="59"/>
  <c r="B15" i="13"/>
  <c r="B14" i="13"/>
  <c r="B13" i="13"/>
  <c r="B12" i="13"/>
  <c r="B11" i="13"/>
  <c r="B10" i="13"/>
  <c r="B9" i="13"/>
  <c r="B8" i="13"/>
  <c r="C38" i="101"/>
  <c r="C37" i="101"/>
  <c r="E36" i="101"/>
  <c r="C36" i="101"/>
  <c r="E35" i="101"/>
  <c r="C35" i="101"/>
  <c r="E34" i="101"/>
  <c r="C34" i="101"/>
  <c r="E33" i="101"/>
  <c r="C33" i="101"/>
  <c r="E32" i="101"/>
  <c r="C32" i="101"/>
  <c r="E31" i="101"/>
  <c r="C31" i="101"/>
  <c r="E30" i="101"/>
  <c r="C30" i="101"/>
  <c r="E29" i="101"/>
  <c r="C29" i="101"/>
  <c r="E28" i="101"/>
  <c r="C28" i="101"/>
  <c r="E27" i="101"/>
  <c r="C27" i="101"/>
  <c r="E26" i="101"/>
  <c r="C26" i="101"/>
  <c r="E25" i="101"/>
  <c r="C25" i="101"/>
  <c r="E24" i="101"/>
  <c r="C24" i="101"/>
  <c r="E23" i="101"/>
  <c r="C23" i="101"/>
  <c r="E22" i="101"/>
  <c r="C22" i="101"/>
  <c r="E21" i="101"/>
  <c r="C21" i="101"/>
  <c r="E20" i="101"/>
  <c r="C20" i="101"/>
  <c r="V6208" i="98"/>
  <c r="T6208" i="98"/>
  <c r="U6208" i="98" s="1"/>
  <c r="S6208" i="98"/>
  <c r="R6208" i="98"/>
  <c r="V6207" i="98"/>
  <c r="T6207" i="98"/>
  <c r="U6207" i="98" s="1"/>
  <c r="S6207" i="98"/>
  <c r="R6207" i="98"/>
  <c r="V6206" i="98"/>
  <c r="T6206" i="98"/>
  <c r="U6206" i="98" s="1"/>
  <c r="S6206" i="98"/>
  <c r="R6206" i="98"/>
  <c r="V6205" i="98"/>
  <c r="T6205" i="98"/>
  <c r="U6205" i="98" s="1"/>
  <c r="S6205" i="98"/>
  <c r="R6205" i="98"/>
  <c r="V6204" i="98"/>
  <c r="T6204" i="98"/>
  <c r="U6204" i="98" s="1"/>
  <c r="S6204" i="98"/>
  <c r="R6204" i="98"/>
  <c r="V6203" i="98"/>
  <c r="T6203" i="98"/>
  <c r="U6203" i="98" s="1"/>
  <c r="S6203" i="98"/>
  <c r="R6203" i="98"/>
  <c r="V6202" i="98"/>
  <c r="T6202" i="98"/>
  <c r="U6202" i="98" s="1"/>
  <c r="S6202" i="98"/>
  <c r="R6202" i="98"/>
  <c r="V6201" i="98"/>
  <c r="T6201" i="98"/>
  <c r="U6201" i="98" s="1"/>
  <c r="S6201" i="98"/>
  <c r="R6201" i="98"/>
  <c r="V6200" i="98"/>
  <c r="T6200" i="98"/>
  <c r="U6200" i="98" s="1"/>
  <c r="S6200" i="98"/>
  <c r="R6200" i="98"/>
  <c r="V6199" i="98"/>
  <c r="T6199" i="98"/>
  <c r="U6199" i="98" s="1"/>
  <c r="S6199" i="98"/>
  <c r="R6199" i="98"/>
  <c r="V6198" i="98"/>
  <c r="T6198" i="98"/>
  <c r="U6198" i="98" s="1"/>
  <c r="S6198" i="98"/>
  <c r="R6198" i="98"/>
  <c r="V6197" i="98"/>
  <c r="T6197" i="98"/>
  <c r="U6197" i="98" s="1"/>
  <c r="S6197" i="98"/>
  <c r="R6197" i="98"/>
  <c r="V6196" i="98"/>
  <c r="T6196" i="98"/>
  <c r="U6196" i="98" s="1"/>
  <c r="S6196" i="98"/>
  <c r="R6196" i="98"/>
  <c r="V6195" i="98"/>
  <c r="T6195" i="98"/>
  <c r="U6195" i="98" s="1"/>
  <c r="S6195" i="98"/>
  <c r="R6195" i="98"/>
  <c r="V6194" i="98"/>
  <c r="T6194" i="98"/>
  <c r="U6194" i="98" s="1"/>
  <c r="S6194" i="98"/>
  <c r="R6194" i="98"/>
  <c r="V6193" i="98"/>
  <c r="T6193" i="98"/>
  <c r="U6193" i="98" s="1"/>
  <c r="S6193" i="98"/>
  <c r="R6193" i="98"/>
  <c r="V6192" i="98"/>
  <c r="T6192" i="98"/>
  <c r="U6192" i="98" s="1"/>
  <c r="S6192" i="98"/>
  <c r="R6192" i="98"/>
  <c r="V6191" i="98"/>
  <c r="T6191" i="98"/>
  <c r="U6191" i="98" s="1"/>
  <c r="S6191" i="98"/>
  <c r="R6191" i="98"/>
  <c r="V6190" i="98"/>
  <c r="T6190" i="98"/>
  <c r="U6190" i="98" s="1"/>
  <c r="S6190" i="98"/>
  <c r="R6190" i="98"/>
  <c r="V6189" i="98"/>
  <c r="T6189" i="98"/>
  <c r="U6189" i="98" s="1"/>
  <c r="S6189" i="98"/>
  <c r="R6189" i="98"/>
  <c r="V6188" i="98"/>
  <c r="T6188" i="98"/>
  <c r="U6188" i="98" s="1"/>
  <c r="S6188" i="98"/>
  <c r="R6188" i="98"/>
  <c r="V6187" i="98"/>
  <c r="T6187" i="98"/>
  <c r="U6187" i="98" s="1"/>
  <c r="S6187" i="98"/>
  <c r="R6187" i="98"/>
  <c r="V6186" i="98"/>
  <c r="T6186" i="98"/>
  <c r="U6186" i="98" s="1"/>
  <c r="S6186" i="98"/>
  <c r="R6186" i="98"/>
  <c r="V6185" i="98"/>
  <c r="T6185" i="98"/>
  <c r="U6185" i="98" s="1"/>
  <c r="S6185" i="98"/>
  <c r="R6185" i="98"/>
  <c r="V6184" i="98"/>
  <c r="T6184" i="98"/>
  <c r="U6184" i="98" s="1"/>
  <c r="S6184" i="98"/>
  <c r="R6184" i="98"/>
  <c r="V6183" i="98"/>
  <c r="T6183" i="98"/>
  <c r="U6183" i="98" s="1"/>
  <c r="S6183" i="98"/>
  <c r="R6183" i="98"/>
  <c r="V6182" i="98"/>
  <c r="T6182" i="98"/>
  <c r="U6182" i="98" s="1"/>
  <c r="S6182" i="98"/>
  <c r="R6182" i="98"/>
  <c r="V6181" i="98"/>
  <c r="T6181" i="98"/>
  <c r="U6181" i="98" s="1"/>
  <c r="S6181" i="98"/>
  <c r="R6181" i="98"/>
  <c r="V6180" i="98"/>
  <c r="T6180" i="98"/>
  <c r="U6180" i="98" s="1"/>
  <c r="S6180" i="98"/>
  <c r="R6180" i="98"/>
  <c r="V6179" i="98"/>
  <c r="T6179" i="98"/>
  <c r="U6179" i="98" s="1"/>
  <c r="S6179" i="98"/>
  <c r="R6179" i="98"/>
  <c r="V6178" i="98"/>
  <c r="T6178" i="98"/>
  <c r="U6178" i="98" s="1"/>
  <c r="S6178" i="98"/>
  <c r="R6178" i="98"/>
  <c r="V6177" i="98"/>
  <c r="T6177" i="98"/>
  <c r="U6177" i="98" s="1"/>
  <c r="S6177" i="98"/>
  <c r="R6177" i="98"/>
  <c r="V6176" i="98"/>
  <c r="T6176" i="98"/>
  <c r="U6176" i="98" s="1"/>
  <c r="S6176" i="98"/>
  <c r="R6176" i="98"/>
  <c r="V6175" i="98"/>
  <c r="T6175" i="98"/>
  <c r="U6175" i="98" s="1"/>
  <c r="S6175" i="98"/>
  <c r="R6175" i="98"/>
  <c r="V6174" i="98"/>
  <c r="T6174" i="98"/>
  <c r="U6174" i="98" s="1"/>
  <c r="S6174" i="98"/>
  <c r="R6174" i="98"/>
  <c r="V6173" i="98"/>
  <c r="T6173" i="98"/>
  <c r="U6173" i="98" s="1"/>
  <c r="S6173" i="98"/>
  <c r="R6173" i="98"/>
  <c r="V6172" i="98"/>
  <c r="T6172" i="98"/>
  <c r="U6172" i="98" s="1"/>
  <c r="S6172" i="98"/>
  <c r="R6172" i="98"/>
  <c r="V6171" i="98"/>
  <c r="T6171" i="98"/>
  <c r="U6171" i="98" s="1"/>
  <c r="S6171" i="98"/>
  <c r="R6171" i="98"/>
  <c r="V6170" i="98"/>
  <c r="T6170" i="98"/>
  <c r="U6170" i="98" s="1"/>
  <c r="S6170" i="98"/>
  <c r="R6170" i="98"/>
  <c r="V6169" i="98"/>
  <c r="T6169" i="98"/>
  <c r="U6169" i="98" s="1"/>
  <c r="S6169" i="98"/>
  <c r="R6169" i="98"/>
  <c r="V6168" i="98"/>
  <c r="T6168" i="98"/>
  <c r="U6168" i="98" s="1"/>
  <c r="S6168" i="98"/>
  <c r="R6168" i="98"/>
  <c r="V6167" i="98"/>
  <c r="T6167" i="98"/>
  <c r="U6167" i="98" s="1"/>
  <c r="S6167" i="98"/>
  <c r="R6167" i="98"/>
  <c r="V6166" i="98"/>
  <c r="T6166" i="98"/>
  <c r="U6166" i="98" s="1"/>
  <c r="S6166" i="98"/>
  <c r="R6166" i="98"/>
  <c r="V6165" i="98"/>
  <c r="T6165" i="98"/>
  <c r="U6165" i="98" s="1"/>
  <c r="S6165" i="98"/>
  <c r="R6165" i="98"/>
  <c r="V6164" i="98"/>
  <c r="T6164" i="98"/>
  <c r="U6164" i="98" s="1"/>
  <c r="S6164" i="98"/>
  <c r="R6164" i="98"/>
  <c r="V6163" i="98"/>
  <c r="T6163" i="98"/>
  <c r="U6163" i="98" s="1"/>
  <c r="S6163" i="98"/>
  <c r="R6163" i="98"/>
  <c r="V6162" i="98"/>
  <c r="T6162" i="98"/>
  <c r="U6162" i="98" s="1"/>
  <c r="S6162" i="98"/>
  <c r="R6162" i="98"/>
  <c r="V6161" i="98"/>
  <c r="T6161" i="98"/>
  <c r="U6161" i="98" s="1"/>
  <c r="S6161" i="98"/>
  <c r="R6161" i="98"/>
  <c r="V6160" i="98"/>
  <c r="T6160" i="98"/>
  <c r="U6160" i="98" s="1"/>
  <c r="S6160" i="98"/>
  <c r="R6160" i="98"/>
  <c r="V6159" i="98"/>
  <c r="T6159" i="98"/>
  <c r="U6159" i="98" s="1"/>
  <c r="S6159" i="98"/>
  <c r="R6159" i="98"/>
  <c r="V6158" i="98"/>
  <c r="T6158" i="98"/>
  <c r="U6158" i="98" s="1"/>
  <c r="S6158" i="98"/>
  <c r="R6158" i="98"/>
  <c r="V6157" i="98"/>
  <c r="T6157" i="98"/>
  <c r="U6157" i="98" s="1"/>
  <c r="S6157" i="98"/>
  <c r="R6157" i="98"/>
  <c r="V6156" i="98"/>
  <c r="T6156" i="98"/>
  <c r="U6156" i="98" s="1"/>
  <c r="S6156" i="98"/>
  <c r="R6156" i="98"/>
  <c r="V6155" i="98"/>
  <c r="T6155" i="98"/>
  <c r="U6155" i="98" s="1"/>
  <c r="S6155" i="98"/>
  <c r="R6155" i="98"/>
  <c r="V6154" i="98"/>
  <c r="T6154" i="98"/>
  <c r="U6154" i="98" s="1"/>
  <c r="S6154" i="98"/>
  <c r="R6154" i="98"/>
  <c r="V6153" i="98"/>
  <c r="T6153" i="98"/>
  <c r="U6153" i="98" s="1"/>
  <c r="S6153" i="98"/>
  <c r="R6153" i="98"/>
  <c r="V6152" i="98"/>
  <c r="T6152" i="98"/>
  <c r="U6152" i="98" s="1"/>
  <c r="S6152" i="98"/>
  <c r="R6152" i="98"/>
  <c r="V6151" i="98"/>
  <c r="T6151" i="98"/>
  <c r="U6151" i="98" s="1"/>
  <c r="S6151" i="98"/>
  <c r="R6151" i="98"/>
  <c r="V6150" i="98"/>
  <c r="T6150" i="98"/>
  <c r="U6150" i="98" s="1"/>
  <c r="S6150" i="98"/>
  <c r="R6150" i="98"/>
  <c r="V6149" i="98"/>
  <c r="T6149" i="98"/>
  <c r="U6149" i="98" s="1"/>
  <c r="S6149" i="98"/>
  <c r="R6149" i="98"/>
  <c r="V6148" i="98"/>
  <c r="T6148" i="98"/>
  <c r="U6148" i="98" s="1"/>
  <c r="S6148" i="98"/>
  <c r="R6148" i="98"/>
  <c r="V6147" i="98"/>
  <c r="T6147" i="98"/>
  <c r="U6147" i="98" s="1"/>
  <c r="S6147" i="98"/>
  <c r="R6147" i="98"/>
  <c r="V6146" i="98"/>
  <c r="T6146" i="98"/>
  <c r="U6146" i="98" s="1"/>
  <c r="S6146" i="98"/>
  <c r="R6146" i="98"/>
  <c r="V6145" i="98"/>
  <c r="T6145" i="98"/>
  <c r="U6145" i="98" s="1"/>
  <c r="S6145" i="98"/>
  <c r="R6145" i="98"/>
  <c r="V6144" i="98"/>
  <c r="T6144" i="98"/>
  <c r="U6144" i="98" s="1"/>
  <c r="S6144" i="98"/>
  <c r="R6144" i="98"/>
  <c r="V6143" i="98"/>
  <c r="T6143" i="98"/>
  <c r="U6143" i="98" s="1"/>
  <c r="S6143" i="98"/>
  <c r="R6143" i="98"/>
  <c r="V6142" i="98"/>
  <c r="T6142" i="98"/>
  <c r="U6142" i="98" s="1"/>
  <c r="S6142" i="98"/>
  <c r="R6142" i="98"/>
  <c r="V6141" i="98"/>
  <c r="T6141" i="98"/>
  <c r="U6141" i="98" s="1"/>
  <c r="S6141" i="98"/>
  <c r="R6141" i="98"/>
  <c r="V6140" i="98"/>
  <c r="T6140" i="98"/>
  <c r="U6140" i="98" s="1"/>
  <c r="S6140" i="98"/>
  <c r="R6140" i="98"/>
  <c r="V6139" i="98"/>
  <c r="T6139" i="98"/>
  <c r="U6139" i="98" s="1"/>
  <c r="S6139" i="98"/>
  <c r="R6139" i="98"/>
  <c r="V6138" i="98"/>
  <c r="T6138" i="98"/>
  <c r="U6138" i="98" s="1"/>
  <c r="S6138" i="98"/>
  <c r="R6138" i="98"/>
  <c r="V6137" i="98"/>
  <c r="T6137" i="98"/>
  <c r="U6137" i="98" s="1"/>
  <c r="S6137" i="98"/>
  <c r="R6137" i="98"/>
  <c r="V6136" i="98"/>
  <c r="T6136" i="98"/>
  <c r="U6136" i="98" s="1"/>
  <c r="S6136" i="98"/>
  <c r="R6136" i="98"/>
  <c r="V6135" i="98"/>
  <c r="T6135" i="98"/>
  <c r="U6135" i="98" s="1"/>
  <c r="S6135" i="98"/>
  <c r="R6135" i="98"/>
  <c r="V6134" i="98"/>
  <c r="T6134" i="98"/>
  <c r="U6134" i="98" s="1"/>
  <c r="S6134" i="98"/>
  <c r="R6134" i="98"/>
  <c r="V6133" i="98"/>
  <c r="T6133" i="98"/>
  <c r="U6133" i="98" s="1"/>
  <c r="S6133" i="98"/>
  <c r="R6133" i="98"/>
  <c r="V6132" i="98"/>
  <c r="T6132" i="98"/>
  <c r="U6132" i="98" s="1"/>
  <c r="S6132" i="98"/>
  <c r="R6132" i="98"/>
  <c r="V6131" i="98"/>
  <c r="T6131" i="98"/>
  <c r="U6131" i="98" s="1"/>
  <c r="S6131" i="98"/>
  <c r="R6131" i="98"/>
  <c r="V6130" i="98"/>
  <c r="T6130" i="98"/>
  <c r="U6130" i="98" s="1"/>
  <c r="S6130" i="98"/>
  <c r="R6130" i="98"/>
  <c r="V6129" i="98"/>
  <c r="T6129" i="98"/>
  <c r="U6129" i="98" s="1"/>
  <c r="S6129" i="98"/>
  <c r="R6129" i="98"/>
  <c r="V6128" i="98"/>
  <c r="T6128" i="98"/>
  <c r="U6128" i="98" s="1"/>
  <c r="S6128" i="98"/>
  <c r="R6128" i="98"/>
  <c r="V6127" i="98"/>
  <c r="T6127" i="98"/>
  <c r="U6127" i="98" s="1"/>
  <c r="S6127" i="98"/>
  <c r="R6127" i="98"/>
  <c r="V6126" i="98"/>
  <c r="T6126" i="98"/>
  <c r="U6126" i="98" s="1"/>
  <c r="S6126" i="98"/>
  <c r="R6126" i="98"/>
  <c r="V6125" i="98"/>
  <c r="T6125" i="98"/>
  <c r="U6125" i="98" s="1"/>
  <c r="S6125" i="98"/>
  <c r="R6125" i="98"/>
  <c r="V6124" i="98"/>
  <c r="T6124" i="98"/>
  <c r="U6124" i="98" s="1"/>
  <c r="S6124" i="98"/>
  <c r="R6124" i="98"/>
  <c r="V6123" i="98"/>
  <c r="T6123" i="98"/>
  <c r="U6123" i="98" s="1"/>
  <c r="S6123" i="98"/>
  <c r="R6123" i="98"/>
  <c r="V6122" i="98"/>
  <c r="T6122" i="98"/>
  <c r="U6122" i="98" s="1"/>
  <c r="S6122" i="98"/>
  <c r="R6122" i="98"/>
  <c r="V6121" i="98"/>
  <c r="T6121" i="98"/>
  <c r="U6121" i="98" s="1"/>
  <c r="S6121" i="98"/>
  <c r="R6121" i="98"/>
  <c r="V6120" i="98"/>
  <c r="T6120" i="98"/>
  <c r="U6120" i="98" s="1"/>
  <c r="S6120" i="98"/>
  <c r="R6120" i="98"/>
  <c r="V6119" i="98"/>
  <c r="T6119" i="98"/>
  <c r="U6119" i="98" s="1"/>
  <c r="S6119" i="98"/>
  <c r="R6119" i="98"/>
  <c r="V6118" i="98"/>
  <c r="T6118" i="98"/>
  <c r="U6118" i="98" s="1"/>
  <c r="S6118" i="98"/>
  <c r="R6118" i="98"/>
  <c r="V6117" i="98"/>
  <c r="T6117" i="98"/>
  <c r="U6117" i="98" s="1"/>
  <c r="S6117" i="98"/>
  <c r="R6117" i="98"/>
  <c r="V6116" i="98"/>
  <c r="T6116" i="98"/>
  <c r="U6116" i="98" s="1"/>
  <c r="S6116" i="98"/>
  <c r="R6116" i="98"/>
  <c r="V6115" i="98"/>
  <c r="T6115" i="98"/>
  <c r="U6115" i="98" s="1"/>
  <c r="S6115" i="98"/>
  <c r="R6115" i="98"/>
  <c r="V6114" i="98"/>
  <c r="T6114" i="98"/>
  <c r="U6114" i="98" s="1"/>
  <c r="S6114" i="98"/>
  <c r="R6114" i="98"/>
  <c r="V6113" i="98"/>
  <c r="T6113" i="98"/>
  <c r="U6113" i="98" s="1"/>
  <c r="S6113" i="98"/>
  <c r="R6113" i="98"/>
  <c r="V6112" i="98"/>
  <c r="T6112" i="98"/>
  <c r="U6112" i="98" s="1"/>
  <c r="S6112" i="98"/>
  <c r="R6112" i="98"/>
  <c r="V6111" i="98"/>
  <c r="T6111" i="98"/>
  <c r="U6111" i="98" s="1"/>
  <c r="S6111" i="98"/>
  <c r="R6111" i="98"/>
  <c r="V6110" i="98"/>
  <c r="T6110" i="98"/>
  <c r="U6110" i="98" s="1"/>
  <c r="S6110" i="98"/>
  <c r="R6110" i="98"/>
  <c r="V6109" i="98"/>
  <c r="T6109" i="98"/>
  <c r="U6109" i="98" s="1"/>
  <c r="S6109" i="98"/>
  <c r="R6109" i="98"/>
  <c r="V6108" i="98"/>
  <c r="T6108" i="98"/>
  <c r="U6108" i="98" s="1"/>
  <c r="S6108" i="98"/>
  <c r="R6108" i="98"/>
  <c r="V6107" i="98"/>
  <c r="T6107" i="98"/>
  <c r="U6107" i="98" s="1"/>
  <c r="S6107" i="98"/>
  <c r="R6107" i="98"/>
  <c r="V6106" i="98"/>
  <c r="T6106" i="98"/>
  <c r="U6106" i="98" s="1"/>
  <c r="S6106" i="98"/>
  <c r="R6106" i="98"/>
  <c r="V6105" i="98"/>
  <c r="T6105" i="98"/>
  <c r="U6105" i="98" s="1"/>
  <c r="S6105" i="98"/>
  <c r="R6105" i="98"/>
  <c r="V6104" i="98"/>
  <c r="T6104" i="98"/>
  <c r="U6104" i="98" s="1"/>
  <c r="S6104" i="98"/>
  <c r="R6104" i="98"/>
  <c r="V6103" i="98"/>
  <c r="T6103" i="98"/>
  <c r="U6103" i="98" s="1"/>
  <c r="S6103" i="98"/>
  <c r="R6103" i="98"/>
  <c r="V6102" i="98"/>
  <c r="T6102" i="98"/>
  <c r="U6102" i="98" s="1"/>
  <c r="S6102" i="98"/>
  <c r="R6102" i="98"/>
  <c r="V6101" i="98"/>
  <c r="T6101" i="98"/>
  <c r="U6101" i="98" s="1"/>
  <c r="S6101" i="98"/>
  <c r="R6101" i="98"/>
  <c r="V6100" i="98"/>
  <c r="T6100" i="98"/>
  <c r="U6100" i="98" s="1"/>
  <c r="S6100" i="98"/>
  <c r="R6100" i="98"/>
  <c r="V6099" i="98"/>
  <c r="T6099" i="98"/>
  <c r="U6099" i="98" s="1"/>
  <c r="S6099" i="98"/>
  <c r="R6099" i="98"/>
  <c r="V6098" i="98"/>
  <c r="T6098" i="98"/>
  <c r="U6098" i="98" s="1"/>
  <c r="S6098" i="98"/>
  <c r="R6098" i="98"/>
  <c r="V6097" i="98"/>
  <c r="T6097" i="98"/>
  <c r="U6097" i="98" s="1"/>
  <c r="S6097" i="98"/>
  <c r="R6097" i="98"/>
  <c r="V6096" i="98"/>
  <c r="T6096" i="98"/>
  <c r="U6096" i="98" s="1"/>
  <c r="S6096" i="98"/>
  <c r="R6096" i="98"/>
  <c r="V6095" i="98"/>
  <c r="T6095" i="98"/>
  <c r="U6095" i="98" s="1"/>
  <c r="S6095" i="98"/>
  <c r="R6095" i="98"/>
  <c r="V6094" i="98"/>
  <c r="T6094" i="98"/>
  <c r="U6094" i="98" s="1"/>
  <c r="S6094" i="98"/>
  <c r="R6094" i="98"/>
  <c r="V6093" i="98"/>
  <c r="T6093" i="98"/>
  <c r="U6093" i="98" s="1"/>
  <c r="S6093" i="98"/>
  <c r="R6093" i="98"/>
  <c r="V6092" i="98"/>
  <c r="T6092" i="98"/>
  <c r="U6092" i="98" s="1"/>
  <c r="S6092" i="98"/>
  <c r="R6092" i="98"/>
  <c r="V6091" i="98"/>
  <c r="T6091" i="98"/>
  <c r="U6091" i="98" s="1"/>
  <c r="S6091" i="98"/>
  <c r="R6091" i="98"/>
  <c r="V6090" i="98"/>
  <c r="T6090" i="98"/>
  <c r="U6090" i="98" s="1"/>
  <c r="S6090" i="98"/>
  <c r="R6090" i="98"/>
  <c r="V6089" i="98"/>
  <c r="T6089" i="98"/>
  <c r="U6089" i="98" s="1"/>
  <c r="S6089" i="98"/>
  <c r="R6089" i="98"/>
  <c r="V6088" i="98"/>
  <c r="T6088" i="98"/>
  <c r="U6088" i="98" s="1"/>
  <c r="S6088" i="98"/>
  <c r="R6088" i="98"/>
  <c r="V6087" i="98"/>
  <c r="T6087" i="98"/>
  <c r="U6087" i="98" s="1"/>
  <c r="S6087" i="98"/>
  <c r="R6087" i="98"/>
  <c r="V6086" i="98"/>
  <c r="T6086" i="98"/>
  <c r="U6086" i="98" s="1"/>
  <c r="S6086" i="98"/>
  <c r="R6086" i="98"/>
  <c r="V6085" i="98"/>
  <c r="T6085" i="98"/>
  <c r="U6085" i="98" s="1"/>
  <c r="S6085" i="98"/>
  <c r="R6085" i="98"/>
  <c r="V6084" i="98"/>
  <c r="T6084" i="98"/>
  <c r="U6084" i="98" s="1"/>
  <c r="S6084" i="98"/>
  <c r="R6084" i="98"/>
  <c r="V6083" i="98"/>
  <c r="T6083" i="98"/>
  <c r="U6083" i="98" s="1"/>
  <c r="S6083" i="98"/>
  <c r="R6083" i="98"/>
  <c r="V6082" i="98"/>
  <c r="T6082" i="98"/>
  <c r="U6082" i="98" s="1"/>
  <c r="S6082" i="98"/>
  <c r="R6082" i="98"/>
  <c r="V6081" i="98"/>
  <c r="T6081" i="98"/>
  <c r="U6081" i="98" s="1"/>
  <c r="S6081" i="98"/>
  <c r="R6081" i="98"/>
  <c r="V6080" i="98"/>
  <c r="T6080" i="98"/>
  <c r="U6080" i="98" s="1"/>
  <c r="S6080" i="98"/>
  <c r="R6080" i="98"/>
  <c r="V6079" i="98"/>
  <c r="T6079" i="98"/>
  <c r="U6079" i="98" s="1"/>
  <c r="S6079" i="98"/>
  <c r="R6079" i="98"/>
  <c r="V6078" i="98"/>
  <c r="T6078" i="98"/>
  <c r="U6078" i="98" s="1"/>
  <c r="S6078" i="98"/>
  <c r="R6078" i="98"/>
  <c r="V6077" i="98"/>
  <c r="T6077" i="98"/>
  <c r="U6077" i="98" s="1"/>
  <c r="S6077" i="98"/>
  <c r="R6077" i="98"/>
  <c r="V6076" i="98"/>
  <c r="T6076" i="98"/>
  <c r="U6076" i="98" s="1"/>
  <c r="S6076" i="98"/>
  <c r="R6076" i="98"/>
  <c r="V6075" i="98"/>
  <c r="T6075" i="98"/>
  <c r="U6075" i="98" s="1"/>
  <c r="S6075" i="98"/>
  <c r="R6075" i="98"/>
  <c r="V6074" i="98"/>
  <c r="T6074" i="98"/>
  <c r="U6074" i="98" s="1"/>
  <c r="S6074" i="98"/>
  <c r="R6074" i="98"/>
  <c r="V6073" i="98"/>
  <c r="T6073" i="98"/>
  <c r="U6073" i="98" s="1"/>
  <c r="S6073" i="98"/>
  <c r="R6073" i="98"/>
  <c r="V6072" i="98"/>
  <c r="T6072" i="98"/>
  <c r="U6072" i="98" s="1"/>
  <c r="S6072" i="98"/>
  <c r="R6072" i="98"/>
  <c r="V6071" i="98"/>
  <c r="T6071" i="98"/>
  <c r="U6071" i="98" s="1"/>
  <c r="S6071" i="98"/>
  <c r="R6071" i="98"/>
  <c r="V6070" i="98"/>
  <c r="T6070" i="98"/>
  <c r="U6070" i="98" s="1"/>
  <c r="S6070" i="98"/>
  <c r="R6070" i="98"/>
  <c r="V6069" i="98"/>
  <c r="T6069" i="98"/>
  <c r="U6069" i="98" s="1"/>
  <c r="S6069" i="98"/>
  <c r="R6069" i="98"/>
  <c r="V6068" i="98"/>
  <c r="T6068" i="98"/>
  <c r="U6068" i="98" s="1"/>
  <c r="S6068" i="98"/>
  <c r="R6068" i="98"/>
  <c r="V6067" i="98"/>
  <c r="T6067" i="98"/>
  <c r="U6067" i="98" s="1"/>
  <c r="S6067" i="98"/>
  <c r="R6067" i="98"/>
  <c r="V6066" i="98"/>
  <c r="T6066" i="98"/>
  <c r="U6066" i="98" s="1"/>
  <c r="S6066" i="98"/>
  <c r="R6066" i="98"/>
  <c r="V6065" i="98"/>
  <c r="T6065" i="98"/>
  <c r="U6065" i="98" s="1"/>
  <c r="S6065" i="98"/>
  <c r="R6065" i="98"/>
  <c r="V6064" i="98"/>
  <c r="T6064" i="98"/>
  <c r="U6064" i="98" s="1"/>
  <c r="S6064" i="98"/>
  <c r="R6064" i="98"/>
  <c r="V6063" i="98"/>
  <c r="T6063" i="98"/>
  <c r="U6063" i="98" s="1"/>
  <c r="S6063" i="98"/>
  <c r="R6063" i="98"/>
  <c r="V6062" i="98"/>
  <c r="T6062" i="98"/>
  <c r="U6062" i="98" s="1"/>
  <c r="S6062" i="98"/>
  <c r="R6062" i="98"/>
  <c r="V6061" i="98"/>
  <c r="T6061" i="98"/>
  <c r="U6061" i="98" s="1"/>
  <c r="S6061" i="98"/>
  <c r="R6061" i="98"/>
  <c r="V6060" i="98"/>
  <c r="T6060" i="98"/>
  <c r="U6060" i="98" s="1"/>
  <c r="S6060" i="98"/>
  <c r="R6060" i="98"/>
  <c r="V6059" i="98"/>
  <c r="T6059" i="98"/>
  <c r="U6059" i="98" s="1"/>
  <c r="S6059" i="98"/>
  <c r="R6059" i="98"/>
  <c r="V6058" i="98"/>
  <c r="T6058" i="98"/>
  <c r="U6058" i="98" s="1"/>
  <c r="S6058" i="98"/>
  <c r="R6058" i="98"/>
  <c r="V6057" i="98"/>
  <c r="T6057" i="98"/>
  <c r="U6057" i="98" s="1"/>
  <c r="S6057" i="98"/>
  <c r="R6057" i="98"/>
  <c r="V6056" i="98"/>
  <c r="T6056" i="98"/>
  <c r="U6056" i="98" s="1"/>
  <c r="S6056" i="98"/>
  <c r="R6056" i="98"/>
  <c r="V6055" i="98"/>
  <c r="T6055" i="98"/>
  <c r="U6055" i="98" s="1"/>
  <c r="S6055" i="98"/>
  <c r="R6055" i="98"/>
  <c r="V6054" i="98"/>
  <c r="T6054" i="98"/>
  <c r="U6054" i="98" s="1"/>
  <c r="S6054" i="98"/>
  <c r="R6054" i="98"/>
  <c r="V6053" i="98"/>
  <c r="T6053" i="98"/>
  <c r="U6053" i="98" s="1"/>
  <c r="S6053" i="98"/>
  <c r="R6053" i="98"/>
  <c r="V6052" i="98"/>
  <c r="T6052" i="98"/>
  <c r="U6052" i="98" s="1"/>
  <c r="S6052" i="98"/>
  <c r="R6052" i="98"/>
  <c r="V6051" i="98"/>
  <c r="T6051" i="98"/>
  <c r="U6051" i="98" s="1"/>
  <c r="S6051" i="98"/>
  <c r="R6051" i="98"/>
  <c r="V6050" i="98"/>
  <c r="T6050" i="98"/>
  <c r="U6050" i="98" s="1"/>
  <c r="S6050" i="98"/>
  <c r="R6050" i="98"/>
  <c r="V6049" i="98"/>
  <c r="T6049" i="98"/>
  <c r="U6049" i="98" s="1"/>
  <c r="S6049" i="98"/>
  <c r="R6049" i="98"/>
  <c r="V6048" i="98"/>
  <c r="T6048" i="98"/>
  <c r="U6048" i="98" s="1"/>
  <c r="S6048" i="98"/>
  <c r="R6048" i="98"/>
  <c r="V6047" i="98"/>
  <c r="T6047" i="98"/>
  <c r="U6047" i="98" s="1"/>
  <c r="S6047" i="98"/>
  <c r="R6047" i="98"/>
  <c r="V6046" i="98"/>
  <c r="T6046" i="98"/>
  <c r="U6046" i="98" s="1"/>
  <c r="S6046" i="98"/>
  <c r="R6046" i="98"/>
  <c r="V6045" i="98"/>
  <c r="T6045" i="98"/>
  <c r="U6045" i="98" s="1"/>
  <c r="S6045" i="98"/>
  <c r="R6045" i="98"/>
  <c r="V6044" i="98"/>
  <c r="T6044" i="98"/>
  <c r="U6044" i="98" s="1"/>
  <c r="S6044" i="98"/>
  <c r="R6044" i="98"/>
  <c r="V6043" i="98"/>
  <c r="T6043" i="98"/>
  <c r="U6043" i="98" s="1"/>
  <c r="S6043" i="98"/>
  <c r="R6043" i="98"/>
  <c r="V6042" i="98"/>
  <c r="T6042" i="98"/>
  <c r="U6042" i="98" s="1"/>
  <c r="S6042" i="98"/>
  <c r="R6042" i="98"/>
  <c r="V6041" i="98"/>
  <c r="T6041" i="98"/>
  <c r="U6041" i="98" s="1"/>
  <c r="S6041" i="98"/>
  <c r="R6041" i="98"/>
  <c r="V6040" i="98"/>
  <c r="T6040" i="98"/>
  <c r="U6040" i="98" s="1"/>
  <c r="S6040" i="98"/>
  <c r="R6040" i="98"/>
  <c r="V6039" i="98"/>
  <c r="T6039" i="98"/>
  <c r="U6039" i="98" s="1"/>
  <c r="S6039" i="98"/>
  <c r="R6039" i="98"/>
  <c r="V6038" i="98"/>
  <c r="T6038" i="98"/>
  <c r="U6038" i="98" s="1"/>
  <c r="S6038" i="98"/>
  <c r="R6038" i="98"/>
  <c r="V6037" i="98"/>
  <c r="T6037" i="98"/>
  <c r="U6037" i="98" s="1"/>
  <c r="S6037" i="98"/>
  <c r="R6037" i="98"/>
  <c r="V6036" i="98"/>
  <c r="T6036" i="98"/>
  <c r="U6036" i="98" s="1"/>
  <c r="S6036" i="98"/>
  <c r="R6036" i="98"/>
  <c r="V6035" i="98"/>
  <c r="T6035" i="98"/>
  <c r="U6035" i="98" s="1"/>
  <c r="S6035" i="98"/>
  <c r="R6035" i="98"/>
  <c r="V6034" i="98"/>
  <c r="T6034" i="98"/>
  <c r="U6034" i="98" s="1"/>
  <c r="S6034" i="98"/>
  <c r="R6034" i="98"/>
  <c r="V6033" i="98"/>
  <c r="T6033" i="98"/>
  <c r="U6033" i="98" s="1"/>
  <c r="S6033" i="98"/>
  <c r="R6033" i="98"/>
  <c r="V6032" i="98"/>
  <c r="T6032" i="98"/>
  <c r="U6032" i="98" s="1"/>
  <c r="S6032" i="98"/>
  <c r="R6032" i="98"/>
  <c r="V6031" i="98"/>
  <c r="T6031" i="98"/>
  <c r="U6031" i="98" s="1"/>
  <c r="S6031" i="98"/>
  <c r="R6031" i="98"/>
  <c r="V6030" i="98"/>
  <c r="T6030" i="98"/>
  <c r="U6030" i="98" s="1"/>
  <c r="S6030" i="98"/>
  <c r="R6030" i="98"/>
  <c r="V6029" i="98"/>
  <c r="T6029" i="98"/>
  <c r="U6029" i="98" s="1"/>
  <c r="S6029" i="98"/>
  <c r="R6029" i="98"/>
  <c r="V6028" i="98"/>
  <c r="T6028" i="98"/>
  <c r="U6028" i="98" s="1"/>
  <c r="S6028" i="98"/>
  <c r="R6028" i="98"/>
  <c r="V6027" i="98"/>
  <c r="T6027" i="98"/>
  <c r="U6027" i="98" s="1"/>
  <c r="S6027" i="98"/>
  <c r="R6027" i="98"/>
  <c r="V6026" i="98"/>
  <c r="T6026" i="98"/>
  <c r="U6026" i="98" s="1"/>
  <c r="S6026" i="98"/>
  <c r="R6026" i="98"/>
  <c r="V6025" i="98"/>
  <c r="T6025" i="98"/>
  <c r="U6025" i="98" s="1"/>
  <c r="S6025" i="98"/>
  <c r="R6025" i="98"/>
  <c r="V6024" i="98"/>
  <c r="T6024" i="98"/>
  <c r="U6024" i="98" s="1"/>
  <c r="S6024" i="98"/>
  <c r="R6024" i="98"/>
  <c r="V6023" i="98"/>
  <c r="T6023" i="98"/>
  <c r="U6023" i="98" s="1"/>
  <c r="S6023" i="98"/>
  <c r="R6023" i="98"/>
  <c r="V6022" i="98"/>
  <c r="T6022" i="98"/>
  <c r="U6022" i="98" s="1"/>
  <c r="S6022" i="98"/>
  <c r="R6022" i="98"/>
  <c r="V6021" i="98"/>
  <c r="T6021" i="98"/>
  <c r="U6021" i="98" s="1"/>
  <c r="S6021" i="98"/>
  <c r="R6021" i="98"/>
  <c r="V6020" i="98"/>
  <c r="T6020" i="98"/>
  <c r="U6020" i="98" s="1"/>
  <c r="S6020" i="98"/>
  <c r="R6020" i="98"/>
  <c r="V6019" i="98"/>
  <c r="T6019" i="98"/>
  <c r="U6019" i="98" s="1"/>
  <c r="S6019" i="98"/>
  <c r="R6019" i="98"/>
  <c r="V6018" i="98"/>
  <c r="T6018" i="98"/>
  <c r="U6018" i="98" s="1"/>
  <c r="S6018" i="98"/>
  <c r="R6018" i="98"/>
  <c r="V6017" i="98"/>
  <c r="T6017" i="98"/>
  <c r="U6017" i="98" s="1"/>
  <c r="S6017" i="98"/>
  <c r="R6017" i="98"/>
  <c r="V6016" i="98"/>
  <c r="T6016" i="98"/>
  <c r="U6016" i="98" s="1"/>
  <c r="S6016" i="98"/>
  <c r="R6016" i="98"/>
  <c r="V6015" i="98"/>
  <c r="T6015" i="98"/>
  <c r="U6015" i="98" s="1"/>
  <c r="S6015" i="98"/>
  <c r="R6015" i="98"/>
  <c r="V6014" i="98"/>
  <c r="T6014" i="98"/>
  <c r="U6014" i="98" s="1"/>
  <c r="S6014" i="98"/>
  <c r="R6014" i="98"/>
  <c r="V6013" i="98"/>
  <c r="T6013" i="98"/>
  <c r="U6013" i="98" s="1"/>
  <c r="S6013" i="98"/>
  <c r="R6013" i="98"/>
  <c r="V6012" i="98"/>
  <c r="T6012" i="98"/>
  <c r="U6012" i="98" s="1"/>
  <c r="S6012" i="98"/>
  <c r="R6012" i="98"/>
  <c r="V6011" i="98"/>
  <c r="T6011" i="98"/>
  <c r="U6011" i="98" s="1"/>
  <c r="S6011" i="98"/>
  <c r="R6011" i="98"/>
  <c r="V6010" i="98"/>
  <c r="T6010" i="98"/>
  <c r="U6010" i="98" s="1"/>
  <c r="S6010" i="98"/>
  <c r="R6010" i="98"/>
  <c r="V6009" i="98"/>
  <c r="T6009" i="98"/>
  <c r="U6009" i="98" s="1"/>
  <c r="S6009" i="98"/>
  <c r="R6009" i="98"/>
  <c r="V6008" i="98"/>
  <c r="T6008" i="98"/>
  <c r="U6008" i="98" s="1"/>
  <c r="S6008" i="98"/>
  <c r="R6008" i="98"/>
  <c r="V6007" i="98"/>
  <c r="T6007" i="98"/>
  <c r="U6007" i="98" s="1"/>
  <c r="S6007" i="98"/>
  <c r="R6007" i="98"/>
  <c r="V6006" i="98"/>
  <c r="T6006" i="98"/>
  <c r="U6006" i="98" s="1"/>
  <c r="S6006" i="98"/>
  <c r="R6006" i="98"/>
  <c r="V6005" i="98"/>
  <c r="T6005" i="98"/>
  <c r="U6005" i="98" s="1"/>
  <c r="S6005" i="98"/>
  <c r="R6005" i="98"/>
  <c r="V6004" i="98"/>
  <c r="T6004" i="98"/>
  <c r="U6004" i="98" s="1"/>
  <c r="S6004" i="98"/>
  <c r="R6004" i="98"/>
  <c r="V6003" i="98"/>
  <c r="T6003" i="98"/>
  <c r="U6003" i="98" s="1"/>
  <c r="S6003" i="98"/>
  <c r="R6003" i="98"/>
  <c r="V6002" i="98"/>
  <c r="T6002" i="98"/>
  <c r="U6002" i="98" s="1"/>
  <c r="S6002" i="98"/>
  <c r="R6002" i="98"/>
  <c r="V6001" i="98"/>
  <c r="T6001" i="98"/>
  <c r="U6001" i="98" s="1"/>
  <c r="S6001" i="98"/>
  <c r="R6001" i="98"/>
  <c r="V6000" i="98"/>
  <c r="T6000" i="98"/>
  <c r="U6000" i="98" s="1"/>
  <c r="S6000" i="98"/>
  <c r="R6000" i="98"/>
  <c r="V5999" i="98"/>
  <c r="T5999" i="98"/>
  <c r="U5999" i="98" s="1"/>
  <c r="S5999" i="98"/>
  <c r="R5999" i="98"/>
  <c r="V5998" i="98"/>
  <c r="T5998" i="98"/>
  <c r="U5998" i="98" s="1"/>
  <c r="S5998" i="98"/>
  <c r="R5998" i="98"/>
  <c r="V5997" i="98"/>
  <c r="T5997" i="98"/>
  <c r="U5997" i="98" s="1"/>
  <c r="S5997" i="98"/>
  <c r="R5997" i="98"/>
  <c r="V5996" i="98"/>
  <c r="T5996" i="98"/>
  <c r="U5996" i="98" s="1"/>
  <c r="S5996" i="98"/>
  <c r="R5996" i="98"/>
  <c r="V5995" i="98"/>
  <c r="T5995" i="98"/>
  <c r="U5995" i="98" s="1"/>
  <c r="S5995" i="98"/>
  <c r="R5995" i="98"/>
  <c r="V5994" i="98"/>
  <c r="T5994" i="98"/>
  <c r="U5994" i="98" s="1"/>
  <c r="S5994" i="98"/>
  <c r="R5994" i="98"/>
  <c r="V5993" i="98"/>
  <c r="T5993" i="98"/>
  <c r="U5993" i="98" s="1"/>
  <c r="S5993" i="98"/>
  <c r="R5993" i="98"/>
  <c r="V5992" i="98"/>
  <c r="T5992" i="98"/>
  <c r="U5992" i="98" s="1"/>
  <c r="S5992" i="98"/>
  <c r="R5992" i="98"/>
  <c r="V5991" i="98"/>
  <c r="T5991" i="98"/>
  <c r="U5991" i="98" s="1"/>
  <c r="S5991" i="98"/>
  <c r="R5991" i="98"/>
  <c r="V5990" i="98"/>
  <c r="T5990" i="98"/>
  <c r="U5990" i="98" s="1"/>
  <c r="S5990" i="98"/>
  <c r="R5990" i="98"/>
  <c r="V5989" i="98"/>
  <c r="T5989" i="98"/>
  <c r="U5989" i="98" s="1"/>
  <c r="S5989" i="98"/>
  <c r="R5989" i="98"/>
  <c r="V5988" i="98"/>
  <c r="T5988" i="98"/>
  <c r="U5988" i="98" s="1"/>
  <c r="S5988" i="98"/>
  <c r="R5988" i="98"/>
  <c r="V5987" i="98"/>
  <c r="T5987" i="98"/>
  <c r="U5987" i="98" s="1"/>
  <c r="S5987" i="98"/>
  <c r="R5987" i="98"/>
  <c r="V5986" i="98"/>
  <c r="T5986" i="98"/>
  <c r="U5986" i="98" s="1"/>
  <c r="S5986" i="98"/>
  <c r="R5986" i="98"/>
  <c r="V5985" i="98"/>
  <c r="T5985" i="98"/>
  <c r="U5985" i="98" s="1"/>
  <c r="S5985" i="98"/>
  <c r="R5985" i="98"/>
  <c r="V5984" i="98"/>
  <c r="T5984" i="98"/>
  <c r="U5984" i="98" s="1"/>
  <c r="S5984" i="98"/>
  <c r="R5984" i="98"/>
  <c r="V5983" i="98"/>
  <c r="T5983" i="98"/>
  <c r="U5983" i="98" s="1"/>
  <c r="S5983" i="98"/>
  <c r="R5983" i="98"/>
  <c r="V5982" i="98"/>
  <c r="T5982" i="98"/>
  <c r="U5982" i="98" s="1"/>
  <c r="S5982" i="98"/>
  <c r="R5982" i="98"/>
  <c r="V5981" i="98"/>
  <c r="T5981" i="98"/>
  <c r="U5981" i="98" s="1"/>
  <c r="S5981" i="98"/>
  <c r="R5981" i="98"/>
  <c r="V5980" i="98"/>
  <c r="T5980" i="98"/>
  <c r="U5980" i="98" s="1"/>
  <c r="S5980" i="98"/>
  <c r="R5980" i="98"/>
  <c r="V5979" i="98"/>
  <c r="T5979" i="98"/>
  <c r="U5979" i="98" s="1"/>
  <c r="S5979" i="98"/>
  <c r="R5979" i="98"/>
  <c r="V5978" i="98"/>
  <c r="T5978" i="98"/>
  <c r="U5978" i="98" s="1"/>
  <c r="S5978" i="98"/>
  <c r="R5978" i="98"/>
  <c r="V5977" i="98"/>
  <c r="T5977" i="98"/>
  <c r="U5977" i="98" s="1"/>
  <c r="S5977" i="98"/>
  <c r="R5977" i="98"/>
  <c r="V5976" i="98"/>
  <c r="T5976" i="98"/>
  <c r="U5976" i="98" s="1"/>
  <c r="S5976" i="98"/>
  <c r="R5976" i="98"/>
  <c r="V5975" i="98"/>
  <c r="T5975" i="98"/>
  <c r="U5975" i="98" s="1"/>
  <c r="S5975" i="98"/>
  <c r="R5975" i="98"/>
  <c r="V5974" i="98"/>
  <c r="T5974" i="98"/>
  <c r="U5974" i="98" s="1"/>
  <c r="S5974" i="98"/>
  <c r="R5974" i="98"/>
  <c r="V5973" i="98"/>
  <c r="T5973" i="98"/>
  <c r="U5973" i="98" s="1"/>
  <c r="S5973" i="98"/>
  <c r="R5973" i="98"/>
  <c r="V5972" i="98"/>
  <c r="T5972" i="98"/>
  <c r="U5972" i="98" s="1"/>
  <c r="S5972" i="98"/>
  <c r="R5972" i="98"/>
  <c r="V5971" i="98"/>
  <c r="T5971" i="98"/>
  <c r="U5971" i="98" s="1"/>
  <c r="S5971" i="98"/>
  <c r="R5971" i="98"/>
  <c r="V5970" i="98"/>
  <c r="T5970" i="98"/>
  <c r="U5970" i="98" s="1"/>
  <c r="S5970" i="98"/>
  <c r="R5970" i="98"/>
  <c r="V5969" i="98"/>
  <c r="T5969" i="98"/>
  <c r="U5969" i="98" s="1"/>
  <c r="S5969" i="98"/>
  <c r="R5969" i="98"/>
  <c r="V5968" i="98"/>
  <c r="T5968" i="98"/>
  <c r="U5968" i="98" s="1"/>
  <c r="S5968" i="98"/>
  <c r="R5968" i="98"/>
  <c r="V5967" i="98"/>
  <c r="T5967" i="98"/>
  <c r="U5967" i="98" s="1"/>
  <c r="S5967" i="98"/>
  <c r="R5967" i="98"/>
  <c r="V5966" i="98"/>
  <c r="T5966" i="98"/>
  <c r="U5966" i="98" s="1"/>
  <c r="S5966" i="98"/>
  <c r="R5966" i="98"/>
  <c r="V5965" i="98"/>
  <c r="T5965" i="98"/>
  <c r="U5965" i="98" s="1"/>
  <c r="S5965" i="98"/>
  <c r="R5965" i="98"/>
  <c r="V5964" i="98"/>
  <c r="T5964" i="98"/>
  <c r="U5964" i="98" s="1"/>
  <c r="S5964" i="98"/>
  <c r="R5964" i="98"/>
  <c r="V5963" i="98"/>
  <c r="T5963" i="98"/>
  <c r="U5963" i="98" s="1"/>
  <c r="S5963" i="98"/>
  <c r="R5963" i="98"/>
  <c r="V5962" i="98"/>
  <c r="T5962" i="98"/>
  <c r="U5962" i="98" s="1"/>
  <c r="S5962" i="98"/>
  <c r="R5962" i="98"/>
  <c r="V5961" i="98"/>
  <c r="T5961" i="98"/>
  <c r="U5961" i="98" s="1"/>
  <c r="S5961" i="98"/>
  <c r="R5961" i="98"/>
  <c r="V5960" i="98"/>
  <c r="T5960" i="98"/>
  <c r="U5960" i="98" s="1"/>
  <c r="S5960" i="98"/>
  <c r="R5960" i="98"/>
  <c r="V5959" i="98"/>
  <c r="T5959" i="98"/>
  <c r="U5959" i="98" s="1"/>
  <c r="S5959" i="98"/>
  <c r="R5959" i="98"/>
  <c r="V5958" i="98"/>
  <c r="T5958" i="98"/>
  <c r="U5958" i="98" s="1"/>
  <c r="S5958" i="98"/>
  <c r="R5958" i="98"/>
  <c r="V5957" i="98"/>
  <c r="T5957" i="98"/>
  <c r="U5957" i="98" s="1"/>
  <c r="S5957" i="98"/>
  <c r="R5957" i="98"/>
  <c r="V5956" i="98"/>
  <c r="T5956" i="98"/>
  <c r="U5956" i="98" s="1"/>
  <c r="S5956" i="98"/>
  <c r="R5956" i="98"/>
  <c r="V5955" i="98"/>
  <c r="T5955" i="98"/>
  <c r="U5955" i="98" s="1"/>
  <c r="S5955" i="98"/>
  <c r="R5955" i="98"/>
  <c r="V5954" i="98"/>
  <c r="T5954" i="98"/>
  <c r="U5954" i="98" s="1"/>
  <c r="S5954" i="98"/>
  <c r="R5954" i="98"/>
  <c r="V5953" i="98"/>
  <c r="T5953" i="98"/>
  <c r="U5953" i="98" s="1"/>
  <c r="S5953" i="98"/>
  <c r="R5953" i="98"/>
  <c r="V5952" i="98"/>
  <c r="T5952" i="98"/>
  <c r="U5952" i="98" s="1"/>
  <c r="S5952" i="98"/>
  <c r="R5952" i="98"/>
  <c r="V5951" i="98"/>
  <c r="T5951" i="98"/>
  <c r="U5951" i="98" s="1"/>
  <c r="S5951" i="98"/>
  <c r="R5951" i="98"/>
  <c r="V5950" i="98"/>
  <c r="T5950" i="98"/>
  <c r="U5950" i="98" s="1"/>
  <c r="S5950" i="98"/>
  <c r="R5950" i="98"/>
  <c r="V5949" i="98"/>
  <c r="T5949" i="98"/>
  <c r="U5949" i="98" s="1"/>
  <c r="S5949" i="98"/>
  <c r="R5949" i="98"/>
  <c r="V5948" i="98"/>
  <c r="T5948" i="98"/>
  <c r="U5948" i="98" s="1"/>
  <c r="S5948" i="98"/>
  <c r="R5948" i="98"/>
  <c r="V5947" i="98"/>
  <c r="T5947" i="98"/>
  <c r="U5947" i="98" s="1"/>
  <c r="S5947" i="98"/>
  <c r="R5947" i="98"/>
  <c r="V5946" i="98"/>
  <c r="T5946" i="98"/>
  <c r="U5946" i="98" s="1"/>
  <c r="S5946" i="98"/>
  <c r="R5946" i="98"/>
  <c r="V5945" i="98"/>
  <c r="T5945" i="98"/>
  <c r="U5945" i="98" s="1"/>
  <c r="S5945" i="98"/>
  <c r="R5945" i="98"/>
  <c r="V5944" i="98"/>
  <c r="T5944" i="98"/>
  <c r="U5944" i="98" s="1"/>
  <c r="S5944" i="98"/>
  <c r="R5944" i="98"/>
  <c r="V5943" i="98"/>
  <c r="T5943" i="98"/>
  <c r="U5943" i="98" s="1"/>
  <c r="S5943" i="98"/>
  <c r="R5943" i="98"/>
  <c r="V5942" i="98"/>
  <c r="T5942" i="98"/>
  <c r="U5942" i="98" s="1"/>
  <c r="S5942" i="98"/>
  <c r="R5942" i="98"/>
  <c r="V5941" i="98"/>
  <c r="T5941" i="98"/>
  <c r="U5941" i="98" s="1"/>
  <c r="S5941" i="98"/>
  <c r="R5941" i="98"/>
  <c r="V5940" i="98"/>
  <c r="T5940" i="98"/>
  <c r="U5940" i="98" s="1"/>
  <c r="S5940" i="98"/>
  <c r="R5940" i="98"/>
  <c r="V5939" i="98"/>
  <c r="T5939" i="98"/>
  <c r="U5939" i="98" s="1"/>
  <c r="S5939" i="98"/>
  <c r="R5939" i="98"/>
  <c r="V5938" i="98"/>
  <c r="T5938" i="98"/>
  <c r="U5938" i="98" s="1"/>
  <c r="S5938" i="98"/>
  <c r="R5938" i="98"/>
  <c r="V5937" i="98"/>
  <c r="T5937" i="98"/>
  <c r="U5937" i="98" s="1"/>
  <c r="S5937" i="98"/>
  <c r="R5937" i="98"/>
  <c r="V5936" i="98"/>
  <c r="T5936" i="98"/>
  <c r="U5936" i="98" s="1"/>
  <c r="S5936" i="98"/>
  <c r="R5936" i="98"/>
  <c r="V5935" i="98"/>
  <c r="T5935" i="98"/>
  <c r="U5935" i="98" s="1"/>
  <c r="S5935" i="98"/>
  <c r="R5935" i="98"/>
  <c r="V5934" i="98"/>
  <c r="T5934" i="98"/>
  <c r="U5934" i="98" s="1"/>
  <c r="S5934" i="98"/>
  <c r="R5934" i="98"/>
  <c r="V5933" i="98"/>
  <c r="T5933" i="98"/>
  <c r="U5933" i="98" s="1"/>
  <c r="S5933" i="98"/>
  <c r="R5933" i="98"/>
  <c r="V5932" i="98"/>
  <c r="T5932" i="98"/>
  <c r="U5932" i="98" s="1"/>
  <c r="S5932" i="98"/>
  <c r="R5932" i="98"/>
  <c r="V5931" i="98"/>
  <c r="T5931" i="98"/>
  <c r="U5931" i="98" s="1"/>
  <c r="S5931" i="98"/>
  <c r="R5931" i="98"/>
  <c r="V5930" i="98"/>
  <c r="T5930" i="98"/>
  <c r="U5930" i="98" s="1"/>
  <c r="S5930" i="98"/>
  <c r="R5930" i="98"/>
  <c r="V5929" i="98"/>
  <c r="T5929" i="98"/>
  <c r="U5929" i="98" s="1"/>
  <c r="S5929" i="98"/>
  <c r="R5929" i="98"/>
  <c r="V5928" i="98"/>
  <c r="T5928" i="98"/>
  <c r="U5928" i="98" s="1"/>
  <c r="S5928" i="98"/>
  <c r="R5928" i="98"/>
  <c r="V5927" i="98"/>
  <c r="T5927" i="98"/>
  <c r="U5927" i="98" s="1"/>
  <c r="S5927" i="98"/>
  <c r="R5927" i="98"/>
  <c r="V5926" i="98"/>
  <c r="T5926" i="98"/>
  <c r="U5926" i="98" s="1"/>
  <c r="S5926" i="98"/>
  <c r="R5926" i="98"/>
  <c r="V5925" i="98"/>
  <c r="T5925" i="98"/>
  <c r="U5925" i="98" s="1"/>
  <c r="S5925" i="98"/>
  <c r="R5925" i="98"/>
  <c r="V5924" i="98"/>
  <c r="T5924" i="98"/>
  <c r="U5924" i="98" s="1"/>
  <c r="S5924" i="98"/>
  <c r="R5924" i="98"/>
  <c r="V5923" i="98"/>
  <c r="T5923" i="98"/>
  <c r="U5923" i="98" s="1"/>
  <c r="S5923" i="98"/>
  <c r="R5923" i="98"/>
  <c r="V5922" i="98"/>
  <c r="T5922" i="98"/>
  <c r="U5922" i="98" s="1"/>
  <c r="S5922" i="98"/>
  <c r="R5922" i="98"/>
  <c r="V5921" i="98"/>
  <c r="T5921" i="98"/>
  <c r="U5921" i="98" s="1"/>
  <c r="S5921" i="98"/>
  <c r="R5921" i="98"/>
  <c r="V5920" i="98"/>
  <c r="T5920" i="98"/>
  <c r="U5920" i="98" s="1"/>
  <c r="S5920" i="98"/>
  <c r="R5920" i="98"/>
  <c r="V5919" i="98"/>
  <c r="T5919" i="98"/>
  <c r="U5919" i="98" s="1"/>
  <c r="S5919" i="98"/>
  <c r="R5919" i="98"/>
  <c r="V5918" i="98"/>
  <c r="T5918" i="98"/>
  <c r="U5918" i="98" s="1"/>
  <c r="S5918" i="98"/>
  <c r="R5918" i="98"/>
  <c r="V5917" i="98"/>
  <c r="T5917" i="98"/>
  <c r="U5917" i="98" s="1"/>
  <c r="S5917" i="98"/>
  <c r="R5917" i="98"/>
  <c r="V5916" i="98"/>
  <c r="T5916" i="98"/>
  <c r="U5916" i="98" s="1"/>
  <c r="S5916" i="98"/>
  <c r="R5916" i="98"/>
  <c r="V5915" i="98"/>
  <c r="T5915" i="98"/>
  <c r="U5915" i="98" s="1"/>
  <c r="S5915" i="98"/>
  <c r="R5915" i="98"/>
  <c r="V5914" i="98"/>
  <c r="T5914" i="98"/>
  <c r="U5914" i="98" s="1"/>
  <c r="S5914" i="98"/>
  <c r="R5914" i="98"/>
  <c r="V5913" i="98"/>
  <c r="T5913" i="98"/>
  <c r="U5913" i="98" s="1"/>
  <c r="S5913" i="98"/>
  <c r="R5913" i="98"/>
  <c r="V5912" i="98"/>
  <c r="T5912" i="98"/>
  <c r="U5912" i="98" s="1"/>
  <c r="S5912" i="98"/>
  <c r="R5912" i="98"/>
  <c r="V5911" i="98"/>
  <c r="T5911" i="98"/>
  <c r="U5911" i="98" s="1"/>
  <c r="S5911" i="98"/>
  <c r="R5911" i="98"/>
  <c r="V5910" i="98"/>
  <c r="T5910" i="98"/>
  <c r="U5910" i="98" s="1"/>
  <c r="S5910" i="98"/>
  <c r="R5910" i="98"/>
  <c r="V5909" i="98"/>
  <c r="T5909" i="98"/>
  <c r="U5909" i="98" s="1"/>
  <c r="S5909" i="98"/>
  <c r="R5909" i="98"/>
  <c r="V5908" i="98"/>
  <c r="T5908" i="98"/>
  <c r="U5908" i="98" s="1"/>
  <c r="S5908" i="98"/>
  <c r="R5908" i="98"/>
  <c r="V5907" i="98"/>
  <c r="T5907" i="98"/>
  <c r="U5907" i="98" s="1"/>
  <c r="S5907" i="98"/>
  <c r="R5907" i="98"/>
  <c r="V5906" i="98"/>
  <c r="T5906" i="98"/>
  <c r="U5906" i="98" s="1"/>
  <c r="S5906" i="98"/>
  <c r="R5906" i="98"/>
  <c r="V5905" i="98"/>
  <c r="T5905" i="98"/>
  <c r="U5905" i="98" s="1"/>
  <c r="S5905" i="98"/>
  <c r="R5905" i="98"/>
  <c r="V5904" i="98"/>
  <c r="T5904" i="98"/>
  <c r="U5904" i="98" s="1"/>
  <c r="S5904" i="98"/>
  <c r="R5904" i="98"/>
  <c r="V5903" i="98"/>
  <c r="T5903" i="98"/>
  <c r="U5903" i="98" s="1"/>
  <c r="S5903" i="98"/>
  <c r="R5903" i="98"/>
  <c r="V5902" i="98"/>
  <c r="T5902" i="98"/>
  <c r="U5902" i="98" s="1"/>
  <c r="S5902" i="98"/>
  <c r="R5902" i="98"/>
  <c r="V5901" i="98"/>
  <c r="T5901" i="98"/>
  <c r="U5901" i="98" s="1"/>
  <c r="S5901" i="98"/>
  <c r="R5901" i="98"/>
  <c r="V5900" i="98"/>
  <c r="T5900" i="98"/>
  <c r="U5900" i="98" s="1"/>
  <c r="S5900" i="98"/>
  <c r="R5900" i="98"/>
  <c r="V5899" i="98"/>
  <c r="T5899" i="98"/>
  <c r="U5899" i="98" s="1"/>
  <c r="S5899" i="98"/>
  <c r="R5899" i="98"/>
  <c r="V5898" i="98"/>
  <c r="T5898" i="98"/>
  <c r="U5898" i="98" s="1"/>
  <c r="S5898" i="98"/>
  <c r="R5898" i="98"/>
  <c r="V5897" i="98"/>
  <c r="T5897" i="98"/>
  <c r="U5897" i="98" s="1"/>
  <c r="S5897" i="98"/>
  <c r="R5897" i="98"/>
  <c r="V5896" i="98"/>
  <c r="T5896" i="98"/>
  <c r="U5896" i="98" s="1"/>
  <c r="S5896" i="98"/>
  <c r="R5896" i="98"/>
  <c r="V5895" i="98"/>
  <c r="T5895" i="98"/>
  <c r="U5895" i="98" s="1"/>
  <c r="S5895" i="98"/>
  <c r="R5895" i="98"/>
  <c r="V5894" i="98"/>
  <c r="T5894" i="98"/>
  <c r="U5894" i="98" s="1"/>
  <c r="S5894" i="98"/>
  <c r="R5894" i="98"/>
  <c r="V5893" i="98"/>
  <c r="T5893" i="98"/>
  <c r="U5893" i="98" s="1"/>
  <c r="S5893" i="98"/>
  <c r="R5893" i="98"/>
  <c r="V5892" i="98"/>
  <c r="T5892" i="98"/>
  <c r="U5892" i="98" s="1"/>
  <c r="S5892" i="98"/>
  <c r="R5892" i="98"/>
  <c r="V5891" i="98"/>
  <c r="T5891" i="98"/>
  <c r="U5891" i="98" s="1"/>
  <c r="S5891" i="98"/>
  <c r="R5891" i="98"/>
  <c r="V5890" i="98"/>
  <c r="T5890" i="98"/>
  <c r="U5890" i="98" s="1"/>
  <c r="S5890" i="98"/>
  <c r="R5890" i="98"/>
  <c r="V5889" i="98"/>
  <c r="T5889" i="98"/>
  <c r="U5889" i="98" s="1"/>
  <c r="S5889" i="98"/>
  <c r="R5889" i="98"/>
  <c r="V5888" i="98"/>
  <c r="T5888" i="98"/>
  <c r="U5888" i="98" s="1"/>
  <c r="S5888" i="98"/>
  <c r="R5888" i="98"/>
  <c r="V5887" i="98"/>
  <c r="T5887" i="98"/>
  <c r="U5887" i="98" s="1"/>
  <c r="S5887" i="98"/>
  <c r="R5887" i="98"/>
  <c r="V5886" i="98"/>
  <c r="T5886" i="98"/>
  <c r="U5886" i="98" s="1"/>
  <c r="S5886" i="98"/>
  <c r="R5886" i="98"/>
  <c r="V5885" i="98"/>
  <c r="T5885" i="98"/>
  <c r="U5885" i="98" s="1"/>
  <c r="S5885" i="98"/>
  <c r="R5885" i="98"/>
  <c r="V5884" i="98"/>
  <c r="T5884" i="98"/>
  <c r="U5884" i="98" s="1"/>
  <c r="S5884" i="98"/>
  <c r="R5884" i="98"/>
  <c r="V5883" i="98"/>
  <c r="T5883" i="98"/>
  <c r="U5883" i="98" s="1"/>
  <c r="S5883" i="98"/>
  <c r="R5883" i="98"/>
  <c r="V5882" i="98"/>
  <c r="T5882" i="98"/>
  <c r="U5882" i="98" s="1"/>
  <c r="S5882" i="98"/>
  <c r="R5882" i="98"/>
  <c r="V5881" i="98"/>
  <c r="T5881" i="98"/>
  <c r="U5881" i="98" s="1"/>
  <c r="S5881" i="98"/>
  <c r="R5881" i="98"/>
  <c r="V5880" i="98"/>
  <c r="T5880" i="98"/>
  <c r="U5880" i="98" s="1"/>
  <c r="S5880" i="98"/>
  <c r="R5880" i="98"/>
  <c r="V5879" i="98"/>
  <c r="T5879" i="98"/>
  <c r="U5879" i="98" s="1"/>
  <c r="S5879" i="98"/>
  <c r="R5879" i="98"/>
  <c r="V5878" i="98"/>
  <c r="T5878" i="98"/>
  <c r="U5878" i="98" s="1"/>
  <c r="S5878" i="98"/>
  <c r="R5878" i="98"/>
  <c r="V5877" i="98"/>
  <c r="T5877" i="98"/>
  <c r="U5877" i="98" s="1"/>
  <c r="S5877" i="98"/>
  <c r="R5877" i="98"/>
  <c r="V5876" i="98"/>
  <c r="T5876" i="98"/>
  <c r="U5876" i="98" s="1"/>
  <c r="S5876" i="98"/>
  <c r="R5876" i="98"/>
  <c r="V5875" i="98"/>
  <c r="T5875" i="98"/>
  <c r="U5875" i="98" s="1"/>
  <c r="S5875" i="98"/>
  <c r="R5875" i="98"/>
  <c r="V5874" i="98"/>
  <c r="T5874" i="98"/>
  <c r="U5874" i="98" s="1"/>
  <c r="S5874" i="98"/>
  <c r="R5874" i="98"/>
  <c r="V5873" i="98"/>
  <c r="T5873" i="98"/>
  <c r="U5873" i="98" s="1"/>
  <c r="S5873" i="98"/>
  <c r="R5873" i="98"/>
  <c r="V5872" i="98"/>
  <c r="T5872" i="98"/>
  <c r="U5872" i="98" s="1"/>
  <c r="S5872" i="98"/>
  <c r="R5872" i="98"/>
  <c r="V5871" i="98"/>
  <c r="T5871" i="98"/>
  <c r="U5871" i="98" s="1"/>
  <c r="S5871" i="98"/>
  <c r="R5871" i="98"/>
  <c r="V5870" i="98"/>
  <c r="T5870" i="98"/>
  <c r="U5870" i="98" s="1"/>
  <c r="S5870" i="98"/>
  <c r="R5870" i="98"/>
  <c r="V5869" i="98"/>
  <c r="T5869" i="98"/>
  <c r="U5869" i="98" s="1"/>
  <c r="S5869" i="98"/>
  <c r="R5869" i="98"/>
  <c r="V5868" i="98"/>
  <c r="T5868" i="98"/>
  <c r="U5868" i="98" s="1"/>
  <c r="S5868" i="98"/>
  <c r="R5868" i="98"/>
  <c r="V5867" i="98"/>
  <c r="T5867" i="98"/>
  <c r="U5867" i="98" s="1"/>
  <c r="S5867" i="98"/>
  <c r="R5867" i="98"/>
  <c r="V5866" i="98"/>
  <c r="T5866" i="98"/>
  <c r="U5866" i="98" s="1"/>
  <c r="S5866" i="98"/>
  <c r="R5866" i="98"/>
  <c r="V5865" i="98"/>
  <c r="T5865" i="98"/>
  <c r="U5865" i="98" s="1"/>
  <c r="S5865" i="98"/>
  <c r="R5865" i="98"/>
  <c r="V5864" i="98"/>
  <c r="T5864" i="98"/>
  <c r="U5864" i="98" s="1"/>
  <c r="S5864" i="98"/>
  <c r="R5864" i="98"/>
  <c r="V5863" i="98"/>
  <c r="T5863" i="98"/>
  <c r="U5863" i="98" s="1"/>
  <c r="S5863" i="98"/>
  <c r="R5863" i="98"/>
  <c r="V5862" i="98"/>
  <c r="T5862" i="98"/>
  <c r="U5862" i="98" s="1"/>
  <c r="S5862" i="98"/>
  <c r="R5862" i="98"/>
  <c r="V5861" i="98"/>
  <c r="T5861" i="98"/>
  <c r="U5861" i="98" s="1"/>
  <c r="S5861" i="98"/>
  <c r="R5861" i="98"/>
  <c r="V5860" i="98"/>
  <c r="T5860" i="98"/>
  <c r="U5860" i="98" s="1"/>
  <c r="S5860" i="98"/>
  <c r="R5860" i="98"/>
  <c r="V5859" i="98"/>
  <c r="T5859" i="98"/>
  <c r="U5859" i="98" s="1"/>
  <c r="S5859" i="98"/>
  <c r="R5859" i="98"/>
  <c r="V5858" i="98"/>
  <c r="T5858" i="98"/>
  <c r="U5858" i="98" s="1"/>
  <c r="S5858" i="98"/>
  <c r="R5858" i="98"/>
  <c r="V5857" i="98"/>
  <c r="T5857" i="98"/>
  <c r="U5857" i="98" s="1"/>
  <c r="S5857" i="98"/>
  <c r="R5857" i="98"/>
  <c r="V5856" i="98"/>
  <c r="T5856" i="98"/>
  <c r="U5856" i="98" s="1"/>
  <c r="S5856" i="98"/>
  <c r="R5856" i="98"/>
  <c r="V5855" i="98"/>
  <c r="T5855" i="98"/>
  <c r="U5855" i="98" s="1"/>
  <c r="S5855" i="98"/>
  <c r="R5855" i="98"/>
  <c r="V5854" i="98"/>
  <c r="T5854" i="98"/>
  <c r="U5854" i="98" s="1"/>
  <c r="S5854" i="98"/>
  <c r="R5854" i="98"/>
  <c r="V5853" i="98"/>
  <c r="T5853" i="98"/>
  <c r="U5853" i="98" s="1"/>
  <c r="S5853" i="98"/>
  <c r="R5853" i="98"/>
  <c r="V5852" i="98"/>
  <c r="T5852" i="98"/>
  <c r="U5852" i="98" s="1"/>
  <c r="S5852" i="98"/>
  <c r="R5852" i="98"/>
  <c r="V5851" i="98"/>
  <c r="T5851" i="98"/>
  <c r="U5851" i="98" s="1"/>
  <c r="S5851" i="98"/>
  <c r="R5851" i="98"/>
  <c r="V5850" i="98"/>
  <c r="T5850" i="98"/>
  <c r="U5850" i="98" s="1"/>
  <c r="S5850" i="98"/>
  <c r="R5850" i="98"/>
  <c r="V5849" i="98"/>
  <c r="T5849" i="98"/>
  <c r="U5849" i="98" s="1"/>
  <c r="S5849" i="98"/>
  <c r="R5849" i="98"/>
  <c r="V5848" i="98"/>
  <c r="T5848" i="98"/>
  <c r="U5848" i="98" s="1"/>
  <c r="S5848" i="98"/>
  <c r="R5848" i="98"/>
  <c r="V5847" i="98"/>
  <c r="T5847" i="98"/>
  <c r="U5847" i="98" s="1"/>
  <c r="S5847" i="98"/>
  <c r="R5847" i="98"/>
  <c r="V5846" i="98"/>
  <c r="T5846" i="98"/>
  <c r="U5846" i="98" s="1"/>
  <c r="S5846" i="98"/>
  <c r="R5846" i="98"/>
  <c r="V5845" i="98"/>
  <c r="T5845" i="98"/>
  <c r="U5845" i="98" s="1"/>
  <c r="S5845" i="98"/>
  <c r="R5845" i="98"/>
  <c r="V5844" i="98"/>
  <c r="T5844" i="98"/>
  <c r="U5844" i="98" s="1"/>
  <c r="S5844" i="98"/>
  <c r="R5844" i="98"/>
  <c r="V5843" i="98"/>
  <c r="T5843" i="98"/>
  <c r="U5843" i="98" s="1"/>
  <c r="S5843" i="98"/>
  <c r="R5843" i="98"/>
  <c r="V5842" i="98"/>
  <c r="T5842" i="98"/>
  <c r="U5842" i="98" s="1"/>
  <c r="S5842" i="98"/>
  <c r="R5842" i="98"/>
  <c r="V5841" i="98"/>
  <c r="T5841" i="98"/>
  <c r="U5841" i="98" s="1"/>
  <c r="S5841" i="98"/>
  <c r="R5841" i="98"/>
  <c r="V5840" i="98"/>
  <c r="T5840" i="98"/>
  <c r="U5840" i="98" s="1"/>
  <c r="S5840" i="98"/>
  <c r="R5840" i="98"/>
  <c r="V5839" i="98"/>
  <c r="T5839" i="98"/>
  <c r="U5839" i="98" s="1"/>
  <c r="S5839" i="98"/>
  <c r="R5839" i="98"/>
  <c r="V5838" i="98"/>
  <c r="T5838" i="98"/>
  <c r="U5838" i="98" s="1"/>
  <c r="S5838" i="98"/>
  <c r="R5838" i="98"/>
  <c r="V5837" i="98"/>
  <c r="T5837" i="98"/>
  <c r="U5837" i="98" s="1"/>
  <c r="S5837" i="98"/>
  <c r="R5837" i="98"/>
  <c r="V5836" i="98"/>
  <c r="T5836" i="98"/>
  <c r="U5836" i="98" s="1"/>
  <c r="S5836" i="98"/>
  <c r="R5836" i="98"/>
  <c r="V5835" i="98"/>
  <c r="T5835" i="98"/>
  <c r="U5835" i="98" s="1"/>
  <c r="S5835" i="98"/>
  <c r="R5835" i="98"/>
  <c r="V5834" i="98"/>
  <c r="T5834" i="98"/>
  <c r="U5834" i="98" s="1"/>
  <c r="S5834" i="98"/>
  <c r="R5834" i="98"/>
  <c r="V5833" i="98"/>
  <c r="T5833" i="98"/>
  <c r="U5833" i="98" s="1"/>
  <c r="S5833" i="98"/>
  <c r="R5833" i="98"/>
  <c r="V5832" i="98"/>
  <c r="T5832" i="98"/>
  <c r="U5832" i="98" s="1"/>
  <c r="S5832" i="98"/>
  <c r="R5832" i="98"/>
  <c r="V5831" i="98"/>
  <c r="T5831" i="98"/>
  <c r="U5831" i="98" s="1"/>
  <c r="S5831" i="98"/>
  <c r="R5831" i="98"/>
  <c r="V5830" i="98"/>
  <c r="T5830" i="98"/>
  <c r="U5830" i="98" s="1"/>
  <c r="S5830" i="98"/>
  <c r="R5830" i="98"/>
  <c r="V5829" i="98"/>
  <c r="T5829" i="98"/>
  <c r="U5829" i="98" s="1"/>
  <c r="S5829" i="98"/>
  <c r="R5829" i="98"/>
  <c r="V5828" i="98"/>
  <c r="T5828" i="98"/>
  <c r="U5828" i="98" s="1"/>
  <c r="S5828" i="98"/>
  <c r="R5828" i="98"/>
  <c r="V5827" i="98"/>
  <c r="T5827" i="98"/>
  <c r="U5827" i="98" s="1"/>
  <c r="S5827" i="98"/>
  <c r="R5827" i="98"/>
  <c r="V5826" i="98"/>
  <c r="T5826" i="98"/>
  <c r="U5826" i="98" s="1"/>
  <c r="S5826" i="98"/>
  <c r="R5826" i="98"/>
  <c r="V5825" i="98"/>
  <c r="T5825" i="98"/>
  <c r="U5825" i="98" s="1"/>
  <c r="S5825" i="98"/>
  <c r="R5825" i="98"/>
  <c r="V5824" i="98"/>
  <c r="T5824" i="98"/>
  <c r="U5824" i="98" s="1"/>
  <c r="S5824" i="98"/>
  <c r="R5824" i="98"/>
  <c r="V5823" i="98"/>
  <c r="T5823" i="98"/>
  <c r="U5823" i="98" s="1"/>
  <c r="S5823" i="98"/>
  <c r="R5823" i="98"/>
  <c r="V5822" i="98"/>
  <c r="T5822" i="98"/>
  <c r="U5822" i="98" s="1"/>
  <c r="S5822" i="98"/>
  <c r="R5822" i="98"/>
  <c r="V5821" i="98"/>
  <c r="T5821" i="98"/>
  <c r="U5821" i="98" s="1"/>
  <c r="S5821" i="98"/>
  <c r="R5821" i="98"/>
  <c r="V5820" i="98"/>
  <c r="T5820" i="98"/>
  <c r="U5820" i="98" s="1"/>
  <c r="S5820" i="98"/>
  <c r="R5820" i="98"/>
  <c r="V5819" i="98"/>
  <c r="T5819" i="98"/>
  <c r="U5819" i="98" s="1"/>
  <c r="S5819" i="98"/>
  <c r="R5819" i="98"/>
  <c r="V5818" i="98"/>
  <c r="T5818" i="98"/>
  <c r="U5818" i="98" s="1"/>
  <c r="S5818" i="98"/>
  <c r="R5818" i="98"/>
  <c r="V5817" i="98"/>
  <c r="T5817" i="98"/>
  <c r="U5817" i="98" s="1"/>
  <c r="S5817" i="98"/>
  <c r="R5817" i="98"/>
  <c r="V5816" i="98"/>
  <c r="T5816" i="98"/>
  <c r="U5816" i="98" s="1"/>
  <c r="S5816" i="98"/>
  <c r="R5816" i="98"/>
  <c r="V5815" i="98"/>
  <c r="T5815" i="98"/>
  <c r="U5815" i="98" s="1"/>
  <c r="S5815" i="98"/>
  <c r="R5815" i="98"/>
  <c r="V5814" i="98"/>
  <c r="T5814" i="98"/>
  <c r="U5814" i="98" s="1"/>
  <c r="S5814" i="98"/>
  <c r="R5814" i="98"/>
  <c r="V5813" i="98"/>
  <c r="T5813" i="98"/>
  <c r="U5813" i="98" s="1"/>
  <c r="S5813" i="98"/>
  <c r="R5813" i="98"/>
  <c r="V5812" i="98"/>
  <c r="T5812" i="98"/>
  <c r="U5812" i="98" s="1"/>
  <c r="S5812" i="98"/>
  <c r="R5812" i="98"/>
  <c r="V5811" i="98"/>
  <c r="T5811" i="98"/>
  <c r="U5811" i="98" s="1"/>
  <c r="S5811" i="98"/>
  <c r="R5811" i="98"/>
  <c r="V5810" i="98"/>
  <c r="T5810" i="98"/>
  <c r="U5810" i="98" s="1"/>
  <c r="S5810" i="98"/>
  <c r="R5810" i="98"/>
  <c r="V5809" i="98"/>
  <c r="T5809" i="98"/>
  <c r="U5809" i="98" s="1"/>
  <c r="S5809" i="98"/>
  <c r="R5809" i="98"/>
  <c r="V5808" i="98"/>
  <c r="T5808" i="98"/>
  <c r="U5808" i="98" s="1"/>
  <c r="S5808" i="98"/>
  <c r="R5808" i="98"/>
  <c r="V5807" i="98"/>
  <c r="T5807" i="98"/>
  <c r="U5807" i="98" s="1"/>
  <c r="S5807" i="98"/>
  <c r="R5807" i="98"/>
  <c r="V5806" i="98"/>
  <c r="T5806" i="98"/>
  <c r="U5806" i="98" s="1"/>
  <c r="S5806" i="98"/>
  <c r="R5806" i="98"/>
  <c r="V5805" i="98"/>
  <c r="T5805" i="98"/>
  <c r="U5805" i="98" s="1"/>
  <c r="S5805" i="98"/>
  <c r="R5805" i="98"/>
  <c r="V5804" i="98"/>
  <c r="T5804" i="98"/>
  <c r="U5804" i="98" s="1"/>
  <c r="S5804" i="98"/>
  <c r="R5804" i="98"/>
  <c r="V5803" i="98"/>
  <c r="T5803" i="98"/>
  <c r="U5803" i="98" s="1"/>
  <c r="S5803" i="98"/>
  <c r="R5803" i="98"/>
  <c r="V5802" i="98"/>
  <c r="T5802" i="98"/>
  <c r="U5802" i="98" s="1"/>
  <c r="S5802" i="98"/>
  <c r="R5802" i="98"/>
  <c r="V5801" i="98"/>
  <c r="T5801" i="98"/>
  <c r="U5801" i="98" s="1"/>
  <c r="S5801" i="98"/>
  <c r="R5801" i="98"/>
  <c r="V5800" i="98"/>
  <c r="T5800" i="98"/>
  <c r="U5800" i="98" s="1"/>
  <c r="S5800" i="98"/>
  <c r="R5800" i="98"/>
  <c r="V5799" i="98"/>
  <c r="T5799" i="98"/>
  <c r="U5799" i="98" s="1"/>
  <c r="S5799" i="98"/>
  <c r="R5799" i="98"/>
  <c r="V5798" i="98"/>
  <c r="T5798" i="98"/>
  <c r="U5798" i="98" s="1"/>
  <c r="S5798" i="98"/>
  <c r="R5798" i="98"/>
  <c r="V5797" i="98"/>
  <c r="T5797" i="98"/>
  <c r="U5797" i="98" s="1"/>
  <c r="S5797" i="98"/>
  <c r="R5797" i="98"/>
  <c r="V5796" i="98"/>
  <c r="T5796" i="98"/>
  <c r="U5796" i="98" s="1"/>
  <c r="S5796" i="98"/>
  <c r="R5796" i="98"/>
  <c r="V5795" i="98"/>
  <c r="T5795" i="98"/>
  <c r="U5795" i="98" s="1"/>
  <c r="S5795" i="98"/>
  <c r="R5795" i="98"/>
  <c r="V5794" i="98"/>
  <c r="T5794" i="98"/>
  <c r="U5794" i="98" s="1"/>
  <c r="S5794" i="98"/>
  <c r="R5794" i="98"/>
  <c r="V5793" i="98"/>
  <c r="T5793" i="98"/>
  <c r="U5793" i="98" s="1"/>
  <c r="S5793" i="98"/>
  <c r="R5793" i="98"/>
  <c r="V5792" i="98"/>
  <c r="T5792" i="98"/>
  <c r="U5792" i="98" s="1"/>
  <c r="S5792" i="98"/>
  <c r="R5792" i="98"/>
  <c r="V5791" i="98"/>
  <c r="T5791" i="98"/>
  <c r="U5791" i="98" s="1"/>
  <c r="S5791" i="98"/>
  <c r="R5791" i="98"/>
  <c r="V5790" i="98"/>
  <c r="T5790" i="98"/>
  <c r="U5790" i="98" s="1"/>
  <c r="S5790" i="98"/>
  <c r="R5790" i="98"/>
  <c r="V5789" i="98"/>
  <c r="T5789" i="98"/>
  <c r="U5789" i="98" s="1"/>
  <c r="S5789" i="98"/>
  <c r="R5789" i="98"/>
  <c r="V5788" i="98"/>
  <c r="T5788" i="98"/>
  <c r="U5788" i="98" s="1"/>
  <c r="S5788" i="98"/>
  <c r="R5788" i="98"/>
  <c r="V5787" i="98"/>
  <c r="T5787" i="98"/>
  <c r="U5787" i="98" s="1"/>
  <c r="S5787" i="98"/>
  <c r="R5787" i="98"/>
  <c r="V5786" i="98"/>
  <c r="T5786" i="98"/>
  <c r="U5786" i="98" s="1"/>
  <c r="S5786" i="98"/>
  <c r="R5786" i="98"/>
  <c r="V5785" i="98"/>
  <c r="T5785" i="98"/>
  <c r="U5785" i="98" s="1"/>
  <c r="S5785" i="98"/>
  <c r="R5785" i="98"/>
  <c r="V5784" i="98"/>
  <c r="T5784" i="98"/>
  <c r="U5784" i="98" s="1"/>
  <c r="S5784" i="98"/>
  <c r="R5784" i="98"/>
  <c r="V5783" i="98"/>
  <c r="T5783" i="98"/>
  <c r="U5783" i="98" s="1"/>
  <c r="S5783" i="98"/>
  <c r="R5783" i="98"/>
  <c r="V5782" i="98"/>
  <c r="T5782" i="98"/>
  <c r="U5782" i="98" s="1"/>
  <c r="S5782" i="98"/>
  <c r="R5782" i="98"/>
  <c r="V5781" i="98"/>
  <c r="T5781" i="98"/>
  <c r="U5781" i="98" s="1"/>
  <c r="S5781" i="98"/>
  <c r="R5781" i="98"/>
  <c r="V5780" i="98"/>
  <c r="T5780" i="98"/>
  <c r="U5780" i="98" s="1"/>
  <c r="S5780" i="98"/>
  <c r="R5780" i="98"/>
  <c r="V5779" i="98"/>
  <c r="T5779" i="98"/>
  <c r="U5779" i="98" s="1"/>
  <c r="S5779" i="98"/>
  <c r="R5779" i="98"/>
  <c r="V5778" i="98"/>
  <c r="T5778" i="98"/>
  <c r="U5778" i="98" s="1"/>
  <c r="S5778" i="98"/>
  <c r="R5778" i="98"/>
  <c r="V5777" i="98"/>
  <c r="T5777" i="98"/>
  <c r="U5777" i="98" s="1"/>
  <c r="S5777" i="98"/>
  <c r="R5777" i="98"/>
  <c r="V5776" i="98"/>
  <c r="T5776" i="98"/>
  <c r="U5776" i="98" s="1"/>
  <c r="S5776" i="98"/>
  <c r="R5776" i="98"/>
  <c r="V5775" i="98"/>
  <c r="T5775" i="98"/>
  <c r="U5775" i="98" s="1"/>
  <c r="S5775" i="98"/>
  <c r="R5775" i="98"/>
  <c r="V5774" i="98"/>
  <c r="T5774" i="98"/>
  <c r="U5774" i="98" s="1"/>
  <c r="S5774" i="98"/>
  <c r="R5774" i="98"/>
  <c r="V5773" i="98"/>
  <c r="T5773" i="98"/>
  <c r="U5773" i="98" s="1"/>
  <c r="S5773" i="98"/>
  <c r="R5773" i="98"/>
  <c r="V5772" i="98"/>
  <c r="T5772" i="98"/>
  <c r="U5772" i="98" s="1"/>
  <c r="S5772" i="98"/>
  <c r="R5772" i="98"/>
  <c r="V5771" i="98"/>
  <c r="T5771" i="98"/>
  <c r="U5771" i="98" s="1"/>
  <c r="S5771" i="98"/>
  <c r="R5771" i="98"/>
  <c r="V5770" i="98"/>
  <c r="T5770" i="98"/>
  <c r="U5770" i="98" s="1"/>
  <c r="S5770" i="98"/>
  <c r="R5770" i="98"/>
  <c r="V5769" i="98"/>
  <c r="T5769" i="98"/>
  <c r="U5769" i="98" s="1"/>
  <c r="S5769" i="98"/>
  <c r="R5769" i="98"/>
  <c r="V5768" i="98"/>
  <c r="T5768" i="98"/>
  <c r="U5768" i="98" s="1"/>
  <c r="S5768" i="98"/>
  <c r="R5768" i="98"/>
  <c r="V5767" i="98"/>
  <c r="T5767" i="98"/>
  <c r="U5767" i="98" s="1"/>
  <c r="S5767" i="98"/>
  <c r="R5767" i="98"/>
  <c r="V5766" i="98"/>
  <c r="T5766" i="98"/>
  <c r="U5766" i="98" s="1"/>
  <c r="S5766" i="98"/>
  <c r="R5766" i="98"/>
  <c r="V5765" i="98"/>
  <c r="T5765" i="98"/>
  <c r="U5765" i="98" s="1"/>
  <c r="S5765" i="98"/>
  <c r="R5765" i="98"/>
  <c r="V5764" i="98"/>
  <c r="T5764" i="98"/>
  <c r="U5764" i="98" s="1"/>
  <c r="S5764" i="98"/>
  <c r="R5764" i="98"/>
  <c r="V5763" i="98"/>
  <c r="T5763" i="98"/>
  <c r="U5763" i="98" s="1"/>
  <c r="S5763" i="98"/>
  <c r="R5763" i="98"/>
  <c r="V5762" i="98"/>
  <c r="T5762" i="98"/>
  <c r="U5762" i="98" s="1"/>
  <c r="S5762" i="98"/>
  <c r="R5762" i="98"/>
  <c r="V5761" i="98"/>
  <c r="T5761" i="98"/>
  <c r="U5761" i="98" s="1"/>
  <c r="S5761" i="98"/>
  <c r="R5761" i="98"/>
  <c r="V5760" i="98"/>
  <c r="T5760" i="98"/>
  <c r="U5760" i="98" s="1"/>
  <c r="S5760" i="98"/>
  <c r="R5760" i="98"/>
  <c r="V5759" i="98"/>
  <c r="T5759" i="98"/>
  <c r="U5759" i="98" s="1"/>
  <c r="S5759" i="98"/>
  <c r="R5759" i="98"/>
  <c r="V5758" i="98"/>
  <c r="T5758" i="98"/>
  <c r="U5758" i="98" s="1"/>
  <c r="S5758" i="98"/>
  <c r="R5758" i="98"/>
  <c r="V5757" i="98"/>
  <c r="T5757" i="98"/>
  <c r="U5757" i="98" s="1"/>
  <c r="S5757" i="98"/>
  <c r="R5757" i="98"/>
  <c r="V5756" i="98"/>
  <c r="T5756" i="98"/>
  <c r="U5756" i="98" s="1"/>
  <c r="S5756" i="98"/>
  <c r="R5756" i="98"/>
  <c r="V5755" i="98"/>
  <c r="T5755" i="98"/>
  <c r="U5755" i="98" s="1"/>
  <c r="S5755" i="98"/>
  <c r="R5755" i="98"/>
  <c r="V5754" i="98"/>
  <c r="T5754" i="98"/>
  <c r="S5754" i="98"/>
  <c r="R5754" i="98"/>
  <c r="V5753" i="98"/>
  <c r="T5753" i="98"/>
  <c r="U5753" i="98" s="1"/>
  <c r="S5753" i="98"/>
  <c r="R5753" i="98"/>
  <c r="V5752" i="98"/>
  <c r="T5752" i="98"/>
  <c r="U5752" i="98" s="1"/>
  <c r="S5752" i="98"/>
  <c r="R5752" i="98"/>
  <c r="V5751" i="98"/>
  <c r="T5751" i="98"/>
  <c r="U5751" i="98" s="1"/>
  <c r="S5751" i="98"/>
  <c r="R5751" i="98"/>
  <c r="V5750" i="98"/>
  <c r="T5750" i="98"/>
  <c r="U5750" i="98" s="1"/>
  <c r="S5750" i="98"/>
  <c r="R5750" i="98"/>
  <c r="V5749" i="98"/>
  <c r="T5749" i="98"/>
  <c r="U5749" i="98" s="1"/>
  <c r="S5749" i="98"/>
  <c r="R5749" i="98"/>
  <c r="V5748" i="98"/>
  <c r="T5748" i="98"/>
  <c r="U5748" i="98" s="1"/>
  <c r="S5748" i="98"/>
  <c r="R5748" i="98"/>
  <c r="V5747" i="98"/>
  <c r="T5747" i="98"/>
  <c r="U5747" i="98" s="1"/>
  <c r="S5747" i="98"/>
  <c r="R5747" i="98"/>
  <c r="V5746" i="98"/>
  <c r="T5746" i="98"/>
  <c r="U5746" i="98" s="1"/>
  <c r="S5746" i="98"/>
  <c r="R5746" i="98"/>
  <c r="V5745" i="98"/>
  <c r="T5745" i="98"/>
  <c r="U5745" i="98" s="1"/>
  <c r="S5745" i="98"/>
  <c r="R5745" i="98"/>
  <c r="V5744" i="98"/>
  <c r="T5744" i="98"/>
  <c r="U5744" i="98" s="1"/>
  <c r="S5744" i="98"/>
  <c r="R5744" i="98"/>
  <c r="V5743" i="98"/>
  <c r="T5743" i="98"/>
  <c r="U5743" i="98" s="1"/>
  <c r="S5743" i="98"/>
  <c r="R5743" i="98"/>
  <c r="V5742" i="98"/>
  <c r="T5742" i="98"/>
  <c r="U5742" i="98" s="1"/>
  <c r="S5742" i="98"/>
  <c r="R5742" i="98"/>
  <c r="V5741" i="98"/>
  <c r="T5741" i="98"/>
  <c r="U5741" i="98" s="1"/>
  <c r="S5741" i="98"/>
  <c r="R5741" i="98"/>
  <c r="V5740" i="98"/>
  <c r="T5740" i="98"/>
  <c r="U5740" i="98" s="1"/>
  <c r="S5740" i="98"/>
  <c r="R5740" i="98"/>
  <c r="V5739" i="98"/>
  <c r="T5739" i="98"/>
  <c r="U5739" i="98" s="1"/>
  <c r="S5739" i="98"/>
  <c r="R5739" i="98"/>
  <c r="V5738" i="98"/>
  <c r="T5738" i="98"/>
  <c r="U5738" i="98" s="1"/>
  <c r="S5738" i="98"/>
  <c r="R5738" i="98"/>
  <c r="V5737" i="98"/>
  <c r="T5737" i="98"/>
  <c r="U5737" i="98" s="1"/>
  <c r="S5737" i="98"/>
  <c r="R5737" i="98"/>
  <c r="V5736" i="98"/>
  <c r="T5736" i="98"/>
  <c r="U5736" i="98" s="1"/>
  <c r="S5736" i="98"/>
  <c r="R5736" i="98"/>
  <c r="V5735" i="98"/>
  <c r="T5735" i="98"/>
  <c r="U5735" i="98" s="1"/>
  <c r="S5735" i="98"/>
  <c r="R5735" i="98"/>
  <c r="V5734" i="98"/>
  <c r="T5734" i="98"/>
  <c r="U5734" i="98" s="1"/>
  <c r="S5734" i="98"/>
  <c r="R5734" i="98"/>
  <c r="V5733" i="98"/>
  <c r="T5733" i="98"/>
  <c r="U5733" i="98" s="1"/>
  <c r="S5733" i="98"/>
  <c r="R5733" i="98"/>
  <c r="V5732" i="98"/>
  <c r="T5732" i="98"/>
  <c r="U5732" i="98" s="1"/>
  <c r="S5732" i="98"/>
  <c r="R5732" i="98"/>
  <c r="V5731" i="98"/>
  <c r="T5731" i="98"/>
  <c r="U5731" i="98" s="1"/>
  <c r="S5731" i="98"/>
  <c r="R5731" i="98"/>
  <c r="V5730" i="98"/>
  <c r="T5730" i="98"/>
  <c r="U5730" i="98" s="1"/>
  <c r="S5730" i="98"/>
  <c r="R5730" i="98"/>
  <c r="V5729" i="98"/>
  <c r="T5729" i="98"/>
  <c r="U5729" i="98" s="1"/>
  <c r="S5729" i="98"/>
  <c r="R5729" i="98"/>
  <c r="V5728" i="98"/>
  <c r="T5728" i="98"/>
  <c r="U5728" i="98" s="1"/>
  <c r="S5728" i="98"/>
  <c r="R5728" i="98"/>
  <c r="V5727" i="98"/>
  <c r="T5727" i="98"/>
  <c r="U5727" i="98" s="1"/>
  <c r="S5727" i="98"/>
  <c r="R5727" i="98"/>
  <c r="V5726" i="98"/>
  <c r="T5726" i="98"/>
  <c r="U5726" i="98" s="1"/>
  <c r="S5726" i="98"/>
  <c r="R5726" i="98"/>
  <c r="V5725" i="98"/>
  <c r="T5725" i="98"/>
  <c r="U5725" i="98" s="1"/>
  <c r="S5725" i="98"/>
  <c r="R5725" i="98"/>
  <c r="V5724" i="98"/>
  <c r="T5724" i="98"/>
  <c r="U5724" i="98" s="1"/>
  <c r="S5724" i="98"/>
  <c r="R5724" i="98"/>
  <c r="V5723" i="98"/>
  <c r="T5723" i="98"/>
  <c r="U5723" i="98" s="1"/>
  <c r="S5723" i="98"/>
  <c r="R5723" i="98"/>
  <c r="V5722" i="98"/>
  <c r="T5722" i="98"/>
  <c r="U5722" i="98" s="1"/>
  <c r="S5722" i="98"/>
  <c r="R5722" i="98"/>
  <c r="V5721" i="98"/>
  <c r="T5721" i="98"/>
  <c r="U5721" i="98" s="1"/>
  <c r="S5721" i="98"/>
  <c r="R5721" i="98"/>
  <c r="V5720" i="98"/>
  <c r="T5720" i="98"/>
  <c r="U5720" i="98" s="1"/>
  <c r="S5720" i="98"/>
  <c r="R5720" i="98"/>
  <c r="V5719" i="98"/>
  <c r="T5719" i="98"/>
  <c r="U5719" i="98" s="1"/>
  <c r="S5719" i="98"/>
  <c r="R5719" i="98"/>
  <c r="V5718" i="98"/>
  <c r="T5718" i="98"/>
  <c r="U5718" i="98" s="1"/>
  <c r="S5718" i="98"/>
  <c r="R5718" i="98"/>
  <c r="V5717" i="98"/>
  <c r="T5717" i="98"/>
  <c r="U5717" i="98" s="1"/>
  <c r="S5717" i="98"/>
  <c r="R5717" i="98"/>
  <c r="V5716" i="98"/>
  <c r="T5716" i="98"/>
  <c r="U5716" i="98" s="1"/>
  <c r="S5716" i="98"/>
  <c r="R5716" i="98"/>
  <c r="V5715" i="98"/>
  <c r="T5715" i="98"/>
  <c r="U5715" i="98" s="1"/>
  <c r="S5715" i="98"/>
  <c r="R5715" i="98"/>
  <c r="V5714" i="98"/>
  <c r="T5714" i="98"/>
  <c r="U5714" i="98" s="1"/>
  <c r="S5714" i="98"/>
  <c r="R5714" i="98"/>
  <c r="V5713" i="98"/>
  <c r="T5713" i="98"/>
  <c r="U5713" i="98" s="1"/>
  <c r="S5713" i="98"/>
  <c r="R5713" i="98"/>
  <c r="V5712" i="98"/>
  <c r="T5712" i="98"/>
  <c r="U5712" i="98" s="1"/>
  <c r="S5712" i="98"/>
  <c r="R5712" i="98"/>
  <c r="V5711" i="98"/>
  <c r="T5711" i="98"/>
  <c r="U5711" i="98" s="1"/>
  <c r="S5711" i="98"/>
  <c r="R5711" i="98"/>
  <c r="V5710" i="98"/>
  <c r="T5710" i="98"/>
  <c r="U5710" i="98" s="1"/>
  <c r="S5710" i="98"/>
  <c r="R5710" i="98"/>
  <c r="V5709" i="98"/>
  <c r="T5709" i="98"/>
  <c r="U5709" i="98" s="1"/>
  <c r="S5709" i="98"/>
  <c r="R5709" i="98"/>
  <c r="V5708" i="98"/>
  <c r="T5708" i="98"/>
  <c r="U5708" i="98" s="1"/>
  <c r="S5708" i="98"/>
  <c r="R5708" i="98"/>
  <c r="V5707" i="98"/>
  <c r="T5707" i="98"/>
  <c r="U5707" i="98" s="1"/>
  <c r="S5707" i="98"/>
  <c r="R5707" i="98"/>
  <c r="V5706" i="98"/>
  <c r="T5706" i="98"/>
  <c r="U5706" i="98" s="1"/>
  <c r="S5706" i="98"/>
  <c r="R5706" i="98"/>
  <c r="V5705" i="98"/>
  <c r="T5705" i="98"/>
  <c r="U5705" i="98" s="1"/>
  <c r="S5705" i="98"/>
  <c r="R5705" i="98"/>
  <c r="V5704" i="98"/>
  <c r="T5704" i="98"/>
  <c r="U5704" i="98" s="1"/>
  <c r="S5704" i="98"/>
  <c r="R5704" i="98"/>
  <c r="V5703" i="98"/>
  <c r="T5703" i="98"/>
  <c r="U5703" i="98" s="1"/>
  <c r="S5703" i="98"/>
  <c r="R5703" i="98"/>
  <c r="V5702" i="98"/>
  <c r="T5702" i="98"/>
  <c r="U5702" i="98" s="1"/>
  <c r="S5702" i="98"/>
  <c r="R5702" i="98"/>
  <c r="V5701" i="98"/>
  <c r="T5701" i="98"/>
  <c r="U5701" i="98" s="1"/>
  <c r="S5701" i="98"/>
  <c r="R5701" i="98"/>
  <c r="V5700" i="98"/>
  <c r="T5700" i="98"/>
  <c r="U5700" i="98" s="1"/>
  <c r="S5700" i="98"/>
  <c r="R5700" i="98"/>
  <c r="V5699" i="98"/>
  <c r="T5699" i="98"/>
  <c r="U5699" i="98" s="1"/>
  <c r="S5699" i="98"/>
  <c r="R5699" i="98"/>
  <c r="V5698" i="98"/>
  <c r="T5698" i="98"/>
  <c r="U5698" i="98" s="1"/>
  <c r="S5698" i="98"/>
  <c r="R5698" i="98"/>
  <c r="V5697" i="98"/>
  <c r="T5697" i="98"/>
  <c r="U5697" i="98" s="1"/>
  <c r="S5697" i="98"/>
  <c r="R5697" i="98"/>
  <c r="V5696" i="98"/>
  <c r="T5696" i="98"/>
  <c r="U5696" i="98" s="1"/>
  <c r="S5696" i="98"/>
  <c r="R5696" i="98"/>
  <c r="V5695" i="98"/>
  <c r="T5695" i="98"/>
  <c r="U5695" i="98" s="1"/>
  <c r="S5695" i="98"/>
  <c r="R5695" i="98"/>
  <c r="V5694" i="98"/>
  <c r="T5694" i="98"/>
  <c r="U5694" i="98" s="1"/>
  <c r="S5694" i="98"/>
  <c r="R5694" i="98"/>
  <c r="V5693" i="98"/>
  <c r="T5693" i="98"/>
  <c r="U5693" i="98" s="1"/>
  <c r="S5693" i="98"/>
  <c r="R5693" i="98"/>
  <c r="V5692" i="98"/>
  <c r="T5692" i="98"/>
  <c r="U5692" i="98" s="1"/>
  <c r="S5692" i="98"/>
  <c r="R5692" i="98"/>
  <c r="V5691" i="98"/>
  <c r="T5691" i="98"/>
  <c r="U5691" i="98" s="1"/>
  <c r="S5691" i="98"/>
  <c r="R5691" i="98"/>
  <c r="V5690" i="98"/>
  <c r="T5690" i="98"/>
  <c r="U5690" i="98" s="1"/>
  <c r="S5690" i="98"/>
  <c r="R5690" i="98"/>
  <c r="V5689" i="98"/>
  <c r="T5689" i="98"/>
  <c r="U5689" i="98" s="1"/>
  <c r="S5689" i="98"/>
  <c r="R5689" i="98"/>
  <c r="V5688" i="98"/>
  <c r="T5688" i="98"/>
  <c r="U5688" i="98" s="1"/>
  <c r="S5688" i="98"/>
  <c r="R5688" i="98"/>
  <c r="V5687" i="98"/>
  <c r="T5687" i="98"/>
  <c r="U5687" i="98" s="1"/>
  <c r="S5687" i="98"/>
  <c r="R5687" i="98"/>
  <c r="V5686" i="98"/>
  <c r="T5686" i="98"/>
  <c r="U5686" i="98" s="1"/>
  <c r="S5686" i="98"/>
  <c r="R5686" i="98"/>
  <c r="V5685" i="98"/>
  <c r="T5685" i="98"/>
  <c r="U5685" i="98" s="1"/>
  <c r="S5685" i="98"/>
  <c r="R5685" i="98"/>
  <c r="V5684" i="98"/>
  <c r="T5684" i="98"/>
  <c r="U5684" i="98" s="1"/>
  <c r="S5684" i="98"/>
  <c r="R5684" i="98"/>
  <c r="V5683" i="98"/>
  <c r="T5683" i="98"/>
  <c r="U5683" i="98" s="1"/>
  <c r="S5683" i="98"/>
  <c r="R5683" i="98"/>
  <c r="V5682" i="98"/>
  <c r="T5682" i="98"/>
  <c r="U5682" i="98" s="1"/>
  <c r="S5682" i="98"/>
  <c r="R5682" i="98"/>
  <c r="V5681" i="98"/>
  <c r="T5681" i="98"/>
  <c r="U5681" i="98" s="1"/>
  <c r="S5681" i="98"/>
  <c r="R5681" i="98"/>
  <c r="V5680" i="98"/>
  <c r="T5680" i="98"/>
  <c r="U5680" i="98" s="1"/>
  <c r="S5680" i="98"/>
  <c r="R5680" i="98"/>
  <c r="V5679" i="98"/>
  <c r="T5679" i="98"/>
  <c r="U5679" i="98" s="1"/>
  <c r="S5679" i="98"/>
  <c r="R5679" i="98"/>
  <c r="V5678" i="98"/>
  <c r="T5678" i="98"/>
  <c r="U5678" i="98" s="1"/>
  <c r="S5678" i="98"/>
  <c r="R5678" i="98"/>
  <c r="V5677" i="98"/>
  <c r="T5677" i="98"/>
  <c r="U5677" i="98" s="1"/>
  <c r="S5677" i="98"/>
  <c r="R5677" i="98"/>
  <c r="V5676" i="98"/>
  <c r="T5676" i="98"/>
  <c r="U5676" i="98" s="1"/>
  <c r="S5676" i="98"/>
  <c r="R5676" i="98"/>
  <c r="V5675" i="98"/>
  <c r="T5675" i="98"/>
  <c r="U5675" i="98" s="1"/>
  <c r="S5675" i="98"/>
  <c r="R5675" i="98"/>
  <c r="V5674" i="98"/>
  <c r="T5674" i="98"/>
  <c r="U5674" i="98" s="1"/>
  <c r="S5674" i="98"/>
  <c r="R5674" i="98"/>
  <c r="V5673" i="98"/>
  <c r="T5673" i="98"/>
  <c r="U5673" i="98" s="1"/>
  <c r="S5673" i="98"/>
  <c r="R5673" i="98"/>
  <c r="V5672" i="98"/>
  <c r="T5672" i="98"/>
  <c r="U5672" i="98" s="1"/>
  <c r="S5672" i="98"/>
  <c r="R5672" i="98"/>
  <c r="V5671" i="98"/>
  <c r="T5671" i="98"/>
  <c r="U5671" i="98" s="1"/>
  <c r="S5671" i="98"/>
  <c r="R5671" i="98"/>
  <c r="V5670" i="98"/>
  <c r="T5670" i="98"/>
  <c r="U5670" i="98" s="1"/>
  <c r="S5670" i="98"/>
  <c r="R5670" i="98"/>
  <c r="V5669" i="98"/>
  <c r="T5669" i="98"/>
  <c r="U5669" i="98" s="1"/>
  <c r="S5669" i="98"/>
  <c r="R5669" i="98"/>
  <c r="V5668" i="98"/>
  <c r="T5668" i="98"/>
  <c r="U5668" i="98" s="1"/>
  <c r="S5668" i="98"/>
  <c r="R5668" i="98"/>
  <c r="V5667" i="98"/>
  <c r="T5667" i="98"/>
  <c r="U5667" i="98" s="1"/>
  <c r="S5667" i="98"/>
  <c r="R5667" i="98"/>
  <c r="V5666" i="98"/>
  <c r="T5666" i="98"/>
  <c r="U5666" i="98" s="1"/>
  <c r="S5666" i="98"/>
  <c r="R5666" i="98"/>
  <c r="V5665" i="98"/>
  <c r="T5665" i="98"/>
  <c r="U5665" i="98" s="1"/>
  <c r="S5665" i="98"/>
  <c r="R5665" i="98"/>
  <c r="V5664" i="98"/>
  <c r="T5664" i="98"/>
  <c r="U5664" i="98" s="1"/>
  <c r="S5664" i="98"/>
  <c r="R5664" i="98"/>
  <c r="V5663" i="98"/>
  <c r="T5663" i="98"/>
  <c r="U5663" i="98" s="1"/>
  <c r="S5663" i="98"/>
  <c r="R5663" i="98"/>
  <c r="V5662" i="98"/>
  <c r="T5662" i="98"/>
  <c r="U5662" i="98" s="1"/>
  <c r="S5662" i="98"/>
  <c r="R5662" i="98"/>
  <c r="V5661" i="98"/>
  <c r="T5661" i="98"/>
  <c r="U5661" i="98" s="1"/>
  <c r="S5661" i="98"/>
  <c r="R5661" i="98"/>
  <c r="V5660" i="98"/>
  <c r="T5660" i="98"/>
  <c r="U5660" i="98" s="1"/>
  <c r="S5660" i="98"/>
  <c r="R5660" i="98"/>
  <c r="V5659" i="98"/>
  <c r="T5659" i="98"/>
  <c r="U5659" i="98" s="1"/>
  <c r="S5659" i="98"/>
  <c r="R5659" i="98"/>
  <c r="V5658" i="98"/>
  <c r="T5658" i="98"/>
  <c r="U5658" i="98" s="1"/>
  <c r="S5658" i="98"/>
  <c r="R5658" i="98"/>
  <c r="V5657" i="98"/>
  <c r="T5657" i="98"/>
  <c r="U5657" i="98" s="1"/>
  <c r="S5657" i="98"/>
  <c r="R5657" i="98"/>
  <c r="V5656" i="98"/>
  <c r="T5656" i="98"/>
  <c r="U5656" i="98" s="1"/>
  <c r="S5656" i="98"/>
  <c r="R5656" i="98"/>
  <c r="V5655" i="98"/>
  <c r="T5655" i="98"/>
  <c r="U5655" i="98" s="1"/>
  <c r="S5655" i="98"/>
  <c r="R5655" i="98"/>
  <c r="V5654" i="98"/>
  <c r="T5654" i="98"/>
  <c r="U5654" i="98" s="1"/>
  <c r="S5654" i="98"/>
  <c r="R5654" i="98"/>
  <c r="V5653" i="98"/>
  <c r="T5653" i="98"/>
  <c r="U5653" i="98" s="1"/>
  <c r="S5653" i="98"/>
  <c r="R5653" i="98"/>
  <c r="V5652" i="98"/>
  <c r="T5652" i="98"/>
  <c r="U5652" i="98" s="1"/>
  <c r="S5652" i="98"/>
  <c r="R5652" i="98"/>
  <c r="V5651" i="98"/>
  <c r="T5651" i="98"/>
  <c r="U5651" i="98" s="1"/>
  <c r="S5651" i="98"/>
  <c r="R5651" i="98"/>
  <c r="V5650" i="98"/>
  <c r="T5650" i="98"/>
  <c r="U5650" i="98" s="1"/>
  <c r="S5650" i="98"/>
  <c r="R5650" i="98"/>
  <c r="V5649" i="98"/>
  <c r="T5649" i="98"/>
  <c r="U5649" i="98" s="1"/>
  <c r="S5649" i="98"/>
  <c r="R5649" i="98"/>
  <c r="V5648" i="98"/>
  <c r="T5648" i="98"/>
  <c r="U5648" i="98" s="1"/>
  <c r="S5648" i="98"/>
  <c r="R5648" i="98"/>
  <c r="V5647" i="98"/>
  <c r="T5647" i="98"/>
  <c r="U5647" i="98" s="1"/>
  <c r="S5647" i="98"/>
  <c r="R5647" i="98"/>
  <c r="V5646" i="98"/>
  <c r="T5646" i="98"/>
  <c r="U5646" i="98" s="1"/>
  <c r="S5646" i="98"/>
  <c r="R5646" i="98"/>
  <c r="V5645" i="98"/>
  <c r="T5645" i="98"/>
  <c r="U5645" i="98" s="1"/>
  <c r="S5645" i="98"/>
  <c r="R5645" i="98"/>
  <c r="V5644" i="98"/>
  <c r="T5644" i="98"/>
  <c r="U5644" i="98" s="1"/>
  <c r="S5644" i="98"/>
  <c r="R5644" i="98"/>
  <c r="V5643" i="98"/>
  <c r="T5643" i="98"/>
  <c r="U5643" i="98" s="1"/>
  <c r="S5643" i="98"/>
  <c r="R5643" i="98"/>
  <c r="V5642" i="98"/>
  <c r="T5642" i="98"/>
  <c r="U5642" i="98" s="1"/>
  <c r="S5642" i="98"/>
  <c r="R5642" i="98"/>
  <c r="V5641" i="98"/>
  <c r="T5641" i="98"/>
  <c r="U5641" i="98" s="1"/>
  <c r="S5641" i="98"/>
  <c r="R5641" i="98"/>
  <c r="V5640" i="98"/>
  <c r="T5640" i="98"/>
  <c r="U5640" i="98" s="1"/>
  <c r="S5640" i="98"/>
  <c r="R5640" i="98"/>
  <c r="V5639" i="98"/>
  <c r="T5639" i="98"/>
  <c r="U5639" i="98" s="1"/>
  <c r="S5639" i="98"/>
  <c r="R5639" i="98"/>
  <c r="V5638" i="98"/>
  <c r="T5638" i="98"/>
  <c r="U5638" i="98" s="1"/>
  <c r="S5638" i="98"/>
  <c r="R5638" i="98"/>
  <c r="V5637" i="98"/>
  <c r="T5637" i="98"/>
  <c r="U5637" i="98" s="1"/>
  <c r="S5637" i="98"/>
  <c r="R5637" i="98"/>
  <c r="V5636" i="98"/>
  <c r="T5636" i="98"/>
  <c r="U5636" i="98" s="1"/>
  <c r="S5636" i="98"/>
  <c r="R5636" i="98"/>
  <c r="V5635" i="98"/>
  <c r="T5635" i="98"/>
  <c r="U5635" i="98" s="1"/>
  <c r="S5635" i="98"/>
  <c r="R5635" i="98"/>
  <c r="V5634" i="98"/>
  <c r="T5634" i="98"/>
  <c r="U5634" i="98" s="1"/>
  <c r="S5634" i="98"/>
  <c r="R5634" i="98"/>
  <c r="V5633" i="98"/>
  <c r="T5633" i="98"/>
  <c r="U5633" i="98" s="1"/>
  <c r="S5633" i="98"/>
  <c r="R5633" i="98"/>
  <c r="V5632" i="98"/>
  <c r="T5632" i="98"/>
  <c r="U5632" i="98" s="1"/>
  <c r="S5632" i="98"/>
  <c r="R5632" i="98"/>
  <c r="V5631" i="98"/>
  <c r="T5631" i="98"/>
  <c r="U5631" i="98" s="1"/>
  <c r="S5631" i="98"/>
  <c r="R5631" i="98"/>
  <c r="V5630" i="98"/>
  <c r="T5630" i="98"/>
  <c r="U5630" i="98" s="1"/>
  <c r="S5630" i="98"/>
  <c r="R5630" i="98"/>
  <c r="V5629" i="98"/>
  <c r="T5629" i="98"/>
  <c r="U5629" i="98" s="1"/>
  <c r="S5629" i="98"/>
  <c r="R5629" i="98"/>
  <c r="V5628" i="98"/>
  <c r="T5628" i="98"/>
  <c r="U5628" i="98" s="1"/>
  <c r="S5628" i="98"/>
  <c r="R5628" i="98"/>
  <c r="V5627" i="98"/>
  <c r="T5627" i="98"/>
  <c r="U5627" i="98" s="1"/>
  <c r="S5627" i="98"/>
  <c r="R5627" i="98"/>
  <c r="V5626" i="98"/>
  <c r="T5626" i="98"/>
  <c r="U5626" i="98" s="1"/>
  <c r="S5626" i="98"/>
  <c r="R5626" i="98"/>
  <c r="V5625" i="98"/>
  <c r="T5625" i="98"/>
  <c r="U5625" i="98" s="1"/>
  <c r="S5625" i="98"/>
  <c r="R5625" i="98"/>
  <c r="V5624" i="98"/>
  <c r="T5624" i="98"/>
  <c r="U5624" i="98" s="1"/>
  <c r="S5624" i="98"/>
  <c r="R5624" i="98"/>
  <c r="V5623" i="98"/>
  <c r="T5623" i="98"/>
  <c r="U5623" i="98" s="1"/>
  <c r="S5623" i="98"/>
  <c r="R5623" i="98"/>
  <c r="V5622" i="98"/>
  <c r="T5622" i="98"/>
  <c r="U5622" i="98" s="1"/>
  <c r="S5622" i="98"/>
  <c r="R5622" i="98"/>
  <c r="V5621" i="98"/>
  <c r="T5621" i="98"/>
  <c r="U5621" i="98" s="1"/>
  <c r="S5621" i="98"/>
  <c r="R5621" i="98"/>
  <c r="V5620" i="98"/>
  <c r="T5620" i="98"/>
  <c r="U5620" i="98" s="1"/>
  <c r="S5620" i="98"/>
  <c r="R5620" i="98"/>
  <c r="V5619" i="98"/>
  <c r="T5619" i="98"/>
  <c r="U5619" i="98" s="1"/>
  <c r="S5619" i="98"/>
  <c r="R5619" i="98"/>
  <c r="V5618" i="98"/>
  <c r="T5618" i="98"/>
  <c r="U5618" i="98" s="1"/>
  <c r="S5618" i="98"/>
  <c r="R5618" i="98"/>
  <c r="V5617" i="98"/>
  <c r="T5617" i="98"/>
  <c r="U5617" i="98" s="1"/>
  <c r="S5617" i="98"/>
  <c r="R5617" i="98"/>
  <c r="V5616" i="98"/>
  <c r="T5616" i="98"/>
  <c r="U5616" i="98" s="1"/>
  <c r="S5616" i="98"/>
  <c r="R5616" i="98"/>
  <c r="V5615" i="98"/>
  <c r="T5615" i="98"/>
  <c r="U5615" i="98" s="1"/>
  <c r="S5615" i="98"/>
  <c r="R5615" i="98"/>
  <c r="V5614" i="98"/>
  <c r="T5614" i="98"/>
  <c r="U5614" i="98" s="1"/>
  <c r="S5614" i="98"/>
  <c r="R5614" i="98"/>
  <c r="V5613" i="98"/>
  <c r="T5613" i="98"/>
  <c r="U5613" i="98" s="1"/>
  <c r="S5613" i="98"/>
  <c r="R5613" i="98"/>
  <c r="V5612" i="98"/>
  <c r="T5612" i="98"/>
  <c r="U5612" i="98" s="1"/>
  <c r="S5612" i="98"/>
  <c r="R5612" i="98"/>
  <c r="V5611" i="98"/>
  <c r="T5611" i="98"/>
  <c r="U5611" i="98" s="1"/>
  <c r="S5611" i="98"/>
  <c r="R5611" i="98"/>
  <c r="V5610" i="98"/>
  <c r="T5610" i="98"/>
  <c r="U5610" i="98" s="1"/>
  <c r="S5610" i="98"/>
  <c r="R5610" i="98"/>
  <c r="V5609" i="98"/>
  <c r="T5609" i="98"/>
  <c r="U5609" i="98" s="1"/>
  <c r="S5609" i="98"/>
  <c r="R5609" i="98"/>
  <c r="V5608" i="98"/>
  <c r="T5608" i="98"/>
  <c r="U5608" i="98" s="1"/>
  <c r="S5608" i="98"/>
  <c r="R5608" i="98"/>
  <c r="V5607" i="98"/>
  <c r="T5607" i="98"/>
  <c r="U5607" i="98" s="1"/>
  <c r="S5607" i="98"/>
  <c r="R5607" i="98"/>
  <c r="V5606" i="98"/>
  <c r="T5606" i="98"/>
  <c r="U5606" i="98" s="1"/>
  <c r="S5606" i="98"/>
  <c r="R5606" i="98"/>
  <c r="V5605" i="98"/>
  <c r="T5605" i="98"/>
  <c r="U5605" i="98" s="1"/>
  <c r="S5605" i="98"/>
  <c r="R5605" i="98"/>
  <c r="V5604" i="98"/>
  <c r="T5604" i="98"/>
  <c r="U5604" i="98" s="1"/>
  <c r="S5604" i="98"/>
  <c r="R5604" i="98"/>
  <c r="V5603" i="98"/>
  <c r="T5603" i="98"/>
  <c r="U5603" i="98" s="1"/>
  <c r="S5603" i="98"/>
  <c r="R5603" i="98"/>
  <c r="V5602" i="98"/>
  <c r="T5602" i="98"/>
  <c r="U5602" i="98" s="1"/>
  <c r="S5602" i="98"/>
  <c r="R5602" i="98"/>
  <c r="V5601" i="98"/>
  <c r="T5601" i="98"/>
  <c r="U5601" i="98" s="1"/>
  <c r="S5601" i="98"/>
  <c r="R5601" i="98"/>
  <c r="V5600" i="98"/>
  <c r="T5600" i="98"/>
  <c r="U5600" i="98" s="1"/>
  <c r="S5600" i="98"/>
  <c r="R5600" i="98"/>
  <c r="V5599" i="98"/>
  <c r="T5599" i="98"/>
  <c r="U5599" i="98" s="1"/>
  <c r="S5599" i="98"/>
  <c r="R5599" i="98"/>
  <c r="V5598" i="98"/>
  <c r="T5598" i="98"/>
  <c r="U5598" i="98" s="1"/>
  <c r="S5598" i="98"/>
  <c r="R5598" i="98"/>
  <c r="V5597" i="98"/>
  <c r="T5597" i="98"/>
  <c r="U5597" i="98" s="1"/>
  <c r="S5597" i="98"/>
  <c r="R5597" i="98"/>
  <c r="V5596" i="98"/>
  <c r="T5596" i="98"/>
  <c r="U5596" i="98" s="1"/>
  <c r="S5596" i="98"/>
  <c r="R5596" i="98"/>
  <c r="V5595" i="98"/>
  <c r="T5595" i="98"/>
  <c r="U5595" i="98" s="1"/>
  <c r="S5595" i="98"/>
  <c r="R5595" i="98"/>
  <c r="V5594" i="98"/>
  <c r="T5594" i="98"/>
  <c r="U5594" i="98" s="1"/>
  <c r="S5594" i="98"/>
  <c r="R5594" i="98"/>
  <c r="V5593" i="98"/>
  <c r="T5593" i="98"/>
  <c r="U5593" i="98" s="1"/>
  <c r="S5593" i="98"/>
  <c r="R5593" i="98"/>
  <c r="V5592" i="98"/>
  <c r="T5592" i="98"/>
  <c r="U5592" i="98" s="1"/>
  <c r="S5592" i="98"/>
  <c r="R5592" i="98"/>
  <c r="V5591" i="98"/>
  <c r="T5591" i="98"/>
  <c r="U5591" i="98" s="1"/>
  <c r="S5591" i="98"/>
  <c r="R5591" i="98"/>
  <c r="V5590" i="98"/>
  <c r="T5590" i="98"/>
  <c r="U5590" i="98" s="1"/>
  <c r="S5590" i="98"/>
  <c r="R5590" i="98"/>
  <c r="V5589" i="98"/>
  <c r="T5589" i="98"/>
  <c r="U5589" i="98" s="1"/>
  <c r="S5589" i="98"/>
  <c r="R5589" i="98"/>
  <c r="V5588" i="98"/>
  <c r="T5588" i="98"/>
  <c r="U5588" i="98" s="1"/>
  <c r="S5588" i="98"/>
  <c r="R5588" i="98"/>
  <c r="V5587" i="98"/>
  <c r="T5587" i="98"/>
  <c r="U5587" i="98" s="1"/>
  <c r="S5587" i="98"/>
  <c r="R5587" i="98"/>
  <c r="V5586" i="98"/>
  <c r="T5586" i="98"/>
  <c r="U5586" i="98" s="1"/>
  <c r="S5586" i="98"/>
  <c r="R5586" i="98"/>
  <c r="V5585" i="98"/>
  <c r="T5585" i="98"/>
  <c r="U5585" i="98" s="1"/>
  <c r="S5585" i="98"/>
  <c r="R5585" i="98"/>
  <c r="V5584" i="98"/>
  <c r="T5584" i="98"/>
  <c r="U5584" i="98" s="1"/>
  <c r="S5584" i="98"/>
  <c r="R5584" i="98"/>
  <c r="V5583" i="98"/>
  <c r="T5583" i="98"/>
  <c r="U5583" i="98" s="1"/>
  <c r="S5583" i="98"/>
  <c r="R5583" i="98"/>
  <c r="V5582" i="98"/>
  <c r="T5582" i="98"/>
  <c r="U5582" i="98" s="1"/>
  <c r="S5582" i="98"/>
  <c r="R5582" i="98"/>
  <c r="V5581" i="98"/>
  <c r="T5581" i="98"/>
  <c r="U5581" i="98" s="1"/>
  <c r="S5581" i="98"/>
  <c r="R5581" i="98"/>
  <c r="V5580" i="98"/>
  <c r="T5580" i="98"/>
  <c r="U5580" i="98" s="1"/>
  <c r="S5580" i="98"/>
  <c r="R5580" i="98"/>
  <c r="V5579" i="98"/>
  <c r="T5579" i="98"/>
  <c r="U5579" i="98" s="1"/>
  <c r="S5579" i="98"/>
  <c r="R5579" i="98"/>
  <c r="V5578" i="98"/>
  <c r="T5578" i="98"/>
  <c r="U5578" i="98" s="1"/>
  <c r="S5578" i="98"/>
  <c r="R5578" i="98"/>
  <c r="V5577" i="98"/>
  <c r="T5577" i="98"/>
  <c r="U5577" i="98" s="1"/>
  <c r="S5577" i="98"/>
  <c r="R5577" i="98"/>
  <c r="V5576" i="98"/>
  <c r="T5576" i="98"/>
  <c r="U5576" i="98" s="1"/>
  <c r="S5576" i="98"/>
  <c r="R5576" i="98"/>
  <c r="V5575" i="98"/>
  <c r="T5575" i="98"/>
  <c r="U5575" i="98" s="1"/>
  <c r="S5575" i="98"/>
  <c r="R5575" i="98"/>
  <c r="V5574" i="98"/>
  <c r="T5574" i="98"/>
  <c r="U5574" i="98" s="1"/>
  <c r="S5574" i="98"/>
  <c r="R5574" i="98"/>
  <c r="V5573" i="98"/>
  <c r="T5573" i="98"/>
  <c r="U5573" i="98" s="1"/>
  <c r="S5573" i="98"/>
  <c r="R5573" i="98"/>
  <c r="V5572" i="98"/>
  <c r="T5572" i="98"/>
  <c r="U5572" i="98" s="1"/>
  <c r="S5572" i="98"/>
  <c r="R5572" i="98"/>
  <c r="V5571" i="98"/>
  <c r="T5571" i="98"/>
  <c r="U5571" i="98" s="1"/>
  <c r="S5571" i="98"/>
  <c r="R5571" i="98"/>
  <c r="V5570" i="98"/>
  <c r="T5570" i="98"/>
  <c r="U5570" i="98" s="1"/>
  <c r="S5570" i="98"/>
  <c r="R5570" i="98"/>
  <c r="V5569" i="98"/>
  <c r="T5569" i="98"/>
  <c r="U5569" i="98" s="1"/>
  <c r="S5569" i="98"/>
  <c r="R5569" i="98"/>
  <c r="V5568" i="98"/>
  <c r="T5568" i="98"/>
  <c r="U5568" i="98" s="1"/>
  <c r="S5568" i="98"/>
  <c r="R5568" i="98"/>
  <c r="V5567" i="98"/>
  <c r="T5567" i="98"/>
  <c r="U5567" i="98" s="1"/>
  <c r="S5567" i="98"/>
  <c r="R5567" i="98"/>
  <c r="V5566" i="98"/>
  <c r="T5566" i="98"/>
  <c r="U5566" i="98" s="1"/>
  <c r="S5566" i="98"/>
  <c r="R5566" i="98"/>
  <c r="V5565" i="98"/>
  <c r="T5565" i="98"/>
  <c r="U5565" i="98" s="1"/>
  <c r="S5565" i="98"/>
  <c r="R5565" i="98"/>
  <c r="V5564" i="98"/>
  <c r="T5564" i="98"/>
  <c r="U5564" i="98" s="1"/>
  <c r="S5564" i="98"/>
  <c r="R5564" i="98"/>
  <c r="V5563" i="98"/>
  <c r="T5563" i="98"/>
  <c r="U5563" i="98" s="1"/>
  <c r="S5563" i="98"/>
  <c r="R5563" i="98"/>
  <c r="V5562" i="98"/>
  <c r="T5562" i="98"/>
  <c r="U5562" i="98" s="1"/>
  <c r="S5562" i="98"/>
  <c r="R5562" i="98"/>
  <c r="V5561" i="98"/>
  <c r="T5561" i="98"/>
  <c r="U5561" i="98" s="1"/>
  <c r="S5561" i="98"/>
  <c r="R5561" i="98"/>
  <c r="V5560" i="98"/>
  <c r="T5560" i="98"/>
  <c r="U5560" i="98" s="1"/>
  <c r="S5560" i="98"/>
  <c r="R5560" i="98"/>
  <c r="V5559" i="98"/>
  <c r="T5559" i="98"/>
  <c r="U5559" i="98" s="1"/>
  <c r="S5559" i="98"/>
  <c r="R5559" i="98"/>
  <c r="V5558" i="98"/>
  <c r="T5558" i="98"/>
  <c r="U5558" i="98" s="1"/>
  <c r="S5558" i="98"/>
  <c r="R5558" i="98"/>
  <c r="V5557" i="98"/>
  <c r="T5557" i="98"/>
  <c r="U5557" i="98" s="1"/>
  <c r="S5557" i="98"/>
  <c r="R5557" i="98"/>
  <c r="V5556" i="98"/>
  <c r="T5556" i="98"/>
  <c r="U5556" i="98" s="1"/>
  <c r="S5556" i="98"/>
  <c r="R5556" i="98"/>
  <c r="V5555" i="98"/>
  <c r="T5555" i="98"/>
  <c r="U5555" i="98" s="1"/>
  <c r="S5555" i="98"/>
  <c r="R5555" i="98"/>
  <c r="V5554" i="98"/>
  <c r="T5554" i="98"/>
  <c r="U5554" i="98" s="1"/>
  <c r="S5554" i="98"/>
  <c r="R5554" i="98"/>
  <c r="V5553" i="98"/>
  <c r="T5553" i="98"/>
  <c r="U5553" i="98" s="1"/>
  <c r="S5553" i="98"/>
  <c r="R5553" i="98"/>
  <c r="V5552" i="98"/>
  <c r="T5552" i="98"/>
  <c r="U5552" i="98" s="1"/>
  <c r="S5552" i="98"/>
  <c r="R5552" i="98"/>
  <c r="V5551" i="98"/>
  <c r="T5551" i="98"/>
  <c r="U5551" i="98" s="1"/>
  <c r="S5551" i="98"/>
  <c r="R5551" i="98"/>
  <c r="V5550" i="98"/>
  <c r="T5550" i="98"/>
  <c r="U5550" i="98" s="1"/>
  <c r="S5550" i="98"/>
  <c r="R5550" i="98"/>
  <c r="V5549" i="98"/>
  <c r="T5549" i="98"/>
  <c r="U5549" i="98" s="1"/>
  <c r="S5549" i="98"/>
  <c r="R5549" i="98"/>
  <c r="V5548" i="98"/>
  <c r="T5548" i="98"/>
  <c r="U5548" i="98" s="1"/>
  <c r="S5548" i="98"/>
  <c r="R5548" i="98"/>
  <c r="V5547" i="98"/>
  <c r="T5547" i="98"/>
  <c r="U5547" i="98" s="1"/>
  <c r="S5547" i="98"/>
  <c r="R5547" i="98"/>
  <c r="V5546" i="98"/>
  <c r="T5546" i="98"/>
  <c r="U5546" i="98" s="1"/>
  <c r="S5546" i="98"/>
  <c r="R5546" i="98"/>
  <c r="V5545" i="98"/>
  <c r="T5545" i="98"/>
  <c r="U5545" i="98" s="1"/>
  <c r="S5545" i="98"/>
  <c r="R5545" i="98"/>
  <c r="V5544" i="98"/>
  <c r="T5544" i="98"/>
  <c r="U5544" i="98" s="1"/>
  <c r="S5544" i="98"/>
  <c r="R5544" i="98"/>
  <c r="V5543" i="98"/>
  <c r="T5543" i="98"/>
  <c r="U5543" i="98" s="1"/>
  <c r="S5543" i="98"/>
  <c r="R5543" i="98"/>
  <c r="V5542" i="98"/>
  <c r="T5542" i="98"/>
  <c r="U5542" i="98" s="1"/>
  <c r="S5542" i="98"/>
  <c r="R5542" i="98"/>
  <c r="V5541" i="98"/>
  <c r="T5541" i="98"/>
  <c r="U5541" i="98" s="1"/>
  <c r="S5541" i="98"/>
  <c r="R5541" i="98"/>
  <c r="V5540" i="98"/>
  <c r="T5540" i="98"/>
  <c r="U5540" i="98" s="1"/>
  <c r="S5540" i="98"/>
  <c r="R5540" i="98"/>
  <c r="V5539" i="98"/>
  <c r="T5539" i="98"/>
  <c r="U5539" i="98" s="1"/>
  <c r="S5539" i="98"/>
  <c r="R5539" i="98"/>
  <c r="V5538" i="98"/>
  <c r="T5538" i="98"/>
  <c r="U5538" i="98" s="1"/>
  <c r="S5538" i="98"/>
  <c r="R5538" i="98"/>
  <c r="V5537" i="98"/>
  <c r="T5537" i="98"/>
  <c r="U5537" i="98" s="1"/>
  <c r="S5537" i="98"/>
  <c r="R5537" i="98"/>
  <c r="V5536" i="98"/>
  <c r="T5536" i="98"/>
  <c r="U5536" i="98" s="1"/>
  <c r="S5536" i="98"/>
  <c r="R5536" i="98"/>
  <c r="V5535" i="98"/>
  <c r="T5535" i="98"/>
  <c r="U5535" i="98" s="1"/>
  <c r="S5535" i="98"/>
  <c r="R5535" i="98"/>
  <c r="V5534" i="98"/>
  <c r="T5534" i="98"/>
  <c r="U5534" i="98" s="1"/>
  <c r="S5534" i="98"/>
  <c r="R5534" i="98"/>
  <c r="V5533" i="98"/>
  <c r="T5533" i="98"/>
  <c r="U5533" i="98" s="1"/>
  <c r="S5533" i="98"/>
  <c r="R5533" i="98"/>
  <c r="V5532" i="98"/>
  <c r="T5532" i="98"/>
  <c r="U5532" i="98" s="1"/>
  <c r="S5532" i="98"/>
  <c r="R5532" i="98"/>
  <c r="V5531" i="98"/>
  <c r="T5531" i="98"/>
  <c r="U5531" i="98" s="1"/>
  <c r="S5531" i="98"/>
  <c r="R5531" i="98"/>
  <c r="V5530" i="98"/>
  <c r="T5530" i="98"/>
  <c r="U5530" i="98" s="1"/>
  <c r="S5530" i="98"/>
  <c r="R5530" i="98"/>
  <c r="V5529" i="98"/>
  <c r="T5529" i="98"/>
  <c r="U5529" i="98" s="1"/>
  <c r="S5529" i="98"/>
  <c r="R5529" i="98"/>
  <c r="V5528" i="98"/>
  <c r="T5528" i="98"/>
  <c r="U5528" i="98" s="1"/>
  <c r="S5528" i="98"/>
  <c r="R5528" i="98"/>
  <c r="V5527" i="98"/>
  <c r="T5527" i="98"/>
  <c r="U5527" i="98" s="1"/>
  <c r="S5527" i="98"/>
  <c r="R5527" i="98"/>
  <c r="V5526" i="98"/>
  <c r="T5526" i="98"/>
  <c r="U5526" i="98" s="1"/>
  <c r="S5526" i="98"/>
  <c r="R5526" i="98"/>
  <c r="V5525" i="98"/>
  <c r="T5525" i="98"/>
  <c r="U5525" i="98" s="1"/>
  <c r="S5525" i="98"/>
  <c r="R5525" i="98"/>
  <c r="V5524" i="98"/>
  <c r="T5524" i="98"/>
  <c r="U5524" i="98" s="1"/>
  <c r="S5524" i="98"/>
  <c r="R5524" i="98"/>
  <c r="V5523" i="98"/>
  <c r="T5523" i="98"/>
  <c r="U5523" i="98" s="1"/>
  <c r="S5523" i="98"/>
  <c r="R5523" i="98"/>
  <c r="V5522" i="98"/>
  <c r="T5522" i="98"/>
  <c r="U5522" i="98" s="1"/>
  <c r="S5522" i="98"/>
  <c r="R5522" i="98"/>
  <c r="V5521" i="98"/>
  <c r="T5521" i="98"/>
  <c r="U5521" i="98" s="1"/>
  <c r="S5521" i="98"/>
  <c r="R5521" i="98"/>
  <c r="V5520" i="98"/>
  <c r="T5520" i="98"/>
  <c r="U5520" i="98" s="1"/>
  <c r="S5520" i="98"/>
  <c r="R5520" i="98"/>
  <c r="V5519" i="98"/>
  <c r="T5519" i="98"/>
  <c r="U5519" i="98" s="1"/>
  <c r="S5519" i="98"/>
  <c r="R5519" i="98"/>
  <c r="V5518" i="98"/>
  <c r="T5518" i="98"/>
  <c r="U5518" i="98" s="1"/>
  <c r="S5518" i="98"/>
  <c r="R5518" i="98"/>
  <c r="V5517" i="98"/>
  <c r="T5517" i="98"/>
  <c r="U5517" i="98" s="1"/>
  <c r="S5517" i="98"/>
  <c r="R5517" i="98"/>
  <c r="V5516" i="98"/>
  <c r="T5516" i="98"/>
  <c r="U5516" i="98" s="1"/>
  <c r="S5516" i="98"/>
  <c r="R5516" i="98"/>
  <c r="V5515" i="98"/>
  <c r="T5515" i="98"/>
  <c r="U5515" i="98" s="1"/>
  <c r="S5515" i="98"/>
  <c r="R5515" i="98"/>
  <c r="V5514" i="98"/>
  <c r="T5514" i="98"/>
  <c r="U5514" i="98" s="1"/>
  <c r="S5514" i="98"/>
  <c r="R5514" i="98"/>
  <c r="V5513" i="98"/>
  <c r="T5513" i="98"/>
  <c r="U5513" i="98" s="1"/>
  <c r="S5513" i="98"/>
  <c r="R5513" i="98"/>
  <c r="V5512" i="98"/>
  <c r="T5512" i="98"/>
  <c r="U5512" i="98" s="1"/>
  <c r="S5512" i="98"/>
  <c r="R5512" i="98"/>
  <c r="V5511" i="98"/>
  <c r="T5511" i="98"/>
  <c r="U5511" i="98" s="1"/>
  <c r="S5511" i="98"/>
  <c r="R5511" i="98"/>
  <c r="V5510" i="98"/>
  <c r="T5510" i="98"/>
  <c r="U5510" i="98" s="1"/>
  <c r="S5510" i="98"/>
  <c r="R5510" i="98"/>
  <c r="V5509" i="98"/>
  <c r="T5509" i="98"/>
  <c r="U5509" i="98" s="1"/>
  <c r="S5509" i="98"/>
  <c r="R5509" i="98"/>
  <c r="V5508" i="98"/>
  <c r="T5508" i="98"/>
  <c r="U5508" i="98" s="1"/>
  <c r="S5508" i="98"/>
  <c r="R5508" i="98"/>
  <c r="V5507" i="98"/>
  <c r="T5507" i="98"/>
  <c r="U5507" i="98" s="1"/>
  <c r="S5507" i="98"/>
  <c r="R5507" i="98"/>
  <c r="V5506" i="98"/>
  <c r="T5506" i="98"/>
  <c r="U5506" i="98" s="1"/>
  <c r="S5506" i="98"/>
  <c r="R5506" i="98"/>
  <c r="V5505" i="98"/>
  <c r="T5505" i="98"/>
  <c r="U5505" i="98" s="1"/>
  <c r="S5505" i="98"/>
  <c r="R5505" i="98"/>
  <c r="V5504" i="98"/>
  <c r="T5504" i="98"/>
  <c r="U5504" i="98" s="1"/>
  <c r="S5504" i="98"/>
  <c r="R5504" i="98"/>
  <c r="V5503" i="98"/>
  <c r="T5503" i="98"/>
  <c r="U5503" i="98" s="1"/>
  <c r="S5503" i="98"/>
  <c r="R5503" i="98"/>
  <c r="V5502" i="98"/>
  <c r="T5502" i="98"/>
  <c r="U5502" i="98" s="1"/>
  <c r="S5502" i="98"/>
  <c r="R5502" i="98"/>
  <c r="V5501" i="98"/>
  <c r="T5501" i="98"/>
  <c r="U5501" i="98" s="1"/>
  <c r="S5501" i="98"/>
  <c r="R5501" i="98"/>
  <c r="V5500" i="98"/>
  <c r="T5500" i="98"/>
  <c r="U5500" i="98" s="1"/>
  <c r="S5500" i="98"/>
  <c r="R5500" i="98"/>
  <c r="V5499" i="98"/>
  <c r="T5499" i="98"/>
  <c r="U5499" i="98" s="1"/>
  <c r="S5499" i="98"/>
  <c r="R5499" i="98"/>
  <c r="V5498" i="98"/>
  <c r="T5498" i="98"/>
  <c r="U5498" i="98" s="1"/>
  <c r="S5498" i="98"/>
  <c r="R5498" i="98"/>
  <c r="V5497" i="98"/>
  <c r="T5497" i="98"/>
  <c r="U5497" i="98" s="1"/>
  <c r="S5497" i="98"/>
  <c r="R5497" i="98"/>
  <c r="V5496" i="98"/>
  <c r="T5496" i="98"/>
  <c r="U5496" i="98" s="1"/>
  <c r="S5496" i="98"/>
  <c r="R5496" i="98"/>
  <c r="V5495" i="98"/>
  <c r="T5495" i="98"/>
  <c r="U5495" i="98" s="1"/>
  <c r="S5495" i="98"/>
  <c r="R5495" i="98"/>
  <c r="V5494" i="98"/>
  <c r="T5494" i="98"/>
  <c r="U5494" i="98" s="1"/>
  <c r="S5494" i="98"/>
  <c r="R5494" i="98"/>
  <c r="V5493" i="98"/>
  <c r="T5493" i="98"/>
  <c r="U5493" i="98" s="1"/>
  <c r="S5493" i="98"/>
  <c r="R5493" i="98"/>
  <c r="V5492" i="98"/>
  <c r="T5492" i="98"/>
  <c r="U5492" i="98" s="1"/>
  <c r="S5492" i="98"/>
  <c r="R5492" i="98"/>
  <c r="V5491" i="98"/>
  <c r="T5491" i="98"/>
  <c r="U5491" i="98" s="1"/>
  <c r="S5491" i="98"/>
  <c r="R5491" i="98"/>
  <c r="V5490" i="98"/>
  <c r="T5490" i="98"/>
  <c r="U5490" i="98" s="1"/>
  <c r="S5490" i="98"/>
  <c r="R5490" i="98"/>
  <c r="V5489" i="98"/>
  <c r="T5489" i="98"/>
  <c r="U5489" i="98" s="1"/>
  <c r="S5489" i="98"/>
  <c r="R5489" i="98"/>
  <c r="V5488" i="98"/>
  <c r="T5488" i="98"/>
  <c r="U5488" i="98" s="1"/>
  <c r="S5488" i="98"/>
  <c r="R5488" i="98"/>
  <c r="V5487" i="98"/>
  <c r="T5487" i="98"/>
  <c r="U5487" i="98" s="1"/>
  <c r="S5487" i="98"/>
  <c r="R5487" i="98"/>
  <c r="V5486" i="98"/>
  <c r="T5486" i="98"/>
  <c r="U5486" i="98" s="1"/>
  <c r="S5486" i="98"/>
  <c r="R5486" i="98"/>
  <c r="V5485" i="98"/>
  <c r="T5485" i="98"/>
  <c r="U5485" i="98" s="1"/>
  <c r="S5485" i="98"/>
  <c r="R5485" i="98"/>
  <c r="V5484" i="98"/>
  <c r="T5484" i="98"/>
  <c r="U5484" i="98" s="1"/>
  <c r="S5484" i="98"/>
  <c r="R5484" i="98"/>
  <c r="V5483" i="98"/>
  <c r="T5483" i="98"/>
  <c r="U5483" i="98" s="1"/>
  <c r="S5483" i="98"/>
  <c r="R5483" i="98"/>
  <c r="V5482" i="98"/>
  <c r="T5482" i="98"/>
  <c r="U5482" i="98" s="1"/>
  <c r="S5482" i="98"/>
  <c r="R5482" i="98"/>
  <c r="V5481" i="98"/>
  <c r="T5481" i="98"/>
  <c r="U5481" i="98" s="1"/>
  <c r="S5481" i="98"/>
  <c r="R5481" i="98"/>
  <c r="V5480" i="98"/>
  <c r="T5480" i="98"/>
  <c r="U5480" i="98" s="1"/>
  <c r="S5480" i="98"/>
  <c r="R5480" i="98"/>
  <c r="V5479" i="98"/>
  <c r="T5479" i="98"/>
  <c r="U5479" i="98" s="1"/>
  <c r="S5479" i="98"/>
  <c r="R5479" i="98"/>
  <c r="V5478" i="98"/>
  <c r="T5478" i="98"/>
  <c r="U5478" i="98" s="1"/>
  <c r="S5478" i="98"/>
  <c r="R5478" i="98"/>
  <c r="V5477" i="98"/>
  <c r="T5477" i="98"/>
  <c r="U5477" i="98" s="1"/>
  <c r="S5477" i="98"/>
  <c r="R5477" i="98"/>
  <c r="V5476" i="98"/>
  <c r="T5476" i="98"/>
  <c r="U5476" i="98" s="1"/>
  <c r="S5476" i="98"/>
  <c r="R5476" i="98"/>
  <c r="V5475" i="98"/>
  <c r="T5475" i="98"/>
  <c r="U5475" i="98" s="1"/>
  <c r="S5475" i="98"/>
  <c r="R5475" i="98"/>
  <c r="V5474" i="98"/>
  <c r="T5474" i="98"/>
  <c r="U5474" i="98" s="1"/>
  <c r="S5474" i="98"/>
  <c r="R5474" i="98"/>
  <c r="V5473" i="98"/>
  <c r="T5473" i="98"/>
  <c r="U5473" i="98" s="1"/>
  <c r="S5473" i="98"/>
  <c r="R5473" i="98"/>
  <c r="V5472" i="98"/>
  <c r="T5472" i="98"/>
  <c r="U5472" i="98" s="1"/>
  <c r="S5472" i="98"/>
  <c r="R5472" i="98"/>
  <c r="V5471" i="98"/>
  <c r="T5471" i="98"/>
  <c r="U5471" i="98" s="1"/>
  <c r="S5471" i="98"/>
  <c r="R5471" i="98"/>
  <c r="V5470" i="98"/>
  <c r="T5470" i="98"/>
  <c r="U5470" i="98" s="1"/>
  <c r="S5470" i="98"/>
  <c r="R5470" i="98"/>
  <c r="V5469" i="98"/>
  <c r="T5469" i="98"/>
  <c r="U5469" i="98" s="1"/>
  <c r="S5469" i="98"/>
  <c r="R5469" i="98"/>
  <c r="V5468" i="98"/>
  <c r="T5468" i="98"/>
  <c r="U5468" i="98" s="1"/>
  <c r="S5468" i="98"/>
  <c r="R5468" i="98"/>
  <c r="V5467" i="98"/>
  <c r="T5467" i="98"/>
  <c r="U5467" i="98" s="1"/>
  <c r="S5467" i="98"/>
  <c r="R5467" i="98"/>
  <c r="V5466" i="98"/>
  <c r="T5466" i="98"/>
  <c r="U5466" i="98" s="1"/>
  <c r="S5466" i="98"/>
  <c r="R5466" i="98"/>
  <c r="V5465" i="98"/>
  <c r="T5465" i="98"/>
  <c r="U5465" i="98" s="1"/>
  <c r="S5465" i="98"/>
  <c r="R5465" i="98"/>
  <c r="V5464" i="98"/>
  <c r="T5464" i="98"/>
  <c r="U5464" i="98" s="1"/>
  <c r="S5464" i="98"/>
  <c r="R5464" i="98"/>
  <c r="V5463" i="98"/>
  <c r="T5463" i="98"/>
  <c r="U5463" i="98" s="1"/>
  <c r="S5463" i="98"/>
  <c r="R5463" i="98"/>
  <c r="V5462" i="98"/>
  <c r="T5462" i="98"/>
  <c r="U5462" i="98" s="1"/>
  <c r="S5462" i="98"/>
  <c r="R5462" i="98"/>
  <c r="V5461" i="98"/>
  <c r="T5461" i="98"/>
  <c r="U5461" i="98" s="1"/>
  <c r="S5461" i="98"/>
  <c r="R5461" i="98"/>
  <c r="V5460" i="98"/>
  <c r="T5460" i="98"/>
  <c r="U5460" i="98" s="1"/>
  <c r="S5460" i="98"/>
  <c r="R5460" i="98"/>
  <c r="V5459" i="98"/>
  <c r="T5459" i="98"/>
  <c r="U5459" i="98" s="1"/>
  <c r="S5459" i="98"/>
  <c r="R5459" i="98"/>
  <c r="V5458" i="98"/>
  <c r="T5458" i="98"/>
  <c r="U5458" i="98" s="1"/>
  <c r="S5458" i="98"/>
  <c r="R5458" i="98"/>
  <c r="V5457" i="98"/>
  <c r="T5457" i="98"/>
  <c r="U5457" i="98" s="1"/>
  <c r="S5457" i="98"/>
  <c r="R5457" i="98"/>
  <c r="V5456" i="98"/>
  <c r="T5456" i="98"/>
  <c r="U5456" i="98" s="1"/>
  <c r="S5456" i="98"/>
  <c r="R5456" i="98"/>
  <c r="V5455" i="98"/>
  <c r="T5455" i="98"/>
  <c r="U5455" i="98" s="1"/>
  <c r="S5455" i="98"/>
  <c r="R5455" i="98"/>
  <c r="V5454" i="98"/>
  <c r="T5454" i="98"/>
  <c r="U5454" i="98" s="1"/>
  <c r="S5454" i="98"/>
  <c r="R5454" i="98"/>
  <c r="V5453" i="98"/>
  <c r="T5453" i="98"/>
  <c r="U5453" i="98" s="1"/>
  <c r="S5453" i="98"/>
  <c r="R5453" i="98"/>
  <c r="V5452" i="98"/>
  <c r="T5452" i="98"/>
  <c r="U5452" i="98" s="1"/>
  <c r="S5452" i="98"/>
  <c r="R5452" i="98"/>
  <c r="V5451" i="98"/>
  <c r="T5451" i="98"/>
  <c r="U5451" i="98" s="1"/>
  <c r="S5451" i="98"/>
  <c r="R5451" i="98"/>
  <c r="V5450" i="98"/>
  <c r="T5450" i="98"/>
  <c r="U5450" i="98" s="1"/>
  <c r="S5450" i="98"/>
  <c r="R5450" i="98"/>
  <c r="V5449" i="98"/>
  <c r="T5449" i="98"/>
  <c r="U5449" i="98" s="1"/>
  <c r="S5449" i="98"/>
  <c r="R5449" i="98"/>
  <c r="V5448" i="98"/>
  <c r="T5448" i="98"/>
  <c r="U5448" i="98" s="1"/>
  <c r="S5448" i="98"/>
  <c r="R5448" i="98"/>
  <c r="V5447" i="98"/>
  <c r="T5447" i="98"/>
  <c r="U5447" i="98" s="1"/>
  <c r="S5447" i="98"/>
  <c r="R5447" i="98"/>
  <c r="V5446" i="98"/>
  <c r="T5446" i="98"/>
  <c r="U5446" i="98" s="1"/>
  <c r="S5446" i="98"/>
  <c r="R5446" i="98"/>
  <c r="V5445" i="98"/>
  <c r="T5445" i="98"/>
  <c r="U5445" i="98" s="1"/>
  <c r="S5445" i="98"/>
  <c r="R5445" i="98"/>
  <c r="V5444" i="98"/>
  <c r="T5444" i="98"/>
  <c r="U5444" i="98" s="1"/>
  <c r="S5444" i="98"/>
  <c r="R5444" i="98"/>
  <c r="V5443" i="98"/>
  <c r="T5443" i="98"/>
  <c r="U5443" i="98" s="1"/>
  <c r="S5443" i="98"/>
  <c r="R5443" i="98"/>
  <c r="V5442" i="98"/>
  <c r="T5442" i="98"/>
  <c r="U5442" i="98" s="1"/>
  <c r="S5442" i="98"/>
  <c r="R5442" i="98"/>
  <c r="V5441" i="98"/>
  <c r="T5441" i="98"/>
  <c r="U5441" i="98" s="1"/>
  <c r="S5441" i="98"/>
  <c r="R5441" i="98"/>
  <c r="V5440" i="98"/>
  <c r="T5440" i="98"/>
  <c r="U5440" i="98" s="1"/>
  <c r="S5440" i="98"/>
  <c r="R5440" i="98"/>
  <c r="V5439" i="98"/>
  <c r="T5439" i="98"/>
  <c r="U5439" i="98" s="1"/>
  <c r="S5439" i="98"/>
  <c r="R5439" i="98"/>
  <c r="V5438" i="98"/>
  <c r="T5438" i="98"/>
  <c r="U5438" i="98" s="1"/>
  <c r="S5438" i="98"/>
  <c r="R5438" i="98"/>
  <c r="V5437" i="98"/>
  <c r="T5437" i="98"/>
  <c r="U5437" i="98" s="1"/>
  <c r="S5437" i="98"/>
  <c r="R5437" i="98"/>
  <c r="V5436" i="98"/>
  <c r="T5436" i="98"/>
  <c r="U5436" i="98" s="1"/>
  <c r="S5436" i="98"/>
  <c r="R5436" i="98"/>
  <c r="V5435" i="98"/>
  <c r="T5435" i="98"/>
  <c r="U5435" i="98" s="1"/>
  <c r="S5435" i="98"/>
  <c r="R5435" i="98"/>
  <c r="V5434" i="98"/>
  <c r="T5434" i="98"/>
  <c r="U5434" i="98" s="1"/>
  <c r="S5434" i="98"/>
  <c r="R5434" i="98"/>
  <c r="V5433" i="98"/>
  <c r="T5433" i="98"/>
  <c r="U5433" i="98" s="1"/>
  <c r="S5433" i="98"/>
  <c r="R5433" i="98"/>
  <c r="V5432" i="98"/>
  <c r="T5432" i="98"/>
  <c r="U5432" i="98" s="1"/>
  <c r="S5432" i="98"/>
  <c r="R5432" i="98"/>
  <c r="V5431" i="98"/>
  <c r="T5431" i="98"/>
  <c r="U5431" i="98" s="1"/>
  <c r="S5431" i="98"/>
  <c r="R5431" i="98"/>
  <c r="V5430" i="98"/>
  <c r="T5430" i="98"/>
  <c r="U5430" i="98" s="1"/>
  <c r="S5430" i="98"/>
  <c r="R5430" i="98"/>
  <c r="V5429" i="98"/>
  <c r="T5429" i="98"/>
  <c r="U5429" i="98" s="1"/>
  <c r="S5429" i="98"/>
  <c r="R5429" i="98"/>
  <c r="V5428" i="98"/>
  <c r="T5428" i="98"/>
  <c r="U5428" i="98" s="1"/>
  <c r="S5428" i="98"/>
  <c r="R5428" i="98"/>
  <c r="V5427" i="98"/>
  <c r="T5427" i="98"/>
  <c r="U5427" i="98" s="1"/>
  <c r="S5427" i="98"/>
  <c r="R5427" i="98"/>
  <c r="V5426" i="98"/>
  <c r="T5426" i="98"/>
  <c r="U5426" i="98" s="1"/>
  <c r="S5426" i="98"/>
  <c r="R5426" i="98"/>
  <c r="V5425" i="98"/>
  <c r="T5425" i="98"/>
  <c r="U5425" i="98" s="1"/>
  <c r="S5425" i="98"/>
  <c r="R5425" i="98"/>
  <c r="V5424" i="98"/>
  <c r="T5424" i="98"/>
  <c r="U5424" i="98" s="1"/>
  <c r="S5424" i="98"/>
  <c r="R5424" i="98"/>
  <c r="V5423" i="98"/>
  <c r="T5423" i="98"/>
  <c r="U5423" i="98" s="1"/>
  <c r="S5423" i="98"/>
  <c r="R5423" i="98"/>
  <c r="V5422" i="98"/>
  <c r="T5422" i="98"/>
  <c r="U5422" i="98" s="1"/>
  <c r="S5422" i="98"/>
  <c r="R5422" i="98"/>
  <c r="V5421" i="98"/>
  <c r="T5421" i="98"/>
  <c r="U5421" i="98" s="1"/>
  <c r="S5421" i="98"/>
  <c r="R5421" i="98"/>
  <c r="V5420" i="98"/>
  <c r="T5420" i="98"/>
  <c r="U5420" i="98" s="1"/>
  <c r="S5420" i="98"/>
  <c r="R5420" i="98"/>
  <c r="V5419" i="98"/>
  <c r="T5419" i="98"/>
  <c r="U5419" i="98" s="1"/>
  <c r="S5419" i="98"/>
  <c r="R5419" i="98"/>
  <c r="V5418" i="98"/>
  <c r="T5418" i="98"/>
  <c r="U5418" i="98" s="1"/>
  <c r="S5418" i="98"/>
  <c r="R5418" i="98"/>
  <c r="V5417" i="98"/>
  <c r="T5417" i="98"/>
  <c r="U5417" i="98" s="1"/>
  <c r="S5417" i="98"/>
  <c r="R5417" i="98"/>
  <c r="V5416" i="98"/>
  <c r="T5416" i="98"/>
  <c r="U5416" i="98" s="1"/>
  <c r="S5416" i="98"/>
  <c r="R5416" i="98"/>
  <c r="V5415" i="98"/>
  <c r="T5415" i="98"/>
  <c r="U5415" i="98" s="1"/>
  <c r="S5415" i="98"/>
  <c r="R5415" i="98"/>
  <c r="V5414" i="98"/>
  <c r="T5414" i="98"/>
  <c r="U5414" i="98" s="1"/>
  <c r="S5414" i="98"/>
  <c r="R5414" i="98"/>
  <c r="V5413" i="98"/>
  <c r="T5413" i="98"/>
  <c r="U5413" i="98" s="1"/>
  <c r="S5413" i="98"/>
  <c r="R5413" i="98"/>
  <c r="V5412" i="98"/>
  <c r="T5412" i="98"/>
  <c r="U5412" i="98" s="1"/>
  <c r="S5412" i="98"/>
  <c r="R5412" i="98"/>
  <c r="V5411" i="98"/>
  <c r="T5411" i="98"/>
  <c r="U5411" i="98" s="1"/>
  <c r="S5411" i="98"/>
  <c r="R5411" i="98"/>
  <c r="V5410" i="98"/>
  <c r="T5410" i="98"/>
  <c r="U5410" i="98" s="1"/>
  <c r="S5410" i="98"/>
  <c r="R5410" i="98"/>
  <c r="V5409" i="98"/>
  <c r="T5409" i="98"/>
  <c r="U5409" i="98" s="1"/>
  <c r="S5409" i="98"/>
  <c r="R5409" i="98"/>
  <c r="V5408" i="98"/>
  <c r="T5408" i="98"/>
  <c r="U5408" i="98" s="1"/>
  <c r="S5408" i="98"/>
  <c r="R5408" i="98"/>
  <c r="V5407" i="98"/>
  <c r="T5407" i="98"/>
  <c r="U5407" i="98" s="1"/>
  <c r="S5407" i="98"/>
  <c r="R5407" i="98"/>
  <c r="V5406" i="98"/>
  <c r="T5406" i="98"/>
  <c r="U5406" i="98" s="1"/>
  <c r="S5406" i="98"/>
  <c r="R5406" i="98"/>
  <c r="V5405" i="98"/>
  <c r="T5405" i="98"/>
  <c r="U5405" i="98" s="1"/>
  <c r="S5405" i="98"/>
  <c r="R5405" i="98"/>
  <c r="V5404" i="98"/>
  <c r="T5404" i="98"/>
  <c r="U5404" i="98" s="1"/>
  <c r="S5404" i="98"/>
  <c r="R5404" i="98"/>
  <c r="V5403" i="98"/>
  <c r="T5403" i="98"/>
  <c r="U5403" i="98" s="1"/>
  <c r="S5403" i="98"/>
  <c r="R5403" i="98"/>
  <c r="V5402" i="98"/>
  <c r="T5402" i="98"/>
  <c r="U5402" i="98" s="1"/>
  <c r="S5402" i="98"/>
  <c r="R5402" i="98"/>
  <c r="V5401" i="98"/>
  <c r="T5401" i="98"/>
  <c r="U5401" i="98" s="1"/>
  <c r="S5401" i="98"/>
  <c r="R5401" i="98"/>
  <c r="V5400" i="98"/>
  <c r="T5400" i="98"/>
  <c r="U5400" i="98" s="1"/>
  <c r="S5400" i="98"/>
  <c r="R5400" i="98"/>
  <c r="V5399" i="98"/>
  <c r="T5399" i="98"/>
  <c r="U5399" i="98" s="1"/>
  <c r="S5399" i="98"/>
  <c r="R5399" i="98"/>
  <c r="V5398" i="98"/>
  <c r="T5398" i="98"/>
  <c r="U5398" i="98" s="1"/>
  <c r="S5398" i="98"/>
  <c r="R5398" i="98"/>
  <c r="V5397" i="98"/>
  <c r="T5397" i="98"/>
  <c r="U5397" i="98" s="1"/>
  <c r="S5397" i="98"/>
  <c r="R5397" i="98"/>
  <c r="V5396" i="98"/>
  <c r="T5396" i="98"/>
  <c r="U5396" i="98" s="1"/>
  <c r="S5396" i="98"/>
  <c r="R5396" i="98"/>
  <c r="V5395" i="98"/>
  <c r="T5395" i="98"/>
  <c r="U5395" i="98" s="1"/>
  <c r="S5395" i="98"/>
  <c r="R5395" i="98"/>
  <c r="V5394" i="98"/>
  <c r="T5394" i="98"/>
  <c r="U5394" i="98" s="1"/>
  <c r="S5394" i="98"/>
  <c r="R5394" i="98"/>
  <c r="V5393" i="98"/>
  <c r="T5393" i="98"/>
  <c r="U5393" i="98" s="1"/>
  <c r="S5393" i="98"/>
  <c r="R5393" i="98"/>
  <c r="V5392" i="98"/>
  <c r="T5392" i="98"/>
  <c r="U5392" i="98" s="1"/>
  <c r="S5392" i="98"/>
  <c r="R5392" i="98"/>
  <c r="V5391" i="98"/>
  <c r="T5391" i="98"/>
  <c r="U5391" i="98" s="1"/>
  <c r="S5391" i="98"/>
  <c r="R5391" i="98"/>
  <c r="V5390" i="98"/>
  <c r="T5390" i="98"/>
  <c r="U5390" i="98" s="1"/>
  <c r="S5390" i="98"/>
  <c r="R5390" i="98"/>
  <c r="V5389" i="98"/>
  <c r="T5389" i="98"/>
  <c r="U5389" i="98" s="1"/>
  <c r="S5389" i="98"/>
  <c r="R5389" i="98"/>
  <c r="V5388" i="98"/>
  <c r="T5388" i="98"/>
  <c r="U5388" i="98" s="1"/>
  <c r="S5388" i="98"/>
  <c r="R5388" i="98"/>
  <c r="V5387" i="98"/>
  <c r="T5387" i="98"/>
  <c r="U5387" i="98" s="1"/>
  <c r="S5387" i="98"/>
  <c r="R5387" i="98"/>
  <c r="V5386" i="98"/>
  <c r="T5386" i="98"/>
  <c r="U5386" i="98" s="1"/>
  <c r="S5386" i="98"/>
  <c r="R5386" i="98"/>
  <c r="V5385" i="98"/>
  <c r="T5385" i="98"/>
  <c r="U5385" i="98" s="1"/>
  <c r="S5385" i="98"/>
  <c r="R5385" i="98"/>
  <c r="V5384" i="98"/>
  <c r="T5384" i="98"/>
  <c r="U5384" i="98" s="1"/>
  <c r="S5384" i="98"/>
  <c r="R5384" i="98"/>
  <c r="V5383" i="98"/>
  <c r="T5383" i="98"/>
  <c r="U5383" i="98" s="1"/>
  <c r="S5383" i="98"/>
  <c r="R5383" i="98"/>
  <c r="V5382" i="98"/>
  <c r="T5382" i="98"/>
  <c r="U5382" i="98" s="1"/>
  <c r="S5382" i="98"/>
  <c r="R5382" i="98"/>
  <c r="V5381" i="98"/>
  <c r="T5381" i="98"/>
  <c r="U5381" i="98" s="1"/>
  <c r="S5381" i="98"/>
  <c r="R5381" i="98"/>
  <c r="V5380" i="98"/>
  <c r="T5380" i="98"/>
  <c r="U5380" i="98" s="1"/>
  <c r="S5380" i="98"/>
  <c r="R5380" i="98"/>
  <c r="V5379" i="98"/>
  <c r="T5379" i="98"/>
  <c r="U5379" i="98" s="1"/>
  <c r="S5379" i="98"/>
  <c r="R5379" i="98"/>
  <c r="V5378" i="98"/>
  <c r="T5378" i="98"/>
  <c r="U5378" i="98" s="1"/>
  <c r="S5378" i="98"/>
  <c r="R5378" i="98"/>
  <c r="V5377" i="98"/>
  <c r="T5377" i="98"/>
  <c r="U5377" i="98" s="1"/>
  <c r="S5377" i="98"/>
  <c r="R5377" i="98"/>
  <c r="V5376" i="98"/>
  <c r="T5376" i="98"/>
  <c r="U5376" i="98" s="1"/>
  <c r="S5376" i="98"/>
  <c r="R5376" i="98"/>
  <c r="V5375" i="98"/>
  <c r="T5375" i="98"/>
  <c r="U5375" i="98" s="1"/>
  <c r="S5375" i="98"/>
  <c r="R5375" i="98"/>
  <c r="V5374" i="98"/>
  <c r="T5374" i="98"/>
  <c r="U5374" i="98" s="1"/>
  <c r="S5374" i="98"/>
  <c r="R5374" i="98"/>
  <c r="V5373" i="98"/>
  <c r="T5373" i="98"/>
  <c r="U5373" i="98" s="1"/>
  <c r="S5373" i="98"/>
  <c r="R5373" i="98"/>
  <c r="V5372" i="98"/>
  <c r="T5372" i="98"/>
  <c r="U5372" i="98" s="1"/>
  <c r="S5372" i="98"/>
  <c r="R5372" i="98"/>
  <c r="V5371" i="98"/>
  <c r="T5371" i="98"/>
  <c r="U5371" i="98" s="1"/>
  <c r="S5371" i="98"/>
  <c r="R5371" i="98"/>
  <c r="V5370" i="98"/>
  <c r="T5370" i="98"/>
  <c r="U5370" i="98" s="1"/>
  <c r="S5370" i="98"/>
  <c r="R5370" i="98"/>
  <c r="V5369" i="98"/>
  <c r="T5369" i="98"/>
  <c r="U5369" i="98" s="1"/>
  <c r="S5369" i="98"/>
  <c r="R5369" i="98"/>
  <c r="V5368" i="98"/>
  <c r="T5368" i="98"/>
  <c r="U5368" i="98" s="1"/>
  <c r="S5368" i="98"/>
  <c r="R5368" i="98"/>
  <c r="V5367" i="98"/>
  <c r="T5367" i="98"/>
  <c r="U5367" i="98" s="1"/>
  <c r="S5367" i="98"/>
  <c r="R5367" i="98"/>
  <c r="V5366" i="98"/>
  <c r="T5366" i="98"/>
  <c r="U5366" i="98" s="1"/>
  <c r="S5366" i="98"/>
  <c r="R5366" i="98"/>
  <c r="V5365" i="98"/>
  <c r="T5365" i="98"/>
  <c r="U5365" i="98" s="1"/>
  <c r="S5365" i="98"/>
  <c r="R5365" i="98"/>
  <c r="V5364" i="98"/>
  <c r="T5364" i="98"/>
  <c r="U5364" i="98" s="1"/>
  <c r="S5364" i="98"/>
  <c r="R5364" i="98"/>
  <c r="V5363" i="98"/>
  <c r="T5363" i="98"/>
  <c r="U5363" i="98" s="1"/>
  <c r="S5363" i="98"/>
  <c r="R5363" i="98"/>
  <c r="V5362" i="98"/>
  <c r="T5362" i="98"/>
  <c r="U5362" i="98" s="1"/>
  <c r="S5362" i="98"/>
  <c r="R5362" i="98"/>
  <c r="V5361" i="98"/>
  <c r="T5361" i="98"/>
  <c r="U5361" i="98" s="1"/>
  <c r="S5361" i="98"/>
  <c r="R5361" i="98"/>
  <c r="V5360" i="98"/>
  <c r="T5360" i="98"/>
  <c r="U5360" i="98" s="1"/>
  <c r="S5360" i="98"/>
  <c r="R5360" i="98"/>
  <c r="V5359" i="98"/>
  <c r="T5359" i="98"/>
  <c r="U5359" i="98" s="1"/>
  <c r="S5359" i="98"/>
  <c r="R5359" i="98"/>
  <c r="V5358" i="98"/>
  <c r="T5358" i="98"/>
  <c r="U5358" i="98" s="1"/>
  <c r="S5358" i="98"/>
  <c r="R5358" i="98"/>
  <c r="V5357" i="98"/>
  <c r="T5357" i="98"/>
  <c r="U5357" i="98" s="1"/>
  <c r="S5357" i="98"/>
  <c r="R5357" i="98"/>
  <c r="V5356" i="98"/>
  <c r="T5356" i="98"/>
  <c r="U5356" i="98" s="1"/>
  <c r="S5356" i="98"/>
  <c r="R5356" i="98"/>
  <c r="V5355" i="98"/>
  <c r="T5355" i="98"/>
  <c r="U5355" i="98" s="1"/>
  <c r="S5355" i="98"/>
  <c r="R5355" i="98"/>
  <c r="V5354" i="98"/>
  <c r="T5354" i="98"/>
  <c r="U5354" i="98" s="1"/>
  <c r="S5354" i="98"/>
  <c r="R5354" i="98"/>
  <c r="V5353" i="98"/>
  <c r="T5353" i="98"/>
  <c r="U5353" i="98" s="1"/>
  <c r="S5353" i="98"/>
  <c r="R5353" i="98"/>
  <c r="V5352" i="98"/>
  <c r="T5352" i="98"/>
  <c r="U5352" i="98" s="1"/>
  <c r="S5352" i="98"/>
  <c r="R5352" i="98"/>
  <c r="V5351" i="98"/>
  <c r="T5351" i="98"/>
  <c r="U5351" i="98" s="1"/>
  <c r="S5351" i="98"/>
  <c r="R5351" i="98"/>
  <c r="V5350" i="98"/>
  <c r="T5350" i="98"/>
  <c r="U5350" i="98" s="1"/>
  <c r="S5350" i="98"/>
  <c r="R5350" i="98"/>
  <c r="V5349" i="98"/>
  <c r="T5349" i="98"/>
  <c r="U5349" i="98" s="1"/>
  <c r="S5349" i="98"/>
  <c r="R5349" i="98"/>
  <c r="V5348" i="98"/>
  <c r="T5348" i="98"/>
  <c r="U5348" i="98" s="1"/>
  <c r="S5348" i="98"/>
  <c r="R5348" i="98"/>
  <c r="V5347" i="98"/>
  <c r="T5347" i="98"/>
  <c r="U5347" i="98" s="1"/>
  <c r="S5347" i="98"/>
  <c r="R5347" i="98"/>
  <c r="V5346" i="98"/>
  <c r="T5346" i="98"/>
  <c r="U5346" i="98" s="1"/>
  <c r="S5346" i="98"/>
  <c r="R5346" i="98"/>
  <c r="V5345" i="98"/>
  <c r="T5345" i="98"/>
  <c r="U5345" i="98" s="1"/>
  <c r="S5345" i="98"/>
  <c r="R5345" i="98"/>
  <c r="V5344" i="98"/>
  <c r="T5344" i="98"/>
  <c r="U5344" i="98" s="1"/>
  <c r="S5344" i="98"/>
  <c r="R5344" i="98"/>
  <c r="V5343" i="98"/>
  <c r="T5343" i="98"/>
  <c r="U5343" i="98" s="1"/>
  <c r="S5343" i="98"/>
  <c r="R5343" i="98"/>
  <c r="V5342" i="98"/>
  <c r="T5342" i="98"/>
  <c r="U5342" i="98" s="1"/>
  <c r="S5342" i="98"/>
  <c r="R5342" i="98"/>
  <c r="V5341" i="98"/>
  <c r="T5341" i="98"/>
  <c r="U5341" i="98" s="1"/>
  <c r="S5341" i="98"/>
  <c r="R5341" i="98"/>
  <c r="V5340" i="98"/>
  <c r="T5340" i="98"/>
  <c r="U5340" i="98" s="1"/>
  <c r="S5340" i="98"/>
  <c r="R5340" i="98"/>
  <c r="V5339" i="98"/>
  <c r="T5339" i="98"/>
  <c r="U5339" i="98" s="1"/>
  <c r="S5339" i="98"/>
  <c r="R5339" i="98"/>
  <c r="V5338" i="98"/>
  <c r="T5338" i="98"/>
  <c r="U5338" i="98" s="1"/>
  <c r="S5338" i="98"/>
  <c r="R5338" i="98"/>
  <c r="V5337" i="98"/>
  <c r="T5337" i="98"/>
  <c r="U5337" i="98" s="1"/>
  <c r="S5337" i="98"/>
  <c r="R5337" i="98"/>
  <c r="V5336" i="98"/>
  <c r="T5336" i="98"/>
  <c r="U5336" i="98" s="1"/>
  <c r="S5336" i="98"/>
  <c r="R5336" i="98"/>
  <c r="V5335" i="98"/>
  <c r="T5335" i="98"/>
  <c r="U5335" i="98" s="1"/>
  <c r="S5335" i="98"/>
  <c r="R5335" i="98"/>
  <c r="V5334" i="98"/>
  <c r="T5334" i="98"/>
  <c r="U5334" i="98" s="1"/>
  <c r="S5334" i="98"/>
  <c r="R5334" i="98"/>
  <c r="V5333" i="98"/>
  <c r="T5333" i="98"/>
  <c r="U5333" i="98" s="1"/>
  <c r="S5333" i="98"/>
  <c r="R5333" i="98"/>
  <c r="V5332" i="98"/>
  <c r="T5332" i="98"/>
  <c r="U5332" i="98" s="1"/>
  <c r="S5332" i="98"/>
  <c r="R5332" i="98"/>
  <c r="V5331" i="98"/>
  <c r="T5331" i="98"/>
  <c r="U5331" i="98" s="1"/>
  <c r="S5331" i="98"/>
  <c r="R5331" i="98"/>
  <c r="V5330" i="98"/>
  <c r="T5330" i="98"/>
  <c r="U5330" i="98" s="1"/>
  <c r="S5330" i="98"/>
  <c r="R5330" i="98"/>
  <c r="V5329" i="98"/>
  <c r="T5329" i="98"/>
  <c r="U5329" i="98" s="1"/>
  <c r="S5329" i="98"/>
  <c r="R5329" i="98"/>
  <c r="V5328" i="98"/>
  <c r="T5328" i="98"/>
  <c r="U5328" i="98" s="1"/>
  <c r="S5328" i="98"/>
  <c r="R5328" i="98"/>
  <c r="V5327" i="98"/>
  <c r="T5327" i="98"/>
  <c r="U5327" i="98" s="1"/>
  <c r="S5327" i="98"/>
  <c r="R5327" i="98"/>
  <c r="V5326" i="98"/>
  <c r="T5326" i="98"/>
  <c r="U5326" i="98" s="1"/>
  <c r="S5326" i="98"/>
  <c r="R5326" i="98"/>
  <c r="V5325" i="98"/>
  <c r="T5325" i="98"/>
  <c r="U5325" i="98" s="1"/>
  <c r="S5325" i="98"/>
  <c r="R5325" i="98"/>
  <c r="V5324" i="98"/>
  <c r="T5324" i="98"/>
  <c r="U5324" i="98" s="1"/>
  <c r="S5324" i="98"/>
  <c r="R5324" i="98"/>
  <c r="V5323" i="98"/>
  <c r="T5323" i="98"/>
  <c r="U5323" i="98" s="1"/>
  <c r="S5323" i="98"/>
  <c r="R5323" i="98"/>
  <c r="V5322" i="98"/>
  <c r="T5322" i="98"/>
  <c r="U5322" i="98" s="1"/>
  <c r="S5322" i="98"/>
  <c r="R5322" i="98"/>
  <c r="V5321" i="98"/>
  <c r="T5321" i="98"/>
  <c r="U5321" i="98" s="1"/>
  <c r="S5321" i="98"/>
  <c r="R5321" i="98"/>
  <c r="V5320" i="98"/>
  <c r="T5320" i="98"/>
  <c r="U5320" i="98" s="1"/>
  <c r="S5320" i="98"/>
  <c r="R5320" i="98"/>
  <c r="V5319" i="98"/>
  <c r="T5319" i="98"/>
  <c r="U5319" i="98" s="1"/>
  <c r="S5319" i="98"/>
  <c r="R5319" i="98"/>
  <c r="V5318" i="98"/>
  <c r="T5318" i="98"/>
  <c r="U5318" i="98" s="1"/>
  <c r="S5318" i="98"/>
  <c r="R5318" i="98"/>
  <c r="V5317" i="98"/>
  <c r="T5317" i="98"/>
  <c r="U5317" i="98" s="1"/>
  <c r="S5317" i="98"/>
  <c r="R5317" i="98"/>
  <c r="V5316" i="98"/>
  <c r="T5316" i="98"/>
  <c r="U5316" i="98" s="1"/>
  <c r="S5316" i="98"/>
  <c r="R5316" i="98"/>
  <c r="V5315" i="98"/>
  <c r="T5315" i="98"/>
  <c r="U5315" i="98" s="1"/>
  <c r="S5315" i="98"/>
  <c r="R5315" i="98"/>
  <c r="V5314" i="98"/>
  <c r="T5314" i="98"/>
  <c r="U5314" i="98" s="1"/>
  <c r="S5314" i="98"/>
  <c r="R5314" i="98"/>
  <c r="V5313" i="98"/>
  <c r="T5313" i="98"/>
  <c r="U5313" i="98" s="1"/>
  <c r="S5313" i="98"/>
  <c r="R5313" i="98"/>
  <c r="V5312" i="98"/>
  <c r="T5312" i="98"/>
  <c r="U5312" i="98" s="1"/>
  <c r="S5312" i="98"/>
  <c r="R5312" i="98"/>
  <c r="V5311" i="98"/>
  <c r="T5311" i="98"/>
  <c r="U5311" i="98" s="1"/>
  <c r="S5311" i="98"/>
  <c r="R5311" i="98"/>
  <c r="V5310" i="98"/>
  <c r="T5310" i="98"/>
  <c r="U5310" i="98" s="1"/>
  <c r="S5310" i="98"/>
  <c r="R5310" i="98"/>
  <c r="V5309" i="98"/>
  <c r="T5309" i="98"/>
  <c r="U5309" i="98" s="1"/>
  <c r="S5309" i="98"/>
  <c r="R5309" i="98"/>
  <c r="V5308" i="98"/>
  <c r="T5308" i="98"/>
  <c r="U5308" i="98" s="1"/>
  <c r="S5308" i="98"/>
  <c r="R5308" i="98"/>
  <c r="V5307" i="98"/>
  <c r="T5307" i="98"/>
  <c r="U5307" i="98" s="1"/>
  <c r="S5307" i="98"/>
  <c r="R5307" i="98"/>
  <c r="V5306" i="98"/>
  <c r="T5306" i="98"/>
  <c r="U5306" i="98" s="1"/>
  <c r="S5306" i="98"/>
  <c r="R5306" i="98"/>
  <c r="V5305" i="98"/>
  <c r="T5305" i="98"/>
  <c r="U5305" i="98" s="1"/>
  <c r="S5305" i="98"/>
  <c r="R5305" i="98"/>
  <c r="V5304" i="98"/>
  <c r="T5304" i="98"/>
  <c r="U5304" i="98" s="1"/>
  <c r="S5304" i="98"/>
  <c r="R5304" i="98"/>
  <c r="V5303" i="98"/>
  <c r="T5303" i="98"/>
  <c r="U5303" i="98" s="1"/>
  <c r="S5303" i="98"/>
  <c r="R5303" i="98"/>
  <c r="V5302" i="98"/>
  <c r="T5302" i="98"/>
  <c r="U5302" i="98" s="1"/>
  <c r="S5302" i="98"/>
  <c r="R5302" i="98"/>
  <c r="V5301" i="98"/>
  <c r="T5301" i="98"/>
  <c r="U5301" i="98" s="1"/>
  <c r="S5301" i="98"/>
  <c r="R5301" i="98"/>
  <c r="V5300" i="98"/>
  <c r="T5300" i="98"/>
  <c r="U5300" i="98" s="1"/>
  <c r="S5300" i="98"/>
  <c r="R5300" i="98"/>
  <c r="V5299" i="98"/>
  <c r="T5299" i="98"/>
  <c r="U5299" i="98" s="1"/>
  <c r="S5299" i="98"/>
  <c r="R5299" i="98"/>
  <c r="V5298" i="98"/>
  <c r="T5298" i="98"/>
  <c r="U5298" i="98" s="1"/>
  <c r="S5298" i="98"/>
  <c r="R5298" i="98"/>
  <c r="V5297" i="98"/>
  <c r="T5297" i="98"/>
  <c r="U5297" i="98" s="1"/>
  <c r="S5297" i="98"/>
  <c r="R5297" i="98"/>
  <c r="V5296" i="98"/>
  <c r="T5296" i="98"/>
  <c r="U5296" i="98" s="1"/>
  <c r="S5296" i="98"/>
  <c r="R5296" i="98"/>
  <c r="V5295" i="98"/>
  <c r="T5295" i="98"/>
  <c r="U5295" i="98" s="1"/>
  <c r="S5295" i="98"/>
  <c r="R5295" i="98"/>
  <c r="V5294" i="98"/>
  <c r="T5294" i="98"/>
  <c r="U5294" i="98" s="1"/>
  <c r="S5294" i="98"/>
  <c r="R5294" i="98"/>
  <c r="V5293" i="98"/>
  <c r="T5293" i="98"/>
  <c r="U5293" i="98" s="1"/>
  <c r="S5293" i="98"/>
  <c r="R5293" i="98"/>
  <c r="V5292" i="98"/>
  <c r="T5292" i="98"/>
  <c r="U5292" i="98" s="1"/>
  <c r="S5292" i="98"/>
  <c r="R5292" i="98"/>
  <c r="V5291" i="98"/>
  <c r="T5291" i="98"/>
  <c r="U5291" i="98" s="1"/>
  <c r="S5291" i="98"/>
  <c r="R5291" i="98"/>
  <c r="V5290" i="98"/>
  <c r="T5290" i="98"/>
  <c r="U5290" i="98" s="1"/>
  <c r="S5290" i="98"/>
  <c r="R5290" i="98"/>
  <c r="V5289" i="98"/>
  <c r="T5289" i="98"/>
  <c r="U5289" i="98" s="1"/>
  <c r="S5289" i="98"/>
  <c r="R5289" i="98"/>
  <c r="V5288" i="98"/>
  <c r="T5288" i="98"/>
  <c r="U5288" i="98" s="1"/>
  <c r="S5288" i="98"/>
  <c r="R5288" i="98"/>
  <c r="V5287" i="98"/>
  <c r="T5287" i="98"/>
  <c r="U5287" i="98" s="1"/>
  <c r="S5287" i="98"/>
  <c r="R5287" i="98"/>
  <c r="V5286" i="98"/>
  <c r="T5286" i="98"/>
  <c r="U5286" i="98" s="1"/>
  <c r="S5286" i="98"/>
  <c r="R5286" i="98"/>
  <c r="V5285" i="98"/>
  <c r="T5285" i="98"/>
  <c r="U5285" i="98" s="1"/>
  <c r="S5285" i="98"/>
  <c r="R5285" i="98"/>
  <c r="V5284" i="98"/>
  <c r="T5284" i="98"/>
  <c r="U5284" i="98" s="1"/>
  <c r="S5284" i="98"/>
  <c r="R5284" i="98"/>
  <c r="V5283" i="98"/>
  <c r="T5283" i="98"/>
  <c r="U5283" i="98" s="1"/>
  <c r="S5283" i="98"/>
  <c r="R5283" i="98"/>
  <c r="V5282" i="98"/>
  <c r="T5282" i="98"/>
  <c r="U5282" i="98" s="1"/>
  <c r="S5282" i="98"/>
  <c r="R5282" i="98"/>
  <c r="V5281" i="98"/>
  <c r="T5281" i="98"/>
  <c r="U5281" i="98" s="1"/>
  <c r="S5281" i="98"/>
  <c r="R5281" i="98"/>
  <c r="V5280" i="98"/>
  <c r="T5280" i="98"/>
  <c r="U5280" i="98" s="1"/>
  <c r="S5280" i="98"/>
  <c r="R5280" i="98"/>
  <c r="V5279" i="98"/>
  <c r="T5279" i="98"/>
  <c r="U5279" i="98" s="1"/>
  <c r="S5279" i="98"/>
  <c r="R5279" i="98"/>
  <c r="V5278" i="98"/>
  <c r="T5278" i="98"/>
  <c r="U5278" i="98" s="1"/>
  <c r="S5278" i="98"/>
  <c r="R5278" i="98"/>
  <c r="V5277" i="98"/>
  <c r="T5277" i="98"/>
  <c r="U5277" i="98" s="1"/>
  <c r="S5277" i="98"/>
  <c r="R5277" i="98"/>
  <c r="V5276" i="98"/>
  <c r="T5276" i="98"/>
  <c r="U5276" i="98" s="1"/>
  <c r="S5276" i="98"/>
  <c r="R5276" i="98"/>
  <c r="V5275" i="98"/>
  <c r="T5275" i="98"/>
  <c r="U5275" i="98" s="1"/>
  <c r="S5275" i="98"/>
  <c r="R5275" i="98"/>
  <c r="V5274" i="98"/>
  <c r="T5274" i="98"/>
  <c r="U5274" i="98" s="1"/>
  <c r="S5274" i="98"/>
  <c r="R5274" i="98"/>
  <c r="V5273" i="98"/>
  <c r="T5273" i="98"/>
  <c r="U5273" i="98" s="1"/>
  <c r="S5273" i="98"/>
  <c r="R5273" i="98"/>
  <c r="V5272" i="98"/>
  <c r="T5272" i="98"/>
  <c r="U5272" i="98" s="1"/>
  <c r="S5272" i="98"/>
  <c r="R5272" i="98"/>
  <c r="V5271" i="98"/>
  <c r="T5271" i="98"/>
  <c r="U5271" i="98" s="1"/>
  <c r="S5271" i="98"/>
  <c r="R5271" i="98"/>
  <c r="V5270" i="98"/>
  <c r="T5270" i="98"/>
  <c r="U5270" i="98" s="1"/>
  <c r="S5270" i="98"/>
  <c r="R5270" i="98"/>
  <c r="V5269" i="98"/>
  <c r="T5269" i="98"/>
  <c r="U5269" i="98" s="1"/>
  <c r="S5269" i="98"/>
  <c r="R5269" i="98"/>
  <c r="V5268" i="98"/>
  <c r="T5268" i="98"/>
  <c r="U5268" i="98" s="1"/>
  <c r="S5268" i="98"/>
  <c r="R5268" i="98"/>
  <c r="V5267" i="98"/>
  <c r="T5267" i="98"/>
  <c r="U5267" i="98" s="1"/>
  <c r="S5267" i="98"/>
  <c r="R5267" i="98"/>
  <c r="V5266" i="98"/>
  <c r="T5266" i="98"/>
  <c r="U5266" i="98" s="1"/>
  <c r="S5266" i="98"/>
  <c r="R5266" i="98"/>
  <c r="V5265" i="98"/>
  <c r="T5265" i="98"/>
  <c r="U5265" i="98" s="1"/>
  <c r="S5265" i="98"/>
  <c r="R5265" i="98"/>
  <c r="V5264" i="98"/>
  <c r="T5264" i="98"/>
  <c r="U5264" i="98" s="1"/>
  <c r="S5264" i="98"/>
  <c r="R5264" i="98"/>
  <c r="V5263" i="98"/>
  <c r="T5263" i="98"/>
  <c r="U5263" i="98" s="1"/>
  <c r="S5263" i="98"/>
  <c r="R5263" i="98"/>
  <c r="V5262" i="98"/>
  <c r="T5262" i="98"/>
  <c r="U5262" i="98" s="1"/>
  <c r="S5262" i="98"/>
  <c r="R5262" i="98"/>
  <c r="V5261" i="98"/>
  <c r="T5261" i="98"/>
  <c r="U5261" i="98" s="1"/>
  <c r="S5261" i="98"/>
  <c r="R5261" i="98"/>
  <c r="V5260" i="98"/>
  <c r="T5260" i="98"/>
  <c r="U5260" i="98" s="1"/>
  <c r="S5260" i="98"/>
  <c r="R5260" i="98"/>
  <c r="V5259" i="98"/>
  <c r="T5259" i="98"/>
  <c r="U5259" i="98" s="1"/>
  <c r="S5259" i="98"/>
  <c r="R5259" i="98"/>
  <c r="V5258" i="98"/>
  <c r="T5258" i="98"/>
  <c r="U5258" i="98" s="1"/>
  <c r="S5258" i="98"/>
  <c r="R5258" i="98"/>
  <c r="V5257" i="98"/>
  <c r="T5257" i="98"/>
  <c r="U5257" i="98" s="1"/>
  <c r="S5257" i="98"/>
  <c r="R5257" i="98"/>
  <c r="V5256" i="98"/>
  <c r="T5256" i="98"/>
  <c r="U5256" i="98" s="1"/>
  <c r="S5256" i="98"/>
  <c r="R5256" i="98"/>
  <c r="V5255" i="98"/>
  <c r="T5255" i="98"/>
  <c r="U5255" i="98" s="1"/>
  <c r="S5255" i="98"/>
  <c r="R5255" i="98"/>
  <c r="V5254" i="98"/>
  <c r="T5254" i="98"/>
  <c r="U5254" i="98" s="1"/>
  <c r="S5254" i="98"/>
  <c r="R5254" i="98"/>
  <c r="V5253" i="98"/>
  <c r="T5253" i="98"/>
  <c r="U5253" i="98" s="1"/>
  <c r="S5253" i="98"/>
  <c r="R5253" i="98"/>
  <c r="V5252" i="98"/>
  <c r="T5252" i="98"/>
  <c r="U5252" i="98" s="1"/>
  <c r="S5252" i="98"/>
  <c r="R5252" i="98"/>
  <c r="V5251" i="98"/>
  <c r="T5251" i="98"/>
  <c r="U5251" i="98" s="1"/>
  <c r="S5251" i="98"/>
  <c r="R5251" i="98"/>
  <c r="V5250" i="98"/>
  <c r="T5250" i="98"/>
  <c r="U5250" i="98" s="1"/>
  <c r="S5250" i="98"/>
  <c r="R5250" i="98"/>
  <c r="V5249" i="98"/>
  <c r="T5249" i="98"/>
  <c r="U5249" i="98" s="1"/>
  <c r="S5249" i="98"/>
  <c r="R5249" i="98"/>
  <c r="V5248" i="98"/>
  <c r="T5248" i="98"/>
  <c r="U5248" i="98" s="1"/>
  <c r="S5248" i="98"/>
  <c r="R5248" i="98"/>
  <c r="V5247" i="98"/>
  <c r="T5247" i="98"/>
  <c r="U5247" i="98" s="1"/>
  <c r="S5247" i="98"/>
  <c r="R5247" i="98"/>
  <c r="V5246" i="98"/>
  <c r="T5246" i="98"/>
  <c r="U5246" i="98" s="1"/>
  <c r="S5246" i="98"/>
  <c r="R5246" i="98"/>
  <c r="V5245" i="98"/>
  <c r="T5245" i="98"/>
  <c r="U5245" i="98" s="1"/>
  <c r="S5245" i="98"/>
  <c r="R5245" i="98"/>
  <c r="V5244" i="98"/>
  <c r="T5244" i="98"/>
  <c r="U5244" i="98" s="1"/>
  <c r="S5244" i="98"/>
  <c r="R5244" i="98"/>
  <c r="V5243" i="98"/>
  <c r="T5243" i="98"/>
  <c r="U5243" i="98" s="1"/>
  <c r="S5243" i="98"/>
  <c r="R5243" i="98"/>
  <c r="V5242" i="98"/>
  <c r="T5242" i="98"/>
  <c r="U5242" i="98" s="1"/>
  <c r="S5242" i="98"/>
  <c r="R5242" i="98"/>
  <c r="V5241" i="98"/>
  <c r="T5241" i="98"/>
  <c r="U5241" i="98" s="1"/>
  <c r="S5241" i="98"/>
  <c r="R5241" i="98"/>
  <c r="V5240" i="98"/>
  <c r="T5240" i="98"/>
  <c r="U5240" i="98" s="1"/>
  <c r="S5240" i="98"/>
  <c r="R5240" i="98"/>
  <c r="V5239" i="98"/>
  <c r="T5239" i="98"/>
  <c r="U5239" i="98" s="1"/>
  <c r="S5239" i="98"/>
  <c r="R5239" i="98"/>
  <c r="V5238" i="98"/>
  <c r="T5238" i="98"/>
  <c r="U5238" i="98" s="1"/>
  <c r="S5238" i="98"/>
  <c r="R5238" i="98"/>
  <c r="V5237" i="98"/>
  <c r="T5237" i="98"/>
  <c r="U5237" i="98" s="1"/>
  <c r="S5237" i="98"/>
  <c r="R5237" i="98"/>
  <c r="V5236" i="98"/>
  <c r="T5236" i="98"/>
  <c r="U5236" i="98" s="1"/>
  <c r="S5236" i="98"/>
  <c r="R5236" i="98"/>
  <c r="V5235" i="98"/>
  <c r="T5235" i="98"/>
  <c r="U5235" i="98" s="1"/>
  <c r="S5235" i="98"/>
  <c r="R5235" i="98"/>
  <c r="V5234" i="98"/>
  <c r="T5234" i="98"/>
  <c r="U5234" i="98" s="1"/>
  <c r="S5234" i="98"/>
  <c r="R5234" i="98"/>
  <c r="V5233" i="98"/>
  <c r="T5233" i="98"/>
  <c r="U5233" i="98" s="1"/>
  <c r="S5233" i="98"/>
  <c r="R5233" i="98"/>
  <c r="V5232" i="98"/>
  <c r="T5232" i="98"/>
  <c r="U5232" i="98" s="1"/>
  <c r="S5232" i="98"/>
  <c r="R5232" i="98"/>
  <c r="V5231" i="98"/>
  <c r="T5231" i="98"/>
  <c r="U5231" i="98" s="1"/>
  <c r="S5231" i="98"/>
  <c r="R5231" i="98"/>
  <c r="V5230" i="98"/>
  <c r="T5230" i="98"/>
  <c r="U5230" i="98" s="1"/>
  <c r="S5230" i="98"/>
  <c r="R5230" i="98"/>
  <c r="V5229" i="98"/>
  <c r="T5229" i="98"/>
  <c r="U5229" i="98" s="1"/>
  <c r="S5229" i="98"/>
  <c r="R5229" i="98"/>
  <c r="V5228" i="98"/>
  <c r="T5228" i="98"/>
  <c r="U5228" i="98" s="1"/>
  <c r="S5228" i="98"/>
  <c r="R5228" i="98"/>
  <c r="V5227" i="98"/>
  <c r="T5227" i="98"/>
  <c r="U5227" i="98" s="1"/>
  <c r="S5227" i="98"/>
  <c r="R5227" i="98"/>
  <c r="V5226" i="98"/>
  <c r="T5226" i="98"/>
  <c r="U5226" i="98" s="1"/>
  <c r="S5226" i="98"/>
  <c r="R5226" i="98"/>
  <c r="V5225" i="98"/>
  <c r="T5225" i="98"/>
  <c r="U5225" i="98" s="1"/>
  <c r="S5225" i="98"/>
  <c r="R5225" i="98"/>
  <c r="V5224" i="98"/>
  <c r="T5224" i="98"/>
  <c r="U5224" i="98" s="1"/>
  <c r="S5224" i="98"/>
  <c r="R5224" i="98"/>
  <c r="V5223" i="98"/>
  <c r="T5223" i="98"/>
  <c r="U5223" i="98" s="1"/>
  <c r="S5223" i="98"/>
  <c r="R5223" i="98"/>
  <c r="V5222" i="98"/>
  <c r="T5222" i="98"/>
  <c r="U5222" i="98" s="1"/>
  <c r="S5222" i="98"/>
  <c r="R5222" i="98"/>
  <c r="V5221" i="98"/>
  <c r="T5221" i="98"/>
  <c r="U5221" i="98" s="1"/>
  <c r="S5221" i="98"/>
  <c r="R5221" i="98"/>
  <c r="V5220" i="98"/>
  <c r="T5220" i="98"/>
  <c r="U5220" i="98" s="1"/>
  <c r="S5220" i="98"/>
  <c r="R5220" i="98"/>
  <c r="V5219" i="98"/>
  <c r="T5219" i="98"/>
  <c r="U5219" i="98" s="1"/>
  <c r="S5219" i="98"/>
  <c r="R5219" i="98"/>
  <c r="V5218" i="98"/>
  <c r="T5218" i="98"/>
  <c r="U5218" i="98" s="1"/>
  <c r="S5218" i="98"/>
  <c r="R5218" i="98"/>
  <c r="V5217" i="98"/>
  <c r="T5217" i="98"/>
  <c r="U5217" i="98" s="1"/>
  <c r="S5217" i="98"/>
  <c r="R5217" i="98"/>
  <c r="V5216" i="98"/>
  <c r="T5216" i="98"/>
  <c r="U5216" i="98" s="1"/>
  <c r="S5216" i="98"/>
  <c r="R5216" i="98"/>
  <c r="V5215" i="98"/>
  <c r="T5215" i="98"/>
  <c r="U5215" i="98" s="1"/>
  <c r="S5215" i="98"/>
  <c r="R5215" i="98"/>
  <c r="V5214" i="98"/>
  <c r="T5214" i="98"/>
  <c r="U5214" i="98" s="1"/>
  <c r="S5214" i="98"/>
  <c r="R5214" i="98"/>
  <c r="V5213" i="98"/>
  <c r="T5213" i="98"/>
  <c r="U5213" i="98" s="1"/>
  <c r="S5213" i="98"/>
  <c r="R5213" i="98"/>
  <c r="V5212" i="98"/>
  <c r="T5212" i="98"/>
  <c r="U5212" i="98" s="1"/>
  <c r="S5212" i="98"/>
  <c r="R5212" i="98"/>
  <c r="V5211" i="98"/>
  <c r="T5211" i="98"/>
  <c r="U5211" i="98" s="1"/>
  <c r="S5211" i="98"/>
  <c r="R5211" i="98"/>
  <c r="V5210" i="98"/>
  <c r="T5210" i="98"/>
  <c r="U5210" i="98" s="1"/>
  <c r="S5210" i="98"/>
  <c r="R5210" i="98"/>
  <c r="V5209" i="98"/>
  <c r="T5209" i="98"/>
  <c r="U5209" i="98" s="1"/>
  <c r="S5209" i="98"/>
  <c r="R5209" i="98"/>
  <c r="V5208" i="98"/>
  <c r="T5208" i="98"/>
  <c r="U5208" i="98" s="1"/>
  <c r="S5208" i="98"/>
  <c r="R5208" i="98"/>
  <c r="V5207" i="98"/>
  <c r="T5207" i="98"/>
  <c r="U5207" i="98" s="1"/>
  <c r="S5207" i="98"/>
  <c r="R5207" i="98"/>
  <c r="V5206" i="98"/>
  <c r="T5206" i="98"/>
  <c r="U5206" i="98" s="1"/>
  <c r="S5206" i="98"/>
  <c r="R5206" i="98"/>
  <c r="V5205" i="98"/>
  <c r="T5205" i="98"/>
  <c r="U5205" i="98" s="1"/>
  <c r="S5205" i="98"/>
  <c r="R5205" i="98"/>
  <c r="V5204" i="98"/>
  <c r="T5204" i="98"/>
  <c r="U5204" i="98" s="1"/>
  <c r="S5204" i="98"/>
  <c r="R5204" i="98"/>
  <c r="V5203" i="98"/>
  <c r="T5203" i="98"/>
  <c r="U5203" i="98" s="1"/>
  <c r="S5203" i="98"/>
  <c r="R5203" i="98"/>
  <c r="V5202" i="98"/>
  <c r="T5202" i="98"/>
  <c r="U5202" i="98" s="1"/>
  <c r="S5202" i="98"/>
  <c r="R5202" i="98"/>
  <c r="V5201" i="98"/>
  <c r="T5201" i="98"/>
  <c r="U5201" i="98" s="1"/>
  <c r="S5201" i="98"/>
  <c r="R5201" i="98"/>
  <c r="V5200" i="98"/>
  <c r="T5200" i="98"/>
  <c r="U5200" i="98" s="1"/>
  <c r="S5200" i="98"/>
  <c r="R5200" i="98"/>
  <c r="V5199" i="98"/>
  <c r="T5199" i="98"/>
  <c r="U5199" i="98" s="1"/>
  <c r="S5199" i="98"/>
  <c r="R5199" i="98"/>
  <c r="V5198" i="98"/>
  <c r="T5198" i="98"/>
  <c r="U5198" i="98" s="1"/>
  <c r="S5198" i="98"/>
  <c r="R5198" i="98"/>
  <c r="V5197" i="98"/>
  <c r="T5197" i="98"/>
  <c r="U5197" i="98" s="1"/>
  <c r="S5197" i="98"/>
  <c r="R5197" i="98"/>
  <c r="V5196" i="98"/>
  <c r="T5196" i="98"/>
  <c r="U5196" i="98" s="1"/>
  <c r="S5196" i="98"/>
  <c r="R5196" i="98"/>
  <c r="V5195" i="98"/>
  <c r="T5195" i="98"/>
  <c r="U5195" i="98" s="1"/>
  <c r="S5195" i="98"/>
  <c r="R5195" i="98"/>
  <c r="V5194" i="98"/>
  <c r="T5194" i="98"/>
  <c r="U5194" i="98" s="1"/>
  <c r="S5194" i="98"/>
  <c r="R5194" i="98"/>
  <c r="V5193" i="98"/>
  <c r="T5193" i="98"/>
  <c r="U5193" i="98" s="1"/>
  <c r="S5193" i="98"/>
  <c r="R5193" i="98"/>
  <c r="V5192" i="98"/>
  <c r="T5192" i="98"/>
  <c r="U5192" i="98" s="1"/>
  <c r="S5192" i="98"/>
  <c r="R5192" i="98"/>
  <c r="V5191" i="98"/>
  <c r="T5191" i="98"/>
  <c r="U5191" i="98" s="1"/>
  <c r="S5191" i="98"/>
  <c r="R5191" i="98"/>
  <c r="V5190" i="98"/>
  <c r="T5190" i="98"/>
  <c r="U5190" i="98" s="1"/>
  <c r="S5190" i="98"/>
  <c r="R5190" i="98"/>
  <c r="V5189" i="98"/>
  <c r="T5189" i="98"/>
  <c r="U5189" i="98" s="1"/>
  <c r="S5189" i="98"/>
  <c r="R5189" i="98"/>
  <c r="V5188" i="98"/>
  <c r="T5188" i="98"/>
  <c r="U5188" i="98" s="1"/>
  <c r="S5188" i="98"/>
  <c r="R5188" i="98"/>
  <c r="V5187" i="98"/>
  <c r="T5187" i="98"/>
  <c r="U5187" i="98" s="1"/>
  <c r="S5187" i="98"/>
  <c r="R5187" i="98"/>
  <c r="V5186" i="98"/>
  <c r="T5186" i="98"/>
  <c r="U5186" i="98" s="1"/>
  <c r="S5186" i="98"/>
  <c r="R5186" i="98"/>
  <c r="V5185" i="98"/>
  <c r="T5185" i="98"/>
  <c r="U5185" i="98" s="1"/>
  <c r="S5185" i="98"/>
  <c r="R5185" i="98"/>
  <c r="V5184" i="98"/>
  <c r="T5184" i="98"/>
  <c r="U5184" i="98" s="1"/>
  <c r="S5184" i="98"/>
  <c r="R5184" i="98"/>
  <c r="V5183" i="98"/>
  <c r="T5183" i="98"/>
  <c r="U5183" i="98" s="1"/>
  <c r="S5183" i="98"/>
  <c r="R5183" i="98"/>
  <c r="V5182" i="98"/>
  <c r="T5182" i="98"/>
  <c r="U5182" i="98" s="1"/>
  <c r="S5182" i="98"/>
  <c r="R5182" i="98"/>
  <c r="V5181" i="98"/>
  <c r="T5181" i="98"/>
  <c r="U5181" i="98" s="1"/>
  <c r="S5181" i="98"/>
  <c r="R5181" i="98"/>
  <c r="V5180" i="98"/>
  <c r="T5180" i="98"/>
  <c r="U5180" i="98" s="1"/>
  <c r="S5180" i="98"/>
  <c r="R5180" i="98"/>
  <c r="V5179" i="98"/>
  <c r="T5179" i="98"/>
  <c r="U5179" i="98" s="1"/>
  <c r="S5179" i="98"/>
  <c r="R5179" i="98"/>
  <c r="V5178" i="98"/>
  <c r="T5178" i="98"/>
  <c r="U5178" i="98" s="1"/>
  <c r="S5178" i="98"/>
  <c r="R5178" i="98"/>
  <c r="V5177" i="98"/>
  <c r="T5177" i="98"/>
  <c r="U5177" i="98" s="1"/>
  <c r="S5177" i="98"/>
  <c r="R5177" i="98"/>
  <c r="V5176" i="98"/>
  <c r="T5176" i="98"/>
  <c r="U5176" i="98" s="1"/>
  <c r="S5176" i="98"/>
  <c r="R5176" i="98"/>
  <c r="V5175" i="98"/>
  <c r="T5175" i="98"/>
  <c r="U5175" i="98" s="1"/>
  <c r="S5175" i="98"/>
  <c r="R5175" i="98"/>
  <c r="V5174" i="98"/>
  <c r="T5174" i="98"/>
  <c r="U5174" i="98" s="1"/>
  <c r="S5174" i="98"/>
  <c r="R5174" i="98"/>
  <c r="V5173" i="98"/>
  <c r="T5173" i="98"/>
  <c r="U5173" i="98" s="1"/>
  <c r="S5173" i="98"/>
  <c r="R5173" i="98"/>
  <c r="V5172" i="98"/>
  <c r="T5172" i="98"/>
  <c r="U5172" i="98" s="1"/>
  <c r="S5172" i="98"/>
  <c r="R5172" i="98"/>
  <c r="V5171" i="98"/>
  <c r="T5171" i="98"/>
  <c r="U5171" i="98" s="1"/>
  <c r="S5171" i="98"/>
  <c r="R5171" i="98"/>
  <c r="V5170" i="98"/>
  <c r="T5170" i="98"/>
  <c r="U5170" i="98" s="1"/>
  <c r="S5170" i="98"/>
  <c r="R5170" i="98"/>
  <c r="V5169" i="98"/>
  <c r="T5169" i="98"/>
  <c r="U5169" i="98" s="1"/>
  <c r="S5169" i="98"/>
  <c r="R5169" i="98"/>
  <c r="V5168" i="98"/>
  <c r="T5168" i="98"/>
  <c r="U5168" i="98" s="1"/>
  <c r="S5168" i="98"/>
  <c r="R5168" i="98"/>
  <c r="V5167" i="98"/>
  <c r="T5167" i="98"/>
  <c r="U5167" i="98" s="1"/>
  <c r="S5167" i="98"/>
  <c r="R5167" i="98"/>
  <c r="V5166" i="98"/>
  <c r="T5166" i="98"/>
  <c r="U5166" i="98" s="1"/>
  <c r="S5166" i="98"/>
  <c r="R5166" i="98"/>
  <c r="V5165" i="98"/>
  <c r="T5165" i="98"/>
  <c r="U5165" i="98" s="1"/>
  <c r="S5165" i="98"/>
  <c r="R5165" i="98"/>
  <c r="V5164" i="98"/>
  <c r="T5164" i="98"/>
  <c r="U5164" i="98" s="1"/>
  <c r="S5164" i="98"/>
  <c r="R5164" i="98"/>
  <c r="V5163" i="98"/>
  <c r="T5163" i="98"/>
  <c r="U5163" i="98" s="1"/>
  <c r="S5163" i="98"/>
  <c r="R5163" i="98"/>
  <c r="V5162" i="98"/>
  <c r="T5162" i="98"/>
  <c r="U5162" i="98" s="1"/>
  <c r="S5162" i="98"/>
  <c r="R5162" i="98"/>
  <c r="V5161" i="98"/>
  <c r="T5161" i="98"/>
  <c r="U5161" i="98" s="1"/>
  <c r="S5161" i="98"/>
  <c r="R5161" i="98"/>
  <c r="V5160" i="98"/>
  <c r="T5160" i="98"/>
  <c r="U5160" i="98" s="1"/>
  <c r="S5160" i="98"/>
  <c r="R5160" i="98"/>
  <c r="V5159" i="98"/>
  <c r="T5159" i="98"/>
  <c r="U5159" i="98" s="1"/>
  <c r="S5159" i="98"/>
  <c r="R5159" i="98"/>
  <c r="V5158" i="98"/>
  <c r="T5158" i="98"/>
  <c r="U5158" i="98" s="1"/>
  <c r="S5158" i="98"/>
  <c r="R5158" i="98"/>
  <c r="V5157" i="98"/>
  <c r="T5157" i="98"/>
  <c r="U5157" i="98" s="1"/>
  <c r="S5157" i="98"/>
  <c r="R5157" i="98"/>
  <c r="V5156" i="98"/>
  <c r="T5156" i="98"/>
  <c r="U5156" i="98" s="1"/>
  <c r="S5156" i="98"/>
  <c r="R5156" i="98"/>
  <c r="V5155" i="98"/>
  <c r="T5155" i="98"/>
  <c r="U5155" i="98" s="1"/>
  <c r="S5155" i="98"/>
  <c r="R5155" i="98"/>
  <c r="V5154" i="98"/>
  <c r="T5154" i="98"/>
  <c r="U5154" i="98" s="1"/>
  <c r="S5154" i="98"/>
  <c r="R5154" i="98"/>
  <c r="V5153" i="98"/>
  <c r="T5153" i="98"/>
  <c r="U5153" i="98" s="1"/>
  <c r="S5153" i="98"/>
  <c r="R5153" i="98"/>
  <c r="V5152" i="98"/>
  <c r="T5152" i="98"/>
  <c r="U5152" i="98" s="1"/>
  <c r="S5152" i="98"/>
  <c r="R5152" i="98"/>
  <c r="V5151" i="98"/>
  <c r="T5151" i="98"/>
  <c r="U5151" i="98" s="1"/>
  <c r="S5151" i="98"/>
  <c r="R5151" i="98"/>
  <c r="V5150" i="98"/>
  <c r="T5150" i="98"/>
  <c r="U5150" i="98" s="1"/>
  <c r="S5150" i="98"/>
  <c r="R5150" i="98"/>
  <c r="V5149" i="98"/>
  <c r="T5149" i="98"/>
  <c r="U5149" i="98" s="1"/>
  <c r="S5149" i="98"/>
  <c r="R5149" i="98"/>
  <c r="V5148" i="98"/>
  <c r="T5148" i="98"/>
  <c r="U5148" i="98" s="1"/>
  <c r="S5148" i="98"/>
  <c r="R5148" i="98"/>
  <c r="V5147" i="98"/>
  <c r="T5147" i="98"/>
  <c r="U5147" i="98" s="1"/>
  <c r="S5147" i="98"/>
  <c r="R5147" i="98"/>
  <c r="V5146" i="98"/>
  <c r="T5146" i="98"/>
  <c r="U5146" i="98" s="1"/>
  <c r="S5146" i="98"/>
  <c r="R5146" i="98"/>
  <c r="V5145" i="98"/>
  <c r="T5145" i="98"/>
  <c r="U5145" i="98" s="1"/>
  <c r="S5145" i="98"/>
  <c r="R5145" i="98"/>
  <c r="V5144" i="98"/>
  <c r="T5144" i="98"/>
  <c r="U5144" i="98" s="1"/>
  <c r="S5144" i="98"/>
  <c r="R5144" i="98"/>
  <c r="V5143" i="98"/>
  <c r="T5143" i="98"/>
  <c r="U5143" i="98" s="1"/>
  <c r="S5143" i="98"/>
  <c r="R5143" i="98"/>
  <c r="V5142" i="98"/>
  <c r="T5142" i="98"/>
  <c r="U5142" i="98" s="1"/>
  <c r="S5142" i="98"/>
  <c r="R5142" i="98"/>
  <c r="V5141" i="98"/>
  <c r="T5141" i="98"/>
  <c r="U5141" i="98" s="1"/>
  <c r="S5141" i="98"/>
  <c r="R5141" i="98"/>
  <c r="V5140" i="98"/>
  <c r="T5140" i="98"/>
  <c r="U5140" i="98" s="1"/>
  <c r="S5140" i="98"/>
  <c r="R5140" i="98"/>
  <c r="V5139" i="98"/>
  <c r="T5139" i="98"/>
  <c r="U5139" i="98" s="1"/>
  <c r="S5139" i="98"/>
  <c r="R5139" i="98"/>
  <c r="V5138" i="98"/>
  <c r="T5138" i="98"/>
  <c r="U5138" i="98" s="1"/>
  <c r="S5138" i="98"/>
  <c r="R5138" i="98"/>
  <c r="V5137" i="98"/>
  <c r="T5137" i="98"/>
  <c r="U5137" i="98" s="1"/>
  <c r="S5137" i="98"/>
  <c r="R5137" i="98"/>
  <c r="V5136" i="98"/>
  <c r="T5136" i="98"/>
  <c r="U5136" i="98" s="1"/>
  <c r="S5136" i="98"/>
  <c r="R5136" i="98"/>
  <c r="V5135" i="98"/>
  <c r="T5135" i="98"/>
  <c r="U5135" i="98" s="1"/>
  <c r="S5135" i="98"/>
  <c r="R5135" i="98"/>
  <c r="V5134" i="98"/>
  <c r="T5134" i="98"/>
  <c r="U5134" i="98" s="1"/>
  <c r="S5134" i="98"/>
  <c r="R5134" i="98"/>
  <c r="V5133" i="98"/>
  <c r="T5133" i="98"/>
  <c r="U5133" i="98" s="1"/>
  <c r="S5133" i="98"/>
  <c r="R5133" i="98"/>
  <c r="V5132" i="98"/>
  <c r="T5132" i="98"/>
  <c r="U5132" i="98" s="1"/>
  <c r="S5132" i="98"/>
  <c r="R5132" i="98"/>
  <c r="V5131" i="98"/>
  <c r="T5131" i="98"/>
  <c r="U5131" i="98" s="1"/>
  <c r="S5131" i="98"/>
  <c r="R5131" i="98"/>
  <c r="V5130" i="98"/>
  <c r="T5130" i="98"/>
  <c r="U5130" i="98" s="1"/>
  <c r="S5130" i="98"/>
  <c r="R5130" i="98"/>
  <c r="V5129" i="98"/>
  <c r="T5129" i="98"/>
  <c r="U5129" i="98" s="1"/>
  <c r="S5129" i="98"/>
  <c r="R5129" i="98"/>
  <c r="V5128" i="98"/>
  <c r="T5128" i="98"/>
  <c r="U5128" i="98" s="1"/>
  <c r="S5128" i="98"/>
  <c r="R5128" i="98"/>
  <c r="V5127" i="98"/>
  <c r="T5127" i="98"/>
  <c r="U5127" i="98" s="1"/>
  <c r="S5127" i="98"/>
  <c r="R5127" i="98"/>
  <c r="V5126" i="98"/>
  <c r="T5126" i="98"/>
  <c r="U5126" i="98" s="1"/>
  <c r="S5126" i="98"/>
  <c r="R5126" i="98"/>
  <c r="V5125" i="98"/>
  <c r="T5125" i="98"/>
  <c r="U5125" i="98" s="1"/>
  <c r="S5125" i="98"/>
  <c r="R5125" i="98"/>
  <c r="V5124" i="98"/>
  <c r="T5124" i="98"/>
  <c r="U5124" i="98" s="1"/>
  <c r="S5124" i="98"/>
  <c r="R5124" i="98"/>
  <c r="V5123" i="98"/>
  <c r="T5123" i="98"/>
  <c r="U5123" i="98" s="1"/>
  <c r="S5123" i="98"/>
  <c r="R5123" i="98"/>
  <c r="V5122" i="98"/>
  <c r="T5122" i="98"/>
  <c r="U5122" i="98" s="1"/>
  <c r="S5122" i="98"/>
  <c r="R5122" i="98"/>
  <c r="V5121" i="98"/>
  <c r="T5121" i="98"/>
  <c r="U5121" i="98" s="1"/>
  <c r="S5121" i="98"/>
  <c r="R5121" i="98"/>
  <c r="V5120" i="98"/>
  <c r="T5120" i="98"/>
  <c r="U5120" i="98" s="1"/>
  <c r="S5120" i="98"/>
  <c r="R5120" i="98"/>
  <c r="V5119" i="98"/>
  <c r="T5119" i="98"/>
  <c r="U5119" i="98" s="1"/>
  <c r="S5119" i="98"/>
  <c r="R5119" i="98"/>
  <c r="V5118" i="98"/>
  <c r="T5118" i="98"/>
  <c r="U5118" i="98" s="1"/>
  <c r="S5118" i="98"/>
  <c r="R5118" i="98"/>
  <c r="V5117" i="98"/>
  <c r="T5117" i="98"/>
  <c r="U5117" i="98" s="1"/>
  <c r="S5117" i="98"/>
  <c r="R5117" i="98"/>
  <c r="V5116" i="98"/>
  <c r="T5116" i="98"/>
  <c r="U5116" i="98" s="1"/>
  <c r="S5116" i="98"/>
  <c r="R5116" i="98"/>
  <c r="V5115" i="98"/>
  <c r="T5115" i="98"/>
  <c r="U5115" i="98" s="1"/>
  <c r="S5115" i="98"/>
  <c r="R5115" i="98"/>
  <c r="V5114" i="98"/>
  <c r="T5114" i="98"/>
  <c r="U5114" i="98" s="1"/>
  <c r="S5114" i="98"/>
  <c r="R5114" i="98"/>
  <c r="V5113" i="98"/>
  <c r="T5113" i="98"/>
  <c r="U5113" i="98" s="1"/>
  <c r="S5113" i="98"/>
  <c r="R5113" i="98"/>
  <c r="V5112" i="98"/>
  <c r="T5112" i="98"/>
  <c r="U5112" i="98" s="1"/>
  <c r="S5112" i="98"/>
  <c r="R5112" i="98"/>
  <c r="V5111" i="98"/>
  <c r="T5111" i="98"/>
  <c r="U5111" i="98" s="1"/>
  <c r="S5111" i="98"/>
  <c r="R5111" i="98"/>
  <c r="V5110" i="98"/>
  <c r="T5110" i="98"/>
  <c r="U5110" i="98" s="1"/>
  <c r="S5110" i="98"/>
  <c r="R5110" i="98"/>
  <c r="V5109" i="98"/>
  <c r="T5109" i="98"/>
  <c r="U5109" i="98" s="1"/>
  <c r="S5109" i="98"/>
  <c r="R5109" i="98"/>
  <c r="V5108" i="98"/>
  <c r="T5108" i="98"/>
  <c r="U5108" i="98" s="1"/>
  <c r="S5108" i="98"/>
  <c r="R5108" i="98"/>
  <c r="V5107" i="98"/>
  <c r="T5107" i="98"/>
  <c r="U5107" i="98" s="1"/>
  <c r="S5107" i="98"/>
  <c r="R5107" i="98"/>
  <c r="V5106" i="98"/>
  <c r="T5106" i="98"/>
  <c r="U5106" i="98" s="1"/>
  <c r="S5106" i="98"/>
  <c r="R5106" i="98"/>
  <c r="V5105" i="98"/>
  <c r="T5105" i="98"/>
  <c r="U5105" i="98" s="1"/>
  <c r="S5105" i="98"/>
  <c r="R5105" i="98"/>
  <c r="V5104" i="98"/>
  <c r="T5104" i="98"/>
  <c r="U5104" i="98" s="1"/>
  <c r="S5104" i="98"/>
  <c r="R5104" i="98"/>
  <c r="V5103" i="98"/>
  <c r="T5103" i="98"/>
  <c r="U5103" i="98" s="1"/>
  <c r="S5103" i="98"/>
  <c r="R5103" i="98"/>
  <c r="V5102" i="98"/>
  <c r="T5102" i="98"/>
  <c r="U5102" i="98" s="1"/>
  <c r="S5102" i="98"/>
  <c r="R5102" i="98"/>
  <c r="V5101" i="98"/>
  <c r="T5101" i="98"/>
  <c r="U5101" i="98" s="1"/>
  <c r="S5101" i="98"/>
  <c r="R5101" i="98"/>
  <c r="V5100" i="98"/>
  <c r="T5100" i="98"/>
  <c r="U5100" i="98" s="1"/>
  <c r="S5100" i="98"/>
  <c r="R5100" i="98"/>
  <c r="V5099" i="98"/>
  <c r="T5099" i="98"/>
  <c r="U5099" i="98" s="1"/>
  <c r="S5099" i="98"/>
  <c r="R5099" i="98"/>
  <c r="V5098" i="98"/>
  <c r="T5098" i="98"/>
  <c r="U5098" i="98" s="1"/>
  <c r="S5098" i="98"/>
  <c r="R5098" i="98"/>
  <c r="V5097" i="98"/>
  <c r="T5097" i="98"/>
  <c r="U5097" i="98" s="1"/>
  <c r="S5097" i="98"/>
  <c r="R5097" i="98"/>
  <c r="V5096" i="98"/>
  <c r="T5096" i="98"/>
  <c r="U5096" i="98" s="1"/>
  <c r="S5096" i="98"/>
  <c r="R5096" i="98"/>
  <c r="V5095" i="98"/>
  <c r="T5095" i="98"/>
  <c r="U5095" i="98" s="1"/>
  <c r="S5095" i="98"/>
  <c r="R5095" i="98"/>
  <c r="V5094" i="98"/>
  <c r="T5094" i="98"/>
  <c r="U5094" i="98" s="1"/>
  <c r="S5094" i="98"/>
  <c r="R5094" i="98"/>
  <c r="V5093" i="98"/>
  <c r="T5093" i="98"/>
  <c r="U5093" i="98" s="1"/>
  <c r="S5093" i="98"/>
  <c r="R5093" i="98"/>
  <c r="V5092" i="98"/>
  <c r="T5092" i="98"/>
  <c r="U5092" i="98" s="1"/>
  <c r="S5092" i="98"/>
  <c r="R5092" i="98"/>
  <c r="V5091" i="98"/>
  <c r="T5091" i="98"/>
  <c r="U5091" i="98" s="1"/>
  <c r="S5091" i="98"/>
  <c r="R5091" i="98"/>
  <c r="V5090" i="98"/>
  <c r="T5090" i="98"/>
  <c r="U5090" i="98" s="1"/>
  <c r="S5090" i="98"/>
  <c r="R5090" i="98"/>
  <c r="V5089" i="98"/>
  <c r="T5089" i="98"/>
  <c r="U5089" i="98" s="1"/>
  <c r="S5089" i="98"/>
  <c r="R5089" i="98"/>
  <c r="V5088" i="98"/>
  <c r="T5088" i="98"/>
  <c r="U5088" i="98" s="1"/>
  <c r="S5088" i="98"/>
  <c r="R5088" i="98"/>
  <c r="V5087" i="98"/>
  <c r="T5087" i="98"/>
  <c r="U5087" i="98" s="1"/>
  <c r="S5087" i="98"/>
  <c r="R5087" i="98"/>
  <c r="V5086" i="98"/>
  <c r="T5086" i="98"/>
  <c r="U5086" i="98" s="1"/>
  <c r="S5086" i="98"/>
  <c r="R5086" i="98"/>
  <c r="V5085" i="98"/>
  <c r="T5085" i="98"/>
  <c r="U5085" i="98" s="1"/>
  <c r="S5085" i="98"/>
  <c r="R5085" i="98"/>
  <c r="V5084" i="98"/>
  <c r="T5084" i="98"/>
  <c r="U5084" i="98" s="1"/>
  <c r="S5084" i="98"/>
  <c r="R5084" i="98"/>
  <c r="V5083" i="98"/>
  <c r="T5083" i="98"/>
  <c r="U5083" i="98" s="1"/>
  <c r="S5083" i="98"/>
  <c r="R5083" i="98"/>
  <c r="V5082" i="98"/>
  <c r="T5082" i="98"/>
  <c r="U5082" i="98" s="1"/>
  <c r="S5082" i="98"/>
  <c r="R5082" i="98"/>
  <c r="V5081" i="98"/>
  <c r="T5081" i="98"/>
  <c r="U5081" i="98" s="1"/>
  <c r="S5081" i="98"/>
  <c r="R5081" i="98"/>
  <c r="V5080" i="98"/>
  <c r="T5080" i="98"/>
  <c r="U5080" i="98" s="1"/>
  <c r="S5080" i="98"/>
  <c r="R5080" i="98"/>
  <c r="V5079" i="98"/>
  <c r="T5079" i="98"/>
  <c r="U5079" i="98" s="1"/>
  <c r="S5079" i="98"/>
  <c r="R5079" i="98"/>
  <c r="V5078" i="98"/>
  <c r="T5078" i="98"/>
  <c r="U5078" i="98" s="1"/>
  <c r="S5078" i="98"/>
  <c r="R5078" i="98"/>
  <c r="V5077" i="98"/>
  <c r="T5077" i="98"/>
  <c r="U5077" i="98" s="1"/>
  <c r="S5077" i="98"/>
  <c r="R5077" i="98"/>
  <c r="V5076" i="98"/>
  <c r="T5076" i="98"/>
  <c r="U5076" i="98" s="1"/>
  <c r="S5076" i="98"/>
  <c r="R5076" i="98"/>
  <c r="V5075" i="98"/>
  <c r="T5075" i="98"/>
  <c r="U5075" i="98" s="1"/>
  <c r="S5075" i="98"/>
  <c r="R5075" i="98"/>
  <c r="V5074" i="98"/>
  <c r="T5074" i="98"/>
  <c r="U5074" i="98" s="1"/>
  <c r="S5074" i="98"/>
  <c r="R5074" i="98"/>
  <c r="V5073" i="98"/>
  <c r="T5073" i="98"/>
  <c r="U5073" i="98" s="1"/>
  <c r="S5073" i="98"/>
  <c r="R5073" i="98"/>
  <c r="V5072" i="98"/>
  <c r="T5072" i="98"/>
  <c r="U5072" i="98" s="1"/>
  <c r="S5072" i="98"/>
  <c r="R5072" i="98"/>
  <c r="V5071" i="98"/>
  <c r="T5071" i="98"/>
  <c r="U5071" i="98" s="1"/>
  <c r="S5071" i="98"/>
  <c r="R5071" i="98"/>
  <c r="V5070" i="98"/>
  <c r="T5070" i="98"/>
  <c r="U5070" i="98" s="1"/>
  <c r="S5070" i="98"/>
  <c r="R5070" i="98"/>
  <c r="V5069" i="98"/>
  <c r="T5069" i="98"/>
  <c r="U5069" i="98" s="1"/>
  <c r="S5069" i="98"/>
  <c r="R5069" i="98"/>
  <c r="V5068" i="98"/>
  <c r="T5068" i="98"/>
  <c r="U5068" i="98" s="1"/>
  <c r="S5068" i="98"/>
  <c r="R5068" i="98"/>
  <c r="V5067" i="98"/>
  <c r="T5067" i="98"/>
  <c r="U5067" i="98" s="1"/>
  <c r="S5067" i="98"/>
  <c r="R5067" i="98"/>
  <c r="V5066" i="98"/>
  <c r="T5066" i="98"/>
  <c r="U5066" i="98" s="1"/>
  <c r="S5066" i="98"/>
  <c r="R5066" i="98"/>
  <c r="V5065" i="98"/>
  <c r="T5065" i="98"/>
  <c r="U5065" i="98" s="1"/>
  <c r="S5065" i="98"/>
  <c r="R5065" i="98"/>
  <c r="V5064" i="98"/>
  <c r="T5064" i="98"/>
  <c r="U5064" i="98" s="1"/>
  <c r="S5064" i="98"/>
  <c r="R5064" i="98"/>
  <c r="V5063" i="98"/>
  <c r="T5063" i="98"/>
  <c r="U5063" i="98" s="1"/>
  <c r="S5063" i="98"/>
  <c r="R5063" i="98"/>
  <c r="V5062" i="98"/>
  <c r="T5062" i="98"/>
  <c r="U5062" i="98" s="1"/>
  <c r="S5062" i="98"/>
  <c r="R5062" i="98"/>
  <c r="V5061" i="98"/>
  <c r="T5061" i="98"/>
  <c r="U5061" i="98" s="1"/>
  <c r="S5061" i="98"/>
  <c r="R5061" i="98"/>
  <c r="V5060" i="98"/>
  <c r="T5060" i="98"/>
  <c r="U5060" i="98" s="1"/>
  <c r="S5060" i="98"/>
  <c r="R5060" i="98"/>
  <c r="V5059" i="98"/>
  <c r="T5059" i="98"/>
  <c r="U5059" i="98" s="1"/>
  <c r="S5059" i="98"/>
  <c r="R5059" i="98"/>
  <c r="V5058" i="98"/>
  <c r="T5058" i="98"/>
  <c r="U5058" i="98" s="1"/>
  <c r="S5058" i="98"/>
  <c r="R5058" i="98"/>
  <c r="V5057" i="98"/>
  <c r="T5057" i="98"/>
  <c r="U5057" i="98" s="1"/>
  <c r="S5057" i="98"/>
  <c r="R5057" i="98"/>
  <c r="V5056" i="98"/>
  <c r="T5056" i="98"/>
  <c r="U5056" i="98" s="1"/>
  <c r="S5056" i="98"/>
  <c r="R5056" i="98"/>
  <c r="V5055" i="98"/>
  <c r="T5055" i="98"/>
  <c r="U5055" i="98" s="1"/>
  <c r="S5055" i="98"/>
  <c r="R5055" i="98"/>
  <c r="V5054" i="98"/>
  <c r="T5054" i="98"/>
  <c r="U5054" i="98" s="1"/>
  <c r="S5054" i="98"/>
  <c r="R5054" i="98"/>
  <c r="V5053" i="98"/>
  <c r="T5053" i="98"/>
  <c r="U5053" i="98" s="1"/>
  <c r="S5053" i="98"/>
  <c r="R5053" i="98"/>
  <c r="V5052" i="98"/>
  <c r="T5052" i="98"/>
  <c r="U5052" i="98" s="1"/>
  <c r="S5052" i="98"/>
  <c r="R5052" i="98"/>
  <c r="V5051" i="98"/>
  <c r="T5051" i="98"/>
  <c r="U5051" i="98" s="1"/>
  <c r="S5051" i="98"/>
  <c r="R5051" i="98"/>
  <c r="V5050" i="98"/>
  <c r="T5050" i="98"/>
  <c r="U5050" i="98" s="1"/>
  <c r="S5050" i="98"/>
  <c r="R5050" i="98"/>
  <c r="V5049" i="98"/>
  <c r="T5049" i="98"/>
  <c r="U5049" i="98" s="1"/>
  <c r="S5049" i="98"/>
  <c r="R5049" i="98"/>
  <c r="V5048" i="98"/>
  <c r="T5048" i="98"/>
  <c r="U5048" i="98" s="1"/>
  <c r="S5048" i="98"/>
  <c r="R5048" i="98"/>
  <c r="V5047" i="98"/>
  <c r="T5047" i="98"/>
  <c r="U5047" i="98" s="1"/>
  <c r="S5047" i="98"/>
  <c r="R5047" i="98"/>
  <c r="V5046" i="98"/>
  <c r="T5046" i="98"/>
  <c r="U5046" i="98" s="1"/>
  <c r="S5046" i="98"/>
  <c r="R5046" i="98"/>
  <c r="V5045" i="98"/>
  <c r="T5045" i="98"/>
  <c r="U5045" i="98" s="1"/>
  <c r="S5045" i="98"/>
  <c r="R5045" i="98"/>
  <c r="V5044" i="98"/>
  <c r="T5044" i="98"/>
  <c r="U5044" i="98" s="1"/>
  <c r="S5044" i="98"/>
  <c r="R5044" i="98"/>
  <c r="V5043" i="98"/>
  <c r="T5043" i="98"/>
  <c r="U5043" i="98" s="1"/>
  <c r="S5043" i="98"/>
  <c r="R5043" i="98"/>
  <c r="V5042" i="98"/>
  <c r="T5042" i="98"/>
  <c r="U5042" i="98" s="1"/>
  <c r="S5042" i="98"/>
  <c r="R5042" i="98"/>
  <c r="V5041" i="98"/>
  <c r="T5041" i="98"/>
  <c r="U5041" i="98" s="1"/>
  <c r="S5041" i="98"/>
  <c r="R5041" i="98"/>
  <c r="V5040" i="98"/>
  <c r="T5040" i="98"/>
  <c r="U5040" i="98" s="1"/>
  <c r="S5040" i="98"/>
  <c r="R5040" i="98"/>
  <c r="V5039" i="98"/>
  <c r="T5039" i="98"/>
  <c r="U5039" i="98" s="1"/>
  <c r="S5039" i="98"/>
  <c r="R5039" i="98"/>
  <c r="V5038" i="98"/>
  <c r="T5038" i="98"/>
  <c r="U5038" i="98" s="1"/>
  <c r="S5038" i="98"/>
  <c r="R5038" i="98"/>
  <c r="V5037" i="98"/>
  <c r="T5037" i="98"/>
  <c r="U5037" i="98" s="1"/>
  <c r="S5037" i="98"/>
  <c r="R5037" i="98"/>
  <c r="V5036" i="98"/>
  <c r="T5036" i="98"/>
  <c r="U5036" i="98" s="1"/>
  <c r="S5036" i="98"/>
  <c r="R5036" i="98"/>
  <c r="V5035" i="98"/>
  <c r="T5035" i="98"/>
  <c r="U5035" i="98" s="1"/>
  <c r="S5035" i="98"/>
  <c r="R5035" i="98"/>
  <c r="V5034" i="98"/>
  <c r="T5034" i="98"/>
  <c r="U5034" i="98" s="1"/>
  <c r="S5034" i="98"/>
  <c r="R5034" i="98"/>
  <c r="V5033" i="98"/>
  <c r="T5033" i="98"/>
  <c r="U5033" i="98" s="1"/>
  <c r="S5033" i="98"/>
  <c r="R5033" i="98"/>
  <c r="V5032" i="98"/>
  <c r="T5032" i="98"/>
  <c r="U5032" i="98" s="1"/>
  <c r="S5032" i="98"/>
  <c r="R5032" i="98"/>
  <c r="V5031" i="98"/>
  <c r="T5031" i="98"/>
  <c r="U5031" i="98" s="1"/>
  <c r="S5031" i="98"/>
  <c r="R5031" i="98"/>
  <c r="V5030" i="98"/>
  <c r="T5030" i="98"/>
  <c r="U5030" i="98" s="1"/>
  <c r="S5030" i="98"/>
  <c r="R5030" i="98"/>
  <c r="V5029" i="98"/>
  <c r="T5029" i="98"/>
  <c r="U5029" i="98" s="1"/>
  <c r="S5029" i="98"/>
  <c r="R5029" i="98"/>
  <c r="V5028" i="98"/>
  <c r="T5028" i="98"/>
  <c r="U5028" i="98" s="1"/>
  <c r="S5028" i="98"/>
  <c r="R5028" i="98"/>
  <c r="V5027" i="98"/>
  <c r="T5027" i="98"/>
  <c r="U5027" i="98" s="1"/>
  <c r="S5027" i="98"/>
  <c r="R5027" i="98"/>
  <c r="V5026" i="98"/>
  <c r="T5026" i="98"/>
  <c r="U5026" i="98" s="1"/>
  <c r="S5026" i="98"/>
  <c r="R5026" i="98"/>
  <c r="V5025" i="98"/>
  <c r="T5025" i="98"/>
  <c r="U5025" i="98" s="1"/>
  <c r="S5025" i="98"/>
  <c r="R5025" i="98"/>
  <c r="V5024" i="98"/>
  <c r="T5024" i="98"/>
  <c r="U5024" i="98" s="1"/>
  <c r="S5024" i="98"/>
  <c r="R5024" i="98"/>
  <c r="V5023" i="98"/>
  <c r="T5023" i="98"/>
  <c r="U5023" i="98" s="1"/>
  <c r="S5023" i="98"/>
  <c r="R5023" i="98"/>
  <c r="V5022" i="98"/>
  <c r="T5022" i="98"/>
  <c r="U5022" i="98" s="1"/>
  <c r="S5022" i="98"/>
  <c r="R5022" i="98"/>
  <c r="V5021" i="98"/>
  <c r="T5021" i="98"/>
  <c r="U5021" i="98" s="1"/>
  <c r="S5021" i="98"/>
  <c r="R5021" i="98"/>
  <c r="V5020" i="98"/>
  <c r="T5020" i="98"/>
  <c r="U5020" i="98" s="1"/>
  <c r="S5020" i="98"/>
  <c r="R5020" i="98"/>
  <c r="V5019" i="98"/>
  <c r="T5019" i="98"/>
  <c r="U5019" i="98" s="1"/>
  <c r="S5019" i="98"/>
  <c r="R5019" i="98"/>
  <c r="V5018" i="98"/>
  <c r="T5018" i="98"/>
  <c r="U5018" i="98" s="1"/>
  <c r="S5018" i="98"/>
  <c r="R5018" i="98"/>
  <c r="V5017" i="98"/>
  <c r="T5017" i="98"/>
  <c r="U5017" i="98" s="1"/>
  <c r="S5017" i="98"/>
  <c r="R5017" i="98"/>
  <c r="V5016" i="98"/>
  <c r="T5016" i="98"/>
  <c r="U5016" i="98" s="1"/>
  <c r="S5016" i="98"/>
  <c r="R5016" i="98"/>
  <c r="V5015" i="98"/>
  <c r="T5015" i="98"/>
  <c r="U5015" i="98" s="1"/>
  <c r="S5015" i="98"/>
  <c r="R5015" i="98"/>
  <c r="V5014" i="98"/>
  <c r="T5014" i="98"/>
  <c r="U5014" i="98" s="1"/>
  <c r="S5014" i="98"/>
  <c r="R5014" i="98"/>
  <c r="V5013" i="98"/>
  <c r="T5013" i="98"/>
  <c r="U5013" i="98" s="1"/>
  <c r="S5013" i="98"/>
  <c r="R5013" i="98"/>
  <c r="V5012" i="98"/>
  <c r="T5012" i="98"/>
  <c r="U5012" i="98" s="1"/>
  <c r="S5012" i="98"/>
  <c r="R5012" i="98"/>
  <c r="V5011" i="98"/>
  <c r="T5011" i="98"/>
  <c r="U5011" i="98" s="1"/>
  <c r="S5011" i="98"/>
  <c r="R5011" i="98"/>
  <c r="V5010" i="98"/>
  <c r="T5010" i="98"/>
  <c r="U5010" i="98" s="1"/>
  <c r="S5010" i="98"/>
  <c r="R5010" i="98"/>
  <c r="V5009" i="98"/>
  <c r="T5009" i="98"/>
  <c r="U5009" i="98" s="1"/>
  <c r="S5009" i="98"/>
  <c r="R5009" i="98"/>
  <c r="V5008" i="98"/>
  <c r="T5008" i="98"/>
  <c r="U5008" i="98" s="1"/>
  <c r="S5008" i="98"/>
  <c r="R5008" i="98"/>
  <c r="V5007" i="98"/>
  <c r="T5007" i="98"/>
  <c r="U5007" i="98" s="1"/>
  <c r="S5007" i="98"/>
  <c r="R5007" i="98"/>
  <c r="V5006" i="98"/>
  <c r="T5006" i="98"/>
  <c r="U5006" i="98" s="1"/>
  <c r="S5006" i="98"/>
  <c r="R5006" i="98"/>
  <c r="V5005" i="98"/>
  <c r="T5005" i="98"/>
  <c r="U5005" i="98" s="1"/>
  <c r="S5005" i="98"/>
  <c r="R5005" i="98"/>
  <c r="V5004" i="98"/>
  <c r="T5004" i="98"/>
  <c r="U5004" i="98" s="1"/>
  <c r="S5004" i="98"/>
  <c r="R5004" i="98"/>
  <c r="V5003" i="98"/>
  <c r="T5003" i="98"/>
  <c r="U5003" i="98" s="1"/>
  <c r="S5003" i="98"/>
  <c r="R5003" i="98"/>
  <c r="V5002" i="98"/>
  <c r="T5002" i="98"/>
  <c r="U5002" i="98" s="1"/>
  <c r="S5002" i="98"/>
  <c r="R5002" i="98"/>
  <c r="V5001" i="98"/>
  <c r="T5001" i="98"/>
  <c r="U5001" i="98" s="1"/>
  <c r="S5001" i="98"/>
  <c r="R5001" i="98"/>
  <c r="V5000" i="98"/>
  <c r="T5000" i="98"/>
  <c r="U5000" i="98" s="1"/>
  <c r="S5000" i="98"/>
  <c r="R5000" i="98"/>
  <c r="V4999" i="98"/>
  <c r="T4999" i="98"/>
  <c r="U4999" i="98" s="1"/>
  <c r="S4999" i="98"/>
  <c r="R4999" i="98"/>
  <c r="V4998" i="98"/>
  <c r="T4998" i="98"/>
  <c r="U4998" i="98" s="1"/>
  <c r="S4998" i="98"/>
  <c r="R4998" i="98"/>
  <c r="V4997" i="98"/>
  <c r="T4997" i="98"/>
  <c r="U4997" i="98" s="1"/>
  <c r="S4997" i="98"/>
  <c r="R4997" i="98"/>
  <c r="V4996" i="98"/>
  <c r="T4996" i="98"/>
  <c r="U4996" i="98" s="1"/>
  <c r="S4996" i="98"/>
  <c r="R4996" i="98"/>
  <c r="V4995" i="98"/>
  <c r="T4995" i="98"/>
  <c r="U4995" i="98" s="1"/>
  <c r="S4995" i="98"/>
  <c r="R4995" i="98"/>
  <c r="V4994" i="98"/>
  <c r="T4994" i="98"/>
  <c r="U4994" i="98" s="1"/>
  <c r="S4994" i="98"/>
  <c r="R4994" i="98"/>
  <c r="V4993" i="98"/>
  <c r="T4993" i="98"/>
  <c r="U4993" i="98" s="1"/>
  <c r="S4993" i="98"/>
  <c r="R4993" i="98"/>
  <c r="V4992" i="98"/>
  <c r="T4992" i="98"/>
  <c r="U4992" i="98" s="1"/>
  <c r="S4992" i="98"/>
  <c r="R4992" i="98"/>
  <c r="V4991" i="98"/>
  <c r="T4991" i="98"/>
  <c r="U4991" i="98" s="1"/>
  <c r="S4991" i="98"/>
  <c r="R4991" i="98"/>
  <c r="V4990" i="98"/>
  <c r="T4990" i="98"/>
  <c r="U4990" i="98" s="1"/>
  <c r="S4990" i="98"/>
  <c r="R4990" i="98"/>
  <c r="V4989" i="98"/>
  <c r="T4989" i="98"/>
  <c r="U4989" i="98" s="1"/>
  <c r="S4989" i="98"/>
  <c r="R4989" i="98"/>
  <c r="V4988" i="98"/>
  <c r="T4988" i="98"/>
  <c r="U4988" i="98" s="1"/>
  <c r="S4988" i="98"/>
  <c r="R4988" i="98"/>
  <c r="V4987" i="98"/>
  <c r="T4987" i="98"/>
  <c r="U4987" i="98" s="1"/>
  <c r="S4987" i="98"/>
  <c r="R4987" i="98"/>
  <c r="V4986" i="98"/>
  <c r="T4986" i="98"/>
  <c r="U4986" i="98" s="1"/>
  <c r="S4986" i="98"/>
  <c r="R4986" i="98"/>
  <c r="V4985" i="98"/>
  <c r="T4985" i="98"/>
  <c r="U4985" i="98" s="1"/>
  <c r="S4985" i="98"/>
  <c r="R4985" i="98"/>
  <c r="V4984" i="98"/>
  <c r="T4984" i="98"/>
  <c r="U4984" i="98" s="1"/>
  <c r="S4984" i="98"/>
  <c r="R4984" i="98"/>
  <c r="V4983" i="98"/>
  <c r="T4983" i="98"/>
  <c r="U4983" i="98" s="1"/>
  <c r="S4983" i="98"/>
  <c r="R4983" i="98"/>
  <c r="V4982" i="98"/>
  <c r="T4982" i="98"/>
  <c r="U4982" i="98" s="1"/>
  <c r="S4982" i="98"/>
  <c r="R4982" i="98"/>
  <c r="V4981" i="98"/>
  <c r="T4981" i="98"/>
  <c r="U4981" i="98" s="1"/>
  <c r="S4981" i="98"/>
  <c r="R4981" i="98"/>
  <c r="V4980" i="98"/>
  <c r="T4980" i="98"/>
  <c r="U4980" i="98" s="1"/>
  <c r="S4980" i="98"/>
  <c r="R4980" i="98"/>
  <c r="V4979" i="98"/>
  <c r="T4979" i="98"/>
  <c r="U4979" i="98" s="1"/>
  <c r="S4979" i="98"/>
  <c r="R4979" i="98"/>
  <c r="V4978" i="98"/>
  <c r="T4978" i="98"/>
  <c r="U4978" i="98" s="1"/>
  <c r="S4978" i="98"/>
  <c r="R4978" i="98"/>
  <c r="V4977" i="98"/>
  <c r="T4977" i="98"/>
  <c r="U4977" i="98" s="1"/>
  <c r="S4977" i="98"/>
  <c r="R4977" i="98"/>
  <c r="V4976" i="98"/>
  <c r="T4976" i="98"/>
  <c r="U4976" i="98" s="1"/>
  <c r="S4976" i="98"/>
  <c r="R4976" i="98"/>
  <c r="V4975" i="98"/>
  <c r="T4975" i="98"/>
  <c r="U4975" i="98" s="1"/>
  <c r="S4975" i="98"/>
  <c r="R4975" i="98"/>
  <c r="V4974" i="98"/>
  <c r="T4974" i="98"/>
  <c r="U4974" i="98" s="1"/>
  <c r="S4974" i="98"/>
  <c r="R4974" i="98"/>
  <c r="V4973" i="98"/>
  <c r="T4973" i="98"/>
  <c r="U4973" i="98" s="1"/>
  <c r="S4973" i="98"/>
  <c r="R4973" i="98"/>
  <c r="V4972" i="98"/>
  <c r="T4972" i="98"/>
  <c r="U4972" i="98" s="1"/>
  <c r="S4972" i="98"/>
  <c r="R4972" i="98"/>
  <c r="V4971" i="98"/>
  <c r="T4971" i="98"/>
  <c r="U4971" i="98" s="1"/>
  <c r="S4971" i="98"/>
  <c r="R4971" i="98"/>
  <c r="V4970" i="98"/>
  <c r="T4970" i="98"/>
  <c r="U4970" i="98" s="1"/>
  <c r="S4970" i="98"/>
  <c r="R4970" i="98"/>
  <c r="V4969" i="98"/>
  <c r="T4969" i="98"/>
  <c r="U4969" i="98" s="1"/>
  <c r="S4969" i="98"/>
  <c r="R4969" i="98"/>
  <c r="V4968" i="98"/>
  <c r="T4968" i="98"/>
  <c r="U4968" i="98" s="1"/>
  <c r="S4968" i="98"/>
  <c r="R4968" i="98"/>
  <c r="V4967" i="98"/>
  <c r="T4967" i="98"/>
  <c r="U4967" i="98" s="1"/>
  <c r="S4967" i="98"/>
  <c r="R4967" i="98"/>
  <c r="V4966" i="98"/>
  <c r="T4966" i="98"/>
  <c r="U4966" i="98" s="1"/>
  <c r="S4966" i="98"/>
  <c r="R4966" i="98"/>
  <c r="V4965" i="98"/>
  <c r="T4965" i="98"/>
  <c r="U4965" i="98" s="1"/>
  <c r="S4965" i="98"/>
  <c r="R4965" i="98"/>
  <c r="V4964" i="98"/>
  <c r="T4964" i="98"/>
  <c r="U4964" i="98" s="1"/>
  <c r="S4964" i="98"/>
  <c r="R4964" i="98"/>
  <c r="V4963" i="98"/>
  <c r="T4963" i="98"/>
  <c r="U4963" i="98" s="1"/>
  <c r="S4963" i="98"/>
  <c r="R4963" i="98"/>
  <c r="V4962" i="98"/>
  <c r="T4962" i="98"/>
  <c r="U4962" i="98" s="1"/>
  <c r="S4962" i="98"/>
  <c r="R4962" i="98"/>
  <c r="V4961" i="98"/>
  <c r="T4961" i="98"/>
  <c r="U4961" i="98" s="1"/>
  <c r="S4961" i="98"/>
  <c r="R4961" i="98"/>
  <c r="V4960" i="98"/>
  <c r="T4960" i="98"/>
  <c r="U4960" i="98" s="1"/>
  <c r="S4960" i="98"/>
  <c r="R4960" i="98"/>
  <c r="V4959" i="98"/>
  <c r="T4959" i="98"/>
  <c r="U4959" i="98" s="1"/>
  <c r="S4959" i="98"/>
  <c r="R4959" i="98"/>
  <c r="V4958" i="98"/>
  <c r="T4958" i="98"/>
  <c r="U4958" i="98" s="1"/>
  <c r="S4958" i="98"/>
  <c r="R4958" i="98"/>
  <c r="V4957" i="98"/>
  <c r="T4957" i="98"/>
  <c r="U4957" i="98" s="1"/>
  <c r="S4957" i="98"/>
  <c r="R4957" i="98"/>
  <c r="V4956" i="98"/>
  <c r="T4956" i="98"/>
  <c r="U4956" i="98" s="1"/>
  <c r="S4956" i="98"/>
  <c r="R4956" i="98"/>
  <c r="V4955" i="98"/>
  <c r="T4955" i="98"/>
  <c r="U4955" i="98" s="1"/>
  <c r="S4955" i="98"/>
  <c r="R4955" i="98"/>
  <c r="V4954" i="98"/>
  <c r="T4954" i="98"/>
  <c r="U4954" i="98" s="1"/>
  <c r="S4954" i="98"/>
  <c r="R4954" i="98"/>
  <c r="V4953" i="98"/>
  <c r="T4953" i="98"/>
  <c r="U4953" i="98" s="1"/>
  <c r="S4953" i="98"/>
  <c r="R4953" i="98"/>
  <c r="V4952" i="98"/>
  <c r="T4952" i="98"/>
  <c r="U4952" i="98" s="1"/>
  <c r="S4952" i="98"/>
  <c r="R4952" i="98"/>
  <c r="V4951" i="98"/>
  <c r="T4951" i="98"/>
  <c r="U4951" i="98" s="1"/>
  <c r="S4951" i="98"/>
  <c r="R4951" i="98"/>
  <c r="V4950" i="98"/>
  <c r="T4950" i="98"/>
  <c r="U4950" i="98" s="1"/>
  <c r="S4950" i="98"/>
  <c r="R4950" i="98"/>
  <c r="V4949" i="98"/>
  <c r="T4949" i="98"/>
  <c r="U4949" i="98" s="1"/>
  <c r="S4949" i="98"/>
  <c r="R4949" i="98"/>
  <c r="V4948" i="98"/>
  <c r="T4948" i="98"/>
  <c r="U4948" i="98" s="1"/>
  <c r="S4948" i="98"/>
  <c r="R4948" i="98"/>
  <c r="V4947" i="98"/>
  <c r="T4947" i="98"/>
  <c r="U4947" i="98" s="1"/>
  <c r="S4947" i="98"/>
  <c r="R4947" i="98"/>
  <c r="V4946" i="98"/>
  <c r="T4946" i="98"/>
  <c r="U4946" i="98" s="1"/>
  <c r="S4946" i="98"/>
  <c r="R4946" i="98"/>
  <c r="V4945" i="98"/>
  <c r="T4945" i="98"/>
  <c r="U4945" i="98" s="1"/>
  <c r="S4945" i="98"/>
  <c r="R4945" i="98"/>
  <c r="V4944" i="98"/>
  <c r="T4944" i="98"/>
  <c r="U4944" i="98" s="1"/>
  <c r="S4944" i="98"/>
  <c r="R4944" i="98"/>
  <c r="V4943" i="98"/>
  <c r="T4943" i="98"/>
  <c r="U4943" i="98" s="1"/>
  <c r="S4943" i="98"/>
  <c r="R4943" i="98"/>
  <c r="V4942" i="98"/>
  <c r="T4942" i="98"/>
  <c r="U4942" i="98" s="1"/>
  <c r="S4942" i="98"/>
  <c r="R4942" i="98"/>
  <c r="V4941" i="98"/>
  <c r="T4941" i="98"/>
  <c r="U4941" i="98" s="1"/>
  <c r="S4941" i="98"/>
  <c r="R4941" i="98"/>
  <c r="V4940" i="98"/>
  <c r="T4940" i="98"/>
  <c r="U4940" i="98" s="1"/>
  <c r="S4940" i="98"/>
  <c r="R4940" i="98"/>
  <c r="V4939" i="98"/>
  <c r="T4939" i="98"/>
  <c r="U4939" i="98" s="1"/>
  <c r="S4939" i="98"/>
  <c r="R4939" i="98"/>
  <c r="V4938" i="98"/>
  <c r="T4938" i="98"/>
  <c r="U4938" i="98" s="1"/>
  <c r="S4938" i="98"/>
  <c r="R4938" i="98"/>
  <c r="V4937" i="98"/>
  <c r="T4937" i="98"/>
  <c r="U4937" i="98" s="1"/>
  <c r="S4937" i="98"/>
  <c r="R4937" i="98"/>
  <c r="V4936" i="98"/>
  <c r="T4936" i="98"/>
  <c r="U4936" i="98" s="1"/>
  <c r="S4936" i="98"/>
  <c r="R4936" i="98"/>
  <c r="V4935" i="98"/>
  <c r="T4935" i="98"/>
  <c r="U4935" i="98" s="1"/>
  <c r="S4935" i="98"/>
  <c r="R4935" i="98"/>
  <c r="V4934" i="98"/>
  <c r="T4934" i="98"/>
  <c r="U4934" i="98" s="1"/>
  <c r="S4934" i="98"/>
  <c r="R4934" i="98"/>
  <c r="V4933" i="98"/>
  <c r="T4933" i="98"/>
  <c r="U4933" i="98" s="1"/>
  <c r="S4933" i="98"/>
  <c r="R4933" i="98"/>
  <c r="V4932" i="98"/>
  <c r="T4932" i="98"/>
  <c r="U4932" i="98" s="1"/>
  <c r="S4932" i="98"/>
  <c r="R4932" i="98"/>
  <c r="V4931" i="98"/>
  <c r="T4931" i="98"/>
  <c r="U4931" i="98" s="1"/>
  <c r="S4931" i="98"/>
  <c r="R4931" i="98"/>
  <c r="V4930" i="98"/>
  <c r="T4930" i="98"/>
  <c r="U4930" i="98" s="1"/>
  <c r="S4930" i="98"/>
  <c r="R4930" i="98"/>
  <c r="V4929" i="98"/>
  <c r="T4929" i="98"/>
  <c r="U4929" i="98" s="1"/>
  <c r="S4929" i="98"/>
  <c r="R4929" i="98"/>
  <c r="V4928" i="98"/>
  <c r="T4928" i="98"/>
  <c r="U4928" i="98" s="1"/>
  <c r="S4928" i="98"/>
  <c r="R4928" i="98"/>
  <c r="V4927" i="98"/>
  <c r="T4927" i="98"/>
  <c r="U4927" i="98" s="1"/>
  <c r="S4927" i="98"/>
  <c r="R4927" i="98"/>
  <c r="V4926" i="98"/>
  <c r="T4926" i="98"/>
  <c r="U4926" i="98" s="1"/>
  <c r="S4926" i="98"/>
  <c r="R4926" i="98"/>
  <c r="V4925" i="98"/>
  <c r="T4925" i="98"/>
  <c r="U4925" i="98" s="1"/>
  <c r="S4925" i="98"/>
  <c r="R4925" i="98"/>
  <c r="V4924" i="98"/>
  <c r="T4924" i="98"/>
  <c r="U4924" i="98" s="1"/>
  <c r="S4924" i="98"/>
  <c r="R4924" i="98"/>
  <c r="V4923" i="98"/>
  <c r="T4923" i="98"/>
  <c r="U4923" i="98" s="1"/>
  <c r="S4923" i="98"/>
  <c r="R4923" i="98"/>
  <c r="V4922" i="98"/>
  <c r="T4922" i="98"/>
  <c r="U4922" i="98" s="1"/>
  <c r="S4922" i="98"/>
  <c r="R4922" i="98"/>
  <c r="V4921" i="98"/>
  <c r="T4921" i="98"/>
  <c r="U4921" i="98" s="1"/>
  <c r="S4921" i="98"/>
  <c r="R4921" i="98"/>
  <c r="V4920" i="98"/>
  <c r="T4920" i="98"/>
  <c r="U4920" i="98" s="1"/>
  <c r="S4920" i="98"/>
  <c r="R4920" i="98"/>
  <c r="V4919" i="98"/>
  <c r="T4919" i="98"/>
  <c r="U4919" i="98" s="1"/>
  <c r="S4919" i="98"/>
  <c r="R4919" i="98"/>
  <c r="V4918" i="98"/>
  <c r="T4918" i="98"/>
  <c r="U4918" i="98" s="1"/>
  <c r="S4918" i="98"/>
  <c r="R4918" i="98"/>
  <c r="V4917" i="98"/>
  <c r="T4917" i="98"/>
  <c r="U4917" i="98" s="1"/>
  <c r="S4917" i="98"/>
  <c r="R4917" i="98"/>
  <c r="V4916" i="98"/>
  <c r="T4916" i="98"/>
  <c r="U4916" i="98" s="1"/>
  <c r="S4916" i="98"/>
  <c r="R4916" i="98"/>
  <c r="V4915" i="98"/>
  <c r="T4915" i="98"/>
  <c r="U4915" i="98" s="1"/>
  <c r="S4915" i="98"/>
  <c r="R4915" i="98"/>
  <c r="V4914" i="98"/>
  <c r="T4914" i="98"/>
  <c r="U4914" i="98" s="1"/>
  <c r="S4914" i="98"/>
  <c r="R4914" i="98"/>
  <c r="V4913" i="98"/>
  <c r="T4913" i="98"/>
  <c r="U4913" i="98" s="1"/>
  <c r="S4913" i="98"/>
  <c r="R4913" i="98"/>
  <c r="V4912" i="98"/>
  <c r="T4912" i="98"/>
  <c r="U4912" i="98" s="1"/>
  <c r="S4912" i="98"/>
  <c r="R4912" i="98"/>
  <c r="V4911" i="98"/>
  <c r="T4911" i="98"/>
  <c r="U4911" i="98" s="1"/>
  <c r="S4911" i="98"/>
  <c r="R4911" i="98"/>
  <c r="V4910" i="98"/>
  <c r="T4910" i="98"/>
  <c r="U4910" i="98" s="1"/>
  <c r="S4910" i="98"/>
  <c r="R4910" i="98"/>
  <c r="V4909" i="98"/>
  <c r="T4909" i="98"/>
  <c r="U4909" i="98" s="1"/>
  <c r="S4909" i="98"/>
  <c r="R4909" i="98"/>
  <c r="V4908" i="98"/>
  <c r="T4908" i="98"/>
  <c r="U4908" i="98" s="1"/>
  <c r="S4908" i="98"/>
  <c r="R4908" i="98"/>
  <c r="V4907" i="98"/>
  <c r="T4907" i="98"/>
  <c r="U4907" i="98" s="1"/>
  <c r="S4907" i="98"/>
  <c r="R4907" i="98"/>
  <c r="V4906" i="98"/>
  <c r="T4906" i="98"/>
  <c r="U4906" i="98" s="1"/>
  <c r="S4906" i="98"/>
  <c r="R4906" i="98"/>
  <c r="V4905" i="98"/>
  <c r="T4905" i="98"/>
  <c r="U4905" i="98" s="1"/>
  <c r="S4905" i="98"/>
  <c r="R4905" i="98"/>
  <c r="V4904" i="98"/>
  <c r="T4904" i="98"/>
  <c r="U4904" i="98" s="1"/>
  <c r="S4904" i="98"/>
  <c r="R4904" i="98"/>
  <c r="V4903" i="98"/>
  <c r="T4903" i="98"/>
  <c r="U4903" i="98" s="1"/>
  <c r="S4903" i="98"/>
  <c r="R4903" i="98"/>
  <c r="V4902" i="98"/>
  <c r="T4902" i="98"/>
  <c r="U4902" i="98" s="1"/>
  <c r="S4902" i="98"/>
  <c r="R4902" i="98"/>
  <c r="V4901" i="98"/>
  <c r="T4901" i="98"/>
  <c r="U4901" i="98" s="1"/>
  <c r="S4901" i="98"/>
  <c r="R4901" i="98"/>
  <c r="V4900" i="98"/>
  <c r="T4900" i="98"/>
  <c r="U4900" i="98" s="1"/>
  <c r="S4900" i="98"/>
  <c r="R4900" i="98"/>
  <c r="V4899" i="98"/>
  <c r="T4899" i="98"/>
  <c r="U4899" i="98" s="1"/>
  <c r="S4899" i="98"/>
  <c r="R4899" i="98"/>
  <c r="V4898" i="98"/>
  <c r="T4898" i="98"/>
  <c r="U4898" i="98" s="1"/>
  <c r="S4898" i="98"/>
  <c r="R4898" i="98"/>
  <c r="V4897" i="98"/>
  <c r="T4897" i="98"/>
  <c r="U4897" i="98" s="1"/>
  <c r="S4897" i="98"/>
  <c r="R4897" i="98"/>
  <c r="V4896" i="98"/>
  <c r="T4896" i="98"/>
  <c r="U4896" i="98" s="1"/>
  <c r="S4896" i="98"/>
  <c r="R4896" i="98"/>
  <c r="V4895" i="98"/>
  <c r="T4895" i="98"/>
  <c r="U4895" i="98" s="1"/>
  <c r="S4895" i="98"/>
  <c r="R4895" i="98"/>
  <c r="V4894" i="98"/>
  <c r="T4894" i="98"/>
  <c r="U4894" i="98" s="1"/>
  <c r="S4894" i="98"/>
  <c r="R4894" i="98"/>
  <c r="V4893" i="98"/>
  <c r="T4893" i="98"/>
  <c r="U4893" i="98" s="1"/>
  <c r="S4893" i="98"/>
  <c r="R4893" i="98"/>
  <c r="V4892" i="98"/>
  <c r="T4892" i="98"/>
  <c r="U4892" i="98" s="1"/>
  <c r="S4892" i="98"/>
  <c r="R4892" i="98"/>
  <c r="V4891" i="98"/>
  <c r="T4891" i="98"/>
  <c r="U4891" i="98" s="1"/>
  <c r="S4891" i="98"/>
  <c r="R4891" i="98"/>
  <c r="V4890" i="98"/>
  <c r="T4890" i="98"/>
  <c r="U4890" i="98" s="1"/>
  <c r="S4890" i="98"/>
  <c r="R4890" i="98"/>
  <c r="V4889" i="98"/>
  <c r="T4889" i="98"/>
  <c r="U4889" i="98" s="1"/>
  <c r="S4889" i="98"/>
  <c r="R4889" i="98"/>
  <c r="V4888" i="98"/>
  <c r="T4888" i="98"/>
  <c r="U4888" i="98" s="1"/>
  <c r="S4888" i="98"/>
  <c r="R4888" i="98"/>
  <c r="V4887" i="98"/>
  <c r="T4887" i="98"/>
  <c r="U4887" i="98" s="1"/>
  <c r="S4887" i="98"/>
  <c r="R4887" i="98"/>
  <c r="V4886" i="98"/>
  <c r="T4886" i="98"/>
  <c r="U4886" i="98" s="1"/>
  <c r="S4886" i="98"/>
  <c r="R4886" i="98"/>
  <c r="V4885" i="98"/>
  <c r="T4885" i="98"/>
  <c r="U4885" i="98" s="1"/>
  <c r="S4885" i="98"/>
  <c r="R4885" i="98"/>
  <c r="V4884" i="98"/>
  <c r="T4884" i="98"/>
  <c r="U4884" i="98" s="1"/>
  <c r="S4884" i="98"/>
  <c r="R4884" i="98"/>
  <c r="V4883" i="98"/>
  <c r="T4883" i="98"/>
  <c r="U4883" i="98" s="1"/>
  <c r="S4883" i="98"/>
  <c r="R4883" i="98"/>
  <c r="V4882" i="98"/>
  <c r="T4882" i="98"/>
  <c r="U4882" i="98" s="1"/>
  <c r="S4882" i="98"/>
  <c r="R4882" i="98"/>
  <c r="V4881" i="98"/>
  <c r="T4881" i="98"/>
  <c r="U4881" i="98" s="1"/>
  <c r="S4881" i="98"/>
  <c r="R4881" i="98"/>
  <c r="V4880" i="98"/>
  <c r="T4880" i="98"/>
  <c r="U4880" i="98" s="1"/>
  <c r="S4880" i="98"/>
  <c r="R4880" i="98"/>
  <c r="V4879" i="98"/>
  <c r="T4879" i="98"/>
  <c r="U4879" i="98" s="1"/>
  <c r="S4879" i="98"/>
  <c r="R4879" i="98"/>
  <c r="V4878" i="98"/>
  <c r="T4878" i="98"/>
  <c r="U4878" i="98" s="1"/>
  <c r="S4878" i="98"/>
  <c r="R4878" i="98"/>
  <c r="V4877" i="98"/>
  <c r="T4877" i="98"/>
  <c r="U4877" i="98" s="1"/>
  <c r="S4877" i="98"/>
  <c r="R4877" i="98"/>
  <c r="V4876" i="98"/>
  <c r="T4876" i="98"/>
  <c r="U4876" i="98" s="1"/>
  <c r="S4876" i="98"/>
  <c r="R4876" i="98"/>
  <c r="V4875" i="98"/>
  <c r="T4875" i="98"/>
  <c r="U4875" i="98" s="1"/>
  <c r="S4875" i="98"/>
  <c r="R4875" i="98"/>
  <c r="V4874" i="98"/>
  <c r="T4874" i="98"/>
  <c r="U4874" i="98" s="1"/>
  <c r="S4874" i="98"/>
  <c r="R4874" i="98"/>
  <c r="V4873" i="98"/>
  <c r="T4873" i="98"/>
  <c r="U4873" i="98" s="1"/>
  <c r="S4873" i="98"/>
  <c r="R4873" i="98"/>
  <c r="V4872" i="98"/>
  <c r="T4872" i="98"/>
  <c r="U4872" i="98" s="1"/>
  <c r="S4872" i="98"/>
  <c r="R4872" i="98"/>
  <c r="V4871" i="98"/>
  <c r="T4871" i="98"/>
  <c r="U4871" i="98" s="1"/>
  <c r="S4871" i="98"/>
  <c r="R4871" i="98"/>
  <c r="V4870" i="98"/>
  <c r="T4870" i="98"/>
  <c r="U4870" i="98" s="1"/>
  <c r="S4870" i="98"/>
  <c r="R4870" i="98"/>
  <c r="V4869" i="98"/>
  <c r="T4869" i="98"/>
  <c r="U4869" i="98" s="1"/>
  <c r="S4869" i="98"/>
  <c r="R4869" i="98"/>
  <c r="V4868" i="98"/>
  <c r="T4868" i="98"/>
  <c r="U4868" i="98" s="1"/>
  <c r="S4868" i="98"/>
  <c r="R4868" i="98"/>
  <c r="V4867" i="98"/>
  <c r="T4867" i="98"/>
  <c r="U4867" i="98" s="1"/>
  <c r="S4867" i="98"/>
  <c r="R4867" i="98"/>
  <c r="V4866" i="98"/>
  <c r="T4866" i="98"/>
  <c r="U4866" i="98" s="1"/>
  <c r="S4866" i="98"/>
  <c r="R4866" i="98"/>
  <c r="V4865" i="98"/>
  <c r="T4865" i="98"/>
  <c r="U4865" i="98" s="1"/>
  <c r="S4865" i="98"/>
  <c r="R4865" i="98"/>
  <c r="V4864" i="98"/>
  <c r="T4864" i="98"/>
  <c r="U4864" i="98" s="1"/>
  <c r="S4864" i="98"/>
  <c r="R4864" i="98"/>
  <c r="V4863" i="98"/>
  <c r="T4863" i="98"/>
  <c r="U4863" i="98" s="1"/>
  <c r="S4863" i="98"/>
  <c r="R4863" i="98"/>
  <c r="V4862" i="98"/>
  <c r="T4862" i="98"/>
  <c r="U4862" i="98" s="1"/>
  <c r="S4862" i="98"/>
  <c r="R4862" i="98"/>
  <c r="V4861" i="98"/>
  <c r="T4861" i="98"/>
  <c r="U4861" i="98" s="1"/>
  <c r="S4861" i="98"/>
  <c r="R4861" i="98"/>
  <c r="V4860" i="98"/>
  <c r="T4860" i="98"/>
  <c r="U4860" i="98" s="1"/>
  <c r="S4860" i="98"/>
  <c r="R4860" i="98"/>
  <c r="V4859" i="98"/>
  <c r="T4859" i="98"/>
  <c r="U4859" i="98" s="1"/>
  <c r="S4859" i="98"/>
  <c r="R4859" i="98"/>
  <c r="V4858" i="98"/>
  <c r="T4858" i="98"/>
  <c r="U4858" i="98" s="1"/>
  <c r="S4858" i="98"/>
  <c r="R4858" i="98"/>
  <c r="V4857" i="98"/>
  <c r="T4857" i="98"/>
  <c r="U4857" i="98" s="1"/>
  <c r="S4857" i="98"/>
  <c r="R4857" i="98"/>
  <c r="V4856" i="98"/>
  <c r="T4856" i="98"/>
  <c r="U4856" i="98" s="1"/>
  <c r="S4856" i="98"/>
  <c r="R4856" i="98"/>
  <c r="V4855" i="98"/>
  <c r="T4855" i="98"/>
  <c r="U4855" i="98" s="1"/>
  <c r="S4855" i="98"/>
  <c r="R4855" i="98"/>
  <c r="V4854" i="98"/>
  <c r="T4854" i="98"/>
  <c r="U4854" i="98" s="1"/>
  <c r="S4854" i="98"/>
  <c r="R4854" i="98"/>
  <c r="V4853" i="98"/>
  <c r="T4853" i="98"/>
  <c r="U4853" i="98" s="1"/>
  <c r="S4853" i="98"/>
  <c r="R4853" i="98"/>
  <c r="V4852" i="98"/>
  <c r="T4852" i="98"/>
  <c r="U4852" i="98" s="1"/>
  <c r="S4852" i="98"/>
  <c r="R4852" i="98"/>
  <c r="V4851" i="98"/>
  <c r="T4851" i="98"/>
  <c r="U4851" i="98" s="1"/>
  <c r="S4851" i="98"/>
  <c r="R4851" i="98"/>
  <c r="V4850" i="98"/>
  <c r="T4850" i="98"/>
  <c r="U4850" i="98" s="1"/>
  <c r="S4850" i="98"/>
  <c r="R4850" i="98"/>
  <c r="V4849" i="98"/>
  <c r="T4849" i="98"/>
  <c r="U4849" i="98" s="1"/>
  <c r="S4849" i="98"/>
  <c r="R4849" i="98"/>
  <c r="V4848" i="98"/>
  <c r="T4848" i="98"/>
  <c r="U4848" i="98" s="1"/>
  <c r="S4848" i="98"/>
  <c r="R4848" i="98"/>
  <c r="V4847" i="98"/>
  <c r="T4847" i="98"/>
  <c r="U4847" i="98" s="1"/>
  <c r="S4847" i="98"/>
  <c r="R4847" i="98"/>
  <c r="V4846" i="98"/>
  <c r="T4846" i="98"/>
  <c r="U4846" i="98" s="1"/>
  <c r="S4846" i="98"/>
  <c r="R4846" i="98"/>
  <c r="V4845" i="98"/>
  <c r="T4845" i="98"/>
  <c r="U4845" i="98" s="1"/>
  <c r="S4845" i="98"/>
  <c r="R4845" i="98"/>
  <c r="V4844" i="98"/>
  <c r="T4844" i="98"/>
  <c r="U4844" i="98" s="1"/>
  <c r="S4844" i="98"/>
  <c r="R4844" i="98"/>
  <c r="V4843" i="98"/>
  <c r="T4843" i="98"/>
  <c r="U4843" i="98" s="1"/>
  <c r="S4843" i="98"/>
  <c r="R4843" i="98"/>
  <c r="V4842" i="98"/>
  <c r="T4842" i="98"/>
  <c r="U4842" i="98" s="1"/>
  <c r="S4842" i="98"/>
  <c r="R4842" i="98"/>
  <c r="V4841" i="98"/>
  <c r="T4841" i="98"/>
  <c r="U4841" i="98" s="1"/>
  <c r="S4841" i="98"/>
  <c r="R4841" i="98"/>
  <c r="V4840" i="98"/>
  <c r="T4840" i="98"/>
  <c r="U4840" i="98" s="1"/>
  <c r="S4840" i="98"/>
  <c r="R4840" i="98"/>
  <c r="V4839" i="98"/>
  <c r="T4839" i="98"/>
  <c r="U4839" i="98" s="1"/>
  <c r="S4839" i="98"/>
  <c r="R4839" i="98"/>
  <c r="V4838" i="98"/>
  <c r="T4838" i="98"/>
  <c r="U4838" i="98" s="1"/>
  <c r="S4838" i="98"/>
  <c r="R4838" i="98"/>
  <c r="V4837" i="98"/>
  <c r="T4837" i="98"/>
  <c r="U4837" i="98" s="1"/>
  <c r="S4837" i="98"/>
  <c r="R4837" i="98"/>
  <c r="V4836" i="98"/>
  <c r="T4836" i="98"/>
  <c r="U4836" i="98" s="1"/>
  <c r="S4836" i="98"/>
  <c r="R4836" i="98"/>
  <c r="V4835" i="98"/>
  <c r="T4835" i="98"/>
  <c r="U4835" i="98" s="1"/>
  <c r="S4835" i="98"/>
  <c r="R4835" i="98"/>
  <c r="V4834" i="98"/>
  <c r="T4834" i="98"/>
  <c r="U4834" i="98" s="1"/>
  <c r="S4834" i="98"/>
  <c r="R4834" i="98"/>
  <c r="V4833" i="98"/>
  <c r="T4833" i="98"/>
  <c r="U4833" i="98" s="1"/>
  <c r="S4833" i="98"/>
  <c r="R4833" i="98"/>
  <c r="V4832" i="98"/>
  <c r="T4832" i="98"/>
  <c r="U4832" i="98" s="1"/>
  <c r="S4832" i="98"/>
  <c r="R4832" i="98"/>
  <c r="V4831" i="98"/>
  <c r="T4831" i="98"/>
  <c r="U4831" i="98" s="1"/>
  <c r="S4831" i="98"/>
  <c r="R4831" i="98"/>
  <c r="V4830" i="98"/>
  <c r="T4830" i="98"/>
  <c r="U4830" i="98" s="1"/>
  <c r="S4830" i="98"/>
  <c r="R4830" i="98"/>
  <c r="V4829" i="98"/>
  <c r="T4829" i="98"/>
  <c r="U4829" i="98" s="1"/>
  <c r="S4829" i="98"/>
  <c r="R4829" i="98"/>
  <c r="V4828" i="98"/>
  <c r="T4828" i="98"/>
  <c r="U4828" i="98" s="1"/>
  <c r="S4828" i="98"/>
  <c r="R4828" i="98"/>
  <c r="V4827" i="98"/>
  <c r="T4827" i="98"/>
  <c r="U4827" i="98" s="1"/>
  <c r="S4827" i="98"/>
  <c r="R4827" i="98"/>
  <c r="V4826" i="98"/>
  <c r="T4826" i="98"/>
  <c r="U4826" i="98" s="1"/>
  <c r="S4826" i="98"/>
  <c r="R4826" i="98"/>
  <c r="V4825" i="98"/>
  <c r="T4825" i="98"/>
  <c r="U4825" i="98" s="1"/>
  <c r="S4825" i="98"/>
  <c r="R4825" i="98"/>
  <c r="V4824" i="98"/>
  <c r="T4824" i="98"/>
  <c r="U4824" i="98" s="1"/>
  <c r="S4824" i="98"/>
  <c r="R4824" i="98"/>
  <c r="V4823" i="98"/>
  <c r="T4823" i="98"/>
  <c r="U4823" i="98" s="1"/>
  <c r="S4823" i="98"/>
  <c r="R4823" i="98"/>
  <c r="V4822" i="98"/>
  <c r="T4822" i="98"/>
  <c r="U4822" i="98" s="1"/>
  <c r="S4822" i="98"/>
  <c r="R4822" i="98"/>
  <c r="V4821" i="98"/>
  <c r="T4821" i="98"/>
  <c r="U4821" i="98" s="1"/>
  <c r="S4821" i="98"/>
  <c r="R4821" i="98"/>
  <c r="V4820" i="98"/>
  <c r="T4820" i="98"/>
  <c r="U4820" i="98" s="1"/>
  <c r="S4820" i="98"/>
  <c r="R4820" i="98"/>
  <c r="V4819" i="98"/>
  <c r="T4819" i="98"/>
  <c r="U4819" i="98" s="1"/>
  <c r="S4819" i="98"/>
  <c r="R4819" i="98"/>
  <c r="V4818" i="98"/>
  <c r="T4818" i="98"/>
  <c r="U4818" i="98" s="1"/>
  <c r="S4818" i="98"/>
  <c r="R4818" i="98"/>
  <c r="V4817" i="98"/>
  <c r="T4817" i="98"/>
  <c r="U4817" i="98" s="1"/>
  <c r="S4817" i="98"/>
  <c r="R4817" i="98"/>
  <c r="V4816" i="98"/>
  <c r="T4816" i="98"/>
  <c r="U4816" i="98" s="1"/>
  <c r="S4816" i="98"/>
  <c r="R4816" i="98"/>
  <c r="V4815" i="98"/>
  <c r="T4815" i="98"/>
  <c r="U4815" i="98" s="1"/>
  <c r="S4815" i="98"/>
  <c r="R4815" i="98"/>
  <c r="V4814" i="98"/>
  <c r="T4814" i="98"/>
  <c r="U4814" i="98" s="1"/>
  <c r="S4814" i="98"/>
  <c r="R4814" i="98"/>
  <c r="V4813" i="98"/>
  <c r="T4813" i="98"/>
  <c r="U4813" i="98" s="1"/>
  <c r="S4813" i="98"/>
  <c r="R4813" i="98"/>
  <c r="V4812" i="98"/>
  <c r="T4812" i="98"/>
  <c r="U4812" i="98" s="1"/>
  <c r="S4812" i="98"/>
  <c r="R4812" i="98"/>
  <c r="V4811" i="98"/>
  <c r="T4811" i="98"/>
  <c r="U4811" i="98" s="1"/>
  <c r="S4811" i="98"/>
  <c r="R4811" i="98"/>
  <c r="V4810" i="98"/>
  <c r="T4810" i="98"/>
  <c r="U4810" i="98" s="1"/>
  <c r="S4810" i="98"/>
  <c r="R4810" i="98"/>
  <c r="V4809" i="98"/>
  <c r="T4809" i="98"/>
  <c r="U4809" i="98" s="1"/>
  <c r="S4809" i="98"/>
  <c r="R4809" i="98"/>
  <c r="V4808" i="98"/>
  <c r="T4808" i="98"/>
  <c r="U4808" i="98" s="1"/>
  <c r="S4808" i="98"/>
  <c r="R4808" i="98"/>
  <c r="V4807" i="98"/>
  <c r="T4807" i="98"/>
  <c r="U4807" i="98" s="1"/>
  <c r="S4807" i="98"/>
  <c r="R4807" i="98"/>
  <c r="V4806" i="98"/>
  <c r="T4806" i="98"/>
  <c r="U4806" i="98" s="1"/>
  <c r="S4806" i="98"/>
  <c r="R4806" i="98"/>
  <c r="V4805" i="98"/>
  <c r="T4805" i="98"/>
  <c r="U4805" i="98" s="1"/>
  <c r="S4805" i="98"/>
  <c r="R4805" i="98"/>
  <c r="V4804" i="98"/>
  <c r="T4804" i="98"/>
  <c r="U4804" i="98" s="1"/>
  <c r="S4804" i="98"/>
  <c r="R4804" i="98"/>
  <c r="V4803" i="98"/>
  <c r="T4803" i="98"/>
  <c r="U4803" i="98" s="1"/>
  <c r="S4803" i="98"/>
  <c r="R4803" i="98"/>
  <c r="V4802" i="98"/>
  <c r="T4802" i="98"/>
  <c r="U4802" i="98" s="1"/>
  <c r="S4802" i="98"/>
  <c r="R4802" i="98"/>
  <c r="V4801" i="98"/>
  <c r="T4801" i="98"/>
  <c r="U4801" i="98" s="1"/>
  <c r="S4801" i="98"/>
  <c r="R4801" i="98"/>
  <c r="V4800" i="98"/>
  <c r="T4800" i="98"/>
  <c r="U4800" i="98" s="1"/>
  <c r="S4800" i="98"/>
  <c r="R4800" i="98"/>
  <c r="V4799" i="98"/>
  <c r="T4799" i="98"/>
  <c r="U4799" i="98" s="1"/>
  <c r="S4799" i="98"/>
  <c r="R4799" i="98"/>
  <c r="V4798" i="98"/>
  <c r="T4798" i="98"/>
  <c r="U4798" i="98" s="1"/>
  <c r="S4798" i="98"/>
  <c r="R4798" i="98"/>
  <c r="V4797" i="98"/>
  <c r="T4797" i="98"/>
  <c r="U4797" i="98" s="1"/>
  <c r="S4797" i="98"/>
  <c r="R4797" i="98"/>
  <c r="V4796" i="98"/>
  <c r="T4796" i="98"/>
  <c r="U4796" i="98" s="1"/>
  <c r="S4796" i="98"/>
  <c r="R4796" i="98"/>
  <c r="V4795" i="98"/>
  <c r="T4795" i="98"/>
  <c r="U4795" i="98" s="1"/>
  <c r="S4795" i="98"/>
  <c r="R4795" i="98"/>
  <c r="V4794" i="98"/>
  <c r="T4794" i="98"/>
  <c r="U4794" i="98" s="1"/>
  <c r="S4794" i="98"/>
  <c r="R4794" i="98"/>
  <c r="V4793" i="98"/>
  <c r="T4793" i="98"/>
  <c r="U4793" i="98" s="1"/>
  <c r="S4793" i="98"/>
  <c r="R4793" i="98"/>
  <c r="V4792" i="98"/>
  <c r="T4792" i="98"/>
  <c r="U4792" i="98" s="1"/>
  <c r="S4792" i="98"/>
  <c r="R4792" i="98"/>
  <c r="V4791" i="98"/>
  <c r="T4791" i="98"/>
  <c r="U4791" i="98" s="1"/>
  <c r="S4791" i="98"/>
  <c r="R4791" i="98"/>
  <c r="V4790" i="98"/>
  <c r="T4790" i="98"/>
  <c r="U4790" i="98" s="1"/>
  <c r="S4790" i="98"/>
  <c r="R4790" i="98"/>
  <c r="V4789" i="98"/>
  <c r="T4789" i="98"/>
  <c r="U4789" i="98" s="1"/>
  <c r="S4789" i="98"/>
  <c r="R4789" i="98"/>
  <c r="V4788" i="98"/>
  <c r="T4788" i="98"/>
  <c r="U4788" i="98" s="1"/>
  <c r="S4788" i="98"/>
  <c r="R4788" i="98"/>
  <c r="V4787" i="98"/>
  <c r="T4787" i="98"/>
  <c r="U4787" i="98" s="1"/>
  <c r="S4787" i="98"/>
  <c r="R4787" i="98"/>
  <c r="V4786" i="98"/>
  <c r="T4786" i="98"/>
  <c r="U4786" i="98" s="1"/>
  <c r="S4786" i="98"/>
  <c r="R4786" i="98"/>
  <c r="V4785" i="98"/>
  <c r="T4785" i="98"/>
  <c r="U4785" i="98" s="1"/>
  <c r="S4785" i="98"/>
  <c r="R4785" i="98"/>
  <c r="V4784" i="98"/>
  <c r="T4784" i="98"/>
  <c r="U4784" i="98" s="1"/>
  <c r="S4784" i="98"/>
  <c r="R4784" i="98"/>
  <c r="V4783" i="98"/>
  <c r="T4783" i="98"/>
  <c r="U4783" i="98" s="1"/>
  <c r="S4783" i="98"/>
  <c r="R4783" i="98"/>
  <c r="V4782" i="98"/>
  <c r="T4782" i="98"/>
  <c r="U4782" i="98" s="1"/>
  <c r="S4782" i="98"/>
  <c r="R4782" i="98"/>
  <c r="V4781" i="98"/>
  <c r="T4781" i="98"/>
  <c r="U4781" i="98" s="1"/>
  <c r="S4781" i="98"/>
  <c r="R4781" i="98"/>
  <c r="V4780" i="98"/>
  <c r="T4780" i="98"/>
  <c r="U4780" i="98" s="1"/>
  <c r="S4780" i="98"/>
  <c r="R4780" i="98"/>
  <c r="V4779" i="98"/>
  <c r="T4779" i="98"/>
  <c r="U4779" i="98" s="1"/>
  <c r="S4779" i="98"/>
  <c r="R4779" i="98"/>
  <c r="V4778" i="98"/>
  <c r="T4778" i="98"/>
  <c r="U4778" i="98" s="1"/>
  <c r="S4778" i="98"/>
  <c r="R4778" i="98"/>
  <c r="V4777" i="98"/>
  <c r="T4777" i="98"/>
  <c r="U4777" i="98" s="1"/>
  <c r="S4777" i="98"/>
  <c r="R4777" i="98"/>
  <c r="V4776" i="98"/>
  <c r="T4776" i="98"/>
  <c r="U4776" i="98" s="1"/>
  <c r="S4776" i="98"/>
  <c r="R4776" i="98"/>
  <c r="V4775" i="98"/>
  <c r="T4775" i="98"/>
  <c r="U4775" i="98" s="1"/>
  <c r="S4775" i="98"/>
  <c r="R4775" i="98"/>
  <c r="V4774" i="98"/>
  <c r="T4774" i="98"/>
  <c r="U4774" i="98" s="1"/>
  <c r="S4774" i="98"/>
  <c r="R4774" i="98"/>
  <c r="V4773" i="98"/>
  <c r="T4773" i="98"/>
  <c r="U4773" i="98" s="1"/>
  <c r="S4773" i="98"/>
  <c r="R4773" i="98"/>
  <c r="V4772" i="98"/>
  <c r="T4772" i="98"/>
  <c r="U4772" i="98" s="1"/>
  <c r="S4772" i="98"/>
  <c r="R4772" i="98"/>
  <c r="V4771" i="98"/>
  <c r="T4771" i="98"/>
  <c r="U4771" i="98" s="1"/>
  <c r="S4771" i="98"/>
  <c r="R4771" i="98"/>
  <c r="V4770" i="98"/>
  <c r="T4770" i="98"/>
  <c r="U4770" i="98" s="1"/>
  <c r="S4770" i="98"/>
  <c r="R4770" i="98"/>
  <c r="V4769" i="98"/>
  <c r="T4769" i="98"/>
  <c r="U4769" i="98" s="1"/>
  <c r="S4769" i="98"/>
  <c r="R4769" i="98"/>
  <c r="V4768" i="98"/>
  <c r="T4768" i="98"/>
  <c r="U4768" i="98" s="1"/>
  <c r="S4768" i="98"/>
  <c r="R4768" i="98"/>
  <c r="V4767" i="98"/>
  <c r="T4767" i="98"/>
  <c r="U4767" i="98" s="1"/>
  <c r="S4767" i="98"/>
  <c r="R4767" i="98"/>
  <c r="V4766" i="98"/>
  <c r="T4766" i="98"/>
  <c r="U4766" i="98" s="1"/>
  <c r="S4766" i="98"/>
  <c r="R4766" i="98"/>
  <c r="V4765" i="98"/>
  <c r="T4765" i="98"/>
  <c r="U4765" i="98" s="1"/>
  <c r="S4765" i="98"/>
  <c r="R4765" i="98"/>
  <c r="V4764" i="98"/>
  <c r="T4764" i="98"/>
  <c r="U4764" i="98" s="1"/>
  <c r="S4764" i="98"/>
  <c r="R4764" i="98"/>
  <c r="V4763" i="98"/>
  <c r="T4763" i="98"/>
  <c r="U4763" i="98" s="1"/>
  <c r="S4763" i="98"/>
  <c r="R4763" i="98"/>
  <c r="V4762" i="98"/>
  <c r="T4762" i="98"/>
  <c r="U4762" i="98" s="1"/>
  <c r="S4762" i="98"/>
  <c r="R4762" i="98"/>
  <c r="V4761" i="98"/>
  <c r="T4761" i="98"/>
  <c r="U4761" i="98" s="1"/>
  <c r="S4761" i="98"/>
  <c r="R4761" i="98"/>
  <c r="V4760" i="98"/>
  <c r="T4760" i="98"/>
  <c r="U4760" i="98" s="1"/>
  <c r="S4760" i="98"/>
  <c r="R4760" i="98"/>
  <c r="V4759" i="98"/>
  <c r="T4759" i="98"/>
  <c r="U4759" i="98" s="1"/>
  <c r="S4759" i="98"/>
  <c r="R4759" i="98"/>
  <c r="V4758" i="98"/>
  <c r="T4758" i="98"/>
  <c r="U4758" i="98" s="1"/>
  <c r="S4758" i="98"/>
  <c r="R4758" i="98"/>
  <c r="V4757" i="98"/>
  <c r="T4757" i="98"/>
  <c r="U4757" i="98" s="1"/>
  <c r="S4757" i="98"/>
  <c r="R4757" i="98"/>
  <c r="V4756" i="98"/>
  <c r="T4756" i="98"/>
  <c r="U4756" i="98" s="1"/>
  <c r="S4756" i="98"/>
  <c r="R4756" i="98"/>
  <c r="V4755" i="98"/>
  <c r="T4755" i="98"/>
  <c r="U4755" i="98" s="1"/>
  <c r="S4755" i="98"/>
  <c r="R4755" i="98"/>
  <c r="V4754" i="98"/>
  <c r="T4754" i="98"/>
  <c r="U4754" i="98" s="1"/>
  <c r="S4754" i="98"/>
  <c r="R4754" i="98"/>
  <c r="V4753" i="98"/>
  <c r="T4753" i="98"/>
  <c r="U4753" i="98" s="1"/>
  <c r="S4753" i="98"/>
  <c r="R4753" i="98"/>
  <c r="V4752" i="98"/>
  <c r="T4752" i="98"/>
  <c r="U4752" i="98" s="1"/>
  <c r="S4752" i="98"/>
  <c r="R4752" i="98"/>
  <c r="V4751" i="98"/>
  <c r="T4751" i="98"/>
  <c r="U4751" i="98" s="1"/>
  <c r="S4751" i="98"/>
  <c r="R4751" i="98"/>
  <c r="V4750" i="98"/>
  <c r="T4750" i="98"/>
  <c r="U4750" i="98" s="1"/>
  <c r="S4750" i="98"/>
  <c r="R4750" i="98"/>
  <c r="V4749" i="98"/>
  <c r="T4749" i="98"/>
  <c r="U4749" i="98" s="1"/>
  <c r="S4749" i="98"/>
  <c r="R4749" i="98"/>
  <c r="V4748" i="98"/>
  <c r="T4748" i="98"/>
  <c r="U4748" i="98" s="1"/>
  <c r="S4748" i="98"/>
  <c r="R4748" i="98"/>
  <c r="V4747" i="98"/>
  <c r="T4747" i="98"/>
  <c r="U4747" i="98" s="1"/>
  <c r="S4747" i="98"/>
  <c r="R4747" i="98"/>
  <c r="V4746" i="98"/>
  <c r="T4746" i="98"/>
  <c r="U4746" i="98" s="1"/>
  <c r="S4746" i="98"/>
  <c r="R4746" i="98"/>
  <c r="V4745" i="98"/>
  <c r="T4745" i="98"/>
  <c r="U4745" i="98" s="1"/>
  <c r="S4745" i="98"/>
  <c r="R4745" i="98"/>
  <c r="V4744" i="98"/>
  <c r="T4744" i="98"/>
  <c r="U4744" i="98" s="1"/>
  <c r="S4744" i="98"/>
  <c r="R4744" i="98"/>
  <c r="V4743" i="98"/>
  <c r="T4743" i="98"/>
  <c r="U4743" i="98" s="1"/>
  <c r="S4743" i="98"/>
  <c r="R4743" i="98"/>
  <c r="V4742" i="98"/>
  <c r="T4742" i="98"/>
  <c r="U4742" i="98" s="1"/>
  <c r="S4742" i="98"/>
  <c r="R4742" i="98"/>
  <c r="V4741" i="98"/>
  <c r="T4741" i="98"/>
  <c r="U4741" i="98" s="1"/>
  <c r="S4741" i="98"/>
  <c r="R4741" i="98"/>
  <c r="V4740" i="98"/>
  <c r="T4740" i="98"/>
  <c r="U4740" i="98" s="1"/>
  <c r="S4740" i="98"/>
  <c r="R4740" i="98"/>
  <c r="V4739" i="98"/>
  <c r="T4739" i="98"/>
  <c r="U4739" i="98" s="1"/>
  <c r="S4739" i="98"/>
  <c r="R4739" i="98"/>
  <c r="V4738" i="98"/>
  <c r="T4738" i="98"/>
  <c r="U4738" i="98" s="1"/>
  <c r="S4738" i="98"/>
  <c r="R4738" i="98"/>
  <c r="V4737" i="98"/>
  <c r="T4737" i="98"/>
  <c r="U4737" i="98" s="1"/>
  <c r="S4737" i="98"/>
  <c r="R4737" i="98"/>
  <c r="V4736" i="98"/>
  <c r="T4736" i="98"/>
  <c r="U4736" i="98" s="1"/>
  <c r="S4736" i="98"/>
  <c r="R4736" i="98"/>
  <c r="V4735" i="98"/>
  <c r="T4735" i="98"/>
  <c r="U4735" i="98" s="1"/>
  <c r="S4735" i="98"/>
  <c r="R4735" i="98"/>
  <c r="V4734" i="98"/>
  <c r="T4734" i="98"/>
  <c r="U4734" i="98" s="1"/>
  <c r="S4734" i="98"/>
  <c r="R4734" i="98"/>
  <c r="V4733" i="98"/>
  <c r="T4733" i="98"/>
  <c r="U4733" i="98" s="1"/>
  <c r="S4733" i="98"/>
  <c r="R4733" i="98"/>
  <c r="V4732" i="98"/>
  <c r="T4732" i="98"/>
  <c r="U4732" i="98" s="1"/>
  <c r="S4732" i="98"/>
  <c r="R4732" i="98"/>
  <c r="V4731" i="98"/>
  <c r="T4731" i="98"/>
  <c r="U4731" i="98" s="1"/>
  <c r="S4731" i="98"/>
  <c r="R4731" i="98"/>
  <c r="V4730" i="98"/>
  <c r="T4730" i="98"/>
  <c r="U4730" i="98" s="1"/>
  <c r="S4730" i="98"/>
  <c r="R4730" i="98"/>
  <c r="V4729" i="98"/>
  <c r="T4729" i="98"/>
  <c r="U4729" i="98" s="1"/>
  <c r="S4729" i="98"/>
  <c r="R4729" i="98"/>
  <c r="V4728" i="98"/>
  <c r="T4728" i="98"/>
  <c r="U4728" i="98" s="1"/>
  <c r="S4728" i="98"/>
  <c r="R4728" i="98"/>
  <c r="V4727" i="98"/>
  <c r="T4727" i="98"/>
  <c r="U4727" i="98" s="1"/>
  <c r="S4727" i="98"/>
  <c r="R4727" i="98"/>
  <c r="V4726" i="98"/>
  <c r="T4726" i="98"/>
  <c r="U4726" i="98" s="1"/>
  <c r="S4726" i="98"/>
  <c r="R4726" i="98"/>
  <c r="V4725" i="98"/>
  <c r="T4725" i="98"/>
  <c r="U4725" i="98" s="1"/>
  <c r="S4725" i="98"/>
  <c r="R4725" i="98"/>
  <c r="V4724" i="98"/>
  <c r="T4724" i="98"/>
  <c r="U4724" i="98" s="1"/>
  <c r="S4724" i="98"/>
  <c r="R4724" i="98"/>
  <c r="V4723" i="98"/>
  <c r="T4723" i="98"/>
  <c r="U4723" i="98" s="1"/>
  <c r="S4723" i="98"/>
  <c r="R4723" i="98"/>
  <c r="V4722" i="98"/>
  <c r="T4722" i="98"/>
  <c r="U4722" i="98" s="1"/>
  <c r="S4722" i="98"/>
  <c r="R4722" i="98"/>
  <c r="V4721" i="98"/>
  <c r="T4721" i="98"/>
  <c r="U4721" i="98" s="1"/>
  <c r="S4721" i="98"/>
  <c r="R4721" i="98"/>
  <c r="V4720" i="98"/>
  <c r="T4720" i="98"/>
  <c r="U4720" i="98" s="1"/>
  <c r="S4720" i="98"/>
  <c r="R4720" i="98"/>
  <c r="V4719" i="98"/>
  <c r="T4719" i="98"/>
  <c r="U4719" i="98" s="1"/>
  <c r="S4719" i="98"/>
  <c r="R4719" i="98"/>
  <c r="V4718" i="98"/>
  <c r="T4718" i="98"/>
  <c r="U4718" i="98" s="1"/>
  <c r="S4718" i="98"/>
  <c r="R4718" i="98"/>
  <c r="V4717" i="98"/>
  <c r="T4717" i="98"/>
  <c r="U4717" i="98" s="1"/>
  <c r="S4717" i="98"/>
  <c r="R4717" i="98"/>
  <c r="V4716" i="98"/>
  <c r="T4716" i="98"/>
  <c r="U4716" i="98" s="1"/>
  <c r="S4716" i="98"/>
  <c r="R4716" i="98"/>
  <c r="V4715" i="98"/>
  <c r="T4715" i="98"/>
  <c r="U4715" i="98" s="1"/>
  <c r="S4715" i="98"/>
  <c r="R4715" i="98"/>
  <c r="V4714" i="98"/>
  <c r="T4714" i="98"/>
  <c r="U4714" i="98" s="1"/>
  <c r="S4714" i="98"/>
  <c r="R4714" i="98"/>
  <c r="V4713" i="98"/>
  <c r="T4713" i="98"/>
  <c r="U4713" i="98" s="1"/>
  <c r="S4713" i="98"/>
  <c r="R4713" i="98"/>
  <c r="V4712" i="98"/>
  <c r="T4712" i="98"/>
  <c r="U4712" i="98" s="1"/>
  <c r="S4712" i="98"/>
  <c r="R4712" i="98"/>
  <c r="V4711" i="98"/>
  <c r="T4711" i="98"/>
  <c r="U4711" i="98" s="1"/>
  <c r="S4711" i="98"/>
  <c r="R4711" i="98"/>
  <c r="V4710" i="98"/>
  <c r="T4710" i="98"/>
  <c r="U4710" i="98" s="1"/>
  <c r="S4710" i="98"/>
  <c r="R4710" i="98"/>
  <c r="V4709" i="98"/>
  <c r="T4709" i="98"/>
  <c r="U4709" i="98" s="1"/>
  <c r="S4709" i="98"/>
  <c r="R4709" i="98"/>
  <c r="V4708" i="98"/>
  <c r="T4708" i="98"/>
  <c r="U4708" i="98" s="1"/>
  <c r="S4708" i="98"/>
  <c r="R4708" i="98"/>
  <c r="V4707" i="98"/>
  <c r="T4707" i="98"/>
  <c r="U4707" i="98" s="1"/>
  <c r="S4707" i="98"/>
  <c r="R4707" i="98"/>
  <c r="V4706" i="98"/>
  <c r="T4706" i="98"/>
  <c r="U4706" i="98" s="1"/>
  <c r="S4706" i="98"/>
  <c r="R4706" i="98"/>
  <c r="V4705" i="98"/>
  <c r="T4705" i="98"/>
  <c r="U4705" i="98" s="1"/>
  <c r="S4705" i="98"/>
  <c r="R4705" i="98"/>
  <c r="V4704" i="98"/>
  <c r="T4704" i="98"/>
  <c r="U4704" i="98" s="1"/>
  <c r="S4704" i="98"/>
  <c r="R4704" i="98"/>
  <c r="V4703" i="98"/>
  <c r="T4703" i="98"/>
  <c r="U4703" i="98" s="1"/>
  <c r="S4703" i="98"/>
  <c r="R4703" i="98"/>
  <c r="V4702" i="98"/>
  <c r="T4702" i="98"/>
  <c r="U4702" i="98" s="1"/>
  <c r="S4702" i="98"/>
  <c r="R4702" i="98"/>
  <c r="V4701" i="98"/>
  <c r="T4701" i="98"/>
  <c r="U4701" i="98" s="1"/>
  <c r="S4701" i="98"/>
  <c r="R4701" i="98"/>
  <c r="V4700" i="98"/>
  <c r="T4700" i="98"/>
  <c r="U4700" i="98" s="1"/>
  <c r="S4700" i="98"/>
  <c r="R4700" i="98"/>
  <c r="V4699" i="98"/>
  <c r="T4699" i="98"/>
  <c r="U4699" i="98" s="1"/>
  <c r="S4699" i="98"/>
  <c r="R4699" i="98"/>
  <c r="V4698" i="98"/>
  <c r="T4698" i="98"/>
  <c r="U4698" i="98" s="1"/>
  <c r="S4698" i="98"/>
  <c r="R4698" i="98"/>
  <c r="V4697" i="98"/>
  <c r="T4697" i="98"/>
  <c r="U4697" i="98" s="1"/>
  <c r="S4697" i="98"/>
  <c r="R4697" i="98"/>
  <c r="V4696" i="98"/>
  <c r="T4696" i="98"/>
  <c r="U4696" i="98" s="1"/>
  <c r="S4696" i="98"/>
  <c r="R4696" i="98"/>
  <c r="V4695" i="98"/>
  <c r="T4695" i="98"/>
  <c r="U4695" i="98" s="1"/>
  <c r="S4695" i="98"/>
  <c r="R4695" i="98"/>
  <c r="V4694" i="98"/>
  <c r="T4694" i="98"/>
  <c r="U4694" i="98" s="1"/>
  <c r="S4694" i="98"/>
  <c r="R4694" i="98"/>
  <c r="V4693" i="98"/>
  <c r="T4693" i="98"/>
  <c r="U4693" i="98" s="1"/>
  <c r="S4693" i="98"/>
  <c r="R4693" i="98"/>
  <c r="V4692" i="98"/>
  <c r="T4692" i="98"/>
  <c r="U4692" i="98" s="1"/>
  <c r="S4692" i="98"/>
  <c r="R4692" i="98"/>
  <c r="V4691" i="98"/>
  <c r="T4691" i="98"/>
  <c r="U4691" i="98" s="1"/>
  <c r="S4691" i="98"/>
  <c r="R4691" i="98"/>
  <c r="V4690" i="98"/>
  <c r="T4690" i="98"/>
  <c r="U4690" i="98" s="1"/>
  <c r="S4690" i="98"/>
  <c r="R4690" i="98"/>
  <c r="V4689" i="98"/>
  <c r="T4689" i="98"/>
  <c r="U4689" i="98" s="1"/>
  <c r="S4689" i="98"/>
  <c r="R4689" i="98"/>
  <c r="V4688" i="98"/>
  <c r="T4688" i="98"/>
  <c r="U4688" i="98" s="1"/>
  <c r="S4688" i="98"/>
  <c r="R4688" i="98"/>
  <c r="V4687" i="98"/>
  <c r="T4687" i="98"/>
  <c r="U4687" i="98" s="1"/>
  <c r="S4687" i="98"/>
  <c r="R4687" i="98"/>
  <c r="V4686" i="98"/>
  <c r="T4686" i="98"/>
  <c r="U4686" i="98" s="1"/>
  <c r="S4686" i="98"/>
  <c r="R4686" i="98"/>
  <c r="V4685" i="98"/>
  <c r="T4685" i="98"/>
  <c r="U4685" i="98" s="1"/>
  <c r="S4685" i="98"/>
  <c r="R4685" i="98"/>
  <c r="V4684" i="98"/>
  <c r="T4684" i="98"/>
  <c r="U4684" i="98" s="1"/>
  <c r="S4684" i="98"/>
  <c r="R4684" i="98"/>
  <c r="V4683" i="98"/>
  <c r="T4683" i="98"/>
  <c r="U4683" i="98" s="1"/>
  <c r="S4683" i="98"/>
  <c r="R4683" i="98"/>
  <c r="V4682" i="98"/>
  <c r="T4682" i="98"/>
  <c r="U4682" i="98" s="1"/>
  <c r="S4682" i="98"/>
  <c r="R4682" i="98"/>
  <c r="V4681" i="98"/>
  <c r="T4681" i="98"/>
  <c r="U4681" i="98" s="1"/>
  <c r="S4681" i="98"/>
  <c r="R4681" i="98"/>
  <c r="V4680" i="98"/>
  <c r="T4680" i="98"/>
  <c r="U4680" i="98" s="1"/>
  <c r="S4680" i="98"/>
  <c r="R4680" i="98"/>
  <c r="V4679" i="98"/>
  <c r="T4679" i="98"/>
  <c r="U4679" i="98" s="1"/>
  <c r="S4679" i="98"/>
  <c r="R4679" i="98"/>
  <c r="V4678" i="98"/>
  <c r="T4678" i="98"/>
  <c r="U4678" i="98" s="1"/>
  <c r="S4678" i="98"/>
  <c r="R4678" i="98"/>
  <c r="V4677" i="98"/>
  <c r="T4677" i="98"/>
  <c r="U4677" i="98" s="1"/>
  <c r="S4677" i="98"/>
  <c r="R4677" i="98"/>
  <c r="V4676" i="98"/>
  <c r="T4676" i="98"/>
  <c r="U4676" i="98" s="1"/>
  <c r="S4676" i="98"/>
  <c r="R4676" i="98"/>
  <c r="V4675" i="98"/>
  <c r="T4675" i="98"/>
  <c r="U4675" i="98" s="1"/>
  <c r="S4675" i="98"/>
  <c r="R4675" i="98"/>
  <c r="V4674" i="98"/>
  <c r="T4674" i="98"/>
  <c r="U4674" i="98" s="1"/>
  <c r="S4674" i="98"/>
  <c r="R4674" i="98"/>
  <c r="V4673" i="98"/>
  <c r="T4673" i="98"/>
  <c r="U4673" i="98" s="1"/>
  <c r="S4673" i="98"/>
  <c r="R4673" i="98"/>
  <c r="V4672" i="98"/>
  <c r="T4672" i="98"/>
  <c r="U4672" i="98" s="1"/>
  <c r="S4672" i="98"/>
  <c r="R4672" i="98"/>
  <c r="V4671" i="98"/>
  <c r="T4671" i="98"/>
  <c r="U4671" i="98" s="1"/>
  <c r="S4671" i="98"/>
  <c r="R4671" i="98"/>
  <c r="V4670" i="98"/>
  <c r="T4670" i="98"/>
  <c r="U4670" i="98" s="1"/>
  <c r="S4670" i="98"/>
  <c r="R4670" i="98"/>
  <c r="V4669" i="98"/>
  <c r="T4669" i="98"/>
  <c r="U4669" i="98" s="1"/>
  <c r="S4669" i="98"/>
  <c r="R4669" i="98"/>
  <c r="V4668" i="98"/>
  <c r="T4668" i="98"/>
  <c r="U4668" i="98" s="1"/>
  <c r="S4668" i="98"/>
  <c r="R4668" i="98"/>
  <c r="V4667" i="98"/>
  <c r="T4667" i="98"/>
  <c r="U4667" i="98" s="1"/>
  <c r="S4667" i="98"/>
  <c r="R4667" i="98"/>
  <c r="V4666" i="98"/>
  <c r="T4666" i="98"/>
  <c r="U4666" i="98" s="1"/>
  <c r="S4666" i="98"/>
  <c r="R4666" i="98"/>
  <c r="V4665" i="98"/>
  <c r="T4665" i="98"/>
  <c r="U4665" i="98" s="1"/>
  <c r="S4665" i="98"/>
  <c r="R4665" i="98"/>
  <c r="V4664" i="98"/>
  <c r="T4664" i="98"/>
  <c r="U4664" i="98" s="1"/>
  <c r="S4664" i="98"/>
  <c r="R4664" i="98"/>
  <c r="V4663" i="98"/>
  <c r="T4663" i="98"/>
  <c r="U4663" i="98" s="1"/>
  <c r="S4663" i="98"/>
  <c r="R4663" i="98"/>
  <c r="V4662" i="98"/>
  <c r="T4662" i="98"/>
  <c r="U4662" i="98" s="1"/>
  <c r="S4662" i="98"/>
  <c r="R4662" i="98"/>
  <c r="V4661" i="98"/>
  <c r="T4661" i="98"/>
  <c r="U4661" i="98" s="1"/>
  <c r="S4661" i="98"/>
  <c r="R4661" i="98"/>
  <c r="V4660" i="98"/>
  <c r="T4660" i="98"/>
  <c r="U4660" i="98" s="1"/>
  <c r="S4660" i="98"/>
  <c r="R4660" i="98"/>
  <c r="V4659" i="98"/>
  <c r="T4659" i="98"/>
  <c r="U4659" i="98" s="1"/>
  <c r="S4659" i="98"/>
  <c r="R4659" i="98"/>
  <c r="V4658" i="98"/>
  <c r="T4658" i="98"/>
  <c r="U4658" i="98" s="1"/>
  <c r="S4658" i="98"/>
  <c r="R4658" i="98"/>
  <c r="V4657" i="98"/>
  <c r="T4657" i="98"/>
  <c r="U4657" i="98" s="1"/>
  <c r="S4657" i="98"/>
  <c r="R4657" i="98"/>
  <c r="V4656" i="98"/>
  <c r="T4656" i="98"/>
  <c r="U4656" i="98" s="1"/>
  <c r="S4656" i="98"/>
  <c r="R4656" i="98"/>
  <c r="V4655" i="98"/>
  <c r="T4655" i="98"/>
  <c r="U4655" i="98" s="1"/>
  <c r="S4655" i="98"/>
  <c r="R4655" i="98"/>
  <c r="V4654" i="98"/>
  <c r="T4654" i="98"/>
  <c r="U4654" i="98" s="1"/>
  <c r="S4654" i="98"/>
  <c r="R4654" i="98"/>
  <c r="V4653" i="98"/>
  <c r="T4653" i="98"/>
  <c r="U4653" i="98" s="1"/>
  <c r="S4653" i="98"/>
  <c r="R4653" i="98"/>
  <c r="V4652" i="98"/>
  <c r="T4652" i="98"/>
  <c r="U4652" i="98" s="1"/>
  <c r="S4652" i="98"/>
  <c r="R4652" i="98"/>
  <c r="V4651" i="98"/>
  <c r="T4651" i="98"/>
  <c r="U4651" i="98" s="1"/>
  <c r="S4651" i="98"/>
  <c r="R4651" i="98"/>
  <c r="V4650" i="98"/>
  <c r="T4650" i="98"/>
  <c r="U4650" i="98" s="1"/>
  <c r="S4650" i="98"/>
  <c r="R4650" i="98"/>
  <c r="V4649" i="98"/>
  <c r="T4649" i="98"/>
  <c r="U4649" i="98" s="1"/>
  <c r="S4649" i="98"/>
  <c r="R4649" i="98"/>
  <c r="V4648" i="98"/>
  <c r="T4648" i="98"/>
  <c r="U4648" i="98" s="1"/>
  <c r="S4648" i="98"/>
  <c r="R4648" i="98"/>
  <c r="V4647" i="98"/>
  <c r="T4647" i="98"/>
  <c r="U4647" i="98" s="1"/>
  <c r="S4647" i="98"/>
  <c r="R4647" i="98"/>
  <c r="V4646" i="98"/>
  <c r="T4646" i="98"/>
  <c r="U4646" i="98" s="1"/>
  <c r="S4646" i="98"/>
  <c r="R4646" i="98"/>
  <c r="V4645" i="98"/>
  <c r="T4645" i="98"/>
  <c r="U4645" i="98" s="1"/>
  <c r="S4645" i="98"/>
  <c r="R4645" i="98"/>
  <c r="V4644" i="98"/>
  <c r="T4644" i="98"/>
  <c r="U4644" i="98" s="1"/>
  <c r="S4644" i="98"/>
  <c r="R4644" i="98"/>
  <c r="V4643" i="98"/>
  <c r="T4643" i="98"/>
  <c r="U4643" i="98" s="1"/>
  <c r="S4643" i="98"/>
  <c r="R4643" i="98"/>
  <c r="V4642" i="98"/>
  <c r="T4642" i="98"/>
  <c r="U4642" i="98" s="1"/>
  <c r="S4642" i="98"/>
  <c r="R4642" i="98"/>
  <c r="V4641" i="98"/>
  <c r="T4641" i="98"/>
  <c r="U4641" i="98" s="1"/>
  <c r="S4641" i="98"/>
  <c r="R4641" i="98"/>
  <c r="V4640" i="98"/>
  <c r="T4640" i="98"/>
  <c r="U4640" i="98" s="1"/>
  <c r="S4640" i="98"/>
  <c r="R4640" i="98"/>
  <c r="V4639" i="98"/>
  <c r="T4639" i="98"/>
  <c r="U4639" i="98" s="1"/>
  <c r="S4639" i="98"/>
  <c r="R4639" i="98"/>
  <c r="V4638" i="98"/>
  <c r="T4638" i="98"/>
  <c r="U4638" i="98" s="1"/>
  <c r="S4638" i="98"/>
  <c r="R4638" i="98"/>
  <c r="V4637" i="98"/>
  <c r="T4637" i="98"/>
  <c r="U4637" i="98" s="1"/>
  <c r="S4637" i="98"/>
  <c r="R4637" i="98"/>
  <c r="V4636" i="98"/>
  <c r="T4636" i="98"/>
  <c r="U4636" i="98" s="1"/>
  <c r="S4636" i="98"/>
  <c r="R4636" i="98"/>
  <c r="V4635" i="98"/>
  <c r="T4635" i="98"/>
  <c r="U4635" i="98" s="1"/>
  <c r="S4635" i="98"/>
  <c r="R4635" i="98"/>
  <c r="V4634" i="98"/>
  <c r="T4634" i="98"/>
  <c r="U4634" i="98" s="1"/>
  <c r="S4634" i="98"/>
  <c r="R4634" i="98"/>
  <c r="V4633" i="98"/>
  <c r="T4633" i="98"/>
  <c r="U4633" i="98" s="1"/>
  <c r="S4633" i="98"/>
  <c r="R4633" i="98"/>
  <c r="V4632" i="98"/>
  <c r="T4632" i="98"/>
  <c r="U4632" i="98" s="1"/>
  <c r="S4632" i="98"/>
  <c r="R4632" i="98"/>
  <c r="V4631" i="98"/>
  <c r="T4631" i="98"/>
  <c r="U4631" i="98" s="1"/>
  <c r="S4631" i="98"/>
  <c r="R4631" i="98"/>
  <c r="V4630" i="98"/>
  <c r="T4630" i="98"/>
  <c r="U4630" i="98" s="1"/>
  <c r="S4630" i="98"/>
  <c r="R4630" i="98"/>
  <c r="V4629" i="98"/>
  <c r="T4629" i="98"/>
  <c r="U4629" i="98" s="1"/>
  <c r="S4629" i="98"/>
  <c r="R4629" i="98"/>
  <c r="V4628" i="98"/>
  <c r="T4628" i="98"/>
  <c r="U4628" i="98" s="1"/>
  <c r="S4628" i="98"/>
  <c r="R4628" i="98"/>
  <c r="V4627" i="98"/>
  <c r="T4627" i="98"/>
  <c r="U4627" i="98" s="1"/>
  <c r="S4627" i="98"/>
  <c r="R4627" i="98"/>
  <c r="V4626" i="98"/>
  <c r="T4626" i="98"/>
  <c r="U4626" i="98" s="1"/>
  <c r="S4626" i="98"/>
  <c r="R4626" i="98"/>
  <c r="V4625" i="98"/>
  <c r="T4625" i="98"/>
  <c r="U4625" i="98" s="1"/>
  <c r="S4625" i="98"/>
  <c r="R4625" i="98"/>
  <c r="V4624" i="98"/>
  <c r="T4624" i="98"/>
  <c r="U4624" i="98" s="1"/>
  <c r="S4624" i="98"/>
  <c r="R4624" i="98"/>
  <c r="V4623" i="98"/>
  <c r="T4623" i="98"/>
  <c r="U4623" i="98" s="1"/>
  <c r="S4623" i="98"/>
  <c r="R4623" i="98"/>
  <c r="V4622" i="98"/>
  <c r="T4622" i="98"/>
  <c r="U4622" i="98" s="1"/>
  <c r="S4622" i="98"/>
  <c r="R4622" i="98"/>
  <c r="V4621" i="98"/>
  <c r="T4621" i="98"/>
  <c r="U4621" i="98" s="1"/>
  <c r="S4621" i="98"/>
  <c r="R4621" i="98"/>
  <c r="V4620" i="98"/>
  <c r="T4620" i="98"/>
  <c r="U4620" i="98" s="1"/>
  <c r="S4620" i="98"/>
  <c r="R4620" i="98"/>
  <c r="V4619" i="98"/>
  <c r="T4619" i="98"/>
  <c r="U4619" i="98" s="1"/>
  <c r="S4619" i="98"/>
  <c r="R4619" i="98"/>
  <c r="V4618" i="98"/>
  <c r="T4618" i="98"/>
  <c r="U4618" i="98" s="1"/>
  <c r="S4618" i="98"/>
  <c r="R4618" i="98"/>
  <c r="V4617" i="98"/>
  <c r="T4617" i="98"/>
  <c r="U4617" i="98" s="1"/>
  <c r="S4617" i="98"/>
  <c r="R4617" i="98"/>
  <c r="V4616" i="98"/>
  <c r="T4616" i="98"/>
  <c r="U4616" i="98" s="1"/>
  <c r="S4616" i="98"/>
  <c r="R4616" i="98"/>
  <c r="V4615" i="98"/>
  <c r="T4615" i="98"/>
  <c r="U4615" i="98" s="1"/>
  <c r="S4615" i="98"/>
  <c r="R4615" i="98"/>
  <c r="V4614" i="98"/>
  <c r="T4614" i="98"/>
  <c r="U4614" i="98" s="1"/>
  <c r="S4614" i="98"/>
  <c r="R4614" i="98"/>
  <c r="V4613" i="98"/>
  <c r="T4613" i="98"/>
  <c r="U4613" i="98" s="1"/>
  <c r="S4613" i="98"/>
  <c r="R4613" i="98"/>
  <c r="V4612" i="98"/>
  <c r="T4612" i="98"/>
  <c r="U4612" i="98" s="1"/>
  <c r="S4612" i="98"/>
  <c r="R4612" i="98"/>
  <c r="V4611" i="98"/>
  <c r="T4611" i="98"/>
  <c r="U4611" i="98" s="1"/>
  <c r="S4611" i="98"/>
  <c r="R4611" i="98"/>
  <c r="V4610" i="98"/>
  <c r="T4610" i="98"/>
  <c r="U4610" i="98" s="1"/>
  <c r="S4610" i="98"/>
  <c r="R4610" i="98"/>
  <c r="V4609" i="98"/>
  <c r="T4609" i="98"/>
  <c r="U4609" i="98" s="1"/>
  <c r="S4609" i="98"/>
  <c r="R4609" i="98"/>
  <c r="V4608" i="98"/>
  <c r="T4608" i="98"/>
  <c r="U4608" i="98" s="1"/>
  <c r="S4608" i="98"/>
  <c r="R4608" i="98"/>
  <c r="V4607" i="98"/>
  <c r="T4607" i="98"/>
  <c r="U4607" i="98" s="1"/>
  <c r="S4607" i="98"/>
  <c r="R4607" i="98"/>
  <c r="V4606" i="98"/>
  <c r="T4606" i="98"/>
  <c r="U4606" i="98" s="1"/>
  <c r="S4606" i="98"/>
  <c r="R4606" i="98"/>
  <c r="V4605" i="98"/>
  <c r="T4605" i="98"/>
  <c r="U4605" i="98" s="1"/>
  <c r="S4605" i="98"/>
  <c r="R4605" i="98"/>
  <c r="V4604" i="98"/>
  <c r="T4604" i="98"/>
  <c r="U4604" i="98" s="1"/>
  <c r="S4604" i="98"/>
  <c r="R4604" i="98"/>
  <c r="V4603" i="98"/>
  <c r="T4603" i="98"/>
  <c r="U4603" i="98" s="1"/>
  <c r="S4603" i="98"/>
  <c r="R4603" i="98"/>
  <c r="V4602" i="98"/>
  <c r="T4602" i="98"/>
  <c r="U4602" i="98" s="1"/>
  <c r="S4602" i="98"/>
  <c r="R4602" i="98"/>
  <c r="V4601" i="98"/>
  <c r="T4601" i="98"/>
  <c r="U4601" i="98" s="1"/>
  <c r="S4601" i="98"/>
  <c r="R4601" i="98"/>
  <c r="V4600" i="98"/>
  <c r="T4600" i="98"/>
  <c r="U4600" i="98" s="1"/>
  <c r="S4600" i="98"/>
  <c r="R4600" i="98"/>
  <c r="V4599" i="98"/>
  <c r="T4599" i="98"/>
  <c r="U4599" i="98" s="1"/>
  <c r="S4599" i="98"/>
  <c r="R4599" i="98"/>
  <c r="V4598" i="98"/>
  <c r="T4598" i="98"/>
  <c r="U4598" i="98" s="1"/>
  <c r="S4598" i="98"/>
  <c r="R4598" i="98"/>
  <c r="V4597" i="98"/>
  <c r="T4597" i="98"/>
  <c r="U4597" i="98" s="1"/>
  <c r="S4597" i="98"/>
  <c r="R4597" i="98"/>
  <c r="V4596" i="98"/>
  <c r="T4596" i="98"/>
  <c r="U4596" i="98" s="1"/>
  <c r="S4596" i="98"/>
  <c r="R4596" i="98"/>
  <c r="V4595" i="98"/>
  <c r="T4595" i="98"/>
  <c r="U4595" i="98" s="1"/>
  <c r="S4595" i="98"/>
  <c r="R4595" i="98"/>
  <c r="V4594" i="98"/>
  <c r="T4594" i="98"/>
  <c r="U4594" i="98" s="1"/>
  <c r="S4594" i="98"/>
  <c r="R4594" i="98"/>
  <c r="V4593" i="98"/>
  <c r="T4593" i="98"/>
  <c r="U4593" i="98" s="1"/>
  <c r="S4593" i="98"/>
  <c r="R4593" i="98"/>
  <c r="V4592" i="98"/>
  <c r="T4592" i="98"/>
  <c r="U4592" i="98" s="1"/>
  <c r="S4592" i="98"/>
  <c r="R4592" i="98"/>
  <c r="V4591" i="98"/>
  <c r="T4591" i="98"/>
  <c r="U4591" i="98" s="1"/>
  <c r="S4591" i="98"/>
  <c r="R4591" i="98"/>
  <c r="V4590" i="98"/>
  <c r="T4590" i="98"/>
  <c r="U4590" i="98" s="1"/>
  <c r="S4590" i="98"/>
  <c r="R4590" i="98"/>
  <c r="V4589" i="98"/>
  <c r="T4589" i="98"/>
  <c r="U4589" i="98" s="1"/>
  <c r="S4589" i="98"/>
  <c r="R4589" i="98"/>
  <c r="V4588" i="98"/>
  <c r="T4588" i="98"/>
  <c r="U4588" i="98" s="1"/>
  <c r="S4588" i="98"/>
  <c r="R4588" i="98"/>
  <c r="V4587" i="98"/>
  <c r="T4587" i="98"/>
  <c r="U4587" i="98" s="1"/>
  <c r="S4587" i="98"/>
  <c r="R4587" i="98"/>
  <c r="V4586" i="98"/>
  <c r="T4586" i="98"/>
  <c r="U4586" i="98" s="1"/>
  <c r="S4586" i="98"/>
  <c r="R4586" i="98"/>
  <c r="V4585" i="98"/>
  <c r="T4585" i="98"/>
  <c r="U4585" i="98" s="1"/>
  <c r="S4585" i="98"/>
  <c r="R4585" i="98"/>
  <c r="V4584" i="98"/>
  <c r="T4584" i="98"/>
  <c r="U4584" i="98" s="1"/>
  <c r="S4584" i="98"/>
  <c r="R4584" i="98"/>
  <c r="V4583" i="98"/>
  <c r="T4583" i="98"/>
  <c r="U4583" i="98" s="1"/>
  <c r="S4583" i="98"/>
  <c r="R4583" i="98"/>
  <c r="V4582" i="98"/>
  <c r="T4582" i="98"/>
  <c r="U4582" i="98" s="1"/>
  <c r="S4582" i="98"/>
  <c r="R4582" i="98"/>
  <c r="V4581" i="98"/>
  <c r="T4581" i="98"/>
  <c r="U4581" i="98" s="1"/>
  <c r="S4581" i="98"/>
  <c r="R4581" i="98"/>
  <c r="V4580" i="98"/>
  <c r="T4580" i="98"/>
  <c r="U4580" i="98" s="1"/>
  <c r="S4580" i="98"/>
  <c r="R4580" i="98"/>
  <c r="V4579" i="98"/>
  <c r="T4579" i="98"/>
  <c r="U4579" i="98" s="1"/>
  <c r="S4579" i="98"/>
  <c r="R4579" i="98"/>
  <c r="V4578" i="98"/>
  <c r="T4578" i="98"/>
  <c r="U4578" i="98" s="1"/>
  <c r="S4578" i="98"/>
  <c r="R4578" i="98"/>
  <c r="V4577" i="98"/>
  <c r="T4577" i="98"/>
  <c r="U4577" i="98" s="1"/>
  <c r="S4577" i="98"/>
  <c r="R4577" i="98"/>
  <c r="V4576" i="98"/>
  <c r="T4576" i="98"/>
  <c r="U4576" i="98" s="1"/>
  <c r="S4576" i="98"/>
  <c r="R4576" i="98"/>
  <c r="V4575" i="98"/>
  <c r="T4575" i="98"/>
  <c r="U4575" i="98" s="1"/>
  <c r="S4575" i="98"/>
  <c r="R4575" i="98"/>
  <c r="V4574" i="98"/>
  <c r="T4574" i="98"/>
  <c r="U4574" i="98" s="1"/>
  <c r="S4574" i="98"/>
  <c r="R4574" i="98"/>
  <c r="V4573" i="98"/>
  <c r="T4573" i="98"/>
  <c r="U4573" i="98" s="1"/>
  <c r="S4573" i="98"/>
  <c r="R4573" i="98"/>
  <c r="V4572" i="98"/>
  <c r="T4572" i="98"/>
  <c r="U4572" i="98" s="1"/>
  <c r="S4572" i="98"/>
  <c r="R4572" i="98"/>
  <c r="V4571" i="98"/>
  <c r="T4571" i="98"/>
  <c r="U4571" i="98" s="1"/>
  <c r="S4571" i="98"/>
  <c r="R4571" i="98"/>
  <c r="V4570" i="98"/>
  <c r="T4570" i="98"/>
  <c r="U4570" i="98" s="1"/>
  <c r="S4570" i="98"/>
  <c r="R4570" i="98"/>
  <c r="V4569" i="98"/>
  <c r="T4569" i="98"/>
  <c r="U4569" i="98" s="1"/>
  <c r="S4569" i="98"/>
  <c r="R4569" i="98"/>
  <c r="V4568" i="98"/>
  <c r="T4568" i="98"/>
  <c r="U4568" i="98" s="1"/>
  <c r="S4568" i="98"/>
  <c r="R4568" i="98"/>
  <c r="V4567" i="98"/>
  <c r="T4567" i="98"/>
  <c r="U4567" i="98" s="1"/>
  <c r="S4567" i="98"/>
  <c r="R4567" i="98"/>
  <c r="V4566" i="98"/>
  <c r="T4566" i="98"/>
  <c r="U4566" i="98" s="1"/>
  <c r="S4566" i="98"/>
  <c r="R4566" i="98"/>
  <c r="V4565" i="98"/>
  <c r="T4565" i="98"/>
  <c r="U4565" i="98" s="1"/>
  <c r="S4565" i="98"/>
  <c r="R4565" i="98"/>
  <c r="V4564" i="98"/>
  <c r="T4564" i="98"/>
  <c r="U4564" i="98" s="1"/>
  <c r="S4564" i="98"/>
  <c r="R4564" i="98"/>
  <c r="V4563" i="98"/>
  <c r="T4563" i="98"/>
  <c r="U4563" i="98" s="1"/>
  <c r="S4563" i="98"/>
  <c r="R4563" i="98"/>
  <c r="V4562" i="98"/>
  <c r="T4562" i="98"/>
  <c r="U4562" i="98" s="1"/>
  <c r="S4562" i="98"/>
  <c r="R4562" i="98"/>
  <c r="V4561" i="98"/>
  <c r="T4561" i="98"/>
  <c r="U4561" i="98" s="1"/>
  <c r="S4561" i="98"/>
  <c r="R4561" i="98"/>
  <c r="V4560" i="98"/>
  <c r="T4560" i="98"/>
  <c r="U4560" i="98" s="1"/>
  <c r="S4560" i="98"/>
  <c r="R4560" i="98"/>
  <c r="V4559" i="98"/>
  <c r="T4559" i="98"/>
  <c r="U4559" i="98" s="1"/>
  <c r="S4559" i="98"/>
  <c r="R4559" i="98"/>
  <c r="V4558" i="98"/>
  <c r="T4558" i="98"/>
  <c r="U4558" i="98" s="1"/>
  <c r="S4558" i="98"/>
  <c r="R4558" i="98"/>
  <c r="V4557" i="98"/>
  <c r="T4557" i="98"/>
  <c r="U4557" i="98" s="1"/>
  <c r="S4557" i="98"/>
  <c r="R4557" i="98"/>
  <c r="V4556" i="98"/>
  <c r="T4556" i="98"/>
  <c r="U4556" i="98" s="1"/>
  <c r="S4556" i="98"/>
  <c r="R4556" i="98"/>
  <c r="V4555" i="98"/>
  <c r="T4555" i="98"/>
  <c r="U4555" i="98" s="1"/>
  <c r="S4555" i="98"/>
  <c r="R4555" i="98"/>
  <c r="V4554" i="98"/>
  <c r="T4554" i="98"/>
  <c r="U4554" i="98" s="1"/>
  <c r="S4554" i="98"/>
  <c r="R4554" i="98"/>
  <c r="V4553" i="98"/>
  <c r="T4553" i="98"/>
  <c r="U4553" i="98" s="1"/>
  <c r="S4553" i="98"/>
  <c r="R4553" i="98"/>
  <c r="V4552" i="98"/>
  <c r="T4552" i="98"/>
  <c r="U4552" i="98" s="1"/>
  <c r="S4552" i="98"/>
  <c r="R4552" i="98"/>
  <c r="V4551" i="98"/>
  <c r="T4551" i="98"/>
  <c r="U4551" i="98" s="1"/>
  <c r="S4551" i="98"/>
  <c r="R4551" i="98"/>
  <c r="V4550" i="98"/>
  <c r="T4550" i="98"/>
  <c r="U4550" i="98" s="1"/>
  <c r="S4550" i="98"/>
  <c r="R4550" i="98"/>
  <c r="V4549" i="98"/>
  <c r="T4549" i="98"/>
  <c r="U4549" i="98" s="1"/>
  <c r="S4549" i="98"/>
  <c r="R4549" i="98"/>
  <c r="V4548" i="98"/>
  <c r="T4548" i="98"/>
  <c r="U4548" i="98" s="1"/>
  <c r="S4548" i="98"/>
  <c r="R4548" i="98"/>
  <c r="V4547" i="98"/>
  <c r="T4547" i="98"/>
  <c r="U4547" i="98" s="1"/>
  <c r="S4547" i="98"/>
  <c r="R4547" i="98"/>
  <c r="V4546" i="98"/>
  <c r="T4546" i="98"/>
  <c r="U4546" i="98" s="1"/>
  <c r="S4546" i="98"/>
  <c r="R4546" i="98"/>
  <c r="V4545" i="98"/>
  <c r="T4545" i="98"/>
  <c r="U4545" i="98" s="1"/>
  <c r="S4545" i="98"/>
  <c r="R4545" i="98"/>
  <c r="V4544" i="98"/>
  <c r="T4544" i="98"/>
  <c r="U4544" i="98" s="1"/>
  <c r="S4544" i="98"/>
  <c r="R4544" i="98"/>
  <c r="V4543" i="98"/>
  <c r="T4543" i="98"/>
  <c r="U4543" i="98" s="1"/>
  <c r="S4543" i="98"/>
  <c r="R4543" i="98"/>
  <c r="V4542" i="98"/>
  <c r="T4542" i="98"/>
  <c r="U4542" i="98" s="1"/>
  <c r="S4542" i="98"/>
  <c r="R4542" i="98"/>
  <c r="V4541" i="98"/>
  <c r="T4541" i="98"/>
  <c r="U4541" i="98" s="1"/>
  <c r="S4541" i="98"/>
  <c r="R4541" i="98"/>
  <c r="V4540" i="98"/>
  <c r="T4540" i="98"/>
  <c r="U4540" i="98" s="1"/>
  <c r="S4540" i="98"/>
  <c r="R4540" i="98"/>
  <c r="V4539" i="98"/>
  <c r="T4539" i="98"/>
  <c r="U4539" i="98" s="1"/>
  <c r="S4539" i="98"/>
  <c r="R4539" i="98"/>
  <c r="V4538" i="98"/>
  <c r="T4538" i="98"/>
  <c r="U4538" i="98" s="1"/>
  <c r="S4538" i="98"/>
  <c r="R4538" i="98"/>
  <c r="V4537" i="98"/>
  <c r="T4537" i="98"/>
  <c r="U4537" i="98" s="1"/>
  <c r="S4537" i="98"/>
  <c r="R4537" i="98"/>
  <c r="V4536" i="98"/>
  <c r="T4536" i="98"/>
  <c r="U4536" i="98" s="1"/>
  <c r="S4536" i="98"/>
  <c r="R4536" i="98"/>
  <c r="V4535" i="98"/>
  <c r="T4535" i="98"/>
  <c r="U4535" i="98" s="1"/>
  <c r="S4535" i="98"/>
  <c r="R4535" i="98"/>
  <c r="V4534" i="98"/>
  <c r="T4534" i="98"/>
  <c r="U4534" i="98" s="1"/>
  <c r="S4534" i="98"/>
  <c r="R4534" i="98"/>
  <c r="V4533" i="98"/>
  <c r="T4533" i="98"/>
  <c r="U4533" i="98" s="1"/>
  <c r="S4533" i="98"/>
  <c r="R4533" i="98"/>
  <c r="V4532" i="98"/>
  <c r="T4532" i="98"/>
  <c r="U4532" i="98" s="1"/>
  <c r="S4532" i="98"/>
  <c r="R4532" i="98"/>
  <c r="V4531" i="98"/>
  <c r="T4531" i="98"/>
  <c r="U4531" i="98" s="1"/>
  <c r="S4531" i="98"/>
  <c r="R4531" i="98"/>
  <c r="V4530" i="98"/>
  <c r="T4530" i="98"/>
  <c r="U4530" i="98" s="1"/>
  <c r="S4530" i="98"/>
  <c r="R4530" i="98"/>
  <c r="V4529" i="98"/>
  <c r="T4529" i="98"/>
  <c r="U4529" i="98" s="1"/>
  <c r="S4529" i="98"/>
  <c r="R4529" i="98"/>
  <c r="V4528" i="98"/>
  <c r="T4528" i="98"/>
  <c r="U4528" i="98" s="1"/>
  <c r="S4528" i="98"/>
  <c r="R4528" i="98"/>
  <c r="V4527" i="98"/>
  <c r="T4527" i="98"/>
  <c r="U4527" i="98" s="1"/>
  <c r="S4527" i="98"/>
  <c r="R4527" i="98"/>
  <c r="V4526" i="98"/>
  <c r="T4526" i="98"/>
  <c r="U4526" i="98" s="1"/>
  <c r="S4526" i="98"/>
  <c r="R4526" i="98"/>
  <c r="V4525" i="98"/>
  <c r="T4525" i="98"/>
  <c r="U4525" i="98" s="1"/>
  <c r="S4525" i="98"/>
  <c r="R4525" i="98"/>
  <c r="V4524" i="98"/>
  <c r="T4524" i="98"/>
  <c r="U4524" i="98" s="1"/>
  <c r="S4524" i="98"/>
  <c r="R4524" i="98"/>
  <c r="V4523" i="98"/>
  <c r="T4523" i="98"/>
  <c r="U4523" i="98" s="1"/>
  <c r="S4523" i="98"/>
  <c r="R4523" i="98"/>
  <c r="V4522" i="98"/>
  <c r="T4522" i="98"/>
  <c r="U4522" i="98" s="1"/>
  <c r="S4522" i="98"/>
  <c r="R4522" i="98"/>
  <c r="V4521" i="98"/>
  <c r="T4521" i="98"/>
  <c r="U4521" i="98" s="1"/>
  <c r="S4521" i="98"/>
  <c r="R4521" i="98"/>
  <c r="V4520" i="98"/>
  <c r="T4520" i="98"/>
  <c r="U4520" i="98" s="1"/>
  <c r="S4520" i="98"/>
  <c r="R4520" i="98"/>
  <c r="V4519" i="98"/>
  <c r="T4519" i="98"/>
  <c r="U4519" i="98" s="1"/>
  <c r="S4519" i="98"/>
  <c r="R4519" i="98"/>
  <c r="V4518" i="98"/>
  <c r="T4518" i="98"/>
  <c r="U4518" i="98" s="1"/>
  <c r="S4518" i="98"/>
  <c r="R4518" i="98"/>
  <c r="V4517" i="98"/>
  <c r="T4517" i="98"/>
  <c r="U4517" i="98" s="1"/>
  <c r="S4517" i="98"/>
  <c r="R4517" i="98"/>
  <c r="V4516" i="98"/>
  <c r="T4516" i="98"/>
  <c r="U4516" i="98" s="1"/>
  <c r="S4516" i="98"/>
  <c r="R4516" i="98"/>
  <c r="V4515" i="98"/>
  <c r="T4515" i="98"/>
  <c r="U4515" i="98" s="1"/>
  <c r="S4515" i="98"/>
  <c r="R4515" i="98"/>
  <c r="V4514" i="98"/>
  <c r="T4514" i="98"/>
  <c r="U4514" i="98" s="1"/>
  <c r="S4514" i="98"/>
  <c r="R4514" i="98"/>
  <c r="V4513" i="98"/>
  <c r="T4513" i="98"/>
  <c r="U4513" i="98" s="1"/>
  <c r="S4513" i="98"/>
  <c r="R4513" i="98"/>
  <c r="V4512" i="98"/>
  <c r="T4512" i="98"/>
  <c r="U4512" i="98" s="1"/>
  <c r="S4512" i="98"/>
  <c r="R4512" i="98"/>
  <c r="V4511" i="98"/>
  <c r="T4511" i="98"/>
  <c r="U4511" i="98" s="1"/>
  <c r="S4511" i="98"/>
  <c r="R4511" i="98"/>
  <c r="V4510" i="98"/>
  <c r="T4510" i="98"/>
  <c r="U4510" i="98" s="1"/>
  <c r="S4510" i="98"/>
  <c r="R4510" i="98"/>
  <c r="V4509" i="98"/>
  <c r="T4509" i="98"/>
  <c r="U4509" i="98" s="1"/>
  <c r="S4509" i="98"/>
  <c r="R4509" i="98"/>
  <c r="V4508" i="98"/>
  <c r="T4508" i="98"/>
  <c r="U4508" i="98" s="1"/>
  <c r="S4508" i="98"/>
  <c r="R4508" i="98"/>
  <c r="V4507" i="98"/>
  <c r="T4507" i="98"/>
  <c r="U4507" i="98" s="1"/>
  <c r="S4507" i="98"/>
  <c r="R4507" i="98"/>
  <c r="V4506" i="98"/>
  <c r="T4506" i="98"/>
  <c r="U4506" i="98" s="1"/>
  <c r="S4506" i="98"/>
  <c r="R4506" i="98"/>
  <c r="V4505" i="98"/>
  <c r="T4505" i="98"/>
  <c r="U4505" i="98" s="1"/>
  <c r="S4505" i="98"/>
  <c r="R4505" i="98"/>
  <c r="V4504" i="98"/>
  <c r="T4504" i="98"/>
  <c r="U4504" i="98" s="1"/>
  <c r="S4504" i="98"/>
  <c r="R4504" i="98"/>
  <c r="V4503" i="98"/>
  <c r="T4503" i="98"/>
  <c r="U4503" i="98" s="1"/>
  <c r="S4503" i="98"/>
  <c r="R4503" i="98"/>
  <c r="V4502" i="98"/>
  <c r="T4502" i="98"/>
  <c r="U4502" i="98" s="1"/>
  <c r="S4502" i="98"/>
  <c r="R4502" i="98"/>
  <c r="V4501" i="98"/>
  <c r="T4501" i="98"/>
  <c r="U4501" i="98" s="1"/>
  <c r="S4501" i="98"/>
  <c r="R4501" i="98"/>
  <c r="V4500" i="98"/>
  <c r="T4500" i="98"/>
  <c r="U4500" i="98" s="1"/>
  <c r="S4500" i="98"/>
  <c r="R4500" i="98"/>
  <c r="V4499" i="98"/>
  <c r="T4499" i="98"/>
  <c r="U4499" i="98" s="1"/>
  <c r="S4499" i="98"/>
  <c r="R4499" i="98"/>
  <c r="V4498" i="98"/>
  <c r="T4498" i="98"/>
  <c r="U4498" i="98" s="1"/>
  <c r="S4498" i="98"/>
  <c r="R4498" i="98"/>
  <c r="V4497" i="98"/>
  <c r="T4497" i="98"/>
  <c r="U4497" i="98" s="1"/>
  <c r="S4497" i="98"/>
  <c r="R4497" i="98"/>
  <c r="V4496" i="98"/>
  <c r="T4496" i="98"/>
  <c r="U4496" i="98" s="1"/>
  <c r="S4496" i="98"/>
  <c r="R4496" i="98"/>
  <c r="V4495" i="98"/>
  <c r="T4495" i="98"/>
  <c r="U4495" i="98" s="1"/>
  <c r="S4495" i="98"/>
  <c r="R4495" i="98"/>
  <c r="V4494" i="98"/>
  <c r="T4494" i="98"/>
  <c r="U4494" i="98" s="1"/>
  <c r="S4494" i="98"/>
  <c r="R4494" i="98"/>
  <c r="V4493" i="98"/>
  <c r="T4493" i="98"/>
  <c r="U4493" i="98" s="1"/>
  <c r="S4493" i="98"/>
  <c r="R4493" i="98"/>
  <c r="V4492" i="98"/>
  <c r="T4492" i="98"/>
  <c r="U4492" i="98" s="1"/>
  <c r="S4492" i="98"/>
  <c r="R4492" i="98"/>
  <c r="V4491" i="98"/>
  <c r="T4491" i="98"/>
  <c r="U4491" i="98" s="1"/>
  <c r="S4491" i="98"/>
  <c r="R4491" i="98"/>
  <c r="V4490" i="98"/>
  <c r="T4490" i="98"/>
  <c r="U4490" i="98" s="1"/>
  <c r="S4490" i="98"/>
  <c r="R4490" i="98"/>
  <c r="V4489" i="98"/>
  <c r="T4489" i="98"/>
  <c r="U4489" i="98" s="1"/>
  <c r="S4489" i="98"/>
  <c r="R4489" i="98"/>
  <c r="V4488" i="98"/>
  <c r="T4488" i="98"/>
  <c r="U4488" i="98" s="1"/>
  <c r="S4488" i="98"/>
  <c r="R4488" i="98"/>
  <c r="V4487" i="98"/>
  <c r="T4487" i="98"/>
  <c r="U4487" i="98" s="1"/>
  <c r="S4487" i="98"/>
  <c r="R4487" i="98"/>
  <c r="V4486" i="98"/>
  <c r="T4486" i="98"/>
  <c r="U4486" i="98" s="1"/>
  <c r="S4486" i="98"/>
  <c r="R4486" i="98"/>
  <c r="V4485" i="98"/>
  <c r="T4485" i="98"/>
  <c r="U4485" i="98" s="1"/>
  <c r="S4485" i="98"/>
  <c r="R4485" i="98"/>
  <c r="V4484" i="98"/>
  <c r="T4484" i="98"/>
  <c r="U4484" i="98" s="1"/>
  <c r="S4484" i="98"/>
  <c r="R4484" i="98"/>
  <c r="V4483" i="98"/>
  <c r="T4483" i="98"/>
  <c r="U4483" i="98" s="1"/>
  <c r="S4483" i="98"/>
  <c r="R4483" i="98"/>
  <c r="V4482" i="98"/>
  <c r="T4482" i="98"/>
  <c r="U4482" i="98" s="1"/>
  <c r="S4482" i="98"/>
  <c r="R4482" i="98"/>
  <c r="V4481" i="98"/>
  <c r="T4481" i="98"/>
  <c r="U4481" i="98" s="1"/>
  <c r="S4481" i="98"/>
  <c r="R4481" i="98"/>
  <c r="V4480" i="98"/>
  <c r="T4480" i="98"/>
  <c r="U4480" i="98" s="1"/>
  <c r="S4480" i="98"/>
  <c r="R4480" i="98"/>
  <c r="V4479" i="98"/>
  <c r="T4479" i="98"/>
  <c r="U4479" i="98" s="1"/>
  <c r="S4479" i="98"/>
  <c r="R4479" i="98"/>
  <c r="V4478" i="98"/>
  <c r="T4478" i="98"/>
  <c r="U4478" i="98" s="1"/>
  <c r="S4478" i="98"/>
  <c r="R4478" i="98"/>
  <c r="V4477" i="98"/>
  <c r="T4477" i="98"/>
  <c r="U4477" i="98" s="1"/>
  <c r="S4477" i="98"/>
  <c r="R4477" i="98"/>
  <c r="V4476" i="98"/>
  <c r="T4476" i="98"/>
  <c r="U4476" i="98" s="1"/>
  <c r="S4476" i="98"/>
  <c r="R4476" i="98"/>
  <c r="V4475" i="98"/>
  <c r="T4475" i="98"/>
  <c r="U4475" i="98" s="1"/>
  <c r="S4475" i="98"/>
  <c r="R4475" i="98"/>
  <c r="V4474" i="98"/>
  <c r="T4474" i="98"/>
  <c r="U4474" i="98" s="1"/>
  <c r="S4474" i="98"/>
  <c r="R4474" i="98"/>
  <c r="V4473" i="98"/>
  <c r="T4473" i="98"/>
  <c r="U4473" i="98" s="1"/>
  <c r="S4473" i="98"/>
  <c r="R4473" i="98"/>
  <c r="V4472" i="98"/>
  <c r="T4472" i="98"/>
  <c r="U4472" i="98" s="1"/>
  <c r="S4472" i="98"/>
  <c r="R4472" i="98"/>
  <c r="V4471" i="98"/>
  <c r="T4471" i="98"/>
  <c r="U4471" i="98" s="1"/>
  <c r="S4471" i="98"/>
  <c r="R4471" i="98"/>
  <c r="V4470" i="98"/>
  <c r="T4470" i="98"/>
  <c r="U4470" i="98" s="1"/>
  <c r="S4470" i="98"/>
  <c r="R4470" i="98"/>
  <c r="V4469" i="98"/>
  <c r="T4469" i="98"/>
  <c r="U4469" i="98" s="1"/>
  <c r="S4469" i="98"/>
  <c r="R4469" i="98"/>
  <c r="V4468" i="98"/>
  <c r="T4468" i="98"/>
  <c r="U4468" i="98" s="1"/>
  <c r="S4468" i="98"/>
  <c r="R4468" i="98"/>
  <c r="V4467" i="98"/>
  <c r="T4467" i="98"/>
  <c r="U4467" i="98" s="1"/>
  <c r="S4467" i="98"/>
  <c r="R4467" i="98"/>
  <c r="V4466" i="98"/>
  <c r="T4466" i="98"/>
  <c r="U4466" i="98" s="1"/>
  <c r="S4466" i="98"/>
  <c r="R4466" i="98"/>
  <c r="V4465" i="98"/>
  <c r="T4465" i="98"/>
  <c r="U4465" i="98" s="1"/>
  <c r="S4465" i="98"/>
  <c r="R4465" i="98"/>
  <c r="V4464" i="98"/>
  <c r="T4464" i="98"/>
  <c r="U4464" i="98" s="1"/>
  <c r="S4464" i="98"/>
  <c r="R4464" i="98"/>
  <c r="V4463" i="98"/>
  <c r="T4463" i="98"/>
  <c r="U4463" i="98" s="1"/>
  <c r="S4463" i="98"/>
  <c r="R4463" i="98"/>
  <c r="V4462" i="98"/>
  <c r="T4462" i="98"/>
  <c r="U4462" i="98" s="1"/>
  <c r="S4462" i="98"/>
  <c r="R4462" i="98"/>
  <c r="V4461" i="98"/>
  <c r="T4461" i="98"/>
  <c r="U4461" i="98" s="1"/>
  <c r="S4461" i="98"/>
  <c r="R4461" i="98"/>
  <c r="V4460" i="98"/>
  <c r="T4460" i="98"/>
  <c r="U4460" i="98" s="1"/>
  <c r="S4460" i="98"/>
  <c r="R4460" i="98"/>
  <c r="V4459" i="98"/>
  <c r="T4459" i="98"/>
  <c r="U4459" i="98" s="1"/>
  <c r="S4459" i="98"/>
  <c r="R4459" i="98"/>
  <c r="V4458" i="98"/>
  <c r="T4458" i="98"/>
  <c r="U4458" i="98" s="1"/>
  <c r="S4458" i="98"/>
  <c r="R4458" i="98"/>
  <c r="V4457" i="98"/>
  <c r="T4457" i="98"/>
  <c r="U4457" i="98" s="1"/>
  <c r="S4457" i="98"/>
  <c r="R4457" i="98"/>
  <c r="V4456" i="98"/>
  <c r="T4456" i="98"/>
  <c r="U4456" i="98" s="1"/>
  <c r="S4456" i="98"/>
  <c r="R4456" i="98"/>
  <c r="V4455" i="98"/>
  <c r="T4455" i="98"/>
  <c r="U4455" i="98" s="1"/>
  <c r="S4455" i="98"/>
  <c r="R4455" i="98"/>
  <c r="V4454" i="98"/>
  <c r="T4454" i="98"/>
  <c r="U4454" i="98" s="1"/>
  <c r="S4454" i="98"/>
  <c r="R4454" i="98"/>
  <c r="V4453" i="98"/>
  <c r="T4453" i="98"/>
  <c r="U4453" i="98" s="1"/>
  <c r="S4453" i="98"/>
  <c r="R4453" i="98"/>
  <c r="V4452" i="98"/>
  <c r="T4452" i="98"/>
  <c r="U4452" i="98" s="1"/>
  <c r="S4452" i="98"/>
  <c r="R4452" i="98"/>
  <c r="V4451" i="98"/>
  <c r="T4451" i="98"/>
  <c r="U4451" i="98" s="1"/>
  <c r="S4451" i="98"/>
  <c r="R4451" i="98"/>
  <c r="V4450" i="98"/>
  <c r="T4450" i="98"/>
  <c r="U4450" i="98" s="1"/>
  <c r="S4450" i="98"/>
  <c r="R4450" i="98"/>
  <c r="V4449" i="98"/>
  <c r="T4449" i="98"/>
  <c r="U4449" i="98" s="1"/>
  <c r="S4449" i="98"/>
  <c r="R4449" i="98"/>
  <c r="V4448" i="98"/>
  <c r="T4448" i="98"/>
  <c r="U4448" i="98" s="1"/>
  <c r="S4448" i="98"/>
  <c r="R4448" i="98"/>
  <c r="V4447" i="98"/>
  <c r="T4447" i="98"/>
  <c r="U4447" i="98" s="1"/>
  <c r="S4447" i="98"/>
  <c r="R4447" i="98"/>
  <c r="V4446" i="98"/>
  <c r="T4446" i="98"/>
  <c r="U4446" i="98" s="1"/>
  <c r="S4446" i="98"/>
  <c r="R4446" i="98"/>
  <c r="V4445" i="98"/>
  <c r="T4445" i="98"/>
  <c r="U4445" i="98" s="1"/>
  <c r="S4445" i="98"/>
  <c r="R4445" i="98"/>
  <c r="V4444" i="98"/>
  <c r="T4444" i="98"/>
  <c r="U4444" i="98" s="1"/>
  <c r="S4444" i="98"/>
  <c r="R4444" i="98"/>
  <c r="V4443" i="98"/>
  <c r="T4443" i="98"/>
  <c r="U4443" i="98" s="1"/>
  <c r="S4443" i="98"/>
  <c r="R4443" i="98"/>
  <c r="V4442" i="98"/>
  <c r="T4442" i="98"/>
  <c r="U4442" i="98" s="1"/>
  <c r="S4442" i="98"/>
  <c r="R4442" i="98"/>
  <c r="V4441" i="98"/>
  <c r="T4441" i="98"/>
  <c r="U4441" i="98" s="1"/>
  <c r="S4441" i="98"/>
  <c r="R4441" i="98"/>
  <c r="V4440" i="98"/>
  <c r="T4440" i="98"/>
  <c r="U4440" i="98" s="1"/>
  <c r="S4440" i="98"/>
  <c r="R4440" i="98"/>
  <c r="V4439" i="98"/>
  <c r="T4439" i="98"/>
  <c r="U4439" i="98" s="1"/>
  <c r="S4439" i="98"/>
  <c r="R4439" i="98"/>
  <c r="V4438" i="98"/>
  <c r="T4438" i="98"/>
  <c r="U4438" i="98" s="1"/>
  <c r="S4438" i="98"/>
  <c r="R4438" i="98"/>
  <c r="V4437" i="98"/>
  <c r="T4437" i="98"/>
  <c r="U4437" i="98" s="1"/>
  <c r="S4437" i="98"/>
  <c r="R4437" i="98"/>
  <c r="V4436" i="98"/>
  <c r="T4436" i="98"/>
  <c r="U4436" i="98" s="1"/>
  <c r="S4436" i="98"/>
  <c r="R4436" i="98"/>
  <c r="V4435" i="98"/>
  <c r="T4435" i="98"/>
  <c r="U4435" i="98" s="1"/>
  <c r="S4435" i="98"/>
  <c r="R4435" i="98"/>
  <c r="V4434" i="98"/>
  <c r="T4434" i="98"/>
  <c r="U4434" i="98" s="1"/>
  <c r="S4434" i="98"/>
  <c r="R4434" i="98"/>
  <c r="V4433" i="98"/>
  <c r="T4433" i="98"/>
  <c r="U4433" i="98" s="1"/>
  <c r="S4433" i="98"/>
  <c r="R4433" i="98"/>
  <c r="V4432" i="98"/>
  <c r="T4432" i="98"/>
  <c r="U4432" i="98" s="1"/>
  <c r="S4432" i="98"/>
  <c r="R4432" i="98"/>
  <c r="V4431" i="98"/>
  <c r="T4431" i="98"/>
  <c r="U4431" i="98" s="1"/>
  <c r="S4431" i="98"/>
  <c r="R4431" i="98"/>
  <c r="V4430" i="98"/>
  <c r="T4430" i="98"/>
  <c r="U4430" i="98" s="1"/>
  <c r="S4430" i="98"/>
  <c r="R4430" i="98"/>
  <c r="V4429" i="98"/>
  <c r="T4429" i="98"/>
  <c r="U4429" i="98" s="1"/>
  <c r="S4429" i="98"/>
  <c r="R4429" i="98"/>
  <c r="V4428" i="98"/>
  <c r="T4428" i="98"/>
  <c r="U4428" i="98" s="1"/>
  <c r="S4428" i="98"/>
  <c r="R4428" i="98"/>
  <c r="V4427" i="98"/>
  <c r="T4427" i="98"/>
  <c r="U4427" i="98" s="1"/>
  <c r="S4427" i="98"/>
  <c r="R4427" i="98"/>
  <c r="V4426" i="98"/>
  <c r="T4426" i="98"/>
  <c r="U4426" i="98" s="1"/>
  <c r="S4426" i="98"/>
  <c r="R4426" i="98"/>
  <c r="V4425" i="98"/>
  <c r="T4425" i="98"/>
  <c r="U4425" i="98" s="1"/>
  <c r="S4425" i="98"/>
  <c r="R4425" i="98"/>
  <c r="V4424" i="98"/>
  <c r="T4424" i="98"/>
  <c r="U4424" i="98" s="1"/>
  <c r="S4424" i="98"/>
  <c r="R4424" i="98"/>
  <c r="V4423" i="98"/>
  <c r="T4423" i="98"/>
  <c r="U4423" i="98" s="1"/>
  <c r="S4423" i="98"/>
  <c r="R4423" i="98"/>
  <c r="V4422" i="98"/>
  <c r="T4422" i="98"/>
  <c r="U4422" i="98" s="1"/>
  <c r="S4422" i="98"/>
  <c r="R4422" i="98"/>
  <c r="V4421" i="98"/>
  <c r="T4421" i="98"/>
  <c r="U4421" i="98" s="1"/>
  <c r="S4421" i="98"/>
  <c r="R4421" i="98"/>
  <c r="V4420" i="98"/>
  <c r="T4420" i="98"/>
  <c r="U4420" i="98" s="1"/>
  <c r="S4420" i="98"/>
  <c r="R4420" i="98"/>
  <c r="V4419" i="98"/>
  <c r="T4419" i="98"/>
  <c r="U4419" i="98" s="1"/>
  <c r="S4419" i="98"/>
  <c r="R4419" i="98"/>
  <c r="V4418" i="98"/>
  <c r="T4418" i="98"/>
  <c r="U4418" i="98" s="1"/>
  <c r="S4418" i="98"/>
  <c r="R4418" i="98"/>
  <c r="V4417" i="98"/>
  <c r="T4417" i="98"/>
  <c r="U4417" i="98" s="1"/>
  <c r="S4417" i="98"/>
  <c r="R4417" i="98"/>
  <c r="V4416" i="98"/>
  <c r="T4416" i="98"/>
  <c r="U4416" i="98" s="1"/>
  <c r="S4416" i="98"/>
  <c r="R4416" i="98"/>
  <c r="V4415" i="98"/>
  <c r="T4415" i="98"/>
  <c r="U4415" i="98" s="1"/>
  <c r="S4415" i="98"/>
  <c r="R4415" i="98"/>
  <c r="V4414" i="98"/>
  <c r="T4414" i="98"/>
  <c r="U4414" i="98" s="1"/>
  <c r="S4414" i="98"/>
  <c r="R4414" i="98"/>
  <c r="V4413" i="98"/>
  <c r="T4413" i="98"/>
  <c r="U4413" i="98" s="1"/>
  <c r="S4413" i="98"/>
  <c r="R4413" i="98"/>
  <c r="V4412" i="98"/>
  <c r="T4412" i="98"/>
  <c r="U4412" i="98" s="1"/>
  <c r="S4412" i="98"/>
  <c r="R4412" i="98"/>
  <c r="V4411" i="98"/>
  <c r="T4411" i="98"/>
  <c r="U4411" i="98" s="1"/>
  <c r="S4411" i="98"/>
  <c r="R4411" i="98"/>
  <c r="V4410" i="98"/>
  <c r="T4410" i="98"/>
  <c r="U4410" i="98" s="1"/>
  <c r="S4410" i="98"/>
  <c r="R4410" i="98"/>
  <c r="V4409" i="98"/>
  <c r="T4409" i="98"/>
  <c r="U4409" i="98" s="1"/>
  <c r="S4409" i="98"/>
  <c r="R4409" i="98"/>
  <c r="V4408" i="98"/>
  <c r="T4408" i="98"/>
  <c r="U4408" i="98" s="1"/>
  <c r="S4408" i="98"/>
  <c r="R4408" i="98"/>
  <c r="V4407" i="98"/>
  <c r="T4407" i="98"/>
  <c r="U4407" i="98" s="1"/>
  <c r="S4407" i="98"/>
  <c r="R4407" i="98"/>
  <c r="V4406" i="98"/>
  <c r="T4406" i="98"/>
  <c r="U4406" i="98" s="1"/>
  <c r="S4406" i="98"/>
  <c r="R4406" i="98"/>
  <c r="V4405" i="98"/>
  <c r="T4405" i="98"/>
  <c r="U4405" i="98" s="1"/>
  <c r="S4405" i="98"/>
  <c r="R4405" i="98"/>
  <c r="V4404" i="98"/>
  <c r="T4404" i="98"/>
  <c r="U4404" i="98" s="1"/>
  <c r="S4404" i="98"/>
  <c r="R4404" i="98"/>
  <c r="V4403" i="98"/>
  <c r="T4403" i="98"/>
  <c r="U4403" i="98" s="1"/>
  <c r="S4403" i="98"/>
  <c r="R4403" i="98"/>
  <c r="V4402" i="98"/>
  <c r="T4402" i="98"/>
  <c r="U4402" i="98" s="1"/>
  <c r="S4402" i="98"/>
  <c r="R4402" i="98"/>
  <c r="V4401" i="98"/>
  <c r="T4401" i="98"/>
  <c r="U4401" i="98" s="1"/>
  <c r="S4401" i="98"/>
  <c r="R4401" i="98"/>
  <c r="V4400" i="98"/>
  <c r="T4400" i="98"/>
  <c r="U4400" i="98" s="1"/>
  <c r="S4400" i="98"/>
  <c r="R4400" i="98"/>
  <c r="V4399" i="98"/>
  <c r="T4399" i="98"/>
  <c r="U4399" i="98" s="1"/>
  <c r="S4399" i="98"/>
  <c r="R4399" i="98"/>
  <c r="V4398" i="98"/>
  <c r="T4398" i="98"/>
  <c r="U4398" i="98" s="1"/>
  <c r="S4398" i="98"/>
  <c r="R4398" i="98"/>
  <c r="V4397" i="98"/>
  <c r="T4397" i="98"/>
  <c r="U4397" i="98" s="1"/>
  <c r="S4397" i="98"/>
  <c r="R4397" i="98"/>
  <c r="V4396" i="98"/>
  <c r="T4396" i="98"/>
  <c r="U4396" i="98" s="1"/>
  <c r="S4396" i="98"/>
  <c r="R4396" i="98"/>
  <c r="V4395" i="98"/>
  <c r="T4395" i="98"/>
  <c r="U4395" i="98" s="1"/>
  <c r="S4395" i="98"/>
  <c r="R4395" i="98"/>
  <c r="V4394" i="98"/>
  <c r="T4394" i="98"/>
  <c r="U4394" i="98" s="1"/>
  <c r="S4394" i="98"/>
  <c r="R4394" i="98"/>
  <c r="V4393" i="98"/>
  <c r="T4393" i="98"/>
  <c r="U4393" i="98" s="1"/>
  <c r="S4393" i="98"/>
  <c r="R4393" i="98"/>
  <c r="V4392" i="98"/>
  <c r="T4392" i="98"/>
  <c r="U4392" i="98" s="1"/>
  <c r="S4392" i="98"/>
  <c r="R4392" i="98"/>
  <c r="V4391" i="98"/>
  <c r="T4391" i="98"/>
  <c r="U4391" i="98" s="1"/>
  <c r="S4391" i="98"/>
  <c r="R4391" i="98"/>
  <c r="V4390" i="98"/>
  <c r="T4390" i="98"/>
  <c r="U4390" i="98" s="1"/>
  <c r="S4390" i="98"/>
  <c r="R4390" i="98"/>
  <c r="V4389" i="98"/>
  <c r="T4389" i="98"/>
  <c r="U4389" i="98" s="1"/>
  <c r="S4389" i="98"/>
  <c r="R4389" i="98"/>
  <c r="V4388" i="98"/>
  <c r="T4388" i="98"/>
  <c r="U4388" i="98" s="1"/>
  <c r="S4388" i="98"/>
  <c r="R4388" i="98"/>
  <c r="V4387" i="98"/>
  <c r="T4387" i="98"/>
  <c r="U4387" i="98" s="1"/>
  <c r="S4387" i="98"/>
  <c r="R4387" i="98"/>
  <c r="V4386" i="98"/>
  <c r="T4386" i="98"/>
  <c r="U4386" i="98" s="1"/>
  <c r="S4386" i="98"/>
  <c r="R4386" i="98"/>
  <c r="V4385" i="98"/>
  <c r="T4385" i="98"/>
  <c r="U4385" i="98" s="1"/>
  <c r="S4385" i="98"/>
  <c r="R4385" i="98"/>
  <c r="V4384" i="98"/>
  <c r="T4384" i="98"/>
  <c r="U4384" i="98" s="1"/>
  <c r="S4384" i="98"/>
  <c r="R4384" i="98"/>
  <c r="V4383" i="98"/>
  <c r="T4383" i="98"/>
  <c r="U4383" i="98" s="1"/>
  <c r="S4383" i="98"/>
  <c r="R4383" i="98"/>
  <c r="V4382" i="98"/>
  <c r="T4382" i="98"/>
  <c r="U4382" i="98" s="1"/>
  <c r="S4382" i="98"/>
  <c r="R4382" i="98"/>
  <c r="V4381" i="98"/>
  <c r="T4381" i="98"/>
  <c r="U4381" i="98" s="1"/>
  <c r="S4381" i="98"/>
  <c r="R4381" i="98"/>
  <c r="V4380" i="98"/>
  <c r="T4380" i="98"/>
  <c r="U4380" i="98" s="1"/>
  <c r="S4380" i="98"/>
  <c r="R4380" i="98"/>
  <c r="V4379" i="98"/>
  <c r="T4379" i="98"/>
  <c r="U4379" i="98" s="1"/>
  <c r="S4379" i="98"/>
  <c r="R4379" i="98"/>
  <c r="V4378" i="98"/>
  <c r="T4378" i="98"/>
  <c r="U4378" i="98" s="1"/>
  <c r="S4378" i="98"/>
  <c r="R4378" i="98"/>
  <c r="V4377" i="98"/>
  <c r="T4377" i="98"/>
  <c r="U4377" i="98" s="1"/>
  <c r="S4377" i="98"/>
  <c r="R4377" i="98"/>
  <c r="V4376" i="98"/>
  <c r="T4376" i="98"/>
  <c r="U4376" i="98" s="1"/>
  <c r="S4376" i="98"/>
  <c r="R4376" i="98"/>
  <c r="V4375" i="98"/>
  <c r="T4375" i="98"/>
  <c r="U4375" i="98" s="1"/>
  <c r="S4375" i="98"/>
  <c r="R4375" i="98"/>
  <c r="V4374" i="98"/>
  <c r="T4374" i="98"/>
  <c r="U4374" i="98" s="1"/>
  <c r="S4374" i="98"/>
  <c r="R4374" i="98"/>
  <c r="V4373" i="98"/>
  <c r="T4373" i="98"/>
  <c r="U4373" i="98" s="1"/>
  <c r="S4373" i="98"/>
  <c r="R4373" i="98"/>
  <c r="V4372" i="98"/>
  <c r="T4372" i="98"/>
  <c r="U4372" i="98" s="1"/>
  <c r="S4372" i="98"/>
  <c r="R4372" i="98"/>
  <c r="V4371" i="98"/>
  <c r="T4371" i="98"/>
  <c r="U4371" i="98" s="1"/>
  <c r="S4371" i="98"/>
  <c r="R4371" i="98"/>
  <c r="V4370" i="98"/>
  <c r="T4370" i="98"/>
  <c r="U4370" i="98" s="1"/>
  <c r="S4370" i="98"/>
  <c r="R4370" i="98"/>
  <c r="V4369" i="98"/>
  <c r="T4369" i="98"/>
  <c r="U4369" i="98" s="1"/>
  <c r="S4369" i="98"/>
  <c r="R4369" i="98"/>
  <c r="V4368" i="98"/>
  <c r="T4368" i="98"/>
  <c r="U4368" i="98" s="1"/>
  <c r="S4368" i="98"/>
  <c r="R4368" i="98"/>
  <c r="V4367" i="98"/>
  <c r="T4367" i="98"/>
  <c r="U4367" i="98" s="1"/>
  <c r="S4367" i="98"/>
  <c r="R4367" i="98"/>
  <c r="V4366" i="98"/>
  <c r="T4366" i="98"/>
  <c r="U4366" i="98" s="1"/>
  <c r="S4366" i="98"/>
  <c r="R4366" i="98"/>
  <c r="V4365" i="98"/>
  <c r="T4365" i="98"/>
  <c r="U4365" i="98" s="1"/>
  <c r="S4365" i="98"/>
  <c r="R4365" i="98"/>
  <c r="V4364" i="98"/>
  <c r="T4364" i="98"/>
  <c r="U4364" i="98" s="1"/>
  <c r="S4364" i="98"/>
  <c r="R4364" i="98"/>
  <c r="V4363" i="98"/>
  <c r="T4363" i="98"/>
  <c r="U4363" i="98" s="1"/>
  <c r="S4363" i="98"/>
  <c r="R4363" i="98"/>
  <c r="V4362" i="98"/>
  <c r="T4362" i="98"/>
  <c r="U4362" i="98" s="1"/>
  <c r="S4362" i="98"/>
  <c r="R4362" i="98"/>
  <c r="V4361" i="98"/>
  <c r="T4361" i="98"/>
  <c r="U4361" i="98" s="1"/>
  <c r="S4361" i="98"/>
  <c r="R4361" i="98"/>
  <c r="V4360" i="98"/>
  <c r="T4360" i="98"/>
  <c r="U4360" i="98" s="1"/>
  <c r="S4360" i="98"/>
  <c r="R4360" i="98"/>
  <c r="V4359" i="98"/>
  <c r="T4359" i="98"/>
  <c r="U4359" i="98" s="1"/>
  <c r="S4359" i="98"/>
  <c r="R4359" i="98"/>
  <c r="V4358" i="98"/>
  <c r="T4358" i="98"/>
  <c r="U4358" i="98" s="1"/>
  <c r="S4358" i="98"/>
  <c r="R4358" i="98"/>
  <c r="V4357" i="98"/>
  <c r="T4357" i="98"/>
  <c r="U4357" i="98" s="1"/>
  <c r="S4357" i="98"/>
  <c r="R4357" i="98"/>
  <c r="V4356" i="98"/>
  <c r="T4356" i="98"/>
  <c r="U4356" i="98" s="1"/>
  <c r="S4356" i="98"/>
  <c r="R4356" i="98"/>
  <c r="V4355" i="98"/>
  <c r="T4355" i="98"/>
  <c r="U4355" i="98" s="1"/>
  <c r="S4355" i="98"/>
  <c r="R4355" i="98"/>
  <c r="V4354" i="98"/>
  <c r="T4354" i="98"/>
  <c r="U4354" i="98" s="1"/>
  <c r="S4354" i="98"/>
  <c r="R4354" i="98"/>
  <c r="V4353" i="98"/>
  <c r="T4353" i="98"/>
  <c r="U4353" i="98" s="1"/>
  <c r="S4353" i="98"/>
  <c r="R4353" i="98"/>
  <c r="V4352" i="98"/>
  <c r="T4352" i="98"/>
  <c r="U4352" i="98" s="1"/>
  <c r="S4352" i="98"/>
  <c r="R4352" i="98"/>
  <c r="V4351" i="98"/>
  <c r="T4351" i="98"/>
  <c r="U4351" i="98" s="1"/>
  <c r="S4351" i="98"/>
  <c r="R4351" i="98"/>
  <c r="V4350" i="98"/>
  <c r="T4350" i="98"/>
  <c r="U4350" i="98" s="1"/>
  <c r="S4350" i="98"/>
  <c r="R4350" i="98"/>
  <c r="V4349" i="98"/>
  <c r="T4349" i="98"/>
  <c r="U4349" i="98" s="1"/>
  <c r="S4349" i="98"/>
  <c r="R4349" i="98"/>
  <c r="V4348" i="98"/>
  <c r="T4348" i="98"/>
  <c r="U4348" i="98" s="1"/>
  <c r="S4348" i="98"/>
  <c r="R4348" i="98"/>
  <c r="V4347" i="98"/>
  <c r="T4347" i="98"/>
  <c r="U4347" i="98" s="1"/>
  <c r="S4347" i="98"/>
  <c r="R4347" i="98"/>
  <c r="V4346" i="98"/>
  <c r="T4346" i="98"/>
  <c r="U4346" i="98" s="1"/>
  <c r="S4346" i="98"/>
  <c r="R4346" i="98"/>
  <c r="V4345" i="98"/>
  <c r="T4345" i="98"/>
  <c r="U4345" i="98" s="1"/>
  <c r="S4345" i="98"/>
  <c r="R4345" i="98"/>
  <c r="V4344" i="98"/>
  <c r="T4344" i="98"/>
  <c r="U4344" i="98" s="1"/>
  <c r="S4344" i="98"/>
  <c r="R4344" i="98"/>
  <c r="V4343" i="98"/>
  <c r="T4343" i="98"/>
  <c r="U4343" i="98" s="1"/>
  <c r="S4343" i="98"/>
  <c r="R4343" i="98"/>
  <c r="V4342" i="98"/>
  <c r="T4342" i="98"/>
  <c r="U4342" i="98" s="1"/>
  <c r="S4342" i="98"/>
  <c r="R4342" i="98"/>
  <c r="V4341" i="98"/>
  <c r="T4341" i="98"/>
  <c r="U4341" i="98" s="1"/>
  <c r="S4341" i="98"/>
  <c r="R4341" i="98"/>
  <c r="V4340" i="98"/>
  <c r="T4340" i="98"/>
  <c r="U4340" i="98" s="1"/>
  <c r="S4340" i="98"/>
  <c r="R4340" i="98"/>
  <c r="V4339" i="98"/>
  <c r="T4339" i="98"/>
  <c r="U4339" i="98" s="1"/>
  <c r="S4339" i="98"/>
  <c r="R4339" i="98"/>
  <c r="V4338" i="98"/>
  <c r="T4338" i="98"/>
  <c r="U4338" i="98" s="1"/>
  <c r="S4338" i="98"/>
  <c r="R4338" i="98"/>
  <c r="V4337" i="98"/>
  <c r="T4337" i="98"/>
  <c r="U4337" i="98" s="1"/>
  <c r="S4337" i="98"/>
  <c r="R4337" i="98"/>
  <c r="V4336" i="98"/>
  <c r="T4336" i="98"/>
  <c r="U4336" i="98" s="1"/>
  <c r="S4336" i="98"/>
  <c r="R4336" i="98"/>
  <c r="V4335" i="98"/>
  <c r="T4335" i="98"/>
  <c r="U4335" i="98" s="1"/>
  <c r="S4335" i="98"/>
  <c r="R4335" i="98"/>
  <c r="V4334" i="98"/>
  <c r="T4334" i="98"/>
  <c r="U4334" i="98" s="1"/>
  <c r="S4334" i="98"/>
  <c r="R4334" i="98"/>
  <c r="V4333" i="98"/>
  <c r="T4333" i="98"/>
  <c r="U4333" i="98" s="1"/>
  <c r="S4333" i="98"/>
  <c r="R4333" i="98"/>
  <c r="V4332" i="98"/>
  <c r="T4332" i="98"/>
  <c r="U4332" i="98" s="1"/>
  <c r="S4332" i="98"/>
  <c r="R4332" i="98"/>
  <c r="V4331" i="98"/>
  <c r="T4331" i="98"/>
  <c r="U4331" i="98" s="1"/>
  <c r="S4331" i="98"/>
  <c r="R4331" i="98"/>
  <c r="V4330" i="98"/>
  <c r="T4330" i="98"/>
  <c r="U4330" i="98" s="1"/>
  <c r="S4330" i="98"/>
  <c r="R4330" i="98"/>
  <c r="V4329" i="98"/>
  <c r="T4329" i="98"/>
  <c r="U4329" i="98" s="1"/>
  <c r="S4329" i="98"/>
  <c r="R4329" i="98"/>
  <c r="V4328" i="98"/>
  <c r="T4328" i="98"/>
  <c r="U4328" i="98" s="1"/>
  <c r="S4328" i="98"/>
  <c r="R4328" i="98"/>
  <c r="V4327" i="98"/>
  <c r="T4327" i="98"/>
  <c r="U4327" i="98" s="1"/>
  <c r="S4327" i="98"/>
  <c r="R4327" i="98"/>
  <c r="V4326" i="98"/>
  <c r="T4326" i="98"/>
  <c r="U4326" i="98" s="1"/>
  <c r="S4326" i="98"/>
  <c r="R4326" i="98"/>
  <c r="V4325" i="98"/>
  <c r="T4325" i="98"/>
  <c r="U4325" i="98" s="1"/>
  <c r="S4325" i="98"/>
  <c r="R4325" i="98"/>
  <c r="V4324" i="98"/>
  <c r="T4324" i="98"/>
  <c r="U4324" i="98" s="1"/>
  <c r="S4324" i="98"/>
  <c r="R4324" i="98"/>
  <c r="V4323" i="98"/>
  <c r="T4323" i="98"/>
  <c r="U4323" i="98" s="1"/>
  <c r="S4323" i="98"/>
  <c r="R4323" i="98"/>
  <c r="V4322" i="98"/>
  <c r="T4322" i="98"/>
  <c r="U4322" i="98" s="1"/>
  <c r="S4322" i="98"/>
  <c r="R4322" i="98"/>
  <c r="V4321" i="98"/>
  <c r="T4321" i="98"/>
  <c r="U4321" i="98" s="1"/>
  <c r="S4321" i="98"/>
  <c r="R4321" i="98"/>
  <c r="V4320" i="98"/>
  <c r="T4320" i="98"/>
  <c r="U4320" i="98" s="1"/>
  <c r="S4320" i="98"/>
  <c r="R4320" i="98"/>
  <c r="V4319" i="98"/>
  <c r="T4319" i="98"/>
  <c r="U4319" i="98" s="1"/>
  <c r="S4319" i="98"/>
  <c r="R4319" i="98"/>
  <c r="V4318" i="98"/>
  <c r="T4318" i="98"/>
  <c r="U4318" i="98" s="1"/>
  <c r="S4318" i="98"/>
  <c r="R4318" i="98"/>
  <c r="V4317" i="98"/>
  <c r="T4317" i="98"/>
  <c r="U4317" i="98" s="1"/>
  <c r="S4317" i="98"/>
  <c r="R4317" i="98"/>
  <c r="V4316" i="98"/>
  <c r="T4316" i="98"/>
  <c r="U4316" i="98" s="1"/>
  <c r="S4316" i="98"/>
  <c r="R4316" i="98"/>
  <c r="V4315" i="98"/>
  <c r="T4315" i="98"/>
  <c r="U4315" i="98" s="1"/>
  <c r="S4315" i="98"/>
  <c r="R4315" i="98"/>
  <c r="V4314" i="98"/>
  <c r="T4314" i="98"/>
  <c r="U4314" i="98" s="1"/>
  <c r="S4314" i="98"/>
  <c r="R4314" i="98"/>
  <c r="V4313" i="98"/>
  <c r="T4313" i="98"/>
  <c r="U4313" i="98" s="1"/>
  <c r="S4313" i="98"/>
  <c r="R4313" i="98"/>
  <c r="V4312" i="98"/>
  <c r="T4312" i="98"/>
  <c r="U4312" i="98" s="1"/>
  <c r="S4312" i="98"/>
  <c r="R4312" i="98"/>
  <c r="V4311" i="98"/>
  <c r="T4311" i="98"/>
  <c r="U4311" i="98" s="1"/>
  <c r="S4311" i="98"/>
  <c r="R4311" i="98"/>
  <c r="V4310" i="98"/>
  <c r="T4310" i="98"/>
  <c r="U4310" i="98" s="1"/>
  <c r="S4310" i="98"/>
  <c r="R4310" i="98"/>
  <c r="V4309" i="98"/>
  <c r="T4309" i="98"/>
  <c r="U4309" i="98" s="1"/>
  <c r="S4309" i="98"/>
  <c r="R4309" i="98"/>
  <c r="V4308" i="98"/>
  <c r="T4308" i="98"/>
  <c r="U4308" i="98" s="1"/>
  <c r="S4308" i="98"/>
  <c r="R4308" i="98"/>
  <c r="V4307" i="98"/>
  <c r="T4307" i="98"/>
  <c r="U4307" i="98" s="1"/>
  <c r="S4307" i="98"/>
  <c r="R4307" i="98"/>
  <c r="V4306" i="98"/>
  <c r="T4306" i="98"/>
  <c r="U4306" i="98" s="1"/>
  <c r="S4306" i="98"/>
  <c r="R4306" i="98"/>
  <c r="V4305" i="98"/>
  <c r="T4305" i="98"/>
  <c r="U4305" i="98" s="1"/>
  <c r="S4305" i="98"/>
  <c r="R4305" i="98"/>
  <c r="V4304" i="98"/>
  <c r="T4304" i="98"/>
  <c r="U4304" i="98" s="1"/>
  <c r="S4304" i="98"/>
  <c r="R4304" i="98"/>
  <c r="V4303" i="98"/>
  <c r="T4303" i="98"/>
  <c r="U4303" i="98" s="1"/>
  <c r="S4303" i="98"/>
  <c r="R4303" i="98"/>
  <c r="V4302" i="98"/>
  <c r="T4302" i="98"/>
  <c r="U4302" i="98" s="1"/>
  <c r="S4302" i="98"/>
  <c r="R4302" i="98"/>
  <c r="V4301" i="98"/>
  <c r="T4301" i="98"/>
  <c r="U4301" i="98" s="1"/>
  <c r="S4301" i="98"/>
  <c r="R4301" i="98"/>
  <c r="V4300" i="98"/>
  <c r="T4300" i="98"/>
  <c r="U4300" i="98" s="1"/>
  <c r="S4300" i="98"/>
  <c r="R4300" i="98"/>
  <c r="V4299" i="98"/>
  <c r="T4299" i="98"/>
  <c r="U4299" i="98" s="1"/>
  <c r="S4299" i="98"/>
  <c r="R4299" i="98"/>
  <c r="V4298" i="98"/>
  <c r="T4298" i="98"/>
  <c r="U4298" i="98" s="1"/>
  <c r="S4298" i="98"/>
  <c r="R4298" i="98"/>
  <c r="V4297" i="98"/>
  <c r="T4297" i="98"/>
  <c r="U4297" i="98" s="1"/>
  <c r="S4297" i="98"/>
  <c r="R4297" i="98"/>
  <c r="V4296" i="98"/>
  <c r="T4296" i="98"/>
  <c r="U4296" i="98" s="1"/>
  <c r="S4296" i="98"/>
  <c r="R4296" i="98"/>
  <c r="V4295" i="98"/>
  <c r="T4295" i="98"/>
  <c r="U4295" i="98" s="1"/>
  <c r="S4295" i="98"/>
  <c r="R4295" i="98"/>
  <c r="V4294" i="98"/>
  <c r="T4294" i="98"/>
  <c r="U4294" i="98" s="1"/>
  <c r="S4294" i="98"/>
  <c r="R4294" i="98"/>
  <c r="V4293" i="98"/>
  <c r="T4293" i="98"/>
  <c r="U4293" i="98" s="1"/>
  <c r="S4293" i="98"/>
  <c r="R4293" i="98"/>
  <c r="V4292" i="98"/>
  <c r="T4292" i="98"/>
  <c r="U4292" i="98" s="1"/>
  <c r="S4292" i="98"/>
  <c r="R4292" i="98"/>
  <c r="V4291" i="98"/>
  <c r="T4291" i="98"/>
  <c r="U4291" i="98" s="1"/>
  <c r="S4291" i="98"/>
  <c r="R4291" i="98"/>
  <c r="V4290" i="98"/>
  <c r="T4290" i="98"/>
  <c r="U4290" i="98" s="1"/>
  <c r="S4290" i="98"/>
  <c r="R4290" i="98"/>
  <c r="V4289" i="98"/>
  <c r="T4289" i="98"/>
  <c r="U4289" i="98" s="1"/>
  <c r="S4289" i="98"/>
  <c r="R4289" i="98"/>
  <c r="V4288" i="98"/>
  <c r="T4288" i="98"/>
  <c r="U4288" i="98" s="1"/>
  <c r="S4288" i="98"/>
  <c r="R4288" i="98"/>
  <c r="V4287" i="98"/>
  <c r="T4287" i="98"/>
  <c r="U4287" i="98" s="1"/>
  <c r="S4287" i="98"/>
  <c r="R4287" i="98"/>
  <c r="V4286" i="98"/>
  <c r="T4286" i="98"/>
  <c r="U4286" i="98" s="1"/>
  <c r="S4286" i="98"/>
  <c r="R4286" i="98"/>
  <c r="V4285" i="98"/>
  <c r="T4285" i="98"/>
  <c r="U4285" i="98" s="1"/>
  <c r="S4285" i="98"/>
  <c r="R4285" i="98"/>
  <c r="V4284" i="98"/>
  <c r="T4284" i="98"/>
  <c r="U4284" i="98" s="1"/>
  <c r="S4284" i="98"/>
  <c r="R4284" i="98"/>
  <c r="V4283" i="98"/>
  <c r="T4283" i="98"/>
  <c r="U4283" i="98" s="1"/>
  <c r="S4283" i="98"/>
  <c r="R4283" i="98"/>
  <c r="V4282" i="98"/>
  <c r="T4282" i="98"/>
  <c r="U4282" i="98" s="1"/>
  <c r="S4282" i="98"/>
  <c r="R4282" i="98"/>
  <c r="V4281" i="98"/>
  <c r="T4281" i="98"/>
  <c r="U4281" i="98" s="1"/>
  <c r="S4281" i="98"/>
  <c r="R4281" i="98"/>
  <c r="V4280" i="98"/>
  <c r="T4280" i="98"/>
  <c r="U4280" i="98" s="1"/>
  <c r="S4280" i="98"/>
  <c r="R4280" i="98"/>
  <c r="V4279" i="98"/>
  <c r="T4279" i="98"/>
  <c r="U4279" i="98" s="1"/>
  <c r="S4279" i="98"/>
  <c r="R4279" i="98"/>
  <c r="V4278" i="98"/>
  <c r="T4278" i="98"/>
  <c r="U4278" i="98" s="1"/>
  <c r="S4278" i="98"/>
  <c r="R4278" i="98"/>
  <c r="V4277" i="98"/>
  <c r="T4277" i="98"/>
  <c r="U4277" i="98" s="1"/>
  <c r="S4277" i="98"/>
  <c r="R4277" i="98"/>
  <c r="V4276" i="98"/>
  <c r="T4276" i="98"/>
  <c r="U4276" i="98" s="1"/>
  <c r="S4276" i="98"/>
  <c r="R4276" i="98"/>
  <c r="V4275" i="98"/>
  <c r="T4275" i="98"/>
  <c r="U4275" i="98" s="1"/>
  <c r="S4275" i="98"/>
  <c r="R4275" i="98"/>
  <c r="V4274" i="98"/>
  <c r="T4274" i="98"/>
  <c r="U4274" i="98" s="1"/>
  <c r="S4274" i="98"/>
  <c r="R4274" i="98"/>
  <c r="V4273" i="98"/>
  <c r="T4273" i="98"/>
  <c r="U4273" i="98" s="1"/>
  <c r="S4273" i="98"/>
  <c r="R4273" i="98"/>
  <c r="V4272" i="98"/>
  <c r="T4272" i="98"/>
  <c r="U4272" i="98" s="1"/>
  <c r="S4272" i="98"/>
  <c r="R4272" i="98"/>
  <c r="V4271" i="98"/>
  <c r="T4271" i="98"/>
  <c r="U4271" i="98" s="1"/>
  <c r="S4271" i="98"/>
  <c r="R4271" i="98"/>
  <c r="V4270" i="98"/>
  <c r="T4270" i="98"/>
  <c r="U4270" i="98" s="1"/>
  <c r="S4270" i="98"/>
  <c r="R4270" i="98"/>
  <c r="V4269" i="98"/>
  <c r="T4269" i="98"/>
  <c r="U4269" i="98" s="1"/>
  <c r="S4269" i="98"/>
  <c r="R4269" i="98"/>
  <c r="V4268" i="98"/>
  <c r="T4268" i="98"/>
  <c r="U4268" i="98" s="1"/>
  <c r="S4268" i="98"/>
  <c r="R4268" i="98"/>
  <c r="V4267" i="98"/>
  <c r="T4267" i="98"/>
  <c r="U4267" i="98" s="1"/>
  <c r="S4267" i="98"/>
  <c r="R4267" i="98"/>
  <c r="V4266" i="98"/>
  <c r="T4266" i="98"/>
  <c r="U4266" i="98" s="1"/>
  <c r="S4266" i="98"/>
  <c r="R4266" i="98"/>
  <c r="V4265" i="98"/>
  <c r="T4265" i="98"/>
  <c r="U4265" i="98" s="1"/>
  <c r="S4265" i="98"/>
  <c r="R4265" i="98"/>
  <c r="V4264" i="98"/>
  <c r="T4264" i="98"/>
  <c r="U4264" i="98" s="1"/>
  <c r="S4264" i="98"/>
  <c r="R4264" i="98"/>
  <c r="V4263" i="98"/>
  <c r="T4263" i="98"/>
  <c r="U4263" i="98" s="1"/>
  <c r="S4263" i="98"/>
  <c r="R4263" i="98"/>
  <c r="V4262" i="98"/>
  <c r="T4262" i="98"/>
  <c r="U4262" i="98" s="1"/>
  <c r="S4262" i="98"/>
  <c r="R4262" i="98"/>
  <c r="V4261" i="98"/>
  <c r="T4261" i="98"/>
  <c r="U4261" i="98" s="1"/>
  <c r="S4261" i="98"/>
  <c r="R4261" i="98"/>
  <c r="V4260" i="98"/>
  <c r="T4260" i="98"/>
  <c r="U4260" i="98" s="1"/>
  <c r="S4260" i="98"/>
  <c r="R4260" i="98"/>
  <c r="V4259" i="98"/>
  <c r="T4259" i="98"/>
  <c r="U4259" i="98" s="1"/>
  <c r="S4259" i="98"/>
  <c r="R4259" i="98"/>
  <c r="V4258" i="98"/>
  <c r="T4258" i="98"/>
  <c r="U4258" i="98" s="1"/>
  <c r="S4258" i="98"/>
  <c r="R4258" i="98"/>
  <c r="V4257" i="98"/>
  <c r="T4257" i="98"/>
  <c r="U4257" i="98" s="1"/>
  <c r="S4257" i="98"/>
  <c r="R4257" i="98"/>
  <c r="V4256" i="98"/>
  <c r="T4256" i="98"/>
  <c r="U4256" i="98" s="1"/>
  <c r="S4256" i="98"/>
  <c r="R4256" i="98"/>
  <c r="V4255" i="98"/>
  <c r="T4255" i="98"/>
  <c r="U4255" i="98" s="1"/>
  <c r="S4255" i="98"/>
  <c r="R4255" i="98"/>
  <c r="V4254" i="98"/>
  <c r="T4254" i="98"/>
  <c r="U4254" i="98" s="1"/>
  <c r="S4254" i="98"/>
  <c r="R4254" i="98"/>
  <c r="V4253" i="98"/>
  <c r="T4253" i="98"/>
  <c r="U4253" i="98" s="1"/>
  <c r="S4253" i="98"/>
  <c r="R4253" i="98"/>
  <c r="V4252" i="98"/>
  <c r="T4252" i="98"/>
  <c r="U4252" i="98" s="1"/>
  <c r="S4252" i="98"/>
  <c r="R4252" i="98"/>
  <c r="V4251" i="98"/>
  <c r="T4251" i="98"/>
  <c r="U4251" i="98" s="1"/>
  <c r="S4251" i="98"/>
  <c r="R4251" i="98"/>
  <c r="V4250" i="98"/>
  <c r="T4250" i="98"/>
  <c r="U4250" i="98" s="1"/>
  <c r="S4250" i="98"/>
  <c r="R4250" i="98"/>
  <c r="V4249" i="98"/>
  <c r="T4249" i="98"/>
  <c r="U4249" i="98" s="1"/>
  <c r="S4249" i="98"/>
  <c r="R4249" i="98"/>
  <c r="V4248" i="98"/>
  <c r="T4248" i="98"/>
  <c r="U4248" i="98" s="1"/>
  <c r="S4248" i="98"/>
  <c r="R4248" i="98"/>
  <c r="V4247" i="98"/>
  <c r="T4247" i="98"/>
  <c r="U4247" i="98" s="1"/>
  <c r="S4247" i="98"/>
  <c r="R4247" i="98"/>
  <c r="V4246" i="98"/>
  <c r="T4246" i="98"/>
  <c r="U4246" i="98" s="1"/>
  <c r="S4246" i="98"/>
  <c r="R4246" i="98"/>
  <c r="V4245" i="98"/>
  <c r="T4245" i="98"/>
  <c r="U4245" i="98" s="1"/>
  <c r="S4245" i="98"/>
  <c r="R4245" i="98"/>
  <c r="V4244" i="98"/>
  <c r="T4244" i="98"/>
  <c r="U4244" i="98" s="1"/>
  <c r="S4244" i="98"/>
  <c r="R4244" i="98"/>
  <c r="V4243" i="98"/>
  <c r="T4243" i="98"/>
  <c r="U4243" i="98" s="1"/>
  <c r="S4243" i="98"/>
  <c r="R4243" i="98"/>
  <c r="V4242" i="98"/>
  <c r="T4242" i="98"/>
  <c r="U4242" i="98" s="1"/>
  <c r="S4242" i="98"/>
  <c r="R4242" i="98"/>
  <c r="V4241" i="98"/>
  <c r="T4241" i="98"/>
  <c r="U4241" i="98" s="1"/>
  <c r="S4241" i="98"/>
  <c r="R4241" i="98"/>
  <c r="V4240" i="98"/>
  <c r="T4240" i="98"/>
  <c r="U4240" i="98" s="1"/>
  <c r="S4240" i="98"/>
  <c r="R4240" i="98"/>
  <c r="V4239" i="98"/>
  <c r="T4239" i="98"/>
  <c r="U4239" i="98" s="1"/>
  <c r="S4239" i="98"/>
  <c r="R4239" i="98"/>
  <c r="V4238" i="98"/>
  <c r="T4238" i="98"/>
  <c r="U4238" i="98" s="1"/>
  <c r="S4238" i="98"/>
  <c r="R4238" i="98"/>
  <c r="V4237" i="98"/>
  <c r="T4237" i="98"/>
  <c r="U4237" i="98" s="1"/>
  <c r="S4237" i="98"/>
  <c r="R4237" i="98"/>
  <c r="V4236" i="98"/>
  <c r="T4236" i="98"/>
  <c r="U4236" i="98" s="1"/>
  <c r="S4236" i="98"/>
  <c r="R4236" i="98"/>
  <c r="V4235" i="98"/>
  <c r="T4235" i="98"/>
  <c r="U4235" i="98" s="1"/>
  <c r="S4235" i="98"/>
  <c r="R4235" i="98"/>
  <c r="V4234" i="98"/>
  <c r="T4234" i="98"/>
  <c r="U4234" i="98" s="1"/>
  <c r="S4234" i="98"/>
  <c r="R4234" i="98"/>
  <c r="V4233" i="98"/>
  <c r="T4233" i="98"/>
  <c r="U4233" i="98" s="1"/>
  <c r="S4233" i="98"/>
  <c r="R4233" i="98"/>
  <c r="V4232" i="98"/>
  <c r="T4232" i="98"/>
  <c r="U4232" i="98" s="1"/>
  <c r="S4232" i="98"/>
  <c r="R4232" i="98"/>
  <c r="V4231" i="98"/>
  <c r="T4231" i="98"/>
  <c r="U4231" i="98" s="1"/>
  <c r="S4231" i="98"/>
  <c r="R4231" i="98"/>
  <c r="V4230" i="98"/>
  <c r="T4230" i="98"/>
  <c r="U4230" i="98" s="1"/>
  <c r="S4230" i="98"/>
  <c r="R4230" i="98"/>
  <c r="V4229" i="98"/>
  <c r="T4229" i="98"/>
  <c r="U4229" i="98" s="1"/>
  <c r="S4229" i="98"/>
  <c r="R4229" i="98"/>
  <c r="V4228" i="98"/>
  <c r="T4228" i="98"/>
  <c r="U4228" i="98" s="1"/>
  <c r="S4228" i="98"/>
  <c r="R4228" i="98"/>
  <c r="V4227" i="98"/>
  <c r="T4227" i="98"/>
  <c r="U4227" i="98" s="1"/>
  <c r="S4227" i="98"/>
  <c r="R4227" i="98"/>
  <c r="V4226" i="98"/>
  <c r="T4226" i="98"/>
  <c r="U4226" i="98" s="1"/>
  <c r="S4226" i="98"/>
  <c r="R4226" i="98"/>
  <c r="V4225" i="98"/>
  <c r="T4225" i="98"/>
  <c r="U4225" i="98" s="1"/>
  <c r="S4225" i="98"/>
  <c r="R4225" i="98"/>
  <c r="V4224" i="98"/>
  <c r="T4224" i="98"/>
  <c r="U4224" i="98" s="1"/>
  <c r="S4224" i="98"/>
  <c r="R4224" i="98"/>
  <c r="V4223" i="98"/>
  <c r="T4223" i="98"/>
  <c r="U4223" i="98" s="1"/>
  <c r="S4223" i="98"/>
  <c r="R4223" i="98"/>
  <c r="V4222" i="98"/>
  <c r="T4222" i="98"/>
  <c r="U4222" i="98" s="1"/>
  <c r="S4222" i="98"/>
  <c r="R4222" i="98"/>
  <c r="V4221" i="98"/>
  <c r="T4221" i="98"/>
  <c r="U4221" i="98" s="1"/>
  <c r="S4221" i="98"/>
  <c r="R4221" i="98"/>
  <c r="V4220" i="98"/>
  <c r="T4220" i="98"/>
  <c r="U4220" i="98" s="1"/>
  <c r="S4220" i="98"/>
  <c r="R4220" i="98"/>
  <c r="V4219" i="98"/>
  <c r="T4219" i="98"/>
  <c r="U4219" i="98" s="1"/>
  <c r="S4219" i="98"/>
  <c r="R4219" i="98"/>
  <c r="V4218" i="98"/>
  <c r="T4218" i="98"/>
  <c r="U4218" i="98" s="1"/>
  <c r="S4218" i="98"/>
  <c r="R4218" i="98"/>
  <c r="V4217" i="98"/>
  <c r="T4217" i="98"/>
  <c r="U4217" i="98" s="1"/>
  <c r="S4217" i="98"/>
  <c r="R4217" i="98"/>
  <c r="V4216" i="98"/>
  <c r="T4216" i="98"/>
  <c r="U4216" i="98" s="1"/>
  <c r="S4216" i="98"/>
  <c r="R4216" i="98"/>
  <c r="V4215" i="98"/>
  <c r="T4215" i="98"/>
  <c r="U4215" i="98" s="1"/>
  <c r="S4215" i="98"/>
  <c r="R4215" i="98"/>
  <c r="V4214" i="98"/>
  <c r="T4214" i="98"/>
  <c r="U4214" i="98" s="1"/>
  <c r="S4214" i="98"/>
  <c r="R4214" i="98"/>
  <c r="V4213" i="98"/>
  <c r="T4213" i="98"/>
  <c r="U4213" i="98" s="1"/>
  <c r="S4213" i="98"/>
  <c r="R4213" i="98"/>
  <c r="V4212" i="98"/>
  <c r="T4212" i="98"/>
  <c r="U4212" i="98" s="1"/>
  <c r="S4212" i="98"/>
  <c r="R4212" i="98"/>
  <c r="V4211" i="98"/>
  <c r="T4211" i="98"/>
  <c r="U4211" i="98" s="1"/>
  <c r="S4211" i="98"/>
  <c r="R4211" i="98"/>
  <c r="V4210" i="98"/>
  <c r="T4210" i="98"/>
  <c r="U4210" i="98" s="1"/>
  <c r="S4210" i="98"/>
  <c r="R4210" i="98"/>
  <c r="V4209" i="98"/>
  <c r="T4209" i="98"/>
  <c r="U4209" i="98" s="1"/>
  <c r="S4209" i="98"/>
  <c r="R4209" i="98"/>
  <c r="V4208" i="98"/>
  <c r="T4208" i="98"/>
  <c r="U4208" i="98" s="1"/>
  <c r="S4208" i="98"/>
  <c r="R4208" i="98"/>
  <c r="V4207" i="98"/>
  <c r="T4207" i="98"/>
  <c r="U4207" i="98" s="1"/>
  <c r="S4207" i="98"/>
  <c r="R4207" i="98"/>
  <c r="V4206" i="98"/>
  <c r="T4206" i="98"/>
  <c r="U4206" i="98" s="1"/>
  <c r="S4206" i="98"/>
  <c r="R4206" i="98"/>
  <c r="V4205" i="98"/>
  <c r="T4205" i="98"/>
  <c r="U4205" i="98" s="1"/>
  <c r="S4205" i="98"/>
  <c r="R4205" i="98"/>
  <c r="V4204" i="98"/>
  <c r="T4204" i="98"/>
  <c r="U4204" i="98" s="1"/>
  <c r="S4204" i="98"/>
  <c r="R4204" i="98"/>
  <c r="V4203" i="98"/>
  <c r="T4203" i="98"/>
  <c r="U4203" i="98" s="1"/>
  <c r="S4203" i="98"/>
  <c r="R4203" i="98"/>
  <c r="V4202" i="98"/>
  <c r="T4202" i="98"/>
  <c r="U4202" i="98" s="1"/>
  <c r="S4202" i="98"/>
  <c r="R4202" i="98"/>
  <c r="V4201" i="98"/>
  <c r="T4201" i="98"/>
  <c r="U4201" i="98" s="1"/>
  <c r="S4201" i="98"/>
  <c r="R4201" i="98"/>
  <c r="V4200" i="98"/>
  <c r="T4200" i="98"/>
  <c r="U4200" i="98" s="1"/>
  <c r="S4200" i="98"/>
  <c r="R4200" i="98"/>
  <c r="V4199" i="98"/>
  <c r="T4199" i="98"/>
  <c r="U4199" i="98" s="1"/>
  <c r="S4199" i="98"/>
  <c r="R4199" i="98"/>
  <c r="V4198" i="98"/>
  <c r="T4198" i="98"/>
  <c r="U4198" i="98" s="1"/>
  <c r="S4198" i="98"/>
  <c r="R4198" i="98"/>
  <c r="V4197" i="98"/>
  <c r="T4197" i="98"/>
  <c r="U4197" i="98" s="1"/>
  <c r="S4197" i="98"/>
  <c r="R4197" i="98"/>
  <c r="V4196" i="98"/>
  <c r="T4196" i="98"/>
  <c r="U4196" i="98" s="1"/>
  <c r="S4196" i="98"/>
  <c r="R4196" i="98"/>
  <c r="V4195" i="98"/>
  <c r="T4195" i="98"/>
  <c r="U4195" i="98" s="1"/>
  <c r="S4195" i="98"/>
  <c r="R4195" i="98"/>
  <c r="V4194" i="98"/>
  <c r="T4194" i="98"/>
  <c r="U4194" i="98" s="1"/>
  <c r="S4194" i="98"/>
  <c r="R4194" i="98"/>
  <c r="V4193" i="98"/>
  <c r="T4193" i="98"/>
  <c r="U4193" i="98" s="1"/>
  <c r="S4193" i="98"/>
  <c r="R4193" i="98"/>
  <c r="V4192" i="98"/>
  <c r="T4192" i="98"/>
  <c r="U4192" i="98" s="1"/>
  <c r="S4192" i="98"/>
  <c r="R4192" i="98"/>
  <c r="V4191" i="98"/>
  <c r="T4191" i="98"/>
  <c r="U4191" i="98" s="1"/>
  <c r="S4191" i="98"/>
  <c r="R4191" i="98"/>
  <c r="V4190" i="98"/>
  <c r="T4190" i="98"/>
  <c r="U4190" i="98" s="1"/>
  <c r="S4190" i="98"/>
  <c r="R4190" i="98"/>
  <c r="V4189" i="98"/>
  <c r="T4189" i="98"/>
  <c r="U4189" i="98" s="1"/>
  <c r="S4189" i="98"/>
  <c r="R4189" i="98"/>
  <c r="V4188" i="98"/>
  <c r="T4188" i="98"/>
  <c r="U4188" i="98" s="1"/>
  <c r="S4188" i="98"/>
  <c r="R4188" i="98"/>
  <c r="V4187" i="98"/>
  <c r="T4187" i="98"/>
  <c r="U4187" i="98" s="1"/>
  <c r="S4187" i="98"/>
  <c r="R4187" i="98"/>
  <c r="V4186" i="98"/>
  <c r="T4186" i="98"/>
  <c r="U4186" i="98" s="1"/>
  <c r="S4186" i="98"/>
  <c r="R4186" i="98"/>
  <c r="V4185" i="98"/>
  <c r="T4185" i="98"/>
  <c r="U4185" i="98" s="1"/>
  <c r="S4185" i="98"/>
  <c r="R4185" i="98"/>
  <c r="V4184" i="98"/>
  <c r="T4184" i="98"/>
  <c r="U4184" i="98" s="1"/>
  <c r="S4184" i="98"/>
  <c r="R4184" i="98"/>
  <c r="V4183" i="98"/>
  <c r="T4183" i="98"/>
  <c r="U4183" i="98" s="1"/>
  <c r="S4183" i="98"/>
  <c r="R4183" i="98"/>
  <c r="V4182" i="98"/>
  <c r="T4182" i="98"/>
  <c r="U4182" i="98" s="1"/>
  <c r="S4182" i="98"/>
  <c r="R4182" i="98"/>
  <c r="V4181" i="98"/>
  <c r="T4181" i="98"/>
  <c r="U4181" i="98" s="1"/>
  <c r="S4181" i="98"/>
  <c r="R4181" i="98"/>
  <c r="V4180" i="98"/>
  <c r="T4180" i="98"/>
  <c r="U4180" i="98" s="1"/>
  <c r="S4180" i="98"/>
  <c r="R4180" i="98"/>
  <c r="V4179" i="98"/>
  <c r="T4179" i="98"/>
  <c r="U4179" i="98" s="1"/>
  <c r="S4179" i="98"/>
  <c r="R4179" i="98"/>
  <c r="V4178" i="98"/>
  <c r="T4178" i="98"/>
  <c r="U4178" i="98" s="1"/>
  <c r="S4178" i="98"/>
  <c r="R4178" i="98"/>
  <c r="V4177" i="98"/>
  <c r="T4177" i="98"/>
  <c r="U4177" i="98" s="1"/>
  <c r="S4177" i="98"/>
  <c r="R4177" i="98"/>
  <c r="V4176" i="98"/>
  <c r="T4176" i="98"/>
  <c r="U4176" i="98" s="1"/>
  <c r="S4176" i="98"/>
  <c r="R4176" i="98"/>
  <c r="V4175" i="98"/>
  <c r="T4175" i="98"/>
  <c r="U4175" i="98" s="1"/>
  <c r="S4175" i="98"/>
  <c r="R4175" i="98"/>
  <c r="V4174" i="98"/>
  <c r="T4174" i="98"/>
  <c r="U4174" i="98" s="1"/>
  <c r="S4174" i="98"/>
  <c r="R4174" i="98"/>
  <c r="V4173" i="98"/>
  <c r="T4173" i="98"/>
  <c r="U4173" i="98" s="1"/>
  <c r="S4173" i="98"/>
  <c r="R4173" i="98"/>
  <c r="V4172" i="98"/>
  <c r="T4172" i="98"/>
  <c r="U4172" i="98" s="1"/>
  <c r="S4172" i="98"/>
  <c r="R4172" i="98"/>
  <c r="V4171" i="98"/>
  <c r="T4171" i="98"/>
  <c r="U4171" i="98" s="1"/>
  <c r="S4171" i="98"/>
  <c r="R4171" i="98"/>
  <c r="V4170" i="98"/>
  <c r="T4170" i="98"/>
  <c r="U4170" i="98" s="1"/>
  <c r="S4170" i="98"/>
  <c r="R4170" i="98"/>
  <c r="V4169" i="98"/>
  <c r="T4169" i="98"/>
  <c r="U4169" i="98" s="1"/>
  <c r="S4169" i="98"/>
  <c r="R4169" i="98"/>
  <c r="V4168" i="98"/>
  <c r="T4168" i="98"/>
  <c r="U4168" i="98" s="1"/>
  <c r="S4168" i="98"/>
  <c r="R4168" i="98"/>
  <c r="V4167" i="98"/>
  <c r="T4167" i="98"/>
  <c r="U4167" i="98" s="1"/>
  <c r="S4167" i="98"/>
  <c r="R4167" i="98"/>
  <c r="V4166" i="98"/>
  <c r="T4166" i="98"/>
  <c r="U4166" i="98" s="1"/>
  <c r="S4166" i="98"/>
  <c r="R4166" i="98"/>
  <c r="V4165" i="98"/>
  <c r="T4165" i="98"/>
  <c r="U4165" i="98" s="1"/>
  <c r="S4165" i="98"/>
  <c r="R4165" i="98"/>
  <c r="V4164" i="98"/>
  <c r="T4164" i="98"/>
  <c r="U4164" i="98" s="1"/>
  <c r="S4164" i="98"/>
  <c r="R4164" i="98"/>
  <c r="V4163" i="98"/>
  <c r="T4163" i="98"/>
  <c r="U4163" i="98" s="1"/>
  <c r="S4163" i="98"/>
  <c r="R4163" i="98"/>
  <c r="V4162" i="98"/>
  <c r="T4162" i="98"/>
  <c r="U4162" i="98" s="1"/>
  <c r="S4162" i="98"/>
  <c r="R4162" i="98"/>
  <c r="V4161" i="98"/>
  <c r="T4161" i="98"/>
  <c r="U4161" i="98" s="1"/>
  <c r="S4161" i="98"/>
  <c r="R4161" i="98"/>
  <c r="V4160" i="98"/>
  <c r="T4160" i="98"/>
  <c r="U4160" i="98" s="1"/>
  <c r="S4160" i="98"/>
  <c r="R4160" i="98"/>
  <c r="V4159" i="98"/>
  <c r="T4159" i="98"/>
  <c r="U4159" i="98" s="1"/>
  <c r="S4159" i="98"/>
  <c r="R4159" i="98"/>
  <c r="V4158" i="98"/>
  <c r="T4158" i="98"/>
  <c r="U4158" i="98" s="1"/>
  <c r="S4158" i="98"/>
  <c r="R4158" i="98"/>
  <c r="V4157" i="98"/>
  <c r="T4157" i="98"/>
  <c r="U4157" i="98" s="1"/>
  <c r="S4157" i="98"/>
  <c r="R4157" i="98"/>
  <c r="V4156" i="98"/>
  <c r="T4156" i="98"/>
  <c r="U4156" i="98" s="1"/>
  <c r="S4156" i="98"/>
  <c r="R4156" i="98"/>
  <c r="V4155" i="98"/>
  <c r="T4155" i="98"/>
  <c r="U4155" i="98" s="1"/>
  <c r="S4155" i="98"/>
  <c r="R4155" i="98"/>
  <c r="V4154" i="98"/>
  <c r="T4154" i="98"/>
  <c r="U4154" i="98" s="1"/>
  <c r="S4154" i="98"/>
  <c r="R4154" i="98"/>
  <c r="V4153" i="98"/>
  <c r="T4153" i="98"/>
  <c r="U4153" i="98" s="1"/>
  <c r="S4153" i="98"/>
  <c r="R4153" i="98"/>
  <c r="V4152" i="98"/>
  <c r="T4152" i="98"/>
  <c r="U4152" i="98" s="1"/>
  <c r="S4152" i="98"/>
  <c r="R4152" i="98"/>
  <c r="V4151" i="98"/>
  <c r="T4151" i="98"/>
  <c r="U4151" i="98" s="1"/>
  <c r="S4151" i="98"/>
  <c r="R4151" i="98"/>
  <c r="V4150" i="98"/>
  <c r="T4150" i="98"/>
  <c r="U4150" i="98" s="1"/>
  <c r="S4150" i="98"/>
  <c r="R4150" i="98"/>
  <c r="V4149" i="98"/>
  <c r="T4149" i="98"/>
  <c r="U4149" i="98" s="1"/>
  <c r="S4149" i="98"/>
  <c r="R4149" i="98"/>
  <c r="V4148" i="98"/>
  <c r="T4148" i="98"/>
  <c r="U4148" i="98" s="1"/>
  <c r="S4148" i="98"/>
  <c r="R4148" i="98"/>
  <c r="V4147" i="98"/>
  <c r="T4147" i="98"/>
  <c r="U4147" i="98" s="1"/>
  <c r="S4147" i="98"/>
  <c r="R4147" i="98"/>
  <c r="V4146" i="98"/>
  <c r="T4146" i="98"/>
  <c r="U4146" i="98" s="1"/>
  <c r="S4146" i="98"/>
  <c r="R4146" i="98"/>
  <c r="V4145" i="98"/>
  <c r="T4145" i="98"/>
  <c r="U4145" i="98" s="1"/>
  <c r="S4145" i="98"/>
  <c r="R4145" i="98"/>
  <c r="V4144" i="98"/>
  <c r="T4144" i="98"/>
  <c r="U4144" i="98" s="1"/>
  <c r="S4144" i="98"/>
  <c r="R4144" i="98"/>
  <c r="V4143" i="98"/>
  <c r="T4143" i="98"/>
  <c r="U4143" i="98" s="1"/>
  <c r="S4143" i="98"/>
  <c r="R4143" i="98"/>
  <c r="V4142" i="98"/>
  <c r="T4142" i="98"/>
  <c r="U4142" i="98" s="1"/>
  <c r="S4142" i="98"/>
  <c r="R4142" i="98"/>
  <c r="V4141" i="98"/>
  <c r="T4141" i="98"/>
  <c r="U4141" i="98" s="1"/>
  <c r="S4141" i="98"/>
  <c r="R4141" i="98"/>
  <c r="V4140" i="98"/>
  <c r="T4140" i="98"/>
  <c r="U4140" i="98" s="1"/>
  <c r="S4140" i="98"/>
  <c r="R4140" i="98"/>
  <c r="V4139" i="98"/>
  <c r="T4139" i="98"/>
  <c r="U4139" i="98" s="1"/>
  <c r="S4139" i="98"/>
  <c r="R4139" i="98"/>
  <c r="V4138" i="98"/>
  <c r="T4138" i="98"/>
  <c r="U4138" i="98" s="1"/>
  <c r="S4138" i="98"/>
  <c r="R4138" i="98"/>
  <c r="V4137" i="98"/>
  <c r="T4137" i="98"/>
  <c r="U4137" i="98" s="1"/>
  <c r="S4137" i="98"/>
  <c r="R4137" i="98"/>
  <c r="V4136" i="98"/>
  <c r="T4136" i="98"/>
  <c r="U4136" i="98" s="1"/>
  <c r="S4136" i="98"/>
  <c r="R4136" i="98"/>
  <c r="V4135" i="98"/>
  <c r="T4135" i="98"/>
  <c r="U4135" i="98" s="1"/>
  <c r="S4135" i="98"/>
  <c r="R4135" i="98"/>
  <c r="V4134" i="98"/>
  <c r="T4134" i="98"/>
  <c r="U4134" i="98" s="1"/>
  <c r="S4134" i="98"/>
  <c r="R4134" i="98"/>
  <c r="V4133" i="98"/>
  <c r="T4133" i="98"/>
  <c r="U4133" i="98" s="1"/>
  <c r="S4133" i="98"/>
  <c r="R4133" i="98"/>
  <c r="V4132" i="98"/>
  <c r="T4132" i="98"/>
  <c r="U4132" i="98" s="1"/>
  <c r="S4132" i="98"/>
  <c r="R4132" i="98"/>
  <c r="V4131" i="98"/>
  <c r="T4131" i="98"/>
  <c r="U4131" i="98" s="1"/>
  <c r="S4131" i="98"/>
  <c r="R4131" i="98"/>
  <c r="V4130" i="98"/>
  <c r="T4130" i="98"/>
  <c r="U4130" i="98" s="1"/>
  <c r="S4130" i="98"/>
  <c r="R4130" i="98"/>
  <c r="V4129" i="98"/>
  <c r="T4129" i="98"/>
  <c r="U4129" i="98" s="1"/>
  <c r="S4129" i="98"/>
  <c r="R4129" i="98"/>
  <c r="V4128" i="98"/>
  <c r="T4128" i="98"/>
  <c r="U4128" i="98" s="1"/>
  <c r="S4128" i="98"/>
  <c r="R4128" i="98"/>
  <c r="V4127" i="98"/>
  <c r="T4127" i="98"/>
  <c r="U4127" i="98" s="1"/>
  <c r="S4127" i="98"/>
  <c r="R4127" i="98"/>
  <c r="V4126" i="98"/>
  <c r="T4126" i="98"/>
  <c r="U4126" i="98" s="1"/>
  <c r="S4126" i="98"/>
  <c r="R4126" i="98"/>
  <c r="V4125" i="98"/>
  <c r="T4125" i="98"/>
  <c r="U4125" i="98" s="1"/>
  <c r="S4125" i="98"/>
  <c r="R4125" i="98"/>
  <c r="V4124" i="98"/>
  <c r="T4124" i="98"/>
  <c r="U4124" i="98" s="1"/>
  <c r="S4124" i="98"/>
  <c r="R4124" i="98"/>
  <c r="V4123" i="98"/>
  <c r="T4123" i="98"/>
  <c r="U4123" i="98" s="1"/>
  <c r="S4123" i="98"/>
  <c r="R4123" i="98"/>
  <c r="V4122" i="98"/>
  <c r="T4122" i="98"/>
  <c r="U4122" i="98" s="1"/>
  <c r="S4122" i="98"/>
  <c r="R4122" i="98"/>
  <c r="V4121" i="98"/>
  <c r="T4121" i="98"/>
  <c r="U4121" i="98" s="1"/>
  <c r="S4121" i="98"/>
  <c r="R4121" i="98"/>
  <c r="V4120" i="98"/>
  <c r="T4120" i="98"/>
  <c r="U4120" i="98" s="1"/>
  <c r="S4120" i="98"/>
  <c r="R4120" i="98"/>
  <c r="V4119" i="98"/>
  <c r="T4119" i="98"/>
  <c r="U4119" i="98" s="1"/>
  <c r="S4119" i="98"/>
  <c r="R4119" i="98"/>
  <c r="V4118" i="98"/>
  <c r="T4118" i="98"/>
  <c r="U4118" i="98" s="1"/>
  <c r="S4118" i="98"/>
  <c r="R4118" i="98"/>
  <c r="V4117" i="98"/>
  <c r="T4117" i="98"/>
  <c r="U4117" i="98" s="1"/>
  <c r="S4117" i="98"/>
  <c r="R4117" i="98"/>
  <c r="V4116" i="98"/>
  <c r="T4116" i="98"/>
  <c r="U4116" i="98" s="1"/>
  <c r="S4116" i="98"/>
  <c r="R4116" i="98"/>
  <c r="V4115" i="98"/>
  <c r="T4115" i="98"/>
  <c r="U4115" i="98" s="1"/>
  <c r="S4115" i="98"/>
  <c r="R4115" i="98"/>
  <c r="V4114" i="98"/>
  <c r="T4114" i="98"/>
  <c r="U4114" i="98" s="1"/>
  <c r="S4114" i="98"/>
  <c r="R4114" i="98"/>
  <c r="V4113" i="98"/>
  <c r="T4113" i="98"/>
  <c r="U4113" i="98" s="1"/>
  <c r="S4113" i="98"/>
  <c r="R4113" i="98"/>
  <c r="V4112" i="98"/>
  <c r="T4112" i="98"/>
  <c r="U4112" i="98" s="1"/>
  <c r="S4112" i="98"/>
  <c r="R4112" i="98"/>
  <c r="V4111" i="98"/>
  <c r="T4111" i="98"/>
  <c r="U4111" i="98" s="1"/>
  <c r="S4111" i="98"/>
  <c r="R4111" i="98"/>
  <c r="V4110" i="98"/>
  <c r="T4110" i="98"/>
  <c r="U4110" i="98" s="1"/>
  <c r="S4110" i="98"/>
  <c r="R4110" i="98"/>
  <c r="V4109" i="98"/>
  <c r="T4109" i="98"/>
  <c r="U4109" i="98" s="1"/>
  <c r="S4109" i="98"/>
  <c r="R4109" i="98"/>
  <c r="V4108" i="98"/>
  <c r="T4108" i="98"/>
  <c r="U4108" i="98" s="1"/>
  <c r="S4108" i="98"/>
  <c r="R4108" i="98"/>
  <c r="V4107" i="98"/>
  <c r="T4107" i="98"/>
  <c r="U4107" i="98" s="1"/>
  <c r="S4107" i="98"/>
  <c r="R4107" i="98"/>
  <c r="V4106" i="98"/>
  <c r="T4106" i="98"/>
  <c r="U4106" i="98" s="1"/>
  <c r="S4106" i="98"/>
  <c r="R4106" i="98"/>
  <c r="V4105" i="98"/>
  <c r="T4105" i="98"/>
  <c r="U4105" i="98" s="1"/>
  <c r="S4105" i="98"/>
  <c r="R4105" i="98"/>
  <c r="V4104" i="98"/>
  <c r="T4104" i="98"/>
  <c r="U4104" i="98" s="1"/>
  <c r="S4104" i="98"/>
  <c r="R4104" i="98"/>
  <c r="V4103" i="98"/>
  <c r="T4103" i="98"/>
  <c r="U4103" i="98" s="1"/>
  <c r="S4103" i="98"/>
  <c r="R4103" i="98"/>
  <c r="V4102" i="98"/>
  <c r="T4102" i="98"/>
  <c r="U4102" i="98" s="1"/>
  <c r="S4102" i="98"/>
  <c r="R4102" i="98"/>
  <c r="V4101" i="98"/>
  <c r="T4101" i="98"/>
  <c r="U4101" i="98" s="1"/>
  <c r="S4101" i="98"/>
  <c r="R4101" i="98"/>
  <c r="V4100" i="98"/>
  <c r="T4100" i="98"/>
  <c r="U4100" i="98" s="1"/>
  <c r="S4100" i="98"/>
  <c r="R4100" i="98"/>
  <c r="V4099" i="98"/>
  <c r="T4099" i="98"/>
  <c r="U4099" i="98" s="1"/>
  <c r="S4099" i="98"/>
  <c r="R4099" i="98"/>
  <c r="V4098" i="98"/>
  <c r="T4098" i="98"/>
  <c r="U4098" i="98" s="1"/>
  <c r="S4098" i="98"/>
  <c r="R4098" i="98"/>
  <c r="V4097" i="98"/>
  <c r="T4097" i="98"/>
  <c r="U4097" i="98" s="1"/>
  <c r="S4097" i="98"/>
  <c r="R4097" i="98"/>
  <c r="V4096" i="98"/>
  <c r="T4096" i="98"/>
  <c r="U4096" i="98" s="1"/>
  <c r="S4096" i="98"/>
  <c r="R4096" i="98"/>
  <c r="V4095" i="98"/>
  <c r="T4095" i="98"/>
  <c r="U4095" i="98" s="1"/>
  <c r="S4095" i="98"/>
  <c r="R4095" i="98"/>
  <c r="V4094" i="98"/>
  <c r="T4094" i="98"/>
  <c r="U4094" i="98" s="1"/>
  <c r="S4094" i="98"/>
  <c r="R4094" i="98"/>
  <c r="V4093" i="98"/>
  <c r="T4093" i="98"/>
  <c r="U4093" i="98" s="1"/>
  <c r="S4093" i="98"/>
  <c r="R4093" i="98"/>
  <c r="V4092" i="98"/>
  <c r="T4092" i="98"/>
  <c r="U4092" i="98" s="1"/>
  <c r="S4092" i="98"/>
  <c r="R4092" i="98"/>
  <c r="V4091" i="98"/>
  <c r="T4091" i="98"/>
  <c r="U4091" i="98" s="1"/>
  <c r="S4091" i="98"/>
  <c r="R4091" i="98"/>
  <c r="V4090" i="98"/>
  <c r="T4090" i="98"/>
  <c r="U4090" i="98" s="1"/>
  <c r="S4090" i="98"/>
  <c r="R4090" i="98"/>
  <c r="V4089" i="98"/>
  <c r="T4089" i="98"/>
  <c r="U4089" i="98" s="1"/>
  <c r="S4089" i="98"/>
  <c r="R4089" i="98"/>
  <c r="V4088" i="98"/>
  <c r="T4088" i="98"/>
  <c r="U4088" i="98" s="1"/>
  <c r="S4088" i="98"/>
  <c r="R4088" i="98"/>
  <c r="V4087" i="98"/>
  <c r="T4087" i="98"/>
  <c r="U4087" i="98" s="1"/>
  <c r="S4087" i="98"/>
  <c r="R4087" i="98"/>
  <c r="V4086" i="98"/>
  <c r="T4086" i="98"/>
  <c r="U4086" i="98" s="1"/>
  <c r="S4086" i="98"/>
  <c r="R4086" i="98"/>
  <c r="V4085" i="98"/>
  <c r="T4085" i="98"/>
  <c r="U4085" i="98" s="1"/>
  <c r="S4085" i="98"/>
  <c r="R4085" i="98"/>
  <c r="V4084" i="98"/>
  <c r="T4084" i="98"/>
  <c r="U4084" i="98" s="1"/>
  <c r="S4084" i="98"/>
  <c r="R4084" i="98"/>
  <c r="V4083" i="98"/>
  <c r="T4083" i="98"/>
  <c r="U4083" i="98" s="1"/>
  <c r="S4083" i="98"/>
  <c r="R4083" i="98"/>
  <c r="V4082" i="98"/>
  <c r="T4082" i="98"/>
  <c r="U4082" i="98" s="1"/>
  <c r="S4082" i="98"/>
  <c r="R4082" i="98"/>
  <c r="V4081" i="98"/>
  <c r="T4081" i="98"/>
  <c r="U4081" i="98" s="1"/>
  <c r="S4081" i="98"/>
  <c r="R4081" i="98"/>
  <c r="V4080" i="98"/>
  <c r="T4080" i="98"/>
  <c r="U4080" i="98" s="1"/>
  <c r="S4080" i="98"/>
  <c r="R4080" i="98"/>
  <c r="V4079" i="98"/>
  <c r="T4079" i="98"/>
  <c r="U4079" i="98" s="1"/>
  <c r="S4079" i="98"/>
  <c r="R4079" i="98"/>
  <c r="V4078" i="98"/>
  <c r="T4078" i="98"/>
  <c r="U4078" i="98" s="1"/>
  <c r="S4078" i="98"/>
  <c r="R4078" i="98"/>
  <c r="V4077" i="98"/>
  <c r="T4077" i="98"/>
  <c r="U4077" i="98" s="1"/>
  <c r="S4077" i="98"/>
  <c r="R4077" i="98"/>
  <c r="V4076" i="98"/>
  <c r="T4076" i="98"/>
  <c r="U4076" i="98" s="1"/>
  <c r="S4076" i="98"/>
  <c r="R4076" i="98"/>
  <c r="V4075" i="98"/>
  <c r="T4075" i="98"/>
  <c r="U4075" i="98" s="1"/>
  <c r="S4075" i="98"/>
  <c r="R4075" i="98"/>
  <c r="V4074" i="98"/>
  <c r="T4074" i="98"/>
  <c r="U4074" i="98" s="1"/>
  <c r="S4074" i="98"/>
  <c r="R4074" i="98"/>
  <c r="V4073" i="98"/>
  <c r="T4073" i="98"/>
  <c r="U4073" i="98" s="1"/>
  <c r="S4073" i="98"/>
  <c r="R4073" i="98"/>
  <c r="V4072" i="98"/>
  <c r="T4072" i="98"/>
  <c r="U4072" i="98" s="1"/>
  <c r="S4072" i="98"/>
  <c r="R4072" i="98"/>
  <c r="V4071" i="98"/>
  <c r="T4071" i="98"/>
  <c r="U4071" i="98" s="1"/>
  <c r="S4071" i="98"/>
  <c r="R4071" i="98"/>
  <c r="V4070" i="98"/>
  <c r="T4070" i="98"/>
  <c r="U4070" i="98" s="1"/>
  <c r="S4070" i="98"/>
  <c r="R4070" i="98"/>
  <c r="V4069" i="98"/>
  <c r="T4069" i="98"/>
  <c r="U4069" i="98" s="1"/>
  <c r="S4069" i="98"/>
  <c r="R4069" i="98"/>
  <c r="V4068" i="98"/>
  <c r="T4068" i="98"/>
  <c r="U4068" i="98" s="1"/>
  <c r="S4068" i="98"/>
  <c r="R4068" i="98"/>
  <c r="V4067" i="98"/>
  <c r="T4067" i="98"/>
  <c r="U4067" i="98" s="1"/>
  <c r="S4067" i="98"/>
  <c r="R4067" i="98"/>
  <c r="V4066" i="98"/>
  <c r="T4066" i="98"/>
  <c r="U4066" i="98" s="1"/>
  <c r="S4066" i="98"/>
  <c r="R4066" i="98"/>
  <c r="V4065" i="98"/>
  <c r="T4065" i="98"/>
  <c r="U4065" i="98" s="1"/>
  <c r="S4065" i="98"/>
  <c r="R4065" i="98"/>
  <c r="V4064" i="98"/>
  <c r="T4064" i="98"/>
  <c r="U4064" i="98" s="1"/>
  <c r="S4064" i="98"/>
  <c r="R4064" i="98"/>
  <c r="V4063" i="98"/>
  <c r="T4063" i="98"/>
  <c r="U4063" i="98" s="1"/>
  <c r="S4063" i="98"/>
  <c r="R4063" i="98"/>
  <c r="V4062" i="98"/>
  <c r="T4062" i="98"/>
  <c r="U4062" i="98" s="1"/>
  <c r="S4062" i="98"/>
  <c r="R4062" i="98"/>
  <c r="V4061" i="98"/>
  <c r="T4061" i="98"/>
  <c r="U4061" i="98" s="1"/>
  <c r="S4061" i="98"/>
  <c r="R4061" i="98"/>
  <c r="V4060" i="98"/>
  <c r="T4060" i="98"/>
  <c r="U4060" i="98" s="1"/>
  <c r="S4060" i="98"/>
  <c r="R4060" i="98"/>
  <c r="V4059" i="98"/>
  <c r="T4059" i="98"/>
  <c r="U4059" i="98" s="1"/>
  <c r="S4059" i="98"/>
  <c r="R4059" i="98"/>
  <c r="V4058" i="98"/>
  <c r="T4058" i="98"/>
  <c r="U4058" i="98" s="1"/>
  <c r="S4058" i="98"/>
  <c r="R4058" i="98"/>
  <c r="V4057" i="98"/>
  <c r="T4057" i="98"/>
  <c r="U4057" i="98" s="1"/>
  <c r="S4057" i="98"/>
  <c r="R4057" i="98"/>
  <c r="V4056" i="98"/>
  <c r="T4056" i="98"/>
  <c r="U4056" i="98" s="1"/>
  <c r="S4056" i="98"/>
  <c r="R4056" i="98"/>
  <c r="V4055" i="98"/>
  <c r="T4055" i="98"/>
  <c r="U4055" i="98" s="1"/>
  <c r="S4055" i="98"/>
  <c r="R4055" i="98"/>
  <c r="V4054" i="98"/>
  <c r="T4054" i="98"/>
  <c r="U4054" i="98" s="1"/>
  <c r="S4054" i="98"/>
  <c r="R4054" i="98"/>
  <c r="V4053" i="98"/>
  <c r="T4053" i="98"/>
  <c r="U4053" i="98" s="1"/>
  <c r="S4053" i="98"/>
  <c r="R4053" i="98"/>
  <c r="V4052" i="98"/>
  <c r="T4052" i="98"/>
  <c r="U4052" i="98" s="1"/>
  <c r="S4052" i="98"/>
  <c r="R4052" i="98"/>
  <c r="V4051" i="98"/>
  <c r="T4051" i="98"/>
  <c r="U4051" i="98" s="1"/>
  <c r="S4051" i="98"/>
  <c r="R4051" i="98"/>
  <c r="V4050" i="98"/>
  <c r="T4050" i="98"/>
  <c r="U4050" i="98" s="1"/>
  <c r="S4050" i="98"/>
  <c r="R4050" i="98"/>
  <c r="V4049" i="98"/>
  <c r="T4049" i="98"/>
  <c r="U4049" i="98" s="1"/>
  <c r="S4049" i="98"/>
  <c r="R4049" i="98"/>
  <c r="V4048" i="98"/>
  <c r="T4048" i="98"/>
  <c r="U4048" i="98" s="1"/>
  <c r="S4048" i="98"/>
  <c r="R4048" i="98"/>
  <c r="V4047" i="98"/>
  <c r="T4047" i="98"/>
  <c r="U4047" i="98" s="1"/>
  <c r="S4047" i="98"/>
  <c r="R4047" i="98"/>
  <c r="V4046" i="98"/>
  <c r="T4046" i="98"/>
  <c r="U4046" i="98" s="1"/>
  <c r="S4046" i="98"/>
  <c r="R4046" i="98"/>
  <c r="V4045" i="98"/>
  <c r="T4045" i="98"/>
  <c r="U4045" i="98" s="1"/>
  <c r="S4045" i="98"/>
  <c r="R4045" i="98"/>
  <c r="V4044" i="98"/>
  <c r="T4044" i="98"/>
  <c r="U4044" i="98" s="1"/>
  <c r="S4044" i="98"/>
  <c r="R4044" i="98"/>
  <c r="V4043" i="98"/>
  <c r="T4043" i="98"/>
  <c r="U4043" i="98" s="1"/>
  <c r="S4043" i="98"/>
  <c r="R4043" i="98"/>
  <c r="V4042" i="98"/>
  <c r="T4042" i="98"/>
  <c r="U4042" i="98" s="1"/>
  <c r="S4042" i="98"/>
  <c r="R4042" i="98"/>
  <c r="V4041" i="98"/>
  <c r="T4041" i="98"/>
  <c r="U4041" i="98" s="1"/>
  <c r="S4041" i="98"/>
  <c r="R4041" i="98"/>
  <c r="V4040" i="98"/>
  <c r="T4040" i="98"/>
  <c r="U4040" i="98" s="1"/>
  <c r="S4040" i="98"/>
  <c r="R4040" i="98"/>
  <c r="V4039" i="98"/>
  <c r="T4039" i="98"/>
  <c r="U4039" i="98" s="1"/>
  <c r="S4039" i="98"/>
  <c r="R4039" i="98"/>
  <c r="V4038" i="98"/>
  <c r="T4038" i="98"/>
  <c r="U4038" i="98" s="1"/>
  <c r="S4038" i="98"/>
  <c r="R4038" i="98"/>
  <c r="V4037" i="98"/>
  <c r="T4037" i="98"/>
  <c r="U4037" i="98" s="1"/>
  <c r="S4037" i="98"/>
  <c r="R4037" i="98"/>
  <c r="V4036" i="98"/>
  <c r="T4036" i="98"/>
  <c r="U4036" i="98" s="1"/>
  <c r="S4036" i="98"/>
  <c r="R4036" i="98"/>
  <c r="V4035" i="98"/>
  <c r="T4035" i="98"/>
  <c r="U4035" i="98" s="1"/>
  <c r="S4035" i="98"/>
  <c r="R4035" i="98"/>
  <c r="V4034" i="98"/>
  <c r="T4034" i="98"/>
  <c r="U4034" i="98" s="1"/>
  <c r="S4034" i="98"/>
  <c r="R4034" i="98"/>
  <c r="V4033" i="98"/>
  <c r="T4033" i="98"/>
  <c r="U4033" i="98" s="1"/>
  <c r="S4033" i="98"/>
  <c r="R4033" i="98"/>
  <c r="V4032" i="98"/>
  <c r="T4032" i="98"/>
  <c r="U4032" i="98" s="1"/>
  <c r="S4032" i="98"/>
  <c r="R4032" i="98"/>
  <c r="V4031" i="98"/>
  <c r="T4031" i="98"/>
  <c r="U4031" i="98" s="1"/>
  <c r="S4031" i="98"/>
  <c r="R4031" i="98"/>
  <c r="V4030" i="98"/>
  <c r="T4030" i="98"/>
  <c r="U4030" i="98" s="1"/>
  <c r="S4030" i="98"/>
  <c r="R4030" i="98"/>
  <c r="V4029" i="98"/>
  <c r="T4029" i="98"/>
  <c r="U4029" i="98" s="1"/>
  <c r="S4029" i="98"/>
  <c r="R4029" i="98"/>
  <c r="V4028" i="98"/>
  <c r="T4028" i="98"/>
  <c r="U4028" i="98" s="1"/>
  <c r="S4028" i="98"/>
  <c r="R4028" i="98"/>
  <c r="V4027" i="98"/>
  <c r="T4027" i="98"/>
  <c r="U4027" i="98" s="1"/>
  <c r="S4027" i="98"/>
  <c r="R4027" i="98"/>
  <c r="V4026" i="98"/>
  <c r="T4026" i="98"/>
  <c r="U4026" i="98" s="1"/>
  <c r="S4026" i="98"/>
  <c r="R4026" i="98"/>
  <c r="V4025" i="98"/>
  <c r="T4025" i="98"/>
  <c r="U4025" i="98" s="1"/>
  <c r="S4025" i="98"/>
  <c r="R4025" i="98"/>
  <c r="V4024" i="98"/>
  <c r="T4024" i="98"/>
  <c r="U4024" i="98" s="1"/>
  <c r="S4024" i="98"/>
  <c r="R4024" i="98"/>
  <c r="V4023" i="98"/>
  <c r="T4023" i="98"/>
  <c r="U4023" i="98" s="1"/>
  <c r="S4023" i="98"/>
  <c r="R4023" i="98"/>
  <c r="V4022" i="98"/>
  <c r="T4022" i="98"/>
  <c r="U4022" i="98" s="1"/>
  <c r="S4022" i="98"/>
  <c r="R4022" i="98"/>
  <c r="V4021" i="98"/>
  <c r="T4021" i="98"/>
  <c r="U4021" i="98" s="1"/>
  <c r="S4021" i="98"/>
  <c r="R4021" i="98"/>
  <c r="V4020" i="98"/>
  <c r="T4020" i="98"/>
  <c r="U4020" i="98" s="1"/>
  <c r="S4020" i="98"/>
  <c r="R4020" i="98"/>
  <c r="V4019" i="98"/>
  <c r="T4019" i="98"/>
  <c r="U4019" i="98" s="1"/>
  <c r="S4019" i="98"/>
  <c r="R4019" i="98"/>
  <c r="V4018" i="98"/>
  <c r="T4018" i="98"/>
  <c r="U4018" i="98" s="1"/>
  <c r="S4018" i="98"/>
  <c r="R4018" i="98"/>
  <c r="V4017" i="98"/>
  <c r="T4017" i="98"/>
  <c r="U4017" i="98" s="1"/>
  <c r="S4017" i="98"/>
  <c r="R4017" i="98"/>
  <c r="V4016" i="98"/>
  <c r="T4016" i="98"/>
  <c r="U4016" i="98" s="1"/>
  <c r="S4016" i="98"/>
  <c r="R4016" i="98"/>
  <c r="V4015" i="98"/>
  <c r="T4015" i="98"/>
  <c r="U4015" i="98" s="1"/>
  <c r="S4015" i="98"/>
  <c r="R4015" i="98"/>
  <c r="V4014" i="98"/>
  <c r="T4014" i="98"/>
  <c r="U4014" i="98" s="1"/>
  <c r="S4014" i="98"/>
  <c r="R4014" i="98"/>
  <c r="V4013" i="98"/>
  <c r="T4013" i="98"/>
  <c r="U4013" i="98" s="1"/>
  <c r="S4013" i="98"/>
  <c r="R4013" i="98"/>
  <c r="V4012" i="98"/>
  <c r="T4012" i="98"/>
  <c r="U4012" i="98" s="1"/>
  <c r="S4012" i="98"/>
  <c r="R4012" i="98"/>
  <c r="V4011" i="98"/>
  <c r="T4011" i="98"/>
  <c r="U4011" i="98" s="1"/>
  <c r="S4011" i="98"/>
  <c r="R4011" i="98"/>
  <c r="V4010" i="98"/>
  <c r="T4010" i="98"/>
  <c r="U4010" i="98" s="1"/>
  <c r="S4010" i="98"/>
  <c r="R4010" i="98"/>
  <c r="V4009" i="98"/>
  <c r="T4009" i="98"/>
  <c r="U4009" i="98" s="1"/>
  <c r="S4009" i="98"/>
  <c r="R4009" i="98"/>
  <c r="V4008" i="98"/>
  <c r="T4008" i="98"/>
  <c r="U4008" i="98" s="1"/>
  <c r="S4008" i="98"/>
  <c r="R4008" i="98"/>
  <c r="V4007" i="98"/>
  <c r="T4007" i="98"/>
  <c r="U4007" i="98" s="1"/>
  <c r="S4007" i="98"/>
  <c r="R4007" i="98"/>
  <c r="V4006" i="98"/>
  <c r="T4006" i="98"/>
  <c r="U4006" i="98" s="1"/>
  <c r="S4006" i="98"/>
  <c r="R4006" i="98"/>
  <c r="V4005" i="98"/>
  <c r="T4005" i="98"/>
  <c r="U4005" i="98" s="1"/>
  <c r="S4005" i="98"/>
  <c r="R4005" i="98"/>
  <c r="V4004" i="98"/>
  <c r="T4004" i="98"/>
  <c r="U4004" i="98" s="1"/>
  <c r="S4004" i="98"/>
  <c r="R4004" i="98"/>
  <c r="V4003" i="98"/>
  <c r="T4003" i="98"/>
  <c r="U4003" i="98" s="1"/>
  <c r="S4003" i="98"/>
  <c r="R4003" i="98"/>
  <c r="V4002" i="98"/>
  <c r="T4002" i="98"/>
  <c r="U4002" i="98" s="1"/>
  <c r="S4002" i="98"/>
  <c r="R4002" i="98"/>
  <c r="V4001" i="98"/>
  <c r="T4001" i="98"/>
  <c r="U4001" i="98" s="1"/>
  <c r="S4001" i="98"/>
  <c r="R4001" i="98"/>
  <c r="V4000" i="98"/>
  <c r="T4000" i="98"/>
  <c r="U4000" i="98" s="1"/>
  <c r="S4000" i="98"/>
  <c r="R4000" i="98"/>
  <c r="V3999" i="98"/>
  <c r="T3999" i="98"/>
  <c r="U3999" i="98" s="1"/>
  <c r="S3999" i="98"/>
  <c r="R3999" i="98"/>
  <c r="V3998" i="98"/>
  <c r="T3998" i="98"/>
  <c r="U3998" i="98" s="1"/>
  <c r="S3998" i="98"/>
  <c r="R3998" i="98"/>
  <c r="V3997" i="98"/>
  <c r="T3997" i="98"/>
  <c r="U3997" i="98" s="1"/>
  <c r="S3997" i="98"/>
  <c r="R3997" i="98"/>
  <c r="V3996" i="98"/>
  <c r="T3996" i="98"/>
  <c r="U3996" i="98" s="1"/>
  <c r="S3996" i="98"/>
  <c r="R3996" i="98"/>
  <c r="V3995" i="98"/>
  <c r="T3995" i="98"/>
  <c r="U3995" i="98" s="1"/>
  <c r="S3995" i="98"/>
  <c r="R3995" i="98"/>
  <c r="V3994" i="98"/>
  <c r="T3994" i="98"/>
  <c r="U3994" i="98" s="1"/>
  <c r="S3994" i="98"/>
  <c r="R3994" i="98"/>
  <c r="V3993" i="98"/>
  <c r="T3993" i="98"/>
  <c r="U3993" i="98" s="1"/>
  <c r="S3993" i="98"/>
  <c r="R3993" i="98"/>
  <c r="V3992" i="98"/>
  <c r="T3992" i="98"/>
  <c r="U3992" i="98" s="1"/>
  <c r="S3992" i="98"/>
  <c r="R3992" i="98"/>
  <c r="V3991" i="98"/>
  <c r="T3991" i="98"/>
  <c r="U3991" i="98" s="1"/>
  <c r="S3991" i="98"/>
  <c r="R3991" i="98"/>
  <c r="V3990" i="98"/>
  <c r="T3990" i="98"/>
  <c r="U3990" i="98" s="1"/>
  <c r="S3990" i="98"/>
  <c r="R3990" i="98"/>
  <c r="V3989" i="98"/>
  <c r="T3989" i="98"/>
  <c r="U3989" i="98" s="1"/>
  <c r="S3989" i="98"/>
  <c r="R3989" i="98"/>
  <c r="V3988" i="98"/>
  <c r="T3988" i="98"/>
  <c r="U3988" i="98" s="1"/>
  <c r="S3988" i="98"/>
  <c r="R3988" i="98"/>
  <c r="V3987" i="98"/>
  <c r="T3987" i="98"/>
  <c r="U3987" i="98" s="1"/>
  <c r="S3987" i="98"/>
  <c r="R3987" i="98"/>
  <c r="V3986" i="98"/>
  <c r="T3986" i="98"/>
  <c r="U3986" i="98" s="1"/>
  <c r="S3986" i="98"/>
  <c r="R3986" i="98"/>
  <c r="V3985" i="98"/>
  <c r="T3985" i="98"/>
  <c r="U3985" i="98" s="1"/>
  <c r="S3985" i="98"/>
  <c r="R3985" i="98"/>
  <c r="V3984" i="98"/>
  <c r="T3984" i="98"/>
  <c r="U3984" i="98" s="1"/>
  <c r="S3984" i="98"/>
  <c r="R3984" i="98"/>
  <c r="V3983" i="98"/>
  <c r="T3983" i="98"/>
  <c r="U3983" i="98" s="1"/>
  <c r="S3983" i="98"/>
  <c r="R3983" i="98"/>
  <c r="V3982" i="98"/>
  <c r="T3982" i="98"/>
  <c r="U3982" i="98" s="1"/>
  <c r="S3982" i="98"/>
  <c r="R3982" i="98"/>
  <c r="V3981" i="98"/>
  <c r="T3981" i="98"/>
  <c r="U3981" i="98" s="1"/>
  <c r="S3981" i="98"/>
  <c r="R3981" i="98"/>
  <c r="V3980" i="98"/>
  <c r="T3980" i="98"/>
  <c r="U3980" i="98" s="1"/>
  <c r="S3980" i="98"/>
  <c r="R3980" i="98"/>
  <c r="V3979" i="98"/>
  <c r="T3979" i="98"/>
  <c r="U3979" i="98" s="1"/>
  <c r="S3979" i="98"/>
  <c r="R3979" i="98"/>
  <c r="V3978" i="98"/>
  <c r="T3978" i="98"/>
  <c r="U3978" i="98" s="1"/>
  <c r="S3978" i="98"/>
  <c r="R3978" i="98"/>
  <c r="V3977" i="98"/>
  <c r="T3977" i="98"/>
  <c r="U3977" i="98" s="1"/>
  <c r="S3977" i="98"/>
  <c r="R3977" i="98"/>
  <c r="V3976" i="98"/>
  <c r="T3976" i="98"/>
  <c r="U3976" i="98" s="1"/>
  <c r="S3976" i="98"/>
  <c r="R3976" i="98"/>
  <c r="V3975" i="98"/>
  <c r="T3975" i="98"/>
  <c r="U3975" i="98" s="1"/>
  <c r="S3975" i="98"/>
  <c r="R3975" i="98"/>
  <c r="V3974" i="98"/>
  <c r="T3974" i="98"/>
  <c r="U3974" i="98" s="1"/>
  <c r="S3974" i="98"/>
  <c r="R3974" i="98"/>
  <c r="V3973" i="98"/>
  <c r="T3973" i="98"/>
  <c r="U3973" i="98" s="1"/>
  <c r="S3973" i="98"/>
  <c r="R3973" i="98"/>
  <c r="V3972" i="98"/>
  <c r="T3972" i="98"/>
  <c r="U3972" i="98" s="1"/>
  <c r="S3972" i="98"/>
  <c r="R3972" i="98"/>
  <c r="V3971" i="98"/>
  <c r="T3971" i="98"/>
  <c r="U3971" i="98" s="1"/>
  <c r="S3971" i="98"/>
  <c r="R3971" i="98"/>
  <c r="V3970" i="98"/>
  <c r="T3970" i="98"/>
  <c r="U3970" i="98" s="1"/>
  <c r="S3970" i="98"/>
  <c r="R3970" i="98"/>
  <c r="V3969" i="98"/>
  <c r="T3969" i="98"/>
  <c r="U3969" i="98" s="1"/>
  <c r="S3969" i="98"/>
  <c r="R3969" i="98"/>
  <c r="V3968" i="98"/>
  <c r="T3968" i="98"/>
  <c r="U3968" i="98" s="1"/>
  <c r="S3968" i="98"/>
  <c r="R3968" i="98"/>
  <c r="V3967" i="98"/>
  <c r="T3967" i="98"/>
  <c r="U3967" i="98" s="1"/>
  <c r="S3967" i="98"/>
  <c r="R3967" i="98"/>
  <c r="V3966" i="98"/>
  <c r="T3966" i="98"/>
  <c r="U3966" i="98" s="1"/>
  <c r="S3966" i="98"/>
  <c r="R3966" i="98"/>
  <c r="V3965" i="98"/>
  <c r="T3965" i="98"/>
  <c r="U3965" i="98" s="1"/>
  <c r="S3965" i="98"/>
  <c r="R3965" i="98"/>
  <c r="V3964" i="98"/>
  <c r="T3964" i="98"/>
  <c r="U3964" i="98" s="1"/>
  <c r="S3964" i="98"/>
  <c r="R3964" i="98"/>
  <c r="V3963" i="98"/>
  <c r="T3963" i="98"/>
  <c r="U3963" i="98" s="1"/>
  <c r="S3963" i="98"/>
  <c r="R3963" i="98"/>
  <c r="V3962" i="98"/>
  <c r="T3962" i="98"/>
  <c r="U3962" i="98" s="1"/>
  <c r="S3962" i="98"/>
  <c r="R3962" i="98"/>
  <c r="V3961" i="98"/>
  <c r="T3961" i="98"/>
  <c r="U3961" i="98" s="1"/>
  <c r="S3961" i="98"/>
  <c r="R3961" i="98"/>
  <c r="V3960" i="98"/>
  <c r="T3960" i="98"/>
  <c r="U3960" i="98" s="1"/>
  <c r="S3960" i="98"/>
  <c r="R3960" i="98"/>
  <c r="V3959" i="98"/>
  <c r="T3959" i="98"/>
  <c r="U3959" i="98" s="1"/>
  <c r="S3959" i="98"/>
  <c r="R3959" i="98"/>
  <c r="V3958" i="98"/>
  <c r="T3958" i="98"/>
  <c r="U3958" i="98" s="1"/>
  <c r="S3958" i="98"/>
  <c r="R3958" i="98"/>
  <c r="V3957" i="98"/>
  <c r="T3957" i="98"/>
  <c r="U3957" i="98" s="1"/>
  <c r="S3957" i="98"/>
  <c r="R3957" i="98"/>
  <c r="V3956" i="98"/>
  <c r="T3956" i="98"/>
  <c r="U3956" i="98" s="1"/>
  <c r="S3956" i="98"/>
  <c r="R3956" i="98"/>
  <c r="V3955" i="98"/>
  <c r="T3955" i="98"/>
  <c r="U3955" i="98" s="1"/>
  <c r="S3955" i="98"/>
  <c r="R3955" i="98"/>
  <c r="V3954" i="98"/>
  <c r="T3954" i="98"/>
  <c r="U3954" i="98" s="1"/>
  <c r="S3954" i="98"/>
  <c r="R3954" i="98"/>
  <c r="V3953" i="98"/>
  <c r="T3953" i="98"/>
  <c r="U3953" i="98" s="1"/>
  <c r="S3953" i="98"/>
  <c r="R3953" i="98"/>
  <c r="V3952" i="98"/>
  <c r="T3952" i="98"/>
  <c r="U3952" i="98" s="1"/>
  <c r="S3952" i="98"/>
  <c r="R3952" i="98"/>
  <c r="V3951" i="98"/>
  <c r="T3951" i="98"/>
  <c r="U3951" i="98" s="1"/>
  <c r="S3951" i="98"/>
  <c r="R3951" i="98"/>
  <c r="V3950" i="98"/>
  <c r="T3950" i="98"/>
  <c r="U3950" i="98" s="1"/>
  <c r="S3950" i="98"/>
  <c r="R3950" i="98"/>
  <c r="V3949" i="98"/>
  <c r="T3949" i="98"/>
  <c r="U3949" i="98" s="1"/>
  <c r="S3949" i="98"/>
  <c r="R3949" i="98"/>
  <c r="V3948" i="98"/>
  <c r="T3948" i="98"/>
  <c r="U3948" i="98" s="1"/>
  <c r="S3948" i="98"/>
  <c r="R3948" i="98"/>
  <c r="V3947" i="98"/>
  <c r="T3947" i="98"/>
  <c r="U3947" i="98" s="1"/>
  <c r="S3947" i="98"/>
  <c r="R3947" i="98"/>
  <c r="V3946" i="98"/>
  <c r="T3946" i="98"/>
  <c r="U3946" i="98" s="1"/>
  <c r="S3946" i="98"/>
  <c r="R3946" i="98"/>
  <c r="V3945" i="98"/>
  <c r="T3945" i="98"/>
  <c r="U3945" i="98" s="1"/>
  <c r="S3945" i="98"/>
  <c r="R3945" i="98"/>
  <c r="V3944" i="98"/>
  <c r="T3944" i="98"/>
  <c r="U3944" i="98" s="1"/>
  <c r="S3944" i="98"/>
  <c r="R3944" i="98"/>
  <c r="V3943" i="98"/>
  <c r="T3943" i="98"/>
  <c r="U3943" i="98" s="1"/>
  <c r="S3943" i="98"/>
  <c r="R3943" i="98"/>
  <c r="V3942" i="98"/>
  <c r="T3942" i="98"/>
  <c r="U3942" i="98" s="1"/>
  <c r="S3942" i="98"/>
  <c r="R3942" i="98"/>
  <c r="V3941" i="98"/>
  <c r="T3941" i="98"/>
  <c r="U3941" i="98" s="1"/>
  <c r="S3941" i="98"/>
  <c r="R3941" i="98"/>
  <c r="V3940" i="98"/>
  <c r="T3940" i="98"/>
  <c r="U3940" i="98" s="1"/>
  <c r="S3940" i="98"/>
  <c r="R3940" i="98"/>
  <c r="V3939" i="98"/>
  <c r="T3939" i="98"/>
  <c r="U3939" i="98" s="1"/>
  <c r="S3939" i="98"/>
  <c r="R3939" i="98"/>
  <c r="V3938" i="98"/>
  <c r="T3938" i="98"/>
  <c r="U3938" i="98" s="1"/>
  <c r="S3938" i="98"/>
  <c r="R3938" i="98"/>
  <c r="V3937" i="98"/>
  <c r="T3937" i="98"/>
  <c r="U3937" i="98" s="1"/>
  <c r="S3937" i="98"/>
  <c r="R3937" i="98"/>
  <c r="V3936" i="98"/>
  <c r="T3936" i="98"/>
  <c r="U3936" i="98" s="1"/>
  <c r="S3936" i="98"/>
  <c r="R3936" i="98"/>
  <c r="V3935" i="98"/>
  <c r="T3935" i="98"/>
  <c r="U3935" i="98" s="1"/>
  <c r="S3935" i="98"/>
  <c r="R3935" i="98"/>
  <c r="V3934" i="98"/>
  <c r="T3934" i="98"/>
  <c r="U3934" i="98" s="1"/>
  <c r="S3934" i="98"/>
  <c r="R3934" i="98"/>
  <c r="V3933" i="98"/>
  <c r="T3933" i="98"/>
  <c r="U3933" i="98" s="1"/>
  <c r="S3933" i="98"/>
  <c r="R3933" i="98"/>
  <c r="V3932" i="98"/>
  <c r="T3932" i="98"/>
  <c r="U3932" i="98" s="1"/>
  <c r="S3932" i="98"/>
  <c r="R3932" i="98"/>
  <c r="V3931" i="98"/>
  <c r="T3931" i="98"/>
  <c r="U3931" i="98" s="1"/>
  <c r="S3931" i="98"/>
  <c r="R3931" i="98"/>
  <c r="V3930" i="98"/>
  <c r="T3930" i="98"/>
  <c r="U3930" i="98" s="1"/>
  <c r="S3930" i="98"/>
  <c r="R3930" i="98"/>
  <c r="V3929" i="98"/>
  <c r="T3929" i="98"/>
  <c r="U3929" i="98" s="1"/>
  <c r="S3929" i="98"/>
  <c r="R3929" i="98"/>
  <c r="V3928" i="98"/>
  <c r="T3928" i="98"/>
  <c r="U3928" i="98" s="1"/>
  <c r="S3928" i="98"/>
  <c r="R3928" i="98"/>
  <c r="V3927" i="98"/>
  <c r="T3927" i="98"/>
  <c r="U3927" i="98" s="1"/>
  <c r="S3927" i="98"/>
  <c r="R3927" i="98"/>
  <c r="V3926" i="98"/>
  <c r="T3926" i="98"/>
  <c r="U3926" i="98" s="1"/>
  <c r="S3926" i="98"/>
  <c r="R3926" i="98"/>
  <c r="V3925" i="98"/>
  <c r="T3925" i="98"/>
  <c r="U3925" i="98" s="1"/>
  <c r="S3925" i="98"/>
  <c r="R3925" i="98"/>
  <c r="V3924" i="98"/>
  <c r="T3924" i="98"/>
  <c r="U3924" i="98" s="1"/>
  <c r="S3924" i="98"/>
  <c r="R3924" i="98"/>
  <c r="V3923" i="98"/>
  <c r="T3923" i="98"/>
  <c r="U3923" i="98" s="1"/>
  <c r="S3923" i="98"/>
  <c r="R3923" i="98"/>
  <c r="V3922" i="98"/>
  <c r="T3922" i="98"/>
  <c r="U3922" i="98" s="1"/>
  <c r="S3922" i="98"/>
  <c r="R3922" i="98"/>
  <c r="V3921" i="98"/>
  <c r="T3921" i="98"/>
  <c r="U3921" i="98" s="1"/>
  <c r="S3921" i="98"/>
  <c r="R3921" i="98"/>
  <c r="V3920" i="98"/>
  <c r="T3920" i="98"/>
  <c r="U3920" i="98" s="1"/>
  <c r="S3920" i="98"/>
  <c r="R3920" i="98"/>
  <c r="V3919" i="98"/>
  <c r="T3919" i="98"/>
  <c r="U3919" i="98" s="1"/>
  <c r="S3919" i="98"/>
  <c r="R3919" i="98"/>
  <c r="V3918" i="98"/>
  <c r="T3918" i="98"/>
  <c r="U3918" i="98" s="1"/>
  <c r="S3918" i="98"/>
  <c r="R3918" i="98"/>
  <c r="V3917" i="98"/>
  <c r="T3917" i="98"/>
  <c r="U3917" i="98" s="1"/>
  <c r="S3917" i="98"/>
  <c r="R3917" i="98"/>
  <c r="V3916" i="98"/>
  <c r="T3916" i="98"/>
  <c r="U3916" i="98" s="1"/>
  <c r="S3916" i="98"/>
  <c r="R3916" i="98"/>
  <c r="V3915" i="98"/>
  <c r="T3915" i="98"/>
  <c r="U3915" i="98" s="1"/>
  <c r="S3915" i="98"/>
  <c r="R3915" i="98"/>
  <c r="V3914" i="98"/>
  <c r="T3914" i="98"/>
  <c r="U3914" i="98" s="1"/>
  <c r="S3914" i="98"/>
  <c r="R3914" i="98"/>
  <c r="V3913" i="98"/>
  <c r="T3913" i="98"/>
  <c r="U3913" i="98" s="1"/>
  <c r="S3913" i="98"/>
  <c r="R3913" i="98"/>
  <c r="V3912" i="98"/>
  <c r="T3912" i="98"/>
  <c r="U3912" i="98" s="1"/>
  <c r="S3912" i="98"/>
  <c r="R3912" i="98"/>
  <c r="V3911" i="98"/>
  <c r="T3911" i="98"/>
  <c r="U3911" i="98" s="1"/>
  <c r="S3911" i="98"/>
  <c r="R3911" i="98"/>
  <c r="V3910" i="98"/>
  <c r="T3910" i="98"/>
  <c r="U3910" i="98" s="1"/>
  <c r="S3910" i="98"/>
  <c r="R3910" i="98"/>
  <c r="V3909" i="98"/>
  <c r="T3909" i="98"/>
  <c r="U3909" i="98" s="1"/>
  <c r="S3909" i="98"/>
  <c r="R3909" i="98"/>
  <c r="V3908" i="98"/>
  <c r="T3908" i="98"/>
  <c r="U3908" i="98" s="1"/>
  <c r="S3908" i="98"/>
  <c r="R3908" i="98"/>
  <c r="V3907" i="98"/>
  <c r="T3907" i="98"/>
  <c r="U3907" i="98" s="1"/>
  <c r="S3907" i="98"/>
  <c r="R3907" i="98"/>
  <c r="V3906" i="98"/>
  <c r="T3906" i="98"/>
  <c r="U3906" i="98" s="1"/>
  <c r="S3906" i="98"/>
  <c r="R3906" i="98"/>
  <c r="V3905" i="98"/>
  <c r="T3905" i="98"/>
  <c r="U3905" i="98" s="1"/>
  <c r="S3905" i="98"/>
  <c r="R3905" i="98"/>
  <c r="V3904" i="98"/>
  <c r="T3904" i="98"/>
  <c r="U3904" i="98" s="1"/>
  <c r="S3904" i="98"/>
  <c r="R3904" i="98"/>
  <c r="V3903" i="98"/>
  <c r="T3903" i="98"/>
  <c r="U3903" i="98" s="1"/>
  <c r="S3903" i="98"/>
  <c r="R3903" i="98"/>
  <c r="V3902" i="98"/>
  <c r="T3902" i="98"/>
  <c r="U3902" i="98" s="1"/>
  <c r="S3902" i="98"/>
  <c r="R3902" i="98"/>
  <c r="V3901" i="98"/>
  <c r="T3901" i="98"/>
  <c r="U3901" i="98" s="1"/>
  <c r="S3901" i="98"/>
  <c r="R3901" i="98"/>
  <c r="V3900" i="98"/>
  <c r="T3900" i="98"/>
  <c r="U3900" i="98" s="1"/>
  <c r="S3900" i="98"/>
  <c r="R3900" i="98"/>
  <c r="V3899" i="98"/>
  <c r="T3899" i="98"/>
  <c r="U3899" i="98" s="1"/>
  <c r="S3899" i="98"/>
  <c r="R3899" i="98"/>
  <c r="V3898" i="98"/>
  <c r="T3898" i="98"/>
  <c r="U3898" i="98" s="1"/>
  <c r="S3898" i="98"/>
  <c r="R3898" i="98"/>
  <c r="V3897" i="98"/>
  <c r="T3897" i="98"/>
  <c r="U3897" i="98" s="1"/>
  <c r="S3897" i="98"/>
  <c r="R3897" i="98"/>
  <c r="V3896" i="98"/>
  <c r="T3896" i="98"/>
  <c r="U3896" i="98" s="1"/>
  <c r="S3896" i="98"/>
  <c r="R3896" i="98"/>
  <c r="V3895" i="98"/>
  <c r="T3895" i="98"/>
  <c r="U3895" i="98" s="1"/>
  <c r="S3895" i="98"/>
  <c r="R3895" i="98"/>
  <c r="V3894" i="98"/>
  <c r="T3894" i="98"/>
  <c r="U3894" i="98" s="1"/>
  <c r="S3894" i="98"/>
  <c r="R3894" i="98"/>
  <c r="V3893" i="98"/>
  <c r="T3893" i="98"/>
  <c r="U3893" i="98" s="1"/>
  <c r="S3893" i="98"/>
  <c r="R3893" i="98"/>
  <c r="V3892" i="98"/>
  <c r="T3892" i="98"/>
  <c r="U3892" i="98" s="1"/>
  <c r="S3892" i="98"/>
  <c r="R3892" i="98"/>
  <c r="V3891" i="98"/>
  <c r="T3891" i="98"/>
  <c r="U3891" i="98" s="1"/>
  <c r="S3891" i="98"/>
  <c r="R3891" i="98"/>
  <c r="V3890" i="98"/>
  <c r="T3890" i="98"/>
  <c r="U3890" i="98" s="1"/>
  <c r="S3890" i="98"/>
  <c r="R3890" i="98"/>
  <c r="V3889" i="98"/>
  <c r="T3889" i="98"/>
  <c r="U3889" i="98" s="1"/>
  <c r="S3889" i="98"/>
  <c r="R3889" i="98"/>
  <c r="V3888" i="98"/>
  <c r="T3888" i="98"/>
  <c r="U3888" i="98" s="1"/>
  <c r="S3888" i="98"/>
  <c r="R3888" i="98"/>
  <c r="V3887" i="98"/>
  <c r="T3887" i="98"/>
  <c r="U3887" i="98" s="1"/>
  <c r="S3887" i="98"/>
  <c r="R3887" i="98"/>
  <c r="V3886" i="98"/>
  <c r="T3886" i="98"/>
  <c r="U3886" i="98" s="1"/>
  <c r="S3886" i="98"/>
  <c r="R3886" i="98"/>
  <c r="V3885" i="98"/>
  <c r="T3885" i="98"/>
  <c r="U3885" i="98" s="1"/>
  <c r="S3885" i="98"/>
  <c r="R3885" i="98"/>
  <c r="V3884" i="98"/>
  <c r="T3884" i="98"/>
  <c r="U3884" i="98" s="1"/>
  <c r="S3884" i="98"/>
  <c r="R3884" i="98"/>
  <c r="V3883" i="98"/>
  <c r="T3883" i="98"/>
  <c r="U3883" i="98" s="1"/>
  <c r="S3883" i="98"/>
  <c r="R3883" i="98"/>
  <c r="V3882" i="98"/>
  <c r="T3882" i="98"/>
  <c r="U3882" i="98" s="1"/>
  <c r="S3882" i="98"/>
  <c r="R3882" i="98"/>
  <c r="V3881" i="98"/>
  <c r="T3881" i="98"/>
  <c r="U3881" i="98" s="1"/>
  <c r="S3881" i="98"/>
  <c r="R3881" i="98"/>
  <c r="V3880" i="98"/>
  <c r="T3880" i="98"/>
  <c r="U3880" i="98" s="1"/>
  <c r="S3880" i="98"/>
  <c r="R3880" i="98"/>
  <c r="V3879" i="98"/>
  <c r="T3879" i="98"/>
  <c r="U3879" i="98" s="1"/>
  <c r="S3879" i="98"/>
  <c r="R3879" i="98"/>
  <c r="V3878" i="98"/>
  <c r="T3878" i="98"/>
  <c r="U3878" i="98" s="1"/>
  <c r="S3878" i="98"/>
  <c r="R3878" i="98"/>
  <c r="V3877" i="98"/>
  <c r="T3877" i="98"/>
  <c r="U3877" i="98" s="1"/>
  <c r="S3877" i="98"/>
  <c r="R3877" i="98"/>
  <c r="V3876" i="98"/>
  <c r="T3876" i="98"/>
  <c r="U3876" i="98" s="1"/>
  <c r="S3876" i="98"/>
  <c r="R3876" i="98"/>
  <c r="V3875" i="98"/>
  <c r="T3875" i="98"/>
  <c r="U3875" i="98" s="1"/>
  <c r="S3875" i="98"/>
  <c r="R3875" i="98"/>
  <c r="V3874" i="98"/>
  <c r="T3874" i="98"/>
  <c r="U3874" i="98" s="1"/>
  <c r="S3874" i="98"/>
  <c r="R3874" i="98"/>
  <c r="V3873" i="98"/>
  <c r="T3873" i="98"/>
  <c r="U3873" i="98" s="1"/>
  <c r="S3873" i="98"/>
  <c r="R3873" i="98"/>
  <c r="V3872" i="98"/>
  <c r="T3872" i="98"/>
  <c r="U3872" i="98" s="1"/>
  <c r="S3872" i="98"/>
  <c r="R3872" i="98"/>
  <c r="V3871" i="98"/>
  <c r="T3871" i="98"/>
  <c r="U3871" i="98" s="1"/>
  <c r="S3871" i="98"/>
  <c r="R3871" i="98"/>
  <c r="V3870" i="98"/>
  <c r="T3870" i="98"/>
  <c r="U3870" i="98" s="1"/>
  <c r="S3870" i="98"/>
  <c r="R3870" i="98"/>
  <c r="V3869" i="98"/>
  <c r="T3869" i="98"/>
  <c r="U3869" i="98" s="1"/>
  <c r="S3869" i="98"/>
  <c r="R3869" i="98"/>
  <c r="V3868" i="98"/>
  <c r="T3868" i="98"/>
  <c r="U3868" i="98" s="1"/>
  <c r="S3868" i="98"/>
  <c r="R3868" i="98"/>
  <c r="V3867" i="98"/>
  <c r="T3867" i="98"/>
  <c r="U3867" i="98" s="1"/>
  <c r="S3867" i="98"/>
  <c r="R3867" i="98"/>
  <c r="V3866" i="98"/>
  <c r="T3866" i="98"/>
  <c r="U3866" i="98" s="1"/>
  <c r="S3866" i="98"/>
  <c r="R3866" i="98"/>
  <c r="V3865" i="98"/>
  <c r="T3865" i="98"/>
  <c r="U3865" i="98" s="1"/>
  <c r="S3865" i="98"/>
  <c r="R3865" i="98"/>
  <c r="V3864" i="98"/>
  <c r="T3864" i="98"/>
  <c r="U3864" i="98" s="1"/>
  <c r="S3864" i="98"/>
  <c r="R3864" i="98"/>
  <c r="V3863" i="98"/>
  <c r="T3863" i="98"/>
  <c r="U3863" i="98" s="1"/>
  <c r="S3863" i="98"/>
  <c r="R3863" i="98"/>
  <c r="V3862" i="98"/>
  <c r="T3862" i="98"/>
  <c r="U3862" i="98" s="1"/>
  <c r="S3862" i="98"/>
  <c r="R3862" i="98"/>
  <c r="V3861" i="98"/>
  <c r="T3861" i="98"/>
  <c r="U3861" i="98" s="1"/>
  <c r="S3861" i="98"/>
  <c r="R3861" i="98"/>
  <c r="V3860" i="98"/>
  <c r="T3860" i="98"/>
  <c r="U3860" i="98" s="1"/>
  <c r="S3860" i="98"/>
  <c r="R3860" i="98"/>
  <c r="V3859" i="98"/>
  <c r="T3859" i="98"/>
  <c r="U3859" i="98" s="1"/>
  <c r="S3859" i="98"/>
  <c r="R3859" i="98"/>
  <c r="V3858" i="98"/>
  <c r="T3858" i="98"/>
  <c r="U3858" i="98" s="1"/>
  <c r="S3858" i="98"/>
  <c r="R3858" i="98"/>
  <c r="V3857" i="98"/>
  <c r="T3857" i="98"/>
  <c r="U3857" i="98" s="1"/>
  <c r="S3857" i="98"/>
  <c r="R3857" i="98"/>
  <c r="V3856" i="98"/>
  <c r="T3856" i="98"/>
  <c r="U3856" i="98" s="1"/>
  <c r="S3856" i="98"/>
  <c r="R3856" i="98"/>
  <c r="V3855" i="98"/>
  <c r="T3855" i="98"/>
  <c r="U3855" i="98" s="1"/>
  <c r="S3855" i="98"/>
  <c r="R3855" i="98"/>
  <c r="V3854" i="98"/>
  <c r="T3854" i="98"/>
  <c r="U3854" i="98" s="1"/>
  <c r="S3854" i="98"/>
  <c r="R3854" i="98"/>
  <c r="V3853" i="98"/>
  <c r="T3853" i="98"/>
  <c r="U3853" i="98" s="1"/>
  <c r="S3853" i="98"/>
  <c r="R3853" i="98"/>
  <c r="V3852" i="98"/>
  <c r="T3852" i="98"/>
  <c r="U3852" i="98" s="1"/>
  <c r="S3852" i="98"/>
  <c r="R3852" i="98"/>
  <c r="V3851" i="98"/>
  <c r="T3851" i="98"/>
  <c r="U3851" i="98" s="1"/>
  <c r="S3851" i="98"/>
  <c r="R3851" i="98"/>
  <c r="V3850" i="98"/>
  <c r="T3850" i="98"/>
  <c r="U3850" i="98" s="1"/>
  <c r="S3850" i="98"/>
  <c r="R3850" i="98"/>
  <c r="V3849" i="98"/>
  <c r="T3849" i="98"/>
  <c r="U3849" i="98" s="1"/>
  <c r="S3849" i="98"/>
  <c r="R3849" i="98"/>
  <c r="V3848" i="98"/>
  <c r="T3848" i="98"/>
  <c r="U3848" i="98" s="1"/>
  <c r="S3848" i="98"/>
  <c r="R3848" i="98"/>
  <c r="V3847" i="98"/>
  <c r="T3847" i="98"/>
  <c r="U3847" i="98" s="1"/>
  <c r="S3847" i="98"/>
  <c r="R3847" i="98"/>
  <c r="V3846" i="98"/>
  <c r="T3846" i="98"/>
  <c r="U3846" i="98" s="1"/>
  <c r="S3846" i="98"/>
  <c r="R3846" i="98"/>
  <c r="V3845" i="98"/>
  <c r="T3845" i="98"/>
  <c r="U3845" i="98" s="1"/>
  <c r="S3845" i="98"/>
  <c r="R3845" i="98"/>
  <c r="V3844" i="98"/>
  <c r="T3844" i="98"/>
  <c r="U3844" i="98" s="1"/>
  <c r="S3844" i="98"/>
  <c r="R3844" i="98"/>
  <c r="V3843" i="98"/>
  <c r="T3843" i="98"/>
  <c r="U3843" i="98" s="1"/>
  <c r="S3843" i="98"/>
  <c r="R3843" i="98"/>
  <c r="V3842" i="98"/>
  <c r="T3842" i="98"/>
  <c r="U3842" i="98" s="1"/>
  <c r="S3842" i="98"/>
  <c r="R3842" i="98"/>
  <c r="V3841" i="98"/>
  <c r="T3841" i="98"/>
  <c r="U3841" i="98" s="1"/>
  <c r="S3841" i="98"/>
  <c r="R3841" i="98"/>
  <c r="V3840" i="98"/>
  <c r="T3840" i="98"/>
  <c r="U3840" i="98" s="1"/>
  <c r="S3840" i="98"/>
  <c r="R3840" i="98"/>
  <c r="V3839" i="98"/>
  <c r="T3839" i="98"/>
  <c r="U3839" i="98" s="1"/>
  <c r="S3839" i="98"/>
  <c r="R3839" i="98"/>
  <c r="V3838" i="98"/>
  <c r="T3838" i="98"/>
  <c r="U3838" i="98" s="1"/>
  <c r="S3838" i="98"/>
  <c r="R3838" i="98"/>
  <c r="V3837" i="98"/>
  <c r="T3837" i="98"/>
  <c r="U3837" i="98" s="1"/>
  <c r="S3837" i="98"/>
  <c r="R3837" i="98"/>
  <c r="V3836" i="98"/>
  <c r="T3836" i="98"/>
  <c r="U3836" i="98" s="1"/>
  <c r="S3836" i="98"/>
  <c r="R3836" i="98"/>
  <c r="V3835" i="98"/>
  <c r="T3835" i="98"/>
  <c r="U3835" i="98" s="1"/>
  <c r="S3835" i="98"/>
  <c r="R3835" i="98"/>
  <c r="V3834" i="98"/>
  <c r="T3834" i="98"/>
  <c r="U3834" i="98" s="1"/>
  <c r="S3834" i="98"/>
  <c r="R3834" i="98"/>
  <c r="V3833" i="98"/>
  <c r="T3833" i="98"/>
  <c r="U3833" i="98" s="1"/>
  <c r="S3833" i="98"/>
  <c r="R3833" i="98"/>
  <c r="V3832" i="98"/>
  <c r="T3832" i="98"/>
  <c r="U3832" i="98" s="1"/>
  <c r="S3832" i="98"/>
  <c r="R3832" i="98"/>
  <c r="V3831" i="98"/>
  <c r="T3831" i="98"/>
  <c r="U3831" i="98" s="1"/>
  <c r="S3831" i="98"/>
  <c r="R3831" i="98"/>
  <c r="V3830" i="98"/>
  <c r="T3830" i="98"/>
  <c r="U3830" i="98" s="1"/>
  <c r="S3830" i="98"/>
  <c r="R3830" i="98"/>
  <c r="V3829" i="98"/>
  <c r="T3829" i="98"/>
  <c r="U3829" i="98" s="1"/>
  <c r="S3829" i="98"/>
  <c r="R3829" i="98"/>
  <c r="V3828" i="98"/>
  <c r="T3828" i="98"/>
  <c r="U3828" i="98" s="1"/>
  <c r="S3828" i="98"/>
  <c r="R3828" i="98"/>
  <c r="V3827" i="98"/>
  <c r="T3827" i="98"/>
  <c r="U3827" i="98" s="1"/>
  <c r="S3827" i="98"/>
  <c r="R3827" i="98"/>
  <c r="V3826" i="98"/>
  <c r="T3826" i="98"/>
  <c r="U3826" i="98" s="1"/>
  <c r="S3826" i="98"/>
  <c r="R3826" i="98"/>
  <c r="V3825" i="98"/>
  <c r="T3825" i="98"/>
  <c r="U3825" i="98" s="1"/>
  <c r="S3825" i="98"/>
  <c r="R3825" i="98"/>
  <c r="V3824" i="98"/>
  <c r="T3824" i="98"/>
  <c r="U3824" i="98" s="1"/>
  <c r="S3824" i="98"/>
  <c r="R3824" i="98"/>
  <c r="V3823" i="98"/>
  <c r="T3823" i="98"/>
  <c r="U3823" i="98" s="1"/>
  <c r="S3823" i="98"/>
  <c r="R3823" i="98"/>
  <c r="V3822" i="98"/>
  <c r="T3822" i="98"/>
  <c r="U3822" i="98" s="1"/>
  <c r="S3822" i="98"/>
  <c r="R3822" i="98"/>
  <c r="V3821" i="98"/>
  <c r="T3821" i="98"/>
  <c r="U3821" i="98" s="1"/>
  <c r="S3821" i="98"/>
  <c r="R3821" i="98"/>
  <c r="V3820" i="98"/>
  <c r="T3820" i="98"/>
  <c r="U3820" i="98" s="1"/>
  <c r="S3820" i="98"/>
  <c r="R3820" i="98"/>
  <c r="V3819" i="98"/>
  <c r="T3819" i="98"/>
  <c r="U3819" i="98" s="1"/>
  <c r="S3819" i="98"/>
  <c r="R3819" i="98"/>
  <c r="V3818" i="98"/>
  <c r="T3818" i="98"/>
  <c r="U3818" i="98" s="1"/>
  <c r="S3818" i="98"/>
  <c r="R3818" i="98"/>
  <c r="V3817" i="98"/>
  <c r="T3817" i="98"/>
  <c r="U3817" i="98" s="1"/>
  <c r="S3817" i="98"/>
  <c r="R3817" i="98"/>
  <c r="V3816" i="98"/>
  <c r="T3816" i="98"/>
  <c r="U3816" i="98" s="1"/>
  <c r="S3816" i="98"/>
  <c r="R3816" i="98"/>
  <c r="V3815" i="98"/>
  <c r="T3815" i="98"/>
  <c r="U3815" i="98" s="1"/>
  <c r="S3815" i="98"/>
  <c r="R3815" i="98"/>
  <c r="V3814" i="98"/>
  <c r="T3814" i="98"/>
  <c r="U3814" i="98" s="1"/>
  <c r="S3814" i="98"/>
  <c r="R3814" i="98"/>
  <c r="V3813" i="98"/>
  <c r="T3813" i="98"/>
  <c r="U3813" i="98" s="1"/>
  <c r="S3813" i="98"/>
  <c r="R3813" i="98"/>
  <c r="V3812" i="98"/>
  <c r="T3812" i="98"/>
  <c r="U3812" i="98" s="1"/>
  <c r="S3812" i="98"/>
  <c r="R3812" i="98"/>
  <c r="V3811" i="98"/>
  <c r="T3811" i="98"/>
  <c r="U3811" i="98" s="1"/>
  <c r="S3811" i="98"/>
  <c r="R3811" i="98"/>
  <c r="V3810" i="98"/>
  <c r="T3810" i="98"/>
  <c r="U3810" i="98" s="1"/>
  <c r="S3810" i="98"/>
  <c r="R3810" i="98"/>
  <c r="V3809" i="98"/>
  <c r="T3809" i="98"/>
  <c r="U3809" i="98" s="1"/>
  <c r="S3809" i="98"/>
  <c r="R3809" i="98"/>
  <c r="V3808" i="98"/>
  <c r="T3808" i="98"/>
  <c r="U3808" i="98" s="1"/>
  <c r="S3808" i="98"/>
  <c r="R3808" i="98"/>
  <c r="V3807" i="98"/>
  <c r="T3807" i="98"/>
  <c r="U3807" i="98" s="1"/>
  <c r="S3807" i="98"/>
  <c r="R3807" i="98"/>
  <c r="V3806" i="98"/>
  <c r="T3806" i="98"/>
  <c r="U3806" i="98" s="1"/>
  <c r="S3806" i="98"/>
  <c r="R3806" i="98"/>
  <c r="V3805" i="98"/>
  <c r="T3805" i="98"/>
  <c r="U3805" i="98" s="1"/>
  <c r="S3805" i="98"/>
  <c r="R3805" i="98"/>
  <c r="V3804" i="98"/>
  <c r="T3804" i="98"/>
  <c r="U3804" i="98" s="1"/>
  <c r="S3804" i="98"/>
  <c r="R3804" i="98"/>
  <c r="V3803" i="98"/>
  <c r="T3803" i="98"/>
  <c r="U3803" i="98" s="1"/>
  <c r="S3803" i="98"/>
  <c r="R3803" i="98"/>
  <c r="V3802" i="98"/>
  <c r="T3802" i="98"/>
  <c r="U3802" i="98" s="1"/>
  <c r="S3802" i="98"/>
  <c r="R3802" i="98"/>
  <c r="V3801" i="98"/>
  <c r="T3801" i="98"/>
  <c r="U3801" i="98" s="1"/>
  <c r="S3801" i="98"/>
  <c r="R3801" i="98"/>
  <c r="V3800" i="98"/>
  <c r="T3800" i="98"/>
  <c r="U3800" i="98" s="1"/>
  <c r="S3800" i="98"/>
  <c r="R3800" i="98"/>
  <c r="V3799" i="98"/>
  <c r="T3799" i="98"/>
  <c r="U3799" i="98" s="1"/>
  <c r="S3799" i="98"/>
  <c r="R3799" i="98"/>
  <c r="V3798" i="98"/>
  <c r="T3798" i="98"/>
  <c r="U3798" i="98" s="1"/>
  <c r="S3798" i="98"/>
  <c r="R3798" i="98"/>
  <c r="V3797" i="98"/>
  <c r="T3797" i="98"/>
  <c r="U3797" i="98" s="1"/>
  <c r="S3797" i="98"/>
  <c r="R3797" i="98"/>
  <c r="V3796" i="98"/>
  <c r="T3796" i="98"/>
  <c r="U3796" i="98" s="1"/>
  <c r="S3796" i="98"/>
  <c r="R3796" i="98"/>
  <c r="V3795" i="98"/>
  <c r="T3795" i="98"/>
  <c r="U3795" i="98" s="1"/>
  <c r="S3795" i="98"/>
  <c r="R3795" i="98"/>
  <c r="V3794" i="98"/>
  <c r="T3794" i="98"/>
  <c r="U3794" i="98" s="1"/>
  <c r="S3794" i="98"/>
  <c r="R3794" i="98"/>
  <c r="V3793" i="98"/>
  <c r="T3793" i="98"/>
  <c r="U3793" i="98" s="1"/>
  <c r="S3793" i="98"/>
  <c r="R3793" i="98"/>
  <c r="V3792" i="98"/>
  <c r="T3792" i="98"/>
  <c r="U3792" i="98" s="1"/>
  <c r="S3792" i="98"/>
  <c r="R3792" i="98"/>
  <c r="V3791" i="98"/>
  <c r="T3791" i="98"/>
  <c r="U3791" i="98" s="1"/>
  <c r="S3791" i="98"/>
  <c r="R3791" i="98"/>
  <c r="V3790" i="98"/>
  <c r="T3790" i="98"/>
  <c r="U3790" i="98" s="1"/>
  <c r="S3790" i="98"/>
  <c r="R3790" i="98"/>
  <c r="V3789" i="98"/>
  <c r="T3789" i="98"/>
  <c r="U3789" i="98" s="1"/>
  <c r="S3789" i="98"/>
  <c r="R3789" i="98"/>
  <c r="V3788" i="98"/>
  <c r="T3788" i="98"/>
  <c r="U3788" i="98" s="1"/>
  <c r="S3788" i="98"/>
  <c r="R3788" i="98"/>
  <c r="V3787" i="98"/>
  <c r="T3787" i="98"/>
  <c r="U3787" i="98" s="1"/>
  <c r="S3787" i="98"/>
  <c r="R3787" i="98"/>
  <c r="V3786" i="98"/>
  <c r="T3786" i="98"/>
  <c r="U3786" i="98" s="1"/>
  <c r="S3786" i="98"/>
  <c r="R3786" i="98"/>
  <c r="V3785" i="98"/>
  <c r="T3785" i="98"/>
  <c r="U3785" i="98" s="1"/>
  <c r="S3785" i="98"/>
  <c r="R3785" i="98"/>
  <c r="V3784" i="98"/>
  <c r="T3784" i="98"/>
  <c r="U3784" i="98" s="1"/>
  <c r="S3784" i="98"/>
  <c r="R3784" i="98"/>
  <c r="V3783" i="98"/>
  <c r="T3783" i="98"/>
  <c r="U3783" i="98" s="1"/>
  <c r="S3783" i="98"/>
  <c r="R3783" i="98"/>
  <c r="V3782" i="98"/>
  <c r="T3782" i="98"/>
  <c r="U3782" i="98" s="1"/>
  <c r="S3782" i="98"/>
  <c r="R3782" i="98"/>
  <c r="V3781" i="98"/>
  <c r="T3781" i="98"/>
  <c r="U3781" i="98" s="1"/>
  <c r="S3781" i="98"/>
  <c r="R3781" i="98"/>
  <c r="V3780" i="98"/>
  <c r="T3780" i="98"/>
  <c r="U3780" i="98" s="1"/>
  <c r="S3780" i="98"/>
  <c r="R3780" i="98"/>
  <c r="V3779" i="98"/>
  <c r="T3779" i="98"/>
  <c r="U3779" i="98" s="1"/>
  <c r="S3779" i="98"/>
  <c r="R3779" i="98"/>
  <c r="V3778" i="98"/>
  <c r="T3778" i="98"/>
  <c r="U3778" i="98" s="1"/>
  <c r="S3778" i="98"/>
  <c r="R3778" i="98"/>
  <c r="V3777" i="98"/>
  <c r="T3777" i="98"/>
  <c r="U3777" i="98" s="1"/>
  <c r="S3777" i="98"/>
  <c r="R3777" i="98"/>
  <c r="V3776" i="98"/>
  <c r="T3776" i="98"/>
  <c r="U3776" i="98" s="1"/>
  <c r="S3776" i="98"/>
  <c r="R3776" i="98"/>
  <c r="V3775" i="98"/>
  <c r="T3775" i="98"/>
  <c r="U3775" i="98" s="1"/>
  <c r="S3775" i="98"/>
  <c r="R3775" i="98"/>
  <c r="V3774" i="98"/>
  <c r="T3774" i="98"/>
  <c r="U3774" i="98" s="1"/>
  <c r="S3774" i="98"/>
  <c r="R3774" i="98"/>
  <c r="V3773" i="98"/>
  <c r="T3773" i="98"/>
  <c r="U3773" i="98" s="1"/>
  <c r="S3773" i="98"/>
  <c r="R3773" i="98"/>
  <c r="V3772" i="98"/>
  <c r="T3772" i="98"/>
  <c r="U3772" i="98" s="1"/>
  <c r="S3772" i="98"/>
  <c r="R3772" i="98"/>
  <c r="V3771" i="98"/>
  <c r="T3771" i="98"/>
  <c r="U3771" i="98" s="1"/>
  <c r="S3771" i="98"/>
  <c r="R3771" i="98"/>
  <c r="V3770" i="98"/>
  <c r="T3770" i="98"/>
  <c r="U3770" i="98" s="1"/>
  <c r="S3770" i="98"/>
  <c r="R3770" i="98"/>
  <c r="V3769" i="98"/>
  <c r="T3769" i="98"/>
  <c r="U3769" i="98" s="1"/>
  <c r="S3769" i="98"/>
  <c r="R3769" i="98"/>
  <c r="V3768" i="98"/>
  <c r="T3768" i="98"/>
  <c r="U3768" i="98" s="1"/>
  <c r="S3768" i="98"/>
  <c r="R3768" i="98"/>
  <c r="V3767" i="98"/>
  <c r="T3767" i="98"/>
  <c r="U3767" i="98" s="1"/>
  <c r="S3767" i="98"/>
  <c r="R3767" i="98"/>
  <c r="V3766" i="98"/>
  <c r="T3766" i="98"/>
  <c r="U3766" i="98" s="1"/>
  <c r="S3766" i="98"/>
  <c r="R3766" i="98"/>
  <c r="V3765" i="98"/>
  <c r="T3765" i="98"/>
  <c r="U3765" i="98" s="1"/>
  <c r="S3765" i="98"/>
  <c r="R3765" i="98"/>
  <c r="V3764" i="98"/>
  <c r="T3764" i="98"/>
  <c r="U3764" i="98" s="1"/>
  <c r="S3764" i="98"/>
  <c r="R3764" i="98"/>
  <c r="V3763" i="98"/>
  <c r="T3763" i="98"/>
  <c r="U3763" i="98" s="1"/>
  <c r="S3763" i="98"/>
  <c r="R3763" i="98"/>
  <c r="V3762" i="98"/>
  <c r="T3762" i="98"/>
  <c r="U3762" i="98" s="1"/>
  <c r="S3762" i="98"/>
  <c r="R3762" i="98"/>
  <c r="V3761" i="98"/>
  <c r="T3761" i="98"/>
  <c r="U3761" i="98" s="1"/>
  <c r="S3761" i="98"/>
  <c r="R3761" i="98"/>
  <c r="V3760" i="98"/>
  <c r="T3760" i="98"/>
  <c r="U3760" i="98" s="1"/>
  <c r="S3760" i="98"/>
  <c r="R3760" i="98"/>
  <c r="V3759" i="98"/>
  <c r="T3759" i="98"/>
  <c r="U3759" i="98" s="1"/>
  <c r="S3759" i="98"/>
  <c r="R3759" i="98"/>
  <c r="V3758" i="98"/>
  <c r="T3758" i="98"/>
  <c r="U3758" i="98" s="1"/>
  <c r="S3758" i="98"/>
  <c r="R3758" i="98"/>
  <c r="V3757" i="98"/>
  <c r="T3757" i="98"/>
  <c r="U3757" i="98" s="1"/>
  <c r="S3757" i="98"/>
  <c r="R3757" i="98"/>
  <c r="V3756" i="98"/>
  <c r="T3756" i="98"/>
  <c r="U3756" i="98" s="1"/>
  <c r="S3756" i="98"/>
  <c r="R3756" i="98"/>
  <c r="V3755" i="98"/>
  <c r="T3755" i="98"/>
  <c r="U3755" i="98" s="1"/>
  <c r="S3755" i="98"/>
  <c r="R3755" i="98"/>
  <c r="V3754" i="98"/>
  <c r="T3754" i="98"/>
  <c r="U3754" i="98" s="1"/>
  <c r="S3754" i="98"/>
  <c r="R3754" i="98"/>
  <c r="V3753" i="98"/>
  <c r="T3753" i="98"/>
  <c r="U3753" i="98" s="1"/>
  <c r="S3753" i="98"/>
  <c r="R3753" i="98"/>
  <c r="V3752" i="98"/>
  <c r="T3752" i="98"/>
  <c r="U3752" i="98" s="1"/>
  <c r="S3752" i="98"/>
  <c r="R3752" i="98"/>
  <c r="V3751" i="98"/>
  <c r="T3751" i="98"/>
  <c r="U3751" i="98" s="1"/>
  <c r="S3751" i="98"/>
  <c r="R3751" i="98"/>
  <c r="V3750" i="98"/>
  <c r="T3750" i="98"/>
  <c r="U3750" i="98" s="1"/>
  <c r="S3750" i="98"/>
  <c r="R3750" i="98"/>
  <c r="V3749" i="98"/>
  <c r="T3749" i="98"/>
  <c r="U3749" i="98" s="1"/>
  <c r="S3749" i="98"/>
  <c r="R3749" i="98"/>
  <c r="V3748" i="98"/>
  <c r="T3748" i="98"/>
  <c r="U3748" i="98" s="1"/>
  <c r="S3748" i="98"/>
  <c r="R3748" i="98"/>
  <c r="V3747" i="98"/>
  <c r="T3747" i="98"/>
  <c r="U3747" i="98" s="1"/>
  <c r="S3747" i="98"/>
  <c r="R3747" i="98"/>
  <c r="V3746" i="98"/>
  <c r="T3746" i="98"/>
  <c r="U3746" i="98" s="1"/>
  <c r="S3746" i="98"/>
  <c r="R3746" i="98"/>
  <c r="V3745" i="98"/>
  <c r="T3745" i="98"/>
  <c r="U3745" i="98" s="1"/>
  <c r="S3745" i="98"/>
  <c r="R3745" i="98"/>
  <c r="V3744" i="98"/>
  <c r="T3744" i="98"/>
  <c r="U3744" i="98" s="1"/>
  <c r="S3744" i="98"/>
  <c r="R3744" i="98"/>
  <c r="V3743" i="98"/>
  <c r="T3743" i="98"/>
  <c r="U3743" i="98" s="1"/>
  <c r="S3743" i="98"/>
  <c r="R3743" i="98"/>
  <c r="V3742" i="98"/>
  <c r="T3742" i="98"/>
  <c r="U3742" i="98" s="1"/>
  <c r="S3742" i="98"/>
  <c r="R3742" i="98"/>
  <c r="V3741" i="98"/>
  <c r="T3741" i="98"/>
  <c r="U3741" i="98" s="1"/>
  <c r="S3741" i="98"/>
  <c r="R3741" i="98"/>
  <c r="V3740" i="98"/>
  <c r="T3740" i="98"/>
  <c r="U3740" i="98" s="1"/>
  <c r="S3740" i="98"/>
  <c r="R3740" i="98"/>
  <c r="V3739" i="98"/>
  <c r="T3739" i="98"/>
  <c r="U3739" i="98" s="1"/>
  <c r="S3739" i="98"/>
  <c r="R3739" i="98"/>
  <c r="V3738" i="98"/>
  <c r="T3738" i="98"/>
  <c r="U3738" i="98" s="1"/>
  <c r="S3738" i="98"/>
  <c r="R3738" i="98"/>
  <c r="V3737" i="98"/>
  <c r="T3737" i="98"/>
  <c r="U3737" i="98" s="1"/>
  <c r="S3737" i="98"/>
  <c r="R3737" i="98"/>
  <c r="V3736" i="98"/>
  <c r="T3736" i="98"/>
  <c r="U3736" i="98" s="1"/>
  <c r="S3736" i="98"/>
  <c r="R3736" i="98"/>
  <c r="V3735" i="98"/>
  <c r="T3735" i="98"/>
  <c r="U3735" i="98" s="1"/>
  <c r="S3735" i="98"/>
  <c r="R3735" i="98"/>
  <c r="V3734" i="98"/>
  <c r="T3734" i="98"/>
  <c r="U3734" i="98" s="1"/>
  <c r="S3734" i="98"/>
  <c r="R3734" i="98"/>
  <c r="V3733" i="98"/>
  <c r="T3733" i="98"/>
  <c r="U3733" i="98" s="1"/>
  <c r="S3733" i="98"/>
  <c r="R3733" i="98"/>
  <c r="V3732" i="98"/>
  <c r="T3732" i="98"/>
  <c r="U3732" i="98" s="1"/>
  <c r="S3732" i="98"/>
  <c r="R3732" i="98"/>
  <c r="V3731" i="98"/>
  <c r="T3731" i="98"/>
  <c r="U3731" i="98" s="1"/>
  <c r="S3731" i="98"/>
  <c r="R3731" i="98"/>
  <c r="V3730" i="98"/>
  <c r="T3730" i="98"/>
  <c r="U3730" i="98" s="1"/>
  <c r="S3730" i="98"/>
  <c r="R3730" i="98"/>
  <c r="V3729" i="98"/>
  <c r="T3729" i="98"/>
  <c r="U3729" i="98" s="1"/>
  <c r="S3729" i="98"/>
  <c r="R3729" i="98"/>
  <c r="V3728" i="98"/>
  <c r="T3728" i="98"/>
  <c r="U3728" i="98" s="1"/>
  <c r="S3728" i="98"/>
  <c r="R3728" i="98"/>
  <c r="V3727" i="98"/>
  <c r="T3727" i="98"/>
  <c r="U3727" i="98" s="1"/>
  <c r="S3727" i="98"/>
  <c r="R3727" i="98"/>
  <c r="V3726" i="98"/>
  <c r="T3726" i="98"/>
  <c r="U3726" i="98" s="1"/>
  <c r="S3726" i="98"/>
  <c r="R3726" i="98"/>
  <c r="V3725" i="98"/>
  <c r="T3725" i="98"/>
  <c r="U3725" i="98" s="1"/>
  <c r="S3725" i="98"/>
  <c r="R3725" i="98"/>
  <c r="V3724" i="98"/>
  <c r="T3724" i="98"/>
  <c r="U3724" i="98" s="1"/>
  <c r="S3724" i="98"/>
  <c r="R3724" i="98"/>
  <c r="V3723" i="98"/>
  <c r="T3723" i="98"/>
  <c r="U3723" i="98" s="1"/>
  <c r="S3723" i="98"/>
  <c r="R3723" i="98"/>
  <c r="V3722" i="98"/>
  <c r="T3722" i="98"/>
  <c r="U3722" i="98" s="1"/>
  <c r="S3722" i="98"/>
  <c r="R3722" i="98"/>
  <c r="V3721" i="98"/>
  <c r="T3721" i="98"/>
  <c r="U3721" i="98" s="1"/>
  <c r="S3721" i="98"/>
  <c r="R3721" i="98"/>
  <c r="V3720" i="98"/>
  <c r="T3720" i="98"/>
  <c r="U3720" i="98" s="1"/>
  <c r="S3720" i="98"/>
  <c r="R3720" i="98"/>
  <c r="V3719" i="98"/>
  <c r="T3719" i="98"/>
  <c r="U3719" i="98" s="1"/>
  <c r="S3719" i="98"/>
  <c r="R3719" i="98"/>
  <c r="V3718" i="98"/>
  <c r="T3718" i="98"/>
  <c r="U3718" i="98" s="1"/>
  <c r="S3718" i="98"/>
  <c r="R3718" i="98"/>
  <c r="V3717" i="98"/>
  <c r="T3717" i="98"/>
  <c r="U3717" i="98" s="1"/>
  <c r="S3717" i="98"/>
  <c r="R3717" i="98"/>
  <c r="V3716" i="98"/>
  <c r="T3716" i="98"/>
  <c r="U3716" i="98" s="1"/>
  <c r="S3716" i="98"/>
  <c r="R3716" i="98"/>
  <c r="V3715" i="98"/>
  <c r="T3715" i="98"/>
  <c r="U3715" i="98" s="1"/>
  <c r="S3715" i="98"/>
  <c r="R3715" i="98"/>
  <c r="V3714" i="98"/>
  <c r="T3714" i="98"/>
  <c r="U3714" i="98" s="1"/>
  <c r="S3714" i="98"/>
  <c r="R3714" i="98"/>
  <c r="V3713" i="98"/>
  <c r="T3713" i="98"/>
  <c r="U3713" i="98" s="1"/>
  <c r="S3713" i="98"/>
  <c r="R3713" i="98"/>
  <c r="V3712" i="98"/>
  <c r="T3712" i="98"/>
  <c r="U3712" i="98" s="1"/>
  <c r="S3712" i="98"/>
  <c r="R3712" i="98"/>
  <c r="V3711" i="98"/>
  <c r="T3711" i="98"/>
  <c r="U3711" i="98" s="1"/>
  <c r="S3711" i="98"/>
  <c r="R3711" i="98"/>
  <c r="V3710" i="98"/>
  <c r="T3710" i="98"/>
  <c r="U3710" i="98" s="1"/>
  <c r="S3710" i="98"/>
  <c r="R3710" i="98"/>
  <c r="V3709" i="98"/>
  <c r="T3709" i="98"/>
  <c r="U3709" i="98" s="1"/>
  <c r="S3709" i="98"/>
  <c r="R3709" i="98"/>
  <c r="V3708" i="98"/>
  <c r="T3708" i="98"/>
  <c r="U3708" i="98" s="1"/>
  <c r="S3708" i="98"/>
  <c r="R3708" i="98"/>
  <c r="V3707" i="98"/>
  <c r="T3707" i="98"/>
  <c r="U3707" i="98" s="1"/>
  <c r="S3707" i="98"/>
  <c r="R3707" i="98"/>
  <c r="V3706" i="98"/>
  <c r="T3706" i="98"/>
  <c r="U3706" i="98" s="1"/>
  <c r="S3706" i="98"/>
  <c r="R3706" i="98"/>
  <c r="V3705" i="98"/>
  <c r="T3705" i="98"/>
  <c r="U3705" i="98" s="1"/>
  <c r="S3705" i="98"/>
  <c r="R3705" i="98"/>
  <c r="V3704" i="98"/>
  <c r="T3704" i="98"/>
  <c r="U3704" i="98" s="1"/>
  <c r="S3704" i="98"/>
  <c r="R3704" i="98"/>
  <c r="V3703" i="98"/>
  <c r="T3703" i="98"/>
  <c r="U3703" i="98" s="1"/>
  <c r="S3703" i="98"/>
  <c r="R3703" i="98"/>
  <c r="V3702" i="98"/>
  <c r="T3702" i="98"/>
  <c r="U3702" i="98" s="1"/>
  <c r="S3702" i="98"/>
  <c r="R3702" i="98"/>
  <c r="V3701" i="98"/>
  <c r="T3701" i="98"/>
  <c r="U3701" i="98" s="1"/>
  <c r="S3701" i="98"/>
  <c r="R3701" i="98"/>
  <c r="V3700" i="98"/>
  <c r="T3700" i="98"/>
  <c r="U3700" i="98" s="1"/>
  <c r="S3700" i="98"/>
  <c r="R3700" i="98"/>
  <c r="V3699" i="98"/>
  <c r="T3699" i="98"/>
  <c r="U3699" i="98" s="1"/>
  <c r="S3699" i="98"/>
  <c r="R3699" i="98"/>
  <c r="V3698" i="98"/>
  <c r="T3698" i="98"/>
  <c r="U3698" i="98" s="1"/>
  <c r="S3698" i="98"/>
  <c r="R3698" i="98"/>
  <c r="V3697" i="98"/>
  <c r="T3697" i="98"/>
  <c r="U3697" i="98" s="1"/>
  <c r="S3697" i="98"/>
  <c r="R3697" i="98"/>
  <c r="V3696" i="98"/>
  <c r="T3696" i="98"/>
  <c r="U3696" i="98" s="1"/>
  <c r="S3696" i="98"/>
  <c r="R3696" i="98"/>
  <c r="V3695" i="98"/>
  <c r="T3695" i="98"/>
  <c r="U3695" i="98" s="1"/>
  <c r="S3695" i="98"/>
  <c r="R3695" i="98"/>
  <c r="V3694" i="98"/>
  <c r="T3694" i="98"/>
  <c r="U3694" i="98" s="1"/>
  <c r="S3694" i="98"/>
  <c r="R3694" i="98"/>
  <c r="V3693" i="98"/>
  <c r="T3693" i="98"/>
  <c r="U3693" i="98" s="1"/>
  <c r="S3693" i="98"/>
  <c r="R3693" i="98"/>
  <c r="V3692" i="98"/>
  <c r="T3692" i="98"/>
  <c r="U3692" i="98" s="1"/>
  <c r="S3692" i="98"/>
  <c r="R3692" i="98"/>
  <c r="V3691" i="98"/>
  <c r="T3691" i="98"/>
  <c r="U3691" i="98" s="1"/>
  <c r="S3691" i="98"/>
  <c r="R3691" i="98"/>
  <c r="V3690" i="98"/>
  <c r="T3690" i="98"/>
  <c r="U3690" i="98" s="1"/>
  <c r="S3690" i="98"/>
  <c r="R3690" i="98"/>
  <c r="V3689" i="98"/>
  <c r="T3689" i="98"/>
  <c r="U3689" i="98" s="1"/>
  <c r="S3689" i="98"/>
  <c r="R3689" i="98"/>
  <c r="V3688" i="98"/>
  <c r="T3688" i="98"/>
  <c r="U3688" i="98" s="1"/>
  <c r="S3688" i="98"/>
  <c r="R3688" i="98"/>
  <c r="V3687" i="98"/>
  <c r="T3687" i="98"/>
  <c r="U3687" i="98" s="1"/>
  <c r="S3687" i="98"/>
  <c r="R3687" i="98"/>
  <c r="V3686" i="98"/>
  <c r="T3686" i="98"/>
  <c r="U3686" i="98" s="1"/>
  <c r="S3686" i="98"/>
  <c r="R3686" i="98"/>
  <c r="V3685" i="98"/>
  <c r="T3685" i="98"/>
  <c r="U3685" i="98" s="1"/>
  <c r="S3685" i="98"/>
  <c r="R3685" i="98"/>
  <c r="V3684" i="98"/>
  <c r="T3684" i="98"/>
  <c r="U3684" i="98" s="1"/>
  <c r="S3684" i="98"/>
  <c r="R3684" i="98"/>
  <c r="V3683" i="98"/>
  <c r="T3683" i="98"/>
  <c r="U3683" i="98" s="1"/>
  <c r="S3683" i="98"/>
  <c r="R3683" i="98"/>
  <c r="V3682" i="98"/>
  <c r="T3682" i="98"/>
  <c r="U3682" i="98" s="1"/>
  <c r="S3682" i="98"/>
  <c r="R3682" i="98"/>
  <c r="V3681" i="98"/>
  <c r="T3681" i="98"/>
  <c r="U3681" i="98" s="1"/>
  <c r="S3681" i="98"/>
  <c r="R3681" i="98"/>
  <c r="V3680" i="98"/>
  <c r="T3680" i="98"/>
  <c r="U3680" i="98" s="1"/>
  <c r="S3680" i="98"/>
  <c r="R3680" i="98"/>
  <c r="V3679" i="98"/>
  <c r="T3679" i="98"/>
  <c r="U3679" i="98" s="1"/>
  <c r="S3679" i="98"/>
  <c r="R3679" i="98"/>
  <c r="V3678" i="98"/>
  <c r="T3678" i="98"/>
  <c r="U3678" i="98" s="1"/>
  <c r="S3678" i="98"/>
  <c r="R3678" i="98"/>
  <c r="V3677" i="98"/>
  <c r="T3677" i="98"/>
  <c r="U3677" i="98" s="1"/>
  <c r="S3677" i="98"/>
  <c r="R3677" i="98"/>
  <c r="V3676" i="98"/>
  <c r="T3676" i="98"/>
  <c r="U3676" i="98" s="1"/>
  <c r="S3676" i="98"/>
  <c r="R3676" i="98"/>
  <c r="V3675" i="98"/>
  <c r="T3675" i="98"/>
  <c r="U3675" i="98" s="1"/>
  <c r="S3675" i="98"/>
  <c r="R3675" i="98"/>
  <c r="V3674" i="98"/>
  <c r="T3674" i="98"/>
  <c r="U3674" i="98" s="1"/>
  <c r="S3674" i="98"/>
  <c r="R3674" i="98"/>
  <c r="V3673" i="98"/>
  <c r="T3673" i="98"/>
  <c r="U3673" i="98" s="1"/>
  <c r="S3673" i="98"/>
  <c r="R3673" i="98"/>
  <c r="V3672" i="98"/>
  <c r="T3672" i="98"/>
  <c r="U3672" i="98" s="1"/>
  <c r="S3672" i="98"/>
  <c r="R3672" i="98"/>
  <c r="V3671" i="98"/>
  <c r="T3671" i="98"/>
  <c r="U3671" i="98" s="1"/>
  <c r="S3671" i="98"/>
  <c r="R3671" i="98"/>
  <c r="V3670" i="98"/>
  <c r="T3670" i="98"/>
  <c r="U3670" i="98" s="1"/>
  <c r="S3670" i="98"/>
  <c r="R3670" i="98"/>
  <c r="V3669" i="98"/>
  <c r="T3669" i="98"/>
  <c r="U3669" i="98" s="1"/>
  <c r="S3669" i="98"/>
  <c r="R3669" i="98"/>
  <c r="V3668" i="98"/>
  <c r="T3668" i="98"/>
  <c r="U3668" i="98" s="1"/>
  <c r="S3668" i="98"/>
  <c r="R3668" i="98"/>
  <c r="V3667" i="98"/>
  <c r="T3667" i="98"/>
  <c r="U3667" i="98" s="1"/>
  <c r="S3667" i="98"/>
  <c r="R3667" i="98"/>
  <c r="V3666" i="98"/>
  <c r="T3666" i="98"/>
  <c r="U3666" i="98" s="1"/>
  <c r="S3666" i="98"/>
  <c r="R3666" i="98"/>
  <c r="V3665" i="98"/>
  <c r="T3665" i="98"/>
  <c r="U3665" i="98" s="1"/>
  <c r="S3665" i="98"/>
  <c r="R3665" i="98"/>
  <c r="V3664" i="98"/>
  <c r="T3664" i="98"/>
  <c r="U3664" i="98" s="1"/>
  <c r="S3664" i="98"/>
  <c r="R3664" i="98"/>
  <c r="V3663" i="98"/>
  <c r="T3663" i="98"/>
  <c r="U3663" i="98" s="1"/>
  <c r="S3663" i="98"/>
  <c r="R3663" i="98"/>
  <c r="V3662" i="98"/>
  <c r="T3662" i="98"/>
  <c r="U3662" i="98" s="1"/>
  <c r="S3662" i="98"/>
  <c r="R3662" i="98"/>
  <c r="V3661" i="98"/>
  <c r="T3661" i="98"/>
  <c r="U3661" i="98" s="1"/>
  <c r="S3661" i="98"/>
  <c r="R3661" i="98"/>
  <c r="V3660" i="98"/>
  <c r="T3660" i="98"/>
  <c r="U3660" i="98" s="1"/>
  <c r="S3660" i="98"/>
  <c r="R3660" i="98"/>
  <c r="V3659" i="98"/>
  <c r="T3659" i="98"/>
  <c r="U3659" i="98" s="1"/>
  <c r="S3659" i="98"/>
  <c r="R3659" i="98"/>
  <c r="V3658" i="98"/>
  <c r="T3658" i="98"/>
  <c r="U3658" i="98" s="1"/>
  <c r="S3658" i="98"/>
  <c r="R3658" i="98"/>
  <c r="V3657" i="98"/>
  <c r="T3657" i="98"/>
  <c r="U3657" i="98" s="1"/>
  <c r="S3657" i="98"/>
  <c r="R3657" i="98"/>
  <c r="V3656" i="98"/>
  <c r="T3656" i="98"/>
  <c r="U3656" i="98" s="1"/>
  <c r="S3656" i="98"/>
  <c r="R3656" i="98"/>
  <c r="V3655" i="98"/>
  <c r="T3655" i="98"/>
  <c r="U3655" i="98" s="1"/>
  <c r="S3655" i="98"/>
  <c r="R3655" i="98"/>
  <c r="V3654" i="98"/>
  <c r="T3654" i="98"/>
  <c r="U3654" i="98" s="1"/>
  <c r="S3654" i="98"/>
  <c r="R3654" i="98"/>
  <c r="V3653" i="98"/>
  <c r="T3653" i="98"/>
  <c r="U3653" i="98" s="1"/>
  <c r="S3653" i="98"/>
  <c r="R3653" i="98"/>
  <c r="V3652" i="98"/>
  <c r="T3652" i="98"/>
  <c r="U3652" i="98" s="1"/>
  <c r="S3652" i="98"/>
  <c r="R3652" i="98"/>
  <c r="V3651" i="98"/>
  <c r="T3651" i="98"/>
  <c r="U3651" i="98" s="1"/>
  <c r="S3651" i="98"/>
  <c r="R3651" i="98"/>
  <c r="V3650" i="98"/>
  <c r="T3650" i="98"/>
  <c r="U3650" i="98" s="1"/>
  <c r="S3650" i="98"/>
  <c r="R3650" i="98"/>
  <c r="V3649" i="98"/>
  <c r="T3649" i="98"/>
  <c r="U3649" i="98" s="1"/>
  <c r="S3649" i="98"/>
  <c r="R3649" i="98"/>
  <c r="V3648" i="98"/>
  <c r="T3648" i="98"/>
  <c r="U3648" i="98" s="1"/>
  <c r="S3648" i="98"/>
  <c r="R3648" i="98"/>
  <c r="V3647" i="98"/>
  <c r="T3647" i="98"/>
  <c r="U3647" i="98" s="1"/>
  <c r="S3647" i="98"/>
  <c r="R3647" i="98"/>
  <c r="V3646" i="98"/>
  <c r="T3646" i="98"/>
  <c r="U3646" i="98" s="1"/>
  <c r="S3646" i="98"/>
  <c r="R3646" i="98"/>
  <c r="V3645" i="98"/>
  <c r="T3645" i="98"/>
  <c r="U3645" i="98" s="1"/>
  <c r="S3645" i="98"/>
  <c r="R3645" i="98"/>
  <c r="V3644" i="98"/>
  <c r="T3644" i="98"/>
  <c r="U3644" i="98" s="1"/>
  <c r="S3644" i="98"/>
  <c r="R3644" i="98"/>
  <c r="V3643" i="98"/>
  <c r="T3643" i="98"/>
  <c r="U3643" i="98" s="1"/>
  <c r="S3643" i="98"/>
  <c r="R3643" i="98"/>
  <c r="V3642" i="98"/>
  <c r="T3642" i="98"/>
  <c r="U3642" i="98" s="1"/>
  <c r="S3642" i="98"/>
  <c r="R3642" i="98"/>
  <c r="V3641" i="98"/>
  <c r="T3641" i="98"/>
  <c r="U3641" i="98" s="1"/>
  <c r="S3641" i="98"/>
  <c r="R3641" i="98"/>
  <c r="V3640" i="98"/>
  <c r="T3640" i="98"/>
  <c r="U3640" i="98" s="1"/>
  <c r="S3640" i="98"/>
  <c r="R3640" i="98"/>
  <c r="V3639" i="98"/>
  <c r="T3639" i="98"/>
  <c r="U3639" i="98" s="1"/>
  <c r="S3639" i="98"/>
  <c r="R3639" i="98"/>
  <c r="V3638" i="98"/>
  <c r="T3638" i="98"/>
  <c r="U3638" i="98" s="1"/>
  <c r="S3638" i="98"/>
  <c r="R3638" i="98"/>
  <c r="V3637" i="98"/>
  <c r="T3637" i="98"/>
  <c r="U3637" i="98" s="1"/>
  <c r="S3637" i="98"/>
  <c r="R3637" i="98"/>
  <c r="V3636" i="98"/>
  <c r="T3636" i="98"/>
  <c r="U3636" i="98" s="1"/>
  <c r="S3636" i="98"/>
  <c r="R3636" i="98"/>
  <c r="V3635" i="98"/>
  <c r="T3635" i="98"/>
  <c r="U3635" i="98" s="1"/>
  <c r="S3635" i="98"/>
  <c r="R3635" i="98"/>
  <c r="V3634" i="98"/>
  <c r="T3634" i="98"/>
  <c r="U3634" i="98" s="1"/>
  <c r="S3634" i="98"/>
  <c r="R3634" i="98"/>
  <c r="V3633" i="98"/>
  <c r="T3633" i="98"/>
  <c r="U3633" i="98" s="1"/>
  <c r="S3633" i="98"/>
  <c r="R3633" i="98"/>
  <c r="V3632" i="98"/>
  <c r="T3632" i="98"/>
  <c r="U3632" i="98" s="1"/>
  <c r="S3632" i="98"/>
  <c r="R3632" i="98"/>
  <c r="V3631" i="98"/>
  <c r="T3631" i="98"/>
  <c r="U3631" i="98" s="1"/>
  <c r="S3631" i="98"/>
  <c r="R3631" i="98"/>
  <c r="V3630" i="98"/>
  <c r="T3630" i="98"/>
  <c r="U3630" i="98" s="1"/>
  <c r="S3630" i="98"/>
  <c r="R3630" i="98"/>
  <c r="V3629" i="98"/>
  <c r="T3629" i="98"/>
  <c r="U3629" i="98" s="1"/>
  <c r="S3629" i="98"/>
  <c r="R3629" i="98"/>
  <c r="V3628" i="98"/>
  <c r="T3628" i="98"/>
  <c r="U3628" i="98" s="1"/>
  <c r="S3628" i="98"/>
  <c r="R3628" i="98"/>
  <c r="V3627" i="98"/>
  <c r="T3627" i="98"/>
  <c r="U3627" i="98" s="1"/>
  <c r="S3627" i="98"/>
  <c r="R3627" i="98"/>
  <c r="V3626" i="98"/>
  <c r="T3626" i="98"/>
  <c r="U3626" i="98" s="1"/>
  <c r="S3626" i="98"/>
  <c r="R3626" i="98"/>
  <c r="V3625" i="98"/>
  <c r="T3625" i="98"/>
  <c r="U3625" i="98" s="1"/>
  <c r="S3625" i="98"/>
  <c r="R3625" i="98"/>
  <c r="V3624" i="98"/>
  <c r="T3624" i="98"/>
  <c r="U3624" i="98" s="1"/>
  <c r="S3624" i="98"/>
  <c r="R3624" i="98"/>
  <c r="V3623" i="98"/>
  <c r="T3623" i="98"/>
  <c r="U3623" i="98" s="1"/>
  <c r="S3623" i="98"/>
  <c r="R3623" i="98"/>
  <c r="V3622" i="98"/>
  <c r="T3622" i="98"/>
  <c r="U3622" i="98" s="1"/>
  <c r="S3622" i="98"/>
  <c r="R3622" i="98"/>
  <c r="V3621" i="98"/>
  <c r="T3621" i="98"/>
  <c r="U3621" i="98" s="1"/>
  <c r="S3621" i="98"/>
  <c r="R3621" i="98"/>
  <c r="V3620" i="98"/>
  <c r="T3620" i="98"/>
  <c r="U3620" i="98" s="1"/>
  <c r="S3620" i="98"/>
  <c r="R3620" i="98"/>
  <c r="V3619" i="98"/>
  <c r="T3619" i="98"/>
  <c r="U3619" i="98" s="1"/>
  <c r="S3619" i="98"/>
  <c r="R3619" i="98"/>
  <c r="V3618" i="98"/>
  <c r="T3618" i="98"/>
  <c r="U3618" i="98" s="1"/>
  <c r="S3618" i="98"/>
  <c r="R3618" i="98"/>
  <c r="V3617" i="98"/>
  <c r="T3617" i="98"/>
  <c r="U3617" i="98" s="1"/>
  <c r="S3617" i="98"/>
  <c r="R3617" i="98"/>
  <c r="V3616" i="98"/>
  <c r="T3616" i="98"/>
  <c r="U3616" i="98" s="1"/>
  <c r="S3616" i="98"/>
  <c r="R3616" i="98"/>
  <c r="V3615" i="98"/>
  <c r="T3615" i="98"/>
  <c r="U3615" i="98" s="1"/>
  <c r="S3615" i="98"/>
  <c r="R3615" i="98"/>
  <c r="V3614" i="98"/>
  <c r="T3614" i="98"/>
  <c r="U3614" i="98" s="1"/>
  <c r="S3614" i="98"/>
  <c r="R3614" i="98"/>
  <c r="V3613" i="98"/>
  <c r="T3613" i="98"/>
  <c r="U3613" i="98" s="1"/>
  <c r="S3613" i="98"/>
  <c r="R3613" i="98"/>
  <c r="V3612" i="98"/>
  <c r="T3612" i="98"/>
  <c r="U3612" i="98" s="1"/>
  <c r="S3612" i="98"/>
  <c r="R3612" i="98"/>
  <c r="V3611" i="98"/>
  <c r="T3611" i="98"/>
  <c r="U3611" i="98" s="1"/>
  <c r="S3611" i="98"/>
  <c r="R3611" i="98"/>
  <c r="V3610" i="98"/>
  <c r="T3610" i="98"/>
  <c r="U3610" i="98" s="1"/>
  <c r="S3610" i="98"/>
  <c r="R3610" i="98"/>
  <c r="V3609" i="98"/>
  <c r="T3609" i="98"/>
  <c r="U3609" i="98" s="1"/>
  <c r="S3609" i="98"/>
  <c r="R3609" i="98"/>
  <c r="V3608" i="98"/>
  <c r="T3608" i="98"/>
  <c r="U3608" i="98" s="1"/>
  <c r="S3608" i="98"/>
  <c r="R3608" i="98"/>
  <c r="V3607" i="98"/>
  <c r="T3607" i="98"/>
  <c r="U3607" i="98" s="1"/>
  <c r="S3607" i="98"/>
  <c r="R3607" i="98"/>
  <c r="V3606" i="98"/>
  <c r="T3606" i="98"/>
  <c r="U3606" i="98" s="1"/>
  <c r="S3606" i="98"/>
  <c r="R3606" i="98"/>
  <c r="V3605" i="98"/>
  <c r="T3605" i="98"/>
  <c r="U3605" i="98" s="1"/>
  <c r="S3605" i="98"/>
  <c r="R3605" i="98"/>
  <c r="V3604" i="98"/>
  <c r="T3604" i="98"/>
  <c r="U3604" i="98" s="1"/>
  <c r="S3604" i="98"/>
  <c r="R3604" i="98"/>
  <c r="V3603" i="98"/>
  <c r="T3603" i="98"/>
  <c r="U3603" i="98" s="1"/>
  <c r="S3603" i="98"/>
  <c r="R3603" i="98"/>
  <c r="V3602" i="98"/>
  <c r="T3602" i="98"/>
  <c r="U3602" i="98" s="1"/>
  <c r="S3602" i="98"/>
  <c r="R3602" i="98"/>
  <c r="V3601" i="98"/>
  <c r="T3601" i="98"/>
  <c r="U3601" i="98" s="1"/>
  <c r="S3601" i="98"/>
  <c r="R3601" i="98"/>
  <c r="V3600" i="98"/>
  <c r="T3600" i="98"/>
  <c r="U3600" i="98" s="1"/>
  <c r="S3600" i="98"/>
  <c r="R3600" i="98"/>
  <c r="V3599" i="98"/>
  <c r="T3599" i="98"/>
  <c r="U3599" i="98" s="1"/>
  <c r="S3599" i="98"/>
  <c r="R3599" i="98"/>
  <c r="V3598" i="98"/>
  <c r="T3598" i="98"/>
  <c r="U3598" i="98" s="1"/>
  <c r="S3598" i="98"/>
  <c r="R3598" i="98"/>
  <c r="V3597" i="98"/>
  <c r="T3597" i="98"/>
  <c r="U3597" i="98" s="1"/>
  <c r="S3597" i="98"/>
  <c r="R3597" i="98"/>
  <c r="V3596" i="98"/>
  <c r="T3596" i="98"/>
  <c r="U3596" i="98" s="1"/>
  <c r="S3596" i="98"/>
  <c r="R3596" i="98"/>
  <c r="V3595" i="98"/>
  <c r="T3595" i="98"/>
  <c r="U3595" i="98" s="1"/>
  <c r="S3595" i="98"/>
  <c r="R3595" i="98"/>
  <c r="V3594" i="98"/>
  <c r="T3594" i="98"/>
  <c r="U3594" i="98" s="1"/>
  <c r="S3594" i="98"/>
  <c r="R3594" i="98"/>
  <c r="V3593" i="98"/>
  <c r="T3593" i="98"/>
  <c r="U3593" i="98" s="1"/>
  <c r="S3593" i="98"/>
  <c r="R3593" i="98"/>
  <c r="V3592" i="98"/>
  <c r="T3592" i="98"/>
  <c r="U3592" i="98" s="1"/>
  <c r="S3592" i="98"/>
  <c r="R3592" i="98"/>
  <c r="V3591" i="98"/>
  <c r="T3591" i="98"/>
  <c r="U3591" i="98" s="1"/>
  <c r="S3591" i="98"/>
  <c r="R3591" i="98"/>
  <c r="V3590" i="98"/>
  <c r="T3590" i="98"/>
  <c r="U3590" i="98" s="1"/>
  <c r="S3590" i="98"/>
  <c r="R3590" i="98"/>
  <c r="V3589" i="98"/>
  <c r="T3589" i="98"/>
  <c r="U3589" i="98" s="1"/>
  <c r="S3589" i="98"/>
  <c r="R3589" i="98"/>
  <c r="V3588" i="98"/>
  <c r="T3588" i="98"/>
  <c r="U3588" i="98" s="1"/>
  <c r="S3588" i="98"/>
  <c r="R3588" i="98"/>
  <c r="V3587" i="98"/>
  <c r="T3587" i="98"/>
  <c r="U3587" i="98" s="1"/>
  <c r="S3587" i="98"/>
  <c r="R3587" i="98"/>
  <c r="V3586" i="98"/>
  <c r="T3586" i="98"/>
  <c r="U3586" i="98" s="1"/>
  <c r="S3586" i="98"/>
  <c r="R3586" i="98"/>
  <c r="V3585" i="98"/>
  <c r="T3585" i="98"/>
  <c r="U3585" i="98" s="1"/>
  <c r="S3585" i="98"/>
  <c r="R3585" i="98"/>
  <c r="V3584" i="98"/>
  <c r="T3584" i="98"/>
  <c r="U3584" i="98" s="1"/>
  <c r="S3584" i="98"/>
  <c r="R3584" i="98"/>
  <c r="V3583" i="98"/>
  <c r="T3583" i="98"/>
  <c r="U3583" i="98" s="1"/>
  <c r="S3583" i="98"/>
  <c r="R3583" i="98"/>
  <c r="V3582" i="98"/>
  <c r="T3582" i="98"/>
  <c r="U3582" i="98" s="1"/>
  <c r="S3582" i="98"/>
  <c r="R3582" i="98"/>
  <c r="V3581" i="98"/>
  <c r="T3581" i="98"/>
  <c r="U3581" i="98" s="1"/>
  <c r="S3581" i="98"/>
  <c r="R3581" i="98"/>
  <c r="V3580" i="98"/>
  <c r="T3580" i="98"/>
  <c r="U3580" i="98" s="1"/>
  <c r="S3580" i="98"/>
  <c r="R3580" i="98"/>
  <c r="V3579" i="98"/>
  <c r="T3579" i="98"/>
  <c r="U3579" i="98" s="1"/>
  <c r="S3579" i="98"/>
  <c r="R3579" i="98"/>
  <c r="V3578" i="98"/>
  <c r="T3578" i="98"/>
  <c r="U3578" i="98" s="1"/>
  <c r="S3578" i="98"/>
  <c r="R3578" i="98"/>
  <c r="V3577" i="98"/>
  <c r="T3577" i="98"/>
  <c r="U3577" i="98" s="1"/>
  <c r="S3577" i="98"/>
  <c r="R3577" i="98"/>
  <c r="V3576" i="98"/>
  <c r="T3576" i="98"/>
  <c r="U3576" i="98" s="1"/>
  <c r="S3576" i="98"/>
  <c r="R3576" i="98"/>
  <c r="V3575" i="98"/>
  <c r="T3575" i="98"/>
  <c r="U3575" i="98" s="1"/>
  <c r="S3575" i="98"/>
  <c r="R3575" i="98"/>
  <c r="V3574" i="98"/>
  <c r="T3574" i="98"/>
  <c r="U3574" i="98" s="1"/>
  <c r="S3574" i="98"/>
  <c r="R3574" i="98"/>
  <c r="V3573" i="98"/>
  <c r="T3573" i="98"/>
  <c r="U3573" i="98" s="1"/>
  <c r="S3573" i="98"/>
  <c r="R3573" i="98"/>
  <c r="V3572" i="98"/>
  <c r="T3572" i="98"/>
  <c r="U3572" i="98" s="1"/>
  <c r="S3572" i="98"/>
  <c r="R3572" i="98"/>
  <c r="V3571" i="98"/>
  <c r="T3571" i="98"/>
  <c r="U3571" i="98" s="1"/>
  <c r="S3571" i="98"/>
  <c r="R3571" i="98"/>
  <c r="V3570" i="98"/>
  <c r="T3570" i="98"/>
  <c r="U3570" i="98" s="1"/>
  <c r="S3570" i="98"/>
  <c r="R3570" i="98"/>
  <c r="V3569" i="98"/>
  <c r="T3569" i="98"/>
  <c r="U3569" i="98" s="1"/>
  <c r="S3569" i="98"/>
  <c r="R3569" i="98"/>
  <c r="V3568" i="98"/>
  <c r="T3568" i="98"/>
  <c r="U3568" i="98" s="1"/>
  <c r="S3568" i="98"/>
  <c r="R3568" i="98"/>
  <c r="V3567" i="98"/>
  <c r="T3567" i="98"/>
  <c r="U3567" i="98" s="1"/>
  <c r="S3567" i="98"/>
  <c r="R3567" i="98"/>
  <c r="V3566" i="98"/>
  <c r="T3566" i="98"/>
  <c r="U3566" i="98" s="1"/>
  <c r="S3566" i="98"/>
  <c r="R3566" i="98"/>
  <c r="V3565" i="98"/>
  <c r="T3565" i="98"/>
  <c r="U3565" i="98" s="1"/>
  <c r="S3565" i="98"/>
  <c r="R3565" i="98"/>
  <c r="V3564" i="98"/>
  <c r="T3564" i="98"/>
  <c r="U3564" i="98" s="1"/>
  <c r="S3564" i="98"/>
  <c r="R3564" i="98"/>
  <c r="V3563" i="98"/>
  <c r="T3563" i="98"/>
  <c r="U3563" i="98" s="1"/>
  <c r="S3563" i="98"/>
  <c r="R3563" i="98"/>
  <c r="V3562" i="98"/>
  <c r="T3562" i="98"/>
  <c r="U3562" i="98" s="1"/>
  <c r="S3562" i="98"/>
  <c r="R3562" i="98"/>
  <c r="V3561" i="98"/>
  <c r="T3561" i="98"/>
  <c r="U3561" i="98" s="1"/>
  <c r="S3561" i="98"/>
  <c r="R3561" i="98"/>
  <c r="V3560" i="98"/>
  <c r="T3560" i="98"/>
  <c r="U3560" i="98" s="1"/>
  <c r="S3560" i="98"/>
  <c r="R3560" i="98"/>
  <c r="V3559" i="98"/>
  <c r="T3559" i="98"/>
  <c r="U3559" i="98" s="1"/>
  <c r="S3559" i="98"/>
  <c r="R3559" i="98"/>
  <c r="V3558" i="98"/>
  <c r="T3558" i="98"/>
  <c r="U3558" i="98" s="1"/>
  <c r="S3558" i="98"/>
  <c r="R3558" i="98"/>
  <c r="V3557" i="98"/>
  <c r="T3557" i="98"/>
  <c r="U3557" i="98" s="1"/>
  <c r="S3557" i="98"/>
  <c r="R3557" i="98"/>
  <c r="V3556" i="98"/>
  <c r="T3556" i="98"/>
  <c r="U3556" i="98" s="1"/>
  <c r="S3556" i="98"/>
  <c r="R3556" i="98"/>
  <c r="V3555" i="98"/>
  <c r="T3555" i="98"/>
  <c r="U3555" i="98" s="1"/>
  <c r="S3555" i="98"/>
  <c r="R3555" i="98"/>
  <c r="V3554" i="98"/>
  <c r="T3554" i="98"/>
  <c r="U3554" i="98" s="1"/>
  <c r="S3554" i="98"/>
  <c r="R3554" i="98"/>
  <c r="V3553" i="98"/>
  <c r="T3553" i="98"/>
  <c r="U3553" i="98" s="1"/>
  <c r="S3553" i="98"/>
  <c r="R3553" i="98"/>
  <c r="V3552" i="98"/>
  <c r="T3552" i="98"/>
  <c r="U3552" i="98" s="1"/>
  <c r="S3552" i="98"/>
  <c r="R3552" i="98"/>
  <c r="V3551" i="98"/>
  <c r="T3551" i="98"/>
  <c r="U3551" i="98" s="1"/>
  <c r="S3551" i="98"/>
  <c r="R3551" i="98"/>
  <c r="V3550" i="98"/>
  <c r="T3550" i="98"/>
  <c r="U3550" i="98" s="1"/>
  <c r="S3550" i="98"/>
  <c r="R3550" i="98"/>
  <c r="V3549" i="98"/>
  <c r="T3549" i="98"/>
  <c r="U3549" i="98" s="1"/>
  <c r="S3549" i="98"/>
  <c r="R3549" i="98"/>
  <c r="V3548" i="98"/>
  <c r="T3548" i="98"/>
  <c r="U3548" i="98" s="1"/>
  <c r="S3548" i="98"/>
  <c r="R3548" i="98"/>
  <c r="V3547" i="98"/>
  <c r="T3547" i="98"/>
  <c r="U3547" i="98" s="1"/>
  <c r="S3547" i="98"/>
  <c r="R3547" i="98"/>
  <c r="V3546" i="98"/>
  <c r="T3546" i="98"/>
  <c r="U3546" i="98" s="1"/>
  <c r="S3546" i="98"/>
  <c r="R3546" i="98"/>
  <c r="V3545" i="98"/>
  <c r="T3545" i="98"/>
  <c r="U3545" i="98" s="1"/>
  <c r="S3545" i="98"/>
  <c r="R3545" i="98"/>
  <c r="V3544" i="98"/>
  <c r="T3544" i="98"/>
  <c r="U3544" i="98" s="1"/>
  <c r="S3544" i="98"/>
  <c r="R3544" i="98"/>
  <c r="V3543" i="98"/>
  <c r="T3543" i="98"/>
  <c r="U3543" i="98" s="1"/>
  <c r="S3543" i="98"/>
  <c r="R3543" i="98"/>
  <c r="V3542" i="98"/>
  <c r="T3542" i="98"/>
  <c r="U3542" i="98" s="1"/>
  <c r="S3542" i="98"/>
  <c r="R3542" i="98"/>
  <c r="V3541" i="98"/>
  <c r="T3541" i="98"/>
  <c r="U3541" i="98" s="1"/>
  <c r="S3541" i="98"/>
  <c r="R3541" i="98"/>
  <c r="V3540" i="98"/>
  <c r="T3540" i="98"/>
  <c r="U3540" i="98" s="1"/>
  <c r="S3540" i="98"/>
  <c r="R3540" i="98"/>
  <c r="V3539" i="98"/>
  <c r="T3539" i="98"/>
  <c r="U3539" i="98" s="1"/>
  <c r="S3539" i="98"/>
  <c r="R3539" i="98"/>
  <c r="V3538" i="98"/>
  <c r="T3538" i="98"/>
  <c r="U3538" i="98" s="1"/>
  <c r="S3538" i="98"/>
  <c r="R3538" i="98"/>
  <c r="V3537" i="98"/>
  <c r="T3537" i="98"/>
  <c r="U3537" i="98" s="1"/>
  <c r="S3537" i="98"/>
  <c r="R3537" i="98"/>
  <c r="V3536" i="98"/>
  <c r="T3536" i="98"/>
  <c r="U3536" i="98" s="1"/>
  <c r="S3536" i="98"/>
  <c r="R3536" i="98"/>
  <c r="V3535" i="98"/>
  <c r="T3535" i="98"/>
  <c r="U3535" i="98" s="1"/>
  <c r="S3535" i="98"/>
  <c r="R3535" i="98"/>
  <c r="V3534" i="98"/>
  <c r="T3534" i="98"/>
  <c r="U3534" i="98" s="1"/>
  <c r="S3534" i="98"/>
  <c r="R3534" i="98"/>
  <c r="V3533" i="98"/>
  <c r="T3533" i="98"/>
  <c r="U3533" i="98" s="1"/>
  <c r="S3533" i="98"/>
  <c r="R3533" i="98"/>
  <c r="V3532" i="98"/>
  <c r="T3532" i="98"/>
  <c r="U3532" i="98" s="1"/>
  <c r="S3532" i="98"/>
  <c r="R3532" i="98"/>
  <c r="V3531" i="98"/>
  <c r="T3531" i="98"/>
  <c r="U3531" i="98" s="1"/>
  <c r="S3531" i="98"/>
  <c r="R3531" i="98"/>
  <c r="V3530" i="98"/>
  <c r="T3530" i="98"/>
  <c r="U3530" i="98" s="1"/>
  <c r="S3530" i="98"/>
  <c r="R3530" i="98"/>
  <c r="V3529" i="98"/>
  <c r="T3529" i="98"/>
  <c r="U3529" i="98" s="1"/>
  <c r="S3529" i="98"/>
  <c r="R3529" i="98"/>
  <c r="V3528" i="98"/>
  <c r="T3528" i="98"/>
  <c r="U3528" i="98" s="1"/>
  <c r="S3528" i="98"/>
  <c r="R3528" i="98"/>
  <c r="V3527" i="98"/>
  <c r="T3527" i="98"/>
  <c r="U3527" i="98" s="1"/>
  <c r="S3527" i="98"/>
  <c r="R3527" i="98"/>
  <c r="V3526" i="98"/>
  <c r="T3526" i="98"/>
  <c r="U3526" i="98" s="1"/>
  <c r="S3526" i="98"/>
  <c r="R3526" i="98"/>
  <c r="V3525" i="98"/>
  <c r="T3525" i="98"/>
  <c r="U3525" i="98" s="1"/>
  <c r="S3525" i="98"/>
  <c r="R3525" i="98"/>
  <c r="V3524" i="98"/>
  <c r="T3524" i="98"/>
  <c r="U3524" i="98" s="1"/>
  <c r="S3524" i="98"/>
  <c r="R3524" i="98"/>
  <c r="V3523" i="98"/>
  <c r="T3523" i="98"/>
  <c r="U3523" i="98" s="1"/>
  <c r="S3523" i="98"/>
  <c r="R3523" i="98"/>
  <c r="V3522" i="98"/>
  <c r="T3522" i="98"/>
  <c r="U3522" i="98" s="1"/>
  <c r="S3522" i="98"/>
  <c r="R3522" i="98"/>
  <c r="V3521" i="98"/>
  <c r="T3521" i="98"/>
  <c r="U3521" i="98" s="1"/>
  <c r="S3521" i="98"/>
  <c r="R3521" i="98"/>
  <c r="V3520" i="98"/>
  <c r="T3520" i="98"/>
  <c r="U3520" i="98" s="1"/>
  <c r="S3520" i="98"/>
  <c r="R3520" i="98"/>
  <c r="V3519" i="98"/>
  <c r="T3519" i="98"/>
  <c r="U3519" i="98" s="1"/>
  <c r="S3519" i="98"/>
  <c r="R3519" i="98"/>
  <c r="V3518" i="98"/>
  <c r="T3518" i="98"/>
  <c r="U3518" i="98" s="1"/>
  <c r="S3518" i="98"/>
  <c r="R3518" i="98"/>
  <c r="V3517" i="98"/>
  <c r="T3517" i="98"/>
  <c r="U3517" i="98" s="1"/>
  <c r="S3517" i="98"/>
  <c r="R3517" i="98"/>
  <c r="V3516" i="98"/>
  <c r="T3516" i="98"/>
  <c r="U3516" i="98" s="1"/>
  <c r="S3516" i="98"/>
  <c r="R3516" i="98"/>
  <c r="V3515" i="98"/>
  <c r="T3515" i="98"/>
  <c r="U3515" i="98" s="1"/>
  <c r="S3515" i="98"/>
  <c r="R3515" i="98"/>
  <c r="V3514" i="98"/>
  <c r="T3514" i="98"/>
  <c r="U3514" i="98" s="1"/>
  <c r="S3514" i="98"/>
  <c r="R3514" i="98"/>
  <c r="V3513" i="98"/>
  <c r="T3513" i="98"/>
  <c r="U3513" i="98" s="1"/>
  <c r="S3513" i="98"/>
  <c r="R3513" i="98"/>
  <c r="V3512" i="98"/>
  <c r="T3512" i="98"/>
  <c r="U3512" i="98" s="1"/>
  <c r="S3512" i="98"/>
  <c r="R3512" i="98"/>
  <c r="V3511" i="98"/>
  <c r="T3511" i="98"/>
  <c r="U3511" i="98" s="1"/>
  <c r="S3511" i="98"/>
  <c r="R3511" i="98"/>
  <c r="V3510" i="98"/>
  <c r="T3510" i="98"/>
  <c r="U3510" i="98" s="1"/>
  <c r="S3510" i="98"/>
  <c r="R3510" i="98"/>
  <c r="V3509" i="98"/>
  <c r="T3509" i="98"/>
  <c r="U3509" i="98" s="1"/>
  <c r="S3509" i="98"/>
  <c r="R3509" i="98"/>
  <c r="V3508" i="98"/>
  <c r="T3508" i="98"/>
  <c r="U3508" i="98" s="1"/>
  <c r="S3508" i="98"/>
  <c r="R3508" i="98"/>
  <c r="V3507" i="98"/>
  <c r="T3507" i="98"/>
  <c r="U3507" i="98" s="1"/>
  <c r="S3507" i="98"/>
  <c r="R3507" i="98"/>
  <c r="V3506" i="98"/>
  <c r="T3506" i="98"/>
  <c r="U3506" i="98" s="1"/>
  <c r="S3506" i="98"/>
  <c r="R3506" i="98"/>
  <c r="V3505" i="98"/>
  <c r="T3505" i="98"/>
  <c r="U3505" i="98" s="1"/>
  <c r="S3505" i="98"/>
  <c r="R3505" i="98"/>
  <c r="V3504" i="98"/>
  <c r="T3504" i="98"/>
  <c r="U3504" i="98" s="1"/>
  <c r="S3504" i="98"/>
  <c r="R3504" i="98"/>
  <c r="V3503" i="98"/>
  <c r="T3503" i="98"/>
  <c r="U3503" i="98" s="1"/>
  <c r="S3503" i="98"/>
  <c r="R3503" i="98"/>
  <c r="V3502" i="98"/>
  <c r="T3502" i="98"/>
  <c r="U3502" i="98" s="1"/>
  <c r="S3502" i="98"/>
  <c r="R3502" i="98"/>
  <c r="V3501" i="98"/>
  <c r="T3501" i="98"/>
  <c r="U3501" i="98" s="1"/>
  <c r="S3501" i="98"/>
  <c r="R3501" i="98"/>
  <c r="V3500" i="98"/>
  <c r="T3500" i="98"/>
  <c r="U3500" i="98" s="1"/>
  <c r="S3500" i="98"/>
  <c r="R3500" i="98"/>
  <c r="V3499" i="98"/>
  <c r="T3499" i="98"/>
  <c r="U3499" i="98" s="1"/>
  <c r="S3499" i="98"/>
  <c r="R3499" i="98"/>
  <c r="V3498" i="98"/>
  <c r="T3498" i="98"/>
  <c r="U3498" i="98" s="1"/>
  <c r="S3498" i="98"/>
  <c r="R3498" i="98"/>
  <c r="V3497" i="98"/>
  <c r="T3497" i="98"/>
  <c r="U3497" i="98" s="1"/>
  <c r="S3497" i="98"/>
  <c r="R3497" i="98"/>
  <c r="V3496" i="98"/>
  <c r="T3496" i="98"/>
  <c r="U3496" i="98" s="1"/>
  <c r="S3496" i="98"/>
  <c r="R3496" i="98"/>
  <c r="V3495" i="98"/>
  <c r="T3495" i="98"/>
  <c r="U3495" i="98" s="1"/>
  <c r="S3495" i="98"/>
  <c r="R3495" i="98"/>
  <c r="V3494" i="98"/>
  <c r="T3494" i="98"/>
  <c r="U3494" i="98" s="1"/>
  <c r="S3494" i="98"/>
  <c r="R3494" i="98"/>
  <c r="V3493" i="98"/>
  <c r="T3493" i="98"/>
  <c r="U3493" i="98" s="1"/>
  <c r="S3493" i="98"/>
  <c r="R3493" i="98"/>
  <c r="V3492" i="98"/>
  <c r="T3492" i="98"/>
  <c r="U3492" i="98" s="1"/>
  <c r="S3492" i="98"/>
  <c r="R3492" i="98"/>
  <c r="V3491" i="98"/>
  <c r="T3491" i="98"/>
  <c r="U3491" i="98" s="1"/>
  <c r="S3491" i="98"/>
  <c r="R3491" i="98"/>
  <c r="V3490" i="98"/>
  <c r="T3490" i="98"/>
  <c r="U3490" i="98" s="1"/>
  <c r="S3490" i="98"/>
  <c r="R3490" i="98"/>
  <c r="V3489" i="98"/>
  <c r="T3489" i="98"/>
  <c r="U3489" i="98" s="1"/>
  <c r="S3489" i="98"/>
  <c r="R3489" i="98"/>
  <c r="V3488" i="98"/>
  <c r="T3488" i="98"/>
  <c r="U3488" i="98" s="1"/>
  <c r="S3488" i="98"/>
  <c r="R3488" i="98"/>
  <c r="V3487" i="98"/>
  <c r="T3487" i="98"/>
  <c r="U3487" i="98" s="1"/>
  <c r="S3487" i="98"/>
  <c r="R3487" i="98"/>
  <c r="V3486" i="98"/>
  <c r="T3486" i="98"/>
  <c r="U3486" i="98" s="1"/>
  <c r="S3486" i="98"/>
  <c r="R3486" i="98"/>
  <c r="V3485" i="98"/>
  <c r="T3485" i="98"/>
  <c r="U3485" i="98" s="1"/>
  <c r="S3485" i="98"/>
  <c r="R3485" i="98"/>
  <c r="V3484" i="98"/>
  <c r="T3484" i="98"/>
  <c r="U3484" i="98" s="1"/>
  <c r="S3484" i="98"/>
  <c r="R3484" i="98"/>
  <c r="V3483" i="98"/>
  <c r="T3483" i="98"/>
  <c r="U3483" i="98" s="1"/>
  <c r="S3483" i="98"/>
  <c r="R3483" i="98"/>
  <c r="V3482" i="98"/>
  <c r="T3482" i="98"/>
  <c r="U3482" i="98" s="1"/>
  <c r="S3482" i="98"/>
  <c r="R3482" i="98"/>
  <c r="V3481" i="98"/>
  <c r="T3481" i="98"/>
  <c r="U3481" i="98" s="1"/>
  <c r="S3481" i="98"/>
  <c r="R3481" i="98"/>
  <c r="V3480" i="98"/>
  <c r="T3480" i="98"/>
  <c r="U3480" i="98" s="1"/>
  <c r="S3480" i="98"/>
  <c r="R3480" i="98"/>
  <c r="V3479" i="98"/>
  <c r="T3479" i="98"/>
  <c r="U3479" i="98" s="1"/>
  <c r="S3479" i="98"/>
  <c r="R3479" i="98"/>
  <c r="V3478" i="98"/>
  <c r="T3478" i="98"/>
  <c r="U3478" i="98" s="1"/>
  <c r="S3478" i="98"/>
  <c r="R3478" i="98"/>
  <c r="V3477" i="98"/>
  <c r="T3477" i="98"/>
  <c r="U3477" i="98" s="1"/>
  <c r="S3477" i="98"/>
  <c r="R3477" i="98"/>
  <c r="V3476" i="98"/>
  <c r="T3476" i="98"/>
  <c r="U3476" i="98" s="1"/>
  <c r="S3476" i="98"/>
  <c r="R3476" i="98"/>
  <c r="V3475" i="98"/>
  <c r="T3475" i="98"/>
  <c r="U3475" i="98" s="1"/>
  <c r="S3475" i="98"/>
  <c r="R3475" i="98"/>
  <c r="V3474" i="98"/>
  <c r="T3474" i="98"/>
  <c r="U3474" i="98" s="1"/>
  <c r="S3474" i="98"/>
  <c r="R3474" i="98"/>
  <c r="V3473" i="98"/>
  <c r="T3473" i="98"/>
  <c r="U3473" i="98" s="1"/>
  <c r="S3473" i="98"/>
  <c r="R3473" i="98"/>
  <c r="V3472" i="98"/>
  <c r="T3472" i="98"/>
  <c r="U3472" i="98" s="1"/>
  <c r="S3472" i="98"/>
  <c r="R3472" i="98"/>
  <c r="V3471" i="98"/>
  <c r="T3471" i="98"/>
  <c r="U3471" i="98" s="1"/>
  <c r="S3471" i="98"/>
  <c r="R3471" i="98"/>
  <c r="V3470" i="98"/>
  <c r="T3470" i="98"/>
  <c r="U3470" i="98" s="1"/>
  <c r="S3470" i="98"/>
  <c r="R3470" i="98"/>
  <c r="V3469" i="98"/>
  <c r="T3469" i="98"/>
  <c r="U3469" i="98" s="1"/>
  <c r="S3469" i="98"/>
  <c r="R3469" i="98"/>
  <c r="V3468" i="98"/>
  <c r="T3468" i="98"/>
  <c r="U3468" i="98" s="1"/>
  <c r="S3468" i="98"/>
  <c r="R3468" i="98"/>
  <c r="V3467" i="98"/>
  <c r="T3467" i="98"/>
  <c r="U3467" i="98" s="1"/>
  <c r="S3467" i="98"/>
  <c r="R3467" i="98"/>
  <c r="V3466" i="98"/>
  <c r="T3466" i="98"/>
  <c r="U3466" i="98" s="1"/>
  <c r="S3466" i="98"/>
  <c r="R3466" i="98"/>
  <c r="V3465" i="98"/>
  <c r="T3465" i="98"/>
  <c r="U3465" i="98" s="1"/>
  <c r="S3465" i="98"/>
  <c r="R3465" i="98"/>
  <c r="V3464" i="98"/>
  <c r="T3464" i="98"/>
  <c r="U3464" i="98" s="1"/>
  <c r="S3464" i="98"/>
  <c r="R3464" i="98"/>
  <c r="V3463" i="98"/>
  <c r="T3463" i="98"/>
  <c r="U3463" i="98" s="1"/>
  <c r="S3463" i="98"/>
  <c r="R3463" i="98"/>
  <c r="V3462" i="98"/>
  <c r="T3462" i="98"/>
  <c r="U3462" i="98" s="1"/>
  <c r="S3462" i="98"/>
  <c r="R3462" i="98"/>
  <c r="V3461" i="98"/>
  <c r="T3461" i="98"/>
  <c r="U3461" i="98" s="1"/>
  <c r="S3461" i="98"/>
  <c r="R3461" i="98"/>
  <c r="V3460" i="98"/>
  <c r="T3460" i="98"/>
  <c r="U3460" i="98" s="1"/>
  <c r="S3460" i="98"/>
  <c r="R3460" i="98"/>
  <c r="V3459" i="98"/>
  <c r="T3459" i="98"/>
  <c r="U3459" i="98" s="1"/>
  <c r="S3459" i="98"/>
  <c r="R3459" i="98"/>
  <c r="V3458" i="98"/>
  <c r="T3458" i="98"/>
  <c r="U3458" i="98" s="1"/>
  <c r="S3458" i="98"/>
  <c r="R3458" i="98"/>
  <c r="V3457" i="98"/>
  <c r="T3457" i="98"/>
  <c r="U3457" i="98" s="1"/>
  <c r="S3457" i="98"/>
  <c r="R3457" i="98"/>
  <c r="V3456" i="98"/>
  <c r="T3456" i="98"/>
  <c r="U3456" i="98" s="1"/>
  <c r="S3456" i="98"/>
  <c r="R3456" i="98"/>
  <c r="V3455" i="98"/>
  <c r="T3455" i="98"/>
  <c r="U3455" i="98" s="1"/>
  <c r="S3455" i="98"/>
  <c r="R3455" i="98"/>
  <c r="V3454" i="98"/>
  <c r="T3454" i="98"/>
  <c r="U3454" i="98" s="1"/>
  <c r="S3454" i="98"/>
  <c r="R3454" i="98"/>
  <c r="V3453" i="98"/>
  <c r="T3453" i="98"/>
  <c r="U3453" i="98" s="1"/>
  <c r="S3453" i="98"/>
  <c r="R3453" i="98"/>
  <c r="V3452" i="98"/>
  <c r="T3452" i="98"/>
  <c r="U3452" i="98" s="1"/>
  <c r="S3452" i="98"/>
  <c r="R3452" i="98"/>
  <c r="V3451" i="98"/>
  <c r="T3451" i="98"/>
  <c r="U3451" i="98" s="1"/>
  <c r="S3451" i="98"/>
  <c r="R3451" i="98"/>
  <c r="V3450" i="98"/>
  <c r="T3450" i="98"/>
  <c r="U3450" i="98" s="1"/>
  <c r="S3450" i="98"/>
  <c r="R3450" i="98"/>
  <c r="V3449" i="98"/>
  <c r="T3449" i="98"/>
  <c r="U3449" i="98" s="1"/>
  <c r="S3449" i="98"/>
  <c r="R3449" i="98"/>
  <c r="V3448" i="98"/>
  <c r="T3448" i="98"/>
  <c r="U3448" i="98" s="1"/>
  <c r="S3448" i="98"/>
  <c r="R3448" i="98"/>
  <c r="V3447" i="98"/>
  <c r="T3447" i="98"/>
  <c r="U3447" i="98" s="1"/>
  <c r="S3447" i="98"/>
  <c r="R3447" i="98"/>
  <c r="V3446" i="98"/>
  <c r="T3446" i="98"/>
  <c r="U3446" i="98" s="1"/>
  <c r="S3446" i="98"/>
  <c r="R3446" i="98"/>
  <c r="V3445" i="98"/>
  <c r="T3445" i="98"/>
  <c r="U3445" i="98" s="1"/>
  <c r="S3445" i="98"/>
  <c r="R3445" i="98"/>
  <c r="V3444" i="98"/>
  <c r="T3444" i="98"/>
  <c r="U3444" i="98" s="1"/>
  <c r="S3444" i="98"/>
  <c r="R3444" i="98"/>
  <c r="V3443" i="98"/>
  <c r="T3443" i="98"/>
  <c r="U3443" i="98" s="1"/>
  <c r="S3443" i="98"/>
  <c r="R3443" i="98"/>
  <c r="V3442" i="98"/>
  <c r="T3442" i="98"/>
  <c r="U3442" i="98" s="1"/>
  <c r="S3442" i="98"/>
  <c r="R3442" i="98"/>
  <c r="V3441" i="98"/>
  <c r="T3441" i="98"/>
  <c r="U3441" i="98" s="1"/>
  <c r="S3441" i="98"/>
  <c r="R3441" i="98"/>
  <c r="V3440" i="98"/>
  <c r="T3440" i="98"/>
  <c r="U3440" i="98" s="1"/>
  <c r="S3440" i="98"/>
  <c r="R3440" i="98"/>
  <c r="V3439" i="98"/>
  <c r="T3439" i="98"/>
  <c r="U3439" i="98" s="1"/>
  <c r="S3439" i="98"/>
  <c r="R3439" i="98"/>
  <c r="V3438" i="98"/>
  <c r="T3438" i="98"/>
  <c r="U3438" i="98" s="1"/>
  <c r="S3438" i="98"/>
  <c r="R3438" i="98"/>
  <c r="V3437" i="98"/>
  <c r="T3437" i="98"/>
  <c r="U3437" i="98" s="1"/>
  <c r="S3437" i="98"/>
  <c r="R3437" i="98"/>
  <c r="V3436" i="98"/>
  <c r="T3436" i="98"/>
  <c r="U3436" i="98" s="1"/>
  <c r="S3436" i="98"/>
  <c r="R3436" i="98"/>
  <c r="V3435" i="98"/>
  <c r="T3435" i="98"/>
  <c r="U3435" i="98" s="1"/>
  <c r="S3435" i="98"/>
  <c r="R3435" i="98"/>
  <c r="V3434" i="98"/>
  <c r="T3434" i="98"/>
  <c r="U3434" i="98" s="1"/>
  <c r="S3434" i="98"/>
  <c r="R3434" i="98"/>
  <c r="V3433" i="98"/>
  <c r="T3433" i="98"/>
  <c r="U3433" i="98" s="1"/>
  <c r="S3433" i="98"/>
  <c r="R3433" i="98"/>
  <c r="V3432" i="98"/>
  <c r="T3432" i="98"/>
  <c r="U3432" i="98" s="1"/>
  <c r="S3432" i="98"/>
  <c r="R3432" i="98"/>
  <c r="V3431" i="98"/>
  <c r="T3431" i="98"/>
  <c r="U3431" i="98" s="1"/>
  <c r="S3431" i="98"/>
  <c r="R3431" i="98"/>
  <c r="V3430" i="98"/>
  <c r="T3430" i="98"/>
  <c r="U3430" i="98" s="1"/>
  <c r="S3430" i="98"/>
  <c r="R3430" i="98"/>
  <c r="V3429" i="98"/>
  <c r="T3429" i="98"/>
  <c r="U3429" i="98" s="1"/>
  <c r="S3429" i="98"/>
  <c r="R3429" i="98"/>
  <c r="V3428" i="98"/>
  <c r="T3428" i="98"/>
  <c r="U3428" i="98" s="1"/>
  <c r="S3428" i="98"/>
  <c r="R3428" i="98"/>
  <c r="V3427" i="98"/>
  <c r="T3427" i="98"/>
  <c r="U3427" i="98" s="1"/>
  <c r="S3427" i="98"/>
  <c r="R3427" i="98"/>
  <c r="V3426" i="98"/>
  <c r="T3426" i="98"/>
  <c r="U3426" i="98" s="1"/>
  <c r="S3426" i="98"/>
  <c r="R3426" i="98"/>
  <c r="V3425" i="98"/>
  <c r="T3425" i="98"/>
  <c r="U3425" i="98" s="1"/>
  <c r="S3425" i="98"/>
  <c r="R3425" i="98"/>
  <c r="V3424" i="98"/>
  <c r="T3424" i="98"/>
  <c r="U3424" i="98" s="1"/>
  <c r="S3424" i="98"/>
  <c r="R3424" i="98"/>
  <c r="V3423" i="98"/>
  <c r="T3423" i="98"/>
  <c r="U3423" i="98" s="1"/>
  <c r="S3423" i="98"/>
  <c r="R3423" i="98"/>
  <c r="V3422" i="98"/>
  <c r="T3422" i="98"/>
  <c r="U3422" i="98" s="1"/>
  <c r="S3422" i="98"/>
  <c r="R3422" i="98"/>
  <c r="V3421" i="98"/>
  <c r="T3421" i="98"/>
  <c r="U3421" i="98" s="1"/>
  <c r="S3421" i="98"/>
  <c r="R3421" i="98"/>
  <c r="V3420" i="98"/>
  <c r="T3420" i="98"/>
  <c r="U3420" i="98" s="1"/>
  <c r="S3420" i="98"/>
  <c r="R3420" i="98"/>
  <c r="V3419" i="98"/>
  <c r="T3419" i="98"/>
  <c r="U3419" i="98" s="1"/>
  <c r="S3419" i="98"/>
  <c r="R3419" i="98"/>
  <c r="V3418" i="98"/>
  <c r="T3418" i="98"/>
  <c r="U3418" i="98" s="1"/>
  <c r="S3418" i="98"/>
  <c r="R3418" i="98"/>
  <c r="V3417" i="98"/>
  <c r="T3417" i="98"/>
  <c r="U3417" i="98" s="1"/>
  <c r="S3417" i="98"/>
  <c r="R3417" i="98"/>
  <c r="V3416" i="98"/>
  <c r="T3416" i="98"/>
  <c r="U3416" i="98" s="1"/>
  <c r="S3416" i="98"/>
  <c r="R3416" i="98"/>
  <c r="V3415" i="98"/>
  <c r="T3415" i="98"/>
  <c r="U3415" i="98" s="1"/>
  <c r="S3415" i="98"/>
  <c r="R3415" i="98"/>
  <c r="V3414" i="98"/>
  <c r="T3414" i="98"/>
  <c r="U3414" i="98" s="1"/>
  <c r="S3414" i="98"/>
  <c r="R3414" i="98"/>
  <c r="V3413" i="98"/>
  <c r="T3413" i="98"/>
  <c r="U3413" i="98" s="1"/>
  <c r="S3413" i="98"/>
  <c r="R3413" i="98"/>
  <c r="V3412" i="98"/>
  <c r="T3412" i="98"/>
  <c r="U3412" i="98" s="1"/>
  <c r="S3412" i="98"/>
  <c r="R3412" i="98"/>
  <c r="V3411" i="98"/>
  <c r="T3411" i="98"/>
  <c r="U3411" i="98" s="1"/>
  <c r="S3411" i="98"/>
  <c r="R3411" i="98"/>
  <c r="V3410" i="98"/>
  <c r="T3410" i="98"/>
  <c r="U3410" i="98" s="1"/>
  <c r="S3410" i="98"/>
  <c r="R3410" i="98"/>
  <c r="V3409" i="98"/>
  <c r="T3409" i="98"/>
  <c r="U3409" i="98" s="1"/>
  <c r="S3409" i="98"/>
  <c r="R3409" i="98"/>
  <c r="V3408" i="98"/>
  <c r="T3408" i="98"/>
  <c r="U3408" i="98" s="1"/>
  <c r="S3408" i="98"/>
  <c r="R3408" i="98"/>
  <c r="V3407" i="98"/>
  <c r="T3407" i="98"/>
  <c r="U3407" i="98" s="1"/>
  <c r="S3407" i="98"/>
  <c r="R3407" i="98"/>
  <c r="V3406" i="98"/>
  <c r="T3406" i="98"/>
  <c r="U3406" i="98" s="1"/>
  <c r="S3406" i="98"/>
  <c r="R3406" i="98"/>
  <c r="V3405" i="98"/>
  <c r="T3405" i="98"/>
  <c r="U3405" i="98" s="1"/>
  <c r="S3405" i="98"/>
  <c r="R3405" i="98"/>
  <c r="V3404" i="98"/>
  <c r="T3404" i="98"/>
  <c r="U3404" i="98" s="1"/>
  <c r="S3404" i="98"/>
  <c r="R3404" i="98"/>
  <c r="V3403" i="98"/>
  <c r="T3403" i="98"/>
  <c r="U3403" i="98" s="1"/>
  <c r="S3403" i="98"/>
  <c r="R3403" i="98"/>
  <c r="V3402" i="98"/>
  <c r="T3402" i="98"/>
  <c r="U3402" i="98" s="1"/>
  <c r="S3402" i="98"/>
  <c r="R3402" i="98"/>
  <c r="V3401" i="98"/>
  <c r="T3401" i="98"/>
  <c r="U3401" i="98" s="1"/>
  <c r="S3401" i="98"/>
  <c r="R3401" i="98"/>
  <c r="V3400" i="98"/>
  <c r="T3400" i="98"/>
  <c r="U3400" i="98" s="1"/>
  <c r="S3400" i="98"/>
  <c r="R3400" i="98"/>
  <c r="V3399" i="98"/>
  <c r="T3399" i="98"/>
  <c r="U3399" i="98" s="1"/>
  <c r="S3399" i="98"/>
  <c r="R3399" i="98"/>
  <c r="V3398" i="98"/>
  <c r="T3398" i="98"/>
  <c r="U3398" i="98" s="1"/>
  <c r="S3398" i="98"/>
  <c r="R3398" i="98"/>
  <c r="V3397" i="98"/>
  <c r="T3397" i="98"/>
  <c r="U3397" i="98" s="1"/>
  <c r="S3397" i="98"/>
  <c r="R3397" i="98"/>
  <c r="V3396" i="98"/>
  <c r="T3396" i="98"/>
  <c r="U3396" i="98" s="1"/>
  <c r="S3396" i="98"/>
  <c r="R3396" i="98"/>
  <c r="V3395" i="98"/>
  <c r="T3395" i="98"/>
  <c r="U3395" i="98" s="1"/>
  <c r="S3395" i="98"/>
  <c r="R3395" i="98"/>
  <c r="V3394" i="98"/>
  <c r="T3394" i="98"/>
  <c r="U3394" i="98" s="1"/>
  <c r="S3394" i="98"/>
  <c r="R3394" i="98"/>
  <c r="V3393" i="98"/>
  <c r="T3393" i="98"/>
  <c r="U3393" i="98" s="1"/>
  <c r="S3393" i="98"/>
  <c r="R3393" i="98"/>
  <c r="V3392" i="98"/>
  <c r="T3392" i="98"/>
  <c r="U3392" i="98" s="1"/>
  <c r="S3392" i="98"/>
  <c r="R3392" i="98"/>
  <c r="V3391" i="98"/>
  <c r="T3391" i="98"/>
  <c r="U3391" i="98" s="1"/>
  <c r="S3391" i="98"/>
  <c r="R3391" i="98"/>
  <c r="V3390" i="98"/>
  <c r="T3390" i="98"/>
  <c r="U3390" i="98" s="1"/>
  <c r="S3390" i="98"/>
  <c r="R3390" i="98"/>
  <c r="V3389" i="98"/>
  <c r="T3389" i="98"/>
  <c r="U3389" i="98" s="1"/>
  <c r="S3389" i="98"/>
  <c r="R3389" i="98"/>
  <c r="V3388" i="98"/>
  <c r="T3388" i="98"/>
  <c r="U3388" i="98" s="1"/>
  <c r="S3388" i="98"/>
  <c r="R3388" i="98"/>
  <c r="V3387" i="98"/>
  <c r="T3387" i="98"/>
  <c r="U3387" i="98" s="1"/>
  <c r="S3387" i="98"/>
  <c r="R3387" i="98"/>
  <c r="V3386" i="98"/>
  <c r="T3386" i="98"/>
  <c r="U3386" i="98" s="1"/>
  <c r="S3386" i="98"/>
  <c r="R3386" i="98"/>
  <c r="V3385" i="98"/>
  <c r="T3385" i="98"/>
  <c r="U3385" i="98" s="1"/>
  <c r="S3385" i="98"/>
  <c r="R3385" i="98"/>
  <c r="V3384" i="98"/>
  <c r="T3384" i="98"/>
  <c r="U3384" i="98" s="1"/>
  <c r="S3384" i="98"/>
  <c r="R3384" i="98"/>
  <c r="V3383" i="98"/>
  <c r="T3383" i="98"/>
  <c r="U3383" i="98" s="1"/>
  <c r="S3383" i="98"/>
  <c r="R3383" i="98"/>
  <c r="V3382" i="98"/>
  <c r="T3382" i="98"/>
  <c r="U3382" i="98" s="1"/>
  <c r="S3382" i="98"/>
  <c r="R3382" i="98"/>
  <c r="V3381" i="98"/>
  <c r="T3381" i="98"/>
  <c r="U3381" i="98" s="1"/>
  <c r="S3381" i="98"/>
  <c r="R3381" i="98"/>
  <c r="V3380" i="98"/>
  <c r="T3380" i="98"/>
  <c r="U3380" i="98" s="1"/>
  <c r="S3380" i="98"/>
  <c r="R3380" i="98"/>
  <c r="V3379" i="98"/>
  <c r="T3379" i="98"/>
  <c r="U3379" i="98" s="1"/>
  <c r="S3379" i="98"/>
  <c r="R3379" i="98"/>
  <c r="V3378" i="98"/>
  <c r="T3378" i="98"/>
  <c r="U3378" i="98" s="1"/>
  <c r="S3378" i="98"/>
  <c r="R3378" i="98"/>
  <c r="V3377" i="98"/>
  <c r="T3377" i="98"/>
  <c r="U3377" i="98" s="1"/>
  <c r="S3377" i="98"/>
  <c r="R3377" i="98"/>
  <c r="V3376" i="98"/>
  <c r="T3376" i="98"/>
  <c r="U3376" i="98" s="1"/>
  <c r="S3376" i="98"/>
  <c r="R3376" i="98"/>
  <c r="V3375" i="98"/>
  <c r="T3375" i="98"/>
  <c r="U3375" i="98" s="1"/>
  <c r="S3375" i="98"/>
  <c r="R3375" i="98"/>
  <c r="V3374" i="98"/>
  <c r="T3374" i="98"/>
  <c r="U3374" i="98" s="1"/>
  <c r="S3374" i="98"/>
  <c r="R3374" i="98"/>
  <c r="V3373" i="98"/>
  <c r="T3373" i="98"/>
  <c r="U3373" i="98" s="1"/>
  <c r="S3373" i="98"/>
  <c r="R3373" i="98"/>
  <c r="V3372" i="98"/>
  <c r="T3372" i="98"/>
  <c r="U3372" i="98" s="1"/>
  <c r="S3372" i="98"/>
  <c r="R3372" i="98"/>
  <c r="V3371" i="98"/>
  <c r="T3371" i="98"/>
  <c r="U3371" i="98" s="1"/>
  <c r="S3371" i="98"/>
  <c r="R3371" i="98"/>
  <c r="V3370" i="98"/>
  <c r="T3370" i="98"/>
  <c r="U3370" i="98" s="1"/>
  <c r="S3370" i="98"/>
  <c r="R3370" i="98"/>
  <c r="V3369" i="98"/>
  <c r="T3369" i="98"/>
  <c r="U3369" i="98" s="1"/>
  <c r="S3369" i="98"/>
  <c r="R3369" i="98"/>
  <c r="V3368" i="98"/>
  <c r="T3368" i="98"/>
  <c r="U3368" i="98" s="1"/>
  <c r="S3368" i="98"/>
  <c r="R3368" i="98"/>
  <c r="V3367" i="98"/>
  <c r="T3367" i="98"/>
  <c r="U3367" i="98" s="1"/>
  <c r="S3367" i="98"/>
  <c r="R3367" i="98"/>
  <c r="V3366" i="98"/>
  <c r="T3366" i="98"/>
  <c r="U3366" i="98" s="1"/>
  <c r="S3366" i="98"/>
  <c r="R3366" i="98"/>
  <c r="V3365" i="98"/>
  <c r="T3365" i="98"/>
  <c r="U3365" i="98" s="1"/>
  <c r="S3365" i="98"/>
  <c r="R3365" i="98"/>
  <c r="V3364" i="98"/>
  <c r="T3364" i="98"/>
  <c r="U3364" i="98" s="1"/>
  <c r="S3364" i="98"/>
  <c r="R3364" i="98"/>
  <c r="V3363" i="98"/>
  <c r="T3363" i="98"/>
  <c r="U3363" i="98" s="1"/>
  <c r="S3363" i="98"/>
  <c r="R3363" i="98"/>
  <c r="V3362" i="98"/>
  <c r="T3362" i="98"/>
  <c r="U3362" i="98" s="1"/>
  <c r="S3362" i="98"/>
  <c r="R3362" i="98"/>
  <c r="V3361" i="98"/>
  <c r="T3361" i="98"/>
  <c r="U3361" i="98" s="1"/>
  <c r="S3361" i="98"/>
  <c r="R3361" i="98"/>
  <c r="V3360" i="98"/>
  <c r="T3360" i="98"/>
  <c r="U3360" i="98" s="1"/>
  <c r="S3360" i="98"/>
  <c r="R3360" i="98"/>
  <c r="V3359" i="98"/>
  <c r="T3359" i="98"/>
  <c r="U3359" i="98" s="1"/>
  <c r="S3359" i="98"/>
  <c r="R3359" i="98"/>
  <c r="V3358" i="98"/>
  <c r="T3358" i="98"/>
  <c r="U3358" i="98" s="1"/>
  <c r="S3358" i="98"/>
  <c r="R3358" i="98"/>
  <c r="V3357" i="98"/>
  <c r="T3357" i="98"/>
  <c r="U3357" i="98" s="1"/>
  <c r="S3357" i="98"/>
  <c r="R3357" i="98"/>
  <c r="V3356" i="98"/>
  <c r="T3356" i="98"/>
  <c r="U3356" i="98" s="1"/>
  <c r="S3356" i="98"/>
  <c r="R3356" i="98"/>
  <c r="V3355" i="98"/>
  <c r="T3355" i="98"/>
  <c r="U3355" i="98" s="1"/>
  <c r="S3355" i="98"/>
  <c r="R3355" i="98"/>
  <c r="V3354" i="98"/>
  <c r="T3354" i="98"/>
  <c r="U3354" i="98" s="1"/>
  <c r="S3354" i="98"/>
  <c r="R3354" i="98"/>
  <c r="V3353" i="98"/>
  <c r="T3353" i="98"/>
  <c r="U3353" i="98" s="1"/>
  <c r="S3353" i="98"/>
  <c r="R3353" i="98"/>
  <c r="V3352" i="98"/>
  <c r="T3352" i="98"/>
  <c r="U3352" i="98" s="1"/>
  <c r="S3352" i="98"/>
  <c r="R3352" i="98"/>
  <c r="V3351" i="98"/>
  <c r="T3351" i="98"/>
  <c r="U3351" i="98" s="1"/>
  <c r="S3351" i="98"/>
  <c r="R3351" i="98"/>
  <c r="V3350" i="98"/>
  <c r="T3350" i="98"/>
  <c r="U3350" i="98" s="1"/>
  <c r="S3350" i="98"/>
  <c r="R3350" i="98"/>
  <c r="V3349" i="98"/>
  <c r="T3349" i="98"/>
  <c r="U3349" i="98" s="1"/>
  <c r="S3349" i="98"/>
  <c r="R3349" i="98"/>
  <c r="V3348" i="98"/>
  <c r="T3348" i="98"/>
  <c r="U3348" i="98" s="1"/>
  <c r="S3348" i="98"/>
  <c r="R3348" i="98"/>
  <c r="V3347" i="98"/>
  <c r="T3347" i="98"/>
  <c r="U3347" i="98" s="1"/>
  <c r="S3347" i="98"/>
  <c r="R3347" i="98"/>
  <c r="V3346" i="98"/>
  <c r="T3346" i="98"/>
  <c r="U3346" i="98" s="1"/>
  <c r="S3346" i="98"/>
  <c r="R3346" i="98"/>
  <c r="V3345" i="98"/>
  <c r="T3345" i="98"/>
  <c r="U3345" i="98" s="1"/>
  <c r="S3345" i="98"/>
  <c r="R3345" i="98"/>
  <c r="V3344" i="98"/>
  <c r="T3344" i="98"/>
  <c r="U3344" i="98" s="1"/>
  <c r="S3344" i="98"/>
  <c r="R3344" i="98"/>
  <c r="V3343" i="98"/>
  <c r="T3343" i="98"/>
  <c r="U3343" i="98" s="1"/>
  <c r="S3343" i="98"/>
  <c r="R3343" i="98"/>
  <c r="V3342" i="98"/>
  <c r="T3342" i="98"/>
  <c r="U3342" i="98" s="1"/>
  <c r="S3342" i="98"/>
  <c r="R3342" i="98"/>
  <c r="V3341" i="98"/>
  <c r="T3341" i="98"/>
  <c r="U3341" i="98" s="1"/>
  <c r="S3341" i="98"/>
  <c r="R3341" i="98"/>
  <c r="V3340" i="98"/>
  <c r="T3340" i="98"/>
  <c r="U3340" i="98" s="1"/>
  <c r="S3340" i="98"/>
  <c r="R3340" i="98"/>
  <c r="V3339" i="98"/>
  <c r="T3339" i="98"/>
  <c r="U3339" i="98" s="1"/>
  <c r="S3339" i="98"/>
  <c r="R3339" i="98"/>
  <c r="V3338" i="98"/>
  <c r="T3338" i="98"/>
  <c r="U3338" i="98" s="1"/>
  <c r="S3338" i="98"/>
  <c r="R3338" i="98"/>
  <c r="V3337" i="98"/>
  <c r="T3337" i="98"/>
  <c r="U3337" i="98" s="1"/>
  <c r="S3337" i="98"/>
  <c r="R3337" i="98"/>
  <c r="V3336" i="98"/>
  <c r="T3336" i="98"/>
  <c r="U3336" i="98" s="1"/>
  <c r="S3336" i="98"/>
  <c r="R3336" i="98"/>
  <c r="V3335" i="98"/>
  <c r="T3335" i="98"/>
  <c r="U3335" i="98" s="1"/>
  <c r="S3335" i="98"/>
  <c r="R3335" i="98"/>
  <c r="V3334" i="98"/>
  <c r="T3334" i="98"/>
  <c r="U3334" i="98" s="1"/>
  <c r="S3334" i="98"/>
  <c r="R3334" i="98"/>
  <c r="V3333" i="98"/>
  <c r="T3333" i="98"/>
  <c r="U3333" i="98" s="1"/>
  <c r="S3333" i="98"/>
  <c r="R3333" i="98"/>
  <c r="V3332" i="98"/>
  <c r="T3332" i="98"/>
  <c r="U3332" i="98" s="1"/>
  <c r="S3332" i="98"/>
  <c r="R3332" i="98"/>
  <c r="V3331" i="98"/>
  <c r="T3331" i="98"/>
  <c r="U3331" i="98" s="1"/>
  <c r="S3331" i="98"/>
  <c r="R3331" i="98"/>
  <c r="V3330" i="98"/>
  <c r="T3330" i="98"/>
  <c r="U3330" i="98" s="1"/>
  <c r="S3330" i="98"/>
  <c r="R3330" i="98"/>
  <c r="V3329" i="98"/>
  <c r="T3329" i="98"/>
  <c r="U3329" i="98" s="1"/>
  <c r="S3329" i="98"/>
  <c r="R3329" i="98"/>
  <c r="V3328" i="98"/>
  <c r="T3328" i="98"/>
  <c r="U3328" i="98" s="1"/>
  <c r="S3328" i="98"/>
  <c r="R3328" i="98"/>
  <c r="V3327" i="98"/>
  <c r="T3327" i="98"/>
  <c r="U3327" i="98" s="1"/>
  <c r="S3327" i="98"/>
  <c r="R3327" i="98"/>
  <c r="V3326" i="98"/>
  <c r="T3326" i="98"/>
  <c r="U3326" i="98" s="1"/>
  <c r="S3326" i="98"/>
  <c r="R3326" i="98"/>
  <c r="V3325" i="98"/>
  <c r="T3325" i="98"/>
  <c r="U3325" i="98" s="1"/>
  <c r="S3325" i="98"/>
  <c r="R3325" i="98"/>
  <c r="V3324" i="98"/>
  <c r="T3324" i="98"/>
  <c r="U3324" i="98" s="1"/>
  <c r="S3324" i="98"/>
  <c r="R3324" i="98"/>
  <c r="V3323" i="98"/>
  <c r="T3323" i="98"/>
  <c r="U3323" i="98" s="1"/>
  <c r="S3323" i="98"/>
  <c r="R3323" i="98"/>
  <c r="V3322" i="98"/>
  <c r="T3322" i="98"/>
  <c r="U3322" i="98" s="1"/>
  <c r="S3322" i="98"/>
  <c r="R3322" i="98"/>
  <c r="V3321" i="98"/>
  <c r="T3321" i="98"/>
  <c r="U3321" i="98" s="1"/>
  <c r="S3321" i="98"/>
  <c r="R3321" i="98"/>
  <c r="V3320" i="98"/>
  <c r="T3320" i="98"/>
  <c r="U3320" i="98" s="1"/>
  <c r="S3320" i="98"/>
  <c r="R3320" i="98"/>
  <c r="V3319" i="98"/>
  <c r="T3319" i="98"/>
  <c r="U3319" i="98" s="1"/>
  <c r="S3319" i="98"/>
  <c r="R3319" i="98"/>
  <c r="V3318" i="98"/>
  <c r="T3318" i="98"/>
  <c r="U3318" i="98" s="1"/>
  <c r="S3318" i="98"/>
  <c r="R3318" i="98"/>
  <c r="V3317" i="98"/>
  <c r="T3317" i="98"/>
  <c r="U3317" i="98" s="1"/>
  <c r="S3317" i="98"/>
  <c r="R3317" i="98"/>
  <c r="V3316" i="98"/>
  <c r="T3316" i="98"/>
  <c r="U3316" i="98" s="1"/>
  <c r="S3316" i="98"/>
  <c r="R3316" i="98"/>
  <c r="V3315" i="98"/>
  <c r="T3315" i="98"/>
  <c r="U3315" i="98" s="1"/>
  <c r="S3315" i="98"/>
  <c r="R3315" i="98"/>
  <c r="V3314" i="98"/>
  <c r="T3314" i="98"/>
  <c r="U3314" i="98" s="1"/>
  <c r="S3314" i="98"/>
  <c r="R3314" i="98"/>
  <c r="V3313" i="98"/>
  <c r="T3313" i="98"/>
  <c r="U3313" i="98" s="1"/>
  <c r="S3313" i="98"/>
  <c r="R3313" i="98"/>
  <c r="V3312" i="98"/>
  <c r="T3312" i="98"/>
  <c r="U3312" i="98" s="1"/>
  <c r="S3312" i="98"/>
  <c r="R3312" i="98"/>
  <c r="V3311" i="98"/>
  <c r="T3311" i="98"/>
  <c r="U3311" i="98" s="1"/>
  <c r="S3311" i="98"/>
  <c r="R3311" i="98"/>
  <c r="V3310" i="98"/>
  <c r="T3310" i="98"/>
  <c r="U3310" i="98" s="1"/>
  <c r="S3310" i="98"/>
  <c r="R3310" i="98"/>
  <c r="V3309" i="98"/>
  <c r="T3309" i="98"/>
  <c r="U3309" i="98" s="1"/>
  <c r="S3309" i="98"/>
  <c r="R3309" i="98"/>
  <c r="V3308" i="98"/>
  <c r="T3308" i="98"/>
  <c r="U3308" i="98" s="1"/>
  <c r="S3308" i="98"/>
  <c r="R3308" i="98"/>
  <c r="V3307" i="98"/>
  <c r="T3307" i="98"/>
  <c r="U3307" i="98" s="1"/>
  <c r="S3307" i="98"/>
  <c r="R3307" i="98"/>
  <c r="V3306" i="98"/>
  <c r="T3306" i="98"/>
  <c r="U3306" i="98" s="1"/>
  <c r="S3306" i="98"/>
  <c r="R3306" i="98"/>
  <c r="V3305" i="98"/>
  <c r="T3305" i="98"/>
  <c r="U3305" i="98" s="1"/>
  <c r="S3305" i="98"/>
  <c r="R3305" i="98"/>
  <c r="V3304" i="98"/>
  <c r="T3304" i="98"/>
  <c r="U3304" i="98" s="1"/>
  <c r="S3304" i="98"/>
  <c r="R3304" i="98"/>
  <c r="V3303" i="98"/>
  <c r="T3303" i="98"/>
  <c r="U3303" i="98" s="1"/>
  <c r="S3303" i="98"/>
  <c r="R3303" i="98"/>
  <c r="V3302" i="98"/>
  <c r="T3302" i="98"/>
  <c r="U3302" i="98" s="1"/>
  <c r="S3302" i="98"/>
  <c r="R3302" i="98"/>
  <c r="V3301" i="98"/>
  <c r="T3301" i="98"/>
  <c r="U3301" i="98" s="1"/>
  <c r="S3301" i="98"/>
  <c r="R3301" i="98"/>
  <c r="V3300" i="98"/>
  <c r="T3300" i="98"/>
  <c r="U3300" i="98" s="1"/>
  <c r="S3300" i="98"/>
  <c r="R3300" i="98"/>
  <c r="V3299" i="98"/>
  <c r="T3299" i="98"/>
  <c r="U3299" i="98" s="1"/>
  <c r="S3299" i="98"/>
  <c r="R3299" i="98"/>
  <c r="V3298" i="98"/>
  <c r="T3298" i="98"/>
  <c r="U3298" i="98" s="1"/>
  <c r="S3298" i="98"/>
  <c r="R3298" i="98"/>
  <c r="V3297" i="98"/>
  <c r="T3297" i="98"/>
  <c r="U3297" i="98" s="1"/>
  <c r="S3297" i="98"/>
  <c r="R3297" i="98"/>
  <c r="V3296" i="98"/>
  <c r="T3296" i="98"/>
  <c r="U3296" i="98" s="1"/>
  <c r="S3296" i="98"/>
  <c r="R3296" i="98"/>
  <c r="V3295" i="98"/>
  <c r="T3295" i="98"/>
  <c r="U3295" i="98" s="1"/>
  <c r="S3295" i="98"/>
  <c r="R3295" i="98"/>
  <c r="V3294" i="98"/>
  <c r="T3294" i="98"/>
  <c r="U3294" i="98" s="1"/>
  <c r="S3294" i="98"/>
  <c r="R3294" i="98"/>
  <c r="V3293" i="98"/>
  <c r="T3293" i="98"/>
  <c r="U3293" i="98" s="1"/>
  <c r="S3293" i="98"/>
  <c r="R3293" i="98"/>
  <c r="V3292" i="98"/>
  <c r="T3292" i="98"/>
  <c r="U3292" i="98" s="1"/>
  <c r="S3292" i="98"/>
  <c r="R3292" i="98"/>
  <c r="V3291" i="98"/>
  <c r="T3291" i="98"/>
  <c r="U3291" i="98" s="1"/>
  <c r="S3291" i="98"/>
  <c r="R3291" i="98"/>
  <c r="V3290" i="98"/>
  <c r="T3290" i="98"/>
  <c r="U3290" i="98" s="1"/>
  <c r="S3290" i="98"/>
  <c r="R3290" i="98"/>
  <c r="V3289" i="98"/>
  <c r="T3289" i="98"/>
  <c r="U3289" i="98" s="1"/>
  <c r="S3289" i="98"/>
  <c r="R3289" i="98"/>
  <c r="V3288" i="98"/>
  <c r="T3288" i="98"/>
  <c r="U3288" i="98" s="1"/>
  <c r="S3288" i="98"/>
  <c r="R3288" i="98"/>
  <c r="V3287" i="98"/>
  <c r="T3287" i="98"/>
  <c r="U3287" i="98" s="1"/>
  <c r="S3287" i="98"/>
  <c r="R3287" i="98"/>
  <c r="V3286" i="98"/>
  <c r="T3286" i="98"/>
  <c r="U3286" i="98" s="1"/>
  <c r="S3286" i="98"/>
  <c r="R3286" i="98"/>
  <c r="V3285" i="98"/>
  <c r="T3285" i="98"/>
  <c r="U3285" i="98" s="1"/>
  <c r="S3285" i="98"/>
  <c r="R3285" i="98"/>
  <c r="V3284" i="98"/>
  <c r="T3284" i="98"/>
  <c r="U3284" i="98" s="1"/>
  <c r="S3284" i="98"/>
  <c r="R3284" i="98"/>
  <c r="V3283" i="98"/>
  <c r="T3283" i="98"/>
  <c r="U3283" i="98" s="1"/>
  <c r="S3283" i="98"/>
  <c r="R3283" i="98"/>
  <c r="V3282" i="98"/>
  <c r="T3282" i="98"/>
  <c r="U3282" i="98" s="1"/>
  <c r="S3282" i="98"/>
  <c r="R3282" i="98"/>
  <c r="V3281" i="98"/>
  <c r="T3281" i="98"/>
  <c r="U3281" i="98" s="1"/>
  <c r="S3281" i="98"/>
  <c r="R3281" i="98"/>
  <c r="V3280" i="98"/>
  <c r="T3280" i="98"/>
  <c r="U3280" i="98" s="1"/>
  <c r="S3280" i="98"/>
  <c r="R3280" i="98"/>
  <c r="V3279" i="98"/>
  <c r="T3279" i="98"/>
  <c r="U3279" i="98" s="1"/>
  <c r="S3279" i="98"/>
  <c r="R3279" i="98"/>
  <c r="V3278" i="98"/>
  <c r="T3278" i="98"/>
  <c r="U3278" i="98" s="1"/>
  <c r="S3278" i="98"/>
  <c r="R3278" i="98"/>
  <c r="V3277" i="98"/>
  <c r="T3277" i="98"/>
  <c r="U3277" i="98" s="1"/>
  <c r="S3277" i="98"/>
  <c r="R3277" i="98"/>
  <c r="V3276" i="98"/>
  <c r="T3276" i="98"/>
  <c r="U3276" i="98" s="1"/>
  <c r="S3276" i="98"/>
  <c r="R3276" i="98"/>
  <c r="V3275" i="98"/>
  <c r="T3275" i="98"/>
  <c r="U3275" i="98" s="1"/>
  <c r="S3275" i="98"/>
  <c r="R3275" i="98"/>
  <c r="V3274" i="98"/>
  <c r="T3274" i="98"/>
  <c r="U3274" i="98" s="1"/>
  <c r="S3274" i="98"/>
  <c r="R3274" i="98"/>
  <c r="V3273" i="98"/>
  <c r="T3273" i="98"/>
  <c r="U3273" i="98" s="1"/>
  <c r="S3273" i="98"/>
  <c r="R3273" i="98"/>
  <c r="V3272" i="98"/>
  <c r="T3272" i="98"/>
  <c r="U3272" i="98" s="1"/>
  <c r="S3272" i="98"/>
  <c r="R3272" i="98"/>
  <c r="V3271" i="98"/>
  <c r="T3271" i="98"/>
  <c r="U3271" i="98" s="1"/>
  <c r="S3271" i="98"/>
  <c r="R3271" i="98"/>
  <c r="V3270" i="98"/>
  <c r="T3270" i="98"/>
  <c r="U3270" i="98" s="1"/>
  <c r="S3270" i="98"/>
  <c r="R3270" i="98"/>
  <c r="V3269" i="98"/>
  <c r="T3269" i="98"/>
  <c r="U3269" i="98" s="1"/>
  <c r="S3269" i="98"/>
  <c r="R3269" i="98"/>
  <c r="V3268" i="98"/>
  <c r="T3268" i="98"/>
  <c r="U3268" i="98" s="1"/>
  <c r="S3268" i="98"/>
  <c r="R3268" i="98"/>
  <c r="V3267" i="98"/>
  <c r="T3267" i="98"/>
  <c r="U3267" i="98" s="1"/>
  <c r="S3267" i="98"/>
  <c r="R3267" i="98"/>
  <c r="V3266" i="98"/>
  <c r="T3266" i="98"/>
  <c r="U3266" i="98" s="1"/>
  <c r="S3266" i="98"/>
  <c r="R3266" i="98"/>
  <c r="V3265" i="98"/>
  <c r="T3265" i="98"/>
  <c r="U3265" i="98" s="1"/>
  <c r="S3265" i="98"/>
  <c r="R3265" i="98"/>
  <c r="V3264" i="98"/>
  <c r="T3264" i="98"/>
  <c r="U3264" i="98" s="1"/>
  <c r="S3264" i="98"/>
  <c r="R3264" i="98"/>
  <c r="V3263" i="98"/>
  <c r="T3263" i="98"/>
  <c r="U3263" i="98" s="1"/>
  <c r="S3263" i="98"/>
  <c r="R3263" i="98"/>
  <c r="V3262" i="98"/>
  <c r="T3262" i="98"/>
  <c r="U3262" i="98" s="1"/>
  <c r="S3262" i="98"/>
  <c r="R3262" i="98"/>
  <c r="V3261" i="98"/>
  <c r="T3261" i="98"/>
  <c r="U3261" i="98" s="1"/>
  <c r="S3261" i="98"/>
  <c r="R3261" i="98"/>
  <c r="V3260" i="98"/>
  <c r="T3260" i="98"/>
  <c r="U3260" i="98" s="1"/>
  <c r="S3260" i="98"/>
  <c r="R3260" i="98"/>
  <c r="V3259" i="98"/>
  <c r="T3259" i="98"/>
  <c r="U3259" i="98" s="1"/>
  <c r="S3259" i="98"/>
  <c r="R3259" i="98"/>
  <c r="V3258" i="98"/>
  <c r="T3258" i="98"/>
  <c r="U3258" i="98" s="1"/>
  <c r="S3258" i="98"/>
  <c r="R3258" i="98"/>
  <c r="V3257" i="98"/>
  <c r="T3257" i="98"/>
  <c r="U3257" i="98" s="1"/>
  <c r="S3257" i="98"/>
  <c r="R3257" i="98"/>
  <c r="V3256" i="98"/>
  <c r="T3256" i="98"/>
  <c r="U3256" i="98" s="1"/>
  <c r="S3256" i="98"/>
  <c r="R3256" i="98"/>
  <c r="V3255" i="98"/>
  <c r="T3255" i="98"/>
  <c r="U3255" i="98" s="1"/>
  <c r="S3255" i="98"/>
  <c r="R3255" i="98"/>
  <c r="V3254" i="98"/>
  <c r="T3254" i="98"/>
  <c r="U3254" i="98" s="1"/>
  <c r="S3254" i="98"/>
  <c r="R3254" i="98"/>
  <c r="V3253" i="98"/>
  <c r="T3253" i="98"/>
  <c r="U3253" i="98" s="1"/>
  <c r="S3253" i="98"/>
  <c r="R3253" i="98"/>
  <c r="V3252" i="98"/>
  <c r="T3252" i="98"/>
  <c r="U3252" i="98" s="1"/>
  <c r="S3252" i="98"/>
  <c r="R3252" i="98"/>
  <c r="V3251" i="98"/>
  <c r="T3251" i="98"/>
  <c r="U3251" i="98" s="1"/>
  <c r="S3251" i="98"/>
  <c r="R3251" i="98"/>
  <c r="V3250" i="98"/>
  <c r="T3250" i="98"/>
  <c r="U3250" i="98" s="1"/>
  <c r="S3250" i="98"/>
  <c r="R3250" i="98"/>
  <c r="V3249" i="98"/>
  <c r="T3249" i="98"/>
  <c r="U3249" i="98" s="1"/>
  <c r="S3249" i="98"/>
  <c r="R3249" i="98"/>
  <c r="V3248" i="98"/>
  <c r="T3248" i="98"/>
  <c r="U3248" i="98" s="1"/>
  <c r="S3248" i="98"/>
  <c r="R3248" i="98"/>
  <c r="V3247" i="98"/>
  <c r="T3247" i="98"/>
  <c r="U3247" i="98" s="1"/>
  <c r="S3247" i="98"/>
  <c r="R3247" i="98"/>
  <c r="V3246" i="98"/>
  <c r="T3246" i="98"/>
  <c r="U3246" i="98" s="1"/>
  <c r="S3246" i="98"/>
  <c r="R3246" i="98"/>
  <c r="V3245" i="98"/>
  <c r="T3245" i="98"/>
  <c r="U3245" i="98" s="1"/>
  <c r="S3245" i="98"/>
  <c r="R3245" i="98"/>
  <c r="V3244" i="98"/>
  <c r="T3244" i="98"/>
  <c r="U3244" i="98" s="1"/>
  <c r="S3244" i="98"/>
  <c r="R3244" i="98"/>
  <c r="V3243" i="98"/>
  <c r="T3243" i="98"/>
  <c r="U3243" i="98" s="1"/>
  <c r="S3243" i="98"/>
  <c r="R3243" i="98"/>
  <c r="V3242" i="98"/>
  <c r="T3242" i="98"/>
  <c r="U3242" i="98" s="1"/>
  <c r="S3242" i="98"/>
  <c r="R3242" i="98"/>
  <c r="V3241" i="98"/>
  <c r="T3241" i="98"/>
  <c r="U3241" i="98" s="1"/>
  <c r="S3241" i="98"/>
  <c r="R3241" i="98"/>
  <c r="V3240" i="98"/>
  <c r="T3240" i="98"/>
  <c r="U3240" i="98" s="1"/>
  <c r="S3240" i="98"/>
  <c r="R3240" i="98"/>
  <c r="V3239" i="98"/>
  <c r="T3239" i="98"/>
  <c r="U3239" i="98" s="1"/>
  <c r="S3239" i="98"/>
  <c r="R3239" i="98"/>
  <c r="V3238" i="98"/>
  <c r="T3238" i="98"/>
  <c r="U3238" i="98" s="1"/>
  <c r="S3238" i="98"/>
  <c r="R3238" i="98"/>
  <c r="V3237" i="98"/>
  <c r="T3237" i="98"/>
  <c r="U3237" i="98" s="1"/>
  <c r="S3237" i="98"/>
  <c r="R3237" i="98"/>
  <c r="V3236" i="98"/>
  <c r="T3236" i="98"/>
  <c r="U3236" i="98" s="1"/>
  <c r="S3236" i="98"/>
  <c r="R3236" i="98"/>
  <c r="V3235" i="98"/>
  <c r="T3235" i="98"/>
  <c r="U3235" i="98" s="1"/>
  <c r="S3235" i="98"/>
  <c r="R3235" i="98"/>
  <c r="V3234" i="98"/>
  <c r="T3234" i="98"/>
  <c r="U3234" i="98" s="1"/>
  <c r="S3234" i="98"/>
  <c r="R3234" i="98"/>
  <c r="V3233" i="98"/>
  <c r="T3233" i="98"/>
  <c r="U3233" i="98" s="1"/>
  <c r="S3233" i="98"/>
  <c r="R3233" i="98"/>
  <c r="V3232" i="98"/>
  <c r="T3232" i="98"/>
  <c r="U3232" i="98" s="1"/>
  <c r="S3232" i="98"/>
  <c r="R3232" i="98"/>
  <c r="V3231" i="98"/>
  <c r="T3231" i="98"/>
  <c r="U3231" i="98" s="1"/>
  <c r="S3231" i="98"/>
  <c r="R3231" i="98"/>
  <c r="V3230" i="98"/>
  <c r="T3230" i="98"/>
  <c r="U3230" i="98" s="1"/>
  <c r="S3230" i="98"/>
  <c r="R3230" i="98"/>
  <c r="V3229" i="98"/>
  <c r="T3229" i="98"/>
  <c r="U3229" i="98" s="1"/>
  <c r="S3229" i="98"/>
  <c r="R3229" i="98"/>
  <c r="V3228" i="98"/>
  <c r="T3228" i="98"/>
  <c r="U3228" i="98" s="1"/>
  <c r="S3228" i="98"/>
  <c r="R3228" i="98"/>
  <c r="V3227" i="98"/>
  <c r="T3227" i="98"/>
  <c r="U3227" i="98" s="1"/>
  <c r="S3227" i="98"/>
  <c r="R3227" i="98"/>
  <c r="V3226" i="98"/>
  <c r="T3226" i="98"/>
  <c r="U3226" i="98" s="1"/>
  <c r="S3226" i="98"/>
  <c r="R3226" i="98"/>
  <c r="V3225" i="98"/>
  <c r="T3225" i="98"/>
  <c r="U3225" i="98" s="1"/>
  <c r="S3225" i="98"/>
  <c r="R3225" i="98"/>
  <c r="V3224" i="98"/>
  <c r="T3224" i="98"/>
  <c r="U3224" i="98" s="1"/>
  <c r="S3224" i="98"/>
  <c r="R3224" i="98"/>
  <c r="V3223" i="98"/>
  <c r="T3223" i="98"/>
  <c r="U3223" i="98" s="1"/>
  <c r="S3223" i="98"/>
  <c r="R3223" i="98"/>
  <c r="V3222" i="98"/>
  <c r="T3222" i="98"/>
  <c r="U3222" i="98" s="1"/>
  <c r="S3222" i="98"/>
  <c r="R3222" i="98"/>
  <c r="V3221" i="98"/>
  <c r="T3221" i="98"/>
  <c r="U3221" i="98" s="1"/>
  <c r="S3221" i="98"/>
  <c r="R3221" i="98"/>
  <c r="V3220" i="98"/>
  <c r="T3220" i="98"/>
  <c r="U3220" i="98" s="1"/>
  <c r="S3220" i="98"/>
  <c r="R3220" i="98"/>
  <c r="V3219" i="98"/>
  <c r="T3219" i="98"/>
  <c r="U3219" i="98" s="1"/>
  <c r="S3219" i="98"/>
  <c r="R3219" i="98"/>
  <c r="V3218" i="98"/>
  <c r="T3218" i="98"/>
  <c r="U3218" i="98" s="1"/>
  <c r="S3218" i="98"/>
  <c r="R3218" i="98"/>
  <c r="V3217" i="98"/>
  <c r="T3217" i="98"/>
  <c r="U3217" i="98" s="1"/>
  <c r="S3217" i="98"/>
  <c r="R3217" i="98"/>
  <c r="V3216" i="98"/>
  <c r="T3216" i="98"/>
  <c r="U3216" i="98" s="1"/>
  <c r="S3216" i="98"/>
  <c r="R3216" i="98"/>
  <c r="V3215" i="98"/>
  <c r="T3215" i="98"/>
  <c r="U3215" i="98" s="1"/>
  <c r="S3215" i="98"/>
  <c r="R3215" i="98"/>
  <c r="V3214" i="98"/>
  <c r="T3214" i="98"/>
  <c r="U3214" i="98" s="1"/>
  <c r="S3214" i="98"/>
  <c r="R3214" i="98"/>
  <c r="V3213" i="98"/>
  <c r="T3213" i="98"/>
  <c r="U3213" i="98" s="1"/>
  <c r="S3213" i="98"/>
  <c r="R3213" i="98"/>
  <c r="V3212" i="98"/>
  <c r="T3212" i="98"/>
  <c r="U3212" i="98" s="1"/>
  <c r="S3212" i="98"/>
  <c r="R3212" i="98"/>
  <c r="V3211" i="98"/>
  <c r="T3211" i="98"/>
  <c r="U3211" i="98" s="1"/>
  <c r="S3211" i="98"/>
  <c r="R3211" i="98"/>
  <c r="V3210" i="98"/>
  <c r="T3210" i="98"/>
  <c r="U3210" i="98" s="1"/>
  <c r="S3210" i="98"/>
  <c r="R3210" i="98"/>
  <c r="V3209" i="98"/>
  <c r="T3209" i="98"/>
  <c r="U3209" i="98" s="1"/>
  <c r="S3209" i="98"/>
  <c r="R3209" i="98"/>
  <c r="V3208" i="98"/>
  <c r="T3208" i="98"/>
  <c r="U3208" i="98" s="1"/>
  <c r="S3208" i="98"/>
  <c r="R3208" i="98"/>
  <c r="V3207" i="98"/>
  <c r="T3207" i="98"/>
  <c r="U3207" i="98" s="1"/>
  <c r="S3207" i="98"/>
  <c r="R3207" i="98"/>
  <c r="V3206" i="98"/>
  <c r="T3206" i="98"/>
  <c r="U3206" i="98" s="1"/>
  <c r="S3206" i="98"/>
  <c r="R3206" i="98"/>
  <c r="V3205" i="98"/>
  <c r="T3205" i="98"/>
  <c r="U3205" i="98" s="1"/>
  <c r="S3205" i="98"/>
  <c r="R3205" i="98"/>
  <c r="V3204" i="98"/>
  <c r="T3204" i="98"/>
  <c r="U3204" i="98" s="1"/>
  <c r="S3204" i="98"/>
  <c r="R3204" i="98"/>
  <c r="V3203" i="98"/>
  <c r="T3203" i="98"/>
  <c r="U3203" i="98" s="1"/>
  <c r="S3203" i="98"/>
  <c r="R3203" i="98"/>
  <c r="V3202" i="98"/>
  <c r="T3202" i="98"/>
  <c r="U3202" i="98" s="1"/>
  <c r="S3202" i="98"/>
  <c r="R3202" i="98"/>
  <c r="V3201" i="98"/>
  <c r="T3201" i="98"/>
  <c r="U3201" i="98" s="1"/>
  <c r="S3201" i="98"/>
  <c r="R3201" i="98"/>
  <c r="V3200" i="98"/>
  <c r="T3200" i="98"/>
  <c r="U3200" i="98" s="1"/>
  <c r="S3200" i="98"/>
  <c r="R3200" i="98"/>
  <c r="V3199" i="98"/>
  <c r="T3199" i="98"/>
  <c r="U3199" i="98" s="1"/>
  <c r="S3199" i="98"/>
  <c r="R3199" i="98"/>
  <c r="V3198" i="98"/>
  <c r="T3198" i="98"/>
  <c r="U3198" i="98" s="1"/>
  <c r="S3198" i="98"/>
  <c r="R3198" i="98"/>
  <c r="V3197" i="98"/>
  <c r="T3197" i="98"/>
  <c r="U3197" i="98" s="1"/>
  <c r="S3197" i="98"/>
  <c r="R3197" i="98"/>
  <c r="V3196" i="98"/>
  <c r="T3196" i="98"/>
  <c r="U3196" i="98" s="1"/>
  <c r="S3196" i="98"/>
  <c r="R3196" i="98"/>
  <c r="V3195" i="98"/>
  <c r="T3195" i="98"/>
  <c r="U3195" i="98" s="1"/>
  <c r="S3195" i="98"/>
  <c r="R3195" i="98"/>
  <c r="V3194" i="98"/>
  <c r="T3194" i="98"/>
  <c r="U3194" i="98" s="1"/>
  <c r="S3194" i="98"/>
  <c r="R3194" i="98"/>
  <c r="V3193" i="98"/>
  <c r="T3193" i="98"/>
  <c r="U3193" i="98" s="1"/>
  <c r="S3193" i="98"/>
  <c r="R3193" i="98"/>
  <c r="V3192" i="98"/>
  <c r="T3192" i="98"/>
  <c r="U3192" i="98" s="1"/>
  <c r="S3192" i="98"/>
  <c r="R3192" i="98"/>
  <c r="V3191" i="98"/>
  <c r="T3191" i="98"/>
  <c r="U3191" i="98" s="1"/>
  <c r="S3191" i="98"/>
  <c r="R3191" i="98"/>
  <c r="V3190" i="98"/>
  <c r="T3190" i="98"/>
  <c r="U3190" i="98" s="1"/>
  <c r="S3190" i="98"/>
  <c r="R3190" i="98"/>
  <c r="V3189" i="98"/>
  <c r="T3189" i="98"/>
  <c r="U3189" i="98" s="1"/>
  <c r="S3189" i="98"/>
  <c r="R3189" i="98"/>
  <c r="V3188" i="98"/>
  <c r="T3188" i="98"/>
  <c r="U3188" i="98" s="1"/>
  <c r="S3188" i="98"/>
  <c r="R3188" i="98"/>
  <c r="V3187" i="98"/>
  <c r="T3187" i="98"/>
  <c r="U3187" i="98" s="1"/>
  <c r="S3187" i="98"/>
  <c r="R3187" i="98"/>
  <c r="V3186" i="98"/>
  <c r="T3186" i="98"/>
  <c r="U3186" i="98" s="1"/>
  <c r="S3186" i="98"/>
  <c r="R3186" i="98"/>
  <c r="V3185" i="98"/>
  <c r="T3185" i="98"/>
  <c r="U3185" i="98" s="1"/>
  <c r="S3185" i="98"/>
  <c r="R3185" i="98"/>
  <c r="V3184" i="98"/>
  <c r="T3184" i="98"/>
  <c r="U3184" i="98" s="1"/>
  <c r="S3184" i="98"/>
  <c r="R3184" i="98"/>
  <c r="V3183" i="98"/>
  <c r="T3183" i="98"/>
  <c r="U3183" i="98" s="1"/>
  <c r="S3183" i="98"/>
  <c r="R3183" i="98"/>
  <c r="V3182" i="98"/>
  <c r="T3182" i="98"/>
  <c r="U3182" i="98" s="1"/>
  <c r="S3182" i="98"/>
  <c r="R3182" i="98"/>
  <c r="V3181" i="98"/>
  <c r="T3181" i="98"/>
  <c r="U3181" i="98" s="1"/>
  <c r="S3181" i="98"/>
  <c r="R3181" i="98"/>
  <c r="V3180" i="98"/>
  <c r="T3180" i="98"/>
  <c r="U3180" i="98" s="1"/>
  <c r="S3180" i="98"/>
  <c r="R3180" i="98"/>
  <c r="V3179" i="98"/>
  <c r="T3179" i="98"/>
  <c r="U3179" i="98" s="1"/>
  <c r="S3179" i="98"/>
  <c r="R3179" i="98"/>
  <c r="V3178" i="98"/>
  <c r="T3178" i="98"/>
  <c r="U3178" i="98" s="1"/>
  <c r="S3178" i="98"/>
  <c r="R3178" i="98"/>
  <c r="V3177" i="98"/>
  <c r="T3177" i="98"/>
  <c r="U3177" i="98" s="1"/>
  <c r="S3177" i="98"/>
  <c r="R3177" i="98"/>
  <c r="V3176" i="98"/>
  <c r="T3176" i="98"/>
  <c r="U3176" i="98" s="1"/>
  <c r="S3176" i="98"/>
  <c r="R3176" i="98"/>
  <c r="V3175" i="98"/>
  <c r="T3175" i="98"/>
  <c r="U3175" i="98" s="1"/>
  <c r="S3175" i="98"/>
  <c r="R3175" i="98"/>
  <c r="V3174" i="98"/>
  <c r="T3174" i="98"/>
  <c r="U3174" i="98" s="1"/>
  <c r="S3174" i="98"/>
  <c r="R3174" i="98"/>
  <c r="V3173" i="98"/>
  <c r="T3173" i="98"/>
  <c r="U3173" i="98" s="1"/>
  <c r="S3173" i="98"/>
  <c r="R3173" i="98"/>
  <c r="V3172" i="98"/>
  <c r="T3172" i="98"/>
  <c r="U3172" i="98" s="1"/>
  <c r="S3172" i="98"/>
  <c r="R3172" i="98"/>
  <c r="V3171" i="98"/>
  <c r="T3171" i="98"/>
  <c r="U3171" i="98" s="1"/>
  <c r="S3171" i="98"/>
  <c r="R3171" i="98"/>
  <c r="V3170" i="98"/>
  <c r="T3170" i="98"/>
  <c r="U3170" i="98" s="1"/>
  <c r="S3170" i="98"/>
  <c r="R3170" i="98"/>
  <c r="V3169" i="98"/>
  <c r="T3169" i="98"/>
  <c r="U3169" i="98" s="1"/>
  <c r="S3169" i="98"/>
  <c r="R3169" i="98"/>
  <c r="V3168" i="98"/>
  <c r="T3168" i="98"/>
  <c r="U3168" i="98" s="1"/>
  <c r="S3168" i="98"/>
  <c r="R3168" i="98"/>
  <c r="V3167" i="98"/>
  <c r="T3167" i="98"/>
  <c r="U3167" i="98" s="1"/>
  <c r="S3167" i="98"/>
  <c r="R3167" i="98"/>
  <c r="V3166" i="98"/>
  <c r="T3166" i="98"/>
  <c r="U3166" i="98" s="1"/>
  <c r="S3166" i="98"/>
  <c r="R3166" i="98"/>
  <c r="V3165" i="98"/>
  <c r="T3165" i="98"/>
  <c r="U3165" i="98" s="1"/>
  <c r="S3165" i="98"/>
  <c r="R3165" i="98"/>
  <c r="V3164" i="98"/>
  <c r="T3164" i="98"/>
  <c r="U3164" i="98" s="1"/>
  <c r="S3164" i="98"/>
  <c r="R3164" i="98"/>
  <c r="V3163" i="98"/>
  <c r="T3163" i="98"/>
  <c r="U3163" i="98" s="1"/>
  <c r="S3163" i="98"/>
  <c r="R3163" i="98"/>
  <c r="V3162" i="98"/>
  <c r="T3162" i="98"/>
  <c r="U3162" i="98" s="1"/>
  <c r="S3162" i="98"/>
  <c r="R3162" i="98"/>
  <c r="V3161" i="98"/>
  <c r="T3161" i="98"/>
  <c r="U3161" i="98" s="1"/>
  <c r="S3161" i="98"/>
  <c r="R3161" i="98"/>
  <c r="V3160" i="98"/>
  <c r="T3160" i="98"/>
  <c r="U3160" i="98" s="1"/>
  <c r="S3160" i="98"/>
  <c r="R3160" i="98"/>
  <c r="V3159" i="98"/>
  <c r="T3159" i="98"/>
  <c r="U3159" i="98" s="1"/>
  <c r="S3159" i="98"/>
  <c r="R3159" i="98"/>
  <c r="V3158" i="98"/>
  <c r="T3158" i="98"/>
  <c r="U3158" i="98" s="1"/>
  <c r="S3158" i="98"/>
  <c r="R3158" i="98"/>
  <c r="V3157" i="98"/>
  <c r="T3157" i="98"/>
  <c r="U3157" i="98" s="1"/>
  <c r="S3157" i="98"/>
  <c r="R3157" i="98"/>
  <c r="V3156" i="98"/>
  <c r="T3156" i="98"/>
  <c r="U3156" i="98" s="1"/>
  <c r="S3156" i="98"/>
  <c r="R3156" i="98"/>
  <c r="V3155" i="98"/>
  <c r="T3155" i="98"/>
  <c r="U3155" i="98" s="1"/>
  <c r="S3155" i="98"/>
  <c r="R3155" i="98"/>
  <c r="V3154" i="98"/>
  <c r="T3154" i="98"/>
  <c r="U3154" i="98" s="1"/>
  <c r="S3154" i="98"/>
  <c r="R3154" i="98"/>
  <c r="V3153" i="98"/>
  <c r="T3153" i="98"/>
  <c r="U3153" i="98" s="1"/>
  <c r="S3153" i="98"/>
  <c r="R3153" i="98"/>
  <c r="V3152" i="98"/>
  <c r="T3152" i="98"/>
  <c r="U3152" i="98" s="1"/>
  <c r="S3152" i="98"/>
  <c r="R3152" i="98"/>
  <c r="V3151" i="98"/>
  <c r="T3151" i="98"/>
  <c r="U3151" i="98" s="1"/>
  <c r="S3151" i="98"/>
  <c r="R3151" i="98"/>
  <c r="V3150" i="98"/>
  <c r="T3150" i="98"/>
  <c r="U3150" i="98" s="1"/>
  <c r="S3150" i="98"/>
  <c r="R3150" i="98"/>
  <c r="V3149" i="98"/>
  <c r="T3149" i="98"/>
  <c r="U3149" i="98" s="1"/>
  <c r="S3149" i="98"/>
  <c r="R3149" i="98"/>
  <c r="V3148" i="98"/>
  <c r="T3148" i="98"/>
  <c r="U3148" i="98" s="1"/>
  <c r="S3148" i="98"/>
  <c r="R3148" i="98"/>
  <c r="V3147" i="98"/>
  <c r="T3147" i="98"/>
  <c r="U3147" i="98" s="1"/>
  <c r="S3147" i="98"/>
  <c r="R3147" i="98"/>
  <c r="V3146" i="98"/>
  <c r="T3146" i="98"/>
  <c r="U3146" i="98" s="1"/>
  <c r="S3146" i="98"/>
  <c r="R3146" i="98"/>
  <c r="V3145" i="98"/>
  <c r="T3145" i="98"/>
  <c r="U3145" i="98" s="1"/>
  <c r="S3145" i="98"/>
  <c r="R3145" i="98"/>
  <c r="V3144" i="98"/>
  <c r="T3144" i="98"/>
  <c r="U3144" i="98" s="1"/>
  <c r="S3144" i="98"/>
  <c r="R3144" i="98"/>
  <c r="V3143" i="98"/>
  <c r="T3143" i="98"/>
  <c r="U3143" i="98" s="1"/>
  <c r="S3143" i="98"/>
  <c r="R3143" i="98"/>
  <c r="V3142" i="98"/>
  <c r="T3142" i="98"/>
  <c r="U3142" i="98" s="1"/>
  <c r="S3142" i="98"/>
  <c r="R3142" i="98"/>
  <c r="V3141" i="98"/>
  <c r="T3141" i="98"/>
  <c r="U3141" i="98" s="1"/>
  <c r="S3141" i="98"/>
  <c r="R3141" i="98"/>
  <c r="V3140" i="98"/>
  <c r="T3140" i="98"/>
  <c r="U3140" i="98" s="1"/>
  <c r="S3140" i="98"/>
  <c r="R3140" i="98"/>
  <c r="V3139" i="98"/>
  <c r="T3139" i="98"/>
  <c r="U3139" i="98" s="1"/>
  <c r="S3139" i="98"/>
  <c r="R3139" i="98"/>
  <c r="V3138" i="98"/>
  <c r="T3138" i="98"/>
  <c r="U3138" i="98" s="1"/>
  <c r="S3138" i="98"/>
  <c r="R3138" i="98"/>
  <c r="V3137" i="98"/>
  <c r="T3137" i="98"/>
  <c r="U3137" i="98" s="1"/>
  <c r="S3137" i="98"/>
  <c r="R3137" i="98"/>
  <c r="V3136" i="98"/>
  <c r="T3136" i="98"/>
  <c r="U3136" i="98" s="1"/>
  <c r="S3136" i="98"/>
  <c r="R3136" i="98"/>
  <c r="V3135" i="98"/>
  <c r="T3135" i="98"/>
  <c r="U3135" i="98" s="1"/>
  <c r="S3135" i="98"/>
  <c r="R3135" i="98"/>
  <c r="V3134" i="98"/>
  <c r="T3134" i="98"/>
  <c r="U3134" i="98" s="1"/>
  <c r="S3134" i="98"/>
  <c r="R3134" i="98"/>
  <c r="V3133" i="98"/>
  <c r="T3133" i="98"/>
  <c r="U3133" i="98" s="1"/>
  <c r="S3133" i="98"/>
  <c r="R3133" i="98"/>
  <c r="V3132" i="98"/>
  <c r="T3132" i="98"/>
  <c r="U3132" i="98" s="1"/>
  <c r="S3132" i="98"/>
  <c r="R3132" i="98"/>
  <c r="V3131" i="98"/>
  <c r="T3131" i="98"/>
  <c r="U3131" i="98" s="1"/>
  <c r="S3131" i="98"/>
  <c r="R3131" i="98"/>
  <c r="V3130" i="98"/>
  <c r="T3130" i="98"/>
  <c r="U3130" i="98" s="1"/>
  <c r="S3130" i="98"/>
  <c r="R3130" i="98"/>
  <c r="V3129" i="98"/>
  <c r="T3129" i="98"/>
  <c r="U3129" i="98" s="1"/>
  <c r="S3129" i="98"/>
  <c r="R3129" i="98"/>
  <c r="V3128" i="98"/>
  <c r="T3128" i="98"/>
  <c r="U3128" i="98" s="1"/>
  <c r="S3128" i="98"/>
  <c r="R3128" i="98"/>
  <c r="V3127" i="98"/>
  <c r="T3127" i="98"/>
  <c r="U3127" i="98" s="1"/>
  <c r="S3127" i="98"/>
  <c r="R3127" i="98"/>
  <c r="V3126" i="98"/>
  <c r="T3126" i="98"/>
  <c r="U3126" i="98" s="1"/>
  <c r="S3126" i="98"/>
  <c r="R3126" i="98"/>
  <c r="V3125" i="98"/>
  <c r="T3125" i="98"/>
  <c r="U3125" i="98" s="1"/>
  <c r="S3125" i="98"/>
  <c r="R3125" i="98"/>
  <c r="V3124" i="98"/>
  <c r="T3124" i="98"/>
  <c r="U3124" i="98" s="1"/>
  <c r="S3124" i="98"/>
  <c r="R3124" i="98"/>
  <c r="V3123" i="98"/>
  <c r="T3123" i="98"/>
  <c r="U3123" i="98" s="1"/>
  <c r="S3123" i="98"/>
  <c r="R3123" i="98"/>
  <c r="V3122" i="98"/>
  <c r="T3122" i="98"/>
  <c r="U3122" i="98" s="1"/>
  <c r="S3122" i="98"/>
  <c r="R3122" i="98"/>
  <c r="V3121" i="98"/>
  <c r="T3121" i="98"/>
  <c r="U3121" i="98" s="1"/>
  <c r="S3121" i="98"/>
  <c r="R3121" i="98"/>
  <c r="V3120" i="98"/>
  <c r="T3120" i="98"/>
  <c r="U3120" i="98" s="1"/>
  <c r="S3120" i="98"/>
  <c r="R3120" i="98"/>
  <c r="V3119" i="98"/>
  <c r="T3119" i="98"/>
  <c r="U3119" i="98" s="1"/>
  <c r="S3119" i="98"/>
  <c r="R3119" i="98"/>
  <c r="V3118" i="98"/>
  <c r="T3118" i="98"/>
  <c r="U3118" i="98" s="1"/>
  <c r="S3118" i="98"/>
  <c r="R3118" i="98"/>
  <c r="V3117" i="98"/>
  <c r="T3117" i="98"/>
  <c r="U3117" i="98" s="1"/>
  <c r="S3117" i="98"/>
  <c r="R3117" i="98"/>
  <c r="V3116" i="98"/>
  <c r="T3116" i="98"/>
  <c r="U3116" i="98" s="1"/>
  <c r="S3116" i="98"/>
  <c r="R3116" i="98"/>
  <c r="V3115" i="98"/>
  <c r="T3115" i="98"/>
  <c r="U3115" i="98" s="1"/>
  <c r="S3115" i="98"/>
  <c r="R3115" i="98"/>
  <c r="V3114" i="98"/>
  <c r="T3114" i="98"/>
  <c r="U3114" i="98" s="1"/>
  <c r="S3114" i="98"/>
  <c r="R3114" i="98"/>
  <c r="V3113" i="98"/>
  <c r="T3113" i="98"/>
  <c r="U3113" i="98" s="1"/>
  <c r="S3113" i="98"/>
  <c r="R3113" i="98"/>
  <c r="V3112" i="98"/>
  <c r="T3112" i="98"/>
  <c r="U3112" i="98" s="1"/>
  <c r="S3112" i="98"/>
  <c r="R3112" i="98"/>
  <c r="V3111" i="98"/>
  <c r="T3111" i="98"/>
  <c r="U3111" i="98" s="1"/>
  <c r="S3111" i="98"/>
  <c r="R3111" i="98"/>
  <c r="V3110" i="98"/>
  <c r="T3110" i="98"/>
  <c r="U3110" i="98" s="1"/>
  <c r="S3110" i="98"/>
  <c r="R3110" i="98"/>
  <c r="V3109" i="98"/>
  <c r="T3109" i="98"/>
  <c r="U3109" i="98" s="1"/>
  <c r="S3109" i="98"/>
  <c r="R3109" i="98"/>
  <c r="V3108" i="98"/>
  <c r="T3108" i="98"/>
  <c r="U3108" i="98" s="1"/>
  <c r="S3108" i="98"/>
  <c r="R3108" i="98"/>
  <c r="V3107" i="98"/>
  <c r="T3107" i="98"/>
  <c r="U3107" i="98" s="1"/>
  <c r="S3107" i="98"/>
  <c r="R3107" i="98"/>
  <c r="V3106" i="98"/>
  <c r="T3106" i="98"/>
  <c r="U3106" i="98" s="1"/>
  <c r="S3106" i="98"/>
  <c r="R3106" i="98"/>
  <c r="V3105" i="98"/>
  <c r="T3105" i="98"/>
  <c r="U3105" i="98" s="1"/>
  <c r="S3105" i="98"/>
  <c r="R3105" i="98"/>
  <c r="V3104" i="98"/>
  <c r="T3104" i="98"/>
  <c r="U3104" i="98" s="1"/>
  <c r="S3104" i="98"/>
  <c r="R3104" i="98"/>
  <c r="V3103" i="98"/>
  <c r="T3103" i="98"/>
  <c r="U3103" i="98" s="1"/>
  <c r="S3103" i="98"/>
  <c r="R3103" i="98"/>
  <c r="V3102" i="98"/>
  <c r="T3102" i="98"/>
  <c r="U3102" i="98" s="1"/>
  <c r="S3102" i="98"/>
  <c r="R3102" i="98"/>
  <c r="V3101" i="98"/>
  <c r="T3101" i="98"/>
  <c r="U3101" i="98" s="1"/>
  <c r="S3101" i="98"/>
  <c r="R3101" i="98"/>
  <c r="V3100" i="98"/>
  <c r="T3100" i="98"/>
  <c r="U3100" i="98" s="1"/>
  <c r="S3100" i="98"/>
  <c r="R3100" i="98"/>
  <c r="V3099" i="98"/>
  <c r="T3099" i="98"/>
  <c r="U3099" i="98" s="1"/>
  <c r="S3099" i="98"/>
  <c r="R3099" i="98"/>
  <c r="V3098" i="98"/>
  <c r="T3098" i="98"/>
  <c r="U3098" i="98" s="1"/>
  <c r="S3098" i="98"/>
  <c r="R3098" i="98"/>
  <c r="V3097" i="98"/>
  <c r="T3097" i="98"/>
  <c r="U3097" i="98" s="1"/>
  <c r="S3097" i="98"/>
  <c r="R3097" i="98"/>
  <c r="V3096" i="98"/>
  <c r="T3096" i="98"/>
  <c r="U3096" i="98" s="1"/>
  <c r="S3096" i="98"/>
  <c r="R3096" i="98"/>
  <c r="V3095" i="98"/>
  <c r="T3095" i="98"/>
  <c r="U3095" i="98" s="1"/>
  <c r="S3095" i="98"/>
  <c r="R3095" i="98"/>
  <c r="V3094" i="98"/>
  <c r="T3094" i="98"/>
  <c r="U3094" i="98" s="1"/>
  <c r="S3094" i="98"/>
  <c r="R3094" i="98"/>
  <c r="V3093" i="98"/>
  <c r="T3093" i="98"/>
  <c r="U3093" i="98" s="1"/>
  <c r="S3093" i="98"/>
  <c r="R3093" i="98"/>
  <c r="V3092" i="98"/>
  <c r="T3092" i="98"/>
  <c r="U3092" i="98" s="1"/>
  <c r="S3092" i="98"/>
  <c r="R3092" i="98"/>
  <c r="V3091" i="98"/>
  <c r="T3091" i="98"/>
  <c r="U3091" i="98" s="1"/>
  <c r="S3091" i="98"/>
  <c r="R3091" i="98"/>
  <c r="V3090" i="98"/>
  <c r="T3090" i="98"/>
  <c r="U3090" i="98" s="1"/>
  <c r="S3090" i="98"/>
  <c r="R3090" i="98"/>
  <c r="V3089" i="98"/>
  <c r="T3089" i="98"/>
  <c r="U3089" i="98" s="1"/>
  <c r="S3089" i="98"/>
  <c r="R3089" i="98"/>
  <c r="V3088" i="98"/>
  <c r="T3088" i="98"/>
  <c r="U3088" i="98" s="1"/>
  <c r="S3088" i="98"/>
  <c r="R3088" i="98"/>
  <c r="V3087" i="98"/>
  <c r="T3087" i="98"/>
  <c r="U3087" i="98" s="1"/>
  <c r="S3087" i="98"/>
  <c r="R3087" i="98"/>
  <c r="V3086" i="98"/>
  <c r="T3086" i="98"/>
  <c r="U3086" i="98" s="1"/>
  <c r="S3086" i="98"/>
  <c r="R3086" i="98"/>
  <c r="V3085" i="98"/>
  <c r="T3085" i="98"/>
  <c r="U3085" i="98" s="1"/>
  <c r="S3085" i="98"/>
  <c r="R3085" i="98"/>
  <c r="V3084" i="98"/>
  <c r="T3084" i="98"/>
  <c r="U3084" i="98" s="1"/>
  <c r="S3084" i="98"/>
  <c r="R3084" i="98"/>
  <c r="V3083" i="98"/>
  <c r="T3083" i="98"/>
  <c r="U3083" i="98" s="1"/>
  <c r="S3083" i="98"/>
  <c r="R3083" i="98"/>
  <c r="V3082" i="98"/>
  <c r="T3082" i="98"/>
  <c r="U3082" i="98" s="1"/>
  <c r="S3082" i="98"/>
  <c r="R3082" i="98"/>
  <c r="V3081" i="98"/>
  <c r="T3081" i="98"/>
  <c r="U3081" i="98" s="1"/>
  <c r="S3081" i="98"/>
  <c r="R3081" i="98"/>
  <c r="V3080" i="98"/>
  <c r="T3080" i="98"/>
  <c r="U3080" i="98" s="1"/>
  <c r="S3080" i="98"/>
  <c r="R3080" i="98"/>
  <c r="V3079" i="98"/>
  <c r="T3079" i="98"/>
  <c r="U3079" i="98" s="1"/>
  <c r="S3079" i="98"/>
  <c r="R3079" i="98"/>
  <c r="V3078" i="98"/>
  <c r="T3078" i="98"/>
  <c r="U3078" i="98" s="1"/>
  <c r="S3078" i="98"/>
  <c r="R3078" i="98"/>
  <c r="V3077" i="98"/>
  <c r="T3077" i="98"/>
  <c r="U3077" i="98" s="1"/>
  <c r="S3077" i="98"/>
  <c r="R3077" i="98"/>
  <c r="V3076" i="98"/>
  <c r="T3076" i="98"/>
  <c r="U3076" i="98" s="1"/>
  <c r="S3076" i="98"/>
  <c r="R3076" i="98"/>
  <c r="V3075" i="98"/>
  <c r="T3075" i="98"/>
  <c r="U3075" i="98" s="1"/>
  <c r="S3075" i="98"/>
  <c r="R3075" i="98"/>
  <c r="V3074" i="98"/>
  <c r="T3074" i="98"/>
  <c r="U3074" i="98" s="1"/>
  <c r="S3074" i="98"/>
  <c r="R3074" i="98"/>
  <c r="V3073" i="98"/>
  <c r="T3073" i="98"/>
  <c r="U3073" i="98" s="1"/>
  <c r="S3073" i="98"/>
  <c r="R3073" i="98"/>
  <c r="V3072" i="98"/>
  <c r="T3072" i="98"/>
  <c r="U3072" i="98" s="1"/>
  <c r="S3072" i="98"/>
  <c r="R3072" i="98"/>
  <c r="V3071" i="98"/>
  <c r="T3071" i="98"/>
  <c r="U3071" i="98" s="1"/>
  <c r="S3071" i="98"/>
  <c r="R3071" i="98"/>
  <c r="V3070" i="98"/>
  <c r="T3070" i="98"/>
  <c r="U3070" i="98" s="1"/>
  <c r="S3070" i="98"/>
  <c r="R3070" i="98"/>
  <c r="V3069" i="98"/>
  <c r="T3069" i="98"/>
  <c r="U3069" i="98" s="1"/>
  <c r="S3069" i="98"/>
  <c r="R3069" i="98"/>
  <c r="V3068" i="98"/>
  <c r="T3068" i="98"/>
  <c r="U3068" i="98" s="1"/>
  <c r="S3068" i="98"/>
  <c r="R3068" i="98"/>
  <c r="V3067" i="98"/>
  <c r="T3067" i="98"/>
  <c r="U3067" i="98" s="1"/>
  <c r="S3067" i="98"/>
  <c r="R3067" i="98"/>
  <c r="V3066" i="98"/>
  <c r="T3066" i="98"/>
  <c r="U3066" i="98" s="1"/>
  <c r="S3066" i="98"/>
  <c r="R3066" i="98"/>
  <c r="V3065" i="98"/>
  <c r="T3065" i="98"/>
  <c r="U3065" i="98" s="1"/>
  <c r="S3065" i="98"/>
  <c r="R3065" i="98"/>
  <c r="V3064" i="98"/>
  <c r="T3064" i="98"/>
  <c r="U3064" i="98" s="1"/>
  <c r="S3064" i="98"/>
  <c r="R3064" i="98"/>
  <c r="V3063" i="98"/>
  <c r="T3063" i="98"/>
  <c r="U3063" i="98" s="1"/>
  <c r="S3063" i="98"/>
  <c r="R3063" i="98"/>
  <c r="V3062" i="98"/>
  <c r="T3062" i="98"/>
  <c r="U3062" i="98" s="1"/>
  <c r="S3062" i="98"/>
  <c r="R3062" i="98"/>
  <c r="V3061" i="98"/>
  <c r="T3061" i="98"/>
  <c r="U3061" i="98" s="1"/>
  <c r="S3061" i="98"/>
  <c r="R3061" i="98"/>
  <c r="V3060" i="98"/>
  <c r="T3060" i="98"/>
  <c r="U3060" i="98" s="1"/>
  <c r="S3060" i="98"/>
  <c r="R3060" i="98"/>
  <c r="V3059" i="98"/>
  <c r="T3059" i="98"/>
  <c r="U3059" i="98" s="1"/>
  <c r="S3059" i="98"/>
  <c r="R3059" i="98"/>
  <c r="V3058" i="98"/>
  <c r="T3058" i="98"/>
  <c r="U3058" i="98" s="1"/>
  <c r="S3058" i="98"/>
  <c r="R3058" i="98"/>
  <c r="V3057" i="98"/>
  <c r="T3057" i="98"/>
  <c r="U3057" i="98" s="1"/>
  <c r="S3057" i="98"/>
  <c r="R3057" i="98"/>
  <c r="V3056" i="98"/>
  <c r="T3056" i="98"/>
  <c r="U3056" i="98" s="1"/>
  <c r="S3056" i="98"/>
  <c r="R3056" i="98"/>
  <c r="V3055" i="98"/>
  <c r="T3055" i="98"/>
  <c r="U3055" i="98" s="1"/>
  <c r="S3055" i="98"/>
  <c r="R3055" i="98"/>
  <c r="V3054" i="98"/>
  <c r="T3054" i="98"/>
  <c r="U3054" i="98" s="1"/>
  <c r="S3054" i="98"/>
  <c r="R3054" i="98"/>
  <c r="V3053" i="98"/>
  <c r="T3053" i="98"/>
  <c r="U3053" i="98" s="1"/>
  <c r="S3053" i="98"/>
  <c r="R3053" i="98"/>
  <c r="V3052" i="98"/>
  <c r="T3052" i="98"/>
  <c r="U3052" i="98" s="1"/>
  <c r="S3052" i="98"/>
  <c r="R3052" i="98"/>
  <c r="V3051" i="98"/>
  <c r="T3051" i="98"/>
  <c r="U3051" i="98" s="1"/>
  <c r="S3051" i="98"/>
  <c r="R3051" i="98"/>
  <c r="V3050" i="98"/>
  <c r="T3050" i="98"/>
  <c r="U3050" i="98" s="1"/>
  <c r="S3050" i="98"/>
  <c r="R3050" i="98"/>
  <c r="V3049" i="98"/>
  <c r="T3049" i="98"/>
  <c r="U3049" i="98" s="1"/>
  <c r="S3049" i="98"/>
  <c r="R3049" i="98"/>
  <c r="V3048" i="98"/>
  <c r="T3048" i="98"/>
  <c r="U3048" i="98" s="1"/>
  <c r="S3048" i="98"/>
  <c r="R3048" i="98"/>
  <c r="V3047" i="98"/>
  <c r="T3047" i="98"/>
  <c r="U3047" i="98" s="1"/>
  <c r="S3047" i="98"/>
  <c r="R3047" i="98"/>
  <c r="V3046" i="98"/>
  <c r="T3046" i="98"/>
  <c r="U3046" i="98" s="1"/>
  <c r="S3046" i="98"/>
  <c r="R3046" i="98"/>
  <c r="V3045" i="98"/>
  <c r="T3045" i="98"/>
  <c r="U3045" i="98" s="1"/>
  <c r="S3045" i="98"/>
  <c r="R3045" i="98"/>
  <c r="V3044" i="98"/>
  <c r="T3044" i="98"/>
  <c r="U3044" i="98" s="1"/>
  <c r="S3044" i="98"/>
  <c r="R3044" i="98"/>
  <c r="V3043" i="98"/>
  <c r="T3043" i="98"/>
  <c r="U3043" i="98" s="1"/>
  <c r="S3043" i="98"/>
  <c r="R3043" i="98"/>
  <c r="V3042" i="98"/>
  <c r="T3042" i="98"/>
  <c r="U3042" i="98" s="1"/>
  <c r="S3042" i="98"/>
  <c r="R3042" i="98"/>
  <c r="V3041" i="98"/>
  <c r="T3041" i="98"/>
  <c r="U3041" i="98" s="1"/>
  <c r="S3041" i="98"/>
  <c r="R3041" i="98"/>
  <c r="V3040" i="98"/>
  <c r="T3040" i="98"/>
  <c r="U3040" i="98" s="1"/>
  <c r="S3040" i="98"/>
  <c r="R3040" i="98"/>
  <c r="V3039" i="98"/>
  <c r="T3039" i="98"/>
  <c r="U3039" i="98" s="1"/>
  <c r="S3039" i="98"/>
  <c r="R3039" i="98"/>
  <c r="V3038" i="98"/>
  <c r="T3038" i="98"/>
  <c r="U3038" i="98" s="1"/>
  <c r="S3038" i="98"/>
  <c r="R3038" i="98"/>
  <c r="V3037" i="98"/>
  <c r="T3037" i="98"/>
  <c r="U3037" i="98" s="1"/>
  <c r="S3037" i="98"/>
  <c r="R3037" i="98"/>
  <c r="V3036" i="98"/>
  <c r="T3036" i="98"/>
  <c r="U3036" i="98" s="1"/>
  <c r="S3036" i="98"/>
  <c r="R3036" i="98"/>
  <c r="V3035" i="98"/>
  <c r="T3035" i="98"/>
  <c r="U3035" i="98" s="1"/>
  <c r="S3035" i="98"/>
  <c r="R3035" i="98"/>
  <c r="V3034" i="98"/>
  <c r="T3034" i="98"/>
  <c r="U3034" i="98" s="1"/>
  <c r="S3034" i="98"/>
  <c r="R3034" i="98"/>
  <c r="V3033" i="98"/>
  <c r="T3033" i="98"/>
  <c r="U3033" i="98" s="1"/>
  <c r="S3033" i="98"/>
  <c r="R3033" i="98"/>
  <c r="V3032" i="98"/>
  <c r="T3032" i="98"/>
  <c r="U3032" i="98" s="1"/>
  <c r="S3032" i="98"/>
  <c r="R3032" i="98"/>
  <c r="V3031" i="98"/>
  <c r="T3031" i="98"/>
  <c r="U3031" i="98" s="1"/>
  <c r="S3031" i="98"/>
  <c r="R3031" i="98"/>
  <c r="V3030" i="98"/>
  <c r="T3030" i="98"/>
  <c r="U3030" i="98" s="1"/>
  <c r="S3030" i="98"/>
  <c r="R3030" i="98"/>
  <c r="V3029" i="98"/>
  <c r="T3029" i="98"/>
  <c r="U3029" i="98" s="1"/>
  <c r="S3029" i="98"/>
  <c r="R3029" i="98"/>
  <c r="V3028" i="98"/>
  <c r="T3028" i="98"/>
  <c r="U3028" i="98" s="1"/>
  <c r="S3028" i="98"/>
  <c r="R3028" i="98"/>
  <c r="V3027" i="98"/>
  <c r="T3027" i="98"/>
  <c r="U3027" i="98" s="1"/>
  <c r="S3027" i="98"/>
  <c r="R3027" i="98"/>
  <c r="V3026" i="98"/>
  <c r="T3026" i="98"/>
  <c r="U3026" i="98" s="1"/>
  <c r="S3026" i="98"/>
  <c r="R3026" i="98"/>
  <c r="V3025" i="98"/>
  <c r="T3025" i="98"/>
  <c r="U3025" i="98" s="1"/>
  <c r="S3025" i="98"/>
  <c r="R3025" i="98"/>
  <c r="V3024" i="98"/>
  <c r="T3024" i="98"/>
  <c r="U3024" i="98" s="1"/>
  <c r="S3024" i="98"/>
  <c r="R3024" i="98"/>
  <c r="V3023" i="98"/>
  <c r="T3023" i="98"/>
  <c r="U3023" i="98" s="1"/>
  <c r="S3023" i="98"/>
  <c r="R3023" i="98"/>
  <c r="V3022" i="98"/>
  <c r="T3022" i="98"/>
  <c r="U3022" i="98" s="1"/>
  <c r="S3022" i="98"/>
  <c r="R3022" i="98"/>
  <c r="V3021" i="98"/>
  <c r="T3021" i="98"/>
  <c r="U3021" i="98" s="1"/>
  <c r="S3021" i="98"/>
  <c r="R3021" i="98"/>
  <c r="V3020" i="98"/>
  <c r="T3020" i="98"/>
  <c r="U3020" i="98" s="1"/>
  <c r="S3020" i="98"/>
  <c r="R3020" i="98"/>
  <c r="V3019" i="98"/>
  <c r="T3019" i="98"/>
  <c r="U3019" i="98" s="1"/>
  <c r="S3019" i="98"/>
  <c r="R3019" i="98"/>
  <c r="V3018" i="98"/>
  <c r="T3018" i="98"/>
  <c r="U3018" i="98" s="1"/>
  <c r="S3018" i="98"/>
  <c r="R3018" i="98"/>
  <c r="V3017" i="98"/>
  <c r="T3017" i="98"/>
  <c r="U3017" i="98" s="1"/>
  <c r="S3017" i="98"/>
  <c r="R3017" i="98"/>
  <c r="V3016" i="98"/>
  <c r="T3016" i="98"/>
  <c r="U3016" i="98" s="1"/>
  <c r="S3016" i="98"/>
  <c r="R3016" i="98"/>
  <c r="V3015" i="98"/>
  <c r="T3015" i="98"/>
  <c r="U3015" i="98" s="1"/>
  <c r="S3015" i="98"/>
  <c r="R3015" i="98"/>
  <c r="V3014" i="98"/>
  <c r="T3014" i="98"/>
  <c r="U3014" i="98" s="1"/>
  <c r="S3014" i="98"/>
  <c r="R3014" i="98"/>
  <c r="V3013" i="98"/>
  <c r="T3013" i="98"/>
  <c r="U3013" i="98" s="1"/>
  <c r="S3013" i="98"/>
  <c r="R3013" i="98"/>
  <c r="V3012" i="98"/>
  <c r="T3012" i="98"/>
  <c r="U3012" i="98" s="1"/>
  <c r="S3012" i="98"/>
  <c r="R3012" i="98"/>
  <c r="V3011" i="98"/>
  <c r="T3011" i="98"/>
  <c r="U3011" i="98" s="1"/>
  <c r="S3011" i="98"/>
  <c r="R3011" i="98"/>
  <c r="V3010" i="98"/>
  <c r="T3010" i="98"/>
  <c r="U3010" i="98" s="1"/>
  <c r="S3010" i="98"/>
  <c r="R3010" i="98"/>
  <c r="V3009" i="98"/>
  <c r="T3009" i="98"/>
  <c r="U3009" i="98" s="1"/>
  <c r="S3009" i="98"/>
  <c r="R3009" i="98"/>
  <c r="V3008" i="98"/>
  <c r="T3008" i="98"/>
  <c r="U3008" i="98" s="1"/>
  <c r="S3008" i="98"/>
  <c r="R3008" i="98"/>
  <c r="V3007" i="98"/>
  <c r="T3007" i="98"/>
  <c r="U3007" i="98" s="1"/>
  <c r="S3007" i="98"/>
  <c r="R3007" i="98"/>
  <c r="V3006" i="98"/>
  <c r="T3006" i="98"/>
  <c r="U3006" i="98" s="1"/>
  <c r="S3006" i="98"/>
  <c r="R3006" i="98"/>
  <c r="V3005" i="98"/>
  <c r="T3005" i="98"/>
  <c r="U3005" i="98" s="1"/>
  <c r="S3005" i="98"/>
  <c r="R3005" i="98"/>
  <c r="V3004" i="98"/>
  <c r="T3004" i="98"/>
  <c r="U3004" i="98" s="1"/>
  <c r="S3004" i="98"/>
  <c r="R3004" i="98"/>
  <c r="V3003" i="98"/>
  <c r="T3003" i="98"/>
  <c r="U3003" i="98" s="1"/>
  <c r="S3003" i="98"/>
  <c r="R3003" i="98"/>
  <c r="V3002" i="98"/>
  <c r="T3002" i="98"/>
  <c r="U3002" i="98" s="1"/>
  <c r="S3002" i="98"/>
  <c r="R3002" i="98"/>
  <c r="V3001" i="98"/>
  <c r="T3001" i="98"/>
  <c r="U3001" i="98" s="1"/>
  <c r="S3001" i="98"/>
  <c r="R3001" i="98"/>
  <c r="V3000" i="98"/>
  <c r="T3000" i="98"/>
  <c r="U3000" i="98" s="1"/>
  <c r="S3000" i="98"/>
  <c r="R3000" i="98"/>
  <c r="V2999" i="98"/>
  <c r="T2999" i="98"/>
  <c r="U2999" i="98" s="1"/>
  <c r="S2999" i="98"/>
  <c r="R2999" i="98"/>
  <c r="V2998" i="98"/>
  <c r="T2998" i="98"/>
  <c r="U2998" i="98" s="1"/>
  <c r="S2998" i="98"/>
  <c r="R2998" i="98"/>
  <c r="V2997" i="98"/>
  <c r="T2997" i="98"/>
  <c r="U2997" i="98" s="1"/>
  <c r="S2997" i="98"/>
  <c r="R2997" i="98"/>
  <c r="V2996" i="98"/>
  <c r="T2996" i="98"/>
  <c r="U2996" i="98" s="1"/>
  <c r="S2996" i="98"/>
  <c r="R2996" i="98"/>
  <c r="V2995" i="98"/>
  <c r="T2995" i="98"/>
  <c r="U2995" i="98" s="1"/>
  <c r="S2995" i="98"/>
  <c r="R2995" i="98"/>
  <c r="V2994" i="98"/>
  <c r="T2994" i="98"/>
  <c r="U2994" i="98" s="1"/>
  <c r="S2994" i="98"/>
  <c r="R2994" i="98"/>
  <c r="V2993" i="98"/>
  <c r="T2993" i="98"/>
  <c r="U2993" i="98" s="1"/>
  <c r="S2993" i="98"/>
  <c r="R2993" i="98"/>
  <c r="V2992" i="98"/>
  <c r="T2992" i="98"/>
  <c r="U2992" i="98" s="1"/>
  <c r="S2992" i="98"/>
  <c r="R2992" i="98"/>
  <c r="V2991" i="98"/>
  <c r="T2991" i="98"/>
  <c r="U2991" i="98" s="1"/>
  <c r="S2991" i="98"/>
  <c r="R2991" i="98"/>
  <c r="V2990" i="98"/>
  <c r="T2990" i="98"/>
  <c r="U2990" i="98" s="1"/>
  <c r="S2990" i="98"/>
  <c r="R2990" i="98"/>
  <c r="V2989" i="98"/>
  <c r="T2989" i="98"/>
  <c r="U2989" i="98" s="1"/>
  <c r="S2989" i="98"/>
  <c r="R2989" i="98"/>
  <c r="V2988" i="98"/>
  <c r="T2988" i="98"/>
  <c r="U2988" i="98" s="1"/>
  <c r="S2988" i="98"/>
  <c r="R2988" i="98"/>
  <c r="V2987" i="98"/>
  <c r="T2987" i="98"/>
  <c r="U2987" i="98" s="1"/>
  <c r="S2987" i="98"/>
  <c r="R2987" i="98"/>
  <c r="V2986" i="98"/>
  <c r="T2986" i="98"/>
  <c r="U2986" i="98" s="1"/>
  <c r="S2986" i="98"/>
  <c r="R2986" i="98"/>
  <c r="V2985" i="98"/>
  <c r="T2985" i="98"/>
  <c r="U2985" i="98" s="1"/>
  <c r="S2985" i="98"/>
  <c r="R2985" i="98"/>
  <c r="V2984" i="98"/>
  <c r="T2984" i="98"/>
  <c r="U2984" i="98" s="1"/>
  <c r="S2984" i="98"/>
  <c r="R2984" i="98"/>
  <c r="V2983" i="98"/>
  <c r="T2983" i="98"/>
  <c r="U2983" i="98" s="1"/>
  <c r="S2983" i="98"/>
  <c r="R2983" i="98"/>
  <c r="V2982" i="98"/>
  <c r="T2982" i="98"/>
  <c r="U2982" i="98" s="1"/>
  <c r="S2982" i="98"/>
  <c r="R2982" i="98"/>
  <c r="V2981" i="98"/>
  <c r="T2981" i="98"/>
  <c r="U2981" i="98" s="1"/>
  <c r="S2981" i="98"/>
  <c r="R2981" i="98"/>
  <c r="V2980" i="98"/>
  <c r="T2980" i="98"/>
  <c r="U2980" i="98" s="1"/>
  <c r="S2980" i="98"/>
  <c r="R2980" i="98"/>
  <c r="V2979" i="98"/>
  <c r="T2979" i="98"/>
  <c r="U2979" i="98" s="1"/>
  <c r="S2979" i="98"/>
  <c r="R2979" i="98"/>
  <c r="V2978" i="98"/>
  <c r="T2978" i="98"/>
  <c r="U2978" i="98" s="1"/>
  <c r="S2978" i="98"/>
  <c r="R2978" i="98"/>
  <c r="V2977" i="98"/>
  <c r="T2977" i="98"/>
  <c r="U2977" i="98" s="1"/>
  <c r="S2977" i="98"/>
  <c r="R2977" i="98"/>
  <c r="V2976" i="98"/>
  <c r="T2976" i="98"/>
  <c r="U2976" i="98" s="1"/>
  <c r="S2976" i="98"/>
  <c r="R2976" i="98"/>
  <c r="V2975" i="98"/>
  <c r="T2975" i="98"/>
  <c r="U2975" i="98" s="1"/>
  <c r="S2975" i="98"/>
  <c r="R2975" i="98"/>
  <c r="V2974" i="98"/>
  <c r="T2974" i="98"/>
  <c r="U2974" i="98" s="1"/>
  <c r="S2974" i="98"/>
  <c r="R2974" i="98"/>
  <c r="V2973" i="98"/>
  <c r="T2973" i="98"/>
  <c r="U2973" i="98" s="1"/>
  <c r="S2973" i="98"/>
  <c r="R2973" i="98"/>
  <c r="V2972" i="98"/>
  <c r="T2972" i="98"/>
  <c r="U2972" i="98" s="1"/>
  <c r="S2972" i="98"/>
  <c r="R2972" i="98"/>
  <c r="V2971" i="98"/>
  <c r="T2971" i="98"/>
  <c r="U2971" i="98" s="1"/>
  <c r="S2971" i="98"/>
  <c r="R2971" i="98"/>
  <c r="V2970" i="98"/>
  <c r="T2970" i="98"/>
  <c r="U2970" i="98" s="1"/>
  <c r="S2970" i="98"/>
  <c r="R2970" i="98"/>
  <c r="V2969" i="98"/>
  <c r="T2969" i="98"/>
  <c r="U2969" i="98" s="1"/>
  <c r="S2969" i="98"/>
  <c r="R2969" i="98"/>
  <c r="V2968" i="98"/>
  <c r="T2968" i="98"/>
  <c r="U2968" i="98" s="1"/>
  <c r="S2968" i="98"/>
  <c r="R2968" i="98"/>
  <c r="V2967" i="98"/>
  <c r="T2967" i="98"/>
  <c r="U2967" i="98" s="1"/>
  <c r="S2967" i="98"/>
  <c r="R2967" i="98"/>
  <c r="V2966" i="98"/>
  <c r="T2966" i="98"/>
  <c r="U2966" i="98" s="1"/>
  <c r="S2966" i="98"/>
  <c r="R2966" i="98"/>
  <c r="V2965" i="98"/>
  <c r="T2965" i="98"/>
  <c r="U2965" i="98" s="1"/>
  <c r="S2965" i="98"/>
  <c r="R2965" i="98"/>
  <c r="V2964" i="98"/>
  <c r="T2964" i="98"/>
  <c r="U2964" i="98" s="1"/>
  <c r="S2964" i="98"/>
  <c r="R2964" i="98"/>
  <c r="V2963" i="98"/>
  <c r="T2963" i="98"/>
  <c r="U2963" i="98" s="1"/>
  <c r="S2963" i="98"/>
  <c r="R2963" i="98"/>
  <c r="V2962" i="98"/>
  <c r="T2962" i="98"/>
  <c r="U2962" i="98" s="1"/>
  <c r="S2962" i="98"/>
  <c r="R2962" i="98"/>
  <c r="V2961" i="98"/>
  <c r="T2961" i="98"/>
  <c r="U2961" i="98" s="1"/>
  <c r="S2961" i="98"/>
  <c r="R2961" i="98"/>
  <c r="V2960" i="98"/>
  <c r="T2960" i="98"/>
  <c r="U2960" i="98" s="1"/>
  <c r="S2960" i="98"/>
  <c r="R2960" i="98"/>
  <c r="V2959" i="98"/>
  <c r="T2959" i="98"/>
  <c r="U2959" i="98" s="1"/>
  <c r="S2959" i="98"/>
  <c r="R2959" i="98"/>
  <c r="V2958" i="98"/>
  <c r="T2958" i="98"/>
  <c r="U2958" i="98" s="1"/>
  <c r="S2958" i="98"/>
  <c r="R2958" i="98"/>
  <c r="V2957" i="98"/>
  <c r="T2957" i="98"/>
  <c r="U2957" i="98" s="1"/>
  <c r="S2957" i="98"/>
  <c r="R2957" i="98"/>
  <c r="V2956" i="98"/>
  <c r="T2956" i="98"/>
  <c r="U2956" i="98" s="1"/>
  <c r="S2956" i="98"/>
  <c r="R2956" i="98"/>
  <c r="V2955" i="98"/>
  <c r="T2955" i="98"/>
  <c r="U2955" i="98" s="1"/>
  <c r="S2955" i="98"/>
  <c r="R2955" i="98"/>
  <c r="V2954" i="98"/>
  <c r="T2954" i="98"/>
  <c r="U2954" i="98" s="1"/>
  <c r="S2954" i="98"/>
  <c r="R2954" i="98"/>
  <c r="V2953" i="98"/>
  <c r="T2953" i="98"/>
  <c r="U2953" i="98" s="1"/>
  <c r="S2953" i="98"/>
  <c r="R2953" i="98"/>
  <c r="V2952" i="98"/>
  <c r="T2952" i="98"/>
  <c r="U2952" i="98" s="1"/>
  <c r="S2952" i="98"/>
  <c r="R2952" i="98"/>
  <c r="V2951" i="98"/>
  <c r="T2951" i="98"/>
  <c r="U2951" i="98" s="1"/>
  <c r="S2951" i="98"/>
  <c r="R2951" i="98"/>
  <c r="V2950" i="98"/>
  <c r="T2950" i="98"/>
  <c r="U2950" i="98" s="1"/>
  <c r="S2950" i="98"/>
  <c r="R2950" i="98"/>
  <c r="V2949" i="98"/>
  <c r="T2949" i="98"/>
  <c r="U2949" i="98" s="1"/>
  <c r="S2949" i="98"/>
  <c r="R2949" i="98"/>
  <c r="V2948" i="98"/>
  <c r="T2948" i="98"/>
  <c r="U2948" i="98" s="1"/>
  <c r="S2948" i="98"/>
  <c r="R2948" i="98"/>
  <c r="V2947" i="98"/>
  <c r="T2947" i="98"/>
  <c r="U2947" i="98" s="1"/>
  <c r="S2947" i="98"/>
  <c r="R2947" i="98"/>
  <c r="V2946" i="98"/>
  <c r="T2946" i="98"/>
  <c r="U2946" i="98" s="1"/>
  <c r="S2946" i="98"/>
  <c r="R2946" i="98"/>
  <c r="V2945" i="98"/>
  <c r="T2945" i="98"/>
  <c r="U2945" i="98" s="1"/>
  <c r="S2945" i="98"/>
  <c r="R2945" i="98"/>
  <c r="V2944" i="98"/>
  <c r="T2944" i="98"/>
  <c r="U2944" i="98" s="1"/>
  <c r="S2944" i="98"/>
  <c r="R2944" i="98"/>
  <c r="V2943" i="98"/>
  <c r="T2943" i="98"/>
  <c r="U2943" i="98" s="1"/>
  <c r="S2943" i="98"/>
  <c r="R2943" i="98"/>
  <c r="V2942" i="98"/>
  <c r="T2942" i="98"/>
  <c r="U2942" i="98" s="1"/>
  <c r="S2942" i="98"/>
  <c r="R2942" i="98"/>
  <c r="V2941" i="98"/>
  <c r="T2941" i="98"/>
  <c r="U2941" i="98" s="1"/>
  <c r="S2941" i="98"/>
  <c r="R2941" i="98"/>
  <c r="V2940" i="98"/>
  <c r="T2940" i="98"/>
  <c r="U2940" i="98" s="1"/>
  <c r="S2940" i="98"/>
  <c r="R2940" i="98"/>
  <c r="V2939" i="98"/>
  <c r="T2939" i="98"/>
  <c r="U2939" i="98" s="1"/>
  <c r="S2939" i="98"/>
  <c r="R2939" i="98"/>
  <c r="V2938" i="98"/>
  <c r="T2938" i="98"/>
  <c r="U2938" i="98" s="1"/>
  <c r="S2938" i="98"/>
  <c r="R2938" i="98"/>
  <c r="V2937" i="98"/>
  <c r="T2937" i="98"/>
  <c r="U2937" i="98" s="1"/>
  <c r="S2937" i="98"/>
  <c r="R2937" i="98"/>
  <c r="V2936" i="98"/>
  <c r="T2936" i="98"/>
  <c r="U2936" i="98" s="1"/>
  <c r="S2936" i="98"/>
  <c r="R2936" i="98"/>
  <c r="V2935" i="98"/>
  <c r="T2935" i="98"/>
  <c r="U2935" i="98" s="1"/>
  <c r="S2935" i="98"/>
  <c r="R2935" i="98"/>
  <c r="V2934" i="98"/>
  <c r="T2934" i="98"/>
  <c r="U2934" i="98" s="1"/>
  <c r="S2934" i="98"/>
  <c r="R2934" i="98"/>
  <c r="V2933" i="98"/>
  <c r="T2933" i="98"/>
  <c r="U2933" i="98" s="1"/>
  <c r="S2933" i="98"/>
  <c r="R2933" i="98"/>
  <c r="V2932" i="98"/>
  <c r="T2932" i="98"/>
  <c r="U2932" i="98" s="1"/>
  <c r="S2932" i="98"/>
  <c r="R2932" i="98"/>
  <c r="V2931" i="98"/>
  <c r="T2931" i="98"/>
  <c r="U2931" i="98" s="1"/>
  <c r="S2931" i="98"/>
  <c r="R2931" i="98"/>
  <c r="V2930" i="98"/>
  <c r="T2930" i="98"/>
  <c r="U2930" i="98" s="1"/>
  <c r="S2930" i="98"/>
  <c r="R2930" i="98"/>
  <c r="V2929" i="98"/>
  <c r="T2929" i="98"/>
  <c r="U2929" i="98" s="1"/>
  <c r="S2929" i="98"/>
  <c r="R2929" i="98"/>
  <c r="V2928" i="98"/>
  <c r="T2928" i="98"/>
  <c r="U2928" i="98" s="1"/>
  <c r="S2928" i="98"/>
  <c r="R2928" i="98"/>
  <c r="V2927" i="98"/>
  <c r="T2927" i="98"/>
  <c r="U2927" i="98" s="1"/>
  <c r="S2927" i="98"/>
  <c r="R2927" i="98"/>
  <c r="V2926" i="98"/>
  <c r="T2926" i="98"/>
  <c r="U2926" i="98" s="1"/>
  <c r="S2926" i="98"/>
  <c r="R2926" i="98"/>
  <c r="V2925" i="98"/>
  <c r="T2925" i="98"/>
  <c r="U2925" i="98" s="1"/>
  <c r="S2925" i="98"/>
  <c r="R2925" i="98"/>
  <c r="V2924" i="98"/>
  <c r="T2924" i="98"/>
  <c r="U2924" i="98" s="1"/>
  <c r="S2924" i="98"/>
  <c r="R2924" i="98"/>
  <c r="V2923" i="98"/>
  <c r="T2923" i="98"/>
  <c r="U2923" i="98" s="1"/>
  <c r="S2923" i="98"/>
  <c r="R2923" i="98"/>
  <c r="V2922" i="98"/>
  <c r="T2922" i="98"/>
  <c r="U2922" i="98" s="1"/>
  <c r="S2922" i="98"/>
  <c r="R2922" i="98"/>
  <c r="V2921" i="98"/>
  <c r="T2921" i="98"/>
  <c r="U2921" i="98" s="1"/>
  <c r="S2921" i="98"/>
  <c r="R2921" i="98"/>
  <c r="V2920" i="98"/>
  <c r="T2920" i="98"/>
  <c r="U2920" i="98" s="1"/>
  <c r="S2920" i="98"/>
  <c r="R2920" i="98"/>
  <c r="V2919" i="98"/>
  <c r="T2919" i="98"/>
  <c r="U2919" i="98" s="1"/>
  <c r="S2919" i="98"/>
  <c r="R2919" i="98"/>
  <c r="V2918" i="98"/>
  <c r="T2918" i="98"/>
  <c r="U2918" i="98" s="1"/>
  <c r="S2918" i="98"/>
  <c r="R2918" i="98"/>
  <c r="V2917" i="98"/>
  <c r="T2917" i="98"/>
  <c r="U2917" i="98" s="1"/>
  <c r="S2917" i="98"/>
  <c r="R2917" i="98"/>
  <c r="V2916" i="98"/>
  <c r="T2916" i="98"/>
  <c r="U2916" i="98" s="1"/>
  <c r="S2916" i="98"/>
  <c r="R2916" i="98"/>
  <c r="V2915" i="98"/>
  <c r="T2915" i="98"/>
  <c r="U2915" i="98" s="1"/>
  <c r="S2915" i="98"/>
  <c r="R2915" i="98"/>
  <c r="V2914" i="98"/>
  <c r="T2914" i="98"/>
  <c r="U2914" i="98" s="1"/>
  <c r="S2914" i="98"/>
  <c r="R2914" i="98"/>
  <c r="V2913" i="98"/>
  <c r="T2913" i="98"/>
  <c r="U2913" i="98" s="1"/>
  <c r="S2913" i="98"/>
  <c r="R2913" i="98"/>
  <c r="V2912" i="98"/>
  <c r="T2912" i="98"/>
  <c r="U2912" i="98" s="1"/>
  <c r="S2912" i="98"/>
  <c r="R2912" i="98"/>
  <c r="V2911" i="98"/>
  <c r="T2911" i="98"/>
  <c r="U2911" i="98" s="1"/>
  <c r="S2911" i="98"/>
  <c r="R2911" i="98"/>
  <c r="V2910" i="98"/>
  <c r="T2910" i="98"/>
  <c r="U2910" i="98" s="1"/>
  <c r="S2910" i="98"/>
  <c r="R2910" i="98"/>
  <c r="V2909" i="98"/>
  <c r="T2909" i="98"/>
  <c r="U2909" i="98" s="1"/>
  <c r="S2909" i="98"/>
  <c r="R2909" i="98"/>
  <c r="V2908" i="98"/>
  <c r="T2908" i="98"/>
  <c r="U2908" i="98" s="1"/>
  <c r="S2908" i="98"/>
  <c r="R2908" i="98"/>
  <c r="V2907" i="98"/>
  <c r="T2907" i="98"/>
  <c r="U2907" i="98" s="1"/>
  <c r="S2907" i="98"/>
  <c r="R2907" i="98"/>
  <c r="V2906" i="98"/>
  <c r="T2906" i="98"/>
  <c r="U2906" i="98" s="1"/>
  <c r="S2906" i="98"/>
  <c r="R2906" i="98"/>
  <c r="V2905" i="98"/>
  <c r="T2905" i="98"/>
  <c r="U2905" i="98" s="1"/>
  <c r="S2905" i="98"/>
  <c r="R2905" i="98"/>
  <c r="V2904" i="98"/>
  <c r="T2904" i="98"/>
  <c r="U2904" i="98" s="1"/>
  <c r="S2904" i="98"/>
  <c r="R2904" i="98"/>
  <c r="V2903" i="98"/>
  <c r="T2903" i="98"/>
  <c r="U2903" i="98" s="1"/>
  <c r="S2903" i="98"/>
  <c r="R2903" i="98"/>
  <c r="V2902" i="98"/>
  <c r="T2902" i="98"/>
  <c r="U2902" i="98" s="1"/>
  <c r="S2902" i="98"/>
  <c r="R2902" i="98"/>
  <c r="V2901" i="98"/>
  <c r="T2901" i="98"/>
  <c r="U2901" i="98" s="1"/>
  <c r="S2901" i="98"/>
  <c r="R2901" i="98"/>
  <c r="V2900" i="98"/>
  <c r="T2900" i="98"/>
  <c r="U2900" i="98" s="1"/>
  <c r="S2900" i="98"/>
  <c r="R2900" i="98"/>
  <c r="V2899" i="98"/>
  <c r="T2899" i="98"/>
  <c r="U2899" i="98" s="1"/>
  <c r="S2899" i="98"/>
  <c r="R2899" i="98"/>
  <c r="V2898" i="98"/>
  <c r="T2898" i="98"/>
  <c r="U2898" i="98" s="1"/>
  <c r="S2898" i="98"/>
  <c r="R2898" i="98"/>
  <c r="V2897" i="98"/>
  <c r="T2897" i="98"/>
  <c r="U2897" i="98" s="1"/>
  <c r="S2897" i="98"/>
  <c r="R2897" i="98"/>
  <c r="V2896" i="98"/>
  <c r="T2896" i="98"/>
  <c r="U2896" i="98" s="1"/>
  <c r="S2896" i="98"/>
  <c r="R2896" i="98"/>
  <c r="V2895" i="98"/>
  <c r="T2895" i="98"/>
  <c r="U2895" i="98" s="1"/>
  <c r="S2895" i="98"/>
  <c r="R2895" i="98"/>
  <c r="V2894" i="98"/>
  <c r="T2894" i="98"/>
  <c r="U2894" i="98" s="1"/>
  <c r="S2894" i="98"/>
  <c r="R2894" i="98"/>
  <c r="V2893" i="98"/>
  <c r="T2893" i="98"/>
  <c r="U2893" i="98" s="1"/>
  <c r="S2893" i="98"/>
  <c r="R2893" i="98"/>
  <c r="V2892" i="98"/>
  <c r="T2892" i="98"/>
  <c r="U2892" i="98" s="1"/>
  <c r="S2892" i="98"/>
  <c r="R2892" i="98"/>
  <c r="V2891" i="98"/>
  <c r="T2891" i="98"/>
  <c r="U2891" i="98" s="1"/>
  <c r="S2891" i="98"/>
  <c r="R2891" i="98"/>
  <c r="V2890" i="98"/>
  <c r="T2890" i="98"/>
  <c r="U2890" i="98" s="1"/>
  <c r="S2890" i="98"/>
  <c r="R2890" i="98"/>
  <c r="V2889" i="98"/>
  <c r="T2889" i="98"/>
  <c r="U2889" i="98" s="1"/>
  <c r="S2889" i="98"/>
  <c r="R2889" i="98"/>
  <c r="V2888" i="98"/>
  <c r="T2888" i="98"/>
  <c r="U2888" i="98" s="1"/>
  <c r="S2888" i="98"/>
  <c r="R2888" i="98"/>
  <c r="V2887" i="98"/>
  <c r="T2887" i="98"/>
  <c r="U2887" i="98" s="1"/>
  <c r="S2887" i="98"/>
  <c r="R2887" i="98"/>
  <c r="V2886" i="98"/>
  <c r="T2886" i="98"/>
  <c r="U2886" i="98" s="1"/>
  <c r="S2886" i="98"/>
  <c r="R2886" i="98"/>
  <c r="V2885" i="98"/>
  <c r="T2885" i="98"/>
  <c r="U2885" i="98" s="1"/>
  <c r="S2885" i="98"/>
  <c r="R2885" i="98"/>
  <c r="V2884" i="98"/>
  <c r="T2884" i="98"/>
  <c r="U2884" i="98" s="1"/>
  <c r="S2884" i="98"/>
  <c r="R2884" i="98"/>
  <c r="V2883" i="98"/>
  <c r="T2883" i="98"/>
  <c r="U2883" i="98" s="1"/>
  <c r="S2883" i="98"/>
  <c r="R2883" i="98"/>
  <c r="V2882" i="98"/>
  <c r="T2882" i="98"/>
  <c r="U2882" i="98" s="1"/>
  <c r="S2882" i="98"/>
  <c r="R2882" i="98"/>
  <c r="V2881" i="98"/>
  <c r="T2881" i="98"/>
  <c r="U2881" i="98" s="1"/>
  <c r="S2881" i="98"/>
  <c r="R2881" i="98"/>
  <c r="V2880" i="98"/>
  <c r="T2880" i="98"/>
  <c r="U2880" i="98" s="1"/>
  <c r="S2880" i="98"/>
  <c r="R2880" i="98"/>
  <c r="V2879" i="98"/>
  <c r="T2879" i="98"/>
  <c r="U2879" i="98" s="1"/>
  <c r="S2879" i="98"/>
  <c r="R2879" i="98"/>
  <c r="V2878" i="98"/>
  <c r="T2878" i="98"/>
  <c r="U2878" i="98" s="1"/>
  <c r="S2878" i="98"/>
  <c r="R2878" i="98"/>
  <c r="V2877" i="98"/>
  <c r="T2877" i="98"/>
  <c r="U2877" i="98" s="1"/>
  <c r="S2877" i="98"/>
  <c r="R2877" i="98"/>
  <c r="V2876" i="98"/>
  <c r="T2876" i="98"/>
  <c r="U2876" i="98" s="1"/>
  <c r="S2876" i="98"/>
  <c r="R2876" i="98"/>
  <c r="V2875" i="98"/>
  <c r="T2875" i="98"/>
  <c r="U2875" i="98" s="1"/>
  <c r="S2875" i="98"/>
  <c r="R2875" i="98"/>
  <c r="V2874" i="98"/>
  <c r="T2874" i="98"/>
  <c r="U2874" i="98" s="1"/>
  <c r="S2874" i="98"/>
  <c r="R2874" i="98"/>
  <c r="V2873" i="98"/>
  <c r="T2873" i="98"/>
  <c r="U2873" i="98" s="1"/>
  <c r="S2873" i="98"/>
  <c r="R2873" i="98"/>
  <c r="V2872" i="98"/>
  <c r="T2872" i="98"/>
  <c r="U2872" i="98" s="1"/>
  <c r="S2872" i="98"/>
  <c r="R2872" i="98"/>
  <c r="V2871" i="98"/>
  <c r="T2871" i="98"/>
  <c r="U2871" i="98" s="1"/>
  <c r="S2871" i="98"/>
  <c r="R2871" i="98"/>
  <c r="V2870" i="98"/>
  <c r="T2870" i="98"/>
  <c r="U2870" i="98" s="1"/>
  <c r="S2870" i="98"/>
  <c r="R2870" i="98"/>
  <c r="V2869" i="98"/>
  <c r="T2869" i="98"/>
  <c r="U2869" i="98" s="1"/>
  <c r="S2869" i="98"/>
  <c r="R2869" i="98"/>
  <c r="V2868" i="98"/>
  <c r="T2868" i="98"/>
  <c r="U2868" i="98" s="1"/>
  <c r="S2868" i="98"/>
  <c r="R2868" i="98"/>
  <c r="V2867" i="98"/>
  <c r="T2867" i="98"/>
  <c r="U2867" i="98" s="1"/>
  <c r="S2867" i="98"/>
  <c r="R2867" i="98"/>
  <c r="V2866" i="98"/>
  <c r="T2866" i="98"/>
  <c r="U2866" i="98" s="1"/>
  <c r="S2866" i="98"/>
  <c r="R2866" i="98"/>
  <c r="V2865" i="98"/>
  <c r="T2865" i="98"/>
  <c r="U2865" i="98" s="1"/>
  <c r="S2865" i="98"/>
  <c r="R2865" i="98"/>
  <c r="V2864" i="98"/>
  <c r="T2864" i="98"/>
  <c r="U2864" i="98" s="1"/>
  <c r="S2864" i="98"/>
  <c r="R2864" i="98"/>
  <c r="V2863" i="98"/>
  <c r="T2863" i="98"/>
  <c r="U2863" i="98" s="1"/>
  <c r="S2863" i="98"/>
  <c r="R2863" i="98"/>
  <c r="V2862" i="98"/>
  <c r="T2862" i="98"/>
  <c r="U2862" i="98" s="1"/>
  <c r="S2862" i="98"/>
  <c r="R2862" i="98"/>
  <c r="V2861" i="98"/>
  <c r="T2861" i="98"/>
  <c r="U2861" i="98" s="1"/>
  <c r="S2861" i="98"/>
  <c r="R2861" i="98"/>
  <c r="V2860" i="98"/>
  <c r="T2860" i="98"/>
  <c r="U2860" i="98" s="1"/>
  <c r="S2860" i="98"/>
  <c r="R2860" i="98"/>
  <c r="V2859" i="98"/>
  <c r="T2859" i="98"/>
  <c r="U2859" i="98" s="1"/>
  <c r="S2859" i="98"/>
  <c r="R2859" i="98"/>
  <c r="V2858" i="98"/>
  <c r="T2858" i="98"/>
  <c r="U2858" i="98" s="1"/>
  <c r="S2858" i="98"/>
  <c r="R2858" i="98"/>
  <c r="V2857" i="98"/>
  <c r="T2857" i="98"/>
  <c r="U2857" i="98" s="1"/>
  <c r="S2857" i="98"/>
  <c r="R2857" i="98"/>
  <c r="V2856" i="98"/>
  <c r="T2856" i="98"/>
  <c r="U2856" i="98" s="1"/>
  <c r="S2856" i="98"/>
  <c r="R2856" i="98"/>
  <c r="V2855" i="98"/>
  <c r="T2855" i="98"/>
  <c r="U2855" i="98" s="1"/>
  <c r="S2855" i="98"/>
  <c r="R2855" i="98"/>
  <c r="V2854" i="98"/>
  <c r="T2854" i="98"/>
  <c r="U2854" i="98" s="1"/>
  <c r="S2854" i="98"/>
  <c r="R2854" i="98"/>
  <c r="V2853" i="98"/>
  <c r="T2853" i="98"/>
  <c r="U2853" i="98" s="1"/>
  <c r="S2853" i="98"/>
  <c r="R2853" i="98"/>
  <c r="V2852" i="98"/>
  <c r="T2852" i="98"/>
  <c r="U2852" i="98" s="1"/>
  <c r="S2852" i="98"/>
  <c r="R2852" i="98"/>
  <c r="V2851" i="98"/>
  <c r="T2851" i="98"/>
  <c r="U2851" i="98" s="1"/>
  <c r="S2851" i="98"/>
  <c r="R2851" i="98"/>
  <c r="V2850" i="98"/>
  <c r="T2850" i="98"/>
  <c r="U2850" i="98" s="1"/>
  <c r="S2850" i="98"/>
  <c r="R2850" i="98"/>
  <c r="V2849" i="98"/>
  <c r="T2849" i="98"/>
  <c r="U2849" i="98" s="1"/>
  <c r="S2849" i="98"/>
  <c r="R2849" i="98"/>
  <c r="V2848" i="98"/>
  <c r="T2848" i="98"/>
  <c r="U2848" i="98" s="1"/>
  <c r="S2848" i="98"/>
  <c r="R2848" i="98"/>
  <c r="V2847" i="98"/>
  <c r="T2847" i="98"/>
  <c r="U2847" i="98" s="1"/>
  <c r="S2847" i="98"/>
  <c r="R2847" i="98"/>
  <c r="V2846" i="98"/>
  <c r="T2846" i="98"/>
  <c r="U2846" i="98" s="1"/>
  <c r="S2846" i="98"/>
  <c r="R2846" i="98"/>
  <c r="V2845" i="98"/>
  <c r="T2845" i="98"/>
  <c r="U2845" i="98" s="1"/>
  <c r="S2845" i="98"/>
  <c r="R2845" i="98"/>
  <c r="V2844" i="98"/>
  <c r="T2844" i="98"/>
  <c r="U2844" i="98" s="1"/>
  <c r="S2844" i="98"/>
  <c r="R2844" i="98"/>
  <c r="V2843" i="98"/>
  <c r="T2843" i="98"/>
  <c r="U2843" i="98" s="1"/>
  <c r="S2843" i="98"/>
  <c r="R2843" i="98"/>
  <c r="V2842" i="98"/>
  <c r="T2842" i="98"/>
  <c r="U2842" i="98" s="1"/>
  <c r="S2842" i="98"/>
  <c r="R2842" i="98"/>
  <c r="V2841" i="98"/>
  <c r="T2841" i="98"/>
  <c r="U2841" i="98" s="1"/>
  <c r="S2841" i="98"/>
  <c r="R2841" i="98"/>
  <c r="V2840" i="98"/>
  <c r="T2840" i="98"/>
  <c r="U2840" i="98" s="1"/>
  <c r="S2840" i="98"/>
  <c r="R2840" i="98"/>
  <c r="V2839" i="98"/>
  <c r="T2839" i="98"/>
  <c r="U2839" i="98" s="1"/>
  <c r="S2839" i="98"/>
  <c r="R2839" i="98"/>
  <c r="V2838" i="98"/>
  <c r="T2838" i="98"/>
  <c r="U2838" i="98" s="1"/>
  <c r="S2838" i="98"/>
  <c r="R2838" i="98"/>
  <c r="V2837" i="98"/>
  <c r="T2837" i="98"/>
  <c r="U2837" i="98" s="1"/>
  <c r="S2837" i="98"/>
  <c r="R2837" i="98"/>
  <c r="V2836" i="98"/>
  <c r="T2836" i="98"/>
  <c r="U2836" i="98" s="1"/>
  <c r="S2836" i="98"/>
  <c r="R2836" i="98"/>
  <c r="V2835" i="98"/>
  <c r="T2835" i="98"/>
  <c r="U2835" i="98" s="1"/>
  <c r="S2835" i="98"/>
  <c r="R2835" i="98"/>
  <c r="V2834" i="98"/>
  <c r="T2834" i="98"/>
  <c r="U2834" i="98" s="1"/>
  <c r="S2834" i="98"/>
  <c r="R2834" i="98"/>
  <c r="V2833" i="98"/>
  <c r="T2833" i="98"/>
  <c r="U2833" i="98" s="1"/>
  <c r="S2833" i="98"/>
  <c r="R2833" i="98"/>
  <c r="V2832" i="98"/>
  <c r="T2832" i="98"/>
  <c r="U2832" i="98" s="1"/>
  <c r="S2832" i="98"/>
  <c r="R2832" i="98"/>
  <c r="V2831" i="98"/>
  <c r="T2831" i="98"/>
  <c r="U2831" i="98" s="1"/>
  <c r="S2831" i="98"/>
  <c r="R2831" i="98"/>
  <c r="V2830" i="98"/>
  <c r="T2830" i="98"/>
  <c r="U2830" i="98" s="1"/>
  <c r="S2830" i="98"/>
  <c r="R2830" i="98"/>
  <c r="V2829" i="98"/>
  <c r="T2829" i="98"/>
  <c r="U2829" i="98" s="1"/>
  <c r="S2829" i="98"/>
  <c r="R2829" i="98"/>
  <c r="V2828" i="98"/>
  <c r="T2828" i="98"/>
  <c r="U2828" i="98" s="1"/>
  <c r="S2828" i="98"/>
  <c r="R2828" i="98"/>
  <c r="V2827" i="98"/>
  <c r="T2827" i="98"/>
  <c r="U2827" i="98" s="1"/>
  <c r="S2827" i="98"/>
  <c r="R2827" i="98"/>
  <c r="V2826" i="98"/>
  <c r="T2826" i="98"/>
  <c r="U2826" i="98" s="1"/>
  <c r="S2826" i="98"/>
  <c r="R2826" i="98"/>
  <c r="V2825" i="98"/>
  <c r="T2825" i="98"/>
  <c r="U2825" i="98" s="1"/>
  <c r="S2825" i="98"/>
  <c r="R2825" i="98"/>
  <c r="V2824" i="98"/>
  <c r="T2824" i="98"/>
  <c r="U2824" i="98" s="1"/>
  <c r="S2824" i="98"/>
  <c r="R2824" i="98"/>
  <c r="V2823" i="98"/>
  <c r="T2823" i="98"/>
  <c r="U2823" i="98" s="1"/>
  <c r="S2823" i="98"/>
  <c r="R2823" i="98"/>
  <c r="V2822" i="98"/>
  <c r="T2822" i="98"/>
  <c r="U2822" i="98" s="1"/>
  <c r="S2822" i="98"/>
  <c r="R2822" i="98"/>
  <c r="V2821" i="98"/>
  <c r="T2821" i="98"/>
  <c r="U2821" i="98" s="1"/>
  <c r="S2821" i="98"/>
  <c r="R2821" i="98"/>
  <c r="V2820" i="98"/>
  <c r="T2820" i="98"/>
  <c r="U2820" i="98" s="1"/>
  <c r="S2820" i="98"/>
  <c r="R2820" i="98"/>
  <c r="V2819" i="98"/>
  <c r="T2819" i="98"/>
  <c r="U2819" i="98" s="1"/>
  <c r="S2819" i="98"/>
  <c r="R2819" i="98"/>
  <c r="V2818" i="98"/>
  <c r="T2818" i="98"/>
  <c r="U2818" i="98" s="1"/>
  <c r="S2818" i="98"/>
  <c r="R2818" i="98"/>
  <c r="V2817" i="98"/>
  <c r="T2817" i="98"/>
  <c r="U2817" i="98" s="1"/>
  <c r="S2817" i="98"/>
  <c r="R2817" i="98"/>
  <c r="V2816" i="98"/>
  <c r="T2816" i="98"/>
  <c r="U2816" i="98" s="1"/>
  <c r="S2816" i="98"/>
  <c r="R2816" i="98"/>
  <c r="V2815" i="98"/>
  <c r="T2815" i="98"/>
  <c r="U2815" i="98" s="1"/>
  <c r="S2815" i="98"/>
  <c r="R2815" i="98"/>
  <c r="V2814" i="98"/>
  <c r="T2814" i="98"/>
  <c r="U2814" i="98" s="1"/>
  <c r="S2814" i="98"/>
  <c r="R2814" i="98"/>
  <c r="V2813" i="98"/>
  <c r="T2813" i="98"/>
  <c r="U2813" i="98" s="1"/>
  <c r="S2813" i="98"/>
  <c r="R2813" i="98"/>
  <c r="V2812" i="98"/>
  <c r="T2812" i="98"/>
  <c r="U2812" i="98" s="1"/>
  <c r="S2812" i="98"/>
  <c r="R2812" i="98"/>
  <c r="V2811" i="98"/>
  <c r="T2811" i="98"/>
  <c r="U2811" i="98" s="1"/>
  <c r="S2811" i="98"/>
  <c r="R2811" i="98"/>
  <c r="V2810" i="98"/>
  <c r="T2810" i="98"/>
  <c r="U2810" i="98" s="1"/>
  <c r="S2810" i="98"/>
  <c r="R2810" i="98"/>
  <c r="V2809" i="98"/>
  <c r="T2809" i="98"/>
  <c r="U2809" i="98" s="1"/>
  <c r="S2809" i="98"/>
  <c r="R2809" i="98"/>
  <c r="V2808" i="98"/>
  <c r="T2808" i="98"/>
  <c r="U2808" i="98" s="1"/>
  <c r="S2808" i="98"/>
  <c r="R2808" i="98"/>
  <c r="V2807" i="98"/>
  <c r="T2807" i="98"/>
  <c r="U2807" i="98" s="1"/>
  <c r="S2807" i="98"/>
  <c r="R2807" i="98"/>
  <c r="V2806" i="98"/>
  <c r="T2806" i="98"/>
  <c r="U2806" i="98" s="1"/>
  <c r="S2806" i="98"/>
  <c r="R2806" i="98"/>
  <c r="V2805" i="98"/>
  <c r="T2805" i="98"/>
  <c r="U2805" i="98" s="1"/>
  <c r="S2805" i="98"/>
  <c r="R2805" i="98"/>
  <c r="V2804" i="98"/>
  <c r="T2804" i="98"/>
  <c r="U2804" i="98" s="1"/>
  <c r="S2804" i="98"/>
  <c r="R2804" i="98"/>
  <c r="V2803" i="98"/>
  <c r="T2803" i="98"/>
  <c r="U2803" i="98" s="1"/>
  <c r="S2803" i="98"/>
  <c r="R2803" i="98"/>
  <c r="V2802" i="98"/>
  <c r="T2802" i="98"/>
  <c r="U2802" i="98" s="1"/>
  <c r="S2802" i="98"/>
  <c r="R2802" i="98"/>
  <c r="V2801" i="98"/>
  <c r="T2801" i="98"/>
  <c r="U2801" i="98" s="1"/>
  <c r="S2801" i="98"/>
  <c r="R2801" i="98"/>
  <c r="V2800" i="98"/>
  <c r="T2800" i="98"/>
  <c r="U2800" i="98" s="1"/>
  <c r="S2800" i="98"/>
  <c r="R2800" i="98"/>
  <c r="V2799" i="98"/>
  <c r="T2799" i="98"/>
  <c r="U2799" i="98" s="1"/>
  <c r="S2799" i="98"/>
  <c r="R2799" i="98"/>
  <c r="V2798" i="98"/>
  <c r="T2798" i="98"/>
  <c r="U2798" i="98" s="1"/>
  <c r="S2798" i="98"/>
  <c r="R2798" i="98"/>
  <c r="V2797" i="98"/>
  <c r="T2797" i="98"/>
  <c r="U2797" i="98" s="1"/>
  <c r="S2797" i="98"/>
  <c r="R2797" i="98"/>
  <c r="V2796" i="98"/>
  <c r="T2796" i="98"/>
  <c r="U2796" i="98" s="1"/>
  <c r="S2796" i="98"/>
  <c r="R2796" i="98"/>
  <c r="V2795" i="98"/>
  <c r="T2795" i="98"/>
  <c r="U2795" i="98" s="1"/>
  <c r="S2795" i="98"/>
  <c r="R2795" i="98"/>
  <c r="V2794" i="98"/>
  <c r="T2794" i="98"/>
  <c r="U2794" i="98" s="1"/>
  <c r="S2794" i="98"/>
  <c r="R2794" i="98"/>
  <c r="V2793" i="98"/>
  <c r="T2793" i="98"/>
  <c r="U2793" i="98" s="1"/>
  <c r="S2793" i="98"/>
  <c r="R2793" i="98"/>
  <c r="V2792" i="98"/>
  <c r="T2792" i="98"/>
  <c r="U2792" i="98" s="1"/>
  <c r="S2792" i="98"/>
  <c r="R2792" i="98"/>
  <c r="V2791" i="98"/>
  <c r="T2791" i="98"/>
  <c r="U2791" i="98" s="1"/>
  <c r="S2791" i="98"/>
  <c r="R2791" i="98"/>
  <c r="V2790" i="98"/>
  <c r="T2790" i="98"/>
  <c r="U2790" i="98" s="1"/>
  <c r="S2790" i="98"/>
  <c r="R2790" i="98"/>
  <c r="V2789" i="98"/>
  <c r="T2789" i="98"/>
  <c r="U2789" i="98" s="1"/>
  <c r="S2789" i="98"/>
  <c r="R2789" i="98"/>
  <c r="V2788" i="98"/>
  <c r="T2788" i="98"/>
  <c r="U2788" i="98" s="1"/>
  <c r="S2788" i="98"/>
  <c r="R2788" i="98"/>
  <c r="V2787" i="98"/>
  <c r="T2787" i="98"/>
  <c r="U2787" i="98" s="1"/>
  <c r="S2787" i="98"/>
  <c r="R2787" i="98"/>
  <c r="V2786" i="98"/>
  <c r="T2786" i="98"/>
  <c r="U2786" i="98" s="1"/>
  <c r="S2786" i="98"/>
  <c r="R2786" i="98"/>
  <c r="V2785" i="98"/>
  <c r="T2785" i="98"/>
  <c r="U2785" i="98" s="1"/>
  <c r="S2785" i="98"/>
  <c r="R2785" i="98"/>
  <c r="V2784" i="98"/>
  <c r="T2784" i="98"/>
  <c r="U2784" i="98" s="1"/>
  <c r="S2784" i="98"/>
  <c r="R2784" i="98"/>
  <c r="V2783" i="98"/>
  <c r="T2783" i="98"/>
  <c r="U2783" i="98" s="1"/>
  <c r="S2783" i="98"/>
  <c r="R2783" i="98"/>
  <c r="V2782" i="98"/>
  <c r="T2782" i="98"/>
  <c r="U2782" i="98" s="1"/>
  <c r="S2782" i="98"/>
  <c r="R2782" i="98"/>
  <c r="V2781" i="98"/>
  <c r="T2781" i="98"/>
  <c r="U2781" i="98" s="1"/>
  <c r="S2781" i="98"/>
  <c r="R2781" i="98"/>
  <c r="V2780" i="98"/>
  <c r="T2780" i="98"/>
  <c r="U2780" i="98" s="1"/>
  <c r="S2780" i="98"/>
  <c r="R2780" i="98"/>
  <c r="V2779" i="98"/>
  <c r="T2779" i="98"/>
  <c r="U2779" i="98" s="1"/>
  <c r="S2779" i="98"/>
  <c r="R2779" i="98"/>
  <c r="V2778" i="98"/>
  <c r="T2778" i="98"/>
  <c r="U2778" i="98" s="1"/>
  <c r="S2778" i="98"/>
  <c r="R2778" i="98"/>
  <c r="V2777" i="98"/>
  <c r="T2777" i="98"/>
  <c r="U2777" i="98" s="1"/>
  <c r="S2777" i="98"/>
  <c r="R2777" i="98"/>
  <c r="V2776" i="98"/>
  <c r="T2776" i="98"/>
  <c r="U2776" i="98" s="1"/>
  <c r="S2776" i="98"/>
  <c r="R2776" i="98"/>
  <c r="V2775" i="98"/>
  <c r="T2775" i="98"/>
  <c r="U2775" i="98" s="1"/>
  <c r="S2775" i="98"/>
  <c r="R2775" i="98"/>
  <c r="V2774" i="98"/>
  <c r="T2774" i="98"/>
  <c r="U2774" i="98" s="1"/>
  <c r="S2774" i="98"/>
  <c r="R2774" i="98"/>
  <c r="V2773" i="98"/>
  <c r="T2773" i="98"/>
  <c r="U2773" i="98" s="1"/>
  <c r="S2773" i="98"/>
  <c r="R2773" i="98"/>
  <c r="V2772" i="98"/>
  <c r="T2772" i="98"/>
  <c r="U2772" i="98" s="1"/>
  <c r="S2772" i="98"/>
  <c r="R2772" i="98"/>
  <c r="V2771" i="98"/>
  <c r="T2771" i="98"/>
  <c r="U2771" i="98" s="1"/>
  <c r="S2771" i="98"/>
  <c r="R2771" i="98"/>
  <c r="V2770" i="98"/>
  <c r="T2770" i="98"/>
  <c r="U2770" i="98" s="1"/>
  <c r="S2770" i="98"/>
  <c r="R2770" i="98"/>
  <c r="V2769" i="98"/>
  <c r="T2769" i="98"/>
  <c r="U2769" i="98" s="1"/>
  <c r="S2769" i="98"/>
  <c r="R2769" i="98"/>
  <c r="V2768" i="98"/>
  <c r="T2768" i="98"/>
  <c r="U2768" i="98" s="1"/>
  <c r="S2768" i="98"/>
  <c r="R2768" i="98"/>
  <c r="V2767" i="98"/>
  <c r="T2767" i="98"/>
  <c r="U2767" i="98" s="1"/>
  <c r="S2767" i="98"/>
  <c r="R2767" i="98"/>
  <c r="V2766" i="98"/>
  <c r="T2766" i="98"/>
  <c r="U2766" i="98" s="1"/>
  <c r="S2766" i="98"/>
  <c r="R2766" i="98"/>
  <c r="V2765" i="98"/>
  <c r="T2765" i="98"/>
  <c r="U2765" i="98" s="1"/>
  <c r="S2765" i="98"/>
  <c r="R2765" i="98"/>
  <c r="V2764" i="98"/>
  <c r="T2764" i="98"/>
  <c r="U2764" i="98" s="1"/>
  <c r="S2764" i="98"/>
  <c r="R2764" i="98"/>
  <c r="V2763" i="98"/>
  <c r="T2763" i="98"/>
  <c r="U2763" i="98" s="1"/>
  <c r="S2763" i="98"/>
  <c r="R2763" i="98"/>
  <c r="V2762" i="98"/>
  <c r="T2762" i="98"/>
  <c r="U2762" i="98" s="1"/>
  <c r="S2762" i="98"/>
  <c r="R2762" i="98"/>
  <c r="V2761" i="98"/>
  <c r="T2761" i="98"/>
  <c r="U2761" i="98" s="1"/>
  <c r="S2761" i="98"/>
  <c r="R2761" i="98"/>
  <c r="V2760" i="98"/>
  <c r="T2760" i="98"/>
  <c r="U2760" i="98" s="1"/>
  <c r="S2760" i="98"/>
  <c r="R2760" i="98"/>
  <c r="V2759" i="98"/>
  <c r="T2759" i="98"/>
  <c r="U2759" i="98" s="1"/>
  <c r="S2759" i="98"/>
  <c r="R2759" i="98"/>
  <c r="V2758" i="98"/>
  <c r="T2758" i="98"/>
  <c r="U2758" i="98" s="1"/>
  <c r="S2758" i="98"/>
  <c r="R2758" i="98"/>
  <c r="V2757" i="98"/>
  <c r="T2757" i="98"/>
  <c r="U2757" i="98" s="1"/>
  <c r="S2757" i="98"/>
  <c r="R2757" i="98"/>
  <c r="V2756" i="98"/>
  <c r="T2756" i="98"/>
  <c r="U2756" i="98" s="1"/>
  <c r="S2756" i="98"/>
  <c r="R2756" i="98"/>
  <c r="V2755" i="98"/>
  <c r="T2755" i="98"/>
  <c r="U2755" i="98" s="1"/>
  <c r="S2755" i="98"/>
  <c r="R2755" i="98"/>
  <c r="V2754" i="98"/>
  <c r="T2754" i="98"/>
  <c r="U2754" i="98" s="1"/>
  <c r="S2754" i="98"/>
  <c r="R2754" i="98"/>
  <c r="V2753" i="98"/>
  <c r="T2753" i="98"/>
  <c r="U2753" i="98" s="1"/>
  <c r="S2753" i="98"/>
  <c r="R2753" i="98"/>
  <c r="V2752" i="98"/>
  <c r="T2752" i="98"/>
  <c r="U2752" i="98" s="1"/>
  <c r="S2752" i="98"/>
  <c r="R2752" i="98"/>
  <c r="V2751" i="98"/>
  <c r="T2751" i="98"/>
  <c r="U2751" i="98" s="1"/>
  <c r="S2751" i="98"/>
  <c r="R2751" i="98"/>
  <c r="V2750" i="98"/>
  <c r="T2750" i="98"/>
  <c r="U2750" i="98" s="1"/>
  <c r="S2750" i="98"/>
  <c r="R2750" i="98"/>
  <c r="V2749" i="98"/>
  <c r="T2749" i="98"/>
  <c r="U2749" i="98" s="1"/>
  <c r="S2749" i="98"/>
  <c r="R2749" i="98"/>
  <c r="V2748" i="98"/>
  <c r="T2748" i="98"/>
  <c r="U2748" i="98" s="1"/>
  <c r="S2748" i="98"/>
  <c r="R2748" i="98"/>
  <c r="V2747" i="98"/>
  <c r="T2747" i="98"/>
  <c r="U2747" i="98" s="1"/>
  <c r="S2747" i="98"/>
  <c r="R2747" i="98"/>
  <c r="V2746" i="98"/>
  <c r="T2746" i="98"/>
  <c r="U2746" i="98" s="1"/>
  <c r="S2746" i="98"/>
  <c r="R2746" i="98"/>
  <c r="V2745" i="98"/>
  <c r="T2745" i="98"/>
  <c r="U2745" i="98" s="1"/>
  <c r="S2745" i="98"/>
  <c r="R2745" i="98"/>
  <c r="V2744" i="98"/>
  <c r="T2744" i="98"/>
  <c r="U2744" i="98" s="1"/>
  <c r="S2744" i="98"/>
  <c r="R2744" i="98"/>
  <c r="V2743" i="98"/>
  <c r="T2743" i="98"/>
  <c r="U2743" i="98" s="1"/>
  <c r="S2743" i="98"/>
  <c r="R2743" i="98"/>
  <c r="V2742" i="98"/>
  <c r="T2742" i="98"/>
  <c r="U2742" i="98" s="1"/>
  <c r="S2742" i="98"/>
  <c r="R2742" i="98"/>
  <c r="V2741" i="98"/>
  <c r="T2741" i="98"/>
  <c r="U2741" i="98" s="1"/>
  <c r="S2741" i="98"/>
  <c r="R2741" i="98"/>
  <c r="V2740" i="98"/>
  <c r="T2740" i="98"/>
  <c r="U2740" i="98" s="1"/>
  <c r="S2740" i="98"/>
  <c r="R2740" i="98"/>
  <c r="V2739" i="98"/>
  <c r="T2739" i="98"/>
  <c r="U2739" i="98" s="1"/>
  <c r="S2739" i="98"/>
  <c r="R2739" i="98"/>
  <c r="V2738" i="98"/>
  <c r="T2738" i="98"/>
  <c r="U2738" i="98" s="1"/>
  <c r="S2738" i="98"/>
  <c r="R2738" i="98"/>
  <c r="V2737" i="98"/>
  <c r="T2737" i="98"/>
  <c r="U2737" i="98" s="1"/>
  <c r="S2737" i="98"/>
  <c r="R2737" i="98"/>
  <c r="V2736" i="98"/>
  <c r="T2736" i="98"/>
  <c r="U2736" i="98" s="1"/>
  <c r="S2736" i="98"/>
  <c r="R2736" i="98"/>
  <c r="V2735" i="98"/>
  <c r="T2735" i="98"/>
  <c r="U2735" i="98" s="1"/>
  <c r="S2735" i="98"/>
  <c r="R2735" i="98"/>
  <c r="V2734" i="98"/>
  <c r="T2734" i="98"/>
  <c r="U2734" i="98" s="1"/>
  <c r="S2734" i="98"/>
  <c r="R2734" i="98"/>
  <c r="V2733" i="98"/>
  <c r="T2733" i="98"/>
  <c r="U2733" i="98" s="1"/>
  <c r="S2733" i="98"/>
  <c r="R2733" i="98"/>
  <c r="V2732" i="98"/>
  <c r="T2732" i="98"/>
  <c r="U2732" i="98" s="1"/>
  <c r="S2732" i="98"/>
  <c r="R2732" i="98"/>
  <c r="V2731" i="98"/>
  <c r="T2731" i="98"/>
  <c r="U2731" i="98" s="1"/>
  <c r="S2731" i="98"/>
  <c r="R2731" i="98"/>
  <c r="V2730" i="98"/>
  <c r="T2730" i="98"/>
  <c r="U2730" i="98" s="1"/>
  <c r="S2730" i="98"/>
  <c r="R2730" i="98"/>
  <c r="V2729" i="98"/>
  <c r="T2729" i="98"/>
  <c r="U2729" i="98" s="1"/>
  <c r="S2729" i="98"/>
  <c r="R2729" i="98"/>
  <c r="V2728" i="98"/>
  <c r="T2728" i="98"/>
  <c r="U2728" i="98" s="1"/>
  <c r="S2728" i="98"/>
  <c r="R2728" i="98"/>
  <c r="V2727" i="98"/>
  <c r="T2727" i="98"/>
  <c r="U2727" i="98" s="1"/>
  <c r="S2727" i="98"/>
  <c r="R2727" i="98"/>
  <c r="V2726" i="98"/>
  <c r="T2726" i="98"/>
  <c r="U2726" i="98" s="1"/>
  <c r="S2726" i="98"/>
  <c r="R2726" i="98"/>
  <c r="V2725" i="98"/>
  <c r="T2725" i="98"/>
  <c r="U2725" i="98" s="1"/>
  <c r="S2725" i="98"/>
  <c r="R2725" i="98"/>
  <c r="V2724" i="98"/>
  <c r="T2724" i="98"/>
  <c r="U2724" i="98" s="1"/>
  <c r="S2724" i="98"/>
  <c r="R2724" i="98"/>
  <c r="V2723" i="98"/>
  <c r="T2723" i="98"/>
  <c r="U2723" i="98" s="1"/>
  <c r="S2723" i="98"/>
  <c r="R2723" i="98"/>
  <c r="V2722" i="98"/>
  <c r="T2722" i="98"/>
  <c r="U2722" i="98" s="1"/>
  <c r="S2722" i="98"/>
  <c r="R2722" i="98"/>
  <c r="V2721" i="98"/>
  <c r="T2721" i="98"/>
  <c r="U2721" i="98" s="1"/>
  <c r="S2721" i="98"/>
  <c r="R2721" i="98"/>
  <c r="V2720" i="98"/>
  <c r="T2720" i="98"/>
  <c r="U2720" i="98" s="1"/>
  <c r="S2720" i="98"/>
  <c r="R2720" i="98"/>
  <c r="V2719" i="98"/>
  <c r="T2719" i="98"/>
  <c r="U2719" i="98" s="1"/>
  <c r="S2719" i="98"/>
  <c r="R2719" i="98"/>
  <c r="V2718" i="98"/>
  <c r="T2718" i="98"/>
  <c r="U2718" i="98" s="1"/>
  <c r="S2718" i="98"/>
  <c r="R2718" i="98"/>
  <c r="V2717" i="98"/>
  <c r="T2717" i="98"/>
  <c r="U2717" i="98" s="1"/>
  <c r="S2717" i="98"/>
  <c r="R2717" i="98"/>
  <c r="V2716" i="98"/>
  <c r="T2716" i="98"/>
  <c r="U2716" i="98" s="1"/>
  <c r="S2716" i="98"/>
  <c r="R2716" i="98"/>
  <c r="V2715" i="98"/>
  <c r="T2715" i="98"/>
  <c r="U2715" i="98" s="1"/>
  <c r="S2715" i="98"/>
  <c r="R2715" i="98"/>
  <c r="V2714" i="98"/>
  <c r="T2714" i="98"/>
  <c r="U2714" i="98" s="1"/>
  <c r="S2714" i="98"/>
  <c r="R2714" i="98"/>
  <c r="V2713" i="98"/>
  <c r="T2713" i="98"/>
  <c r="U2713" i="98" s="1"/>
  <c r="S2713" i="98"/>
  <c r="R2713" i="98"/>
  <c r="V2712" i="98"/>
  <c r="T2712" i="98"/>
  <c r="U2712" i="98" s="1"/>
  <c r="S2712" i="98"/>
  <c r="R2712" i="98"/>
  <c r="V2711" i="98"/>
  <c r="T2711" i="98"/>
  <c r="U2711" i="98" s="1"/>
  <c r="S2711" i="98"/>
  <c r="R2711" i="98"/>
  <c r="V2710" i="98"/>
  <c r="T2710" i="98"/>
  <c r="U2710" i="98" s="1"/>
  <c r="S2710" i="98"/>
  <c r="R2710" i="98"/>
  <c r="V2709" i="98"/>
  <c r="T2709" i="98"/>
  <c r="U2709" i="98" s="1"/>
  <c r="S2709" i="98"/>
  <c r="R2709" i="98"/>
  <c r="V2708" i="98"/>
  <c r="T2708" i="98"/>
  <c r="U2708" i="98" s="1"/>
  <c r="S2708" i="98"/>
  <c r="R2708" i="98"/>
  <c r="V2707" i="98"/>
  <c r="T2707" i="98"/>
  <c r="U2707" i="98" s="1"/>
  <c r="S2707" i="98"/>
  <c r="R2707" i="98"/>
  <c r="V2706" i="98"/>
  <c r="T2706" i="98"/>
  <c r="U2706" i="98" s="1"/>
  <c r="S2706" i="98"/>
  <c r="R2706" i="98"/>
  <c r="V2705" i="98"/>
  <c r="T2705" i="98"/>
  <c r="U2705" i="98" s="1"/>
  <c r="S2705" i="98"/>
  <c r="R2705" i="98"/>
  <c r="V2704" i="98"/>
  <c r="T2704" i="98"/>
  <c r="U2704" i="98" s="1"/>
  <c r="S2704" i="98"/>
  <c r="R2704" i="98"/>
  <c r="V2703" i="98"/>
  <c r="T2703" i="98"/>
  <c r="U2703" i="98" s="1"/>
  <c r="S2703" i="98"/>
  <c r="R2703" i="98"/>
  <c r="V2702" i="98"/>
  <c r="T2702" i="98"/>
  <c r="U2702" i="98" s="1"/>
  <c r="S2702" i="98"/>
  <c r="R2702" i="98"/>
  <c r="V2701" i="98"/>
  <c r="T2701" i="98"/>
  <c r="U2701" i="98" s="1"/>
  <c r="S2701" i="98"/>
  <c r="R2701" i="98"/>
  <c r="V2700" i="98"/>
  <c r="T2700" i="98"/>
  <c r="U2700" i="98" s="1"/>
  <c r="S2700" i="98"/>
  <c r="R2700" i="98"/>
  <c r="V2699" i="98"/>
  <c r="T2699" i="98"/>
  <c r="U2699" i="98" s="1"/>
  <c r="S2699" i="98"/>
  <c r="R2699" i="98"/>
  <c r="V2698" i="98"/>
  <c r="T2698" i="98"/>
  <c r="U2698" i="98" s="1"/>
  <c r="S2698" i="98"/>
  <c r="R2698" i="98"/>
  <c r="V2697" i="98"/>
  <c r="T2697" i="98"/>
  <c r="U2697" i="98" s="1"/>
  <c r="S2697" i="98"/>
  <c r="R2697" i="98"/>
  <c r="V2696" i="98"/>
  <c r="T2696" i="98"/>
  <c r="U2696" i="98" s="1"/>
  <c r="S2696" i="98"/>
  <c r="R2696" i="98"/>
  <c r="V2695" i="98"/>
  <c r="T2695" i="98"/>
  <c r="U2695" i="98" s="1"/>
  <c r="S2695" i="98"/>
  <c r="R2695" i="98"/>
  <c r="V2694" i="98"/>
  <c r="T2694" i="98"/>
  <c r="U2694" i="98" s="1"/>
  <c r="S2694" i="98"/>
  <c r="R2694" i="98"/>
  <c r="V2693" i="98"/>
  <c r="T2693" i="98"/>
  <c r="U2693" i="98" s="1"/>
  <c r="S2693" i="98"/>
  <c r="R2693" i="98"/>
  <c r="V2692" i="98"/>
  <c r="T2692" i="98"/>
  <c r="U2692" i="98" s="1"/>
  <c r="S2692" i="98"/>
  <c r="R2692" i="98"/>
  <c r="V2691" i="98"/>
  <c r="T2691" i="98"/>
  <c r="U2691" i="98" s="1"/>
  <c r="S2691" i="98"/>
  <c r="R2691" i="98"/>
  <c r="V2690" i="98"/>
  <c r="T2690" i="98"/>
  <c r="U2690" i="98" s="1"/>
  <c r="S2690" i="98"/>
  <c r="R2690" i="98"/>
  <c r="V2689" i="98"/>
  <c r="T2689" i="98"/>
  <c r="U2689" i="98" s="1"/>
  <c r="S2689" i="98"/>
  <c r="R2689" i="98"/>
  <c r="V2688" i="98"/>
  <c r="T2688" i="98"/>
  <c r="U2688" i="98" s="1"/>
  <c r="S2688" i="98"/>
  <c r="R2688" i="98"/>
  <c r="V2687" i="98"/>
  <c r="T2687" i="98"/>
  <c r="U2687" i="98" s="1"/>
  <c r="S2687" i="98"/>
  <c r="R2687" i="98"/>
  <c r="V2686" i="98"/>
  <c r="T2686" i="98"/>
  <c r="U2686" i="98" s="1"/>
  <c r="S2686" i="98"/>
  <c r="R2686" i="98"/>
  <c r="V2685" i="98"/>
  <c r="T2685" i="98"/>
  <c r="U2685" i="98" s="1"/>
  <c r="S2685" i="98"/>
  <c r="R2685" i="98"/>
  <c r="V2684" i="98"/>
  <c r="T2684" i="98"/>
  <c r="U2684" i="98" s="1"/>
  <c r="S2684" i="98"/>
  <c r="R2684" i="98"/>
  <c r="V2683" i="98"/>
  <c r="T2683" i="98"/>
  <c r="U2683" i="98" s="1"/>
  <c r="S2683" i="98"/>
  <c r="R2683" i="98"/>
  <c r="V2682" i="98"/>
  <c r="T2682" i="98"/>
  <c r="U2682" i="98" s="1"/>
  <c r="S2682" i="98"/>
  <c r="R2682" i="98"/>
  <c r="V2681" i="98"/>
  <c r="T2681" i="98"/>
  <c r="U2681" i="98" s="1"/>
  <c r="S2681" i="98"/>
  <c r="R2681" i="98"/>
  <c r="V2680" i="98"/>
  <c r="T2680" i="98"/>
  <c r="U2680" i="98" s="1"/>
  <c r="S2680" i="98"/>
  <c r="R2680" i="98"/>
  <c r="V2679" i="98"/>
  <c r="T2679" i="98"/>
  <c r="U2679" i="98" s="1"/>
  <c r="S2679" i="98"/>
  <c r="R2679" i="98"/>
  <c r="V2678" i="98"/>
  <c r="T2678" i="98"/>
  <c r="U2678" i="98" s="1"/>
  <c r="S2678" i="98"/>
  <c r="R2678" i="98"/>
  <c r="V2677" i="98"/>
  <c r="T2677" i="98"/>
  <c r="U2677" i="98" s="1"/>
  <c r="S2677" i="98"/>
  <c r="R2677" i="98"/>
  <c r="V2676" i="98"/>
  <c r="T2676" i="98"/>
  <c r="U2676" i="98" s="1"/>
  <c r="S2676" i="98"/>
  <c r="R2676" i="98"/>
  <c r="V2675" i="98"/>
  <c r="T2675" i="98"/>
  <c r="U2675" i="98" s="1"/>
  <c r="S2675" i="98"/>
  <c r="R2675" i="98"/>
  <c r="V2674" i="98"/>
  <c r="T2674" i="98"/>
  <c r="U2674" i="98" s="1"/>
  <c r="S2674" i="98"/>
  <c r="R2674" i="98"/>
  <c r="V2673" i="98"/>
  <c r="T2673" i="98"/>
  <c r="U2673" i="98" s="1"/>
  <c r="S2673" i="98"/>
  <c r="R2673" i="98"/>
  <c r="V2672" i="98"/>
  <c r="T2672" i="98"/>
  <c r="U2672" i="98" s="1"/>
  <c r="S2672" i="98"/>
  <c r="R2672" i="98"/>
  <c r="V2671" i="98"/>
  <c r="T2671" i="98"/>
  <c r="U2671" i="98" s="1"/>
  <c r="S2671" i="98"/>
  <c r="R2671" i="98"/>
  <c r="V2670" i="98"/>
  <c r="T2670" i="98"/>
  <c r="U2670" i="98" s="1"/>
  <c r="S2670" i="98"/>
  <c r="R2670" i="98"/>
  <c r="V2669" i="98"/>
  <c r="T2669" i="98"/>
  <c r="U2669" i="98" s="1"/>
  <c r="S2669" i="98"/>
  <c r="R2669" i="98"/>
  <c r="V2668" i="98"/>
  <c r="T2668" i="98"/>
  <c r="U2668" i="98" s="1"/>
  <c r="S2668" i="98"/>
  <c r="R2668" i="98"/>
  <c r="V2667" i="98"/>
  <c r="T2667" i="98"/>
  <c r="U2667" i="98" s="1"/>
  <c r="S2667" i="98"/>
  <c r="R2667" i="98"/>
  <c r="V2666" i="98"/>
  <c r="T2666" i="98"/>
  <c r="U2666" i="98" s="1"/>
  <c r="S2666" i="98"/>
  <c r="R2666" i="98"/>
  <c r="V2665" i="98"/>
  <c r="T2665" i="98"/>
  <c r="U2665" i="98" s="1"/>
  <c r="S2665" i="98"/>
  <c r="R2665" i="98"/>
  <c r="V2664" i="98"/>
  <c r="T2664" i="98"/>
  <c r="U2664" i="98" s="1"/>
  <c r="S2664" i="98"/>
  <c r="R2664" i="98"/>
  <c r="V2663" i="98"/>
  <c r="T2663" i="98"/>
  <c r="U2663" i="98" s="1"/>
  <c r="S2663" i="98"/>
  <c r="R2663" i="98"/>
  <c r="V2662" i="98"/>
  <c r="T2662" i="98"/>
  <c r="U2662" i="98" s="1"/>
  <c r="S2662" i="98"/>
  <c r="R2662" i="98"/>
  <c r="V2661" i="98"/>
  <c r="T2661" i="98"/>
  <c r="U2661" i="98" s="1"/>
  <c r="S2661" i="98"/>
  <c r="R2661" i="98"/>
  <c r="V2660" i="98"/>
  <c r="T2660" i="98"/>
  <c r="U2660" i="98" s="1"/>
  <c r="S2660" i="98"/>
  <c r="R2660" i="98"/>
  <c r="V2659" i="98"/>
  <c r="T2659" i="98"/>
  <c r="U2659" i="98" s="1"/>
  <c r="S2659" i="98"/>
  <c r="R2659" i="98"/>
  <c r="V2658" i="98"/>
  <c r="T2658" i="98"/>
  <c r="U2658" i="98" s="1"/>
  <c r="S2658" i="98"/>
  <c r="R2658" i="98"/>
  <c r="V2657" i="98"/>
  <c r="T2657" i="98"/>
  <c r="U2657" i="98" s="1"/>
  <c r="S2657" i="98"/>
  <c r="R2657" i="98"/>
  <c r="V2656" i="98"/>
  <c r="T2656" i="98"/>
  <c r="U2656" i="98" s="1"/>
  <c r="S2656" i="98"/>
  <c r="R2656" i="98"/>
  <c r="V2655" i="98"/>
  <c r="T2655" i="98"/>
  <c r="U2655" i="98" s="1"/>
  <c r="S2655" i="98"/>
  <c r="R2655" i="98"/>
  <c r="V2654" i="98"/>
  <c r="T2654" i="98"/>
  <c r="U2654" i="98" s="1"/>
  <c r="S2654" i="98"/>
  <c r="R2654" i="98"/>
  <c r="V2653" i="98"/>
  <c r="T2653" i="98"/>
  <c r="U2653" i="98" s="1"/>
  <c r="S2653" i="98"/>
  <c r="R2653" i="98"/>
  <c r="V2652" i="98"/>
  <c r="T2652" i="98"/>
  <c r="U2652" i="98" s="1"/>
  <c r="S2652" i="98"/>
  <c r="R2652" i="98"/>
  <c r="V2651" i="98"/>
  <c r="T2651" i="98"/>
  <c r="U2651" i="98" s="1"/>
  <c r="S2651" i="98"/>
  <c r="R2651" i="98"/>
  <c r="V2650" i="98"/>
  <c r="T2650" i="98"/>
  <c r="U2650" i="98" s="1"/>
  <c r="S2650" i="98"/>
  <c r="R2650" i="98"/>
  <c r="V2649" i="98"/>
  <c r="T2649" i="98"/>
  <c r="U2649" i="98" s="1"/>
  <c r="S2649" i="98"/>
  <c r="R2649" i="98"/>
  <c r="V2648" i="98"/>
  <c r="T2648" i="98"/>
  <c r="U2648" i="98" s="1"/>
  <c r="S2648" i="98"/>
  <c r="R2648" i="98"/>
  <c r="V2647" i="98"/>
  <c r="T2647" i="98"/>
  <c r="U2647" i="98" s="1"/>
  <c r="S2647" i="98"/>
  <c r="R2647" i="98"/>
  <c r="V2646" i="98"/>
  <c r="T2646" i="98"/>
  <c r="U2646" i="98" s="1"/>
  <c r="S2646" i="98"/>
  <c r="R2646" i="98"/>
  <c r="V2645" i="98"/>
  <c r="T2645" i="98"/>
  <c r="U2645" i="98" s="1"/>
  <c r="S2645" i="98"/>
  <c r="R2645" i="98"/>
  <c r="V2644" i="98"/>
  <c r="T2644" i="98"/>
  <c r="U2644" i="98" s="1"/>
  <c r="S2644" i="98"/>
  <c r="R2644" i="98"/>
  <c r="V2643" i="98"/>
  <c r="T2643" i="98"/>
  <c r="U2643" i="98" s="1"/>
  <c r="S2643" i="98"/>
  <c r="R2643" i="98"/>
  <c r="V2642" i="98"/>
  <c r="T2642" i="98"/>
  <c r="U2642" i="98" s="1"/>
  <c r="S2642" i="98"/>
  <c r="R2642" i="98"/>
  <c r="V2641" i="98"/>
  <c r="T2641" i="98"/>
  <c r="U2641" i="98" s="1"/>
  <c r="S2641" i="98"/>
  <c r="R2641" i="98"/>
  <c r="V2640" i="98"/>
  <c r="T2640" i="98"/>
  <c r="U2640" i="98" s="1"/>
  <c r="S2640" i="98"/>
  <c r="R2640" i="98"/>
  <c r="V2639" i="98"/>
  <c r="T2639" i="98"/>
  <c r="U2639" i="98" s="1"/>
  <c r="S2639" i="98"/>
  <c r="R2639" i="98"/>
  <c r="V2638" i="98"/>
  <c r="T2638" i="98"/>
  <c r="U2638" i="98" s="1"/>
  <c r="S2638" i="98"/>
  <c r="R2638" i="98"/>
  <c r="V2637" i="98"/>
  <c r="T2637" i="98"/>
  <c r="U2637" i="98" s="1"/>
  <c r="S2637" i="98"/>
  <c r="R2637" i="98"/>
  <c r="V2636" i="98"/>
  <c r="T2636" i="98"/>
  <c r="U2636" i="98" s="1"/>
  <c r="S2636" i="98"/>
  <c r="R2636" i="98"/>
  <c r="V2635" i="98"/>
  <c r="T2635" i="98"/>
  <c r="U2635" i="98" s="1"/>
  <c r="S2635" i="98"/>
  <c r="R2635" i="98"/>
  <c r="V2634" i="98"/>
  <c r="T2634" i="98"/>
  <c r="U2634" i="98" s="1"/>
  <c r="S2634" i="98"/>
  <c r="R2634" i="98"/>
  <c r="V2633" i="98"/>
  <c r="T2633" i="98"/>
  <c r="U2633" i="98" s="1"/>
  <c r="S2633" i="98"/>
  <c r="R2633" i="98"/>
  <c r="V2632" i="98"/>
  <c r="T2632" i="98"/>
  <c r="U2632" i="98" s="1"/>
  <c r="S2632" i="98"/>
  <c r="R2632" i="98"/>
  <c r="V2631" i="98"/>
  <c r="T2631" i="98"/>
  <c r="U2631" i="98" s="1"/>
  <c r="S2631" i="98"/>
  <c r="R2631" i="98"/>
  <c r="V2630" i="98"/>
  <c r="T2630" i="98"/>
  <c r="U2630" i="98" s="1"/>
  <c r="S2630" i="98"/>
  <c r="R2630" i="98"/>
  <c r="V2629" i="98"/>
  <c r="T2629" i="98"/>
  <c r="U2629" i="98" s="1"/>
  <c r="S2629" i="98"/>
  <c r="R2629" i="98"/>
  <c r="V2628" i="98"/>
  <c r="T2628" i="98"/>
  <c r="U2628" i="98" s="1"/>
  <c r="S2628" i="98"/>
  <c r="R2628" i="98"/>
  <c r="V2627" i="98"/>
  <c r="T2627" i="98"/>
  <c r="U2627" i="98" s="1"/>
  <c r="S2627" i="98"/>
  <c r="R2627" i="98"/>
  <c r="V2626" i="98"/>
  <c r="T2626" i="98"/>
  <c r="U2626" i="98" s="1"/>
  <c r="S2626" i="98"/>
  <c r="R2626" i="98"/>
  <c r="V2625" i="98"/>
  <c r="T2625" i="98"/>
  <c r="U2625" i="98" s="1"/>
  <c r="S2625" i="98"/>
  <c r="R2625" i="98"/>
  <c r="V2624" i="98"/>
  <c r="T2624" i="98"/>
  <c r="U2624" i="98" s="1"/>
  <c r="S2624" i="98"/>
  <c r="R2624" i="98"/>
  <c r="V2623" i="98"/>
  <c r="T2623" i="98"/>
  <c r="U2623" i="98" s="1"/>
  <c r="S2623" i="98"/>
  <c r="R2623" i="98"/>
  <c r="V2622" i="98"/>
  <c r="T2622" i="98"/>
  <c r="U2622" i="98" s="1"/>
  <c r="S2622" i="98"/>
  <c r="R2622" i="98"/>
  <c r="V2621" i="98"/>
  <c r="T2621" i="98"/>
  <c r="U2621" i="98" s="1"/>
  <c r="S2621" i="98"/>
  <c r="R2621" i="98"/>
  <c r="V2620" i="98"/>
  <c r="T2620" i="98"/>
  <c r="U2620" i="98" s="1"/>
  <c r="S2620" i="98"/>
  <c r="R2620" i="98"/>
  <c r="V2619" i="98"/>
  <c r="T2619" i="98"/>
  <c r="U2619" i="98" s="1"/>
  <c r="S2619" i="98"/>
  <c r="R2619" i="98"/>
  <c r="V2618" i="98"/>
  <c r="T2618" i="98"/>
  <c r="U2618" i="98" s="1"/>
  <c r="S2618" i="98"/>
  <c r="R2618" i="98"/>
  <c r="V2617" i="98"/>
  <c r="T2617" i="98"/>
  <c r="U2617" i="98" s="1"/>
  <c r="S2617" i="98"/>
  <c r="R2617" i="98"/>
  <c r="V2616" i="98"/>
  <c r="T2616" i="98"/>
  <c r="U2616" i="98" s="1"/>
  <c r="S2616" i="98"/>
  <c r="R2616" i="98"/>
  <c r="V2615" i="98"/>
  <c r="T2615" i="98"/>
  <c r="U2615" i="98" s="1"/>
  <c r="S2615" i="98"/>
  <c r="R2615" i="98"/>
  <c r="V2614" i="98"/>
  <c r="T2614" i="98"/>
  <c r="U2614" i="98" s="1"/>
  <c r="S2614" i="98"/>
  <c r="R2614" i="98"/>
  <c r="V2613" i="98"/>
  <c r="T2613" i="98"/>
  <c r="U2613" i="98" s="1"/>
  <c r="S2613" i="98"/>
  <c r="R2613" i="98"/>
  <c r="V2612" i="98"/>
  <c r="T2612" i="98"/>
  <c r="U2612" i="98" s="1"/>
  <c r="S2612" i="98"/>
  <c r="R2612" i="98"/>
  <c r="V2611" i="98"/>
  <c r="T2611" i="98"/>
  <c r="U2611" i="98" s="1"/>
  <c r="S2611" i="98"/>
  <c r="R2611" i="98"/>
  <c r="V2610" i="98"/>
  <c r="T2610" i="98"/>
  <c r="U2610" i="98" s="1"/>
  <c r="S2610" i="98"/>
  <c r="R2610" i="98"/>
  <c r="V2609" i="98"/>
  <c r="T2609" i="98"/>
  <c r="U2609" i="98" s="1"/>
  <c r="S2609" i="98"/>
  <c r="R2609" i="98"/>
  <c r="V2608" i="98"/>
  <c r="T2608" i="98"/>
  <c r="U2608" i="98" s="1"/>
  <c r="S2608" i="98"/>
  <c r="R2608" i="98"/>
  <c r="V2607" i="98"/>
  <c r="T2607" i="98"/>
  <c r="U2607" i="98" s="1"/>
  <c r="S2607" i="98"/>
  <c r="R2607" i="98"/>
  <c r="V2606" i="98"/>
  <c r="T2606" i="98"/>
  <c r="U2606" i="98" s="1"/>
  <c r="S2606" i="98"/>
  <c r="R2606" i="98"/>
  <c r="V2605" i="98"/>
  <c r="T2605" i="98"/>
  <c r="U2605" i="98" s="1"/>
  <c r="S2605" i="98"/>
  <c r="R2605" i="98"/>
  <c r="V2604" i="98"/>
  <c r="T2604" i="98"/>
  <c r="U2604" i="98" s="1"/>
  <c r="S2604" i="98"/>
  <c r="R2604" i="98"/>
  <c r="V2603" i="98"/>
  <c r="T2603" i="98"/>
  <c r="U2603" i="98" s="1"/>
  <c r="S2603" i="98"/>
  <c r="R2603" i="98"/>
  <c r="V2602" i="98"/>
  <c r="T2602" i="98"/>
  <c r="U2602" i="98" s="1"/>
  <c r="S2602" i="98"/>
  <c r="R2602" i="98"/>
  <c r="V2601" i="98"/>
  <c r="T2601" i="98"/>
  <c r="U2601" i="98" s="1"/>
  <c r="S2601" i="98"/>
  <c r="R2601" i="98"/>
  <c r="V2600" i="98"/>
  <c r="T2600" i="98"/>
  <c r="U2600" i="98" s="1"/>
  <c r="S2600" i="98"/>
  <c r="R2600" i="98"/>
  <c r="V2599" i="98"/>
  <c r="T2599" i="98"/>
  <c r="U2599" i="98" s="1"/>
  <c r="S2599" i="98"/>
  <c r="R2599" i="98"/>
  <c r="V2598" i="98"/>
  <c r="T2598" i="98"/>
  <c r="U2598" i="98" s="1"/>
  <c r="S2598" i="98"/>
  <c r="R2598" i="98"/>
  <c r="V2597" i="98"/>
  <c r="T2597" i="98"/>
  <c r="U2597" i="98" s="1"/>
  <c r="S2597" i="98"/>
  <c r="R2597" i="98"/>
  <c r="V2596" i="98"/>
  <c r="T2596" i="98"/>
  <c r="U2596" i="98" s="1"/>
  <c r="S2596" i="98"/>
  <c r="R2596" i="98"/>
  <c r="V2595" i="98"/>
  <c r="T2595" i="98"/>
  <c r="U2595" i="98" s="1"/>
  <c r="S2595" i="98"/>
  <c r="R2595" i="98"/>
  <c r="V2594" i="98"/>
  <c r="T2594" i="98"/>
  <c r="U2594" i="98" s="1"/>
  <c r="S2594" i="98"/>
  <c r="R2594" i="98"/>
  <c r="V2593" i="98"/>
  <c r="T2593" i="98"/>
  <c r="U2593" i="98" s="1"/>
  <c r="S2593" i="98"/>
  <c r="R2593" i="98"/>
  <c r="V2592" i="98"/>
  <c r="T2592" i="98"/>
  <c r="U2592" i="98" s="1"/>
  <c r="S2592" i="98"/>
  <c r="R2592" i="98"/>
  <c r="V2591" i="98"/>
  <c r="T2591" i="98"/>
  <c r="U2591" i="98" s="1"/>
  <c r="S2591" i="98"/>
  <c r="R2591" i="98"/>
  <c r="V2590" i="98"/>
  <c r="T2590" i="98"/>
  <c r="U2590" i="98" s="1"/>
  <c r="S2590" i="98"/>
  <c r="R2590" i="98"/>
  <c r="V2589" i="98"/>
  <c r="T2589" i="98"/>
  <c r="U2589" i="98" s="1"/>
  <c r="S2589" i="98"/>
  <c r="R2589" i="98"/>
  <c r="V2588" i="98"/>
  <c r="T2588" i="98"/>
  <c r="U2588" i="98" s="1"/>
  <c r="S2588" i="98"/>
  <c r="R2588" i="98"/>
  <c r="V2587" i="98"/>
  <c r="T2587" i="98"/>
  <c r="U2587" i="98" s="1"/>
  <c r="S2587" i="98"/>
  <c r="R2587" i="98"/>
  <c r="V2586" i="98"/>
  <c r="T2586" i="98"/>
  <c r="U2586" i="98" s="1"/>
  <c r="S2586" i="98"/>
  <c r="R2586" i="98"/>
  <c r="V2585" i="98"/>
  <c r="T2585" i="98"/>
  <c r="U2585" i="98" s="1"/>
  <c r="S2585" i="98"/>
  <c r="R2585" i="98"/>
  <c r="V2584" i="98"/>
  <c r="T2584" i="98"/>
  <c r="U2584" i="98" s="1"/>
  <c r="S2584" i="98"/>
  <c r="R2584" i="98"/>
  <c r="V2583" i="98"/>
  <c r="T2583" i="98"/>
  <c r="U2583" i="98" s="1"/>
  <c r="S2583" i="98"/>
  <c r="R2583" i="98"/>
  <c r="V2582" i="98"/>
  <c r="T2582" i="98"/>
  <c r="U2582" i="98" s="1"/>
  <c r="S2582" i="98"/>
  <c r="R2582" i="98"/>
  <c r="V2581" i="98"/>
  <c r="T2581" i="98"/>
  <c r="U2581" i="98" s="1"/>
  <c r="S2581" i="98"/>
  <c r="R2581" i="98"/>
  <c r="V2580" i="98"/>
  <c r="T2580" i="98"/>
  <c r="U2580" i="98" s="1"/>
  <c r="S2580" i="98"/>
  <c r="R2580" i="98"/>
  <c r="V2579" i="98"/>
  <c r="T2579" i="98"/>
  <c r="U2579" i="98" s="1"/>
  <c r="S2579" i="98"/>
  <c r="R2579" i="98"/>
  <c r="V2578" i="98"/>
  <c r="T2578" i="98"/>
  <c r="U2578" i="98" s="1"/>
  <c r="S2578" i="98"/>
  <c r="R2578" i="98"/>
  <c r="V2577" i="98"/>
  <c r="T2577" i="98"/>
  <c r="U2577" i="98" s="1"/>
  <c r="S2577" i="98"/>
  <c r="R2577" i="98"/>
  <c r="V2576" i="98"/>
  <c r="T2576" i="98"/>
  <c r="U2576" i="98" s="1"/>
  <c r="S2576" i="98"/>
  <c r="R2576" i="98"/>
  <c r="V2575" i="98"/>
  <c r="T2575" i="98"/>
  <c r="U2575" i="98" s="1"/>
  <c r="S2575" i="98"/>
  <c r="R2575" i="98"/>
  <c r="V2574" i="98"/>
  <c r="T2574" i="98"/>
  <c r="U2574" i="98" s="1"/>
  <c r="S2574" i="98"/>
  <c r="R2574" i="98"/>
  <c r="V2573" i="98"/>
  <c r="T2573" i="98"/>
  <c r="U2573" i="98" s="1"/>
  <c r="S2573" i="98"/>
  <c r="R2573" i="98"/>
  <c r="V2572" i="98"/>
  <c r="T2572" i="98"/>
  <c r="U2572" i="98" s="1"/>
  <c r="S2572" i="98"/>
  <c r="R2572" i="98"/>
  <c r="V2571" i="98"/>
  <c r="T2571" i="98"/>
  <c r="U2571" i="98" s="1"/>
  <c r="S2571" i="98"/>
  <c r="R2571" i="98"/>
  <c r="V2570" i="98"/>
  <c r="T2570" i="98"/>
  <c r="U2570" i="98" s="1"/>
  <c r="S2570" i="98"/>
  <c r="R2570" i="98"/>
  <c r="V2569" i="98"/>
  <c r="T2569" i="98"/>
  <c r="U2569" i="98" s="1"/>
  <c r="S2569" i="98"/>
  <c r="R2569" i="98"/>
  <c r="V2568" i="98"/>
  <c r="T2568" i="98"/>
  <c r="U2568" i="98" s="1"/>
  <c r="S2568" i="98"/>
  <c r="R2568" i="98"/>
  <c r="V2567" i="98"/>
  <c r="T2567" i="98"/>
  <c r="U2567" i="98" s="1"/>
  <c r="S2567" i="98"/>
  <c r="R2567" i="98"/>
  <c r="V2566" i="98"/>
  <c r="T2566" i="98"/>
  <c r="U2566" i="98" s="1"/>
  <c r="S2566" i="98"/>
  <c r="R2566" i="98"/>
  <c r="V2565" i="98"/>
  <c r="T2565" i="98"/>
  <c r="U2565" i="98" s="1"/>
  <c r="S2565" i="98"/>
  <c r="R2565" i="98"/>
  <c r="V2564" i="98"/>
  <c r="T2564" i="98"/>
  <c r="U2564" i="98" s="1"/>
  <c r="S2564" i="98"/>
  <c r="R2564" i="98"/>
  <c r="V2563" i="98"/>
  <c r="T2563" i="98"/>
  <c r="U2563" i="98" s="1"/>
  <c r="S2563" i="98"/>
  <c r="R2563" i="98"/>
  <c r="V2562" i="98"/>
  <c r="T2562" i="98"/>
  <c r="U2562" i="98" s="1"/>
  <c r="S2562" i="98"/>
  <c r="R2562" i="98"/>
  <c r="V2561" i="98"/>
  <c r="T2561" i="98"/>
  <c r="U2561" i="98" s="1"/>
  <c r="S2561" i="98"/>
  <c r="R2561" i="98"/>
  <c r="V2560" i="98"/>
  <c r="T2560" i="98"/>
  <c r="U2560" i="98" s="1"/>
  <c r="S2560" i="98"/>
  <c r="R2560" i="98"/>
  <c r="V2559" i="98"/>
  <c r="T2559" i="98"/>
  <c r="U2559" i="98" s="1"/>
  <c r="S2559" i="98"/>
  <c r="R2559" i="98"/>
  <c r="V2558" i="98"/>
  <c r="T2558" i="98"/>
  <c r="U2558" i="98" s="1"/>
  <c r="S2558" i="98"/>
  <c r="R2558" i="98"/>
  <c r="V2557" i="98"/>
  <c r="T2557" i="98"/>
  <c r="U2557" i="98" s="1"/>
  <c r="S2557" i="98"/>
  <c r="R2557" i="98"/>
  <c r="V2556" i="98"/>
  <c r="T2556" i="98"/>
  <c r="U2556" i="98" s="1"/>
  <c r="S2556" i="98"/>
  <c r="R2556" i="98"/>
  <c r="V2555" i="98"/>
  <c r="T2555" i="98"/>
  <c r="U2555" i="98" s="1"/>
  <c r="S2555" i="98"/>
  <c r="R2555" i="98"/>
  <c r="V2554" i="98"/>
  <c r="T2554" i="98"/>
  <c r="U2554" i="98" s="1"/>
  <c r="S2554" i="98"/>
  <c r="R2554" i="98"/>
  <c r="V2553" i="98"/>
  <c r="T2553" i="98"/>
  <c r="U2553" i="98" s="1"/>
  <c r="S2553" i="98"/>
  <c r="R2553" i="98"/>
  <c r="V2552" i="98"/>
  <c r="T2552" i="98"/>
  <c r="U2552" i="98" s="1"/>
  <c r="S2552" i="98"/>
  <c r="R2552" i="98"/>
  <c r="V2551" i="98"/>
  <c r="T2551" i="98"/>
  <c r="U2551" i="98" s="1"/>
  <c r="S2551" i="98"/>
  <c r="R2551" i="98"/>
  <c r="V2550" i="98"/>
  <c r="T2550" i="98"/>
  <c r="U2550" i="98" s="1"/>
  <c r="S2550" i="98"/>
  <c r="R2550" i="98"/>
  <c r="V2549" i="98"/>
  <c r="T2549" i="98"/>
  <c r="U2549" i="98" s="1"/>
  <c r="S2549" i="98"/>
  <c r="R2549" i="98"/>
  <c r="V2548" i="98"/>
  <c r="T2548" i="98"/>
  <c r="U2548" i="98" s="1"/>
  <c r="S2548" i="98"/>
  <c r="R2548" i="98"/>
  <c r="V2547" i="98"/>
  <c r="T2547" i="98"/>
  <c r="U2547" i="98" s="1"/>
  <c r="S2547" i="98"/>
  <c r="R2547" i="98"/>
  <c r="V2546" i="98"/>
  <c r="T2546" i="98"/>
  <c r="U2546" i="98" s="1"/>
  <c r="S2546" i="98"/>
  <c r="R2546" i="98"/>
  <c r="V2545" i="98"/>
  <c r="T2545" i="98"/>
  <c r="U2545" i="98" s="1"/>
  <c r="S2545" i="98"/>
  <c r="R2545" i="98"/>
  <c r="V2544" i="98"/>
  <c r="T2544" i="98"/>
  <c r="U2544" i="98" s="1"/>
  <c r="S2544" i="98"/>
  <c r="R2544" i="98"/>
  <c r="V2543" i="98"/>
  <c r="T2543" i="98"/>
  <c r="U2543" i="98" s="1"/>
  <c r="S2543" i="98"/>
  <c r="R2543" i="98"/>
  <c r="V2542" i="98"/>
  <c r="T2542" i="98"/>
  <c r="U2542" i="98" s="1"/>
  <c r="S2542" i="98"/>
  <c r="R2542" i="98"/>
  <c r="V2541" i="98"/>
  <c r="T2541" i="98"/>
  <c r="U2541" i="98" s="1"/>
  <c r="S2541" i="98"/>
  <c r="R2541" i="98"/>
  <c r="V2540" i="98"/>
  <c r="T2540" i="98"/>
  <c r="U2540" i="98" s="1"/>
  <c r="S2540" i="98"/>
  <c r="R2540" i="98"/>
  <c r="V2539" i="98"/>
  <c r="T2539" i="98"/>
  <c r="U2539" i="98" s="1"/>
  <c r="S2539" i="98"/>
  <c r="R2539" i="98"/>
  <c r="V2538" i="98"/>
  <c r="T2538" i="98"/>
  <c r="U2538" i="98" s="1"/>
  <c r="S2538" i="98"/>
  <c r="R2538" i="98"/>
  <c r="V2537" i="98"/>
  <c r="T2537" i="98"/>
  <c r="U2537" i="98" s="1"/>
  <c r="S2537" i="98"/>
  <c r="R2537" i="98"/>
  <c r="V2536" i="98"/>
  <c r="T2536" i="98"/>
  <c r="U2536" i="98" s="1"/>
  <c r="S2536" i="98"/>
  <c r="R2536" i="98"/>
  <c r="V2535" i="98"/>
  <c r="T2535" i="98"/>
  <c r="U2535" i="98" s="1"/>
  <c r="S2535" i="98"/>
  <c r="R2535" i="98"/>
  <c r="V2534" i="98"/>
  <c r="T2534" i="98"/>
  <c r="U2534" i="98" s="1"/>
  <c r="S2534" i="98"/>
  <c r="R2534" i="98"/>
  <c r="V2533" i="98"/>
  <c r="T2533" i="98"/>
  <c r="U2533" i="98" s="1"/>
  <c r="S2533" i="98"/>
  <c r="R2533" i="98"/>
  <c r="V2532" i="98"/>
  <c r="T2532" i="98"/>
  <c r="U2532" i="98" s="1"/>
  <c r="S2532" i="98"/>
  <c r="R2532" i="98"/>
  <c r="V2531" i="98"/>
  <c r="T2531" i="98"/>
  <c r="U2531" i="98" s="1"/>
  <c r="S2531" i="98"/>
  <c r="R2531" i="98"/>
  <c r="V2530" i="98"/>
  <c r="T2530" i="98"/>
  <c r="U2530" i="98" s="1"/>
  <c r="S2530" i="98"/>
  <c r="R2530" i="98"/>
  <c r="V2529" i="98"/>
  <c r="T2529" i="98"/>
  <c r="U2529" i="98" s="1"/>
  <c r="S2529" i="98"/>
  <c r="R2529" i="98"/>
  <c r="V2528" i="98"/>
  <c r="T2528" i="98"/>
  <c r="U2528" i="98" s="1"/>
  <c r="S2528" i="98"/>
  <c r="R2528" i="98"/>
  <c r="V2527" i="98"/>
  <c r="T2527" i="98"/>
  <c r="U2527" i="98" s="1"/>
  <c r="S2527" i="98"/>
  <c r="R2527" i="98"/>
  <c r="V2526" i="98"/>
  <c r="T2526" i="98"/>
  <c r="U2526" i="98" s="1"/>
  <c r="S2526" i="98"/>
  <c r="R2526" i="98"/>
  <c r="V2525" i="98"/>
  <c r="T2525" i="98"/>
  <c r="U2525" i="98" s="1"/>
  <c r="S2525" i="98"/>
  <c r="R2525" i="98"/>
  <c r="V2524" i="98"/>
  <c r="T2524" i="98"/>
  <c r="U2524" i="98" s="1"/>
  <c r="S2524" i="98"/>
  <c r="R2524" i="98"/>
  <c r="V2523" i="98"/>
  <c r="T2523" i="98"/>
  <c r="U2523" i="98" s="1"/>
  <c r="S2523" i="98"/>
  <c r="R2523" i="98"/>
  <c r="V2522" i="98"/>
  <c r="T2522" i="98"/>
  <c r="U2522" i="98" s="1"/>
  <c r="S2522" i="98"/>
  <c r="R2522" i="98"/>
  <c r="V2521" i="98"/>
  <c r="T2521" i="98"/>
  <c r="U2521" i="98" s="1"/>
  <c r="S2521" i="98"/>
  <c r="R2521" i="98"/>
  <c r="V2520" i="98"/>
  <c r="T2520" i="98"/>
  <c r="U2520" i="98" s="1"/>
  <c r="S2520" i="98"/>
  <c r="R2520" i="98"/>
  <c r="V2519" i="98"/>
  <c r="T2519" i="98"/>
  <c r="U2519" i="98" s="1"/>
  <c r="S2519" i="98"/>
  <c r="R2519" i="98"/>
  <c r="V2518" i="98"/>
  <c r="T2518" i="98"/>
  <c r="U2518" i="98" s="1"/>
  <c r="S2518" i="98"/>
  <c r="R2518" i="98"/>
  <c r="V2517" i="98"/>
  <c r="T2517" i="98"/>
  <c r="U2517" i="98" s="1"/>
  <c r="S2517" i="98"/>
  <c r="R2517" i="98"/>
  <c r="V2516" i="98"/>
  <c r="T2516" i="98"/>
  <c r="U2516" i="98" s="1"/>
  <c r="S2516" i="98"/>
  <c r="R2516" i="98"/>
  <c r="V2515" i="98"/>
  <c r="T2515" i="98"/>
  <c r="U2515" i="98" s="1"/>
  <c r="S2515" i="98"/>
  <c r="R2515" i="98"/>
  <c r="V2514" i="98"/>
  <c r="T2514" i="98"/>
  <c r="U2514" i="98" s="1"/>
  <c r="S2514" i="98"/>
  <c r="R2514" i="98"/>
  <c r="V2513" i="98"/>
  <c r="T2513" i="98"/>
  <c r="U2513" i="98" s="1"/>
  <c r="S2513" i="98"/>
  <c r="R2513" i="98"/>
  <c r="V2512" i="98"/>
  <c r="T2512" i="98"/>
  <c r="U2512" i="98" s="1"/>
  <c r="S2512" i="98"/>
  <c r="R2512" i="98"/>
  <c r="V2511" i="98"/>
  <c r="T2511" i="98"/>
  <c r="U2511" i="98" s="1"/>
  <c r="S2511" i="98"/>
  <c r="R2511" i="98"/>
  <c r="V2510" i="98"/>
  <c r="T2510" i="98"/>
  <c r="U2510" i="98" s="1"/>
  <c r="S2510" i="98"/>
  <c r="R2510" i="98"/>
  <c r="V2509" i="98"/>
  <c r="T2509" i="98"/>
  <c r="U2509" i="98" s="1"/>
  <c r="S2509" i="98"/>
  <c r="R2509" i="98"/>
  <c r="V2508" i="98"/>
  <c r="T2508" i="98"/>
  <c r="U2508" i="98" s="1"/>
  <c r="S2508" i="98"/>
  <c r="R2508" i="98"/>
  <c r="V2507" i="98"/>
  <c r="T2507" i="98"/>
  <c r="U2507" i="98" s="1"/>
  <c r="S2507" i="98"/>
  <c r="R2507" i="98"/>
  <c r="V2506" i="98"/>
  <c r="T2506" i="98"/>
  <c r="U2506" i="98" s="1"/>
  <c r="S2506" i="98"/>
  <c r="R2506" i="98"/>
  <c r="V2505" i="98"/>
  <c r="T2505" i="98"/>
  <c r="U2505" i="98" s="1"/>
  <c r="S2505" i="98"/>
  <c r="R2505" i="98"/>
  <c r="V2504" i="98"/>
  <c r="T2504" i="98"/>
  <c r="U2504" i="98" s="1"/>
  <c r="S2504" i="98"/>
  <c r="R2504" i="98"/>
  <c r="V2503" i="98"/>
  <c r="T2503" i="98"/>
  <c r="U2503" i="98" s="1"/>
  <c r="S2503" i="98"/>
  <c r="R2503" i="98"/>
  <c r="V2502" i="98"/>
  <c r="T2502" i="98"/>
  <c r="U2502" i="98" s="1"/>
  <c r="S2502" i="98"/>
  <c r="R2502" i="98"/>
  <c r="V2501" i="98"/>
  <c r="T2501" i="98"/>
  <c r="U2501" i="98" s="1"/>
  <c r="S2501" i="98"/>
  <c r="R2501" i="98"/>
  <c r="V2500" i="98"/>
  <c r="T2500" i="98"/>
  <c r="U2500" i="98" s="1"/>
  <c r="S2500" i="98"/>
  <c r="R2500" i="98"/>
  <c r="V2499" i="98"/>
  <c r="T2499" i="98"/>
  <c r="U2499" i="98" s="1"/>
  <c r="S2499" i="98"/>
  <c r="R2499" i="98"/>
  <c r="V2498" i="98"/>
  <c r="T2498" i="98"/>
  <c r="U2498" i="98" s="1"/>
  <c r="S2498" i="98"/>
  <c r="R2498" i="98"/>
  <c r="V2497" i="98"/>
  <c r="T2497" i="98"/>
  <c r="U2497" i="98" s="1"/>
  <c r="S2497" i="98"/>
  <c r="R2497" i="98"/>
  <c r="V2496" i="98"/>
  <c r="T2496" i="98"/>
  <c r="U2496" i="98" s="1"/>
  <c r="S2496" i="98"/>
  <c r="R2496" i="98"/>
  <c r="V2495" i="98"/>
  <c r="T2495" i="98"/>
  <c r="U2495" i="98" s="1"/>
  <c r="S2495" i="98"/>
  <c r="R2495" i="98"/>
  <c r="V2494" i="98"/>
  <c r="T2494" i="98"/>
  <c r="U2494" i="98" s="1"/>
  <c r="S2494" i="98"/>
  <c r="R2494" i="98"/>
  <c r="V2493" i="98"/>
  <c r="T2493" i="98"/>
  <c r="U2493" i="98" s="1"/>
  <c r="S2493" i="98"/>
  <c r="R2493" i="98"/>
  <c r="V2492" i="98"/>
  <c r="T2492" i="98"/>
  <c r="U2492" i="98" s="1"/>
  <c r="S2492" i="98"/>
  <c r="R2492" i="98"/>
  <c r="V2491" i="98"/>
  <c r="T2491" i="98"/>
  <c r="U2491" i="98" s="1"/>
  <c r="S2491" i="98"/>
  <c r="R2491" i="98"/>
  <c r="V2490" i="98"/>
  <c r="T2490" i="98"/>
  <c r="U2490" i="98" s="1"/>
  <c r="S2490" i="98"/>
  <c r="R2490" i="98"/>
  <c r="V2489" i="98"/>
  <c r="T2489" i="98"/>
  <c r="U2489" i="98" s="1"/>
  <c r="S2489" i="98"/>
  <c r="R2489" i="98"/>
  <c r="V2488" i="98"/>
  <c r="T2488" i="98"/>
  <c r="U2488" i="98" s="1"/>
  <c r="S2488" i="98"/>
  <c r="R2488" i="98"/>
  <c r="V2487" i="98"/>
  <c r="T2487" i="98"/>
  <c r="U2487" i="98" s="1"/>
  <c r="S2487" i="98"/>
  <c r="R2487" i="98"/>
  <c r="V2486" i="98"/>
  <c r="T2486" i="98"/>
  <c r="U2486" i="98" s="1"/>
  <c r="S2486" i="98"/>
  <c r="R2486" i="98"/>
  <c r="V2485" i="98"/>
  <c r="T2485" i="98"/>
  <c r="U2485" i="98" s="1"/>
  <c r="S2485" i="98"/>
  <c r="R2485" i="98"/>
  <c r="V2484" i="98"/>
  <c r="T2484" i="98"/>
  <c r="U2484" i="98" s="1"/>
  <c r="S2484" i="98"/>
  <c r="R2484" i="98"/>
  <c r="V2483" i="98"/>
  <c r="T2483" i="98"/>
  <c r="U2483" i="98" s="1"/>
  <c r="S2483" i="98"/>
  <c r="R2483" i="98"/>
  <c r="V2482" i="98"/>
  <c r="T2482" i="98"/>
  <c r="U2482" i="98" s="1"/>
  <c r="S2482" i="98"/>
  <c r="R2482" i="98"/>
  <c r="V2481" i="98"/>
  <c r="T2481" i="98"/>
  <c r="U2481" i="98" s="1"/>
  <c r="S2481" i="98"/>
  <c r="R2481" i="98"/>
  <c r="V2480" i="98"/>
  <c r="T2480" i="98"/>
  <c r="U2480" i="98" s="1"/>
  <c r="S2480" i="98"/>
  <c r="R2480" i="98"/>
  <c r="V2479" i="98"/>
  <c r="T2479" i="98"/>
  <c r="U2479" i="98" s="1"/>
  <c r="S2479" i="98"/>
  <c r="R2479" i="98"/>
  <c r="V2478" i="98"/>
  <c r="T2478" i="98"/>
  <c r="U2478" i="98" s="1"/>
  <c r="S2478" i="98"/>
  <c r="R2478" i="98"/>
  <c r="V2477" i="98"/>
  <c r="T2477" i="98"/>
  <c r="U2477" i="98" s="1"/>
  <c r="S2477" i="98"/>
  <c r="R2477" i="98"/>
  <c r="V2476" i="98"/>
  <c r="T2476" i="98"/>
  <c r="U2476" i="98" s="1"/>
  <c r="S2476" i="98"/>
  <c r="R2476" i="98"/>
  <c r="V2475" i="98"/>
  <c r="T2475" i="98"/>
  <c r="U2475" i="98" s="1"/>
  <c r="S2475" i="98"/>
  <c r="R2475" i="98"/>
  <c r="V2474" i="98"/>
  <c r="T2474" i="98"/>
  <c r="U2474" i="98" s="1"/>
  <c r="S2474" i="98"/>
  <c r="R2474" i="98"/>
  <c r="V2473" i="98"/>
  <c r="T2473" i="98"/>
  <c r="U2473" i="98" s="1"/>
  <c r="S2473" i="98"/>
  <c r="R2473" i="98"/>
  <c r="V2472" i="98"/>
  <c r="T2472" i="98"/>
  <c r="U2472" i="98" s="1"/>
  <c r="S2472" i="98"/>
  <c r="R2472" i="98"/>
  <c r="V2471" i="98"/>
  <c r="T2471" i="98"/>
  <c r="U2471" i="98" s="1"/>
  <c r="S2471" i="98"/>
  <c r="R2471" i="98"/>
  <c r="V2470" i="98"/>
  <c r="T2470" i="98"/>
  <c r="U2470" i="98" s="1"/>
  <c r="S2470" i="98"/>
  <c r="R2470" i="98"/>
  <c r="V2469" i="98"/>
  <c r="T2469" i="98"/>
  <c r="U2469" i="98" s="1"/>
  <c r="S2469" i="98"/>
  <c r="R2469" i="98"/>
  <c r="V2468" i="98"/>
  <c r="T2468" i="98"/>
  <c r="U2468" i="98" s="1"/>
  <c r="S2468" i="98"/>
  <c r="R2468" i="98"/>
  <c r="V2467" i="98"/>
  <c r="T2467" i="98"/>
  <c r="U2467" i="98" s="1"/>
  <c r="S2467" i="98"/>
  <c r="R2467" i="98"/>
  <c r="V2466" i="98"/>
  <c r="T2466" i="98"/>
  <c r="U2466" i="98" s="1"/>
  <c r="S2466" i="98"/>
  <c r="R2466" i="98"/>
  <c r="V2465" i="98"/>
  <c r="T2465" i="98"/>
  <c r="U2465" i="98" s="1"/>
  <c r="S2465" i="98"/>
  <c r="R2465" i="98"/>
  <c r="V2464" i="98"/>
  <c r="T2464" i="98"/>
  <c r="U2464" i="98" s="1"/>
  <c r="S2464" i="98"/>
  <c r="R2464" i="98"/>
  <c r="V2463" i="98"/>
  <c r="T2463" i="98"/>
  <c r="U2463" i="98" s="1"/>
  <c r="S2463" i="98"/>
  <c r="R2463" i="98"/>
  <c r="V2462" i="98"/>
  <c r="T2462" i="98"/>
  <c r="U2462" i="98" s="1"/>
  <c r="S2462" i="98"/>
  <c r="R2462" i="98"/>
  <c r="V2461" i="98"/>
  <c r="T2461" i="98"/>
  <c r="U2461" i="98" s="1"/>
  <c r="S2461" i="98"/>
  <c r="R2461" i="98"/>
  <c r="V2460" i="98"/>
  <c r="T2460" i="98"/>
  <c r="U2460" i="98" s="1"/>
  <c r="S2460" i="98"/>
  <c r="R2460" i="98"/>
  <c r="V2459" i="98"/>
  <c r="T2459" i="98"/>
  <c r="U2459" i="98" s="1"/>
  <c r="S2459" i="98"/>
  <c r="R2459" i="98"/>
  <c r="V2458" i="98"/>
  <c r="T2458" i="98"/>
  <c r="U2458" i="98" s="1"/>
  <c r="S2458" i="98"/>
  <c r="R2458" i="98"/>
  <c r="V2457" i="98"/>
  <c r="T2457" i="98"/>
  <c r="U2457" i="98" s="1"/>
  <c r="S2457" i="98"/>
  <c r="R2457" i="98"/>
  <c r="V2456" i="98"/>
  <c r="T2456" i="98"/>
  <c r="U2456" i="98" s="1"/>
  <c r="S2456" i="98"/>
  <c r="R2456" i="98"/>
  <c r="V2455" i="98"/>
  <c r="T2455" i="98"/>
  <c r="U2455" i="98" s="1"/>
  <c r="S2455" i="98"/>
  <c r="R2455" i="98"/>
  <c r="V2454" i="98"/>
  <c r="T2454" i="98"/>
  <c r="U2454" i="98" s="1"/>
  <c r="S2454" i="98"/>
  <c r="R2454" i="98"/>
  <c r="V2453" i="98"/>
  <c r="T2453" i="98"/>
  <c r="U2453" i="98" s="1"/>
  <c r="S2453" i="98"/>
  <c r="R2453" i="98"/>
  <c r="V2452" i="98"/>
  <c r="T2452" i="98"/>
  <c r="U2452" i="98" s="1"/>
  <c r="S2452" i="98"/>
  <c r="R2452" i="98"/>
  <c r="V2451" i="98"/>
  <c r="T2451" i="98"/>
  <c r="U2451" i="98" s="1"/>
  <c r="S2451" i="98"/>
  <c r="R2451" i="98"/>
  <c r="V2450" i="98"/>
  <c r="T2450" i="98"/>
  <c r="U2450" i="98" s="1"/>
  <c r="S2450" i="98"/>
  <c r="R2450" i="98"/>
  <c r="V2449" i="98"/>
  <c r="T2449" i="98"/>
  <c r="U2449" i="98" s="1"/>
  <c r="S2449" i="98"/>
  <c r="R2449" i="98"/>
  <c r="V2448" i="98"/>
  <c r="T2448" i="98"/>
  <c r="U2448" i="98" s="1"/>
  <c r="S2448" i="98"/>
  <c r="R2448" i="98"/>
  <c r="V2447" i="98"/>
  <c r="T2447" i="98"/>
  <c r="U2447" i="98" s="1"/>
  <c r="S2447" i="98"/>
  <c r="R2447" i="98"/>
  <c r="V2446" i="98"/>
  <c r="T2446" i="98"/>
  <c r="U2446" i="98" s="1"/>
  <c r="S2446" i="98"/>
  <c r="R2446" i="98"/>
  <c r="V2445" i="98"/>
  <c r="T2445" i="98"/>
  <c r="U2445" i="98" s="1"/>
  <c r="S2445" i="98"/>
  <c r="R2445" i="98"/>
  <c r="V2444" i="98"/>
  <c r="T2444" i="98"/>
  <c r="U2444" i="98" s="1"/>
  <c r="S2444" i="98"/>
  <c r="R2444" i="98"/>
  <c r="V2443" i="98"/>
  <c r="T2443" i="98"/>
  <c r="U2443" i="98" s="1"/>
  <c r="S2443" i="98"/>
  <c r="R2443" i="98"/>
  <c r="V2442" i="98"/>
  <c r="T2442" i="98"/>
  <c r="U2442" i="98" s="1"/>
  <c r="S2442" i="98"/>
  <c r="R2442" i="98"/>
  <c r="V2441" i="98"/>
  <c r="T2441" i="98"/>
  <c r="U2441" i="98" s="1"/>
  <c r="S2441" i="98"/>
  <c r="R2441" i="98"/>
  <c r="V2440" i="98"/>
  <c r="T2440" i="98"/>
  <c r="U2440" i="98" s="1"/>
  <c r="S2440" i="98"/>
  <c r="R2440" i="98"/>
  <c r="V2439" i="98"/>
  <c r="T2439" i="98"/>
  <c r="U2439" i="98" s="1"/>
  <c r="S2439" i="98"/>
  <c r="R2439" i="98"/>
  <c r="V2438" i="98"/>
  <c r="T2438" i="98"/>
  <c r="U2438" i="98" s="1"/>
  <c r="S2438" i="98"/>
  <c r="R2438" i="98"/>
  <c r="V2437" i="98"/>
  <c r="T2437" i="98"/>
  <c r="U2437" i="98" s="1"/>
  <c r="S2437" i="98"/>
  <c r="R2437" i="98"/>
  <c r="V2436" i="98"/>
  <c r="T2436" i="98"/>
  <c r="U2436" i="98" s="1"/>
  <c r="S2436" i="98"/>
  <c r="R2436" i="98"/>
  <c r="V2435" i="98"/>
  <c r="T2435" i="98"/>
  <c r="U2435" i="98" s="1"/>
  <c r="S2435" i="98"/>
  <c r="R2435" i="98"/>
  <c r="V2434" i="98"/>
  <c r="T2434" i="98"/>
  <c r="U2434" i="98" s="1"/>
  <c r="S2434" i="98"/>
  <c r="R2434" i="98"/>
  <c r="V2433" i="98"/>
  <c r="T2433" i="98"/>
  <c r="U2433" i="98" s="1"/>
  <c r="S2433" i="98"/>
  <c r="R2433" i="98"/>
  <c r="V2432" i="98"/>
  <c r="T2432" i="98"/>
  <c r="U2432" i="98" s="1"/>
  <c r="S2432" i="98"/>
  <c r="R2432" i="98"/>
  <c r="V2431" i="98"/>
  <c r="T2431" i="98"/>
  <c r="U2431" i="98" s="1"/>
  <c r="S2431" i="98"/>
  <c r="R2431" i="98"/>
  <c r="V2430" i="98"/>
  <c r="T2430" i="98"/>
  <c r="U2430" i="98" s="1"/>
  <c r="S2430" i="98"/>
  <c r="R2430" i="98"/>
  <c r="V2429" i="98"/>
  <c r="T2429" i="98"/>
  <c r="U2429" i="98" s="1"/>
  <c r="S2429" i="98"/>
  <c r="R2429" i="98"/>
  <c r="V2428" i="98"/>
  <c r="T2428" i="98"/>
  <c r="U2428" i="98" s="1"/>
  <c r="S2428" i="98"/>
  <c r="R2428" i="98"/>
  <c r="V2427" i="98"/>
  <c r="T2427" i="98"/>
  <c r="U2427" i="98" s="1"/>
  <c r="S2427" i="98"/>
  <c r="R2427" i="98"/>
  <c r="V2426" i="98"/>
  <c r="T2426" i="98"/>
  <c r="U2426" i="98" s="1"/>
  <c r="S2426" i="98"/>
  <c r="R2426" i="98"/>
  <c r="V2425" i="98"/>
  <c r="T2425" i="98"/>
  <c r="U2425" i="98" s="1"/>
  <c r="S2425" i="98"/>
  <c r="R2425" i="98"/>
  <c r="V2424" i="98"/>
  <c r="T2424" i="98"/>
  <c r="U2424" i="98" s="1"/>
  <c r="S2424" i="98"/>
  <c r="R2424" i="98"/>
  <c r="V2423" i="98"/>
  <c r="T2423" i="98"/>
  <c r="U2423" i="98" s="1"/>
  <c r="S2423" i="98"/>
  <c r="R2423" i="98"/>
  <c r="V2422" i="98"/>
  <c r="T2422" i="98"/>
  <c r="U2422" i="98" s="1"/>
  <c r="S2422" i="98"/>
  <c r="R2422" i="98"/>
  <c r="V2421" i="98"/>
  <c r="T2421" i="98"/>
  <c r="U2421" i="98" s="1"/>
  <c r="S2421" i="98"/>
  <c r="R2421" i="98"/>
  <c r="V2420" i="98"/>
  <c r="T2420" i="98"/>
  <c r="U2420" i="98" s="1"/>
  <c r="S2420" i="98"/>
  <c r="R2420" i="98"/>
  <c r="V2419" i="98"/>
  <c r="T2419" i="98"/>
  <c r="U2419" i="98" s="1"/>
  <c r="S2419" i="98"/>
  <c r="R2419" i="98"/>
  <c r="V2418" i="98"/>
  <c r="T2418" i="98"/>
  <c r="U2418" i="98" s="1"/>
  <c r="S2418" i="98"/>
  <c r="R2418" i="98"/>
  <c r="V2417" i="98"/>
  <c r="T2417" i="98"/>
  <c r="U2417" i="98" s="1"/>
  <c r="S2417" i="98"/>
  <c r="R2417" i="98"/>
  <c r="V2416" i="98"/>
  <c r="T2416" i="98"/>
  <c r="U2416" i="98" s="1"/>
  <c r="S2416" i="98"/>
  <c r="R2416" i="98"/>
  <c r="V2415" i="98"/>
  <c r="T2415" i="98"/>
  <c r="U2415" i="98" s="1"/>
  <c r="S2415" i="98"/>
  <c r="R2415" i="98"/>
  <c r="V2414" i="98"/>
  <c r="T2414" i="98"/>
  <c r="U2414" i="98" s="1"/>
  <c r="S2414" i="98"/>
  <c r="R2414" i="98"/>
  <c r="V2413" i="98"/>
  <c r="T2413" i="98"/>
  <c r="U2413" i="98" s="1"/>
  <c r="S2413" i="98"/>
  <c r="R2413" i="98"/>
  <c r="V2412" i="98"/>
  <c r="T2412" i="98"/>
  <c r="U2412" i="98" s="1"/>
  <c r="S2412" i="98"/>
  <c r="R2412" i="98"/>
  <c r="V2411" i="98"/>
  <c r="T2411" i="98"/>
  <c r="U2411" i="98" s="1"/>
  <c r="S2411" i="98"/>
  <c r="R2411" i="98"/>
  <c r="V2410" i="98"/>
  <c r="T2410" i="98"/>
  <c r="U2410" i="98" s="1"/>
  <c r="S2410" i="98"/>
  <c r="R2410" i="98"/>
  <c r="V2409" i="98"/>
  <c r="T2409" i="98"/>
  <c r="U2409" i="98" s="1"/>
  <c r="S2409" i="98"/>
  <c r="R2409" i="98"/>
  <c r="V2408" i="98"/>
  <c r="T2408" i="98"/>
  <c r="U2408" i="98" s="1"/>
  <c r="S2408" i="98"/>
  <c r="R2408" i="98"/>
  <c r="V2407" i="98"/>
  <c r="T2407" i="98"/>
  <c r="U2407" i="98" s="1"/>
  <c r="S2407" i="98"/>
  <c r="R2407" i="98"/>
  <c r="V2406" i="98"/>
  <c r="T2406" i="98"/>
  <c r="U2406" i="98" s="1"/>
  <c r="S2406" i="98"/>
  <c r="R2406" i="98"/>
  <c r="V2405" i="98"/>
  <c r="T2405" i="98"/>
  <c r="U2405" i="98" s="1"/>
  <c r="S2405" i="98"/>
  <c r="R2405" i="98"/>
  <c r="V2404" i="98"/>
  <c r="T2404" i="98"/>
  <c r="U2404" i="98" s="1"/>
  <c r="S2404" i="98"/>
  <c r="R2404" i="98"/>
  <c r="V2403" i="98"/>
  <c r="T2403" i="98"/>
  <c r="U2403" i="98" s="1"/>
  <c r="S2403" i="98"/>
  <c r="R2403" i="98"/>
  <c r="V2402" i="98"/>
  <c r="T2402" i="98"/>
  <c r="U2402" i="98" s="1"/>
  <c r="S2402" i="98"/>
  <c r="R2402" i="98"/>
  <c r="V2401" i="98"/>
  <c r="T2401" i="98"/>
  <c r="U2401" i="98" s="1"/>
  <c r="S2401" i="98"/>
  <c r="R2401" i="98"/>
  <c r="V2400" i="98"/>
  <c r="T2400" i="98"/>
  <c r="U2400" i="98" s="1"/>
  <c r="S2400" i="98"/>
  <c r="R2400" i="98"/>
  <c r="V2399" i="98"/>
  <c r="T2399" i="98"/>
  <c r="U2399" i="98" s="1"/>
  <c r="S2399" i="98"/>
  <c r="R2399" i="98"/>
  <c r="V2398" i="98"/>
  <c r="T2398" i="98"/>
  <c r="U2398" i="98" s="1"/>
  <c r="S2398" i="98"/>
  <c r="R2398" i="98"/>
  <c r="V2397" i="98"/>
  <c r="T2397" i="98"/>
  <c r="U2397" i="98" s="1"/>
  <c r="S2397" i="98"/>
  <c r="R2397" i="98"/>
  <c r="V2396" i="98"/>
  <c r="T2396" i="98"/>
  <c r="U2396" i="98" s="1"/>
  <c r="S2396" i="98"/>
  <c r="R2396" i="98"/>
  <c r="V2395" i="98"/>
  <c r="T2395" i="98"/>
  <c r="U2395" i="98" s="1"/>
  <c r="S2395" i="98"/>
  <c r="R2395" i="98"/>
  <c r="V2394" i="98"/>
  <c r="T2394" i="98"/>
  <c r="U2394" i="98" s="1"/>
  <c r="S2394" i="98"/>
  <c r="R2394" i="98"/>
  <c r="V2393" i="98"/>
  <c r="T2393" i="98"/>
  <c r="U2393" i="98" s="1"/>
  <c r="S2393" i="98"/>
  <c r="R2393" i="98"/>
  <c r="V2392" i="98"/>
  <c r="T2392" i="98"/>
  <c r="U2392" i="98" s="1"/>
  <c r="S2392" i="98"/>
  <c r="R2392" i="98"/>
  <c r="V2391" i="98"/>
  <c r="T2391" i="98"/>
  <c r="U2391" i="98" s="1"/>
  <c r="S2391" i="98"/>
  <c r="R2391" i="98"/>
  <c r="V2390" i="98"/>
  <c r="T2390" i="98"/>
  <c r="U2390" i="98" s="1"/>
  <c r="S2390" i="98"/>
  <c r="R2390" i="98"/>
  <c r="V2389" i="98"/>
  <c r="T2389" i="98"/>
  <c r="U2389" i="98" s="1"/>
  <c r="S2389" i="98"/>
  <c r="R2389" i="98"/>
  <c r="V2388" i="98"/>
  <c r="T2388" i="98"/>
  <c r="U2388" i="98" s="1"/>
  <c r="S2388" i="98"/>
  <c r="R2388" i="98"/>
  <c r="V2387" i="98"/>
  <c r="T2387" i="98"/>
  <c r="U2387" i="98" s="1"/>
  <c r="S2387" i="98"/>
  <c r="R2387" i="98"/>
  <c r="V2386" i="98"/>
  <c r="T2386" i="98"/>
  <c r="U2386" i="98" s="1"/>
  <c r="S2386" i="98"/>
  <c r="R2386" i="98"/>
  <c r="V2385" i="98"/>
  <c r="T2385" i="98"/>
  <c r="U2385" i="98" s="1"/>
  <c r="S2385" i="98"/>
  <c r="R2385" i="98"/>
  <c r="V2384" i="98"/>
  <c r="T2384" i="98"/>
  <c r="U2384" i="98" s="1"/>
  <c r="S2384" i="98"/>
  <c r="R2384" i="98"/>
  <c r="V2383" i="98"/>
  <c r="T2383" i="98"/>
  <c r="U2383" i="98" s="1"/>
  <c r="S2383" i="98"/>
  <c r="R2383" i="98"/>
  <c r="V2382" i="98"/>
  <c r="T2382" i="98"/>
  <c r="U2382" i="98" s="1"/>
  <c r="S2382" i="98"/>
  <c r="R2382" i="98"/>
  <c r="V2381" i="98"/>
  <c r="T2381" i="98"/>
  <c r="U2381" i="98" s="1"/>
  <c r="S2381" i="98"/>
  <c r="R2381" i="98"/>
  <c r="V2380" i="98"/>
  <c r="T2380" i="98"/>
  <c r="U2380" i="98" s="1"/>
  <c r="S2380" i="98"/>
  <c r="R2380" i="98"/>
  <c r="V2379" i="98"/>
  <c r="T2379" i="98"/>
  <c r="U2379" i="98" s="1"/>
  <c r="S2379" i="98"/>
  <c r="R2379" i="98"/>
  <c r="V2378" i="98"/>
  <c r="T2378" i="98"/>
  <c r="U2378" i="98" s="1"/>
  <c r="S2378" i="98"/>
  <c r="R2378" i="98"/>
  <c r="V2377" i="98"/>
  <c r="T2377" i="98"/>
  <c r="U2377" i="98" s="1"/>
  <c r="S2377" i="98"/>
  <c r="R2377" i="98"/>
  <c r="V2376" i="98"/>
  <c r="T2376" i="98"/>
  <c r="U2376" i="98" s="1"/>
  <c r="S2376" i="98"/>
  <c r="R2376" i="98"/>
  <c r="V2375" i="98"/>
  <c r="T2375" i="98"/>
  <c r="U2375" i="98" s="1"/>
  <c r="S2375" i="98"/>
  <c r="R2375" i="98"/>
  <c r="V2374" i="98"/>
  <c r="T2374" i="98"/>
  <c r="U2374" i="98" s="1"/>
  <c r="S2374" i="98"/>
  <c r="R2374" i="98"/>
  <c r="V2373" i="98"/>
  <c r="T2373" i="98"/>
  <c r="U2373" i="98" s="1"/>
  <c r="S2373" i="98"/>
  <c r="R2373" i="98"/>
  <c r="V2372" i="98"/>
  <c r="T2372" i="98"/>
  <c r="U2372" i="98" s="1"/>
  <c r="S2372" i="98"/>
  <c r="R2372" i="98"/>
  <c r="V2371" i="98"/>
  <c r="T2371" i="98"/>
  <c r="U2371" i="98" s="1"/>
  <c r="S2371" i="98"/>
  <c r="R2371" i="98"/>
  <c r="V2370" i="98"/>
  <c r="T2370" i="98"/>
  <c r="U2370" i="98" s="1"/>
  <c r="S2370" i="98"/>
  <c r="R2370" i="98"/>
  <c r="V2369" i="98"/>
  <c r="T2369" i="98"/>
  <c r="U2369" i="98" s="1"/>
  <c r="S2369" i="98"/>
  <c r="R2369" i="98"/>
  <c r="V2368" i="98"/>
  <c r="T2368" i="98"/>
  <c r="U2368" i="98" s="1"/>
  <c r="S2368" i="98"/>
  <c r="R2368" i="98"/>
  <c r="V2367" i="98"/>
  <c r="T2367" i="98"/>
  <c r="U2367" i="98" s="1"/>
  <c r="S2367" i="98"/>
  <c r="R2367" i="98"/>
  <c r="V2366" i="98"/>
  <c r="T2366" i="98"/>
  <c r="U2366" i="98" s="1"/>
  <c r="S2366" i="98"/>
  <c r="R2366" i="98"/>
  <c r="V2365" i="98"/>
  <c r="T2365" i="98"/>
  <c r="U2365" i="98" s="1"/>
  <c r="S2365" i="98"/>
  <c r="R2365" i="98"/>
  <c r="V2364" i="98"/>
  <c r="T2364" i="98"/>
  <c r="U2364" i="98" s="1"/>
  <c r="S2364" i="98"/>
  <c r="R2364" i="98"/>
  <c r="V2363" i="98"/>
  <c r="T2363" i="98"/>
  <c r="U2363" i="98" s="1"/>
  <c r="S2363" i="98"/>
  <c r="R2363" i="98"/>
  <c r="V2362" i="98"/>
  <c r="T2362" i="98"/>
  <c r="U2362" i="98" s="1"/>
  <c r="S2362" i="98"/>
  <c r="R2362" i="98"/>
  <c r="V2361" i="98"/>
  <c r="T2361" i="98"/>
  <c r="U2361" i="98" s="1"/>
  <c r="S2361" i="98"/>
  <c r="R2361" i="98"/>
  <c r="V2360" i="98"/>
  <c r="T2360" i="98"/>
  <c r="U2360" i="98" s="1"/>
  <c r="S2360" i="98"/>
  <c r="R2360" i="98"/>
  <c r="V2359" i="98"/>
  <c r="T2359" i="98"/>
  <c r="U2359" i="98" s="1"/>
  <c r="S2359" i="98"/>
  <c r="R2359" i="98"/>
  <c r="V2358" i="98"/>
  <c r="T2358" i="98"/>
  <c r="U2358" i="98" s="1"/>
  <c r="S2358" i="98"/>
  <c r="R2358" i="98"/>
  <c r="V2357" i="98"/>
  <c r="T2357" i="98"/>
  <c r="U2357" i="98" s="1"/>
  <c r="S2357" i="98"/>
  <c r="R2357" i="98"/>
  <c r="V2356" i="98"/>
  <c r="T2356" i="98"/>
  <c r="U2356" i="98" s="1"/>
  <c r="S2356" i="98"/>
  <c r="R2356" i="98"/>
  <c r="V2355" i="98"/>
  <c r="T2355" i="98"/>
  <c r="U2355" i="98" s="1"/>
  <c r="S2355" i="98"/>
  <c r="R2355" i="98"/>
  <c r="V2354" i="98"/>
  <c r="T2354" i="98"/>
  <c r="U2354" i="98" s="1"/>
  <c r="S2354" i="98"/>
  <c r="R2354" i="98"/>
  <c r="V2353" i="98"/>
  <c r="T2353" i="98"/>
  <c r="U2353" i="98" s="1"/>
  <c r="S2353" i="98"/>
  <c r="R2353" i="98"/>
  <c r="V2352" i="98"/>
  <c r="T2352" i="98"/>
  <c r="U2352" i="98" s="1"/>
  <c r="S2352" i="98"/>
  <c r="R2352" i="98"/>
  <c r="V2351" i="98"/>
  <c r="T2351" i="98"/>
  <c r="U2351" i="98" s="1"/>
  <c r="S2351" i="98"/>
  <c r="R2351" i="98"/>
  <c r="V2350" i="98"/>
  <c r="T2350" i="98"/>
  <c r="U2350" i="98" s="1"/>
  <c r="S2350" i="98"/>
  <c r="R2350" i="98"/>
  <c r="V2349" i="98"/>
  <c r="T2349" i="98"/>
  <c r="U2349" i="98" s="1"/>
  <c r="S2349" i="98"/>
  <c r="R2349" i="98"/>
  <c r="V2348" i="98"/>
  <c r="T2348" i="98"/>
  <c r="U2348" i="98" s="1"/>
  <c r="S2348" i="98"/>
  <c r="R2348" i="98"/>
  <c r="V2347" i="98"/>
  <c r="T2347" i="98"/>
  <c r="U2347" i="98" s="1"/>
  <c r="S2347" i="98"/>
  <c r="R2347" i="98"/>
  <c r="V2346" i="98"/>
  <c r="T2346" i="98"/>
  <c r="U2346" i="98" s="1"/>
  <c r="S2346" i="98"/>
  <c r="R2346" i="98"/>
  <c r="V2345" i="98"/>
  <c r="T2345" i="98"/>
  <c r="U2345" i="98" s="1"/>
  <c r="S2345" i="98"/>
  <c r="R2345" i="98"/>
  <c r="V2344" i="98"/>
  <c r="T2344" i="98"/>
  <c r="U2344" i="98" s="1"/>
  <c r="S2344" i="98"/>
  <c r="R2344" i="98"/>
  <c r="V2343" i="98"/>
  <c r="T2343" i="98"/>
  <c r="U2343" i="98" s="1"/>
  <c r="S2343" i="98"/>
  <c r="R2343" i="98"/>
  <c r="V2342" i="98"/>
  <c r="T2342" i="98"/>
  <c r="U2342" i="98" s="1"/>
  <c r="S2342" i="98"/>
  <c r="R2342" i="98"/>
  <c r="V2341" i="98"/>
  <c r="T2341" i="98"/>
  <c r="U2341" i="98" s="1"/>
  <c r="S2341" i="98"/>
  <c r="R2341" i="98"/>
  <c r="V2340" i="98"/>
  <c r="T2340" i="98"/>
  <c r="U2340" i="98" s="1"/>
  <c r="S2340" i="98"/>
  <c r="R2340" i="98"/>
  <c r="V2339" i="98"/>
  <c r="T2339" i="98"/>
  <c r="U2339" i="98" s="1"/>
  <c r="S2339" i="98"/>
  <c r="R2339" i="98"/>
  <c r="V2338" i="98"/>
  <c r="T2338" i="98"/>
  <c r="U2338" i="98" s="1"/>
  <c r="S2338" i="98"/>
  <c r="R2338" i="98"/>
  <c r="V2337" i="98"/>
  <c r="T2337" i="98"/>
  <c r="U2337" i="98" s="1"/>
  <c r="S2337" i="98"/>
  <c r="R2337" i="98"/>
  <c r="V2336" i="98"/>
  <c r="T2336" i="98"/>
  <c r="U2336" i="98" s="1"/>
  <c r="S2336" i="98"/>
  <c r="R2336" i="98"/>
  <c r="V2335" i="98"/>
  <c r="T2335" i="98"/>
  <c r="U2335" i="98" s="1"/>
  <c r="S2335" i="98"/>
  <c r="R2335" i="98"/>
  <c r="V2334" i="98"/>
  <c r="T2334" i="98"/>
  <c r="U2334" i="98" s="1"/>
  <c r="S2334" i="98"/>
  <c r="R2334" i="98"/>
  <c r="V2333" i="98"/>
  <c r="T2333" i="98"/>
  <c r="U2333" i="98" s="1"/>
  <c r="S2333" i="98"/>
  <c r="R2333" i="98"/>
  <c r="V2332" i="98"/>
  <c r="T2332" i="98"/>
  <c r="U2332" i="98" s="1"/>
  <c r="S2332" i="98"/>
  <c r="R2332" i="98"/>
  <c r="V2331" i="98"/>
  <c r="T2331" i="98"/>
  <c r="U2331" i="98" s="1"/>
  <c r="S2331" i="98"/>
  <c r="R2331" i="98"/>
  <c r="V2330" i="98"/>
  <c r="T2330" i="98"/>
  <c r="U2330" i="98" s="1"/>
  <c r="S2330" i="98"/>
  <c r="R2330" i="98"/>
  <c r="V2329" i="98"/>
  <c r="T2329" i="98"/>
  <c r="U2329" i="98" s="1"/>
  <c r="S2329" i="98"/>
  <c r="R2329" i="98"/>
  <c r="V2328" i="98"/>
  <c r="T2328" i="98"/>
  <c r="U2328" i="98" s="1"/>
  <c r="S2328" i="98"/>
  <c r="R2328" i="98"/>
  <c r="V2327" i="98"/>
  <c r="T2327" i="98"/>
  <c r="U2327" i="98" s="1"/>
  <c r="S2327" i="98"/>
  <c r="R2327" i="98"/>
  <c r="V2326" i="98"/>
  <c r="T2326" i="98"/>
  <c r="U2326" i="98" s="1"/>
  <c r="S2326" i="98"/>
  <c r="R2326" i="98"/>
  <c r="V2325" i="98"/>
  <c r="T2325" i="98"/>
  <c r="U2325" i="98" s="1"/>
  <c r="S2325" i="98"/>
  <c r="R2325" i="98"/>
  <c r="V2324" i="98"/>
  <c r="T2324" i="98"/>
  <c r="U2324" i="98" s="1"/>
  <c r="S2324" i="98"/>
  <c r="R2324" i="98"/>
  <c r="V2323" i="98"/>
  <c r="T2323" i="98"/>
  <c r="U2323" i="98" s="1"/>
  <c r="S2323" i="98"/>
  <c r="R2323" i="98"/>
  <c r="V2322" i="98"/>
  <c r="T2322" i="98"/>
  <c r="U2322" i="98" s="1"/>
  <c r="S2322" i="98"/>
  <c r="R2322" i="98"/>
  <c r="V2321" i="98"/>
  <c r="T2321" i="98"/>
  <c r="U2321" i="98" s="1"/>
  <c r="S2321" i="98"/>
  <c r="R2321" i="98"/>
  <c r="V2320" i="98"/>
  <c r="T2320" i="98"/>
  <c r="U2320" i="98" s="1"/>
  <c r="S2320" i="98"/>
  <c r="R2320" i="98"/>
  <c r="V2319" i="98"/>
  <c r="T2319" i="98"/>
  <c r="U2319" i="98" s="1"/>
  <c r="S2319" i="98"/>
  <c r="R2319" i="98"/>
  <c r="V2318" i="98"/>
  <c r="T2318" i="98"/>
  <c r="U2318" i="98" s="1"/>
  <c r="S2318" i="98"/>
  <c r="R2318" i="98"/>
  <c r="V2317" i="98"/>
  <c r="T2317" i="98"/>
  <c r="U2317" i="98" s="1"/>
  <c r="S2317" i="98"/>
  <c r="R2317" i="98"/>
  <c r="V2316" i="98"/>
  <c r="T2316" i="98"/>
  <c r="U2316" i="98" s="1"/>
  <c r="S2316" i="98"/>
  <c r="R2316" i="98"/>
  <c r="V2315" i="98"/>
  <c r="T2315" i="98"/>
  <c r="U2315" i="98" s="1"/>
  <c r="S2315" i="98"/>
  <c r="R2315" i="98"/>
  <c r="V2314" i="98"/>
  <c r="T2314" i="98"/>
  <c r="U2314" i="98" s="1"/>
  <c r="S2314" i="98"/>
  <c r="R2314" i="98"/>
  <c r="V2313" i="98"/>
  <c r="T2313" i="98"/>
  <c r="U2313" i="98" s="1"/>
  <c r="S2313" i="98"/>
  <c r="R2313" i="98"/>
  <c r="V2312" i="98"/>
  <c r="T2312" i="98"/>
  <c r="U2312" i="98" s="1"/>
  <c r="S2312" i="98"/>
  <c r="R2312" i="98"/>
  <c r="V2311" i="98"/>
  <c r="T2311" i="98"/>
  <c r="U2311" i="98" s="1"/>
  <c r="S2311" i="98"/>
  <c r="R2311" i="98"/>
  <c r="V2310" i="98"/>
  <c r="T2310" i="98"/>
  <c r="U2310" i="98" s="1"/>
  <c r="S2310" i="98"/>
  <c r="R2310" i="98"/>
  <c r="V2309" i="98"/>
  <c r="T2309" i="98"/>
  <c r="U2309" i="98" s="1"/>
  <c r="S2309" i="98"/>
  <c r="R2309" i="98"/>
  <c r="V2308" i="98"/>
  <c r="T2308" i="98"/>
  <c r="U2308" i="98" s="1"/>
  <c r="S2308" i="98"/>
  <c r="R2308" i="98"/>
  <c r="V2307" i="98"/>
  <c r="T2307" i="98"/>
  <c r="U2307" i="98" s="1"/>
  <c r="S2307" i="98"/>
  <c r="R2307" i="98"/>
  <c r="V2306" i="98"/>
  <c r="T2306" i="98"/>
  <c r="U2306" i="98" s="1"/>
  <c r="S2306" i="98"/>
  <c r="R2306" i="98"/>
  <c r="V2305" i="98"/>
  <c r="T2305" i="98"/>
  <c r="U2305" i="98" s="1"/>
  <c r="S2305" i="98"/>
  <c r="R2305" i="98"/>
  <c r="V2304" i="98"/>
  <c r="T2304" i="98"/>
  <c r="U2304" i="98" s="1"/>
  <c r="S2304" i="98"/>
  <c r="R2304" i="98"/>
  <c r="V2303" i="98"/>
  <c r="T2303" i="98"/>
  <c r="U2303" i="98" s="1"/>
  <c r="S2303" i="98"/>
  <c r="R2303" i="98"/>
  <c r="V2302" i="98"/>
  <c r="T2302" i="98"/>
  <c r="U2302" i="98" s="1"/>
  <c r="S2302" i="98"/>
  <c r="R2302" i="98"/>
  <c r="V2301" i="98"/>
  <c r="T2301" i="98"/>
  <c r="U2301" i="98" s="1"/>
  <c r="S2301" i="98"/>
  <c r="R2301" i="98"/>
  <c r="V2300" i="98"/>
  <c r="T2300" i="98"/>
  <c r="U2300" i="98" s="1"/>
  <c r="S2300" i="98"/>
  <c r="R2300" i="98"/>
  <c r="V2299" i="98"/>
  <c r="T2299" i="98"/>
  <c r="U2299" i="98" s="1"/>
  <c r="S2299" i="98"/>
  <c r="R2299" i="98"/>
  <c r="V2298" i="98"/>
  <c r="T2298" i="98"/>
  <c r="U2298" i="98" s="1"/>
  <c r="S2298" i="98"/>
  <c r="R2298" i="98"/>
  <c r="V2297" i="98"/>
  <c r="T2297" i="98"/>
  <c r="U2297" i="98" s="1"/>
  <c r="S2297" i="98"/>
  <c r="R2297" i="98"/>
  <c r="V2296" i="98"/>
  <c r="T2296" i="98"/>
  <c r="U2296" i="98" s="1"/>
  <c r="S2296" i="98"/>
  <c r="R2296" i="98"/>
  <c r="V2295" i="98"/>
  <c r="T2295" i="98"/>
  <c r="U2295" i="98" s="1"/>
  <c r="S2295" i="98"/>
  <c r="R2295" i="98"/>
  <c r="V2294" i="98"/>
  <c r="T2294" i="98"/>
  <c r="U2294" i="98" s="1"/>
  <c r="S2294" i="98"/>
  <c r="R2294" i="98"/>
  <c r="V2293" i="98"/>
  <c r="T2293" i="98"/>
  <c r="U2293" i="98" s="1"/>
  <c r="S2293" i="98"/>
  <c r="R2293" i="98"/>
  <c r="V2292" i="98"/>
  <c r="T2292" i="98"/>
  <c r="U2292" i="98" s="1"/>
  <c r="S2292" i="98"/>
  <c r="R2292" i="98"/>
  <c r="V2291" i="98"/>
  <c r="T2291" i="98"/>
  <c r="U2291" i="98" s="1"/>
  <c r="S2291" i="98"/>
  <c r="R2291" i="98"/>
  <c r="V2290" i="98"/>
  <c r="T2290" i="98"/>
  <c r="U2290" i="98" s="1"/>
  <c r="S2290" i="98"/>
  <c r="R2290" i="98"/>
  <c r="V2289" i="98"/>
  <c r="T2289" i="98"/>
  <c r="U2289" i="98" s="1"/>
  <c r="S2289" i="98"/>
  <c r="R2289" i="98"/>
  <c r="V2288" i="98"/>
  <c r="T2288" i="98"/>
  <c r="U2288" i="98" s="1"/>
  <c r="S2288" i="98"/>
  <c r="R2288" i="98"/>
  <c r="V2287" i="98"/>
  <c r="T2287" i="98"/>
  <c r="U2287" i="98" s="1"/>
  <c r="S2287" i="98"/>
  <c r="R2287" i="98"/>
  <c r="V2286" i="98"/>
  <c r="T2286" i="98"/>
  <c r="U2286" i="98" s="1"/>
  <c r="S2286" i="98"/>
  <c r="R2286" i="98"/>
  <c r="V2285" i="98"/>
  <c r="T2285" i="98"/>
  <c r="U2285" i="98" s="1"/>
  <c r="S2285" i="98"/>
  <c r="R2285" i="98"/>
  <c r="V2284" i="98"/>
  <c r="T2284" i="98"/>
  <c r="U2284" i="98" s="1"/>
  <c r="S2284" i="98"/>
  <c r="R2284" i="98"/>
  <c r="V2283" i="98"/>
  <c r="T2283" i="98"/>
  <c r="U2283" i="98" s="1"/>
  <c r="S2283" i="98"/>
  <c r="R2283" i="98"/>
  <c r="V2282" i="98"/>
  <c r="T2282" i="98"/>
  <c r="U2282" i="98" s="1"/>
  <c r="S2282" i="98"/>
  <c r="R2282" i="98"/>
  <c r="V2281" i="98"/>
  <c r="T2281" i="98"/>
  <c r="U2281" i="98" s="1"/>
  <c r="S2281" i="98"/>
  <c r="R2281" i="98"/>
  <c r="V2280" i="98"/>
  <c r="T2280" i="98"/>
  <c r="U2280" i="98" s="1"/>
  <c r="S2280" i="98"/>
  <c r="R2280" i="98"/>
  <c r="V2279" i="98"/>
  <c r="T2279" i="98"/>
  <c r="U2279" i="98" s="1"/>
  <c r="S2279" i="98"/>
  <c r="R2279" i="98"/>
  <c r="V2278" i="98"/>
  <c r="T2278" i="98"/>
  <c r="U2278" i="98" s="1"/>
  <c r="S2278" i="98"/>
  <c r="R2278" i="98"/>
  <c r="V2277" i="98"/>
  <c r="T2277" i="98"/>
  <c r="U2277" i="98" s="1"/>
  <c r="S2277" i="98"/>
  <c r="R2277" i="98"/>
  <c r="V2276" i="98"/>
  <c r="T2276" i="98"/>
  <c r="U2276" i="98" s="1"/>
  <c r="S2276" i="98"/>
  <c r="R2276" i="98"/>
  <c r="V2275" i="98"/>
  <c r="T2275" i="98"/>
  <c r="U2275" i="98" s="1"/>
  <c r="S2275" i="98"/>
  <c r="R2275" i="98"/>
  <c r="V2274" i="98"/>
  <c r="T2274" i="98"/>
  <c r="U2274" i="98" s="1"/>
  <c r="S2274" i="98"/>
  <c r="R2274" i="98"/>
  <c r="V2273" i="98"/>
  <c r="T2273" i="98"/>
  <c r="U2273" i="98" s="1"/>
  <c r="S2273" i="98"/>
  <c r="R2273" i="98"/>
  <c r="V2272" i="98"/>
  <c r="T2272" i="98"/>
  <c r="U2272" i="98" s="1"/>
  <c r="S2272" i="98"/>
  <c r="R2272" i="98"/>
  <c r="V2271" i="98"/>
  <c r="T2271" i="98"/>
  <c r="U2271" i="98" s="1"/>
  <c r="S2271" i="98"/>
  <c r="R2271" i="98"/>
  <c r="V2270" i="98"/>
  <c r="T2270" i="98"/>
  <c r="U2270" i="98" s="1"/>
  <c r="S2270" i="98"/>
  <c r="R2270" i="98"/>
  <c r="V2269" i="98"/>
  <c r="T2269" i="98"/>
  <c r="U2269" i="98" s="1"/>
  <c r="S2269" i="98"/>
  <c r="R2269" i="98"/>
  <c r="V2268" i="98"/>
  <c r="T2268" i="98"/>
  <c r="U2268" i="98" s="1"/>
  <c r="S2268" i="98"/>
  <c r="R2268" i="98"/>
  <c r="V2267" i="98"/>
  <c r="T2267" i="98"/>
  <c r="U2267" i="98" s="1"/>
  <c r="S2267" i="98"/>
  <c r="R2267" i="98"/>
  <c r="V2266" i="98"/>
  <c r="T2266" i="98"/>
  <c r="U2266" i="98" s="1"/>
  <c r="S2266" i="98"/>
  <c r="R2266" i="98"/>
  <c r="V2265" i="98"/>
  <c r="T2265" i="98"/>
  <c r="U2265" i="98" s="1"/>
  <c r="S2265" i="98"/>
  <c r="R2265" i="98"/>
  <c r="V2264" i="98"/>
  <c r="T2264" i="98"/>
  <c r="U2264" i="98" s="1"/>
  <c r="S2264" i="98"/>
  <c r="R2264" i="98"/>
  <c r="V2263" i="98"/>
  <c r="T2263" i="98"/>
  <c r="U2263" i="98" s="1"/>
  <c r="S2263" i="98"/>
  <c r="R2263" i="98"/>
  <c r="V2262" i="98"/>
  <c r="T2262" i="98"/>
  <c r="U2262" i="98" s="1"/>
  <c r="S2262" i="98"/>
  <c r="R2262" i="98"/>
  <c r="V2261" i="98"/>
  <c r="T2261" i="98"/>
  <c r="U2261" i="98" s="1"/>
  <c r="S2261" i="98"/>
  <c r="R2261" i="98"/>
  <c r="V2260" i="98"/>
  <c r="T2260" i="98"/>
  <c r="U2260" i="98" s="1"/>
  <c r="S2260" i="98"/>
  <c r="R2260" i="98"/>
  <c r="V2259" i="98"/>
  <c r="T2259" i="98"/>
  <c r="U2259" i="98" s="1"/>
  <c r="S2259" i="98"/>
  <c r="R2259" i="98"/>
  <c r="V2258" i="98"/>
  <c r="T2258" i="98"/>
  <c r="U2258" i="98" s="1"/>
  <c r="S2258" i="98"/>
  <c r="R2258" i="98"/>
  <c r="V2257" i="98"/>
  <c r="T2257" i="98"/>
  <c r="U2257" i="98" s="1"/>
  <c r="S2257" i="98"/>
  <c r="R2257" i="98"/>
  <c r="V2256" i="98"/>
  <c r="T2256" i="98"/>
  <c r="U2256" i="98" s="1"/>
  <c r="S2256" i="98"/>
  <c r="R2256" i="98"/>
  <c r="V2255" i="98"/>
  <c r="T2255" i="98"/>
  <c r="U2255" i="98" s="1"/>
  <c r="S2255" i="98"/>
  <c r="R2255" i="98"/>
  <c r="V2254" i="98"/>
  <c r="T2254" i="98"/>
  <c r="U2254" i="98" s="1"/>
  <c r="S2254" i="98"/>
  <c r="R2254" i="98"/>
  <c r="V2253" i="98"/>
  <c r="T2253" i="98"/>
  <c r="U2253" i="98" s="1"/>
  <c r="S2253" i="98"/>
  <c r="R2253" i="98"/>
  <c r="V2252" i="98"/>
  <c r="T2252" i="98"/>
  <c r="U2252" i="98" s="1"/>
  <c r="S2252" i="98"/>
  <c r="R2252" i="98"/>
  <c r="V2251" i="98"/>
  <c r="T2251" i="98"/>
  <c r="U2251" i="98" s="1"/>
  <c r="S2251" i="98"/>
  <c r="R2251" i="98"/>
  <c r="V2250" i="98"/>
  <c r="T2250" i="98"/>
  <c r="U2250" i="98" s="1"/>
  <c r="S2250" i="98"/>
  <c r="R2250" i="98"/>
  <c r="V2249" i="98"/>
  <c r="T2249" i="98"/>
  <c r="U2249" i="98" s="1"/>
  <c r="S2249" i="98"/>
  <c r="R2249" i="98"/>
  <c r="V2248" i="98"/>
  <c r="T2248" i="98"/>
  <c r="U2248" i="98" s="1"/>
  <c r="S2248" i="98"/>
  <c r="R2248" i="98"/>
  <c r="V2247" i="98"/>
  <c r="T2247" i="98"/>
  <c r="U2247" i="98" s="1"/>
  <c r="S2247" i="98"/>
  <c r="R2247" i="98"/>
  <c r="V2246" i="98"/>
  <c r="T2246" i="98"/>
  <c r="U2246" i="98" s="1"/>
  <c r="S2246" i="98"/>
  <c r="R2246" i="98"/>
  <c r="V2245" i="98"/>
  <c r="T2245" i="98"/>
  <c r="U2245" i="98" s="1"/>
  <c r="S2245" i="98"/>
  <c r="R2245" i="98"/>
  <c r="V2244" i="98"/>
  <c r="T2244" i="98"/>
  <c r="U2244" i="98" s="1"/>
  <c r="S2244" i="98"/>
  <c r="R2244" i="98"/>
  <c r="V2243" i="98"/>
  <c r="T2243" i="98"/>
  <c r="U2243" i="98" s="1"/>
  <c r="S2243" i="98"/>
  <c r="R2243" i="98"/>
  <c r="V2242" i="98"/>
  <c r="T2242" i="98"/>
  <c r="U2242" i="98" s="1"/>
  <c r="S2242" i="98"/>
  <c r="R2242" i="98"/>
  <c r="V2241" i="98"/>
  <c r="T2241" i="98"/>
  <c r="U2241" i="98" s="1"/>
  <c r="S2241" i="98"/>
  <c r="R2241" i="98"/>
  <c r="V2240" i="98"/>
  <c r="T2240" i="98"/>
  <c r="U2240" i="98" s="1"/>
  <c r="S2240" i="98"/>
  <c r="R2240" i="98"/>
  <c r="V2239" i="98"/>
  <c r="T2239" i="98"/>
  <c r="U2239" i="98" s="1"/>
  <c r="S2239" i="98"/>
  <c r="R2239" i="98"/>
  <c r="V2238" i="98"/>
  <c r="T2238" i="98"/>
  <c r="U2238" i="98" s="1"/>
  <c r="S2238" i="98"/>
  <c r="R2238" i="98"/>
  <c r="V2237" i="98"/>
  <c r="T2237" i="98"/>
  <c r="U2237" i="98" s="1"/>
  <c r="S2237" i="98"/>
  <c r="R2237" i="98"/>
  <c r="V2236" i="98"/>
  <c r="T2236" i="98"/>
  <c r="U2236" i="98" s="1"/>
  <c r="S2236" i="98"/>
  <c r="R2236" i="98"/>
  <c r="V2235" i="98"/>
  <c r="T2235" i="98"/>
  <c r="U2235" i="98" s="1"/>
  <c r="S2235" i="98"/>
  <c r="R2235" i="98"/>
  <c r="V2234" i="98"/>
  <c r="T2234" i="98"/>
  <c r="U2234" i="98" s="1"/>
  <c r="S2234" i="98"/>
  <c r="R2234" i="98"/>
  <c r="V2233" i="98"/>
  <c r="T2233" i="98"/>
  <c r="U2233" i="98" s="1"/>
  <c r="S2233" i="98"/>
  <c r="R2233" i="98"/>
  <c r="V2232" i="98"/>
  <c r="T2232" i="98"/>
  <c r="U2232" i="98" s="1"/>
  <c r="S2232" i="98"/>
  <c r="R2232" i="98"/>
  <c r="V2231" i="98"/>
  <c r="T2231" i="98"/>
  <c r="U2231" i="98" s="1"/>
  <c r="S2231" i="98"/>
  <c r="R2231" i="98"/>
  <c r="V2230" i="98"/>
  <c r="T2230" i="98"/>
  <c r="U2230" i="98" s="1"/>
  <c r="S2230" i="98"/>
  <c r="R2230" i="98"/>
  <c r="V2229" i="98"/>
  <c r="T2229" i="98"/>
  <c r="U2229" i="98" s="1"/>
  <c r="S2229" i="98"/>
  <c r="R2229" i="98"/>
  <c r="V2228" i="98"/>
  <c r="T2228" i="98"/>
  <c r="U2228" i="98" s="1"/>
  <c r="S2228" i="98"/>
  <c r="R2228" i="98"/>
  <c r="V2227" i="98"/>
  <c r="T2227" i="98"/>
  <c r="U2227" i="98" s="1"/>
  <c r="S2227" i="98"/>
  <c r="R2227" i="98"/>
  <c r="V2226" i="98"/>
  <c r="T2226" i="98"/>
  <c r="U2226" i="98" s="1"/>
  <c r="S2226" i="98"/>
  <c r="R2226" i="98"/>
  <c r="V2225" i="98"/>
  <c r="T2225" i="98"/>
  <c r="U2225" i="98" s="1"/>
  <c r="S2225" i="98"/>
  <c r="R2225" i="98"/>
  <c r="V2224" i="98"/>
  <c r="T2224" i="98"/>
  <c r="U2224" i="98" s="1"/>
  <c r="S2224" i="98"/>
  <c r="R2224" i="98"/>
  <c r="V2223" i="98"/>
  <c r="T2223" i="98"/>
  <c r="U2223" i="98" s="1"/>
  <c r="S2223" i="98"/>
  <c r="R2223" i="98"/>
  <c r="V2222" i="98"/>
  <c r="T2222" i="98"/>
  <c r="U2222" i="98" s="1"/>
  <c r="S2222" i="98"/>
  <c r="R2222" i="98"/>
  <c r="V2221" i="98"/>
  <c r="T2221" i="98"/>
  <c r="U2221" i="98" s="1"/>
  <c r="S2221" i="98"/>
  <c r="R2221" i="98"/>
  <c r="V2220" i="98"/>
  <c r="T2220" i="98"/>
  <c r="U2220" i="98" s="1"/>
  <c r="S2220" i="98"/>
  <c r="R2220" i="98"/>
  <c r="V2219" i="98"/>
  <c r="T2219" i="98"/>
  <c r="U2219" i="98" s="1"/>
  <c r="S2219" i="98"/>
  <c r="R2219" i="98"/>
  <c r="V2218" i="98"/>
  <c r="T2218" i="98"/>
  <c r="U2218" i="98" s="1"/>
  <c r="S2218" i="98"/>
  <c r="R2218" i="98"/>
  <c r="V2217" i="98"/>
  <c r="T2217" i="98"/>
  <c r="U2217" i="98" s="1"/>
  <c r="S2217" i="98"/>
  <c r="R2217" i="98"/>
  <c r="V2216" i="98"/>
  <c r="T2216" i="98"/>
  <c r="U2216" i="98" s="1"/>
  <c r="S2216" i="98"/>
  <c r="R2216" i="98"/>
  <c r="V2215" i="98"/>
  <c r="T2215" i="98"/>
  <c r="U2215" i="98" s="1"/>
  <c r="S2215" i="98"/>
  <c r="R2215" i="98"/>
  <c r="V2214" i="98"/>
  <c r="T2214" i="98"/>
  <c r="U2214" i="98" s="1"/>
  <c r="S2214" i="98"/>
  <c r="R2214" i="98"/>
  <c r="V2213" i="98"/>
  <c r="T2213" i="98"/>
  <c r="U2213" i="98" s="1"/>
  <c r="S2213" i="98"/>
  <c r="R2213" i="98"/>
  <c r="V2212" i="98"/>
  <c r="T2212" i="98"/>
  <c r="U2212" i="98" s="1"/>
  <c r="S2212" i="98"/>
  <c r="R2212" i="98"/>
  <c r="V2211" i="98"/>
  <c r="T2211" i="98"/>
  <c r="U2211" i="98" s="1"/>
  <c r="S2211" i="98"/>
  <c r="R2211" i="98"/>
  <c r="V2210" i="98"/>
  <c r="T2210" i="98"/>
  <c r="U2210" i="98" s="1"/>
  <c r="S2210" i="98"/>
  <c r="R2210" i="98"/>
  <c r="V2209" i="98"/>
  <c r="T2209" i="98"/>
  <c r="U2209" i="98" s="1"/>
  <c r="S2209" i="98"/>
  <c r="R2209" i="98"/>
  <c r="V2208" i="98"/>
  <c r="T2208" i="98"/>
  <c r="U2208" i="98" s="1"/>
  <c r="S2208" i="98"/>
  <c r="R2208" i="98"/>
  <c r="V2207" i="98"/>
  <c r="T2207" i="98"/>
  <c r="U2207" i="98" s="1"/>
  <c r="S2207" i="98"/>
  <c r="R2207" i="98"/>
  <c r="V2206" i="98"/>
  <c r="T2206" i="98"/>
  <c r="U2206" i="98" s="1"/>
  <c r="S2206" i="98"/>
  <c r="R2206" i="98"/>
  <c r="V2205" i="98"/>
  <c r="T2205" i="98"/>
  <c r="U2205" i="98" s="1"/>
  <c r="S2205" i="98"/>
  <c r="R2205" i="98"/>
  <c r="V2204" i="98"/>
  <c r="T2204" i="98"/>
  <c r="U2204" i="98" s="1"/>
  <c r="S2204" i="98"/>
  <c r="R2204" i="98"/>
  <c r="V2203" i="98"/>
  <c r="T2203" i="98"/>
  <c r="U2203" i="98" s="1"/>
  <c r="S2203" i="98"/>
  <c r="R2203" i="98"/>
  <c r="V2202" i="98"/>
  <c r="T2202" i="98"/>
  <c r="U2202" i="98" s="1"/>
  <c r="S2202" i="98"/>
  <c r="R2202" i="98"/>
  <c r="V2201" i="98"/>
  <c r="T2201" i="98"/>
  <c r="U2201" i="98" s="1"/>
  <c r="S2201" i="98"/>
  <c r="R2201" i="98"/>
  <c r="V2200" i="98"/>
  <c r="T2200" i="98"/>
  <c r="U2200" i="98" s="1"/>
  <c r="S2200" i="98"/>
  <c r="R2200" i="98"/>
  <c r="V2199" i="98"/>
  <c r="T2199" i="98"/>
  <c r="U2199" i="98" s="1"/>
  <c r="S2199" i="98"/>
  <c r="R2199" i="98"/>
  <c r="V2198" i="98"/>
  <c r="T2198" i="98"/>
  <c r="U2198" i="98" s="1"/>
  <c r="S2198" i="98"/>
  <c r="R2198" i="98"/>
  <c r="V2197" i="98"/>
  <c r="T2197" i="98"/>
  <c r="U2197" i="98" s="1"/>
  <c r="S2197" i="98"/>
  <c r="R2197" i="98"/>
  <c r="V2196" i="98"/>
  <c r="T2196" i="98"/>
  <c r="U2196" i="98" s="1"/>
  <c r="S2196" i="98"/>
  <c r="R2196" i="98"/>
  <c r="V2195" i="98"/>
  <c r="T2195" i="98"/>
  <c r="U2195" i="98" s="1"/>
  <c r="S2195" i="98"/>
  <c r="R2195" i="98"/>
  <c r="V2194" i="98"/>
  <c r="T2194" i="98"/>
  <c r="U2194" i="98" s="1"/>
  <c r="S2194" i="98"/>
  <c r="R2194" i="98"/>
  <c r="V2193" i="98"/>
  <c r="T2193" i="98"/>
  <c r="U2193" i="98" s="1"/>
  <c r="S2193" i="98"/>
  <c r="R2193" i="98"/>
  <c r="V2192" i="98"/>
  <c r="T2192" i="98"/>
  <c r="U2192" i="98" s="1"/>
  <c r="S2192" i="98"/>
  <c r="R2192" i="98"/>
  <c r="V2191" i="98"/>
  <c r="T2191" i="98"/>
  <c r="U2191" i="98" s="1"/>
  <c r="S2191" i="98"/>
  <c r="R2191" i="98"/>
  <c r="V2190" i="98"/>
  <c r="T2190" i="98"/>
  <c r="U2190" i="98" s="1"/>
  <c r="S2190" i="98"/>
  <c r="R2190" i="98"/>
  <c r="V2189" i="98"/>
  <c r="T2189" i="98"/>
  <c r="U2189" i="98" s="1"/>
  <c r="S2189" i="98"/>
  <c r="R2189" i="98"/>
  <c r="V2188" i="98"/>
  <c r="T2188" i="98"/>
  <c r="U2188" i="98" s="1"/>
  <c r="S2188" i="98"/>
  <c r="R2188" i="98"/>
  <c r="V2187" i="98"/>
  <c r="T2187" i="98"/>
  <c r="U2187" i="98" s="1"/>
  <c r="S2187" i="98"/>
  <c r="R2187" i="98"/>
  <c r="V2186" i="98"/>
  <c r="T2186" i="98"/>
  <c r="U2186" i="98" s="1"/>
  <c r="S2186" i="98"/>
  <c r="R2186" i="98"/>
  <c r="V2185" i="98"/>
  <c r="T2185" i="98"/>
  <c r="U2185" i="98" s="1"/>
  <c r="S2185" i="98"/>
  <c r="R2185" i="98"/>
  <c r="V2184" i="98"/>
  <c r="T2184" i="98"/>
  <c r="U2184" i="98" s="1"/>
  <c r="S2184" i="98"/>
  <c r="R2184" i="98"/>
  <c r="V2183" i="98"/>
  <c r="T2183" i="98"/>
  <c r="U2183" i="98" s="1"/>
  <c r="S2183" i="98"/>
  <c r="R2183" i="98"/>
  <c r="V2182" i="98"/>
  <c r="T2182" i="98"/>
  <c r="U2182" i="98" s="1"/>
  <c r="S2182" i="98"/>
  <c r="R2182" i="98"/>
  <c r="V2181" i="98"/>
  <c r="T2181" i="98"/>
  <c r="U2181" i="98" s="1"/>
  <c r="S2181" i="98"/>
  <c r="R2181" i="98"/>
  <c r="V2180" i="98"/>
  <c r="T2180" i="98"/>
  <c r="U2180" i="98" s="1"/>
  <c r="S2180" i="98"/>
  <c r="R2180" i="98"/>
  <c r="V2179" i="98"/>
  <c r="T2179" i="98"/>
  <c r="U2179" i="98" s="1"/>
  <c r="S2179" i="98"/>
  <c r="R2179" i="98"/>
  <c r="V2178" i="98"/>
  <c r="T2178" i="98"/>
  <c r="U2178" i="98" s="1"/>
  <c r="S2178" i="98"/>
  <c r="R2178" i="98"/>
  <c r="V2177" i="98"/>
  <c r="T2177" i="98"/>
  <c r="U2177" i="98" s="1"/>
  <c r="S2177" i="98"/>
  <c r="R2177" i="98"/>
  <c r="V2176" i="98"/>
  <c r="T2176" i="98"/>
  <c r="U2176" i="98" s="1"/>
  <c r="S2176" i="98"/>
  <c r="R2176" i="98"/>
  <c r="V2175" i="98"/>
  <c r="T2175" i="98"/>
  <c r="U2175" i="98" s="1"/>
  <c r="S2175" i="98"/>
  <c r="R2175" i="98"/>
  <c r="V2174" i="98"/>
  <c r="T2174" i="98"/>
  <c r="U2174" i="98" s="1"/>
  <c r="S2174" i="98"/>
  <c r="R2174" i="98"/>
  <c r="V2173" i="98"/>
  <c r="T2173" i="98"/>
  <c r="U2173" i="98" s="1"/>
  <c r="S2173" i="98"/>
  <c r="R2173" i="98"/>
  <c r="V2172" i="98"/>
  <c r="T2172" i="98"/>
  <c r="U2172" i="98" s="1"/>
  <c r="S2172" i="98"/>
  <c r="R2172" i="98"/>
  <c r="V2171" i="98"/>
  <c r="T2171" i="98"/>
  <c r="U2171" i="98" s="1"/>
  <c r="S2171" i="98"/>
  <c r="R2171" i="98"/>
  <c r="V2170" i="98"/>
  <c r="T2170" i="98"/>
  <c r="U2170" i="98" s="1"/>
  <c r="S2170" i="98"/>
  <c r="R2170" i="98"/>
  <c r="V2169" i="98"/>
  <c r="T2169" i="98"/>
  <c r="U2169" i="98" s="1"/>
  <c r="S2169" i="98"/>
  <c r="R2169" i="98"/>
  <c r="V2168" i="98"/>
  <c r="T2168" i="98"/>
  <c r="U2168" i="98" s="1"/>
  <c r="S2168" i="98"/>
  <c r="R2168" i="98"/>
  <c r="V2167" i="98"/>
  <c r="T2167" i="98"/>
  <c r="U2167" i="98" s="1"/>
  <c r="S2167" i="98"/>
  <c r="R2167" i="98"/>
  <c r="V2166" i="98"/>
  <c r="T2166" i="98"/>
  <c r="U2166" i="98" s="1"/>
  <c r="S2166" i="98"/>
  <c r="R2166" i="98"/>
  <c r="V2165" i="98"/>
  <c r="T2165" i="98"/>
  <c r="U2165" i="98" s="1"/>
  <c r="S2165" i="98"/>
  <c r="R2165" i="98"/>
  <c r="V2164" i="98"/>
  <c r="T2164" i="98"/>
  <c r="U2164" i="98" s="1"/>
  <c r="S2164" i="98"/>
  <c r="R2164" i="98"/>
  <c r="V2163" i="98"/>
  <c r="T2163" i="98"/>
  <c r="U2163" i="98" s="1"/>
  <c r="S2163" i="98"/>
  <c r="R2163" i="98"/>
  <c r="V2162" i="98"/>
  <c r="T2162" i="98"/>
  <c r="U2162" i="98" s="1"/>
  <c r="S2162" i="98"/>
  <c r="R2162" i="98"/>
  <c r="V2161" i="98"/>
  <c r="T2161" i="98"/>
  <c r="U2161" i="98" s="1"/>
  <c r="S2161" i="98"/>
  <c r="R2161" i="98"/>
  <c r="V2160" i="98"/>
  <c r="T2160" i="98"/>
  <c r="U2160" i="98" s="1"/>
  <c r="S2160" i="98"/>
  <c r="R2160" i="98"/>
  <c r="V2159" i="98"/>
  <c r="T2159" i="98"/>
  <c r="U2159" i="98" s="1"/>
  <c r="S2159" i="98"/>
  <c r="R2159" i="98"/>
  <c r="V2158" i="98"/>
  <c r="T2158" i="98"/>
  <c r="U2158" i="98" s="1"/>
  <c r="S2158" i="98"/>
  <c r="R2158" i="98"/>
  <c r="V2157" i="98"/>
  <c r="T2157" i="98"/>
  <c r="U2157" i="98" s="1"/>
  <c r="S2157" i="98"/>
  <c r="R2157" i="98"/>
  <c r="V2156" i="98"/>
  <c r="T2156" i="98"/>
  <c r="U2156" i="98" s="1"/>
  <c r="S2156" i="98"/>
  <c r="R2156" i="98"/>
  <c r="V2155" i="98"/>
  <c r="T2155" i="98"/>
  <c r="U2155" i="98" s="1"/>
  <c r="S2155" i="98"/>
  <c r="R2155" i="98"/>
  <c r="V2154" i="98"/>
  <c r="T2154" i="98"/>
  <c r="U2154" i="98" s="1"/>
  <c r="S2154" i="98"/>
  <c r="R2154" i="98"/>
  <c r="V2153" i="98"/>
  <c r="T2153" i="98"/>
  <c r="U2153" i="98" s="1"/>
  <c r="S2153" i="98"/>
  <c r="R2153" i="98"/>
  <c r="V2152" i="98"/>
  <c r="T2152" i="98"/>
  <c r="U2152" i="98" s="1"/>
  <c r="S2152" i="98"/>
  <c r="R2152" i="98"/>
  <c r="V2151" i="98"/>
  <c r="T2151" i="98"/>
  <c r="U2151" i="98" s="1"/>
  <c r="S2151" i="98"/>
  <c r="R2151" i="98"/>
  <c r="V2150" i="98"/>
  <c r="T2150" i="98"/>
  <c r="U2150" i="98" s="1"/>
  <c r="S2150" i="98"/>
  <c r="R2150" i="98"/>
  <c r="V2149" i="98"/>
  <c r="T2149" i="98"/>
  <c r="U2149" i="98" s="1"/>
  <c r="S2149" i="98"/>
  <c r="R2149" i="98"/>
  <c r="V2148" i="98"/>
  <c r="T2148" i="98"/>
  <c r="U2148" i="98" s="1"/>
  <c r="S2148" i="98"/>
  <c r="R2148" i="98"/>
  <c r="V2147" i="98"/>
  <c r="T2147" i="98"/>
  <c r="U2147" i="98" s="1"/>
  <c r="S2147" i="98"/>
  <c r="R2147" i="98"/>
  <c r="V2146" i="98"/>
  <c r="T2146" i="98"/>
  <c r="U2146" i="98" s="1"/>
  <c r="S2146" i="98"/>
  <c r="R2146" i="98"/>
  <c r="V2145" i="98"/>
  <c r="T2145" i="98"/>
  <c r="U2145" i="98" s="1"/>
  <c r="S2145" i="98"/>
  <c r="R2145" i="98"/>
  <c r="V2144" i="98"/>
  <c r="T2144" i="98"/>
  <c r="U2144" i="98" s="1"/>
  <c r="S2144" i="98"/>
  <c r="R2144" i="98"/>
  <c r="V2143" i="98"/>
  <c r="T2143" i="98"/>
  <c r="U2143" i="98" s="1"/>
  <c r="S2143" i="98"/>
  <c r="R2143" i="98"/>
  <c r="V2142" i="98"/>
  <c r="T2142" i="98"/>
  <c r="U2142" i="98" s="1"/>
  <c r="S2142" i="98"/>
  <c r="R2142" i="98"/>
  <c r="V2141" i="98"/>
  <c r="T2141" i="98"/>
  <c r="U2141" i="98" s="1"/>
  <c r="S2141" i="98"/>
  <c r="R2141" i="98"/>
  <c r="V2140" i="98"/>
  <c r="T2140" i="98"/>
  <c r="U2140" i="98" s="1"/>
  <c r="S2140" i="98"/>
  <c r="R2140" i="98"/>
  <c r="V2139" i="98"/>
  <c r="T2139" i="98"/>
  <c r="U2139" i="98" s="1"/>
  <c r="S2139" i="98"/>
  <c r="R2139" i="98"/>
  <c r="V2138" i="98"/>
  <c r="T2138" i="98"/>
  <c r="U2138" i="98" s="1"/>
  <c r="S2138" i="98"/>
  <c r="R2138" i="98"/>
  <c r="V2137" i="98"/>
  <c r="T2137" i="98"/>
  <c r="U2137" i="98" s="1"/>
  <c r="S2137" i="98"/>
  <c r="R2137" i="98"/>
  <c r="V2136" i="98"/>
  <c r="T2136" i="98"/>
  <c r="U2136" i="98" s="1"/>
  <c r="S2136" i="98"/>
  <c r="R2136" i="98"/>
  <c r="V2135" i="98"/>
  <c r="T2135" i="98"/>
  <c r="U2135" i="98" s="1"/>
  <c r="S2135" i="98"/>
  <c r="R2135" i="98"/>
  <c r="V2134" i="98"/>
  <c r="T2134" i="98"/>
  <c r="U2134" i="98" s="1"/>
  <c r="S2134" i="98"/>
  <c r="R2134" i="98"/>
  <c r="V2133" i="98"/>
  <c r="T2133" i="98"/>
  <c r="U2133" i="98" s="1"/>
  <c r="S2133" i="98"/>
  <c r="R2133" i="98"/>
  <c r="V2132" i="98"/>
  <c r="T2132" i="98"/>
  <c r="U2132" i="98" s="1"/>
  <c r="S2132" i="98"/>
  <c r="R2132" i="98"/>
  <c r="V2131" i="98"/>
  <c r="T2131" i="98"/>
  <c r="U2131" i="98" s="1"/>
  <c r="S2131" i="98"/>
  <c r="R2131" i="98"/>
  <c r="V2130" i="98"/>
  <c r="T2130" i="98"/>
  <c r="U2130" i="98" s="1"/>
  <c r="S2130" i="98"/>
  <c r="R2130" i="98"/>
  <c r="V2129" i="98"/>
  <c r="T2129" i="98"/>
  <c r="U2129" i="98" s="1"/>
  <c r="S2129" i="98"/>
  <c r="R2129" i="98"/>
  <c r="V2128" i="98"/>
  <c r="T2128" i="98"/>
  <c r="U2128" i="98" s="1"/>
  <c r="S2128" i="98"/>
  <c r="R2128" i="98"/>
  <c r="V2127" i="98"/>
  <c r="T2127" i="98"/>
  <c r="U2127" i="98" s="1"/>
  <c r="S2127" i="98"/>
  <c r="R2127" i="98"/>
  <c r="V2126" i="98"/>
  <c r="T2126" i="98"/>
  <c r="U2126" i="98" s="1"/>
  <c r="S2126" i="98"/>
  <c r="R2126" i="98"/>
  <c r="V2125" i="98"/>
  <c r="T2125" i="98"/>
  <c r="U2125" i="98" s="1"/>
  <c r="S2125" i="98"/>
  <c r="R2125" i="98"/>
  <c r="V2124" i="98"/>
  <c r="T2124" i="98"/>
  <c r="U2124" i="98" s="1"/>
  <c r="S2124" i="98"/>
  <c r="R2124" i="98"/>
  <c r="V2123" i="98"/>
  <c r="T2123" i="98"/>
  <c r="U2123" i="98" s="1"/>
  <c r="S2123" i="98"/>
  <c r="R2123" i="98"/>
  <c r="V2122" i="98"/>
  <c r="T2122" i="98"/>
  <c r="U2122" i="98" s="1"/>
  <c r="S2122" i="98"/>
  <c r="R2122" i="98"/>
  <c r="V2121" i="98"/>
  <c r="T2121" i="98"/>
  <c r="U2121" i="98" s="1"/>
  <c r="S2121" i="98"/>
  <c r="R2121" i="98"/>
  <c r="V2120" i="98"/>
  <c r="T2120" i="98"/>
  <c r="U2120" i="98" s="1"/>
  <c r="S2120" i="98"/>
  <c r="R2120" i="98"/>
  <c r="V2119" i="98"/>
  <c r="T2119" i="98"/>
  <c r="U2119" i="98" s="1"/>
  <c r="S2119" i="98"/>
  <c r="R2119" i="98"/>
  <c r="V2118" i="98"/>
  <c r="T2118" i="98"/>
  <c r="U2118" i="98" s="1"/>
  <c r="S2118" i="98"/>
  <c r="R2118" i="98"/>
  <c r="V2117" i="98"/>
  <c r="T2117" i="98"/>
  <c r="U2117" i="98" s="1"/>
  <c r="S2117" i="98"/>
  <c r="R2117" i="98"/>
  <c r="V2116" i="98"/>
  <c r="T2116" i="98"/>
  <c r="U2116" i="98" s="1"/>
  <c r="S2116" i="98"/>
  <c r="R2116" i="98"/>
  <c r="V2115" i="98"/>
  <c r="T2115" i="98"/>
  <c r="U2115" i="98" s="1"/>
  <c r="S2115" i="98"/>
  <c r="R2115" i="98"/>
  <c r="V2114" i="98"/>
  <c r="T2114" i="98"/>
  <c r="U2114" i="98" s="1"/>
  <c r="S2114" i="98"/>
  <c r="R2114" i="98"/>
  <c r="V2113" i="98"/>
  <c r="T2113" i="98"/>
  <c r="U2113" i="98" s="1"/>
  <c r="S2113" i="98"/>
  <c r="R2113" i="98"/>
  <c r="V2112" i="98"/>
  <c r="T2112" i="98"/>
  <c r="U2112" i="98" s="1"/>
  <c r="S2112" i="98"/>
  <c r="R2112" i="98"/>
  <c r="V2111" i="98"/>
  <c r="T2111" i="98"/>
  <c r="U2111" i="98" s="1"/>
  <c r="S2111" i="98"/>
  <c r="R2111" i="98"/>
  <c r="V2110" i="98"/>
  <c r="T2110" i="98"/>
  <c r="U2110" i="98" s="1"/>
  <c r="S2110" i="98"/>
  <c r="R2110" i="98"/>
  <c r="V2109" i="98"/>
  <c r="T2109" i="98"/>
  <c r="U2109" i="98" s="1"/>
  <c r="S2109" i="98"/>
  <c r="R2109" i="98"/>
  <c r="V2108" i="98"/>
  <c r="T2108" i="98"/>
  <c r="U2108" i="98" s="1"/>
  <c r="S2108" i="98"/>
  <c r="R2108" i="98"/>
  <c r="V2107" i="98"/>
  <c r="T2107" i="98"/>
  <c r="U2107" i="98" s="1"/>
  <c r="S2107" i="98"/>
  <c r="R2107" i="98"/>
  <c r="V2106" i="98"/>
  <c r="T2106" i="98"/>
  <c r="U2106" i="98" s="1"/>
  <c r="S2106" i="98"/>
  <c r="R2106" i="98"/>
  <c r="V2105" i="98"/>
  <c r="T2105" i="98"/>
  <c r="U2105" i="98" s="1"/>
  <c r="S2105" i="98"/>
  <c r="R2105" i="98"/>
  <c r="V2104" i="98"/>
  <c r="T2104" i="98"/>
  <c r="U2104" i="98" s="1"/>
  <c r="S2104" i="98"/>
  <c r="R2104" i="98"/>
  <c r="V2103" i="98"/>
  <c r="T2103" i="98"/>
  <c r="U2103" i="98" s="1"/>
  <c r="S2103" i="98"/>
  <c r="R2103" i="98"/>
  <c r="V2102" i="98"/>
  <c r="T2102" i="98"/>
  <c r="U2102" i="98" s="1"/>
  <c r="S2102" i="98"/>
  <c r="R2102" i="98"/>
  <c r="V2101" i="98"/>
  <c r="T2101" i="98"/>
  <c r="U2101" i="98" s="1"/>
  <c r="S2101" i="98"/>
  <c r="R2101" i="98"/>
  <c r="V2100" i="98"/>
  <c r="T2100" i="98"/>
  <c r="U2100" i="98" s="1"/>
  <c r="S2100" i="98"/>
  <c r="R2100" i="98"/>
  <c r="V2099" i="98"/>
  <c r="T2099" i="98"/>
  <c r="U2099" i="98" s="1"/>
  <c r="S2099" i="98"/>
  <c r="R2099" i="98"/>
  <c r="V2098" i="98"/>
  <c r="T2098" i="98"/>
  <c r="U2098" i="98" s="1"/>
  <c r="S2098" i="98"/>
  <c r="R2098" i="98"/>
  <c r="V2097" i="98"/>
  <c r="T2097" i="98"/>
  <c r="U2097" i="98" s="1"/>
  <c r="S2097" i="98"/>
  <c r="R2097" i="98"/>
  <c r="V2096" i="98"/>
  <c r="T2096" i="98"/>
  <c r="U2096" i="98" s="1"/>
  <c r="S2096" i="98"/>
  <c r="R2096" i="98"/>
  <c r="V2095" i="98"/>
  <c r="T2095" i="98"/>
  <c r="U2095" i="98" s="1"/>
  <c r="S2095" i="98"/>
  <c r="R2095" i="98"/>
  <c r="V2094" i="98"/>
  <c r="T2094" i="98"/>
  <c r="U2094" i="98" s="1"/>
  <c r="S2094" i="98"/>
  <c r="R2094" i="98"/>
  <c r="V2093" i="98"/>
  <c r="T2093" i="98"/>
  <c r="U2093" i="98" s="1"/>
  <c r="S2093" i="98"/>
  <c r="R2093" i="98"/>
  <c r="V2092" i="98"/>
  <c r="T2092" i="98"/>
  <c r="U2092" i="98" s="1"/>
  <c r="S2092" i="98"/>
  <c r="R2092" i="98"/>
  <c r="V2091" i="98"/>
  <c r="T2091" i="98"/>
  <c r="U2091" i="98" s="1"/>
  <c r="S2091" i="98"/>
  <c r="R2091" i="98"/>
  <c r="V2090" i="98"/>
  <c r="T2090" i="98"/>
  <c r="U2090" i="98" s="1"/>
  <c r="S2090" i="98"/>
  <c r="R2090" i="98"/>
  <c r="V2089" i="98"/>
  <c r="T2089" i="98"/>
  <c r="U2089" i="98" s="1"/>
  <c r="S2089" i="98"/>
  <c r="R2089" i="98"/>
  <c r="V2088" i="98"/>
  <c r="T2088" i="98"/>
  <c r="U2088" i="98" s="1"/>
  <c r="S2088" i="98"/>
  <c r="R2088" i="98"/>
  <c r="V2087" i="98"/>
  <c r="T2087" i="98"/>
  <c r="U2087" i="98" s="1"/>
  <c r="S2087" i="98"/>
  <c r="R2087" i="98"/>
  <c r="V2086" i="98"/>
  <c r="T2086" i="98"/>
  <c r="U2086" i="98" s="1"/>
  <c r="S2086" i="98"/>
  <c r="R2086" i="98"/>
  <c r="V2085" i="98"/>
  <c r="T2085" i="98"/>
  <c r="U2085" i="98" s="1"/>
  <c r="S2085" i="98"/>
  <c r="R2085" i="98"/>
  <c r="V2084" i="98"/>
  <c r="T2084" i="98"/>
  <c r="U2084" i="98" s="1"/>
  <c r="S2084" i="98"/>
  <c r="R2084" i="98"/>
  <c r="V2083" i="98"/>
  <c r="T2083" i="98"/>
  <c r="U2083" i="98" s="1"/>
  <c r="S2083" i="98"/>
  <c r="R2083" i="98"/>
  <c r="V2082" i="98"/>
  <c r="T2082" i="98"/>
  <c r="U2082" i="98" s="1"/>
  <c r="S2082" i="98"/>
  <c r="R2082" i="98"/>
  <c r="V2081" i="98"/>
  <c r="T2081" i="98"/>
  <c r="U2081" i="98" s="1"/>
  <c r="S2081" i="98"/>
  <c r="R2081" i="98"/>
  <c r="V2080" i="98"/>
  <c r="T2080" i="98"/>
  <c r="U2080" i="98" s="1"/>
  <c r="S2080" i="98"/>
  <c r="R2080" i="98"/>
  <c r="V2079" i="98"/>
  <c r="T2079" i="98"/>
  <c r="U2079" i="98" s="1"/>
  <c r="S2079" i="98"/>
  <c r="R2079" i="98"/>
  <c r="V2078" i="98"/>
  <c r="T2078" i="98"/>
  <c r="U2078" i="98" s="1"/>
  <c r="S2078" i="98"/>
  <c r="R2078" i="98"/>
  <c r="V2077" i="98"/>
  <c r="T2077" i="98"/>
  <c r="U2077" i="98" s="1"/>
  <c r="S2077" i="98"/>
  <c r="R2077" i="98"/>
  <c r="V2076" i="98"/>
  <c r="T2076" i="98"/>
  <c r="U2076" i="98" s="1"/>
  <c r="S2076" i="98"/>
  <c r="R2076" i="98"/>
  <c r="V2075" i="98"/>
  <c r="T2075" i="98"/>
  <c r="U2075" i="98" s="1"/>
  <c r="S2075" i="98"/>
  <c r="R2075" i="98"/>
  <c r="V2074" i="98"/>
  <c r="T2074" i="98"/>
  <c r="U2074" i="98" s="1"/>
  <c r="S2074" i="98"/>
  <c r="R2074" i="98"/>
  <c r="V2073" i="98"/>
  <c r="T2073" i="98"/>
  <c r="U2073" i="98" s="1"/>
  <c r="S2073" i="98"/>
  <c r="R2073" i="98"/>
  <c r="V2072" i="98"/>
  <c r="T2072" i="98"/>
  <c r="U2072" i="98" s="1"/>
  <c r="S2072" i="98"/>
  <c r="R2072" i="98"/>
  <c r="V2071" i="98"/>
  <c r="T2071" i="98"/>
  <c r="U2071" i="98" s="1"/>
  <c r="S2071" i="98"/>
  <c r="R2071" i="98"/>
  <c r="V2070" i="98"/>
  <c r="T2070" i="98"/>
  <c r="U2070" i="98" s="1"/>
  <c r="S2070" i="98"/>
  <c r="R2070" i="98"/>
  <c r="V2069" i="98"/>
  <c r="T2069" i="98"/>
  <c r="U2069" i="98" s="1"/>
  <c r="S2069" i="98"/>
  <c r="R2069" i="98"/>
  <c r="V2068" i="98"/>
  <c r="T2068" i="98"/>
  <c r="U2068" i="98" s="1"/>
  <c r="S2068" i="98"/>
  <c r="R2068" i="98"/>
  <c r="V2067" i="98"/>
  <c r="T2067" i="98"/>
  <c r="U2067" i="98" s="1"/>
  <c r="S2067" i="98"/>
  <c r="R2067" i="98"/>
  <c r="V2066" i="98"/>
  <c r="T2066" i="98"/>
  <c r="U2066" i="98" s="1"/>
  <c r="S2066" i="98"/>
  <c r="R2066" i="98"/>
  <c r="V2065" i="98"/>
  <c r="T2065" i="98"/>
  <c r="U2065" i="98" s="1"/>
  <c r="S2065" i="98"/>
  <c r="R2065" i="98"/>
  <c r="V2064" i="98"/>
  <c r="T2064" i="98"/>
  <c r="U2064" i="98" s="1"/>
  <c r="S2064" i="98"/>
  <c r="R2064" i="98"/>
  <c r="V2063" i="98"/>
  <c r="T2063" i="98"/>
  <c r="U2063" i="98" s="1"/>
  <c r="S2063" i="98"/>
  <c r="R2063" i="98"/>
  <c r="V2062" i="98"/>
  <c r="T2062" i="98"/>
  <c r="U2062" i="98" s="1"/>
  <c r="S2062" i="98"/>
  <c r="R2062" i="98"/>
  <c r="V2061" i="98"/>
  <c r="T2061" i="98"/>
  <c r="U2061" i="98" s="1"/>
  <c r="S2061" i="98"/>
  <c r="R2061" i="98"/>
  <c r="V2060" i="98"/>
  <c r="T2060" i="98"/>
  <c r="U2060" i="98" s="1"/>
  <c r="S2060" i="98"/>
  <c r="R2060" i="98"/>
  <c r="V2059" i="98"/>
  <c r="T2059" i="98"/>
  <c r="U2059" i="98" s="1"/>
  <c r="S2059" i="98"/>
  <c r="R2059" i="98"/>
  <c r="V2058" i="98"/>
  <c r="T2058" i="98"/>
  <c r="U2058" i="98" s="1"/>
  <c r="S2058" i="98"/>
  <c r="R2058" i="98"/>
  <c r="V2057" i="98"/>
  <c r="T2057" i="98"/>
  <c r="U2057" i="98" s="1"/>
  <c r="S2057" i="98"/>
  <c r="R2057" i="98"/>
  <c r="V2056" i="98"/>
  <c r="T2056" i="98"/>
  <c r="U2056" i="98" s="1"/>
  <c r="S2056" i="98"/>
  <c r="R2056" i="98"/>
  <c r="V2055" i="98"/>
  <c r="T2055" i="98"/>
  <c r="U2055" i="98" s="1"/>
  <c r="S2055" i="98"/>
  <c r="R2055" i="98"/>
  <c r="V2054" i="98"/>
  <c r="T2054" i="98"/>
  <c r="U2054" i="98" s="1"/>
  <c r="S2054" i="98"/>
  <c r="R2054" i="98"/>
  <c r="V2053" i="98"/>
  <c r="T2053" i="98"/>
  <c r="U2053" i="98" s="1"/>
  <c r="S2053" i="98"/>
  <c r="R2053" i="98"/>
  <c r="V2052" i="98"/>
  <c r="T2052" i="98"/>
  <c r="U2052" i="98" s="1"/>
  <c r="S2052" i="98"/>
  <c r="R2052" i="98"/>
  <c r="V2051" i="98"/>
  <c r="T2051" i="98"/>
  <c r="U2051" i="98" s="1"/>
  <c r="S2051" i="98"/>
  <c r="R2051" i="98"/>
  <c r="V2050" i="98"/>
  <c r="T2050" i="98"/>
  <c r="U2050" i="98" s="1"/>
  <c r="S2050" i="98"/>
  <c r="R2050" i="98"/>
  <c r="V2049" i="98"/>
  <c r="T2049" i="98"/>
  <c r="U2049" i="98" s="1"/>
  <c r="S2049" i="98"/>
  <c r="R2049" i="98"/>
  <c r="V2048" i="98"/>
  <c r="T2048" i="98"/>
  <c r="U2048" i="98" s="1"/>
  <c r="S2048" i="98"/>
  <c r="R2048" i="98"/>
  <c r="V2047" i="98"/>
  <c r="T2047" i="98"/>
  <c r="U2047" i="98" s="1"/>
  <c r="S2047" i="98"/>
  <c r="R2047" i="98"/>
  <c r="V2046" i="98"/>
  <c r="T2046" i="98"/>
  <c r="U2046" i="98" s="1"/>
  <c r="S2046" i="98"/>
  <c r="R2046" i="98"/>
  <c r="V2045" i="98"/>
  <c r="T2045" i="98"/>
  <c r="U2045" i="98" s="1"/>
  <c r="S2045" i="98"/>
  <c r="R2045" i="98"/>
  <c r="V2044" i="98"/>
  <c r="T2044" i="98"/>
  <c r="U2044" i="98" s="1"/>
  <c r="S2044" i="98"/>
  <c r="R2044" i="98"/>
  <c r="V2043" i="98"/>
  <c r="T2043" i="98"/>
  <c r="U2043" i="98" s="1"/>
  <c r="S2043" i="98"/>
  <c r="R2043" i="98"/>
  <c r="V2042" i="98"/>
  <c r="T2042" i="98"/>
  <c r="U2042" i="98" s="1"/>
  <c r="S2042" i="98"/>
  <c r="R2042" i="98"/>
  <c r="V2041" i="98"/>
  <c r="T2041" i="98"/>
  <c r="U2041" i="98" s="1"/>
  <c r="S2041" i="98"/>
  <c r="R2041" i="98"/>
  <c r="V2040" i="98"/>
  <c r="T2040" i="98"/>
  <c r="U2040" i="98" s="1"/>
  <c r="S2040" i="98"/>
  <c r="R2040" i="98"/>
  <c r="V2039" i="98"/>
  <c r="T2039" i="98"/>
  <c r="U2039" i="98" s="1"/>
  <c r="S2039" i="98"/>
  <c r="R2039" i="98"/>
  <c r="V2038" i="98"/>
  <c r="T2038" i="98"/>
  <c r="U2038" i="98" s="1"/>
  <c r="S2038" i="98"/>
  <c r="R2038" i="98"/>
  <c r="V2037" i="98"/>
  <c r="T2037" i="98"/>
  <c r="U2037" i="98" s="1"/>
  <c r="S2037" i="98"/>
  <c r="R2037" i="98"/>
  <c r="V2036" i="98"/>
  <c r="T2036" i="98"/>
  <c r="U2036" i="98" s="1"/>
  <c r="S2036" i="98"/>
  <c r="R2036" i="98"/>
  <c r="V2035" i="98"/>
  <c r="T2035" i="98"/>
  <c r="U2035" i="98" s="1"/>
  <c r="S2035" i="98"/>
  <c r="R2035" i="98"/>
  <c r="V2034" i="98"/>
  <c r="T2034" i="98"/>
  <c r="U2034" i="98" s="1"/>
  <c r="S2034" i="98"/>
  <c r="R2034" i="98"/>
  <c r="V2033" i="98"/>
  <c r="T2033" i="98"/>
  <c r="U2033" i="98" s="1"/>
  <c r="S2033" i="98"/>
  <c r="R2033" i="98"/>
  <c r="V2032" i="98"/>
  <c r="T2032" i="98"/>
  <c r="U2032" i="98" s="1"/>
  <c r="S2032" i="98"/>
  <c r="R2032" i="98"/>
  <c r="V2031" i="98"/>
  <c r="T2031" i="98"/>
  <c r="U2031" i="98" s="1"/>
  <c r="S2031" i="98"/>
  <c r="R2031" i="98"/>
  <c r="V2030" i="98"/>
  <c r="T2030" i="98"/>
  <c r="U2030" i="98" s="1"/>
  <c r="S2030" i="98"/>
  <c r="R2030" i="98"/>
  <c r="V2029" i="98"/>
  <c r="T2029" i="98"/>
  <c r="U2029" i="98" s="1"/>
  <c r="S2029" i="98"/>
  <c r="R2029" i="98"/>
  <c r="V2028" i="98"/>
  <c r="T2028" i="98"/>
  <c r="U2028" i="98" s="1"/>
  <c r="S2028" i="98"/>
  <c r="R2028" i="98"/>
  <c r="V2027" i="98"/>
  <c r="T2027" i="98"/>
  <c r="U2027" i="98" s="1"/>
  <c r="S2027" i="98"/>
  <c r="R2027" i="98"/>
  <c r="V2026" i="98"/>
  <c r="T2026" i="98"/>
  <c r="U2026" i="98" s="1"/>
  <c r="S2026" i="98"/>
  <c r="R2026" i="98"/>
  <c r="V2025" i="98"/>
  <c r="T2025" i="98"/>
  <c r="U2025" i="98" s="1"/>
  <c r="S2025" i="98"/>
  <c r="R2025" i="98"/>
  <c r="V2024" i="98"/>
  <c r="T2024" i="98"/>
  <c r="U2024" i="98" s="1"/>
  <c r="S2024" i="98"/>
  <c r="R2024" i="98"/>
  <c r="V2023" i="98"/>
  <c r="T2023" i="98"/>
  <c r="U2023" i="98" s="1"/>
  <c r="S2023" i="98"/>
  <c r="R2023" i="98"/>
  <c r="V2022" i="98"/>
  <c r="T2022" i="98"/>
  <c r="U2022" i="98" s="1"/>
  <c r="S2022" i="98"/>
  <c r="R2022" i="98"/>
  <c r="V2021" i="98"/>
  <c r="T2021" i="98"/>
  <c r="U2021" i="98" s="1"/>
  <c r="S2021" i="98"/>
  <c r="R2021" i="98"/>
  <c r="V2020" i="98"/>
  <c r="T2020" i="98"/>
  <c r="U2020" i="98" s="1"/>
  <c r="S2020" i="98"/>
  <c r="R2020" i="98"/>
  <c r="V2019" i="98"/>
  <c r="T2019" i="98"/>
  <c r="U2019" i="98" s="1"/>
  <c r="S2019" i="98"/>
  <c r="R2019" i="98"/>
  <c r="V2018" i="98"/>
  <c r="T2018" i="98"/>
  <c r="U2018" i="98" s="1"/>
  <c r="S2018" i="98"/>
  <c r="R2018" i="98"/>
  <c r="V2017" i="98"/>
  <c r="T2017" i="98"/>
  <c r="U2017" i="98" s="1"/>
  <c r="S2017" i="98"/>
  <c r="R2017" i="98"/>
  <c r="V2016" i="98"/>
  <c r="T2016" i="98"/>
  <c r="U2016" i="98" s="1"/>
  <c r="S2016" i="98"/>
  <c r="R2016" i="98"/>
  <c r="V2015" i="98"/>
  <c r="T2015" i="98"/>
  <c r="U2015" i="98" s="1"/>
  <c r="S2015" i="98"/>
  <c r="R2015" i="98"/>
  <c r="V2014" i="98"/>
  <c r="T2014" i="98"/>
  <c r="U2014" i="98" s="1"/>
  <c r="S2014" i="98"/>
  <c r="R2014" i="98"/>
  <c r="V2013" i="98"/>
  <c r="T2013" i="98"/>
  <c r="U2013" i="98" s="1"/>
  <c r="S2013" i="98"/>
  <c r="R2013" i="98"/>
  <c r="V2012" i="98"/>
  <c r="T2012" i="98"/>
  <c r="U2012" i="98" s="1"/>
  <c r="S2012" i="98"/>
  <c r="R2012" i="98"/>
  <c r="V2011" i="98"/>
  <c r="T2011" i="98"/>
  <c r="U2011" i="98" s="1"/>
  <c r="S2011" i="98"/>
  <c r="R2011" i="98"/>
  <c r="V2010" i="98"/>
  <c r="T2010" i="98"/>
  <c r="U2010" i="98" s="1"/>
  <c r="S2010" i="98"/>
  <c r="R2010" i="98"/>
  <c r="V2009" i="98"/>
  <c r="T2009" i="98"/>
  <c r="U2009" i="98" s="1"/>
  <c r="S2009" i="98"/>
  <c r="R2009" i="98"/>
  <c r="V2008" i="98"/>
  <c r="T2008" i="98"/>
  <c r="U2008" i="98" s="1"/>
  <c r="S2008" i="98"/>
  <c r="R2008" i="98"/>
  <c r="V2007" i="98"/>
  <c r="T2007" i="98"/>
  <c r="U2007" i="98" s="1"/>
  <c r="S2007" i="98"/>
  <c r="R2007" i="98"/>
  <c r="V2006" i="98"/>
  <c r="T2006" i="98"/>
  <c r="U2006" i="98" s="1"/>
  <c r="S2006" i="98"/>
  <c r="R2006" i="98"/>
  <c r="V2005" i="98"/>
  <c r="T2005" i="98"/>
  <c r="U2005" i="98" s="1"/>
  <c r="S2005" i="98"/>
  <c r="R2005" i="98"/>
  <c r="V2004" i="98"/>
  <c r="T2004" i="98"/>
  <c r="U2004" i="98" s="1"/>
  <c r="S2004" i="98"/>
  <c r="R2004" i="98"/>
  <c r="V2003" i="98"/>
  <c r="T2003" i="98"/>
  <c r="U2003" i="98" s="1"/>
  <c r="S2003" i="98"/>
  <c r="R2003" i="98"/>
  <c r="V2002" i="98"/>
  <c r="T2002" i="98"/>
  <c r="U2002" i="98" s="1"/>
  <c r="S2002" i="98"/>
  <c r="R2002" i="98"/>
  <c r="V2001" i="98"/>
  <c r="T2001" i="98"/>
  <c r="U2001" i="98" s="1"/>
  <c r="S2001" i="98"/>
  <c r="R2001" i="98"/>
  <c r="V2000" i="98"/>
  <c r="T2000" i="98"/>
  <c r="U2000" i="98" s="1"/>
  <c r="S2000" i="98"/>
  <c r="R2000" i="98"/>
  <c r="V1999" i="98"/>
  <c r="T1999" i="98"/>
  <c r="U1999" i="98" s="1"/>
  <c r="S1999" i="98"/>
  <c r="R1999" i="98"/>
  <c r="V1998" i="98"/>
  <c r="T1998" i="98"/>
  <c r="U1998" i="98" s="1"/>
  <c r="S1998" i="98"/>
  <c r="R1998" i="98"/>
  <c r="V1997" i="98"/>
  <c r="T1997" i="98"/>
  <c r="U1997" i="98" s="1"/>
  <c r="S1997" i="98"/>
  <c r="R1997" i="98"/>
  <c r="V1996" i="98"/>
  <c r="T1996" i="98"/>
  <c r="U1996" i="98" s="1"/>
  <c r="S1996" i="98"/>
  <c r="R1996" i="98"/>
  <c r="V1995" i="98"/>
  <c r="T1995" i="98"/>
  <c r="U1995" i="98" s="1"/>
  <c r="S1995" i="98"/>
  <c r="R1995" i="98"/>
  <c r="V1994" i="98"/>
  <c r="T1994" i="98"/>
  <c r="U1994" i="98" s="1"/>
  <c r="S1994" i="98"/>
  <c r="R1994" i="98"/>
  <c r="V1993" i="98"/>
  <c r="T1993" i="98"/>
  <c r="U1993" i="98" s="1"/>
  <c r="S1993" i="98"/>
  <c r="R1993" i="98"/>
  <c r="V1992" i="98"/>
  <c r="T1992" i="98"/>
  <c r="U1992" i="98" s="1"/>
  <c r="S1992" i="98"/>
  <c r="R1992" i="98"/>
  <c r="V1991" i="98"/>
  <c r="T1991" i="98"/>
  <c r="U1991" i="98" s="1"/>
  <c r="S1991" i="98"/>
  <c r="R1991" i="98"/>
  <c r="V1990" i="98"/>
  <c r="T1990" i="98"/>
  <c r="U1990" i="98" s="1"/>
  <c r="S1990" i="98"/>
  <c r="R1990" i="98"/>
  <c r="V1989" i="98"/>
  <c r="T1989" i="98"/>
  <c r="U1989" i="98" s="1"/>
  <c r="S1989" i="98"/>
  <c r="R1989" i="98"/>
  <c r="V1988" i="98"/>
  <c r="T1988" i="98"/>
  <c r="U1988" i="98" s="1"/>
  <c r="S1988" i="98"/>
  <c r="R1988" i="98"/>
  <c r="V1987" i="98"/>
  <c r="T1987" i="98"/>
  <c r="U1987" i="98" s="1"/>
  <c r="S1987" i="98"/>
  <c r="R1987" i="98"/>
  <c r="V1986" i="98"/>
  <c r="T1986" i="98"/>
  <c r="U1986" i="98" s="1"/>
  <c r="S1986" i="98"/>
  <c r="R1986" i="98"/>
  <c r="V1985" i="98"/>
  <c r="T1985" i="98"/>
  <c r="U1985" i="98" s="1"/>
  <c r="S1985" i="98"/>
  <c r="R1985" i="98"/>
  <c r="V1984" i="98"/>
  <c r="T1984" i="98"/>
  <c r="U1984" i="98" s="1"/>
  <c r="S1984" i="98"/>
  <c r="R1984" i="98"/>
  <c r="V1983" i="98"/>
  <c r="T1983" i="98"/>
  <c r="U1983" i="98" s="1"/>
  <c r="S1983" i="98"/>
  <c r="R1983" i="98"/>
  <c r="V1982" i="98"/>
  <c r="T1982" i="98"/>
  <c r="U1982" i="98" s="1"/>
  <c r="S1982" i="98"/>
  <c r="R1982" i="98"/>
  <c r="V1981" i="98"/>
  <c r="T1981" i="98"/>
  <c r="U1981" i="98" s="1"/>
  <c r="S1981" i="98"/>
  <c r="R1981" i="98"/>
  <c r="V1980" i="98"/>
  <c r="T1980" i="98"/>
  <c r="U1980" i="98" s="1"/>
  <c r="S1980" i="98"/>
  <c r="R1980" i="98"/>
  <c r="V1979" i="98"/>
  <c r="T1979" i="98"/>
  <c r="U1979" i="98" s="1"/>
  <c r="S1979" i="98"/>
  <c r="R1979" i="98"/>
  <c r="V1978" i="98"/>
  <c r="T1978" i="98"/>
  <c r="U1978" i="98" s="1"/>
  <c r="S1978" i="98"/>
  <c r="R1978" i="98"/>
  <c r="V1977" i="98"/>
  <c r="T1977" i="98"/>
  <c r="U1977" i="98" s="1"/>
  <c r="S1977" i="98"/>
  <c r="R1977" i="98"/>
  <c r="V1976" i="98"/>
  <c r="T1976" i="98"/>
  <c r="U1976" i="98" s="1"/>
  <c r="S1976" i="98"/>
  <c r="R1976" i="98"/>
  <c r="V1975" i="98"/>
  <c r="T1975" i="98"/>
  <c r="U1975" i="98" s="1"/>
  <c r="S1975" i="98"/>
  <c r="R1975" i="98"/>
  <c r="V1974" i="98"/>
  <c r="T1974" i="98"/>
  <c r="U1974" i="98" s="1"/>
  <c r="S1974" i="98"/>
  <c r="R1974" i="98"/>
  <c r="V1973" i="98"/>
  <c r="T1973" i="98"/>
  <c r="U1973" i="98" s="1"/>
  <c r="S1973" i="98"/>
  <c r="R1973" i="98"/>
  <c r="V1972" i="98"/>
  <c r="T1972" i="98"/>
  <c r="U1972" i="98" s="1"/>
  <c r="S1972" i="98"/>
  <c r="R1972" i="98"/>
  <c r="V1971" i="98"/>
  <c r="T1971" i="98"/>
  <c r="U1971" i="98" s="1"/>
  <c r="S1971" i="98"/>
  <c r="R1971" i="98"/>
  <c r="V1970" i="98"/>
  <c r="T1970" i="98"/>
  <c r="U1970" i="98" s="1"/>
  <c r="S1970" i="98"/>
  <c r="R1970" i="98"/>
  <c r="V1969" i="98"/>
  <c r="T1969" i="98"/>
  <c r="U1969" i="98" s="1"/>
  <c r="S1969" i="98"/>
  <c r="R1969" i="98"/>
  <c r="V1968" i="98"/>
  <c r="T1968" i="98"/>
  <c r="U1968" i="98" s="1"/>
  <c r="S1968" i="98"/>
  <c r="R1968" i="98"/>
  <c r="V1967" i="98"/>
  <c r="T1967" i="98"/>
  <c r="U1967" i="98" s="1"/>
  <c r="S1967" i="98"/>
  <c r="R1967" i="98"/>
  <c r="V1966" i="98"/>
  <c r="T1966" i="98"/>
  <c r="U1966" i="98" s="1"/>
  <c r="S1966" i="98"/>
  <c r="R1966" i="98"/>
  <c r="V1965" i="98"/>
  <c r="T1965" i="98"/>
  <c r="U1965" i="98" s="1"/>
  <c r="S1965" i="98"/>
  <c r="R1965" i="98"/>
  <c r="V1964" i="98"/>
  <c r="T1964" i="98"/>
  <c r="U1964" i="98" s="1"/>
  <c r="S1964" i="98"/>
  <c r="R1964" i="98"/>
  <c r="V1963" i="98"/>
  <c r="T1963" i="98"/>
  <c r="U1963" i="98" s="1"/>
  <c r="S1963" i="98"/>
  <c r="R1963" i="98"/>
  <c r="V1962" i="98"/>
  <c r="T1962" i="98"/>
  <c r="U1962" i="98" s="1"/>
  <c r="S1962" i="98"/>
  <c r="R1962" i="98"/>
  <c r="V1961" i="98"/>
  <c r="T1961" i="98"/>
  <c r="U1961" i="98" s="1"/>
  <c r="S1961" i="98"/>
  <c r="R1961" i="98"/>
  <c r="V1960" i="98"/>
  <c r="T1960" i="98"/>
  <c r="U1960" i="98" s="1"/>
  <c r="S1960" i="98"/>
  <c r="R1960" i="98"/>
  <c r="V1959" i="98"/>
  <c r="T1959" i="98"/>
  <c r="U1959" i="98" s="1"/>
  <c r="S1959" i="98"/>
  <c r="R1959" i="98"/>
  <c r="V1958" i="98"/>
  <c r="T1958" i="98"/>
  <c r="U1958" i="98" s="1"/>
  <c r="S1958" i="98"/>
  <c r="R1958" i="98"/>
  <c r="V1957" i="98"/>
  <c r="T1957" i="98"/>
  <c r="U1957" i="98" s="1"/>
  <c r="S1957" i="98"/>
  <c r="R1957" i="98"/>
  <c r="V1956" i="98"/>
  <c r="T1956" i="98"/>
  <c r="U1956" i="98" s="1"/>
  <c r="S1956" i="98"/>
  <c r="R1956" i="98"/>
  <c r="V1955" i="98"/>
  <c r="T1955" i="98"/>
  <c r="U1955" i="98" s="1"/>
  <c r="S1955" i="98"/>
  <c r="R1955" i="98"/>
  <c r="V1954" i="98"/>
  <c r="T1954" i="98"/>
  <c r="U1954" i="98" s="1"/>
  <c r="S1954" i="98"/>
  <c r="R1954" i="98"/>
  <c r="V1953" i="98"/>
  <c r="T1953" i="98"/>
  <c r="U1953" i="98" s="1"/>
  <c r="S1953" i="98"/>
  <c r="R1953" i="98"/>
  <c r="V1952" i="98"/>
  <c r="T1952" i="98"/>
  <c r="U1952" i="98" s="1"/>
  <c r="S1952" i="98"/>
  <c r="R1952" i="98"/>
  <c r="V1951" i="98"/>
  <c r="T1951" i="98"/>
  <c r="U1951" i="98" s="1"/>
  <c r="S1951" i="98"/>
  <c r="R1951" i="98"/>
  <c r="V1950" i="98"/>
  <c r="T1950" i="98"/>
  <c r="U1950" i="98" s="1"/>
  <c r="S1950" i="98"/>
  <c r="R1950" i="98"/>
  <c r="V1949" i="98"/>
  <c r="T1949" i="98"/>
  <c r="U1949" i="98" s="1"/>
  <c r="S1949" i="98"/>
  <c r="R1949" i="98"/>
  <c r="V1948" i="98"/>
  <c r="T1948" i="98"/>
  <c r="U1948" i="98" s="1"/>
  <c r="S1948" i="98"/>
  <c r="R1948" i="98"/>
  <c r="V1947" i="98"/>
  <c r="T1947" i="98"/>
  <c r="U1947" i="98" s="1"/>
  <c r="S1947" i="98"/>
  <c r="R1947" i="98"/>
  <c r="V1946" i="98"/>
  <c r="T1946" i="98"/>
  <c r="U1946" i="98" s="1"/>
  <c r="S1946" i="98"/>
  <c r="R1946" i="98"/>
  <c r="V1945" i="98"/>
  <c r="T1945" i="98"/>
  <c r="U1945" i="98" s="1"/>
  <c r="S1945" i="98"/>
  <c r="R1945" i="98"/>
  <c r="V1944" i="98"/>
  <c r="T1944" i="98"/>
  <c r="U1944" i="98" s="1"/>
  <c r="S1944" i="98"/>
  <c r="R1944" i="98"/>
  <c r="V1943" i="98"/>
  <c r="T1943" i="98"/>
  <c r="U1943" i="98" s="1"/>
  <c r="S1943" i="98"/>
  <c r="R1943" i="98"/>
  <c r="V1942" i="98"/>
  <c r="T1942" i="98"/>
  <c r="U1942" i="98" s="1"/>
  <c r="S1942" i="98"/>
  <c r="R1942" i="98"/>
  <c r="V1941" i="98"/>
  <c r="T1941" i="98"/>
  <c r="U1941" i="98" s="1"/>
  <c r="S1941" i="98"/>
  <c r="R1941" i="98"/>
  <c r="V1940" i="98"/>
  <c r="T1940" i="98"/>
  <c r="U1940" i="98" s="1"/>
  <c r="S1940" i="98"/>
  <c r="R1940" i="98"/>
  <c r="V1939" i="98"/>
  <c r="T1939" i="98"/>
  <c r="U1939" i="98" s="1"/>
  <c r="S1939" i="98"/>
  <c r="R1939" i="98"/>
  <c r="V1938" i="98"/>
  <c r="T1938" i="98"/>
  <c r="U1938" i="98" s="1"/>
  <c r="S1938" i="98"/>
  <c r="R1938" i="98"/>
  <c r="V1937" i="98"/>
  <c r="T1937" i="98"/>
  <c r="U1937" i="98" s="1"/>
  <c r="S1937" i="98"/>
  <c r="R1937" i="98"/>
  <c r="V1936" i="98"/>
  <c r="T1936" i="98"/>
  <c r="U1936" i="98" s="1"/>
  <c r="S1936" i="98"/>
  <c r="R1936" i="98"/>
  <c r="V1935" i="98"/>
  <c r="T1935" i="98"/>
  <c r="U1935" i="98" s="1"/>
  <c r="S1935" i="98"/>
  <c r="R1935" i="98"/>
  <c r="V1934" i="98"/>
  <c r="T1934" i="98"/>
  <c r="U1934" i="98" s="1"/>
  <c r="S1934" i="98"/>
  <c r="R1934" i="98"/>
  <c r="V1933" i="98"/>
  <c r="T1933" i="98"/>
  <c r="U1933" i="98" s="1"/>
  <c r="S1933" i="98"/>
  <c r="R1933" i="98"/>
  <c r="V1932" i="98"/>
  <c r="T1932" i="98"/>
  <c r="U1932" i="98" s="1"/>
  <c r="S1932" i="98"/>
  <c r="R1932" i="98"/>
  <c r="V1931" i="98"/>
  <c r="T1931" i="98"/>
  <c r="U1931" i="98" s="1"/>
  <c r="S1931" i="98"/>
  <c r="R1931" i="98"/>
  <c r="V1930" i="98"/>
  <c r="T1930" i="98"/>
  <c r="U1930" i="98" s="1"/>
  <c r="S1930" i="98"/>
  <c r="R1930" i="98"/>
  <c r="V1929" i="98"/>
  <c r="T1929" i="98"/>
  <c r="U1929" i="98" s="1"/>
  <c r="S1929" i="98"/>
  <c r="R1929" i="98"/>
  <c r="V1928" i="98"/>
  <c r="T1928" i="98"/>
  <c r="U1928" i="98" s="1"/>
  <c r="S1928" i="98"/>
  <c r="R1928" i="98"/>
  <c r="V1927" i="98"/>
  <c r="T1927" i="98"/>
  <c r="U1927" i="98" s="1"/>
  <c r="S1927" i="98"/>
  <c r="R1927" i="98"/>
  <c r="V1926" i="98"/>
  <c r="T1926" i="98"/>
  <c r="U1926" i="98" s="1"/>
  <c r="S1926" i="98"/>
  <c r="R1926" i="98"/>
  <c r="V1925" i="98"/>
  <c r="T1925" i="98"/>
  <c r="U1925" i="98" s="1"/>
  <c r="S1925" i="98"/>
  <c r="R1925" i="98"/>
  <c r="V1924" i="98"/>
  <c r="T1924" i="98"/>
  <c r="U1924" i="98" s="1"/>
  <c r="S1924" i="98"/>
  <c r="R1924" i="98"/>
  <c r="V1923" i="98"/>
  <c r="T1923" i="98"/>
  <c r="U1923" i="98" s="1"/>
  <c r="S1923" i="98"/>
  <c r="R1923" i="98"/>
  <c r="V1922" i="98"/>
  <c r="T1922" i="98"/>
  <c r="U1922" i="98" s="1"/>
  <c r="S1922" i="98"/>
  <c r="R1922" i="98"/>
  <c r="V1921" i="98"/>
  <c r="T1921" i="98"/>
  <c r="U1921" i="98" s="1"/>
  <c r="S1921" i="98"/>
  <c r="R1921" i="98"/>
  <c r="V1920" i="98"/>
  <c r="T1920" i="98"/>
  <c r="U1920" i="98" s="1"/>
  <c r="S1920" i="98"/>
  <c r="R1920" i="98"/>
  <c r="V1919" i="98"/>
  <c r="T1919" i="98"/>
  <c r="U1919" i="98" s="1"/>
  <c r="S1919" i="98"/>
  <c r="R1919" i="98"/>
  <c r="V1918" i="98"/>
  <c r="T1918" i="98"/>
  <c r="U1918" i="98" s="1"/>
  <c r="S1918" i="98"/>
  <c r="R1918" i="98"/>
  <c r="V1917" i="98"/>
  <c r="T1917" i="98"/>
  <c r="U1917" i="98" s="1"/>
  <c r="S1917" i="98"/>
  <c r="R1917" i="98"/>
  <c r="V1916" i="98"/>
  <c r="T1916" i="98"/>
  <c r="U1916" i="98" s="1"/>
  <c r="S1916" i="98"/>
  <c r="R1916" i="98"/>
  <c r="V1915" i="98"/>
  <c r="T1915" i="98"/>
  <c r="U1915" i="98" s="1"/>
  <c r="S1915" i="98"/>
  <c r="R1915" i="98"/>
  <c r="V1914" i="98"/>
  <c r="T1914" i="98"/>
  <c r="U1914" i="98" s="1"/>
  <c r="S1914" i="98"/>
  <c r="R1914" i="98"/>
  <c r="V1913" i="98"/>
  <c r="T1913" i="98"/>
  <c r="U1913" i="98" s="1"/>
  <c r="S1913" i="98"/>
  <c r="R1913" i="98"/>
  <c r="V1912" i="98"/>
  <c r="T1912" i="98"/>
  <c r="U1912" i="98" s="1"/>
  <c r="S1912" i="98"/>
  <c r="R1912" i="98"/>
  <c r="V1911" i="98"/>
  <c r="T1911" i="98"/>
  <c r="U1911" i="98" s="1"/>
  <c r="S1911" i="98"/>
  <c r="R1911" i="98"/>
  <c r="V1910" i="98"/>
  <c r="T1910" i="98"/>
  <c r="U1910" i="98" s="1"/>
  <c r="S1910" i="98"/>
  <c r="R1910" i="98"/>
  <c r="V1909" i="98"/>
  <c r="T1909" i="98"/>
  <c r="U1909" i="98" s="1"/>
  <c r="S1909" i="98"/>
  <c r="R1909" i="98"/>
  <c r="V1908" i="98"/>
  <c r="T1908" i="98"/>
  <c r="U1908" i="98" s="1"/>
  <c r="S1908" i="98"/>
  <c r="R1908" i="98"/>
  <c r="V1907" i="98"/>
  <c r="T1907" i="98"/>
  <c r="U1907" i="98" s="1"/>
  <c r="S1907" i="98"/>
  <c r="R1907" i="98"/>
  <c r="V1906" i="98"/>
  <c r="T1906" i="98"/>
  <c r="U1906" i="98" s="1"/>
  <c r="S1906" i="98"/>
  <c r="R1906" i="98"/>
  <c r="V1905" i="98"/>
  <c r="T1905" i="98"/>
  <c r="U1905" i="98" s="1"/>
  <c r="S1905" i="98"/>
  <c r="R1905" i="98"/>
  <c r="V1904" i="98"/>
  <c r="T1904" i="98"/>
  <c r="U1904" i="98" s="1"/>
  <c r="S1904" i="98"/>
  <c r="R1904" i="98"/>
  <c r="V1903" i="98"/>
  <c r="T1903" i="98"/>
  <c r="U1903" i="98" s="1"/>
  <c r="S1903" i="98"/>
  <c r="R1903" i="98"/>
  <c r="V1902" i="98"/>
  <c r="T1902" i="98"/>
  <c r="U1902" i="98" s="1"/>
  <c r="S1902" i="98"/>
  <c r="R1902" i="98"/>
  <c r="V1901" i="98"/>
  <c r="T1901" i="98"/>
  <c r="U1901" i="98" s="1"/>
  <c r="S1901" i="98"/>
  <c r="R1901" i="98"/>
  <c r="V1900" i="98"/>
  <c r="T1900" i="98"/>
  <c r="U1900" i="98" s="1"/>
  <c r="S1900" i="98"/>
  <c r="R1900" i="98"/>
  <c r="V1899" i="98"/>
  <c r="T1899" i="98"/>
  <c r="U1899" i="98" s="1"/>
  <c r="S1899" i="98"/>
  <c r="R1899" i="98"/>
  <c r="V1898" i="98"/>
  <c r="T1898" i="98"/>
  <c r="U1898" i="98" s="1"/>
  <c r="S1898" i="98"/>
  <c r="R1898" i="98"/>
  <c r="V1897" i="98"/>
  <c r="T1897" i="98"/>
  <c r="U1897" i="98" s="1"/>
  <c r="S1897" i="98"/>
  <c r="R1897" i="98"/>
  <c r="V1896" i="98"/>
  <c r="T1896" i="98"/>
  <c r="U1896" i="98" s="1"/>
  <c r="S1896" i="98"/>
  <c r="R1896" i="98"/>
  <c r="V1895" i="98"/>
  <c r="T1895" i="98"/>
  <c r="U1895" i="98" s="1"/>
  <c r="S1895" i="98"/>
  <c r="R1895" i="98"/>
  <c r="V1894" i="98"/>
  <c r="T1894" i="98"/>
  <c r="U1894" i="98" s="1"/>
  <c r="S1894" i="98"/>
  <c r="R1894" i="98"/>
  <c r="V1893" i="98"/>
  <c r="T1893" i="98"/>
  <c r="U1893" i="98" s="1"/>
  <c r="S1893" i="98"/>
  <c r="R1893" i="98"/>
  <c r="V1892" i="98"/>
  <c r="T1892" i="98"/>
  <c r="U1892" i="98" s="1"/>
  <c r="S1892" i="98"/>
  <c r="R1892" i="98"/>
  <c r="V1891" i="98"/>
  <c r="T1891" i="98"/>
  <c r="U1891" i="98" s="1"/>
  <c r="S1891" i="98"/>
  <c r="R1891" i="98"/>
  <c r="V1890" i="98"/>
  <c r="T1890" i="98"/>
  <c r="U1890" i="98" s="1"/>
  <c r="S1890" i="98"/>
  <c r="R1890" i="98"/>
  <c r="V1889" i="98"/>
  <c r="T1889" i="98"/>
  <c r="U1889" i="98" s="1"/>
  <c r="S1889" i="98"/>
  <c r="R1889" i="98"/>
  <c r="V1888" i="98"/>
  <c r="T1888" i="98"/>
  <c r="U1888" i="98" s="1"/>
  <c r="S1888" i="98"/>
  <c r="R1888" i="98"/>
  <c r="V1887" i="98"/>
  <c r="T1887" i="98"/>
  <c r="U1887" i="98" s="1"/>
  <c r="S1887" i="98"/>
  <c r="R1887" i="98"/>
  <c r="V1886" i="98"/>
  <c r="T1886" i="98"/>
  <c r="U1886" i="98" s="1"/>
  <c r="S1886" i="98"/>
  <c r="R1886" i="98"/>
  <c r="V1885" i="98"/>
  <c r="T1885" i="98"/>
  <c r="U1885" i="98" s="1"/>
  <c r="S1885" i="98"/>
  <c r="R1885" i="98"/>
  <c r="V1884" i="98"/>
  <c r="T1884" i="98"/>
  <c r="U1884" i="98" s="1"/>
  <c r="S1884" i="98"/>
  <c r="R1884" i="98"/>
  <c r="V1883" i="98"/>
  <c r="T1883" i="98"/>
  <c r="U1883" i="98" s="1"/>
  <c r="S1883" i="98"/>
  <c r="R1883" i="98"/>
  <c r="V1882" i="98"/>
  <c r="T1882" i="98"/>
  <c r="U1882" i="98" s="1"/>
  <c r="S1882" i="98"/>
  <c r="R1882" i="98"/>
  <c r="V1881" i="98"/>
  <c r="T1881" i="98"/>
  <c r="U1881" i="98" s="1"/>
  <c r="S1881" i="98"/>
  <c r="R1881" i="98"/>
  <c r="V1880" i="98"/>
  <c r="T1880" i="98"/>
  <c r="U1880" i="98" s="1"/>
  <c r="S1880" i="98"/>
  <c r="R1880" i="98"/>
  <c r="V1879" i="98"/>
  <c r="T1879" i="98"/>
  <c r="U1879" i="98" s="1"/>
  <c r="S1879" i="98"/>
  <c r="R1879" i="98"/>
  <c r="V1878" i="98"/>
  <c r="T1878" i="98"/>
  <c r="U1878" i="98" s="1"/>
  <c r="S1878" i="98"/>
  <c r="R1878" i="98"/>
  <c r="V1877" i="98"/>
  <c r="T1877" i="98"/>
  <c r="U1877" i="98" s="1"/>
  <c r="S1877" i="98"/>
  <c r="R1877" i="98"/>
  <c r="V1876" i="98"/>
  <c r="T1876" i="98"/>
  <c r="U1876" i="98" s="1"/>
  <c r="S1876" i="98"/>
  <c r="R1876" i="98"/>
  <c r="V1875" i="98"/>
  <c r="T1875" i="98"/>
  <c r="U1875" i="98" s="1"/>
  <c r="S1875" i="98"/>
  <c r="R1875" i="98"/>
  <c r="V1874" i="98"/>
  <c r="T1874" i="98"/>
  <c r="U1874" i="98" s="1"/>
  <c r="S1874" i="98"/>
  <c r="R1874" i="98"/>
  <c r="V1873" i="98"/>
  <c r="T1873" i="98"/>
  <c r="U1873" i="98" s="1"/>
  <c r="S1873" i="98"/>
  <c r="R1873" i="98"/>
  <c r="V1872" i="98"/>
  <c r="T1872" i="98"/>
  <c r="U1872" i="98" s="1"/>
  <c r="S1872" i="98"/>
  <c r="R1872" i="98"/>
  <c r="V1871" i="98"/>
  <c r="T1871" i="98"/>
  <c r="U1871" i="98" s="1"/>
  <c r="S1871" i="98"/>
  <c r="R1871" i="98"/>
  <c r="V1870" i="98"/>
  <c r="T1870" i="98"/>
  <c r="U1870" i="98" s="1"/>
  <c r="S1870" i="98"/>
  <c r="R1870" i="98"/>
  <c r="V1869" i="98"/>
  <c r="T1869" i="98"/>
  <c r="U1869" i="98" s="1"/>
  <c r="S1869" i="98"/>
  <c r="R1869" i="98"/>
  <c r="V1868" i="98"/>
  <c r="T1868" i="98"/>
  <c r="U1868" i="98" s="1"/>
  <c r="S1868" i="98"/>
  <c r="R1868" i="98"/>
  <c r="V1867" i="98"/>
  <c r="T1867" i="98"/>
  <c r="U1867" i="98" s="1"/>
  <c r="S1867" i="98"/>
  <c r="R1867" i="98"/>
  <c r="V1866" i="98"/>
  <c r="T1866" i="98"/>
  <c r="U1866" i="98" s="1"/>
  <c r="S1866" i="98"/>
  <c r="R1866" i="98"/>
  <c r="V1865" i="98"/>
  <c r="T1865" i="98"/>
  <c r="U1865" i="98" s="1"/>
  <c r="S1865" i="98"/>
  <c r="R1865" i="98"/>
  <c r="V1864" i="98"/>
  <c r="T1864" i="98"/>
  <c r="U1864" i="98" s="1"/>
  <c r="S1864" i="98"/>
  <c r="R1864" i="98"/>
  <c r="V1863" i="98"/>
  <c r="T1863" i="98"/>
  <c r="U1863" i="98" s="1"/>
  <c r="S1863" i="98"/>
  <c r="R1863" i="98"/>
  <c r="V1862" i="98"/>
  <c r="T1862" i="98"/>
  <c r="U1862" i="98" s="1"/>
  <c r="S1862" i="98"/>
  <c r="R1862" i="98"/>
  <c r="V1861" i="98"/>
  <c r="T1861" i="98"/>
  <c r="U1861" i="98" s="1"/>
  <c r="S1861" i="98"/>
  <c r="R1861" i="98"/>
  <c r="V1860" i="98"/>
  <c r="T1860" i="98"/>
  <c r="U1860" i="98" s="1"/>
  <c r="S1860" i="98"/>
  <c r="R1860" i="98"/>
  <c r="V1859" i="98"/>
  <c r="T1859" i="98"/>
  <c r="U1859" i="98" s="1"/>
  <c r="S1859" i="98"/>
  <c r="R1859" i="98"/>
  <c r="V1858" i="98"/>
  <c r="T1858" i="98"/>
  <c r="U1858" i="98" s="1"/>
  <c r="S1858" i="98"/>
  <c r="R1858" i="98"/>
  <c r="V1857" i="98"/>
  <c r="T1857" i="98"/>
  <c r="U1857" i="98" s="1"/>
  <c r="S1857" i="98"/>
  <c r="R1857" i="98"/>
  <c r="V1856" i="98"/>
  <c r="T1856" i="98"/>
  <c r="U1856" i="98" s="1"/>
  <c r="S1856" i="98"/>
  <c r="R1856" i="98"/>
  <c r="V1855" i="98"/>
  <c r="T1855" i="98"/>
  <c r="U1855" i="98" s="1"/>
  <c r="S1855" i="98"/>
  <c r="R1855" i="98"/>
  <c r="V1854" i="98"/>
  <c r="T1854" i="98"/>
  <c r="U1854" i="98" s="1"/>
  <c r="S1854" i="98"/>
  <c r="R1854" i="98"/>
  <c r="V1853" i="98"/>
  <c r="T1853" i="98"/>
  <c r="U1853" i="98" s="1"/>
  <c r="S1853" i="98"/>
  <c r="R1853" i="98"/>
  <c r="V1852" i="98"/>
  <c r="T1852" i="98"/>
  <c r="U1852" i="98" s="1"/>
  <c r="S1852" i="98"/>
  <c r="R1852" i="98"/>
  <c r="V1851" i="98"/>
  <c r="T1851" i="98"/>
  <c r="U1851" i="98" s="1"/>
  <c r="S1851" i="98"/>
  <c r="R1851" i="98"/>
  <c r="V1850" i="98"/>
  <c r="T1850" i="98"/>
  <c r="U1850" i="98" s="1"/>
  <c r="S1850" i="98"/>
  <c r="R1850" i="98"/>
  <c r="V1849" i="98"/>
  <c r="T1849" i="98"/>
  <c r="U1849" i="98" s="1"/>
  <c r="S1849" i="98"/>
  <c r="R1849" i="98"/>
  <c r="V1848" i="98"/>
  <c r="T1848" i="98"/>
  <c r="U1848" i="98" s="1"/>
  <c r="S1848" i="98"/>
  <c r="R1848" i="98"/>
  <c r="V1847" i="98"/>
  <c r="T1847" i="98"/>
  <c r="U1847" i="98" s="1"/>
  <c r="S1847" i="98"/>
  <c r="R1847" i="98"/>
  <c r="V1846" i="98"/>
  <c r="T1846" i="98"/>
  <c r="U1846" i="98" s="1"/>
  <c r="S1846" i="98"/>
  <c r="R1846" i="98"/>
  <c r="V1845" i="98"/>
  <c r="T1845" i="98"/>
  <c r="U1845" i="98" s="1"/>
  <c r="S1845" i="98"/>
  <c r="R1845" i="98"/>
  <c r="V1844" i="98"/>
  <c r="T1844" i="98"/>
  <c r="U1844" i="98" s="1"/>
  <c r="S1844" i="98"/>
  <c r="R1844" i="98"/>
  <c r="V1843" i="98"/>
  <c r="T1843" i="98"/>
  <c r="U1843" i="98" s="1"/>
  <c r="S1843" i="98"/>
  <c r="R1843" i="98"/>
  <c r="V1842" i="98"/>
  <c r="T1842" i="98"/>
  <c r="U1842" i="98" s="1"/>
  <c r="S1842" i="98"/>
  <c r="R1842" i="98"/>
  <c r="V1841" i="98"/>
  <c r="T1841" i="98"/>
  <c r="U1841" i="98" s="1"/>
  <c r="S1841" i="98"/>
  <c r="R1841" i="98"/>
  <c r="V1840" i="98"/>
  <c r="T1840" i="98"/>
  <c r="U1840" i="98" s="1"/>
  <c r="S1840" i="98"/>
  <c r="R1840" i="98"/>
  <c r="V1839" i="98"/>
  <c r="T1839" i="98"/>
  <c r="U1839" i="98" s="1"/>
  <c r="S1839" i="98"/>
  <c r="R1839" i="98"/>
  <c r="V1838" i="98"/>
  <c r="T1838" i="98"/>
  <c r="U1838" i="98" s="1"/>
  <c r="S1838" i="98"/>
  <c r="R1838" i="98"/>
  <c r="V1837" i="98"/>
  <c r="T1837" i="98"/>
  <c r="U1837" i="98" s="1"/>
  <c r="S1837" i="98"/>
  <c r="R1837" i="98"/>
  <c r="V1836" i="98"/>
  <c r="T1836" i="98"/>
  <c r="U1836" i="98" s="1"/>
  <c r="S1836" i="98"/>
  <c r="R1836" i="98"/>
  <c r="V1835" i="98"/>
  <c r="T1835" i="98"/>
  <c r="U1835" i="98" s="1"/>
  <c r="S1835" i="98"/>
  <c r="R1835" i="98"/>
  <c r="V1834" i="98"/>
  <c r="T1834" i="98"/>
  <c r="U1834" i="98" s="1"/>
  <c r="S1834" i="98"/>
  <c r="R1834" i="98"/>
  <c r="V1833" i="98"/>
  <c r="T1833" i="98"/>
  <c r="U1833" i="98" s="1"/>
  <c r="S1833" i="98"/>
  <c r="R1833" i="98"/>
  <c r="V1832" i="98"/>
  <c r="T1832" i="98"/>
  <c r="U1832" i="98" s="1"/>
  <c r="S1832" i="98"/>
  <c r="R1832" i="98"/>
  <c r="V1831" i="98"/>
  <c r="T1831" i="98"/>
  <c r="U1831" i="98" s="1"/>
  <c r="S1831" i="98"/>
  <c r="R1831" i="98"/>
  <c r="V1830" i="98"/>
  <c r="T1830" i="98"/>
  <c r="U1830" i="98" s="1"/>
  <c r="S1830" i="98"/>
  <c r="R1830" i="98"/>
  <c r="V1829" i="98"/>
  <c r="T1829" i="98"/>
  <c r="U1829" i="98" s="1"/>
  <c r="S1829" i="98"/>
  <c r="R1829" i="98"/>
  <c r="V1828" i="98"/>
  <c r="T1828" i="98"/>
  <c r="U1828" i="98" s="1"/>
  <c r="S1828" i="98"/>
  <c r="R1828" i="98"/>
  <c r="V1827" i="98"/>
  <c r="T1827" i="98"/>
  <c r="U1827" i="98" s="1"/>
  <c r="S1827" i="98"/>
  <c r="R1827" i="98"/>
  <c r="V1826" i="98"/>
  <c r="T1826" i="98"/>
  <c r="U1826" i="98" s="1"/>
  <c r="S1826" i="98"/>
  <c r="R1826" i="98"/>
  <c r="V1825" i="98"/>
  <c r="T1825" i="98"/>
  <c r="U1825" i="98" s="1"/>
  <c r="S1825" i="98"/>
  <c r="R1825" i="98"/>
  <c r="V1824" i="98"/>
  <c r="T1824" i="98"/>
  <c r="U1824" i="98" s="1"/>
  <c r="S1824" i="98"/>
  <c r="R1824" i="98"/>
  <c r="V1823" i="98"/>
  <c r="T1823" i="98"/>
  <c r="U1823" i="98" s="1"/>
  <c r="S1823" i="98"/>
  <c r="R1823" i="98"/>
  <c r="V1822" i="98"/>
  <c r="T1822" i="98"/>
  <c r="U1822" i="98" s="1"/>
  <c r="S1822" i="98"/>
  <c r="R1822" i="98"/>
  <c r="V1821" i="98"/>
  <c r="T1821" i="98"/>
  <c r="U1821" i="98" s="1"/>
  <c r="S1821" i="98"/>
  <c r="R1821" i="98"/>
  <c r="V1820" i="98"/>
  <c r="T1820" i="98"/>
  <c r="U1820" i="98" s="1"/>
  <c r="S1820" i="98"/>
  <c r="R1820" i="98"/>
  <c r="V1819" i="98"/>
  <c r="T1819" i="98"/>
  <c r="U1819" i="98" s="1"/>
  <c r="S1819" i="98"/>
  <c r="R1819" i="98"/>
  <c r="V1818" i="98"/>
  <c r="T1818" i="98"/>
  <c r="U1818" i="98" s="1"/>
  <c r="S1818" i="98"/>
  <c r="R1818" i="98"/>
  <c r="V1817" i="98"/>
  <c r="T1817" i="98"/>
  <c r="U1817" i="98" s="1"/>
  <c r="S1817" i="98"/>
  <c r="R1817" i="98"/>
  <c r="V1816" i="98"/>
  <c r="T1816" i="98"/>
  <c r="U1816" i="98" s="1"/>
  <c r="S1816" i="98"/>
  <c r="R1816" i="98"/>
  <c r="V1815" i="98"/>
  <c r="T1815" i="98"/>
  <c r="U1815" i="98" s="1"/>
  <c r="S1815" i="98"/>
  <c r="R1815" i="98"/>
  <c r="V1814" i="98"/>
  <c r="T1814" i="98"/>
  <c r="U1814" i="98" s="1"/>
  <c r="S1814" i="98"/>
  <c r="R1814" i="98"/>
  <c r="V1813" i="98"/>
  <c r="T1813" i="98"/>
  <c r="U1813" i="98" s="1"/>
  <c r="S1813" i="98"/>
  <c r="R1813" i="98"/>
  <c r="V1812" i="98"/>
  <c r="T1812" i="98"/>
  <c r="U1812" i="98" s="1"/>
  <c r="S1812" i="98"/>
  <c r="R1812" i="98"/>
  <c r="V1811" i="98"/>
  <c r="T1811" i="98"/>
  <c r="U1811" i="98" s="1"/>
  <c r="S1811" i="98"/>
  <c r="R1811" i="98"/>
  <c r="V1810" i="98"/>
  <c r="T1810" i="98"/>
  <c r="U1810" i="98" s="1"/>
  <c r="S1810" i="98"/>
  <c r="R1810" i="98"/>
  <c r="V1809" i="98"/>
  <c r="T1809" i="98"/>
  <c r="U1809" i="98" s="1"/>
  <c r="S1809" i="98"/>
  <c r="R1809" i="98"/>
  <c r="V1808" i="98"/>
  <c r="T1808" i="98"/>
  <c r="U1808" i="98" s="1"/>
  <c r="S1808" i="98"/>
  <c r="R1808" i="98"/>
  <c r="V1807" i="98"/>
  <c r="T1807" i="98"/>
  <c r="U1807" i="98" s="1"/>
  <c r="S1807" i="98"/>
  <c r="R1807" i="98"/>
  <c r="V1806" i="98"/>
  <c r="T1806" i="98"/>
  <c r="U1806" i="98" s="1"/>
  <c r="S1806" i="98"/>
  <c r="R1806" i="98"/>
  <c r="V1805" i="98"/>
  <c r="T1805" i="98"/>
  <c r="U1805" i="98" s="1"/>
  <c r="S1805" i="98"/>
  <c r="R1805" i="98"/>
  <c r="V1804" i="98"/>
  <c r="T1804" i="98"/>
  <c r="U1804" i="98" s="1"/>
  <c r="S1804" i="98"/>
  <c r="R1804" i="98"/>
  <c r="V1803" i="98"/>
  <c r="T1803" i="98"/>
  <c r="U1803" i="98" s="1"/>
  <c r="S1803" i="98"/>
  <c r="R1803" i="98"/>
  <c r="V1802" i="98"/>
  <c r="T1802" i="98"/>
  <c r="U1802" i="98" s="1"/>
  <c r="S1802" i="98"/>
  <c r="R1802" i="98"/>
  <c r="V1801" i="98"/>
  <c r="T1801" i="98"/>
  <c r="U1801" i="98" s="1"/>
  <c r="S1801" i="98"/>
  <c r="R1801" i="98"/>
  <c r="V1800" i="98"/>
  <c r="T1800" i="98"/>
  <c r="U1800" i="98" s="1"/>
  <c r="S1800" i="98"/>
  <c r="R1800" i="98"/>
  <c r="V1799" i="98"/>
  <c r="T1799" i="98"/>
  <c r="U1799" i="98" s="1"/>
  <c r="S1799" i="98"/>
  <c r="R1799" i="98"/>
  <c r="V1798" i="98"/>
  <c r="T1798" i="98"/>
  <c r="U1798" i="98" s="1"/>
  <c r="S1798" i="98"/>
  <c r="R1798" i="98"/>
  <c r="V1797" i="98"/>
  <c r="T1797" i="98"/>
  <c r="U1797" i="98" s="1"/>
  <c r="S1797" i="98"/>
  <c r="R1797" i="98"/>
  <c r="V1796" i="98"/>
  <c r="T1796" i="98"/>
  <c r="U1796" i="98" s="1"/>
  <c r="S1796" i="98"/>
  <c r="R1796" i="98"/>
  <c r="V1795" i="98"/>
  <c r="T1795" i="98"/>
  <c r="U1795" i="98" s="1"/>
  <c r="S1795" i="98"/>
  <c r="R1795" i="98"/>
  <c r="V1794" i="98"/>
  <c r="T1794" i="98"/>
  <c r="U1794" i="98" s="1"/>
  <c r="S1794" i="98"/>
  <c r="R1794" i="98"/>
  <c r="V1793" i="98"/>
  <c r="T1793" i="98"/>
  <c r="U1793" i="98" s="1"/>
  <c r="S1793" i="98"/>
  <c r="R1793" i="98"/>
  <c r="V1792" i="98"/>
  <c r="T1792" i="98"/>
  <c r="U1792" i="98" s="1"/>
  <c r="S1792" i="98"/>
  <c r="R1792" i="98"/>
  <c r="V1791" i="98"/>
  <c r="T1791" i="98"/>
  <c r="U1791" i="98" s="1"/>
  <c r="S1791" i="98"/>
  <c r="R1791" i="98"/>
  <c r="V1790" i="98"/>
  <c r="T1790" i="98"/>
  <c r="U1790" i="98" s="1"/>
  <c r="S1790" i="98"/>
  <c r="R1790" i="98"/>
  <c r="V1789" i="98"/>
  <c r="T1789" i="98"/>
  <c r="U1789" i="98" s="1"/>
  <c r="S1789" i="98"/>
  <c r="R1789" i="98"/>
  <c r="V1788" i="98"/>
  <c r="T1788" i="98"/>
  <c r="U1788" i="98" s="1"/>
  <c r="S1788" i="98"/>
  <c r="R1788" i="98"/>
  <c r="V1787" i="98"/>
  <c r="T1787" i="98"/>
  <c r="U1787" i="98" s="1"/>
  <c r="S1787" i="98"/>
  <c r="R1787" i="98"/>
  <c r="V1786" i="98"/>
  <c r="T1786" i="98"/>
  <c r="U1786" i="98" s="1"/>
  <c r="S1786" i="98"/>
  <c r="R1786" i="98"/>
  <c r="V1785" i="98"/>
  <c r="T1785" i="98"/>
  <c r="U1785" i="98" s="1"/>
  <c r="S1785" i="98"/>
  <c r="R1785" i="98"/>
  <c r="V1784" i="98"/>
  <c r="T1784" i="98"/>
  <c r="U1784" i="98" s="1"/>
  <c r="S1784" i="98"/>
  <c r="R1784" i="98"/>
  <c r="V1783" i="98"/>
  <c r="T1783" i="98"/>
  <c r="U1783" i="98" s="1"/>
  <c r="S1783" i="98"/>
  <c r="R1783" i="98"/>
  <c r="V1782" i="98"/>
  <c r="T1782" i="98"/>
  <c r="U1782" i="98" s="1"/>
  <c r="S1782" i="98"/>
  <c r="R1782" i="98"/>
  <c r="V1781" i="98"/>
  <c r="T1781" i="98"/>
  <c r="U1781" i="98" s="1"/>
  <c r="S1781" i="98"/>
  <c r="R1781" i="98"/>
  <c r="V1780" i="98"/>
  <c r="T1780" i="98"/>
  <c r="U1780" i="98" s="1"/>
  <c r="S1780" i="98"/>
  <c r="R1780" i="98"/>
  <c r="V1779" i="98"/>
  <c r="T1779" i="98"/>
  <c r="U1779" i="98" s="1"/>
  <c r="S1779" i="98"/>
  <c r="R1779" i="98"/>
  <c r="V1778" i="98"/>
  <c r="T1778" i="98"/>
  <c r="U1778" i="98" s="1"/>
  <c r="S1778" i="98"/>
  <c r="R1778" i="98"/>
  <c r="V1777" i="98"/>
  <c r="T1777" i="98"/>
  <c r="U1777" i="98" s="1"/>
  <c r="S1777" i="98"/>
  <c r="R1777" i="98"/>
  <c r="V1776" i="98"/>
  <c r="T1776" i="98"/>
  <c r="U1776" i="98" s="1"/>
  <c r="S1776" i="98"/>
  <c r="R1776" i="98"/>
  <c r="V1775" i="98"/>
  <c r="T1775" i="98"/>
  <c r="U1775" i="98" s="1"/>
  <c r="S1775" i="98"/>
  <c r="R1775" i="98"/>
  <c r="V1774" i="98"/>
  <c r="T1774" i="98"/>
  <c r="U1774" i="98" s="1"/>
  <c r="S1774" i="98"/>
  <c r="R1774" i="98"/>
  <c r="V1773" i="98"/>
  <c r="T1773" i="98"/>
  <c r="U1773" i="98" s="1"/>
  <c r="S1773" i="98"/>
  <c r="R1773" i="98"/>
  <c r="V1772" i="98"/>
  <c r="T1772" i="98"/>
  <c r="U1772" i="98" s="1"/>
  <c r="S1772" i="98"/>
  <c r="R1772" i="98"/>
  <c r="V1771" i="98"/>
  <c r="T1771" i="98"/>
  <c r="U1771" i="98" s="1"/>
  <c r="S1771" i="98"/>
  <c r="R1771" i="98"/>
  <c r="V1770" i="98"/>
  <c r="T1770" i="98"/>
  <c r="U1770" i="98" s="1"/>
  <c r="S1770" i="98"/>
  <c r="R1770" i="98"/>
  <c r="V1769" i="98"/>
  <c r="T1769" i="98"/>
  <c r="U1769" i="98" s="1"/>
  <c r="S1769" i="98"/>
  <c r="R1769" i="98"/>
  <c r="V1768" i="98"/>
  <c r="T1768" i="98"/>
  <c r="U1768" i="98" s="1"/>
  <c r="S1768" i="98"/>
  <c r="R1768" i="98"/>
  <c r="V1767" i="98"/>
  <c r="T1767" i="98"/>
  <c r="U1767" i="98" s="1"/>
  <c r="S1767" i="98"/>
  <c r="R1767" i="98"/>
  <c r="V1766" i="98"/>
  <c r="T1766" i="98"/>
  <c r="U1766" i="98" s="1"/>
  <c r="S1766" i="98"/>
  <c r="R1766" i="98"/>
  <c r="V1765" i="98"/>
  <c r="T1765" i="98"/>
  <c r="U1765" i="98" s="1"/>
  <c r="S1765" i="98"/>
  <c r="R1765" i="98"/>
  <c r="V1764" i="98"/>
  <c r="T1764" i="98"/>
  <c r="U1764" i="98" s="1"/>
  <c r="S1764" i="98"/>
  <c r="R1764" i="98"/>
  <c r="V1763" i="98"/>
  <c r="T1763" i="98"/>
  <c r="U1763" i="98" s="1"/>
  <c r="S1763" i="98"/>
  <c r="R1763" i="98"/>
  <c r="V1762" i="98"/>
  <c r="T1762" i="98"/>
  <c r="U1762" i="98" s="1"/>
  <c r="S1762" i="98"/>
  <c r="R1762" i="98"/>
  <c r="V1761" i="98"/>
  <c r="T1761" i="98"/>
  <c r="U1761" i="98" s="1"/>
  <c r="S1761" i="98"/>
  <c r="R1761" i="98"/>
  <c r="V1760" i="98"/>
  <c r="T1760" i="98"/>
  <c r="U1760" i="98" s="1"/>
  <c r="S1760" i="98"/>
  <c r="R1760" i="98"/>
  <c r="V1759" i="98"/>
  <c r="T1759" i="98"/>
  <c r="U1759" i="98" s="1"/>
  <c r="S1759" i="98"/>
  <c r="R1759" i="98"/>
  <c r="V1758" i="98"/>
  <c r="T1758" i="98"/>
  <c r="U1758" i="98" s="1"/>
  <c r="S1758" i="98"/>
  <c r="R1758" i="98"/>
  <c r="V1757" i="98"/>
  <c r="T1757" i="98"/>
  <c r="U1757" i="98" s="1"/>
  <c r="S1757" i="98"/>
  <c r="R1757" i="98"/>
  <c r="V1756" i="98"/>
  <c r="T1756" i="98"/>
  <c r="U1756" i="98" s="1"/>
  <c r="S1756" i="98"/>
  <c r="R1756" i="98"/>
  <c r="V1755" i="98"/>
  <c r="T1755" i="98"/>
  <c r="U1755" i="98" s="1"/>
  <c r="S1755" i="98"/>
  <c r="R1755" i="98"/>
  <c r="V1754" i="98"/>
  <c r="T1754" i="98"/>
  <c r="U1754" i="98" s="1"/>
  <c r="S1754" i="98"/>
  <c r="R1754" i="98"/>
  <c r="V1753" i="98"/>
  <c r="T1753" i="98"/>
  <c r="U1753" i="98" s="1"/>
  <c r="S1753" i="98"/>
  <c r="R1753" i="98"/>
  <c r="V1752" i="98"/>
  <c r="T1752" i="98"/>
  <c r="U1752" i="98" s="1"/>
  <c r="S1752" i="98"/>
  <c r="R1752" i="98"/>
  <c r="V1751" i="98"/>
  <c r="T1751" i="98"/>
  <c r="U1751" i="98" s="1"/>
  <c r="S1751" i="98"/>
  <c r="R1751" i="98"/>
  <c r="V1750" i="98"/>
  <c r="T1750" i="98"/>
  <c r="U1750" i="98" s="1"/>
  <c r="S1750" i="98"/>
  <c r="R1750" i="98"/>
  <c r="V1749" i="98"/>
  <c r="T1749" i="98"/>
  <c r="U1749" i="98" s="1"/>
  <c r="S1749" i="98"/>
  <c r="R1749" i="98"/>
  <c r="V1748" i="98"/>
  <c r="T1748" i="98"/>
  <c r="U1748" i="98" s="1"/>
  <c r="S1748" i="98"/>
  <c r="R1748" i="98"/>
  <c r="V1747" i="98"/>
  <c r="T1747" i="98"/>
  <c r="U1747" i="98" s="1"/>
  <c r="S1747" i="98"/>
  <c r="R1747" i="98"/>
  <c r="V1746" i="98"/>
  <c r="T1746" i="98"/>
  <c r="U1746" i="98" s="1"/>
  <c r="S1746" i="98"/>
  <c r="R1746" i="98"/>
  <c r="V1745" i="98"/>
  <c r="T1745" i="98"/>
  <c r="U1745" i="98" s="1"/>
  <c r="S1745" i="98"/>
  <c r="R1745" i="98"/>
  <c r="V1744" i="98"/>
  <c r="T1744" i="98"/>
  <c r="U1744" i="98" s="1"/>
  <c r="S1744" i="98"/>
  <c r="R1744" i="98"/>
  <c r="V1743" i="98"/>
  <c r="T1743" i="98"/>
  <c r="U1743" i="98" s="1"/>
  <c r="S1743" i="98"/>
  <c r="R1743" i="98"/>
  <c r="V1742" i="98"/>
  <c r="T1742" i="98"/>
  <c r="U1742" i="98" s="1"/>
  <c r="S1742" i="98"/>
  <c r="R1742" i="98"/>
  <c r="V1741" i="98"/>
  <c r="T1741" i="98"/>
  <c r="U1741" i="98" s="1"/>
  <c r="S1741" i="98"/>
  <c r="R1741" i="98"/>
  <c r="V1740" i="98"/>
  <c r="T1740" i="98"/>
  <c r="U1740" i="98" s="1"/>
  <c r="S1740" i="98"/>
  <c r="R1740" i="98"/>
  <c r="V1739" i="98"/>
  <c r="T1739" i="98"/>
  <c r="U1739" i="98" s="1"/>
  <c r="S1739" i="98"/>
  <c r="R1739" i="98"/>
  <c r="V1738" i="98"/>
  <c r="T1738" i="98"/>
  <c r="U1738" i="98" s="1"/>
  <c r="S1738" i="98"/>
  <c r="R1738" i="98"/>
  <c r="V1737" i="98"/>
  <c r="T1737" i="98"/>
  <c r="U1737" i="98" s="1"/>
  <c r="S1737" i="98"/>
  <c r="R1737" i="98"/>
  <c r="V1736" i="98"/>
  <c r="T1736" i="98"/>
  <c r="U1736" i="98" s="1"/>
  <c r="S1736" i="98"/>
  <c r="R1736" i="98"/>
  <c r="V1735" i="98"/>
  <c r="T1735" i="98"/>
  <c r="U1735" i="98" s="1"/>
  <c r="S1735" i="98"/>
  <c r="R1735" i="98"/>
  <c r="V1734" i="98"/>
  <c r="T1734" i="98"/>
  <c r="U1734" i="98" s="1"/>
  <c r="S1734" i="98"/>
  <c r="R1734" i="98"/>
  <c r="V1733" i="98"/>
  <c r="T1733" i="98"/>
  <c r="U1733" i="98" s="1"/>
  <c r="S1733" i="98"/>
  <c r="R1733" i="98"/>
  <c r="V1732" i="98"/>
  <c r="T1732" i="98"/>
  <c r="U1732" i="98" s="1"/>
  <c r="S1732" i="98"/>
  <c r="R1732" i="98"/>
  <c r="V1731" i="98"/>
  <c r="T1731" i="98"/>
  <c r="U1731" i="98" s="1"/>
  <c r="S1731" i="98"/>
  <c r="R1731" i="98"/>
  <c r="V1730" i="98"/>
  <c r="T1730" i="98"/>
  <c r="U1730" i="98" s="1"/>
  <c r="S1730" i="98"/>
  <c r="R1730" i="98"/>
  <c r="V1729" i="98"/>
  <c r="T1729" i="98"/>
  <c r="U1729" i="98" s="1"/>
  <c r="S1729" i="98"/>
  <c r="R1729" i="98"/>
  <c r="V1728" i="98"/>
  <c r="T1728" i="98"/>
  <c r="U1728" i="98" s="1"/>
  <c r="S1728" i="98"/>
  <c r="R1728" i="98"/>
  <c r="V1727" i="98"/>
  <c r="T1727" i="98"/>
  <c r="U1727" i="98" s="1"/>
  <c r="S1727" i="98"/>
  <c r="R1727" i="98"/>
  <c r="V1726" i="98"/>
  <c r="T1726" i="98"/>
  <c r="U1726" i="98" s="1"/>
  <c r="S1726" i="98"/>
  <c r="R1726" i="98"/>
  <c r="V1725" i="98"/>
  <c r="T1725" i="98"/>
  <c r="U1725" i="98" s="1"/>
  <c r="S1725" i="98"/>
  <c r="R1725" i="98"/>
  <c r="V1724" i="98"/>
  <c r="T1724" i="98"/>
  <c r="U1724" i="98" s="1"/>
  <c r="S1724" i="98"/>
  <c r="R1724" i="98"/>
  <c r="V1723" i="98"/>
  <c r="T1723" i="98"/>
  <c r="U1723" i="98" s="1"/>
  <c r="S1723" i="98"/>
  <c r="R1723" i="98"/>
  <c r="V1722" i="98"/>
  <c r="T1722" i="98"/>
  <c r="U1722" i="98" s="1"/>
  <c r="S1722" i="98"/>
  <c r="R1722" i="98"/>
  <c r="V1721" i="98"/>
  <c r="T1721" i="98"/>
  <c r="U1721" i="98" s="1"/>
  <c r="S1721" i="98"/>
  <c r="R1721" i="98"/>
  <c r="V1720" i="98"/>
  <c r="T1720" i="98"/>
  <c r="U1720" i="98" s="1"/>
  <c r="S1720" i="98"/>
  <c r="R1720" i="98"/>
  <c r="V1719" i="98"/>
  <c r="T1719" i="98"/>
  <c r="U1719" i="98" s="1"/>
  <c r="S1719" i="98"/>
  <c r="R1719" i="98"/>
  <c r="V1718" i="98"/>
  <c r="T1718" i="98"/>
  <c r="U1718" i="98" s="1"/>
  <c r="S1718" i="98"/>
  <c r="R1718" i="98"/>
  <c r="V1717" i="98"/>
  <c r="T1717" i="98"/>
  <c r="U1717" i="98" s="1"/>
  <c r="S1717" i="98"/>
  <c r="R1717" i="98"/>
  <c r="V1716" i="98"/>
  <c r="T1716" i="98"/>
  <c r="U1716" i="98" s="1"/>
  <c r="S1716" i="98"/>
  <c r="R1716" i="98"/>
  <c r="V1715" i="98"/>
  <c r="T1715" i="98"/>
  <c r="U1715" i="98" s="1"/>
  <c r="S1715" i="98"/>
  <c r="R1715" i="98"/>
  <c r="V1714" i="98"/>
  <c r="T1714" i="98"/>
  <c r="U1714" i="98" s="1"/>
  <c r="S1714" i="98"/>
  <c r="R1714" i="98"/>
  <c r="V1713" i="98"/>
  <c r="T1713" i="98"/>
  <c r="U1713" i="98" s="1"/>
  <c r="S1713" i="98"/>
  <c r="R1713" i="98"/>
  <c r="V1712" i="98"/>
  <c r="T1712" i="98"/>
  <c r="U1712" i="98" s="1"/>
  <c r="S1712" i="98"/>
  <c r="R1712" i="98"/>
  <c r="V1711" i="98"/>
  <c r="T1711" i="98"/>
  <c r="U1711" i="98" s="1"/>
  <c r="S1711" i="98"/>
  <c r="R1711" i="98"/>
  <c r="V1710" i="98"/>
  <c r="T1710" i="98"/>
  <c r="U1710" i="98" s="1"/>
  <c r="S1710" i="98"/>
  <c r="R1710" i="98"/>
  <c r="V1709" i="98"/>
  <c r="T1709" i="98"/>
  <c r="U1709" i="98" s="1"/>
  <c r="S1709" i="98"/>
  <c r="R1709" i="98"/>
  <c r="V1708" i="98"/>
  <c r="T1708" i="98"/>
  <c r="U1708" i="98" s="1"/>
  <c r="S1708" i="98"/>
  <c r="R1708" i="98"/>
  <c r="V1707" i="98"/>
  <c r="T1707" i="98"/>
  <c r="U1707" i="98" s="1"/>
  <c r="S1707" i="98"/>
  <c r="R1707" i="98"/>
  <c r="V1706" i="98"/>
  <c r="T1706" i="98"/>
  <c r="U1706" i="98" s="1"/>
  <c r="S1706" i="98"/>
  <c r="R1706" i="98"/>
  <c r="V1705" i="98"/>
  <c r="T1705" i="98"/>
  <c r="U1705" i="98" s="1"/>
  <c r="S1705" i="98"/>
  <c r="R1705" i="98"/>
  <c r="V1704" i="98"/>
  <c r="T1704" i="98"/>
  <c r="U1704" i="98" s="1"/>
  <c r="S1704" i="98"/>
  <c r="R1704" i="98"/>
  <c r="V1703" i="98"/>
  <c r="T1703" i="98"/>
  <c r="U1703" i="98" s="1"/>
  <c r="S1703" i="98"/>
  <c r="R1703" i="98"/>
  <c r="V1702" i="98"/>
  <c r="T1702" i="98"/>
  <c r="U1702" i="98" s="1"/>
  <c r="S1702" i="98"/>
  <c r="R1702" i="98"/>
  <c r="V1701" i="98"/>
  <c r="T1701" i="98"/>
  <c r="U1701" i="98" s="1"/>
  <c r="S1701" i="98"/>
  <c r="R1701" i="98"/>
  <c r="V1700" i="98"/>
  <c r="T1700" i="98"/>
  <c r="U1700" i="98" s="1"/>
  <c r="S1700" i="98"/>
  <c r="R1700" i="98"/>
  <c r="V1699" i="98"/>
  <c r="T1699" i="98"/>
  <c r="U1699" i="98" s="1"/>
  <c r="S1699" i="98"/>
  <c r="R1699" i="98"/>
  <c r="V1698" i="98"/>
  <c r="T1698" i="98"/>
  <c r="U1698" i="98" s="1"/>
  <c r="S1698" i="98"/>
  <c r="R1698" i="98"/>
  <c r="V1697" i="98"/>
  <c r="T1697" i="98"/>
  <c r="U1697" i="98" s="1"/>
  <c r="S1697" i="98"/>
  <c r="R1697" i="98"/>
  <c r="V1696" i="98"/>
  <c r="T1696" i="98"/>
  <c r="U1696" i="98" s="1"/>
  <c r="S1696" i="98"/>
  <c r="R1696" i="98"/>
  <c r="V1695" i="98"/>
  <c r="T1695" i="98"/>
  <c r="U1695" i="98" s="1"/>
  <c r="S1695" i="98"/>
  <c r="R1695" i="98"/>
  <c r="V1694" i="98"/>
  <c r="T1694" i="98"/>
  <c r="U1694" i="98" s="1"/>
  <c r="S1694" i="98"/>
  <c r="R1694" i="98"/>
  <c r="V1693" i="98"/>
  <c r="T1693" i="98"/>
  <c r="U1693" i="98" s="1"/>
  <c r="S1693" i="98"/>
  <c r="R1693" i="98"/>
  <c r="V1692" i="98"/>
  <c r="T1692" i="98"/>
  <c r="U1692" i="98" s="1"/>
  <c r="S1692" i="98"/>
  <c r="R1692" i="98"/>
  <c r="V1691" i="98"/>
  <c r="T1691" i="98"/>
  <c r="U1691" i="98" s="1"/>
  <c r="S1691" i="98"/>
  <c r="R1691" i="98"/>
  <c r="V1690" i="98"/>
  <c r="T1690" i="98"/>
  <c r="U1690" i="98" s="1"/>
  <c r="S1690" i="98"/>
  <c r="R1690" i="98"/>
  <c r="V1689" i="98"/>
  <c r="T1689" i="98"/>
  <c r="U1689" i="98" s="1"/>
  <c r="S1689" i="98"/>
  <c r="R1689" i="98"/>
  <c r="V1688" i="98"/>
  <c r="T1688" i="98"/>
  <c r="U1688" i="98" s="1"/>
  <c r="S1688" i="98"/>
  <c r="R1688" i="98"/>
  <c r="V1687" i="98"/>
  <c r="T1687" i="98"/>
  <c r="U1687" i="98" s="1"/>
  <c r="S1687" i="98"/>
  <c r="R1687" i="98"/>
  <c r="V1686" i="98"/>
  <c r="T1686" i="98"/>
  <c r="U1686" i="98" s="1"/>
  <c r="S1686" i="98"/>
  <c r="R1686" i="98"/>
  <c r="V1685" i="98"/>
  <c r="T1685" i="98"/>
  <c r="U1685" i="98" s="1"/>
  <c r="S1685" i="98"/>
  <c r="R1685" i="98"/>
  <c r="V1684" i="98"/>
  <c r="T1684" i="98"/>
  <c r="U1684" i="98" s="1"/>
  <c r="S1684" i="98"/>
  <c r="R1684" i="98"/>
  <c r="V1683" i="98"/>
  <c r="T1683" i="98"/>
  <c r="U1683" i="98" s="1"/>
  <c r="S1683" i="98"/>
  <c r="R1683" i="98"/>
  <c r="V1682" i="98"/>
  <c r="T1682" i="98"/>
  <c r="U1682" i="98" s="1"/>
  <c r="S1682" i="98"/>
  <c r="R1682" i="98"/>
  <c r="V1681" i="98"/>
  <c r="T1681" i="98"/>
  <c r="U1681" i="98" s="1"/>
  <c r="S1681" i="98"/>
  <c r="R1681" i="98"/>
  <c r="V1680" i="98"/>
  <c r="T1680" i="98"/>
  <c r="U1680" i="98" s="1"/>
  <c r="S1680" i="98"/>
  <c r="R1680" i="98"/>
  <c r="V1679" i="98"/>
  <c r="T1679" i="98"/>
  <c r="U1679" i="98" s="1"/>
  <c r="S1679" i="98"/>
  <c r="R1679" i="98"/>
  <c r="V1678" i="98"/>
  <c r="T1678" i="98"/>
  <c r="U1678" i="98" s="1"/>
  <c r="S1678" i="98"/>
  <c r="R1678" i="98"/>
  <c r="V1677" i="98"/>
  <c r="T1677" i="98"/>
  <c r="U1677" i="98" s="1"/>
  <c r="S1677" i="98"/>
  <c r="R1677" i="98"/>
  <c r="V1676" i="98"/>
  <c r="T1676" i="98"/>
  <c r="U1676" i="98" s="1"/>
  <c r="S1676" i="98"/>
  <c r="R1676" i="98"/>
  <c r="V1675" i="98"/>
  <c r="T1675" i="98"/>
  <c r="U1675" i="98" s="1"/>
  <c r="S1675" i="98"/>
  <c r="R1675" i="98"/>
  <c r="V1674" i="98"/>
  <c r="T1674" i="98"/>
  <c r="U1674" i="98" s="1"/>
  <c r="S1674" i="98"/>
  <c r="R1674" i="98"/>
  <c r="V1673" i="98"/>
  <c r="T1673" i="98"/>
  <c r="U1673" i="98" s="1"/>
  <c r="S1673" i="98"/>
  <c r="R1673" i="98"/>
  <c r="V1672" i="98"/>
  <c r="T1672" i="98"/>
  <c r="U1672" i="98" s="1"/>
  <c r="S1672" i="98"/>
  <c r="R1672" i="98"/>
  <c r="V1671" i="98"/>
  <c r="T1671" i="98"/>
  <c r="U1671" i="98" s="1"/>
  <c r="S1671" i="98"/>
  <c r="R1671" i="98"/>
  <c r="V1670" i="98"/>
  <c r="T1670" i="98"/>
  <c r="U1670" i="98" s="1"/>
  <c r="S1670" i="98"/>
  <c r="R1670" i="98"/>
  <c r="V1669" i="98"/>
  <c r="T1669" i="98"/>
  <c r="U1669" i="98" s="1"/>
  <c r="S1669" i="98"/>
  <c r="R1669" i="98"/>
  <c r="V1668" i="98"/>
  <c r="T1668" i="98"/>
  <c r="U1668" i="98" s="1"/>
  <c r="S1668" i="98"/>
  <c r="R1668" i="98"/>
  <c r="V1667" i="98"/>
  <c r="T1667" i="98"/>
  <c r="U1667" i="98" s="1"/>
  <c r="S1667" i="98"/>
  <c r="R1667" i="98"/>
  <c r="V1666" i="98"/>
  <c r="T1666" i="98"/>
  <c r="U1666" i="98" s="1"/>
  <c r="S1666" i="98"/>
  <c r="R1666" i="98"/>
  <c r="V1665" i="98"/>
  <c r="T1665" i="98"/>
  <c r="U1665" i="98" s="1"/>
  <c r="S1665" i="98"/>
  <c r="R1665" i="98"/>
  <c r="V1664" i="98"/>
  <c r="T1664" i="98"/>
  <c r="U1664" i="98" s="1"/>
  <c r="S1664" i="98"/>
  <c r="R1664" i="98"/>
  <c r="V1663" i="98"/>
  <c r="T1663" i="98"/>
  <c r="U1663" i="98" s="1"/>
  <c r="S1663" i="98"/>
  <c r="R1663" i="98"/>
  <c r="V1662" i="98"/>
  <c r="T1662" i="98"/>
  <c r="U1662" i="98" s="1"/>
  <c r="S1662" i="98"/>
  <c r="R1662" i="98"/>
  <c r="V1661" i="98"/>
  <c r="T1661" i="98"/>
  <c r="U1661" i="98" s="1"/>
  <c r="S1661" i="98"/>
  <c r="R1661" i="98"/>
  <c r="V1660" i="98"/>
  <c r="T1660" i="98"/>
  <c r="U1660" i="98" s="1"/>
  <c r="S1660" i="98"/>
  <c r="R1660" i="98"/>
  <c r="V1659" i="98"/>
  <c r="T1659" i="98"/>
  <c r="U1659" i="98" s="1"/>
  <c r="S1659" i="98"/>
  <c r="R1659" i="98"/>
  <c r="V1658" i="98"/>
  <c r="T1658" i="98"/>
  <c r="U1658" i="98" s="1"/>
  <c r="S1658" i="98"/>
  <c r="R1658" i="98"/>
  <c r="V1657" i="98"/>
  <c r="T1657" i="98"/>
  <c r="U1657" i="98" s="1"/>
  <c r="S1657" i="98"/>
  <c r="R1657" i="98"/>
  <c r="V1656" i="98"/>
  <c r="T1656" i="98"/>
  <c r="U1656" i="98" s="1"/>
  <c r="S1656" i="98"/>
  <c r="R1656" i="98"/>
  <c r="V1655" i="98"/>
  <c r="T1655" i="98"/>
  <c r="U1655" i="98" s="1"/>
  <c r="S1655" i="98"/>
  <c r="R1655" i="98"/>
  <c r="V1654" i="98"/>
  <c r="T1654" i="98"/>
  <c r="U1654" i="98" s="1"/>
  <c r="S1654" i="98"/>
  <c r="R1654" i="98"/>
  <c r="V1653" i="98"/>
  <c r="T1653" i="98"/>
  <c r="U1653" i="98" s="1"/>
  <c r="S1653" i="98"/>
  <c r="R1653" i="98"/>
  <c r="V1652" i="98"/>
  <c r="T1652" i="98"/>
  <c r="U1652" i="98" s="1"/>
  <c r="S1652" i="98"/>
  <c r="R1652" i="98"/>
  <c r="V1651" i="98"/>
  <c r="T1651" i="98"/>
  <c r="U1651" i="98" s="1"/>
  <c r="S1651" i="98"/>
  <c r="R1651" i="98"/>
  <c r="V1650" i="98"/>
  <c r="T1650" i="98"/>
  <c r="U1650" i="98" s="1"/>
  <c r="S1650" i="98"/>
  <c r="R1650" i="98"/>
  <c r="V1649" i="98"/>
  <c r="T1649" i="98"/>
  <c r="U1649" i="98" s="1"/>
  <c r="S1649" i="98"/>
  <c r="R1649" i="98"/>
  <c r="V1648" i="98"/>
  <c r="T1648" i="98"/>
  <c r="U1648" i="98" s="1"/>
  <c r="S1648" i="98"/>
  <c r="R1648" i="98"/>
  <c r="V1647" i="98"/>
  <c r="T1647" i="98"/>
  <c r="U1647" i="98" s="1"/>
  <c r="S1647" i="98"/>
  <c r="R1647" i="98"/>
  <c r="V1646" i="98"/>
  <c r="T1646" i="98"/>
  <c r="U1646" i="98" s="1"/>
  <c r="S1646" i="98"/>
  <c r="R1646" i="98"/>
  <c r="V1645" i="98"/>
  <c r="T1645" i="98"/>
  <c r="U1645" i="98" s="1"/>
  <c r="S1645" i="98"/>
  <c r="R1645" i="98"/>
  <c r="V1644" i="98"/>
  <c r="T1644" i="98"/>
  <c r="U1644" i="98" s="1"/>
  <c r="S1644" i="98"/>
  <c r="R1644" i="98"/>
  <c r="V1643" i="98"/>
  <c r="T1643" i="98"/>
  <c r="U1643" i="98" s="1"/>
  <c r="S1643" i="98"/>
  <c r="R1643" i="98"/>
  <c r="V1642" i="98"/>
  <c r="T1642" i="98"/>
  <c r="U1642" i="98" s="1"/>
  <c r="S1642" i="98"/>
  <c r="R1642" i="98"/>
  <c r="V1641" i="98"/>
  <c r="T1641" i="98"/>
  <c r="U1641" i="98" s="1"/>
  <c r="S1641" i="98"/>
  <c r="R1641" i="98"/>
  <c r="V1640" i="98"/>
  <c r="T1640" i="98"/>
  <c r="U1640" i="98" s="1"/>
  <c r="S1640" i="98"/>
  <c r="R1640" i="98"/>
  <c r="V1639" i="98"/>
  <c r="T1639" i="98"/>
  <c r="U1639" i="98" s="1"/>
  <c r="S1639" i="98"/>
  <c r="R1639" i="98"/>
  <c r="V1638" i="98"/>
  <c r="T1638" i="98"/>
  <c r="U1638" i="98" s="1"/>
  <c r="S1638" i="98"/>
  <c r="R1638" i="98"/>
  <c r="V1637" i="98"/>
  <c r="T1637" i="98"/>
  <c r="U1637" i="98" s="1"/>
  <c r="S1637" i="98"/>
  <c r="R1637" i="98"/>
  <c r="V1636" i="98"/>
  <c r="T1636" i="98"/>
  <c r="U1636" i="98" s="1"/>
  <c r="S1636" i="98"/>
  <c r="R1636" i="98"/>
  <c r="V1635" i="98"/>
  <c r="T1635" i="98"/>
  <c r="U1635" i="98" s="1"/>
  <c r="S1635" i="98"/>
  <c r="R1635" i="98"/>
  <c r="V1634" i="98"/>
  <c r="T1634" i="98"/>
  <c r="U1634" i="98" s="1"/>
  <c r="S1634" i="98"/>
  <c r="R1634" i="98"/>
  <c r="V1633" i="98"/>
  <c r="T1633" i="98"/>
  <c r="U1633" i="98" s="1"/>
  <c r="S1633" i="98"/>
  <c r="R1633" i="98"/>
  <c r="V1632" i="98"/>
  <c r="T1632" i="98"/>
  <c r="U1632" i="98" s="1"/>
  <c r="S1632" i="98"/>
  <c r="R1632" i="98"/>
  <c r="V1631" i="98"/>
  <c r="T1631" i="98"/>
  <c r="U1631" i="98" s="1"/>
  <c r="S1631" i="98"/>
  <c r="R1631" i="98"/>
  <c r="V1630" i="98"/>
  <c r="T1630" i="98"/>
  <c r="U1630" i="98" s="1"/>
  <c r="S1630" i="98"/>
  <c r="R1630" i="98"/>
  <c r="V1629" i="98"/>
  <c r="T1629" i="98"/>
  <c r="U1629" i="98" s="1"/>
  <c r="S1629" i="98"/>
  <c r="R1629" i="98"/>
  <c r="V1628" i="98"/>
  <c r="T1628" i="98"/>
  <c r="U1628" i="98" s="1"/>
  <c r="S1628" i="98"/>
  <c r="R1628" i="98"/>
  <c r="V1627" i="98"/>
  <c r="T1627" i="98"/>
  <c r="U1627" i="98" s="1"/>
  <c r="S1627" i="98"/>
  <c r="R1627" i="98"/>
  <c r="V1626" i="98"/>
  <c r="T1626" i="98"/>
  <c r="U1626" i="98" s="1"/>
  <c r="S1626" i="98"/>
  <c r="R1626" i="98"/>
  <c r="V1625" i="98"/>
  <c r="T1625" i="98"/>
  <c r="U1625" i="98" s="1"/>
  <c r="S1625" i="98"/>
  <c r="R1625" i="98"/>
  <c r="V1624" i="98"/>
  <c r="T1624" i="98"/>
  <c r="U1624" i="98" s="1"/>
  <c r="S1624" i="98"/>
  <c r="R1624" i="98"/>
  <c r="V1623" i="98"/>
  <c r="T1623" i="98"/>
  <c r="U1623" i="98" s="1"/>
  <c r="S1623" i="98"/>
  <c r="R1623" i="98"/>
  <c r="V1622" i="98"/>
  <c r="T1622" i="98"/>
  <c r="U1622" i="98" s="1"/>
  <c r="S1622" i="98"/>
  <c r="R1622" i="98"/>
  <c r="V1621" i="98"/>
  <c r="T1621" i="98"/>
  <c r="U1621" i="98" s="1"/>
  <c r="S1621" i="98"/>
  <c r="R1621" i="98"/>
  <c r="V1620" i="98"/>
  <c r="T1620" i="98"/>
  <c r="U1620" i="98" s="1"/>
  <c r="S1620" i="98"/>
  <c r="R1620" i="98"/>
  <c r="V1619" i="98"/>
  <c r="T1619" i="98"/>
  <c r="U1619" i="98" s="1"/>
  <c r="S1619" i="98"/>
  <c r="R1619" i="98"/>
  <c r="V1618" i="98"/>
  <c r="T1618" i="98"/>
  <c r="U1618" i="98" s="1"/>
  <c r="S1618" i="98"/>
  <c r="R1618" i="98"/>
  <c r="V1617" i="98"/>
  <c r="T1617" i="98"/>
  <c r="U1617" i="98" s="1"/>
  <c r="S1617" i="98"/>
  <c r="R1617" i="98"/>
  <c r="V1616" i="98"/>
  <c r="T1616" i="98"/>
  <c r="U1616" i="98" s="1"/>
  <c r="S1616" i="98"/>
  <c r="R1616" i="98"/>
  <c r="V1615" i="98"/>
  <c r="T1615" i="98"/>
  <c r="U1615" i="98" s="1"/>
  <c r="S1615" i="98"/>
  <c r="R1615" i="98"/>
  <c r="V1614" i="98"/>
  <c r="T1614" i="98"/>
  <c r="U1614" i="98" s="1"/>
  <c r="S1614" i="98"/>
  <c r="R1614" i="98"/>
  <c r="V1613" i="98"/>
  <c r="T1613" i="98"/>
  <c r="U1613" i="98" s="1"/>
  <c r="S1613" i="98"/>
  <c r="R1613" i="98"/>
  <c r="V1612" i="98"/>
  <c r="T1612" i="98"/>
  <c r="U1612" i="98" s="1"/>
  <c r="S1612" i="98"/>
  <c r="R1612" i="98"/>
  <c r="V1611" i="98"/>
  <c r="T1611" i="98"/>
  <c r="U1611" i="98" s="1"/>
  <c r="S1611" i="98"/>
  <c r="R1611" i="98"/>
  <c r="V1610" i="98"/>
  <c r="T1610" i="98"/>
  <c r="U1610" i="98" s="1"/>
  <c r="S1610" i="98"/>
  <c r="R1610" i="98"/>
  <c r="V1609" i="98"/>
  <c r="T1609" i="98"/>
  <c r="U1609" i="98" s="1"/>
  <c r="S1609" i="98"/>
  <c r="R1609" i="98"/>
  <c r="V1608" i="98"/>
  <c r="T1608" i="98"/>
  <c r="U1608" i="98" s="1"/>
  <c r="S1608" i="98"/>
  <c r="R1608" i="98"/>
  <c r="V1607" i="98"/>
  <c r="T1607" i="98"/>
  <c r="U1607" i="98" s="1"/>
  <c r="S1607" i="98"/>
  <c r="R1607" i="98"/>
  <c r="V1606" i="98"/>
  <c r="T1606" i="98"/>
  <c r="U1606" i="98" s="1"/>
  <c r="S1606" i="98"/>
  <c r="R1606" i="98"/>
  <c r="V1605" i="98"/>
  <c r="T1605" i="98"/>
  <c r="U1605" i="98" s="1"/>
  <c r="S1605" i="98"/>
  <c r="R1605" i="98"/>
  <c r="V1604" i="98"/>
  <c r="T1604" i="98"/>
  <c r="U1604" i="98" s="1"/>
  <c r="S1604" i="98"/>
  <c r="R1604" i="98"/>
  <c r="V1603" i="98"/>
  <c r="T1603" i="98"/>
  <c r="U1603" i="98" s="1"/>
  <c r="S1603" i="98"/>
  <c r="R1603" i="98"/>
  <c r="V1602" i="98"/>
  <c r="T1602" i="98"/>
  <c r="U1602" i="98" s="1"/>
  <c r="S1602" i="98"/>
  <c r="R1602" i="98"/>
  <c r="V1601" i="98"/>
  <c r="T1601" i="98"/>
  <c r="U1601" i="98" s="1"/>
  <c r="S1601" i="98"/>
  <c r="R1601" i="98"/>
  <c r="V1600" i="98"/>
  <c r="T1600" i="98"/>
  <c r="U1600" i="98" s="1"/>
  <c r="S1600" i="98"/>
  <c r="R1600" i="98"/>
  <c r="V1599" i="98"/>
  <c r="T1599" i="98"/>
  <c r="U1599" i="98" s="1"/>
  <c r="S1599" i="98"/>
  <c r="R1599" i="98"/>
  <c r="V1598" i="98"/>
  <c r="T1598" i="98"/>
  <c r="U1598" i="98" s="1"/>
  <c r="S1598" i="98"/>
  <c r="R1598" i="98"/>
  <c r="V1597" i="98"/>
  <c r="T1597" i="98"/>
  <c r="U1597" i="98" s="1"/>
  <c r="S1597" i="98"/>
  <c r="R1597" i="98"/>
  <c r="V1596" i="98"/>
  <c r="T1596" i="98"/>
  <c r="U1596" i="98" s="1"/>
  <c r="S1596" i="98"/>
  <c r="R1596" i="98"/>
  <c r="V1595" i="98"/>
  <c r="T1595" i="98"/>
  <c r="U1595" i="98" s="1"/>
  <c r="S1595" i="98"/>
  <c r="R1595" i="98"/>
  <c r="V1594" i="98"/>
  <c r="T1594" i="98"/>
  <c r="U1594" i="98" s="1"/>
  <c r="S1594" i="98"/>
  <c r="R1594" i="98"/>
  <c r="V1593" i="98"/>
  <c r="T1593" i="98"/>
  <c r="U1593" i="98" s="1"/>
  <c r="S1593" i="98"/>
  <c r="R1593" i="98"/>
  <c r="V1592" i="98"/>
  <c r="T1592" i="98"/>
  <c r="U1592" i="98" s="1"/>
  <c r="S1592" i="98"/>
  <c r="R1592" i="98"/>
  <c r="V1591" i="98"/>
  <c r="T1591" i="98"/>
  <c r="U1591" i="98" s="1"/>
  <c r="S1591" i="98"/>
  <c r="R1591" i="98"/>
  <c r="V1590" i="98"/>
  <c r="T1590" i="98"/>
  <c r="U1590" i="98" s="1"/>
  <c r="S1590" i="98"/>
  <c r="R1590" i="98"/>
  <c r="V1589" i="98"/>
  <c r="T1589" i="98"/>
  <c r="U1589" i="98" s="1"/>
  <c r="S1589" i="98"/>
  <c r="R1589" i="98"/>
  <c r="V1588" i="98"/>
  <c r="T1588" i="98"/>
  <c r="U1588" i="98" s="1"/>
  <c r="S1588" i="98"/>
  <c r="R1588" i="98"/>
  <c r="V1587" i="98"/>
  <c r="T1587" i="98"/>
  <c r="U1587" i="98" s="1"/>
  <c r="S1587" i="98"/>
  <c r="R1587" i="98"/>
  <c r="V1586" i="98"/>
  <c r="T1586" i="98"/>
  <c r="U1586" i="98" s="1"/>
  <c r="S1586" i="98"/>
  <c r="R1586" i="98"/>
  <c r="V1585" i="98"/>
  <c r="T1585" i="98"/>
  <c r="U1585" i="98" s="1"/>
  <c r="S1585" i="98"/>
  <c r="R1585" i="98"/>
  <c r="V1584" i="98"/>
  <c r="T1584" i="98"/>
  <c r="U1584" i="98" s="1"/>
  <c r="S1584" i="98"/>
  <c r="R1584" i="98"/>
  <c r="V1583" i="98"/>
  <c r="T1583" i="98"/>
  <c r="U1583" i="98" s="1"/>
  <c r="S1583" i="98"/>
  <c r="R1583" i="98"/>
  <c r="V1582" i="98"/>
  <c r="T1582" i="98"/>
  <c r="U1582" i="98" s="1"/>
  <c r="S1582" i="98"/>
  <c r="R1582" i="98"/>
  <c r="V1581" i="98"/>
  <c r="T1581" i="98"/>
  <c r="U1581" i="98" s="1"/>
  <c r="S1581" i="98"/>
  <c r="R1581" i="98"/>
  <c r="V1580" i="98"/>
  <c r="T1580" i="98"/>
  <c r="U1580" i="98" s="1"/>
  <c r="S1580" i="98"/>
  <c r="R1580" i="98"/>
  <c r="V1579" i="98"/>
  <c r="T1579" i="98"/>
  <c r="U1579" i="98" s="1"/>
  <c r="S1579" i="98"/>
  <c r="R1579" i="98"/>
  <c r="V1578" i="98"/>
  <c r="T1578" i="98"/>
  <c r="U1578" i="98" s="1"/>
  <c r="S1578" i="98"/>
  <c r="R1578" i="98"/>
  <c r="V1577" i="98"/>
  <c r="T1577" i="98"/>
  <c r="U1577" i="98" s="1"/>
  <c r="S1577" i="98"/>
  <c r="R1577" i="98"/>
  <c r="V1576" i="98"/>
  <c r="T1576" i="98"/>
  <c r="U1576" i="98" s="1"/>
  <c r="S1576" i="98"/>
  <c r="R1576" i="98"/>
  <c r="V1575" i="98"/>
  <c r="T1575" i="98"/>
  <c r="U1575" i="98" s="1"/>
  <c r="S1575" i="98"/>
  <c r="R1575" i="98"/>
  <c r="V1574" i="98"/>
  <c r="T1574" i="98"/>
  <c r="U1574" i="98" s="1"/>
  <c r="S1574" i="98"/>
  <c r="R1574" i="98"/>
  <c r="V1573" i="98"/>
  <c r="T1573" i="98"/>
  <c r="U1573" i="98" s="1"/>
  <c r="S1573" i="98"/>
  <c r="R1573" i="98"/>
  <c r="V1572" i="98"/>
  <c r="T1572" i="98"/>
  <c r="U1572" i="98" s="1"/>
  <c r="S1572" i="98"/>
  <c r="R1572" i="98"/>
  <c r="V1571" i="98"/>
  <c r="T1571" i="98"/>
  <c r="U1571" i="98" s="1"/>
  <c r="S1571" i="98"/>
  <c r="R1571" i="98"/>
  <c r="V1570" i="98"/>
  <c r="T1570" i="98"/>
  <c r="U1570" i="98" s="1"/>
  <c r="S1570" i="98"/>
  <c r="R1570" i="98"/>
  <c r="V1569" i="98"/>
  <c r="T1569" i="98"/>
  <c r="U1569" i="98" s="1"/>
  <c r="S1569" i="98"/>
  <c r="R1569" i="98"/>
  <c r="V1568" i="98"/>
  <c r="T1568" i="98"/>
  <c r="U1568" i="98" s="1"/>
  <c r="S1568" i="98"/>
  <c r="R1568" i="98"/>
  <c r="V1567" i="98"/>
  <c r="T1567" i="98"/>
  <c r="U1567" i="98" s="1"/>
  <c r="S1567" i="98"/>
  <c r="R1567" i="98"/>
  <c r="V1566" i="98"/>
  <c r="T1566" i="98"/>
  <c r="U1566" i="98" s="1"/>
  <c r="S1566" i="98"/>
  <c r="R1566" i="98"/>
  <c r="V1565" i="98"/>
  <c r="T1565" i="98"/>
  <c r="U1565" i="98" s="1"/>
  <c r="S1565" i="98"/>
  <c r="R1565" i="98"/>
  <c r="V1564" i="98"/>
  <c r="T1564" i="98"/>
  <c r="U1564" i="98" s="1"/>
  <c r="S1564" i="98"/>
  <c r="R1564" i="98"/>
  <c r="V1563" i="98"/>
  <c r="T1563" i="98"/>
  <c r="U1563" i="98" s="1"/>
  <c r="S1563" i="98"/>
  <c r="R1563" i="98"/>
  <c r="V1562" i="98"/>
  <c r="T1562" i="98"/>
  <c r="U1562" i="98" s="1"/>
  <c r="S1562" i="98"/>
  <c r="R1562" i="98"/>
  <c r="V1561" i="98"/>
  <c r="T1561" i="98"/>
  <c r="U1561" i="98" s="1"/>
  <c r="S1561" i="98"/>
  <c r="R1561" i="98"/>
  <c r="V1560" i="98"/>
  <c r="T1560" i="98"/>
  <c r="U1560" i="98" s="1"/>
  <c r="S1560" i="98"/>
  <c r="R1560" i="98"/>
  <c r="V1559" i="98"/>
  <c r="T1559" i="98"/>
  <c r="U1559" i="98" s="1"/>
  <c r="S1559" i="98"/>
  <c r="R1559" i="98"/>
  <c r="V1558" i="98"/>
  <c r="T1558" i="98"/>
  <c r="U1558" i="98" s="1"/>
  <c r="S1558" i="98"/>
  <c r="R1558" i="98"/>
  <c r="V1557" i="98"/>
  <c r="T1557" i="98"/>
  <c r="U1557" i="98" s="1"/>
  <c r="S1557" i="98"/>
  <c r="R1557" i="98"/>
  <c r="V1556" i="98"/>
  <c r="T1556" i="98"/>
  <c r="U1556" i="98" s="1"/>
  <c r="S1556" i="98"/>
  <c r="R1556" i="98"/>
  <c r="V1555" i="98"/>
  <c r="T1555" i="98"/>
  <c r="U1555" i="98" s="1"/>
  <c r="S1555" i="98"/>
  <c r="R1555" i="98"/>
  <c r="V1554" i="98"/>
  <c r="T1554" i="98"/>
  <c r="U1554" i="98" s="1"/>
  <c r="S1554" i="98"/>
  <c r="R1554" i="98"/>
  <c r="V1553" i="98"/>
  <c r="T1553" i="98"/>
  <c r="U1553" i="98" s="1"/>
  <c r="S1553" i="98"/>
  <c r="R1553" i="98"/>
  <c r="V1552" i="98"/>
  <c r="T1552" i="98"/>
  <c r="U1552" i="98" s="1"/>
  <c r="S1552" i="98"/>
  <c r="R1552" i="98"/>
  <c r="V1551" i="98"/>
  <c r="T1551" i="98"/>
  <c r="U1551" i="98" s="1"/>
  <c r="S1551" i="98"/>
  <c r="R1551" i="98"/>
  <c r="V1550" i="98"/>
  <c r="T1550" i="98"/>
  <c r="U1550" i="98" s="1"/>
  <c r="S1550" i="98"/>
  <c r="R1550" i="98"/>
  <c r="V1549" i="98"/>
  <c r="T1549" i="98"/>
  <c r="U1549" i="98" s="1"/>
  <c r="S1549" i="98"/>
  <c r="R1549" i="98"/>
  <c r="V1548" i="98"/>
  <c r="T1548" i="98"/>
  <c r="U1548" i="98" s="1"/>
  <c r="S1548" i="98"/>
  <c r="R1548" i="98"/>
  <c r="V1547" i="98"/>
  <c r="T1547" i="98"/>
  <c r="U1547" i="98" s="1"/>
  <c r="S1547" i="98"/>
  <c r="R1547" i="98"/>
  <c r="V1546" i="98"/>
  <c r="T1546" i="98"/>
  <c r="U1546" i="98" s="1"/>
  <c r="S1546" i="98"/>
  <c r="R1546" i="98"/>
  <c r="V1545" i="98"/>
  <c r="T1545" i="98"/>
  <c r="U1545" i="98" s="1"/>
  <c r="S1545" i="98"/>
  <c r="R1545" i="98"/>
  <c r="V1544" i="98"/>
  <c r="T1544" i="98"/>
  <c r="U1544" i="98" s="1"/>
  <c r="S1544" i="98"/>
  <c r="R1544" i="98"/>
  <c r="V1543" i="98"/>
  <c r="T1543" i="98"/>
  <c r="U1543" i="98" s="1"/>
  <c r="S1543" i="98"/>
  <c r="R1543" i="98"/>
  <c r="V1542" i="98"/>
  <c r="T1542" i="98"/>
  <c r="U1542" i="98" s="1"/>
  <c r="S1542" i="98"/>
  <c r="R1542" i="98"/>
  <c r="V1541" i="98"/>
  <c r="T1541" i="98"/>
  <c r="U1541" i="98" s="1"/>
  <c r="S1541" i="98"/>
  <c r="R1541" i="98"/>
  <c r="V1540" i="98"/>
  <c r="T1540" i="98"/>
  <c r="U1540" i="98" s="1"/>
  <c r="S1540" i="98"/>
  <c r="R1540" i="98"/>
  <c r="V1539" i="98"/>
  <c r="T1539" i="98"/>
  <c r="U1539" i="98" s="1"/>
  <c r="S1539" i="98"/>
  <c r="R1539" i="98"/>
  <c r="V1538" i="98"/>
  <c r="T1538" i="98"/>
  <c r="U1538" i="98" s="1"/>
  <c r="S1538" i="98"/>
  <c r="R1538" i="98"/>
  <c r="V1537" i="98"/>
  <c r="T1537" i="98"/>
  <c r="U1537" i="98" s="1"/>
  <c r="S1537" i="98"/>
  <c r="R1537" i="98"/>
  <c r="V1536" i="98"/>
  <c r="T1536" i="98"/>
  <c r="U1536" i="98" s="1"/>
  <c r="S1536" i="98"/>
  <c r="R1536" i="98"/>
  <c r="V1535" i="98"/>
  <c r="T1535" i="98"/>
  <c r="U1535" i="98" s="1"/>
  <c r="S1535" i="98"/>
  <c r="R1535" i="98"/>
  <c r="V1534" i="98"/>
  <c r="T1534" i="98"/>
  <c r="U1534" i="98" s="1"/>
  <c r="S1534" i="98"/>
  <c r="R1534" i="98"/>
  <c r="V1533" i="98"/>
  <c r="T1533" i="98"/>
  <c r="U1533" i="98" s="1"/>
  <c r="S1533" i="98"/>
  <c r="R1533" i="98"/>
  <c r="V1532" i="98"/>
  <c r="T1532" i="98"/>
  <c r="U1532" i="98" s="1"/>
  <c r="S1532" i="98"/>
  <c r="R1532" i="98"/>
  <c r="V1531" i="98"/>
  <c r="T1531" i="98"/>
  <c r="U1531" i="98" s="1"/>
  <c r="S1531" i="98"/>
  <c r="R1531" i="98"/>
  <c r="V1530" i="98"/>
  <c r="T1530" i="98"/>
  <c r="U1530" i="98" s="1"/>
  <c r="S1530" i="98"/>
  <c r="R1530" i="98"/>
  <c r="V1529" i="98"/>
  <c r="T1529" i="98"/>
  <c r="U1529" i="98" s="1"/>
  <c r="S1529" i="98"/>
  <c r="R1529" i="98"/>
  <c r="V1528" i="98"/>
  <c r="T1528" i="98"/>
  <c r="U1528" i="98" s="1"/>
  <c r="S1528" i="98"/>
  <c r="R1528" i="98"/>
  <c r="V1527" i="98"/>
  <c r="T1527" i="98"/>
  <c r="U1527" i="98" s="1"/>
  <c r="S1527" i="98"/>
  <c r="R1527" i="98"/>
  <c r="V1526" i="98"/>
  <c r="T1526" i="98"/>
  <c r="U1526" i="98" s="1"/>
  <c r="S1526" i="98"/>
  <c r="R1526" i="98"/>
  <c r="V1525" i="98"/>
  <c r="T1525" i="98"/>
  <c r="U1525" i="98" s="1"/>
  <c r="S1525" i="98"/>
  <c r="R1525" i="98"/>
  <c r="V1524" i="98"/>
  <c r="T1524" i="98"/>
  <c r="U1524" i="98" s="1"/>
  <c r="S1524" i="98"/>
  <c r="R1524" i="98"/>
  <c r="V1523" i="98"/>
  <c r="T1523" i="98"/>
  <c r="U1523" i="98" s="1"/>
  <c r="S1523" i="98"/>
  <c r="R1523" i="98"/>
  <c r="V1522" i="98"/>
  <c r="T1522" i="98"/>
  <c r="U1522" i="98" s="1"/>
  <c r="S1522" i="98"/>
  <c r="R1522" i="98"/>
  <c r="V1521" i="98"/>
  <c r="T1521" i="98"/>
  <c r="U1521" i="98" s="1"/>
  <c r="S1521" i="98"/>
  <c r="R1521" i="98"/>
  <c r="V1520" i="98"/>
  <c r="T1520" i="98"/>
  <c r="U1520" i="98" s="1"/>
  <c r="S1520" i="98"/>
  <c r="R1520" i="98"/>
  <c r="V1519" i="98"/>
  <c r="T1519" i="98"/>
  <c r="U1519" i="98" s="1"/>
  <c r="S1519" i="98"/>
  <c r="R1519" i="98"/>
  <c r="V1518" i="98"/>
  <c r="T1518" i="98"/>
  <c r="U1518" i="98" s="1"/>
  <c r="S1518" i="98"/>
  <c r="R1518" i="98"/>
  <c r="V1517" i="98"/>
  <c r="T1517" i="98"/>
  <c r="U1517" i="98" s="1"/>
  <c r="S1517" i="98"/>
  <c r="R1517" i="98"/>
  <c r="V1516" i="98"/>
  <c r="T1516" i="98"/>
  <c r="U1516" i="98" s="1"/>
  <c r="S1516" i="98"/>
  <c r="R1516" i="98"/>
  <c r="V1515" i="98"/>
  <c r="T1515" i="98"/>
  <c r="U1515" i="98" s="1"/>
  <c r="S1515" i="98"/>
  <c r="R1515" i="98"/>
  <c r="V1514" i="98"/>
  <c r="T1514" i="98"/>
  <c r="U1514" i="98" s="1"/>
  <c r="S1514" i="98"/>
  <c r="R1514" i="98"/>
  <c r="V1513" i="98"/>
  <c r="T1513" i="98"/>
  <c r="U1513" i="98" s="1"/>
  <c r="S1513" i="98"/>
  <c r="R1513" i="98"/>
  <c r="V1512" i="98"/>
  <c r="T1512" i="98"/>
  <c r="U1512" i="98" s="1"/>
  <c r="S1512" i="98"/>
  <c r="R1512" i="98"/>
  <c r="V1511" i="98"/>
  <c r="T1511" i="98"/>
  <c r="U1511" i="98" s="1"/>
  <c r="S1511" i="98"/>
  <c r="R1511" i="98"/>
  <c r="V1510" i="98"/>
  <c r="T1510" i="98"/>
  <c r="U1510" i="98" s="1"/>
  <c r="S1510" i="98"/>
  <c r="R1510" i="98"/>
  <c r="V1509" i="98"/>
  <c r="T1509" i="98"/>
  <c r="U1509" i="98" s="1"/>
  <c r="S1509" i="98"/>
  <c r="R1509" i="98"/>
  <c r="V1508" i="98"/>
  <c r="T1508" i="98"/>
  <c r="U1508" i="98" s="1"/>
  <c r="S1508" i="98"/>
  <c r="R1508" i="98"/>
  <c r="V1507" i="98"/>
  <c r="T1507" i="98"/>
  <c r="U1507" i="98" s="1"/>
  <c r="S1507" i="98"/>
  <c r="R1507" i="98"/>
  <c r="V1506" i="98"/>
  <c r="T1506" i="98"/>
  <c r="U1506" i="98" s="1"/>
  <c r="S1506" i="98"/>
  <c r="R1506" i="98"/>
  <c r="V1505" i="98"/>
  <c r="T1505" i="98"/>
  <c r="U1505" i="98" s="1"/>
  <c r="S1505" i="98"/>
  <c r="R1505" i="98"/>
  <c r="V1504" i="98"/>
  <c r="T1504" i="98"/>
  <c r="U1504" i="98" s="1"/>
  <c r="S1504" i="98"/>
  <c r="R1504" i="98"/>
  <c r="V1503" i="98"/>
  <c r="T1503" i="98"/>
  <c r="U1503" i="98" s="1"/>
  <c r="S1503" i="98"/>
  <c r="R1503" i="98"/>
  <c r="V1502" i="98"/>
  <c r="T1502" i="98"/>
  <c r="U1502" i="98" s="1"/>
  <c r="S1502" i="98"/>
  <c r="R1502" i="98"/>
  <c r="V1501" i="98"/>
  <c r="T1501" i="98"/>
  <c r="U1501" i="98" s="1"/>
  <c r="S1501" i="98"/>
  <c r="R1501" i="98"/>
  <c r="V1500" i="98"/>
  <c r="T1500" i="98"/>
  <c r="U1500" i="98" s="1"/>
  <c r="S1500" i="98"/>
  <c r="R1500" i="98"/>
  <c r="V1499" i="98"/>
  <c r="T1499" i="98"/>
  <c r="U1499" i="98" s="1"/>
  <c r="S1499" i="98"/>
  <c r="R1499" i="98"/>
  <c r="V1498" i="98"/>
  <c r="T1498" i="98"/>
  <c r="U1498" i="98" s="1"/>
  <c r="S1498" i="98"/>
  <c r="R1498" i="98"/>
  <c r="V1497" i="98"/>
  <c r="T1497" i="98"/>
  <c r="U1497" i="98" s="1"/>
  <c r="S1497" i="98"/>
  <c r="R1497" i="98"/>
  <c r="V1496" i="98"/>
  <c r="T1496" i="98"/>
  <c r="U1496" i="98" s="1"/>
  <c r="S1496" i="98"/>
  <c r="R1496" i="98"/>
  <c r="V1495" i="98"/>
  <c r="T1495" i="98"/>
  <c r="U1495" i="98" s="1"/>
  <c r="S1495" i="98"/>
  <c r="R1495" i="98"/>
  <c r="V1494" i="98"/>
  <c r="T1494" i="98"/>
  <c r="U1494" i="98" s="1"/>
  <c r="S1494" i="98"/>
  <c r="R1494" i="98"/>
  <c r="V1493" i="98"/>
  <c r="T1493" i="98"/>
  <c r="U1493" i="98" s="1"/>
  <c r="S1493" i="98"/>
  <c r="R1493" i="98"/>
  <c r="V1492" i="98"/>
  <c r="T1492" i="98"/>
  <c r="U1492" i="98" s="1"/>
  <c r="S1492" i="98"/>
  <c r="R1492" i="98"/>
  <c r="V1491" i="98"/>
  <c r="T1491" i="98"/>
  <c r="U1491" i="98" s="1"/>
  <c r="S1491" i="98"/>
  <c r="R1491" i="98"/>
  <c r="V1490" i="98"/>
  <c r="T1490" i="98"/>
  <c r="U1490" i="98" s="1"/>
  <c r="S1490" i="98"/>
  <c r="R1490" i="98"/>
  <c r="V1489" i="98"/>
  <c r="T1489" i="98"/>
  <c r="U1489" i="98" s="1"/>
  <c r="S1489" i="98"/>
  <c r="R1489" i="98"/>
  <c r="V1488" i="98"/>
  <c r="T1488" i="98"/>
  <c r="U1488" i="98" s="1"/>
  <c r="S1488" i="98"/>
  <c r="R1488" i="98"/>
  <c r="V1487" i="98"/>
  <c r="T1487" i="98"/>
  <c r="U1487" i="98" s="1"/>
  <c r="S1487" i="98"/>
  <c r="R1487" i="98"/>
  <c r="V1486" i="98"/>
  <c r="T1486" i="98"/>
  <c r="U1486" i="98" s="1"/>
  <c r="S1486" i="98"/>
  <c r="R1486" i="98"/>
  <c r="V1485" i="98"/>
  <c r="T1485" i="98"/>
  <c r="U1485" i="98" s="1"/>
  <c r="S1485" i="98"/>
  <c r="R1485" i="98"/>
  <c r="V1484" i="98"/>
  <c r="T1484" i="98"/>
  <c r="U1484" i="98" s="1"/>
  <c r="S1484" i="98"/>
  <c r="R1484" i="98"/>
  <c r="V1483" i="98"/>
  <c r="T1483" i="98"/>
  <c r="U1483" i="98" s="1"/>
  <c r="S1483" i="98"/>
  <c r="R1483" i="98"/>
  <c r="V1482" i="98"/>
  <c r="T1482" i="98"/>
  <c r="U1482" i="98" s="1"/>
  <c r="S1482" i="98"/>
  <c r="R1482" i="98"/>
  <c r="V1481" i="98"/>
  <c r="T1481" i="98"/>
  <c r="U1481" i="98" s="1"/>
  <c r="S1481" i="98"/>
  <c r="R1481" i="98"/>
  <c r="V1480" i="98"/>
  <c r="T1480" i="98"/>
  <c r="U1480" i="98" s="1"/>
  <c r="S1480" i="98"/>
  <c r="R1480" i="98"/>
  <c r="V1479" i="98"/>
  <c r="T1479" i="98"/>
  <c r="U1479" i="98" s="1"/>
  <c r="S1479" i="98"/>
  <c r="R1479" i="98"/>
  <c r="V1478" i="98"/>
  <c r="T1478" i="98"/>
  <c r="U1478" i="98" s="1"/>
  <c r="S1478" i="98"/>
  <c r="R1478" i="98"/>
  <c r="V1477" i="98"/>
  <c r="T1477" i="98"/>
  <c r="U1477" i="98" s="1"/>
  <c r="S1477" i="98"/>
  <c r="R1477" i="98"/>
  <c r="V1476" i="98"/>
  <c r="T1476" i="98"/>
  <c r="U1476" i="98" s="1"/>
  <c r="S1476" i="98"/>
  <c r="R1476" i="98"/>
  <c r="V1475" i="98"/>
  <c r="T1475" i="98"/>
  <c r="U1475" i="98" s="1"/>
  <c r="S1475" i="98"/>
  <c r="R1475" i="98"/>
  <c r="V1474" i="98"/>
  <c r="T1474" i="98"/>
  <c r="U1474" i="98" s="1"/>
  <c r="S1474" i="98"/>
  <c r="R1474" i="98"/>
  <c r="V1473" i="98"/>
  <c r="T1473" i="98"/>
  <c r="U1473" i="98" s="1"/>
  <c r="S1473" i="98"/>
  <c r="R1473" i="98"/>
  <c r="V1472" i="98"/>
  <c r="T1472" i="98"/>
  <c r="U1472" i="98" s="1"/>
  <c r="S1472" i="98"/>
  <c r="R1472" i="98"/>
  <c r="V1471" i="98"/>
  <c r="T1471" i="98"/>
  <c r="U1471" i="98" s="1"/>
  <c r="S1471" i="98"/>
  <c r="R1471" i="98"/>
  <c r="V1470" i="98"/>
  <c r="T1470" i="98"/>
  <c r="U1470" i="98" s="1"/>
  <c r="S1470" i="98"/>
  <c r="R1470" i="98"/>
  <c r="V1469" i="98"/>
  <c r="T1469" i="98"/>
  <c r="U1469" i="98" s="1"/>
  <c r="S1469" i="98"/>
  <c r="R1469" i="98"/>
  <c r="V1468" i="98"/>
  <c r="T1468" i="98"/>
  <c r="U1468" i="98" s="1"/>
  <c r="S1468" i="98"/>
  <c r="R1468" i="98"/>
  <c r="V1467" i="98"/>
  <c r="T1467" i="98"/>
  <c r="U1467" i="98" s="1"/>
  <c r="S1467" i="98"/>
  <c r="R1467" i="98"/>
  <c r="V1466" i="98"/>
  <c r="T1466" i="98"/>
  <c r="U1466" i="98" s="1"/>
  <c r="S1466" i="98"/>
  <c r="R1466" i="98"/>
  <c r="V1465" i="98"/>
  <c r="T1465" i="98"/>
  <c r="U1465" i="98" s="1"/>
  <c r="S1465" i="98"/>
  <c r="R1465" i="98"/>
  <c r="V1464" i="98"/>
  <c r="T1464" i="98"/>
  <c r="U1464" i="98" s="1"/>
  <c r="S1464" i="98"/>
  <c r="R1464" i="98"/>
  <c r="V1463" i="98"/>
  <c r="T1463" i="98"/>
  <c r="U1463" i="98" s="1"/>
  <c r="S1463" i="98"/>
  <c r="R1463" i="98"/>
  <c r="V1462" i="98"/>
  <c r="T1462" i="98"/>
  <c r="U1462" i="98" s="1"/>
  <c r="S1462" i="98"/>
  <c r="R1462" i="98"/>
  <c r="V1461" i="98"/>
  <c r="T1461" i="98"/>
  <c r="U1461" i="98" s="1"/>
  <c r="S1461" i="98"/>
  <c r="R1461" i="98"/>
  <c r="V1460" i="98"/>
  <c r="T1460" i="98"/>
  <c r="U1460" i="98" s="1"/>
  <c r="S1460" i="98"/>
  <c r="R1460" i="98"/>
  <c r="V1459" i="98"/>
  <c r="T1459" i="98"/>
  <c r="U1459" i="98" s="1"/>
  <c r="S1459" i="98"/>
  <c r="R1459" i="98"/>
  <c r="V1458" i="98"/>
  <c r="T1458" i="98"/>
  <c r="U1458" i="98" s="1"/>
  <c r="S1458" i="98"/>
  <c r="R1458" i="98"/>
  <c r="V1457" i="98"/>
  <c r="T1457" i="98"/>
  <c r="U1457" i="98" s="1"/>
  <c r="S1457" i="98"/>
  <c r="R1457" i="98"/>
  <c r="V1456" i="98"/>
  <c r="T1456" i="98"/>
  <c r="U1456" i="98" s="1"/>
  <c r="S1456" i="98"/>
  <c r="R1456" i="98"/>
  <c r="V1455" i="98"/>
  <c r="T1455" i="98"/>
  <c r="U1455" i="98" s="1"/>
  <c r="S1455" i="98"/>
  <c r="R1455" i="98"/>
  <c r="V1454" i="98"/>
  <c r="T1454" i="98"/>
  <c r="U1454" i="98" s="1"/>
  <c r="S1454" i="98"/>
  <c r="R1454" i="98"/>
  <c r="V1453" i="98"/>
  <c r="T1453" i="98"/>
  <c r="U1453" i="98" s="1"/>
  <c r="S1453" i="98"/>
  <c r="R1453" i="98"/>
  <c r="V1452" i="98"/>
  <c r="T1452" i="98"/>
  <c r="U1452" i="98" s="1"/>
  <c r="S1452" i="98"/>
  <c r="R1452" i="98"/>
  <c r="V1451" i="98"/>
  <c r="T1451" i="98"/>
  <c r="U1451" i="98" s="1"/>
  <c r="S1451" i="98"/>
  <c r="R1451" i="98"/>
  <c r="V1450" i="98"/>
  <c r="T1450" i="98"/>
  <c r="U1450" i="98" s="1"/>
  <c r="S1450" i="98"/>
  <c r="R1450" i="98"/>
  <c r="V1449" i="98"/>
  <c r="T1449" i="98"/>
  <c r="U1449" i="98" s="1"/>
  <c r="S1449" i="98"/>
  <c r="R1449" i="98"/>
  <c r="V1448" i="98"/>
  <c r="T1448" i="98"/>
  <c r="U1448" i="98" s="1"/>
  <c r="S1448" i="98"/>
  <c r="R1448" i="98"/>
  <c r="V1447" i="98"/>
  <c r="T1447" i="98"/>
  <c r="U1447" i="98" s="1"/>
  <c r="S1447" i="98"/>
  <c r="R1447" i="98"/>
  <c r="V1446" i="98"/>
  <c r="T1446" i="98"/>
  <c r="U1446" i="98" s="1"/>
  <c r="S1446" i="98"/>
  <c r="R1446" i="98"/>
  <c r="V1445" i="98"/>
  <c r="T1445" i="98"/>
  <c r="U1445" i="98" s="1"/>
  <c r="S1445" i="98"/>
  <c r="R1445" i="98"/>
  <c r="V1444" i="98"/>
  <c r="T1444" i="98"/>
  <c r="U1444" i="98" s="1"/>
  <c r="S1444" i="98"/>
  <c r="R1444" i="98"/>
  <c r="V1443" i="98"/>
  <c r="T1443" i="98"/>
  <c r="U1443" i="98" s="1"/>
  <c r="S1443" i="98"/>
  <c r="R1443" i="98"/>
  <c r="V1442" i="98"/>
  <c r="T1442" i="98"/>
  <c r="U1442" i="98" s="1"/>
  <c r="S1442" i="98"/>
  <c r="R1442" i="98"/>
  <c r="V1441" i="98"/>
  <c r="T1441" i="98"/>
  <c r="U1441" i="98" s="1"/>
  <c r="S1441" i="98"/>
  <c r="R1441" i="98"/>
  <c r="V1440" i="98"/>
  <c r="T1440" i="98"/>
  <c r="U1440" i="98" s="1"/>
  <c r="S1440" i="98"/>
  <c r="R1440" i="98"/>
  <c r="V1439" i="98"/>
  <c r="T1439" i="98"/>
  <c r="U1439" i="98" s="1"/>
  <c r="S1439" i="98"/>
  <c r="R1439" i="98"/>
  <c r="V1438" i="98"/>
  <c r="T1438" i="98"/>
  <c r="U1438" i="98" s="1"/>
  <c r="S1438" i="98"/>
  <c r="R1438" i="98"/>
  <c r="V1437" i="98"/>
  <c r="T1437" i="98"/>
  <c r="U1437" i="98" s="1"/>
  <c r="S1437" i="98"/>
  <c r="R1437" i="98"/>
  <c r="V1436" i="98"/>
  <c r="T1436" i="98"/>
  <c r="U1436" i="98" s="1"/>
  <c r="S1436" i="98"/>
  <c r="R1436" i="98"/>
  <c r="V1435" i="98"/>
  <c r="T1435" i="98"/>
  <c r="U1435" i="98" s="1"/>
  <c r="S1435" i="98"/>
  <c r="R1435" i="98"/>
  <c r="V1434" i="98"/>
  <c r="T1434" i="98"/>
  <c r="U1434" i="98" s="1"/>
  <c r="S1434" i="98"/>
  <c r="R1434" i="98"/>
  <c r="V1433" i="98"/>
  <c r="T1433" i="98"/>
  <c r="U1433" i="98" s="1"/>
  <c r="S1433" i="98"/>
  <c r="R1433" i="98"/>
  <c r="V1432" i="98"/>
  <c r="T1432" i="98"/>
  <c r="U1432" i="98" s="1"/>
  <c r="S1432" i="98"/>
  <c r="R1432" i="98"/>
  <c r="V1431" i="98"/>
  <c r="T1431" i="98"/>
  <c r="U1431" i="98" s="1"/>
  <c r="S1431" i="98"/>
  <c r="R1431" i="98"/>
  <c r="V1430" i="98"/>
  <c r="T1430" i="98"/>
  <c r="U1430" i="98" s="1"/>
  <c r="S1430" i="98"/>
  <c r="R1430" i="98"/>
  <c r="V1429" i="98"/>
  <c r="T1429" i="98"/>
  <c r="U1429" i="98" s="1"/>
  <c r="S1429" i="98"/>
  <c r="R1429" i="98"/>
  <c r="V1428" i="98"/>
  <c r="T1428" i="98"/>
  <c r="U1428" i="98" s="1"/>
  <c r="S1428" i="98"/>
  <c r="R1428" i="98"/>
  <c r="V1427" i="98"/>
  <c r="T1427" i="98"/>
  <c r="U1427" i="98" s="1"/>
  <c r="S1427" i="98"/>
  <c r="R1427" i="98"/>
  <c r="V1426" i="98"/>
  <c r="T1426" i="98"/>
  <c r="U1426" i="98" s="1"/>
  <c r="S1426" i="98"/>
  <c r="R1426" i="98"/>
  <c r="V1425" i="98"/>
  <c r="T1425" i="98"/>
  <c r="U1425" i="98" s="1"/>
  <c r="S1425" i="98"/>
  <c r="R1425" i="98"/>
  <c r="V1424" i="98"/>
  <c r="T1424" i="98"/>
  <c r="U1424" i="98" s="1"/>
  <c r="S1424" i="98"/>
  <c r="R1424" i="98"/>
  <c r="V1423" i="98"/>
  <c r="T1423" i="98"/>
  <c r="U1423" i="98" s="1"/>
  <c r="S1423" i="98"/>
  <c r="R1423" i="98"/>
  <c r="V1422" i="98"/>
  <c r="T1422" i="98"/>
  <c r="U1422" i="98" s="1"/>
  <c r="S1422" i="98"/>
  <c r="R1422" i="98"/>
  <c r="V1421" i="98"/>
  <c r="T1421" i="98"/>
  <c r="U1421" i="98" s="1"/>
  <c r="S1421" i="98"/>
  <c r="R1421" i="98"/>
  <c r="V1420" i="98"/>
  <c r="T1420" i="98"/>
  <c r="U1420" i="98" s="1"/>
  <c r="S1420" i="98"/>
  <c r="R1420" i="98"/>
  <c r="V1419" i="98"/>
  <c r="T1419" i="98"/>
  <c r="U1419" i="98" s="1"/>
  <c r="S1419" i="98"/>
  <c r="R1419" i="98"/>
  <c r="V1418" i="98"/>
  <c r="T1418" i="98"/>
  <c r="U1418" i="98" s="1"/>
  <c r="S1418" i="98"/>
  <c r="R1418" i="98"/>
  <c r="V1417" i="98"/>
  <c r="T1417" i="98"/>
  <c r="U1417" i="98" s="1"/>
  <c r="S1417" i="98"/>
  <c r="R1417" i="98"/>
  <c r="V1416" i="98"/>
  <c r="T1416" i="98"/>
  <c r="U1416" i="98" s="1"/>
  <c r="S1416" i="98"/>
  <c r="R1416" i="98"/>
  <c r="V1415" i="98"/>
  <c r="T1415" i="98"/>
  <c r="U1415" i="98" s="1"/>
  <c r="S1415" i="98"/>
  <c r="R1415" i="98"/>
  <c r="V1414" i="98"/>
  <c r="T1414" i="98"/>
  <c r="U1414" i="98" s="1"/>
  <c r="S1414" i="98"/>
  <c r="R1414" i="98"/>
  <c r="V1413" i="98"/>
  <c r="T1413" i="98"/>
  <c r="U1413" i="98" s="1"/>
  <c r="S1413" i="98"/>
  <c r="R1413" i="98"/>
  <c r="V1412" i="98"/>
  <c r="T1412" i="98"/>
  <c r="U1412" i="98" s="1"/>
  <c r="S1412" i="98"/>
  <c r="R1412" i="98"/>
  <c r="V1411" i="98"/>
  <c r="T1411" i="98"/>
  <c r="U1411" i="98" s="1"/>
  <c r="S1411" i="98"/>
  <c r="R1411" i="98"/>
  <c r="V1410" i="98"/>
  <c r="T1410" i="98"/>
  <c r="U1410" i="98" s="1"/>
  <c r="S1410" i="98"/>
  <c r="R1410" i="98"/>
  <c r="V1409" i="98"/>
  <c r="T1409" i="98"/>
  <c r="U1409" i="98" s="1"/>
  <c r="S1409" i="98"/>
  <c r="R1409" i="98"/>
  <c r="V1408" i="98"/>
  <c r="T1408" i="98"/>
  <c r="U1408" i="98" s="1"/>
  <c r="S1408" i="98"/>
  <c r="R1408" i="98"/>
  <c r="V1407" i="98"/>
  <c r="T1407" i="98"/>
  <c r="U1407" i="98" s="1"/>
  <c r="S1407" i="98"/>
  <c r="R1407" i="98"/>
  <c r="V1406" i="98"/>
  <c r="T1406" i="98"/>
  <c r="U1406" i="98" s="1"/>
  <c r="S1406" i="98"/>
  <c r="R1406" i="98"/>
  <c r="V1405" i="98"/>
  <c r="T1405" i="98"/>
  <c r="U1405" i="98" s="1"/>
  <c r="S1405" i="98"/>
  <c r="R1405" i="98"/>
  <c r="V1404" i="98"/>
  <c r="T1404" i="98"/>
  <c r="U1404" i="98" s="1"/>
  <c r="S1404" i="98"/>
  <c r="R1404" i="98"/>
  <c r="V1403" i="98"/>
  <c r="T1403" i="98"/>
  <c r="U1403" i="98" s="1"/>
  <c r="S1403" i="98"/>
  <c r="R1403" i="98"/>
  <c r="V1402" i="98"/>
  <c r="T1402" i="98"/>
  <c r="U1402" i="98" s="1"/>
  <c r="S1402" i="98"/>
  <c r="R1402" i="98"/>
  <c r="V1401" i="98"/>
  <c r="T1401" i="98"/>
  <c r="U1401" i="98" s="1"/>
  <c r="S1401" i="98"/>
  <c r="R1401" i="98"/>
  <c r="V1400" i="98"/>
  <c r="T1400" i="98"/>
  <c r="U1400" i="98" s="1"/>
  <c r="S1400" i="98"/>
  <c r="R1400" i="98"/>
  <c r="V1399" i="98"/>
  <c r="T1399" i="98"/>
  <c r="U1399" i="98" s="1"/>
  <c r="S1399" i="98"/>
  <c r="R1399" i="98"/>
  <c r="V1398" i="98"/>
  <c r="T1398" i="98"/>
  <c r="U1398" i="98" s="1"/>
  <c r="S1398" i="98"/>
  <c r="R1398" i="98"/>
  <c r="V1397" i="98"/>
  <c r="T1397" i="98"/>
  <c r="U1397" i="98" s="1"/>
  <c r="S1397" i="98"/>
  <c r="R1397" i="98"/>
  <c r="V1396" i="98"/>
  <c r="T1396" i="98"/>
  <c r="U1396" i="98" s="1"/>
  <c r="S1396" i="98"/>
  <c r="R1396" i="98"/>
  <c r="V1395" i="98"/>
  <c r="T1395" i="98"/>
  <c r="U1395" i="98" s="1"/>
  <c r="S1395" i="98"/>
  <c r="R1395" i="98"/>
  <c r="V1394" i="98"/>
  <c r="T1394" i="98"/>
  <c r="U1394" i="98" s="1"/>
  <c r="S1394" i="98"/>
  <c r="R1394" i="98"/>
  <c r="V1393" i="98"/>
  <c r="T1393" i="98"/>
  <c r="U1393" i="98" s="1"/>
  <c r="S1393" i="98"/>
  <c r="R1393" i="98"/>
  <c r="V1392" i="98"/>
  <c r="T1392" i="98"/>
  <c r="U1392" i="98" s="1"/>
  <c r="S1392" i="98"/>
  <c r="R1392" i="98"/>
  <c r="V1391" i="98"/>
  <c r="T1391" i="98"/>
  <c r="U1391" i="98" s="1"/>
  <c r="S1391" i="98"/>
  <c r="R1391" i="98"/>
  <c r="V1390" i="98"/>
  <c r="T1390" i="98"/>
  <c r="U1390" i="98" s="1"/>
  <c r="S1390" i="98"/>
  <c r="R1390" i="98"/>
  <c r="V1389" i="98"/>
  <c r="T1389" i="98"/>
  <c r="U1389" i="98" s="1"/>
  <c r="S1389" i="98"/>
  <c r="R1389" i="98"/>
  <c r="V1388" i="98"/>
  <c r="T1388" i="98"/>
  <c r="U1388" i="98" s="1"/>
  <c r="S1388" i="98"/>
  <c r="R1388" i="98"/>
  <c r="V1387" i="98"/>
  <c r="T1387" i="98"/>
  <c r="U1387" i="98" s="1"/>
  <c r="S1387" i="98"/>
  <c r="R1387" i="98"/>
  <c r="V1386" i="98"/>
  <c r="T1386" i="98"/>
  <c r="U1386" i="98" s="1"/>
  <c r="S1386" i="98"/>
  <c r="R1386" i="98"/>
  <c r="V1385" i="98"/>
  <c r="T1385" i="98"/>
  <c r="U1385" i="98" s="1"/>
  <c r="S1385" i="98"/>
  <c r="R1385" i="98"/>
  <c r="V1384" i="98"/>
  <c r="T1384" i="98"/>
  <c r="U1384" i="98" s="1"/>
  <c r="S1384" i="98"/>
  <c r="R1384" i="98"/>
  <c r="V1383" i="98"/>
  <c r="T1383" i="98"/>
  <c r="U1383" i="98" s="1"/>
  <c r="S1383" i="98"/>
  <c r="R1383" i="98"/>
  <c r="V1382" i="98"/>
  <c r="T1382" i="98"/>
  <c r="U1382" i="98" s="1"/>
  <c r="S1382" i="98"/>
  <c r="R1382" i="98"/>
  <c r="V1381" i="98"/>
  <c r="T1381" i="98"/>
  <c r="U1381" i="98" s="1"/>
  <c r="S1381" i="98"/>
  <c r="R1381" i="98"/>
  <c r="V1380" i="98"/>
  <c r="T1380" i="98"/>
  <c r="U1380" i="98" s="1"/>
  <c r="S1380" i="98"/>
  <c r="R1380" i="98"/>
  <c r="V1379" i="98"/>
  <c r="T1379" i="98"/>
  <c r="U1379" i="98" s="1"/>
  <c r="S1379" i="98"/>
  <c r="R1379" i="98"/>
  <c r="V1378" i="98"/>
  <c r="T1378" i="98"/>
  <c r="U1378" i="98" s="1"/>
  <c r="S1378" i="98"/>
  <c r="R1378" i="98"/>
  <c r="V1377" i="98"/>
  <c r="T1377" i="98"/>
  <c r="U1377" i="98" s="1"/>
  <c r="S1377" i="98"/>
  <c r="R1377" i="98"/>
  <c r="V1376" i="98"/>
  <c r="T1376" i="98"/>
  <c r="U1376" i="98" s="1"/>
  <c r="S1376" i="98"/>
  <c r="R1376" i="98"/>
  <c r="V1375" i="98"/>
  <c r="T1375" i="98"/>
  <c r="U1375" i="98" s="1"/>
  <c r="S1375" i="98"/>
  <c r="R1375" i="98"/>
  <c r="V1374" i="98"/>
  <c r="T1374" i="98"/>
  <c r="U1374" i="98" s="1"/>
  <c r="S1374" i="98"/>
  <c r="R1374" i="98"/>
  <c r="V1373" i="98"/>
  <c r="T1373" i="98"/>
  <c r="U1373" i="98" s="1"/>
  <c r="S1373" i="98"/>
  <c r="R1373" i="98"/>
  <c r="V1372" i="98"/>
  <c r="T1372" i="98"/>
  <c r="U1372" i="98" s="1"/>
  <c r="S1372" i="98"/>
  <c r="R1372" i="98"/>
  <c r="V1371" i="98"/>
  <c r="T1371" i="98"/>
  <c r="U1371" i="98" s="1"/>
  <c r="S1371" i="98"/>
  <c r="R1371" i="98"/>
  <c r="V1370" i="98"/>
  <c r="T1370" i="98"/>
  <c r="U1370" i="98" s="1"/>
  <c r="S1370" i="98"/>
  <c r="R1370" i="98"/>
  <c r="V1369" i="98"/>
  <c r="T1369" i="98"/>
  <c r="U1369" i="98" s="1"/>
  <c r="S1369" i="98"/>
  <c r="R1369" i="98"/>
  <c r="V1368" i="98"/>
  <c r="T1368" i="98"/>
  <c r="U1368" i="98" s="1"/>
  <c r="S1368" i="98"/>
  <c r="R1368" i="98"/>
  <c r="V1367" i="98"/>
  <c r="T1367" i="98"/>
  <c r="U1367" i="98" s="1"/>
  <c r="S1367" i="98"/>
  <c r="R1367" i="98"/>
  <c r="V1366" i="98"/>
  <c r="T1366" i="98"/>
  <c r="U1366" i="98" s="1"/>
  <c r="S1366" i="98"/>
  <c r="R1366" i="98"/>
  <c r="V1365" i="98"/>
  <c r="T1365" i="98"/>
  <c r="U1365" i="98" s="1"/>
  <c r="S1365" i="98"/>
  <c r="R1365" i="98"/>
  <c r="V1364" i="98"/>
  <c r="T1364" i="98"/>
  <c r="U1364" i="98" s="1"/>
  <c r="S1364" i="98"/>
  <c r="R1364" i="98"/>
  <c r="V1363" i="98"/>
  <c r="T1363" i="98"/>
  <c r="U1363" i="98" s="1"/>
  <c r="S1363" i="98"/>
  <c r="R1363" i="98"/>
  <c r="V1362" i="98"/>
  <c r="T1362" i="98"/>
  <c r="U1362" i="98" s="1"/>
  <c r="S1362" i="98"/>
  <c r="R1362" i="98"/>
  <c r="V1361" i="98"/>
  <c r="T1361" i="98"/>
  <c r="U1361" i="98" s="1"/>
  <c r="S1361" i="98"/>
  <c r="R1361" i="98"/>
  <c r="V1360" i="98"/>
  <c r="T1360" i="98"/>
  <c r="U1360" i="98" s="1"/>
  <c r="S1360" i="98"/>
  <c r="R1360" i="98"/>
  <c r="V1359" i="98"/>
  <c r="T1359" i="98"/>
  <c r="U1359" i="98" s="1"/>
  <c r="S1359" i="98"/>
  <c r="R1359" i="98"/>
  <c r="V1358" i="98"/>
  <c r="T1358" i="98"/>
  <c r="U1358" i="98" s="1"/>
  <c r="S1358" i="98"/>
  <c r="R1358" i="98"/>
  <c r="V1357" i="98"/>
  <c r="T1357" i="98"/>
  <c r="U1357" i="98" s="1"/>
  <c r="S1357" i="98"/>
  <c r="R1357" i="98"/>
  <c r="V1356" i="98"/>
  <c r="T1356" i="98"/>
  <c r="U1356" i="98" s="1"/>
  <c r="S1356" i="98"/>
  <c r="R1356" i="98"/>
  <c r="V1355" i="98"/>
  <c r="T1355" i="98"/>
  <c r="U1355" i="98" s="1"/>
  <c r="S1355" i="98"/>
  <c r="R1355" i="98"/>
  <c r="V1354" i="98"/>
  <c r="T1354" i="98"/>
  <c r="U1354" i="98" s="1"/>
  <c r="S1354" i="98"/>
  <c r="R1354" i="98"/>
  <c r="V1353" i="98"/>
  <c r="T1353" i="98"/>
  <c r="U1353" i="98" s="1"/>
  <c r="S1353" i="98"/>
  <c r="R1353" i="98"/>
  <c r="V1352" i="98"/>
  <c r="T1352" i="98"/>
  <c r="U1352" i="98" s="1"/>
  <c r="S1352" i="98"/>
  <c r="R1352" i="98"/>
  <c r="V1351" i="98"/>
  <c r="T1351" i="98"/>
  <c r="U1351" i="98" s="1"/>
  <c r="S1351" i="98"/>
  <c r="R1351" i="98"/>
  <c r="V1350" i="98"/>
  <c r="T1350" i="98"/>
  <c r="U1350" i="98" s="1"/>
  <c r="S1350" i="98"/>
  <c r="R1350" i="98"/>
  <c r="V1349" i="98"/>
  <c r="T1349" i="98"/>
  <c r="U1349" i="98" s="1"/>
  <c r="S1349" i="98"/>
  <c r="R1349" i="98"/>
  <c r="V1348" i="98"/>
  <c r="T1348" i="98"/>
  <c r="U1348" i="98" s="1"/>
  <c r="S1348" i="98"/>
  <c r="R1348" i="98"/>
  <c r="V1347" i="98"/>
  <c r="T1347" i="98"/>
  <c r="U1347" i="98" s="1"/>
  <c r="S1347" i="98"/>
  <c r="R1347" i="98"/>
  <c r="V1346" i="98"/>
  <c r="T1346" i="98"/>
  <c r="U1346" i="98" s="1"/>
  <c r="S1346" i="98"/>
  <c r="R1346" i="98"/>
  <c r="V1345" i="98"/>
  <c r="T1345" i="98"/>
  <c r="U1345" i="98" s="1"/>
  <c r="S1345" i="98"/>
  <c r="R1345" i="98"/>
  <c r="V1344" i="98"/>
  <c r="T1344" i="98"/>
  <c r="U1344" i="98" s="1"/>
  <c r="S1344" i="98"/>
  <c r="R1344" i="98"/>
  <c r="V1343" i="98"/>
  <c r="T1343" i="98"/>
  <c r="U1343" i="98" s="1"/>
  <c r="S1343" i="98"/>
  <c r="R1343" i="98"/>
  <c r="V1342" i="98"/>
  <c r="T1342" i="98"/>
  <c r="U1342" i="98" s="1"/>
  <c r="S1342" i="98"/>
  <c r="R1342" i="98"/>
  <c r="V1341" i="98"/>
  <c r="T1341" i="98"/>
  <c r="U1341" i="98" s="1"/>
  <c r="S1341" i="98"/>
  <c r="R1341" i="98"/>
  <c r="V1340" i="98"/>
  <c r="T1340" i="98"/>
  <c r="U1340" i="98" s="1"/>
  <c r="S1340" i="98"/>
  <c r="R1340" i="98"/>
  <c r="V1339" i="98"/>
  <c r="T1339" i="98"/>
  <c r="U1339" i="98" s="1"/>
  <c r="S1339" i="98"/>
  <c r="R1339" i="98"/>
  <c r="V1338" i="98"/>
  <c r="T1338" i="98"/>
  <c r="U1338" i="98" s="1"/>
  <c r="S1338" i="98"/>
  <c r="R1338" i="98"/>
  <c r="V1337" i="98"/>
  <c r="T1337" i="98"/>
  <c r="U1337" i="98" s="1"/>
  <c r="S1337" i="98"/>
  <c r="R1337" i="98"/>
  <c r="V1336" i="98"/>
  <c r="T1336" i="98"/>
  <c r="U1336" i="98" s="1"/>
  <c r="S1336" i="98"/>
  <c r="R1336" i="98"/>
  <c r="V1335" i="98"/>
  <c r="T1335" i="98"/>
  <c r="U1335" i="98" s="1"/>
  <c r="S1335" i="98"/>
  <c r="R1335" i="98"/>
  <c r="V1334" i="98"/>
  <c r="T1334" i="98"/>
  <c r="U1334" i="98" s="1"/>
  <c r="S1334" i="98"/>
  <c r="R1334" i="98"/>
  <c r="V1333" i="98"/>
  <c r="T1333" i="98"/>
  <c r="U1333" i="98" s="1"/>
  <c r="S1333" i="98"/>
  <c r="R1333" i="98"/>
  <c r="V1332" i="98"/>
  <c r="T1332" i="98"/>
  <c r="U1332" i="98" s="1"/>
  <c r="S1332" i="98"/>
  <c r="R1332" i="98"/>
  <c r="V1331" i="98"/>
  <c r="T1331" i="98"/>
  <c r="U1331" i="98" s="1"/>
  <c r="S1331" i="98"/>
  <c r="R1331" i="98"/>
  <c r="V1330" i="98"/>
  <c r="T1330" i="98"/>
  <c r="U1330" i="98" s="1"/>
  <c r="S1330" i="98"/>
  <c r="R1330" i="98"/>
  <c r="V1329" i="98"/>
  <c r="T1329" i="98"/>
  <c r="U1329" i="98" s="1"/>
  <c r="S1329" i="98"/>
  <c r="R1329" i="98"/>
  <c r="V1328" i="98"/>
  <c r="T1328" i="98"/>
  <c r="U1328" i="98" s="1"/>
  <c r="S1328" i="98"/>
  <c r="R1328" i="98"/>
  <c r="V1327" i="98"/>
  <c r="T1327" i="98"/>
  <c r="U1327" i="98" s="1"/>
  <c r="S1327" i="98"/>
  <c r="R1327" i="98"/>
  <c r="V1326" i="98"/>
  <c r="T1326" i="98"/>
  <c r="U1326" i="98" s="1"/>
  <c r="S1326" i="98"/>
  <c r="R1326" i="98"/>
  <c r="V1325" i="98"/>
  <c r="T1325" i="98"/>
  <c r="U1325" i="98" s="1"/>
  <c r="S1325" i="98"/>
  <c r="R1325" i="98"/>
  <c r="V1324" i="98"/>
  <c r="T1324" i="98"/>
  <c r="U1324" i="98" s="1"/>
  <c r="S1324" i="98"/>
  <c r="R1324" i="98"/>
  <c r="V1323" i="98"/>
  <c r="T1323" i="98"/>
  <c r="U1323" i="98" s="1"/>
  <c r="S1323" i="98"/>
  <c r="R1323" i="98"/>
  <c r="V1322" i="98"/>
  <c r="T1322" i="98"/>
  <c r="U1322" i="98" s="1"/>
  <c r="S1322" i="98"/>
  <c r="R1322" i="98"/>
  <c r="V1321" i="98"/>
  <c r="T1321" i="98"/>
  <c r="U1321" i="98" s="1"/>
  <c r="S1321" i="98"/>
  <c r="R1321" i="98"/>
  <c r="V1320" i="98"/>
  <c r="T1320" i="98"/>
  <c r="U1320" i="98" s="1"/>
  <c r="S1320" i="98"/>
  <c r="R1320" i="98"/>
  <c r="V1319" i="98"/>
  <c r="T1319" i="98"/>
  <c r="U1319" i="98" s="1"/>
  <c r="S1319" i="98"/>
  <c r="R1319" i="98"/>
  <c r="V1318" i="98"/>
  <c r="T1318" i="98"/>
  <c r="U1318" i="98" s="1"/>
  <c r="S1318" i="98"/>
  <c r="R1318" i="98"/>
  <c r="V1317" i="98"/>
  <c r="T1317" i="98"/>
  <c r="U1317" i="98" s="1"/>
  <c r="S1317" i="98"/>
  <c r="R1317" i="98"/>
  <c r="V1316" i="98"/>
  <c r="T1316" i="98"/>
  <c r="U1316" i="98" s="1"/>
  <c r="S1316" i="98"/>
  <c r="R1316" i="98"/>
  <c r="V1315" i="98"/>
  <c r="T1315" i="98"/>
  <c r="U1315" i="98" s="1"/>
  <c r="S1315" i="98"/>
  <c r="R1315" i="98"/>
  <c r="V1314" i="98"/>
  <c r="T1314" i="98"/>
  <c r="U1314" i="98" s="1"/>
  <c r="S1314" i="98"/>
  <c r="R1314" i="98"/>
  <c r="V1313" i="98"/>
  <c r="T1313" i="98"/>
  <c r="U1313" i="98" s="1"/>
  <c r="S1313" i="98"/>
  <c r="R1313" i="98"/>
  <c r="V1312" i="98"/>
  <c r="T1312" i="98"/>
  <c r="U1312" i="98" s="1"/>
  <c r="S1312" i="98"/>
  <c r="R1312" i="98"/>
  <c r="V1311" i="98"/>
  <c r="T1311" i="98"/>
  <c r="U1311" i="98" s="1"/>
  <c r="S1311" i="98"/>
  <c r="R1311" i="98"/>
  <c r="V1310" i="98"/>
  <c r="T1310" i="98"/>
  <c r="U1310" i="98" s="1"/>
  <c r="S1310" i="98"/>
  <c r="R1310" i="98"/>
  <c r="V1309" i="98"/>
  <c r="T1309" i="98"/>
  <c r="U1309" i="98" s="1"/>
  <c r="S1309" i="98"/>
  <c r="R1309" i="98"/>
  <c r="V1308" i="98"/>
  <c r="T1308" i="98"/>
  <c r="U1308" i="98" s="1"/>
  <c r="S1308" i="98"/>
  <c r="R1308" i="98"/>
  <c r="V1307" i="98"/>
  <c r="T1307" i="98"/>
  <c r="U1307" i="98" s="1"/>
  <c r="S1307" i="98"/>
  <c r="R1307" i="98"/>
  <c r="V1306" i="98"/>
  <c r="T1306" i="98"/>
  <c r="U1306" i="98" s="1"/>
  <c r="S1306" i="98"/>
  <c r="R1306" i="98"/>
  <c r="V1305" i="98"/>
  <c r="T1305" i="98"/>
  <c r="U1305" i="98" s="1"/>
  <c r="S1305" i="98"/>
  <c r="R1305" i="98"/>
  <c r="V1304" i="98"/>
  <c r="T1304" i="98"/>
  <c r="U1304" i="98" s="1"/>
  <c r="S1304" i="98"/>
  <c r="R1304" i="98"/>
  <c r="V1303" i="98"/>
  <c r="T1303" i="98"/>
  <c r="U1303" i="98" s="1"/>
  <c r="S1303" i="98"/>
  <c r="R1303" i="98"/>
  <c r="V1302" i="98"/>
  <c r="T1302" i="98"/>
  <c r="U1302" i="98" s="1"/>
  <c r="S1302" i="98"/>
  <c r="R1302" i="98"/>
  <c r="V1301" i="98"/>
  <c r="T1301" i="98"/>
  <c r="U1301" i="98" s="1"/>
  <c r="S1301" i="98"/>
  <c r="R1301" i="98"/>
  <c r="V1300" i="98"/>
  <c r="T1300" i="98"/>
  <c r="U1300" i="98" s="1"/>
  <c r="S1300" i="98"/>
  <c r="R1300" i="98"/>
  <c r="V1299" i="98"/>
  <c r="T1299" i="98"/>
  <c r="U1299" i="98" s="1"/>
  <c r="S1299" i="98"/>
  <c r="R1299" i="98"/>
  <c r="V1298" i="98"/>
  <c r="T1298" i="98"/>
  <c r="U1298" i="98" s="1"/>
  <c r="S1298" i="98"/>
  <c r="R1298" i="98"/>
  <c r="V1297" i="98"/>
  <c r="T1297" i="98"/>
  <c r="U1297" i="98" s="1"/>
  <c r="S1297" i="98"/>
  <c r="R1297" i="98"/>
  <c r="V1296" i="98"/>
  <c r="T1296" i="98"/>
  <c r="U1296" i="98" s="1"/>
  <c r="S1296" i="98"/>
  <c r="R1296" i="98"/>
  <c r="V1295" i="98"/>
  <c r="T1295" i="98"/>
  <c r="U1295" i="98" s="1"/>
  <c r="S1295" i="98"/>
  <c r="R1295" i="98"/>
  <c r="V1294" i="98"/>
  <c r="T1294" i="98"/>
  <c r="U1294" i="98" s="1"/>
  <c r="S1294" i="98"/>
  <c r="R1294" i="98"/>
  <c r="V1293" i="98"/>
  <c r="T1293" i="98"/>
  <c r="U1293" i="98" s="1"/>
  <c r="S1293" i="98"/>
  <c r="R1293" i="98"/>
  <c r="V1292" i="98"/>
  <c r="T1292" i="98"/>
  <c r="U1292" i="98" s="1"/>
  <c r="S1292" i="98"/>
  <c r="R1292" i="98"/>
  <c r="V1291" i="98"/>
  <c r="T1291" i="98"/>
  <c r="U1291" i="98" s="1"/>
  <c r="S1291" i="98"/>
  <c r="R1291" i="98"/>
  <c r="V1290" i="98"/>
  <c r="T1290" i="98"/>
  <c r="U1290" i="98" s="1"/>
  <c r="S1290" i="98"/>
  <c r="R1290" i="98"/>
  <c r="V1289" i="98"/>
  <c r="T1289" i="98"/>
  <c r="U1289" i="98" s="1"/>
  <c r="S1289" i="98"/>
  <c r="R1289" i="98"/>
  <c r="V1288" i="98"/>
  <c r="T1288" i="98"/>
  <c r="U1288" i="98" s="1"/>
  <c r="S1288" i="98"/>
  <c r="R1288" i="98"/>
  <c r="V1287" i="98"/>
  <c r="T1287" i="98"/>
  <c r="U1287" i="98" s="1"/>
  <c r="S1287" i="98"/>
  <c r="R1287" i="98"/>
  <c r="V1286" i="98"/>
  <c r="T1286" i="98"/>
  <c r="U1286" i="98" s="1"/>
  <c r="S1286" i="98"/>
  <c r="R1286" i="98"/>
  <c r="V1285" i="98"/>
  <c r="T1285" i="98"/>
  <c r="U1285" i="98" s="1"/>
  <c r="S1285" i="98"/>
  <c r="R1285" i="98"/>
  <c r="V1284" i="98"/>
  <c r="T1284" i="98"/>
  <c r="U1284" i="98" s="1"/>
  <c r="S1284" i="98"/>
  <c r="R1284" i="98"/>
  <c r="V1283" i="98"/>
  <c r="T1283" i="98"/>
  <c r="U1283" i="98" s="1"/>
  <c r="S1283" i="98"/>
  <c r="R1283" i="98"/>
  <c r="V1282" i="98"/>
  <c r="T1282" i="98"/>
  <c r="U1282" i="98" s="1"/>
  <c r="S1282" i="98"/>
  <c r="R1282" i="98"/>
  <c r="V1281" i="98"/>
  <c r="T1281" i="98"/>
  <c r="U1281" i="98" s="1"/>
  <c r="S1281" i="98"/>
  <c r="R1281" i="98"/>
  <c r="V1280" i="98"/>
  <c r="T1280" i="98"/>
  <c r="U1280" i="98" s="1"/>
  <c r="S1280" i="98"/>
  <c r="R1280" i="98"/>
  <c r="V1279" i="98"/>
  <c r="T1279" i="98"/>
  <c r="U1279" i="98" s="1"/>
  <c r="S1279" i="98"/>
  <c r="R1279" i="98"/>
  <c r="V1278" i="98"/>
  <c r="T1278" i="98"/>
  <c r="U1278" i="98" s="1"/>
  <c r="S1278" i="98"/>
  <c r="R1278" i="98"/>
  <c r="V1277" i="98"/>
  <c r="T1277" i="98"/>
  <c r="U1277" i="98" s="1"/>
  <c r="S1277" i="98"/>
  <c r="R1277" i="98"/>
  <c r="V1276" i="98"/>
  <c r="T1276" i="98"/>
  <c r="U1276" i="98" s="1"/>
  <c r="S1276" i="98"/>
  <c r="R1276" i="98"/>
  <c r="V1275" i="98"/>
  <c r="T1275" i="98"/>
  <c r="U1275" i="98" s="1"/>
  <c r="S1275" i="98"/>
  <c r="R1275" i="98"/>
  <c r="V1274" i="98"/>
  <c r="T1274" i="98"/>
  <c r="U1274" i="98" s="1"/>
  <c r="S1274" i="98"/>
  <c r="R1274" i="98"/>
  <c r="V1273" i="98"/>
  <c r="T1273" i="98"/>
  <c r="U1273" i="98" s="1"/>
  <c r="S1273" i="98"/>
  <c r="R1273" i="98"/>
  <c r="V1272" i="98"/>
  <c r="T1272" i="98"/>
  <c r="U1272" i="98" s="1"/>
  <c r="S1272" i="98"/>
  <c r="R1272" i="98"/>
  <c r="V1271" i="98"/>
  <c r="T1271" i="98"/>
  <c r="U1271" i="98" s="1"/>
  <c r="S1271" i="98"/>
  <c r="R1271" i="98"/>
  <c r="V1270" i="98"/>
  <c r="T1270" i="98"/>
  <c r="U1270" i="98" s="1"/>
  <c r="S1270" i="98"/>
  <c r="R1270" i="98"/>
  <c r="V1269" i="98"/>
  <c r="T1269" i="98"/>
  <c r="U1269" i="98" s="1"/>
  <c r="S1269" i="98"/>
  <c r="R1269" i="98"/>
  <c r="V1268" i="98"/>
  <c r="T1268" i="98"/>
  <c r="U1268" i="98" s="1"/>
  <c r="S1268" i="98"/>
  <c r="R1268" i="98"/>
  <c r="V1267" i="98"/>
  <c r="T1267" i="98"/>
  <c r="U1267" i="98" s="1"/>
  <c r="S1267" i="98"/>
  <c r="R1267" i="98"/>
  <c r="V1266" i="98"/>
  <c r="T1266" i="98"/>
  <c r="U1266" i="98" s="1"/>
  <c r="S1266" i="98"/>
  <c r="R1266" i="98"/>
  <c r="V1265" i="98"/>
  <c r="T1265" i="98"/>
  <c r="U1265" i="98" s="1"/>
  <c r="S1265" i="98"/>
  <c r="R1265" i="98"/>
  <c r="V1264" i="98"/>
  <c r="T1264" i="98"/>
  <c r="U1264" i="98" s="1"/>
  <c r="S1264" i="98"/>
  <c r="R1264" i="98"/>
  <c r="V1263" i="98"/>
  <c r="T1263" i="98"/>
  <c r="U1263" i="98" s="1"/>
  <c r="S1263" i="98"/>
  <c r="R1263" i="98"/>
  <c r="V1262" i="98"/>
  <c r="T1262" i="98"/>
  <c r="U1262" i="98" s="1"/>
  <c r="S1262" i="98"/>
  <c r="R1262" i="98"/>
  <c r="V1261" i="98"/>
  <c r="T1261" i="98"/>
  <c r="U1261" i="98" s="1"/>
  <c r="S1261" i="98"/>
  <c r="R1261" i="98"/>
  <c r="V1260" i="98"/>
  <c r="T1260" i="98"/>
  <c r="U1260" i="98" s="1"/>
  <c r="S1260" i="98"/>
  <c r="R1260" i="98"/>
  <c r="V1259" i="98"/>
  <c r="T1259" i="98"/>
  <c r="U1259" i="98" s="1"/>
  <c r="S1259" i="98"/>
  <c r="R1259" i="98"/>
  <c r="V1258" i="98"/>
  <c r="T1258" i="98"/>
  <c r="U1258" i="98" s="1"/>
  <c r="S1258" i="98"/>
  <c r="R1258" i="98"/>
  <c r="V1257" i="98"/>
  <c r="T1257" i="98"/>
  <c r="U1257" i="98" s="1"/>
  <c r="S1257" i="98"/>
  <c r="R1257" i="98"/>
  <c r="V1256" i="98"/>
  <c r="T1256" i="98"/>
  <c r="U1256" i="98" s="1"/>
  <c r="S1256" i="98"/>
  <c r="R1256" i="98"/>
  <c r="V1255" i="98"/>
  <c r="T1255" i="98"/>
  <c r="U1255" i="98" s="1"/>
  <c r="S1255" i="98"/>
  <c r="R1255" i="98"/>
  <c r="V1254" i="98"/>
  <c r="T1254" i="98"/>
  <c r="U1254" i="98" s="1"/>
  <c r="S1254" i="98"/>
  <c r="R1254" i="98"/>
  <c r="V1253" i="98"/>
  <c r="T1253" i="98"/>
  <c r="U1253" i="98" s="1"/>
  <c r="S1253" i="98"/>
  <c r="R1253" i="98"/>
  <c r="V1252" i="98"/>
  <c r="T1252" i="98"/>
  <c r="U1252" i="98" s="1"/>
  <c r="S1252" i="98"/>
  <c r="R1252" i="98"/>
  <c r="V1251" i="98"/>
  <c r="T1251" i="98"/>
  <c r="U1251" i="98" s="1"/>
  <c r="S1251" i="98"/>
  <c r="R1251" i="98"/>
  <c r="V1250" i="98"/>
  <c r="T1250" i="98"/>
  <c r="U1250" i="98" s="1"/>
  <c r="S1250" i="98"/>
  <c r="R1250" i="98"/>
  <c r="V1249" i="98"/>
  <c r="T1249" i="98"/>
  <c r="U1249" i="98" s="1"/>
  <c r="S1249" i="98"/>
  <c r="R1249" i="98"/>
  <c r="V1248" i="98"/>
  <c r="T1248" i="98"/>
  <c r="U1248" i="98" s="1"/>
  <c r="S1248" i="98"/>
  <c r="R1248" i="98"/>
  <c r="V1247" i="98"/>
  <c r="T1247" i="98"/>
  <c r="U1247" i="98" s="1"/>
  <c r="S1247" i="98"/>
  <c r="R1247" i="98"/>
  <c r="V1246" i="98"/>
  <c r="T1246" i="98"/>
  <c r="U1246" i="98" s="1"/>
  <c r="S1246" i="98"/>
  <c r="R1246" i="98"/>
  <c r="V1245" i="98"/>
  <c r="T1245" i="98"/>
  <c r="U1245" i="98" s="1"/>
  <c r="S1245" i="98"/>
  <c r="R1245" i="98"/>
  <c r="V1244" i="98"/>
  <c r="T1244" i="98"/>
  <c r="U1244" i="98" s="1"/>
  <c r="S1244" i="98"/>
  <c r="R1244" i="98"/>
  <c r="V1243" i="98"/>
  <c r="T1243" i="98"/>
  <c r="U1243" i="98" s="1"/>
  <c r="S1243" i="98"/>
  <c r="R1243" i="98"/>
  <c r="V1242" i="98"/>
  <c r="T1242" i="98"/>
  <c r="U1242" i="98" s="1"/>
  <c r="S1242" i="98"/>
  <c r="R1242" i="98"/>
  <c r="V1241" i="98"/>
  <c r="T1241" i="98"/>
  <c r="U1241" i="98" s="1"/>
  <c r="S1241" i="98"/>
  <c r="R1241" i="98"/>
  <c r="V1240" i="98"/>
  <c r="T1240" i="98"/>
  <c r="U1240" i="98" s="1"/>
  <c r="S1240" i="98"/>
  <c r="R1240" i="98"/>
  <c r="V1239" i="98"/>
  <c r="T1239" i="98"/>
  <c r="U1239" i="98" s="1"/>
  <c r="S1239" i="98"/>
  <c r="R1239" i="98"/>
  <c r="V1238" i="98"/>
  <c r="T1238" i="98"/>
  <c r="U1238" i="98" s="1"/>
  <c r="S1238" i="98"/>
  <c r="R1238" i="98"/>
  <c r="V1237" i="98"/>
  <c r="T1237" i="98"/>
  <c r="U1237" i="98" s="1"/>
  <c r="S1237" i="98"/>
  <c r="R1237" i="98"/>
  <c r="V1236" i="98"/>
  <c r="T1236" i="98"/>
  <c r="U1236" i="98" s="1"/>
  <c r="S1236" i="98"/>
  <c r="R1236" i="98"/>
  <c r="V1235" i="98"/>
  <c r="T1235" i="98"/>
  <c r="U1235" i="98" s="1"/>
  <c r="S1235" i="98"/>
  <c r="R1235" i="98"/>
  <c r="V1234" i="98"/>
  <c r="T1234" i="98"/>
  <c r="U1234" i="98" s="1"/>
  <c r="S1234" i="98"/>
  <c r="R1234" i="98"/>
  <c r="V1233" i="98"/>
  <c r="T1233" i="98"/>
  <c r="U1233" i="98" s="1"/>
  <c r="S1233" i="98"/>
  <c r="R1233" i="98"/>
  <c r="V1232" i="98"/>
  <c r="T1232" i="98"/>
  <c r="U1232" i="98" s="1"/>
  <c r="S1232" i="98"/>
  <c r="R1232" i="98"/>
  <c r="V1231" i="98"/>
  <c r="T1231" i="98"/>
  <c r="U1231" i="98" s="1"/>
  <c r="S1231" i="98"/>
  <c r="R1231" i="98"/>
  <c r="V1230" i="98"/>
  <c r="T1230" i="98"/>
  <c r="U1230" i="98" s="1"/>
  <c r="S1230" i="98"/>
  <c r="R1230" i="98"/>
  <c r="V1229" i="98"/>
  <c r="T1229" i="98"/>
  <c r="U1229" i="98" s="1"/>
  <c r="S1229" i="98"/>
  <c r="R1229" i="98"/>
  <c r="V1228" i="98"/>
  <c r="T1228" i="98"/>
  <c r="U1228" i="98" s="1"/>
  <c r="S1228" i="98"/>
  <c r="R1228" i="98"/>
  <c r="V1227" i="98"/>
  <c r="T1227" i="98"/>
  <c r="U1227" i="98" s="1"/>
  <c r="S1227" i="98"/>
  <c r="R1227" i="98"/>
  <c r="V1226" i="98"/>
  <c r="T1226" i="98"/>
  <c r="U1226" i="98" s="1"/>
  <c r="S1226" i="98"/>
  <c r="R1226" i="98"/>
  <c r="V1225" i="98"/>
  <c r="T1225" i="98"/>
  <c r="U1225" i="98" s="1"/>
  <c r="S1225" i="98"/>
  <c r="R1225" i="98"/>
  <c r="V1224" i="98"/>
  <c r="T1224" i="98"/>
  <c r="U1224" i="98" s="1"/>
  <c r="S1224" i="98"/>
  <c r="R1224" i="98"/>
  <c r="V1223" i="98"/>
  <c r="T1223" i="98"/>
  <c r="U1223" i="98" s="1"/>
  <c r="S1223" i="98"/>
  <c r="R1223" i="98"/>
  <c r="V1222" i="98"/>
  <c r="T1222" i="98"/>
  <c r="U1222" i="98" s="1"/>
  <c r="S1222" i="98"/>
  <c r="R1222" i="98"/>
  <c r="V1221" i="98"/>
  <c r="T1221" i="98"/>
  <c r="U1221" i="98" s="1"/>
  <c r="S1221" i="98"/>
  <c r="R1221" i="98"/>
  <c r="V1220" i="98"/>
  <c r="T1220" i="98"/>
  <c r="U1220" i="98" s="1"/>
  <c r="S1220" i="98"/>
  <c r="R1220" i="98"/>
  <c r="V1219" i="98"/>
  <c r="T1219" i="98"/>
  <c r="U1219" i="98" s="1"/>
  <c r="S1219" i="98"/>
  <c r="R1219" i="98"/>
  <c r="V1218" i="98"/>
  <c r="T1218" i="98"/>
  <c r="U1218" i="98" s="1"/>
  <c r="S1218" i="98"/>
  <c r="R1218" i="98"/>
  <c r="V1217" i="98"/>
  <c r="T1217" i="98"/>
  <c r="U1217" i="98" s="1"/>
  <c r="S1217" i="98"/>
  <c r="R1217" i="98"/>
  <c r="V1216" i="98"/>
  <c r="T1216" i="98"/>
  <c r="U1216" i="98" s="1"/>
  <c r="S1216" i="98"/>
  <c r="R1216" i="98"/>
  <c r="V1215" i="98"/>
  <c r="T1215" i="98"/>
  <c r="U1215" i="98" s="1"/>
  <c r="S1215" i="98"/>
  <c r="R1215" i="98"/>
  <c r="V1214" i="98"/>
  <c r="T1214" i="98"/>
  <c r="U1214" i="98" s="1"/>
  <c r="S1214" i="98"/>
  <c r="R1214" i="98"/>
  <c r="V1213" i="98"/>
  <c r="T1213" i="98"/>
  <c r="U1213" i="98" s="1"/>
  <c r="S1213" i="98"/>
  <c r="R1213" i="98"/>
  <c r="V1212" i="98"/>
  <c r="T1212" i="98"/>
  <c r="U1212" i="98" s="1"/>
  <c r="S1212" i="98"/>
  <c r="R1212" i="98"/>
  <c r="V1211" i="98"/>
  <c r="T1211" i="98"/>
  <c r="U1211" i="98" s="1"/>
  <c r="S1211" i="98"/>
  <c r="R1211" i="98"/>
  <c r="V1210" i="98"/>
  <c r="T1210" i="98"/>
  <c r="U1210" i="98" s="1"/>
  <c r="S1210" i="98"/>
  <c r="R1210" i="98"/>
  <c r="V1209" i="98"/>
  <c r="T1209" i="98"/>
  <c r="U1209" i="98" s="1"/>
  <c r="S1209" i="98"/>
  <c r="R1209" i="98"/>
  <c r="V1208" i="98"/>
  <c r="T1208" i="98"/>
  <c r="U1208" i="98" s="1"/>
  <c r="S1208" i="98"/>
  <c r="R1208" i="98"/>
  <c r="V1207" i="98"/>
  <c r="T1207" i="98"/>
  <c r="U1207" i="98" s="1"/>
  <c r="S1207" i="98"/>
  <c r="R1207" i="98"/>
  <c r="V1206" i="98"/>
  <c r="T1206" i="98"/>
  <c r="U1206" i="98" s="1"/>
  <c r="S1206" i="98"/>
  <c r="R1206" i="98"/>
  <c r="V1205" i="98"/>
  <c r="T1205" i="98"/>
  <c r="U1205" i="98" s="1"/>
  <c r="S1205" i="98"/>
  <c r="R1205" i="98"/>
  <c r="V1204" i="98"/>
  <c r="T1204" i="98"/>
  <c r="U1204" i="98" s="1"/>
  <c r="S1204" i="98"/>
  <c r="R1204" i="98"/>
  <c r="V1203" i="98"/>
  <c r="T1203" i="98"/>
  <c r="U1203" i="98" s="1"/>
  <c r="S1203" i="98"/>
  <c r="R1203" i="98"/>
  <c r="V1202" i="98"/>
  <c r="T1202" i="98"/>
  <c r="U1202" i="98" s="1"/>
  <c r="S1202" i="98"/>
  <c r="R1202" i="98"/>
  <c r="V1201" i="98"/>
  <c r="T1201" i="98"/>
  <c r="U1201" i="98" s="1"/>
  <c r="S1201" i="98"/>
  <c r="R1201" i="98"/>
  <c r="V1200" i="98"/>
  <c r="T1200" i="98"/>
  <c r="U1200" i="98" s="1"/>
  <c r="S1200" i="98"/>
  <c r="R1200" i="98"/>
  <c r="V1199" i="98"/>
  <c r="T1199" i="98"/>
  <c r="U1199" i="98" s="1"/>
  <c r="S1199" i="98"/>
  <c r="R1199" i="98"/>
  <c r="V1198" i="98"/>
  <c r="T1198" i="98"/>
  <c r="U1198" i="98" s="1"/>
  <c r="S1198" i="98"/>
  <c r="R1198" i="98"/>
  <c r="V1197" i="98"/>
  <c r="T1197" i="98"/>
  <c r="U1197" i="98" s="1"/>
  <c r="S1197" i="98"/>
  <c r="R1197" i="98"/>
  <c r="V1196" i="98"/>
  <c r="T1196" i="98"/>
  <c r="U1196" i="98" s="1"/>
  <c r="S1196" i="98"/>
  <c r="R1196" i="98"/>
  <c r="V1195" i="98"/>
  <c r="T1195" i="98"/>
  <c r="U1195" i="98" s="1"/>
  <c r="S1195" i="98"/>
  <c r="R1195" i="98"/>
  <c r="V1194" i="98"/>
  <c r="T1194" i="98"/>
  <c r="U1194" i="98" s="1"/>
  <c r="S1194" i="98"/>
  <c r="R1194" i="98"/>
  <c r="V1193" i="98"/>
  <c r="T1193" i="98"/>
  <c r="U1193" i="98" s="1"/>
  <c r="S1193" i="98"/>
  <c r="R1193" i="98"/>
  <c r="V1192" i="98"/>
  <c r="T1192" i="98"/>
  <c r="U1192" i="98" s="1"/>
  <c r="S1192" i="98"/>
  <c r="R1192" i="98"/>
  <c r="V1191" i="98"/>
  <c r="T1191" i="98"/>
  <c r="U1191" i="98" s="1"/>
  <c r="S1191" i="98"/>
  <c r="R1191" i="98"/>
  <c r="V1190" i="98"/>
  <c r="T1190" i="98"/>
  <c r="U1190" i="98" s="1"/>
  <c r="S1190" i="98"/>
  <c r="R1190" i="98"/>
  <c r="V1189" i="98"/>
  <c r="T1189" i="98"/>
  <c r="U1189" i="98" s="1"/>
  <c r="S1189" i="98"/>
  <c r="R1189" i="98"/>
  <c r="V1188" i="98"/>
  <c r="T1188" i="98"/>
  <c r="U1188" i="98" s="1"/>
  <c r="S1188" i="98"/>
  <c r="R1188" i="98"/>
  <c r="V1187" i="98"/>
  <c r="T1187" i="98"/>
  <c r="U1187" i="98" s="1"/>
  <c r="S1187" i="98"/>
  <c r="R1187" i="98"/>
  <c r="V1186" i="98"/>
  <c r="T1186" i="98"/>
  <c r="U1186" i="98" s="1"/>
  <c r="S1186" i="98"/>
  <c r="R1186" i="98"/>
  <c r="V1185" i="98"/>
  <c r="T1185" i="98"/>
  <c r="U1185" i="98" s="1"/>
  <c r="S1185" i="98"/>
  <c r="R1185" i="98"/>
  <c r="V1184" i="98"/>
  <c r="T1184" i="98"/>
  <c r="U1184" i="98" s="1"/>
  <c r="S1184" i="98"/>
  <c r="R1184" i="98"/>
  <c r="V1183" i="98"/>
  <c r="T1183" i="98"/>
  <c r="U1183" i="98" s="1"/>
  <c r="S1183" i="98"/>
  <c r="R1183" i="98"/>
  <c r="V1182" i="98"/>
  <c r="T1182" i="98"/>
  <c r="U1182" i="98" s="1"/>
  <c r="S1182" i="98"/>
  <c r="R1182" i="98"/>
  <c r="V1181" i="98"/>
  <c r="T1181" i="98"/>
  <c r="U1181" i="98" s="1"/>
  <c r="S1181" i="98"/>
  <c r="R1181" i="98"/>
  <c r="V1180" i="98"/>
  <c r="T1180" i="98"/>
  <c r="U1180" i="98" s="1"/>
  <c r="S1180" i="98"/>
  <c r="R1180" i="98"/>
  <c r="V1179" i="98"/>
  <c r="T1179" i="98"/>
  <c r="U1179" i="98" s="1"/>
  <c r="S1179" i="98"/>
  <c r="R1179" i="98"/>
  <c r="V1178" i="98"/>
  <c r="T1178" i="98"/>
  <c r="U1178" i="98" s="1"/>
  <c r="S1178" i="98"/>
  <c r="R1178" i="98"/>
  <c r="V1177" i="98"/>
  <c r="T1177" i="98"/>
  <c r="U1177" i="98" s="1"/>
  <c r="S1177" i="98"/>
  <c r="R1177" i="98"/>
  <c r="V1176" i="98"/>
  <c r="T1176" i="98"/>
  <c r="U1176" i="98" s="1"/>
  <c r="S1176" i="98"/>
  <c r="R1176" i="98"/>
  <c r="V1175" i="98"/>
  <c r="T1175" i="98"/>
  <c r="U1175" i="98" s="1"/>
  <c r="S1175" i="98"/>
  <c r="R1175" i="98"/>
  <c r="V1174" i="98"/>
  <c r="T1174" i="98"/>
  <c r="U1174" i="98" s="1"/>
  <c r="S1174" i="98"/>
  <c r="R1174" i="98"/>
  <c r="V1173" i="98"/>
  <c r="T1173" i="98"/>
  <c r="U1173" i="98" s="1"/>
  <c r="S1173" i="98"/>
  <c r="R1173" i="98"/>
  <c r="V1172" i="98"/>
  <c r="T1172" i="98"/>
  <c r="U1172" i="98" s="1"/>
  <c r="S1172" i="98"/>
  <c r="R1172" i="98"/>
  <c r="V1171" i="98"/>
  <c r="T1171" i="98"/>
  <c r="U1171" i="98" s="1"/>
  <c r="S1171" i="98"/>
  <c r="R1171" i="98"/>
  <c r="V1170" i="98"/>
  <c r="T1170" i="98"/>
  <c r="U1170" i="98" s="1"/>
  <c r="S1170" i="98"/>
  <c r="R1170" i="98"/>
  <c r="V1169" i="98"/>
  <c r="T1169" i="98"/>
  <c r="U1169" i="98" s="1"/>
  <c r="S1169" i="98"/>
  <c r="R1169" i="98"/>
  <c r="V1168" i="98"/>
  <c r="T1168" i="98"/>
  <c r="U1168" i="98" s="1"/>
  <c r="S1168" i="98"/>
  <c r="R1168" i="98"/>
  <c r="V1167" i="98"/>
  <c r="T1167" i="98"/>
  <c r="U1167" i="98" s="1"/>
  <c r="S1167" i="98"/>
  <c r="R1167" i="98"/>
  <c r="V1166" i="98"/>
  <c r="T1166" i="98"/>
  <c r="U1166" i="98" s="1"/>
  <c r="S1166" i="98"/>
  <c r="R1166" i="98"/>
  <c r="V1165" i="98"/>
  <c r="T1165" i="98"/>
  <c r="U1165" i="98" s="1"/>
  <c r="S1165" i="98"/>
  <c r="R1165" i="98"/>
  <c r="V1164" i="98"/>
  <c r="T1164" i="98"/>
  <c r="U1164" i="98" s="1"/>
  <c r="S1164" i="98"/>
  <c r="R1164" i="98"/>
  <c r="V1163" i="98"/>
  <c r="T1163" i="98"/>
  <c r="U1163" i="98" s="1"/>
  <c r="S1163" i="98"/>
  <c r="R1163" i="98"/>
  <c r="V1162" i="98"/>
  <c r="T1162" i="98"/>
  <c r="U1162" i="98" s="1"/>
  <c r="S1162" i="98"/>
  <c r="R1162" i="98"/>
  <c r="V1161" i="98"/>
  <c r="T1161" i="98"/>
  <c r="U1161" i="98" s="1"/>
  <c r="S1161" i="98"/>
  <c r="R1161" i="98"/>
  <c r="V1160" i="98"/>
  <c r="T1160" i="98"/>
  <c r="U1160" i="98" s="1"/>
  <c r="S1160" i="98"/>
  <c r="R1160" i="98"/>
  <c r="V1159" i="98"/>
  <c r="T1159" i="98"/>
  <c r="U1159" i="98" s="1"/>
  <c r="S1159" i="98"/>
  <c r="R1159" i="98"/>
  <c r="V1158" i="98"/>
  <c r="T1158" i="98"/>
  <c r="U1158" i="98" s="1"/>
  <c r="S1158" i="98"/>
  <c r="R1158" i="98"/>
  <c r="V1157" i="98"/>
  <c r="T1157" i="98"/>
  <c r="U1157" i="98" s="1"/>
  <c r="S1157" i="98"/>
  <c r="R1157" i="98"/>
  <c r="V1156" i="98"/>
  <c r="T1156" i="98"/>
  <c r="U1156" i="98" s="1"/>
  <c r="S1156" i="98"/>
  <c r="R1156" i="98"/>
  <c r="V1155" i="98"/>
  <c r="T1155" i="98"/>
  <c r="U1155" i="98" s="1"/>
  <c r="S1155" i="98"/>
  <c r="R1155" i="98"/>
  <c r="V1154" i="98"/>
  <c r="T1154" i="98"/>
  <c r="U1154" i="98" s="1"/>
  <c r="S1154" i="98"/>
  <c r="R1154" i="98"/>
  <c r="V1153" i="98"/>
  <c r="T1153" i="98"/>
  <c r="U1153" i="98" s="1"/>
  <c r="S1153" i="98"/>
  <c r="R1153" i="98"/>
  <c r="V1152" i="98"/>
  <c r="T1152" i="98"/>
  <c r="U1152" i="98" s="1"/>
  <c r="S1152" i="98"/>
  <c r="R1152" i="98"/>
  <c r="V1151" i="98"/>
  <c r="T1151" i="98"/>
  <c r="U1151" i="98" s="1"/>
  <c r="S1151" i="98"/>
  <c r="R1151" i="98"/>
  <c r="V1150" i="98"/>
  <c r="T1150" i="98"/>
  <c r="U1150" i="98" s="1"/>
  <c r="S1150" i="98"/>
  <c r="R1150" i="98"/>
  <c r="V1149" i="98"/>
  <c r="T1149" i="98"/>
  <c r="U1149" i="98" s="1"/>
  <c r="S1149" i="98"/>
  <c r="R1149" i="98"/>
  <c r="V1148" i="98"/>
  <c r="T1148" i="98"/>
  <c r="U1148" i="98" s="1"/>
  <c r="S1148" i="98"/>
  <c r="R1148" i="98"/>
  <c r="V1147" i="98"/>
  <c r="T1147" i="98"/>
  <c r="U1147" i="98" s="1"/>
  <c r="S1147" i="98"/>
  <c r="R1147" i="98"/>
  <c r="V1146" i="98"/>
  <c r="T1146" i="98"/>
  <c r="U1146" i="98" s="1"/>
  <c r="S1146" i="98"/>
  <c r="R1146" i="98"/>
  <c r="V1145" i="98"/>
  <c r="T1145" i="98"/>
  <c r="U1145" i="98" s="1"/>
  <c r="S1145" i="98"/>
  <c r="R1145" i="98"/>
  <c r="V1144" i="98"/>
  <c r="T1144" i="98"/>
  <c r="U1144" i="98" s="1"/>
  <c r="S1144" i="98"/>
  <c r="R1144" i="98"/>
  <c r="V1143" i="98"/>
  <c r="T1143" i="98"/>
  <c r="U1143" i="98" s="1"/>
  <c r="S1143" i="98"/>
  <c r="R1143" i="98"/>
  <c r="V1142" i="98"/>
  <c r="T1142" i="98"/>
  <c r="U1142" i="98" s="1"/>
  <c r="S1142" i="98"/>
  <c r="R1142" i="98"/>
  <c r="V1141" i="98"/>
  <c r="T1141" i="98"/>
  <c r="U1141" i="98" s="1"/>
  <c r="S1141" i="98"/>
  <c r="R1141" i="98"/>
  <c r="V1140" i="98"/>
  <c r="T1140" i="98"/>
  <c r="U1140" i="98" s="1"/>
  <c r="S1140" i="98"/>
  <c r="R1140" i="98"/>
  <c r="V1139" i="98"/>
  <c r="T1139" i="98"/>
  <c r="U1139" i="98" s="1"/>
  <c r="S1139" i="98"/>
  <c r="R1139" i="98"/>
  <c r="V1138" i="98"/>
  <c r="T1138" i="98"/>
  <c r="U1138" i="98" s="1"/>
  <c r="S1138" i="98"/>
  <c r="R1138" i="98"/>
  <c r="V1137" i="98"/>
  <c r="T1137" i="98"/>
  <c r="U1137" i="98" s="1"/>
  <c r="S1137" i="98"/>
  <c r="R1137" i="98"/>
  <c r="V1136" i="98"/>
  <c r="T1136" i="98"/>
  <c r="U1136" i="98" s="1"/>
  <c r="S1136" i="98"/>
  <c r="R1136" i="98"/>
  <c r="V1135" i="98"/>
  <c r="T1135" i="98"/>
  <c r="U1135" i="98" s="1"/>
  <c r="S1135" i="98"/>
  <c r="R1135" i="98"/>
  <c r="V1134" i="98"/>
  <c r="T1134" i="98"/>
  <c r="U1134" i="98" s="1"/>
  <c r="S1134" i="98"/>
  <c r="R1134" i="98"/>
  <c r="V1133" i="98"/>
  <c r="T1133" i="98"/>
  <c r="U1133" i="98" s="1"/>
  <c r="S1133" i="98"/>
  <c r="R1133" i="98"/>
  <c r="V1132" i="98"/>
  <c r="T1132" i="98"/>
  <c r="U1132" i="98" s="1"/>
  <c r="S1132" i="98"/>
  <c r="R1132" i="98"/>
  <c r="V1131" i="98"/>
  <c r="T1131" i="98"/>
  <c r="U1131" i="98" s="1"/>
  <c r="S1131" i="98"/>
  <c r="R1131" i="98"/>
  <c r="V1130" i="98"/>
  <c r="T1130" i="98"/>
  <c r="U1130" i="98" s="1"/>
  <c r="S1130" i="98"/>
  <c r="R1130" i="98"/>
  <c r="V1129" i="98"/>
  <c r="T1129" i="98"/>
  <c r="U1129" i="98" s="1"/>
  <c r="S1129" i="98"/>
  <c r="R1129" i="98"/>
  <c r="V1128" i="98"/>
  <c r="T1128" i="98"/>
  <c r="U1128" i="98" s="1"/>
  <c r="S1128" i="98"/>
  <c r="R1128" i="98"/>
  <c r="V1127" i="98"/>
  <c r="T1127" i="98"/>
  <c r="U1127" i="98" s="1"/>
  <c r="S1127" i="98"/>
  <c r="R1127" i="98"/>
  <c r="V1126" i="98"/>
  <c r="T1126" i="98"/>
  <c r="U1126" i="98" s="1"/>
  <c r="S1126" i="98"/>
  <c r="R1126" i="98"/>
  <c r="V1125" i="98"/>
  <c r="T1125" i="98"/>
  <c r="U1125" i="98" s="1"/>
  <c r="S1125" i="98"/>
  <c r="R1125" i="98"/>
  <c r="V1124" i="98"/>
  <c r="T1124" i="98"/>
  <c r="U1124" i="98" s="1"/>
  <c r="S1124" i="98"/>
  <c r="R1124" i="98"/>
  <c r="V1123" i="98"/>
  <c r="T1123" i="98"/>
  <c r="U1123" i="98" s="1"/>
  <c r="S1123" i="98"/>
  <c r="R1123" i="98"/>
  <c r="V1122" i="98"/>
  <c r="T1122" i="98"/>
  <c r="U1122" i="98" s="1"/>
  <c r="S1122" i="98"/>
  <c r="R1122" i="98"/>
  <c r="V1121" i="98"/>
  <c r="T1121" i="98"/>
  <c r="U1121" i="98" s="1"/>
  <c r="S1121" i="98"/>
  <c r="R1121" i="98"/>
  <c r="V1120" i="98"/>
  <c r="T1120" i="98"/>
  <c r="U1120" i="98" s="1"/>
  <c r="S1120" i="98"/>
  <c r="R1120" i="98"/>
  <c r="V1119" i="98"/>
  <c r="T1119" i="98"/>
  <c r="U1119" i="98" s="1"/>
  <c r="S1119" i="98"/>
  <c r="R1119" i="98"/>
  <c r="V1118" i="98"/>
  <c r="T1118" i="98"/>
  <c r="U1118" i="98" s="1"/>
  <c r="S1118" i="98"/>
  <c r="R1118" i="98"/>
  <c r="V1117" i="98"/>
  <c r="T1117" i="98"/>
  <c r="U1117" i="98" s="1"/>
  <c r="S1117" i="98"/>
  <c r="R1117" i="98"/>
  <c r="V1116" i="98"/>
  <c r="T1116" i="98"/>
  <c r="U1116" i="98" s="1"/>
  <c r="S1116" i="98"/>
  <c r="R1116" i="98"/>
  <c r="V1115" i="98"/>
  <c r="T1115" i="98"/>
  <c r="U1115" i="98" s="1"/>
  <c r="S1115" i="98"/>
  <c r="R1115" i="98"/>
  <c r="V1114" i="98"/>
  <c r="T1114" i="98"/>
  <c r="U1114" i="98" s="1"/>
  <c r="S1114" i="98"/>
  <c r="R1114" i="98"/>
  <c r="V1113" i="98"/>
  <c r="T1113" i="98"/>
  <c r="U1113" i="98" s="1"/>
  <c r="S1113" i="98"/>
  <c r="R1113" i="98"/>
  <c r="V1112" i="98"/>
  <c r="T1112" i="98"/>
  <c r="U1112" i="98" s="1"/>
  <c r="S1112" i="98"/>
  <c r="R1112" i="98"/>
  <c r="V1111" i="98"/>
  <c r="T1111" i="98"/>
  <c r="U1111" i="98" s="1"/>
  <c r="S1111" i="98"/>
  <c r="R1111" i="98"/>
  <c r="V1110" i="98"/>
  <c r="T1110" i="98"/>
  <c r="U1110" i="98" s="1"/>
  <c r="S1110" i="98"/>
  <c r="R1110" i="98"/>
  <c r="V1109" i="98"/>
  <c r="T1109" i="98"/>
  <c r="U1109" i="98" s="1"/>
  <c r="S1109" i="98"/>
  <c r="R1109" i="98"/>
  <c r="V1108" i="98"/>
  <c r="T1108" i="98"/>
  <c r="U1108" i="98" s="1"/>
  <c r="S1108" i="98"/>
  <c r="R1108" i="98"/>
  <c r="V1107" i="98"/>
  <c r="T1107" i="98"/>
  <c r="U1107" i="98" s="1"/>
  <c r="S1107" i="98"/>
  <c r="R1107" i="98"/>
  <c r="V1106" i="98"/>
  <c r="T1106" i="98"/>
  <c r="U1106" i="98" s="1"/>
  <c r="S1106" i="98"/>
  <c r="R1106" i="98"/>
  <c r="V1105" i="98"/>
  <c r="T1105" i="98"/>
  <c r="U1105" i="98" s="1"/>
  <c r="S1105" i="98"/>
  <c r="R1105" i="98"/>
  <c r="V1104" i="98"/>
  <c r="T1104" i="98"/>
  <c r="U1104" i="98" s="1"/>
  <c r="S1104" i="98"/>
  <c r="R1104" i="98"/>
  <c r="V1103" i="98"/>
  <c r="T1103" i="98"/>
  <c r="U1103" i="98" s="1"/>
  <c r="S1103" i="98"/>
  <c r="R1103" i="98"/>
  <c r="V1102" i="98"/>
  <c r="T1102" i="98"/>
  <c r="U1102" i="98" s="1"/>
  <c r="S1102" i="98"/>
  <c r="R1102" i="98"/>
  <c r="V1101" i="98"/>
  <c r="T1101" i="98"/>
  <c r="U1101" i="98" s="1"/>
  <c r="S1101" i="98"/>
  <c r="R1101" i="98"/>
  <c r="V1100" i="98"/>
  <c r="T1100" i="98"/>
  <c r="U1100" i="98" s="1"/>
  <c r="S1100" i="98"/>
  <c r="R1100" i="98"/>
  <c r="V1099" i="98"/>
  <c r="T1099" i="98"/>
  <c r="U1099" i="98" s="1"/>
  <c r="S1099" i="98"/>
  <c r="R1099" i="98"/>
  <c r="V1098" i="98"/>
  <c r="T1098" i="98"/>
  <c r="U1098" i="98" s="1"/>
  <c r="S1098" i="98"/>
  <c r="R1098" i="98"/>
  <c r="V1097" i="98"/>
  <c r="T1097" i="98"/>
  <c r="U1097" i="98" s="1"/>
  <c r="S1097" i="98"/>
  <c r="R1097" i="98"/>
  <c r="V1096" i="98"/>
  <c r="T1096" i="98"/>
  <c r="U1096" i="98" s="1"/>
  <c r="S1096" i="98"/>
  <c r="R1096" i="98"/>
  <c r="V1095" i="98"/>
  <c r="T1095" i="98"/>
  <c r="U1095" i="98" s="1"/>
  <c r="S1095" i="98"/>
  <c r="R1095" i="98"/>
  <c r="V1094" i="98"/>
  <c r="T1094" i="98"/>
  <c r="U1094" i="98" s="1"/>
  <c r="S1094" i="98"/>
  <c r="R1094" i="98"/>
  <c r="V1093" i="98"/>
  <c r="T1093" i="98"/>
  <c r="U1093" i="98" s="1"/>
  <c r="S1093" i="98"/>
  <c r="R1093" i="98"/>
  <c r="V1092" i="98"/>
  <c r="T1092" i="98"/>
  <c r="U1092" i="98" s="1"/>
  <c r="S1092" i="98"/>
  <c r="R1092" i="98"/>
  <c r="V1091" i="98"/>
  <c r="T1091" i="98"/>
  <c r="U1091" i="98" s="1"/>
  <c r="S1091" i="98"/>
  <c r="R1091" i="98"/>
  <c r="V1090" i="98"/>
  <c r="T1090" i="98"/>
  <c r="U1090" i="98" s="1"/>
  <c r="S1090" i="98"/>
  <c r="R1090" i="98"/>
  <c r="V1089" i="98"/>
  <c r="T1089" i="98"/>
  <c r="U1089" i="98" s="1"/>
  <c r="S1089" i="98"/>
  <c r="R1089" i="98"/>
  <c r="V1088" i="98"/>
  <c r="T1088" i="98"/>
  <c r="U1088" i="98" s="1"/>
  <c r="S1088" i="98"/>
  <c r="R1088" i="98"/>
  <c r="V1087" i="98"/>
  <c r="T1087" i="98"/>
  <c r="U1087" i="98" s="1"/>
  <c r="S1087" i="98"/>
  <c r="R1087" i="98"/>
  <c r="V1086" i="98"/>
  <c r="T1086" i="98"/>
  <c r="U1086" i="98" s="1"/>
  <c r="S1086" i="98"/>
  <c r="R1086" i="98"/>
  <c r="V1085" i="98"/>
  <c r="T1085" i="98"/>
  <c r="U1085" i="98" s="1"/>
  <c r="S1085" i="98"/>
  <c r="R1085" i="98"/>
  <c r="V1084" i="98"/>
  <c r="T1084" i="98"/>
  <c r="U1084" i="98" s="1"/>
  <c r="S1084" i="98"/>
  <c r="R1084" i="98"/>
  <c r="V1083" i="98"/>
  <c r="T1083" i="98"/>
  <c r="U1083" i="98" s="1"/>
  <c r="S1083" i="98"/>
  <c r="R1083" i="98"/>
  <c r="V1082" i="98"/>
  <c r="T1082" i="98"/>
  <c r="U1082" i="98" s="1"/>
  <c r="S1082" i="98"/>
  <c r="R1082" i="98"/>
  <c r="V1081" i="98"/>
  <c r="T1081" i="98"/>
  <c r="U1081" i="98" s="1"/>
  <c r="S1081" i="98"/>
  <c r="R1081" i="98"/>
  <c r="V1080" i="98"/>
  <c r="T1080" i="98"/>
  <c r="U1080" i="98" s="1"/>
  <c r="S1080" i="98"/>
  <c r="R1080" i="98"/>
  <c r="V1079" i="98"/>
  <c r="T1079" i="98"/>
  <c r="U1079" i="98" s="1"/>
  <c r="S1079" i="98"/>
  <c r="R1079" i="98"/>
  <c r="V1078" i="98"/>
  <c r="T1078" i="98"/>
  <c r="U1078" i="98" s="1"/>
  <c r="S1078" i="98"/>
  <c r="R1078" i="98"/>
  <c r="V1077" i="98"/>
  <c r="T1077" i="98"/>
  <c r="U1077" i="98" s="1"/>
  <c r="S1077" i="98"/>
  <c r="R1077" i="98"/>
  <c r="V1076" i="98"/>
  <c r="T1076" i="98"/>
  <c r="U1076" i="98" s="1"/>
  <c r="S1076" i="98"/>
  <c r="R1076" i="98"/>
  <c r="V1075" i="98"/>
  <c r="T1075" i="98"/>
  <c r="U1075" i="98" s="1"/>
  <c r="S1075" i="98"/>
  <c r="R1075" i="98"/>
  <c r="V1074" i="98"/>
  <c r="T1074" i="98"/>
  <c r="U1074" i="98" s="1"/>
  <c r="S1074" i="98"/>
  <c r="R1074" i="98"/>
  <c r="V1073" i="98"/>
  <c r="T1073" i="98"/>
  <c r="U1073" i="98" s="1"/>
  <c r="S1073" i="98"/>
  <c r="R1073" i="98"/>
  <c r="V1072" i="98"/>
  <c r="T1072" i="98"/>
  <c r="U1072" i="98" s="1"/>
  <c r="S1072" i="98"/>
  <c r="R1072" i="98"/>
  <c r="V1071" i="98"/>
  <c r="T1071" i="98"/>
  <c r="U1071" i="98" s="1"/>
  <c r="S1071" i="98"/>
  <c r="R1071" i="98"/>
  <c r="V1070" i="98"/>
  <c r="T1070" i="98"/>
  <c r="U1070" i="98" s="1"/>
  <c r="S1070" i="98"/>
  <c r="R1070" i="98"/>
  <c r="V1069" i="98"/>
  <c r="T1069" i="98"/>
  <c r="U1069" i="98" s="1"/>
  <c r="S1069" i="98"/>
  <c r="R1069" i="98"/>
  <c r="V1068" i="98"/>
  <c r="T1068" i="98"/>
  <c r="U1068" i="98" s="1"/>
  <c r="S1068" i="98"/>
  <c r="R1068" i="98"/>
  <c r="V1067" i="98"/>
  <c r="T1067" i="98"/>
  <c r="U1067" i="98" s="1"/>
  <c r="S1067" i="98"/>
  <c r="R1067" i="98"/>
  <c r="V1066" i="98"/>
  <c r="T1066" i="98"/>
  <c r="U1066" i="98" s="1"/>
  <c r="S1066" i="98"/>
  <c r="R1066" i="98"/>
  <c r="V1065" i="98"/>
  <c r="T1065" i="98"/>
  <c r="U1065" i="98" s="1"/>
  <c r="S1065" i="98"/>
  <c r="R1065" i="98"/>
  <c r="V1064" i="98"/>
  <c r="T1064" i="98"/>
  <c r="U1064" i="98" s="1"/>
  <c r="S1064" i="98"/>
  <c r="R1064" i="98"/>
  <c r="V1063" i="98"/>
  <c r="T1063" i="98"/>
  <c r="U1063" i="98" s="1"/>
  <c r="S1063" i="98"/>
  <c r="R1063" i="98"/>
  <c r="V1062" i="98"/>
  <c r="T1062" i="98"/>
  <c r="U1062" i="98" s="1"/>
  <c r="S1062" i="98"/>
  <c r="R1062" i="98"/>
  <c r="V1061" i="98"/>
  <c r="T1061" i="98"/>
  <c r="U1061" i="98" s="1"/>
  <c r="S1061" i="98"/>
  <c r="R1061" i="98"/>
  <c r="V1060" i="98"/>
  <c r="T1060" i="98"/>
  <c r="U1060" i="98" s="1"/>
  <c r="S1060" i="98"/>
  <c r="R1060" i="98"/>
  <c r="V1059" i="98"/>
  <c r="T1059" i="98"/>
  <c r="U1059" i="98" s="1"/>
  <c r="S1059" i="98"/>
  <c r="R1059" i="98"/>
  <c r="V1058" i="98"/>
  <c r="T1058" i="98"/>
  <c r="U1058" i="98" s="1"/>
  <c r="S1058" i="98"/>
  <c r="R1058" i="98"/>
  <c r="V1057" i="98"/>
  <c r="T1057" i="98"/>
  <c r="U1057" i="98" s="1"/>
  <c r="S1057" i="98"/>
  <c r="R1057" i="98"/>
  <c r="V1056" i="98"/>
  <c r="T1056" i="98"/>
  <c r="U1056" i="98" s="1"/>
  <c r="S1056" i="98"/>
  <c r="R1056" i="98"/>
  <c r="V1055" i="98"/>
  <c r="T1055" i="98"/>
  <c r="U1055" i="98" s="1"/>
  <c r="S1055" i="98"/>
  <c r="R1055" i="98"/>
  <c r="V1054" i="98"/>
  <c r="T1054" i="98"/>
  <c r="U1054" i="98" s="1"/>
  <c r="S1054" i="98"/>
  <c r="R1054" i="98"/>
  <c r="V1053" i="98"/>
  <c r="T1053" i="98"/>
  <c r="U1053" i="98" s="1"/>
  <c r="S1053" i="98"/>
  <c r="R1053" i="98"/>
  <c r="V1052" i="98"/>
  <c r="T1052" i="98"/>
  <c r="U1052" i="98" s="1"/>
  <c r="S1052" i="98"/>
  <c r="R1052" i="98"/>
  <c r="V1051" i="98"/>
  <c r="T1051" i="98"/>
  <c r="U1051" i="98" s="1"/>
  <c r="S1051" i="98"/>
  <c r="R1051" i="98"/>
  <c r="V1050" i="98"/>
  <c r="T1050" i="98"/>
  <c r="U1050" i="98" s="1"/>
  <c r="S1050" i="98"/>
  <c r="R1050" i="98"/>
  <c r="V1049" i="98"/>
  <c r="T1049" i="98"/>
  <c r="U1049" i="98" s="1"/>
  <c r="S1049" i="98"/>
  <c r="R1049" i="98"/>
  <c r="V1048" i="98"/>
  <c r="T1048" i="98"/>
  <c r="U1048" i="98" s="1"/>
  <c r="S1048" i="98"/>
  <c r="R1048" i="98"/>
  <c r="V1047" i="98"/>
  <c r="T1047" i="98"/>
  <c r="U1047" i="98" s="1"/>
  <c r="S1047" i="98"/>
  <c r="R1047" i="98"/>
  <c r="V1046" i="98"/>
  <c r="T1046" i="98"/>
  <c r="U1046" i="98" s="1"/>
  <c r="S1046" i="98"/>
  <c r="R1046" i="98"/>
  <c r="V1045" i="98"/>
  <c r="T1045" i="98"/>
  <c r="U1045" i="98" s="1"/>
  <c r="S1045" i="98"/>
  <c r="R1045" i="98"/>
  <c r="V1044" i="98"/>
  <c r="T1044" i="98"/>
  <c r="U1044" i="98" s="1"/>
  <c r="S1044" i="98"/>
  <c r="R1044" i="98"/>
  <c r="V1043" i="98"/>
  <c r="T1043" i="98"/>
  <c r="U1043" i="98" s="1"/>
  <c r="S1043" i="98"/>
  <c r="R1043" i="98"/>
  <c r="V1042" i="98"/>
  <c r="T1042" i="98"/>
  <c r="U1042" i="98" s="1"/>
  <c r="S1042" i="98"/>
  <c r="R1042" i="98"/>
  <c r="V1041" i="98"/>
  <c r="T1041" i="98"/>
  <c r="U1041" i="98" s="1"/>
  <c r="S1041" i="98"/>
  <c r="R1041" i="98"/>
  <c r="V1040" i="98"/>
  <c r="T1040" i="98"/>
  <c r="U1040" i="98" s="1"/>
  <c r="S1040" i="98"/>
  <c r="R1040" i="98"/>
  <c r="V1039" i="98"/>
  <c r="T1039" i="98"/>
  <c r="U1039" i="98" s="1"/>
  <c r="S1039" i="98"/>
  <c r="R1039" i="98"/>
  <c r="V1038" i="98"/>
  <c r="T1038" i="98"/>
  <c r="U1038" i="98" s="1"/>
  <c r="S1038" i="98"/>
  <c r="R1038" i="98"/>
  <c r="V1037" i="98"/>
  <c r="T1037" i="98"/>
  <c r="U1037" i="98" s="1"/>
  <c r="S1037" i="98"/>
  <c r="R1037" i="98"/>
  <c r="V1036" i="98"/>
  <c r="T1036" i="98"/>
  <c r="U1036" i="98" s="1"/>
  <c r="S1036" i="98"/>
  <c r="R1036" i="98"/>
  <c r="V1035" i="98"/>
  <c r="T1035" i="98"/>
  <c r="U1035" i="98" s="1"/>
  <c r="S1035" i="98"/>
  <c r="R1035" i="98"/>
  <c r="V1034" i="98"/>
  <c r="T1034" i="98"/>
  <c r="U1034" i="98" s="1"/>
  <c r="S1034" i="98"/>
  <c r="R1034" i="98"/>
  <c r="V1033" i="98"/>
  <c r="T1033" i="98"/>
  <c r="U1033" i="98" s="1"/>
  <c r="S1033" i="98"/>
  <c r="R1033" i="98"/>
  <c r="V1032" i="98"/>
  <c r="T1032" i="98"/>
  <c r="U1032" i="98" s="1"/>
  <c r="S1032" i="98"/>
  <c r="R1032" i="98"/>
  <c r="V1031" i="98"/>
  <c r="T1031" i="98"/>
  <c r="U1031" i="98" s="1"/>
  <c r="S1031" i="98"/>
  <c r="R1031" i="98"/>
  <c r="V1030" i="98"/>
  <c r="T1030" i="98"/>
  <c r="U1030" i="98" s="1"/>
  <c r="S1030" i="98"/>
  <c r="R1030" i="98"/>
  <c r="V1029" i="98"/>
  <c r="T1029" i="98"/>
  <c r="U1029" i="98" s="1"/>
  <c r="S1029" i="98"/>
  <c r="R1029" i="98"/>
  <c r="V1028" i="98"/>
  <c r="T1028" i="98"/>
  <c r="U1028" i="98" s="1"/>
  <c r="S1028" i="98"/>
  <c r="R1028" i="98"/>
  <c r="V1027" i="98"/>
  <c r="T1027" i="98"/>
  <c r="U1027" i="98" s="1"/>
  <c r="S1027" i="98"/>
  <c r="R1027" i="98"/>
  <c r="V1026" i="98"/>
  <c r="T1026" i="98"/>
  <c r="U1026" i="98" s="1"/>
  <c r="S1026" i="98"/>
  <c r="R1026" i="98"/>
  <c r="V1025" i="98"/>
  <c r="T1025" i="98"/>
  <c r="U1025" i="98" s="1"/>
  <c r="S1025" i="98"/>
  <c r="R1025" i="98"/>
  <c r="V1024" i="98"/>
  <c r="T1024" i="98"/>
  <c r="U1024" i="98" s="1"/>
  <c r="S1024" i="98"/>
  <c r="R1024" i="98"/>
  <c r="V1023" i="98"/>
  <c r="T1023" i="98"/>
  <c r="U1023" i="98" s="1"/>
  <c r="S1023" i="98"/>
  <c r="R1023" i="98"/>
  <c r="V1022" i="98"/>
  <c r="T1022" i="98"/>
  <c r="U1022" i="98" s="1"/>
  <c r="S1022" i="98"/>
  <c r="R1022" i="98"/>
  <c r="V1021" i="98"/>
  <c r="T1021" i="98"/>
  <c r="U1021" i="98" s="1"/>
  <c r="S1021" i="98"/>
  <c r="R1021" i="98"/>
  <c r="V1020" i="98"/>
  <c r="T1020" i="98"/>
  <c r="U1020" i="98" s="1"/>
  <c r="S1020" i="98"/>
  <c r="R1020" i="98"/>
  <c r="V1019" i="98"/>
  <c r="T1019" i="98"/>
  <c r="U1019" i="98" s="1"/>
  <c r="S1019" i="98"/>
  <c r="R1019" i="98"/>
  <c r="V1018" i="98"/>
  <c r="T1018" i="98"/>
  <c r="U1018" i="98" s="1"/>
  <c r="S1018" i="98"/>
  <c r="R1018" i="98"/>
  <c r="V1017" i="98"/>
  <c r="T1017" i="98"/>
  <c r="U1017" i="98" s="1"/>
  <c r="S1017" i="98"/>
  <c r="R1017" i="98"/>
  <c r="V1016" i="98"/>
  <c r="T1016" i="98"/>
  <c r="U1016" i="98" s="1"/>
  <c r="S1016" i="98"/>
  <c r="R1016" i="98"/>
  <c r="V1015" i="98"/>
  <c r="T1015" i="98"/>
  <c r="U1015" i="98" s="1"/>
  <c r="S1015" i="98"/>
  <c r="R1015" i="98"/>
  <c r="V1014" i="98"/>
  <c r="T1014" i="98"/>
  <c r="U1014" i="98" s="1"/>
  <c r="S1014" i="98"/>
  <c r="R1014" i="98"/>
  <c r="V1013" i="98"/>
  <c r="T1013" i="98"/>
  <c r="U1013" i="98" s="1"/>
  <c r="S1013" i="98"/>
  <c r="R1013" i="98"/>
  <c r="V1012" i="98"/>
  <c r="T1012" i="98"/>
  <c r="U1012" i="98" s="1"/>
  <c r="S1012" i="98"/>
  <c r="R1012" i="98"/>
  <c r="V1011" i="98"/>
  <c r="T1011" i="98"/>
  <c r="U1011" i="98" s="1"/>
  <c r="S1011" i="98"/>
  <c r="R1011" i="98"/>
  <c r="V1010" i="98"/>
  <c r="T1010" i="98"/>
  <c r="U1010" i="98" s="1"/>
  <c r="S1010" i="98"/>
  <c r="R1010" i="98"/>
  <c r="V1009" i="98"/>
  <c r="T1009" i="98"/>
  <c r="U1009" i="98" s="1"/>
  <c r="S1009" i="98"/>
  <c r="R1009" i="98"/>
  <c r="V1008" i="98"/>
  <c r="T1008" i="98"/>
  <c r="U1008" i="98" s="1"/>
  <c r="S1008" i="98"/>
  <c r="R1008" i="98"/>
  <c r="V1007" i="98"/>
  <c r="T1007" i="98"/>
  <c r="U1007" i="98" s="1"/>
  <c r="S1007" i="98"/>
  <c r="R1007" i="98"/>
  <c r="V1006" i="98"/>
  <c r="T1006" i="98"/>
  <c r="U1006" i="98" s="1"/>
  <c r="S1006" i="98"/>
  <c r="R1006" i="98"/>
  <c r="V1005" i="98"/>
  <c r="T1005" i="98"/>
  <c r="U1005" i="98" s="1"/>
  <c r="S1005" i="98"/>
  <c r="R1005" i="98"/>
  <c r="V1004" i="98"/>
  <c r="T1004" i="98"/>
  <c r="U1004" i="98" s="1"/>
  <c r="S1004" i="98"/>
  <c r="R1004" i="98"/>
  <c r="V1003" i="98"/>
  <c r="T1003" i="98"/>
  <c r="U1003" i="98" s="1"/>
  <c r="S1003" i="98"/>
  <c r="R1003" i="98"/>
  <c r="V1002" i="98"/>
  <c r="T1002" i="98"/>
  <c r="U1002" i="98" s="1"/>
  <c r="S1002" i="98"/>
  <c r="R1002" i="98"/>
  <c r="V1001" i="98"/>
  <c r="T1001" i="98"/>
  <c r="U1001" i="98" s="1"/>
  <c r="S1001" i="98"/>
  <c r="R1001" i="98"/>
  <c r="V1000" i="98"/>
  <c r="T1000" i="98"/>
  <c r="U1000" i="98" s="1"/>
  <c r="S1000" i="98"/>
  <c r="R1000" i="98"/>
  <c r="V999" i="98"/>
  <c r="T999" i="98"/>
  <c r="U999" i="98" s="1"/>
  <c r="S999" i="98"/>
  <c r="R999" i="98"/>
  <c r="V998" i="98"/>
  <c r="T998" i="98"/>
  <c r="U998" i="98" s="1"/>
  <c r="S998" i="98"/>
  <c r="R998" i="98"/>
  <c r="V997" i="98"/>
  <c r="T997" i="98"/>
  <c r="U997" i="98" s="1"/>
  <c r="S997" i="98"/>
  <c r="R997" i="98"/>
  <c r="V996" i="98"/>
  <c r="T996" i="98"/>
  <c r="U996" i="98" s="1"/>
  <c r="S996" i="98"/>
  <c r="R996" i="98"/>
  <c r="V995" i="98"/>
  <c r="T995" i="98"/>
  <c r="U995" i="98" s="1"/>
  <c r="S995" i="98"/>
  <c r="R995" i="98"/>
  <c r="V994" i="98"/>
  <c r="T994" i="98"/>
  <c r="U994" i="98" s="1"/>
  <c r="S994" i="98"/>
  <c r="R994" i="98"/>
  <c r="V993" i="98"/>
  <c r="T993" i="98"/>
  <c r="U993" i="98" s="1"/>
  <c r="S993" i="98"/>
  <c r="R993" i="98"/>
  <c r="V992" i="98"/>
  <c r="T992" i="98"/>
  <c r="U992" i="98" s="1"/>
  <c r="S992" i="98"/>
  <c r="R992" i="98"/>
  <c r="V991" i="98"/>
  <c r="T991" i="98"/>
  <c r="U991" i="98" s="1"/>
  <c r="S991" i="98"/>
  <c r="R991" i="98"/>
  <c r="V990" i="98"/>
  <c r="T990" i="98"/>
  <c r="U990" i="98" s="1"/>
  <c r="S990" i="98"/>
  <c r="R990" i="98"/>
  <c r="V989" i="98"/>
  <c r="T989" i="98"/>
  <c r="U989" i="98" s="1"/>
  <c r="S989" i="98"/>
  <c r="R989" i="98"/>
  <c r="V988" i="98"/>
  <c r="T988" i="98"/>
  <c r="U988" i="98" s="1"/>
  <c r="S988" i="98"/>
  <c r="R988" i="98"/>
  <c r="V987" i="98"/>
  <c r="T987" i="98"/>
  <c r="U987" i="98" s="1"/>
  <c r="S987" i="98"/>
  <c r="R987" i="98"/>
  <c r="V986" i="98"/>
  <c r="T986" i="98"/>
  <c r="U986" i="98" s="1"/>
  <c r="S986" i="98"/>
  <c r="R986" i="98"/>
  <c r="V985" i="98"/>
  <c r="T985" i="98"/>
  <c r="U985" i="98" s="1"/>
  <c r="S985" i="98"/>
  <c r="R985" i="98"/>
  <c r="V984" i="98"/>
  <c r="T984" i="98"/>
  <c r="U984" i="98" s="1"/>
  <c r="S984" i="98"/>
  <c r="R984" i="98"/>
  <c r="V983" i="98"/>
  <c r="T983" i="98"/>
  <c r="U983" i="98" s="1"/>
  <c r="S983" i="98"/>
  <c r="R983" i="98"/>
  <c r="V982" i="98"/>
  <c r="T982" i="98"/>
  <c r="U982" i="98" s="1"/>
  <c r="S982" i="98"/>
  <c r="R982" i="98"/>
  <c r="V981" i="98"/>
  <c r="T981" i="98"/>
  <c r="U981" i="98" s="1"/>
  <c r="S981" i="98"/>
  <c r="R981" i="98"/>
  <c r="V980" i="98"/>
  <c r="T980" i="98"/>
  <c r="U980" i="98" s="1"/>
  <c r="S980" i="98"/>
  <c r="R980" i="98"/>
  <c r="V979" i="98"/>
  <c r="T979" i="98"/>
  <c r="U979" i="98" s="1"/>
  <c r="S979" i="98"/>
  <c r="R979" i="98"/>
  <c r="V978" i="98"/>
  <c r="T978" i="98"/>
  <c r="U978" i="98" s="1"/>
  <c r="S978" i="98"/>
  <c r="R978" i="98"/>
  <c r="V977" i="98"/>
  <c r="T977" i="98"/>
  <c r="U977" i="98" s="1"/>
  <c r="S977" i="98"/>
  <c r="R977" i="98"/>
  <c r="V976" i="98"/>
  <c r="T976" i="98"/>
  <c r="U976" i="98" s="1"/>
  <c r="S976" i="98"/>
  <c r="R976" i="98"/>
  <c r="V975" i="98"/>
  <c r="T975" i="98"/>
  <c r="U975" i="98" s="1"/>
  <c r="S975" i="98"/>
  <c r="R975" i="98"/>
  <c r="V974" i="98"/>
  <c r="T974" i="98"/>
  <c r="U974" i="98" s="1"/>
  <c r="S974" i="98"/>
  <c r="R974" i="98"/>
  <c r="V973" i="98"/>
  <c r="T973" i="98"/>
  <c r="U973" i="98" s="1"/>
  <c r="S973" i="98"/>
  <c r="R973" i="98"/>
  <c r="V972" i="98"/>
  <c r="T972" i="98"/>
  <c r="U972" i="98" s="1"/>
  <c r="S972" i="98"/>
  <c r="R972" i="98"/>
  <c r="V971" i="98"/>
  <c r="T971" i="98"/>
  <c r="U971" i="98" s="1"/>
  <c r="S971" i="98"/>
  <c r="R971" i="98"/>
  <c r="V970" i="98"/>
  <c r="T970" i="98"/>
  <c r="U970" i="98" s="1"/>
  <c r="S970" i="98"/>
  <c r="R970" i="98"/>
  <c r="V969" i="98"/>
  <c r="T969" i="98"/>
  <c r="U969" i="98" s="1"/>
  <c r="S969" i="98"/>
  <c r="R969" i="98"/>
  <c r="V968" i="98"/>
  <c r="T968" i="98"/>
  <c r="U968" i="98" s="1"/>
  <c r="S968" i="98"/>
  <c r="R968" i="98"/>
  <c r="V967" i="98"/>
  <c r="T967" i="98"/>
  <c r="U967" i="98" s="1"/>
  <c r="S967" i="98"/>
  <c r="R967" i="98"/>
  <c r="V966" i="98"/>
  <c r="T966" i="98"/>
  <c r="U966" i="98" s="1"/>
  <c r="S966" i="98"/>
  <c r="R966" i="98"/>
  <c r="V965" i="98"/>
  <c r="T965" i="98"/>
  <c r="U965" i="98" s="1"/>
  <c r="S965" i="98"/>
  <c r="R965" i="98"/>
  <c r="V964" i="98"/>
  <c r="T964" i="98"/>
  <c r="U964" i="98" s="1"/>
  <c r="S964" i="98"/>
  <c r="R964" i="98"/>
  <c r="V963" i="98"/>
  <c r="T963" i="98"/>
  <c r="U963" i="98" s="1"/>
  <c r="S963" i="98"/>
  <c r="R963" i="98"/>
  <c r="V962" i="98"/>
  <c r="T962" i="98"/>
  <c r="U962" i="98" s="1"/>
  <c r="S962" i="98"/>
  <c r="R962" i="98"/>
  <c r="V961" i="98"/>
  <c r="T961" i="98"/>
  <c r="U961" i="98" s="1"/>
  <c r="S961" i="98"/>
  <c r="R961" i="98"/>
  <c r="V960" i="98"/>
  <c r="T960" i="98"/>
  <c r="U960" i="98" s="1"/>
  <c r="S960" i="98"/>
  <c r="R960" i="98"/>
  <c r="V959" i="98"/>
  <c r="T959" i="98"/>
  <c r="U959" i="98" s="1"/>
  <c r="S959" i="98"/>
  <c r="R959" i="98"/>
  <c r="V958" i="98"/>
  <c r="T958" i="98"/>
  <c r="U958" i="98" s="1"/>
  <c r="S958" i="98"/>
  <c r="R958" i="98"/>
  <c r="V957" i="98"/>
  <c r="T957" i="98"/>
  <c r="U957" i="98" s="1"/>
  <c r="S957" i="98"/>
  <c r="R957" i="98"/>
  <c r="V956" i="98"/>
  <c r="T956" i="98"/>
  <c r="U956" i="98" s="1"/>
  <c r="S956" i="98"/>
  <c r="R956" i="98"/>
  <c r="V955" i="98"/>
  <c r="T955" i="98"/>
  <c r="U955" i="98" s="1"/>
  <c r="S955" i="98"/>
  <c r="R955" i="98"/>
  <c r="V954" i="98"/>
  <c r="T954" i="98"/>
  <c r="U954" i="98" s="1"/>
  <c r="S954" i="98"/>
  <c r="R954" i="98"/>
  <c r="V953" i="98"/>
  <c r="T953" i="98"/>
  <c r="U953" i="98" s="1"/>
  <c r="S953" i="98"/>
  <c r="R953" i="98"/>
  <c r="V952" i="98"/>
  <c r="T952" i="98"/>
  <c r="U952" i="98" s="1"/>
  <c r="S952" i="98"/>
  <c r="R952" i="98"/>
  <c r="V951" i="98"/>
  <c r="T951" i="98"/>
  <c r="U951" i="98" s="1"/>
  <c r="S951" i="98"/>
  <c r="R951" i="98"/>
  <c r="V950" i="98"/>
  <c r="T950" i="98"/>
  <c r="U950" i="98" s="1"/>
  <c r="S950" i="98"/>
  <c r="R950" i="98"/>
  <c r="V949" i="98"/>
  <c r="T949" i="98"/>
  <c r="U949" i="98" s="1"/>
  <c r="S949" i="98"/>
  <c r="R949" i="98"/>
  <c r="V948" i="98"/>
  <c r="T948" i="98"/>
  <c r="U948" i="98" s="1"/>
  <c r="S948" i="98"/>
  <c r="R948" i="98"/>
  <c r="V947" i="98"/>
  <c r="T947" i="98"/>
  <c r="U947" i="98" s="1"/>
  <c r="S947" i="98"/>
  <c r="R947" i="98"/>
  <c r="V946" i="98"/>
  <c r="T946" i="98"/>
  <c r="U946" i="98" s="1"/>
  <c r="S946" i="98"/>
  <c r="R946" i="98"/>
  <c r="V945" i="98"/>
  <c r="T945" i="98"/>
  <c r="U945" i="98" s="1"/>
  <c r="S945" i="98"/>
  <c r="R945" i="98"/>
  <c r="V944" i="98"/>
  <c r="T944" i="98"/>
  <c r="U944" i="98" s="1"/>
  <c r="S944" i="98"/>
  <c r="R944" i="98"/>
  <c r="V943" i="98"/>
  <c r="T943" i="98"/>
  <c r="U943" i="98" s="1"/>
  <c r="S943" i="98"/>
  <c r="R943" i="98"/>
  <c r="V942" i="98"/>
  <c r="T942" i="98"/>
  <c r="U942" i="98" s="1"/>
  <c r="S942" i="98"/>
  <c r="R942" i="98"/>
  <c r="V941" i="98"/>
  <c r="T941" i="98"/>
  <c r="U941" i="98" s="1"/>
  <c r="S941" i="98"/>
  <c r="R941" i="98"/>
  <c r="V940" i="98"/>
  <c r="T940" i="98"/>
  <c r="U940" i="98" s="1"/>
  <c r="S940" i="98"/>
  <c r="R940" i="98"/>
  <c r="V939" i="98"/>
  <c r="T939" i="98"/>
  <c r="U939" i="98" s="1"/>
  <c r="S939" i="98"/>
  <c r="R939" i="98"/>
  <c r="V938" i="98"/>
  <c r="T938" i="98"/>
  <c r="U938" i="98" s="1"/>
  <c r="S938" i="98"/>
  <c r="R938" i="98"/>
  <c r="V937" i="98"/>
  <c r="T937" i="98"/>
  <c r="U937" i="98" s="1"/>
  <c r="S937" i="98"/>
  <c r="R937" i="98"/>
  <c r="V936" i="98"/>
  <c r="T936" i="98"/>
  <c r="U936" i="98" s="1"/>
  <c r="S936" i="98"/>
  <c r="R936" i="98"/>
  <c r="V935" i="98"/>
  <c r="T935" i="98"/>
  <c r="U935" i="98" s="1"/>
  <c r="S935" i="98"/>
  <c r="R935" i="98"/>
  <c r="V934" i="98"/>
  <c r="T934" i="98"/>
  <c r="U934" i="98" s="1"/>
  <c r="S934" i="98"/>
  <c r="R934" i="98"/>
  <c r="V933" i="98"/>
  <c r="T933" i="98"/>
  <c r="U933" i="98" s="1"/>
  <c r="S933" i="98"/>
  <c r="R933" i="98"/>
  <c r="V932" i="98"/>
  <c r="T932" i="98"/>
  <c r="U932" i="98" s="1"/>
  <c r="S932" i="98"/>
  <c r="R932" i="98"/>
  <c r="V931" i="98"/>
  <c r="T931" i="98"/>
  <c r="U931" i="98" s="1"/>
  <c r="S931" i="98"/>
  <c r="R931" i="98"/>
  <c r="V930" i="98"/>
  <c r="T930" i="98"/>
  <c r="U930" i="98" s="1"/>
  <c r="S930" i="98"/>
  <c r="R930" i="98"/>
  <c r="V929" i="98"/>
  <c r="T929" i="98"/>
  <c r="U929" i="98" s="1"/>
  <c r="S929" i="98"/>
  <c r="R929" i="98"/>
  <c r="V928" i="98"/>
  <c r="T928" i="98"/>
  <c r="U928" i="98" s="1"/>
  <c r="S928" i="98"/>
  <c r="R928" i="98"/>
  <c r="V927" i="98"/>
  <c r="T927" i="98"/>
  <c r="U927" i="98" s="1"/>
  <c r="S927" i="98"/>
  <c r="R927" i="98"/>
  <c r="V926" i="98"/>
  <c r="T926" i="98"/>
  <c r="U926" i="98" s="1"/>
  <c r="S926" i="98"/>
  <c r="R926" i="98"/>
  <c r="V925" i="98"/>
  <c r="T925" i="98"/>
  <c r="U925" i="98" s="1"/>
  <c r="S925" i="98"/>
  <c r="R925" i="98"/>
  <c r="V924" i="98"/>
  <c r="T924" i="98"/>
  <c r="U924" i="98" s="1"/>
  <c r="S924" i="98"/>
  <c r="R924" i="98"/>
  <c r="V923" i="98"/>
  <c r="T923" i="98"/>
  <c r="U923" i="98" s="1"/>
  <c r="S923" i="98"/>
  <c r="R923" i="98"/>
  <c r="V922" i="98"/>
  <c r="T922" i="98"/>
  <c r="U922" i="98" s="1"/>
  <c r="S922" i="98"/>
  <c r="R922" i="98"/>
  <c r="V921" i="98"/>
  <c r="T921" i="98"/>
  <c r="U921" i="98" s="1"/>
  <c r="S921" i="98"/>
  <c r="R921" i="98"/>
  <c r="V920" i="98"/>
  <c r="T920" i="98"/>
  <c r="U920" i="98" s="1"/>
  <c r="S920" i="98"/>
  <c r="R920" i="98"/>
  <c r="V919" i="98"/>
  <c r="T919" i="98"/>
  <c r="U919" i="98" s="1"/>
  <c r="S919" i="98"/>
  <c r="R919" i="98"/>
  <c r="V918" i="98"/>
  <c r="T918" i="98"/>
  <c r="U918" i="98" s="1"/>
  <c r="S918" i="98"/>
  <c r="R918" i="98"/>
  <c r="V917" i="98"/>
  <c r="T917" i="98"/>
  <c r="U917" i="98" s="1"/>
  <c r="S917" i="98"/>
  <c r="R917" i="98"/>
  <c r="V916" i="98"/>
  <c r="T916" i="98"/>
  <c r="U916" i="98" s="1"/>
  <c r="S916" i="98"/>
  <c r="R916" i="98"/>
  <c r="V915" i="98"/>
  <c r="T915" i="98"/>
  <c r="U915" i="98" s="1"/>
  <c r="S915" i="98"/>
  <c r="R915" i="98"/>
  <c r="V914" i="98"/>
  <c r="T914" i="98"/>
  <c r="U914" i="98" s="1"/>
  <c r="S914" i="98"/>
  <c r="R914" i="98"/>
  <c r="V913" i="98"/>
  <c r="T913" i="98"/>
  <c r="U913" i="98" s="1"/>
  <c r="S913" i="98"/>
  <c r="R913" i="98"/>
  <c r="V912" i="98"/>
  <c r="T912" i="98"/>
  <c r="U912" i="98" s="1"/>
  <c r="S912" i="98"/>
  <c r="R912" i="98"/>
  <c r="V911" i="98"/>
  <c r="T911" i="98"/>
  <c r="U911" i="98" s="1"/>
  <c r="S911" i="98"/>
  <c r="R911" i="98"/>
  <c r="V910" i="98"/>
  <c r="T910" i="98"/>
  <c r="U910" i="98" s="1"/>
  <c r="S910" i="98"/>
  <c r="R910" i="98"/>
  <c r="V909" i="98"/>
  <c r="T909" i="98"/>
  <c r="U909" i="98" s="1"/>
  <c r="S909" i="98"/>
  <c r="R909" i="98"/>
  <c r="V908" i="98"/>
  <c r="T908" i="98"/>
  <c r="U908" i="98" s="1"/>
  <c r="S908" i="98"/>
  <c r="R908" i="98"/>
  <c r="V907" i="98"/>
  <c r="T907" i="98"/>
  <c r="U907" i="98" s="1"/>
  <c r="S907" i="98"/>
  <c r="R907" i="98"/>
  <c r="V906" i="98"/>
  <c r="T906" i="98"/>
  <c r="U906" i="98" s="1"/>
  <c r="S906" i="98"/>
  <c r="R906" i="98"/>
  <c r="V905" i="98"/>
  <c r="T905" i="98"/>
  <c r="U905" i="98" s="1"/>
  <c r="S905" i="98"/>
  <c r="R905" i="98"/>
  <c r="V904" i="98"/>
  <c r="T904" i="98"/>
  <c r="U904" i="98" s="1"/>
  <c r="S904" i="98"/>
  <c r="R904" i="98"/>
  <c r="V903" i="98"/>
  <c r="T903" i="98"/>
  <c r="U903" i="98" s="1"/>
  <c r="S903" i="98"/>
  <c r="R903" i="98"/>
  <c r="V902" i="98"/>
  <c r="T902" i="98"/>
  <c r="U902" i="98" s="1"/>
  <c r="S902" i="98"/>
  <c r="R902" i="98"/>
  <c r="V901" i="98"/>
  <c r="T901" i="98"/>
  <c r="U901" i="98" s="1"/>
  <c r="S901" i="98"/>
  <c r="R901" i="98"/>
  <c r="V900" i="98"/>
  <c r="T900" i="98"/>
  <c r="U900" i="98" s="1"/>
  <c r="S900" i="98"/>
  <c r="R900" i="98"/>
  <c r="V899" i="98"/>
  <c r="T899" i="98"/>
  <c r="U899" i="98" s="1"/>
  <c r="S899" i="98"/>
  <c r="R899" i="98"/>
  <c r="V898" i="98"/>
  <c r="T898" i="98"/>
  <c r="U898" i="98" s="1"/>
  <c r="S898" i="98"/>
  <c r="R898" i="98"/>
  <c r="V897" i="98"/>
  <c r="T897" i="98"/>
  <c r="U897" i="98" s="1"/>
  <c r="S897" i="98"/>
  <c r="R897" i="98"/>
  <c r="V896" i="98"/>
  <c r="T896" i="98"/>
  <c r="U896" i="98" s="1"/>
  <c r="S896" i="98"/>
  <c r="R896" i="98"/>
  <c r="V895" i="98"/>
  <c r="T895" i="98"/>
  <c r="U895" i="98" s="1"/>
  <c r="S895" i="98"/>
  <c r="R895" i="98"/>
  <c r="V894" i="98"/>
  <c r="T894" i="98"/>
  <c r="U894" i="98" s="1"/>
  <c r="S894" i="98"/>
  <c r="R894" i="98"/>
  <c r="V893" i="98"/>
  <c r="T893" i="98"/>
  <c r="U893" i="98" s="1"/>
  <c r="S893" i="98"/>
  <c r="R893" i="98"/>
  <c r="V892" i="98"/>
  <c r="T892" i="98"/>
  <c r="U892" i="98" s="1"/>
  <c r="S892" i="98"/>
  <c r="R892" i="98"/>
  <c r="V891" i="98"/>
  <c r="T891" i="98"/>
  <c r="U891" i="98" s="1"/>
  <c r="S891" i="98"/>
  <c r="R891" i="98"/>
  <c r="V890" i="98"/>
  <c r="T890" i="98"/>
  <c r="U890" i="98" s="1"/>
  <c r="S890" i="98"/>
  <c r="R890" i="98"/>
  <c r="V889" i="98"/>
  <c r="T889" i="98"/>
  <c r="U889" i="98" s="1"/>
  <c r="S889" i="98"/>
  <c r="R889" i="98"/>
  <c r="V888" i="98"/>
  <c r="T888" i="98"/>
  <c r="U888" i="98" s="1"/>
  <c r="S888" i="98"/>
  <c r="R888" i="98"/>
  <c r="V887" i="98"/>
  <c r="T887" i="98"/>
  <c r="U887" i="98" s="1"/>
  <c r="S887" i="98"/>
  <c r="R887" i="98"/>
  <c r="V886" i="98"/>
  <c r="T886" i="98"/>
  <c r="U886" i="98" s="1"/>
  <c r="S886" i="98"/>
  <c r="R886" i="98"/>
  <c r="V885" i="98"/>
  <c r="T885" i="98"/>
  <c r="U885" i="98" s="1"/>
  <c r="S885" i="98"/>
  <c r="R885" i="98"/>
  <c r="V884" i="98"/>
  <c r="T884" i="98"/>
  <c r="U884" i="98" s="1"/>
  <c r="S884" i="98"/>
  <c r="R884" i="98"/>
  <c r="V883" i="98"/>
  <c r="T883" i="98"/>
  <c r="U883" i="98" s="1"/>
  <c r="S883" i="98"/>
  <c r="R883" i="98"/>
  <c r="V882" i="98"/>
  <c r="T882" i="98"/>
  <c r="U882" i="98" s="1"/>
  <c r="S882" i="98"/>
  <c r="R882" i="98"/>
  <c r="V881" i="98"/>
  <c r="T881" i="98"/>
  <c r="U881" i="98" s="1"/>
  <c r="S881" i="98"/>
  <c r="R881" i="98"/>
  <c r="V880" i="98"/>
  <c r="T880" i="98"/>
  <c r="U880" i="98" s="1"/>
  <c r="S880" i="98"/>
  <c r="R880" i="98"/>
  <c r="V879" i="98"/>
  <c r="T879" i="98"/>
  <c r="U879" i="98" s="1"/>
  <c r="S879" i="98"/>
  <c r="R879" i="98"/>
  <c r="V878" i="98"/>
  <c r="T878" i="98"/>
  <c r="U878" i="98" s="1"/>
  <c r="S878" i="98"/>
  <c r="R878" i="98"/>
  <c r="V877" i="98"/>
  <c r="T877" i="98"/>
  <c r="U877" i="98" s="1"/>
  <c r="S877" i="98"/>
  <c r="R877" i="98"/>
  <c r="V876" i="98"/>
  <c r="T876" i="98"/>
  <c r="U876" i="98" s="1"/>
  <c r="S876" i="98"/>
  <c r="R876" i="98"/>
  <c r="V875" i="98"/>
  <c r="T875" i="98"/>
  <c r="U875" i="98" s="1"/>
  <c r="S875" i="98"/>
  <c r="R875" i="98"/>
  <c r="V874" i="98"/>
  <c r="T874" i="98"/>
  <c r="U874" i="98" s="1"/>
  <c r="S874" i="98"/>
  <c r="R874" i="98"/>
  <c r="V873" i="98"/>
  <c r="T873" i="98"/>
  <c r="U873" i="98" s="1"/>
  <c r="S873" i="98"/>
  <c r="R873" i="98"/>
  <c r="V872" i="98"/>
  <c r="T872" i="98"/>
  <c r="U872" i="98" s="1"/>
  <c r="S872" i="98"/>
  <c r="R872" i="98"/>
  <c r="V871" i="98"/>
  <c r="T871" i="98"/>
  <c r="U871" i="98" s="1"/>
  <c r="S871" i="98"/>
  <c r="R871" i="98"/>
  <c r="V870" i="98"/>
  <c r="T870" i="98"/>
  <c r="U870" i="98" s="1"/>
  <c r="S870" i="98"/>
  <c r="R870" i="98"/>
  <c r="V869" i="98"/>
  <c r="T869" i="98"/>
  <c r="U869" i="98" s="1"/>
  <c r="S869" i="98"/>
  <c r="R869" i="98"/>
  <c r="V868" i="98"/>
  <c r="T868" i="98"/>
  <c r="U868" i="98" s="1"/>
  <c r="S868" i="98"/>
  <c r="R868" i="98"/>
  <c r="V867" i="98"/>
  <c r="T867" i="98"/>
  <c r="U867" i="98" s="1"/>
  <c r="S867" i="98"/>
  <c r="R867" i="98"/>
  <c r="V866" i="98"/>
  <c r="T866" i="98"/>
  <c r="U866" i="98" s="1"/>
  <c r="S866" i="98"/>
  <c r="R866" i="98"/>
  <c r="V865" i="98"/>
  <c r="T865" i="98"/>
  <c r="U865" i="98" s="1"/>
  <c r="S865" i="98"/>
  <c r="R865" i="98"/>
  <c r="V864" i="98"/>
  <c r="T864" i="98"/>
  <c r="U864" i="98" s="1"/>
  <c r="S864" i="98"/>
  <c r="R864" i="98"/>
  <c r="V863" i="98"/>
  <c r="T863" i="98"/>
  <c r="U863" i="98" s="1"/>
  <c r="S863" i="98"/>
  <c r="R863" i="98"/>
  <c r="V862" i="98"/>
  <c r="T862" i="98"/>
  <c r="U862" i="98" s="1"/>
  <c r="S862" i="98"/>
  <c r="R862" i="98"/>
  <c r="V861" i="98"/>
  <c r="T861" i="98"/>
  <c r="U861" i="98" s="1"/>
  <c r="S861" i="98"/>
  <c r="R861" i="98"/>
  <c r="V860" i="98"/>
  <c r="T860" i="98"/>
  <c r="U860" i="98" s="1"/>
  <c r="S860" i="98"/>
  <c r="R860" i="98"/>
  <c r="V859" i="98"/>
  <c r="T859" i="98"/>
  <c r="U859" i="98" s="1"/>
  <c r="S859" i="98"/>
  <c r="R859" i="98"/>
  <c r="V858" i="98"/>
  <c r="T858" i="98"/>
  <c r="U858" i="98" s="1"/>
  <c r="S858" i="98"/>
  <c r="R858" i="98"/>
  <c r="V857" i="98"/>
  <c r="T857" i="98"/>
  <c r="U857" i="98" s="1"/>
  <c r="S857" i="98"/>
  <c r="R857" i="98"/>
  <c r="V856" i="98"/>
  <c r="T856" i="98"/>
  <c r="U856" i="98" s="1"/>
  <c r="S856" i="98"/>
  <c r="R856" i="98"/>
  <c r="V855" i="98"/>
  <c r="T855" i="98"/>
  <c r="U855" i="98" s="1"/>
  <c r="S855" i="98"/>
  <c r="R855" i="98"/>
  <c r="V854" i="98"/>
  <c r="T854" i="98"/>
  <c r="U854" i="98" s="1"/>
  <c r="S854" i="98"/>
  <c r="R854" i="98"/>
  <c r="V853" i="98"/>
  <c r="T853" i="98"/>
  <c r="U853" i="98" s="1"/>
  <c r="S853" i="98"/>
  <c r="R853" i="98"/>
  <c r="V852" i="98"/>
  <c r="T852" i="98"/>
  <c r="U852" i="98" s="1"/>
  <c r="S852" i="98"/>
  <c r="R852" i="98"/>
  <c r="V851" i="98"/>
  <c r="T851" i="98"/>
  <c r="U851" i="98" s="1"/>
  <c r="S851" i="98"/>
  <c r="R851" i="98"/>
  <c r="V850" i="98"/>
  <c r="T850" i="98"/>
  <c r="U850" i="98" s="1"/>
  <c r="S850" i="98"/>
  <c r="R850" i="98"/>
  <c r="V849" i="98"/>
  <c r="T849" i="98"/>
  <c r="U849" i="98" s="1"/>
  <c r="S849" i="98"/>
  <c r="R849" i="98"/>
  <c r="V848" i="98"/>
  <c r="T848" i="98"/>
  <c r="U848" i="98" s="1"/>
  <c r="S848" i="98"/>
  <c r="R848" i="98"/>
  <c r="V847" i="98"/>
  <c r="T847" i="98"/>
  <c r="U847" i="98" s="1"/>
  <c r="S847" i="98"/>
  <c r="R847" i="98"/>
  <c r="V846" i="98"/>
  <c r="T846" i="98"/>
  <c r="U846" i="98" s="1"/>
  <c r="S846" i="98"/>
  <c r="R846" i="98"/>
  <c r="V845" i="98"/>
  <c r="T845" i="98"/>
  <c r="U845" i="98" s="1"/>
  <c r="S845" i="98"/>
  <c r="R845" i="98"/>
  <c r="V844" i="98"/>
  <c r="T844" i="98"/>
  <c r="U844" i="98" s="1"/>
  <c r="S844" i="98"/>
  <c r="R844" i="98"/>
  <c r="V843" i="98"/>
  <c r="T843" i="98"/>
  <c r="U843" i="98" s="1"/>
  <c r="S843" i="98"/>
  <c r="R843" i="98"/>
  <c r="V842" i="98"/>
  <c r="T842" i="98"/>
  <c r="U842" i="98" s="1"/>
  <c r="S842" i="98"/>
  <c r="R842" i="98"/>
  <c r="V841" i="98"/>
  <c r="T841" i="98"/>
  <c r="U841" i="98" s="1"/>
  <c r="S841" i="98"/>
  <c r="R841" i="98"/>
  <c r="V840" i="98"/>
  <c r="T840" i="98"/>
  <c r="U840" i="98" s="1"/>
  <c r="S840" i="98"/>
  <c r="R840" i="98"/>
  <c r="V839" i="98"/>
  <c r="T839" i="98"/>
  <c r="U839" i="98" s="1"/>
  <c r="S839" i="98"/>
  <c r="R839" i="98"/>
  <c r="V838" i="98"/>
  <c r="T838" i="98"/>
  <c r="U838" i="98" s="1"/>
  <c r="S838" i="98"/>
  <c r="R838" i="98"/>
  <c r="V837" i="98"/>
  <c r="T837" i="98"/>
  <c r="U837" i="98" s="1"/>
  <c r="S837" i="98"/>
  <c r="R837" i="98"/>
  <c r="V836" i="98"/>
  <c r="T836" i="98"/>
  <c r="U836" i="98" s="1"/>
  <c r="S836" i="98"/>
  <c r="R836" i="98"/>
  <c r="V835" i="98"/>
  <c r="T835" i="98"/>
  <c r="U835" i="98" s="1"/>
  <c r="S835" i="98"/>
  <c r="R835" i="98"/>
  <c r="V834" i="98"/>
  <c r="T834" i="98"/>
  <c r="U834" i="98" s="1"/>
  <c r="S834" i="98"/>
  <c r="R834" i="98"/>
  <c r="V833" i="98"/>
  <c r="T833" i="98"/>
  <c r="U833" i="98" s="1"/>
  <c r="S833" i="98"/>
  <c r="R833" i="98"/>
  <c r="V832" i="98"/>
  <c r="T832" i="98"/>
  <c r="U832" i="98" s="1"/>
  <c r="S832" i="98"/>
  <c r="R832" i="98"/>
  <c r="V831" i="98"/>
  <c r="T831" i="98"/>
  <c r="U831" i="98" s="1"/>
  <c r="S831" i="98"/>
  <c r="R831" i="98"/>
  <c r="V830" i="98"/>
  <c r="T830" i="98"/>
  <c r="U830" i="98" s="1"/>
  <c r="S830" i="98"/>
  <c r="R830" i="98"/>
  <c r="V829" i="98"/>
  <c r="T829" i="98"/>
  <c r="U829" i="98" s="1"/>
  <c r="S829" i="98"/>
  <c r="R829" i="98"/>
  <c r="V828" i="98"/>
  <c r="T828" i="98"/>
  <c r="U828" i="98" s="1"/>
  <c r="S828" i="98"/>
  <c r="R828" i="98"/>
  <c r="V827" i="98"/>
  <c r="T827" i="98"/>
  <c r="U827" i="98" s="1"/>
  <c r="S827" i="98"/>
  <c r="R827" i="98"/>
  <c r="V826" i="98"/>
  <c r="T826" i="98"/>
  <c r="U826" i="98" s="1"/>
  <c r="S826" i="98"/>
  <c r="R826" i="98"/>
  <c r="V825" i="98"/>
  <c r="T825" i="98"/>
  <c r="U825" i="98" s="1"/>
  <c r="S825" i="98"/>
  <c r="R825" i="98"/>
  <c r="V824" i="98"/>
  <c r="T824" i="98"/>
  <c r="U824" i="98" s="1"/>
  <c r="S824" i="98"/>
  <c r="R824" i="98"/>
  <c r="V823" i="98"/>
  <c r="T823" i="98"/>
  <c r="U823" i="98" s="1"/>
  <c r="S823" i="98"/>
  <c r="R823" i="98"/>
  <c r="V822" i="98"/>
  <c r="T822" i="98"/>
  <c r="U822" i="98" s="1"/>
  <c r="S822" i="98"/>
  <c r="R822" i="98"/>
  <c r="V821" i="98"/>
  <c r="T821" i="98"/>
  <c r="U821" i="98" s="1"/>
  <c r="S821" i="98"/>
  <c r="R821" i="98"/>
  <c r="V820" i="98"/>
  <c r="T820" i="98"/>
  <c r="U820" i="98" s="1"/>
  <c r="S820" i="98"/>
  <c r="R820" i="98"/>
  <c r="V819" i="98"/>
  <c r="T819" i="98"/>
  <c r="U819" i="98" s="1"/>
  <c r="S819" i="98"/>
  <c r="R819" i="98"/>
  <c r="V818" i="98"/>
  <c r="T818" i="98"/>
  <c r="U818" i="98" s="1"/>
  <c r="S818" i="98"/>
  <c r="R818" i="98"/>
  <c r="V817" i="98"/>
  <c r="T817" i="98"/>
  <c r="U817" i="98" s="1"/>
  <c r="S817" i="98"/>
  <c r="R817" i="98"/>
  <c r="V816" i="98"/>
  <c r="T816" i="98"/>
  <c r="U816" i="98" s="1"/>
  <c r="S816" i="98"/>
  <c r="R816" i="98"/>
  <c r="V815" i="98"/>
  <c r="T815" i="98"/>
  <c r="U815" i="98" s="1"/>
  <c r="S815" i="98"/>
  <c r="R815" i="98"/>
  <c r="V814" i="98"/>
  <c r="T814" i="98"/>
  <c r="U814" i="98" s="1"/>
  <c r="S814" i="98"/>
  <c r="R814" i="98"/>
  <c r="V813" i="98"/>
  <c r="T813" i="98"/>
  <c r="U813" i="98" s="1"/>
  <c r="S813" i="98"/>
  <c r="R813" i="98"/>
  <c r="V812" i="98"/>
  <c r="T812" i="98"/>
  <c r="U812" i="98" s="1"/>
  <c r="S812" i="98"/>
  <c r="R812" i="98"/>
  <c r="V811" i="98"/>
  <c r="T811" i="98"/>
  <c r="U811" i="98" s="1"/>
  <c r="S811" i="98"/>
  <c r="R811" i="98"/>
  <c r="V810" i="98"/>
  <c r="T810" i="98"/>
  <c r="U810" i="98" s="1"/>
  <c r="S810" i="98"/>
  <c r="R810" i="98"/>
  <c r="V809" i="98"/>
  <c r="T809" i="98"/>
  <c r="U809" i="98" s="1"/>
  <c r="S809" i="98"/>
  <c r="R809" i="98"/>
  <c r="V808" i="98"/>
  <c r="T808" i="98"/>
  <c r="U808" i="98" s="1"/>
  <c r="S808" i="98"/>
  <c r="R808" i="98"/>
  <c r="V807" i="98"/>
  <c r="T807" i="98"/>
  <c r="U807" i="98" s="1"/>
  <c r="S807" i="98"/>
  <c r="R807" i="98"/>
  <c r="V806" i="98"/>
  <c r="T806" i="98"/>
  <c r="U806" i="98" s="1"/>
  <c r="S806" i="98"/>
  <c r="R806" i="98"/>
  <c r="V805" i="98"/>
  <c r="T805" i="98"/>
  <c r="U805" i="98" s="1"/>
  <c r="S805" i="98"/>
  <c r="R805" i="98"/>
  <c r="V804" i="98"/>
  <c r="T804" i="98"/>
  <c r="U804" i="98" s="1"/>
  <c r="S804" i="98"/>
  <c r="R804" i="98"/>
  <c r="V803" i="98"/>
  <c r="T803" i="98"/>
  <c r="U803" i="98" s="1"/>
  <c r="S803" i="98"/>
  <c r="R803" i="98"/>
  <c r="V802" i="98"/>
  <c r="T802" i="98"/>
  <c r="U802" i="98" s="1"/>
  <c r="S802" i="98"/>
  <c r="R802" i="98"/>
  <c r="V801" i="98"/>
  <c r="T801" i="98"/>
  <c r="U801" i="98" s="1"/>
  <c r="S801" i="98"/>
  <c r="R801" i="98"/>
  <c r="V800" i="98"/>
  <c r="T800" i="98"/>
  <c r="U800" i="98" s="1"/>
  <c r="S800" i="98"/>
  <c r="R800" i="98"/>
  <c r="V799" i="98"/>
  <c r="T799" i="98"/>
  <c r="U799" i="98" s="1"/>
  <c r="S799" i="98"/>
  <c r="R799" i="98"/>
  <c r="V798" i="98"/>
  <c r="T798" i="98"/>
  <c r="U798" i="98" s="1"/>
  <c r="S798" i="98"/>
  <c r="R798" i="98"/>
  <c r="V797" i="98"/>
  <c r="T797" i="98"/>
  <c r="U797" i="98" s="1"/>
  <c r="S797" i="98"/>
  <c r="R797" i="98"/>
  <c r="V796" i="98"/>
  <c r="T796" i="98"/>
  <c r="U796" i="98" s="1"/>
  <c r="S796" i="98"/>
  <c r="R796" i="98"/>
  <c r="V795" i="98"/>
  <c r="T795" i="98"/>
  <c r="U795" i="98" s="1"/>
  <c r="S795" i="98"/>
  <c r="R795" i="98"/>
  <c r="V794" i="98"/>
  <c r="T794" i="98"/>
  <c r="U794" i="98" s="1"/>
  <c r="S794" i="98"/>
  <c r="R794" i="98"/>
  <c r="V793" i="98"/>
  <c r="T793" i="98"/>
  <c r="U793" i="98" s="1"/>
  <c r="S793" i="98"/>
  <c r="R793" i="98"/>
  <c r="V792" i="98"/>
  <c r="T792" i="98"/>
  <c r="U792" i="98" s="1"/>
  <c r="S792" i="98"/>
  <c r="R792" i="98"/>
  <c r="V791" i="98"/>
  <c r="T791" i="98"/>
  <c r="U791" i="98" s="1"/>
  <c r="S791" i="98"/>
  <c r="R791" i="98"/>
  <c r="V790" i="98"/>
  <c r="T790" i="98"/>
  <c r="U790" i="98" s="1"/>
  <c r="S790" i="98"/>
  <c r="R790" i="98"/>
  <c r="V789" i="98"/>
  <c r="T789" i="98"/>
  <c r="U789" i="98" s="1"/>
  <c r="S789" i="98"/>
  <c r="R789" i="98"/>
  <c r="V788" i="98"/>
  <c r="T788" i="98"/>
  <c r="U788" i="98" s="1"/>
  <c r="S788" i="98"/>
  <c r="R788" i="98"/>
  <c r="V787" i="98"/>
  <c r="T787" i="98"/>
  <c r="U787" i="98" s="1"/>
  <c r="S787" i="98"/>
  <c r="R787" i="98"/>
  <c r="V786" i="98"/>
  <c r="T786" i="98"/>
  <c r="U786" i="98" s="1"/>
  <c r="S786" i="98"/>
  <c r="R786" i="98"/>
  <c r="V785" i="98"/>
  <c r="T785" i="98"/>
  <c r="U785" i="98" s="1"/>
  <c r="S785" i="98"/>
  <c r="R785" i="98"/>
  <c r="V784" i="98"/>
  <c r="T784" i="98"/>
  <c r="U784" i="98" s="1"/>
  <c r="S784" i="98"/>
  <c r="R784" i="98"/>
  <c r="V783" i="98"/>
  <c r="T783" i="98"/>
  <c r="U783" i="98" s="1"/>
  <c r="S783" i="98"/>
  <c r="R783" i="98"/>
  <c r="V782" i="98"/>
  <c r="T782" i="98"/>
  <c r="U782" i="98" s="1"/>
  <c r="S782" i="98"/>
  <c r="R782" i="98"/>
  <c r="V781" i="98"/>
  <c r="T781" i="98"/>
  <c r="U781" i="98" s="1"/>
  <c r="S781" i="98"/>
  <c r="R781" i="98"/>
  <c r="V780" i="98"/>
  <c r="T780" i="98"/>
  <c r="U780" i="98" s="1"/>
  <c r="S780" i="98"/>
  <c r="R780" i="98"/>
  <c r="V779" i="98"/>
  <c r="T779" i="98"/>
  <c r="U779" i="98" s="1"/>
  <c r="S779" i="98"/>
  <c r="R779" i="98"/>
  <c r="V778" i="98"/>
  <c r="T778" i="98"/>
  <c r="U778" i="98" s="1"/>
  <c r="S778" i="98"/>
  <c r="R778" i="98"/>
  <c r="V777" i="98"/>
  <c r="T777" i="98"/>
  <c r="U777" i="98" s="1"/>
  <c r="S777" i="98"/>
  <c r="R777" i="98"/>
  <c r="V776" i="98"/>
  <c r="T776" i="98"/>
  <c r="U776" i="98" s="1"/>
  <c r="S776" i="98"/>
  <c r="R776" i="98"/>
  <c r="V775" i="98"/>
  <c r="T775" i="98"/>
  <c r="U775" i="98" s="1"/>
  <c r="S775" i="98"/>
  <c r="R775" i="98"/>
  <c r="V774" i="98"/>
  <c r="T774" i="98"/>
  <c r="U774" i="98" s="1"/>
  <c r="S774" i="98"/>
  <c r="R774" i="98"/>
  <c r="V773" i="98"/>
  <c r="T773" i="98"/>
  <c r="U773" i="98" s="1"/>
  <c r="S773" i="98"/>
  <c r="R773" i="98"/>
  <c r="V772" i="98"/>
  <c r="T772" i="98"/>
  <c r="U772" i="98" s="1"/>
  <c r="S772" i="98"/>
  <c r="R772" i="98"/>
  <c r="V771" i="98"/>
  <c r="T771" i="98"/>
  <c r="U771" i="98" s="1"/>
  <c r="S771" i="98"/>
  <c r="R771" i="98"/>
  <c r="V770" i="98"/>
  <c r="T770" i="98"/>
  <c r="U770" i="98" s="1"/>
  <c r="S770" i="98"/>
  <c r="R770" i="98"/>
  <c r="V769" i="98"/>
  <c r="T769" i="98"/>
  <c r="U769" i="98" s="1"/>
  <c r="S769" i="98"/>
  <c r="R769" i="98"/>
  <c r="V768" i="98"/>
  <c r="T768" i="98"/>
  <c r="U768" i="98" s="1"/>
  <c r="S768" i="98"/>
  <c r="R768" i="98"/>
  <c r="V767" i="98"/>
  <c r="T767" i="98"/>
  <c r="U767" i="98" s="1"/>
  <c r="S767" i="98"/>
  <c r="R767" i="98"/>
  <c r="V766" i="98"/>
  <c r="T766" i="98"/>
  <c r="U766" i="98" s="1"/>
  <c r="S766" i="98"/>
  <c r="R766" i="98"/>
  <c r="V765" i="98"/>
  <c r="T765" i="98"/>
  <c r="U765" i="98" s="1"/>
  <c r="S765" i="98"/>
  <c r="R765" i="98"/>
  <c r="V764" i="98"/>
  <c r="T764" i="98"/>
  <c r="U764" i="98" s="1"/>
  <c r="S764" i="98"/>
  <c r="R764" i="98"/>
  <c r="V763" i="98"/>
  <c r="T763" i="98"/>
  <c r="U763" i="98" s="1"/>
  <c r="S763" i="98"/>
  <c r="R763" i="98"/>
  <c r="V762" i="98"/>
  <c r="T762" i="98"/>
  <c r="U762" i="98" s="1"/>
  <c r="S762" i="98"/>
  <c r="R762" i="98"/>
  <c r="V761" i="98"/>
  <c r="T761" i="98"/>
  <c r="U761" i="98" s="1"/>
  <c r="S761" i="98"/>
  <c r="R761" i="98"/>
  <c r="V760" i="98"/>
  <c r="T760" i="98"/>
  <c r="U760" i="98" s="1"/>
  <c r="S760" i="98"/>
  <c r="R760" i="98"/>
  <c r="V759" i="98"/>
  <c r="T759" i="98"/>
  <c r="U759" i="98" s="1"/>
  <c r="S759" i="98"/>
  <c r="R759" i="98"/>
  <c r="V758" i="98"/>
  <c r="T758" i="98"/>
  <c r="U758" i="98" s="1"/>
  <c r="S758" i="98"/>
  <c r="R758" i="98"/>
  <c r="V757" i="98"/>
  <c r="T757" i="98"/>
  <c r="U757" i="98" s="1"/>
  <c r="S757" i="98"/>
  <c r="R757" i="98"/>
  <c r="V756" i="98"/>
  <c r="T756" i="98"/>
  <c r="U756" i="98" s="1"/>
  <c r="S756" i="98"/>
  <c r="R756" i="98"/>
  <c r="V755" i="98"/>
  <c r="T755" i="98"/>
  <c r="U755" i="98" s="1"/>
  <c r="S755" i="98"/>
  <c r="R755" i="98"/>
  <c r="V754" i="98"/>
  <c r="T754" i="98"/>
  <c r="U754" i="98" s="1"/>
  <c r="S754" i="98"/>
  <c r="R754" i="98"/>
  <c r="V753" i="98"/>
  <c r="T753" i="98"/>
  <c r="U753" i="98" s="1"/>
  <c r="S753" i="98"/>
  <c r="R753" i="98"/>
  <c r="V752" i="98"/>
  <c r="T752" i="98"/>
  <c r="U752" i="98" s="1"/>
  <c r="S752" i="98"/>
  <c r="R752" i="98"/>
  <c r="V751" i="98"/>
  <c r="T751" i="98"/>
  <c r="U751" i="98" s="1"/>
  <c r="S751" i="98"/>
  <c r="R751" i="98"/>
  <c r="V750" i="98"/>
  <c r="T750" i="98"/>
  <c r="U750" i="98" s="1"/>
  <c r="S750" i="98"/>
  <c r="R750" i="98"/>
  <c r="V749" i="98"/>
  <c r="T749" i="98"/>
  <c r="U749" i="98" s="1"/>
  <c r="S749" i="98"/>
  <c r="R749" i="98"/>
  <c r="V748" i="98"/>
  <c r="T748" i="98"/>
  <c r="U748" i="98" s="1"/>
  <c r="S748" i="98"/>
  <c r="R748" i="98"/>
  <c r="V747" i="98"/>
  <c r="T747" i="98"/>
  <c r="U747" i="98" s="1"/>
  <c r="S747" i="98"/>
  <c r="R747" i="98"/>
  <c r="V746" i="98"/>
  <c r="T746" i="98"/>
  <c r="U746" i="98" s="1"/>
  <c r="S746" i="98"/>
  <c r="R746" i="98"/>
  <c r="V745" i="98"/>
  <c r="T745" i="98"/>
  <c r="U745" i="98" s="1"/>
  <c r="S745" i="98"/>
  <c r="R745" i="98"/>
  <c r="V744" i="98"/>
  <c r="T744" i="98"/>
  <c r="U744" i="98" s="1"/>
  <c r="S744" i="98"/>
  <c r="R744" i="98"/>
  <c r="V743" i="98"/>
  <c r="T743" i="98"/>
  <c r="U743" i="98" s="1"/>
  <c r="S743" i="98"/>
  <c r="R743" i="98"/>
  <c r="V742" i="98"/>
  <c r="T742" i="98"/>
  <c r="U742" i="98" s="1"/>
  <c r="S742" i="98"/>
  <c r="R742" i="98"/>
  <c r="V741" i="98"/>
  <c r="T741" i="98"/>
  <c r="U741" i="98" s="1"/>
  <c r="S741" i="98"/>
  <c r="R741" i="98"/>
  <c r="V740" i="98"/>
  <c r="T740" i="98"/>
  <c r="U740" i="98" s="1"/>
  <c r="S740" i="98"/>
  <c r="R740" i="98"/>
  <c r="V739" i="98"/>
  <c r="T739" i="98"/>
  <c r="U739" i="98" s="1"/>
  <c r="S739" i="98"/>
  <c r="R739" i="98"/>
  <c r="V738" i="98"/>
  <c r="T738" i="98"/>
  <c r="U738" i="98" s="1"/>
  <c r="S738" i="98"/>
  <c r="R738" i="98"/>
  <c r="V737" i="98"/>
  <c r="T737" i="98"/>
  <c r="U737" i="98" s="1"/>
  <c r="S737" i="98"/>
  <c r="R737" i="98"/>
  <c r="V736" i="98"/>
  <c r="T736" i="98"/>
  <c r="U736" i="98" s="1"/>
  <c r="S736" i="98"/>
  <c r="R736" i="98"/>
  <c r="V735" i="98"/>
  <c r="T735" i="98"/>
  <c r="U735" i="98" s="1"/>
  <c r="S735" i="98"/>
  <c r="R735" i="98"/>
  <c r="V734" i="98"/>
  <c r="T734" i="98"/>
  <c r="U734" i="98" s="1"/>
  <c r="S734" i="98"/>
  <c r="R734" i="98"/>
  <c r="V733" i="98"/>
  <c r="T733" i="98"/>
  <c r="U733" i="98" s="1"/>
  <c r="S733" i="98"/>
  <c r="R733" i="98"/>
  <c r="V732" i="98"/>
  <c r="T732" i="98"/>
  <c r="U732" i="98" s="1"/>
  <c r="S732" i="98"/>
  <c r="R732" i="98"/>
  <c r="V731" i="98"/>
  <c r="T731" i="98"/>
  <c r="U731" i="98" s="1"/>
  <c r="S731" i="98"/>
  <c r="R731" i="98"/>
  <c r="V730" i="98"/>
  <c r="T730" i="98"/>
  <c r="U730" i="98" s="1"/>
  <c r="S730" i="98"/>
  <c r="R730" i="98"/>
  <c r="V729" i="98"/>
  <c r="T729" i="98"/>
  <c r="U729" i="98" s="1"/>
  <c r="S729" i="98"/>
  <c r="R729" i="98"/>
  <c r="V728" i="98"/>
  <c r="T728" i="98"/>
  <c r="U728" i="98" s="1"/>
  <c r="S728" i="98"/>
  <c r="R728" i="98"/>
  <c r="V727" i="98"/>
  <c r="T727" i="98"/>
  <c r="U727" i="98" s="1"/>
  <c r="S727" i="98"/>
  <c r="R727" i="98"/>
  <c r="V726" i="98"/>
  <c r="T726" i="98"/>
  <c r="U726" i="98" s="1"/>
  <c r="S726" i="98"/>
  <c r="R726" i="98"/>
  <c r="V725" i="98"/>
  <c r="T725" i="98"/>
  <c r="U725" i="98" s="1"/>
  <c r="S725" i="98"/>
  <c r="R725" i="98"/>
  <c r="V724" i="98"/>
  <c r="T724" i="98"/>
  <c r="U724" i="98" s="1"/>
  <c r="S724" i="98"/>
  <c r="R724" i="98"/>
  <c r="V723" i="98"/>
  <c r="T723" i="98"/>
  <c r="U723" i="98" s="1"/>
  <c r="S723" i="98"/>
  <c r="R723" i="98"/>
  <c r="V722" i="98"/>
  <c r="T722" i="98"/>
  <c r="U722" i="98" s="1"/>
  <c r="S722" i="98"/>
  <c r="R722" i="98"/>
  <c r="V721" i="98"/>
  <c r="T721" i="98"/>
  <c r="U721" i="98" s="1"/>
  <c r="S721" i="98"/>
  <c r="R721" i="98"/>
  <c r="V720" i="98"/>
  <c r="T720" i="98"/>
  <c r="U720" i="98" s="1"/>
  <c r="S720" i="98"/>
  <c r="R720" i="98"/>
  <c r="V719" i="98"/>
  <c r="T719" i="98"/>
  <c r="U719" i="98" s="1"/>
  <c r="S719" i="98"/>
  <c r="R719" i="98"/>
  <c r="V718" i="98"/>
  <c r="T718" i="98"/>
  <c r="U718" i="98" s="1"/>
  <c r="S718" i="98"/>
  <c r="R718" i="98"/>
  <c r="V717" i="98"/>
  <c r="T717" i="98"/>
  <c r="U717" i="98" s="1"/>
  <c r="S717" i="98"/>
  <c r="R717" i="98"/>
  <c r="V716" i="98"/>
  <c r="T716" i="98"/>
  <c r="U716" i="98" s="1"/>
  <c r="S716" i="98"/>
  <c r="R716" i="98"/>
  <c r="V715" i="98"/>
  <c r="T715" i="98"/>
  <c r="U715" i="98" s="1"/>
  <c r="S715" i="98"/>
  <c r="R715" i="98"/>
  <c r="V714" i="98"/>
  <c r="T714" i="98"/>
  <c r="U714" i="98" s="1"/>
  <c r="S714" i="98"/>
  <c r="R714" i="98"/>
  <c r="V713" i="98"/>
  <c r="T713" i="98"/>
  <c r="U713" i="98" s="1"/>
  <c r="S713" i="98"/>
  <c r="R713" i="98"/>
  <c r="V712" i="98"/>
  <c r="T712" i="98"/>
  <c r="U712" i="98" s="1"/>
  <c r="S712" i="98"/>
  <c r="R712" i="98"/>
  <c r="V711" i="98"/>
  <c r="T711" i="98"/>
  <c r="U711" i="98" s="1"/>
  <c r="S711" i="98"/>
  <c r="R711" i="98"/>
  <c r="V710" i="98"/>
  <c r="T710" i="98"/>
  <c r="U710" i="98" s="1"/>
  <c r="S710" i="98"/>
  <c r="R710" i="98"/>
  <c r="V709" i="98"/>
  <c r="T709" i="98"/>
  <c r="U709" i="98" s="1"/>
  <c r="S709" i="98"/>
  <c r="R709" i="98"/>
  <c r="V708" i="98"/>
  <c r="T708" i="98"/>
  <c r="U708" i="98" s="1"/>
  <c r="S708" i="98"/>
  <c r="R708" i="98"/>
  <c r="V707" i="98"/>
  <c r="T707" i="98"/>
  <c r="U707" i="98" s="1"/>
  <c r="S707" i="98"/>
  <c r="R707" i="98"/>
  <c r="V706" i="98"/>
  <c r="T706" i="98"/>
  <c r="U706" i="98" s="1"/>
  <c r="S706" i="98"/>
  <c r="R706" i="98"/>
  <c r="V705" i="98"/>
  <c r="T705" i="98"/>
  <c r="U705" i="98" s="1"/>
  <c r="S705" i="98"/>
  <c r="R705" i="98"/>
  <c r="V704" i="98"/>
  <c r="T704" i="98"/>
  <c r="U704" i="98" s="1"/>
  <c r="S704" i="98"/>
  <c r="R704" i="98"/>
  <c r="V703" i="98"/>
  <c r="T703" i="98"/>
  <c r="U703" i="98" s="1"/>
  <c r="S703" i="98"/>
  <c r="R703" i="98"/>
  <c r="V702" i="98"/>
  <c r="T702" i="98"/>
  <c r="U702" i="98" s="1"/>
  <c r="S702" i="98"/>
  <c r="R702" i="98"/>
  <c r="V701" i="98"/>
  <c r="T701" i="98"/>
  <c r="U701" i="98" s="1"/>
  <c r="S701" i="98"/>
  <c r="R701" i="98"/>
  <c r="V700" i="98"/>
  <c r="T700" i="98"/>
  <c r="U700" i="98" s="1"/>
  <c r="S700" i="98"/>
  <c r="R700" i="98"/>
  <c r="V699" i="98"/>
  <c r="T699" i="98"/>
  <c r="U699" i="98" s="1"/>
  <c r="S699" i="98"/>
  <c r="R699" i="98"/>
  <c r="V698" i="98"/>
  <c r="T698" i="98"/>
  <c r="U698" i="98" s="1"/>
  <c r="S698" i="98"/>
  <c r="R698" i="98"/>
  <c r="V697" i="98"/>
  <c r="T697" i="98"/>
  <c r="U697" i="98" s="1"/>
  <c r="S697" i="98"/>
  <c r="R697" i="98"/>
  <c r="V696" i="98"/>
  <c r="T696" i="98"/>
  <c r="U696" i="98" s="1"/>
  <c r="S696" i="98"/>
  <c r="R696" i="98"/>
  <c r="V695" i="98"/>
  <c r="T695" i="98"/>
  <c r="U695" i="98" s="1"/>
  <c r="S695" i="98"/>
  <c r="R695" i="98"/>
  <c r="V694" i="98"/>
  <c r="T694" i="98"/>
  <c r="U694" i="98" s="1"/>
  <c r="S694" i="98"/>
  <c r="R694" i="98"/>
  <c r="V693" i="98"/>
  <c r="T693" i="98"/>
  <c r="U693" i="98" s="1"/>
  <c r="S693" i="98"/>
  <c r="R693" i="98"/>
  <c r="V692" i="98"/>
  <c r="T692" i="98"/>
  <c r="U692" i="98" s="1"/>
  <c r="S692" i="98"/>
  <c r="R692" i="98"/>
  <c r="V691" i="98"/>
  <c r="T691" i="98"/>
  <c r="U691" i="98" s="1"/>
  <c r="S691" i="98"/>
  <c r="R691" i="98"/>
  <c r="V690" i="98"/>
  <c r="T690" i="98"/>
  <c r="U690" i="98" s="1"/>
  <c r="S690" i="98"/>
  <c r="R690" i="98"/>
  <c r="V689" i="98"/>
  <c r="T689" i="98"/>
  <c r="U689" i="98" s="1"/>
  <c r="S689" i="98"/>
  <c r="R689" i="98"/>
  <c r="V688" i="98"/>
  <c r="T688" i="98"/>
  <c r="U688" i="98" s="1"/>
  <c r="S688" i="98"/>
  <c r="R688" i="98"/>
  <c r="V687" i="98"/>
  <c r="T687" i="98"/>
  <c r="U687" i="98" s="1"/>
  <c r="S687" i="98"/>
  <c r="R687" i="98"/>
  <c r="V686" i="98"/>
  <c r="T686" i="98"/>
  <c r="U686" i="98" s="1"/>
  <c r="S686" i="98"/>
  <c r="R686" i="98"/>
  <c r="V685" i="98"/>
  <c r="T685" i="98"/>
  <c r="U685" i="98" s="1"/>
  <c r="S685" i="98"/>
  <c r="R685" i="98"/>
  <c r="V684" i="98"/>
  <c r="T684" i="98"/>
  <c r="U684" i="98" s="1"/>
  <c r="S684" i="98"/>
  <c r="R684" i="98"/>
  <c r="V683" i="98"/>
  <c r="T683" i="98"/>
  <c r="U683" i="98" s="1"/>
  <c r="S683" i="98"/>
  <c r="R683" i="98"/>
  <c r="V682" i="98"/>
  <c r="T682" i="98"/>
  <c r="U682" i="98" s="1"/>
  <c r="S682" i="98"/>
  <c r="R682" i="98"/>
  <c r="V681" i="98"/>
  <c r="T681" i="98"/>
  <c r="U681" i="98" s="1"/>
  <c r="S681" i="98"/>
  <c r="R681" i="98"/>
  <c r="V680" i="98"/>
  <c r="T680" i="98"/>
  <c r="U680" i="98" s="1"/>
  <c r="S680" i="98"/>
  <c r="R680" i="98"/>
  <c r="V679" i="98"/>
  <c r="T679" i="98"/>
  <c r="U679" i="98" s="1"/>
  <c r="S679" i="98"/>
  <c r="R679" i="98"/>
  <c r="V678" i="98"/>
  <c r="T678" i="98"/>
  <c r="U678" i="98" s="1"/>
  <c r="S678" i="98"/>
  <c r="R678" i="98"/>
  <c r="V677" i="98"/>
  <c r="T677" i="98"/>
  <c r="U677" i="98" s="1"/>
  <c r="S677" i="98"/>
  <c r="R677" i="98"/>
  <c r="V676" i="98"/>
  <c r="T676" i="98"/>
  <c r="U676" i="98" s="1"/>
  <c r="S676" i="98"/>
  <c r="R676" i="98"/>
  <c r="V675" i="98"/>
  <c r="T675" i="98"/>
  <c r="U675" i="98" s="1"/>
  <c r="S675" i="98"/>
  <c r="R675" i="98"/>
  <c r="V674" i="98"/>
  <c r="T674" i="98"/>
  <c r="U674" i="98" s="1"/>
  <c r="S674" i="98"/>
  <c r="R674" i="98"/>
  <c r="V673" i="98"/>
  <c r="T673" i="98"/>
  <c r="U673" i="98" s="1"/>
  <c r="S673" i="98"/>
  <c r="R673" i="98"/>
  <c r="V672" i="98"/>
  <c r="T672" i="98"/>
  <c r="U672" i="98" s="1"/>
  <c r="S672" i="98"/>
  <c r="R672" i="98"/>
  <c r="V671" i="98"/>
  <c r="T671" i="98"/>
  <c r="U671" i="98" s="1"/>
  <c r="S671" i="98"/>
  <c r="R671" i="98"/>
  <c r="V670" i="98"/>
  <c r="T670" i="98"/>
  <c r="U670" i="98" s="1"/>
  <c r="S670" i="98"/>
  <c r="R670" i="98"/>
  <c r="V669" i="98"/>
  <c r="T669" i="98"/>
  <c r="U669" i="98" s="1"/>
  <c r="S669" i="98"/>
  <c r="R669" i="98"/>
  <c r="V668" i="98"/>
  <c r="T668" i="98"/>
  <c r="U668" i="98" s="1"/>
  <c r="S668" i="98"/>
  <c r="R668" i="98"/>
  <c r="V667" i="98"/>
  <c r="T667" i="98"/>
  <c r="U667" i="98" s="1"/>
  <c r="S667" i="98"/>
  <c r="R667" i="98"/>
  <c r="V666" i="98"/>
  <c r="T666" i="98"/>
  <c r="U666" i="98" s="1"/>
  <c r="S666" i="98"/>
  <c r="R666" i="98"/>
  <c r="V665" i="98"/>
  <c r="T665" i="98"/>
  <c r="U665" i="98" s="1"/>
  <c r="S665" i="98"/>
  <c r="R665" i="98"/>
  <c r="V664" i="98"/>
  <c r="T664" i="98"/>
  <c r="U664" i="98" s="1"/>
  <c r="S664" i="98"/>
  <c r="R664" i="98"/>
  <c r="V663" i="98"/>
  <c r="T663" i="98"/>
  <c r="U663" i="98" s="1"/>
  <c r="S663" i="98"/>
  <c r="R663" i="98"/>
  <c r="V662" i="98"/>
  <c r="T662" i="98"/>
  <c r="U662" i="98" s="1"/>
  <c r="S662" i="98"/>
  <c r="R662" i="98"/>
  <c r="V661" i="98"/>
  <c r="T661" i="98"/>
  <c r="U661" i="98" s="1"/>
  <c r="S661" i="98"/>
  <c r="R661" i="98"/>
  <c r="V660" i="98"/>
  <c r="T660" i="98"/>
  <c r="U660" i="98" s="1"/>
  <c r="S660" i="98"/>
  <c r="R660" i="98"/>
  <c r="V659" i="98"/>
  <c r="T659" i="98"/>
  <c r="U659" i="98" s="1"/>
  <c r="S659" i="98"/>
  <c r="R659" i="98"/>
  <c r="V658" i="98"/>
  <c r="T658" i="98"/>
  <c r="U658" i="98" s="1"/>
  <c r="S658" i="98"/>
  <c r="R658" i="98"/>
  <c r="V657" i="98"/>
  <c r="T657" i="98"/>
  <c r="U657" i="98" s="1"/>
  <c r="S657" i="98"/>
  <c r="R657" i="98"/>
  <c r="V656" i="98"/>
  <c r="T656" i="98"/>
  <c r="U656" i="98" s="1"/>
  <c r="S656" i="98"/>
  <c r="R656" i="98"/>
  <c r="V655" i="98"/>
  <c r="T655" i="98"/>
  <c r="U655" i="98" s="1"/>
  <c r="S655" i="98"/>
  <c r="R655" i="98"/>
  <c r="V654" i="98"/>
  <c r="T654" i="98"/>
  <c r="U654" i="98" s="1"/>
  <c r="S654" i="98"/>
  <c r="R654" i="98"/>
  <c r="V653" i="98"/>
  <c r="T653" i="98"/>
  <c r="U653" i="98" s="1"/>
  <c r="S653" i="98"/>
  <c r="R653" i="98"/>
  <c r="V652" i="98"/>
  <c r="T652" i="98"/>
  <c r="U652" i="98" s="1"/>
  <c r="S652" i="98"/>
  <c r="R652" i="98"/>
  <c r="V651" i="98"/>
  <c r="T651" i="98"/>
  <c r="U651" i="98" s="1"/>
  <c r="S651" i="98"/>
  <c r="R651" i="98"/>
  <c r="V650" i="98"/>
  <c r="T650" i="98"/>
  <c r="U650" i="98" s="1"/>
  <c r="S650" i="98"/>
  <c r="R650" i="98"/>
  <c r="V649" i="98"/>
  <c r="T649" i="98"/>
  <c r="U649" i="98" s="1"/>
  <c r="S649" i="98"/>
  <c r="R649" i="98"/>
  <c r="V648" i="98"/>
  <c r="T648" i="98"/>
  <c r="U648" i="98" s="1"/>
  <c r="S648" i="98"/>
  <c r="R648" i="98"/>
  <c r="V647" i="98"/>
  <c r="T647" i="98"/>
  <c r="U647" i="98" s="1"/>
  <c r="S647" i="98"/>
  <c r="R647" i="98"/>
  <c r="V646" i="98"/>
  <c r="T646" i="98"/>
  <c r="U646" i="98" s="1"/>
  <c r="S646" i="98"/>
  <c r="R646" i="98"/>
  <c r="V645" i="98"/>
  <c r="T645" i="98"/>
  <c r="U645" i="98" s="1"/>
  <c r="S645" i="98"/>
  <c r="R645" i="98"/>
  <c r="V644" i="98"/>
  <c r="T644" i="98"/>
  <c r="U644" i="98" s="1"/>
  <c r="S644" i="98"/>
  <c r="R644" i="98"/>
  <c r="V643" i="98"/>
  <c r="T643" i="98"/>
  <c r="U643" i="98" s="1"/>
  <c r="S643" i="98"/>
  <c r="R643" i="98"/>
  <c r="V642" i="98"/>
  <c r="T642" i="98"/>
  <c r="U642" i="98" s="1"/>
  <c r="S642" i="98"/>
  <c r="R642" i="98"/>
  <c r="V641" i="98"/>
  <c r="T641" i="98"/>
  <c r="U641" i="98" s="1"/>
  <c r="S641" i="98"/>
  <c r="R641" i="98"/>
  <c r="V640" i="98"/>
  <c r="T640" i="98"/>
  <c r="U640" i="98" s="1"/>
  <c r="S640" i="98"/>
  <c r="R640" i="98"/>
  <c r="V639" i="98"/>
  <c r="T639" i="98"/>
  <c r="U639" i="98" s="1"/>
  <c r="S639" i="98"/>
  <c r="R639" i="98"/>
  <c r="V638" i="98"/>
  <c r="T638" i="98"/>
  <c r="U638" i="98" s="1"/>
  <c r="S638" i="98"/>
  <c r="R638" i="98"/>
  <c r="V637" i="98"/>
  <c r="T637" i="98"/>
  <c r="U637" i="98" s="1"/>
  <c r="S637" i="98"/>
  <c r="R637" i="98"/>
  <c r="V636" i="98"/>
  <c r="T636" i="98"/>
  <c r="U636" i="98" s="1"/>
  <c r="S636" i="98"/>
  <c r="R636" i="98"/>
  <c r="V635" i="98"/>
  <c r="T635" i="98"/>
  <c r="U635" i="98" s="1"/>
  <c r="S635" i="98"/>
  <c r="R635" i="98"/>
  <c r="V634" i="98"/>
  <c r="T634" i="98"/>
  <c r="U634" i="98" s="1"/>
  <c r="S634" i="98"/>
  <c r="R634" i="98"/>
  <c r="V633" i="98"/>
  <c r="T633" i="98"/>
  <c r="U633" i="98" s="1"/>
  <c r="S633" i="98"/>
  <c r="R633" i="98"/>
  <c r="V632" i="98"/>
  <c r="T632" i="98"/>
  <c r="U632" i="98" s="1"/>
  <c r="S632" i="98"/>
  <c r="R632" i="98"/>
  <c r="V631" i="98"/>
  <c r="T631" i="98"/>
  <c r="U631" i="98" s="1"/>
  <c r="S631" i="98"/>
  <c r="R631" i="98"/>
  <c r="V630" i="98"/>
  <c r="T630" i="98"/>
  <c r="U630" i="98" s="1"/>
  <c r="S630" i="98"/>
  <c r="R630" i="98"/>
  <c r="V629" i="98"/>
  <c r="T629" i="98"/>
  <c r="U629" i="98" s="1"/>
  <c r="S629" i="98"/>
  <c r="R629" i="98"/>
  <c r="V628" i="98"/>
  <c r="T628" i="98"/>
  <c r="U628" i="98" s="1"/>
  <c r="S628" i="98"/>
  <c r="R628" i="98"/>
  <c r="V627" i="98"/>
  <c r="T627" i="98"/>
  <c r="U627" i="98" s="1"/>
  <c r="S627" i="98"/>
  <c r="R627" i="98"/>
  <c r="V626" i="98"/>
  <c r="T626" i="98"/>
  <c r="U626" i="98" s="1"/>
  <c r="S626" i="98"/>
  <c r="R626" i="98"/>
  <c r="V625" i="98"/>
  <c r="T625" i="98"/>
  <c r="U625" i="98" s="1"/>
  <c r="S625" i="98"/>
  <c r="R625" i="98"/>
  <c r="V624" i="98"/>
  <c r="T624" i="98"/>
  <c r="U624" i="98" s="1"/>
  <c r="S624" i="98"/>
  <c r="R624" i="98"/>
  <c r="V623" i="98"/>
  <c r="T623" i="98"/>
  <c r="U623" i="98" s="1"/>
  <c r="S623" i="98"/>
  <c r="R623" i="98"/>
  <c r="V622" i="98"/>
  <c r="T622" i="98"/>
  <c r="U622" i="98" s="1"/>
  <c r="S622" i="98"/>
  <c r="R622" i="98"/>
  <c r="V621" i="98"/>
  <c r="T621" i="98"/>
  <c r="U621" i="98" s="1"/>
  <c r="S621" i="98"/>
  <c r="R621" i="98"/>
  <c r="V620" i="98"/>
  <c r="T620" i="98"/>
  <c r="U620" i="98" s="1"/>
  <c r="S620" i="98"/>
  <c r="R620" i="98"/>
  <c r="V619" i="98"/>
  <c r="T619" i="98"/>
  <c r="U619" i="98" s="1"/>
  <c r="S619" i="98"/>
  <c r="R619" i="98"/>
  <c r="V618" i="98"/>
  <c r="T618" i="98"/>
  <c r="U618" i="98" s="1"/>
  <c r="S618" i="98"/>
  <c r="R618" i="98"/>
  <c r="V617" i="98"/>
  <c r="T617" i="98"/>
  <c r="U617" i="98" s="1"/>
  <c r="S617" i="98"/>
  <c r="R617" i="98"/>
  <c r="V616" i="98"/>
  <c r="T616" i="98"/>
  <c r="U616" i="98" s="1"/>
  <c r="S616" i="98"/>
  <c r="R616" i="98"/>
  <c r="V615" i="98"/>
  <c r="T615" i="98"/>
  <c r="U615" i="98" s="1"/>
  <c r="S615" i="98"/>
  <c r="R615" i="98"/>
  <c r="V614" i="98"/>
  <c r="T614" i="98"/>
  <c r="U614" i="98" s="1"/>
  <c r="S614" i="98"/>
  <c r="R614" i="98"/>
  <c r="V613" i="98"/>
  <c r="T613" i="98"/>
  <c r="U613" i="98" s="1"/>
  <c r="S613" i="98"/>
  <c r="R613" i="98"/>
  <c r="V612" i="98"/>
  <c r="T612" i="98"/>
  <c r="U612" i="98" s="1"/>
  <c r="S612" i="98"/>
  <c r="R612" i="98"/>
  <c r="V611" i="98"/>
  <c r="T611" i="98"/>
  <c r="U611" i="98" s="1"/>
  <c r="S611" i="98"/>
  <c r="R611" i="98"/>
  <c r="V610" i="98"/>
  <c r="T610" i="98"/>
  <c r="U610" i="98" s="1"/>
  <c r="S610" i="98"/>
  <c r="R610" i="98"/>
  <c r="V609" i="98"/>
  <c r="T609" i="98"/>
  <c r="U609" i="98" s="1"/>
  <c r="S609" i="98"/>
  <c r="R609" i="98"/>
  <c r="V608" i="98"/>
  <c r="T608" i="98"/>
  <c r="U608" i="98" s="1"/>
  <c r="S608" i="98"/>
  <c r="R608" i="98"/>
  <c r="V607" i="98"/>
  <c r="T607" i="98"/>
  <c r="U607" i="98" s="1"/>
  <c r="S607" i="98"/>
  <c r="R607" i="98"/>
  <c r="V606" i="98"/>
  <c r="T606" i="98"/>
  <c r="U606" i="98" s="1"/>
  <c r="S606" i="98"/>
  <c r="R606" i="98"/>
  <c r="V605" i="98"/>
  <c r="T605" i="98"/>
  <c r="U605" i="98" s="1"/>
  <c r="S605" i="98"/>
  <c r="R605" i="98"/>
  <c r="V604" i="98"/>
  <c r="T604" i="98"/>
  <c r="U604" i="98" s="1"/>
  <c r="S604" i="98"/>
  <c r="R604" i="98"/>
  <c r="V603" i="98"/>
  <c r="T603" i="98"/>
  <c r="U603" i="98" s="1"/>
  <c r="S603" i="98"/>
  <c r="R603" i="98"/>
  <c r="V602" i="98"/>
  <c r="T602" i="98"/>
  <c r="U602" i="98" s="1"/>
  <c r="S602" i="98"/>
  <c r="R602" i="98"/>
  <c r="V601" i="98"/>
  <c r="T601" i="98"/>
  <c r="U601" i="98" s="1"/>
  <c r="S601" i="98"/>
  <c r="R601" i="98"/>
  <c r="V600" i="98"/>
  <c r="T600" i="98"/>
  <c r="U600" i="98" s="1"/>
  <c r="S600" i="98"/>
  <c r="R600" i="98"/>
  <c r="V599" i="98"/>
  <c r="T599" i="98"/>
  <c r="U599" i="98" s="1"/>
  <c r="S599" i="98"/>
  <c r="R599" i="98"/>
  <c r="V598" i="98"/>
  <c r="T598" i="98"/>
  <c r="U598" i="98" s="1"/>
  <c r="S598" i="98"/>
  <c r="R598" i="98"/>
  <c r="V597" i="98"/>
  <c r="T597" i="98"/>
  <c r="U597" i="98" s="1"/>
  <c r="S597" i="98"/>
  <c r="R597" i="98"/>
  <c r="V596" i="98"/>
  <c r="T596" i="98"/>
  <c r="U596" i="98" s="1"/>
  <c r="S596" i="98"/>
  <c r="R596" i="98"/>
  <c r="V595" i="98"/>
  <c r="T595" i="98"/>
  <c r="U595" i="98" s="1"/>
  <c r="S595" i="98"/>
  <c r="R595" i="98"/>
  <c r="V594" i="98"/>
  <c r="T594" i="98"/>
  <c r="U594" i="98" s="1"/>
  <c r="S594" i="98"/>
  <c r="R594" i="98"/>
  <c r="V593" i="98"/>
  <c r="T593" i="98"/>
  <c r="U593" i="98" s="1"/>
  <c r="S593" i="98"/>
  <c r="R593" i="98"/>
  <c r="V592" i="98"/>
  <c r="T592" i="98"/>
  <c r="U592" i="98" s="1"/>
  <c r="S592" i="98"/>
  <c r="R592" i="98"/>
  <c r="V591" i="98"/>
  <c r="T591" i="98"/>
  <c r="U591" i="98" s="1"/>
  <c r="S591" i="98"/>
  <c r="R591" i="98"/>
  <c r="V590" i="98"/>
  <c r="T590" i="98"/>
  <c r="U590" i="98" s="1"/>
  <c r="S590" i="98"/>
  <c r="R590" i="98"/>
  <c r="V589" i="98"/>
  <c r="T589" i="98"/>
  <c r="U589" i="98" s="1"/>
  <c r="S589" i="98"/>
  <c r="R589" i="98"/>
  <c r="V588" i="98"/>
  <c r="T588" i="98"/>
  <c r="U588" i="98" s="1"/>
  <c r="S588" i="98"/>
  <c r="R588" i="98"/>
  <c r="V587" i="98"/>
  <c r="T587" i="98"/>
  <c r="U587" i="98" s="1"/>
  <c r="S587" i="98"/>
  <c r="R587" i="98"/>
  <c r="V586" i="98"/>
  <c r="T586" i="98"/>
  <c r="U586" i="98" s="1"/>
  <c r="S586" i="98"/>
  <c r="R586" i="98"/>
  <c r="V585" i="98"/>
  <c r="T585" i="98"/>
  <c r="U585" i="98" s="1"/>
  <c r="S585" i="98"/>
  <c r="R585" i="98"/>
  <c r="V584" i="98"/>
  <c r="T584" i="98"/>
  <c r="U584" i="98" s="1"/>
  <c r="S584" i="98"/>
  <c r="R584" i="98"/>
  <c r="V583" i="98"/>
  <c r="T583" i="98"/>
  <c r="U583" i="98" s="1"/>
  <c r="S583" i="98"/>
  <c r="R583" i="98"/>
  <c r="V582" i="98"/>
  <c r="T582" i="98"/>
  <c r="U582" i="98" s="1"/>
  <c r="S582" i="98"/>
  <c r="R582" i="98"/>
  <c r="V581" i="98"/>
  <c r="T581" i="98"/>
  <c r="U581" i="98" s="1"/>
  <c r="S581" i="98"/>
  <c r="R581" i="98"/>
  <c r="V580" i="98"/>
  <c r="T580" i="98"/>
  <c r="U580" i="98" s="1"/>
  <c r="S580" i="98"/>
  <c r="R580" i="98"/>
  <c r="V579" i="98"/>
  <c r="T579" i="98"/>
  <c r="U579" i="98" s="1"/>
  <c r="S579" i="98"/>
  <c r="R579" i="98"/>
  <c r="V578" i="98"/>
  <c r="T578" i="98"/>
  <c r="U578" i="98" s="1"/>
  <c r="S578" i="98"/>
  <c r="R578" i="98"/>
  <c r="V577" i="98"/>
  <c r="T577" i="98"/>
  <c r="U577" i="98" s="1"/>
  <c r="S577" i="98"/>
  <c r="R577" i="98"/>
  <c r="V576" i="98"/>
  <c r="T576" i="98"/>
  <c r="U576" i="98" s="1"/>
  <c r="S576" i="98"/>
  <c r="R576" i="98"/>
  <c r="V575" i="98"/>
  <c r="T575" i="98"/>
  <c r="U575" i="98" s="1"/>
  <c r="S575" i="98"/>
  <c r="R575" i="98"/>
  <c r="V574" i="98"/>
  <c r="T574" i="98"/>
  <c r="U574" i="98" s="1"/>
  <c r="S574" i="98"/>
  <c r="R574" i="98"/>
  <c r="V573" i="98"/>
  <c r="T573" i="98"/>
  <c r="U573" i="98" s="1"/>
  <c r="S573" i="98"/>
  <c r="R573" i="98"/>
  <c r="V572" i="98"/>
  <c r="T572" i="98"/>
  <c r="U572" i="98" s="1"/>
  <c r="S572" i="98"/>
  <c r="R572" i="98"/>
  <c r="V571" i="98"/>
  <c r="T571" i="98"/>
  <c r="U571" i="98" s="1"/>
  <c r="S571" i="98"/>
  <c r="R571" i="98"/>
  <c r="V570" i="98"/>
  <c r="T570" i="98"/>
  <c r="U570" i="98" s="1"/>
  <c r="S570" i="98"/>
  <c r="R570" i="98"/>
  <c r="V569" i="98"/>
  <c r="T569" i="98"/>
  <c r="U569" i="98" s="1"/>
  <c r="S569" i="98"/>
  <c r="R569" i="98"/>
  <c r="V568" i="98"/>
  <c r="T568" i="98"/>
  <c r="U568" i="98" s="1"/>
  <c r="S568" i="98"/>
  <c r="R568" i="98"/>
  <c r="V567" i="98"/>
  <c r="T567" i="98"/>
  <c r="U567" i="98" s="1"/>
  <c r="S567" i="98"/>
  <c r="R567" i="98"/>
  <c r="V566" i="98"/>
  <c r="T566" i="98"/>
  <c r="U566" i="98" s="1"/>
  <c r="S566" i="98"/>
  <c r="R566" i="98"/>
  <c r="V565" i="98"/>
  <c r="T565" i="98"/>
  <c r="U565" i="98" s="1"/>
  <c r="S565" i="98"/>
  <c r="R565" i="98"/>
  <c r="V564" i="98"/>
  <c r="T564" i="98"/>
  <c r="U564" i="98" s="1"/>
  <c r="S564" i="98"/>
  <c r="R564" i="98"/>
  <c r="V563" i="98"/>
  <c r="T563" i="98"/>
  <c r="U563" i="98" s="1"/>
  <c r="S563" i="98"/>
  <c r="R563" i="98"/>
  <c r="V562" i="98"/>
  <c r="T562" i="98"/>
  <c r="U562" i="98" s="1"/>
  <c r="S562" i="98"/>
  <c r="R562" i="98"/>
  <c r="V561" i="98"/>
  <c r="T561" i="98"/>
  <c r="U561" i="98" s="1"/>
  <c r="S561" i="98"/>
  <c r="R561" i="98"/>
  <c r="V560" i="98"/>
  <c r="T560" i="98"/>
  <c r="U560" i="98" s="1"/>
  <c r="S560" i="98"/>
  <c r="R560" i="98"/>
  <c r="V559" i="98"/>
  <c r="T559" i="98"/>
  <c r="U559" i="98" s="1"/>
  <c r="S559" i="98"/>
  <c r="R559" i="98"/>
  <c r="V558" i="98"/>
  <c r="T558" i="98"/>
  <c r="U558" i="98" s="1"/>
  <c r="S558" i="98"/>
  <c r="R558" i="98"/>
  <c r="V557" i="98"/>
  <c r="T557" i="98"/>
  <c r="U557" i="98" s="1"/>
  <c r="S557" i="98"/>
  <c r="R557" i="98"/>
  <c r="V556" i="98"/>
  <c r="T556" i="98"/>
  <c r="U556" i="98" s="1"/>
  <c r="S556" i="98"/>
  <c r="R556" i="98"/>
  <c r="V555" i="98"/>
  <c r="T555" i="98"/>
  <c r="U555" i="98" s="1"/>
  <c r="S555" i="98"/>
  <c r="R555" i="98"/>
  <c r="V554" i="98"/>
  <c r="T554" i="98"/>
  <c r="U554" i="98" s="1"/>
  <c r="S554" i="98"/>
  <c r="R554" i="98"/>
  <c r="V553" i="98"/>
  <c r="T553" i="98"/>
  <c r="U553" i="98" s="1"/>
  <c r="S553" i="98"/>
  <c r="R553" i="98"/>
  <c r="V552" i="98"/>
  <c r="T552" i="98"/>
  <c r="U552" i="98" s="1"/>
  <c r="S552" i="98"/>
  <c r="R552" i="98"/>
  <c r="V551" i="98"/>
  <c r="T551" i="98"/>
  <c r="U551" i="98" s="1"/>
  <c r="S551" i="98"/>
  <c r="R551" i="98"/>
  <c r="V550" i="98"/>
  <c r="T550" i="98"/>
  <c r="U550" i="98" s="1"/>
  <c r="S550" i="98"/>
  <c r="R550" i="98"/>
  <c r="V549" i="98"/>
  <c r="T549" i="98"/>
  <c r="U549" i="98" s="1"/>
  <c r="S549" i="98"/>
  <c r="R549" i="98"/>
  <c r="V548" i="98"/>
  <c r="T548" i="98"/>
  <c r="U548" i="98" s="1"/>
  <c r="S548" i="98"/>
  <c r="R548" i="98"/>
  <c r="V547" i="98"/>
  <c r="T547" i="98"/>
  <c r="U547" i="98" s="1"/>
  <c r="S547" i="98"/>
  <c r="R547" i="98"/>
  <c r="V546" i="98"/>
  <c r="T546" i="98"/>
  <c r="U546" i="98" s="1"/>
  <c r="S546" i="98"/>
  <c r="R546" i="98"/>
  <c r="V545" i="98"/>
  <c r="T545" i="98"/>
  <c r="U545" i="98" s="1"/>
  <c r="S545" i="98"/>
  <c r="R545" i="98"/>
  <c r="V544" i="98"/>
  <c r="T544" i="98"/>
  <c r="U544" i="98" s="1"/>
  <c r="S544" i="98"/>
  <c r="R544" i="98"/>
  <c r="V543" i="98"/>
  <c r="T543" i="98"/>
  <c r="U543" i="98" s="1"/>
  <c r="S543" i="98"/>
  <c r="R543" i="98"/>
  <c r="V542" i="98"/>
  <c r="T542" i="98"/>
  <c r="U542" i="98" s="1"/>
  <c r="S542" i="98"/>
  <c r="R542" i="98"/>
  <c r="V541" i="98"/>
  <c r="T541" i="98"/>
  <c r="U541" i="98" s="1"/>
  <c r="S541" i="98"/>
  <c r="R541" i="98"/>
  <c r="V540" i="98"/>
  <c r="T540" i="98"/>
  <c r="U540" i="98" s="1"/>
  <c r="S540" i="98"/>
  <c r="R540" i="98"/>
  <c r="V539" i="98"/>
  <c r="T539" i="98"/>
  <c r="U539" i="98" s="1"/>
  <c r="S539" i="98"/>
  <c r="R539" i="98"/>
  <c r="V538" i="98"/>
  <c r="T538" i="98"/>
  <c r="U538" i="98" s="1"/>
  <c r="S538" i="98"/>
  <c r="R538" i="98"/>
  <c r="V537" i="98"/>
  <c r="T537" i="98"/>
  <c r="U537" i="98" s="1"/>
  <c r="S537" i="98"/>
  <c r="R537" i="98"/>
  <c r="V536" i="98"/>
  <c r="T536" i="98"/>
  <c r="U536" i="98" s="1"/>
  <c r="S536" i="98"/>
  <c r="R536" i="98"/>
  <c r="V535" i="98"/>
  <c r="T535" i="98"/>
  <c r="U535" i="98" s="1"/>
  <c r="S535" i="98"/>
  <c r="R535" i="98"/>
  <c r="V534" i="98"/>
  <c r="T534" i="98"/>
  <c r="U534" i="98" s="1"/>
  <c r="S534" i="98"/>
  <c r="R534" i="98"/>
  <c r="V533" i="98"/>
  <c r="T533" i="98"/>
  <c r="U533" i="98" s="1"/>
  <c r="S533" i="98"/>
  <c r="R533" i="98"/>
  <c r="V532" i="98"/>
  <c r="T532" i="98"/>
  <c r="U532" i="98" s="1"/>
  <c r="S532" i="98"/>
  <c r="R532" i="98"/>
  <c r="V531" i="98"/>
  <c r="T531" i="98"/>
  <c r="U531" i="98" s="1"/>
  <c r="S531" i="98"/>
  <c r="R531" i="98"/>
  <c r="V530" i="98"/>
  <c r="T530" i="98"/>
  <c r="U530" i="98" s="1"/>
  <c r="S530" i="98"/>
  <c r="R530" i="98"/>
  <c r="V529" i="98"/>
  <c r="T529" i="98"/>
  <c r="U529" i="98" s="1"/>
  <c r="S529" i="98"/>
  <c r="R529" i="98"/>
  <c r="V528" i="98"/>
  <c r="T528" i="98"/>
  <c r="U528" i="98" s="1"/>
  <c r="S528" i="98"/>
  <c r="R528" i="98"/>
  <c r="V527" i="98"/>
  <c r="T527" i="98"/>
  <c r="U527" i="98" s="1"/>
  <c r="S527" i="98"/>
  <c r="R527" i="98"/>
  <c r="V526" i="98"/>
  <c r="T526" i="98"/>
  <c r="U526" i="98" s="1"/>
  <c r="S526" i="98"/>
  <c r="R526" i="98"/>
  <c r="V525" i="98"/>
  <c r="T525" i="98"/>
  <c r="U525" i="98" s="1"/>
  <c r="S525" i="98"/>
  <c r="R525" i="98"/>
  <c r="V524" i="98"/>
  <c r="T524" i="98"/>
  <c r="U524" i="98" s="1"/>
  <c r="S524" i="98"/>
  <c r="R524" i="98"/>
  <c r="V523" i="98"/>
  <c r="T523" i="98"/>
  <c r="U523" i="98" s="1"/>
  <c r="S523" i="98"/>
  <c r="R523" i="98"/>
  <c r="V522" i="98"/>
  <c r="T522" i="98"/>
  <c r="U522" i="98" s="1"/>
  <c r="S522" i="98"/>
  <c r="R522" i="98"/>
  <c r="V521" i="98"/>
  <c r="T521" i="98"/>
  <c r="U521" i="98" s="1"/>
  <c r="S521" i="98"/>
  <c r="R521" i="98"/>
  <c r="V520" i="98"/>
  <c r="T520" i="98"/>
  <c r="U520" i="98" s="1"/>
  <c r="S520" i="98"/>
  <c r="R520" i="98"/>
  <c r="V519" i="98"/>
  <c r="T519" i="98"/>
  <c r="U519" i="98" s="1"/>
  <c r="S519" i="98"/>
  <c r="R519" i="98"/>
  <c r="V518" i="98"/>
  <c r="T518" i="98"/>
  <c r="U518" i="98" s="1"/>
  <c r="S518" i="98"/>
  <c r="R518" i="98"/>
  <c r="V517" i="98"/>
  <c r="T517" i="98"/>
  <c r="U517" i="98" s="1"/>
  <c r="S517" i="98"/>
  <c r="R517" i="98"/>
  <c r="V516" i="98"/>
  <c r="T516" i="98"/>
  <c r="U516" i="98" s="1"/>
  <c r="S516" i="98"/>
  <c r="R516" i="98"/>
  <c r="V515" i="98"/>
  <c r="T515" i="98"/>
  <c r="U515" i="98" s="1"/>
  <c r="S515" i="98"/>
  <c r="R515" i="98"/>
  <c r="V514" i="98"/>
  <c r="T514" i="98"/>
  <c r="U514" i="98" s="1"/>
  <c r="S514" i="98"/>
  <c r="R514" i="98"/>
  <c r="V513" i="98"/>
  <c r="T513" i="98"/>
  <c r="U513" i="98" s="1"/>
  <c r="S513" i="98"/>
  <c r="R513" i="98"/>
  <c r="V512" i="98"/>
  <c r="T512" i="98"/>
  <c r="U512" i="98" s="1"/>
  <c r="S512" i="98"/>
  <c r="R512" i="98"/>
  <c r="V511" i="98"/>
  <c r="T511" i="98"/>
  <c r="U511" i="98" s="1"/>
  <c r="S511" i="98"/>
  <c r="R511" i="98"/>
  <c r="V510" i="98"/>
  <c r="T510" i="98"/>
  <c r="U510" i="98" s="1"/>
  <c r="S510" i="98"/>
  <c r="R510" i="98"/>
  <c r="V509" i="98"/>
  <c r="T509" i="98"/>
  <c r="U509" i="98" s="1"/>
  <c r="S509" i="98"/>
  <c r="R509" i="98"/>
  <c r="V508" i="98"/>
  <c r="T508" i="98"/>
  <c r="U508" i="98" s="1"/>
  <c r="S508" i="98"/>
  <c r="R508" i="98"/>
  <c r="V507" i="98"/>
  <c r="T507" i="98"/>
  <c r="U507" i="98" s="1"/>
  <c r="S507" i="98"/>
  <c r="R507" i="98"/>
  <c r="V506" i="98"/>
  <c r="T506" i="98"/>
  <c r="U506" i="98" s="1"/>
  <c r="S506" i="98"/>
  <c r="R506" i="98"/>
  <c r="V505" i="98"/>
  <c r="T505" i="98"/>
  <c r="U505" i="98" s="1"/>
  <c r="S505" i="98"/>
  <c r="R505" i="98"/>
  <c r="V504" i="98"/>
  <c r="T504" i="98"/>
  <c r="U504" i="98" s="1"/>
  <c r="S504" i="98"/>
  <c r="R504" i="98"/>
  <c r="V503" i="98"/>
  <c r="T503" i="98"/>
  <c r="U503" i="98" s="1"/>
  <c r="S503" i="98"/>
  <c r="R503" i="98"/>
  <c r="V502" i="98"/>
  <c r="T502" i="98"/>
  <c r="U502" i="98" s="1"/>
  <c r="S502" i="98"/>
  <c r="R502" i="98"/>
  <c r="V501" i="98"/>
  <c r="T501" i="98"/>
  <c r="U501" i="98" s="1"/>
  <c r="S501" i="98"/>
  <c r="R501" i="98"/>
  <c r="V500" i="98"/>
  <c r="T500" i="98"/>
  <c r="U500" i="98" s="1"/>
  <c r="S500" i="98"/>
  <c r="R500" i="98"/>
  <c r="V499" i="98"/>
  <c r="T499" i="98"/>
  <c r="U499" i="98" s="1"/>
  <c r="S499" i="98"/>
  <c r="R499" i="98"/>
  <c r="V498" i="98"/>
  <c r="T498" i="98"/>
  <c r="U498" i="98" s="1"/>
  <c r="S498" i="98"/>
  <c r="R498" i="98"/>
  <c r="V497" i="98"/>
  <c r="T497" i="98"/>
  <c r="U497" i="98" s="1"/>
  <c r="S497" i="98"/>
  <c r="R497" i="98"/>
  <c r="V496" i="98"/>
  <c r="T496" i="98"/>
  <c r="U496" i="98" s="1"/>
  <c r="S496" i="98"/>
  <c r="R496" i="98"/>
  <c r="V495" i="98"/>
  <c r="T495" i="98"/>
  <c r="U495" i="98" s="1"/>
  <c r="S495" i="98"/>
  <c r="R495" i="98"/>
  <c r="V494" i="98"/>
  <c r="T494" i="98"/>
  <c r="U494" i="98" s="1"/>
  <c r="S494" i="98"/>
  <c r="R494" i="98"/>
  <c r="V493" i="98"/>
  <c r="T493" i="98"/>
  <c r="U493" i="98" s="1"/>
  <c r="S493" i="98"/>
  <c r="R493" i="98"/>
  <c r="V492" i="98"/>
  <c r="T492" i="98"/>
  <c r="U492" i="98" s="1"/>
  <c r="S492" i="98"/>
  <c r="R492" i="98"/>
  <c r="V491" i="98"/>
  <c r="T491" i="98"/>
  <c r="U491" i="98" s="1"/>
  <c r="S491" i="98"/>
  <c r="R491" i="98"/>
  <c r="V490" i="98"/>
  <c r="T490" i="98"/>
  <c r="U490" i="98" s="1"/>
  <c r="S490" i="98"/>
  <c r="R490" i="98"/>
  <c r="V489" i="98"/>
  <c r="T489" i="98"/>
  <c r="U489" i="98" s="1"/>
  <c r="S489" i="98"/>
  <c r="R489" i="98"/>
  <c r="V488" i="98"/>
  <c r="T488" i="98"/>
  <c r="U488" i="98" s="1"/>
  <c r="S488" i="98"/>
  <c r="R488" i="98"/>
  <c r="V487" i="98"/>
  <c r="T487" i="98"/>
  <c r="U487" i="98" s="1"/>
  <c r="S487" i="98"/>
  <c r="R487" i="98"/>
  <c r="V486" i="98"/>
  <c r="T486" i="98"/>
  <c r="U486" i="98" s="1"/>
  <c r="S486" i="98"/>
  <c r="R486" i="98"/>
  <c r="V485" i="98"/>
  <c r="T485" i="98"/>
  <c r="U485" i="98" s="1"/>
  <c r="S485" i="98"/>
  <c r="R485" i="98"/>
  <c r="V484" i="98"/>
  <c r="T484" i="98"/>
  <c r="U484" i="98" s="1"/>
  <c r="S484" i="98"/>
  <c r="R484" i="98"/>
  <c r="V483" i="98"/>
  <c r="T483" i="98"/>
  <c r="U483" i="98" s="1"/>
  <c r="S483" i="98"/>
  <c r="R483" i="98"/>
  <c r="V482" i="98"/>
  <c r="T482" i="98"/>
  <c r="U482" i="98" s="1"/>
  <c r="S482" i="98"/>
  <c r="R482" i="98"/>
  <c r="V481" i="98"/>
  <c r="T481" i="98"/>
  <c r="U481" i="98" s="1"/>
  <c r="S481" i="98"/>
  <c r="R481" i="98"/>
  <c r="V480" i="98"/>
  <c r="T480" i="98"/>
  <c r="U480" i="98" s="1"/>
  <c r="S480" i="98"/>
  <c r="R480" i="98"/>
  <c r="V479" i="98"/>
  <c r="T479" i="98"/>
  <c r="U479" i="98" s="1"/>
  <c r="S479" i="98"/>
  <c r="R479" i="98"/>
  <c r="V478" i="98"/>
  <c r="T478" i="98"/>
  <c r="U478" i="98" s="1"/>
  <c r="S478" i="98"/>
  <c r="R478" i="98"/>
  <c r="V477" i="98"/>
  <c r="T477" i="98"/>
  <c r="U477" i="98" s="1"/>
  <c r="S477" i="98"/>
  <c r="R477" i="98"/>
  <c r="V476" i="98"/>
  <c r="T476" i="98"/>
  <c r="U476" i="98" s="1"/>
  <c r="S476" i="98"/>
  <c r="R476" i="98"/>
  <c r="V475" i="98"/>
  <c r="T475" i="98"/>
  <c r="U475" i="98" s="1"/>
  <c r="S475" i="98"/>
  <c r="R475" i="98"/>
  <c r="V474" i="98"/>
  <c r="T474" i="98"/>
  <c r="U474" i="98" s="1"/>
  <c r="S474" i="98"/>
  <c r="R474" i="98"/>
  <c r="V473" i="98"/>
  <c r="T473" i="98"/>
  <c r="U473" i="98" s="1"/>
  <c r="S473" i="98"/>
  <c r="R473" i="98"/>
  <c r="V472" i="98"/>
  <c r="T472" i="98"/>
  <c r="U472" i="98" s="1"/>
  <c r="S472" i="98"/>
  <c r="R472" i="98"/>
  <c r="V471" i="98"/>
  <c r="T471" i="98"/>
  <c r="U471" i="98" s="1"/>
  <c r="S471" i="98"/>
  <c r="R471" i="98"/>
  <c r="V470" i="98"/>
  <c r="T470" i="98"/>
  <c r="U470" i="98" s="1"/>
  <c r="S470" i="98"/>
  <c r="R470" i="98"/>
  <c r="V469" i="98"/>
  <c r="T469" i="98"/>
  <c r="U469" i="98" s="1"/>
  <c r="S469" i="98"/>
  <c r="R469" i="98"/>
  <c r="V468" i="98"/>
  <c r="T468" i="98"/>
  <c r="U468" i="98" s="1"/>
  <c r="S468" i="98"/>
  <c r="R468" i="98"/>
  <c r="V467" i="98"/>
  <c r="T467" i="98"/>
  <c r="U467" i="98" s="1"/>
  <c r="S467" i="98"/>
  <c r="R467" i="98"/>
  <c r="V466" i="98"/>
  <c r="T466" i="98"/>
  <c r="U466" i="98" s="1"/>
  <c r="S466" i="98"/>
  <c r="R466" i="98"/>
  <c r="V465" i="98"/>
  <c r="T465" i="98"/>
  <c r="U465" i="98" s="1"/>
  <c r="S465" i="98"/>
  <c r="R465" i="98"/>
  <c r="V464" i="98"/>
  <c r="T464" i="98"/>
  <c r="U464" i="98" s="1"/>
  <c r="S464" i="98"/>
  <c r="R464" i="98"/>
  <c r="V463" i="98"/>
  <c r="T463" i="98"/>
  <c r="U463" i="98" s="1"/>
  <c r="S463" i="98"/>
  <c r="R463" i="98"/>
  <c r="V462" i="98"/>
  <c r="T462" i="98"/>
  <c r="U462" i="98" s="1"/>
  <c r="S462" i="98"/>
  <c r="R462" i="98"/>
  <c r="V461" i="98"/>
  <c r="T461" i="98"/>
  <c r="U461" i="98" s="1"/>
  <c r="S461" i="98"/>
  <c r="R461" i="98"/>
  <c r="V460" i="98"/>
  <c r="T460" i="98"/>
  <c r="U460" i="98" s="1"/>
  <c r="S460" i="98"/>
  <c r="R460" i="98"/>
  <c r="V459" i="98"/>
  <c r="T459" i="98"/>
  <c r="U459" i="98" s="1"/>
  <c r="S459" i="98"/>
  <c r="R459" i="98"/>
  <c r="V458" i="98"/>
  <c r="T458" i="98"/>
  <c r="U458" i="98" s="1"/>
  <c r="S458" i="98"/>
  <c r="R458" i="98"/>
  <c r="V457" i="98"/>
  <c r="T457" i="98"/>
  <c r="U457" i="98" s="1"/>
  <c r="S457" i="98"/>
  <c r="R457" i="98"/>
  <c r="V456" i="98"/>
  <c r="T456" i="98"/>
  <c r="U456" i="98" s="1"/>
  <c r="S456" i="98"/>
  <c r="R456" i="98"/>
  <c r="V455" i="98"/>
  <c r="T455" i="98"/>
  <c r="U455" i="98" s="1"/>
  <c r="S455" i="98"/>
  <c r="R455" i="98"/>
  <c r="V454" i="98"/>
  <c r="T454" i="98"/>
  <c r="U454" i="98" s="1"/>
  <c r="S454" i="98"/>
  <c r="R454" i="98"/>
  <c r="V453" i="98"/>
  <c r="T453" i="98"/>
  <c r="U453" i="98" s="1"/>
  <c r="S453" i="98"/>
  <c r="R453" i="98"/>
  <c r="V452" i="98"/>
  <c r="T452" i="98"/>
  <c r="U452" i="98" s="1"/>
  <c r="S452" i="98"/>
  <c r="R452" i="98"/>
  <c r="V451" i="98"/>
  <c r="T451" i="98"/>
  <c r="U451" i="98" s="1"/>
  <c r="S451" i="98"/>
  <c r="R451" i="98"/>
  <c r="V450" i="98"/>
  <c r="T450" i="98"/>
  <c r="U450" i="98" s="1"/>
  <c r="S450" i="98"/>
  <c r="R450" i="98"/>
  <c r="V449" i="98"/>
  <c r="T449" i="98"/>
  <c r="U449" i="98" s="1"/>
  <c r="S449" i="98"/>
  <c r="R449" i="98"/>
  <c r="V448" i="98"/>
  <c r="T448" i="98"/>
  <c r="U448" i="98" s="1"/>
  <c r="S448" i="98"/>
  <c r="R448" i="98"/>
  <c r="V447" i="98"/>
  <c r="T447" i="98"/>
  <c r="U447" i="98" s="1"/>
  <c r="S447" i="98"/>
  <c r="R447" i="98"/>
  <c r="V446" i="98"/>
  <c r="T446" i="98"/>
  <c r="U446" i="98" s="1"/>
  <c r="S446" i="98"/>
  <c r="R446" i="98"/>
  <c r="V445" i="98"/>
  <c r="T445" i="98"/>
  <c r="U445" i="98" s="1"/>
  <c r="S445" i="98"/>
  <c r="R445" i="98"/>
  <c r="V444" i="98"/>
  <c r="T444" i="98"/>
  <c r="U444" i="98" s="1"/>
  <c r="S444" i="98"/>
  <c r="R444" i="98"/>
  <c r="V443" i="98"/>
  <c r="T443" i="98"/>
  <c r="U443" i="98" s="1"/>
  <c r="S443" i="98"/>
  <c r="R443" i="98"/>
  <c r="V442" i="98"/>
  <c r="T442" i="98"/>
  <c r="U442" i="98" s="1"/>
  <c r="S442" i="98"/>
  <c r="R442" i="98"/>
  <c r="V441" i="98"/>
  <c r="T441" i="98"/>
  <c r="U441" i="98" s="1"/>
  <c r="S441" i="98"/>
  <c r="R441" i="98"/>
  <c r="V440" i="98"/>
  <c r="T440" i="98"/>
  <c r="U440" i="98" s="1"/>
  <c r="S440" i="98"/>
  <c r="R440" i="98"/>
  <c r="V439" i="98"/>
  <c r="T439" i="98"/>
  <c r="U439" i="98" s="1"/>
  <c r="S439" i="98"/>
  <c r="R439" i="98"/>
  <c r="V438" i="98"/>
  <c r="T438" i="98"/>
  <c r="U438" i="98" s="1"/>
  <c r="S438" i="98"/>
  <c r="R438" i="98"/>
  <c r="V437" i="98"/>
  <c r="T437" i="98"/>
  <c r="U437" i="98" s="1"/>
  <c r="S437" i="98"/>
  <c r="R437" i="98"/>
  <c r="V436" i="98"/>
  <c r="T436" i="98"/>
  <c r="U436" i="98" s="1"/>
  <c r="S436" i="98"/>
  <c r="R436" i="98"/>
  <c r="V435" i="98"/>
  <c r="T435" i="98"/>
  <c r="U435" i="98" s="1"/>
  <c r="S435" i="98"/>
  <c r="R435" i="98"/>
  <c r="V434" i="98"/>
  <c r="T434" i="98"/>
  <c r="U434" i="98" s="1"/>
  <c r="S434" i="98"/>
  <c r="R434" i="98"/>
  <c r="V433" i="98"/>
  <c r="T433" i="98"/>
  <c r="U433" i="98" s="1"/>
  <c r="S433" i="98"/>
  <c r="R433" i="98"/>
  <c r="V432" i="98"/>
  <c r="T432" i="98"/>
  <c r="U432" i="98" s="1"/>
  <c r="S432" i="98"/>
  <c r="R432" i="98"/>
  <c r="V431" i="98"/>
  <c r="T431" i="98"/>
  <c r="U431" i="98" s="1"/>
  <c r="S431" i="98"/>
  <c r="R431" i="98"/>
  <c r="V430" i="98"/>
  <c r="T430" i="98"/>
  <c r="U430" i="98" s="1"/>
  <c r="S430" i="98"/>
  <c r="R430" i="98"/>
  <c r="V429" i="98"/>
  <c r="T429" i="98"/>
  <c r="U429" i="98" s="1"/>
  <c r="S429" i="98"/>
  <c r="R429" i="98"/>
  <c r="V428" i="98"/>
  <c r="T428" i="98"/>
  <c r="U428" i="98" s="1"/>
  <c r="S428" i="98"/>
  <c r="R428" i="98"/>
  <c r="V427" i="98"/>
  <c r="T427" i="98"/>
  <c r="U427" i="98" s="1"/>
  <c r="S427" i="98"/>
  <c r="R427" i="98"/>
  <c r="V426" i="98"/>
  <c r="T426" i="98"/>
  <c r="U426" i="98" s="1"/>
  <c r="S426" i="98"/>
  <c r="R426" i="98"/>
  <c r="V425" i="98"/>
  <c r="T425" i="98"/>
  <c r="U425" i="98" s="1"/>
  <c r="S425" i="98"/>
  <c r="R425" i="98"/>
  <c r="V424" i="98"/>
  <c r="T424" i="98"/>
  <c r="U424" i="98" s="1"/>
  <c r="S424" i="98"/>
  <c r="R424" i="98"/>
  <c r="V423" i="98"/>
  <c r="T423" i="98"/>
  <c r="U423" i="98" s="1"/>
  <c r="S423" i="98"/>
  <c r="R423" i="98"/>
  <c r="V422" i="98"/>
  <c r="T422" i="98"/>
  <c r="U422" i="98" s="1"/>
  <c r="S422" i="98"/>
  <c r="R422" i="98"/>
  <c r="V421" i="98"/>
  <c r="T421" i="98"/>
  <c r="U421" i="98" s="1"/>
  <c r="S421" i="98"/>
  <c r="R421" i="98"/>
  <c r="V420" i="98"/>
  <c r="T420" i="98"/>
  <c r="U420" i="98" s="1"/>
  <c r="S420" i="98"/>
  <c r="R420" i="98"/>
  <c r="V419" i="98"/>
  <c r="T419" i="98"/>
  <c r="U419" i="98" s="1"/>
  <c r="S419" i="98"/>
  <c r="R419" i="98"/>
  <c r="V418" i="98"/>
  <c r="T418" i="98"/>
  <c r="U418" i="98" s="1"/>
  <c r="S418" i="98"/>
  <c r="R418" i="98"/>
  <c r="V417" i="98"/>
  <c r="T417" i="98"/>
  <c r="U417" i="98" s="1"/>
  <c r="S417" i="98"/>
  <c r="R417" i="98"/>
  <c r="V416" i="98"/>
  <c r="T416" i="98"/>
  <c r="U416" i="98" s="1"/>
  <c r="S416" i="98"/>
  <c r="R416" i="98"/>
  <c r="V415" i="98"/>
  <c r="T415" i="98"/>
  <c r="U415" i="98" s="1"/>
  <c r="S415" i="98"/>
  <c r="R415" i="98"/>
  <c r="V414" i="98"/>
  <c r="T414" i="98"/>
  <c r="U414" i="98" s="1"/>
  <c r="S414" i="98"/>
  <c r="R414" i="98"/>
  <c r="V413" i="98"/>
  <c r="T413" i="98"/>
  <c r="U413" i="98" s="1"/>
  <c r="S413" i="98"/>
  <c r="R413" i="98"/>
  <c r="V412" i="98"/>
  <c r="T412" i="98"/>
  <c r="U412" i="98" s="1"/>
  <c r="S412" i="98"/>
  <c r="R412" i="98"/>
  <c r="V411" i="98"/>
  <c r="T411" i="98"/>
  <c r="U411" i="98" s="1"/>
  <c r="S411" i="98"/>
  <c r="R411" i="98"/>
  <c r="V410" i="98"/>
  <c r="T410" i="98"/>
  <c r="U410" i="98" s="1"/>
  <c r="S410" i="98"/>
  <c r="R410" i="98"/>
  <c r="V409" i="98"/>
  <c r="T409" i="98"/>
  <c r="U409" i="98" s="1"/>
  <c r="S409" i="98"/>
  <c r="R409" i="98"/>
  <c r="V408" i="98"/>
  <c r="T408" i="98"/>
  <c r="U408" i="98" s="1"/>
  <c r="S408" i="98"/>
  <c r="R408" i="98"/>
  <c r="V407" i="98"/>
  <c r="T407" i="98"/>
  <c r="U407" i="98" s="1"/>
  <c r="S407" i="98"/>
  <c r="R407" i="98"/>
  <c r="V406" i="98"/>
  <c r="T406" i="98"/>
  <c r="U406" i="98" s="1"/>
  <c r="S406" i="98"/>
  <c r="R406" i="98"/>
  <c r="V405" i="98"/>
  <c r="T405" i="98"/>
  <c r="U405" i="98" s="1"/>
  <c r="S405" i="98"/>
  <c r="R405" i="98"/>
  <c r="V404" i="98"/>
  <c r="T404" i="98"/>
  <c r="U404" i="98" s="1"/>
  <c r="S404" i="98"/>
  <c r="R404" i="98"/>
  <c r="V403" i="98"/>
  <c r="T403" i="98"/>
  <c r="U403" i="98" s="1"/>
  <c r="S403" i="98"/>
  <c r="R403" i="98"/>
  <c r="V402" i="98"/>
  <c r="T402" i="98"/>
  <c r="U402" i="98" s="1"/>
  <c r="S402" i="98"/>
  <c r="R402" i="98"/>
  <c r="V401" i="98"/>
  <c r="T401" i="98"/>
  <c r="U401" i="98" s="1"/>
  <c r="S401" i="98"/>
  <c r="R401" i="98"/>
  <c r="V400" i="98"/>
  <c r="T400" i="98"/>
  <c r="U400" i="98" s="1"/>
  <c r="S400" i="98"/>
  <c r="R400" i="98"/>
  <c r="V399" i="98"/>
  <c r="T399" i="98"/>
  <c r="U399" i="98" s="1"/>
  <c r="S399" i="98"/>
  <c r="R399" i="98"/>
  <c r="V398" i="98"/>
  <c r="T398" i="98"/>
  <c r="U398" i="98" s="1"/>
  <c r="S398" i="98"/>
  <c r="R398" i="98"/>
  <c r="V397" i="98"/>
  <c r="T397" i="98"/>
  <c r="U397" i="98" s="1"/>
  <c r="S397" i="98"/>
  <c r="R397" i="98"/>
  <c r="V396" i="98"/>
  <c r="T396" i="98"/>
  <c r="U396" i="98" s="1"/>
  <c r="S396" i="98"/>
  <c r="R396" i="98"/>
  <c r="V395" i="98"/>
  <c r="T395" i="98"/>
  <c r="U395" i="98" s="1"/>
  <c r="S395" i="98"/>
  <c r="R395" i="98"/>
  <c r="V394" i="98"/>
  <c r="T394" i="98"/>
  <c r="U394" i="98" s="1"/>
  <c r="S394" i="98"/>
  <c r="R394" i="98"/>
  <c r="V393" i="98"/>
  <c r="T393" i="98"/>
  <c r="U393" i="98" s="1"/>
  <c r="S393" i="98"/>
  <c r="R393" i="98"/>
  <c r="V392" i="98"/>
  <c r="T392" i="98"/>
  <c r="U392" i="98" s="1"/>
  <c r="S392" i="98"/>
  <c r="R392" i="98"/>
  <c r="V391" i="98"/>
  <c r="T391" i="98"/>
  <c r="U391" i="98" s="1"/>
  <c r="S391" i="98"/>
  <c r="R391" i="98"/>
  <c r="V390" i="98"/>
  <c r="T390" i="98"/>
  <c r="U390" i="98" s="1"/>
  <c r="S390" i="98"/>
  <c r="R390" i="98"/>
  <c r="V389" i="98"/>
  <c r="T389" i="98"/>
  <c r="U389" i="98" s="1"/>
  <c r="S389" i="98"/>
  <c r="R389" i="98"/>
  <c r="V388" i="98"/>
  <c r="T388" i="98"/>
  <c r="U388" i="98" s="1"/>
  <c r="S388" i="98"/>
  <c r="R388" i="98"/>
  <c r="V387" i="98"/>
  <c r="T387" i="98"/>
  <c r="U387" i="98" s="1"/>
  <c r="S387" i="98"/>
  <c r="R387" i="98"/>
  <c r="V386" i="98"/>
  <c r="T386" i="98"/>
  <c r="U386" i="98" s="1"/>
  <c r="S386" i="98"/>
  <c r="R386" i="98"/>
  <c r="V385" i="98"/>
  <c r="T385" i="98"/>
  <c r="U385" i="98" s="1"/>
  <c r="S385" i="98"/>
  <c r="R385" i="98"/>
  <c r="V384" i="98"/>
  <c r="T384" i="98"/>
  <c r="U384" i="98" s="1"/>
  <c r="S384" i="98"/>
  <c r="R384" i="98"/>
  <c r="V383" i="98"/>
  <c r="T383" i="98"/>
  <c r="U383" i="98" s="1"/>
  <c r="S383" i="98"/>
  <c r="R383" i="98"/>
  <c r="V382" i="98"/>
  <c r="T382" i="98"/>
  <c r="U382" i="98" s="1"/>
  <c r="S382" i="98"/>
  <c r="R382" i="98"/>
  <c r="V381" i="98"/>
  <c r="T381" i="98"/>
  <c r="U381" i="98" s="1"/>
  <c r="S381" i="98"/>
  <c r="R381" i="98"/>
  <c r="V380" i="98"/>
  <c r="T380" i="98"/>
  <c r="U380" i="98" s="1"/>
  <c r="S380" i="98"/>
  <c r="R380" i="98"/>
  <c r="V379" i="98"/>
  <c r="T379" i="98"/>
  <c r="U379" i="98" s="1"/>
  <c r="S379" i="98"/>
  <c r="R379" i="98"/>
  <c r="V378" i="98"/>
  <c r="T378" i="98"/>
  <c r="U378" i="98" s="1"/>
  <c r="S378" i="98"/>
  <c r="R378" i="98"/>
  <c r="V377" i="98"/>
  <c r="T377" i="98"/>
  <c r="U377" i="98" s="1"/>
  <c r="S377" i="98"/>
  <c r="R377" i="98"/>
  <c r="V376" i="98"/>
  <c r="T376" i="98"/>
  <c r="U376" i="98" s="1"/>
  <c r="S376" i="98"/>
  <c r="R376" i="98"/>
  <c r="V375" i="98"/>
  <c r="T375" i="98"/>
  <c r="U375" i="98" s="1"/>
  <c r="S375" i="98"/>
  <c r="R375" i="98"/>
  <c r="V374" i="98"/>
  <c r="T374" i="98"/>
  <c r="U374" i="98" s="1"/>
  <c r="S374" i="98"/>
  <c r="R374" i="98"/>
  <c r="V373" i="98"/>
  <c r="T373" i="98"/>
  <c r="U373" i="98" s="1"/>
  <c r="S373" i="98"/>
  <c r="R373" i="98"/>
  <c r="V372" i="98"/>
  <c r="T372" i="98"/>
  <c r="U372" i="98" s="1"/>
  <c r="S372" i="98"/>
  <c r="R372" i="98"/>
  <c r="V371" i="98"/>
  <c r="T371" i="98"/>
  <c r="U371" i="98" s="1"/>
  <c r="S371" i="98"/>
  <c r="R371" i="98"/>
  <c r="V370" i="98"/>
  <c r="T370" i="98"/>
  <c r="U370" i="98" s="1"/>
  <c r="S370" i="98"/>
  <c r="R370" i="98"/>
  <c r="V369" i="98"/>
  <c r="T369" i="98"/>
  <c r="U369" i="98" s="1"/>
  <c r="S369" i="98"/>
  <c r="R369" i="98"/>
  <c r="V368" i="98"/>
  <c r="T368" i="98"/>
  <c r="U368" i="98" s="1"/>
  <c r="S368" i="98"/>
  <c r="R368" i="98"/>
  <c r="V367" i="98"/>
  <c r="T367" i="98"/>
  <c r="U367" i="98" s="1"/>
  <c r="S367" i="98"/>
  <c r="R367" i="98"/>
  <c r="V366" i="98"/>
  <c r="T366" i="98"/>
  <c r="U366" i="98" s="1"/>
  <c r="S366" i="98"/>
  <c r="R366" i="98"/>
  <c r="V365" i="98"/>
  <c r="T365" i="98"/>
  <c r="U365" i="98" s="1"/>
  <c r="S365" i="98"/>
  <c r="R365" i="98"/>
  <c r="V364" i="98"/>
  <c r="T364" i="98"/>
  <c r="U364" i="98" s="1"/>
  <c r="S364" i="98"/>
  <c r="R364" i="98"/>
  <c r="V363" i="98"/>
  <c r="T363" i="98"/>
  <c r="U363" i="98" s="1"/>
  <c r="S363" i="98"/>
  <c r="R363" i="98"/>
  <c r="V362" i="98"/>
  <c r="T362" i="98"/>
  <c r="U362" i="98" s="1"/>
  <c r="S362" i="98"/>
  <c r="R362" i="98"/>
  <c r="V361" i="98"/>
  <c r="T361" i="98"/>
  <c r="U361" i="98" s="1"/>
  <c r="S361" i="98"/>
  <c r="R361" i="98"/>
  <c r="V360" i="98"/>
  <c r="T360" i="98"/>
  <c r="U360" i="98" s="1"/>
  <c r="S360" i="98"/>
  <c r="R360" i="98"/>
  <c r="V359" i="98"/>
  <c r="T359" i="98"/>
  <c r="U359" i="98" s="1"/>
  <c r="S359" i="98"/>
  <c r="R359" i="98"/>
  <c r="V358" i="98"/>
  <c r="T358" i="98"/>
  <c r="U358" i="98" s="1"/>
  <c r="S358" i="98"/>
  <c r="R358" i="98"/>
  <c r="V357" i="98"/>
  <c r="T357" i="98"/>
  <c r="U357" i="98" s="1"/>
  <c r="S357" i="98"/>
  <c r="R357" i="98"/>
  <c r="V356" i="98"/>
  <c r="T356" i="98"/>
  <c r="U356" i="98" s="1"/>
  <c r="S356" i="98"/>
  <c r="R356" i="98"/>
  <c r="V355" i="98"/>
  <c r="T355" i="98"/>
  <c r="U355" i="98" s="1"/>
  <c r="S355" i="98"/>
  <c r="R355" i="98"/>
  <c r="V354" i="98"/>
  <c r="T354" i="98"/>
  <c r="U354" i="98" s="1"/>
  <c r="S354" i="98"/>
  <c r="R354" i="98"/>
  <c r="V353" i="98"/>
  <c r="T353" i="98"/>
  <c r="U353" i="98" s="1"/>
  <c r="S353" i="98"/>
  <c r="R353" i="98"/>
  <c r="V352" i="98"/>
  <c r="T352" i="98"/>
  <c r="U352" i="98" s="1"/>
  <c r="S352" i="98"/>
  <c r="R352" i="98"/>
  <c r="V351" i="98"/>
  <c r="T351" i="98"/>
  <c r="U351" i="98" s="1"/>
  <c r="S351" i="98"/>
  <c r="R351" i="98"/>
  <c r="V350" i="98"/>
  <c r="T350" i="98"/>
  <c r="U350" i="98" s="1"/>
  <c r="S350" i="98"/>
  <c r="R350" i="98"/>
  <c r="V349" i="98"/>
  <c r="T349" i="98"/>
  <c r="U349" i="98" s="1"/>
  <c r="S349" i="98"/>
  <c r="R349" i="98"/>
  <c r="V348" i="98"/>
  <c r="T348" i="98"/>
  <c r="U348" i="98" s="1"/>
  <c r="S348" i="98"/>
  <c r="R348" i="98"/>
  <c r="V347" i="98"/>
  <c r="T347" i="98"/>
  <c r="U347" i="98" s="1"/>
  <c r="S347" i="98"/>
  <c r="R347" i="98"/>
  <c r="V346" i="98"/>
  <c r="T346" i="98"/>
  <c r="U346" i="98" s="1"/>
  <c r="S346" i="98"/>
  <c r="R346" i="98"/>
  <c r="V345" i="98"/>
  <c r="T345" i="98"/>
  <c r="U345" i="98" s="1"/>
  <c r="S345" i="98"/>
  <c r="R345" i="98"/>
  <c r="V344" i="98"/>
  <c r="T344" i="98"/>
  <c r="U344" i="98" s="1"/>
  <c r="S344" i="98"/>
  <c r="R344" i="98"/>
  <c r="V343" i="98"/>
  <c r="T343" i="98"/>
  <c r="U343" i="98" s="1"/>
  <c r="S343" i="98"/>
  <c r="R343" i="98"/>
  <c r="V342" i="98"/>
  <c r="T342" i="98"/>
  <c r="U342" i="98" s="1"/>
  <c r="S342" i="98"/>
  <c r="R342" i="98"/>
  <c r="V341" i="98"/>
  <c r="T341" i="98"/>
  <c r="U341" i="98" s="1"/>
  <c r="S341" i="98"/>
  <c r="R341" i="98"/>
  <c r="V340" i="98"/>
  <c r="T340" i="98"/>
  <c r="U340" i="98" s="1"/>
  <c r="S340" i="98"/>
  <c r="R340" i="98"/>
  <c r="V339" i="98"/>
  <c r="T339" i="98"/>
  <c r="U339" i="98" s="1"/>
  <c r="S339" i="98"/>
  <c r="R339" i="98"/>
  <c r="V338" i="98"/>
  <c r="T338" i="98"/>
  <c r="U338" i="98" s="1"/>
  <c r="S338" i="98"/>
  <c r="R338" i="98"/>
  <c r="V337" i="98"/>
  <c r="T337" i="98"/>
  <c r="U337" i="98" s="1"/>
  <c r="S337" i="98"/>
  <c r="R337" i="98"/>
  <c r="V336" i="98"/>
  <c r="T336" i="98"/>
  <c r="U336" i="98" s="1"/>
  <c r="S336" i="98"/>
  <c r="R336" i="98"/>
  <c r="V335" i="98"/>
  <c r="T335" i="98"/>
  <c r="U335" i="98" s="1"/>
  <c r="S335" i="98"/>
  <c r="R335" i="98"/>
  <c r="V334" i="98"/>
  <c r="T334" i="98"/>
  <c r="U334" i="98" s="1"/>
  <c r="S334" i="98"/>
  <c r="R334" i="98"/>
  <c r="V333" i="98"/>
  <c r="T333" i="98"/>
  <c r="U333" i="98" s="1"/>
  <c r="S333" i="98"/>
  <c r="R333" i="98"/>
  <c r="V332" i="98"/>
  <c r="T332" i="98"/>
  <c r="U332" i="98" s="1"/>
  <c r="S332" i="98"/>
  <c r="R332" i="98"/>
  <c r="V331" i="98"/>
  <c r="T331" i="98"/>
  <c r="U331" i="98" s="1"/>
  <c r="S331" i="98"/>
  <c r="R331" i="98"/>
  <c r="V330" i="98"/>
  <c r="T330" i="98"/>
  <c r="U330" i="98" s="1"/>
  <c r="S330" i="98"/>
  <c r="R330" i="98"/>
  <c r="V329" i="98"/>
  <c r="T329" i="98"/>
  <c r="U329" i="98" s="1"/>
  <c r="S329" i="98"/>
  <c r="R329" i="98"/>
  <c r="V328" i="98"/>
  <c r="T328" i="98"/>
  <c r="U328" i="98" s="1"/>
  <c r="S328" i="98"/>
  <c r="R328" i="98"/>
  <c r="V327" i="98"/>
  <c r="T327" i="98"/>
  <c r="U327" i="98" s="1"/>
  <c r="S327" i="98"/>
  <c r="R327" i="98"/>
  <c r="V326" i="98"/>
  <c r="T326" i="98"/>
  <c r="U326" i="98" s="1"/>
  <c r="S326" i="98"/>
  <c r="R326" i="98"/>
  <c r="V325" i="98"/>
  <c r="T325" i="98"/>
  <c r="U325" i="98" s="1"/>
  <c r="S325" i="98"/>
  <c r="R325" i="98"/>
  <c r="V324" i="98"/>
  <c r="T324" i="98"/>
  <c r="U324" i="98" s="1"/>
  <c r="S324" i="98"/>
  <c r="R324" i="98"/>
  <c r="V323" i="98"/>
  <c r="T323" i="98"/>
  <c r="U323" i="98" s="1"/>
  <c r="S323" i="98"/>
  <c r="R323" i="98"/>
  <c r="V322" i="98"/>
  <c r="T322" i="98"/>
  <c r="U322" i="98" s="1"/>
  <c r="S322" i="98"/>
  <c r="R322" i="98"/>
  <c r="V321" i="98"/>
  <c r="T321" i="98"/>
  <c r="U321" i="98" s="1"/>
  <c r="S321" i="98"/>
  <c r="R321" i="98"/>
  <c r="V320" i="98"/>
  <c r="T320" i="98"/>
  <c r="U320" i="98" s="1"/>
  <c r="S320" i="98"/>
  <c r="R320" i="98"/>
  <c r="V319" i="98"/>
  <c r="T319" i="98"/>
  <c r="U319" i="98" s="1"/>
  <c r="S319" i="98"/>
  <c r="R319" i="98"/>
  <c r="V318" i="98"/>
  <c r="T318" i="98"/>
  <c r="U318" i="98" s="1"/>
  <c r="S318" i="98"/>
  <c r="R318" i="98"/>
  <c r="V317" i="98"/>
  <c r="T317" i="98"/>
  <c r="U317" i="98" s="1"/>
  <c r="S317" i="98"/>
  <c r="R317" i="98"/>
  <c r="V316" i="98"/>
  <c r="T316" i="98"/>
  <c r="U316" i="98" s="1"/>
  <c r="S316" i="98"/>
  <c r="R316" i="98"/>
  <c r="V315" i="98"/>
  <c r="T315" i="98"/>
  <c r="U315" i="98" s="1"/>
  <c r="S315" i="98"/>
  <c r="R315" i="98"/>
  <c r="V314" i="98"/>
  <c r="T314" i="98"/>
  <c r="U314" i="98" s="1"/>
  <c r="S314" i="98"/>
  <c r="R314" i="98"/>
  <c r="V313" i="98"/>
  <c r="T313" i="98"/>
  <c r="U313" i="98" s="1"/>
  <c r="S313" i="98"/>
  <c r="R313" i="98"/>
  <c r="V312" i="98"/>
  <c r="T312" i="98"/>
  <c r="U312" i="98" s="1"/>
  <c r="S312" i="98"/>
  <c r="R312" i="98"/>
  <c r="V311" i="98"/>
  <c r="T311" i="98"/>
  <c r="U311" i="98" s="1"/>
  <c r="S311" i="98"/>
  <c r="R311" i="98"/>
  <c r="V310" i="98"/>
  <c r="T310" i="98"/>
  <c r="U310" i="98" s="1"/>
  <c r="S310" i="98"/>
  <c r="R310" i="98"/>
  <c r="V309" i="98"/>
  <c r="T309" i="98"/>
  <c r="U309" i="98" s="1"/>
  <c r="S309" i="98"/>
  <c r="R309" i="98"/>
  <c r="V308" i="98"/>
  <c r="T308" i="98"/>
  <c r="U308" i="98" s="1"/>
  <c r="S308" i="98"/>
  <c r="R308" i="98"/>
  <c r="V307" i="98"/>
  <c r="T307" i="98"/>
  <c r="U307" i="98" s="1"/>
  <c r="S307" i="98"/>
  <c r="R307" i="98"/>
  <c r="V306" i="98"/>
  <c r="T306" i="98"/>
  <c r="U306" i="98" s="1"/>
  <c r="S306" i="98"/>
  <c r="R306" i="98"/>
  <c r="V305" i="98"/>
  <c r="T305" i="98"/>
  <c r="U305" i="98" s="1"/>
  <c r="S305" i="98"/>
  <c r="R305" i="98"/>
  <c r="V304" i="98"/>
  <c r="T304" i="98"/>
  <c r="U304" i="98" s="1"/>
  <c r="S304" i="98"/>
  <c r="R304" i="98"/>
  <c r="V303" i="98"/>
  <c r="T303" i="98"/>
  <c r="U303" i="98" s="1"/>
  <c r="S303" i="98"/>
  <c r="R303" i="98"/>
  <c r="V302" i="98"/>
  <c r="T302" i="98"/>
  <c r="U302" i="98" s="1"/>
  <c r="S302" i="98"/>
  <c r="R302" i="98"/>
  <c r="V301" i="98"/>
  <c r="T301" i="98"/>
  <c r="U301" i="98" s="1"/>
  <c r="S301" i="98"/>
  <c r="R301" i="98"/>
  <c r="V300" i="98"/>
  <c r="T300" i="98"/>
  <c r="U300" i="98" s="1"/>
  <c r="S300" i="98"/>
  <c r="R300" i="98"/>
  <c r="V299" i="98"/>
  <c r="T299" i="98"/>
  <c r="U299" i="98" s="1"/>
  <c r="S299" i="98"/>
  <c r="R299" i="98"/>
  <c r="V298" i="98"/>
  <c r="T298" i="98"/>
  <c r="U298" i="98" s="1"/>
  <c r="S298" i="98"/>
  <c r="R298" i="98"/>
  <c r="V297" i="98"/>
  <c r="T297" i="98"/>
  <c r="U297" i="98" s="1"/>
  <c r="S297" i="98"/>
  <c r="R297" i="98"/>
  <c r="V296" i="98"/>
  <c r="T296" i="98"/>
  <c r="U296" i="98" s="1"/>
  <c r="S296" i="98"/>
  <c r="R296" i="98"/>
  <c r="V295" i="98"/>
  <c r="T295" i="98"/>
  <c r="U295" i="98" s="1"/>
  <c r="S295" i="98"/>
  <c r="R295" i="98"/>
  <c r="V294" i="98"/>
  <c r="T294" i="98"/>
  <c r="U294" i="98" s="1"/>
  <c r="S294" i="98"/>
  <c r="R294" i="98"/>
  <c r="V293" i="98"/>
  <c r="T293" i="98"/>
  <c r="U293" i="98" s="1"/>
  <c r="S293" i="98"/>
  <c r="R293" i="98"/>
  <c r="V292" i="98"/>
  <c r="T292" i="98"/>
  <c r="U292" i="98" s="1"/>
  <c r="S292" i="98"/>
  <c r="R292" i="98"/>
  <c r="V291" i="98"/>
  <c r="T291" i="98"/>
  <c r="U291" i="98" s="1"/>
  <c r="S291" i="98"/>
  <c r="R291" i="98"/>
  <c r="V290" i="98"/>
  <c r="T290" i="98"/>
  <c r="U290" i="98" s="1"/>
  <c r="S290" i="98"/>
  <c r="R290" i="98"/>
  <c r="V289" i="98"/>
  <c r="T289" i="98"/>
  <c r="U289" i="98" s="1"/>
  <c r="S289" i="98"/>
  <c r="R289" i="98"/>
  <c r="V288" i="98"/>
  <c r="T288" i="98"/>
  <c r="U288" i="98" s="1"/>
  <c r="S288" i="98"/>
  <c r="R288" i="98"/>
  <c r="V287" i="98"/>
  <c r="T287" i="98"/>
  <c r="U287" i="98" s="1"/>
  <c r="S287" i="98"/>
  <c r="R287" i="98"/>
  <c r="V286" i="98"/>
  <c r="T286" i="98"/>
  <c r="U286" i="98" s="1"/>
  <c r="S286" i="98"/>
  <c r="R286" i="98"/>
  <c r="V285" i="98"/>
  <c r="T285" i="98"/>
  <c r="U285" i="98" s="1"/>
  <c r="S285" i="98"/>
  <c r="R285" i="98"/>
  <c r="V284" i="98"/>
  <c r="T284" i="98"/>
  <c r="U284" i="98" s="1"/>
  <c r="S284" i="98"/>
  <c r="R284" i="98"/>
  <c r="V283" i="98"/>
  <c r="T283" i="98"/>
  <c r="U283" i="98" s="1"/>
  <c r="S283" i="98"/>
  <c r="R283" i="98"/>
  <c r="V282" i="98"/>
  <c r="T282" i="98"/>
  <c r="U282" i="98" s="1"/>
  <c r="S282" i="98"/>
  <c r="R282" i="98"/>
  <c r="V281" i="98"/>
  <c r="T281" i="98"/>
  <c r="U281" i="98" s="1"/>
  <c r="S281" i="98"/>
  <c r="R281" i="98"/>
  <c r="V280" i="98"/>
  <c r="T280" i="98"/>
  <c r="U280" i="98" s="1"/>
  <c r="S280" i="98"/>
  <c r="R280" i="98"/>
  <c r="V279" i="98"/>
  <c r="T279" i="98"/>
  <c r="U279" i="98" s="1"/>
  <c r="S279" i="98"/>
  <c r="R279" i="98"/>
  <c r="V278" i="98"/>
  <c r="T278" i="98"/>
  <c r="U278" i="98" s="1"/>
  <c r="S278" i="98"/>
  <c r="R278" i="98"/>
  <c r="V277" i="98"/>
  <c r="T277" i="98"/>
  <c r="U277" i="98" s="1"/>
  <c r="S277" i="98"/>
  <c r="R277" i="98"/>
  <c r="V276" i="98"/>
  <c r="T276" i="98"/>
  <c r="U276" i="98" s="1"/>
  <c r="S276" i="98"/>
  <c r="R276" i="98"/>
  <c r="V275" i="98"/>
  <c r="T275" i="98"/>
  <c r="U275" i="98" s="1"/>
  <c r="S275" i="98"/>
  <c r="R275" i="98"/>
  <c r="V274" i="98"/>
  <c r="T274" i="98"/>
  <c r="U274" i="98" s="1"/>
  <c r="S274" i="98"/>
  <c r="R274" i="98"/>
  <c r="V273" i="98"/>
  <c r="T273" i="98"/>
  <c r="U273" i="98" s="1"/>
  <c r="S273" i="98"/>
  <c r="R273" i="98"/>
  <c r="V272" i="98"/>
  <c r="T272" i="98"/>
  <c r="U272" i="98" s="1"/>
  <c r="S272" i="98"/>
  <c r="R272" i="98"/>
  <c r="V271" i="98"/>
  <c r="T271" i="98"/>
  <c r="U271" i="98" s="1"/>
  <c r="S271" i="98"/>
  <c r="R271" i="98"/>
  <c r="V270" i="98"/>
  <c r="T270" i="98"/>
  <c r="U270" i="98" s="1"/>
  <c r="S270" i="98"/>
  <c r="R270" i="98"/>
  <c r="V269" i="98"/>
  <c r="T269" i="98"/>
  <c r="U269" i="98" s="1"/>
  <c r="S269" i="98"/>
  <c r="R269" i="98"/>
  <c r="V268" i="98"/>
  <c r="T268" i="98"/>
  <c r="U268" i="98" s="1"/>
  <c r="S268" i="98"/>
  <c r="R268" i="98"/>
  <c r="V267" i="98"/>
  <c r="T267" i="98"/>
  <c r="U267" i="98" s="1"/>
  <c r="S267" i="98"/>
  <c r="R267" i="98"/>
  <c r="V266" i="98"/>
  <c r="T266" i="98"/>
  <c r="U266" i="98" s="1"/>
  <c r="S266" i="98"/>
  <c r="R266" i="98"/>
  <c r="V265" i="98"/>
  <c r="T265" i="98"/>
  <c r="U265" i="98" s="1"/>
  <c r="S265" i="98"/>
  <c r="R265" i="98"/>
  <c r="V264" i="98"/>
  <c r="T264" i="98"/>
  <c r="U264" i="98" s="1"/>
  <c r="S264" i="98"/>
  <c r="R264" i="98"/>
  <c r="V263" i="98"/>
  <c r="T263" i="98"/>
  <c r="U263" i="98" s="1"/>
  <c r="S263" i="98"/>
  <c r="R263" i="98"/>
  <c r="V262" i="98"/>
  <c r="T262" i="98"/>
  <c r="U262" i="98" s="1"/>
  <c r="S262" i="98"/>
  <c r="R262" i="98"/>
  <c r="V261" i="98"/>
  <c r="T261" i="98"/>
  <c r="U261" i="98" s="1"/>
  <c r="S261" i="98"/>
  <c r="R261" i="98"/>
  <c r="V260" i="98"/>
  <c r="T260" i="98"/>
  <c r="U260" i="98" s="1"/>
  <c r="S260" i="98"/>
  <c r="R260" i="98"/>
  <c r="V259" i="98"/>
  <c r="T259" i="98"/>
  <c r="U259" i="98" s="1"/>
  <c r="S259" i="98"/>
  <c r="R259" i="98"/>
  <c r="V258" i="98"/>
  <c r="T258" i="98"/>
  <c r="U258" i="98" s="1"/>
  <c r="S258" i="98"/>
  <c r="R258" i="98"/>
  <c r="V257" i="98"/>
  <c r="T257" i="98"/>
  <c r="U257" i="98" s="1"/>
  <c r="S257" i="98"/>
  <c r="R257" i="98"/>
  <c r="V256" i="98"/>
  <c r="T256" i="98"/>
  <c r="U256" i="98" s="1"/>
  <c r="S256" i="98"/>
  <c r="R256" i="98"/>
  <c r="V255" i="98"/>
  <c r="T255" i="98"/>
  <c r="U255" i="98" s="1"/>
  <c r="S255" i="98"/>
  <c r="R255" i="98"/>
  <c r="V254" i="98"/>
  <c r="T254" i="98"/>
  <c r="U254" i="98" s="1"/>
  <c r="S254" i="98"/>
  <c r="R254" i="98"/>
  <c r="V253" i="98"/>
  <c r="T253" i="98"/>
  <c r="U253" i="98" s="1"/>
  <c r="S253" i="98"/>
  <c r="R253" i="98"/>
  <c r="V252" i="98"/>
  <c r="T252" i="98"/>
  <c r="U252" i="98" s="1"/>
  <c r="S252" i="98"/>
  <c r="R252" i="98"/>
  <c r="V251" i="98"/>
  <c r="T251" i="98"/>
  <c r="U251" i="98" s="1"/>
  <c r="S251" i="98"/>
  <c r="R251" i="98"/>
  <c r="V250" i="98"/>
  <c r="T250" i="98"/>
  <c r="U250" i="98" s="1"/>
  <c r="S250" i="98"/>
  <c r="R250" i="98"/>
  <c r="V249" i="98"/>
  <c r="T249" i="98"/>
  <c r="U249" i="98" s="1"/>
  <c r="S249" i="98"/>
  <c r="R249" i="98"/>
  <c r="V248" i="98"/>
  <c r="T248" i="98"/>
  <c r="U248" i="98" s="1"/>
  <c r="S248" i="98"/>
  <c r="R248" i="98"/>
  <c r="V247" i="98"/>
  <c r="T247" i="98"/>
  <c r="U247" i="98" s="1"/>
  <c r="S247" i="98"/>
  <c r="R247" i="98"/>
  <c r="V246" i="98"/>
  <c r="T246" i="98"/>
  <c r="U246" i="98" s="1"/>
  <c r="S246" i="98"/>
  <c r="R246" i="98"/>
  <c r="V245" i="98"/>
  <c r="T245" i="98"/>
  <c r="U245" i="98" s="1"/>
  <c r="S245" i="98"/>
  <c r="R245" i="98"/>
  <c r="V244" i="98"/>
  <c r="T244" i="98"/>
  <c r="U244" i="98" s="1"/>
  <c r="S244" i="98"/>
  <c r="R244" i="98"/>
  <c r="V243" i="98"/>
  <c r="T243" i="98"/>
  <c r="U243" i="98" s="1"/>
  <c r="S243" i="98"/>
  <c r="R243" i="98"/>
  <c r="V242" i="98"/>
  <c r="T242" i="98"/>
  <c r="U242" i="98" s="1"/>
  <c r="S242" i="98"/>
  <c r="R242" i="98"/>
  <c r="V241" i="98"/>
  <c r="T241" i="98"/>
  <c r="U241" i="98" s="1"/>
  <c r="S241" i="98"/>
  <c r="R241" i="98"/>
  <c r="V240" i="98"/>
  <c r="T240" i="98"/>
  <c r="U240" i="98" s="1"/>
  <c r="S240" i="98"/>
  <c r="R240" i="98"/>
  <c r="V239" i="98"/>
  <c r="T239" i="98"/>
  <c r="U239" i="98" s="1"/>
  <c r="S239" i="98"/>
  <c r="R239" i="98"/>
  <c r="V238" i="98"/>
  <c r="T238" i="98"/>
  <c r="U238" i="98" s="1"/>
  <c r="S238" i="98"/>
  <c r="R238" i="98"/>
  <c r="V237" i="98"/>
  <c r="T237" i="98"/>
  <c r="U237" i="98" s="1"/>
  <c r="S237" i="98"/>
  <c r="R237" i="98"/>
  <c r="V236" i="98"/>
  <c r="T236" i="98"/>
  <c r="U236" i="98" s="1"/>
  <c r="S236" i="98"/>
  <c r="R236" i="98"/>
  <c r="V235" i="98"/>
  <c r="T235" i="98"/>
  <c r="U235" i="98" s="1"/>
  <c r="S235" i="98"/>
  <c r="R235" i="98"/>
  <c r="V234" i="98"/>
  <c r="T234" i="98"/>
  <c r="U234" i="98" s="1"/>
  <c r="S234" i="98"/>
  <c r="R234" i="98"/>
  <c r="V233" i="98"/>
  <c r="T233" i="98"/>
  <c r="U233" i="98" s="1"/>
  <c r="S233" i="98"/>
  <c r="R233" i="98"/>
  <c r="V232" i="98"/>
  <c r="T232" i="98"/>
  <c r="U232" i="98" s="1"/>
  <c r="S232" i="98"/>
  <c r="R232" i="98"/>
  <c r="V231" i="98"/>
  <c r="T231" i="98"/>
  <c r="U231" i="98" s="1"/>
  <c r="S231" i="98"/>
  <c r="R231" i="98"/>
  <c r="V230" i="98"/>
  <c r="T230" i="98"/>
  <c r="U230" i="98" s="1"/>
  <c r="S230" i="98"/>
  <c r="R230" i="98"/>
  <c r="V229" i="98"/>
  <c r="T229" i="98"/>
  <c r="U229" i="98" s="1"/>
  <c r="S229" i="98"/>
  <c r="R229" i="98"/>
  <c r="V228" i="98"/>
  <c r="T228" i="98"/>
  <c r="U228" i="98" s="1"/>
  <c r="S228" i="98"/>
  <c r="R228" i="98"/>
  <c r="V227" i="98"/>
  <c r="T227" i="98"/>
  <c r="U227" i="98" s="1"/>
  <c r="S227" i="98"/>
  <c r="R227" i="98"/>
  <c r="V226" i="98"/>
  <c r="T226" i="98"/>
  <c r="U226" i="98" s="1"/>
  <c r="S226" i="98"/>
  <c r="R226" i="98"/>
  <c r="V225" i="98"/>
  <c r="T225" i="98"/>
  <c r="U225" i="98" s="1"/>
  <c r="S225" i="98"/>
  <c r="R225" i="98"/>
  <c r="V224" i="98"/>
  <c r="T224" i="98"/>
  <c r="U224" i="98" s="1"/>
  <c r="S224" i="98"/>
  <c r="R224" i="98"/>
  <c r="V223" i="98"/>
  <c r="T223" i="98"/>
  <c r="U223" i="98" s="1"/>
  <c r="S223" i="98"/>
  <c r="R223" i="98"/>
  <c r="V222" i="98"/>
  <c r="T222" i="98"/>
  <c r="U222" i="98" s="1"/>
  <c r="S222" i="98"/>
  <c r="R222" i="98"/>
  <c r="V221" i="98"/>
  <c r="T221" i="98"/>
  <c r="U221" i="98" s="1"/>
  <c r="S221" i="98"/>
  <c r="R221" i="98"/>
  <c r="V220" i="98"/>
  <c r="T220" i="98"/>
  <c r="U220" i="98" s="1"/>
  <c r="S220" i="98"/>
  <c r="R220" i="98"/>
  <c r="V219" i="98"/>
  <c r="T219" i="98"/>
  <c r="U219" i="98" s="1"/>
  <c r="S219" i="98"/>
  <c r="R219" i="98"/>
  <c r="V218" i="98"/>
  <c r="T218" i="98"/>
  <c r="U218" i="98" s="1"/>
  <c r="S218" i="98"/>
  <c r="R218" i="98"/>
  <c r="V217" i="98"/>
  <c r="T217" i="98"/>
  <c r="U217" i="98" s="1"/>
  <c r="S217" i="98"/>
  <c r="R217" i="98"/>
  <c r="V216" i="98"/>
  <c r="T216" i="98"/>
  <c r="U216" i="98" s="1"/>
  <c r="S216" i="98"/>
  <c r="R216" i="98"/>
  <c r="V215" i="98"/>
  <c r="T215" i="98"/>
  <c r="U215" i="98" s="1"/>
  <c r="S215" i="98"/>
  <c r="R215" i="98"/>
  <c r="V214" i="98"/>
  <c r="T214" i="98"/>
  <c r="U214" i="98" s="1"/>
  <c r="S214" i="98"/>
  <c r="R214" i="98"/>
  <c r="V213" i="98"/>
  <c r="T213" i="98"/>
  <c r="U213" i="98" s="1"/>
  <c r="S213" i="98"/>
  <c r="R213" i="98"/>
  <c r="V212" i="98"/>
  <c r="T212" i="98"/>
  <c r="U212" i="98" s="1"/>
  <c r="S212" i="98"/>
  <c r="R212" i="98"/>
  <c r="V211" i="98"/>
  <c r="T211" i="98"/>
  <c r="U211" i="98" s="1"/>
  <c r="S211" i="98"/>
  <c r="R211" i="98"/>
  <c r="V210" i="98"/>
  <c r="T210" i="98"/>
  <c r="U210" i="98" s="1"/>
  <c r="S210" i="98"/>
  <c r="R210" i="98"/>
  <c r="V209" i="98"/>
  <c r="T209" i="98"/>
  <c r="U209" i="98" s="1"/>
  <c r="S209" i="98"/>
  <c r="R209" i="98"/>
  <c r="V208" i="98"/>
  <c r="T208" i="98"/>
  <c r="U208" i="98" s="1"/>
  <c r="S208" i="98"/>
  <c r="R208" i="98"/>
  <c r="V207" i="98"/>
  <c r="T207" i="98"/>
  <c r="U207" i="98" s="1"/>
  <c r="S207" i="98"/>
  <c r="R207" i="98"/>
  <c r="V206" i="98"/>
  <c r="T206" i="98"/>
  <c r="U206" i="98" s="1"/>
  <c r="S206" i="98"/>
  <c r="R206" i="98"/>
  <c r="V205" i="98"/>
  <c r="T205" i="98"/>
  <c r="U205" i="98" s="1"/>
  <c r="S205" i="98"/>
  <c r="R205" i="98"/>
  <c r="V204" i="98"/>
  <c r="T204" i="98"/>
  <c r="U204" i="98" s="1"/>
  <c r="S204" i="98"/>
  <c r="R204" i="98"/>
  <c r="V203" i="98"/>
  <c r="T203" i="98"/>
  <c r="U203" i="98" s="1"/>
  <c r="S203" i="98"/>
  <c r="R203" i="98"/>
  <c r="V202" i="98"/>
  <c r="T202" i="98"/>
  <c r="U202" i="98" s="1"/>
  <c r="S202" i="98"/>
  <c r="R202" i="98"/>
  <c r="V201" i="98"/>
  <c r="T201" i="98"/>
  <c r="U201" i="98" s="1"/>
  <c r="S201" i="98"/>
  <c r="R201" i="98"/>
  <c r="V200" i="98"/>
  <c r="T200" i="98"/>
  <c r="U200" i="98" s="1"/>
  <c r="S200" i="98"/>
  <c r="R200" i="98"/>
  <c r="V199" i="98"/>
  <c r="T199" i="98"/>
  <c r="U199" i="98" s="1"/>
  <c r="S199" i="98"/>
  <c r="R199" i="98"/>
  <c r="V198" i="98"/>
  <c r="T198" i="98"/>
  <c r="U198" i="98" s="1"/>
  <c r="S198" i="98"/>
  <c r="R198" i="98"/>
  <c r="V197" i="98"/>
  <c r="T197" i="98"/>
  <c r="U197" i="98" s="1"/>
  <c r="S197" i="98"/>
  <c r="R197" i="98"/>
  <c r="V196" i="98"/>
  <c r="T196" i="98"/>
  <c r="U196" i="98" s="1"/>
  <c r="S196" i="98"/>
  <c r="R196" i="98"/>
  <c r="V195" i="98"/>
  <c r="T195" i="98"/>
  <c r="U195" i="98" s="1"/>
  <c r="S195" i="98"/>
  <c r="R195" i="98"/>
  <c r="V194" i="98"/>
  <c r="T194" i="98"/>
  <c r="U194" i="98" s="1"/>
  <c r="S194" i="98"/>
  <c r="R194" i="98"/>
  <c r="V193" i="98"/>
  <c r="T193" i="98"/>
  <c r="U193" i="98" s="1"/>
  <c r="S193" i="98"/>
  <c r="R193" i="98"/>
  <c r="V192" i="98"/>
  <c r="T192" i="98"/>
  <c r="U192" i="98" s="1"/>
  <c r="S192" i="98"/>
  <c r="R192" i="98"/>
  <c r="V191" i="98"/>
  <c r="T191" i="98"/>
  <c r="U191" i="98" s="1"/>
  <c r="S191" i="98"/>
  <c r="R191" i="98"/>
  <c r="V190" i="98"/>
  <c r="T190" i="98"/>
  <c r="U190" i="98" s="1"/>
  <c r="S190" i="98"/>
  <c r="R190" i="98"/>
  <c r="V189" i="98"/>
  <c r="T189" i="98"/>
  <c r="U189" i="98" s="1"/>
  <c r="S189" i="98"/>
  <c r="R189" i="98"/>
  <c r="V188" i="98"/>
  <c r="T188" i="98"/>
  <c r="U188" i="98" s="1"/>
  <c r="S188" i="98"/>
  <c r="R188" i="98"/>
  <c r="V187" i="98"/>
  <c r="T187" i="98"/>
  <c r="U187" i="98" s="1"/>
  <c r="S187" i="98"/>
  <c r="R187" i="98"/>
  <c r="V186" i="98"/>
  <c r="T186" i="98"/>
  <c r="U186" i="98" s="1"/>
  <c r="S186" i="98"/>
  <c r="R186" i="98"/>
  <c r="V185" i="98"/>
  <c r="T185" i="98"/>
  <c r="U185" i="98" s="1"/>
  <c r="S185" i="98"/>
  <c r="R185" i="98"/>
  <c r="V184" i="98"/>
  <c r="T184" i="98"/>
  <c r="U184" i="98" s="1"/>
  <c r="S184" i="98"/>
  <c r="R184" i="98"/>
  <c r="V183" i="98"/>
  <c r="T183" i="98"/>
  <c r="U183" i="98" s="1"/>
  <c r="S183" i="98"/>
  <c r="R183" i="98"/>
  <c r="V182" i="98"/>
  <c r="T182" i="98"/>
  <c r="U182" i="98" s="1"/>
  <c r="S182" i="98"/>
  <c r="R182" i="98"/>
  <c r="V181" i="98"/>
  <c r="T181" i="98"/>
  <c r="U181" i="98" s="1"/>
  <c r="S181" i="98"/>
  <c r="R181" i="98"/>
  <c r="V180" i="98"/>
  <c r="T180" i="98"/>
  <c r="U180" i="98" s="1"/>
  <c r="S180" i="98"/>
  <c r="R180" i="98"/>
  <c r="V179" i="98"/>
  <c r="T179" i="98"/>
  <c r="U179" i="98" s="1"/>
  <c r="S179" i="98"/>
  <c r="R179" i="98"/>
  <c r="V178" i="98"/>
  <c r="T178" i="98"/>
  <c r="U178" i="98" s="1"/>
  <c r="S178" i="98"/>
  <c r="R178" i="98"/>
  <c r="V177" i="98"/>
  <c r="T177" i="98"/>
  <c r="U177" i="98" s="1"/>
  <c r="S177" i="98"/>
  <c r="R177" i="98"/>
  <c r="V176" i="98"/>
  <c r="T176" i="98"/>
  <c r="U176" i="98" s="1"/>
  <c r="S176" i="98"/>
  <c r="R176" i="98"/>
  <c r="V175" i="98"/>
  <c r="T175" i="98"/>
  <c r="U175" i="98" s="1"/>
  <c r="S175" i="98"/>
  <c r="R175" i="98"/>
  <c r="V174" i="98"/>
  <c r="T174" i="98"/>
  <c r="U174" i="98" s="1"/>
  <c r="S174" i="98"/>
  <c r="R174" i="98"/>
  <c r="V173" i="98"/>
  <c r="T173" i="98"/>
  <c r="U173" i="98" s="1"/>
  <c r="S173" i="98"/>
  <c r="R173" i="98"/>
  <c r="V172" i="98"/>
  <c r="T172" i="98"/>
  <c r="U172" i="98" s="1"/>
  <c r="S172" i="98"/>
  <c r="R172" i="98"/>
  <c r="V171" i="98"/>
  <c r="T171" i="98"/>
  <c r="U171" i="98" s="1"/>
  <c r="S171" i="98"/>
  <c r="R171" i="98"/>
  <c r="V170" i="98"/>
  <c r="T170" i="98"/>
  <c r="U170" i="98" s="1"/>
  <c r="S170" i="98"/>
  <c r="R170" i="98"/>
  <c r="V169" i="98"/>
  <c r="T169" i="98"/>
  <c r="U169" i="98" s="1"/>
  <c r="S169" i="98"/>
  <c r="R169" i="98"/>
  <c r="V168" i="98"/>
  <c r="T168" i="98"/>
  <c r="U168" i="98" s="1"/>
  <c r="S168" i="98"/>
  <c r="R168" i="98"/>
  <c r="V167" i="98"/>
  <c r="T167" i="98"/>
  <c r="U167" i="98" s="1"/>
  <c r="S167" i="98"/>
  <c r="R167" i="98"/>
  <c r="V166" i="98"/>
  <c r="T166" i="98"/>
  <c r="U166" i="98" s="1"/>
  <c r="S166" i="98"/>
  <c r="R166" i="98"/>
  <c r="V165" i="98"/>
  <c r="T165" i="98"/>
  <c r="U165" i="98" s="1"/>
  <c r="S165" i="98"/>
  <c r="R165" i="98"/>
  <c r="V164" i="98"/>
  <c r="T164" i="98"/>
  <c r="U164" i="98" s="1"/>
  <c r="S164" i="98"/>
  <c r="R164" i="98"/>
  <c r="V163" i="98"/>
  <c r="T163" i="98"/>
  <c r="U163" i="98" s="1"/>
  <c r="S163" i="98"/>
  <c r="R163" i="98"/>
  <c r="V162" i="98"/>
  <c r="T162" i="98"/>
  <c r="U162" i="98" s="1"/>
  <c r="S162" i="98"/>
  <c r="R162" i="98"/>
  <c r="V161" i="98"/>
  <c r="T161" i="98"/>
  <c r="U161" i="98" s="1"/>
  <c r="S161" i="98"/>
  <c r="R161" i="98"/>
  <c r="V160" i="98"/>
  <c r="T160" i="98"/>
  <c r="U160" i="98" s="1"/>
  <c r="S160" i="98"/>
  <c r="R160" i="98"/>
  <c r="V159" i="98"/>
  <c r="T159" i="98"/>
  <c r="U159" i="98" s="1"/>
  <c r="S159" i="98"/>
  <c r="R159" i="98"/>
  <c r="V158" i="98"/>
  <c r="T158" i="98"/>
  <c r="U158" i="98" s="1"/>
  <c r="S158" i="98"/>
  <c r="R158" i="98"/>
  <c r="V157" i="98"/>
  <c r="T157" i="98"/>
  <c r="U157" i="98" s="1"/>
  <c r="S157" i="98"/>
  <c r="R157" i="98"/>
  <c r="V156" i="98"/>
  <c r="T156" i="98"/>
  <c r="U156" i="98" s="1"/>
  <c r="S156" i="98"/>
  <c r="R156" i="98"/>
  <c r="V155" i="98"/>
  <c r="T155" i="98"/>
  <c r="U155" i="98" s="1"/>
  <c r="S155" i="98"/>
  <c r="R155" i="98"/>
  <c r="V154" i="98"/>
  <c r="T154" i="98"/>
  <c r="U154" i="98" s="1"/>
  <c r="S154" i="98"/>
  <c r="R154" i="98"/>
  <c r="V153" i="98"/>
  <c r="T153" i="98"/>
  <c r="U153" i="98" s="1"/>
  <c r="S153" i="98"/>
  <c r="R153" i="98"/>
  <c r="V152" i="98"/>
  <c r="T152" i="98"/>
  <c r="U152" i="98" s="1"/>
  <c r="S152" i="98"/>
  <c r="R152" i="98"/>
  <c r="V151" i="98"/>
  <c r="T151" i="98"/>
  <c r="U151" i="98" s="1"/>
  <c r="S151" i="98"/>
  <c r="R151" i="98"/>
  <c r="V150" i="98"/>
  <c r="T150" i="98"/>
  <c r="U150" i="98" s="1"/>
  <c r="S150" i="98"/>
  <c r="R150" i="98"/>
  <c r="V149" i="98"/>
  <c r="T149" i="98"/>
  <c r="U149" i="98" s="1"/>
  <c r="S149" i="98"/>
  <c r="R149" i="98"/>
  <c r="V148" i="98"/>
  <c r="T148" i="98"/>
  <c r="U148" i="98" s="1"/>
  <c r="S148" i="98"/>
  <c r="R148" i="98"/>
  <c r="V147" i="98"/>
  <c r="T147" i="98"/>
  <c r="U147" i="98" s="1"/>
  <c r="S147" i="98"/>
  <c r="R147" i="98"/>
  <c r="V146" i="98"/>
  <c r="T146" i="98"/>
  <c r="U146" i="98" s="1"/>
  <c r="S146" i="98"/>
  <c r="R146" i="98"/>
  <c r="V145" i="98"/>
  <c r="T145" i="98"/>
  <c r="U145" i="98" s="1"/>
  <c r="S145" i="98"/>
  <c r="R145" i="98"/>
  <c r="V144" i="98"/>
  <c r="T144" i="98"/>
  <c r="U144" i="98" s="1"/>
  <c r="S144" i="98"/>
  <c r="R144" i="98"/>
  <c r="V143" i="98"/>
  <c r="T143" i="98"/>
  <c r="U143" i="98" s="1"/>
  <c r="S143" i="98"/>
  <c r="R143" i="98"/>
  <c r="V142" i="98"/>
  <c r="T142" i="98"/>
  <c r="U142" i="98" s="1"/>
  <c r="S142" i="98"/>
  <c r="R142" i="98"/>
  <c r="V141" i="98"/>
  <c r="T141" i="98"/>
  <c r="U141" i="98" s="1"/>
  <c r="S141" i="98"/>
  <c r="R141" i="98"/>
  <c r="V140" i="98"/>
  <c r="T140" i="98"/>
  <c r="U140" i="98" s="1"/>
  <c r="S140" i="98"/>
  <c r="R140" i="98"/>
  <c r="V139" i="98"/>
  <c r="T139" i="98"/>
  <c r="U139" i="98" s="1"/>
  <c r="S139" i="98"/>
  <c r="R139" i="98"/>
  <c r="V138" i="98"/>
  <c r="T138" i="98"/>
  <c r="U138" i="98" s="1"/>
  <c r="S138" i="98"/>
  <c r="R138" i="98"/>
  <c r="V137" i="98"/>
  <c r="T137" i="98"/>
  <c r="U137" i="98" s="1"/>
  <c r="S137" i="98"/>
  <c r="R137" i="98"/>
  <c r="V136" i="98"/>
  <c r="T136" i="98"/>
  <c r="U136" i="98" s="1"/>
  <c r="S136" i="98"/>
  <c r="R136" i="98"/>
  <c r="V135" i="98"/>
  <c r="T135" i="98"/>
  <c r="U135" i="98" s="1"/>
  <c r="S135" i="98"/>
  <c r="R135" i="98"/>
  <c r="V134" i="98"/>
  <c r="T134" i="98"/>
  <c r="U134" i="98" s="1"/>
  <c r="S134" i="98"/>
  <c r="R134" i="98"/>
  <c r="V133" i="98"/>
  <c r="T133" i="98"/>
  <c r="U133" i="98" s="1"/>
  <c r="S133" i="98"/>
  <c r="R133" i="98"/>
  <c r="V132" i="98"/>
  <c r="T132" i="98"/>
  <c r="U132" i="98" s="1"/>
  <c r="S132" i="98"/>
  <c r="R132" i="98"/>
  <c r="V131" i="98"/>
  <c r="T131" i="98"/>
  <c r="U131" i="98" s="1"/>
  <c r="S131" i="98"/>
  <c r="R131" i="98"/>
  <c r="V130" i="98"/>
  <c r="T130" i="98"/>
  <c r="U130" i="98" s="1"/>
  <c r="S130" i="98"/>
  <c r="R130" i="98"/>
  <c r="V129" i="98"/>
  <c r="T129" i="98"/>
  <c r="U129" i="98" s="1"/>
  <c r="S129" i="98"/>
  <c r="R129" i="98"/>
  <c r="V128" i="98"/>
  <c r="T128" i="98"/>
  <c r="U128" i="98" s="1"/>
  <c r="S128" i="98"/>
  <c r="R128" i="98"/>
  <c r="V127" i="98"/>
  <c r="T127" i="98"/>
  <c r="U127" i="98" s="1"/>
  <c r="S127" i="98"/>
  <c r="R127" i="98"/>
  <c r="V126" i="98"/>
  <c r="T126" i="98"/>
  <c r="U126" i="98" s="1"/>
  <c r="S126" i="98"/>
  <c r="R126" i="98"/>
  <c r="V125" i="98"/>
  <c r="T125" i="98"/>
  <c r="U125" i="98" s="1"/>
  <c r="S125" i="98"/>
  <c r="R125" i="98"/>
  <c r="V124" i="98"/>
  <c r="T124" i="98"/>
  <c r="U124" i="98" s="1"/>
  <c r="S124" i="98"/>
  <c r="R124" i="98"/>
  <c r="V123" i="98"/>
  <c r="T123" i="98"/>
  <c r="U123" i="98" s="1"/>
  <c r="S123" i="98"/>
  <c r="R123" i="98"/>
  <c r="V122" i="98"/>
  <c r="T122" i="98"/>
  <c r="U122" i="98" s="1"/>
  <c r="S122" i="98"/>
  <c r="R122" i="98"/>
  <c r="V121" i="98"/>
  <c r="T121" i="98"/>
  <c r="U121" i="98" s="1"/>
  <c r="S121" i="98"/>
  <c r="R121" i="98"/>
  <c r="V120" i="98"/>
  <c r="T120" i="98"/>
  <c r="U120" i="98" s="1"/>
  <c r="S120" i="98"/>
  <c r="R120" i="98"/>
  <c r="V119" i="98"/>
  <c r="T119" i="98"/>
  <c r="U119" i="98" s="1"/>
  <c r="S119" i="98"/>
  <c r="R119" i="98"/>
  <c r="V118" i="98"/>
  <c r="T118" i="98"/>
  <c r="U118" i="98" s="1"/>
  <c r="S118" i="98"/>
  <c r="R118" i="98"/>
  <c r="V117" i="98"/>
  <c r="T117" i="98"/>
  <c r="U117" i="98" s="1"/>
  <c r="S117" i="98"/>
  <c r="R117" i="98"/>
  <c r="V116" i="98"/>
  <c r="T116" i="98"/>
  <c r="U116" i="98" s="1"/>
  <c r="S116" i="98"/>
  <c r="R116" i="98"/>
  <c r="V115" i="98"/>
  <c r="T115" i="98"/>
  <c r="U115" i="98" s="1"/>
  <c r="S115" i="98"/>
  <c r="R115" i="98"/>
  <c r="V114" i="98"/>
  <c r="T114" i="98"/>
  <c r="U114" i="98" s="1"/>
  <c r="S114" i="98"/>
  <c r="R114" i="98"/>
  <c r="V113" i="98"/>
  <c r="T113" i="98"/>
  <c r="U113" i="98" s="1"/>
  <c r="S113" i="98"/>
  <c r="R113" i="98"/>
  <c r="V112" i="98"/>
  <c r="T112" i="98"/>
  <c r="U112" i="98" s="1"/>
  <c r="S112" i="98"/>
  <c r="R112" i="98"/>
  <c r="V111" i="98"/>
  <c r="T111" i="98"/>
  <c r="U111" i="98" s="1"/>
  <c r="S111" i="98"/>
  <c r="R111" i="98"/>
  <c r="V110" i="98"/>
  <c r="T110" i="98"/>
  <c r="U110" i="98" s="1"/>
  <c r="S110" i="98"/>
  <c r="R110" i="98"/>
  <c r="V109" i="98"/>
  <c r="T109" i="98"/>
  <c r="U109" i="98" s="1"/>
  <c r="S109" i="98"/>
  <c r="R109" i="98"/>
  <c r="V108" i="98"/>
  <c r="T108" i="98"/>
  <c r="U108" i="98" s="1"/>
  <c r="S108" i="98"/>
  <c r="R108" i="98"/>
  <c r="V107" i="98"/>
  <c r="T107" i="98"/>
  <c r="U107" i="98" s="1"/>
  <c r="S107" i="98"/>
  <c r="R107" i="98"/>
  <c r="V106" i="98"/>
  <c r="T106" i="98"/>
  <c r="U106" i="98" s="1"/>
  <c r="S106" i="98"/>
  <c r="R106" i="98"/>
  <c r="V105" i="98"/>
  <c r="T105" i="98"/>
  <c r="U105" i="98" s="1"/>
  <c r="S105" i="98"/>
  <c r="R105" i="98"/>
  <c r="V104" i="98"/>
  <c r="T104" i="98"/>
  <c r="U104" i="98" s="1"/>
  <c r="S104" i="98"/>
  <c r="R104" i="98"/>
  <c r="V103" i="98"/>
  <c r="T103" i="98"/>
  <c r="U103" i="98" s="1"/>
  <c r="S103" i="98"/>
  <c r="R103" i="98"/>
  <c r="V102" i="98"/>
  <c r="T102" i="98"/>
  <c r="U102" i="98" s="1"/>
  <c r="S102" i="98"/>
  <c r="R102" i="98"/>
  <c r="V101" i="98"/>
  <c r="T101" i="98"/>
  <c r="U101" i="98" s="1"/>
  <c r="S101" i="98"/>
  <c r="R101" i="98"/>
  <c r="V100" i="98"/>
  <c r="T100" i="98"/>
  <c r="U100" i="98" s="1"/>
  <c r="S100" i="98"/>
  <c r="R100" i="98"/>
  <c r="V99" i="98"/>
  <c r="T99" i="98"/>
  <c r="U99" i="98" s="1"/>
  <c r="S99" i="98"/>
  <c r="R99" i="98"/>
  <c r="V98" i="98"/>
  <c r="T98" i="98"/>
  <c r="U98" i="98" s="1"/>
  <c r="S98" i="98"/>
  <c r="R98" i="98"/>
  <c r="V97" i="98"/>
  <c r="T97" i="98"/>
  <c r="U97" i="98" s="1"/>
  <c r="S97" i="98"/>
  <c r="R97" i="98"/>
  <c r="V96" i="98"/>
  <c r="T96" i="98"/>
  <c r="U96" i="98" s="1"/>
  <c r="S96" i="98"/>
  <c r="R96" i="98"/>
  <c r="V95" i="98"/>
  <c r="T95" i="98"/>
  <c r="U95" i="98" s="1"/>
  <c r="S95" i="98"/>
  <c r="R95" i="98"/>
  <c r="V94" i="98"/>
  <c r="T94" i="98"/>
  <c r="U94" i="98" s="1"/>
  <c r="S94" i="98"/>
  <c r="R94" i="98"/>
  <c r="V93" i="98"/>
  <c r="T93" i="98"/>
  <c r="U93" i="98" s="1"/>
  <c r="S93" i="98"/>
  <c r="R93" i="98"/>
  <c r="V92" i="98"/>
  <c r="T92" i="98"/>
  <c r="U92" i="98" s="1"/>
  <c r="S92" i="98"/>
  <c r="R92" i="98"/>
  <c r="V91" i="98"/>
  <c r="T91" i="98"/>
  <c r="U91" i="98" s="1"/>
  <c r="S91" i="98"/>
  <c r="R91" i="98"/>
  <c r="V90" i="98"/>
  <c r="T90" i="98"/>
  <c r="U90" i="98" s="1"/>
  <c r="S90" i="98"/>
  <c r="R90" i="98"/>
  <c r="V89" i="98"/>
  <c r="T89" i="98"/>
  <c r="U89" i="98" s="1"/>
  <c r="S89" i="98"/>
  <c r="R89" i="98"/>
  <c r="V88" i="98"/>
  <c r="T88" i="98"/>
  <c r="U88" i="98" s="1"/>
  <c r="S88" i="98"/>
  <c r="R88" i="98"/>
  <c r="V87" i="98"/>
  <c r="T87" i="98"/>
  <c r="U87" i="98" s="1"/>
  <c r="S87" i="98"/>
  <c r="R87" i="98"/>
  <c r="V86" i="98"/>
  <c r="T86" i="98"/>
  <c r="U86" i="98" s="1"/>
  <c r="S86" i="98"/>
  <c r="R86" i="98"/>
  <c r="V85" i="98"/>
  <c r="T85" i="98"/>
  <c r="U85" i="98" s="1"/>
  <c r="S85" i="98"/>
  <c r="R85" i="98"/>
  <c r="V84" i="98"/>
  <c r="T84" i="98"/>
  <c r="U84" i="98" s="1"/>
  <c r="S84" i="98"/>
  <c r="R84" i="98"/>
  <c r="V83" i="98"/>
  <c r="T83" i="98"/>
  <c r="U83" i="98" s="1"/>
  <c r="S83" i="98"/>
  <c r="R83" i="98"/>
  <c r="V82" i="98"/>
  <c r="T82" i="98"/>
  <c r="U82" i="98" s="1"/>
  <c r="S82" i="98"/>
  <c r="R82" i="98"/>
  <c r="V81" i="98"/>
  <c r="T81" i="98"/>
  <c r="U81" i="98" s="1"/>
  <c r="S81" i="98"/>
  <c r="R81" i="98"/>
  <c r="V80" i="98"/>
  <c r="T80" i="98"/>
  <c r="U80" i="98" s="1"/>
  <c r="S80" i="98"/>
  <c r="R80" i="98"/>
  <c r="V79" i="98"/>
  <c r="T79" i="98"/>
  <c r="U79" i="98" s="1"/>
  <c r="S79" i="98"/>
  <c r="R79" i="98"/>
  <c r="V78" i="98"/>
  <c r="T78" i="98"/>
  <c r="U78" i="98" s="1"/>
  <c r="S78" i="98"/>
  <c r="R78" i="98"/>
  <c r="V77" i="98"/>
  <c r="T77" i="98"/>
  <c r="U77" i="98" s="1"/>
  <c r="S77" i="98"/>
  <c r="R77" i="98"/>
  <c r="V76" i="98"/>
  <c r="T76" i="98"/>
  <c r="U76" i="98" s="1"/>
  <c r="S76" i="98"/>
  <c r="R76" i="98"/>
  <c r="V75" i="98"/>
  <c r="T75" i="98"/>
  <c r="U75" i="98" s="1"/>
  <c r="S75" i="98"/>
  <c r="R75" i="98"/>
  <c r="V74" i="98"/>
  <c r="T74" i="98"/>
  <c r="U74" i="98" s="1"/>
  <c r="S74" i="98"/>
  <c r="R74" i="98"/>
  <c r="V73" i="98"/>
  <c r="T73" i="98"/>
  <c r="U73" i="98" s="1"/>
  <c r="S73" i="98"/>
  <c r="R73" i="98"/>
  <c r="V72" i="98"/>
  <c r="T72" i="98"/>
  <c r="U72" i="98" s="1"/>
  <c r="S72" i="98"/>
  <c r="R72" i="98"/>
  <c r="V71" i="98"/>
  <c r="T71" i="98"/>
  <c r="U71" i="98" s="1"/>
  <c r="S71" i="98"/>
  <c r="R71" i="98"/>
  <c r="V70" i="98"/>
  <c r="T70" i="98"/>
  <c r="U70" i="98" s="1"/>
  <c r="S70" i="98"/>
  <c r="R70" i="98"/>
  <c r="V69" i="98"/>
  <c r="T69" i="98"/>
  <c r="U69" i="98" s="1"/>
  <c r="S69" i="98"/>
  <c r="R69" i="98"/>
  <c r="V68" i="98"/>
  <c r="T68" i="98"/>
  <c r="U68" i="98" s="1"/>
  <c r="S68" i="98"/>
  <c r="R68" i="98"/>
  <c r="V67" i="98"/>
  <c r="T67" i="98"/>
  <c r="U67" i="98" s="1"/>
  <c r="S67" i="98"/>
  <c r="R67" i="98"/>
  <c r="V66" i="98"/>
  <c r="T66" i="98"/>
  <c r="U66" i="98" s="1"/>
  <c r="S66" i="98"/>
  <c r="R66" i="98"/>
  <c r="V65" i="98"/>
  <c r="T65" i="98"/>
  <c r="U65" i="98" s="1"/>
  <c r="S65" i="98"/>
  <c r="R65" i="98"/>
  <c r="V64" i="98"/>
  <c r="T64" i="98"/>
  <c r="U64" i="98" s="1"/>
  <c r="S64" i="98"/>
  <c r="R64" i="98"/>
  <c r="V63" i="98"/>
  <c r="T63" i="98"/>
  <c r="U63" i="98" s="1"/>
  <c r="S63" i="98"/>
  <c r="R63" i="98"/>
  <c r="V62" i="98"/>
  <c r="T62" i="98"/>
  <c r="U62" i="98" s="1"/>
  <c r="S62" i="98"/>
  <c r="R62" i="98"/>
  <c r="V61" i="98"/>
  <c r="T61" i="98"/>
  <c r="U61" i="98" s="1"/>
  <c r="S61" i="98"/>
  <c r="R61" i="98"/>
  <c r="V60" i="98"/>
  <c r="T60" i="98"/>
  <c r="U60" i="98" s="1"/>
  <c r="S60" i="98"/>
  <c r="R60" i="98"/>
  <c r="V59" i="98"/>
  <c r="T59" i="98"/>
  <c r="U59" i="98" s="1"/>
  <c r="S59" i="98"/>
  <c r="R59" i="98"/>
  <c r="V58" i="98"/>
  <c r="T58" i="98"/>
  <c r="U58" i="98" s="1"/>
  <c r="S58" i="98"/>
  <c r="R58" i="98"/>
  <c r="V57" i="98"/>
  <c r="T57" i="98"/>
  <c r="U57" i="98" s="1"/>
  <c r="S57" i="98"/>
  <c r="R57" i="98"/>
  <c r="V56" i="98"/>
  <c r="T56" i="98"/>
  <c r="U56" i="98" s="1"/>
  <c r="S56" i="98"/>
  <c r="R56" i="98"/>
  <c r="V55" i="98"/>
  <c r="T55" i="98"/>
  <c r="U55" i="98" s="1"/>
  <c r="S55" i="98"/>
  <c r="R55" i="98"/>
  <c r="V54" i="98"/>
  <c r="T54" i="98"/>
  <c r="U54" i="98" s="1"/>
  <c r="S54" i="98"/>
  <c r="R54" i="98"/>
  <c r="V53" i="98"/>
  <c r="T53" i="98"/>
  <c r="U53" i="98" s="1"/>
  <c r="S53" i="98"/>
  <c r="R53" i="98"/>
  <c r="V52" i="98"/>
  <c r="T52" i="98"/>
  <c r="U52" i="98" s="1"/>
  <c r="S52" i="98"/>
  <c r="R52" i="98"/>
  <c r="V51" i="98"/>
  <c r="T51" i="98"/>
  <c r="U51" i="98" s="1"/>
  <c r="S51" i="98"/>
  <c r="R51" i="98"/>
  <c r="V50" i="98"/>
  <c r="T50" i="98"/>
  <c r="U50" i="98" s="1"/>
  <c r="S50" i="98"/>
  <c r="R50" i="98"/>
  <c r="V49" i="98"/>
  <c r="T49" i="98"/>
  <c r="U49" i="98" s="1"/>
  <c r="S49" i="98"/>
  <c r="R49" i="98"/>
  <c r="V48" i="98"/>
  <c r="T48" i="98"/>
  <c r="U48" i="98" s="1"/>
  <c r="S48" i="98"/>
  <c r="R48" i="98"/>
  <c r="V47" i="98"/>
  <c r="T47" i="98"/>
  <c r="U47" i="98" s="1"/>
  <c r="S47" i="98"/>
  <c r="R47" i="98"/>
  <c r="V46" i="98"/>
  <c r="T46" i="98"/>
  <c r="U46" i="98" s="1"/>
  <c r="S46" i="98"/>
  <c r="R46" i="98"/>
  <c r="V45" i="98"/>
  <c r="T45" i="98"/>
  <c r="U45" i="98" s="1"/>
  <c r="S45" i="98"/>
  <c r="R45" i="98"/>
  <c r="V44" i="98"/>
  <c r="T44" i="98"/>
  <c r="U44" i="98" s="1"/>
  <c r="S44" i="98"/>
  <c r="R44" i="98"/>
  <c r="V43" i="98"/>
  <c r="T43" i="98"/>
  <c r="U43" i="98" s="1"/>
  <c r="S43" i="98"/>
  <c r="R43" i="98"/>
  <c r="V42" i="98"/>
  <c r="T42" i="98"/>
  <c r="U42" i="98" s="1"/>
  <c r="S42" i="98"/>
  <c r="R42" i="98"/>
  <c r="V41" i="98"/>
  <c r="T41" i="98"/>
  <c r="U41" i="98" s="1"/>
  <c r="S41" i="98"/>
  <c r="R41" i="98"/>
  <c r="V40" i="98"/>
  <c r="T40" i="98"/>
  <c r="U40" i="98" s="1"/>
  <c r="S40" i="98"/>
  <c r="R40" i="98"/>
  <c r="V39" i="98"/>
  <c r="T39" i="98"/>
  <c r="U39" i="98" s="1"/>
  <c r="S39" i="98"/>
  <c r="R39" i="98"/>
  <c r="V38" i="98"/>
  <c r="T38" i="98"/>
  <c r="U38" i="98" s="1"/>
  <c r="S38" i="98"/>
  <c r="R38" i="98"/>
  <c r="V37" i="98"/>
  <c r="T37" i="98"/>
  <c r="U37" i="98" s="1"/>
  <c r="S37" i="98"/>
  <c r="R37" i="98"/>
  <c r="V36" i="98"/>
  <c r="T36" i="98"/>
  <c r="U36" i="98" s="1"/>
  <c r="S36" i="98"/>
  <c r="R36" i="98"/>
  <c r="V35" i="98"/>
  <c r="T35" i="98"/>
  <c r="U35" i="98" s="1"/>
  <c r="S35" i="98"/>
  <c r="R35" i="98"/>
  <c r="V34" i="98"/>
  <c r="T34" i="98"/>
  <c r="U34" i="98" s="1"/>
  <c r="S34" i="98"/>
  <c r="R34" i="98"/>
  <c r="V33" i="98"/>
  <c r="T33" i="98"/>
  <c r="U33" i="98" s="1"/>
  <c r="S33" i="98"/>
  <c r="R33" i="98"/>
  <c r="V32" i="98"/>
  <c r="T32" i="98"/>
  <c r="U32" i="98" s="1"/>
  <c r="S32" i="98"/>
  <c r="R32" i="98"/>
  <c r="V31" i="98"/>
  <c r="T31" i="98"/>
  <c r="U31" i="98" s="1"/>
  <c r="S31" i="98"/>
  <c r="R31" i="98"/>
  <c r="V30" i="98"/>
  <c r="T30" i="98"/>
  <c r="U30" i="98" s="1"/>
  <c r="S30" i="98"/>
  <c r="R30" i="98"/>
  <c r="V29" i="98"/>
  <c r="T29" i="98"/>
  <c r="U29" i="98" s="1"/>
  <c r="S29" i="98"/>
  <c r="R29" i="98"/>
  <c r="V28" i="98"/>
  <c r="T28" i="98"/>
  <c r="U28" i="98" s="1"/>
  <c r="S28" i="98"/>
  <c r="R28" i="98"/>
  <c r="V27" i="98"/>
  <c r="T27" i="98"/>
  <c r="U27" i="98" s="1"/>
  <c r="S27" i="98"/>
  <c r="R27" i="98"/>
  <c r="V26" i="98"/>
  <c r="T26" i="98"/>
  <c r="U26" i="98" s="1"/>
  <c r="S26" i="98"/>
  <c r="R26" i="98"/>
  <c r="V25" i="98"/>
  <c r="T25" i="98"/>
  <c r="U25" i="98" s="1"/>
  <c r="S25" i="98"/>
  <c r="R25" i="98"/>
  <c r="V24" i="98"/>
  <c r="T24" i="98"/>
  <c r="U24" i="98" s="1"/>
  <c r="S24" i="98"/>
  <c r="R24" i="98"/>
  <c r="V23" i="98"/>
  <c r="T23" i="98"/>
  <c r="U23" i="98" s="1"/>
  <c r="S23" i="98"/>
  <c r="R23" i="98"/>
  <c r="V22" i="98"/>
  <c r="T22" i="98"/>
  <c r="U22" i="98" s="1"/>
  <c r="S22" i="98"/>
  <c r="R22" i="98"/>
  <c r="V21" i="98"/>
  <c r="T21" i="98"/>
  <c r="U21" i="98" s="1"/>
  <c r="S21" i="98"/>
  <c r="R21" i="98"/>
  <c r="V20" i="98"/>
  <c r="T20" i="98"/>
  <c r="U20" i="98" s="1"/>
  <c r="S20" i="98"/>
  <c r="R20" i="98"/>
  <c r="V19" i="98"/>
  <c r="T19" i="98"/>
  <c r="U19" i="98" s="1"/>
  <c r="S19" i="98"/>
  <c r="R19" i="98"/>
  <c r="V18" i="98"/>
  <c r="T18" i="98"/>
  <c r="U18" i="98" s="1"/>
  <c r="S18" i="98"/>
  <c r="R18" i="98"/>
  <c r="V17" i="98"/>
  <c r="T17" i="98"/>
  <c r="U17" i="98" s="1"/>
  <c r="S17" i="98"/>
  <c r="R17" i="98"/>
  <c r="V16" i="98"/>
  <c r="T16" i="98"/>
  <c r="U16" i="98" s="1"/>
  <c r="S16" i="98"/>
  <c r="R16" i="98"/>
  <c r="V15" i="98"/>
  <c r="T15" i="98"/>
  <c r="U15" i="98" s="1"/>
  <c r="S15" i="98"/>
  <c r="R15" i="98"/>
  <c r="V14" i="98"/>
  <c r="T14" i="98"/>
  <c r="U14" i="98" s="1"/>
  <c r="S14" i="98"/>
  <c r="R14" i="98"/>
  <c r="V13" i="98"/>
  <c r="T13" i="98"/>
  <c r="U13" i="98" s="1"/>
  <c r="S13" i="98"/>
  <c r="R13" i="98"/>
  <c r="V12" i="98"/>
  <c r="T12" i="98"/>
  <c r="U12" i="98" s="1"/>
  <c r="S12" i="98"/>
  <c r="R12" i="98"/>
  <c r="V11" i="98"/>
  <c r="T11" i="98"/>
  <c r="U11" i="98" s="1"/>
  <c r="S11" i="98"/>
  <c r="R11" i="98"/>
  <c r="V10" i="98"/>
  <c r="T10" i="98"/>
  <c r="U10" i="98" s="1"/>
  <c r="S10" i="98"/>
  <c r="R10" i="98"/>
  <c r="V9" i="98"/>
  <c r="T9" i="98"/>
  <c r="U9" i="98" s="1"/>
  <c r="S9" i="98"/>
  <c r="R9" i="98"/>
  <c r="V8" i="98"/>
  <c r="T8" i="98"/>
  <c r="U8" i="98" s="1"/>
  <c r="S8" i="98"/>
  <c r="R8" i="98"/>
  <c r="V7" i="98"/>
  <c r="T7" i="98"/>
  <c r="U7" i="98" s="1"/>
  <c r="S7" i="98"/>
  <c r="R7" i="98"/>
  <c r="V6" i="98"/>
  <c r="T6" i="98"/>
  <c r="U6" i="98" s="1"/>
  <c r="S6" i="98"/>
  <c r="R6" i="98"/>
  <c r="V5" i="98"/>
  <c r="T5" i="98"/>
  <c r="U5" i="98" s="1"/>
  <c r="S5" i="98"/>
  <c r="R5" i="98"/>
  <c r="V4" i="98"/>
  <c r="T4" i="98"/>
  <c r="U4" i="98" s="1"/>
  <c r="S4" i="98"/>
  <c r="R4" i="98"/>
  <c r="V3" i="98"/>
  <c r="T3" i="98"/>
  <c r="U3" i="98" s="1"/>
  <c r="S3" i="98"/>
  <c r="R3" i="98"/>
  <c r="Z28" i="93" l="1"/>
  <c r="J27" i="93"/>
  <c r="Z27" i="93"/>
  <c r="J26" i="93"/>
  <c r="Z26" i="93"/>
  <c r="AA26" i="93" s="1"/>
  <c r="AB26" i="93" s="1"/>
  <c r="R25" i="93"/>
  <c r="J25" i="93"/>
  <c r="R24" i="93"/>
  <c r="Z25" i="93"/>
  <c r="AA25" i="93" s="1"/>
  <c r="AB25" i="93" s="1"/>
  <c r="J24" i="93"/>
  <c r="Z24" i="93"/>
  <c r="AA24" i="93" s="1"/>
  <c r="AB24" i="93" s="1"/>
  <c r="R23" i="93"/>
  <c r="J23" i="93"/>
  <c r="Z23" i="93"/>
  <c r="AA23" i="93" s="1"/>
  <c r="AB23" i="93" s="1"/>
  <c r="R22" i="93"/>
  <c r="J22" i="93"/>
  <c r="R21" i="93"/>
  <c r="Z22" i="93"/>
  <c r="AA22" i="93" s="1"/>
  <c r="AB22" i="93" s="1"/>
  <c r="J21" i="93"/>
  <c r="R20" i="93"/>
  <c r="Z21" i="93"/>
  <c r="AA21" i="93" s="1"/>
  <c r="AB21" i="93" s="1"/>
  <c r="J20" i="93"/>
  <c r="R19" i="93"/>
  <c r="Z20" i="93"/>
  <c r="AA20" i="93" s="1"/>
  <c r="AB20" i="93" s="1"/>
  <c r="J19" i="93"/>
  <c r="R18" i="93"/>
  <c r="Z19" i="93"/>
  <c r="AA19" i="93" s="1"/>
  <c r="AB19" i="93" s="1"/>
  <c r="J18" i="93"/>
  <c r="R17" i="93"/>
  <c r="Z18" i="93"/>
  <c r="AA18" i="93" s="1"/>
  <c r="AB18" i="93" s="1"/>
  <c r="J17" i="93"/>
  <c r="Z17" i="93"/>
  <c r="AA17" i="93" s="1"/>
  <c r="AB17" i="93" s="1"/>
  <c r="R16" i="93"/>
  <c r="J16" i="93"/>
  <c r="Z16" i="93"/>
  <c r="AA16" i="93" s="1"/>
  <c r="AB16" i="93" s="1"/>
  <c r="R15" i="93"/>
  <c r="J15" i="93"/>
  <c r="R14" i="93"/>
  <c r="Z15" i="93"/>
  <c r="AA15" i="93" s="1"/>
  <c r="AB15" i="93" s="1"/>
  <c r="J14" i="93"/>
  <c r="Z14" i="93"/>
  <c r="AA14" i="93" s="1"/>
  <c r="AB14" i="93" s="1"/>
  <c r="R13" i="93"/>
  <c r="J13" i="93"/>
  <c r="R12" i="93"/>
  <c r="Z13" i="93"/>
  <c r="AA13" i="93" s="1"/>
  <c r="AB13" i="93" s="1"/>
  <c r="J12" i="93"/>
  <c r="Z12" i="93"/>
  <c r="AA12" i="93" s="1"/>
  <c r="AB12" i="93" s="1"/>
  <c r="R11" i="93"/>
  <c r="J11" i="93"/>
  <c r="Y11" i="93"/>
  <c r="Z11" i="93"/>
  <c r="L34" i="93"/>
  <c r="R10" i="93"/>
  <c r="I34" i="93"/>
  <c r="X11" i="93"/>
  <c r="J10" i="93"/>
  <c r="E34" i="93" s="1"/>
  <c r="D34" i="93"/>
  <c r="Y10" i="93"/>
  <c r="Z10" i="93"/>
  <c r="L43" i="93" a="1"/>
  <c r="L35" i="93"/>
  <c r="R9" i="93"/>
  <c r="L42" i="93" a="1"/>
  <c r="L47" i="93" a="1"/>
  <c r="S28" i="93"/>
  <c r="L44" i="93" a="1"/>
  <c r="L49" i="93" a="1"/>
  <c r="L45" i="93" a="1"/>
  <c r="L46" i="93" a="1"/>
  <c r="L48" i="93" a="1"/>
  <c r="L41" i="93" a="1"/>
  <c r="L50" i="93" s="1"/>
  <c r="I45" i="93" a="1"/>
  <c r="I43" i="93" a="1"/>
  <c r="I42" i="93" a="1"/>
  <c r="O28" i="93"/>
  <c r="I35" i="93"/>
  <c r="I49" i="93" a="1"/>
  <c r="I44" i="93" a="1"/>
  <c r="I46" i="93" a="1"/>
  <c r="I47" i="93" a="1"/>
  <c r="X10" i="93"/>
  <c r="I41" i="93" a="1"/>
  <c r="I48" i="93" a="1"/>
  <c r="D45" i="93" a="1"/>
  <c r="D44" i="93" a="1"/>
  <c r="D46" i="93" a="1"/>
  <c r="D35" i="93"/>
  <c r="D47" i="93" a="1"/>
  <c r="D42" i="93" a="1"/>
  <c r="D41" i="93" a="1"/>
  <c r="D49" i="93" a="1"/>
  <c r="H28" i="93"/>
  <c r="J9" i="93"/>
  <c r="D48" i="93" a="1"/>
  <c r="D43" i="93" a="1"/>
  <c r="C35" i="93"/>
  <c r="C36" i="93" s="1"/>
  <c r="C47" i="93" a="1"/>
  <c r="C45" i="93" a="1"/>
  <c r="C44" i="93" a="1"/>
  <c r="C46" i="93" a="1"/>
  <c r="C43" i="93" a="1"/>
  <c r="E28" i="93"/>
  <c r="C41" i="93" a="1"/>
  <c r="C49" i="93" a="1"/>
  <c r="C42" i="93" a="1"/>
  <c r="C48" i="93" a="1"/>
  <c r="T487" i="100"/>
  <c r="Q487" i="100"/>
  <c r="R487" i="100" s="1"/>
  <c r="S487" i="100" s="1"/>
  <c r="T486" i="100"/>
  <c r="Q486" i="100"/>
  <c r="T485" i="100"/>
  <c r="Q485" i="100"/>
  <c r="S485" i="100" s="1"/>
  <c r="R485" i="100"/>
  <c r="Q484" i="100"/>
  <c r="R484" i="100"/>
  <c r="S484" i="100"/>
  <c r="T484" i="100"/>
  <c r="T483" i="100"/>
  <c r="Q483" i="100"/>
  <c r="Q482" i="100"/>
  <c r="S482" i="100" s="1"/>
  <c r="T482" i="100"/>
  <c r="R482" i="100"/>
  <c r="T481" i="100"/>
  <c r="Q481" i="100"/>
  <c r="T480" i="100"/>
  <c r="Q480" i="100"/>
  <c r="Q479" i="100"/>
  <c r="S479" i="100" s="1"/>
  <c r="R479" i="100"/>
  <c r="T479" i="100"/>
  <c r="Q478" i="100"/>
  <c r="R478" i="100" s="1"/>
  <c r="S478" i="100"/>
  <c r="T478" i="100"/>
  <c r="Q477" i="100"/>
  <c r="T477" i="100"/>
  <c r="R477" i="100"/>
  <c r="S477" i="100" s="1"/>
  <c r="T476" i="100"/>
  <c r="Q476" i="100"/>
  <c r="T475" i="100"/>
  <c r="Q475" i="100"/>
  <c r="Q474" i="100"/>
  <c r="T474" i="100"/>
  <c r="R474" i="100"/>
  <c r="S474" i="100"/>
  <c r="T473" i="100"/>
  <c r="Q473" i="100"/>
  <c r="R473" i="100" s="1"/>
  <c r="S473" i="100" s="1"/>
  <c r="T472" i="100"/>
  <c r="Q472" i="100"/>
  <c r="R472" i="100"/>
  <c r="S472" i="100" s="1"/>
  <c r="Q471" i="100"/>
  <c r="T471" i="100"/>
  <c r="R471" i="100"/>
  <c r="S471" i="100" s="1"/>
  <c r="T470" i="100"/>
  <c r="Q470" i="100"/>
  <c r="S470" i="100" s="1"/>
  <c r="R470" i="100"/>
  <c r="Q469" i="100"/>
  <c r="T469" i="100"/>
  <c r="Q468" i="100"/>
  <c r="T468" i="100"/>
  <c r="Q467" i="100"/>
  <c r="T467" i="100"/>
  <c r="R467" i="100"/>
  <c r="S467" i="100" s="1"/>
  <c r="Q466" i="100"/>
  <c r="T466" i="100"/>
  <c r="R466" i="100"/>
  <c r="S466" i="100" s="1"/>
  <c r="T465" i="100"/>
  <c r="Q465" i="100"/>
  <c r="Q464" i="100"/>
  <c r="R464" i="100" s="1"/>
  <c r="S464" i="100" s="1"/>
  <c r="T464" i="100"/>
  <c r="T463" i="100"/>
  <c r="Q463" i="100"/>
  <c r="R463" i="100" s="1"/>
  <c r="S463" i="100" s="1"/>
  <c r="T462" i="100"/>
  <c r="Q462" i="100"/>
  <c r="R462" i="100" s="1"/>
  <c r="S462" i="100" s="1"/>
  <c r="Q461" i="100"/>
  <c r="R461" i="100" s="1"/>
  <c r="S461" i="100" s="1"/>
  <c r="T461" i="100"/>
  <c r="Q460" i="100"/>
  <c r="R460" i="100"/>
  <c r="S460" i="100" s="1"/>
  <c r="T460" i="100"/>
  <c r="Q459" i="100"/>
  <c r="R459" i="100"/>
  <c r="S459" i="100" s="1"/>
  <c r="T459" i="100"/>
  <c r="T458" i="100"/>
  <c r="Q458" i="100"/>
  <c r="Q457" i="100"/>
  <c r="R457" i="100"/>
  <c r="T457" i="100"/>
  <c r="S457" i="100"/>
  <c r="T456" i="100"/>
  <c r="R456" i="100"/>
  <c r="S456" i="100" s="1"/>
  <c r="T455" i="100"/>
  <c r="Q455" i="100"/>
  <c r="S455" i="100" s="1"/>
  <c r="R455" i="100"/>
  <c r="T454" i="100"/>
  <c r="Q454" i="100"/>
  <c r="S454" i="100" s="1"/>
  <c r="R454" i="100"/>
  <c r="Q453" i="100"/>
  <c r="T453" i="100"/>
  <c r="Q452" i="100"/>
  <c r="T452" i="100"/>
  <c r="Q451" i="100"/>
  <c r="T451" i="100"/>
  <c r="R451" i="100"/>
  <c r="S451" i="100" s="1"/>
  <c r="T450" i="100"/>
  <c r="Q450" i="100"/>
  <c r="Q449" i="100"/>
  <c r="T449" i="100"/>
  <c r="R449" i="100"/>
  <c r="S449" i="100"/>
  <c r="T448" i="100"/>
  <c r="Q448" i="100"/>
  <c r="Q447" i="100"/>
  <c r="T447" i="100"/>
  <c r="R447" i="100"/>
  <c r="S447" i="100" s="1"/>
  <c r="T446" i="100"/>
  <c r="Q446" i="100"/>
  <c r="T445" i="100"/>
  <c r="Q445" i="100"/>
  <c r="S445" i="100" s="1"/>
  <c r="R445" i="100"/>
  <c r="Q444" i="100"/>
  <c r="S444" i="100" s="1"/>
  <c r="R444" i="100"/>
  <c r="T444" i="100"/>
  <c r="Q443" i="100"/>
  <c r="R443" i="100" s="1"/>
  <c r="S443" i="100" s="1"/>
  <c r="T443" i="100"/>
  <c r="T442" i="100"/>
  <c r="Q442" i="100"/>
  <c r="R442" i="100"/>
  <c r="S442" i="100"/>
  <c r="Q441" i="100"/>
  <c r="S441" i="100" s="1"/>
  <c r="T441" i="100"/>
  <c r="R441" i="100"/>
  <c r="T440" i="100"/>
  <c r="Q440" i="100"/>
  <c r="Q439" i="100"/>
  <c r="S439" i="100" s="1"/>
  <c r="R439" i="100"/>
  <c r="T439" i="100"/>
  <c r="Q438" i="100"/>
  <c r="T438" i="100"/>
  <c r="R438" i="100"/>
  <c r="S438" i="100" s="1"/>
  <c r="Q437" i="100"/>
  <c r="S437" i="100" s="1"/>
  <c r="R437" i="100"/>
  <c r="T437" i="100"/>
  <c r="T436" i="100"/>
  <c r="R436" i="100"/>
  <c r="S436" i="100" s="1"/>
  <c r="T435" i="100"/>
  <c r="Q435" i="100"/>
  <c r="Q434" i="100"/>
  <c r="R434" i="100"/>
  <c r="S434" i="100" s="1"/>
  <c r="T434" i="100"/>
  <c r="T433" i="100"/>
  <c r="Q433" i="100"/>
  <c r="T432" i="100"/>
  <c r="Q432" i="100"/>
  <c r="T431" i="100"/>
  <c r="Q431" i="100"/>
  <c r="S431" i="100" s="1"/>
  <c r="R431" i="100"/>
  <c r="T430" i="100"/>
  <c r="Q430" i="100"/>
  <c r="Q429" i="100"/>
  <c r="T429" i="100"/>
  <c r="R429" i="100"/>
  <c r="S429" i="100" s="1"/>
  <c r="Q428" i="100"/>
  <c r="R428" i="100"/>
  <c r="T428" i="100"/>
  <c r="S428" i="100"/>
  <c r="T427" i="100"/>
  <c r="Q427" i="100"/>
  <c r="T426" i="100"/>
  <c r="Q426" i="100"/>
  <c r="T425" i="100"/>
  <c r="R425" i="100"/>
  <c r="S425" i="100"/>
  <c r="T424" i="100"/>
  <c r="Q424" i="100"/>
  <c r="Q423" i="100"/>
  <c r="S423" i="100" s="1"/>
  <c r="R423" i="100"/>
  <c r="T423" i="100"/>
  <c r="T422" i="100"/>
  <c r="R422" i="100"/>
  <c r="S422" i="100"/>
  <c r="T421" i="100"/>
  <c r="Q421" i="100"/>
  <c r="R421" i="100"/>
  <c r="S421" i="100"/>
  <c r="Q420" i="100"/>
  <c r="T420" i="100"/>
  <c r="R420" i="100"/>
  <c r="S420" i="100" s="1"/>
  <c r="T419" i="100"/>
  <c r="Q419" i="100"/>
  <c r="Q418" i="100"/>
  <c r="T418" i="100"/>
  <c r="R418" i="100"/>
  <c r="S418" i="100" s="1"/>
  <c r="T417" i="100"/>
  <c r="Q417" i="100"/>
  <c r="R417" i="100"/>
  <c r="S417" i="100" s="1"/>
  <c r="T416" i="100"/>
  <c r="Q416" i="100"/>
  <c r="T415" i="100"/>
  <c r="Q415" i="100"/>
  <c r="T414" i="100"/>
  <c r="Q414" i="100"/>
  <c r="R414" i="100"/>
  <c r="S414" i="100" s="1"/>
  <c r="T413" i="100"/>
  <c r="Q413" i="100"/>
  <c r="R413" i="100" s="1"/>
  <c r="S413" i="100" s="1"/>
  <c r="Q412" i="100"/>
  <c r="S412" i="100" s="1"/>
  <c r="T412" i="100"/>
  <c r="R412" i="100"/>
  <c r="T411" i="100"/>
  <c r="Q411" i="100"/>
  <c r="T410" i="100"/>
  <c r="Q410" i="100"/>
  <c r="T409" i="100"/>
  <c r="Q409" i="100"/>
  <c r="T408" i="100"/>
  <c r="Q408" i="100"/>
  <c r="R408" i="100" s="1"/>
  <c r="S408" i="100" s="1"/>
  <c r="T407" i="100"/>
  <c r="Q407" i="100"/>
  <c r="R407" i="100" s="1"/>
  <c r="S407" i="100" s="1"/>
  <c r="T406" i="100"/>
  <c r="Q406" i="100"/>
  <c r="T405" i="100"/>
  <c r="Q405" i="100"/>
  <c r="Q404" i="100"/>
  <c r="T404" i="100"/>
  <c r="R404" i="100"/>
  <c r="S404" i="100"/>
  <c r="T403" i="100"/>
  <c r="Q403" i="100"/>
  <c r="S403" i="100" s="1"/>
  <c r="R403" i="100"/>
  <c r="T402" i="100"/>
  <c r="Q402" i="100"/>
  <c r="S402" i="100" s="1"/>
  <c r="R402" i="100"/>
  <c r="Q401" i="100"/>
  <c r="T401" i="100"/>
  <c r="T400" i="100"/>
  <c r="Q400" i="100"/>
  <c r="R400" i="100"/>
  <c r="S400" i="100" s="1"/>
  <c r="Q399" i="100"/>
  <c r="R399" i="100"/>
  <c r="T399" i="100"/>
  <c r="S399" i="100"/>
  <c r="T398" i="100"/>
  <c r="Q398" i="100"/>
  <c r="S398" i="100" s="1"/>
  <c r="R398" i="100"/>
  <c r="Q397" i="100"/>
  <c r="S397" i="100" s="1"/>
  <c r="R397" i="100"/>
  <c r="T397" i="100"/>
  <c r="Q396" i="100"/>
  <c r="S396" i="100" s="1"/>
  <c r="R396" i="100"/>
  <c r="T396" i="100"/>
  <c r="Q395" i="100"/>
  <c r="T395" i="100"/>
  <c r="R395" i="100"/>
  <c r="S395" i="100" s="1"/>
  <c r="T394" i="100"/>
  <c r="Q394" i="100"/>
  <c r="R394" i="100"/>
  <c r="S394" i="100" s="1"/>
  <c r="T393" i="100"/>
  <c r="Q393" i="100"/>
  <c r="Q392" i="100"/>
  <c r="S392" i="100" s="1"/>
  <c r="R392" i="100"/>
  <c r="T392" i="100"/>
  <c r="T391" i="100"/>
  <c r="Q391" i="100"/>
  <c r="T390" i="100"/>
  <c r="Q390" i="100"/>
  <c r="R390" i="100" s="1"/>
  <c r="S390" i="100" s="1"/>
  <c r="T389" i="100"/>
  <c r="Q389" i="100"/>
  <c r="Q388" i="100"/>
  <c r="R388" i="100" s="1"/>
  <c r="S388" i="100" s="1"/>
  <c r="T388" i="100"/>
  <c r="T387" i="100"/>
  <c r="R387" i="100"/>
  <c r="S387" i="100" s="1"/>
  <c r="Q386" i="100"/>
  <c r="S386" i="100" s="1"/>
  <c r="T386" i="100"/>
  <c r="R386" i="100"/>
  <c r="T385" i="100"/>
  <c r="Q385" i="100"/>
  <c r="Q384" i="100"/>
  <c r="T384" i="100"/>
  <c r="R384" i="100"/>
  <c r="S384" i="100" s="1"/>
  <c r="Q383" i="100"/>
  <c r="R383" i="100" s="1"/>
  <c r="S383" i="100" s="1"/>
  <c r="T383" i="100"/>
  <c r="Q382" i="100"/>
  <c r="R382" i="100"/>
  <c r="S382" i="100" s="1"/>
  <c r="T382" i="100"/>
  <c r="Q381" i="100"/>
  <c r="S381" i="100" s="1"/>
  <c r="T381" i="100"/>
  <c r="R381" i="100"/>
  <c r="Q380" i="100"/>
  <c r="S380" i="100" s="1"/>
  <c r="T380" i="100"/>
  <c r="R380" i="100"/>
  <c r="Q379" i="100"/>
  <c r="R379" i="100" s="1"/>
  <c r="S379" i="100" s="1"/>
  <c r="T379" i="100"/>
  <c r="T378" i="100"/>
  <c r="Q378" i="100"/>
  <c r="S378" i="100" s="1"/>
  <c r="R378" i="100"/>
  <c r="T377" i="100"/>
  <c r="Q377" i="100"/>
  <c r="Q376" i="100"/>
  <c r="R376" i="100"/>
  <c r="T376" i="100"/>
  <c r="S376" i="100"/>
  <c r="Q375" i="100"/>
  <c r="T375" i="100"/>
  <c r="Q374" i="100"/>
  <c r="R374" i="100"/>
  <c r="S374" i="100"/>
  <c r="T374" i="100"/>
  <c r="T373" i="100"/>
  <c r="Q373" i="100"/>
  <c r="Q372" i="100"/>
  <c r="R372" i="100"/>
  <c r="T372" i="100"/>
  <c r="S372" i="100"/>
  <c r="T371" i="100"/>
  <c r="Q371" i="100"/>
  <c r="R371" i="100" s="1"/>
  <c r="S371" i="100" s="1"/>
  <c r="T370" i="100"/>
  <c r="Q370" i="100"/>
  <c r="Q369" i="100"/>
  <c r="T369" i="100"/>
  <c r="R369" i="100"/>
  <c r="S369" i="100" s="1"/>
  <c r="Q368" i="100"/>
  <c r="S368" i="100" s="1"/>
  <c r="T368" i="100"/>
  <c r="R368" i="100"/>
  <c r="Q367" i="100"/>
  <c r="R367" i="100"/>
  <c r="S367" i="100" s="1"/>
  <c r="T367" i="100"/>
  <c r="Q366" i="100"/>
  <c r="T366" i="100"/>
  <c r="Q365" i="100"/>
  <c r="R365" i="100" s="1"/>
  <c r="S365" i="100" s="1"/>
  <c r="T365" i="100"/>
  <c r="T364" i="100"/>
  <c r="Q364" i="100"/>
  <c r="S364" i="100" s="1"/>
  <c r="R364" i="100"/>
  <c r="T363" i="100"/>
  <c r="Q363" i="100"/>
  <c r="R363" i="100"/>
  <c r="S363" i="100" s="1"/>
  <c r="Q362" i="100"/>
  <c r="S362" i="100" s="1"/>
  <c r="T362" i="100"/>
  <c r="R362" i="100"/>
  <c r="Q361" i="100"/>
  <c r="T361" i="100"/>
  <c r="R361" i="100"/>
  <c r="S361" i="100"/>
  <c r="Q360" i="100"/>
  <c r="S360" i="100" s="1"/>
  <c r="R360" i="100"/>
  <c r="T360" i="100"/>
  <c r="T359" i="100"/>
  <c r="Q359" i="100"/>
  <c r="T358" i="100"/>
  <c r="Q358" i="100"/>
  <c r="T357" i="100"/>
  <c r="Q357" i="100"/>
  <c r="Q356" i="100"/>
  <c r="T356" i="100"/>
  <c r="R356" i="100"/>
  <c r="S356" i="100"/>
  <c r="T355" i="100"/>
  <c r="Q355" i="100"/>
  <c r="R355" i="100" s="1"/>
  <c r="S355" i="100" s="1"/>
  <c r="Q354" i="100"/>
  <c r="T354" i="100"/>
  <c r="Q353" i="100"/>
  <c r="S353" i="100" s="1"/>
  <c r="T353" i="100"/>
  <c r="R353" i="100"/>
  <c r="T352" i="100"/>
  <c r="Q352" i="100"/>
  <c r="S352" i="100" s="1"/>
  <c r="R352" i="100"/>
  <c r="Q351" i="100"/>
  <c r="R351" i="100" s="1"/>
  <c r="S351" i="100" s="1"/>
  <c r="T351" i="100"/>
  <c r="Q350" i="100"/>
  <c r="R350" i="100" s="1"/>
  <c r="S350" i="100" s="1"/>
  <c r="T350" i="100"/>
  <c r="Q349" i="100"/>
  <c r="S349" i="100" s="1"/>
  <c r="R349" i="100"/>
  <c r="T349" i="100"/>
  <c r="T348" i="100"/>
  <c r="Q348" i="100"/>
  <c r="T347" i="100"/>
  <c r="Q347" i="100"/>
  <c r="T346" i="100"/>
  <c r="Q346" i="100"/>
  <c r="Q345" i="100"/>
  <c r="T345" i="100"/>
  <c r="R345" i="100"/>
  <c r="S345" i="100" s="1"/>
  <c r="T344" i="100"/>
  <c r="Q344" i="100"/>
  <c r="R344" i="100"/>
  <c r="S344" i="100"/>
  <c r="T343" i="100"/>
  <c r="Q343" i="100"/>
  <c r="R343" i="100" s="1"/>
  <c r="S343" i="100" s="1"/>
  <c r="Q342" i="100"/>
  <c r="T342" i="100"/>
  <c r="R341" i="100"/>
  <c r="S341" i="100" s="1"/>
  <c r="T341" i="100"/>
  <c r="T340" i="100"/>
  <c r="Q340" i="100"/>
  <c r="S340" i="100" s="1"/>
  <c r="R340" i="100"/>
  <c r="Q339" i="100"/>
  <c r="T339" i="100"/>
  <c r="Q338" i="100"/>
  <c r="R338" i="100"/>
  <c r="T338" i="100"/>
  <c r="S338" i="100"/>
  <c r="T337" i="100"/>
  <c r="Q337" i="100"/>
  <c r="S337" i="100" s="1"/>
  <c r="R337" i="100"/>
  <c r="Q336" i="100"/>
  <c r="T336" i="100"/>
  <c r="R336" i="100"/>
  <c r="S336" i="100" s="1"/>
  <c r="Q335" i="100"/>
  <c r="T335" i="100"/>
  <c r="R335" i="100"/>
  <c r="S335" i="100"/>
  <c r="Q334" i="100"/>
  <c r="T334" i="100"/>
  <c r="Q333" i="100"/>
  <c r="R333" i="100"/>
  <c r="S333" i="100"/>
  <c r="T333" i="100"/>
  <c r="T332" i="100"/>
  <c r="Q332" i="100"/>
  <c r="R332" i="100" s="1"/>
  <c r="S332" i="100" s="1"/>
  <c r="T331" i="100"/>
  <c r="Q331" i="100"/>
  <c r="R331" i="100" s="1"/>
  <c r="S331" i="100" s="1"/>
  <c r="T330" i="100"/>
  <c r="Q330" i="100"/>
  <c r="S330" i="100" s="1"/>
  <c r="R330" i="100"/>
  <c r="T329" i="100"/>
  <c r="Q329" i="100"/>
  <c r="S329" i="100" s="1"/>
  <c r="R329" i="100"/>
  <c r="T328" i="100"/>
  <c r="Q328" i="100"/>
  <c r="R328" i="100" s="1"/>
  <c r="S328" i="100" s="1"/>
  <c r="T327" i="100"/>
  <c r="Q327" i="100"/>
  <c r="Q326" i="100"/>
  <c r="T326" i="100"/>
  <c r="R326" i="100"/>
  <c r="S326" i="100"/>
  <c r="S325" i="100"/>
  <c r="T325" i="100"/>
  <c r="T324" i="100"/>
  <c r="Q324" i="100"/>
  <c r="Q323" i="100"/>
  <c r="R323" i="100" s="1"/>
  <c r="S323" i="100" s="1"/>
  <c r="T323" i="100"/>
  <c r="T322" i="100"/>
  <c r="Q322" i="100"/>
  <c r="Q321" i="100"/>
  <c r="T321" i="100"/>
  <c r="R321" i="100"/>
  <c r="S321" i="100" s="1"/>
  <c r="T320" i="100"/>
  <c r="Q320" i="100"/>
  <c r="T319" i="100"/>
  <c r="Q319" i="100"/>
  <c r="Q318" i="100"/>
  <c r="R318" i="100"/>
  <c r="S318" i="100" s="1"/>
  <c r="T318" i="100"/>
  <c r="Q317" i="100"/>
  <c r="T317" i="100"/>
  <c r="R317" i="100"/>
  <c r="S317" i="100"/>
  <c r="Q316" i="100"/>
  <c r="R316" i="100" s="1"/>
  <c r="S316" i="100" s="1"/>
  <c r="T316" i="100"/>
  <c r="T315" i="100"/>
  <c r="Q315" i="100"/>
  <c r="R315" i="100" s="1"/>
  <c r="S315" i="100" s="1"/>
  <c r="T314" i="100"/>
  <c r="Q314" i="100"/>
  <c r="R314" i="100" s="1"/>
  <c r="S314" i="100" s="1"/>
  <c r="Q313" i="100"/>
  <c r="R313" i="100"/>
  <c r="S313" i="100" s="1"/>
  <c r="T313" i="100"/>
  <c r="R312" i="100"/>
  <c r="T312" i="100"/>
  <c r="S312" i="100"/>
  <c r="Q311" i="100"/>
  <c r="R311" i="100"/>
  <c r="S311" i="100"/>
  <c r="T311" i="100"/>
  <c r="Q310" i="100"/>
  <c r="T310" i="100"/>
  <c r="R310" i="100"/>
  <c r="S310" i="100"/>
  <c r="T309" i="100"/>
  <c r="Q309" i="100"/>
  <c r="R309" i="100" s="1"/>
  <c r="S309" i="100" s="1"/>
  <c r="T308" i="100"/>
  <c r="Q308" i="100"/>
  <c r="Q307" i="100"/>
  <c r="S307" i="100" s="1"/>
  <c r="R307" i="100"/>
  <c r="T307" i="100"/>
  <c r="T306" i="100"/>
  <c r="Q306" i="100"/>
  <c r="R306" i="100" s="1"/>
  <c r="S306" i="100" s="1"/>
  <c r="Q305" i="100"/>
  <c r="T305" i="100"/>
  <c r="R305" i="100"/>
  <c r="S305" i="100"/>
  <c r="T304" i="100"/>
  <c r="Q304" i="100"/>
  <c r="S304" i="100" s="1"/>
  <c r="R304" i="100"/>
  <c r="Q303" i="100"/>
  <c r="T303" i="100"/>
  <c r="Q302" i="100"/>
  <c r="T302" i="100"/>
  <c r="R302" i="100"/>
  <c r="S302" i="100"/>
  <c r="Q301" i="100"/>
  <c r="S301" i="100" s="1"/>
  <c r="R301" i="100"/>
  <c r="T301" i="100"/>
  <c r="Q300" i="100"/>
  <c r="R300" i="100"/>
  <c r="S300" i="100"/>
  <c r="T300" i="100"/>
  <c r="T299" i="100"/>
  <c r="Q299" i="100"/>
  <c r="R299" i="100"/>
  <c r="S299" i="100" s="1"/>
  <c r="T298" i="100"/>
  <c r="Q298" i="100"/>
  <c r="R298" i="100"/>
  <c r="S298" i="100"/>
  <c r="T297" i="100"/>
  <c r="Q297" i="100"/>
  <c r="T296" i="100"/>
  <c r="Q296" i="100"/>
  <c r="R296" i="100" s="1"/>
  <c r="S296" i="100" s="1"/>
  <c r="T295" i="100"/>
  <c r="Q295" i="100"/>
  <c r="R295" i="100"/>
  <c r="S295" i="100"/>
  <c r="T294" i="100"/>
  <c r="Q294" i="100"/>
  <c r="Q293" i="100"/>
  <c r="R293" i="100" s="1"/>
  <c r="S293" i="100" s="1"/>
  <c r="T293" i="100"/>
  <c r="Q292" i="100"/>
  <c r="S292" i="100" s="1"/>
  <c r="T292" i="100"/>
  <c r="R292" i="100"/>
  <c r="T291" i="100"/>
  <c r="Q291" i="100"/>
  <c r="Q290" i="100"/>
  <c r="R290" i="100" s="1"/>
  <c r="S290" i="100" s="1"/>
  <c r="T290" i="100"/>
  <c r="T289" i="100"/>
  <c r="Q289" i="100"/>
  <c r="T288" i="100"/>
  <c r="Q288" i="100"/>
  <c r="R288" i="100"/>
  <c r="S288" i="100"/>
  <c r="Q287" i="100"/>
  <c r="T287" i="100"/>
  <c r="T286" i="100"/>
  <c r="Q286" i="100"/>
  <c r="S286" i="100" s="1"/>
  <c r="R286" i="100"/>
  <c r="T285" i="100"/>
  <c r="Q285" i="100"/>
  <c r="S285" i="100" s="1"/>
  <c r="R285" i="100"/>
  <c r="T284" i="100"/>
  <c r="Q284" i="100"/>
  <c r="R284" i="100" s="1"/>
  <c r="S284" i="100" s="1"/>
  <c r="Q283" i="100"/>
  <c r="T283" i="100"/>
  <c r="R283" i="100"/>
  <c r="S283" i="100"/>
  <c r="Q282" i="100"/>
  <c r="S282" i="100" s="1"/>
  <c r="T282" i="100"/>
  <c r="R282" i="100"/>
  <c r="Q281" i="100"/>
  <c r="S281" i="100" s="1"/>
  <c r="R281" i="100"/>
  <c r="T281" i="100"/>
  <c r="T280" i="100"/>
  <c r="Q280" i="100"/>
  <c r="R280" i="100" s="1"/>
  <c r="S280" i="100" s="1"/>
  <c r="T279" i="100"/>
  <c r="Q279" i="100"/>
  <c r="R279" i="100"/>
  <c r="S279" i="100" s="1"/>
  <c r="T278" i="100"/>
  <c r="Q278" i="100"/>
  <c r="R278" i="100" s="1"/>
  <c r="S278" i="100" s="1"/>
  <c r="Q277" i="100"/>
  <c r="R277" i="100"/>
  <c r="T277" i="100"/>
  <c r="S277" i="100"/>
  <c r="T276" i="100"/>
  <c r="Q276" i="100"/>
  <c r="R276" i="100" s="1"/>
  <c r="S276" i="100" s="1"/>
  <c r="T275" i="100"/>
  <c r="Q275" i="100"/>
  <c r="T274" i="100"/>
  <c r="Q274" i="100"/>
  <c r="S274" i="100" s="1"/>
  <c r="R274" i="100"/>
  <c r="Q273" i="100"/>
  <c r="R273" i="100" s="1"/>
  <c r="S273" i="100" s="1"/>
  <c r="T273" i="100"/>
  <c r="Q272" i="100"/>
  <c r="R272" i="100" s="1"/>
  <c r="S272" i="100" s="1"/>
  <c r="T272" i="100"/>
  <c r="Q271" i="100"/>
  <c r="R271" i="100"/>
  <c r="S271" i="100" s="1"/>
  <c r="T271" i="100"/>
  <c r="T270" i="100"/>
  <c r="Q270" i="100"/>
  <c r="S270" i="100" s="1"/>
  <c r="R270" i="100"/>
  <c r="T269" i="100"/>
  <c r="Q269" i="100"/>
  <c r="Q268" i="100"/>
  <c r="S268" i="100" s="1"/>
  <c r="T268" i="100"/>
  <c r="R268" i="100"/>
  <c r="T267" i="100"/>
  <c r="Q267" i="100"/>
  <c r="T266" i="100"/>
  <c r="Q266" i="100"/>
  <c r="R266" i="100" s="1"/>
  <c r="S266" i="100" s="1"/>
  <c r="T265" i="100"/>
  <c r="Q265" i="100"/>
  <c r="S265" i="100" s="1"/>
  <c r="R265" i="100"/>
  <c r="Q264" i="100"/>
  <c r="S264" i="100" s="1"/>
  <c r="R264" i="100"/>
  <c r="T264" i="100"/>
  <c r="T263" i="100"/>
  <c r="Q263" i="100"/>
  <c r="Q262" i="100"/>
  <c r="R262" i="100" s="1"/>
  <c r="S262" i="100" s="1"/>
  <c r="T262" i="100"/>
  <c r="T261" i="100"/>
  <c r="Q261" i="100"/>
  <c r="R261" i="100" s="1"/>
  <c r="S261" i="100" s="1"/>
  <c r="Q260" i="100"/>
  <c r="T260" i="100"/>
  <c r="R260" i="100"/>
  <c r="S260" i="100" s="1"/>
  <c r="T259" i="100"/>
  <c r="Q259" i="100"/>
  <c r="T258" i="100"/>
  <c r="R258" i="100"/>
  <c r="S258" i="100" s="1"/>
  <c r="T257" i="100"/>
  <c r="Q257" i="100"/>
  <c r="R257" i="100" s="1"/>
  <c r="S257" i="100" s="1"/>
  <c r="Q256" i="100"/>
  <c r="T256" i="100"/>
  <c r="R256" i="100"/>
  <c r="S256" i="100" s="1"/>
  <c r="Q255" i="100"/>
  <c r="R255" i="100"/>
  <c r="T255" i="100"/>
  <c r="S255" i="100"/>
  <c r="Q254" i="100"/>
  <c r="T254" i="100"/>
  <c r="Q253" i="100"/>
  <c r="S253" i="100" s="1"/>
  <c r="R253" i="100"/>
  <c r="T253" i="100"/>
  <c r="Q252" i="100"/>
  <c r="T252" i="100"/>
  <c r="R252" i="100"/>
  <c r="S252" i="100" s="1"/>
  <c r="T251" i="100"/>
  <c r="Q251" i="100"/>
  <c r="R251" i="100"/>
  <c r="S251" i="100" s="1"/>
  <c r="Q250" i="100"/>
  <c r="T250" i="100"/>
  <c r="R250" i="100"/>
  <c r="S250" i="100" s="1"/>
  <c r="T249" i="100"/>
  <c r="Q249" i="100"/>
  <c r="Q248" i="100"/>
  <c r="R248" i="100"/>
  <c r="S248" i="100" s="1"/>
  <c r="T248" i="100"/>
  <c r="T247" i="100"/>
  <c r="Q247" i="100"/>
  <c r="T246" i="100"/>
  <c r="Q246" i="100"/>
  <c r="T245" i="100"/>
  <c r="Q245" i="100"/>
  <c r="S245" i="100" s="1"/>
  <c r="R245" i="100"/>
  <c r="Q244" i="100"/>
  <c r="T244" i="100"/>
  <c r="R244" i="100"/>
  <c r="S244" i="100"/>
  <c r="Q243" i="100"/>
  <c r="T243" i="100"/>
  <c r="R243" i="100"/>
  <c r="S243" i="100" s="1"/>
  <c r="T242" i="100"/>
  <c r="Q242" i="100"/>
  <c r="Q241" i="100"/>
  <c r="S241" i="100" s="1"/>
  <c r="T241" i="100"/>
  <c r="R241" i="100"/>
  <c r="T240" i="100"/>
  <c r="Q240" i="100"/>
  <c r="R240" i="100" s="1"/>
  <c r="S240" i="100" s="1"/>
  <c r="T239" i="100"/>
  <c r="Q239" i="100"/>
  <c r="R239" i="100"/>
  <c r="S239" i="100"/>
  <c r="Q238" i="100"/>
  <c r="T238" i="100"/>
  <c r="R238" i="100"/>
  <c r="S238" i="100" s="1"/>
  <c r="T237" i="100"/>
  <c r="Q237" i="100"/>
  <c r="Q236" i="100"/>
  <c r="S236" i="100" s="1"/>
  <c r="T236" i="100"/>
  <c r="R236" i="100"/>
  <c r="T235" i="100"/>
  <c r="Q235" i="100"/>
  <c r="R235" i="100"/>
  <c r="S235" i="100"/>
  <c r="T234" i="100"/>
  <c r="Q234" i="100"/>
  <c r="S234" i="100" s="1"/>
  <c r="R234" i="100"/>
  <c r="T233" i="100"/>
  <c r="Q233" i="100"/>
  <c r="R233" i="100" s="1"/>
  <c r="S233" i="100" s="1"/>
  <c r="T232" i="100"/>
  <c r="Q232" i="100"/>
  <c r="Q231" i="100"/>
  <c r="S231" i="100" s="1"/>
  <c r="T231" i="100"/>
  <c r="R231" i="100"/>
  <c r="T230" i="100"/>
  <c r="Q230" i="100"/>
  <c r="S230" i="100" s="1"/>
  <c r="R230" i="100"/>
  <c r="Q229" i="100"/>
  <c r="R229" i="100" s="1"/>
  <c r="S229" i="100" s="1"/>
  <c r="T229" i="100"/>
  <c r="Q228" i="100"/>
  <c r="R228" i="100"/>
  <c r="S228" i="100" s="1"/>
  <c r="T228" i="100"/>
  <c r="T227" i="100"/>
  <c r="Q227" i="100"/>
  <c r="R227" i="100" s="1"/>
  <c r="S227" i="100" s="1"/>
  <c r="Q226" i="100"/>
  <c r="R226" i="100" s="1"/>
  <c r="S226" i="100" s="1"/>
  <c r="T226" i="100"/>
  <c r="T225" i="100"/>
  <c r="Q225" i="100"/>
  <c r="R225" i="100"/>
  <c r="S225" i="100"/>
  <c r="Q224" i="100"/>
  <c r="T223" i="100"/>
  <c r="Q223" i="100"/>
  <c r="T222" i="100"/>
  <c r="Q222" i="100"/>
  <c r="R222" i="100" s="1"/>
  <c r="S222" i="100" s="1"/>
  <c r="Q221" i="100"/>
  <c r="T221" i="100"/>
  <c r="R221" i="100"/>
  <c r="S221" i="100" s="1"/>
  <c r="T220" i="100"/>
  <c r="Q220" i="100"/>
  <c r="T219" i="100"/>
  <c r="Q219" i="100"/>
  <c r="S219" i="100" s="1"/>
  <c r="R219" i="100"/>
  <c r="T218" i="100"/>
  <c r="Q218" i="100"/>
  <c r="Q217" i="100"/>
  <c r="S217" i="100" s="1"/>
  <c r="T217" i="100"/>
  <c r="R217" i="100"/>
  <c r="Q216" i="100"/>
  <c r="T216" i="100"/>
  <c r="R216" i="100"/>
  <c r="S216" i="100"/>
  <c r="T215" i="100"/>
  <c r="Q215" i="100"/>
  <c r="Q214" i="100"/>
  <c r="T214" i="100"/>
  <c r="R214" i="100"/>
  <c r="S214" i="100" s="1"/>
  <c r="Q213" i="100"/>
  <c r="R213" i="100"/>
  <c r="T213" i="100"/>
  <c r="S213" i="100"/>
  <c r="Q212" i="100"/>
  <c r="R212" i="100" s="1"/>
  <c r="S212" i="100" s="1"/>
  <c r="T212" i="100"/>
  <c r="T211" i="100"/>
  <c r="Q211" i="100"/>
  <c r="T210" i="100"/>
  <c r="Q210" i="100"/>
  <c r="Q209" i="100"/>
  <c r="T209" i="100"/>
  <c r="R209" i="100"/>
  <c r="S209" i="100" s="1"/>
  <c r="T208" i="100"/>
  <c r="Q208" i="100"/>
  <c r="Q207" i="100"/>
  <c r="R207" i="100" s="1"/>
  <c r="S207" i="100" s="1"/>
  <c r="T207" i="100"/>
  <c r="T206" i="100"/>
  <c r="Q206" i="100"/>
  <c r="R206" i="100" s="1"/>
  <c r="S206" i="100" s="1"/>
  <c r="Q205" i="100"/>
  <c r="R205" i="100"/>
  <c r="T205" i="100"/>
  <c r="S205" i="100"/>
  <c r="T204" i="100"/>
  <c r="Q204" i="100"/>
  <c r="T203" i="100"/>
  <c r="Q203" i="100"/>
  <c r="S203" i="100" s="1"/>
  <c r="R203" i="100"/>
  <c r="Q202" i="100"/>
  <c r="T202" i="100"/>
  <c r="Q201" i="100"/>
  <c r="T201" i="100"/>
  <c r="T200" i="100"/>
  <c r="Q200" i="100"/>
  <c r="T199" i="100"/>
  <c r="Q199" i="100"/>
  <c r="R199" i="100" s="1"/>
  <c r="S199" i="100" s="1"/>
  <c r="Q198" i="100"/>
  <c r="R198" i="100" s="1"/>
  <c r="S198" i="100" s="1"/>
  <c r="T198" i="100"/>
  <c r="T197" i="100"/>
  <c r="Q197" i="100"/>
  <c r="R197" i="100"/>
  <c r="S197" i="100" s="1"/>
  <c r="T196" i="100"/>
  <c r="Q196" i="100"/>
  <c r="Q195" i="100"/>
  <c r="T195" i="100"/>
  <c r="R195" i="100"/>
  <c r="S195" i="100" s="1"/>
  <c r="T194" i="100"/>
  <c r="Q194" i="100"/>
  <c r="T193" i="100"/>
  <c r="Q193" i="100"/>
  <c r="R193" i="100" s="1"/>
  <c r="S193" i="100" s="1"/>
  <c r="Q192" i="100"/>
  <c r="T192" i="100"/>
  <c r="R192" i="100"/>
  <c r="S192" i="100"/>
  <c r="T191" i="100"/>
  <c r="R191" i="100"/>
  <c r="S191" i="100" s="1"/>
  <c r="T190" i="100"/>
  <c r="Q190" i="100"/>
  <c r="R190" i="100" s="1"/>
  <c r="S190" i="100" s="1"/>
  <c r="Q189" i="100"/>
  <c r="T189" i="100"/>
  <c r="T188" i="100"/>
  <c r="Q188" i="100"/>
  <c r="T187" i="100"/>
  <c r="Q187" i="100"/>
  <c r="Q186" i="100"/>
  <c r="T186" i="100"/>
  <c r="R186" i="100"/>
  <c r="S186" i="100" s="1"/>
  <c r="T185" i="100"/>
  <c r="Q185" i="100"/>
  <c r="S185" i="100" s="1"/>
  <c r="R185" i="100"/>
  <c r="T184" i="100"/>
  <c r="Q184" i="100"/>
  <c r="T183" i="100"/>
  <c r="Q183" i="100"/>
  <c r="Q182" i="100"/>
  <c r="T182" i="100"/>
  <c r="R182" i="100"/>
  <c r="S182" i="100" s="1"/>
  <c r="T181" i="100"/>
  <c r="Q181" i="100"/>
  <c r="S181" i="100" s="1"/>
  <c r="R181" i="100"/>
  <c r="T180" i="100"/>
  <c r="Q180" i="100"/>
  <c r="Q179" i="100"/>
  <c r="T179" i="100"/>
  <c r="Q178" i="100"/>
  <c r="R178" i="100"/>
  <c r="S178" i="100" s="1"/>
  <c r="T178" i="100"/>
  <c r="T177" i="100"/>
  <c r="Q177" i="100"/>
  <c r="R177" i="100" s="1"/>
  <c r="S177" i="100" s="1"/>
  <c r="T176" i="100"/>
  <c r="Q176" i="100"/>
  <c r="R176" i="100"/>
  <c r="S176" i="100" s="1"/>
  <c r="Q175" i="100"/>
  <c r="R175" i="100"/>
  <c r="S175" i="100"/>
  <c r="T175" i="100"/>
  <c r="Q174" i="100"/>
  <c r="R174" i="100"/>
  <c r="S174" i="100"/>
  <c r="T174" i="100"/>
  <c r="T173" i="100"/>
  <c r="Q173" i="100"/>
  <c r="R173" i="100"/>
  <c r="S173" i="100" s="1"/>
  <c r="T172" i="100"/>
  <c r="Q172" i="100"/>
  <c r="T171" i="100"/>
  <c r="Q171" i="100"/>
  <c r="T170" i="100"/>
  <c r="Q170" i="100"/>
  <c r="R170" i="100"/>
  <c r="S170" i="100"/>
  <c r="Q169" i="100"/>
  <c r="T169" i="100"/>
  <c r="R169" i="100"/>
  <c r="S169" i="100"/>
  <c r="T168" i="100"/>
  <c r="R168" i="100"/>
  <c r="S168" i="100"/>
  <c r="T167" i="100"/>
  <c r="Q167" i="100"/>
  <c r="T166" i="100"/>
  <c r="Q166" i="100"/>
  <c r="T165" i="100"/>
  <c r="Q165" i="100"/>
  <c r="Q164" i="100"/>
  <c r="T164" i="100"/>
  <c r="Q163" i="100"/>
  <c r="R163" i="100"/>
  <c r="T163" i="100"/>
  <c r="S163" i="100"/>
  <c r="T162" i="100"/>
  <c r="Q162" i="100"/>
  <c r="T161" i="100"/>
  <c r="Q161" i="100"/>
  <c r="T160" i="100"/>
  <c r="Q160" i="100"/>
  <c r="Q159" i="100"/>
  <c r="R159" i="100"/>
  <c r="S159" i="100" s="1"/>
  <c r="T159" i="100"/>
  <c r="T158" i="100"/>
  <c r="Q158" i="100"/>
  <c r="T157" i="100"/>
  <c r="Q157" i="100"/>
  <c r="Q156" i="100"/>
  <c r="T156" i="100"/>
  <c r="R156" i="100"/>
  <c r="S156" i="100" s="1"/>
  <c r="T155" i="100"/>
  <c r="Q155" i="100"/>
  <c r="S155" i="100" s="1"/>
  <c r="R155" i="100"/>
  <c r="Q154" i="100"/>
  <c r="R154" i="100"/>
  <c r="S154" i="100" s="1"/>
  <c r="Q153" i="100"/>
  <c r="T153" i="100"/>
  <c r="R153" i="100"/>
  <c r="S153" i="100" s="1"/>
  <c r="T152" i="100"/>
  <c r="Q152" i="100"/>
  <c r="R152" i="100" s="1"/>
  <c r="S152" i="100" s="1"/>
  <c r="T151" i="100"/>
  <c r="Q151" i="100"/>
  <c r="Q150" i="100"/>
  <c r="R150" i="100"/>
  <c r="S150" i="100"/>
  <c r="T150" i="100"/>
  <c r="Q149" i="100"/>
  <c r="R149" i="100" s="1"/>
  <c r="S149" i="100" s="1"/>
  <c r="T149" i="100"/>
  <c r="T148" i="100"/>
  <c r="Q148" i="100"/>
  <c r="Q147" i="100"/>
  <c r="R147" i="100"/>
  <c r="S147" i="100" s="1"/>
  <c r="T147" i="100"/>
  <c r="T146" i="100"/>
  <c r="Q146" i="100"/>
  <c r="T145" i="100"/>
  <c r="Q145" i="100"/>
  <c r="S145" i="100" s="1"/>
  <c r="R145" i="100"/>
  <c r="T144" i="100"/>
  <c r="Q144" i="100"/>
  <c r="Q143" i="100"/>
  <c r="S143" i="100" s="1"/>
  <c r="T143" i="100"/>
  <c r="R143" i="100"/>
  <c r="Q142" i="100"/>
  <c r="R142" i="100"/>
  <c r="S142" i="100" s="1"/>
  <c r="T142" i="100"/>
  <c r="T141" i="100"/>
  <c r="Q141" i="100"/>
  <c r="R141" i="100" s="1"/>
  <c r="S141" i="100" s="1"/>
  <c r="T140" i="100"/>
  <c r="Q140" i="100"/>
  <c r="Q139" i="100"/>
  <c r="T139" i="100"/>
  <c r="R139" i="100"/>
  <c r="S139" i="100" s="1"/>
  <c r="T138" i="100"/>
  <c r="Q138" i="100"/>
  <c r="R138" i="100"/>
  <c r="S138" i="100" s="1"/>
  <c r="T137" i="100"/>
  <c r="Q137" i="100"/>
  <c r="Q136" i="100"/>
  <c r="S136" i="100" s="1"/>
  <c r="R136" i="100"/>
  <c r="T136" i="100"/>
  <c r="T135" i="100"/>
  <c r="Q135" i="100"/>
  <c r="T134" i="100"/>
  <c r="Q134" i="100"/>
  <c r="T133" i="100"/>
  <c r="Q133" i="100"/>
  <c r="R133" i="100" s="1"/>
  <c r="S133" i="100" s="1"/>
  <c r="Q132" i="100"/>
  <c r="R132" i="100" s="1"/>
  <c r="S132" i="100" s="1"/>
  <c r="T132" i="100"/>
  <c r="Q131" i="100"/>
  <c r="T131" i="100"/>
  <c r="T130" i="100"/>
  <c r="Q130" i="100"/>
  <c r="Q129" i="100"/>
  <c r="S129" i="100" s="1"/>
  <c r="T129" i="100"/>
  <c r="R129" i="100"/>
  <c r="T128" i="100"/>
  <c r="Q128" i="100"/>
  <c r="R127" i="100"/>
  <c r="S127" i="100"/>
  <c r="T127" i="100"/>
  <c r="Q126" i="100"/>
  <c r="S126" i="100" s="1"/>
  <c r="R126" i="100"/>
  <c r="T126" i="100"/>
  <c r="Q125" i="100"/>
  <c r="T125" i="100"/>
  <c r="R125" i="100"/>
  <c r="S125" i="100" s="1"/>
  <c r="Q124" i="100"/>
  <c r="T124" i="100"/>
  <c r="Q123" i="100"/>
  <c r="T123" i="100"/>
  <c r="R123" i="100"/>
  <c r="S123" i="100" s="1"/>
  <c r="T122" i="100"/>
  <c r="Q122" i="100"/>
  <c r="Q121" i="100"/>
  <c r="S121" i="100" s="1"/>
  <c r="R121" i="100"/>
  <c r="T121" i="100"/>
  <c r="T120" i="100"/>
  <c r="Q120" i="100"/>
  <c r="R120" i="100"/>
  <c r="S120" i="100"/>
  <c r="Q119" i="100"/>
  <c r="S119" i="100" s="1"/>
  <c r="T119" i="100"/>
  <c r="R119" i="100"/>
  <c r="Q118" i="100"/>
  <c r="R118" i="100"/>
  <c r="S118" i="100"/>
  <c r="T118" i="100"/>
  <c r="T117" i="100"/>
  <c r="Q117" i="100"/>
  <c r="R117" i="100" s="1"/>
  <c r="S117" i="100" s="1"/>
  <c r="Q116" i="100"/>
  <c r="R116" i="100" s="1"/>
  <c r="S116" i="100" s="1"/>
  <c r="T116" i="100"/>
  <c r="T115" i="100"/>
  <c r="Q115" i="100"/>
  <c r="Q114" i="100"/>
  <c r="S114" i="100" s="1"/>
  <c r="T114" i="100"/>
  <c r="R114" i="100"/>
  <c r="Q113" i="100"/>
  <c r="S113" i="100" s="1"/>
  <c r="T113" i="100"/>
  <c r="R113" i="100"/>
  <c r="T112" i="100"/>
  <c r="Q112" i="100"/>
  <c r="T111" i="100"/>
  <c r="S111" i="100"/>
  <c r="T110" i="100"/>
  <c r="Q110" i="100"/>
  <c r="R110" i="100" s="1"/>
  <c r="S110" i="100" s="1"/>
  <c r="Q109" i="100"/>
  <c r="S109" i="100" s="1"/>
  <c r="R109" i="100"/>
  <c r="T109" i="100"/>
  <c r="Q108" i="100"/>
  <c r="S108" i="100" s="1"/>
  <c r="T108" i="100"/>
  <c r="R108" i="100"/>
  <c r="T107" i="100"/>
  <c r="R107" i="100"/>
  <c r="S107" i="100"/>
  <c r="T106" i="100"/>
  <c r="Q106" i="100"/>
  <c r="T105" i="100"/>
  <c r="Q105" i="100"/>
  <c r="S105" i="100" s="1"/>
  <c r="R105" i="100"/>
  <c r="Q104" i="100"/>
  <c r="R104" i="100" s="1"/>
  <c r="S104" i="100" s="1"/>
  <c r="T104" i="100"/>
  <c r="T103" i="100"/>
  <c r="Q103" i="100"/>
  <c r="T102" i="100"/>
  <c r="Q102" i="100"/>
  <c r="Q101" i="100"/>
  <c r="T101" i="100"/>
  <c r="R101" i="100"/>
  <c r="S101" i="100" s="1"/>
  <c r="T100" i="100"/>
  <c r="Q100" i="100"/>
  <c r="R100" i="100"/>
  <c r="S100" i="100" s="1"/>
  <c r="T99" i="100"/>
  <c r="Q99" i="100"/>
  <c r="S99" i="100" s="1"/>
  <c r="R99" i="100"/>
  <c r="T98" i="100"/>
  <c r="Q98" i="100"/>
  <c r="T97" i="100"/>
  <c r="Q97" i="100"/>
  <c r="S97" i="100" s="1"/>
  <c r="R97" i="100"/>
  <c r="T96" i="100"/>
  <c r="Q96" i="100"/>
  <c r="R96" i="100" s="1"/>
  <c r="S96" i="100" s="1"/>
  <c r="Q95" i="100"/>
  <c r="R95" i="100"/>
  <c r="S95" i="100"/>
  <c r="T95" i="100"/>
  <c r="Q94" i="100"/>
  <c r="R94" i="100"/>
  <c r="S94" i="100" s="1"/>
  <c r="T94" i="100"/>
  <c r="T93" i="100"/>
  <c r="Q93" i="100"/>
  <c r="R93" i="100" s="1"/>
  <c r="S93" i="100" s="1"/>
  <c r="Q92" i="100"/>
  <c r="R92" i="100"/>
  <c r="S92" i="100" s="1"/>
  <c r="T92" i="100"/>
  <c r="Q91" i="100"/>
  <c r="R91" i="100" s="1"/>
  <c r="S91" i="100" s="1"/>
  <c r="T91" i="100"/>
  <c r="Q90" i="100"/>
  <c r="S90" i="100" s="1"/>
  <c r="T90" i="100"/>
  <c r="R90" i="100"/>
  <c r="Q89" i="100"/>
  <c r="T89" i="100"/>
  <c r="R89" i="100"/>
  <c r="S89" i="100" s="1"/>
  <c r="Q88" i="100"/>
  <c r="T88" i="100"/>
  <c r="R88" i="100"/>
  <c r="S88" i="100" s="1"/>
  <c r="Q87" i="100"/>
  <c r="R87" i="100"/>
  <c r="S87" i="100" s="1"/>
  <c r="T87" i="100"/>
  <c r="Q86" i="100"/>
  <c r="T86" i="100"/>
  <c r="T85" i="100"/>
  <c r="Q85" i="100"/>
  <c r="T84" i="100"/>
  <c r="Q84" i="100"/>
  <c r="Q83" i="100"/>
  <c r="R83" i="100" s="1"/>
  <c r="S83" i="100" s="1"/>
  <c r="T83" i="100"/>
  <c r="Q82" i="100"/>
  <c r="T82" i="100"/>
  <c r="R82" i="100"/>
  <c r="S82" i="100" s="1"/>
  <c r="T81" i="100"/>
  <c r="Q81" i="100"/>
  <c r="Q80" i="100"/>
  <c r="T80" i="100"/>
  <c r="T79" i="100"/>
  <c r="Q79" i="100"/>
  <c r="T78" i="100"/>
  <c r="Q78" i="100"/>
  <c r="Q77" i="100"/>
  <c r="S77" i="100" s="1"/>
  <c r="R77" i="100"/>
  <c r="T77" i="100"/>
  <c r="T76" i="100"/>
  <c r="Q76" i="100"/>
  <c r="R76" i="100"/>
  <c r="S76" i="100"/>
  <c r="T75" i="100"/>
  <c r="Q75" i="100"/>
  <c r="S75" i="100" s="1"/>
  <c r="R75" i="100"/>
  <c r="T74" i="100"/>
  <c r="Q74" i="100"/>
  <c r="R74" i="100"/>
  <c r="S74" i="100" s="1"/>
  <c r="Q73" i="100"/>
  <c r="R73" i="100" s="1"/>
  <c r="S73" i="100" s="1"/>
  <c r="T73" i="100"/>
  <c r="R72" i="100"/>
  <c r="T72" i="100"/>
  <c r="S72" i="100"/>
  <c r="T71" i="100"/>
  <c r="Q71" i="100"/>
  <c r="R71" i="100" s="1"/>
  <c r="S71" i="100" s="1"/>
  <c r="T70" i="100"/>
  <c r="Q70" i="100"/>
  <c r="T69" i="100"/>
  <c r="Q69" i="100"/>
  <c r="R69" i="100" s="1"/>
  <c r="S69" i="100" s="1"/>
  <c r="T68" i="100"/>
  <c r="Q68" i="100"/>
  <c r="S68" i="100" s="1"/>
  <c r="R68" i="100"/>
  <c r="Q67" i="100"/>
  <c r="T67" i="100"/>
  <c r="R67" i="100"/>
  <c r="S67" i="100" s="1"/>
  <c r="T66" i="100"/>
  <c r="Q66" i="100"/>
  <c r="R66" i="100" s="1"/>
  <c r="S66" i="100" s="1"/>
  <c r="Q65" i="100"/>
  <c r="R65" i="100"/>
  <c r="S65" i="100" s="1"/>
  <c r="T65" i="100"/>
  <c r="Q64" i="100"/>
  <c r="R64" i="100"/>
  <c r="S64" i="100"/>
  <c r="T64" i="100"/>
  <c r="Q63" i="100"/>
  <c r="T63" i="100"/>
  <c r="R63" i="100"/>
  <c r="S63" i="100" s="1"/>
  <c r="T62" i="100"/>
  <c r="Q62" i="100"/>
  <c r="T61" i="100"/>
  <c r="Q61" i="100"/>
  <c r="Q60" i="100"/>
  <c r="T60" i="100"/>
  <c r="R60" i="100"/>
  <c r="S60" i="100"/>
  <c r="Q59" i="100"/>
  <c r="T59" i="100"/>
  <c r="T58" i="100"/>
  <c r="Q58" i="100"/>
  <c r="R58" i="100" s="1"/>
  <c r="S58" i="100" s="1"/>
  <c r="T57" i="100"/>
  <c r="Q57" i="100"/>
  <c r="R57" i="100" s="1"/>
  <c r="S57" i="100" s="1"/>
  <c r="Q56" i="100"/>
  <c r="R56" i="100"/>
  <c r="S56" i="100"/>
  <c r="T56" i="100"/>
  <c r="Q55" i="100"/>
  <c r="R55" i="100"/>
  <c r="S55" i="100"/>
  <c r="T55" i="100"/>
  <c r="T54" i="100"/>
  <c r="Q54" i="100"/>
  <c r="Q53" i="100"/>
  <c r="T53" i="100"/>
  <c r="R53" i="100"/>
  <c r="S53" i="100" s="1"/>
  <c r="Q52" i="100"/>
  <c r="R52" i="100"/>
  <c r="S52" i="100"/>
  <c r="T52" i="100"/>
  <c r="T51" i="100"/>
  <c r="Q51" i="100"/>
  <c r="R51" i="100" s="1"/>
  <c r="S51" i="100" s="1"/>
  <c r="Q50" i="100"/>
  <c r="T50" i="100"/>
  <c r="R50" i="100"/>
  <c r="S50" i="100" s="1"/>
  <c r="Q49" i="100"/>
  <c r="T49" i="100"/>
  <c r="R49" i="100"/>
  <c r="S49" i="100" s="1"/>
  <c r="Q48" i="100"/>
  <c r="S48" i="100" s="1"/>
  <c r="R48" i="100"/>
  <c r="T48" i="100"/>
  <c r="Q47" i="100"/>
  <c r="R47" i="100"/>
  <c r="S47" i="100" s="1"/>
  <c r="T47" i="100"/>
  <c r="Q46" i="100"/>
  <c r="R46" i="100"/>
  <c r="T46" i="100"/>
  <c r="S46" i="100"/>
  <c r="T45" i="100"/>
  <c r="Q45" i="100"/>
  <c r="R45" i="100" s="1"/>
  <c r="S45" i="100" s="1"/>
  <c r="Q44" i="100"/>
  <c r="T44" i="100"/>
  <c r="R44" i="100"/>
  <c r="S44" i="100"/>
  <c r="T43" i="100"/>
  <c r="Q43" i="100"/>
  <c r="T42" i="100"/>
  <c r="Q42" i="100"/>
  <c r="R42" i="100" s="1"/>
  <c r="S42" i="100" s="1"/>
  <c r="T41" i="100"/>
  <c r="Q41" i="100"/>
  <c r="T40" i="100"/>
  <c r="Q40" i="100"/>
  <c r="T39" i="100"/>
  <c r="Q39" i="100"/>
  <c r="R39" i="100" s="1"/>
  <c r="S39" i="100" s="1"/>
  <c r="T38" i="100"/>
  <c r="Q38" i="100"/>
  <c r="Q37" i="100"/>
  <c r="T37" i="100"/>
  <c r="T36" i="100"/>
  <c r="Q36" i="100"/>
  <c r="T35" i="100"/>
  <c r="Q35" i="100"/>
  <c r="T34" i="100"/>
  <c r="Q34" i="100"/>
  <c r="T33" i="100"/>
  <c r="Q33" i="100"/>
  <c r="R33" i="100"/>
  <c r="S33" i="100" s="1"/>
  <c r="Q32" i="100"/>
  <c r="T32" i="100"/>
  <c r="R32" i="100"/>
  <c r="S32" i="100"/>
  <c r="T31" i="100"/>
  <c r="Q31" i="100"/>
  <c r="T30" i="100"/>
  <c r="Q30" i="100"/>
  <c r="T29" i="100"/>
  <c r="Q29" i="100"/>
  <c r="Q28" i="100"/>
  <c r="R28" i="100"/>
  <c r="S28" i="100" s="1"/>
  <c r="T28" i="100"/>
  <c r="T27" i="100"/>
  <c r="Q27" i="100"/>
  <c r="Q26" i="100"/>
  <c r="R26" i="100"/>
  <c r="T26" i="100"/>
  <c r="S26" i="100"/>
  <c r="T25" i="100"/>
  <c r="Q25" i="100"/>
  <c r="R25" i="100" s="1"/>
  <c r="S25" i="100" s="1"/>
  <c r="Q24" i="100"/>
  <c r="S24" i="100" s="1"/>
  <c r="R24" i="100"/>
  <c r="T24" i="100"/>
  <c r="Q23" i="100"/>
  <c r="T23" i="100"/>
  <c r="Q22" i="100"/>
  <c r="S22" i="100" s="1"/>
  <c r="T22" i="100"/>
  <c r="R22" i="100"/>
  <c r="R21" i="100"/>
  <c r="T21" i="100"/>
  <c r="S21" i="100"/>
  <c r="Q20" i="100"/>
  <c r="S20" i="100" s="1"/>
  <c r="T20" i="100"/>
  <c r="R20" i="100"/>
  <c r="T19" i="100"/>
  <c r="Q19" i="100"/>
  <c r="R19" i="100" s="1"/>
  <c r="S19" i="100" s="1"/>
  <c r="Q18" i="100"/>
  <c r="T18" i="100"/>
  <c r="Q17" i="100"/>
  <c r="S17" i="100" s="1"/>
  <c r="T17" i="100"/>
  <c r="R17" i="100"/>
  <c r="Q16" i="100"/>
  <c r="S16" i="100" s="1"/>
  <c r="T16" i="100"/>
  <c r="R16" i="100"/>
  <c r="Q15" i="100"/>
  <c r="T15" i="100"/>
  <c r="T14" i="100"/>
  <c r="Q14" i="100"/>
  <c r="T13" i="100"/>
  <c r="Q13" i="100"/>
  <c r="T12" i="100"/>
  <c r="Q12" i="100"/>
  <c r="R12" i="100" s="1"/>
  <c r="S12" i="100" s="1"/>
  <c r="Q11" i="100"/>
  <c r="S11" i="100" s="1"/>
  <c r="R11" i="100"/>
  <c r="T11" i="100"/>
  <c r="T10" i="100"/>
  <c r="Q10" i="100"/>
  <c r="Q9" i="100"/>
  <c r="R9" i="100"/>
  <c r="S9" i="100"/>
  <c r="T9" i="100"/>
  <c r="Q8" i="100"/>
  <c r="T8" i="100"/>
  <c r="R8" i="100"/>
  <c r="S8" i="100" s="1"/>
  <c r="Q7" i="100"/>
  <c r="S7" i="100" s="1"/>
  <c r="T7" i="100"/>
  <c r="R7" i="100"/>
  <c r="Q6" i="100"/>
  <c r="T6" i="100"/>
  <c r="R6" i="100"/>
  <c r="S6" i="100"/>
  <c r="Q5" i="100"/>
  <c r="S5" i="100" s="1"/>
  <c r="R5" i="100"/>
  <c r="T5" i="100"/>
  <c r="Q4" i="100"/>
  <c r="S4" i="100" s="1"/>
  <c r="T4" i="100"/>
  <c r="R4" i="100"/>
  <c r="Q3" i="100"/>
  <c r="R3" i="100"/>
  <c r="S3" i="100" s="1"/>
  <c r="T3" i="100"/>
  <c r="S2" i="100"/>
  <c r="R2" i="100"/>
  <c r="T2" i="100"/>
  <c r="B29" i="59" s="1"/>
  <c r="D29" i="59" s="1"/>
  <c r="Q288" i="99"/>
  <c r="R288" i="99" s="1"/>
  <c r="S288" i="99" s="1"/>
  <c r="T288" i="99"/>
  <c r="Q287" i="99"/>
  <c r="S287" i="99" s="1"/>
  <c r="T287" i="99"/>
  <c r="R287" i="99"/>
  <c r="R286" i="99"/>
  <c r="S286" i="99" s="1"/>
  <c r="T286" i="99"/>
  <c r="T285" i="99"/>
  <c r="Q285" i="99"/>
  <c r="R285" i="99"/>
  <c r="S285" i="99" s="1"/>
  <c r="T284" i="99"/>
  <c r="Q284" i="99"/>
  <c r="S284" i="99" s="1"/>
  <c r="R284" i="99"/>
  <c r="T283" i="99"/>
  <c r="Q283" i="99"/>
  <c r="R283" i="99" s="1"/>
  <c r="S283" i="99" s="1"/>
  <c r="R282" i="99"/>
  <c r="S282" i="99" s="1"/>
  <c r="T282" i="99"/>
  <c r="T281" i="99"/>
  <c r="Q281" i="99"/>
  <c r="Q280" i="99"/>
  <c r="R280" i="99"/>
  <c r="T280" i="99"/>
  <c r="S280" i="99"/>
  <c r="Q279" i="99"/>
  <c r="S279" i="99" s="1"/>
  <c r="T279" i="99"/>
  <c r="R279" i="99"/>
  <c r="T278" i="99"/>
  <c r="Q278" i="99"/>
  <c r="T277" i="99"/>
  <c r="Q277" i="99"/>
  <c r="R277" i="99"/>
  <c r="S277" i="99"/>
  <c r="Q276" i="99"/>
  <c r="T276" i="99"/>
  <c r="R276" i="99"/>
  <c r="S276" i="99" s="1"/>
  <c r="T275" i="99"/>
  <c r="Q275" i="99"/>
  <c r="S275" i="99" s="1"/>
  <c r="R275" i="99"/>
  <c r="Q274" i="99"/>
  <c r="R274" i="99"/>
  <c r="S274" i="99" s="1"/>
  <c r="T274" i="99"/>
  <c r="T273" i="99"/>
  <c r="Q273" i="99"/>
  <c r="Q272" i="99"/>
  <c r="S272" i="99" s="1"/>
  <c r="R272" i="99"/>
  <c r="T272" i="99"/>
  <c r="Q271" i="99"/>
  <c r="T271" i="99"/>
  <c r="R271" i="99"/>
  <c r="S271" i="99" s="1"/>
  <c r="Q270" i="99"/>
  <c r="R270" i="99"/>
  <c r="S270" i="99" s="1"/>
  <c r="T270" i="99"/>
  <c r="Q269" i="99"/>
  <c r="R269" i="99" s="1"/>
  <c r="S269" i="99" s="1"/>
  <c r="T269" i="99"/>
  <c r="T268" i="99"/>
  <c r="Q268" i="99"/>
  <c r="R268" i="99" s="1"/>
  <c r="S268" i="99"/>
  <c r="T267" i="99"/>
  <c r="Q267" i="99"/>
  <c r="Q266" i="99"/>
  <c r="S266" i="99" s="1"/>
  <c r="T266" i="99"/>
  <c r="R266" i="99"/>
  <c r="T265" i="99"/>
  <c r="Q265" i="99"/>
  <c r="R265" i="99"/>
  <c r="S265" i="99" s="1"/>
  <c r="T264" i="99"/>
  <c r="Q264" i="99"/>
  <c r="Q263" i="99"/>
  <c r="T263" i="99"/>
  <c r="R263" i="99"/>
  <c r="S263" i="99"/>
  <c r="Q262" i="99"/>
  <c r="S262" i="99" s="1"/>
  <c r="T262" i="99"/>
  <c r="R262" i="99"/>
  <c r="T261" i="99"/>
  <c r="Q261" i="99"/>
  <c r="Q260" i="99"/>
  <c r="T260" i="99"/>
  <c r="Q259" i="99"/>
  <c r="T259" i="99"/>
  <c r="T258" i="99"/>
  <c r="Q258" i="99"/>
  <c r="Q257" i="99"/>
  <c r="S257" i="99" s="1"/>
  <c r="R257" i="99"/>
  <c r="T257" i="99"/>
  <c r="T256" i="99"/>
  <c r="Q256" i="99"/>
  <c r="R256" i="99"/>
  <c r="S256" i="99" s="1"/>
  <c r="T255" i="99"/>
  <c r="Q255" i="99"/>
  <c r="T254" i="99"/>
  <c r="Q254" i="99"/>
  <c r="Q253" i="99"/>
  <c r="S253" i="99" s="1"/>
  <c r="T253" i="99"/>
  <c r="R253" i="99"/>
  <c r="Q252" i="99"/>
  <c r="T252" i="99"/>
  <c r="T251" i="99"/>
  <c r="Q251" i="99"/>
  <c r="R251" i="99" s="1"/>
  <c r="S251" i="99" s="1"/>
  <c r="Q250" i="99"/>
  <c r="T250" i="99"/>
  <c r="R250" i="99"/>
  <c r="S250" i="99" s="1"/>
  <c r="Q249" i="99"/>
  <c r="S249" i="99" s="1"/>
  <c r="T249" i="99"/>
  <c r="R249" i="99"/>
  <c r="T248" i="99"/>
  <c r="Q248" i="99"/>
  <c r="R248" i="99" s="1"/>
  <c r="S248" i="99" s="1"/>
  <c r="T247" i="99"/>
  <c r="Q247" i="99"/>
  <c r="S247" i="99" s="1"/>
  <c r="R247" i="99"/>
  <c r="T246" i="99"/>
  <c r="Q246" i="99"/>
  <c r="R246" i="99" s="1"/>
  <c r="S246" i="99" s="1"/>
  <c r="Q245" i="99"/>
  <c r="T245" i="99"/>
  <c r="R245" i="99"/>
  <c r="S245" i="99"/>
  <c r="T244" i="99"/>
  <c r="Q244" i="99"/>
  <c r="Q243" i="99"/>
  <c r="S243" i="99" s="1"/>
  <c r="R243" i="99"/>
  <c r="T242" i="99"/>
  <c r="Q242" i="99"/>
  <c r="T241" i="99"/>
  <c r="Q241" i="99"/>
  <c r="Q240" i="99"/>
  <c r="R240" i="99" s="1"/>
  <c r="S240" i="99" s="1"/>
  <c r="T240" i="99"/>
  <c r="Q239" i="99"/>
  <c r="T239" i="99"/>
  <c r="R239" i="99"/>
  <c r="S239" i="99" s="1"/>
  <c r="Q238" i="99"/>
  <c r="T238" i="99"/>
  <c r="R238" i="99"/>
  <c r="S238" i="99" s="1"/>
  <c r="T237" i="99"/>
  <c r="Q237" i="99"/>
  <c r="R237" i="99"/>
  <c r="S237" i="99" s="1"/>
  <c r="Q236" i="99"/>
  <c r="R236" i="99"/>
  <c r="T236" i="99"/>
  <c r="S236" i="99"/>
  <c r="T235" i="99"/>
  <c r="Q235" i="99"/>
  <c r="T234" i="99"/>
  <c r="Q234" i="99"/>
  <c r="T233" i="99"/>
  <c r="Q233" i="99"/>
  <c r="S233" i="99" s="1"/>
  <c r="R233" i="99"/>
  <c r="T232" i="99"/>
  <c r="Q232" i="99"/>
  <c r="T231" i="99"/>
  <c r="Q231" i="99"/>
  <c r="S231" i="99" s="1"/>
  <c r="R231" i="99"/>
  <c r="Q230" i="99"/>
  <c r="T230" i="99"/>
  <c r="Q229" i="99"/>
  <c r="R229" i="99"/>
  <c r="S229" i="99"/>
  <c r="T229" i="99"/>
  <c r="T228" i="99"/>
  <c r="Q228" i="99"/>
  <c r="Q227" i="99"/>
  <c r="T227" i="99"/>
  <c r="R227" i="99"/>
  <c r="S227" i="99" s="1"/>
  <c r="Q226" i="99"/>
  <c r="S226" i="99" s="1"/>
  <c r="T226" i="99"/>
  <c r="R226" i="99"/>
  <c r="T225" i="99"/>
  <c r="R225" i="99"/>
  <c r="S225" i="99" s="1"/>
  <c r="T224" i="99"/>
  <c r="Q224" i="99"/>
  <c r="S224" i="99" s="1"/>
  <c r="R224" i="99"/>
  <c r="T223" i="99"/>
  <c r="Q223" i="99"/>
  <c r="T222" i="99"/>
  <c r="Q222" i="99"/>
  <c r="S222" i="99" s="1"/>
  <c r="R222" i="99"/>
  <c r="Q221" i="99"/>
  <c r="T221" i="99"/>
  <c r="R221" i="99"/>
  <c r="S221" i="99"/>
  <c r="Q220" i="99"/>
  <c r="T220" i="99"/>
  <c r="R220" i="99"/>
  <c r="S220" i="99" s="1"/>
  <c r="Q219" i="99"/>
  <c r="R219" i="99" s="1"/>
  <c r="S219" i="99" s="1"/>
  <c r="T219" i="99"/>
  <c r="T218" i="99"/>
  <c r="Q218" i="99"/>
  <c r="R218" i="99" s="1"/>
  <c r="S218" i="99" s="1"/>
  <c r="T217" i="99"/>
  <c r="Q217" i="99"/>
  <c r="S217" i="99" s="1"/>
  <c r="R217" i="99"/>
  <c r="T216" i="99"/>
  <c r="R216" i="99"/>
  <c r="S216" i="99"/>
  <c r="T215" i="99"/>
  <c r="Q215" i="99"/>
  <c r="R215" i="99" s="1"/>
  <c r="S215" i="99" s="1"/>
  <c r="Q214" i="99"/>
  <c r="S214" i="99" s="1"/>
  <c r="R214" i="99"/>
  <c r="T214" i="99"/>
  <c r="T213" i="99"/>
  <c r="Q213" i="99"/>
  <c r="T212" i="99"/>
  <c r="Q212" i="99"/>
  <c r="R212" i="99"/>
  <c r="S212" i="99" s="1"/>
  <c r="Q211" i="99"/>
  <c r="R211" i="99" s="1"/>
  <c r="S211" i="99" s="1"/>
  <c r="T211" i="99"/>
  <c r="T210" i="99"/>
  <c r="Q210" i="99"/>
  <c r="R210" i="99"/>
  <c r="S210" i="99" s="1"/>
  <c r="T209" i="99"/>
  <c r="Q209" i="99"/>
  <c r="T208" i="99"/>
  <c r="Q208" i="99"/>
  <c r="T207" i="99"/>
  <c r="Q207" i="99"/>
  <c r="R207" i="99" s="1"/>
  <c r="S207" i="99" s="1"/>
  <c r="T206" i="99"/>
  <c r="Q206" i="99"/>
  <c r="Q205" i="99"/>
  <c r="T205" i="99"/>
  <c r="R204" i="99"/>
  <c r="T204" i="99"/>
  <c r="S204" i="99"/>
  <c r="T203" i="99"/>
  <c r="Q203" i="99"/>
  <c r="R203" i="99"/>
  <c r="S203" i="99"/>
  <c r="T202" i="99"/>
  <c r="Q202" i="99"/>
  <c r="Q201" i="99"/>
  <c r="S201" i="99" s="1"/>
  <c r="R201" i="99"/>
  <c r="T201" i="99"/>
  <c r="T200" i="99"/>
  <c r="Q200" i="99"/>
  <c r="T199" i="99"/>
  <c r="Q199" i="99"/>
  <c r="R199" i="99"/>
  <c r="S199" i="99"/>
  <c r="T198" i="99"/>
  <c r="Q198" i="99"/>
  <c r="R198" i="99" s="1"/>
  <c r="S198" i="99" s="1"/>
  <c r="Q197" i="99"/>
  <c r="S197" i="99" s="1"/>
  <c r="T197" i="99"/>
  <c r="R197" i="99"/>
  <c r="Q196" i="99"/>
  <c r="S196" i="99" s="1"/>
  <c r="R196" i="99"/>
  <c r="T196" i="99"/>
  <c r="T195" i="99"/>
  <c r="Q195" i="99"/>
  <c r="S195" i="99" s="1"/>
  <c r="R195" i="99"/>
  <c r="T194" i="99"/>
  <c r="Q194" i="99"/>
  <c r="Q193" i="99"/>
  <c r="T193" i="99"/>
  <c r="T192" i="99"/>
  <c r="R192" i="99"/>
  <c r="S192" i="99" s="1"/>
  <c r="T191" i="99"/>
  <c r="Q191" i="99"/>
  <c r="T190" i="99"/>
  <c r="Q190" i="99"/>
  <c r="T189" i="99"/>
  <c r="Q189" i="99"/>
  <c r="S189" i="99" s="1"/>
  <c r="R189" i="99"/>
  <c r="Q188" i="99"/>
  <c r="R188" i="99"/>
  <c r="S188" i="99" s="1"/>
  <c r="T188" i="99"/>
  <c r="T187" i="99"/>
  <c r="Q187" i="99"/>
  <c r="T186" i="99"/>
  <c r="Q186" i="99"/>
  <c r="R186" i="99"/>
  <c r="S186" i="99" s="1"/>
  <c r="T185" i="99"/>
  <c r="Q185" i="99"/>
  <c r="S185" i="99" s="1"/>
  <c r="R185" i="99"/>
  <c r="T184" i="99"/>
  <c r="Q184" i="99"/>
  <c r="T183" i="99"/>
  <c r="Q183" i="99"/>
  <c r="Q182" i="99"/>
  <c r="R182" i="99" s="1"/>
  <c r="S182" i="99" s="1"/>
  <c r="T182" i="99"/>
  <c r="T181" i="99"/>
  <c r="Q181" i="99"/>
  <c r="T180" i="99"/>
  <c r="Q180" i="99"/>
  <c r="R180" i="99" s="1"/>
  <c r="S180" i="99" s="1"/>
  <c r="T179" i="99"/>
  <c r="Q179" i="99"/>
  <c r="R179" i="99" s="1"/>
  <c r="S179" i="99" s="1"/>
  <c r="T178" i="99"/>
  <c r="Q178" i="99"/>
  <c r="R178" i="99" s="1"/>
  <c r="S178" i="99" s="1"/>
  <c r="T177" i="99"/>
  <c r="Q177" i="99"/>
  <c r="T176" i="99"/>
  <c r="Q176" i="99"/>
  <c r="Q175" i="99"/>
  <c r="R175" i="99"/>
  <c r="S175" i="99"/>
  <c r="T175" i="99"/>
  <c r="T174" i="99"/>
  <c r="Q174" i="99"/>
  <c r="Q173" i="99"/>
  <c r="R173" i="99"/>
  <c r="S173" i="99"/>
  <c r="T173" i="99"/>
  <c r="Q172" i="99"/>
  <c r="R172" i="99"/>
  <c r="S172" i="99" s="1"/>
  <c r="T172" i="99"/>
  <c r="Q171" i="99"/>
  <c r="R171" i="99"/>
  <c r="S171" i="99" s="1"/>
  <c r="T171" i="99"/>
  <c r="T170" i="99"/>
  <c r="Q170" i="99"/>
  <c r="T169" i="99"/>
  <c r="Q169" i="99"/>
  <c r="S169" i="99" s="1"/>
  <c r="R169" i="99"/>
  <c r="Q168" i="99"/>
  <c r="T168" i="99"/>
  <c r="R168" i="99"/>
  <c r="S168" i="99" s="1"/>
  <c r="Q167" i="99"/>
  <c r="S167" i="99" s="1"/>
  <c r="T167" i="99"/>
  <c r="R167" i="99"/>
  <c r="Q166" i="99"/>
  <c r="T166" i="99"/>
  <c r="R166" i="99"/>
  <c r="S166" i="99" s="1"/>
  <c r="Q165" i="99"/>
  <c r="T165" i="99"/>
  <c r="R165" i="99"/>
  <c r="S165" i="99" s="1"/>
  <c r="T164" i="99"/>
  <c r="Q164" i="99"/>
  <c r="Q163" i="99"/>
  <c r="R163" i="99"/>
  <c r="S163" i="99" s="1"/>
  <c r="T163" i="99"/>
  <c r="Q162" i="99"/>
  <c r="T162" i="99"/>
  <c r="R162" i="99"/>
  <c r="S162" i="99"/>
  <c r="T161" i="99"/>
  <c r="Q161" i="99"/>
  <c r="Q160" i="99"/>
  <c r="S160" i="99" s="1"/>
  <c r="R160" i="99"/>
  <c r="T160" i="99"/>
  <c r="T159" i="99"/>
  <c r="Q159" i="99"/>
  <c r="S159" i="99" s="1"/>
  <c r="R159" i="99"/>
  <c r="Q158" i="99"/>
  <c r="R158" i="99"/>
  <c r="T158" i="99"/>
  <c r="S158" i="99"/>
  <c r="Q157" i="99"/>
  <c r="R157" i="99"/>
  <c r="S157" i="99"/>
  <c r="T157" i="99"/>
  <c r="Q156" i="99"/>
  <c r="R156" i="99"/>
  <c r="S156" i="99" s="1"/>
  <c r="T156" i="99"/>
  <c r="Q155" i="99"/>
  <c r="R155" i="99"/>
  <c r="S155" i="99"/>
  <c r="T155" i="99"/>
  <c r="T154" i="99"/>
  <c r="Q154" i="99"/>
  <c r="T153" i="99"/>
  <c r="Q153" i="99"/>
  <c r="R153" i="99"/>
  <c r="S153" i="99"/>
  <c r="T152" i="99"/>
  <c r="Q152" i="99"/>
  <c r="Q151" i="99"/>
  <c r="R151" i="99"/>
  <c r="S151" i="99"/>
  <c r="T151" i="99"/>
  <c r="Q150" i="99"/>
  <c r="R150" i="99"/>
  <c r="S150" i="99" s="1"/>
  <c r="T150" i="99"/>
  <c r="T149" i="99"/>
  <c r="Q149" i="99"/>
  <c r="R149" i="99"/>
  <c r="S149" i="99"/>
  <c r="T148" i="99"/>
  <c r="R148" i="99"/>
  <c r="S148" i="99" s="1"/>
  <c r="T147" i="99"/>
  <c r="Q147" i="99"/>
  <c r="S147" i="99" s="1"/>
  <c r="R147" i="99"/>
  <c r="Q146" i="99"/>
  <c r="S146" i="99" s="1"/>
  <c r="T146" i="99"/>
  <c r="R146" i="99"/>
  <c r="Q145" i="99"/>
  <c r="R145" i="99"/>
  <c r="S145" i="99" s="1"/>
  <c r="T145" i="99"/>
  <c r="T144" i="99"/>
  <c r="Q144" i="99"/>
  <c r="S144" i="99" s="1"/>
  <c r="R144" i="99"/>
  <c r="Q143" i="99"/>
  <c r="R143" i="99"/>
  <c r="S143" i="99"/>
  <c r="T143" i="99"/>
  <c r="Q142" i="99"/>
  <c r="T142" i="99"/>
  <c r="T141" i="99"/>
  <c r="Q141" i="99"/>
  <c r="R141" i="99" s="1"/>
  <c r="S141" i="99" s="1"/>
  <c r="Q140" i="99"/>
  <c r="T140" i="99"/>
  <c r="R140" i="99"/>
  <c r="S140" i="99" s="1"/>
  <c r="T139" i="99"/>
  <c r="Q139" i="99"/>
  <c r="T138" i="99"/>
  <c r="Q138" i="99"/>
  <c r="S138" i="99" s="1"/>
  <c r="R138" i="99"/>
  <c r="Q137" i="99"/>
  <c r="S137" i="99" s="1"/>
  <c r="T137" i="99"/>
  <c r="R137" i="99"/>
  <c r="T136" i="99"/>
  <c r="Q136" i="99"/>
  <c r="T135" i="99"/>
  <c r="Q135" i="99"/>
  <c r="R135" i="99"/>
  <c r="S135" i="99"/>
  <c r="Q134" i="99"/>
  <c r="T134" i="99"/>
  <c r="Q133" i="99"/>
  <c r="R133" i="99"/>
  <c r="S133" i="99"/>
  <c r="T133" i="99"/>
  <c r="T132" i="99"/>
  <c r="Q132" i="99"/>
  <c r="R132" i="99" s="1"/>
  <c r="S132" i="99" s="1"/>
  <c r="T131" i="99"/>
  <c r="Q131" i="99"/>
  <c r="Q130" i="99"/>
  <c r="T130" i="99"/>
  <c r="R130" i="99"/>
  <c r="S130" i="99" s="1"/>
  <c r="Q129" i="99"/>
  <c r="S129" i="99" s="1"/>
  <c r="T129" i="99"/>
  <c r="R129" i="99"/>
  <c r="T128" i="99"/>
  <c r="Q128" i="99"/>
  <c r="Q127" i="99"/>
  <c r="R127" i="99"/>
  <c r="T127" i="99"/>
  <c r="S127" i="99"/>
  <c r="Q126" i="99"/>
  <c r="R126" i="99"/>
  <c r="S126" i="99"/>
  <c r="T126" i="99"/>
  <c r="T125" i="99"/>
  <c r="Q125" i="99"/>
  <c r="T124" i="99"/>
  <c r="Q124" i="99"/>
  <c r="R124" i="99"/>
  <c r="S124" i="99"/>
  <c r="T123" i="99"/>
  <c r="Q123" i="99"/>
  <c r="R123" i="99" s="1"/>
  <c r="S123" i="99" s="1"/>
  <c r="T122" i="99"/>
  <c r="Q122" i="99"/>
  <c r="R122" i="99"/>
  <c r="S122" i="99"/>
  <c r="Q121" i="99"/>
  <c r="T121" i="99"/>
  <c r="R121" i="99"/>
  <c r="S121" i="99"/>
  <c r="R120" i="99"/>
  <c r="S120" i="99" s="1"/>
  <c r="T120" i="99"/>
  <c r="T119" i="99"/>
  <c r="Q119" i="99"/>
  <c r="R119" i="99"/>
  <c r="S119" i="99" s="1"/>
  <c r="T118" i="99"/>
  <c r="Q118" i="99"/>
  <c r="R118" i="99"/>
  <c r="S118" i="99" s="1"/>
  <c r="T117" i="99"/>
  <c r="Q117" i="99"/>
  <c r="T116" i="99"/>
  <c r="R116" i="99"/>
  <c r="S116" i="99" s="1"/>
  <c r="Q115" i="99"/>
  <c r="R115" i="99"/>
  <c r="S115" i="99" s="1"/>
  <c r="T115" i="99"/>
  <c r="Q114" i="99"/>
  <c r="R114" i="99"/>
  <c r="S114" i="99" s="1"/>
  <c r="T114" i="99"/>
  <c r="Q113" i="99"/>
  <c r="R113" i="99"/>
  <c r="T113" i="99"/>
  <c r="S113" i="99"/>
  <c r="Q112" i="99"/>
  <c r="S112" i="99" s="1"/>
  <c r="R112" i="99"/>
  <c r="T112" i="99"/>
  <c r="Q111" i="99"/>
  <c r="S111" i="99" s="1"/>
  <c r="R111" i="99"/>
  <c r="T111" i="99"/>
  <c r="Q110" i="99"/>
  <c r="R110" i="99"/>
  <c r="T110" i="99"/>
  <c r="S110" i="99"/>
  <c r="T109" i="99"/>
  <c r="R109" i="99"/>
  <c r="S109" i="99"/>
  <c r="T108" i="99"/>
  <c r="Q108" i="99"/>
  <c r="Q107" i="99"/>
  <c r="T107" i="99"/>
  <c r="R107" i="99"/>
  <c r="S107" i="99"/>
  <c r="T106" i="99"/>
  <c r="Q106" i="99"/>
  <c r="Q105" i="99"/>
  <c r="T105" i="99"/>
  <c r="R105" i="99"/>
  <c r="S105" i="99" s="1"/>
  <c r="Q104" i="99"/>
  <c r="T104" i="99"/>
  <c r="R104" i="99"/>
  <c r="S104" i="99"/>
  <c r="T103" i="99"/>
  <c r="Q103" i="99"/>
  <c r="Q102" i="99"/>
  <c r="S102" i="99" s="1"/>
  <c r="R102" i="99"/>
  <c r="T102" i="99"/>
  <c r="T101" i="99"/>
  <c r="Q101" i="99"/>
  <c r="S101" i="99" s="1"/>
  <c r="R101" i="99"/>
  <c r="Q100" i="99"/>
  <c r="T100" i="99"/>
  <c r="R100" i="99"/>
  <c r="S100" i="99"/>
  <c r="T99" i="99"/>
  <c r="Q99" i="99"/>
  <c r="Q98" i="99"/>
  <c r="T98" i="99"/>
  <c r="R98" i="99"/>
  <c r="S98" i="99"/>
  <c r="T97" i="99"/>
  <c r="Q97" i="99"/>
  <c r="T96" i="99"/>
  <c r="Q96" i="99"/>
  <c r="Q95" i="99"/>
  <c r="T95" i="99"/>
  <c r="R95" i="99"/>
  <c r="S95" i="99" s="1"/>
  <c r="Q94" i="99"/>
  <c r="R94" i="99"/>
  <c r="S94" i="99" s="1"/>
  <c r="T94" i="99"/>
  <c r="T93" i="99"/>
  <c r="Q93" i="99"/>
  <c r="R93" i="99"/>
  <c r="S93" i="99"/>
  <c r="Q92" i="99"/>
  <c r="R92" i="99" s="1"/>
  <c r="S92" i="99" s="1"/>
  <c r="T92" i="99"/>
  <c r="T91" i="99"/>
  <c r="Q91" i="99"/>
  <c r="T90" i="99"/>
  <c r="Q90" i="99"/>
  <c r="S90" i="99" s="1"/>
  <c r="R90" i="99"/>
  <c r="Q89" i="99"/>
  <c r="T89" i="99"/>
  <c r="T88" i="99"/>
  <c r="Q88" i="99"/>
  <c r="Q87" i="99"/>
  <c r="S87" i="99" s="1"/>
  <c r="T87" i="99"/>
  <c r="R87" i="99"/>
  <c r="Q86" i="99"/>
  <c r="T86" i="99"/>
  <c r="T85" i="99"/>
  <c r="Q85" i="99"/>
  <c r="Q84" i="99"/>
  <c r="R84" i="99" s="1"/>
  <c r="S84" i="99" s="1"/>
  <c r="T84" i="99"/>
  <c r="T83" i="99"/>
  <c r="Q83" i="99"/>
  <c r="R83" i="99"/>
  <c r="S83" i="99"/>
  <c r="R82" i="99"/>
  <c r="S82" i="99"/>
  <c r="T82" i="99"/>
  <c r="T81" i="99"/>
  <c r="Q81" i="99"/>
  <c r="T80" i="99"/>
  <c r="Q80" i="99"/>
  <c r="S80" i="99" s="1"/>
  <c r="R80" i="99"/>
  <c r="Q79" i="99"/>
  <c r="T79" i="99"/>
  <c r="R79" i="99"/>
  <c r="S79" i="99" s="1"/>
  <c r="T78" i="99"/>
  <c r="Q78" i="99"/>
  <c r="T77" i="99"/>
  <c r="R77" i="99"/>
  <c r="S77" i="99"/>
  <c r="T76" i="99"/>
  <c r="Q76" i="99"/>
  <c r="S76" i="99" s="1"/>
  <c r="R76" i="99"/>
  <c r="Q75" i="99"/>
  <c r="T75" i="99"/>
  <c r="T74" i="99"/>
  <c r="Q74" i="99"/>
  <c r="Q73" i="99"/>
  <c r="T73" i="99"/>
  <c r="R73" i="99"/>
  <c r="S73" i="99" s="1"/>
  <c r="T72" i="99"/>
  <c r="Q72" i="99"/>
  <c r="S72" i="99" s="1"/>
  <c r="R72" i="99"/>
  <c r="T71" i="99"/>
  <c r="Q71" i="99"/>
  <c r="T70" i="99"/>
  <c r="Q70" i="99"/>
  <c r="Q69" i="99"/>
  <c r="T69" i="99"/>
  <c r="R69" i="99"/>
  <c r="S69" i="99" s="1"/>
  <c r="T68" i="99"/>
  <c r="Q68" i="99"/>
  <c r="R68" i="99"/>
  <c r="S68" i="99" s="1"/>
  <c r="Q67" i="99"/>
  <c r="R67" i="99"/>
  <c r="S67" i="99"/>
  <c r="T67" i="99"/>
  <c r="T66" i="99"/>
  <c r="Q66" i="99"/>
  <c r="T65" i="99"/>
  <c r="R65" i="99"/>
  <c r="S65" i="99"/>
  <c r="Q64" i="99"/>
  <c r="R64" i="99" s="1"/>
  <c r="S64" i="99" s="1"/>
  <c r="T64" i="99"/>
  <c r="T63" i="99"/>
  <c r="Q63" i="99"/>
  <c r="Q62" i="99"/>
  <c r="R62" i="99"/>
  <c r="T62" i="99"/>
  <c r="S62" i="99"/>
  <c r="T61" i="99"/>
  <c r="Q61" i="99"/>
  <c r="Q60" i="99"/>
  <c r="R60" i="99" s="1"/>
  <c r="S60" i="99" s="1"/>
  <c r="T60" i="99"/>
  <c r="Q59" i="99"/>
  <c r="S59" i="99" s="1"/>
  <c r="R59" i="99"/>
  <c r="T59" i="99"/>
  <c r="T58" i="99"/>
  <c r="Q58" i="99"/>
  <c r="T57" i="99"/>
  <c r="Q57" i="99"/>
  <c r="T56" i="99"/>
  <c r="Q56" i="99"/>
  <c r="R56" i="99"/>
  <c r="S56" i="99"/>
  <c r="T55" i="99"/>
  <c r="Q55" i="99"/>
  <c r="T54" i="99"/>
  <c r="Q54" i="99"/>
  <c r="R54" i="99"/>
  <c r="S54" i="99" s="1"/>
  <c r="Q53" i="99"/>
  <c r="R53" i="99" s="1"/>
  <c r="S53" i="99" s="1"/>
  <c r="T53" i="99"/>
  <c r="Q52" i="99"/>
  <c r="S52" i="99" s="1"/>
  <c r="R52" i="99"/>
  <c r="T52" i="99"/>
  <c r="Q51" i="99"/>
  <c r="S51" i="99" s="1"/>
  <c r="T51" i="99"/>
  <c r="R51" i="99"/>
  <c r="Q50" i="99"/>
  <c r="T50" i="99"/>
  <c r="R50" i="99"/>
  <c r="S50" i="99" s="1"/>
  <c r="T49" i="99"/>
  <c r="R49" i="99"/>
  <c r="S49" i="99"/>
  <c r="T48" i="99"/>
  <c r="Q48" i="99"/>
  <c r="T47" i="99"/>
  <c r="Q47" i="99"/>
  <c r="T46" i="99"/>
  <c r="Q46" i="99"/>
  <c r="Q45" i="99"/>
  <c r="R45" i="99"/>
  <c r="T45" i="99"/>
  <c r="S45" i="99"/>
  <c r="Q44" i="99"/>
  <c r="R44" i="99"/>
  <c r="S44" i="99"/>
  <c r="T44" i="99"/>
  <c r="Q43" i="99"/>
  <c r="R43" i="99" s="1"/>
  <c r="S43" i="99" s="1"/>
  <c r="T43" i="99"/>
  <c r="T42" i="99"/>
  <c r="Q42" i="99"/>
  <c r="Q41" i="99"/>
  <c r="S41" i="99" s="1"/>
  <c r="R41" i="99"/>
  <c r="T41" i="99"/>
  <c r="T40" i="99"/>
  <c r="Q40" i="99"/>
  <c r="R40" i="99"/>
  <c r="S40" i="99" s="1"/>
  <c r="Q39" i="99"/>
  <c r="S39" i="99" s="1"/>
  <c r="T39" i="99"/>
  <c r="R39" i="99"/>
  <c r="Q38" i="99"/>
  <c r="T38" i="99"/>
  <c r="R38" i="99"/>
  <c r="S38" i="99" s="1"/>
  <c r="T37" i="99"/>
  <c r="Q37" i="99"/>
  <c r="R37" i="99" s="1"/>
  <c r="S37" i="99" s="1"/>
  <c r="T36" i="99"/>
  <c r="R36" i="99"/>
  <c r="S36" i="99" s="1"/>
  <c r="T35" i="99"/>
  <c r="Q35" i="99"/>
  <c r="Q34" i="99"/>
  <c r="R34" i="99"/>
  <c r="T34" i="99"/>
  <c r="S34" i="99"/>
  <c r="Q33" i="99"/>
  <c r="T33" i="99"/>
  <c r="R33" i="99"/>
  <c r="S33" i="99" s="1"/>
  <c r="T32" i="99"/>
  <c r="Q32" i="99"/>
  <c r="T31" i="99"/>
  <c r="Q31" i="99"/>
  <c r="Q30" i="99"/>
  <c r="R30" i="99" s="1"/>
  <c r="S30" i="99" s="1"/>
  <c r="T30" i="99"/>
  <c r="Q29" i="99"/>
  <c r="T29" i="99"/>
  <c r="T28" i="99"/>
  <c r="Q28" i="99"/>
  <c r="S28" i="99" s="1"/>
  <c r="R28" i="99"/>
  <c r="T27" i="99"/>
  <c r="Q27" i="99"/>
  <c r="R27" i="99" s="1"/>
  <c r="S27" i="99"/>
  <c r="Q26" i="99"/>
  <c r="T26" i="99"/>
  <c r="R26" i="99"/>
  <c r="S26" i="99" s="1"/>
  <c r="T25" i="99"/>
  <c r="Q25" i="99"/>
  <c r="R25" i="99"/>
  <c r="S25" i="99" s="1"/>
  <c r="T24" i="99"/>
  <c r="R24" i="99"/>
  <c r="S24" i="99" s="1"/>
  <c r="T23" i="99"/>
  <c r="Q23" i="99"/>
  <c r="T22" i="99"/>
  <c r="Q22" i="99"/>
  <c r="Q21" i="99"/>
  <c r="R21" i="99" s="1"/>
  <c r="S21" i="99" s="1"/>
  <c r="T21" i="99"/>
  <c r="Q20" i="99"/>
  <c r="R20" i="99"/>
  <c r="S20" i="99"/>
  <c r="T20" i="99"/>
  <c r="T19" i="99"/>
  <c r="Q19" i="99"/>
  <c r="Q18" i="99"/>
  <c r="R18" i="99"/>
  <c r="S18" i="99"/>
  <c r="T18" i="99"/>
  <c r="Q17" i="99"/>
  <c r="R17" i="99" s="1"/>
  <c r="S17" i="99" s="1"/>
  <c r="T17" i="99"/>
  <c r="T16" i="99"/>
  <c r="Q16" i="99"/>
  <c r="S16" i="99" s="1"/>
  <c r="R16" i="99"/>
  <c r="T15" i="99"/>
  <c r="Q15" i="99"/>
  <c r="R15" i="99" s="1"/>
  <c r="S15" i="99" s="1"/>
  <c r="T14" i="99"/>
  <c r="Q14" i="99"/>
  <c r="S14" i="99" s="1"/>
  <c r="R14" i="99"/>
  <c r="Q13" i="99"/>
  <c r="T13" i="99"/>
  <c r="R13" i="99"/>
  <c r="S13" i="99" s="1"/>
  <c r="Q12" i="99"/>
  <c r="T12" i="99"/>
  <c r="Q11" i="99"/>
  <c r="T11" i="99"/>
  <c r="R11" i="99"/>
  <c r="S11" i="99" s="1"/>
  <c r="Q10" i="99"/>
  <c r="R10" i="99"/>
  <c r="S10" i="99"/>
  <c r="T10" i="99"/>
  <c r="T9" i="99"/>
  <c r="R9" i="99"/>
  <c r="S9" i="99"/>
  <c r="T8" i="99"/>
  <c r="Q8" i="99"/>
  <c r="R8" i="99" s="1"/>
  <c r="S8" i="99" s="1"/>
  <c r="T7" i="99"/>
  <c r="Q7" i="99"/>
  <c r="Q6" i="99"/>
  <c r="R6" i="99"/>
  <c r="T6" i="99"/>
  <c r="S6" i="99"/>
  <c r="Q5" i="99"/>
  <c r="R5" i="99"/>
  <c r="T5" i="99"/>
  <c r="S5" i="99"/>
  <c r="T4" i="99"/>
  <c r="Q4" i="99"/>
  <c r="T3" i="99"/>
  <c r="Q3" i="99"/>
  <c r="S3" i="99" s="1"/>
  <c r="R3" i="99"/>
  <c r="T2" i="99"/>
  <c r="B28" i="59" s="1"/>
  <c r="D28" i="59" s="1"/>
  <c r="Q2" i="99"/>
  <c r="D138" i="59"/>
  <c r="F138" i="59" s="1"/>
  <c r="G138" i="59"/>
  <c r="G137" i="59"/>
  <c r="D137" i="59"/>
  <c r="F137" i="59" s="1"/>
  <c r="G136" i="59"/>
  <c r="D136" i="59"/>
  <c r="F136" i="59" s="1"/>
  <c r="G135" i="59"/>
  <c r="D135" i="59"/>
  <c r="F135" i="59" s="1"/>
  <c r="G134" i="59"/>
  <c r="D134" i="59"/>
  <c r="F134" i="59" s="1"/>
  <c r="D133" i="59"/>
  <c r="F133" i="59" s="1"/>
  <c r="G133" i="59"/>
  <c r="D132" i="59"/>
  <c r="F132" i="59" s="1"/>
  <c r="G132" i="59"/>
  <c r="G120" i="59"/>
  <c r="D120" i="59"/>
  <c r="F120" i="59" s="1"/>
  <c r="D119" i="59"/>
  <c r="F119" i="59" s="1"/>
  <c r="G119" i="59"/>
  <c r="G118" i="59"/>
  <c r="D118" i="59"/>
  <c r="F118" i="59" s="1"/>
  <c r="D117" i="59"/>
  <c r="F117" i="59" s="1"/>
  <c r="G117" i="59"/>
  <c r="D116" i="59"/>
  <c r="F116" i="59" s="1"/>
  <c r="G116" i="59"/>
  <c r="D115" i="59"/>
  <c r="F115" i="59" s="1"/>
  <c r="G115" i="59"/>
  <c r="G114" i="59"/>
  <c r="D114" i="59"/>
  <c r="F114" i="59" s="1"/>
  <c r="G113" i="59"/>
  <c r="D113" i="59"/>
  <c r="F113" i="59" s="1"/>
  <c r="D112" i="59"/>
  <c r="F112" i="59" s="1"/>
  <c r="G112" i="59"/>
  <c r="J84" i="59"/>
  <c r="M84" i="59" s="1"/>
  <c r="B89" i="59"/>
  <c r="J80" i="59"/>
  <c r="J89" i="59" s="1"/>
  <c r="B77" i="59"/>
  <c r="J68" i="59"/>
  <c r="J77" i="59" s="1"/>
  <c r="D26" i="59"/>
  <c r="F26" i="59" s="1"/>
  <c r="G26" i="59"/>
  <c r="H26" i="59" s="1"/>
  <c r="G25" i="59"/>
  <c r="H25" i="59" s="1"/>
  <c r="D25" i="59"/>
  <c r="F25" i="59" s="1"/>
  <c r="D24" i="59"/>
  <c r="F24" i="59" s="1"/>
  <c r="G24" i="59"/>
  <c r="H24" i="59" s="1"/>
  <c r="G23" i="59"/>
  <c r="H23" i="59" s="1"/>
  <c r="D23" i="59"/>
  <c r="F23" i="59" s="1"/>
  <c r="G22" i="59"/>
  <c r="H22" i="59" s="1"/>
  <c r="D22" i="59"/>
  <c r="F22" i="59" s="1"/>
  <c r="D21" i="59"/>
  <c r="F21" i="59" s="1"/>
  <c r="G21" i="59"/>
  <c r="H21" i="59" s="1"/>
  <c r="G20" i="59"/>
  <c r="H20" i="59" s="1"/>
  <c r="D20" i="59"/>
  <c r="F20" i="59" s="1"/>
  <c r="D19" i="59"/>
  <c r="F19" i="59" s="1"/>
  <c r="G19" i="59"/>
  <c r="H19" i="59" s="1"/>
  <c r="G18" i="59"/>
  <c r="H18" i="59" s="1"/>
  <c r="D18" i="59"/>
  <c r="F18" i="59" s="1"/>
  <c r="D17" i="59"/>
  <c r="F17" i="59" s="1"/>
  <c r="G17" i="59"/>
  <c r="H17" i="59" s="1"/>
  <c r="H120" i="59"/>
  <c r="H132" i="59"/>
  <c r="H118" i="59"/>
  <c r="H133" i="59"/>
  <c r="H113" i="59"/>
  <c r="H117" i="59"/>
  <c r="H134" i="59"/>
  <c r="H119" i="59"/>
  <c r="B139" i="59"/>
  <c r="H115" i="59"/>
  <c r="H138" i="59"/>
  <c r="H136" i="59"/>
  <c r="B109" i="59"/>
  <c r="D109" i="59" s="1"/>
  <c r="H137" i="59"/>
  <c r="H135" i="59"/>
  <c r="H112" i="59"/>
  <c r="H114" i="59"/>
  <c r="H116" i="59"/>
  <c r="C71" i="85" a="1"/>
  <c r="C64" i="85" a="1"/>
  <c r="C65" i="85" a="1"/>
  <c r="C70" i="85" a="1"/>
  <c r="C66" i="85" a="1"/>
  <c r="C67" i="85" a="1"/>
  <c r="C69" i="85" a="1"/>
  <c r="C68" i="85" a="1"/>
  <c r="E37" i="101"/>
  <c r="T27" i="93"/>
  <c r="D10" i="13"/>
  <c r="D9" i="13"/>
  <c r="C133" i="13"/>
  <c r="F73" i="13"/>
  <c r="F72" i="13"/>
  <c r="F71" i="13"/>
  <c r="B39" i="13"/>
  <c r="D15" i="13"/>
  <c r="D14" i="13"/>
  <c r="D8" i="13"/>
  <c r="D11" i="13"/>
  <c r="D13" i="13"/>
  <c r="F69" i="13"/>
  <c r="B5" i="13"/>
  <c r="F70" i="13"/>
  <c r="F74" i="13"/>
  <c r="D12" i="13"/>
  <c r="C11" i="13"/>
  <c r="C10" i="13"/>
  <c r="C8" i="13"/>
  <c r="B133" i="13"/>
  <c r="C13" i="13"/>
  <c r="C12" i="13"/>
  <c r="C14" i="13"/>
  <c r="C9" i="13"/>
  <c r="K9" i="13" s="1"/>
  <c r="L9" i="13" s="1"/>
  <c r="B4" i="13"/>
  <c r="C15" i="13"/>
  <c r="K15" i="13" s="1"/>
  <c r="L15" i="13" s="1"/>
  <c r="T26" i="93"/>
  <c r="C69" i="13"/>
  <c r="E38" i="101"/>
  <c r="B38" i="13"/>
  <c r="C74" i="13"/>
  <c r="C70" i="13"/>
  <c r="C73" i="13"/>
  <c r="C72" i="13"/>
  <c r="C71" i="13"/>
  <c r="U5754" i="98"/>
  <c r="B127" i="13" a="1"/>
  <c r="C128" i="13" a="1"/>
  <c r="B130" i="13" a="1"/>
  <c r="B129" i="13" a="1"/>
  <c r="C127" i="13" a="1"/>
  <c r="C129" i="13" a="1"/>
  <c r="C130" i="13" a="1"/>
  <c r="B128" i="13" a="1"/>
  <c r="F83" i="13"/>
  <c r="F85" i="13"/>
  <c r="E90" i="13"/>
  <c r="F91" i="13"/>
  <c r="F93" i="13"/>
  <c r="E95" i="13"/>
  <c r="E100" i="13"/>
  <c r="F101" i="13"/>
  <c r="F103" i="13"/>
  <c r="F105" i="13"/>
  <c r="F106" i="13"/>
  <c r="F111" i="13"/>
  <c r="E113" i="13"/>
  <c r="E115" i="13"/>
  <c r="F116" i="13"/>
  <c r="E118" i="13"/>
  <c r="C39" i="13"/>
  <c r="D39" i="13" s="1"/>
  <c r="D47" i="13"/>
  <c r="C49" i="13"/>
  <c r="D50" i="13"/>
  <c r="C52" i="13"/>
  <c r="C53" i="13"/>
  <c r="C54" i="13"/>
  <c r="G70" i="13"/>
  <c r="D71" i="13"/>
  <c r="G71" i="13"/>
  <c r="D72" i="13"/>
  <c r="G72" i="13"/>
  <c r="G74" i="13"/>
  <c r="H74" i="13" s="1"/>
  <c r="F79" i="13"/>
  <c r="F80" i="13"/>
  <c r="E82" i="13"/>
  <c r="E83" i="13"/>
  <c r="E85" i="13"/>
  <c r="F89" i="13"/>
  <c r="E91" i="13"/>
  <c r="E93" i="13"/>
  <c r="F94" i="13"/>
  <c r="F96" i="13"/>
  <c r="E101" i="13"/>
  <c r="E103" i="13"/>
  <c r="F104" i="13"/>
  <c r="E107" i="13"/>
  <c r="E112" i="13"/>
  <c r="F113" i="13"/>
  <c r="E116" i="13"/>
  <c r="C38" i="13"/>
  <c r="D38" i="13" s="1"/>
  <c r="C47" i="13"/>
  <c r="D48" i="13"/>
  <c r="C50" i="13"/>
  <c r="C51" i="13"/>
  <c r="D52" i="13"/>
  <c r="D53" i="13"/>
  <c r="D54" i="13"/>
  <c r="G73" i="13"/>
  <c r="H73" i="13" s="1"/>
  <c r="D74" i="13"/>
  <c r="E74" i="13" s="1"/>
  <c r="F78" i="13"/>
  <c r="E81" i="13"/>
  <c r="E84" i="13"/>
  <c r="E92" i="13"/>
  <c r="F95" i="13"/>
  <c r="E102" i="13"/>
  <c r="E105" i="13"/>
  <c r="E111" i="13"/>
  <c r="F114" i="13"/>
  <c r="F117" i="13"/>
  <c r="E38" i="13"/>
  <c r="E39" i="13"/>
  <c r="C48" i="13"/>
  <c r="E48" i="13" s="1"/>
  <c r="D49" i="13"/>
  <c r="F49" i="13" s="1"/>
  <c r="D51" i="13"/>
  <c r="F51" i="13" s="1"/>
  <c r="D69" i="13"/>
  <c r="G69" i="13"/>
  <c r="D70" i="13"/>
  <c r="D73" i="13"/>
  <c r="E73" i="13" s="1"/>
  <c r="E78" i="13"/>
  <c r="E79" i="13"/>
  <c r="E80" i="13"/>
  <c r="F81" i="13"/>
  <c r="F82" i="13"/>
  <c r="F84" i="13"/>
  <c r="E89" i="13"/>
  <c r="F90" i="13"/>
  <c r="F92" i="13"/>
  <c r="E94" i="13"/>
  <c r="E96" i="13"/>
  <c r="F100" i="13"/>
  <c r="F102" i="13"/>
  <c r="E104" i="13"/>
  <c r="E106" i="13"/>
  <c r="F107" i="13"/>
  <c r="F112" i="13"/>
  <c r="E114" i="13"/>
  <c r="F115" i="13"/>
  <c r="E117" i="13"/>
  <c r="F118" i="13"/>
  <c r="G37" i="89"/>
  <c r="E37" i="89"/>
  <c r="C37" i="89"/>
  <c r="G15" i="89"/>
  <c r="E15" i="89"/>
  <c r="C15" i="89"/>
  <c r="N72" i="59"/>
  <c r="U25" i="93" l="1"/>
  <c r="U24" i="93"/>
  <c r="U23" i="93"/>
  <c r="U22" i="93"/>
  <c r="U21" i="93"/>
  <c r="U20" i="93"/>
  <c r="U19" i="93"/>
  <c r="U18" i="93"/>
  <c r="U17" i="93"/>
  <c r="U16" i="93"/>
  <c r="U15" i="93"/>
  <c r="U14" i="93"/>
  <c r="U13" i="93"/>
  <c r="U12" i="93"/>
  <c r="U11" i="93"/>
  <c r="U10" i="93"/>
  <c r="U9" i="93"/>
  <c r="E43" i="93" a="1"/>
  <c r="E47" i="93" a="1"/>
  <c r="J28" i="93"/>
  <c r="E41" i="93" a="1"/>
  <c r="E44" i="93" a="1"/>
  <c r="E48" i="93" a="1"/>
  <c r="E49" i="93" a="1"/>
  <c r="E35" i="93"/>
  <c r="E36" i="93" s="1"/>
  <c r="E42" i="93" a="1"/>
  <c r="E45" i="93" a="1"/>
  <c r="E46" i="93" a="1"/>
  <c r="F97" i="59"/>
  <c r="F100" i="59"/>
  <c r="F95" i="59"/>
  <c r="F93" i="59"/>
  <c r="F94" i="59"/>
  <c r="F96" i="59"/>
  <c r="F98" i="59"/>
  <c r="F99" i="59"/>
  <c r="F101" i="59"/>
  <c r="F102" i="59"/>
  <c r="F103" i="59"/>
  <c r="F104" i="59"/>
  <c r="F105" i="59"/>
  <c r="C60" i="59"/>
  <c r="E60" i="59" s="1"/>
  <c r="E94" i="59"/>
  <c r="G94" i="59" s="1"/>
  <c r="E95" i="59"/>
  <c r="G95" i="59" s="1"/>
  <c r="E96" i="59"/>
  <c r="G96" i="59" s="1"/>
  <c r="E98" i="59"/>
  <c r="G98" i="59" s="1"/>
  <c r="E99" i="59"/>
  <c r="G99" i="59" s="1"/>
  <c r="E93" i="59"/>
  <c r="G93" i="59" s="1"/>
  <c r="E97" i="59"/>
  <c r="G97" i="59" s="1"/>
  <c r="E100" i="59"/>
  <c r="G100" i="59" s="1"/>
  <c r="E101" i="59"/>
  <c r="G101" i="59" s="1"/>
  <c r="E102" i="59"/>
  <c r="G102" i="59" s="1"/>
  <c r="E103" i="59"/>
  <c r="G103" i="59" s="1"/>
  <c r="E104" i="59"/>
  <c r="E105" i="59"/>
  <c r="B60" i="59"/>
  <c r="N84" i="59"/>
  <c r="O84" i="59"/>
  <c r="P84" i="59"/>
  <c r="Q84" i="59"/>
  <c r="R84" i="59"/>
  <c r="S84" i="59"/>
  <c r="T84" i="59"/>
  <c r="U84" i="59"/>
  <c r="I120" i="59"/>
  <c r="J120" i="59"/>
  <c r="I132" i="59"/>
  <c r="J132" i="59"/>
  <c r="I118" i="59"/>
  <c r="J118" i="59"/>
  <c r="I133" i="59"/>
  <c r="J133" i="59"/>
  <c r="I113" i="59"/>
  <c r="J113" i="59"/>
  <c r="I117" i="59"/>
  <c r="J117" i="59"/>
  <c r="I134" i="59"/>
  <c r="J134" i="59"/>
  <c r="I119" i="59"/>
  <c r="J119" i="59"/>
  <c r="D139" i="59"/>
  <c r="I115" i="59"/>
  <c r="J115" i="59"/>
  <c r="I138" i="59"/>
  <c r="J138" i="59"/>
  <c r="J136" i="59"/>
  <c r="I136" i="59"/>
  <c r="I137" i="59"/>
  <c r="J137" i="59"/>
  <c r="I135" i="59"/>
  <c r="J135" i="59"/>
  <c r="I112" i="59"/>
  <c r="J112" i="59"/>
  <c r="J114" i="59"/>
  <c r="I114" i="59"/>
  <c r="I116" i="59"/>
  <c r="J116" i="59"/>
  <c r="E130" i="13"/>
  <c r="C132" i="13"/>
  <c r="E127" i="13"/>
  <c r="E129" i="13"/>
  <c r="E128" i="13"/>
  <c r="F9" i="13"/>
  <c r="F10" i="13"/>
  <c r="F14" i="13"/>
  <c r="F8" i="13"/>
  <c r="F11" i="13"/>
  <c r="F12" i="13"/>
  <c r="F13" i="13"/>
  <c r="F15" i="13"/>
  <c r="D128" i="13"/>
  <c r="D130" i="13"/>
  <c r="B132" i="13"/>
  <c r="D127" i="13"/>
  <c r="D129" i="13"/>
  <c r="E15" i="13"/>
  <c r="I15" i="13"/>
  <c r="J15" i="13" s="1"/>
  <c r="E9" i="13"/>
  <c r="I9" i="13"/>
  <c r="J9" i="13" s="1"/>
  <c r="P9" i="13"/>
  <c r="E10" i="13"/>
  <c r="I10" i="13"/>
  <c r="J10" i="13" s="1"/>
  <c r="P10" i="13"/>
  <c r="E14" i="13"/>
  <c r="I14" i="13"/>
  <c r="J14" i="13" s="1"/>
  <c r="P14" i="13"/>
  <c r="E8" i="13"/>
  <c r="I8" i="13"/>
  <c r="J8" i="13" s="1"/>
  <c r="P8" i="13"/>
  <c r="E11" i="13"/>
  <c r="I11" i="13"/>
  <c r="J11" i="13" s="1"/>
  <c r="P11" i="13"/>
  <c r="E12" i="13"/>
  <c r="I12" i="13"/>
  <c r="J12" i="13" s="1"/>
  <c r="P12" i="13"/>
  <c r="E13" i="13"/>
  <c r="I13" i="13"/>
  <c r="J13" i="13" s="1"/>
  <c r="P13" i="13"/>
  <c r="P15" i="13"/>
  <c r="F39" i="13"/>
  <c r="B41" i="13"/>
  <c r="B42" i="13" s="1"/>
  <c r="G90" i="13"/>
  <c r="G95" i="13"/>
  <c r="H70" i="13"/>
  <c r="M89" i="13"/>
  <c r="M94" i="13"/>
  <c r="M96" i="13"/>
  <c r="M95" i="13"/>
  <c r="M90" i="13"/>
  <c r="M92" i="13"/>
  <c r="H92" i="13" s="1"/>
  <c r="M91" i="13"/>
  <c r="H91" i="13" s="1"/>
  <c r="M93" i="13"/>
  <c r="H93" i="13" s="1"/>
  <c r="E71" i="13"/>
  <c r="L104" i="13"/>
  <c r="L100" i="13"/>
  <c r="L102" i="13"/>
  <c r="L107" i="13"/>
  <c r="L101" i="13"/>
  <c r="L103" i="13"/>
  <c r="L105" i="13"/>
  <c r="L106" i="13"/>
  <c r="H71" i="13"/>
  <c r="M104" i="13"/>
  <c r="H104" i="13" s="1"/>
  <c r="M100" i="13"/>
  <c r="H100" i="13" s="1"/>
  <c r="M102" i="13"/>
  <c r="H102" i="13" s="1"/>
  <c r="M107" i="13"/>
  <c r="H107" i="13" s="1"/>
  <c r="M101" i="13"/>
  <c r="H101" i="13" s="1"/>
  <c r="M103" i="13"/>
  <c r="H103" i="13" s="1"/>
  <c r="M105" i="13"/>
  <c r="H105" i="13" s="1"/>
  <c r="M106" i="13"/>
  <c r="H106" i="13" s="1"/>
  <c r="E72" i="13"/>
  <c r="L113" i="13"/>
  <c r="L114" i="13"/>
  <c r="L117" i="13"/>
  <c r="L112" i="13"/>
  <c r="L115" i="13"/>
  <c r="L118" i="13"/>
  <c r="L111" i="13"/>
  <c r="L116" i="13"/>
  <c r="H72" i="13"/>
  <c r="M113" i="13"/>
  <c r="H113" i="13" s="1"/>
  <c r="M114" i="13"/>
  <c r="H114" i="13" s="1"/>
  <c r="M117" i="13"/>
  <c r="H117" i="13" s="1"/>
  <c r="M112" i="13"/>
  <c r="H112" i="13" s="1"/>
  <c r="M115" i="13"/>
  <c r="H115" i="13" s="1"/>
  <c r="M118" i="13"/>
  <c r="H118" i="13" s="1"/>
  <c r="M111" i="13"/>
  <c r="H111" i="13" s="1"/>
  <c r="M116" i="13"/>
  <c r="H116" i="13" s="1"/>
  <c r="G91" i="13"/>
  <c r="I91" i="13" s="1"/>
  <c r="J91" i="13"/>
  <c r="K91" i="13" s="1"/>
  <c r="G93" i="13"/>
  <c r="I93" i="13" s="1"/>
  <c r="J93" i="13"/>
  <c r="K93" i="13" s="1"/>
  <c r="G101" i="13"/>
  <c r="I101" i="13" s="1"/>
  <c r="J101" i="13"/>
  <c r="K101" i="13" s="1"/>
  <c r="G103" i="13"/>
  <c r="I103" i="13" s="1"/>
  <c r="J103" i="13"/>
  <c r="K103" i="13" s="1"/>
  <c r="G107" i="13"/>
  <c r="I107" i="13" s="1"/>
  <c r="J107" i="13"/>
  <c r="K107" i="13" s="1"/>
  <c r="G112" i="13"/>
  <c r="I112" i="13" s="1"/>
  <c r="J112" i="13"/>
  <c r="K112" i="13" s="1"/>
  <c r="G116" i="13"/>
  <c r="I116" i="13" s="1"/>
  <c r="J116" i="13"/>
  <c r="K116" i="13" s="1"/>
  <c r="G92" i="13"/>
  <c r="I92" i="13" s="1"/>
  <c r="J92" i="13"/>
  <c r="K92" i="13" s="1"/>
  <c r="G102" i="13"/>
  <c r="I102" i="13" s="1"/>
  <c r="J102" i="13"/>
  <c r="K102" i="13" s="1"/>
  <c r="G105" i="13"/>
  <c r="I105" i="13" s="1"/>
  <c r="J105" i="13"/>
  <c r="K105" i="13" s="1"/>
  <c r="G111" i="13"/>
  <c r="I111" i="13" s="1"/>
  <c r="J111" i="13"/>
  <c r="K111" i="13" s="1"/>
  <c r="I49" i="13"/>
  <c r="J49" i="13" s="1"/>
  <c r="L49" i="13"/>
  <c r="I51" i="13"/>
  <c r="J51" i="13" s="1"/>
  <c r="L51" i="13"/>
  <c r="I47" i="13"/>
  <c r="J47" i="13" s="1"/>
  <c r="L47" i="13"/>
  <c r="I50" i="13"/>
  <c r="J50" i="13" s="1"/>
  <c r="L50" i="13"/>
  <c r="I48" i="13"/>
  <c r="J48" i="13" s="1"/>
  <c r="L48" i="13"/>
  <c r="I52" i="13"/>
  <c r="J52" i="13" s="1"/>
  <c r="L52" i="13"/>
  <c r="I53" i="13"/>
  <c r="J53" i="13" s="1"/>
  <c r="L53" i="13"/>
  <c r="I54" i="13"/>
  <c r="J54" i="13" s="1"/>
  <c r="L54" i="13"/>
  <c r="G48" i="13"/>
  <c r="H48" i="13"/>
  <c r="M48" i="13"/>
  <c r="E69" i="13"/>
  <c r="L81" i="13"/>
  <c r="L82" i="13"/>
  <c r="L84" i="13"/>
  <c r="L83" i="13"/>
  <c r="L85" i="13"/>
  <c r="L79" i="13"/>
  <c r="L80" i="13"/>
  <c r="L78" i="13"/>
  <c r="H69" i="13"/>
  <c r="M81" i="13"/>
  <c r="H81" i="13" s="1"/>
  <c r="M82" i="13"/>
  <c r="H82" i="13" s="1"/>
  <c r="M84" i="13"/>
  <c r="H84" i="13" s="1"/>
  <c r="M83" i="13"/>
  <c r="H83" i="13" s="1"/>
  <c r="M85" i="13"/>
  <c r="H85" i="13" s="1"/>
  <c r="M79" i="13"/>
  <c r="H79" i="13" s="1"/>
  <c r="M80" i="13"/>
  <c r="H80" i="13" s="1"/>
  <c r="M78" i="13"/>
  <c r="H78" i="13" s="1"/>
  <c r="E70" i="13"/>
  <c r="L90" i="13"/>
  <c r="L92" i="13"/>
  <c r="L91" i="13"/>
  <c r="L93" i="13"/>
  <c r="L89" i="13"/>
  <c r="L94" i="13"/>
  <c r="L96" i="13"/>
  <c r="L95" i="13"/>
  <c r="G89" i="13"/>
  <c r="G94" i="13"/>
  <c r="G96" i="13"/>
  <c r="AA11" i="93"/>
  <c r="AB11" i="93" s="1"/>
  <c r="L36" i="93"/>
  <c r="I36" i="93"/>
  <c r="D36" i="93"/>
  <c r="AA10" i="93"/>
  <c r="AB10" i="93" s="1"/>
  <c r="I50" i="93"/>
  <c r="D50" i="93"/>
  <c r="C50" i="93"/>
  <c r="K12" i="13"/>
  <c r="L12" i="13" s="1"/>
  <c r="E52" i="13"/>
  <c r="E50" i="13"/>
  <c r="F53" i="13"/>
  <c r="F47" i="13"/>
  <c r="E53" i="13"/>
  <c r="E51" i="13"/>
  <c r="K11" i="13"/>
  <c r="L11" i="13" s="1"/>
  <c r="K8" i="13"/>
  <c r="L8" i="13" s="1"/>
  <c r="K13" i="13"/>
  <c r="L13" i="13" s="1"/>
  <c r="F50" i="13"/>
  <c r="F48" i="13"/>
  <c r="F54" i="13"/>
  <c r="K10" i="13"/>
  <c r="L10" i="13" s="1"/>
  <c r="K14" i="13"/>
  <c r="L14" i="13" s="1"/>
  <c r="E49" i="13"/>
  <c r="E54" i="13"/>
  <c r="E47" i="13"/>
  <c r="F52" i="13"/>
  <c r="L28" i="93"/>
  <c r="L18" i="93"/>
  <c r="L27" i="93"/>
  <c r="L11" i="93"/>
  <c r="L26" i="93"/>
  <c r="L25" i="93"/>
  <c r="L24" i="93"/>
  <c r="L23" i="93"/>
  <c r="L22" i="93"/>
  <c r="L21" i="93"/>
  <c r="L20" i="93"/>
  <c r="L19" i="93"/>
  <c r="L10" i="93"/>
  <c r="L17" i="93"/>
  <c r="L16" i="93"/>
  <c r="L15" i="93"/>
  <c r="L14" i="93"/>
  <c r="L13" i="93"/>
  <c r="L12" i="93"/>
  <c r="L9" i="93"/>
  <c r="R486" i="100"/>
  <c r="S486" i="100" s="1"/>
  <c r="R483" i="100"/>
  <c r="S483" i="100"/>
  <c r="R481" i="100"/>
  <c r="S481" i="100" s="1"/>
  <c r="R480" i="100"/>
  <c r="S480" i="100" s="1"/>
  <c r="R476" i="100"/>
  <c r="S476" i="100"/>
  <c r="R475" i="100"/>
  <c r="S475" i="100" s="1"/>
  <c r="R469" i="100"/>
  <c r="S469" i="100" s="1"/>
  <c r="R468" i="100"/>
  <c r="S468" i="100" s="1"/>
  <c r="R465" i="100"/>
  <c r="S465" i="100" s="1"/>
  <c r="R458" i="100"/>
  <c r="S458" i="100"/>
  <c r="R453" i="100"/>
  <c r="S453" i="100"/>
  <c r="R452" i="100"/>
  <c r="S452" i="100"/>
  <c r="R450" i="100"/>
  <c r="S450" i="100" s="1"/>
  <c r="R448" i="100"/>
  <c r="S448" i="100"/>
  <c r="R446" i="100"/>
  <c r="S446" i="100" s="1"/>
  <c r="R440" i="100"/>
  <c r="S440" i="100"/>
  <c r="R435" i="100"/>
  <c r="S435" i="100" s="1"/>
  <c r="R433" i="100"/>
  <c r="S433" i="100"/>
  <c r="R432" i="100"/>
  <c r="S432" i="100" s="1"/>
  <c r="R430" i="100"/>
  <c r="S430" i="100" s="1"/>
  <c r="R427" i="100"/>
  <c r="S427" i="100" s="1"/>
  <c r="R426" i="100"/>
  <c r="S426" i="100"/>
  <c r="R424" i="100"/>
  <c r="S424" i="100"/>
  <c r="R419" i="100"/>
  <c r="S419" i="100"/>
  <c r="R416" i="100"/>
  <c r="S416" i="100"/>
  <c r="R415" i="100"/>
  <c r="S415" i="100" s="1"/>
  <c r="R411" i="100"/>
  <c r="S411" i="100"/>
  <c r="R410" i="100"/>
  <c r="S410" i="100" s="1"/>
  <c r="R409" i="100"/>
  <c r="S409" i="100"/>
  <c r="R406" i="100"/>
  <c r="S406" i="100"/>
  <c r="R405" i="100"/>
  <c r="S405" i="100" s="1"/>
  <c r="R401" i="100"/>
  <c r="S401" i="100" s="1"/>
  <c r="R393" i="100"/>
  <c r="S393" i="100"/>
  <c r="R391" i="100"/>
  <c r="S391" i="100" s="1"/>
  <c r="R389" i="100"/>
  <c r="S389" i="100"/>
  <c r="R385" i="100"/>
  <c r="S385" i="100" s="1"/>
  <c r="R377" i="100"/>
  <c r="S377" i="100"/>
  <c r="R375" i="100"/>
  <c r="S375" i="100"/>
  <c r="R373" i="100"/>
  <c r="S373" i="100" s="1"/>
  <c r="R370" i="100"/>
  <c r="S370" i="100"/>
  <c r="R366" i="100"/>
  <c r="S366" i="100" s="1"/>
  <c r="R359" i="100"/>
  <c r="S359" i="100" s="1"/>
  <c r="R358" i="100"/>
  <c r="S358" i="100"/>
  <c r="R357" i="100"/>
  <c r="S357" i="100" s="1"/>
  <c r="R354" i="100"/>
  <c r="S354" i="100"/>
  <c r="R348" i="100"/>
  <c r="S348" i="100" s="1"/>
  <c r="R347" i="100"/>
  <c r="S347" i="100"/>
  <c r="R346" i="100"/>
  <c r="S346" i="100"/>
  <c r="R342" i="100"/>
  <c r="S342" i="100"/>
  <c r="R339" i="100"/>
  <c r="S339" i="100" s="1"/>
  <c r="R334" i="100"/>
  <c r="S334" i="100" s="1"/>
  <c r="R327" i="100"/>
  <c r="S327" i="100"/>
  <c r="R324" i="100"/>
  <c r="S324" i="100"/>
  <c r="R322" i="100"/>
  <c r="S322" i="100"/>
  <c r="R320" i="100"/>
  <c r="S320" i="100"/>
  <c r="R319" i="100"/>
  <c r="S319" i="100"/>
  <c r="R308" i="100"/>
  <c r="S308" i="100" s="1"/>
  <c r="R303" i="100"/>
  <c r="S303" i="100" s="1"/>
  <c r="R297" i="100"/>
  <c r="S297" i="100"/>
  <c r="R294" i="100"/>
  <c r="S294" i="100" s="1"/>
  <c r="R291" i="100"/>
  <c r="S291" i="100"/>
  <c r="R289" i="100"/>
  <c r="S289" i="100"/>
  <c r="R287" i="100"/>
  <c r="S287" i="100"/>
  <c r="R275" i="100"/>
  <c r="S275" i="100" s="1"/>
  <c r="R269" i="100"/>
  <c r="S269" i="100"/>
  <c r="R267" i="100"/>
  <c r="S267" i="100"/>
  <c r="R263" i="100"/>
  <c r="S263" i="100" s="1"/>
  <c r="R259" i="100"/>
  <c r="S259" i="100"/>
  <c r="R254" i="100"/>
  <c r="S254" i="100" s="1"/>
  <c r="R249" i="100"/>
  <c r="S249" i="100"/>
  <c r="R247" i="100"/>
  <c r="S247" i="100" s="1"/>
  <c r="R246" i="100"/>
  <c r="S246" i="100" s="1"/>
  <c r="R242" i="100"/>
  <c r="S242" i="100" s="1"/>
  <c r="R237" i="100"/>
  <c r="S237" i="100"/>
  <c r="R232" i="100"/>
  <c r="S232" i="100" s="1"/>
  <c r="R224" i="100"/>
  <c r="S224" i="100" s="1"/>
  <c r="R223" i="100"/>
  <c r="S223" i="100" s="1"/>
  <c r="R220" i="100"/>
  <c r="S220" i="100"/>
  <c r="R218" i="100"/>
  <c r="S218" i="100" s="1"/>
  <c r="R215" i="100"/>
  <c r="S215" i="100"/>
  <c r="R211" i="100"/>
  <c r="S211" i="100"/>
  <c r="R210" i="100"/>
  <c r="S210" i="100" s="1"/>
  <c r="R208" i="100"/>
  <c r="S208" i="100"/>
  <c r="R204" i="100"/>
  <c r="S204" i="100"/>
  <c r="R202" i="100"/>
  <c r="S202" i="100"/>
  <c r="R201" i="100"/>
  <c r="S201" i="100"/>
  <c r="R200" i="100"/>
  <c r="S200" i="100" s="1"/>
  <c r="R196" i="100"/>
  <c r="S196" i="100" s="1"/>
  <c r="R194" i="100"/>
  <c r="S194" i="100" s="1"/>
  <c r="R189" i="100"/>
  <c r="S189" i="100"/>
  <c r="R188" i="100"/>
  <c r="S188" i="100" s="1"/>
  <c r="R187" i="100"/>
  <c r="S187" i="100" s="1"/>
  <c r="R184" i="100"/>
  <c r="S184" i="100" s="1"/>
  <c r="R183" i="100"/>
  <c r="S183" i="100" s="1"/>
  <c r="R180" i="100"/>
  <c r="S180" i="100"/>
  <c r="R179" i="100"/>
  <c r="S179" i="100"/>
  <c r="R172" i="100"/>
  <c r="S172" i="100"/>
  <c r="R171" i="100"/>
  <c r="S171" i="100" s="1"/>
  <c r="R167" i="100"/>
  <c r="S167" i="100" s="1"/>
  <c r="R166" i="100"/>
  <c r="S166" i="100" s="1"/>
  <c r="R165" i="100"/>
  <c r="S165" i="100" s="1"/>
  <c r="R164" i="100"/>
  <c r="S164" i="100" s="1"/>
  <c r="R162" i="100"/>
  <c r="S162" i="100" s="1"/>
  <c r="R161" i="100"/>
  <c r="S161" i="100"/>
  <c r="R160" i="100"/>
  <c r="S160" i="100" s="1"/>
  <c r="R158" i="100"/>
  <c r="S158" i="100" s="1"/>
  <c r="R157" i="100"/>
  <c r="S157" i="100" s="1"/>
  <c r="R151" i="100"/>
  <c r="S151" i="100" s="1"/>
  <c r="R148" i="100"/>
  <c r="S148" i="100" s="1"/>
  <c r="R146" i="100"/>
  <c r="S146" i="100"/>
  <c r="R144" i="100"/>
  <c r="S144" i="100"/>
  <c r="R140" i="100"/>
  <c r="S140" i="100"/>
  <c r="R137" i="100"/>
  <c r="S137" i="100" s="1"/>
  <c r="R135" i="100"/>
  <c r="S135" i="100"/>
  <c r="R134" i="100"/>
  <c r="S134" i="100"/>
  <c r="R131" i="100"/>
  <c r="S131" i="100" s="1"/>
  <c r="R130" i="100"/>
  <c r="S130" i="100" s="1"/>
  <c r="R128" i="100"/>
  <c r="S128" i="100"/>
  <c r="R124" i="100"/>
  <c r="S124" i="100"/>
  <c r="R122" i="100"/>
  <c r="S122" i="100" s="1"/>
  <c r="R115" i="100"/>
  <c r="S115" i="100"/>
  <c r="R112" i="100"/>
  <c r="S112" i="100" s="1"/>
  <c r="R106" i="100"/>
  <c r="S106" i="100"/>
  <c r="R103" i="100"/>
  <c r="S103" i="100" s="1"/>
  <c r="R102" i="100"/>
  <c r="S102" i="100"/>
  <c r="R98" i="100"/>
  <c r="S98" i="100"/>
  <c r="R86" i="100"/>
  <c r="S86" i="100"/>
  <c r="R85" i="100"/>
  <c r="S85" i="100"/>
  <c r="R84" i="100"/>
  <c r="S84" i="100"/>
  <c r="R81" i="100"/>
  <c r="S81" i="100" s="1"/>
  <c r="R80" i="100"/>
  <c r="S80" i="100"/>
  <c r="R79" i="100"/>
  <c r="S79" i="100"/>
  <c r="R78" i="100"/>
  <c r="S78" i="100" s="1"/>
  <c r="R70" i="100"/>
  <c r="S70" i="100"/>
  <c r="R62" i="100"/>
  <c r="S62" i="100" s="1"/>
  <c r="R61" i="100"/>
  <c r="S61" i="100" s="1"/>
  <c r="R59" i="100"/>
  <c r="S59" i="100" s="1"/>
  <c r="R54" i="100"/>
  <c r="S54" i="100" s="1"/>
  <c r="R43" i="100"/>
  <c r="S43" i="100" s="1"/>
  <c r="R41" i="100"/>
  <c r="S41" i="100" s="1"/>
  <c r="R40" i="100"/>
  <c r="S40" i="100"/>
  <c r="R38" i="100"/>
  <c r="S38" i="100"/>
  <c r="R37" i="100"/>
  <c r="S37" i="100" s="1"/>
  <c r="R36" i="100"/>
  <c r="S36" i="100"/>
  <c r="R35" i="100"/>
  <c r="S35" i="100"/>
  <c r="R34" i="100"/>
  <c r="S34" i="100"/>
  <c r="R31" i="100"/>
  <c r="S31" i="100"/>
  <c r="R30" i="100"/>
  <c r="S30" i="100" s="1"/>
  <c r="R29" i="100"/>
  <c r="S29" i="100" s="1"/>
  <c r="R27" i="100"/>
  <c r="S27" i="100" s="1"/>
  <c r="R23" i="100"/>
  <c r="S23" i="100" s="1"/>
  <c r="R18" i="100"/>
  <c r="S18" i="100" s="1"/>
  <c r="R15" i="100"/>
  <c r="S15" i="100"/>
  <c r="R14" i="100"/>
  <c r="S14" i="100"/>
  <c r="R13" i="100"/>
  <c r="S13" i="100"/>
  <c r="R10" i="100"/>
  <c r="S10" i="100" s="1"/>
  <c r="R281" i="99"/>
  <c r="S281" i="99"/>
  <c r="R278" i="99"/>
  <c r="S278" i="99"/>
  <c r="R273" i="99"/>
  <c r="S273" i="99" s="1"/>
  <c r="R267" i="99"/>
  <c r="S267" i="99" s="1"/>
  <c r="R264" i="99"/>
  <c r="S264" i="99" s="1"/>
  <c r="R261" i="99"/>
  <c r="S261" i="99" s="1"/>
  <c r="R260" i="99"/>
  <c r="S260" i="99" s="1"/>
  <c r="R259" i="99"/>
  <c r="S259" i="99" s="1"/>
  <c r="R258" i="99"/>
  <c r="S258" i="99" s="1"/>
  <c r="R255" i="99"/>
  <c r="S255" i="99" s="1"/>
  <c r="R254" i="99"/>
  <c r="S254" i="99" s="1"/>
  <c r="R252" i="99"/>
  <c r="S252" i="99" s="1"/>
  <c r="R244" i="99"/>
  <c r="S244" i="99"/>
  <c r="R242" i="99"/>
  <c r="S242" i="99" s="1"/>
  <c r="R241" i="99"/>
  <c r="S241" i="99" s="1"/>
  <c r="R235" i="99"/>
  <c r="S235" i="99"/>
  <c r="R234" i="99"/>
  <c r="S234" i="99"/>
  <c r="R232" i="99"/>
  <c r="S232" i="99"/>
  <c r="R230" i="99"/>
  <c r="S230" i="99"/>
  <c r="R228" i="99"/>
  <c r="S228" i="99" s="1"/>
  <c r="R223" i="99"/>
  <c r="S223" i="99" s="1"/>
  <c r="R213" i="99"/>
  <c r="S213" i="99"/>
  <c r="R209" i="99"/>
  <c r="S209" i="99" s="1"/>
  <c r="R208" i="99"/>
  <c r="S208" i="99"/>
  <c r="R206" i="99"/>
  <c r="S206" i="99"/>
  <c r="R205" i="99"/>
  <c r="S205" i="99" s="1"/>
  <c r="R202" i="99"/>
  <c r="S202" i="99"/>
  <c r="R200" i="99"/>
  <c r="S200" i="99" s="1"/>
  <c r="R194" i="99"/>
  <c r="S194" i="99" s="1"/>
  <c r="R193" i="99"/>
  <c r="S193" i="99" s="1"/>
  <c r="R191" i="99"/>
  <c r="S191" i="99" s="1"/>
  <c r="R190" i="99"/>
  <c r="S190" i="99"/>
  <c r="R187" i="99"/>
  <c r="S187" i="99"/>
  <c r="R184" i="99"/>
  <c r="S184" i="99" s="1"/>
  <c r="R183" i="99"/>
  <c r="S183" i="99" s="1"/>
  <c r="R181" i="99"/>
  <c r="S181" i="99" s="1"/>
  <c r="R177" i="99"/>
  <c r="S177" i="99" s="1"/>
  <c r="R176" i="99"/>
  <c r="S176" i="99"/>
  <c r="R174" i="99"/>
  <c r="S174" i="99" s="1"/>
  <c r="R170" i="99"/>
  <c r="S170" i="99"/>
  <c r="R164" i="99"/>
  <c r="S164" i="99"/>
  <c r="R161" i="99"/>
  <c r="S161" i="99"/>
  <c r="R154" i="99"/>
  <c r="S154" i="99"/>
  <c r="R152" i="99"/>
  <c r="S152" i="99"/>
  <c r="R142" i="99"/>
  <c r="S142" i="99"/>
  <c r="R139" i="99"/>
  <c r="S139" i="99" s="1"/>
  <c r="R136" i="99"/>
  <c r="S136" i="99" s="1"/>
  <c r="R134" i="99"/>
  <c r="S134" i="99" s="1"/>
  <c r="R131" i="99"/>
  <c r="S131" i="99" s="1"/>
  <c r="R128" i="99"/>
  <c r="S128" i="99"/>
  <c r="R125" i="99"/>
  <c r="S125" i="99" s="1"/>
  <c r="R117" i="99"/>
  <c r="S117" i="99" s="1"/>
  <c r="R108" i="99"/>
  <c r="S108" i="99" s="1"/>
  <c r="R106" i="99"/>
  <c r="S106" i="99"/>
  <c r="R103" i="99"/>
  <c r="S103" i="99"/>
  <c r="R99" i="99"/>
  <c r="S99" i="99"/>
  <c r="R97" i="99"/>
  <c r="S97" i="99"/>
  <c r="R96" i="99"/>
  <c r="S96" i="99"/>
  <c r="R91" i="99"/>
  <c r="S91" i="99" s="1"/>
  <c r="R89" i="99"/>
  <c r="S89" i="99"/>
  <c r="R88" i="99"/>
  <c r="S88" i="99" s="1"/>
  <c r="R86" i="99"/>
  <c r="S86" i="99"/>
  <c r="R85" i="99"/>
  <c r="S85" i="99" s="1"/>
  <c r="R81" i="99"/>
  <c r="S81" i="99" s="1"/>
  <c r="R78" i="99"/>
  <c r="S78" i="99"/>
  <c r="R75" i="99"/>
  <c r="S75" i="99" s="1"/>
  <c r="R74" i="99"/>
  <c r="S74" i="99" s="1"/>
  <c r="R71" i="99"/>
  <c r="S71" i="99" s="1"/>
  <c r="R70" i="99"/>
  <c r="S70" i="99" s="1"/>
  <c r="R66" i="99"/>
  <c r="S66" i="99" s="1"/>
  <c r="R63" i="99"/>
  <c r="S63" i="99" s="1"/>
  <c r="R61" i="99"/>
  <c r="S61" i="99" s="1"/>
  <c r="R58" i="99"/>
  <c r="S58" i="99" s="1"/>
  <c r="R57" i="99"/>
  <c r="S57" i="99" s="1"/>
  <c r="R55" i="99"/>
  <c r="S55" i="99" s="1"/>
  <c r="R48" i="99"/>
  <c r="S48" i="99"/>
  <c r="R47" i="99"/>
  <c r="S47" i="99" s="1"/>
  <c r="R46" i="99"/>
  <c r="S46" i="99" s="1"/>
  <c r="R42" i="99"/>
  <c r="S42" i="99" s="1"/>
  <c r="R35" i="99"/>
  <c r="S35" i="99" s="1"/>
  <c r="R32" i="99"/>
  <c r="S32" i="99" s="1"/>
  <c r="R31" i="99"/>
  <c r="S31" i="99" s="1"/>
  <c r="R29" i="99"/>
  <c r="S29" i="99" s="1"/>
  <c r="R23" i="99"/>
  <c r="S23" i="99" s="1"/>
  <c r="R22" i="99"/>
  <c r="S22" i="99" s="1"/>
  <c r="R19" i="99"/>
  <c r="S19" i="99" s="1"/>
  <c r="R12" i="99"/>
  <c r="S12" i="99" s="1"/>
  <c r="R7" i="99"/>
  <c r="S7" i="99" s="1"/>
  <c r="R4" i="99"/>
  <c r="S4" i="99" s="1"/>
  <c r="B61" i="59" s="1"/>
  <c r="R2" i="99"/>
  <c r="B62" i="59" s="1"/>
  <c r="S2" i="99"/>
  <c r="D64" i="85" a="1"/>
  <c r="E64" i="85" s="1"/>
  <c r="B10" i="85" s="1"/>
  <c r="D65" i="85" a="1"/>
  <c r="E65" i="85" s="1"/>
  <c r="B11" i="85" s="1"/>
  <c r="D70" i="85" a="1"/>
  <c r="E70" i="85" s="1"/>
  <c r="B16" i="85" s="1"/>
  <c r="D71" i="85" a="1"/>
  <c r="E71" i="85" s="1"/>
  <c r="B17" i="85" s="1"/>
  <c r="D66" i="85" a="1"/>
  <c r="E66" i="85" s="1"/>
  <c r="B12" i="85" s="1"/>
  <c r="D69" i="85" a="1"/>
  <c r="E69" i="85" s="1"/>
  <c r="B15" i="85" s="1"/>
  <c r="D68" i="85" a="1"/>
  <c r="E68" i="85" s="1"/>
  <c r="B14" i="85" s="1"/>
  <c r="D67" i="85" a="1"/>
  <c r="E67" i="85" s="1"/>
  <c r="B13" i="85" s="1"/>
  <c r="Y28" i="93"/>
  <c r="AA28" i="93" s="1"/>
  <c r="AB28" i="93" s="1"/>
  <c r="K35" i="93"/>
  <c r="N35" i="93" s="1"/>
  <c r="R27" i="93"/>
  <c r="J35" i="93" s="1"/>
  <c r="M35" i="93" s="1"/>
  <c r="Y27" i="93"/>
  <c r="AA27" i="93" s="1"/>
  <c r="AB27" i="93" s="1"/>
  <c r="K43" i="93" a="1"/>
  <c r="N43" i="93" s="1"/>
  <c r="T28" i="93"/>
  <c r="K48" i="93" a="1"/>
  <c r="N48" i="93" s="1"/>
  <c r="K42" i="93" a="1"/>
  <c r="N42" i="93" s="1"/>
  <c r="K49" i="93" a="1"/>
  <c r="N49" i="93" s="1"/>
  <c r="K45" i="93" a="1"/>
  <c r="N45" i="93" s="1"/>
  <c r="K47" i="93" a="1"/>
  <c r="N47" i="93" s="1"/>
  <c r="K41" i="93" a="1"/>
  <c r="K44" i="93" a="1"/>
  <c r="N44" i="93" s="1"/>
  <c r="K34" i="93"/>
  <c r="R26" i="93"/>
  <c r="K46" i="93" a="1"/>
  <c r="N46" i="93" s="1"/>
  <c r="D60" i="59" l="1"/>
  <c r="F60" i="59" s="1"/>
  <c r="G60" i="59"/>
  <c r="H60" i="59" s="1"/>
  <c r="H9" i="13"/>
  <c r="M9" i="13"/>
  <c r="H10" i="13"/>
  <c r="M10" i="13"/>
  <c r="H14" i="13"/>
  <c r="M14" i="13"/>
  <c r="H8" i="13"/>
  <c r="M8" i="13"/>
  <c r="H11" i="13"/>
  <c r="M11" i="13"/>
  <c r="H12" i="13"/>
  <c r="M12" i="13"/>
  <c r="H13" i="13"/>
  <c r="M13" i="13"/>
  <c r="H15" i="13"/>
  <c r="M15" i="13"/>
  <c r="N15" i="13" s="1"/>
  <c r="G15" i="13"/>
  <c r="Q15" i="13"/>
  <c r="G9" i="13"/>
  <c r="Q9" i="13"/>
  <c r="G10" i="13"/>
  <c r="Q10" i="13"/>
  <c r="G14" i="13"/>
  <c r="Q14" i="13"/>
  <c r="G8" i="13"/>
  <c r="Q8" i="13"/>
  <c r="G11" i="13"/>
  <c r="Q11" i="13"/>
  <c r="G12" i="13"/>
  <c r="Q12" i="13"/>
  <c r="G13" i="13"/>
  <c r="Q13" i="13"/>
  <c r="X50" i="93"/>
  <c r="X48" i="93"/>
  <c r="X46" i="93"/>
  <c r="X42" i="93"/>
  <c r="X41" i="93"/>
  <c r="X40" i="93"/>
  <c r="X39" i="93"/>
  <c r="X38" i="93"/>
  <c r="X37" i="93"/>
  <c r="X36" i="93"/>
  <c r="X33" i="93"/>
  <c r="X49" i="93"/>
  <c r="X47" i="93"/>
  <c r="X45" i="93"/>
  <c r="X43" i="93"/>
  <c r="X32" i="93"/>
  <c r="X44" i="93"/>
  <c r="X35" i="93"/>
  <c r="X34" i="93"/>
  <c r="M52" i="13"/>
  <c r="H52" i="13"/>
  <c r="G52" i="13"/>
  <c r="M50" i="13"/>
  <c r="H50" i="13"/>
  <c r="G50" i="13"/>
  <c r="M53" i="13"/>
  <c r="H53" i="13"/>
  <c r="G53" i="13"/>
  <c r="M51" i="13"/>
  <c r="H51" i="13"/>
  <c r="G51" i="13"/>
  <c r="M49" i="13"/>
  <c r="H49" i="13"/>
  <c r="G49" i="13"/>
  <c r="M54" i="13"/>
  <c r="H54" i="13"/>
  <c r="G54" i="13"/>
  <c r="M47" i="13"/>
  <c r="H47" i="13"/>
  <c r="G47" i="13"/>
  <c r="D62" i="59"/>
  <c r="D61" i="59"/>
  <c r="U27" i="93"/>
  <c r="K50" i="93"/>
  <c r="N50" i="93" s="1"/>
  <c r="N41" i="93"/>
  <c r="N34" i="93"/>
  <c r="K36" i="93"/>
  <c r="N36" i="93" s="1"/>
  <c r="U26" i="93"/>
  <c r="E50" i="93"/>
  <c r="G104" i="59"/>
  <c r="G105" i="59"/>
  <c r="C62" i="59"/>
  <c r="H89" i="13"/>
  <c r="I89" i="13" s="1"/>
  <c r="J89" i="13"/>
  <c r="K89" i="13" s="1"/>
  <c r="H94" i="13"/>
  <c r="I94" i="13" s="1"/>
  <c r="J94" i="13"/>
  <c r="K94" i="13" s="1"/>
  <c r="H96" i="13"/>
  <c r="I96" i="13" s="1"/>
  <c r="J96" i="13"/>
  <c r="K96" i="13" s="1"/>
  <c r="H95" i="13"/>
  <c r="I95" i="13" s="1"/>
  <c r="J95" i="13"/>
  <c r="K95" i="13" s="1"/>
  <c r="H90" i="13"/>
  <c r="I90" i="13" s="1"/>
  <c r="J90" i="13"/>
  <c r="K90" i="13" s="1"/>
  <c r="J104" i="13"/>
  <c r="K104" i="13" s="1"/>
  <c r="G104" i="13"/>
  <c r="I104" i="13" s="1"/>
  <c r="J100" i="13"/>
  <c r="K100" i="13" s="1"/>
  <c r="G100" i="13"/>
  <c r="I100" i="13" s="1"/>
  <c r="G106" i="13"/>
  <c r="I106" i="13" s="1"/>
  <c r="J106" i="13"/>
  <c r="K106" i="13" s="1"/>
  <c r="J113" i="13"/>
  <c r="K113" i="13" s="1"/>
  <c r="G113" i="13"/>
  <c r="I113" i="13" s="1"/>
  <c r="J114" i="13"/>
  <c r="K114" i="13" s="1"/>
  <c r="G114" i="13"/>
  <c r="I114" i="13" s="1"/>
  <c r="J117" i="13"/>
  <c r="K117" i="13" s="1"/>
  <c r="G117" i="13"/>
  <c r="I117" i="13" s="1"/>
  <c r="J115" i="13"/>
  <c r="K115" i="13" s="1"/>
  <c r="G115" i="13"/>
  <c r="I115" i="13" s="1"/>
  <c r="J118" i="13"/>
  <c r="K118" i="13" s="1"/>
  <c r="G118" i="13"/>
  <c r="I118" i="13" s="1"/>
  <c r="J81" i="13"/>
  <c r="K81" i="13" s="1"/>
  <c r="G81" i="13"/>
  <c r="I81" i="13" s="1"/>
  <c r="J82" i="13"/>
  <c r="K82" i="13" s="1"/>
  <c r="G82" i="13"/>
  <c r="I82" i="13" s="1"/>
  <c r="G84" i="13"/>
  <c r="I84" i="13" s="1"/>
  <c r="J84" i="13"/>
  <c r="K84" i="13" s="1"/>
  <c r="G83" i="13"/>
  <c r="I83" i="13" s="1"/>
  <c r="J83" i="13"/>
  <c r="K83" i="13" s="1"/>
  <c r="J85" i="13"/>
  <c r="K85" i="13" s="1"/>
  <c r="G85" i="13"/>
  <c r="I85" i="13" s="1"/>
  <c r="G79" i="13"/>
  <c r="I79" i="13" s="1"/>
  <c r="J79" i="13"/>
  <c r="K79" i="13" s="1"/>
  <c r="G80" i="13"/>
  <c r="I80" i="13" s="1"/>
  <c r="J80" i="13"/>
  <c r="K80" i="13" s="1"/>
  <c r="J78" i="13"/>
  <c r="K78" i="13" s="1"/>
  <c r="G78" i="13"/>
  <c r="I78" i="13" s="1"/>
  <c r="C61" i="59"/>
  <c r="C139" i="59"/>
  <c r="J42" i="93" a="1"/>
  <c r="M42" i="93" s="1"/>
  <c r="J34" i="93"/>
  <c r="J48" i="93" a="1"/>
  <c r="M48" i="93" s="1"/>
  <c r="J45" i="93" a="1"/>
  <c r="M45" i="93" s="1"/>
  <c r="J47" i="93" a="1"/>
  <c r="M47" i="93" s="1"/>
  <c r="J44" i="93" a="1"/>
  <c r="M44" i="93" s="1"/>
  <c r="J41" i="93" a="1"/>
  <c r="R28" i="93"/>
  <c r="J49" i="93" a="1"/>
  <c r="M49" i="93" s="1"/>
  <c r="J43" i="93" a="1"/>
  <c r="M43" i="93" s="1"/>
  <c r="J46" i="93" a="1"/>
  <c r="M46" i="93" s="1"/>
  <c r="Y50" i="93" l="1"/>
  <c r="Z50" i="93"/>
  <c r="AA50" i="93"/>
  <c r="AB50" i="93"/>
  <c r="Y48" i="93"/>
  <c r="Z48" i="93"/>
  <c r="AA48" i="93"/>
  <c r="AB48" i="93"/>
  <c r="Y46" i="93"/>
  <c r="Z46" i="93"/>
  <c r="AA46" i="93"/>
  <c r="AB46" i="93"/>
  <c r="Y42" i="93"/>
  <c r="Z42" i="93"/>
  <c r="AA42" i="93"/>
  <c r="AB42" i="93"/>
  <c r="Y41" i="93"/>
  <c r="Z41" i="93"/>
  <c r="AA41" i="93"/>
  <c r="AB41" i="93"/>
  <c r="Y40" i="93"/>
  <c r="Z40" i="93"/>
  <c r="AA40" i="93"/>
  <c r="AB40" i="93"/>
  <c r="Z39" i="93"/>
  <c r="AB39" i="93"/>
  <c r="Y39" i="93"/>
  <c r="AA39" i="93"/>
  <c r="Y38" i="93"/>
  <c r="Z38" i="93"/>
  <c r="AA38" i="93"/>
  <c r="AB38" i="93"/>
  <c r="Y37" i="93"/>
  <c r="Z37" i="93"/>
  <c r="AA37" i="93"/>
  <c r="AB37" i="93"/>
  <c r="Y36" i="93"/>
  <c r="AA36" i="93"/>
  <c r="Z36" i="93"/>
  <c r="AB36" i="93"/>
  <c r="Z33" i="93"/>
  <c r="AA33" i="93"/>
  <c r="AB33" i="93"/>
  <c r="Y33" i="93"/>
  <c r="Y49" i="93"/>
  <c r="Z49" i="93"/>
  <c r="AA49" i="93"/>
  <c r="AB49" i="93"/>
  <c r="Y47" i="93"/>
  <c r="Z47" i="93"/>
  <c r="AA47" i="93"/>
  <c r="AB47" i="93"/>
  <c r="Y45" i="93"/>
  <c r="Z45" i="93"/>
  <c r="AA45" i="93"/>
  <c r="AB45" i="93"/>
  <c r="Y43" i="93"/>
  <c r="Z43" i="93"/>
  <c r="AA43" i="93"/>
  <c r="AB43" i="93"/>
  <c r="AB32" i="93"/>
  <c r="Z32" i="93"/>
  <c r="Y32" i="93"/>
  <c r="AA32" i="93"/>
  <c r="Y44" i="93"/>
  <c r="Z44" i="93"/>
  <c r="AA44" i="93"/>
  <c r="AB44" i="93"/>
  <c r="Y35" i="93"/>
  <c r="Z35" i="93"/>
  <c r="AA35" i="93"/>
  <c r="AB35" i="93"/>
  <c r="Z34" i="93"/>
  <c r="AB34" i="93"/>
  <c r="Y34" i="93"/>
  <c r="AA34" i="93"/>
  <c r="E139" i="59"/>
  <c r="F139" i="59" s="1"/>
  <c r="H139" i="59"/>
  <c r="G139" i="59"/>
  <c r="J36" i="93"/>
  <c r="M36" i="93" s="1"/>
  <c r="M34" i="93"/>
  <c r="M41" i="93"/>
  <c r="J50" i="93"/>
  <c r="M50" i="93" s="1"/>
  <c r="V28" i="93"/>
  <c r="U28" i="93"/>
  <c r="V9" i="93"/>
  <c r="V10" i="93"/>
  <c r="V11" i="93"/>
  <c r="V12" i="93"/>
  <c r="V13" i="93"/>
  <c r="V14" i="93"/>
  <c r="V15" i="93"/>
  <c r="V16" i="93"/>
  <c r="V17" i="93"/>
  <c r="V18" i="93"/>
  <c r="V19" i="93"/>
  <c r="V20" i="93"/>
  <c r="V21" i="93"/>
  <c r="V22" i="93"/>
  <c r="V23" i="93"/>
  <c r="V24" i="93"/>
  <c r="V25" i="93"/>
  <c r="N9" i="13"/>
  <c r="N10" i="13"/>
  <c r="N14" i="13"/>
  <c r="N8" i="13"/>
  <c r="N11" i="13"/>
  <c r="N12" i="13"/>
  <c r="N13" i="13"/>
  <c r="E62" i="59"/>
  <c r="F62" i="59" s="1"/>
  <c r="G62" i="59"/>
  <c r="H62" i="59" s="1"/>
  <c r="E61" i="59"/>
  <c r="F61" i="59" s="1"/>
  <c r="G61" i="59"/>
  <c r="H61" i="59" s="1"/>
  <c r="V27" i="93"/>
  <c r="V26" i="93"/>
  <c r="J139" i="59" l="1"/>
  <c r="I139" i="59"/>
  <c r="E26" i="13"/>
  <c r="C26" i="13"/>
  <c r="F25" i="13"/>
  <c r="E25" i="13"/>
  <c r="C25" i="13"/>
  <c r="F24" i="13"/>
  <c r="D24" i="13"/>
  <c r="B24" i="13"/>
  <c r="E23" i="13"/>
  <c r="C23" i="13"/>
  <c r="F22" i="13"/>
  <c r="D22" i="13"/>
  <c r="B22" i="13"/>
  <c r="E21" i="13"/>
  <c r="C21" i="13"/>
  <c r="F20" i="13"/>
  <c r="D20" i="13"/>
  <c r="B20" i="13"/>
  <c r="E19" i="13"/>
  <c r="C19" i="13"/>
  <c r="F26" i="13"/>
  <c r="D26" i="13"/>
  <c r="B26" i="13"/>
  <c r="D25" i="13"/>
  <c r="B25" i="13"/>
  <c r="E24" i="13"/>
  <c r="C24" i="13"/>
  <c r="F23" i="13"/>
  <c r="D23" i="13"/>
  <c r="B23" i="13"/>
  <c r="E22" i="13"/>
  <c r="C22" i="13"/>
  <c r="F21" i="13"/>
  <c r="D21" i="13"/>
  <c r="B21" i="13"/>
  <c r="E20" i="13"/>
  <c r="C20" i="13"/>
  <c r="F19" i="13"/>
  <c r="D19" i="13"/>
  <c r="B19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<sst xmlns="http://schemas.openxmlformats.org/spreadsheetml/2006/main" count="31803" uniqueCount="3881">
  <si>
    <t>Accounts</t>
  </si>
  <si>
    <t>account</t>
  </si>
  <si>
    <t>label</t>
  </si>
  <si>
    <t>n_ai_full</t>
  </si>
  <si>
    <t>n_posts_corpus</t>
  </si>
  <si>
    <t>AU_onenationoz</t>
  </si>
  <si>
    <t>One Nation</t>
  </si>
  <si>
    <t>party</t>
  </si>
  <si>
    <t>AU_senatorpaulinehanson</t>
  </si>
  <si>
    <t>Hanson</t>
  </si>
  <si>
    <t>BE_EU_vlaamsbelang</t>
  </si>
  <si>
    <t>Vlaams Belang</t>
  </si>
  <si>
    <t>BE_EU-vangriekentom</t>
  </si>
  <si>
    <t>Van Grieken</t>
  </si>
  <si>
    <t>DE_afd.bund</t>
  </si>
  <si>
    <t>AfD</t>
  </si>
  <si>
    <t>DE_alice.weidel</t>
  </si>
  <si>
    <t>Weidel</t>
  </si>
  <si>
    <t>DK-EU_dansk_folkeparti_1995_</t>
  </si>
  <si>
    <t>Dansk Folkeparti</t>
  </si>
  <si>
    <t>DK-EU_mrmesserschmidt</t>
  </si>
  <si>
    <t>Messerschmidt</t>
  </si>
  <si>
    <t>ES-EU_vox_es</t>
  </si>
  <si>
    <t>VOX</t>
  </si>
  <si>
    <t>ES-EU_santi_abascal</t>
  </si>
  <si>
    <t>Abascal</t>
  </si>
  <si>
    <t>FR_EU_rassemblementnational_fr</t>
  </si>
  <si>
    <t>RN</t>
  </si>
  <si>
    <t>FR_EU_jordanbardella</t>
  </si>
  <si>
    <t>Bardella</t>
  </si>
  <si>
    <t>IT-EU_legaofficial</t>
  </si>
  <si>
    <t>Lega</t>
  </si>
  <si>
    <t>IT-EU_matteosalviniofficial</t>
  </si>
  <si>
    <t>Salvini</t>
  </si>
  <si>
    <t>NL-EU_geertwilders</t>
  </si>
  <si>
    <t>Wilders (EP 2024)</t>
  </si>
  <si>
    <t>NL_partijvoordevrijheidnl</t>
  </si>
  <si>
    <t>PVV</t>
  </si>
  <si>
    <t>NL_geertwilders</t>
  </si>
  <si>
    <t>Wilders (NL 2025)</t>
  </si>
  <si>
    <t>UK_thereformpartyuk</t>
  </si>
  <si>
    <t>Reform UK</t>
  </si>
  <si>
    <t>UK_nigel_farage</t>
  </si>
  <si>
    <t>Farage</t>
  </si>
  <si>
    <t>Total</t>
  </si>
  <si>
    <t>Topic layer</t>
  </si>
  <si>
    <t>code</t>
  </si>
  <si>
    <t>IMM</t>
  </si>
  <si>
    <t>Immigration</t>
  </si>
  <si>
    <t>ISL</t>
  </si>
  <si>
    <t>Islam</t>
  </si>
  <si>
    <t>CRI</t>
  </si>
  <si>
    <t>Crime &amp; security</t>
  </si>
  <si>
    <t>SOV</t>
  </si>
  <si>
    <t>Sovereignty &amp; identity</t>
  </si>
  <si>
    <t>ECON</t>
  </si>
  <si>
    <t>Economy &amp; services</t>
  </si>
  <si>
    <t>LAND</t>
  </si>
  <si>
    <t>Land &amp; environment</t>
  </si>
  <si>
    <t>CULT</t>
  </si>
  <si>
    <t>Gender &amp; culture</t>
  </si>
  <si>
    <t>DEF</t>
  </si>
  <si>
    <t>Defence &amp; foreign</t>
  </si>
  <si>
    <t>i</t>
  </si>
  <si>
    <t>country</t>
  </si>
  <si>
    <t>date</t>
  </si>
  <si>
    <t>pid</t>
  </si>
  <si>
    <t>ai_status</t>
  </si>
  <si>
    <t>ai_seq</t>
  </si>
  <si>
    <t>dup_of</t>
  </si>
  <si>
    <t>is_ai</t>
  </si>
  <si>
    <t>is_conv</t>
  </si>
  <si>
    <t>n_topics</t>
  </si>
  <si>
    <t>AU</t>
  </si>
  <si>
    <t>2025-01-13_(2)</t>
  </si>
  <si>
    <t>conventional</t>
  </si>
  <si>
    <t>2025-01-14_(1)</t>
  </si>
  <si>
    <t>2025-01-14_(2)</t>
  </si>
  <si>
    <t>2025-01-15_(3)</t>
  </si>
  <si>
    <t>2025-01-16_(4)</t>
  </si>
  <si>
    <t>2025-01-17_(7)</t>
  </si>
  <si>
    <t>2025-01-18_(2)</t>
  </si>
  <si>
    <t>2025-01-20_(1)</t>
  </si>
  <si>
    <t>2025-01-20_(2)</t>
  </si>
  <si>
    <t>2025-01-21_(5)</t>
  </si>
  <si>
    <t>2025-01-22_(3)</t>
  </si>
  <si>
    <t>2025-01-23_(1)</t>
  </si>
  <si>
    <t>2025-01-24_(1)</t>
  </si>
  <si>
    <t>2025-01-26_(2)</t>
  </si>
  <si>
    <t>2025-01-26_(3)</t>
  </si>
  <si>
    <t>2025-01-28_(1)</t>
  </si>
  <si>
    <t>2025-01-28_(2)</t>
  </si>
  <si>
    <t>2025-01-28_(5)</t>
  </si>
  <si>
    <t>2025-01-28_(6)</t>
  </si>
  <si>
    <t>2025-01-29_(3)</t>
  </si>
  <si>
    <t>2025-01-29_(4)</t>
  </si>
  <si>
    <t>2025-01-29_(6)</t>
  </si>
  <si>
    <t>2025-01-30_(3)</t>
  </si>
  <si>
    <t>2025-01-30_(4)</t>
  </si>
  <si>
    <t>2025-01-31_(1)</t>
  </si>
  <si>
    <t>2025-01-31_(6)</t>
  </si>
  <si>
    <t>26.0</t>
  </si>
  <si>
    <t>2025-01-31_(7)</t>
  </si>
  <si>
    <t>2025-02-03_(1)</t>
  </si>
  <si>
    <t>2025-02-03_(2)</t>
  </si>
  <si>
    <t>2025-02-04_(6)</t>
  </si>
  <si>
    <t>2025-02-06_(1)</t>
  </si>
  <si>
    <t>2025-02-06_(10)</t>
  </si>
  <si>
    <t>2025-02-06_(12)</t>
  </si>
  <si>
    <t>2025-02-06_(15)</t>
  </si>
  <si>
    <t>2025-02-06_(2)</t>
  </si>
  <si>
    <t>2025-02-06_(3)</t>
  </si>
  <si>
    <t>2025-02-06_(4)</t>
  </si>
  <si>
    <t>2025-02-07_(5)</t>
  </si>
  <si>
    <t>2025-02-07_(8)</t>
  </si>
  <si>
    <t>2025-02-08_(3)</t>
  </si>
  <si>
    <t>2025-02-10_(1)</t>
  </si>
  <si>
    <t>2025-02-10_(6)</t>
  </si>
  <si>
    <t>2025-02-10_(9)</t>
  </si>
  <si>
    <t>2025-02-11_(5)</t>
  </si>
  <si>
    <t>2025-02-11_(9)</t>
  </si>
  <si>
    <t>2025-02-12_(10)</t>
  </si>
  <si>
    <t>2025-02-12_(14)</t>
  </si>
  <si>
    <t>2025-02-12_(15)</t>
  </si>
  <si>
    <t>2025-02-12_(4)</t>
  </si>
  <si>
    <t>2025-02-12_(9)</t>
  </si>
  <si>
    <t>2025-02-13_(1)</t>
  </si>
  <si>
    <t>2025-02-13_(2)</t>
  </si>
  <si>
    <t>2025-02-13_(4)</t>
  </si>
  <si>
    <t>2025-02-13_(5)</t>
  </si>
  <si>
    <t>2025-02-14_(2)</t>
  </si>
  <si>
    <t>2025-02-14_(4)</t>
  </si>
  <si>
    <t>2025-02-14_(5)</t>
  </si>
  <si>
    <t>2025-02-14_(7)</t>
  </si>
  <si>
    <t>2025-02-15_(1)</t>
  </si>
  <si>
    <t>2025-02-15_(2)</t>
  </si>
  <si>
    <t>2025-02-15_(4)</t>
  </si>
  <si>
    <t>2025-02-16_(1)</t>
  </si>
  <si>
    <t>2025-02-16_(4)</t>
  </si>
  <si>
    <t>2025-02-17_(11)</t>
  </si>
  <si>
    <t>2025-02-17_(6)</t>
  </si>
  <si>
    <t>2025-02-18_(2)</t>
  </si>
  <si>
    <t>2025-02-18_(6)</t>
  </si>
  <si>
    <t>2025-02-19_(2)</t>
  </si>
  <si>
    <t>2025-02-20_(2)</t>
  </si>
  <si>
    <t>2025-02-21_(1)</t>
  </si>
  <si>
    <t>2025-02-21_(8)</t>
  </si>
  <si>
    <t>2025-02-25_(2)</t>
  </si>
  <si>
    <t>2025-02-25_(3)</t>
  </si>
  <si>
    <t>210.0</t>
  </si>
  <si>
    <t>2025-02-26</t>
  </si>
  <si>
    <t>2025-02-27_(1)</t>
  </si>
  <si>
    <t>2025-02-27_(2)</t>
  </si>
  <si>
    <t>2025-02-27_(5)</t>
  </si>
  <si>
    <t>2025-02-27_(6)</t>
  </si>
  <si>
    <t>2025-02-28_(1)</t>
  </si>
  <si>
    <t>222.0</t>
  </si>
  <si>
    <t>2025-03-01_(1)</t>
  </si>
  <si>
    <t>2025-03-01_(3)</t>
  </si>
  <si>
    <t>2025-03-01_(4)</t>
  </si>
  <si>
    <t>2025-03-01_(6)</t>
  </si>
  <si>
    <t>2025-03-03</t>
  </si>
  <si>
    <t>2025-03-06_(1)</t>
  </si>
  <si>
    <t>2025-03-07_(4)</t>
  </si>
  <si>
    <t>2025-03-07_(5)</t>
  </si>
  <si>
    <t>2025-03-07_(7)</t>
  </si>
  <si>
    <t>2025-03-07_(8)</t>
  </si>
  <si>
    <t>2025-03-08_(1)</t>
  </si>
  <si>
    <t>2025-03-10_(2)</t>
  </si>
  <si>
    <t>2025-03-10_(3)</t>
  </si>
  <si>
    <t>2025-03-10_(4)</t>
  </si>
  <si>
    <t>2025-03-12_(4)</t>
  </si>
  <si>
    <t>2025-03-12_(7)</t>
  </si>
  <si>
    <t>2025-03-13_(6)</t>
  </si>
  <si>
    <t>243.0</t>
  </si>
  <si>
    <t>2025-03-14_(1)</t>
  </si>
  <si>
    <t>2025-03-18_(3)</t>
  </si>
  <si>
    <t>2025-03-19_(1)</t>
  </si>
  <si>
    <t>2025-03-19_(2)</t>
  </si>
  <si>
    <t>2025-03-19_(3)</t>
  </si>
  <si>
    <t>2025-03-21_(3)</t>
  </si>
  <si>
    <t>2025-03-25_(2)</t>
  </si>
  <si>
    <t>2025-03-26_(1)</t>
  </si>
  <si>
    <t>2025-03-26_(2)</t>
  </si>
  <si>
    <t>2025-03-27_(1)</t>
  </si>
  <si>
    <t>2025-03-27_(2)</t>
  </si>
  <si>
    <t>2025-03-27_(5)</t>
  </si>
  <si>
    <t>2025-03-27_(6)</t>
  </si>
  <si>
    <t>2025-03-28_(3)</t>
  </si>
  <si>
    <t>2025-03-28_(5)</t>
  </si>
  <si>
    <t>2025-03-28_(6)</t>
  </si>
  <si>
    <t>2025-03-29_(2)</t>
  </si>
  <si>
    <t>2025-03-30</t>
  </si>
  <si>
    <t>318.0</t>
  </si>
  <si>
    <t>2025-04-02_(1)</t>
  </si>
  <si>
    <t>2025-04-03_(2)</t>
  </si>
  <si>
    <t>2025-04-03_(3)</t>
  </si>
  <si>
    <t>2025-04-03_(8)</t>
  </si>
  <si>
    <t>324.0</t>
  </si>
  <si>
    <t>2025-04-04_(2)</t>
  </si>
  <si>
    <t>298.0</t>
  </si>
  <si>
    <t>2025-04-04_(3)</t>
  </si>
  <si>
    <t>2025-04-07_(4)</t>
  </si>
  <si>
    <t>2025-04-09_(4)</t>
  </si>
  <si>
    <t>2025-04-10_(1)</t>
  </si>
  <si>
    <t>2025-04-10_(2)</t>
  </si>
  <si>
    <t>2025-04-14_(2)</t>
  </si>
  <si>
    <t>2025-04-15_(2)</t>
  </si>
  <si>
    <t>2025-04-16_(1)</t>
  </si>
  <si>
    <t>2025-04-16_(5)</t>
  </si>
  <si>
    <t>2025-04-17</t>
  </si>
  <si>
    <t>375.0</t>
  </si>
  <si>
    <t>2025-04-25_(1)</t>
  </si>
  <si>
    <t>2025-04-25_(2)</t>
  </si>
  <si>
    <t>2025-04-25_(3)</t>
  </si>
  <si>
    <t>2025-04-25_(4)</t>
  </si>
  <si>
    <t>2025-04-26_(1)</t>
  </si>
  <si>
    <t>2025-04-26_(5)</t>
  </si>
  <si>
    <t>2025-04-28_(1)</t>
  </si>
  <si>
    <t>2025-04-28_(2)</t>
  </si>
  <si>
    <t>326.0</t>
  </si>
  <si>
    <t>2025-04-28_(4)</t>
  </si>
  <si>
    <t>2025-04-29_(2)</t>
  </si>
  <si>
    <t>2025-04-29_(3)</t>
  </si>
  <si>
    <t>2025-04-30_(1)</t>
  </si>
  <si>
    <t>2025-04-30_(4)</t>
  </si>
  <si>
    <t>2025-04-30_(5)</t>
  </si>
  <si>
    <t>2025-04-30_(6)</t>
  </si>
  <si>
    <t>2025-05-01_(1)</t>
  </si>
  <si>
    <t>2025-05-01_(2)</t>
  </si>
  <si>
    <t>2025-05-01_(6)</t>
  </si>
  <si>
    <t>2025-05-02_(4)</t>
  </si>
  <si>
    <t>2025-05-03_(2)</t>
  </si>
  <si>
    <t>2025-05-03_(3)</t>
  </si>
  <si>
    <t>2025-02-05</t>
  </si>
  <si>
    <t>2025-02-18</t>
  </si>
  <si>
    <t>2025-02-20_(1)</t>
  </si>
  <si>
    <t>2025-02-28</t>
  </si>
  <si>
    <t>2025-03-04</t>
  </si>
  <si>
    <t>2025-03-10</t>
  </si>
  <si>
    <t>2025-04-11</t>
  </si>
  <si>
    <t>2025-04-12</t>
  </si>
  <si>
    <t>2025-04-14</t>
  </si>
  <si>
    <t>2025-04-16</t>
  </si>
  <si>
    <t>2025-04-20</t>
  </si>
  <si>
    <t>2025-04-27</t>
  </si>
  <si>
    <t>2025-04-28</t>
  </si>
  <si>
    <t>2025-05-01</t>
  </si>
  <si>
    <t>2025-05-02_(1)</t>
  </si>
  <si>
    <t>2025-05-02_(2)</t>
  </si>
  <si>
    <t>BE</t>
  </si>
  <si>
    <t>2024-02-13</t>
  </si>
  <si>
    <t>2024-02-25</t>
  </si>
  <si>
    <t>2024-02-27</t>
  </si>
  <si>
    <t>2024-02-28</t>
  </si>
  <si>
    <t>2024-03-02_(1)</t>
  </si>
  <si>
    <t>2024-03-02_(2)</t>
  </si>
  <si>
    <t>2024-03-02_(3)</t>
  </si>
  <si>
    <t>2024-03-02_(4)</t>
  </si>
  <si>
    <t>2024-03-04_(2)</t>
  </si>
  <si>
    <t>2024-03-06_(1)</t>
  </si>
  <si>
    <t>2024-03-09_(2)</t>
  </si>
  <si>
    <t>2024-03-09_(3)</t>
  </si>
  <si>
    <t>2024-03-10_(1)</t>
  </si>
  <si>
    <t>2024-03-10_(2)</t>
  </si>
  <si>
    <t>2024-03-10_(3)</t>
  </si>
  <si>
    <t>2024-03-11_(2)</t>
  </si>
  <si>
    <t>2024-03-12</t>
  </si>
  <si>
    <t>2024-03-17</t>
  </si>
  <si>
    <t>2024-03-21_(2)</t>
  </si>
  <si>
    <t>2024-03-22_(4)</t>
  </si>
  <si>
    <t>483.0</t>
  </si>
  <si>
    <t>2024-03-25</t>
  </si>
  <si>
    <t>2024-03-27</t>
  </si>
  <si>
    <t>2024-03-29</t>
  </si>
  <si>
    <t>2024-03-30</t>
  </si>
  <si>
    <t>2024-03-31_(1)</t>
  </si>
  <si>
    <t>2024-03-31_(2)</t>
  </si>
  <si>
    <t>2024-03-31_(3)</t>
  </si>
  <si>
    <t>2024-04-01_(1)</t>
  </si>
  <si>
    <t>2024-04-03</t>
  </si>
  <si>
    <t>2024-04-04_(1)</t>
  </si>
  <si>
    <t>2024-04-04_(2)</t>
  </si>
  <si>
    <t>2024-04-05_(1)</t>
  </si>
  <si>
    <t>2024-04-05_(2)</t>
  </si>
  <si>
    <t>2024-04-06</t>
  </si>
  <si>
    <t>2024-04-10</t>
  </si>
  <si>
    <t>2024-04-11</t>
  </si>
  <si>
    <t>2024-04-12</t>
  </si>
  <si>
    <t>2024-04-15</t>
  </si>
  <si>
    <t>2024-04-16_(1)</t>
  </si>
  <si>
    <t>2024-04-16_(2)</t>
  </si>
  <si>
    <t>2024-04-16_(3)</t>
  </si>
  <si>
    <t>2024-04-16_(4)</t>
  </si>
  <si>
    <t>2024-04-17_(1)</t>
  </si>
  <si>
    <t>2024-04-17_(2)</t>
  </si>
  <si>
    <t>2024-04-18_(2)</t>
  </si>
  <si>
    <t>2024-04-18_(3)</t>
  </si>
  <si>
    <t>2024-04-19_(1)</t>
  </si>
  <si>
    <t>2024-04-20_(1)</t>
  </si>
  <si>
    <t>2024-04-21_(1)</t>
  </si>
  <si>
    <t>2024-04-22_(1)</t>
  </si>
  <si>
    <t>2024-04-22_(2)</t>
  </si>
  <si>
    <t>2024-04-23_(1)</t>
  </si>
  <si>
    <t>2024-04-25_(1)</t>
  </si>
  <si>
    <t>2024-04-26_(1)</t>
  </si>
  <si>
    <t>2024-04-26_(2)</t>
  </si>
  <si>
    <t>2024-04-26_(3)</t>
  </si>
  <si>
    <t>2024-04-26_(5)</t>
  </si>
  <si>
    <t>2024-04-27_(2)</t>
  </si>
  <si>
    <t>2024-04-27_(3)</t>
  </si>
  <si>
    <t>2024-04-27_(4)</t>
  </si>
  <si>
    <t>2024-04-29</t>
  </si>
  <si>
    <t>2024-05-02_(1)</t>
  </si>
  <si>
    <t>2024-05-02_(2)</t>
  </si>
  <si>
    <t>2024-05-04_(1)</t>
  </si>
  <si>
    <t>2024-05-04_(2)</t>
  </si>
  <si>
    <t>2024-05-06_(1)</t>
  </si>
  <si>
    <t>2024-05-06_(2)</t>
  </si>
  <si>
    <t>2024-05-06_(3)</t>
  </si>
  <si>
    <t>2024-05-07_(2)</t>
  </si>
  <si>
    <t>2024-05-09_(1)</t>
  </si>
  <si>
    <t>2024-05-09_(2)</t>
  </si>
  <si>
    <t>2024-05-09_(3)</t>
  </si>
  <si>
    <t>2024-05-09_(4)</t>
  </si>
  <si>
    <t>2024-05-09_(5)</t>
  </si>
  <si>
    <t>2024-05-10_(5)</t>
  </si>
  <si>
    <t>2024-05-10_(6)</t>
  </si>
  <si>
    <t>2024-05-10_(7)</t>
  </si>
  <si>
    <t>2024-05-11_(1)</t>
  </si>
  <si>
    <t>2024-05-11_(2)</t>
  </si>
  <si>
    <t>2024-05-11_(3)</t>
  </si>
  <si>
    <t>2024-05-11_(4)</t>
  </si>
  <si>
    <t>2024-05-13_(1)</t>
  </si>
  <si>
    <t>2024-05-13_(2)</t>
  </si>
  <si>
    <t>2024-05-14_(1)</t>
  </si>
  <si>
    <t>2024-05-15_(1)</t>
  </si>
  <si>
    <t>2024-05-15_(2)</t>
  </si>
  <si>
    <t>2024-05-15_(3)</t>
  </si>
  <si>
    <t>2024-05-15_(4)</t>
  </si>
  <si>
    <t>2024-05-15_(7)</t>
  </si>
  <si>
    <t>2024-05-16_(1)</t>
  </si>
  <si>
    <t>2024-05-16_(2)</t>
  </si>
  <si>
    <t>2024-05-16_(3)</t>
  </si>
  <si>
    <t>2024-05-16_(4)</t>
  </si>
  <si>
    <t>2024-05-17_(2)</t>
  </si>
  <si>
    <t>2024-05-17_(4)</t>
  </si>
  <si>
    <t>2024-05-17_(6)</t>
  </si>
  <si>
    <t>2024-05-17_(8)</t>
  </si>
  <si>
    <t>2024-05-18_(2)</t>
  </si>
  <si>
    <t>2024-05-18_(3)</t>
  </si>
  <si>
    <t>2024-05-18_(4)</t>
  </si>
  <si>
    <t>2024-05-18_(5)</t>
  </si>
  <si>
    <t>2024-05-19_(1)</t>
  </si>
  <si>
    <t>2024-05-19_(2)</t>
  </si>
  <si>
    <t>2024-05-19_(5)</t>
  </si>
  <si>
    <t>2024-05-20_(2)</t>
  </si>
  <si>
    <t>ai_indeterminate</t>
  </si>
  <si>
    <t>2024-05-22_(2)</t>
  </si>
  <si>
    <t>2024-05-22_(3)</t>
  </si>
  <si>
    <t>2024-05-22_(5)</t>
  </si>
  <si>
    <t>2024-05-23_(1)</t>
  </si>
  <si>
    <t>2024-05-23_(2)</t>
  </si>
  <si>
    <t>2024-05-24_(1)</t>
  </si>
  <si>
    <t>2024-05-24_(3)</t>
  </si>
  <si>
    <t>2024-05-24_(4)</t>
  </si>
  <si>
    <t>2024-05-24_(5)</t>
  </si>
  <si>
    <t>2024-05-24_(6)</t>
  </si>
  <si>
    <t>2024-05-24_(7)</t>
  </si>
  <si>
    <t>2024-05-26_(2)</t>
  </si>
  <si>
    <t>2024-05-27</t>
  </si>
  <si>
    <t>2024-05-28_(2)</t>
  </si>
  <si>
    <t>2024-05-28_(4)</t>
  </si>
  <si>
    <t>2024-05-28_(5)</t>
  </si>
  <si>
    <t>2024-05-29_(1)</t>
  </si>
  <si>
    <t>2024-05-29_(2)</t>
  </si>
  <si>
    <t>2024-06-01_(1)</t>
  </si>
  <si>
    <t>2024-06-01_(3)</t>
  </si>
  <si>
    <t>2024-06-01_(4)</t>
  </si>
  <si>
    <t>2024-06-01_(5)</t>
  </si>
  <si>
    <t>2024-06-02_(1)</t>
  </si>
  <si>
    <t>2024-06-02_(2)</t>
  </si>
  <si>
    <t>2024-06-02_(3)</t>
  </si>
  <si>
    <t>2024-06-03_(1)</t>
  </si>
  <si>
    <t>2024-06-03_(2)</t>
  </si>
  <si>
    <t>2024-06-03_(3)</t>
  </si>
  <si>
    <t>2024-06-03_(4)</t>
  </si>
  <si>
    <t>2024-06-04_(1)</t>
  </si>
  <si>
    <t>2024-06-05_(2)</t>
  </si>
  <si>
    <t>2024-06-06_(1)</t>
  </si>
  <si>
    <t>2024-06-06_(3)</t>
  </si>
  <si>
    <t>2024-06-06_(4)</t>
  </si>
  <si>
    <t>2024-06-07_(1)</t>
  </si>
  <si>
    <t>2024-06-08_(1)</t>
  </si>
  <si>
    <t>2024-06-08_(2)</t>
  </si>
  <si>
    <t>2024-06-08_(3)</t>
  </si>
  <si>
    <t>2024-06-08_(4)</t>
  </si>
  <si>
    <t>2024-06-08_(6)</t>
  </si>
  <si>
    <t>2024-06-09_(1)</t>
  </si>
  <si>
    <t>2024-06-09_(2)</t>
  </si>
  <si>
    <t>2024-06-09_(4)</t>
  </si>
  <si>
    <t>2024-06-09_(6)</t>
  </si>
  <si>
    <t>2024-06-09_(7)</t>
  </si>
  <si>
    <t>2024-02-07_(1)</t>
  </si>
  <si>
    <t>2024-02-07_(2)</t>
  </si>
  <si>
    <t>2024-02-07_(3)</t>
  </si>
  <si>
    <t>2024-02-08_(2)</t>
  </si>
  <si>
    <t>2024-02-08_(3)</t>
  </si>
  <si>
    <t>2024-02-09</t>
  </si>
  <si>
    <t>2024-02-10</t>
  </si>
  <si>
    <t>2024-02-11</t>
  </si>
  <si>
    <t>2024-02-13_(1)</t>
  </si>
  <si>
    <t>2024-02-13_(2)</t>
  </si>
  <si>
    <t>ai_full</t>
  </si>
  <si>
    <t>2024-02-13_(3)</t>
  </si>
  <si>
    <t>2024-02-14_(1)</t>
  </si>
  <si>
    <t>2024-02-14_(2)</t>
  </si>
  <si>
    <t>2024-02-16</t>
  </si>
  <si>
    <t>2024-02-20</t>
  </si>
  <si>
    <t>2024-02-22</t>
  </si>
  <si>
    <t>2024-03-01</t>
  </si>
  <si>
    <t>2024-03-03</t>
  </si>
  <si>
    <t>2024-03-06_(2)</t>
  </si>
  <si>
    <t>2024-03-08</t>
  </si>
  <si>
    <t>2024-03-09</t>
  </si>
  <si>
    <t>2024-03-16_(1)</t>
  </si>
  <si>
    <t>2024-03-16_(2)</t>
  </si>
  <si>
    <t>2024-03-19</t>
  </si>
  <si>
    <t>2024-03-22_(1)</t>
  </si>
  <si>
    <t>2024-03-22_(2)</t>
  </si>
  <si>
    <t>2024-03-23_(1)</t>
  </si>
  <si>
    <t>2024-03-23_(2)</t>
  </si>
  <si>
    <t>2024-03-23_(3)</t>
  </si>
  <si>
    <t>2024-03-24</t>
  </si>
  <si>
    <t>2024-03-25_(1)</t>
  </si>
  <si>
    <t>2024-03-25_(2)</t>
  </si>
  <si>
    <t>2024-03-25_(3)</t>
  </si>
  <si>
    <t>2024-03-26_(1)</t>
  </si>
  <si>
    <t>2024-03-27_(1)</t>
  </si>
  <si>
    <t>2024-03-27_(2)</t>
  </si>
  <si>
    <t>2024-03-28_(1)</t>
  </si>
  <si>
    <t>2024-03-28_(2)</t>
  </si>
  <si>
    <t>2024-03-28_(3)</t>
  </si>
  <si>
    <t>2024-03-29_(2)</t>
  </si>
  <si>
    <t>2024-03-30_(1)</t>
  </si>
  <si>
    <t>2024-04-01</t>
  </si>
  <si>
    <t>2024-04-02_(1)</t>
  </si>
  <si>
    <t>2024-04-02_(2)</t>
  </si>
  <si>
    <t>2024-04-04</t>
  </si>
  <si>
    <t>2024-04-05_(3)</t>
  </si>
  <si>
    <t>2024-04-07_(1)</t>
  </si>
  <si>
    <t>2024-04-09</t>
  </si>
  <si>
    <t>2024-04-10_(1)</t>
  </si>
  <si>
    <t>2024-04-10_(2)</t>
  </si>
  <si>
    <t>2024-04-11_(1)</t>
  </si>
  <si>
    <t>2024-04-11_(2)</t>
  </si>
  <si>
    <t>2024-04-16</t>
  </si>
  <si>
    <t>2024-04-17</t>
  </si>
  <si>
    <t>2024-04-18</t>
  </si>
  <si>
    <t>2024-04-19_(2)</t>
  </si>
  <si>
    <t>2024-04-20</t>
  </si>
  <si>
    <t>2024-04-21_(2)</t>
  </si>
  <si>
    <t>2024-04-21_(3)</t>
  </si>
  <si>
    <t>2024-04-23</t>
  </si>
  <si>
    <t>2024-04-25_(2)</t>
  </si>
  <si>
    <t>2024-04-28_(1)</t>
  </si>
  <si>
    <t>2024-04-28_(2)</t>
  </si>
  <si>
    <t>2024-05-01_(1)</t>
  </si>
  <si>
    <t>2024-05-01_(2)</t>
  </si>
  <si>
    <t>2024-05-04_(3)</t>
  </si>
  <si>
    <t>2024-05-06</t>
  </si>
  <si>
    <t>2024-05-08_(1)</t>
  </si>
  <si>
    <t>2024-05-08_(2)</t>
  </si>
  <si>
    <t>2024-05-08_(3)</t>
  </si>
  <si>
    <t>2024-05-10</t>
  </si>
  <si>
    <t>2024-05-12_(1)</t>
  </si>
  <si>
    <t>2024-05-12_(2)</t>
  </si>
  <si>
    <t>2024-05-12_(3)</t>
  </si>
  <si>
    <t>2024-05-12_(4)</t>
  </si>
  <si>
    <t>2024-05-19</t>
  </si>
  <si>
    <t>2024-05-20</t>
  </si>
  <si>
    <t>2024-05-22</t>
  </si>
  <si>
    <t>2024-05-23</t>
  </si>
  <si>
    <t>2024-05-24</t>
  </si>
  <si>
    <t>2024-05-26_(1)</t>
  </si>
  <si>
    <t>2024-05-26_(3)</t>
  </si>
  <si>
    <t>2024-05-26_(4)</t>
  </si>
  <si>
    <t>2024-05-26_(5)</t>
  </si>
  <si>
    <t>2024-05-28_(1)</t>
  </si>
  <si>
    <t>2024-05-29_(3)</t>
  </si>
  <si>
    <t>2024-05-30_(2)</t>
  </si>
  <si>
    <t>648.0</t>
  </si>
  <si>
    <t>2024-06-03_(5)</t>
  </si>
  <si>
    <t>2024-06-03_(6)</t>
  </si>
  <si>
    <t>2024-06-04_(2)</t>
  </si>
  <si>
    <t>2024-06-04_(5)</t>
  </si>
  <si>
    <t>2024-06-04_(6)</t>
  </si>
  <si>
    <t>2024-06-05_(1)</t>
  </si>
  <si>
    <t>2024-06-05_(10)</t>
  </si>
  <si>
    <t>2024-06-05_(12)</t>
  </si>
  <si>
    <t>2024-06-05_(3)</t>
  </si>
  <si>
    <t>2024-06-05_(4)</t>
  </si>
  <si>
    <t>2024-06-05_(5)</t>
  </si>
  <si>
    <t>2024-06-05_(6)</t>
  </si>
  <si>
    <t>2024-06-05_(7)</t>
  </si>
  <si>
    <t>2024-06-05_(9)</t>
  </si>
  <si>
    <t>2024-06-06_(10)</t>
  </si>
  <si>
    <t>2024-06-06_(2)</t>
  </si>
  <si>
    <t>2024-06-06_(5)</t>
  </si>
  <si>
    <t>2024-06-06_(6)</t>
  </si>
  <si>
    <t>2024-06-06_(7)</t>
  </si>
  <si>
    <t>2024-06-06_(8)</t>
  </si>
  <si>
    <t>2024-06-06_(9)</t>
  </si>
  <si>
    <t>2024-06-07_(10)</t>
  </si>
  <si>
    <t>2024-06-07_(11)</t>
  </si>
  <si>
    <t>2024-06-07_(2)</t>
  </si>
  <si>
    <t>2024-06-07_(3)</t>
  </si>
  <si>
    <t>2024-06-07_(4)</t>
  </si>
  <si>
    <t>2024-06-07_(5)</t>
  </si>
  <si>
    <t>2024-06-07_(6)</t>
  </si>
  <si>
    <t>2024-06-07_(8)</t>
  </si>
  <si>
    <t>2024-06-08_(5)</t>
  </si>
  <si>
    <t>2024-06-09</t>
  </si>
  <si>
    <t>DE</t>
  </si>
  <si>
    <t>2024-10-28_(1)</t>
  </si>
  <si>
    <t>2024-10-28_(2)</t>
  </si>
  <si>
    <t>2024-10-29_(1)</t>
  </si>
  <si>
    <t>2024-10-29_(2)</t>
  </si>
  <si>
    <t>2024-10-30_(1)</t>
  </si>
  <si>
    <t>2024-10-30_(2)</t>
  </si>
  <si>
    <t>2024-10-31_(1)</t>
  </si>
  <si>
    <t>2024-10-31_(2)</t>
  </si>
  <si>
    <t>2024-11-01_(1)</t>
  </si>
  <si>
    <t>2024-11-01_(2)</t>
  </si>
  <si>
    <t>2024-11-04</t>
  </si>
  <si>
    <t>2024-11-05_(1)</t>
  </si>
  <si>
    <t>2024-11-05_(2)</t>
  </si>
  <si>
    <t>2024-11-05_(3)</t>
  </si>
  <si>
    <t>2024-11-06_(1)</t>
  </si>
  <si>
    <t>2024-11-06_(2)</t>
  </si>
  <si>
    <t>2024-11-07_(1)</t>
  </si>
  <si>
    <t>2024-11-07_(2)</t>
  </si>
  <si>
    <t>2024-11-08</t>
  </si>
  <si>
    <t>2024-11-11</t>
  </si>
  <si>
    <t>2024-11-14</t>
  </si>
  <si>
    <t>2024-11-16</t>
  </si>
  <si>
    <t>2024-11-18_(1)</t>
  </si>
  <si>
    <t>2024-11-18_(2)</t>
  </si>
  <si>
    <t>2024-11-19</t>
  </si>
  <si>
    <t>2024-11-20_(1)</t>
  </si>
  <si>
    <t>2024-11-20_(2)</t>
  </si>
  <si>
    <t>2024-11-20_(3)</t>
  </si>
  <si>
    <t>2024-11-21_(1)</t>
  </si>
  <si>
    <t>2024-11-21_(2)</t>
  </si>
  <si>
    <t>2024-11-22</t>
  </si>
  <si>
    <t>2024-11-25</t>
  </si>
  <si>
    <t>2024-11-26_(1)</t>
  </si>
  <si>
    <t>2024-11-26_(2)</t>
  </si>
  <si>
    <t>2024-11-27_(1)</t>
  </si>
  <si>
    <t>2024-11-27_(2)</t>
  </si>
  <si>
    <t>2024-11-28_(1)</t>
  </si>
  <si>
    <t>2024-11-28_(2)</t>
  </si>
  <si>
    <t>2024-11-28_(3)</t>
  </si>
  <si>
    <t>2024-11-28_(4)</t>
  </si>
  <si>
    <t>2024-11-29_(1)</t>
  </si>
  <si>
    <t>2024-11-29_(2)</t>
  </si>
  <si>
    <t>2024-12-02</t>
  </si>
  <si>
    <t>2024-12-03_(1)</t>
  </si>
  <si>
    <t>2024-12-03_(2)</t>
  </si>
  <si>
    <t>2024-12-04_(1)</t>
  </si>
  <si>
    <t>2024-12-04_(2)</t>
  </si>
  <si>
    <t>2024-12-05</t>
  </si>
  <si>
    <t>2024-12-06_(1)</t>
  </si>
  <si>
    <t>2024-12-06_(2)</t>
  </si>
  <si>
    <t>2024-12-06_(3)</t>
  </si>
  <si>
    <t>2024-12-09_(1)</t>
  </si>
  <si>
    <t>2024-12-09_(2)</t>
  </si>
  <si>
    <t>2024-12-09_(3)</t>
  </si>
  <si>
    <t>2024-12-11</t>
  </si>
  <si>
    <t>2024-12-12_(1)</t>
  </si>
  <si>
    <t>2024-12-12_(2)</t>
  </si>
  <si>
    <t>2024-12-13_(1)</t>
  </si>
  <si>
    <t>2024-12-13_(2)</t>
  </si>
  <si>
    <t>2024-12-14</t>
  </si>
  <si>
    <t>2024-12-16</t>
  </si>
  <si>
    <t>2024-12-17_(1)</t>
  </si>
  <si>
    <t>2024-12-17_(2)</t>
  </si>
  <si>
    <t>2024-12-18_(1)</t>
  </si>
  <si>
    <t>2024-12-18_(2)</t>
  </si>
  <si>
    <t>2024-12-18_(3)</t>
  </si>
  <si>
    <t>2024-12-19_(1)</t>
  </si>
  <si>
    <t>2024-12-19_(2)</t>
  </si>
  <si>
    <t>2024-12-19_(3)</t>
  </si>
  <si>
    <t>2024-12-19_(4)</t>
  </si>
  <si>
    <t>2024-12-20_(1)</t>
  </si>
  <si>
    <t>2024-12-20_(2)</t>
  </si>
  <si>
    <t>2024-12-20_(3)</t>
  </si>
  <si>
    <t>2024-12-21</t>
  </si>
  <si>
    <t>2024-12-22_(1)</t>
  </si>
  <si>
    <t>939.0</t>
  </si>
  <si>
    <t>2024-12-22_(2)</t>
  </si>
  <si>
    <t>2024-12-22_(3)</t>
  </si>
  <si>
    <t>2024-12-22_(4)</t>
  </si>
  <si>
    <t>2024-12-23</t>
  </si>
  <si>
    <t>2024-12-25</t>
  </si>
  <si>
    <t>2024-12-26</t>
  </si>
  <si>
    <t>2024-12-27_(1)</t>
  </si>
  <si>
    <t>2024-12-27_(2)</t>
  </si>
  <si>
    <t>2024-12-29</t>
  </si>
  <si>
    <t>2024-12-30_(1)</t>
  </si>
  <si>
    <t>2024-12-30_(2)</t>
  </si>
  <si>
    <t>2024-12-31</t>
  </si>
  <si>
    <t>2025-01-02_(1)</t>
  </si>
  <si>
    <t>2025-01-02_(2)</t>
  </si>
  <si>
    <t>2025-01-03_(1)</t>
  </si>
  <si>
    <t>2025-01-03_(2)</t>
  </si>
  <si>
    <t>2025-01-03_(3)</t>
  </si>
  <si>
    <t>2025-01-04_(1)</t>
  </si>
  <si>
    <t>950.0</t>
  </si>
  <si>
    <t>2025-01-04_(2)</t>
  </si>
  <si>
    <t>2025-01-04_(3)</t>
  </si>
  <si>
    <t>2025-01-04_(4)</t>
  </si>
  <si>
    <t>2025-01-05</t>
  </si>
  <si>
    <t>2025-01-06</t>
  </si>
  <si>
    <t>2025-01-07</t>
  </si>
  <si>
    <t>2025-01-08</t>
  </si>
  <si>
    <t>2025-01-09</t>
  </si>
  <si>
    <t>2025-01-10</t>
  </si>
  <si>
    <t>2025-01-11_(1)</t>
  </si>
  <si>
    <t>2025-01-11_(2)</t>
  </si>
  <si>
    <t>2025-01-12_(1)</t>
  </si>
  <si>
    <t>2025-01-12_(2)</t>
  </si>
  <si>
    <t>963.0</t>
  </si>
  <si>
    <t>2025-01-13_(1)</t>
  </si>
  <si>
    <t>2025-01-14_(3)</t>
  </si>
  <si>
    <t>2025-01-15_(1)</t>
  </si>
  <si>
    <t>2025-01-15_(2)</t>
  </si>
  <si>
    <t>2025-01-15_(4)</t>
  </si>
  <si>
    <t>2025-01-16_(1)</t>
  </si>
  <si>
    <t>2025-01-16_(2)</t>
  </si>
  <si>
    <t>2025-01-16_(3)</t>
  </si>
  <si>
    <t>2025-01-17_(1)</t>
  </si>
  <si>
    <t>2025-01-17_(2)</t>
  </si>
  <si>
    <t>2025-01-18</t>
  </si>
  <si>
    <t>2025-01-19</t>
  </si>
  <si>
    <t>2025-01-21_(1)</t>
  </si>
  <si>
    <t>980.0</t>
  </si>
  <si>
    <t>2025-01-21_(2)</t>
  </si>
  <si>
    <t>2025-01-21_(3)</t>
  </si>
  <si>
    <t>2025-01-22_(1)</t>
  </si>
  <si>
    <t>984.0</t>
  </si>
  <si>
    <t>2025-01-22_(2)</t>
  </si>
  <si>
    <t>988.0</t>
  </si>
  <si>
    <t>2025-01-23_(2)</t>
  </si>
  <si>
    <t>2025-01-24</t>
  </si>
  <si>
    <t>990.0</t>
  </si>
  <si>
    <t>2025-01-25</t>
  </si>
  <si>
    <t>991.0</t>
  </si>
  <si>
    <t>2025-01-26_(1)</t>
  </si>
  <si>
    <t>992.0</t>
  </si>
  <si>
    <t>2025-01-27_(1)</t>
  </si>
  <si>
    <t>973.0</t>
  </si>
  <si>
    <t>2025-01-27_(2)</t>
  </si>
  <si>
    <t>2025-01-28</t>
  </si>
  <si>
    <t>975.0</t>
  </si>
  <si>
    <t>2025-01-29</t>
  </si>
  <si>
    <t>971.0</t>
  </si>
  <si>
    <t>2025-01-30</t>
  </si>
  <si>
    <t>2025-02-04_(1)</t>
  </si>
  <si>
    <t>2025-02-04_(2)</t>
  </si>
  <si>
    <t>2025-02-04_(3)</t>
  </si>
  <si>
    <t>2025-02-06_(5)</t>
  </si>
  <si>
    <t>2025-02-07_(1)</t>
  </si>
  <si>
    <t>2025-02-07_(2)</t>
  </si>
  <si>
    <t>2025-02-07_(3)</t>
  </si>
  <si>
    <t>2025-02-08</t>
  </si>
  <si>
    <t>2025-02-09</t>
  </si>
  <si>
    <t>2025-02-10_(2)</t>
  </si>
  <si>
    <t>2025-02-11</t>
  </si>
  <si>
    <t>2025-02-12_(1)</t>
  </si>
  <si>
    <t>2025-02-12_(2)</t>
  </si>
  <si>
    <t>974.0</t>
  </si>
  <si>
    <t>2025-02-14_(1)</t>
  </si>
  <si>
    <t>970.0</t>
  </si>
  <si>
    <t>2025-02-15</t>
  </si>
  <si>
    <t>989.0</t>
  </si>
  <si>
    <t>2025-02-16</t>
  </si>
  <si>
    <t>972.0</t>
  </si>
  <si>
    <t>2025-02-17</t>
  </si>
  <si>
    <t>2025-02-18_(1)</t>
  </si>
  <si>
    <t>2025-02-18_(3)</t>
  </si>
  <si>
    <t>2025-02-18_(4)</t>
  </si>
  <si>
    <t>976.0</t>
  </si>
  <si>
    <t>2025-02-19_(1)</t>
  </si>
  <si>
    <t>2025-02-21_(2)</t>
  </si>
  <si>
    <t>1023.0</t>
  </si>
  <si>
    <t>2025-02-21_(3)</t>
  </si>
  <si>
    <t>2025-02-21_(4)</t>
  </si>
  <si>
    <t>982.0</t>
  </si>
  <si>
    <t>2025-02-22</t>
  </si>
  <si>
    <t>978.0</t>
  </si>
  <si>
    <t>2025-02-23_(1)</t>
  </si>
  <si>
    <t>2025-02-23_(2)</t>
  </si>
  <si>
    <t>883.0</t>
  </si>
  <si>
    <t>2024-11-12_(2)</t>
  </si>
  <si>
    <t>2024-11-20</t>
  </si>
  <si>
    <t>2024-11-26</t>
  </si>
  <si>
    <t>2024-11-28</t>
  </si>
  <si>
    <t>2024-11-29_(3)</t>
  </si>
  <si>
    <t>2024-12-01_(1)</t>
  </si>
  <si>
    <t>ai_branding</t>
  </si>
  <si>
    <t>2024-12-04</t>
  </si>
  <si>
    <t>2024-12-05_(1)</t>
  </si>
  <si>
    <t>2024-12-05_(3)</t>
  </si>
  <si>
    <t>2024-12-06</t>
  </si>
  <si>
    <t>2024-12-07_(2)</t>
  </si>
  <si>
    <t>2024-12-07_(3)</t>
  </si>
  <si>
    <t>2024-12-07_(5)</t>
  </si>
  <si>
    <t>2024-12-08_(1)</t>
  </si>
  <si>
    <t>2024-12-10_(1)</t>
  </si>
  <si>
    <t>2024-12-10_(2)</t>
  </si>
  <si>
    <t>2024-12-12_(4)</t>
  </si>
  <si>
    <t>924.0</t>
  </si>
  <si>
    <t>2024-12-12_(5)</t>
  </si>
  <si>
    <t>2024-12-14_(1)</t>
  </si>
  <si>
    <t>2024-12-14_(2)</t>
  </si>
  <si>
    <t>928.0</t>
  </si>
  <si>
    <t>2024-12-15_(1)</t>
  </si>
  <si>
    <t>2024-12-16_(1)</t>
  </si>
  <si>
    <t>2024-12-18_(4)</t>
  </si>
  <si>
    <t>933.0</t>
  </si>
  <si>
    <t>2024-12-18_(6)</t>
  </si>
  <si>
    <t>935.0</t>
  </si>
  <si>
    <t>937.0</t>
  </si>
  <si>
    <t>2024-12-19_(5)</t>
  </si>
  <si>
    <t>2024-12-20_(6)</t>
  </si>
  <si>
    <t>2024-12-20_(8)</t>
  </si>
  <si>
    <t>2024-12-20_(9)</t>
  </si>
  <si>
    <t>2024-12-21_(1)</t>
  </si>
  <si>
    <t>2024-12-21_(2)</t>
  </si>
  <si>
    <t>2024-12-21_(3)</t>
  </si>
  <si>
    <t>945.0</t>
  </si>
  <si>
    <t>2024-12-23_(2)</t>
  </si>
  <si>
    <t>947.0</t>
  </si>
  <si>
    <t>2024-12-24_(3)</t>
  </si>
  <si>
    <t>2024-12-29_(3)</t>
  </si>
  <si>
    <t>2024-12-29_(4)</t>
  </si>
  <si>
    <t>954.0</t>
  </si>
  <si>
    <t>2024-12-31_(1)</t>
  </si>
  <si>
    <t>2024-12-31_(2)</t>
  </si>
  <si>
    <t>955.0</t>
  </si>
  <si>
    <t>2024-12-31_(3)</t>
  </si>
  <si>
    <t>958.0</t>
  </si>
  <si>
    <t>959.0</t>
  </si>
  <si>
    <t>2025-01-05_(1)</t>
  </si>
  <si>
    <t>2025-01-05_(2)</t>
  </si>
  <si>
    <t>2025-01-06_(2)</t>
  </si>
  <si>
    <t>2025-01-07_(1)</t>
  </si>
  <si>
    <t>2025-01-07_(2)</t>
  </si>
  <si>
    <t>2025-01-07_(3)</t>
  </si>
  <si>
    <t>967.0</t>
  </si>
  <si>
    <t>2025-01-08_(1)</t>
  </si>
  <si>
    <t>2025-01-08_(2)</t>
  </si>
  <si>
    <t>2025-01-08_(3)</t>
  </si>
  <si>
    <t>968.0</t>
  </si>
  <si>
    <t>2025-01-09_(1)</t>
  </si>
  <si>
    <t>969.0</t>
  </si>
  <si>
    <t>2025-01-10_(2)</t>
  </si>
  <si>
    <t>2025-01-10_(3)</t>
  </si>
  <si>
    <t>2025-01-10_(4)</t>
  </si>
  <si>
    <t>2025-01-11_(3)</t>
  </si>
  <si>
    <t>2025-01-11_(4)</t>
  </si>
  <si>
    <t>2025-01-11_(5)</t>
  </si>
  <si>
    <t>2025-01-11_(6)</t>
  </si>
  <si>
    <t>2025-01-12_(11)</t>
  </si>
  <si>
    <t>2025-01-12_(3)</t>
  </si>
  <si>
    <t>2025-01-12_(4)</t>
  </si>
  <si>
    <t>2025-01-12_(5)</t>
  </si>
  <si>
    <t>2025-01-12_(8)</t>
  </si>
  <si>
    <t>2025-01-12_(9)</t>
  </si>
  <si>
    <t>2025-01-13_(3)</t>
  </si>
  <si>
    <t>2025-01-14</t>
  </si>
  <si>
    <t>986.0</t>
  </si>
  <si>
    <t>2025-01-17_(3)</t>
  </si>
  <si>
    <t>2025-01-17_(4)</t>
  </si>
  <si>
    <t>2025-01-17_(5)</t>
  </si>
  <si>
    <t>2025-01-18_(1)</t>
  </si>
  <si>
    <t>2025-01-20</t>
  </si>
  <si>
    <t>2025-01-24_(3)</t>
  </si>
  <si>
    <t>2025-01-25_(2)</t>
  </si>
  <si>
    <t>2025-01-26_(4)</t>
  </si>
  <si>
    <t>1005.0</t>
  </si>
  <si>
    <t>2025-01-29_(1)</t>
  </si>
  <si>
    <t>2025-01-29_(2)</t>
  </si>
  <si>
    <t>2025-01-29_(5)</t>
  </si>
  <si>
    <t>2025-01-30_(2)</t>
  </si>
  <si>
    <t>1013.0</t>
  </si>
  <si>
    <t>2025-01-31_(2)</t>
  </si>
  <si>
    <t>2025-01-31_(3)</t>
  </si>
  <si>
    <t>2025-02-01_(2)</t>
  </si>
  <si>
    <t>2025-02-02_(1)</t>
  </si>
  <si>
    <t>2025-02-02_(3)</t>
  </si>
  <si>
    <t>2025-02-02_(4)</t>
  </si>
  <si>
    <t>2025-02-03_(3)</t>
  </si>
  <si>
    <t>2025-02-03_(4)</t>
  </si>
  <si>
    <t>2025-02-05_(1)</t>
  </si>
  <si>
    <t>1020.0</t>
  </si>
  <si>
    <t>2025-02-08_(1)</t>
  </si>
  <si>
    <t>2025-02-10_(4)</t>
  </si>
  <si>
    <t>2025-02-11_(1)</t>
  </si>
  <si>
    <t>2025-02-11_(2)</t>
  </si>
  <si>
    <t>2025-02-11_(3)</t>
  </si>
  <si>
    <t>2025-02-11_(4)</t>
  </si>
  <si>
    <t>2025-02-11_(6)</t>
  </si>
  <si>
    <t>2025-02-12_(3)</t>
  </si>
  <si>
    <t>2025-02-12_(6)</t>
  </si>
  <si>
    <t>2025-02-12_(7)</t>
  </si>
  <si>
    <t>2025-02-12_(8)</t>
  </si>
  <si>
    <t>2025-02-13_(6)</t>
  </si>
  <si>
    <t>2025-02-14_(3)</t>
  </si>
  <si>
    <t>2025-02-15_(3)</t>
  </si>
  <si>
    <t>2025-02-16_(2)</t>
  </si>
  <si>
    <t>2025-02-17_(1)</t>
  </si>
  <si>
    <t>2025-02-17_(2)</t>
  </si>
  <si>
    <t>2025-02-17_(3)</t>
  </si>
  <si>
    <t>2025-02-17_(4)</t>
  </si>
  <si>
    <t>2025-02-17_(5)</t>
  </si>
  <si>
    <t>2025-02-17_(7)</t>
  </si>
  <si>
    <t>2025-02-19_(3)</t>
  </si>
  <si>
    <t>2025-02-19_(4)</t>
  </si>
  <si>
    <t>2025-02-19_(6)</t>
  </si>
  <si>
    <t>2025-02-20_(3)</t>
  </si>
  <si>
    <t>2025-02-21_(7)</t>
  </si>
  <si>
    <t>2025-02-22_(1)</t>
  </si>
  <si>
    <t>2025-02-22_(3)</t>
  </si>
  <si>
    <t>DK</t>
  </si>
  <si>
    <t>2024-02-08_(1)</t>
  </si>
  <si>
    <t>2024-02-14</t>
  </si>
  <si>
    <t>2024-02-15</t>
  </si>
  <si>
    <t>2024-02-26</t>
  </si>
  <si>
    <t>2024-03-04_(1)</t>
  </si>
  <si>
    <t>2024-03-05_(1)</t>
  </si>
  <si>
    <t>2024-03-05_(2)</t>
  </si>
  <si>
    <t>2024-03-07</t>
  </si>
  <si>
    <t>2024-03-08_(1)</t>
  </si>
  <si>
    <t>2024-03-08_(2)</t>
  </si>
  <si>
    <t>2024-03-11</t>
  </si>
  <si>
    <t>2024-03-12_(1)</t>
  </si>
  <si>
    <t>2024-03-12_(2)</t>
  </si>
  <si>
    <t>2024-03-13_(2)</t>
  </si>
  <si>
    <t>2024-03-13_(3)</t>
  </si>
  <si>
    <t>1393.0</t>
  </si>
  <si>
    <t>2024-03-14</t>
  </si>
  <si>
    <t>2024-03-16</t>
  </si>
  <si>
    <t>2024-03-18_(1)</t>
  </si>
  <si>
    <t>2024-03-18_(2)</t>
  </si>
  <si>
    <t>2024-03-20</t>
  </si>
  <si>
    <t>2024-03-22</t>
  </si>
  <si>
    <t>2024-03-23</t>
  </si>
  <si>
    <t>2024-03-24_(1)</t>
  </si>
  <si>
    <t>2024-03-24_(2)</t>
  </si>
  <si>
    <t>2024-03-24_(3)</t>
  </si>
  <si>
    <t>2024-03-26</t>
  </si>
  <si>
    <t>2024-04-01_(2)</t>
  </si>
  <si>
    <t>2024-04-02</t>
  </si>
  <si>
    <t>2024-04-03_(1)</t>
  </si>
  <si>
    <t>2024-04-07</t>
  </si>
  <si>
    <t>2024-04-08</t>
  </si>
  <si>
    <t>2024-04-09_(1)</t>
  </si>
  <si>
    <t>2024-04-09_(2)</t>
  </si>
  <si>
    <t>2024-04-12_(2)</t>
  </si>
  <si>
    <t>2024-04-12_(3)</t>
  </si>
  <si>
    <t>2024-04-13_(1)</t>
  </si>
  <si>
    <t>2024-04-13_(2)</t>
  </si>
  <si>
    <t>2024-04-14_(1)</t>
  </si>
  <si>
    <t>2024-04-14_(2)</t>
  </si>
  <si>
    <t>2024-04-18_(1)</t>
  </si>
  <si>
    <t>2024-04-19_(3)</t>
  </si>
  <si>
    <t>2024-04-27</t>
  </si>
  <si>
    <t>2024-04-28</t>
  </si>
  <si>
    <t>2024-04-30_(2)</t>
  </si>
  <si>
    <t>2024-05-02</t>
  </si>
  <si>
    <t>2024-05-03_(1)</t>
  </si>
  <si>
    <t>2024-05-03_(2)</t>
  </si>
  <si>
    <t>2024-05-03_(3)</t>
  </si>
  <si>
    <t>2024-05-05</t>
  </si>
  <si>
    <t>2024-05-07</t>
  </si>
  <si>
    <t>2024-05-11</t>
  </si>
  <si>
    <t>2024-05-13</t>
  </si>
  <si>
    <t>2024-05-14</t>
  </si>
  <si>
    <t>2024-05-17</t>
  </si>
  <si>
    <t>2024-05-18_(1)</t>
  </si>
  <si>
    <t>2024-05-21</t>
  </si>
  <si>
    <t>2024-05-24_(2)</t>
  </si>
  <si>
    <t>2024-05-25</t>
  </si>
  <si>
    <t>2024-05-28_(3)</t>
  </si>
  <si>
    <t>2024-05-31_(1)</t>
  </si>
  <si>
    <t>2024-05-31_(2)</t>
  </si>
  <si>
    <t>2024-05-31_(3)</t>
  </si>
  <si>
    <t>2024-06-01_(2)</t>
  </si>
  <si>
    <t>2024-06-04_(3)</t>
  </si>
  <si>
    <t>2024-06-08_(7)</t>
  </si>
  <si>
    <t>2024-06-09_(3)</t>
  </si>
  <si>
    <t>2024-02-07</t>
  </si>
  <si>
    <t>2024-02-11_(1)</t>
  </si>
  <si>
    <t>2024-02-11_(2)</t>
  </si>
  <si>
    <t>1367.0</t>
  </si>
  <si>
    <t>2024-02-16_(3)</t>
  </si>
  <si>
    <t>2024-02-17</t>
  </si>
  <si>
    <t>2024-02-21</t>
  </si>
  <si>
    <t>2024-02-23</t>
  </si>
  <si>
    <t>2024-02-24</t>
  </si>
  <si>
    <t>2024-02-26_(2)</t>
  </si>
  <si>
    <t>2024-02-29</t>
  </si>
  <si>
    <t>1373.0</t>
  </si>
  <si>
    <t>2024-03-03_(1)</t>
  </si>
  <si>
    <t>1376.0</t>
  </si>
  <si>
    <t>1381.0</t>
  </si>
  <si>
    <t>1383.0</t>
  </si>
  <si>
    <t>1386.0</t>
  </si>
  <si>
    <t>2024-03-10</t>
  </si>
  <si>
    <t>1387.0</t>
  </si>
  <si>
    <t>1389.0</t>
  </si>
  <si>
    <t>1394.0</t>
  </si>
  <si>
    <t>2024-03-14_(1)</t>
  </si>
  <si>
    <t>1395.0</t>
  </si>
  <si>
    <t>2024-03-14_(2)</t>
  </si>
  <si>
    <t>2024-03-14_(3)</t>
  </si>
  <si>
    <t>2024-03-15_(1)</t>
  </si>
  <si>
    <t>1396.0</t>
  </si>
  <si>
    <t>2024-03-15_(2)</t>
  </si>
  <si>
    <t>1397.0</t>
  </si>
  <si>
    <t>1398.0</t>
  </si>
  <si>
    <t>2024-03-18</t>
  </si>
  <si>
    <t>1399.0</t>
  </si>
  <si>
    <t>2024-03-19_(1)</t>
  </si>
  <si>
    <t>1401.0</t>
  </si>
  <si>
    <t>2024-03-19_(2)</t>
  </si>
  <si>
    <t>2024-03-20_(2)</t>
  </si>
  <si>
    <t>2024-03-20_(3)</t>
  </si>
  <si>
    <t>2024-03-21_(1)</t>
  </si>
  <si>
    <t>1403.0</t>
  </si>
  <si>
    <t>1404.0</t>
  </si>
  <si>
    <t>1405.0</t>
  </si>
  <si>
    <t>1407.0</t>
  </si>
  <si>
    <t>1409.0</t>
  </si>
  <si>
    <t>1412.0</t>
  </si>
  <si>
    <t>1415.0</t>
  </si>
  <si>
    <t>2024-03-29_(1)</t>
  </si>
  <si>
    <t>1416.0</t>
  </si>
  <si>
    <t>2024-03-31</t>
  </si>
  <si>
    <t>1419.0</t>
  </si>
  <si>
    <t>1422.0</t>
  </si>
  <si>
    <t>2024-04-01_(3)</t>
  </si>
  <si>
    <t>1423.0</t>
  </si>
  <si>
    <t>1424.0</t>
  </si>
  <si>
    <t>2024-04-03_(2)</t>
  </si>
  <si>
    <t>1426.0</t>
  </si>
  <si>
    <t>2024-04-04_(3)</t>
  </si>
  <si>
    <t>1427.0</t>
  </si>
  <si>
    <t>1429.0</t>
  </si>
  <si>
    <t>1430.0</t>
  </si>
  <si>
    <t>1431.0</t>
  </si>
  <si>
    <t>1432.0</t>
  </si>
  <si>
    <t>1434.0</t>
  </si>
  <si>
    <t>1435.0</t>
  </si>
  <si>
    <t>2024-04-12_(1)</t>
  </si>
  <si>
    <t>1655.0</t>
  </si>
  <si>
    <t>1437.0</t>
  </si>
  <si>
    <t>1440.0</t>
  </si>
  <si>
    <t>1444.0</t>
  </si>
  <si>
    <t>1446.0</t>
  </si>
  <si>
    <t>1448.0</t>
  </si>
  <si>
    <t>1450.0</t>
  </si>
  <si>
    <t>2024-04-19</t>
  </si>
  <si>
    <t>1452.0</t>
  </si>
  <si>
    <t>1455.0</t>
  </si>
  <si>
    <t>2024-04-24_(1)</t>
  </si>
  <si>
    <t>1459.0</t>
  </si>
  <si>
    <t>2024-04-24_(2)</t>
  </si>
  <si>
    <t>1460.0</t>
  </si>
  <si>
    <t>1463.0</t>
  </si>
  <si>
    <t>1464.0</t>
  </si>
  <si>
    <t>1465.0</t>
  </si>
  <si>
    <t>1466.0</t>
  </si>
  <si>
    <t>2024-04-28_(3)</t>
  </si>
  <si>
    <t>2024-04-30</t>
  </si>
  <si>
    <t>1468.0</t>
  </si>
  <si>
    <t>1472.0</t>
  </si>
  <si>
    <t>2024-05-02_(3)</t>
  </si>
  <si>
    <t>2024-05-02_(4)</t>
  </si>
  <si>
    <t>1473.0</t>
  </si>
  <si>
    <t>1475.0</t>
  </si>
  <si>
    <t>1476.0</t>
  </si>
  <si>
    <t>1689.0</t>
  </si>
  <si>
    <t>2024-05-05_(1)</t>
  </si>
  <si>
    <t>2024-05-05_(2)</t>
  </si>
  <si>
    <t>1479.0</t>
  </si>
  <si>
    <t>1480.0</t>
  </si>
  <si>
    <t>1481.0</t>
  </si>
  <si>
    <t>1482.0</t>
  </si>
  <si>
    <t>1486.0</t>
  </si>
  <si>
    <t>2024-05-12</t>
  </si>
  <si>
    <t>1487.0</t>
  </si>
  <si>
    <t>1489.0</t>
  </si>
  <si>
    <t>1490.0</t>
  </si>
  <si>
    <t>2024-05-15</t>
  </si>
  <si>
    <t>1491.0</t>
  </si>
  <si>
    <t>1497.0</t>
  </si>
  <si>
    <t>1500.0</t>
  </si>
  <si>
    <t>1501.0</t>
  </si>
  <si>
    <t>2024-05-22_(1)</t>
  </si>
  <si>
    <t>1502.0</t>
  </si>
  <si>
    <t>1504.0</t>
  </si>
  <si>
    <t>1506.0</t>
  </si>
  <si>
    <t>2024-05-25_(1)</t>
  </si>
  <si>
    <t>1510.0</t>
  </si>
  <si>
    <t>2024-05-25_(2)</t>
  </si>
  <si>
    <t>2024-05-27_(1)</t>
  </si>
  <si>
    <t>2024-05-27_(2)</t>
  </si>
  <si>
    <t>1514.0</t>
  </si>
  <si>
    <t>2024-05-29</t>
  </si>
  <si>
    <t>1518.0</t>
  </si>
  <si>
    <t>1520.0</t>
  </si>
  <si>
    <t>1523.0</t>
  </si>
  <si>
    <t>1525.0</t>
  </si>
  <si>
    <t>1528.0</t>
  </si>
  <si>
    <t>1532.0</t>
  </si>
  <si>
    <t>1536.0</t>
  </si>
  <si>
    <t>2024-06-04_(4)</t>
  </si>
  <si>
    <t>1543.0</t>
  </si>
  <si>
    <t>1547.0</t>
  </si>
  <si>
    <t>1549.0</t>
  </si>
  <si>
    <t>1553.0</t>
  </si>
  <si>
    <t>1559.0</t>
  </si>
  <si>
    <t>1555.0</t>
  </si>
  <si>
    <t>1560.0</t>
  </si>
  <si>
    <t>1563.0</t>
  </si>
  <si>
    <t>ES</t>
  </si>
  <si>
    <t>2024-02-09_(1)</t>
  </si>
  <si>
    <t>2024-02-10_(2)</t>
  </si>
  <si>
    <t>2024-02-11_(5)</t>
  </si>
  <si>
    <t>2024-02-11_(6)</t>
  </si>
  <si>
    <t>2024-02-15_(3)</t>
  </si>
  <si>
    <t>2024-02-16_(1)</t>
  </si>
  <si>
    <t>2024-02-16_(2)</t>
  </si>
  <si>
    <t>2024-02-16_(4)</t>
  </si>
  <si>
    <t>2024-02-18</t>
  </si>
  <si>
    <t>2024-02-22_(2)</t>
  </si>
  <si>
    <t>2024-02-23_(1)</t>
  </si>
  <si>
    <t>2024-02-24_(1)</t>
  </si>
  <si>
    <t>2024-02-24_(2)</t>
  </si>
  <si>
    <t>2024-03-02</t>
  </si>
  <si>
    <t>1826.0</t>
  </si>
  <si>
    <t>1833.0</t>
  </si>
  <si>
    <t>1839.0</t>
  </si>
  <si>
    <t>2024-03-19_(3)</t>
  </si>
  <si>
    <t>2024-04-06_(1)</t>
  </si>
  <si>
    <t>2024-04-06_(3)</t>
  </si>
  <si>
    <t>2024-04-07_(3)</t>
  </si>
  <si>
    <t>2024-04-08_(2)</t>
  </si>
  <si>
    <t>2024-04-10_(3)</t>
  </si>
  <si>
    <t>2024-04-10_(4)</t>
  </si>
  <si>
    <t>2024-04-11_(3)</t>
  </si>
  <si>
    <t>1883.0</t>
  </si>
  <si>
    <t>2024-04-12_(4)</t>
  </si>
  <si>
    <t>2024-04-12_(6)</t>
  </si>
  <si>
    <t>2024-04-13_(4)</t>
  </si>
  <si>
    <t>2024-04-15_(1)</t>
  </si>
  <si>
    <t>2024-04-15_(2)</t>
  </si>
  <si>
    <t>2024-04-18_(4)</t>
  </si>
  <si>
    <t>1903.0</t>
  </si>
  <si>
    <t>2024-04-23_(2)</t>
  </si>
  <si>
    <t>2024-04-24_(4)</t>
  </si>
  <si>
    <t>2024-04-28_(4)</t>
  </si>
  <si>
    <t>2024-04-29_(2)</t>
  </si>
  <si>
    <t>2024-04-29_(3)</t>
  </si>
  <si>
    <t>2024-04-29_(5)</t>
  </si>
  <si>
    <t>2024-05-04_(6)</t>
  </si>
  <si>
    <t>2024-05-05_(3)</t>
  </si>
  <si>
    <t>2024-05-07_(1)</t>
  </si>
  <si>
    <t>2024-05-07_(3)</t>
  </si>
  <si>
    <t>2024-05-08_(4)</t>
  </si>
  <si>
    <t>2024-05-08_(6)</t>
  </si>
  <si>
    <t>2024-05-08_(9)</t>
  </si>
  <si>
    <t>2024-05-09_(6)</t>
  </si>
  <si>
    <t>2024-05-09_(7)</t>
  </si>
  <si>
    <t>2024-05-10_(1)</t>
  </si>
  <si>
    <t>2024-05-10_(2)</t>
  </si>
  <si>
    <t>2024-05-10_(3)</t>
  </si>
  <si>
    <t>2024-05-13_(3)</t>
  </si>
  <si>
    <t>2024-05-19_(3)</t>
  </si>
  <si>
    <t>2024-05-19_(4)</t>
  </si>
  <si>
    <t>2024-05-20_(3)</t>
  </si>
  <si>
    <t>2024-05-20_(4)</t>
  </si>
  <si>
    <t>2024-05-21_(2)</t>
  </si>
  <si>
    <t>2024-05-21_(4)</t>
  </si>
  <si>
    <t>2024-05-21_(5)</t>
  </si>
  <si>
    <t>2024-05-25_(3)</t>
  </si>
  <si>
    <t>2024-05-30_(1)</t>
  </si>
  <si>
    <t>2024-05-30_(3)</t>
  </si>
  <si>
    <t>2024-05-30_(4)</t>
  </si>
  <si>
    <t>2024-06-02_(5)</t>
  </si>
  <si>
    <t>2024-06-02_(6)</t>
  </si>
  <si>
    <t>2024-02-07_(8)</t>
  </si>
  <si>
    <t>2024-02-09_(2)</t>
  </si>
  <si>
    <t>2024-02-10_(1)</t>
  </si>
  <si>
    <t>2024-02-13_(6)</t>
  </si>
  <si>
    <t>2024-02-14_(4)</t>
  </si>
  <si>
    <t>2024-02-14_(5)</t>
  </si>
  <si>
    <t>2024-02-15_(1)</t>
  </si>
  <si>
    <t>2024-02-15_(5)</t>
  </si>
  <si>
    <t>2024-02-16_(5)</t>
  </si>
  <si>
    <t>2024-02-18_(2)</t>
  </si>
  <si>
    <t>2024-02-20_(3)</t>
  </si>
  <si>
    <t>2024-02-20_(4)</t>
  </si>
  <si>
    <t>2024-02-20_(6)</t>
  </si>
  <si>
    <t>2024-02-21_(1)</t>
  </si>
  <si>
    <t>2024-02-24_(4)</t>
  </si>
  <si>
    <t>2024-02-28_(1)</t>
  </si>
  <si>
    <t>2024-02-28_(3)</t>
  </si>
  <si>
    <t>2024-02-29_(1)</t>
  </si>
  <si>
    <t>2024-02-29_(2)</t>
  </si>
  <si>
    <t>2024-03-06_(4)</t>
  </si>
  <si>
    <t>2024-03-08_(4)</t>
  </si>
  <si>
    <t>2024-03-08_(6)</t>
  </si>
  <si>
    <t>2024-03-09_(1)</t>
  </si>
  <si>
    <t>2024-03-13_(1)</t>
  </si>
  <si>
    <t>2024-03-15_(3)</t>
  </si>
  <si>
    <t>2024-03-18_(5)</t>
  </si>
  <si>
    <t>2259.0</t>
  </si>
  <si>
    <t>2024-04-04_(6)</t>
  </si>
  <si>
    <t>2024-04-06_(5)</t>
  </si>
  <si>
    <t>2024-04-06_(8)</t>
  </si>
  <si>
    <t>2024-04-09_(10)</t>
  </si>
  <si>
    <t>2024-04-09_(11)</t>
  </si>
  <si>
    <t>2024-04-09_(4)</t>
  </si>
  <si>
    <t>2298.0</t>
  </si>
  <si>
    <t>2024-04-09_(5)</t>
  </si>
  <si>
    <t>2024-04-09_(6)</t>
  </si>
  <si>
    <t>2024-04-09_(7)</t>
  </si>
  <si>
    <t>2024-04-09_(8)</t>
  </si>
  <si>
    <t>2024-04-09_(9)</t>
  </si>
  <si>
    <t>2024-04-10_(6)</t>
  </si>
  <si>
    <t>2024-04-10_(7)</t>
  </si>
  <si>
    <t>2024-04-10_(8)</t>
  </si>
  <si>
    <t>2024-04-10_(9)</t>
  </si>
  <si>
    <t>2024-04-11_(10)</t>
  </si>
  <si>
    <t>2024-04-11_(4)</t>
  </si>
  <si>
    <t>2024-04-11_(5)</t>
  </si>
  <si>
    <t>2024-04-11_(6)</t>
  </si>
  <si>
    <t>2024-04-11_(8)</t>
  </si>
  <si>
    <t>2024-04-14_(5)</t>
  </si>
  <si>
    <t>2024-04-19_(5)</t>
  </si>
  <si>
    <t>2024-04-19_(7)</t>
  </si>
  <si>
    <t>2024-04-22_(4)</t>
  </si>
  <si>
    <t>2024-04-22_(5)</t>
  </si>
  <si>
    <t>2024-04-23_(3)</t>
  </si>
  <si>
    <t>2024-04-29_(4)</t>
  </si>
  <si>
    <t>2024-04-30_(1)</t>
  </si>
  <si>
    <t>2024-04-30_(3)</t>
  </si>
  <si>
    <t>2024-05-01_(12)</t>
  </si>
  <si>
    <t>2024-05-01_(5)</t>
  </si>
  <si>
    <t>2439.0</t>
  </si>
  <si>
    <t>2024-05-02_(7)</t>
  </si>
  <si>
    <t>2024-05-02_(9)</t>
  </si>
  <si>
    <t>2024-05-03_(4)</t>
  </si>
  <si>
    <t>2024-05-03_(6)</t>
  </si>
  <si>
    <t>2024-05-03_(8)</t>
  </si>
  <si>
    <t>2024-05-03_(9)</t>
  </si>
  <si>
    <t>2024-05-04_(8)</t>
  </si>
  <si>
    <t>2024-05-05_(12)</t>
  </si>
  <si>
    <t>2024-05-05_(13)</t>
  </si>
  <si>
    <t>2024-05-05_(9)</t>
  </si>
  <si>
    <t>2024-05-06_(5)</t>
  </si>
  <si>
    <t>2024-05-07_(13)</t>
  </si>
  <si>
    <t>2024-05-07_(18)</t>
  </si>
  <si>
    <t>2024-05-07_(5)</t>
  </si>
  <si>
    <t>2024-05-07_(6)</t>
  </si>
  <si>
    <t>2024-05-08_(11)</t>
  </si>
  <si>
    <t>2024-05-08_(12)</t>
  </si>
  <si>
    <t>2024-05-08_(16)</t>
  </si>
  <si>
    <t>2024-05-10_(15)</t>
  </si>
  <si>
    <t>2024-05-10_(4)</t>
  </si>
  <si>
    <t>2561.0</t>
  </si>
  <si>
    <t>2024-05-14_(2)</t>
  </si>
  <si>
    <t>2024-05-14_(4)</t>
  </si>
  <si>
    <t>2024-05-19_(8)</t>
  </si>
  <si>
    <t>2024-05-21_(10)</t>
  </si>
  <si>
    <t>2024-05-21_(6)</t>
  </si>
  <si>
    <t>2024-05-21_(9)</t>
  </si>
  <si>
    <t>2024-05-22_(6)</t>
  </si>
  <si>
    <t>2024-05-23_(5)</t>
  </si>
  <si>
    <t>2024-05-25_(6)</t>
  </si>
  <si>
    <t>2024-05-25_(9)</t>
  </si>
  <si>
    <t>2644.0</t>
  </si>
  <si>
    <t>2024-05-26_(7)</t>
  </si>
  <si>
    <t>2024-05-27_(10)</t>
  </si>
  <si>
    <t>2024-05-27_(3)</t>
  </si>
  <si>
    <t>2024-05-27_(8)</t>
  </si>
  <si>
    <t>2653.0</t>
  </si>
  <si>
    <t>2024-05-28_(6)</t>
  </si>
  <si>
    <t>2024-05-28_(8)</t>
  </si>
  <si>
    <t>2024-05-29_(5)</t>
  </si>
  <si>
    <t>2024-05-30_(6)</t>
  </si>
  <si>
    <t>2024-05-31_(10)</t>
  </si>
  <si>
    <t>2688.0</t>
  </si>
  <si>
    <t>2024-05-31_(11)</t>
  </si>
  <si>
    <t>2024-05-31_(12)</t>
  </si>
  <si>
    <t>2024-05-31_(8)</t>
  </si>
  <si>
    <t>2024-05-31_(9)</t>
  </si>
  <si>
    <t>2024-06-01_(10)</t>
  </si>
  <si>
    <t>2704.0</t>
  </si>
  <si>
    <t>2024-06-03_(10)</t>
  </si>
  <si>
    <t>2024-06-05_(11)</t>
  </si>
  <si>
    <t>2024-06-05_(8)</t>
  </si>
  <si>
    <t>2024-06-06_(11)</t>
  </si>
  <si>
    <t>2061.0</t>
  </si>
  <si>
    <t>FR</t>
  </si>
  <si>
    <t>2024-02-08</t>
  </si>
  <si>
    <t>2024-03-06</t>
  </si>
  <si>
    <t>2024-04-05</t>
  </si>
  <si>
    <t>2024-04-06_(2)</t>
  </si>
  <si>
    <t>2024-04-07_(2)</t>
  </si>
  <si>
    <t>2024-04-14</t>
  </si>
  <si>
    <t>2024-04-21</t>
  </si>
  <si>
    <t>2024-04-22</t>
  </si>
  <si>
    <t>2024-04-24</t>
  </si>
  <si>
    <t>2024-04-25</t>
  </si>
  <si>
    <t>2024-05-03</t>
  </si>
  <si>
    <t>2024-05-08</t>
  </si>
  <si>
    <t>2024-05-09</t>
  </si>
  <si>
    <t>2024-05-16</t>
  </si>
  <si>
    <t>2024-05-18</t>
  </si>
  <si>
    <t>2024-05-21_(1)</t>
  </si>
  <si>
    <t>2024-05-26</t>
  </si>
  <si>
    <t>2024-05-28</t>
  </si>
  <si>
    <t>2024-05-31</t>
  </si>
  <si>
    <t>2024-06-01</t>
  </si>
  <si>
    <t>2024-06-02</t>
  </si>
  <si>
    <t>2870.0</t>
  </si>
  <si>
    <t>2024-06-04</t>
  </si>
  <si>
    <t>2024-06-07</t>
  </si>
  <si>
    <t>2024-06-10</t>
  </si>
  <si>
    <t>2024-06-11</t>
  </si>
  <si>
    <t>2024-06-12</t>
  </si>
  <si>
    <t>2024-06-13</t>
  </si>
  <si>
    <t>2024-06-14</t>
  </si>
  <si>
    <t>2024-06-15_(1)</t>
  </si>
  <si>
    <t>2024-06-15_(2)</t>
  </si>
  <si>
    <t>2024-06-17_(1)</t>
  </si>
  <si>
    <t>2024-06-17_(2)</t>
  </si>
  <si>
    <t>2024-06-19</t>
  </si>
  <si>
    <t>2024-06-20</t>
  </si>
  <si>
    <t>2024-06-21_(1)</t>
  </si>
  <si>
    <t>2830.0</t>
  </si>
  <si>
    <t>2024-06-21_(2)</t>
  </si>
  <si>
    <t>2024-06-22_(1)</t>
  </si>
  <si>
    <t>2024-06-22_(2)</t>
  </si>
  <si>
    <t>2024-06-25</t>
  </si>
  <si>
    <t>2024-06-27_(1)</t>
  </si>
  <si>
    <t>2024-06-27_(2)</t>
  </si>
  <si>
    <t>2024-06-28</t>
  </si>
  <si>
    <t>2024-06-29</t>
  </si>
  <si>
    <t>2024-06-30</t>
  </si>
  <si>
    <t>2024-07-01_(1)</t>
  </si>
  <si>
    <t>2024-07-01_(2)</t>
  </si>
  <si>
    <t>2024-07-03</t>
  </si>
  <si>
    <t>2024-07-04</t>
  </si>
  <si>
    <t>2024-07-05_(1)</t>
  </si>
  <si>
    <t>2024-07-05_(2)</t>
  </si>
  <si>
    <t>2024-02-08_(7)</t>
  </si>
  <si>
    <t>2024-02-09_(5)</t>
  </si>
  <si>
    <t>2024-02-12_(3)</t>
  </si>
  <si>
    <t>2024-02-12_(5)</t>
  </si>
  <si>
    <t>2024-02-12_(6)</t>
  </si>
  <si>
    <t>2024-02-12_(7)</t>
  </si>
  <si>
    <t>2915.0</t>
  </si>
  <si>
    <t>2024-02-14_(8)</t>
  </si>
  <si>
    <t>2921.0</t>
  </si>
  <si>
    <t>2024-02-18_(1)</t>
  </si>
  <si>
    <t>2951.0</t>
  </si>
  <si>
    <t>2024-02-18_(6)</t>
  </si>
  <si>
    <t>2024-02-20_(10)</t>
  </si>
  <si>
    <t>2024-02-21_(11)</t>
  </si>
  <si>
    <t>2024-02-22_(3)</t>
  </si>
  <si>
    <t>2024-02-22_(4)</t>
  </si>
  <si>
    <t>2024-02-23_(10)</t>
  </si>
  <si>
    <t>2024-02-23_(5)</t>
  </si>
  <si>
    <t>2024-02-25_(12)</t>
  </si>
  <si>
    <t>2024-02-25_(16)</t>
  </si>
  <si>
    <t>2024-02-25_(18)</t>
  </si>
  <si>
    <t>2024-02-25_(5)</t>
  </si>
  <si>
    <t>2024-02-26_(1)</t>
  </si>
  <si>
    <t>2024-02-26_(15)</t>
  </si>
  <si>
    <t>2024-02-26_(16)</t>
  </si>
  <si>
    <t>2024-02-26_(3)</t>
  </si>
  <si>
    <t>2024-02-28_(15)</t>
  </si>
  <si>
    <t>3048.0</t>
  </si>
  <si>
    <t>2024-02-28_(16)</t>
  </si>
  <si>
    <t>2024-02-28_(19)</t>
  </si>
  <si>
    <t>2024-02-29_(3)</t>
  </si>
  <si>
    <t>2024-02-29_(8)</t>
  </si>
  <si>
    <t>2024-03-01_(1)</t>
  </si>
  <si>
    <t>3049.0</t>
  </si>
  <si>
    <t>2024-03-03_(12)</t>
  </si>
  <si>
    <t>2024-03-03_(14)</t>
  </si>
  <si>
    <t>2024-03-03_(2)</t>
  </si>
  <si>
    <t>3159.0</t>
  </si>
  <si>
    <t>2024-03-03_(23)</t>
  </si>
  <si>
    <t>2024-03-03_(24)</t>
  </si>
  <si>
    <t>2024-03-03_(27)</t>
  </si>
  <si>
    <t>2024-03-03_(29)</t>
  </si>
  <si>
    <t>2024-03-03_(30)</t>
  </si>
  <si>
    <t>2024-03-03_(35)</t>
  </si>
  <si>
    <t>2024-03-03_(38)</t>
  </si>
  <si>
    <t>3175.0</t>
  </si>
  <si>
    <t>2024-03-07_(2)</t>
  </si>
  <si>
    <t>2024-03-11_(1)</t>
  </si>
  <si>
    <t>2024-03-11_(12)</t>
  </si>
  <si>
    <t>2024-03-11_(4)</t>
  </si>
  <si>
    <t>2024-03-11_(6)</t>
  </si>
  <si>
    <t>2024-03-11_(9)</t>
  </si>
  <si>
    <t>2024-03-12_(10)</t>
  </si>
  <si>
    <t>2024-03-13_(6)</t>
  </si>
  <si>
    <t>2024-03-14_(12)</t>
  </si>
  <si>
    <t>2024-03-14_(4)</t>
  </si>
  <si>
    <t>2024-03-14_(6)</t>
  </si>
  <si>
    <t>2024-03-15_(9)</t>
  </si>
  <si>
    <t>2024-03-16_(7)</t>
  </si>
  <si>
    <t>2024-03-18_(3)</t>
  </si>
  <si>
    <t>2024-03-18_(4)</t>
  </si>
  <si>
    <t>2024-03-18_(7)</t>
  </si>
  <si>
    <t>2024-03-19_(6)</t>
  </si>
  <si>
    <t>2024-03-20_(4)</t>
  </si>
  <si>
    <t>2024-03-20_(6)</t>
  </si>
  <si>
    <t>2024-03-21_(11)</t>
  </si>
  <si>
    <t>2024-03-21_(5)</t>
  </si>
  <si>
    <t>2024-03-22_(11)</t>
  </si>
  <si>
    <t>2024-03-22_(12)</t>
  </si>
  <si>
    <t>2024-03-22_(5)</t>
  </si>
  <si>
    <t>2024-03-22_(8)</t>
  </si>
  <si>
    <t>3377.0</t>
  </si>
  <si>
    <t>2024-03-22_(9)</t>
  </si>
  <si>
    <t>2024-03-25_(4)</t>
  </si>
  <si>
    <t>2024-03-25_(6)</t>
  </si>
  <si>
    <t>2024-03-26_(20)</t>
  </si>
  <si>
    <t>2024-03-26_(9)</t>
  </si>
  <si>
    <t>2024-03-27_(4)</t>
  </si>
  <si>
    <t>2024-03-28_(10)</t>
  </si>
  <si>
    <t>2024-03-28_(8)</t>
  </si>
  <si>
    <t>2024-03-29_(9)</t>
  </si>
  <si>
    <t>3253.0</t>
  </si>
  <si>
    <t>2024-04-03_(8)</t>
  </si>
  <si>
    <t>2024-04-04_(7)</t>
  </si>
  <si>
    <t>2024-04-05_(11)</t>
  </si>
  <si>
    <t>2024-04-05_(6)</t>
  </si>
  <si>
    <t>3458.0</t>
  </si>
  <si>
    <t>2024-04-06_(14)</t>
  </si>
  <si>
    <t>2024-04-06_(17)</t>
  </si>
  <si>
    <t>2024-04-06_(9)</t>
  </si>
  <si>
    <t>2024-04-08_(8)</t>
  </si>
  <si>
    <t>2024-04-08_(9)</t>
  </si>
  <si>
    <t>2024-04-09_(3)</t>
  </si>
  <si>
    <t>2024-04-10_(5)</t>
  </si>
  <si>
    <t>2024-04-11_(7)</t>
  </si>
  <si>
    <t>2024-04-12_(5)</t>
  </si>
  <si>
    <t>2024-04-13_(10)</t>
  </si>
  <si>
    <t>2024-04-13_(13)</t>
  </si>
  <si>
    <t>2024-04-13_(15)</t>
  </si>
  <si>
    <t>2024-04-13_(17)</t>
  </si>
  <si>
    <t>2024-04-15_(5)</t>
  </si>
  <si>
    <t>2024-04-17_(6)</t>
  </si>
  <si>
    <t>3472.0</t>
  </si>
  <si>
    <t>2024-04-17_(7)</t>
  </si>
  <si>
    <t>2024-04-18_(9)</t>
  </si>
  <si>
    <t>2024-04-19_(9)</t>
  </si>
  <si>
    <t>2024-04-20_(3)</t>
  </si>
  <si>
    <t>3640.0</t>
  </si>
  <si>
    <t>2024-04-23_(4)</t>
  </si>
  <si>
    <t>2024-04-23_(5)</t>
  </si>
  <si>
    <t>3633.0</t>
  </si>
  <si>
    <t>2024-04-24_(6)</t>
  </si>
  <si>
    <t>2024-04-24_(7)</t>
  </si>
  <si>
    <t>2024-04-25_(7)</t>
  </si>
  <si>
    <t>2024-04-26_(9)</t>
  </si>
  <si>
    <t>2024-04-29_(1)</t>
  </si>
  <si>
    <t>2024-04-29_(7)</t>
  </si>
  <si>
    <t>3652.0</t>
  </si>
  <si>
    <t>2024-04-30_(5)</t>
  </si>
  <si>
    <t>2024-05-01_(14)</t>
  </si>
  <si>
    <t>2024-05-01_(15)</t>
  </si>
  <si>
    <t>2024-05-01_(17)</t>
  </si>
  <si>
    <t>2024-05-01_(6)</t>
  </si>
  <si>
    <t>2024-05-02_(10)</t>
  </si>
  <si>
    <t>2024-05-02_(6)</t>
  </si>
  <si>
    <t>2024-05-02_(8)</t>
  </si>
  <si>
    <t>2024-05-03_(5)</t>
  </si>
  <si>
    <t>2845.0</t>
  </si>
  <si>
    <t>2024-05-04</t>
  </si>
  <si>
    <t>2847.0</t>
  </si>
  <si>
    <t>2024-05-05_(6)</t>
  </si>
  <si>
    <t>2850.0</t>
  </si>
  <si>
    <t>2024-05-07_(10)</t>
  </si>
  <si>
    <t>2024-05-07_(11)</t>
  </si>
  <si>
    <t>2024-05-10_(8)</t>
  </si>
  <si>
    <t>3697.0</t>
  </si>
  <si>
    <t>2024-05-13_(5)</t>
  </si>
  <si>
    <t>2024-05-14_(5)</t>
  </si>
  <si>
    <t>2024-05-17_(5)</t>
  </si>
  <si>
    <t>2858.0</t>
  </si>
  <si>
    <t>2024-05-22_(4)</t>
  </si>
  <si>
    <t>2024-05-23_(3)</t>
  </si>
  <si>
    <t>2024-05-23_(8)</t>
  </si>
  <si>
    <t>2860.0</t>
  </si>
  <si>
    <t>2024-05-24_(12)</t>
  </si>
  <si>
    <t>2024-05-24_(14)</t>
  </si>
  <si>
    <t>2024-05-24_(20)</t>
  </si>
  <si>
    <t>2864.0</t>
  </si>
  <si>
    <t>2024-05-27_(6)</t>
  </si>
  <si>
    <t>2024-05-27_(9)</t>
  </si>
  <si>
    <t>3777.0</t>
  </si>
  <si>
    <t>2024-05-31_(6)</t>
  </si>
  <si>
    <t>2024-06-02_(9)</t>
  </si>
  <si>
    <t>3742.0</t>
  </si>
  <si>
    <t>2874.0</t>
  </si>
  <si>
    <t>2024-06-12_(4)</t>
  </si>
  <si>
    <t>2024-06-18_(3)</t>
  </si>
  <si>
    <t>2024-06-18_(7)</t>
  </si>
  <si>
    <t>2024-06-20_(1)</t>
  </si>
  <si>
    <t>3967.0</t>
  </si>
  <si>
    <t>2024-06-20_(9)</t>
  </si>
  <si>
    <t>2024-06-21_(6)</t>
  </si>
  <si>
    <t>2024-06-24_(3)</t>
  </si>
  <si>
    <t>2024-06-25_(8)</t>
  </si>
  <si>
    <t>2024-06-27_(10)</t>
  </si>
  <si>
    <t>2024-06-27_(4)</t>
  </si>
  <si>
    <t>2024-06-28_(1)</t>
  </si>
  <si>
    <t>2024-06-28_(2)</t>
  </si>
  <si>
    <t>2024-06-28_(3)</t>
  </si>
  <si>
    <t>2024-06-28_(4)</t>
  </si>
  <si>
    <t>2024-06-28_(6)</t>
  </si>
  <si>
    <t>2024-06-29_(1)</t>
  </si>
  <si>
    <t>3932.0</t>
  </si>
  <si>
    <t>2024-07-02_(3)</t>
  </si>
  <si>
    <t>2024-07-02_(8)</t>
  </si>
  <si>
    <t>2024-07-03_(11)</t>
  </si>
  <si>
    <t>2024-07-04_(4)</t>
  </si>
  <si>
    <t>2024-07-05_(13)</t>
  </si>
  <si>
    <t>4091.0</t>
  </si>
  <si>
    <t>2024-07-05_(5)</t>
  </si>
  <si>
    <t>2024-07-05_(6)</t>
  </si>
  <si>
    <t>2024-07-05_(9)</t>
  </si>
  <si>
    <t>2024-07-06_(1)</t>
  </si>
  <si>
    <t>2024-07-06_(7)</t>
  </si>
  <si>
    <t>IT</t>
  </si>
  <si>
    <t>2024-02-07_(5)</t>
  </si>
  <si>
    <t>2024-02-15_(4)</t>
  </si>
  <si>
    <t>2024-02-19_(1)</t>
  </si>
  <si>
    <t>2024-02-19_(4)</t>
  </si>
  <si>
    <t>2024-02-20_(2)</t>
  </si>
  <si>
    <t>2024-02-21_(2)</t>
  </si>
  <si>
    <t>2024-02-22_(6)</t>
  </si>
  <si>
    <t>2024-02-23_(3)</t>
  </si>
  <si>
    <t>2024-02-23_(4)</t>
  </si>
  <si>
    <t>2024-02-27_(2)</t>
  </si>
  <si>
    <t>2024-02-28_(2)</t>
  </si>
  <si>
    <t>2024-03-07_(4)</t>
  </si>
  <si>
    <t>2024-03-07_(6)</t>
  </si>
  <si>
    <t>2024-03-12_(3)</t>
  </si>
  <si>
    <t>2024-03-16_(3)</t>
  </si>
  <si>
    <t>2024-03-21_(3)</t>
  </si>
  <si>
    <t>2024-03-23_(8)</t>
  </si>
  <si>
    <t>2024-03-23_(9)</t>
  </si>
  <si>
    <t>4285.0</t>
  </si>
  <si>
    <t>2024-04-05_(4)</t>
  </si>
  <si>
    <t>2024-04-06_(6)</t>
  </si>
  <si>
    <t>2024-04-08_(1)</t>
  </si>
  <si>
    <t>2024-04-18_(7)</t>
  </si>
  <si>
    <t>2024-04-19_(4)</t>
  </si>
  <si>
    <t>2024-04-27_(1)</t>
  </si>
  <si>
    <t>2024-04-29_(6)</t>
  </si>
  <si>
    <t>2024-05-07_(4)</t>
  </si>
  <si>
    <t>2024-05-17_(3)</t>
  </si>
  <si>
    <t>2024-05-20_(1)</t>
  </si>
  <si>
    <t>2024-05-21_(3)</t>
  </si>
  <si>
    <t>2024-05-23_(6)</t>
  </si>
  <si>
    <t>2024-05-23_(7)</t>
  </si>
  <si>
    <t>2024-05-26_(6)</t>
  </si>
  <si>
    <t>2024-05-27_(5)</t>
  </si>
  <si>
    <t>2024-05-30_(5)</t>
  </si>
  <si>
    <t>2024-05-31_(4)</t>
  </si>
  <si>
    <t>2024-06-01_(11)</t>
  </si>
  <si>
    <t>2024-06-01_(13)</t>
  </si>
  <si>
    <t>2024-06-01_(15)</t>
  </si>
  <si>
    <t>2024-06-01_(6)</t>
  </si>
  <si>
    <t>2024-06-01_(8)</t>
  </si>
  <si>
    <t>2024-06-03_(7)</t>
  </si>
  <si>
    <t>2024-06-03_(8)</t>
  </si>
  <si>
    <t>2024-06-07_(7)</t>
  </si>
  <si>
    <t>4603.0</t>
  </si>
  <si>
    <t>2024-02-07_(4)</t>
  </si>
  <si>
    <t>2024-02-08_(6)</t>
  </si>
  <si>
    <t>2024-02-09_(9)</t>
  </si>
  <si>
    <t>2024-02-10_(4)</t>
  </si>
  <si>
    <t>2024-02-11_(3)</t>
  </si>
  <si>
    <t>4171.0</t>
  </si>
  <si>
    <t>2024-02-16_(6)</t>
  </si>
  <si>
    <t>2024-02-19_(3)</t>
  </si>
  <si>
    <t>2024-02-20_(1)</t>
  </si>
  <si>
    <t>2024-02-20_(5)</t>
  </si>
  <si>
    <t>2024-02-22_(1)</t>
  </si>
  <si>
    <t>2024-02-23_(6)</t>
  </si>
  <si>
    <t>2024-02-24_(3)</t>
  </si>
  <si>
    <t>2024-02-25_(1)</t>
  </si>
  <si>
    <t>2024-02-27_(1)</t>
  </si>
  <si>
    <t>4210.0</t>
  </si>
  <si>
    <t>4215.0</t>
  </si>
  <si>
    <t>2024-03-01_(2)</t>
  </si>
  <si>
    <t>2024-03-01_(4)</t>
  </si>
  <si>
    <t>2024-03-01_(5)</t>
  </si>
  <si>
    <t>2024-03-02_(5)</t>
  </si>
  <si>
    <t>2024-03-02_(6)</t>
  </si>
  <si>
    <t>2024-03-03_(7)</t>
  </si>
  <si>
    <t>2024-03-04_(3)</t>
  </si>
  <si>
    <t>2024-03-04_(6)</t>
  </si>
  <si>
    <t>2024-03-06_(5)</t>
  </si>
  <si>
    <t>2024-03-07_(3)</t>
  </si>
  <si>
    <t>2024-03-08_(7)</t>
  </si>
  <si>
    <t>2024-03-09_(6)</t>
  </si>
  <si>
    <t>2024-03-10_(4)</t>
  </si>
  <si>
    <t>2024-03-12_(6)</t>
  </si>
  <si>
    <t>2024-03-20_(1)</t>
  </si>
  <si>
    <t>2024-03-22_(7)</t>
  </si>
  <si>
    <t>2024-03-26_(2)</t>
  </si>
  <si>
    <t>2024-03-27_(3)</t>
  </si>
  <si>
    <t>2024-03-27_(6)</t>
  </si>
  <si>
    <t>2024-03-28_(7)</t>
  </si>
  <si>
    <t>2024-03-29_(5)</t>
  </si>
  <si>
    <t>2024-03-29_(8)</t>
  </si>
  <si>
    <t>2024-03-30_(3)</t>
  </si>
  <si>
    <t>2024-04-02_(4)</t>
  </si>
  <si>
    <t>2024-04-02_(5)</t>
  </si>
  <si>
    <t>2024-04-03_(4)</t>
  </si>
  <si>
    <t>2024-04-03_(5)</t>
  </si>
  <si>
    <t>2024-04-04_(4)</t>
  </si>
  <si>
    <t>2024-04-05_(5)</t>
  </si>
  <si>
    <t>2024-04-07_(6)</t>
  </si>
  <si>
    <t>2024-04-12_(7)</t>
  </si>
  <si>
    <t>2024-04-17_(5)</t>
  </si>
  <si>
    <t>2024-04-18_(5)</t>
  </si>
  <si>
    <t>2024-04-20_(5)</t>
  </si>
  <si>
    <t>2024-04-21_(5)</t>
  </si>
  <si>
    <t>2024-04-25_(4)</t>
  </si>
  <si>
    <t>2024-04-27_(5)</t>
  </si>
  <si>
    <t>2024-05-05_(4)</t>
  </si>
  <si>
    <t>2024-05-11_(5)</t>
  </si>
  <si>
    <t>2024-05-13_(8)</t>
  </si>
  <si>
    <t>2024-05-14_(6)</t>
  </si>
  <si>
    <t>2024-05-16_(6)</t>
  </si>
  <si>
    <t>2024-05-19_(6)</t>
  </si>
  <si>
    <t>2024-05-24_(8)</t>
  </si>
  <si>
    <t>5340.0</t>
  </si>
  <si>
    <t>2024-05-29_(4)</t>
  </si>
  <si>
    <t>2024-05-29_(6)</t>
  </si>
  <si>
    <t>2024-05-29_(7)</t>
  </si>
  <si>
    <t>2024-06-04_(10)</t>
  </si>
  <si>
    <t>2024-06-04_(8)</t>
  </si>
  <si>
    <t>4581.0</t>
  </si>
  <si>
    <t>2024-06-07_(9)</t>
  </si>
  <si>
    <t>4604.0</t>
  </si>
  <si>
    <t>2024-06-08_(8)</t>
  </si>
  <si>
    <t>2024-06-08_(9)</t>
  </si>
  <si>
    <t>NL</t>
  </si>
  <si>
    <t>2024-06-06</t>
  </si>
  <si>
    <t>2025-07-01_(1)</t>
  </si>
  <si>
    <t>2025-07-01_(2)</t>
  </si>
  <si>
    <t>2025-07-02</t>
  </si>
  <si>
    <t>2025-07-03_(1)</t>
  </si>
  <si>
    <t>2025-07-03_(2)</t>
  </si>
  <si>
    <t>2025-07-03_(3)</t>
  </si>
  <si>
    <t>2025-07-05_(1)</t>
  </si>
  <si>
    <t>2025-07-05_(2)</t>
  </si>
  <si>
    <t>2025-07-06_(1)</t>
  </si>
  <si>
    <t>2025-07-06_(2)</t>
  </si>
  <si>
    <t>2025-07-07</t>
  </si>
  <si>
    <t>2025-07-08_(2)</t>
  </si>
  <si>
    <t>2025-07-13</t>
  </si>
  <si>
    <t>2025-07-14_(1)</t>
  </si>
  <si>
    <t>2025-07-14_(2)</t>
  </si>
  <si>
    <t>2025-07-17</t>
  </si>
  <si>
    <t>2025-07-18_(2)</t>
  </si>
  <si>
    <t>2025-07-20</t>
  </si>
  <si>
    <t>2025-07-22</t>
  </si>
  <si>
    <t>2025-07-25</t>
  </si>
  <si>
    <t>2025-07-26_(1)</t>
  </si>
  <si>
    <t>2025-07-26_(2)</t>
  </si>
  <si>
    <t>2025-07-26_(3)</t>
  </si>
  <si>
    <t>2025-07-28</t>
  </si>
  <si>
    <t>2025-07-29</t>
  </si>
  <si>
    <t>2025-08-03_(1)</t>
  </si>
  <si>
    <t>2025-08-03_(2)</t>
  </si>
  <si>
    <t>2025-08-04</t>
  </si>
  <si>
    <t>2025-08-06</t>
  </si>
  <si>
    <t>2025-08-07</t>
  </si>
  <si>
    <t>2025-08-08_(2)</t>
  </si>
  <si>
    <t>2025-08-09_(1)</t>
  </si>
  <si>
    <t>2025-08-10_(1)</t>
  </si>
  <si>
    <t>2025-08-10_(2)</t>
  </si>
  <si>
    <t>2025-08-11</t>
  </si>
  <si>
    <t>2025-08-12_(1)</t>
  </si>
  <si>
    <t>2025-08-12_(2)</t>
  </si>
  <si>
    <t>2025-08-12_(3)</t>
  </si>
  <si>
    <t>2025-08-14_(1)</t>
  </si>
  <si>
    <t>2025-08-14_(2)</t>
  </si>
  <si>
    <t>2025-08-15</t>
  </si>
  <si>
    <t>2025-08-16_(1)</t>
  </si>
  <si>
    <t>2025-08-16_(2)</t>
  </si>
  <si>
    <t>2025-08-18</t>
  </si>
  <si>
    <t>2025-08-23_(2)</t>
  </si>
  <si>
    <t>2025-08-25</t>
  </si>
  <si>
    <t>2025-08-26_(1)</t>
  </si>
  <si>
    <t>2025-08-26_(2)</t>
  </si>
  <si>
    <t>2025-08-27_(1)</t>
  </si>
  <si>
    <t>2025-08-27_(2)</t>
  </si>
  <si>
    <t>2025-08-27_(3)</t>
  </si>
  <si>
    <t>2025-08-27_(4)</t>
  </si>
  <si>
    <t>2025-08-27_(5)</t>
  </si>
  <si>
    <t>2025-08-28_(1)</t>
  </si>
  <si>
    <t>2025-08-28_(2)</t>
  </si>
  <si>
    <t>2025-08-28_(3)</t>
  </si>
  <si>
    <t>2025-08-28_(4)</t>
  </si>
  <si>
    <t>2025-08-28_(5)</t>
  </si>
  <si>
    <t>2025-08-30_(1)</t>
  </si>
  <si>
    <t>2025-08-30_(2)</t>
  </si>
  <si>
    <t>2025-08-30_(3)</t>
  </si>
  <si>
    <t>2025-08-30_(4)</t>
  </si>
  <si>
    <t>2025-08-31</t>
  </si>
  <si>
    <t>2025-09-01_(1)</t>
  </si>
  <si>
    <t>2025-09-01_(2)</t>
  </si>
  <si>
    <t>2025-09-02_(1)</t>
  </si>
  <si>
    <t>2025-09-02_(2)</t>
  </si>
  <si>
    <t>2025-09-03</t>
  </si>
  <si>
    <t>2025-09-04</t>
  </si>
  <si>
    <t>2025-09-05_(1)</t>
  </si>
  <si>
    <t>2025-09-05_(2)</t>
  </si>
  <si>
    <t>2025-09-05_(3)</t>
  </si>
  <si>
    <t>2025-09-06_(1)</t>
  </si>
  <si>
    <t>2025-09-06_(2)</t>
  </si>
  <si>
    <t>2025-09-07_(1)</t>
  </si>
  <si>
    <t>2025-09-07_(2)</t>
  </si>
  <si>
    <t>2025-09-09</t>
  </si>
  <si>
    <t>2025-09-10_(1)</t>
  </si>
  <si>
    <t>2025-09-11</t>
  </si>
  <si>
    <t>2025-09-16_(1)</t>
  </si>
  <si>
    <t>2025-09-16_(3)</t>
  </si>
  <si>
    <t>2025-09-18_(10)</t>
  </si>
  <si>
    <t>2025-09-18_(2)</t>
  </si>
  <si>
    <t>2025-09-18_(3)</t>
  </si>
  <si>
    <t>2025-09-18_(4)</t>
  </si>
  <si>
    <t>2025-09-18_(5)</t>
  </si>
  <si>
    <t>2025-09-18_(6)</t>
  </si>
  <si>
    <t>2025-09-18_(7)</t>
  </si>
  <si>
    <t>2025-09-18_(9)</t>
  </si>
  <si>
    <t>2025-09-19_(1)</t>
  </si>
  <si>
    <t>2025-09-19_(2)</t>
  </si>
  <si>
    <t>2025-09-19_(3)</t>
  </si>
  <si>
    <t>2025-09-19_(4)</t>
  </si>
  <si>
    <t>2025-09-20_(1)</t>
  </si>
  <si>
    <t>2025-09-20_(2)</t>
  </si>
  <si>
    <t>2025-09-21</t>
  </si>
  <si>
    <t>2025-09-22_(1)</t>
  </si>
  <si>
    <t>2025-09-22_(2)</t>
  </si>
  <si>
    <t>2025-09-23_(1)</t>
  </si>
  <si>
    <t>2025-09-23_(2)</t>
  </si>
  <si>
    <t>2025-09-23_(3)</t>
  </si>
  <si>
    <t>2025-09-24</t>
  </si>
  <si>
    <t>2025-09-25_(1)</t>
  </si>
  <si>
    <t>2025-09-25_(3)</t>
  </si>
  <si>
    <t>2025-09-25_(4)</t>
  </si>
  <si>
    <t>2025-09-26_(1)</t>
  </si>
  <si>
    <t>2025-09-26_(2)</t>
  </si>
  <si>
    <t>2025-09-26_(3)</t>
  </si>
  <si>
    <t>2025-09-27_(1)</t>
  </si>
  <si>
    <t>2025-09-27_(2)</t>
  </si>
  <si>
    <t>2025-09-27_(3)</t>
  </si>
  <si>
    <t>2025-09-28_(2)</t>
  </si>
  <si>
    <t>2025-09-28_(3)</t>
  </si>
  <si>
    <t>2025-09-29_(1)</t>
  </si>
  <si>
    <t>2025-09-30_(1)</t>
  </si>
  <si>
    <t>2025-09-30_(2)</t>
  </si>
  <si>
    <t>2025-09-30_(3)</t>
  </si>
  <si>
    <t>2025-10-01</t>
  </si>
  <si>
    <t>2025-10-04</t>
  </si>
  <si>
    <t>2025-10-05_(1)</t>
  </si>
  <si>
    <t>2025-10-06_(1)</t>
  </si>
  <si>
    <t>2025-10-06_(2)</t>
  </si>
  <si>
    <t>2025-10-06_(3)</t>
  </si>
  <si>
    <t>2025-10-07</t>
  </si>
  <si>
    <t>2025-10-08</t>
  </si>
  <si>
    <t>2025-10-10_(1)</t>
  </si>
  <si>
    <t>2025-10-10_(2)</t>
  </si>
  <si>
    <t>2025-10-10_(3)</t>
  </si>
  <si>
    <t>2025-10-13_(1)</t>
  </si>
  <si>
    <t>2025-10-13_(2)</t>
  </si>
  <si>
    <t>2025-10-14</t>
  </si>
  <si>
    <t>2025-10-15</t>
  </si>
  <si>
    <t>2025-10-16_(2)</t>
  </si>
  <si>
    <t>2025-10-16_(3)</t>
  </si>
  <si>
    <t>2025-10-17_(1)</t>
  </si>
  <si>
    <t>2025-10-17_(2)</t>
  </si>
  <si>
    <t>2025-10-18_(3)</t>
  </si>
  <si>
    <t>2025-10-18_(4)</t>
  </si>
  <si>
    <t>2025-10-19_(2)</t>
  </si>
  <si>
    <t>2025-10-19_(3)</t>
  </si>
  <si>
    <t>2025-10-20_(2)</t>
  </si>
  <si>
    <t>2025-10-20_(3)</t>
  </si>
  <si>
    <t>2025-10-20_(4)</t>
  </si>
  <si>
    <t>2025-10-20_(5)</t>
  </si>
  <si>
    <t>2025-10-21_(1)</t>
  </si>
  <si>
    <t>2025-10-21_(2)</t>
  </si>
  <si>
    <t>2025-10-22</t>
  </si>
  <si>
    <t>2025-10-25_(1)</t>
  </si>
  <si>
    <t>2025-10-25_(2)</t>
  </si>
  <si>
    <t>2025-10-25_(3)</t>
  </si>
  <si>
    <t>2025-10-25_(5)</t>
  </si>
  <si>
    <t>2025-10-25_(6)</t>
  </si>
  <si>
    <t>2025-10-25_(7)</t>
  </si>
  <si>
    <t>2025-10-25_(8)</t>
  </si>
  <si>
    <t>2025-10-26_(1)</t>
  </si>
  <si>
    <t>2025-10-26_(2)</t>
  </si>
  <si>
    <t>2025-10-26_(3)</t>
  </si>
  <si>
    <t>2025-10-29_(1)</t>
  </si>
  <si>
    <t>2025-10-29_(10)</t>
  </si>
  <si>
    <t>2025-10-29_(2)</t>
  </si>
  <si>
    <t>2025-10-29_(3)</t>
  </si>
  <si>
    <t>2025-10-29_(4)</t>
  </si>
  <si>
    <t>2025-10-29_(5)</t>
  </si>
  <si>
    <t>2025-10-29_(6)</t>
  </si>
  <si>
    <t>2025-10-29_(7)</t>
  </si>
  <si>
    <t>2025-10-29_(9)</t>
  </si>
  <si>
    <t>2025-10-22_(1)</t>
  </si>
  <si>
    <t>5674.0</t>
  </si>
  <si>
    <t>2025-10-22_(2)</t>
  </si>
  <si>
    <t>2025-10-23</t>
  </si>
  <si>
    <t>5608.0</t>
  </si>
  <si>
    <t>2025-10-25</t>
  </si>
  <si>
    <t>5677.0</t>
  </si>
  <si>
    <t>2025-10-28_(1)</t>
  </si>
  <si>
    <t>5683.0</t>
  </si>
  <si>
    <t>2025-10-28_(2)</t>
  </si>
  <si>
    <t>2025-10-28_(3)</t>
  </si>
  <si>
    <t>5686.0</t>
  </si>
  <si>
    <t>5695.0</t>
  </si>
  <si>
    <t>5687.0</t>
  </si>
  <si>
    <t>UK</t>
  </si>
  <si>
    <t>2024-03-13</t>
  </si>
  <si>
    <t>2024-03-28</t>
  </si>
  <si>
    <t>2024-06-08</t>
  </si>
  <si>
    <t>2024-06-11_(1)</t>
  </si>
  <si>
    <t>2024-06-11_(2)</t>
  </si>
  <si>
    <t>2024-06-11_(3)</t>
  </si>
  <si>
    <t>2024-06-12_(1)</t>
  </si>
  <si>
    <t>2024-06-12_(2)</t>
  </si>
  <si>
    <t>2024-06-14_(1)</t>
  </si>
  <si>
    <t>2024-06-14_(2)</t>
  </si>
  <si>
    <t>2024-06-16_(1)</t>
  </si>
  <si>
    <t>2024-06-16_(2)</t>
  </si>
  <si>
    <t>2024-06-16_(3)</t>
  </si>
  <si>
    <t>2024-06-18_(1)</t>
  </si>
  <si>
    <t>2024-06-18_(2)</t>
  </si>
  <si>
    <t>2024-06-20_(2)</t>
  </si>
  <si>
    <t>2024-06-20_(3)</t>
  </si>
  <si>
    <t>2024-06-21</t>
  </si>
  <si>
    <t>2024-06-22</t>
  </si>
  <si>
    <t>2024-06-24</t>
  </si>
  <si>
    <t>2024-06-25_(1)</t>
  </si>
  <si>
    <t>2024-06-25_(2)</t>
  </si>
  <si>
    <t>2024-06-25_(3)</t>
  </si>
  <si>
    <t>2024-06-25_(4)</t>
  </si>
  <si>
    <t>2024-06-26</t>
  </si>
  <si>
    <t>2024-06-29_(2)</t>
  </si>
  <si>
    <t>2024-07-02</t>
  </si>
  <si>
    <t>2024-07-03_(1)</t>
  </si>
  <si>
    <t>2024-07-03_(2)</t>
  </si>
  <si>
    <t>2024-07-04_(1)</t>
  </si>
  <si>
    <t>2024-07-04_(2)</t>
  </si>
  <si>
    <t>2024-07-04_(3)</t>
  </si>
  <si>
    <t>2024-07-04_(5)</t>
  </si>
  <si>
    <t>2024-07-04_(6)</t>
  </si>
  <si>
    <t>2024-07-04_(7)</t>
  </si>
  <si>
    <t>2024-03-11_(7)</t>
  </si>
  <si>
    <t>2024-03-12_(4)</t>
  </si>
  <si>
    <t>2024-03-16_(5)</t>
  </si>
  <si>
    <t>2024-03-17_(1)</t>
  </si>
  <si>
    <t>2024-03-19_(4)</t>
  </si>
  <si>
    <t>2024-03-19_(5)</t>
  </si>
  <si>
    <t>2024-03-21_(4)</t>
  </si>
  <si>
    <t>2024-03-21_(6)</t>
  </si>
  <si>
    <t>2024-03-24_(5)</t>
  </si>
  <si>
    <t>5847.0</t>
  </si>
  <si>
    <t>2024-03-30_(2)</t>
  </si>
  <si>
    <t>5835.0</t>
  </si>
  <si>
    <t>2024-04-08_(3)</t>
  </si>
  <si>
    <t>5876.0</t>
  </si>
  <si>
    <t>2024-04-15_(4)</t>
  </si>
  <si>
    <t>2024-04-17_(3)</t>
  </si>
  <si>
    <t>2024-04-17_(4)</t>
  </si>
  <si>
    <t>5940.0</t>
  </si>
  <si>
    <t>5842.0</t>
  </si>
  <si>
    <t>2024-04-21_(4)</t>
  </si>
  <si>
    <t>2024-04-23_(7)</t>
  </si>
  <si>
    <t>2024-04-25_(3)</t>
  </si>
  <si>
    <t>5854.0</t>
  </si>
  <si>
    <t>5918.0</t>
  </si>
  <si>
    <t>2024-05-01_(3)</t>
  </si>
  <si>
    <t>2024-05-02_(12)</t>
  </si>
  <si>
    <t>5955.0</t>
  </si>
  <si>
    <t>5850.0</t>
  </si>
  <si>
    <t>5916.0</t>
  </si>
  <si>
    <t>5941.0</t>
  </si>
  <si>
    <t>5922.0</t>
  </si>
  <si>
    <t>2024-05-24_(10)</t>
  </si>
  <si>
    <t>6028.0</t>
  </si>
  <si>
    <t>2024-06-03</t>
  </si>
  <si>
    <t>2024-06-10_(1)</t>
  </si>
  <si>
    <t>2024-06-12_(3)</t>
  </si>
  <si>
    <t>2024-06-13_(1)</t>
  </si>
  <si>
    <t>2024-06-13_(4)</t>
  </si>
  <si>
    <t>2024-06-14_(3)</t>
  </si>
  <si>
    <t>2024-06-17_(5)</t>
  </si>
  <si>
    <t>2024-06-17_(6)</t>
  </si>
  <si>
    <t>2024-06-18_(4)</t>
  </si>
  <si>
    <t>2024-06-18_(5)</t>
  </si>
  <si>
    <t>2024-06-18_(6)</t>
  </si>
  <si>
    <t>2024-06-19_(2)</t>
  </si>
  <si>
    <t>2024-06-19_(3)</t>
  </si>
  <si>
    <t>2024-06-19_(4)</t>
  </si>
  <si>
    <t>2024-06-19_(5)</t>
  </si>
  <si>
    <t>2024-06-20_(5)</t>
  </si>
  <si>
    <t>2024-06-23_(1)</t>
  </si>
  <si>
    <t>6140.0</t>
  </si>
  <si>
    <t>6107.0</t>
  </si>
  <si>
    <t>2024-06-27_(3)</t>
  </si>
  <si>
    <t>2024-06-29_(3)</t>
  </si>
  <si>
    <t>2024-06-30_(2)</t>
  </si>
  <si>
    <t>2024-07-01</t>
  </si>
  <si>
    <t>2024-07-02_(4)</t>
  </si>
  <si>
    <t>2024-07-04_(8)</t>
  </si>
  <si>
    <t>2024-07-04_(9)</t>
  </si>
  <si>
    <t>T1 – Topic shares: AI (full visuals) vs conventional posts, whole corpus</t>
  </si>
  <si>
    <t>N AI</t>
  </si>
  <si>
    <t>N conv</t>
  </si>
  <si>
    <t>n AI</t>
  </si>
  <si>
    <t>n conv</t>
  </si>
  <si>
    <t>share AI</t>
  </si>
  <si>
    <t>share conv</t>
  </si>
  <si>
    <t>diff (pp)</t>
  </si>
  <si>
    <t>ratio AI/conv</t>
  </si>
  <si>
    <t>p</t>
  </si>
  <si>
    <t>min expected</t>
  </si>
  <si>
    <t>small-cell flag</t>
  </si>
  <si>
    <t>sort key</t>
  </si>
  <si>
    <t>rank</t>
  </si>
  <si>
    <t>conv</t>
  </si>
  <si>
    <t>AI</t>
  </si>
  <si>
    <t>topic</t>
  </si>
  <si>
    <t>n conv (sample)</t>
  </si>
  <si>
    <t>group</t>
  </si>
  <si>
    <t>N</t>
  </si>
  <si>
    <t>topics per post</t>
  </si>
  <si>
    <t>0</t>
  </si>
  <si>
    <t>1</t>
  </si>
  <si>
    <t>2</t>
  </si>
  <si>
    <t>3+</t>
  </si>
  <si>
    <t>mean topics per post</t>
  </si>
  <si>
    <t>2024-05-01</t>
  </si>
  <si>
    <t>2024-04-26</t>
  </si>
  <si>
    <t>2024-03-21</t>
  </si>
  <si>
    <t>2024-03-05</t>
  </si>
  <si>
    <t>2024-02-19</t>
  </si>
  <si>
    <t>2024-03-15</t>
  </si>
  <si>
    <t>2025-02-01</t>
  </si>
  <si>
    <t>2025-01-27</t>
  </si>
  <si>
    <t>2024-12-27</t>
  </si>
  <si>
    <t>topical</t>
  </si>
  <si>
    <t>Conventional</t>
  </si>
  <si>
    <t>AI (full visuals)</t>
  </si>
  <si>
    <t>n topical</t>
  </si>
  <si>
    <t>share no topic</t>
  </si>
  <si>
    <t>n no topic</t>
  </si>
  <si>
    <t>n posts</t>
  </si>
  <si>
    <t>Wilders</t>
  </si>
  <si>
    <t>no-topic share conv</t>
  </si>
  <si>
    <t>n conv topical</t>
  </si>
  <si>
    <t>no-topic share AI</t>
  </si>
  <si>
    <t>n AI topical</t>
  </si>
  <si>
    <t>Summary – per account: sampled posts, topical posts, no-topic share</t>
  </si>
  <si>
    <t>287</t>
  </si>
  <si>
    <t>284</t>
  </si>
  <si>
    <t>275</t>
  </si>
  <si>
    <t>268</t>
  </si>
  <si>
    <t>265</t>
  </si>
  <si>
    <t>259</t>
  </si>
  <si>
    <t>258</t>
  </si>
  <si>
    <t>257</t>
  </si>
  <si>
    <t>253</t>
  </si>
  <si>
    <t>252</t>
  </si>
  <si>
    <t>251</t>
  </si>
  <si>
    <t>249</t>
  </si>
  <si>
    <t>248</t>
  </si>
  <si>
    <t>240</t>
  </si>
  <si>
    <t>233</t>
  </si>
  <si>
    <t>230</t>
  </si>
  <si>
    <t>228</t>
  </si>
  <si>
    <t>227</t>
  </si>
  <si>
    <t>225</t>
  </si>
  <si>
    <t>223</t>
  </si>
  <si>
    <t>222</t>
  </si>
  <si>
    <t>221</t>
  </si>
  <si>
    <t>218</t>
  </si>
  <si>
    <t>217</t>
  </si>
  <si>
    <t>173</t>
  </si>
  <si>
    <t>165</t>
  </si>
  <si>
    <t>163</t>
  </si>
  <si>
    <t>161</t>
  </si>
  <si>
    <t>156</t>
  </si>
  <si>
    <t>153</t>
  </si>
  <si>
    <t>151</t>
  </si>
  <si>
    <t>150</t>
  </si>
  <si>
    <t>136</t>
  </si>
  <si>
    <t>134</t>
  </si>
  <si>
    <t>130</t>
  </si>
  <si>
    <t>124</t>
  </si>
  <si>
    <t>121</t>
  </si>
  <si>
    <t>114</t>
  </si>
  <si>
    <t>113</t>
  </si>
  <si>
    <t>110</t>
  </si>
  <si>
    <t>107</t>
  </si>
  <si>
    <t>97</t>
  </si>
  <si>
    <t>96</t>
  </si>
  <si>
    <t>95</t>
  </si>
  <si>
    <t>93</t>
  </si>
  <si>
    <t>90</t>
  </si>
  <si>
    <t>88</t>
  </si>
  <si>
    <t>87</t>
  </si>
  <si>
    <t>84</t>
  </si>
  <si>
    <t>78</t>
  </si>
  <si>
    <t>77</t>
  </si>
  <si>
    <t>73</t>
  </si>
  <si>
    <t>58</t>
  </si>
  <si>
    <t>57</t>
  </si>
  <si>
    <t>54</t>
  </si>
  <si>
    <t>53</t>
  </si>
  <si>
    <t>50</t>
  </si>
  <si>
    <t>49</t>
  </si>
  <si>
    <t>47</t>
  </si>
  <si>
    <t>46</t>
  </si>
  <si>
    <t>39</t>
  </si>
  <si>
    <t>35</t>
  </si>
  <si>
    <t>32</t>
  </si>
  <si>
    <t>29</t>
  </si>
  <si>
    <t>23</t>
  </si>
  <si>
    <t>22</t>
  </si>
  <si>
    <t>21</t>
  </si>
  <si>
    <t>19</t>
  </si>
  <si>
    <t>12</t>
  </si>
  <si>
    <t>8</t>
  </si>
  <si>
    <t>5</t>
  </si>
  <si>
    <t>4</t>
  </si>
  <si>
    <t>Label</t>
  </si>
  <si>
    <t>Belgium</t>
  </si>
  <si>
    <t>Spain</t>
  </si>
  <si>
    <t>France</t>
  </si>
  <si>
    <t>Germany</t>
  </si>
  <si>
    <t>Italy</t>
  </si>
  <si>
    <t>United Kingdom</t>
  </si>
  <si>
    <t>Denmark</t>
  </si>
  <si>
    <t>Netherlands</t>
  </si>
  <si>
    <t>Australia</t>
  </si>
  <si>
    <t>2024-07-03_(3)</t>
  </si>
  <si>
    <t>2024-07-02_(7)</t>
  </si>
  <si>
    <t>2024-07-02_(6)</t>
  </si>
  <si>
    <t>2024-07-02_(5)</t>
  </si>
  <si>
    <t>2024-07-02_(2)</t>
  </si>
  <si>
    <t>2024-07-02_(1)</t>
  </si>
  <si>
    <t>2024-06-30_(5)</t>
  </si>
  <si>
    <t>2024-06-30_(4)</t>
  </si>
  <si>
    <t>2024-06-30_(3)</t>
  </si>
  <si>
    <t>2024-06-30_(1)</t>
  </si>
  <si>
    <t>2024-06-24_(5)</t>
  </si>
  <si>
    <t>2024-06-24_(4)</t>
  </si>
  <si>
    <t>2024-06-24_(2)</t>
  </si>
  <si>
    <t>2024-06-24_(1)</t>
  </si>
  <si>
    <t>2024-06-23_(2)</t>
  </si>
  <si>
    <t>2024-06-21_(7)</t>
  </si>
  <si>
    <t>2024-06-21_(5)</t>
  </si>
  <si>
    <t>2024-06-21_(4)</t>
  </si>
  <si>
    <t>2024-06-21_(3)</t>
  </si>
  <si>
    <t>2024-06-20_(7)</t>
  </si>
  <si>
    <t>2024-06-20_(6)</t>
  </si>
  <si>
    <t>2024-06-20_(4)</t>
  </si>
  <si>
    <t>2024-06-19_(1)</t>
  </si>
  <si>
    <t>2024-06-17_(4)</t>
  </si>
  <si>
    <t>2024-06-17_(3)</t>
  </si>
  <si>
    <t>2024-06-15_(5)</t>
  </si>
  <si>
    <t>2024-06-15_(4)</t>
  </si>
  <si>
    <t>2024-06-15_(3)</t>
  </si>
  <si>
    <t>2024-06-14_(7)</t>
  </si>
  <si>
    <t>2024-06-14_(6)</t>
  </si>
  <si>
    <t>2024-06-14_(5)</t>
  </si>
  <si>
    <t>2024-06-14_(4)</t>
  </si>
  <si>
    <t>2024-06-13_(3)</t>
  </si>
  <si>
    <t>2024-06-13_(2)</t>
  </si>
  <si>
    <t>2024-06-11_(4)</t>
  </si>
  <si>
    <t>2024-06-10_(2)</t>
  </si>
  <si>
    <t>2024-05-25_(4)</t>
  </si>
  <si>
    <t>2024-05-24_(9)</t>
  </si>
  <si>
    <t>2024-05-23_(4)</t>
  </si>
  <si>
    <t>2024-05-14_(3)</t>
  </si>
  <si>
    <t>2024-05-03_(7)</t>
  </si>
  <si>
    <t>2024-05-02_(5)</t>
  </si>
  <si>
    <t>2024-05-02_(13)</t>
  </si>
  <si>
    <t>2024-05-02_(11)</t>
  </si>
  <si>
    <t>2024-05-01_(8)</t>
  </si>
  <si>
    <t>2024-05-01_(7)</t>
  </si>
  <si>
    <t>2024-05-01_(4)</t>
  </si>
  <si>
    <t>2024-04-30_(4)</t>
  </si>
  <si>
    <t>2024-04-26_(4)</t>
  </si>
  <si>
    <t>2024-04-23_(8)</t>
  </si>
  <si>
    <t>2024-04-23_(6)</t>
  </si>
  <si>
    <t>2024-04-22_(3)</t>
  </si>
  <si>
    <t>2024-04-20_(2)</t>
  </si>
  <si>
    <t>2024-04-15_(3)</t>
  </si>
  <si>
    <t>2024-04-08_(6)</t>
  </si>
  <si>
    <t>2024-04-08_(5)</t>
  </si>
  <si>
    <t>2024-04-08_(4)</t>
  </si>
  <si>
    <t>2024-04-03_(3)</t>
  </si>
  <si>
    <t>2024-04-02_(3)</t>
  </si>
  <si>
    <t>2024-03-29_(4)</t>
  </si>
  <si>
    <t>2024-03-29_(3)</t>
  </si>
  <si>
    <t>2024-03-24_(4)</t>
  </si>
  <si>
    <t>2024-03-21_(7)</t>
  </si>
  <si>
    <t>2024-03-17_(2)</t>
  </si>
  <si>
    <t>2024-03-16_(4)</t>
  </si>
  <si>
    <t>2024-03-15_(5)</t>
  </si>
  <si>
    <t>2024-03-15_(4)</t>
  </si>
  <si>
    <t>2024-03-12_(8)</t>
  </si>
  <si>
    <t>2024-03-12_(7)</t>
  </si>
  <si>
    <t>2024-03-12_(5)</t>
  </si>
  <si>
    <t>2024-03-11_(8)</t>
  </si>
  <si>
    <t>2024-03-11_(5)</t>
  </si>
  <si>
    <t>2024-03-11_(3)</t>
  </si>
  <si>
    <t>2025-10-29_(8)</t>
  </si>
  <si>
    <t>2025-10-25_(4)</t>
  </si>
  <si>
    <t>2025-10-20_(1)</t>
  </si>
  <si>
    <t>2025-10-19_(1)</t>
  </si>
  <si>
    <t>2025-10-18_(2)</t>
  </si>
  <si>
    <t>2025-10-18_(1)</t>
  </si>
  <si>
    <t>2025-10-16_(1)</t>
  </si>
  <si>
    <t>2025-10-05_(2)</t>
  </si>
  <si>
    <t>2025-10-02</t>
  </si>
  <si>
    <t>2025-09-29_(2)</t>
  </si>
  <si>
    <t>2025-09-28_(1)</t>
  </si>
  <si>
    <t>2025-09-25_(2)</t>
  </si>
  <si>
    <t>2025-09-22_(3)</t>
  </si>
  <si>
    <t>2025-09-19_(5)</t>
  </si>
  <si>
    <t>2025-09-18_(8)</t>
  </si>
  <si>
    <t>2025-09-18_(1)</t>
  </si>
  <si>
    <t>2025-09-16_(2)</t>
  </si>
  <si>
    <t>2025-09-13</t>
  </si>
  <si>
    <t>2025-09-12</t>
  </si>
  <si>
    <t>2025-09-10_(2)</t>
  </si>
  <si>
    <t>2025-08-28_(6)</t>
  </si>
  <si>
    <t>2025-08-27_(6)</t>
  </si>
  <si>
    <t>2025-08-23_(1)</t>
  </si>
  <si>
    <t>2025-08-17</t>
  </si>
  <si>
    <t>2025-08-09_(2)</t>
  </si>
  <si>
    <t>2025-08-08_(1)</t>
  </si>
  <si>
    <t>2025-07-30</t>
  </si>
  <si>
    <t>2025-07-27</t>
  </si>
  <si>
    <t>2025-07-18_(1)</t>
  </si>
  <si>
    <t>2025-07-08_(1)</t>
  </si>
  <si>
    <t>2025-07-04</t>
  </si>
  <si>
    <t>2024-06-09_(5)</t>
  </si>
  <si>
    <t>2024-06-08_(10)</t>
  </si>
  <si>
    <t>2024-06-04_(9)</t>
  </si>
  <si>
    <t>2024-06-04_(7)</t>
  </si>
  <si>
    <t>2024-06-04_(12)</t>
  </si>
  <si>
    <t>2024-06-04_(11)</t>
  </si>
  <si>
    <t>2024-06-03_(9)</t>
  </si>
  <si>
    <t>2024-06-02_(8)</t>
  </si>
  <si>
    <t>2024-06-02_(7)</t>
  </si>
  <si>
    <t>2024-06-02_(4)</t>
  </si>
  <si>
    <t>2024-06-02_(11)</t>
  </si>
  <si>
    <t>2024-06-02_(10)</t>
  </si>
  <si>
    <t>2024-06-01_(9)</t>
  </si>
  <si>
    <t>2024-06-01_(7)</t>
  </si>
  <si>
    <t>2024-05-31_(7)</t>
  </si>
  <si>
    <t>2024-05-31_(5)</t>
  </si>
  <si>
    <t>2024-05-30_(9)</t>
  </si>
  <si>
    <t>2024-05-30_(8)</t>
  </si>
  <si>
    <t>2024-05-30_(7)</t>
  </si>
  <si>
    <t>2024-05-29_(9)</t>
  </si>
  <si>
    <t>2024-05-29_(8)</t>
  </si>
  <si>
    <t>2024-05-28_(9)</t>
  </si>
  <si>
    <t>2024-05-28_(7)</t>
  </si>
  <si>
    <t>2024-05-27_(7)</t>
  </si>
  <si>
    <t>2024-05-27_(4)</t>
  </si>
  <si>
    <t>2024-05-25_(8)</t>
  </si>
  <si>
    <t>2024-05-25_(7)</t>
  </si>
  <si>
    <t>2024-05-25_(5)</t>
  </si>
  <si>
    <t>2024-05-23_(9)</t>
  </si>
  <si>
    <t>2024-05-23_(10)</t>
  </si>
  <si>
    <t>2024-05-22_(9)</t>
  </si>
  <si>
    <t>2024-05-22_(8)</t>
  </si>
  <si>
    <t>2024-05-22_(7)</t>
  </si>
  <si>
    <t>2024-05-21_(7)</t>
  </si>
  <si>
    <t>2024-05-20_(5)</t>
  </si>
  <si>
    <t>2024-05-19_(7)</t>
  </si>
  <si>
    <t>2024-05-17_(1)</t>
  </si>
  <si>
    <t>2024-05-16_(8)</t>
  </si>
  <si>
    <t>2024-05-16_(7)</t>
  </si>
  <si>
    <t>2024-05-16_(5)</t>
  </si>
  <si>
    <t>2024-05-15_(8)</t>
  </si>
  <si>
    <t>2024-05-15_(6)</t>
  </si>
  <si>
    <t>2024-05-15_(5)</t>
  </si>
  <si>
    <t>2024-05-14_(7)</t>
  </si>
  <si>
    <t>2024-05-13_(9)</t>
  </si>
  <si>
    <t>2024-05-13_(7)</t>
  </si>
  <si>
    <t>2024-05-13_(6)</t>
  </si>
  <si>
    <t>2024-05-13_(4)</t>
  </si>
  <si>
    <t>2024-05-12_(6)</t>
  </si>
  <si>
    <t>2024-05-12_(5)</t>
  </si>
  <si>
    <t>2024-05-11_(7)</t>
  </si>
  <si>
    <t>2024-05-11_(6)</t>
  </si>
  <si>
    <t>2024-05-08_(5)</t>
  </si>
  <si>
    <t>2024-05-06_(4)</t>
  </si>
  <si>
    <t>2024-05-05_(5)</t>
  </si>
  <si>
    <t>2024-05-04_(5)</t>
  </si>
  <si>
    <t>2024-05-04_(4)</t>
  </si>
  <si>
    <t>2024-04-30_(6)</t>
  </si>
  <si>
    <t>2024-04-28_(6)</t>
  </si>
  <si>
    <t>2024-04-28_(5)</t>
  </si>
  <si>
    <t>2024-04-26_(8)</t>
  </si>
  <si>
    <t>2024-04-26_(7)</t>
  </si>
  <si>
    <t>2024-04-26_(6)</t>
  </si>
  <si>
    <t>2024-04-25_(6)</t>
  </si>
  <si>
    <t>2024-04-25_(5)</t>
  </si>
  <si>
    <t>2024-04-24_(5)</t>
  </si>
  <si>
    <t>2024-04-24_(3)</t>
  </si>
  <si>
    <t>2024-04-20_(4)</t>
  </si>
  <si>
    <t>2024-04-19_(6)</t>
  </si>
  <si>
    <t>2024-04-18_(6)</t>
  </si>
  <si>
    <t>2024-04-16_(6)</t>
  </si>
  <si>
    <t>2024-04-16_(5)</t>
  </si>
  <si>
    <t>2024-04-15_(6)</t>
  </si>
  <si>
    <t>2024-04-14_(6)</t>
  </si>
  <si>
    <t>2024-04-14_(4)</t>
  </si>
  <si>
    <t>2024-04-14_(3)</t>
  </si>
  <si>
    <t>2024-04-13_(3)</t>
  </si>
  <si>
    <t>2024-04-12_(8)</t>
  </si>
  <si>
    <t>2024-04-08_(7)</t>
  </si>
  <si>
    <t>2024-04-07_(7)</t>
  </si>
  <si>
    <t>2024-04-07_(5)</t>
  </si>
  <si>
    <t>2024-04-07_(4)</t>
  </si>
  <si>
    <t>2024-04-06_(7)</t>
  </si>
  <si>
    <t>2024-04-06_(4)</t>
  </si>
  <si>
    <t>2024-04-05_(7)</t>
  </si>
  <si>
    <t>2024-04-04_(5)</t>
  </si>
  <si>
    <t>2024-04-03_(7)</t>
  </si>
  <si>
    <t>2024-04-03_(6)</t>
  </si>
  <si>
    <t>2024-04-02_(8)</t>
  </si>
  <si>
    <t>2024-04-02_(7)</t>
  </si>
  <si>
    <t>2024-04-02_(6)</t>
  </si>
  <si>
    <t>2024-04-01_(4)</t>
  </si>
  <si>
    <t>2024-03-31_(5)</t>
  </si>
  <si>
    <t>2024-03-31_(4)</t>
  </si>
  <si>
    <t>2024-03-30_(6)</t>
  </si>
  <si>
    <t>2024-03-30_(5)</t>
  </si>
  <si>
    <t>2024-03-30_(4)</t>
  </si>
  <si>
    <t>2024-03-29_(7)</t>
  </si>
  <si>
    <t>2024-03-29_(6)</t>
  </si>
  <si>
    <t>2024-03-28_(6)</t>
  </si>
  <si>
    <t>2024-03-28_(5)</t>
  </si>
  <si>
    <t>2024-03-28_(4)</t>
  </si>
  <si>
    <t>2024-03-27_(8)</t>
  </si>
  <si>
    <t>2024-03-27_(7)</t>
  </si>
  <si>
    <t>2024-03-27_(5)</t>
  </si>
  <si>
    <t>2024-03-26_(8)</t>
  </si>
  <si>
    <t>2024-03-26_(7)</t>
  </si>
  <si>
    <t>2024-03-26_(6)</t>
  </si>
  <si>
    <t>2024-03-26_(5)</t>
  </si>
  <si>
    <t>2024-03-26_(4)</t>
  </si>
  <si>
    <t>2024-03-26_(3)</t>
  </si>
  <si>
    <t>2024-03-25_(7)</t>
  </si>
  <si>
    <t>2024-03-25_(5)</t>
  </si>
  <si>
    <t>2024-03-24_(7)</t>
  </si>
  <si>
    <t>2024-03-24_(6)</t>
  </si>
  <si>
    <t>2024-03-23_(6)</t>
  </si>
  <si>
    <t>2024-03-23_(5)</t>
  </si>
  <si>
    <t>2024-03-23_(4)</t>
  </si>
  <si>
    <t>2024-03-22_(6)</t>
  </si>
  <si>
    <t>2024-03-22_(3)</t>
  </si>
  <si>
    <t>2024-03-20_(7)</t>
  </si>
  <si>
    <t>2024-03-20_(5)</t>
  </si>
  <si>
    <t>2024-03-19_(7)</t>
  </si>
  <si>
    <t>2024-03-18_(6)</t>
  </si>
  <si>
    <t>2024-03-17_(6)</t>
  </si>
  <si>
    <t>2024-03-17_(5)</t>
  </si>
  <si>
    <t>2024-03-17_(4)</t>
  </si>
  <si>
    <t>2024-03-17_(3)</t>
  </si>
  <si>
    <t>2024-03-16_(6)</t>
  </si>
  <si>
    <t>2024-03-15_(7)</t>
  </si>
  <si>
    <t>2024-03-15_(6)</t>
  </si>
  <si>
    <t>2024-03-14_(5)</t>
  </si>
  <si>
    <t>2024-03-13_(5)</t>
  </si>
  <si>
    <t>2024-03-13_(4)</t>
  </si>
  <si>
    <t>2024-03-10_(6)</t>
  </si>
  <si>
    <t>2024-03-10_(5)</t>
  </si>
  <si>
    <t>2024-03-09_(7)</t>
  </si>
  <si>
    <t>2024-03-09_(5)</t>
  </si>
  <si>
    <t>2024-03-09_(4)</t>
  </si>
  <si>
    <t>2024-03-08_(8)</t>
  </si>
  <si>
    <t>2024-03-08_(5)</t>
  </si>
  <si>
    <t>2024-03-08_(3)</t>
  </si>
  <si>
    <t>2024-03-07_(7)</t>
  </si>
  <si>
    <t>2024-03-07_(5)</t>
  </si>
  <si>
    <t>2024-03-07_(1)</t>
  </si>
  <si>
    <t>2024-03-06_(6)</t>
  </si>
  <si>
    <t>2024-03-06_(3)</t>
  </si>
  <si>
    <t>2024-03-05_(7)</t>
  </si>
  <si>
    <t>2024-03-05_(6)</t>
  </si>
  <si>
    <t>2024-03-05_(5)</t>
  </si>
  <si>
    <t>2024-03-05_(4)</t>
  </si>
  <si>
    <t>2024-03-05_(3)</t>
  </si>
  <si>
    <t>2024-03-04_(9)</t>
  </si>
  <si>
    <t>2024-03-04_(8)</t>
  </si>
  <si>
    <t>2024-03-04_(7)</t>
  </si>
  <si>
    <t>2024-03-04_(5)</t>
  </si>
  <si>
    <t>2024-03-04_(4)</t>
  </si>
  <si>
    <t>2024-03-03_(6)</t>
  </si>
  <si>
    <t>2024-03-03_(5)</t>
  </si>
  <si>
    <t>2024-03-03_(4)</t>
  </si>
  <si>
    <t>2024-03-03_(3)</t>
  </si>
  <si>
    <t>2024-03-02_(7)</t>
  </si>
  <si>
    <t>2024-03-01_(7)</t>
  </si>
  <si>
    <t>2024-03-01_(6)</t>
  </si>
  <si>
    <t>2024-03-01_(3)</t>
  </si>
  <si>
    <t>2024-02-29_(6)</t>
  </si>
  <si>
    <t>2024-02-29_(5)</t>
  </si>
  <si>
    <t>2024-02-29_(4)</t>
  </si>
  <si>
    <t>2024-02-28_(6)</t>
  </si>
  <si>
    <t>2024-02-28_(5)</t>
  </si>
  <si>
    <t>2024-02-28_(4)</t>
  </si>
  <si>
    <t>2024-02-27_(6)</t>
  </si>
  <si>
    <t>2024-02-27_(5)</t>
  </si>
  <si>
    <t>2024-02-27_(4)</t>
  </si>
  <si>
    <t>2024-02-27_(3)</t>
  </si>
  <si>
    <t>2024-02-26_(4)</t>
  </si>
  <si>
    <t>2024-02-25_(4)</t>
  </si>
  <si>
    <t>2024-02-25_(3)</t>
  </si>
  <si>
    <t>2024-02-25_(2)</t>
  </si>
  <si>
    <t>2024-02-24_(6)</t>
  </si>
  <si>
    <t>2024-02-24_(5)</t>
  </si>
  <si>
    <t>2024-02-23_(2)</t>
  </si>
  <si>
    <t>2024-02-22_(7)</t>
  </si>
  <si>
    <t>2024-02-22_(5)</t>
  </si>
  <si>
    <t>2024-02-21_(6)</t>
  </si>
  <si>
    <t>2024-02-21_(5)</t>
  </si>
  <si>
    <t>2024-02-21_(4)</t>
  </si>
  <si>
    <t>2024-02-21_(3)</t>
  </si>
  <si>
    <t>2024-02-20_(7)</t>
  </si>
  <si>
    <t>2024-02-19_(5)</t>
  </si>
  <si>
    <t>2024-02-19_(2)</t>
  </si>
  <si>
    <t>2024-02-18_(5)</t>
  </si>
  <si>
    <t>2024-02-18_(4)</t>
  </si>
  <si>
    <t>2024-02-18_(3)</t>
  </si>
  <si>
    <t>2024-02-17_(5)</t>
  </si>
  <si>
    <t>2024-02-17_(4)</t>
  </si>
  <si>
    <t>2024-02-17_(3)</t>
  </si>
  <si>
    <t>2024-02-17_(2)</t>
  </si>
  <si>
    <t>2024-02-17_(1)</t>
  </si>
  <si>
    <t>2024-02-15_(6)</t>
  </si>
  <si>
    <t>2024-02-15_(2)</t>
  </si>
  <si>
    <t>2024-02-14_(6)</t>
  </si>
  <si>
    <t>2024-02-14_(3)</t>
  </si>
  <si>
    <t>2024-02-13_(5)</t>
  </si>
  <si>
    <t>2024-02-13_(4)</t>
  </si>
  <si>
    <t>2024-02-12_(4)</t>
  </si>
  <si>
    <t>2024-02-12_(2)</t>
  </si>
  <si>
    <t>2024-02-12_(1)</t>
  </si>
  <si>
    <t>2024-02-11_(4)</t>
  </si>
  <si>
    <t>2024-02-10_(6)</t>
  </si>
  <si>
    <t>2024-02-10_(5)</t>
  </si>
  <si>
    <t>2024-02-10_(3)</t>
  </si>
  <si>
    <t>2024-02-09_(8)</t>
  </si>
  <si>
    <t>2024-02-09_(7)</t>
  </si>
  <si>
    <t>2024-02-09_(6)</t>
  </si>
  <si>
    <t>2024-02-09_(4)</t>
  </si>
  <si>
    <t>2024-02-09_(3)</t>
  </si>
  <si>
    <t>2024-02-08_(5)</t>
  </si>
  <si>
    <t>2024-02-08_(4)</t>
  </si>
  <si>
    <t>2024-02-07_(6)</t>
  </si>
  <si>
    <t>2024-06-06_(12)</t>
  </si>
  <si>
    <t>2024-06-01_(18)</t>
  </si>
  <si>
    <t>2024-06-01_(17)</t>
  </si>
  <si>
    <t>2024-06-01_(16)</t>
  </si>
  <si>
    <t>2024-06-01_(14)</t>
  </si>
  <si>
    <t>2024-06-01_(12)</t>
  </si>
  <si>
    <t>2024-05-26_(8)</t>
  </si>
  <si>
    <t>2024-05-12_(7)</t>
  </si>
  <si>
    <t>2024-05-06_(6)</t>
  </si>
  <si>
    <t>2024-03-23_(7)</t>
  </si>
  <si>
    <t>2024-03-23_(10)</t>
  </si>
  <si>
    <t>2024-07-06_(9)</t>
  </si>
  <si>
    <t>2024-07-06_(8)</t>
  </si>
  <si>
    <t>2024-07-06_(6)</t>
  </si>
  <si>
    <t>2024-07-06_(5)</t>
  </si>
  <si>
    <t>2024-07-06_(4)</t>
  </si>
  <si>
    <t>2024-07-06_(3)</t>
  </si>
  <si>
    <t>2024-07-06_(2)</t>
  </si>
  <si>
    <t>2024-07-05_(8)</t>
  </si>
  <si>
    <t>2024-07-05_(7)</t>
  </si>
  <si>
    <t>2024-07-05_(4)</t>
  </si>
  <si>
    <t>2024-07-05_(3)</t>
  </si>
  <si>
    <t>2024-07-05_(16)</t>
  </si>
  <si>
    <t>2024-07-05_(15)</t>
  </si>
  <si>
    <t>2024-07-05_(14)</t>
  </si>
  <si>
    <t>2024-07-05_(12)</t>
  </si>
  <si>
    <t>2024-07-05_(11)</t>
  </si>
  <si>
    <t>2024-07-05_(10)</t>
  </si>
  <si>
    <t>2024-07-04_(12)</t>
  </si>
  <si>
    <t>2024-07-04_(11)</t>
  </si>
  <si>
    <t>2024-07-04_(10)</t>
  </si>
  <si>
    <t>2024-07-03_(9)</t>
  </si>
  <si>
    <t>2024-07-03_(8)</t>
  </si>
  <si>
    <t>2024-07-03_(7)</t>
  </si>
  <si>
    <t>2024-07-03_(6)</t>
  </si>
  <si>
    <t>2024-07-03_(5)</t>
  </si>
  <si>
    <t>2024-07-03_(4)</t>
  </si>
  <si>
    <t>2024-07-03_(13)</t>
  </si>
  <si>
    <t>2024-07-03_(12)</t>
  </si>
  <si>
    <t>2024-07-03_(10)</t>
  </si>
  <si>
    <t>2024-07-02_(9)</t>
  </si>
  <si>
    <t>2024-07-02_(12)</t>
  </si>
  <si>
    <t>2024-07-02_(11)</t>
  </si>
  <si>
    <t>2024-07-02_(10)</t>
  </si>
  <si>
    <t>2024-07-01_(7)</t>
  </si>
  <si>
    <t>2024-07-01_(6)</t>
  </si>
  <si>
    <t>2024-07-01_(5)</t>
  </si>
  <si>
    <t>2024-07-01_(4)</t>
  </si>
  <si>
    <t>2024-07-01_(3)</t>
  </si>
  <si>
    <t>2024-06-29_(6)</t>
  </si>
  <si>
    <t>2024-06-29_(5)</t>
  </si>
  <si>
    <t>2024-06-29_(4)</t>
  </si>
  <si>
    <t>2024-06-28_(7)</t>
  </si>
  <si>
    <t>2024-06-28_(5)</t>
  </si>
  <si>
    <t>2024-06-27_(9)</t>
  </si>
  <si>
    <t>2024-06-27_(8)</t>
  </si>
  <si>
    <t>2024-06-27_(7)</t>
  </si>
  <si>
    <t>2024-06-27_(6)</t>
  </si>
  <si>
    <t>2024-06-27_(5)</t>
  </si>
  <si>
    <t>2024-06-26_(9)</t>
  </si>
  <si>
    <t>2024-06-26_(8)</t>
  </si>
  <si>
    <t>2024-06-26_(7)</t>
  </si>
  <si>
    <t>2024-06-26_(6)</t>
  </si>
  <si>
    <t>2024-06-26_(5)</t>
  </si>
  <si>
    <t>2024-06-26_(4)</t>
  </si>
  <si>
    <t>2024-06-26_(3)</t>
  </si>
  <si>
    <t>2024-06-26_(2)</t>
  </si>
  <si>
    <t>2024-06-26_(11)</t>
  </si>
  <si>
    <t>2024-06-26_(10)</t>
  </si>
  <si>
    <t>2024-06-26_(1)</t>
  </si>
  <si>
    <t>2024-06-25_(7)</t>
  </si>
  <si>
    <t>2024-06-25_(6)</t>
  </si>
  <si>
    <t>2024-06-25_(5)</t>
  </si>
  <si>
    <t>2024-06-21_(8)</t>
  </si>
  <si>
    <t>2024-06-20_(8)</t>
  </si>
  <si>
    <t>2024-06-19_(6)</t>
  </si>
  <si>
    <t>2024-06-18_(9)</t>
  </si>
  <si>
    <t>2024-06-18_(8)</t>
  </si>
  <si>
    <t>2024-06-17_(7)</t>
  </si>
  <si>
    <t>2024-06-16_(4)</t>
  </si>
  <si>
    <t>2024-06-11_(5)</t>
  </si>
  <si>
    <t>2024-06-10_(3)</t>
  </si>
  <si>
    <t>2024-06-02_(18)</t>
  </si>
  <si>
    <t>2024-06-02_(17)</t>
  </si>
  <si>
    <t>2024-06-02_(16)</t>
  </si>
  <si>
    <t>2024-06-02_(15)</t>
  </si>
  <si>
    <t>2024-06-02_(14)</t>
  </si>
  <si>
    <t>2024-06-02_(13)</t>
  </si>
  <si>
    <t>2024-06-02_(12)</t>
  </si>
  <si>
    <t>2024-05-27_(12)</t>
  </si>
  <si>
    <t>2024-05-27_(11)</t>
  </si>
  <si>
    <t>2024-05-24_(21)</t>
  </si>
  <si>
    <t>2024-05-24_(19)</t>
  </si>
  <si>
    <t>2024-05-24_(18)</t>
  </si>
  <si>
    <t>2024-05-24_(17)</t>
  </si>
  <si>
    <t>2024-05-24_(16)</t>
  </si>
  <si>
    <t>2024-05-24_(15)</t>
  </si>
  <si>
    <t>2024-05-24_(13)</t>
  </si>
  <si>
    <t>2024-05-24_(11)</t>
  </si>
  <si>
    <t>2024-05-21_(8)</t>
  </si>
  <si>
    <t>2024-05-10_(9)</t>
  </si>
  <si>
    <t>2024-05-10_(10)</t>
  </si>
  <si>
    <t>2024-05-07_(9)</t>
  </si>
  <si>
    <t>2024-05-07_(8)</t>
  </si>
  <si>
    <t>2024-05-07_(7)</t>
  </si>
  <si>
    <t>2024-05-07_(20)</t>
  </si>
  <si>
    <t>2024-05-07_(19)</t>
  </si>
  <si>
    <t>2024-05-07_(17)</t>
  </si>
  <si>
    <t>2024-05-07_(16)</t>
  </si>
  <si>
    <t>2024-05-07_(15)</t>
  </si>
  <si>
    <t>2024-05-07_(14)</t>
  </si>
  <si>
    <t>2024-05-07_(12)</t>
  </si>
  <si>
    <t>2024-05-01_(9)</t>
  </si>
  <si>
    <t>2024-05-01_(16)</t>
  </si>
  <si>
    <t>2024-05-01_(13)</t>
  </si>
  <si>
    <t>2024-05-01_(11)</t>
  </si>
  <si>
    <t>2024-05-01_(10)</t>
  </si>
  <si>
    <t>2024-04-26_(11)</t>
  </si>
  <si>
    <t>2024-04-26_(10)</t>
  </si>
  <si>
    <t>2024-04-24_(9)</t>
  </si>
  <si>
    <t>2024-04-24_(8)</t>
  </si>
  <si>
    <t>2024-04-24_(11)</t>
  </si>
  <si>
    <t>2024-04-24_(10)</t>
  </si>
  <si>
    <t>2024-04-22_(7)</t>
  </si>
  <si>
    <t>2024-04-22_(6)</t>
  </si>
  <si>
    <t>2024-04-19_(8)</t>
  </si>
  <si>
    <t>2024-04-19_(10)</t>
  </si>
  <si>
    <t>2024-04-18_(8)</t>
  </si>
  <si>
    <t>2024-04-17_(8)</t>
  </si>
  <si>
    <t>2024-04-16_(9)</t>
  </si>
  <si>
    <t>2024-04-16_(8)</t>
  </si>
  <si>
    <t>2024-04-16_(7)</t>
  </si>
  <si>
    <t>2024-04-15_(9)</t>
  </si>
  <si>
    <t>2024-04-15_(8)</t>
  </si>
  <si>
    <t>2024-04-15_(7)</t>
  </si>
  <si>
    <t>2024-04-13_(9)</t>
  </si>
  <si>
    <t>2024-04-13_(8)</t>
  </si>
  <si>
    <t>2024-04-13_(7)</t>
  </si>
  <si>
    <t>2024-04-13_(6)</t>
  </si>
  <si>
    <t>2024-04-13_(5)</t>
  </si>
  <si>
    <t>2024-04-13_(16)</t>
  </si>
  <si>
    <t>2024-04-13_(14)</t>
  </si>
  <si>
    <t>2024-04-13_(12)</t>
  </si>
  <si>
    <t>2024-04-13_(11)</t>
  </si>
  <si>
    <t>2024-04-11_(9)</t>
  </si>
  <si>
    <t>2024-04-10_(14)</t>
  </si>
  <si>
    <t>2024-04-10_(13)</t>
  </si>
  <si>
    <t>2024-04-10_(12)</t>
  </si>
  <si>
    <t>2024-04-10_(11)</t>
  </si>
  <si>
    <t>2024-04-10_(10)</t>
  </si>
  <si>
    <t>2024-04-09_(12)</t>
  </si>
  <si>
    <t>2024-04-08_(10)</t>
  </si>
  <si>
    <t>2024-04-06_(21)</t>
  </si>
  <si>
    <t>2024-04-06_(20)</t>
  </si>
  <si>
    <t>2024-04-06_(19)</t>
  </si>
  <si>
    <t>2024-04-06_(18)</t>
  </si>
  <si>
    <t>2024-04-06_(16)</t>
  </si>
  <si>
    <t>2024-04-06_(15)</t>
  </si>
  <si>
    <t>2024-04-06_(13)</t>
  </si>
  <si>
    <t>2024-04-06_(12)</t>
  </si>
  <si>
    <t>2024-04-06_(11)</t>
  </si>
  <si>
    <t>2024-04-06_(10)</t>
  </si>
  <si>
    <t>2024-04-05_(9)</t>
  </si>
  <si>
    <t>2024-04-05_(8)</t>
  </si>
  <si>
    <t>2024-04-05_(13)</t>
  </si>
  <si>
    <t>2024-04-05_(12)</t>
  </si>
  <si>
    <t>2024-04-05_(10)</t>
  </si>
  <si>
    <t>2024-04-04_(9)</t>
  </si>
  <si>
    <t>2024-04-04_(8)</t>
  </si>
  <si>
    <t>2024-04-04_(10)</t>
  </si>
  <si>
    <t>2024-04-03_(9)</t>
  </si>
  <si>
    <t>2024-04-02_(9)</t>
  </si>
  <si>
    <t>2024-04-02_(13)</t>
  </si>
  <si>
    <t>2024-04-02_(12)</t>
  </si>
  <si>
    <t>2024-04-02_(11)</t>
  </si>
  <si>
    <t>2024-04-02_(10)</t>
  </si>
  <si>
    <t>2024-03-28_(9)</t>
  </si>
  <si>
    <t>2024-03-28_(11)</t>
  </si>
  <si>
    <t>2024-03-27_(9)</t>
  </si>
  <si>
    <t>2024-03-27_(11)</t>
  </si>
  <si>
    <t>2024-03-27_(10)</t>
  </si>
  <si>
    <t>2024-03-26_(23)</t>
  </si>
  <si>
    <t>2024-03-26_(22)</t>
  </si>
  <si>
    <t>2024-03-26_(21)</t>
  </si>
  <si>
    <t>2024-03-26_(19)</t>
  </si>
  <si>
    <t>2024-03-26_(18)</t>
  </si>
  <si>
    <t>2024-03-26_(17)</t>
  </si>
  <si>
    <t>2024-03-26_(16)</t>
  </si>
  <si>
    <t>2024-03-26_(15)</t>
  </si>
  <si>
    <t>2024-03-26_(14)</t>
  </si>
  <si>
    <t>2024-03-26_(13)</t>
  </si>
  <si>
    <t>2024-03-26_(12)</t>
  </si>
  <si>
    <t>2024-03-26_(11)</t>
  </si>
  <si>
    <t>2024-03-26_(10)</t>
  </si>
  <si>
    <t>2024-03-25_(9)</t>
  </si>
  <si>
    <t>2024-03-25_(8)</t>
  </si>
  <si>
    <t>2024-03-25_(10)</t>
  </si>
  <si>
    <t>2024-03-22_(21)</t>
  </si>
  <si>
    <t>2024-03-22_(20)</t>
  </si>
  <si>
    <t>2024-03-22_(19)</t>
  </si>
  <si>
    <t>2024-03-22_(18)</t>
  </si>
  <si>
    <t>2024-03-22_(17)</t>
  </si>
  <si>
    <t>2024-03-22_(16)</t>
  </si>
  <si>
    <t>2024-03-22_(15)</t>
  </si>
  <si>
    <t>2024-03-22_(14)</t>
  </si>
  <si>
    <t>2024-03-22_(13)</t>
  </si>
  <si>
    <t>2024-03-22_(10)</t>
  </si>
  <si>
    <t>2024-03-21_(9)</t>
  </si>
  <si>
    <t>2024-03-21_(8)</t>
  </si>
  <si>
    <t>2024-03-21_(13)</t>
  </si>
  <si>
    <t>2024-03-21_(12)</t>
  </si>
  <si>
    <t>2024-03-21_(10)</t>
  </si>
  <si>
    <t>2024-03-20_(8)</t>
  </si>
  <si>
    <t>2024-03-19_(9)</t>
  </si>
  <si>
    <t>2024-03-19_(8)</t>
  </si>
  <si>
    <t>2024-03-19_(10)</t>
  </si>
  <si>
    <t>2024-03-18_(9)</t>
  </si>
  <si>
    <t>2024-03-18_(8)</t>
  </si>
  <si>
    <t>2024-03-17_(9)</t>
  </si>
  <si>
    <t>2024-03-17_(8)</t>
  </si>
  <si>
    <t>2024-03-17_(7)</t>
  </si>
  <si>
    <t>2024-03-17_(10)</t>
  </si>
  <si>
    <t>2024-03-16_(9)</t>
  </si>
  <si>
    <t>2024-03-16_(8)</t>
  </si>
  <si>
    <t>2024-03-16_(11)</t>
  </si>
  <si>
    <t>2024-03-16_(10)</t>
  </si>
  <si>
    <t>2024-03-15_(8)</t>
  </si>
  <si>
    <t>2024-03-15_(14)</t>
  </si>
  <si>
    <t>2024-03-15_(13)</t>
  </si>
  <si>
    <t>2024-03-15_(12)</t>
  </si>
  <si>
    <t>2024-03-15_(11)</t>
  </si>
  <si>
    <t>2024-03-15_(10)</t>
  </si>
  <si>
    <t>2024-03-14_(9)</t>
  </si>
  <si>
    <t>2024-03-14_(8)</t>
  </si>
  <si>
    <t>2024-03-14_(7)</t>
  </si>
  <si>
    <t>2024-03-14_(13)</t>
  </si>
  <si>
    <t>2024-03-14_(11)</t>
  </si>
  <si>
    <t>2024-03-14_(10)</t>
  </si>
  <si>
    <t>2024-03-13_(7)</t>
  </si>
  <si>
    <t>2024-03-12_(9)</t>
  </si>
  <si>
    <t>2024-03-12_(15)</t>
  </si>
  <si>
    <t>2024-03-12_(14)</t>
  </si>
  <si>
    <t>2024-03-12_(13)</t>
  </si>
  <si>
    <t>2024-03-12_(12)</t>
  </si>
  <si>
    <t>2024-03-12_(11)</t>
  </si>
  <si>
    <t>2024-03-11_(11)</t>
  </si>
  <si>
    <t>2024-03-11_(10)</t>
  </si>
  <si>
    <t>2024-03-06_(7)</t>
  </si>
  <si>
    <t>2024-03-04_(15)</t>
  </si>
  <si>
    <t>2024-03-04_(14)</t>
  </si>
  <si>
    <t>2024-03-04_(13)</t>
  </si>
  <si>
    <t>2024-03-04_(12)</t>
  </si>
  <si>
    <t>2024-03-04_(11)</t>
  </si>
  <si>
    <t>2024-03-04_(10)</t>
  </si>
  <si>
    <t>2024-03-03_(9)</t>
  </si>
  <si>
    <t>2024-03-03_(8)</t>
  </si>
  <si>
    <t>2024-03-03_(41)</t>
  </si>
  <si>
    <t>2024-03-03_(40)</t>
  </si>
  <si>
    <t>2024-03-03_(39)</t>
  </si>
  <si>
    <t>2024-03-03_(37)</t>
  </si>
  <si>
    <t>2024-03-03_(36)</t>
  </si>
  <si>
    <t>2024-03-03_(34)</t>
  </si>
  <si>
    <t>2024-03-03_(33)</t>
  </si>
  <si>
    <t>2024-03-03_(32)</t>
  </si>
  <si>
    <t>2024-03-03_(31)</t>
  </si>
  <si>
    <t>2024-03-03_(28)</t>
  </si>
  <si>
    <t>2024-03-03_(26)</t>
  </si>
  <si>
    <t>2024-03-03_(25)</t>
  </si>
  <si>
    <t>2024-03-03_(22)</t>
  </si>
  <si>
    <t>2024-03-03_(21)</t>
  </si>
  <si>
    <t>2024-03-03_(20)</t>
  </si>
  <si>
    <t>2024-03-03_(19)</t>
  </si>
  <si>
    <t>2024-03-03_(18)</t>
  </si>
  <si>
    <t>2024-03-03_(17)</t>
  </si>
  <si>
    <t>2024-03-03_(16)</t>
  </si>
  <si>
    <t>2024-03-03_(15)</t>
  </si>
  <si>
    <t>2024-03-03_(13)</t>
  </si>
  <si>
    <t>2024-03-03_(11)</t>
  </si>
  <si>
    <t>2024-03-03_(10)</t>
  </si>
  <si>
    <t>2024-03-02_(9)</t>
  </si>
  <si>
    <t>2024-03-02_(8)</t>
  </si>
  <si>
    <t>2024-03-02_(10)</t>
  </si>
  <si>
    <t>2024-03-01_(9)</t>
  </si>
  <si>
    <t>2024-03-01_(8)</t>
  </si>
  <si>
    <t>2024-03-01_(10)</t>
  </si>
  <si>
    <t>2024-02-29_(9)</t>
  </si>
  <si>
    <t>2024-02-29_(7)</t>
  </si>
  <si>
    <t>2024-02-28_(9)</t>
  </si>
  <si>
    <t>2024-02-28_(8)</t>
  </si>
  <si>
    <t>2024-02-28_(7)</t>
  </si>
  <si>
    <t>2024-02-28_(18)</t>
  </si>
  <si>
    <t>2024-02-28_(17)</t>
  </si>
  <si>
    <t>2024-02-28_(14)</t>
  </si>
  <si>
    <t>2024-02-28_(13)</t>
  </si>
  <si>
    <t>2024-02-28_(12)</t>
  </si>
  <si>
    <t>2024-02-28_(11)</t>
  </si>
  <si>
    <t>2024-02-28_(10)</t>
  </si>
  <si>
    <t>2024-02-27_(9)</t>
  </si>
  <si>
    <t>2024-02-27_(8)</t>
  </si>
  <si>
    <t>2024-02-27_(7)</t>
  </si>
  <si>
    <t>2024-02-26_(9)</t>
  </si>
  <si>
    <t>2024-02-26_(8)</t>
  </si>
  <si>
    <t>2024-02-26_(7)</t>
  </si>
  <si>
    <t>2024-02-26_(6)</t>
  </si>
  <si>
    <t>2024-02-26_(5)</t>
  </si>
  <si>
    <t>2024-02-26_(22)</t>
  </si>
  <si>
    <t>2024-02-26_(21)</t>
  </si>
  <si>
    <t>2024-02-26_(20)</t>
  </si>
  <si>
    <t>2024-02-26_(19)</t>
  </si>
  <si>
    <t>2024-02-26_(18)</t>
  </si>
  <si>
    <t>2024-02-26_(17)</t>
  </si>
  <si>
    <t>2024-02-26_(14)</t>
  </si>
  <si>
    <t>2024-02-26_(13)</t>
  </si>
  <si>
    <t>2024-02-26_(12)</t>
  </si>
  <si>
    <t>2024-02-26_(11)</t>
  </si>
  <si>
    <t>2024-02-26_(10)</t>
  </si>
  <si>
    <t>2024-02-25_(9)</t>
  </si>
  <si>
    <t>2024-02-25_(8)</t>
  </si>
  <si>
    <t>2024-02-25_(7)</t>
  </si>
  <si>
    <t>2024-02-25_(6)</t>
  </si>
  <si>
    <t>2024-02-25_(22)</t>
  </si>
  <si>
    <t>2024-02-25_(21)</t>
  </si>
  <si>
    <t>2024-02-25_(20)</t>
  </si>
  <si>
    <t>2024-02-25_(19)</t>
  </si>
  <si>
    <t>2024-02-25_(17)</t>
  </si>
  <si>
    <t>2024-02-25_(15)</t>
  </si>
  <si>
    <t>2024-02-25_(14)</t>
  </si>
  <si>
    <t>2024-02-25_(13)</t>
  </si>
  <si>
    <t>2024-02-25_(11)</t>
  </si>
  <si>
    <t>2024-02-25_(10)</t>
  </si>
  <si>
    <t>2024-02-24_(9)</t>
  </si>
  <si>
    <t>2024-02-24_(8)</t>
  </si>
  <si>
    <t>2024-02-24_(7)</t>
  </si>
  <si>
    <t>2024-02-24_(12)</t>
  </si>
  <si>
    <t>2024-02-24_(11)</t>
  </si>
  <si>
    <t>2024-02-24_(10)</t>
  </si>
  <si>
    <t>2024-02-23_(9)</t>
  </si>
  <si>
    <t>2024-02-23_(8)</t>
  </si>
  <si>
    <t>2024-02-23_(7)</t>
  </si>
  <si>
    <t>2024-02-22_(9)</t>
  </si>
  <si>
    <t>2024-02-22_(8)</t>
  </si>
  <si>
    <t>2024-02-22_(10)</t>
  </si>
  <si>
    <t>2024-02-21_(9)</t>
  </si>
  <si>
    <t>2024-02-21_(8)</t>
  </si>
  <si>
    <t>2024-02-21_(7)</t>
  </si>
  <si>
    <t>2024-02-21_(10)</t>
  </si>
  <si>
    <t>2024-02-20_(9)</t>
  </si>
  <si>
    <t>2024-02-20_(8)</t>
  </si>
  <si>
    <t>2024-02-20_(11)</t>
  </si>
  <si>
    <t>2024-02-19_(6)</t>
  </si>
  <si>
    <t>2024-02-17_(9)</t>
  </si>
  <si>
    <t>2024-02-17_(8)</t>
  </si>
  <si>
    <t>2024-02-17_(7)</t>
  </si>
  <si>
    <t>2024-02-17_(6)</t>
  </si>
  <si>
    <t>2024-02-16_(8)</t>
  </si>
  <si>
    <t>2024-02-16_(7)</t>
  </si>
  <si>
    <t>2024-02-15_(9)</t>
  </si>
  <si>
    <t>2024-02-15_(8)</t>
  </si>
  <si>
    <t>2024-02-15_(7)</t>
  </si>
  <si>
    <t>2024-02-15_(10)</t>
  </si>
  <si>
    <t>2024-02-14_(9)</t>
  </si>
  <si>
    <t>2024-02-14_(7)</t>
  </si>
  <si>
    <t>2024-02-13_(9)</t>
  </si>
  <si>
    <t>2024-02-13_(8)</t>
  </si>
  <si>
    <t>2024-02-13_(7)</t>
  </si>
  <si>
    <t>2024-02-13_(10)</t>
  </si>
  <si>
    <t>2024-02-09_(10)</t>
  </si>
  <si>
    <t>2024-02-08_(8)</t>
  </si>
  <si>
    <t>2024-02-07_(7)</t>
  </si>
  <si>
    <t>2024-06-07_(12)</t>
  </si>
  <si>
    <t>2024-06-06_(18)</t>
  </si>
  <si>
    <t>2024-06-06_(17)</t>
  </si>
  <si>
    <t>2024-06-06_(16)</t>
  </si>
  <si>
    <t>2024-06-06_(15)</t>
  </si>
  <si>
    <t>2024-06-06_(14)</t>
  </si>
  <si>
    <t>2024-06-06_(13)</t>
  </si>
  <si>
    <t>2024-06-05_(18)</t>
  </si>
  <si>
    <t>2024-06-05_(17)</t>
  </si>
  <si>
    <t>2024-06-05_(16)</t>
  </si>
  <si>
    <t>2024-06-05_(15)</t>
  </si>
  <si>
    <t>2024-06-05_(14)</t>
  </si>
  <si>
    <t>2024-06-05_(13)</t>
  </si>
  <si>
    <t>2024-05-31_(13)</t>
  </si>
  <si>
    <t>2024-05-29_(11)</t>
  </si>
  <si>
    <t>2024-05-29_(10)</t>
  </si>
  <si>
    <t>2024-05-26_(9)</t>
  </si>
  <si>
    <t>2024-05-26_(10)</t>
  </si>
  <si>
    <t>2024-05-19_(9)</t>
  </si>
  <si>
    <t>2024-05-18_(7)</t>
  </si>
  <si>
    <t>2024-05-18_(6)</t>
  </si>
  <si>
    <t>2024-05-10_(14)</t>
  </si>
  <si>
    <t>2024-05-10_(13)</t>
  </si>
  <si>
    <t>2024-05-10_(12)</t>
  </si>
  <si>
    <t>2024-05-10_(11)</t>
  </si>
  <si>
    <t>2024-05-09_(9)</t>
  </si>
  <si>
    <t>2024-05-09_(8)</t>
  </si>
  <si>
    <t>2024-05-09_(10)</t>
  </si>
  <si>
    <t>2024-05-08_(8)</t>
  </si>
  <si>
    <t>2024-05-08_(7)</t>
  </si>
  <si>
    <t>2024-05-08_(18)</t>
  </si>
  <si>
    <t>2024-05-08_(17)</t>
  </si>
  <si>
    <t>2024-05-08_(15)</t>
  </si>
  <si>
    <t>2024-05-08_(14)</t>
  </si>
  <si>
    <t>2024-05-08_(13)</t>
  </si>
  <si>
    <t>2024-05-08_(10)</t>
  </si>
  <si>
    <t>2024-05-06_(8)</t>
  </si>
  <si>
    <t>2024-05-06_(7)</t>
  </si>
  <si>
    <t>2024-05-05_(8)</t>
  </si>
  <si>
    <t>2024-05-05_(7)</t>
  </si>
  <si>
    <t>2024-05-05_(14)</t>
  </si>
  <si>
    <t>2024-05-05_(11)</t>
  </si>
  <si>
    <t>2024-05-05_(10)</t>
  </si>
  <si>
    <t>2024-05-04_(9)</t>
  </si>
  <si>
    <t>2024-05-04_(7)</t>
  </si>
  <si>
    <t>2024-05-04_(13)</t>
  </si>
  <si>
    <t>2024-05-04_(12)</t>
  </si>
  <si>
    <t>2024-05-04_(11)</t>
  </si>
  <si>
    <t>2024-05-04_(10)</t>
  </si>
  <si>
    <t>2024-05-03_(14)</t>
  </si>
  <si>
    <t>2024-05-03_(13)</t>
  </si>
  <si>
    <t>2024-05-03_(12)</t>
  </si>
  <si>
    <t>2024-05-03_(11)</t>
  </si>
  <si>
    <t>2024-05-03_(10)</t>
  </si>
  <si>
    <t>2024-04-28_(7)</t>
  </si>
  <si>
    <t>2024-04-27_(6)</t>
  </si>
  <si>
    <t>2024-03-13_(8)</t>
  </si>
  <si>
    <t>2025-02-23_(3)</t>
  </si>
  <si>
    <t>2025-02-22_(2)</t>
  </si>
  <si>
    <t>2025-02-21_(6)</t>
  </si>
  <si>
    <t>2025-02-21_(5)</t>
  </si>
  <si>
    <t>2025-02-19_(5)</t>
  </si>
  <si>
    <t>2025-02-18_(5)</t>
  </si>
  <si>
    <t>2025-02-16_(3)</t>
  </si>
  <si>
    <t>2025-02-13_(3)</t>
  </si>
  <si>
    <t>2025-02-12_(5)</t>
  </si>
  <si>
    <t>2025-02-11_(7)</t>
  </si>
  <si>
    <t>2025-02-10_(7)</t>
  </si>
  <si>
    <t>2025-02-10_(5)</t>
  </si>
  <si>
    <t>2025-02-10_(3)</t>
  </si>
  <si>
    <t>2025-02-09_(2)</t>
  </si>
  <si>
    <t>2025-02-09_(1)</t>
  </si>
  <si>
    <t>2025-02-08_(2)</t>
  </si>
  <si>
    <t>2025-02-05_(3)</t>
  </si>
  <si>
    <t>2025-02-05_(2)</t>
  </si>
  <si>
    <t>2025-02-02_(5)</t>
  </si>
  <si>
    <t>2025-02-02_(2)</t>
  </si>
  <si>
    <t>2025-02-01_(1)</t>
  </si>
  <si>
    <t>2025-01-30_(1)</t>
  </si>
  <si>
    <t>2025-01-25_(1)</t>
  </si>
  <si>
    <t>2025-01-24_(4)</t>
  </si>
  <si>
    <t>2025-01-24_(2)</t>
  </si>
  <si>
    <t>2025-01-23_(3)</t>
  </si>
  <si>
    <t>2025-01-19_(2)</t>
  </si>
  <si>
    <t>2025-01-19_(1)</t>
  </si>
  <si>
    <t>2025-01-18_(3)</t>
  </si>
  <si>
    <t>2025-01-17_(6)</t>
  </si>
  <si>
    <t>2025-01-12_(7)</t>
  </si>
  <si>
    <t>2025-01-12_(6)</t>
  </si>
  <si>
    <t>2025-01-12_(10)</t>
  </si>
  <si>
    <t>2025-01-10_(5)</t>
  </si>
  <si>
    <t>2025-01-10_(1)</t>
  </si>
  <si>
    <t>2025-01-09_(2)</t>
  </si>
  <si>
    <t>2025-01-08_(5)</t>
  </si>
  <si>
    <t>2025-01-08_(4)</t>
  </si>
  <si>
    <t>2025-01-07_(4)</t>
  </si>
  <si>
    <t>2025-01-06_(4)</t>
  </si>
  <si>
    <t>2025-01-06_(3)</t>
  </si>
  <si>
    <t>2025-01-06_(1)</t>
  </si>
  <si>
    <t>2025-01-05_(3)</t>
  </si>
  <si>
    <t>2025-01-04_(5)</t>
  </si>
  <si>
    <t>2024-12-30_(3)</t>
  </si>
  <si>
    <t>2024-12-29_(2)</t>
  </si>
  <si>
    <t>2024-12-29_(1)</t>
  </si>
  <si>
    <t>2024-12-24_(2)</t>
  </si>
  <si>
    <t>2024-12-24_(1)</t>
  </si>
  <si>
    <t>2024-12-23_(1)</t>
  </si>
  <si>
    <t>2024-12-21_(4)</t>
  </si>
  <si>
    <t>2024-12-20_(7)</t>
  </si>
  <si>
    <t>2024-12-20_(5)</t>
  </si>
  <si>
    <t>2024-12-20_(4)</t>
  </si>
  <si>
    <t>2024-12-18_(5)</t>
  </si>
  <si>
    <t>2024-12-16_(2)</t>
  </si>
  <si>
    <t>2024-12-15_(2)</t>
  </si>
  <si>
    <t>2024-12-13_(3)</t>
  </si>
  <si>
    <t>2024-12-12_(6)</t>
  </si>
  <si>
    <t>2024-12-12_(3)</t>
  </si>
  <si>
    <t>2024-12-08_(3)</t>
  </si>
  <si>
    <t>2024-12-08_(2)</t>
  </si>
  <si>
    <t>2024-12-07_(6)</t>
  </si>
  <si>
    <t>2024-12-07_(4)</t>
  </si>
  <si>
    <t>2024-12-07_(1)</t>
  </si>
  <si>
    <t>2024-12-05_(2)</t>
  </si>
  <si>
    <t>2024-12-01_(2)</t>
  </si>
  <si>
    <t>2024-11-30_(2)</t>
  </si>
  <si>
    <t>2024-11-30_(1)</t>
  </si>
  <si>
    <t>2024-11-13</t>
  </si>
  <si>
    <t>2024-11-12_(1)</t>
  </si>
  <si>
    <t>2024-05-17_(7)</t>
  </si>
  <si>
    <t>2025-05-03_(1)</t>
  </si>
  <si>
    <t>2025-05-02_(5)</t>
  </si>
  <si>
    <t>2025-05-02_(3)</t>
  </si>
  <si>
    <t>2025-05-01_(9)</t>
  </si>
  <si>
    <t>2025-05-01_(8)</t>
  </si>
  <si>
    <t>2025-05-01_(7)</t>
  </si>
  <si>
    <t>2025-05-01_(5)</t>
  </si>
  <si>
    <t>2025-05-01_(4)</t>
  </si>
  <si>
    <t>2025-05-01_(3)</t>
  </si>
  <si>
    <t>2025-04-30_(3)</t>
  </si>
  <si>
    <t>2025-04-30_(2)</t>
  </si>
  <si>
    <t>2025-04-29_(5)</t>
  </si>
  <si>
    <t>2025-04-29_(4)</t>
  </si>
  <si>
    <t>2025-04-29_(1)</t>
  </si>
  <si>
    <t>2025-04-28_(5)</t>
  </si>
  <si>
    <t>2025-04-28_(3)</t>
  </si>
  <si>
    <t>2025-04-26_(4)</t>
  </si>
  <si>
    <t>2025-04-26_(3)</t>
  </si>
  <si>
    <t>2025-04-26_(2)</t>
  </si>
  <si>
    <t>2025-04-25_(5)</t>
  </si>
  <si>
    <t>2025-04-23</t>
  </si>
  <si>
    <t>2025-04-22</t>
  </si>
  <si>
    <t>2025-04-16_(7)</t>
  </si>
  <si>
    <t>2025-04-16_(6)</t>
  </si>
  <si>
    <t>2025-04-16_(4)</t>
  </si>
  <si>
    <t>2025-04-16_(3)</t>
  </si>
  <si>
    <t>2025-04-16_(2)</t>
  </si>
  <si>
    <t>2025-04-15_(4)</t>
  </si>
  <si>
    <t>2025-04-15_(3)</t>
  </si>
  <si>
    <t>2025-04-15_(1)</t>
  </si>
  <si>
    <t>2025-04-14_(4)</t>
  </si>
  <si>
    <t>2025-04-14_(3)</t>
  </si>
  <si>
    <t>2025-04-14_(1)</t>
  </si>
  <si>
    <t>2025-04-11_(2)</t>
  </si>
  <si>
    <t>2025-04-11_(1)</t>
  </si>
  <si>
    <t>2025-04-10_(4)</t>
  </si>
  <si>
    <t>2025-04-10_(3)</t>
  </si>
  <si>
    <t>2025-04-09_(5)</t>
  </si>
  <si>
    <t>2025-04-09_(3)</t>
  </si>
  <si>
    <t>2025-04-09_(2)</t>
  </si>
  <si>
    <t>2025-04-09_(1)</t>
  </si>
  <si>
    <t>2025-04-07_(5)</t>
  </si>
  <si>
    <t>2025-04-07_(3)</t>
  </si>
  <si>
    <t>2025-04-07_(2)</t>
  </si>
  <si>
    <t>2025-04-07_(1)</t>
  </si>
  <si>
    <t>2025-04-04_(7)</t>
  </si>
  <si>
    <t>2025-04-04_(6)</t>
  </si>
  <si>
    <t>2025-04-04_(5)</t>
  </si>
  <si>
    <t>2025-04-04_(4)</t>
  </si>
  <si>
    <t>2025-04-04_(1)</t>
  </si>
  <si>
    <t>2025-04-03_(7)</t>
  </si>
  <si>
    <t>2025-04-03_(6)</t>
  </si>
  <si>
    <t>2025-04-03_(5)</t>
  </si>
  <si>
    <t>2025-04-03_(4)</t>
  </si>
  <si>
    <t>2025-04-03_(1)</t>
  </si>
  <si>
    <t>2025-04-02_(5)</t>
  </si>
  <si>
    <t>2025-04-02_(4)</t>
  </si>
  <si>
    <t>2025-04-02_(3)</t>
  </si>
  <si>
    <t>2025-04-02_(2)</t>
  </si>
  <si>
    <t>2025-04-01_(5)</t>
  </si>
  <si>
    <t>2025-04-01_(4)</t>
  </si>
  <si>
    <t>2025-04-01_(3)</t>
  </si>
  <si>
    <t>2025-04-01_(2)</t>
  </si>
  <si>
    <t>2025-04-01_(1)</t>
  </si>
  <si>
    <t>2025-03-31_(2)</t>
  </si>
  <si>
    <t>2025-03-31_(1)</t>
  </si>
  <si>
    <t>2025-03-29_(1)</t>
  </si>
  <si>
    <t>2025-03-28_(4)</t>
  </si>
  <si>
    <t>2025-03-28_(2)</t>
  </si>
  <si>
    <t>2025-03-28_(1)</t>
  </si>
  <si>
    <t>2025-03-27_(7)</t>
  </si>
  <si>
    <t>2025-03-27_(4)</t>
  </si>
  <si>
    <t>2025-03-27_(3)</t>
  </si>
  <si>
    <t>2025-03-26_(9)</t>
  </si>
  <si>
    <t>2025-03-26_(8)</t>
  </si>
  <si>
    <t>2025-03-26_(7)</t>
  </si>
  <si>
    <t>2025-03-26_(6)</t>
  </si>
  <si>
    <t>2025-03-26_(5)</t>
  </si>
  <si>
    <t>2025-03-26_(4)</t>
  </si>
  <si>
    <t>2025-03-26_(3)</t>
  </si>
  <si>
    <t>2025-03-25_(1)</t>
  </si>
  <si>
    <t>2025-03-24</t>
  </si>
  <si>
    <t>2025-03-21_(2)</t>
  </si>
  <si>
    <t>2025-03-21_(1)</t>
  </si>
  <si>
    <t>2025-03-19_(4)</t>
  </si>
  <si>
    <t>2025-03-18_(5)</t>
  </si>
  <si>
    <t>2025-03-18_(4)</t>
  </si>
  <si>
    <t>2025-03-18_(2)</t>
  </si>
  <si>
    <t>2025-03-18_(1)</t>
  </si>
  <si>
    <t>2025-03-15</t>
  </si>
  <si>
    <t>2025-03-14_(6)</t>
  </si>
  <si>
    <t>2025-03-14_(5)</t>
  </si>
  <si>
    <t>2025-03-14_(4)</t>
  </si>
  <si>
    <t>2025-03-14_(3)</t>
  </si>
  <si>
    <t>2025-03-14_(2)</t>
  </si>
  <si>
    <t>2025-03-13_(5)</t>
  </si>
  <si>
    <t>2025-03-13_(4)</t>
  </si>
  <si>
    <t>2025-03-13_(3)</t>
  </si>
  <si>
    <t>2025-03-13_(2)</t>
  </si>
  <si>
    <t>2025-03-13_(1)</t>
  </si>
  <si>
    <t>2025-03-12_(6)</t>
  </si>
  <si>
    <t>2025-03-12_(5)</t>
  </si>
  <si>
    <t>2025-03-12_(3)</t>
  </si>
  <si>
    <t>2025-03-12_(2)</t>
  </si>
  <si>
    <t>2025-03-12_(1)</t>
  </si>
  <si>
    <t>2025-03-11_(2)</t>
  </si>
  <si>
    <t>2025-03-11_(1)</t>
  </si>
  <si>
    <t>2025-03-10_(1)</t>
  </si>
  <si>
    <t>2025-03-08_(3)</t>
  </si>
  <si>
    <t>2025-03-08_(2)</t>
  </si>
  <si>
    <t>2025-03-07_(6)</t>
  </si>
  <si>
    <t>2025-03-07_(3)</t>
  </si>
  <si>
    <t>2025-03-07_(2)</t>
  </si>
  <si>
    <t>2025-03-07_(1)</t>
  </si>
  <si>
    <t>2025-03-06_(5)</t>
  </si>
  <si>
    <t>2025-03-06_(4)</t>
  </si>
  <si>
    <t>2025-03-06_(3)</t>
  </si>
  <si>
    <t>2025-03-06_(2)</t>
  </si>
  <si>
    <t>2025-03-05_(5)</t>
  </si>
  <si>
    <t>2025-03-05_(4)</t>
  </si>
  <si>
    <t>2025-03-05_(3)</t>
  </si>
  <si>
    <t>2025-03-05_(2)</t>
  </si>
  <si>
    <t>2025-03-05_(1)</t>
  </si>
  <si>
    <t>2025-03-01_(8)</t>
  </si>
  <si>
    <t>2025-03-01_(7)</t>
  </si>
  <si>
    <t>2025-03-01_(5)</t>
  </si>
  <si>
    <t>2025-03-01_(2)</t>
  </si>
  <si>
    <t>2025-02-28_(2)</t>
  </si>
  <si>
    <t>2025-02-27_(4)</t>
  </si>
  <si>
    <t>2025-02-27_(3)</t>
  </si>
  <si>
    <t>2025-02-25_(7)</t>
  </si>
  <si>
    <t>2025-02-25_(6)</t>
  </si>
  <si>
    <t>2025-02-25_(5)</t>
  </si>
  <si>
    <t>2025-02-25_(4)</t>
  </si>
  <si>
    <t>2025-02-25_(1)</t>
  </si>
  <si>
    <t>2025-02-24</t>
  </si>
  <si>
    <t>2025-02-21_(9)</t>
  </si>
  <si>
    <t>2025-02-17_(9)</t>
  </si>
  <si>
    <t>2025-02-17_(8)</t>
  </si>
  <si>
    <t>2025-02-17_(12)</t>
  </si>
  <si>
    <t>2025-02-17_(10)</t>
  </si>
  <si>
    <t>2025-02-15_(8)</t>
  </si>
  <si>
    <t>2025-02-15_(7)</t>
  </si>
  <si>
    <t>2025-02-15_(6)</t>
  </si>
  <si>
    <t>2025-02-15_(5)</t>
  </si>
  <si>
    <t>2025-02-14_(6)</t>
  </si>
  <si>
    <t>2025-02-12_(13)</t>
  </si>
  <si>
    <t>2025-02-12_(12)</t>
  </si>
  <si>
    <t>2025-02-12_(11)</t>
  </si>
  <si>
    <t>2025-02-11_(8)</t>
  </si>
  <si>
    <t>2025-02-11_(10)</t>
  </si>
  <si>
    <t>2025-02-10_(8)</t>
  </si>
  <si>
    <t>2025-02-10_(11)</t>
  </si>
  <si>
    <t>2025-02-10_(10)</t>
  </si>
  <si>
    <t>2025-02-07_(7)</t>
  </si>
  <si>
    <t>2025-02-07_(6)</t>
  </si>
  <si>
    <t>2025-02-07_(4)</t>
  </si>
  <si>
    <t>2025-02-06_(9)</t>
  </si>
  <si>
    <t>2025-02-06_(8)</t>
  </si>
  <si>
    <t>2025-02-06_(7)</t>
  </si>
  <si>
    <t>2025-02-06_(6)</t>
  </si>
  <si>
    <t>2025-02-06_(16)</t>
  </si>
  <si>
    <t>2025-02-06_(14)</t>
  </si>
  <si>
    <t>2025-02-06_(13)</t>
  </si>
  <si>
    <t>2025-02-06_(11)</t>
  </si>
  <si>
    <t>2025-02-04_(5)</t>
  </si>
  <si>
    <t>2025-02-04_(4)</t>
  </si>
  <si>
    <t>2025-01-31_(9)</t>
  </si>
  <si>
    <t>2025-01-31_(8)</t>
  </si>
  <si>
    <t>2025-01-31_(5)</t>
  </si>
  <si>
    <t>2025-01-31_(4)</t>
  </si>
  <si>
    <t>2025-01-29_(8)</t>
  </si>
  <si>
    <t>2025-01-29_(7)</t>
  </si>
  <si>
    <t>2025-01-28_(4)</t>
  </si>
  <si>
    <t>2025-01-28_(3)</t>
  </si>
  <si>
    <t>2025-01-24_(6)</t>
  </si>
  <si>
    <t>2025-01-24_(5)</t>
  </si>
  <si>
    <t>2025-01-23_(4)</t>
  </si>
  <si>
    <t>2025-01-22_(5)</t>
  </si>
  <si>
    <t>2025-01-22_(4)</t>
  </si>
  <si>
    <t>2025-01-21_(4)</t>
  </si>
  <si>
    <t>2025-01-20_(3)</t>
  </si>
  <si>
    <t>2025-01-13_(4)</t>
  </si>
  <si>
    <t>blame</t>
  </si>
  <si>
    <t>politician</t>
  </si>
  <si>
    <t>menace</t>
  </si>
  <si>
    <t>mass</t>
  </si>
  <si>
    <t>none</t>
  </si>
  <si>
    <t>wholesome</t>
  </si>
  <si>
    <t>individual</t>
  </si>
  <si>
    <t>othering</t>
  </si>
  <si>
    <t>victim</t>
  </si>
  <si>
    <t>heroic</t>
  </si>
  <si>
    <t>own_leader</t>
  </si>
  <si>
    <t>ridicule</t>
  </si>
  <si>
    <t>place</t>
  </si>
  <si>
    <t>economy</t>
  </si>
  <si>
    <t>institution</t>
  </si>
  <si>
    <t>object</t>
  </si>
  <si>
    <t>Wilders (EU)</t>
  </si>
  <si>
    <t>own_leader_any</t>
  </si>
  <si>
    <t>neu_pic</t>
  </si>
  <si>
    <t>pos_pic</t>
  </si>
  <si>
    <t>neg_pic</t>
  </si>
  <si>
    <t>scene</t>
  </si>
  <si>
    <t>subject2_AI</t>
  </si>
  <si>
    <t>predication2</t>
  </si>
  <si>
    <t>subject2</t>
  </si>
  <si>
    <t>subject1_AI</t>
  </si>
  <si>
    <t>predication1</t>
  </si>
  <si>
    <t>subject1</t>
  </si>
  <si>
    <t>branding_only</t>
  </si>
  <si>
    <t>seq</t>
  </si>
  <si>
    <t>n conventional scene items</t>
  </si>
  <si>
    <t>n AI scene items</t>
  </si>
  <si>
    <t>Denominators (scene items)</t>
  </si>
  <si>
    <t>No subject</t>
  </si>
  <si>
    <t>Object</t>
  </si>
  <si>
    <t>Place</t>
  </si>
  <si>
    <t>Economy</t>
  </si>
  <si>
    <t>Institution</t>
  </si>
  <si>
    <t>Mass</t>
  </si>
  <si>
    <t>Anonymous individual</t>
  </si>
  <si>
    <t>Other politician</t>
  </si>
  <si>
    <t>Own leader</t>
  </si>
  <si>
    <t>Neutral imagery</t>
  </si>
  <si>
    <t>Wholesome</t>
  </si>
  <si>
    <t>Heroic</t>
  </si>
  <si>
    <t>Victim</t>
  </si>
  <si>
    <t>Blame</t>
  </si>
  <si>
    <t>Ridicule</t>
  </si>
  <si>
    <t>Othering</t>
  </si>
  <si>
    <t>Menace</t>
  </si>
  <si>
    <t>None</t>
  </si>
  <si>
    <t>neg imagery conv</t>
  </si>
  <si>
    <t>neg imagery AI</t>
  </si>
  <si>
    <t>Base (n)</t>
  </si>
  <si>
    <t>AI-generated</t>
  </si>
  <si>
    <t>Conventional n</t>
  </si>
  <si>
    <t>AI-generated n</t>
  </si>
  <si>
    <t>Individual</t>
  </si>
  <si>
    <t>mass %</t>
  </si>
  <si>
    <t>Individual Victim %</t>
  </si>
  <si>
    <t>Account</t>
  </si>
  <si>
    <t>FALSE</t>
  </si>
  <si>
    <t>TRUE</t>
  </si>
  <si>
    <t>117</t>
  </si>
  <si>
    <t>matched</t>
  </si>
  <si>
    <t>C516</t>
  </si>
  <si>
    <t>243</t>
  </si>
  <si>
    <t>237</t>
  </si>
  <si>
    <t>random</t>
  </si>
  <si>
    <t>C512</t>
  </si>
  <si>
    <t>122</t>
  </si>
  <si>
    <t>128</t>
  </si>
  <si>
    <t>C510</t>
  </si>
  <si>
    <t>123</t>
  </si>
  <si>
    <t>C509</t>
  </si>
  <si>
    <t>119</t>
  </si>
  <si>
    <t>102</t>
  </si>
  <si>
    <t>C505</t>
  </si>
  <si>
    <t>C504</t>
  </si>
  <si>
    <t>C502</t>
  </si>
  <si>
    <t>17</t>
  </si>
  <si>
    <t>27</t>
  </si>
  <si>
    <t>C499</t>
  </si>
  <si>
    <t>C498</t>
  </si>
  <si>
    <t>C497</t>
  </si>
  <si>
    <t>C496</t>
  </si>
  <si>
    <t>C495</t>
  </si>
  <si>
    <t>6</t>
  </si>
  <si>
    <t>C494</t>
  </si>
  <si>
    <t>C493</t>
  </si>
  <si>
    <t>286</t>
  </si>
  <si>
    <t>104</t>
  </si>
  <si>
    <t>285</t>
  </si>
  <si>
    <t>C488</t>
  </si>
  <si>
    <t>C487</t>
  </si>
  <si>
    <t>C486</t>
  </si>
  <si>
    <t>283</t>
  </si>
  <si>
    <t>C484</t>
  </si>
  <si>
    <t>C483</t>
  </si>
  <si>
    <t>281</t>
  </si>
  <si>
    <t>C482</t>
  </si>
  <si>
    <t>282</t>
  </si>
  <si>
    <t>C480</t>
  </si>
  <si>
    <t>280</t>
  </si>
  <si>
    <t>C478</t>
  </si>
  <si>
    <t>279</t>
  </si>
  <si>
    <t>C477</t>
  </si>
  <si>
    <t>C476</t>
  </si>
  <si>
    <t>C475</t>
  </si>
  <si>
    <t>C474</t>
  </si>
  <si>
    <t>C473</t>
  </si>
  <si>
    <t>C472</t>
  </si>
  <si>
    <t>C471</t>
  </si>
  <si>
    <t>C470</t>
  </si>
  <si>
    <t>278</t>
  </si>
  <si>
    <t>277</t>
  </si>
  <si>
    <t>C467</t>
  </si>
  <si>
    <t>C466</t>
  </si>
  <si>
    <t>C465</t>
  </si>
  <si>
    <t>C464</t>
  </si>
  <si>
    <t>C463</t>
  </si>
  <si>
    <t>C462</t>
  </si>
  <si>
    <t>C461</t>
  </si>
  <si>
    <t>C460</t>
  </si>
  <si>
    <t>C459</t>
  </si>
  <si>
    <t>C458</t>
  </si>
  <si>
    <t>C457</t>
  </si>
  <si>
    <t>C456</t>
  </si>
  <si>
    <t>C455</t>
  </si>
  <si>
    <t>C454</t>
  </si>
  <si>
    <t>C453</t>
  </si>
  <si>
    <t>C452</t>
  </si>
  <si>
    <t>C451</t>
  </si>
  <si>
    <t>C450</t>
  </si>
  <si>
    <t>C449</t>
  </si>
  <si>
    <t>C448</t>
  </si>
  <si>
    <t>267</t>
  </si>
  <si>
    <t>C447</t>
  </si>
  <si>
    <t>C446</t>
  </si>
  <si>
    <t>269</t>
  </si>
  <si>
    <t>C445</t>
  </si>
  <si>
    <t>C444</t>
  </si>
  <si>
    <t>C442</t>
  </si>
  <si>
    <t>273</t>
  </si>
  <si>
    <t>272</t>
  </si>
  <si>
    <t>C439</t>
  </si>
  <si>
    <t>C438</t>
  </si>
  <si>
    <t>C436</t>
  </si>
  <si>
    <t>C434</t>
  </si>
  <si>
    <t>C433</t>
  </si>
  <si>
    <t>C432</t>
  </si>
  <si>
    <t>270</t>
  </si>
  <si>
    <t>C431</t>
  </si>
  <si>
    <t>C430</t>
  </si>
  <si>
    <t>271</t>
  </si>
  <si>
    <t>C429</t>
  </si>
  <si>
    <t>C428</t>
  </si>
  <si>
    <t>C427</t>
  </si>
  <si>
    <t>262</t>
  </si>
  <si>
    <t>C425</t>
  </si>
  <si>
    <t>C424</t>
  </si>
  <si>
    <t>C423</t>
  </si>
  <si>
    <t>264</t>
  </si>
  <si>
    <t>266</t>
  </si>
  <si>
    <t>C421</t>
  </si>
  <si>
    <t>263</t>
  </si>
  <si>
    <t>C419</t>
  </si>
  <si>
    <t>276</t>
  </si>
  <si>
    <t>C418</t>
  </si>
  <si>
    <t>C417</t>
  </si>
  <si>
    <t>260</t>
  </si>
  <si>
    <t>C416</t>
  </si>
  <si>
    <t>261</t>
  </si>
  <si>
    <t>C415</t>
  </si>
  <si>
    <t>C414</t>
  </si>
  <si>
    <t>C413</t>
  </si>
  <si>
    <t>C412</t>
  </si>
  <si>
    <t>C411</t>
  </si>
  <si>
    <t>C410</t>
  </si>
  <si>
    <t>C409</t>
  </si>
  <si>
    <t>C408</t>
  </si>
  <si>
    <t>C407</t>
  </si>
  <si>
    <t>C406</t>
  </si>
  <si>
    <t>C405</t>
  </si>
  <si>
    <t>C404</t>
  </si>
  <si>
    <t>C403</t>
  </si>
  <si>
    <t>C402</t>
  </si>
  <si>
    <t>C401</t>
  </si>
  <si>
    <t>C400</t>
  </si>
  <si>
    <t>C399</t>
  </si>
  <si>
    <t>C398</t>
  </si>
  <si>
    <t>C397</t>
  </si>
  <si>
    <t>255</t>
  </si>
  <si>
    <t>C395</t>
  </si>
  <si>
    <t>256</t>
  </si>
  <si>
    <t>C392</t>
  </si>
  <si>
    <t>254</t>
  </si>
  <si>
    <t>250</t>
  </si>
  <si>
    <t>C388</t>
  </si>
  <si>
    <t>C387</t>
  </si>
  <si>
    <t>244</t>
  </si>
  <si>
    <t>C385</t>
  </si>
  <si>
    <t>C384</t>
  </si>
  <si>
    <t>242</t>
  </si>
  <si>
    <t>C383</t>
  </si>
  <si>
    <t>C382</t>
  </si>
  <si>
    <t>C381</t>
  </si>
  <si>
    <t>C380</t>
  </si>
  <si>
    <t>238</t>
  </si>
  <si>
    <t>C378</t>
  </si>
  <si>
    <t>247</t>
  </si>
  <si>
    <t>C376</t>
  </si>
  <si>
    <t>232</t>
  </si>
  <si>
    <t>241</t>
  </si>
  <si>
    <t>C372</t>
  </si>
  <si>
    <t>245</t>
  </si>
  <si>
    <t>239</t>
  </si>
  <si>
    <t>C369</t>
  </si>
  <si>
    <t>235</t>
  </si>
  <si>
    <t>C367</t>
  </si>
  <si>
    <t>236</t>
  </si>
  <si>
    <t>246</t>
  </si>
  <si>
    <t>C361</t>
  </si>
  <si>
    <t>C360</t>
  </si>
  <si>
    <t>C359</t>
  </si>
  <si>
    <t>231</t>
  </si>
  <si>
    <t>C357</t>
  </si>
  <si>
    <t>229</t>
  </si>
  <si>
    <t>C355</t>
  </si>
  <si>
    <t>234</t>
  </si>
  <si>
    <t>224</t>
  </si>
  <si>
    <t>C350</t>
  </si>
  <si>
    <t>C348</t>
  </si>
  <si>
    <t>C346</t>
  </si>
  <si>
    <t>226</t>
  </si>
  <si>
    <t>C344</t>
  </si>
  <si>
    <t>C343</t>
  </si>
  <si>
    <t>C342</t>
  </si>
  <si>
    <t>C341</t>
  </si>
  <si>
    <t>C340</t>
  </si>
  <si>
    <t>C338</t>
  </si>
  <si>
    <t>C336</t>
  </si>
  <si>
    <t>C335</t>
  </si>
  <si>
    <t>C333</t>
  </si>
  <si>
    <t>C332</t>
  </si>
  <si>
    <t>219</t>
  </si>
  <si>
    <t>C329</t>
  </si>
  <si>
    <t>C328</t>
  </si>
  <si>
    <t>C327</t>
  </si>
  <si>
    <t>C326</t>
  </si>
  <si>
    <t>C325</t>
  </si>
  <si>
    <t>C324</t>
  </si>
  <si>
    <t>C323</t>
  </si>
  <si>
    <t>C322</t>
  </si>
  <si>
    <t>C321</t>
  </si>
  <si>
    <t>C320</t>
  </si>
  <si>
    <t>C319</t>
  </si>
  <si>
    <t>199</t>
  </si>
  <si>
    <t>C317</t>
  </si>
  <si>
    <t>155</t>
  </si>
  <si>
    <t>C314</t>
  </si>
  <si>
    <t>C313</t>
  </si>
  <si>
    <t>C312</t>
  </si>
  <si>
    <t>160</t>
  </si>
  <si>
    <t>C308</t>
  </si>
  <si>
    <t>180</t>
  </si>
  <si>
    <t>147</t>
  </si>
  <si>
    <t>157</t>
  </si>
  <si>
    <t>146</t>
  </si>
  <si>
    <t>164</t>
  </si>
  <si>
    <t>152</t>
  </si>
  <si>
    <t>C299</t>
  </si>
  <si>
    <t>148</t>
  </si>
  <si>
    <t>185</t>
  </si>
  <si>
    <t>C295</t>
  </si>
  <si>
    <t>171</t>
  </si>
  <si>
    <t>166</t>
  </si>
  <si>
    <t>C292</t>
  </si>
  <si>
    <t>174</t>
  </si>
  <si>
    <t>168</t>
  </si>
  <si>
    <t>C288</t>
  </si>
  <si>
    <t>C287</t>
  </si>
  <si>
    <t>C286</t>
  </si>
  <si>
    <t>C285</t>
  </si>
  <si>
    <t>C284</t>
  </si>
  <si>
    <t>C283</t>
  </si>
  <si>
    <t>C282</t>
  </si>
  <si>
    <t>C281</t>
  </si>
  <si>
    <t>C280</t>
  </si>
  <si>
    <t>C279</t>
  </si>
  <si>
    <t>C278</t>
  </si>
  <si>
    <t>C277</t>
  </si>
  <si>
    <t>C276</t>
  </si>
  <si>
    <t>C275</t>
  </si>
  <si>
    <t>C274</t>
  </si>
  <si>
    <t>126</t>
  </si>
  <si>
    <t>135</t>
  </si>
  <si>
    <t>C269</t>
  </si>
  <si>
    <t>131</t>
  </si>
  <si>
    <t>C267</t>
  </si>
  <si>
    <t>C266</t>
  </si>
  <si>
    <t>132</t>
  </si>
  <si>
    <t>133</t>
  </si>
  <si>
    <t>C264</t>
  </si>
  <si>
    <t>127</t>
  </si>
  <si>
    <t>103</t>
  </si>
  <si>
    <t>C259</t>
  </si>
  <si>
    <t>C258</t>
  </si>
  <si>
    <t>129</t>
  </si>
  <si>
    <t>C256</t>
  </si>
  <si>
    <t>111</t>
  </si>
  <si>
    <t>118</t>
  </si>
  <si>
    <t>C254</t>
  </si>
  <si>
    <t>120</t>
  </si>
  <si>
    <t>125</t>
  </si>
  <si>
    <t>C246</t>
  </si>
  <si>
    <t>106</t>
  </si>
  <si>
    <t>115</t>
  </si>
  <si>
    <t>116</t>
  </si>
  <si>
    <t>C241</t>
  </si>
  <si>
    <t>C240</t>
  </si>
  <si>
    <t>C239</t>
  </si>
  <si>
    <t>108</t>
  </si>
  <si>
    <t>C238</t>
  </si>
  <si>
    <t>109</t>
  </si>
  <si>
    <t>112</t>
  </si>
  <si>
    <t>C233</t>
  </si>
  <si>
    <t>C232</t>
  </si>
  <si>
    <t>C231</t>
  </si>
  <si>
    <t>C229</t>
  </si>
  <si>
    <t>C228</t>
  </si>
  <si>
    <t>C227</t>
  </si>
  <si>
    <t>C226</t>
  </si>
  <si>
    <t>105</t>
  </si>
  <si>
    <t>C224</t>
  </si>
  <si>
    <t>C223</t>
  </si>
  <si>
    <t>C222</t>
  </si>
  <si>
    <t>101</t>
  </si>
  <si>
    <t>C220</t>
  </si>
  <si>
    <t>100</t>
  </si>
  <si>
    <t>C218</t>
  </si>
  <si>
    <t>C217</t>
  </si>
  <si>
    <t>C216</t>
  </si>
  <si>
    <t>C215</t>
  </si>
  <si>
    <t>C214</t>
  </si>
  <si>
    <t>C213</t>
  </si>
  <si>
    <t>C211</t>
  </si>
  <si>
    <t>C210</t>
  </si>
  <si>
    <t>C209</t>
  </si>
  <si>
    <t>C208</t>
  </si>
  <si>
    <t>99</t>
  </si>
  <si>
    <t>C206</t>
  </si>
  <si>
    <t>C205</t>
  </si>
  <si>
    <t>C204</t>
  </si>
  <si>
    <t>C203</t>
  </si>
  <si>
    <t>98</t>
  </si>
  <si>
    <t>C201</t>
  </si>
  <si>
    <t>C200</t>
  </si>
  <si>
    <t>C197</t>
  </si>
  <si>
    <t>94</t>
  </si>
  <si>
    <t>C195</t>
  </si>
  <si>
    <t>C194</t>
  </si>
  <si>
    <t>C193</t>
  </si>
  <si>
    <t>C192</t>
  </si>
  <si>
    <t>C191</t>
  </si>
  <si>
    <t>C190</t>
  </si>
  <si>
    <t>C189</t>
  </si>
  <si>
    <t>C188</t>
  </si>
  <si>
    <t>C187</t>
  </si>
  <si>
    <t>C186</t>
  </si>
  <si>
    <t>C185</t>
  </si>
  <si>
    <t>C184</t>
  </si>
  <si>
    <t>C183</t>
  </si>
  <si>
    <t>C182</t>
  </si>
  <si>
    <t>92</t>
  </si>
  <si>
    <t>C181</t>
  </si>
  <si>
    <t>C180</t>
  </si>
  <si>
    <t>C179</t>
  </si>
  <si>
    <t>C178</t>
  </si>
  <si>
    <t>91</t>
  </si>
  <si>
    <t>C177</t>
  </si>
  <si>
    <t>C176</t>
  </si>
  <si>
    <t>C175</t>
  </si>
  <si>
    <t>C174</t>
  </si>
  <si>
    <t>89</t>
  </si>
  <si>
    <t>C171</t>
  </si>
  <si>
    <t>C170</t>
  </si>
  <si>
    <t>C169</t>
  </si>
  <si>
    <t>C168</t>
  </si>
  <si>
    <t>C167</t>
  </si>
  <si>
    <t>C166</t>
  </si>
  <si>
    <t>C165</t>
  </si>
  <si>
    <t>C164</t>
  </si>
  <si>
    <t>86</t>
  </si>
  <si>
    <t>C163</t>
  </si>
  <si>
    <t>C162</t>
  </si>
  <si>
    <t>C161</t>
  </si>
  <si>
    <t>85</t>
  </si>
  <si>
    <t>C160</t>
  </si>
  <si>
    <t>81</t>
  </si>
  <si>
    <t>83</t>
  </si>
  <si>
    <t>C158</t>
  </si>
  <si>
    <t>80</t>
  </si>
  <si>
    <t>C156</t>
  </si>
  <si>
    <t>82</t>
  </si>
  <si>
    <t>C155</t>
  </si>
  <si>
    <t>74</t>
  </si>
  <si>
    <t>C154</t>
  </si>
  <si>
    <t>75</t>
  </si>
  <si>
    <t>C152</t>
  </si>
  <si>
    <t>C151</t>
  </si>
  <si>
    <t>C150</t>
  </si>
  <si>
    <t>C149</t>
  </si>
  <si>
    <t>79</t>
  </si>
  <si>
    <t>C147</t>
  </si>
  <si>
    <t>C146</t>
  </si>
  <si>
    <t>C145</t>
  </si>
  <si>
    <t>C144</t>
  </si>
  <si>
    <t>C143</t>
  </si>
  <si>
    <t>C142</t>
  </si>
  <si>
    <t>C140</t>
  </si>
  <si>
    <t>C139</t>
  </si>
  <si>
    <t>C138</t>
  </si>
  <si>
    <t>76</t>
  </si>
  <si>
    <t>C137</t>
  </si>
  <si>
    <t>C134</t>
  </si>
  <si>
    <t>51</t>
  </si>
  <si>
    <t>C133</t>
  </si>
  <si>
    <t>56</t>
  </si>
  <si>
    <t>C131</t>
  </si>
  <si>
    <t>48</t>
  </si>
  <si>
    <t>C129</t>
  </si>
  <si>
    <t>45</t>
  </si>
  <si>
    <t>C128</t>
  </si>
  <si>
    <t>C127</t>
  </si>
  <si>
    <t>C126</t>
  </si>
  <si>
    <t>C125</t>
  </si>
  <si>
    <t>C124</t>
  </si>
  <si>
    <t>44</t>
  </si>
  <si>
    <t>C122</t>
  </si>
  <si>
    <t>42</t>
  </si>
  <si>
    <t>C121</t>
  </si>
  <si>
    <t>C120</t>
  </si>
  <si>
    <t>C119</t>
  </si>
  <si>
    <t>41</t>
  </si>
  <si>
    <t>C118</t>
  </si>
  <si>
    <t>36</t>
  </si>
  <si>
    <t>C117</t>
  </si>
  <si>
    <t>C116</t>
  </si>
  <si>
    <t>59</t>
  </si>
  <si>
    <t>C115</t>
  </si>
  <si>
    <t>38</t>
  </si>
  <si>
    <t>C114</t>
  </si>
  <si>
    <t>34</t>
  </si>
  <si>
    <t>C113</t>
  </si>
  <si>
    <t>C112</t>
  </si>
  <si>
    <t>7</t>
  </si>
  <si>
    <t>C111</t>
  </si>
  <si>
    <t>43</t>
  </si>
  <si>
    <t>C110</t>
  </si>
  <si>
    <t>33</t>
  </si>
  <si>
    <t>C108</t>
  </si>
  <si>
    <t>C107</t>
  </si>
  <si>
    <t>37</t>
  </si>
  <si>
    <t>C106</t>
  </si>
  <si>
    <t>55</t>
  </si>
  <si>
    <t>C105</t>
  </si>
  <si>
    <t>30</t>
  </si>
  <si>
    <t>C104</t>
  </si>
  <si>
    <t>C103</t>
  </si>
  <si>
    <t>20</t>
  </si>
  <si>
    <t>C102</t>
  </si>
  <si>
    <t>C101</t>
  </si>
  <si>
    <t>52</t>
  </si>
  <si>
    <t>C100</t>
  </si>
  <si>
    <t>C099</t>
  </si>
  <si>
    <t>15</t>
  </si>
  <si>
    <t>C098</t>
  </si>
  <si>
    <t>9</t>
  </si>
  <si>
    <t>C096</t>
  </si>
  <si>
    <t>C095</t>
  </si>
  <si>
    <t>40</t>
  </si>
  <si>
    <t>C094</t>
  </si>
  <si>
    <t>28</t>
  </si>
  <si>
    <t>C093</t>
  </si>
  <si>
    <t>C092</t>
  </si>
  <si>
    <t>25</t>
  </si>
  <si>
    <t>C091</t>
  </si>
  <si>
    <t>C090</t>
  </si>
  <si>
    <t>C089</t>
  </si>
  <si>
    <t>C088</t>
  </si>
  <si>
    <t>24</t>
  </si>
  <si>
    <t>C086</t>
  </si>
  <si>
    <t>26</t>
  </si>
  <si>
    <t>C085</t>
  </si>
  <si>
    <t>C084</t>
  </si>
  <si>
    <t>14</t>
  </si>
  <si>
    <t>C082</t>
  </si>
  <si>
    <t>16</t>
  </si>
  <si>
    <t>C081</t>
  </si>
  <si>
    <t>31</t>
  </si>
  <si>
    <t>C077</t>
  </si>
  <si>
    <t>13</t>
  </si>
  <si>
    <t>C076</t>
  </si>
  <si>
    <t>C074</t>
  </si>
  <si>
    <t>18</t>
  </si>
  <si>
    <t>C073</t>
  </si>
  <si>
    <t>C072</t>
  </si>
  <si>
    <t>10</t>
  </si>
  <si>
    <t>C071</t>
  </si>
  <si>
    <t>C069</t>
  </si>
  <si>
    <t>C068</t>
  </si>
  <si>
    <t>11</t>
  </si>
  <si>
    <t>C066</t>
  </si>
  <si>
    <t>C065</t>
  </si>
  <si>
    <t>C063</t>
  </si>
  <si>
    <t>C062</t>
  </si>
  <si>
    <t>C061</t>
  </si>
  <si>
    <t>C060</t>
  </si>
  <si>
    <t>C059</t>
  </si>
  <si>
    <t>C058</t>
  </si>
  <si>
    <t>C057</t>
  </si>
  <si>
    <t>3</t>
  </si>
  <si>
    <t>C055</t>
  </si>
  <si>
    <t>C054</t>
  </si>
  <si>
    <t>C053</t>
  </si>
  <si>
    <t>C052</t>
  </si>
  <si>
    <t>C051</t>
  </si>
  <si>
    <t>C050</t>
  </si>
  <si>
    <t>C049</t>
  </si>
  <si>
    <t>C048</t>
  </si>
  <si>
    <t>C047</t>
  </si>
  <si>
    <t>C046</t>
  </si>
  <si>
    <t>C045</t>
  </si>
  <si>
    <t>C044</t>
  </si>
  <si>
    <t>C043</t>
  </si>
  <si>
    <t>C042</t>
  </si>
  <si>
    <t>C041</t>
  </si>
  <si>
    <t>C040</t>
  </si>
  <si>
    <t>C039</t>
  </si>
  <si>
    <t>C038</t>
  </si>
  <si>
    <t>C037</t>
  </si>
  <si>
    <t>C036</t>
  </si>
  <si>
    <t>C035</t>
  </si>
  <si>
    <t>C034</t>
  </si>
  <si>
    <t>C033</t>
  </si>
  <si>
    <t>C032</t>
  </si>
  <si>
    <t>C031</t>
  </si>
  <si>
    <t>C030</t>
  </si>
  <si>
    <t>C029</t>
  </si>
  <si>
    <t>C028</t>
  </si>
  <si>
    <t>C027</t>
  </si>
  <si>
    <t>C026</t>
  </si>
  <si>
    <t>C025</t>
  </si>
  <si>
    <t>C024</t>
  </si>
  <si>
    <t>C023</t>
  </si>
  <si>
    <t>C022</t>
  </si>
  <si>
    <t>C021</t>
  </si>
  <si>
    <t>C020</t>
  </si>
  <si>
    <t>C019</t>
  </si>
  <si>
    <t>C018</t>
  </si>
  <si>
    <t>C017</t>
  </si>
  <si>
    <t>C016</t>
  </si>
  <si>
    <t>C015</t>
  </si>
  <si>
    <t>C014</t>
  </si>
  <si>
    <t>C013</t>
  </si>
  <si>
    <t>C012</t>
  </si>
  <si>
    <t>C011</t>
  </si>
  <si>
    <t>C010</t>
  </si>
  <si>
    <t>C009</t>
  </si>
  <si>
    <t>C008</t>
  </si>
  <si>
    <t>C007</t>
  </si>
  <si>
    <t>C006</t>
  </si>
  <si>
    <t>C005</t>
  </si>
  <si>
    <t>C004</t>
  </si>
  <si>
    <t>C003</t>
  </si>
  <si>
    <t>C002</t>
  </si>
  <si>
    <t>C001</t>
  </si>
  <si>
    <t>pair_seq</t>
  </si>
  <si>
    <t>stratum</t>
  </si>
  <si>
    <t>cid</t>
  </si>
  <si>
    <t>VB</t>
  </si>
  <si>
    <t>DF</t>
  </si>
  <si>
    <t>eu_russia</t>
  </si>
  <si>
    <t>eu_intmark</t>
  </si>
  <si>
    <t>eu_foreign</t>
  </si>
  <si>
    <t>anti_elite_salience</t>
  </si>
  <si>
    <t>people_v_elite</t>
  </si>
  <si>
    <t>anti_islam</t>
  </si>
  <si>
    <t>corrupt_salience</t>
  </si>
  <si>
    <t>judicial_independence</t>
  </si>
  <si>
    <t>executive_power</t>
  </si>
  <si>
    <t>regions</t>
  </si>
  <si>
    <t>protectionism</t>
  </si>
  <si>
    <t>urban_rural</t>
  </si>
  <si>
    <t>nationalism</t>
  </si>
  <si>
    <t>ethnic_minorities</t>
  </si>
  <si>
    <t>religious_principles</t>
  </si>
  <si>
    <t>samesex_marriage</t>
  </si>
  <si>
    <t>lgbtq_rights</t>
  </si>
  <si>
    <t>womens_rights</t>
  </si>
  <si>
    <t>civlib_laworder</t>
  </si>
  <si>
    <t>deregulation</t>
  </si>
  <si>
    <t>spendvtax</t>
  </si>
  <si>
    <t>environment_salience</t>
  </si>
  <si>
    <t>environment</t>
  </si>
  <si>
    <t>climate_change_salience</t>
  </si>
  <si>
    <t>climate_change</t>
  </si>
  <si>
    <t>redist_salience</t>
  </si>
  <si>
    <t>redistribution</t>
  </si>
  <si>
    <t>multicult_salience</t>
  </si>
  <si>
    <t>multiculturalism</t>
  </si>
  <si>
    <t>immigrate_dissent</t>
  </si>
  <si>
    <t>immigrate_salience</t>
  </si>
  <si>
    <t>immigrate_policy</t>
  </si>
  <si>
    <t>lrgen</t>
  </si>
  <si>
    <t>galtan_salience</t>
  </si>
  <si>
    <t>galtan_dissent</t>
  </si>
  <si>
    <t>galtan_blur</t>
  </si>
  <si>
    <t>galtan</t>
  </si>
  <si>
    <t>lrecon_salience</t>
  </si>
  <si>
    <t>lrecon_dissent</t>
  </si>
  <si>
    <t>lrecon_blur</t>
  </si>
  <si>
    <t>lrecon</t>
  </si>
  <si>
    <t>eu_blur</t>
  </si>
  <si>
    <t>eu_dissent</t>
  </si>
  <si>
    <t>eu_salience</t>
  </si>
  <si>
    <t>eu_position</t>
  </si>
  <si>
    <t>vote</t>
  </si>
  <si>
    <t>ai_full_pct</t>
  </si>
  <si>
    <t>n_posts</t>
  </si>
  <si>
    <t>party_id</t>
  </si>
  <si>
    <t>People vs elite</t>
  </si>
  <si>
    <t>Nationalism</t>
  </si>
  <si>
    <t>Immigration (restrictive)</t>
  </si>
  <si>
    <t>GAL–TAN</t>
  </si>
  <si>
    <t>Economic left–right</t>
  </si>
  <si>
    <t>General left–right</t>
  </si>
  <si>
    <t>AI posts (% of posts)</t>
  </si>
  <si>
    <t>Party</t>
  </si>
  <si>
    <t>Total (N)</t>
  </si>
  <si>
    <t>Country</t>
  </si>
  <si>
    <t>Square (%)</t>
  </si>
  <si>
    <t>Square (n)</t>
  </si>
  <si>
    <t>Portrait (%)</t>
  </si>
  <si>
    <t>Portrait (n)</t>
  </si>
  <si>
    <t>Landscape (%)</t>
  </si>
  <si>
    <t>Landscape (n)</t>
  </si>
  <si>
    <t>IQR (s)</t>
  </si>
  <si>
    <t>Std Dev (s)</t>
  </si>
  <si>
    <t>Median (s)</t>
  </si>
  <si>
    <t>Mean (s)</t>
  </si>
  <si>
    <t>Leader</t>
  </si>
  <si>
    <t>AI branding only</t>
  </si>
  <si>
    <t>AI full visual</t>
  </si>
  <si>
    <t>Type</t>
  </si>
  <si>
    <t>Row</t>
  </si>
  <si>
    <t>Rank</t>
  </si>
  <si>
    <t>By account (sorted, descending)</t>
  </si>
  <si>
    <t>Sort key</t>
  </si>
  <si>
    <t>Total %</t>
  </si>
  <si>
    <t>Branding %</t>
  </si>
  <si>
    <t>Full %</t>
  </si>
  <si>
    <t>By account (unsorted)</t>
  </si>
  <si>
    <t>Code</t>
  </si>
  <si>
    <t>posts (n)</t>
  </si>
  <si>
    <t>Posts</t>
  </si>
  <si>
    <t>in_sample</t>
  </si>
  <si>
    <t>n_ai_full_corpus</t>
  </si>
  <si>
    <t>country_name</t>
  </si>
  <si>
    <t>Topic shares by account (denominators = n AI topical / n conv topical from the summary above)</t>
  </si>
  <si>
    <t>S2. Subject</t>
  </si>
  <si>
    <t>S7. By account</t>
  </si>
  <si>
    <t>AfD (DE_afd.bund)</t>
  </si>
  <si>
    <t>VOX (ES-EU_vox_es)</t>
  </si>
  <si>
    <t>Salvini (IT-EU_matteosalviniofficial)</t>
  </si>
  <si>
    <t>RN (FR_EU_rassemblementnational_fr)</t>
  </si>
  <si>
    <t>AI %</t>
  </si>
  <si>
    <t>Share of all AI</t>
  </si>
  <si>
    <t>Images</t>
  </si>
  <si>
    <t>Videos</t>
  </si>
  <si>
    <t>AI images</t>
  </si>
  <si>
    <t>AI videos</t>
  </si>
  <si>
    <t>AI total</t>
  </si>
  <si>
    <t>AI-generated content by account: media files and posts</t>
  </si>
  <si>
    <t>AI-generated content per account</t>
  </si>
  <si>
    <t>Media files</t>
  </si>
  <si>
    <t>Leader vs party accounts</t>
  </si>
  <si>
    <t>AI-generated content by country</t>
  </si>
  <si>
    <t>Orientation of videos (landscape / portrait)</t>
  </si>
  <si>
    <t>Full visual %</t>
  </si>
  <si>
    <t>χ²</t>
  </si>
  <si>
    <t>Descriptive Statistics of Video Durations by Country</t>
  </si>
  <si>
    <t>Orientation of videos – by account</t>
  </si>
  <si>
    <t>Topic shares among topical posts: AI (full visuals) vs conventional</t>
  </si>
  <si>
    <t>Per-account topic shares among topical posts: AI vs the account's own conventional posts</t>
  </si>
  <si>
    <t>Every Chapter 4.4 number as a formula cell</t>
  </si>
  <si>
    <t>CHES 2024 placements vs AI adoption, party and leader accounts separately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</si>
  <si>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</si>
  <si>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</si>
  <si>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</si>
  <si>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</si>
  <si>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</si>
  <si>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</si>
  <si>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</si>
  <si>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</si>
  <si>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</si>
  <si>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</si>
  <si>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</si>
  <si>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</si>
  <si>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</si>
  <si>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</si>
  <si>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</si>
  <si>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</si>
  <si>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</si>
  <si>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</si>
  <si>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</si>
  <si>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</si>
  <si>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</si>
  <si>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</si>
  <si>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</si>
  <si>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</si>
  <si>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</si>
  <si>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</si>
  <si>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</si>
  <si>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</si>
  <si>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</si>
  <si>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</si>
  <si>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</si>
  <si>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</si>
  <si>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</si>
  <si>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</si>
  <si>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</si>
  <si>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</si>
  <si>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</si>
  <si>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</si>
  <si>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</si>
  <si>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</si>
  <si>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</si>
  <si>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</si>
  <si>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</si>
  <si>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</si>
  <si>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</si>
  <si>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</si>
  <si>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</si>
  <si>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</si>
  <si>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</si>
  <si>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</si>
  <si>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</si>
  <si>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</si>
  <si>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</si>
  <si>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</si>
  <si>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</si>
  <si>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</si>
  <si>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</si>
  <si>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</si>
  <si>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</si>
  <si>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</si>
  <si>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</si>
  <si>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</si>
  <si>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</si>
  <si>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</si>
  <si>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</si>
  <si>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</si>
  <si>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</si>
  <si>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</si>
  <si>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</si>
  <si>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</si>
  <si>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</si>
  <si>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</si>
  <si>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</si>
  <si>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</si>
  <si>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</si>
  <si>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</si>
  <si>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</si>
  <si>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</si>
  <si>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</si>
  <si>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</si>
  <si>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</si>
  <si>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</si>
  <si>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</si>
  <si>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</si>
  <si>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</si>
  <si>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</si>
  <si>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</si>
  <si>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</si>
  <si>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</si>
  <si>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</si>
  <si>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</si>
  <si>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</si>
  <si>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</si>
  <si>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</si>
  <si>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</si>
  <si>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</si>
  <si>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</si>
  <si>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</si>
  <si>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</si>
  <si>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</si>
  <si>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</si>
  <si>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</si>
  <si>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</si>
  <si>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</si>
  <si>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</si>
  <si>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</si>
  <si>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</si>
  <si>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</si>
  <si>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</si>
  <si>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</si>
  <si>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share conv, standardised to AI account mix</t>
  </si>
  <si>
    <t>diff standardised (pp)</t>
  </si>
  <si>
    <t>share no topic, standardised to AI account mix</t>
  </si>
  <si>
    <t>Thesis data workbook</t>
  </si>
  <si>
    <t>Sheets</t>
  </si>
  <si>
    <t>README – index, definitions, account table, topic labels</t>
  </si>
  <si>
    <t>Posts – one row per post (6,206)</t>
  </si>
  <si>
    <t>Register_AI / Register_Conv – visual register items (287 AI, 486 conventional)</t>
  </si>
  <si>
    <t>Adoption – AI adoption by account and country</t>
  </si>
  <si>
    <t>CHES – CHES 2024 placements vs AI adoption</t>
  </si>
  <si>
    <t>Themes – topic shares</t>
  </si>
  <si>
    <t>Register – visual register figures</t>
  </si>
  <si>
    <t>Media Format – video orientation and duration (values)</t>
  </si>
  <si>
    <t>is_ai / is_conv – sampled AI (full visual) / sampled conventional</t>
  </si>
  <si>
    <t>ai_full – AI full visual, whole corpus | topical – n_topics ≥ 1</t>
  </si>
  <si>
    <t>Settings</t>
  </si>
  <si>
    <t>Post</t>
  </si>
  <si>
    <t>AI status and duplicates</t>
  </si>
  <si>
    <t>Sample</t>
  </si>
  <si>
    <t>Flags (formulas)</t>
  </si>
  <si>
    <t>5987.0</t>
  </si>
  <si>
    <t>subject3</t>
  </si>
  <si>
    <t>predication3</t>
  </si>
  <si>
    <t>subject3_AI</t>
  </si>
  <si>
    <t>C628</t>
  </si>
  <si>
    <t>C629</t>
  </si>
  <si>
    <t>C630</t>
  </si>
  <si>
    <t>288</t>
  </si>
  <si>
    <t>C631</t>
  </si>
  <si>
    <t>289</t>
  </si>
  <si>
    <t>Post counts (M–V): 6,206 posts; image+video carousels (14) count as video.</t>
  </si>
  <si>
    <t>Chart data for Figure B</t>
  </si>
  <si>
    <t>Figure B – posts using AI imagery by account</t>
  </si>
  <si>
    <t>Adoption = full AI visuals / all posts (branding-only excluded; indeterminate posts stay in the denominator). Party and leader accounts pooled; Wilders' NL and EU accounts count as the PVV leader. One Nation is not in CHES.</t>
  </si>
  <si>
    <t>Figure 2. AI adoption against six CHES 2024 dimensions (n = 8 parties).</t>
  </si>
  <si>
    <t>Figure 2 data (charts in rows 27–56)</t>
  </si>
  <si>
    <t>AI posts = ai_full_pct from the Parties table.</t>
  </si>
  <si>
    <t>Ideology scores: CHES 2024 expert placements, 0–10.</t>
  </si>
  <si>
    <t>CHES 2024 placements vs AI adoption, eight parties</t>
  </si>
  <si>
    <t>Parties table: counts and ai_full_pct are formulas over the README account table; CHES 2024 items are values.</t>
  </si>
  <si>
    <t>Share = posts with the topic / sampled posts of that status; a post can carry several topics. Chi-square: Pearson 1 df, no continuity correction; flagged where an expected cell &lt; 5.</t>
  </si>
  <si>
    <t>Standardised = conventional share weighted to the AI side's account mix (within-party gap); pooled F/G for reference.</t>
  </si>
  <si>
    <t>Sorted for the chart (by conventional share)</t>
  </si>
  <si>
    <t>Sample: all AI items plus up to 300 conventional posts per account (month-stratified; smaller accounts in full). Branding-only and AI-indeterminate posts excluded.</t>
  </si>
  <si>
    <t>Table A: no-topic share of all posts. Table B: topic shares of topical posts (&gt;= 1 topic).</t>
  </si>
  <si>
    <t>A – Posts with no topic, share of all posts</t>
  </si>
  <si>
    <t>B – Topic shares among topical posts (&gt;= 1 topic)</t>
  </si>
  <si>
    <t>Chart B reads B47:F54.</t>
  </si>
  <si>
    <t>Denominator: topical posts (comparable with Table B, not T1). Sample as above.</t>
  </si>
  <si>
    <t>Summary from row 67; AfD, VOX, Salvini and RN from row 75.</t>
  </si>
  <si>
    <t>Chi-square: Pearson 1 df; indicative where an expected cell &lt; 5.</t>
  </si>
  <si>
    <t>C5 – Topics per post, AI vs conventional</t>
  </si>
  <si>
    <t>All tables are formulas over Register_AI / Register_Conv.</t>
  </si>
  <si>
    <t>Scene items = branding_only 0 (AI 217, conventional 444). Negative = any slot menace/othering/ridicule/blame/victim; positive = any slot wholesome/heroic and not negative; neutral = neither.</t>
  </si>
  <si>
    <t>Chi-square: Pearson 1 df, no continuity correction; indicative where an expected cell &lt; 5.</t>
  </si>
  <si>
    <t>Own leader in any slot (count / share)</t>
  </si>
  <si>
    <t>S3. Imagery treatment</t>
  </si>
  <si>
    <t>S3b – Imagery treatment, any slot</t>
  </si>
  <si>
    <t>Negative imagery (any slot)</t>
  </si>
  <si>
    <t>Positive imagery (any slot)</t>
  </si>
  <si>
    <t>F6. Subject by predication, all three slots, counts.</t>
  </si>
  <si>
    <t>S7 – Each adopting account's AI scene items vs its own conventional sample (F10). Under 15 AI items, one post moves the share 7–30 pp.</t>
  </si>
  <si>
    <t>Media format: video orientation and duration</t>
  </si>
  <si>
    <t>Please note that branding only is old name for minimal+repetitive, left unchanged due to linking issues</t>
  </si>
  <si>
    <t>Theme codes</t>
  </si>
  <si>
    <t>All durations in seconds (s).  NL combines domestic and EU-period accounts - Note. Calculation run from raw_data.xlsx media_raw sheet, imported here</t>
  </si>
  <si>
    <r>
      <rPr>
        <i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. All data copy/pasted over from CHES 2024 placement, retained for calculations, data is as cited it thesis (Rovny et al., 2025)</t>
    </r>
  </si>
  <si>
    <t>why are you blue</t>
  </si>
  <si>
    <t>Rovny, J., Polk, J., Bakker, R., Hooghe, L., Jolly, S., Marks, G., Steenbergen, M., &amp; Vachudova, M. A. (2025). 2024 Chapel Hill Expert Survey. Chapel Hill Expert Survey.</t>
  </si>
  <si>
    <t>party_politician</t>
  </si>
  <si>
    <t>Party politician</t>
  </si>
  <si>
    <t>Party politician in any slot (count / share)</t>
  </si>
  <si>
    <t>By Account – Appendix B disaggregation by account and robustness checks</t>
  </si>
  <si>
    <t>S2 – Subject shown, slot 1, share of scene items (secondary table; the F2 chart now reads the any-slot table from row 108)</t>
  </si>
  <si>
    <t>How the subject is treated (predication, slot 1), share of scene items (secondary table; the F3 chart now reads the any-slot table from row 129)</t>
  </si>
  <si>
    <t>F2 – Subject, any slot: generated subjects in AI posts vs every subject in conventional posts (share of scene items; a post can show more than one)</t>
  </si>
  <si>
    <t>AI posts with no generated subject</t>
  </si>
  <si>
    <t>n AI (generated)</t>
  </si>
  <si>
    <t>test</t>
  </si>
  <si>
    <t>F3 – Treatment of the subject, any slot: generated subjects in AI posts vs every subject in conventional posts (share of scene items)</t>
  </si>
  <si>
    <t>No treatment</t>
  </si>
  <si>
    <t>Media-file counts (C–E): each carousel image counts separately. AI columns (F–L) count AI posts (287).</t>
  </si>
  <si>
    <t>AI posts</t>
  </si>
  <si>
    <t>AI posts (image)</t>
  </si>
  <si>
    <t>AI posts (video)</t>
  </si>
  <si>
    <t>AI posts (total)</t>
  </si>
  <si>
    <t>AI posts (branding only)</t>
  </si>
  <si>
    <t>AI posts (full visual)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</si>
</sst>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;\-0.0;0.0"/>
    <numFmt numFmtId="165" formatCode="0.0"/>
    <numFmt numFmtId="166" formatCode="0.0000"/>
    <numFmt numFmtId="167" formatCode="[&lt;0.001]&quot;&lt; .001&quot;;.000"/>
  </numFmts>
  <fonts count="41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sz val="11"/>
      <color theme="1"/>
      <name val="Calibri"/>
      <family val="2"/>
      <charset val="1"/>
    </font>
    <font>
      <i/>
      <sz val="9"/>
      <name val="Arial"/>
      <charset val="1"/>
    </font>
    <font>
      <i/>
      <sz val="9"/>
      <color rgb="FF595959"/>
      <name val="Arial"/>
      <family val="2"/>
    </font>
    <font>
      <b/>
      <sz val="11"/>
      <name val="Calibri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Arial"/>
    </font>
    <font>
      <b/>
      <sz val="10"/>
      <color theme="1"/>
      <name val="Arial"/>
    </font>
    <font>
      <i/>
      <sz val="10"/>
      <name val="Arial"/>
    </font>
    <font>
      <b/>
      <sz val="11"/>
      <color rgb="FF000000"/>
      <name val="Arial"/>
    </font>
    <font>
      <i/>
      <sz val="12"/>
      <color rgb="FF000000"/>
      <name val="Arial"/>
    </font>
    <font>
      <sz val="10"/>
      <color rgb="FF0000FF"/>
      <name val="Arial"/>
    </font>
    <font>
      <i/>
      <sz val="8"/>
      <color rgb="FF808080"/>
      <name val="Arial"/>
    </font>
    <font>
      <sz val="11"/>
      <name val="Arial"/>
    </font>
    <font>
      <b/>
      <sz val="11"/>
      <name val="Arial"/>
    </font>
    <font>
      <sz val="11"/>
      <color rgb="FF000000"/>
      <name val="Arial"/>
    </font>
    <font>
      <i/>
      <sz val="11"/>
      <name val="Arial"/>
    </font>
    <font>
      <i/>
      <sz val="11"/>
      <color rgb="FF000000"/>
      <name val="Arial"/>
    </font>
    <font>
      <b/>
      <i/>
      <sz val="11"/>
      <color rgb="FF000000"/>
      <name val="Arial"/>
    </font>
    <font>
      <b/>
      <sz val="12"/>
      <color theme="1"/>
      <name val="Arial"/>
    </font>
    <font>
      <b/>
      <i/>
      <sz val="10"/>
      <color rgb="FF000000"/>
      <name val="Arial"/>
    </font>
    <font>
      <b/>
      <i/>
      <sz val="10"/>
      <name val="Arial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rgb="FF555555"/>
      <name val="Arial"/>
      <family val="2"/>
    </font>
    <font>
      <i/>
      <u/>
      <sz val="10"/>
      <name val="Arial"/>
      <family val="2"/>
    </font>
    <font>
      <i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2">
    <xf numFmtId="0" fontId="0" fillId="0" borderId="0"/>
    <xf numFmtId="0" fontId="5" fillId="0" borderId="0"/>
  </cellStyleXfs>
  <cellXfs count="133">
    <xf numFmtId="0" fontId="0" fillId="0" borderId="0" xfId="0"/>
    <xf numFmtId="0" fontId="2" fillId="0" borderId="0" xfId="0" applyFont="1" applyAlignment="1">
      <alignment vertical="top" wrapText="1"/>
    </xf>
    <xf numFmtId="165" fontId="3" fillId="0" borderId="0" xfId="0" applyNumberFormat="1" applyFont="1"/>
    <xf numFmtId="0" fontId="5" fillId="0" borderId="0" xfId="1"/>
    <xf numFmtId="14" fontId="0" fillId="0" borderId="0" xfId="0" applyNumberFormat="1"/>
    <xf numFmtId="0" fontId="8" fillId="0" borderId="0" xfId="0" applyFont="1"/>
    <xf numFmtId="0" fontId="0" fillId="2" borderId="0" xfId="0" applyFill="1"/>
    <xf numFmtId="0" fontId="3" fillId="0" borderId="0" xfId="0" applyFont="1"/>
    <xf numFmtId="0" fontId="9" fillId="0" borderId="0" xfId="0" applyFont="1"/>
    <xf numFmtId="0" fontId="13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center" wrapText="1"/>
    </xf>
    <xf numFmtId="0" fontId="3" fillId="0" borderId="3" xfId="0" applyFont="1" applyBorder="1"/>
    <xf numFmtId="0" fontId="9" fillId="0" borderId="3" xfId="0" applyFont="1" applyBorder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18" fillId="0" borderId="2" xfId="0" applyFont="1" applyBorder="1" applyAlignment="1">
      <alignment horizontal="center" wrapText="1"/>
    </xf>
    <xf numFmtId="164" fontId="3" fillId="0" borderId="0" xfId="0" applyNumberFormat="1" applyFont="1"/>
    <xf numFmtId="2" fontId="3" fillId="0" borderId="0" xfId="0" applyNumberFormat="1" applyFont="1"/>
    <xf numFmtId="164" fontId="3" fillId="0" borderId="3" xfId="0" applyNumberFormat="1" applyFont="1" applyBorder="1"/>
    <xf numFmtId="2" fontId="3" fillId="0" borderId="3" xfId="0" applyNumberFormat="1" applyFont="1" applyBorder="1"/>
    <xf numFmtId="165" fontId="3" fillId="0" borderId="3" xfId="0" applyNumberFormat="1" applyFont="1" applyBorder="1"/>
    <xf numFmtId="2" fontId="13" fillId="0" borderId="1" xfId="0" applyNumberFormat="1" applyFont="1" applyBorder="1" applyAlignment="1">
      <alignment horizontal="center" wrapText="1"/>
    </xf>
    <xf numFmtId="166" fontId="3" fillId="0" borderId="0" xfId="0" applyNumberFormat="1" applyFont="1"/>
    <xf numFmtId="0" fontId="9" fillId="0" borderId="0" xfId="0" applyFont="1" applyAlignment="1">
      <alignment horizontal="left"/>
    </xf>
    <xf numFmtId="0" fontId="9" fillId="0" borderId="3" xfId="0" applyFont="1" applyBorder="1" applyAlignment="1">
      <alignment horizontal="left"/>
    </xf>
    <xf numFmtId="0" fontId="18" fillId="0" borderId="2" xfId="0" applyFont="1" applyBorder="1" applyAlignment="1">
      <alignment horizontal="left" wrapText="1"/>
    </xf>
    <xf numFmtId="0" fontId="9" fillId="0" borderId="0" xfId="1" applyFont="1"/>
    <xf numFmtId="0" fontId="13" fillId="0" borderId="2" xfId="1" applyFont="1" applyBorder="1" applyAlignment="1">
      <alignment horizontal="left" wrapText="1"/>
    </xf>
    <xf numFmtId="0" fontId="13" fillId="0" borderId="2" xfId="1" applyFont="1" applyBorder="1" applyAlignment="1">
      <alignment horizontal="center" wrapText="1"/>
    </xf>
    <xf numFmtId="0" fontId="18" fillId="0" borderId="2" xfId="1" applyFont="1" applyBorder="1" applyAlignment="1">
      <alignment horizontal="center" wrapText="1"/>
    </xf>
    <xf numFmtId="0" fontId="9" fillId="0" borderId="3" xfId="1" applyFont="1" applyBorder="1"/>
    <xf numFmtId="0" fontId="3" fillId="0" borderId="0" xfId="1" applyFont="1" applyAlignment="1">
      <alignment horizontal="left"/>
    </xf>
    <xf numFmtId="0" fontId="3" fillId="0" borderId="3" xfId="1" applyFont="1" applyBorder="1" applyAlignment="1">
      <alignment horizontal="left"/>
    </xf>
    <xf numFmtId="0" fontId="21" fillId="0" borderId="0" xfId="1" applyFont="1"/>
    <xf numFmtId="2" fontId="20" fillId="0" borderId="0" xfId="1" applyNumberFormat="1" applyFont="1"/>
    <xf numFmtId="2" fontId="20" fillId="0" borderId="3" xfId="1" applyNumberFormat="1" applyFont="1" applyBorder="1"/>
    <xf numFmtId="0" fontId="21" fillId="0" borderId="0" xfId="1" applyFont="1" applyAlignment="1">
      <alignment horizontal="left"/>
    </xf>
    <xf numFmtId="0" fontId="14" fillId="0" borderId="0" xfId="0" applyFont="1"/>
    <xf numFmtId="10" fontId="9" fillId="0" borderId="0" xfId="0" applyNumberFormat="1" applyFont="1"/>
    <xf numFmtId="10" fontId="9" fillId="0" borderId="3" xfId="0" applyNumberFormat="1" applyFont="1" applyBorder="1"/>
    <xf numFmtId="3" fontId="3" fillId="0" borderId="0" xfId="0" applyNumberFormat="1" applyFont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1" fontId="9" fillId="0" borderId="0" xfId="0" applyNumberFormat="1" applyFont="1"/>
    <xf numFmtId="1" fontId="9" fillId="0" borderId="3" xfId="0" applyNumberFormat="1" applyFont="1" applyBorder="1"/>
    <xf numFmtId="3" fontId="11" fillId="0" borderId="0" xfId="0" applyNumberFormat="1" applyFont="1"/>
    <xf numFmtId="3" fontId="11" fillId="0" borderId="2" xfId="0" applyNumberFormat="1" applyFont="1" applyBorder="1"/>
    <xf numFmtId="3" fontId="22" fillId="0" borderId="0" xfId="0" applyNumberFormat="1" applyFont="1" applyAlignment="1">
      <alignment horizontal="center" vertical="center"/>
    </xf>
    <xf numFmtId="3" fontId="24" fillId="0" borderId="3" xfId="0" applyNumberFormat="1" applyFont="1" applyBorder="1" applyAlignment="1">
      <alignment horizontal="center" vertical="center"/>
    </xf>
    <xf numFmtId="3" fontId="9" fillId="0" borderId="0" xfId="0" applyNumberFormat="1" applyFont="1"/>
    <xf numFmtId="3" fontId="9" fillId="0" borderId="3" xfId="0" applyNumberFormat="1" applyFont="1" applyBorder="1"/>
    <xf numFmtId="49" fontId="3" fillId="0" borderId="0" xfId="0" applyNumberFormat="1" applyFont="1" applyAlignment="1">
      <alignment horizontal="left"/>
    </xf>
    <xf numFmtId="167" fontId="3" fillId="0" borderId="0" xfId="0" applyNumberFormat="1" applyFont="1"/>
    <xf numFmtId="167" fontId="3" fillId="0" borderId="3" xfId="0" applyNumberFormat="1" applyFont="1" applyBorder="1"/>
    <xf numFmtId="0" fontId="11" fillId="0" borderId="0" xfId="0" applyFont="1"/>
    <xf numFmtId="0" fontId="26" fillId="0" borderId="0" xfId="0" applyFont="1" applyAlignment="1">
      <alignment horizontal="center"/>
    </xf>
    <xf numFmtId="0" fontId="24" fillId="0" borderId="0" xfId="1" applyFont="1" applyAlignment="1">
      <alignment horizontal="center"/>
    </xf>
    <xf numFmtId="0" fontId="24" fillId="0" borderId="0" xfId="0" applyFont="1" applyAlignment="1">
      <alignment horizontal="center"/>
    </xf>
    <xf numFmtId="0" fontId="11" fillId="0" borderId="1" xfId="0" applyFont="1" applyBorder="1"/>
    <xf numFmtId="0" fontId="13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center" wrapText="1"/>
    </xf>
    <xf numFmtId="0" fontId="25" fillId="0" borderId="0" xfId="0" applyFont="1"/>
    <xf numFmtId="10" fontId="11" fillId="0" borderId="0" xfId="0" applyNumberFormat="1" applyFont="1"/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center"/>
    </xf>
    <xf numFmtId="0" fontId="11" fillId="0" borderId="2" xfId="0" applyFont="1" applyBorder="1"/>
    <xf numFmtId="10" fontId="11" fillId="0" borderId="2" xfId="0" applyNumberFormat="1" applyFont="1" applyBorder="1"/>
    <xf numFmtId="0" fontId="11" fillId="0" borderId="1" xfId="0" applyFont="1" applyBorder="1" applyAlignment="1">
      <alignment horizontal="centerContinuous"/>
    </xf>
    <xf numFmtId="0" fontId="13" fillId="0" borderId="0" xfId="0" applyFont="1" applyAlignment="1">
      <alignment horizontal="center" wrapText="1"/>
    </xf>
    <xf numFmtId="0" fontId="4" fillId="0" borderId="0" xfId="0" applyFont="1"/>
    <xf numFmtId="0" fontId="29" fillId="0" borderId="2" xfId="0" applyFont="1" applyBorder="1" applyAlignment="1">
      <alignment horizontal="center" wrapText="1"/>
    </xf>
    <xf numFmtId="10" fontId="3" fillId="0" borderId="0" xfId="0" applyNumberFormat="1" applyFont="1"/>
    <xf numFmtId="10" fontId="3" fillId="0" borderId="3" xfId="0" applyNumberFormat="1" applyFont="1" applyBorder="1"/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9" fillId="0" borderId="2" xfId="0" applyFont="1" applyBorder="1"/>
    <xf numFmtId="0" fontId="17" fillId="0" borderId="2" xfId="0" applyFont="1" applyBorder="1" applyAlignment="1">
      <alignment horizontal="left"/>
    </xf>
    <xf numFmtId="0" fontId="19" fillId="0" borderId="0" xfId="0" applyFont="1"/>
    <xf numFmtId="0" fontId="17" fillId="0" borderId="0" xfId="0" applyFont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30" fillId="0" borderId="2" xfId="0" applyFont="1" applyBorder="1"/>
    <xf numFmtId="0" fontId="15" fillId="0" borderId="0" xfId="0" applyFont="1"/>
    <xf numFmtId="10" fontId="13" fillId="0" borderId="1" xfId="0" applyNumberFormat="1" applyFont="1" applyBorder="1" applyAlignment="1">
      <alignment horizontal="center" wrapText="1"/>
    </xf>
    <xf numFmtId="10" fontId="3" fillId="0" borderId="2" xfId="0" applyNumberFormat="1" applyFont="1" applyBorder="1"/>
    <xf numFmtId="0" fontId="28" fillId="0" borderId="0" xfId="0" applyFont="1"/>
    <xf numFmtId="0" fontId="22" fillId="0" borderId="0" xfId="0" applyFont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2" xfId="1" applyFont="1" applyBorder="1" applyAlignment="1">
      <alignment horizontal="left" wrapText="1"/>
    </xf>
    <xf numFmtId="0" fontId="27" fillId="0" borderId="2" xfId="1" applyFont="1" applyBorder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0" fontId="22" fillId="0" borderId="0" xfId="0" applyNumberFormat="1" applyFont="1" applyAlignment="1">
      <alignment horizontal="center" vertical="center"/>
    </xf>
    <xf numFmtId="10" fontId="24" fillId="0" borderId="3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31" fillId="4" borderId="4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9" fillId="0" borderId="0" xfId="1" applyFont="1" applyAlignment="1">
      <alignment horizontal="left"/>
    </xf>
    <xf numFmtId="0" fontId="9" fillId="7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0" fillId="0" borderId="0" xfId="0"/>
    <xf numFmtId="0" fontId="3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31" fillId="3" borderId="4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1" fillId="0" borderId="2" xfId="0" applyFont="1" applyBorder="1" applyAlignment="1">
      <alignment horizontal="center"/>
    </xf>
    <xf numFmtId="0" fontId="40" fillId="0" borderId="0" xfId="0" applyFont="1" applyAlignment="1">
      <alignment vertical="top" wrapText="1"/>
    </xf>
    <xf numFmtId="0" fontId="40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38" fillId="0" borderId="0" xfId="0" applyFont="1" applyAlignment="1">
      <alignment vertical="top" wrapText="1"/>
    </xf>
    <xf numFmtId="0" fontId="17" fillId="0" borderId="0" xfId="1" applyFont="1" applyAlignment="1">
      <alignment vertical="top" wrapText="1"/>
    </xf>
    <xf numFmtId="0" fontId="35" fillId="0" borderId="0" xfId="1" applyFont="1" applyAlignment="1">
      <alignment horizontal="left" vertical="center"/>
    </xf>
    <xf numFmtId="0" fontId="14" fillId="0" borderId="0" xfId="0" applyFont="1"/>
    <xf numFmtId="0" fontId="7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ACC7BC96-FFF9-40AB-BC8B-B5B39000582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0025062656641603E-2"/>
          <c:y val="3.9426523297491037E-2"/>
          <c:w val="0.96992481203007519"/>
          <c:h val="0.85663082437275984"/>
        </c:manualLayout>
      </c:layout>
      <c:barChart>
        <c:barDir val="bar"/>
        <c:grouping val="clustered"/>
        <c:varyColors val="0"/>
        <c:ser>
          <c:idx val="0"/>
          <c:order val="0"/>
          <c:tx>
            <c:v>Conventional posts</c:v>
          </c:tx>
          <c:spPr>
            <a:solidFill>
              <a:srgbClr val="BFBFBF"/>
            </a:solidFill>
            <a:ln w="12700">
              <a:solidFill>
                <a:srgbClr val="BFBFBF"/>
              </a:solidFill>
              <a:prstDash val="solid"/>
            </a:ln>
            <a:effectLst/>
          </c:spPr>
          <c:invertIfNegative val="0"/>
          <c:cat>
            <c:strRef>
              <c:f>Themes!$B$19:$B$26</c:f>
              <c:strCache>
                <c:ptCount val="8"/>
                <c:pt idx="0">
                  <c:v>Sovereignty &amp; identity</c:v>
                </c:pt>
                <c:pt idx="1">
                  <c:v>Economy &amp; services</c:v>
                </c:pt>
                <c:pt idx="2">
                  <c:v>Immigration</c:v>
                </c:pt>
                <c:pt idx="3">
                  <c:v>Crime &amp; security</c:v>
                </c:pt>
                <c:pt idx="4">
                  <c:v>Land &amp; environment</c:v>
                </c:pt>
                <c:pt idx="5">
                  <c:v>Gender &amp; culture</c:v>
                </c:pt>
                <c:pt idx="6">
                  <c:v>Defence &amp; foreign</c:v>
                </c:pt>
                <c:pt idx="7">
                  <c:v>Islam</c:v>
                </c:pt>
              </c:strCache>
            </c:strRef>
          </c:cat>
          <c:val>
            <c:numRef>
              <c:f>Themes!$C$19:$C$26</c:f>
              <c:numCache>
                <c:formatCode>0.00%</c:formatCode>
                <c:ptCount val="8"/>
                <c:pt idx="0">
                  <c:v>0.26376269374665956</c:v>
                </c:pt>
                <c:pt idx="1">
                  <c:v>0.2520042757883485</c:v>
                </c:pt>
                <c:pt idx="2">
                  <c:v>0.22234099412079103</c:v>
                </c:pt>
                <c:pt idx="3">
                  <c:v>0.16194548369855691</c:v>
                </c:pt>
                <c:pt idx="4">
                  <c:v>0.11785141635489044</c:v>
                </c:pt>
                <c:pt idx="5">
                  <c:v>5.8524853019775523E-2</c:v>
                </c:pt>
                <c:pt idx="6">
                  <c:v>4.0352752538749329E-2</c:v>
                </c:pt>
                <c:pt idx="7">
                  <c:v>3.5275253874933188E-2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3-4C47-8DF0-DCFC19539BA0}"/>
            </c:ext>
          </c:extLst>
        </c:ser>
        <c:ser>
          <c:idx val="1"/>
          <c:order val="1"/>
          <c:tx>
            <c:v>AI posts</c:v>
          </c:tx>
          <c:spPr>
            <a:solidFill>
              <a:srgbClr val="404040"/>
            </a:solidFill>
            <a:ln w="12700">
              <a:solidFill>
                <a:srgbClr val="404040"/>
              </a:solidFill>
              <a:prstDash val="solid"/>
            </a:ln>
            <a:effectLst/>
          </c:spPr>
          <c:invertIfNegative val="0"/>
          <c:cat>
            <c:strRef>
              <c:f>Themes!$B$19:$B$26</c:f>
              <c:strCache>
                <c:ptCount val="8"/>
                <c:pt idx="0">
                  <c:v>Sovereignty &amp; identity</c:v>
                </c:pt>
                <c:pt idx="1">
                  <c:v>Economy &amp; services</c:v>
                </c:pt>
                <c:pt idx="2">
                  <c:v>Immigration</c:v>
                </c:pt>
                <c:pt idx="3">
                  <c:v>Crime &amp; security</c:v>
                </c:pt>
                <c:pt idx="4">
                  <c:v>Land &amp; environment</c:v>
                </c:pt>
                <c:pt idx="5">
                  <c:v>Gender &amp; culture</c:v>
                </c:pt>
                <c:pt idx="6">
                  <c:v>Defence &amp; foreign</c:v>
                </c:pt>
                <c:pt idx="7">
                  <c:v>Islam</c:v>
                </c:pt>
              </c:strCache>
            </c:strRef>
          </c:cat>
          <c:val>
            <c:numRef>
              <c:f>Themes!$D$19:$D$26</c:f>
              <c:numCache>
                <c:formatCode>0.00%</c:formatCode>
                <c:ptCount val="8"/>
                <c:pt idx="0">
                  <c:v>0.25345622119815669</c:v>
                </c:pt>
                <c:pt idx="1">
                  <c:v>0.31336405529953915</c:v>
                </c:pt>
                <c:pt idx="2">
                  <c:v>0.36405529953917048</c:v>
                </c:pt>
                <c:pt idx="3">
                  <c:v>0.2304147465437788</c:v>
                </c:pt>
                <c:pt idx="4">
                  <c:v>0.15207373271889402</c:v>
                </c:pt>
                <c:pt idx="5">
                  <c:v>0.15668202764976957</c:v>
                </c:pt>
                <c:pt idx="6">
                  <c:v>6.4516129032258063E-2</c:v>
                </c:pt>
                <c:pt idx="7">
                  <c:v>0.13364055299539171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3-4C47-8DF0-DCFC19539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2207232"/>
        <c:axId val="1792640080"/>
      </c:barChart>
      <c:catAx>
        <c:axId val="422072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2640080"/>
        <c:crosses val="autoZero"/>
        <c:auto val="1"/>
        <c:lblAlgn val="ctr"/>
        <c:lblOffset val="100"/>
        <c:noMultiLvlLbl val="0"/>
      </c:catAx>
      <c:valAx>
        <c:axId val="1792640080"/>
        <c:scaling>
          <c:orientation val="minMax"/>
          <c:max val="0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Share of posts developing the topic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207232"/>
        <c:crosses val="max"/>
        <c:crossBetween val="between"/>
        <c:majorUnit val="0.0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4979377577802711"/>
          <c:y val="0.70985832416109318"/>
          <c:w val="0.33993361356146273"/>
          <c:h val="6.445034314053520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Conventional posts</c:v>
          </c:tx>
          <c:spPr>
            <a:solidFill>
              <a:srgbClr val="BFBFBF"/>
            </a:solidFill>
            <a:ln w="12700">
              <a:solidFill>
                <a:srgbClr val="BFBFBF"/>
              </a:solidFill>
              <a:prstDash val="solid"/>
            </a:ln>
            <a:effectLst/>
          </c:spPr>
          <c:invertIfNegative val="0"/>
          <c:cat>
            <c:strRef>
              <c:f>Themes!$A$127:$A$130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3+</c:v>
                </c:pt>
              </c:strCache>
            </c:strRef>
          </c:cat>
          <c:val>
            <c:numRef>
              <c:f>Themes!$E$127:$E$130</c:f>
              <c:numCache>
                <c:formatCode>0.00%</c:formatCode>
                <c:ptCount val="4"/>
                <c:pt idx="0">
                  <c:v>0.34233030464991981</c:v>
                </c:pt>
                <c:pt idx="1">
                  <c:v>0.34446819882415819</c:v>
                </c:pt>
                <c:pt idx="2">
                  <c:v>0.19508284339925175</c:v>
                </c:pt>
                <c:pt idx="3">
                  <c:v>0.11811865312667023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9-45F5-9561-74C108030266}"/>
            </c:ext>
          </c:extLst>
        </c:ser>
        <c:ser>
          <c:idx val="1"/>
          <c:order val="1"/>
          <c:tx>
            <c:v>AI posts</c:v>
          </c:tx>
          <c:spPr>
            <a:solidFill>
              <a:srgbClr val="404040"/>
            </a:solidFill>
            <a:ln w="12700">
              <a:solidFill>
                <a:srgbClr val="404040"/>
              </a:solidFill>
              <a:prstDash val="solid"/>
            </a:ln>
            <a:effectLst/>
          </c:spPr>
          <c:invertIfNegative val="0"/>
          <c:cat>
            <c:strRef>
              <c:f>Themes!$A$127:$A$130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3+</c:v>
                </c:pt>
              </c:strCache>
            </c:strRef>
          </c:cat>
          <c:val>
            <c:numRef>
              <c:f>Themes!$D$127:$D$130</c:f>
              <c:numCache>
                <c:formatCode>0.00%</c:formatCode>
                <c:ptCount val="4"/>
                <c:pt idx="0">
                  <c:v>0.12442396313364056</c:v>
                </c:pt>
                <c:pt idx="1">
                  <c:v>0.33179723502304148</c:v>
                </c:pt>
                <c:pt idx="2">
                  <c:v>0.36405529953917048</c:v>
                </c:pt>
                <c:pt idx="3">
                  <c:v>0.17972350230414746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9-45F5-9561-74C108030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35641008"/>
        <c:axId val="1792702960"/>
      </c:barChart>
      <c:catAx>
        <c:axId val="33564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Topic codes per post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2702960"/>
        <c:crosses val="autoZero"/>
        <c:auto val="1"/>
        <c:lblAlgn val="ctr"/>
        <c:lblOffset val="100"/>
        <c:noMultiLvlLbl val="0"/>
      </c:catAx>
      <c:valAx>
        <c:axId val="1792702960"/>
        <c:scaling>
          <c:orientation val="minMax"/>
          <c:max val="0.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Share of posts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641008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Conventional posts</c:v>
          </c:tx>
          <c:spPr>
            <a:solidFill>
              <a:srgbClr val="BFBFBF"/>
            </a:solidFill>
            <a:ln>
              <a:solidFill>
                <a:srgbClr val="BFBFBF"/>
              </a:solidFill>
              <a:prstDash val="solid"/>
            </a:ln>
          </c:spPr>
          <c:invertIfNegative val="0"/>
          <c:cat>
            <c:strRef>
              <c:f>Themes!$B$47:$B$54</c:f>
              <c:strCache>
                <c:ptCount val="8"/>
                <c:pt idx="0">
                  <c:v>Immigration</c:v>
                </c:pt>
                <c:pt idx="1">
                  <c:v>Islam</c:v>
                </c:pt>
                <c:pt idx="2">
                  <c:v>Crime &amp; security</c:v>
                </c:pt>
                <c:pt idx="3">
                  <c:v>Sovereignty &amp; identity</c:v>
                </c:pt>
                <c:pt idx="4">
                  <c:v>Economy &amp; services</c:v>
                </c:pt>
                <c:pt idx="5">
                  <c:v>Land &amp; environment</c:v>
                </c:pt>
                <c:pt idx="6">
                  <c:v>Gender &amp; culture</c:v>
                </c:pt>
                <c:pt idx="7">
                  <c:v>Defence &amp; foreign</c:v>
                </c:pt>
              </c:strCache>
            </c:strRef>
          </c:cat>
          <c:val>
            <c:numRef>
              <c:f>Themes!$F$47:$F$54</c:f>
              <c:numCache>
                <c:formatCode>0.00%</c:formatCode>
                <c:ptCount val="8"/>
                <c:pt idx="0">
                  <c:v>0.33807395367736692</c:v>
                </c:pt>
                <c:pt idx="1">
                  <c:v>5.3636733035351485E-2</c:v>
                </c:pt>
                <c:pt idx="2">
                  <c:v>0.24624136529865909</c:v>
                </c:pt>
                <c:pt idx="3">
                  <c:v>0.40105648110524178</c:v>
                </c:pt>
                <c:pt idx="4">
                  <c:v>0.38317757009345793</c:v>
                </c:pt>
                <c:pt idx="5">
                  <c:v>0.17919544900446974</c:v>
                </c:pt>
                <c:pt idx="6">
                  <c:v>8.8988216172287693E-2</c:v>
                </c:pt>
                <c:pt idx="7">
                  <c:v>6.1357171881349044E-2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0-4A94-B918-D29A8182CC96}"/>
            </c:ext>
          </c:extLst>
        </c:ser>
        <c:ser>
          <c:idx val="1"/>
          <c:order val="1"/>
          <c:tx>
            <c:v>AI posts</c:v>
          </c:tx>
          <c:spPr>
            <a:solidFill>
              <a:srgbClr val="404040"/>
            </a:solidFill>
            <a:ln>
              <a:solidFill>
                <a:srgbClr val="404040"/>
              </a:solidFill>
              <a:prstDash val="solid"/>
            </a:ln>
          </c:spPr>
          <c:invertIfNegative val="0"/>
          <c:cat>
            <c:strRef>
              <c:f>Themes!$B$47:$B$54</c:f>
              <c:strCache>
                <c:ptCount val="8"/>
                <c:pt idx="0">
                  <c:v>Immigration</c:v>
                </c:pt>
                <c:pt idx="1">
                  <c:v>Islam</c:v>
                </c:pt>
                <c:pt idx="2">
                  <c:v>Crime &amp; security</c:v>
                </c:pt>
                <c:pt idx="3">
                  <c:v>Sovereignty &amp; identity</c:v>
                </c:pt>
                <c:pt idx="4">
                  <c:v>Economy &amp; services</c:v>
                </c:pt>
                <c:pt idx="5">
                  <c:v>Land &amp; environment</c:v>
                </c:pt>
                <c:pt idx="6">
                  <c:v>Gender &amp; culture</c:v>
                </c:pt>
                <c:pt idx="7">
                  <c:v>Defence &amp; foreign</c:v>
                </c:pt>
              </c:strCache>
            </c:strRef>
          </c:cat>
          <c:val>
            <c:numRef>
              <c:f>Themes!$E$47:$E$54</c:f>
              <c:numCache>
                <c:formatCode>0.00%</c:formatCode>
                <c:ptCount val="8"/>
                <c:pt idx="0">
                  <c:v>0.41578947368421054</c:v>
                </c:pt>
                <c:pt idx="1">
                  <c:v>0.15263157894736842</c:v>
                </c:pt>
                <c:pt idx="2">
                  <c:v>0.26315789473684209</c:v>
                </c:pt>
                <c:pt idx="3">
                  <c:v>0.28947368421052633</c:v>
                </c:pt>
                <c:pt idx="4">
                  <c:v>0.35789473684210527</c:v>
                </c:pt>
                <c:pt idx="5">
                  <c:v>0.1736842105263158</c:v>
                </c:pt>
                <c:pt idx="6">
                  <c:v>0.17894736842105263</c:v>
                </c:pt>
                <c:pt idx="7">
                  <c:v>7.3684210526315783E-2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0-4A94-B918-D29A8182C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Share of topical posts developing the topic 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noFill/>
    </a:ln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AI posts (generated subjects)</c:v>
          </c:tx>
          <c:spPr>
            <a:solidFill>
              <a:srgbClr val="40404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Register!$A$112:$A$120</c:f>
              <c:strCache>
                <c:ptCount val="9"/>
                <c:pt idx="0">
                  <c:v>Own leader</c:v>
                </c:pt>
                <c:pt idx="1">
                  <c:v>Party politician</c:v>
                </c:pt>
                <c:pt idx="2">
                  <c:v>Other politician</c:v>
                </c:pt>
                <c:pt idx="3">
                  <c:v>Anonymous individual</c:v>
                </c:pt>
                <c:pt idx="4">
                  <c:v>Mass</c:v>
                </c:pt>
                <c:pt idx="5">
                  <c:v>Institution</c:v>
                </c:pt>
                <c:pt idx="6">
                  <c:v>Economy</c:v>
                </c:pt>
                <c:pt idx="7">
                  <c:v>Place</c:v>
                </c:pt>
                <c:pt idx="8">
                  <c:v>Object</c:v>
                </c:pt>
              </c:strCache>
            </c:strRef>
          </c:cat>
          <c:val>
            <c:numRef>
              <c:f>Register!$D$112:$D$120</c:f>
              <c:numCache>
                <c:formatCode>0.00%</c:formatCode>
                <c:ptCount val="9"/>
                <c:pt idx="0">
                  <c:v>5.0691244239631339E-2</c:v>
                </c:pt>
                <c:pt idx="1">
                  <c:v>0</c:v>
                </c:pt>
                <c:pt idx="2">
                  <c:v>4.6082949308755762E-2</c:v>
                </c:pt>
                <c:pt idx="3">
                  <c:v>0.5161290322580645</c:v>
                </c:pt>
                <c:pt idx="4">
                  <c:v>0.14746543778801843</c:v>
                </c:pt>
                <c:pt idx="5">
                  <c:v>7.3732718894009217E-2</c:v>
                </c:pt>
                <c:pt idx="6">
                  <c:v>4.1474654377880185E-2</c:v>
                </c:pt>
                <c:pt idx="7">
                  <c:v>5.0691244239631339E-2</c:v>
                </c:pt>
                <c:pt idx="8">
                  <c:v>0.13824884792626729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D-4F26-BF0A-7013AC8E1E8C}"/>
            </c:ext>
          </c:extLst>
        </c:ser>
        <c:ser>
          <c:idx val="1"/>
          <c:order val="1"/>
          <c:tx>
            <c:v>Conventional posts</c:v>
          </c:tx>
          <c:spPr>
            <a:solidFill>
              <a:srgbClr val="BFBFBF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Register!$A$112:$A$120</c:f>
              <c:strCache>
                <c:ptCount val="9"/>
                <c:pt idx="0">
                  <c:v>Own leader</c:v>
                </c:pt>
                <c:pt idx="1">
                  <c:v>Party politician</c:v>
                </c:pt>
                <c:pt idx="2">
                  <c:v>Other politician</c:v>
                </c:pt>
                <c:pt idx="3">
                  <c:v>Anonymous individual</c:v>
                </c:pt>
                <c:pt idx="4">
                  <c:v>Mass</c:v>
                </c:pt>
                <c:pt idx="5">
                  <c:v>Institution</c:v>
                </c:pt>
                <c:pt idx="6">
                  <c:v>Economy</c:v>
                </c:pt>
                <c:pt idx="7">
                  <c:v>Place</c:v>
                </c:pt>
                <c:pt idx="8">
                  <c:v>Object</c:v>
                </c:pt>
              </c:strCache>
            </c:strRef>
          </c:cat>
          <c:val>
            <c:numRef>
              <c:f>Register!$E$112:$E$120</c:f>
              <c:numCache>
                <c:formatCode>0.00%</c:formatCode>
                <c:ptCount val="9"/>
                <c:pt idx="0">
                  <c:v>0.54054054054054057</c:v>
                </c:pt>
                <c:pt idx="1">
                  <c:v>0.17342342342342343</c:v>
                </c:pt>
                <c:pt idx="2">
                  <c:v>0.20495495495495494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2.2522522522522521E-2</c:v>
                </c:pt>
                <c:pt idx="6">
                  <c:v>2.2522522522522521E-2</c:v>
                </c:pt>
                <c:pt idx="7">
                  <c:v>3.6036036036036036E-2</c:v>
                </c:pt>
                <c:pt idx="8">
                  <c:v>8.5585585585585586E-2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D-4F26-BF0A-7013AC8E1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1963791344"/>
        <c:axId val="54834672"/>
      </c:barChart>
      <c:catAx>
        <c:axId val="1963791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34672"/>
        <c:crosses val="autoZero"/>
        <c:auto val="1"/>
        <c:lblAlgn val="ctr"/>
        <c:lblOffset val="100"/>
        <c:noMultiLvlLbl val="0"/>
      </c:catAx>
      <c:valAx>
        <c:axId val="54834672"/>
        <c:scaling>
          <c:orientation val="minMax"/>
          <c:max val="0.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Share of posts (a post can show more than one)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3791344"/>
        <c:crosses val="max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5000000000000004"/>
          <c:y val="0.57999999999999996"/>
          <c:w val="0.42"/>
          <c:h val="0.1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AI posts (generated subjects)</c:v>
          </c:tx>
          <c:spPr>
            <a:solidFill>
              <a:srgbClr val="40404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Register!$A$132:$A$139</c:f>
              <c:strCache>
                <c:ptCount val="8"/>
                <c:pt idx="0">
                  <c:v>Menace</c:v>
                </c:pt>
                <c:pt idx="1">
                  <c:v>Othering</c:v>
                </c:pt>
                <c:pt idx="2">
                  <c:v>Ridicule</c:v>
                </c:pt>
                <c:pt idx="3">
                  <c:v>Blame</c:v>
                </c:pt>
                <c:pt idx="4">
                  <c:v>Victim</c:v>
                </c:pt>
                <c:pt idx="5">
                  <c:v>Heroic</c:v>
                </c:pt>
                <c:pt idx="6">
                  <c:v>Wholesome</c:v>
                </c:pt>
                <c:pt idx="7">
                  <c:v>No treatment</c:v>
                </c:pt>
              </c:strCache>
            </c:strRef>
          </c:cat>
          <c:val>
            <c:numRef>
              <c:f>Register!$D$132:$D$139</c:f>
              <c:numCache>
                <c:formatCode>0.00%</c:formatCode>
                <c:ptCount val="8"/>
                <c:pt idx="0">
                  <c:v>0.2304147465437788</c:v>
                </c:pt>
                <c:pt idx="1">
                  <c:v>7.8341013824884786E-2</c:v>
                </c:pt>
                <c:pt idx="2">
                  <c:v>5.0691244239631339E-2</c:v>
                </c:pt>
                <c:pt idx="3">
                  <c:v>1.8433179723502304E-2</c:v>
                </c:pt>
                <c:pt idx="4">
                  <c:v>0.16589861751152074</c:v>
                </c:pt>
                <c:pt idx="5">
                  <c:v>4.1474654377880185E-2</c:v>
                </c:pt>
                <c:pt idx="6">
                  <c:v>0.31336405529953915</c:v>
                </c:pt>
                <c:pt idx="7">
                  <c:v>0.25806451612903225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D-4579-92BF-CDE1943238DD}"/>
            </c:ext>
          </c:extLst>
        </c:ser>
        <c:ser>
          <c:idx val="1"/>
          <c:order val="1"/>
          <c:tx>
            <c:v>Conventional posts</c:v>
          </c:tx>
          <c:spPr>
            <a:solidFill>
              <a:srgbClr val="BFBFBF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Register!$A$132:$A$139</c:f>
              <c:strCache>
                <c:ptCount val="8"/>
                <c:pt idx="0">
                  <c:v>Menace</c:v>
                </c:pt>
                <c:pt idx="1">
                  <c:v>Othering</c:v>
                </c:pt>
                <c:pt idx="2">
                  <c:v>Ridicule</c:v>
                </c:pt>
                <c:pt idx="3">
                  <c:v>Blame</c:v>
                </c:pt>
                <c:pt idx="4">
                  <c:v>Victim</c:v>
                </c:pt>
                <c:pt idx="5">
                  <c:v>Heroic</c:v>
                </c:pt>
                <c:pt idx="6">
                  <c:v>Wholesome</c:v>
                </c:pt>
                <c:pt idx="7">
                  <c:v>No treatment</c:v>
                </c:pt>
              </c:strCache>
            </c:strRef>
          </c:cat>
          <c:val>
            <c:numRef>
              <c:f>Register!$E$132:$E$139</c:f>
              <c:numCache>
                <c:formatCode>0.00%</c:formatCode>
                <c:ptCount val="8"/>
                <c:pt idx="0">
                  <c:v>6.3063063063063057E-2</c:v>
                </c:pt>
                <c:pt idx="1">
                  <c:v>1.5765765765765764E-2</c:v>
                </c:pt>
                <c:pt idx="2">
                  <c:v>9.0090090090090089E-3</c:v>
                </c:pt>
                <c:pt idx="3">
                  <c:v>2.2522522522522521E-2</c:v>
                </c:pt>
                <c:pt idx="4">
                  <c:v>6.5315315315315314E-2</c:v>
                </c:pt>
                <c:pt idx="5">
                  <c:v>0.10810810810810811</c:v>
                </c:pt>
                <c:pt idx="6">
                  <c:v>0.17117117117117117</c:v>
                </c:pt>
                <c:pt idx="7">
                  <c:v>0.63963963963963966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D-4579-92BF-CDE194323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2011615152"/>
        <c:axId val="54868272"/>
      </c:barChart>
      <c:catAx>
        <c:axId val="2011615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8272"/>
        <c:crosses val="autoZero"/>
        <c:auto val="1"/>
        <c:lblAlgn val="ctr"/>
        <c:lblOffset val="100"/>
        <c:noMultiLvlLbl val="0"/>
      </c:catAx>
      <c:valAx>
        <c:axId val="54868272"/>
        <c:scaling>
          <c:orientation val="minMax"/>
          <c:max val="0.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Share of posts (a post can show more than one)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11615152"/>
        <c:crosses val="max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5000000000000004"/>
          <c:y val="0.16"/>
          <c:w val="0.42"/>
          <c:h val="0.1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AI full visual</c:v>
          </c:tx>
          <c:spPr>
            <a:solidFill>
              <a:srgbClr val="40404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Adoption!$Y$32:$Y$50</c:f>
              <c:strCache>
                <c:ptCount val="19"/>
                <c:pt idx="0">
                  <c:v>DE_afd.bund  (n = 185)</c:v>
                </c:pt>
                <c:pt idx="1">
                  <c:v>NL-EU_geertwilders  (n = 34)</c:v>
                </c:pt>
                <c:pt idx="2">
                  <c:v>DE_alice.weidel  (n = 309)</c:v>
                </c:pt>
                <c:pt idx="3">
                  <c:v>FR_EU_jordanbardella  (n = 114)</c:v>
                </c:pt>
                <c:pt idx="4">
                  <c:v>NL_geertwilders  (n = 197)</c:v>
                </c:pt>
                <c:pt idx="5">
                  <c:v>FR_EU_rassemblementnational_fr  (n = 1,226)</c:v>
                </c:pt>
                <c:pt idx="6">
                  <c:v>ES-EU_vox_es  (n = 722)</c:v>
                </c:pt>
                <c:pt idx="7">
                  <c:v>IT-EU_matteosalviniofficial  (n = 843)</c:v>
                </c:pt>
                <c:pt idx="8">
                  <c:v>DK-EU_mrmesserschmidt  (n = 219)</c:v>
                </c:pt>
                <c:pt idx="9">
                  <c:v>DK-EU_dansk_folkeparti_1995_  (n = 202)</c:v>
                </c:pt>
                <c:pt idx="10">
                  <c:v>UK_thereformpartyuk  (n = 397)</c:v>
                </c:pt>
                <c:pt idx="11">
                  <c:v>IT-EU_legaofficial  (n = 488)</c:v>
                </c:pt>
                <c:pt idx="12">
                  <c:v>BE_EU_vlaamsbelang  (n = 183)</c:v>
                </c:pt>
                <c:pt idx="13">
                  <c:v>ES-EU_santi_abascal  (n = 288)</c:v>
                </c:pt>
                <c:pt idx="14">
                  <c:v>AU_onenationoz  (n = 428)</c:v>
                </c:pt>
                <c:pt idx="15">
                  <c:v>AU_senatorpaulinehanson  (n = 21)</c:v>
                </c:pt>
                <c:pt idx="16">
                  <c:v>BE_EU-vangriekentom  (n = 237)</c:v>
                </c:pt>
                <c:pt idx="17">
                  <c:v>NL_partijvoordevrijheidnl  (n = 11)</c:v>
                </c:pt>
                <c:pt idx="18">
                  <c:v>UK_nigel_farage  (n = 102)</c:v>
                </c:pt>
              </c:strCache>
            </c:strRef>
          </c:cat>
          <c:val>
            <c:numRef>
              <c:f>Adoption!$Z$32:$Z$50</c:f>
              <c:numCache>
                <c:formatCode>0.00%</c:formatCode>
                <c:ptCount val="19"/>
                <c:pt idx="0">
                  <c:v>0.30270270270270272</c:v>
                </c:pt>
                <c:pt idx="1">
                  <c:v>0.14705882352941177</c:v>
                </c:pt>
                <c:pt idx="2">
                  <c:v>4.8543689320388349E-2</c:v>
                </c:pt>
                <c:pt idx="3">
                  <c:v>0</c:v>
                </c:pt>
                <c:pt idx="4">
                  <c:v>7.6142131979695438E-2</c:v>
                </c:pt>
                <c:pt idx="5">
                  <c:v>1.9575856443719411E-2</c:v>
                </c:pt>
                <c:pt idx="6">
                  <c:v>5.1246537396121887E-2</c:v>
                </c:pt>
                <c:pt idx="7">
                  <c:v>3.5587188612099648E-2</c:v>
                </c:pt>
                <c:pt idx="8">
                  <c:v>2.7397260273972601E-2</c:v>
                </c:pt>
                <c:pt idx="9">
                  <c:v>2.4752475247524754E-2</c:v>
                </c:pt>
                <c:pt idx="10">
                  <c:v>2.0151133501259445E-2</c:v>
                </c:pt>
                <c:pt idx="11">
                  <c:v>1.8442622950819672E-2</c:v>
                </c:pt>
                <c:pt idx="12">
                  <c:v>1.6393442622950821E-2</c:v>
                </c:pt>
                <c:pt idx="13">
                  <c:v>1.3888888888888888E-2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5-4E24-B766-752B959A902A}"/>
            </c:ext>
          </c:extLst>
        </c:ser>
        <c:ser>
          <c:idx val="1"/>
          <c:order val="1"/>
          <c:tx>
            <c:v>AI branding only</c:v>
          </c:tx>
          <c:spPr>
            <a:solidFill>
              <a:srgbClr val="BFBFBF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Adoption!$Y$32:$Y$50</c:f>
              <c:strCache>
                <c:ptCount val="19"/>
                <c:pt idx="0">
                  <c:v>DE_afd.bund  (n = 185)</c:v>
                </c:pt>
                <c:pt idx="1">
                  <c:v>NL-EU_geertwilders  (n = 34)</c:v>
                </c:pt>
                <c:pt idx="2">
                  <c:v>DE_alice.weidel  (n = 309)</c:v>
                </c:pt>
                <c:pt idx="3">
                  <c:v>FR_EU_jordanbardella  (n = 114)</c:v>
                </c:pt>
                <c:pt idx="4">
                  <c:v>NL_geertwilders  (n = 197)</c:v>
                </c:pt>
                <c:pt idx="5">
                  <c:v>FR_EU_rassemblementnational_fr  (n = 1,226)</c:v>
                </c:pt>
                <c:pt idx="6">
                  <c:v>ES-EU_vox_es  (n = 722)</c:v>
                </c:pt>
                <c:pt idx="7">
                  <c:v>IT-EU_matteosalviniofficial  (n = 843)</c:v>
                </c:pt>
                <c:pt idx="8">
                  <c:v>DK-EU_mrmesserschmidt  (n = 219)</c:v>
                </c:pt>
                <c:pt idx="9">
                  <c:v>DK-EU_dansk_folkeparti_1995_  (n = 202)</c:v>
                </c:pt>
                <c:pt idx="10">
                  <c:v>UK_thereformpartyuk  (n = 397)</c:v>
                </c:pt>
                <c:pt idx="11">
                  <c:v>IT-EU_legaofficial  (n = 488)</c:v>
                </c:pt>
                <c:pt idx="12">
                  <c:v>BE_EU_vlaamsbelang  (n = 183)</c:v>
                </c:pt>
                <c:pt idx="13">
                  <c:v>ES-EU_santi_abascal  (n = 288)</c:v>
                </c:pt>
                <c:pt idx="14">
                  <c:v>AU_onenationoz  (n = 428)</c:v>
                </c:pt>
                <c:pt idx="15">
                  <c:v>AU_senatorpaulinehanson  (n = 21)</c:v>
                </c:pt>
                <c:pt idx="16">
                  <c:v>BE_EU-vangriekentom  (n = 237)</c:v>
                </c:pt>
                <c:pt idx="17">
                  <c:v>NL_partijvoordevrijheidnl  (n = 11)</c:v>
                </c:pt>
                <c:pt idx="18">
                  <c:v>UK_nigel_farage  (n = 102)</c:v>
                </c:pt>
              </c:strCache>
            </c:strRef>
          </c:cat>
          <c:val>
            <c:numRef>
              <c:f>Adoption!$AA$32:$AA$50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4.2071197411003236E-2</c:v>
                </c:pt>
                <c:pt idx="3">
                  <c:v>7.8947368421052627E-2</c:v>
                </c:pt>
                <c:pt idx="4">
                  <c:v>0</c:v>
                </c:pt>
                <c:pt idx="5">
                  <c:v>3.9151712887438822E-2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5-4E24-B766-752B959A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999573232"/>
        <c:axId val="54920592"/>
      </c:barChart>
      <c:barChart>
        <c:barDir val="bar"/>
        <c:grouping val="clustered"/>
        <c:varyColors val="0"/>
        <c:ser>
          <c:idx val="2"/>
          <c:order val="2"/>
          <c:tx>
            <c:v> </c:v>
          </c:tx>
          <c:spPr>
            <a:noFill/>
            <a:ln w="25400"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Adoption!$Y$32:$Y$50</c:f>
              <c:strCache>
                <c:ptCount val="19"/>
                <c:pt idx="0">
                  <c:v>DE_afd.bund  (n = 185)</c:v>
                </c:pt>
                <c:pt idx="1">
                  <c:v>NL-EU_geertwilders  (n = 34)</c:v>
                </c:pt>
                <c:pt idx="2">
                  <c:v>DE_alice.weidel  (n = 309)</c:v>
                </c:pt>
                <c:pt idx="3">
                  <c:v>FR_EU_jordanbardella  (n = 114)</c:v>
                </c:pt>
                <c:pt idx="4">
                  <c:v>NL_geertwilders  (n = 197)</c:v>
                </c:pt>
                <c:pt idx="5">
                  <c:v>FR_EU_rassemblementnational_fr  (n = 1,226)</c:v>
                </c:pt>
                <c:pt idx="6">
                  <c:v>ES-EU_vox_es  (n = 722)</c:v>
                </c:pt>
                <c:pt idx="7">
                  <c:v>IT-EU_matteosalviniofficial  (n = 843)</c:v>
                </c:pt>
                <c:pt idx="8">
                  <c:v>DK-EU_mrmesserschmidt  (n = 219)</c:v>
                </c:pt>
                <c:pt idx="9">
                  <c:v>DK-EU_dansk_folkeparti_1995_  (n = 202)</c:v>
                </c:pt>
                <c:pt idx="10">
                  <c:v>UK_thereformpartyuk  (n = 397)</c:v>
                </c:pt>
                <c:pt idx="11">
                  <c:v>IT-EU_legaofficial  (n = 488)</c:v>
                </c:pt>
                <c:pt idx="12">
                  <c:v>BE_EU_vlaamsbelang  (n = 183)</c:v>
                </c:pt>
                <c:pt idx="13">
                  <c:v>ES-EU_santi_abascal  (n = 288)</c:v>
                </c:pt>
                <c:pt idx="14">
                  <c:v>AU_onenationoz  (n = 428)</c:v>
                </c:pt>
                <c:pt idx="15">
                  <c:v>AU_senatorpaulinehanson  (n = 21)</c:v>
                </c:pt>
                <c:pt idx="16">
                  <c:v>BE_EU-vangriekentom  (n = 237)</c:v>
                </c:pt>
                <c:pt idx="17">
                  <c:v>NL_partijvoordevrijheidnl  (n = 11)</c:v>
                </c:pt>
                <c:pt idx="18">
                  <c:v>UK_nigel_farage  (n = 102)</c:v>
                </c:pt>
              </c:strCache>
            </c:strRef>
          </c:cat>
          <c:val>
            <c:numRef>
              <c:f>Adoption!$AB$32:$AB$50</c:f>
              <c:numCache>
                <c:formatCode>0.00%</c:formatCode>
                <c:ptCount val="19"/>
                <c:pt idx="0">
                  <c:v>0.30270270270270272</c:v>
                </c:pt>
                <c:pt idx="1">
                  <c:v>0.14705882352941177</c:v>
                </c:pt>
                <c:pt idx="2">
                  <c:v>9.0614886731391592E-2</c:v>
                </c:pt>
                <c:pt idx="3">
                  <c:v>7.8947368421052627E-2</c:v>
                </c:pt>
                <c:pt idx="4">
                  <c:v>7.6142131979695438E-2</c:v>
                </c:pt>
                <c:pt idx="5">
                  <c:v>5.8727569331158233E-2</c:v>
                </c:pt>
                <c:pt idx="6">
                  <c:v>5.1246537396121887E-2</c:v>
                </c:pt>
                <c:pt idx="7">
                  <c:v>3.5587188612099648E-2</c:v>
                </c:pt>
                <c:pt idx="8">
                  <c:v>2.7397260273972601E-2</c:v>
                </c:pt>
                <c:pt idx="9">
                  <c:v>2.4752475247524754E-2</c:v>
                </c:pt>
                <c:pt idx="10">
                  <c:v>2.0151133501259445E-2</c:v>
                </c:pt>
                <c:pt idx="11">
                  <c:v>1.8442622950819672E-2</c:v>
                </c:pt>
                <c:pt idx="12">
                  <c:v>1.6393442622950821E-2</c:v>
                </c:pt>
                <c:pt idx="13">
                  <c:v>1.3888888888888888E-2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65-4E24-B766-752B959A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664800"/>
        <c:axId val="54883632"/>
      </c:barChart>
      <c:catAx>
        <c:axId val="1999573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20592"/>
        <c:crosses val="autoZero"/>
        <c:auto val="1"/>
        <c:lblAlgn val="ctr"/>
        <c:lblOffset val="100"/>
        <c:noMultiLvlLbl val="0"/>
      </c:catAx>
      <c:valAx>
        <c:axId val="54920592"/>
        <c:scaling>
          <c:orientation val="minMax"/>
          <c:max val="0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Posts using AI imagery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573232"/>
        <c:crosses val="max"/>
        <c:crossBetween val="between"/>
        <c:majorUnit val="0.05"/>
      </c:valAx>
      <c:valAx>
        <c:axId val="54883632"/>
        <c:scaling>
          <c:orientation val="minMax"/>
          <c:max val="0.4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2011664800"/>
        <c:crosses val="max"/>
        <c:crossBetween val="between"/>
      </c:valAx>
      <c:catAx>
        <c:axId val="2011664800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54883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strRef>
                  <c:f>CHES!$A$10</c:f>
                  <c:strCache>
                    <c:ptCount val="1"/>
                    <c:pt idx="0">
                      <c:v>AfD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{EBD35B72-E05C-493C-8E3D-209C64D2126C}</c15:txfldGUID>
                      <c15:f>CHES!$A$10</c15:f>
                      <c15:dlblFieldTableCache>
                        <c:ptCount val="1"/>
                        <c:pt idx="0">
                          <c:v>AfD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4F77-4726-BEDB-2C78604C8DA3}"/>
                </c:ext>
              </c:extLst>
            </c:dLbl>
            <c:dLbl>
              <c:idx val="1"/>
              <c:tx>
                <c:strRef>
                  <c:f>CHES!$A$11</c:f>
                  <c:strCache>
                    <c:ptCount val="1"/>
                    <c:pt idx="0">
                      <c:v>PVV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{27BBE145-B900-4DD2-AF43-0DCF7FF6959B}</c15:txfldGUID>
                      <c15:f>CHES!$A$11</c15:f>
                      <c15:dlblFieldTableCache>
                        <c:ptCount val="1"/>
                        <c:pt idx="0">
                          <c:v>PVV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4F77-4726-BEDB-2C78604C8DA3}"/>
                </c:ext>
              </c:extLst>
            </c:dLbl>
            <c:dLbl>
              <c:idx val="2"/>
              <c:tx>
                <c:strRef>
                  <c:f>CHES!$A$12</c:f>
                  <c:strCache>
                    <c:ptCount val="1"/>
                    <c:pt idx="0">
                      <c:v>VOX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{E53B2200-0190-49E6-989D-8249ABCAF0C0}</c15:txfldGUID>
                      <c15:f>CHES!$A$12</c15:f>
                      <c15:dlblFieldTableCache>
                        <c:ptCount val="1"/>
                        <c:pt idx="0">
                          <c:v>VOX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F77-4726-BEDB-2C78604C8DA3}"/>
                </c:ext>
              </c:extLst>
            </c:dLbl>
            <c:dLbl>
              <c:idx val="3"/>
              <c:tx>
                <c:strRef>
                  <c:f>CHES!$A$13</c:f>
                  <c:strCache>
                    <c:ptCount val="1"/>
                    <c:pt idx="0">
                      <c:v>Lega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{17421C72-67E2-4943-8A75-842BEE65B170}</c15:txfldGUID>
                      <c15:f>CHES!$A$13</c15:f>
                      <c15:dlblFieldTableCache>
                        <c:ptCount val="1"/>
                        <c:pt idx="0">
                          <c:v>Lega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F77-4726-BEDB-2C78604C8DA3}"/>
                </c:ext>
              </c:extLst>
            </c:dLbl>
            <c:dLbl>
              <c:idx val="4"/>
              <c:tx>
                <c:strRef>
                  <c:f>CHES!$A$14</c:f>
                  <c:strCache>
                    <c:ptCount val="1"/>
                    <c:pt idx="0">
                      <c:v>DF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{2F48D222-75C0-431E-8216-C808CD700CDD}</c15:txfldGUID>
                      <c15:f>CHES!$A$14</c15:f>
                      <c15:dlblFieldTableCache>
                        <c:ptCount val="1"/>
                        <c:pt idx="0">
                          <c:v>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F77-4726-BEDB-2C78604C8DA3}"/>
                </c:ext>
              </c:extLst>
            </c:dLbl>
            <c:dLbl>
              <c:idx val="5"/>
              <c:tx>
                <c:strRef>
                  <c:f>CHES!$A$15</c:f>
                  <c:strCache>
                    <c:ptCount val="1"/>
                    <c:pt idx="0">
                      <c:v>RN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{8B5A3635-FA73-43B5-B715-762D87281890}</c15:txfldGUID>
                      <c15:f>CHES!$A$15</c15:f>
                      <c15:dlblFieldTableCache>
                        <c:ptCount val="1"/>
                        <c:pt idx="0">
                          <c:v>RN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F77-4726-BEDB-2C78604C8DA3}"/>
                </c:ext>
              </c:extLst>
            </c:dLbl>
            <c:dLbl>
              <c:idx val="6"/>
              <c:tx>
                <c:strRef>
                  <c:f>CHES!$A$16</c:f>
                  <c:strCache>
                    <c:ptCount val="1"/>
                    <c:pt idx="0">
                      <c:v>Reform UK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{4FCCB04E-73FA-42C5-B1E8-6B81B006649D}</c15:txfldGUID>
                      <c15:f>CHES!$A$16</c15:f>
                      <c15:dlblFieldTableCache>
                        <c:ptCount val="1"/>
                        <c:pt idx="0">
                          <c:v>Reform UK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4F77-4726-BEDB-2C78604C8DA3}"/>
                </c:ext>
              </c:extLst>
            </c:dLbl>
            <c:dLbl>
              <c:idx val="7"/>
              <c:tx>
                <c:strRef>
                  <c:f>CHES!$A$17</c:f>
                  <c:strCache>
                    <c:ptCount val="1"/>
                    <c:pt idx="0">
                      <c:v>VB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{3DF87018-4895-4022-BDE0-3A13D253F22E}</c15:txfldGUID>
                      <c15:f>CHES!$A$17</c15:f>
                      <c15:dlblFieldTableCache>
                        <c:ptCount val="1"/>
                        <c:pt idx="0">
                          <c:v>VB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4F77-4726-BEDB-2C78604C8D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CHES!$C$10:$C$17</c:f>
              <c:numCache>
                <c:formatCode>0.00</c:formatCode>
                <c:ptCount val="8"/>
                <c:pt idx="0">
                  <c:v>9.2629999999999999</c:v>
                </c:pt>
                <c:pt idx="1">
                  <c:v>9.0830000000000002</c:v>
                </c:pt>
                <c:pt idx="2">
                  <c:v>9.375</c:v>
                </c:pt>
                <c:pt idx="3">
                  <c:v>8.6669999999999998</c:v>
                </c:pt>
                <c:pt idx="4">
                  <c:v>8</c:v>
                </c:pt>
                <c:pt idx="5">
                  <c:v>8.8179999999999996</c:v>
                </c:pt>
                <c:pt idx="6">
                  <c:v>9.2379999999999995</c:v>
                </c:pt>
                <c:pt idx="7">
                  <c:v>9.1999999999999993</c:v>
                </c:pt>
              </c:numCache>
            </c:numRef>
          </c:xVal>
          <c:yVal>
            <c:numRef>
              <c:f>CHES!$B$10:$B$17</c:f>
              <c:numCache>
                <c:formatCode>0.00</c:formatCode>
                <c:ptCount val="8"/>
                <c:pt idx="0">
                  <c:v>14.372</c:v>
                </c:pt>
                <c:pt idx="1">
                  <c:v>8.2639999999999993</c:v>
                </c:pt>
                <c:pt idx="2">
                  <c:v>4.0590000000000002</c:v>
                </c:pt>
                <c:pt idx="3">
                  <c:v>2.93</c:v>
                </c:pt>
                <c:pt idx="4">
                  <c:v>2.613</c:v>
                </c:pt>
                <c:pt idx="5">
                  <c:v>1.7909999999999999</c:v>
                </c:pt>
                <c:pt idx="6">
                  <c:v>1.603</c:v>
                </c:pt>
                <c:pt idx="7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7-4726-BEDB-2C78604C8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551888"/>
        <c:axId val="24541136"/>
      </c:scatterChart>
      <c:valAx>
        <c:axId val="1999551888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General left–right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41136"/>
        <c:crosses val="autoZero"/>
        <c:crossBetween val="midCat"/>
        <c:majorUnit val="2"/>
      </c:valAx>
      <c:valAx>
        <c:axId val="2454113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AI posts (% of posts)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55188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strRef>
                  <c:f>CHES!$A$10</c:f>
                  <c:strCache>
                    <c:ptCount val="1"/>
                    <c:pt idx="0">
                      <c:v>AfD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{73CD1F31-888A-4CA2-AAEB-8EBB451CD080}</c15:txfldGUID>
                      <c15:f>CHES!$A$10</c15:f>
                      <c15:dlblFieldTableCache>
                        <c:ptCount val="1"/>
                        <c:pt idx="0">
                          <c:v>AfD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5A2-4200-8DC9-7EF1A11334A6}"/>
                </c:ext>
              </c:extLst>
            </c:dLbl>
            <c:dLbl>
              <c:idx val="1"/>
              <c:tx>
                <c:strRef>
                  <c:f>CHES!$A$11</c:f>
                  <c:strCache>
                    <c:ptCount val="1"/>
                    <c:pt idx="0">
                      <c:v>PVV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{BA835628-EF90-4C68-931C-EC1DADFEED4B}</c15:txfldGUID>
                      <c15:f>CHES!$A$11</c15:f>
                      <c15:dlblFieldTableCache>
                        <c:ptCount val="1"/>
                        <c:pt idx="0">
                          <c:v>PVV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5A2-4200-8DC9-7EF1A11334A6}"/>
                </c:ext>
              </c:extLst>
            </c:dLbl>
            <c:dLbl>
              <c:idx val="2"/>
              <c:tx>
                <c:strRef>
                  <c:f>CHES!$A$12</c:f>
                  <c:strCache>
                    <c:ptCount val="1"/>
                    <c:pt idx="0">
                      <c:v>VOX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{1609ADAE-BE6F-4339-96DD-8D386130FA9D}</c15:txfldGUID>
                      <c15:f>CHES!$A$12</c15:f>
                      <c15:dlblFieldTableCache>
                        <c:ptCount val="1"/>
                        <c:pt idx="0">
                          <c:v>VOX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5A2-4200-8DC9-7EF1A11334A6}"/>
                </c:ext>
              </c:extLst>
            </c:dLbl>
            <c:dLbl>
              <c:idx val="3"/>
              <c:tx>
                <c:strRef>
                  <c:f>CHES!$A$13</c:f>
                  <c:strCache>
                    <c:ptCount val="1"/>
                    <c:pt idx="0">
                      <c:v>Lega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{5EA180FA-457D-4AE7-83C4-E9074B8EF309}</c15:txfldGUID>
                      <c15:f>CHES!$A$13</c15:f>
                      <c15:dlblFieldTableCache>
                        <c:ptCount val="1"/>
                        <c:pt idx="0">
                          <c:v>Lega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5A2-4200-8DC9-7EF1A11334A6}"/>
                </c:ext>
              </c:extLst>
            </c:dLbl>
            <c:dLbl>
              <c:idx val="4"/>
              <c:tx>
                <c:strRef>
                  <c:f>CHES!$A$14</c:f>
                  <c:strCache>
                    <c:ptCount val="1"/>
                    <c:pt idx="0">
                      <c:v>DF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{A48458EC-3310-47B0-8BFC-769FA39D5A1C}</c15:txfldGUID>
                      <c15:f>CHES!$A$14</c15:f>
                      <c15:dlblFieldTableCache>
                        <c:ptCount val="1"/>
                        <c:pt idx="0">
                          <c:v>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5A2-4200-8DC9-7EF1A11334A6}"/>
                </c:ext>
              </c:extLst>
            </c:dLbl>
            <c:dLbl>
              <c:idx val="5"/>
              <c:tx>
                <c:strRef>
                  <c:f>CHES!$A$15</c:f>
                  <c:strCache>
                    <c:ptCount val="1"/>
                    <c:pt idx="0">
                      <c:v>RN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{9E38B43E-A278-4ED4-A0AF-B71102B65CBB}</c15:txfldGUID>
                      <c15:f>CHES!$A$15</c15:f>
                      <c15:dlblFieldTableCache>
                        <c:ptCount val="1"/>
                        <c:pt idx="0">
                          <c:v>RN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5A2-4200-8DC9-7EF1A11334A6}"/>
                </c:ext>
              </c:extLst>
            </c:dLbl>
            <c:dLbl>
              <c:idx val="6"/>
              <c:tx>
                <c:strRef>
                  <c:f>CHES!$A$16</c:f>
                  <c:strCache>
                    <c:ptCount val="1"/>
                    <c:pt idx="0">
                      <c:v>Reform UK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{8691BD66-E06C-4002-A2F8-2552589948A7}</c15:txfldGUID>
                      <c15:f>CHES!$A$16</c15:f>
                      <c15:dlblFieldTableCache>
                        <c:ptCount val="1"/>
                        <c:pt idx="0">
                          <c:v>Reform UK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5A2-4200-8DC9-7EF1A11334A6}"/>
                </c:ext>
              </c:extLst>
            </c:dLbl>
            <c:dLbl>
              <c:idx val="7"/>
              <c:tx>
                <c:strRef>
                  <c:f>CHES!$A$17</c:f>
                  <c:strCache>
                    <c:ptCount val="1"/>
                    <c:pt idx="0">
                      <c:v>VB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{9B91EAD2-7B2C-4793-AE07-86E0F7E092EE}</c15:txfldGUID>
                      <c15:f>CHES!$A$17</c15:f>
                      <c15:dlblFieldTableCache>
                        <c:ptCount val="1"/>
                        <c:pt idx="0">
                          <c:v>VB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5A2-4200-8DC9-7EF1A11334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CHES!$D$10:$D$17</c:f>
              <c:numCache>
                <c:formatCode>0.00</c:formatCode>
                <c:ptCount val="8"/>
                <c:pt idx="0">
                  <c:v>7.6319999999999997</c:v>
                </c:pt>
                <c:pt idx="1">
                  <c:v>6.3330000000000002</c:v>
                </c:pt>
                <c:pt idx="2">
                  <c:v>9</c:v>
                </c:pt>
                <c:pt idx="3">
                  <c:v>6.8</c:v>
                </c:pt>
                <c:pt idx="4">
                  <c:v>5.5449999999999999</c:v>
                </c:pt>
                <c:pt idx="5">
                  <c:v>6</c:v>
                </c:pt>
                <c:pt idx="6">
                  <c:v>8.3889999999999993</c:v>
                </c:pt>
                <c:pt idx="7">
                  <c:v>7</c:v>
                </c:pt>
              </c:numCache>
            </c:numRef>
          </c:xVal>
          <c:yVal>
            <c:numRef>
              <c:f>CHES!$B$10:$B$17</c:f>
              <c:numCache>
                <c:formatCode>0.00</c:formatCode>
                <c:ptCount val="8"/>
                <c:pt idx="0">
                  <c:v>14.372</c:v>
                </c:pt>
                <c:pt idx="1">
                  <c:v>8.2639999999999993</c:v>
                </c:pt>
                <c:pt idx="2">
                  <c:v>4.0590000000000002</c:v>
                </c:pt>
                <c:pt idx="3">
                  <c:v>2.93</c:v>
                </c:pt>
                <c:pt idx="4">
                  <c:v>2.613</c:v>
                </c:pt>
                <c:pt idx="5">
                  <c:v>1.7909999999999999</c:v>
                </c:pt>
                <c:pt idx="6">
                  <c:v>1.603</c:v>
                </c:pt>
                <c:pt idx="7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2-4200-8DC9-7EF1A113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58416"/>
        <c:axId val="24550256"/>
      </c:scatterChart>
      <c:valAx>
        <c:axId val="335558416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Economic left–right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50256"/>
        <c:crosses val="autoZero"/>
        <c:crossBetween val="midCat"/>
        <c:majorUnit val="2"/>
      </c:valAx>
      <c:valAx>
        <c:axId val="2455025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55841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strRef>
                  <c:f>CHES!$A$10</c:f>
                  <c:strCache>
                    <c:ptCount val="1"/>
                    <c:pt idx="0">
                      <c:v>AfD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{D0BAE9C0-5B87-4D4C-A93A-2D472807B0FC}</c15:txfldGUID>
                      <c15:f>CHES!$A$10</c15:f>
                      <c15:dlblFieldTableCache>
                        <c:ptCount val="1"/>
                        <c:pt idx="0">
                          <c:v>AfD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174-4FA2-B259-CFFE73481B3D}"/>
                </c:ext>
              </c:extLst>
            </c:dLbl>
            <c:dLbl>
              <c:idx val="1"/>
              <c:tx>
                <c:strRef>
                  <c:f>CHES!$A$11</c:f>
                  <c:strCache>
                    <c:ptCount val="1"/>
                    <c:pt idx="0">
                      <c:v>PVV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{373CCEF4-4D2A-44E2-991F-40626229FC4D}</c15:txfldGUID>
                      <c15:f>CHES!$A$11</c15:f>
                      <c15:dlblFieldTableCache>
                        <c:ptCount val="1"/>
                        <c:pt idx="0">
                          <c:v>PVV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174-4FA2-B259-CFFE73481B3D}"/>
                </c:ext>
              </c:extLst>
            </c:dLbl>
            <c:dLbl>
              <c:idx val="2"/>
              <c:tx>
                <c:strRef>
                  <c:f>CHES!$A$12</c:f>
                  <c:strCache>
                    <c:ptCount val="1"/>
                    <c:pt idx="0">
                      <c:v>VOX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{E8DCFE2D-8E2C-49C1-A50D-1D1E32273D45}</c15:txfldGUID>
                      <c15:f>CHES!$A$12</c15:f>
                      <c15:dlblFieldTableCache>
                        <c:ptCount val="1"/>
                        <c:pt idx="0">
                          <c:v>VOX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174-4FA2-B259-CFFE73481B3D}"/>
                </c:ext>
              </c:extLst>
            </c:dLbl>
            <c:dLbl>
              <c:idx val="3"/>
              <c:tx>
                <c:strRef>
                  <c:f>CHES!$A$13</c:f>
                  <c:strCache>
                    <c:ptCount val="1"/>
                    <c:pt idx="0">
                      <c:v>Lega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{17CE5117-A27C-492A-BF8A-1E9454E1B955}</c15:txfldGUID>
                      <c15:f>CHES!$A$13</c15:f>
                      <c15:dlblFieldTableCache>
                        <c:ptCount val="1"/>
                        <c:pt idx="0">
                          <c:v>Lega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174-4FA2-B259-CFFE73481B3D}"/>
                </c:ext>
              </c:extLst>
            </c:dLbl>
            <c:dLbl>
              <c:idx val="4"/>
              <c:tx>
                <c:strRef>
                  <c:f>CHES!$A$14</c:f>
                  <c:strCache>
                    <c:ptCount val="1"/>
                    <c:pt idx="0">
                      <c:v>DF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{BFD4F75A-64A0-4969-9D09-C3BC3EC5D196}</c15:txfldGUID>
                      <c15:f>CHES!$A$14</c15:f>
                      <c15:dlblFieldTableCache>
                        <c:ptCount val="1"/>
                        <c:pt idx="0">
                          <c:v>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174-4FA2-B259-CFFE73481B3D}"/>
                </c:ext>
              </c:extLst>
            </c:dLbl>
            <c:dLbl>
              <c:idx val="5"/>
              <c:tx>
                <c:strRef>
                  <c:f>CHES!$A$15</c:f>
                  <c:strCache>
                    <c:ptCount val="1"/>
                    <c:pt idx="0">
                      <c:v>RN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{EF904F8A-2CAC-491E-BDB6-12EEF0539F37}</c15:txfldGUID>
                      <c15:f>CHES!$A$15</c15:f>
                      <c15:dlblFieldTableCache>
                        <c:ptCount val="1"/>
                        <c:pt idx="0">
                          <c:v>RN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174-4FA2-B259-CFFE73481B3D}"/>
                </c:ext>
              </c:extLst>
            </c:dLbl>
            <c:dLbl>
              <c:idx val="6"/>
              <c:tx>
                <c:strRef>
                  <c:f>CHES!$A$16</c:f>
                  <c:strCache>
                    <c:ptCount val="1"/>
                    <c:pt idx="0">
                      <c:v>Reform UK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{F4769353-8AC4-4B33-9139-E74218E77489}</c15:txfldGUID>
                      <c15:f>CHES!$A$16</c15:f>
                      <c15:dlblFieldTableCache>
                        <c:ptCount val="1"/>
                        <c:pt idx="0">
                          <c:v>Reform UK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174-4FA2-B259-CFFE73481B3D}"/>
                </c:ext>
              </c:extLst>
            </c:dLbl>
            <c:dLbl>
              <c:idx val="7"/>
              <c:tx>
                <c:strRef>
                  <c:f>CHES!$A$17</c:f>
                  <c:strCache>
                    <c:ptCount val="1"/>
                    <c:pt idx="0">
                      <c:v>VB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{0569EDF3-09FD-451E-8271-B59375B9B631}</c15:txfldGUID>
                      <c15:f>CHES!$A$17</c15:f>
                      <c15:dlblFieldTableCache>
                        <c:ptCount val="1"/>
                        <c:pt idx="0">
                          <c:v>VB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174-4FA2-B259-CFFE73481B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CHES!$E$10:$E$17</c:f>
              <c:numCache>
                <c:formatCode>0.00</c:formatCode>
                <c:ptCount val="8"/>
                <c:pt idx="0">
                  <c:v>9.3889999999999993</c:v>
                </c:pt>
                <c:pt idx="1">
                  <c:v>8.0909999999999993</c:v>
                </c:pt>
                <c:pt idx="2">
                  <c:v>9.5</c:v>
                </c:pt>
                <c:pt idx="3">
                  <c:v>8.8670000000000009</c:v>
                </c:pt>
                <c:pt idx="4">
                  <c:v>7.6360000000000001</c:v>
                </c:pt>
                <c:pt idx="5">
                  <c:v>8.3640000000000008</c:v>
                </c:pt>
                <c:pt idx="6">
                  <c:v>9.1</c:v>
                </c:pt>
                <c:pt idx="7">
                  <c:v>8.9</c:v>
                </c:pt>
              </c:numCache>
            </c:numRef>
          </c:xVal>
          <c:yVal>
            <c:numRef>
              <c:f>CHES!$B$10:$B$17</c:f>
              <c:numCache>
                <c:formatCode>0.00</c:formatCode>
                <c:ptCount val="8"/>
                <c:pt idx="0">
                  <c:v>14.372</c:v>
                </c:pt>
                <c:pt idx="1">
                  <c:v>8.2639999999999993</c:v>
                </c:pt>
                <c:pt idx="2">
                  <c:v>4.0590000000000002</c:v>
                </c:pt>
                <c:pt idx="3">
                  <c:v>2.93</c:v>
                </c:pt>
                <c:pt idx="4">
                  <c:v>2.613</c:v>
                </c:pt>
                <c:pt idx="5">
                  <c:v>1.7909999999999999</c:v>
                </c:pt>
                <c:pt idx="6">
                  <c:v>1.603</c:v>
                </c:pt>
                <c:pt idx="7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4-4FA2-B259-CFFE73481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72336"/>
        <c:axId val="24552656"/>
      </c:scatterChart>
      <c:valAx>
        <c:axId val="335572336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GAL–TAN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52656"/>
        <c:crosses val="autoZero"/>
        <c:crossBetween val="midCat"/>
        <c:majorUnit val="2"/>
      </c:valAx>
      <c:valAx>
        <c:axId val="2455265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57233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strRef>
                  <c:f>CHES!$A$10</c:f>
                  <c:strCache>
                    <c:ptCount val="1"/>
                    <c:pt idx="0">
                      <c:v>AfD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{691E8E4A-1171-4D3F-AE6E-253130959F34}</c15:txfldGUID>
                      <c15:f>CHES!$A$10</c15:f>
                      <c15:dlblFieldTableCache>
                        <c:ptCount val="1"/>
                        <c:pt idx="0">
                          <c:v>AfD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893C-4703-AE91-A91BB0E11126}"/>
                </c:ext>
              </c:extLst>
            </c:dLbl>
            <c:dLbl>
              <c:idx val="1"/>
              <c:tx>
                <c:strRef>
                  <c:f>CHES!$A$11</c:f>
                  <c:strCache>
                    <c:ptCount val="1"/>
                    <c:pt idx="0">
                      <c:v>PVV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{13F63BF4-C078-44F9-8CFC-E8B4CEE471BF}</c15:txfldGUID>
                      <c15:f>CHES!$A$11</c15:f>
                      <c15:dlblFieldTableCache>
                        <c:ptCount val="1"/>
                        <c:pt idx="0">
                          <c:v>PVV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93C-4703-AE91-A91BB0E11126}"/>
                </c:ext>
              </c:extLst>
            </c:dLbl>
            <c:dLbl>
              <c:idx val="2"/>
              <c:tx>
                <c:strRef>
                  <c:f>CHES!$A$12</c:f>
                  <c:strCache>
                    <c:ptCount val="1"/>
                    <c:pt idx="0">
                      <c:v>VOX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{37AAE793-43C0-41BF-A293-9D67465655CB}</c15:txfldGUID>
                      <c15:f>CHES!$A$12</c15:f>
                      <c15:dlblFieldTableCache>
                        <c:ptCount val="1"/>
                        <c:pt idx="0">
                          <c:v>VOX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93C-4703-AE91-A91BB0E11126}"/>
                </c:ext>
              </c:extLst>
            </c:dLbl>
            <c:dLbl>
              <c:idx val="3"/>
              <c:tx>
                <c:strRef>
                  <c:f>CHES!$A$13</c:f>
                  <c:strCache>
                    <c:ptCount val="1"/>
                    <c:pt idx="0">
                      <c:v>Lega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{D5D6F590-6925-4874-AE2F-9CD00D22A57B}</c15:txfldGUID>
                      <c15:f>CHES!$A$13</c15:f>
                      <c15:dlblFieldTableCache>
                        <c:ptCount val="1"/>
                        <c:pt idx="0">
                          <c:v>Lega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93C-4703-AE91-A91BB0E11126}"/>
                </c:ext>
              </c:extLst>
            </c:dLbl>
            <c:dLbl>
              <c:idx val="4"/>
              <c:tx>
                <c:strRef>
                  <c:f>CHES!$A$14</c:f>
                  <c:strCache>
                    <c:ptCount val="1"/>
                    <c:pt idx="0">
                      <c:v>DF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{13977E93-C7DE-4A5A-9EF7-847922C51FD7}</c15:txfldGUID>
                      <c15:f>CHES!$A$14</c15:f>
                      <c15:dlblFieldTableCache>
                        <c:ptCount val="1"/>
                        <c:pt idx="0">
                          <c:v>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93C-4703-AE91-A91BB0E11126}"/>
                </c:ext>
              </c:extLst>
            </c:dLbl>
            <c:dLbl>
              <c:idx val="5"/>
              <c:tx>
                <c:strRef>
                  <c:f>CHES!$A$15</c:f>
                  <c:strCache>
                    <c:ptCount val="1"/>
                    <c:pt idx="0">
                      <c:v>RN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{F36AE3FB-673F-4ADA-B4DA-D475ABE14971}</c15:txfldGUID>
                      <c15:f>CHES!$A$15</c15:f>
                      <c15:dlblFieldTableCache>
                        <c:ptCount val="1"/>
                        <c:pt idx="0">
                          <c:v>RN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93C-4703-AE91-A91BB0E11126}"/>
                </c:ext>
              </c:extLst>
            </c:dLbl>
            <c:dLbl>
              <c:idx val="6"/>
              <c:tx>
                <c:strRef>
                  <c:f>CHES!$A$16</c:f>
                  <c:strCache>
                    <c:ptCount val="1"/>
                    <c:pt idx="0">
                      <c:v>Reform UK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{F590315C-2C08-4458-AFD2-7926E805D777}</c15:txfldGUID>
                      <c15:f>CHES!$A$16</c15:f>
                      <c15:dlblFieldTableCache>
                        <c:ptCount val="1"/>
                        <c:pt idx="0">
                          <c:v>Reform UK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93C-4703-AE91-A91BB0E11126}"/>
                </c:ext>
              </c:extLst>
            </c:dLbl>
            <c:dLbl>
              <c:idx val="7"/>
              <c:tx>
                <c:strRef>
                  <c:f>CHES!$A$17</c:f>
                  <c:strCache>
                    <c:ptCount val="1"/>
                    <c:pt idx="0">
                      <c:v>VB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{C79AB67A-0A0B-440A-83AF-EA9FE604F861}</c15:txfldGUID>
                      <c15:f>CHES!$A$17</c15:f>
                      <c15:dlblFieldTableCache>
                        <c:ptCount val="1"/>
                        <c:pt idx="0">
                          <c:v>VB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93C-4703-AE91-A91BB0E11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CHES!$F$10:$F$17</c:f>
              <c:numCache>
                <c:formatCode>0.00</c:formatCode>
                <c:ptCount val="8"/>
                <c:pt idx="0">
                  <c:v>9.9469999999999992</c:v>
                </c:pt>
                <c:pt idx="1">
                  <c:v>9.8330000000000002</c:v>
                </c:pt>
                <c:pt idx="2">
                  <c:v>9.6880000000000006</c:v>
                </c:pt>
                <c:pt idx="3">
                  <c:v>9.8670000000000009</c:v>
                </c:pt>
                <c:pt idx="4">
                  <c:v>9</c:v>
                </c:pt>
                <c:pt idx="5">
                  <c:v>9.5449999999999999</c:v>
                </c:pt>
                <c:pt idx="6">
                  <c:v>9.81</c:v>
                </c:pt>
                <c:pt idx="7">
                  <c:v>9.9</c:v>
                </c:pt>
              </c:numCache>
            </c:numRef>
          </c:xVal>
          <c:yVal>
            <c:numRef>
              <c:f>CHES!$B$10:$B$17</c:f>
              <c:numCache>
                <c:formatCode>0.00</c:formatCode>
                <c:ptCount val="8"/>
                <c:pt idx="0">
                  <c:v>14.372</c:v>
                </c:pt>
                <c:pt idx="1">
                  <c:v>8.2639999999999993</c:v>
                </c:pt>
                <c:pt idx="2">
                  <c:v>4.0590000000000002</c:v>
                </c:pt>
                <c:pt idx="3">
                  <c:v>2.93</c:v>
                </c:pt>
                <c:pt idx="4">
                  <c:v>2.613</c:v>
                </c:pt>
                <c:pt idx="5">
                  <c:v>1.7909999999999999</c:v>
                </c:pt>
                <c:pt idx="6">
                  <c:v>1.603</c:v>
                </c:pt>
                <c:pt idx="7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C-4703-AE91-A91BB0E1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84400"/>
        <c:axId val="24561296"/>
      </c:scatterChart>
      <c:valAx>
        <c:axId val="335584400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Immigration (restrictive)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61296"/>
        <c:crosses val="autoZero"/>
        <c:crossBetween val="midCat"/>
        <c:majorUnit val="2"/>
      </c:valAx>
      <c:valAx>
        <c:axId val="2456129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AI posts (% of posts)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58440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strRef>
                  <c:f>CHES!$A$10</c:f>
                  <c:strCache>
                    <c:ptCount val="1"/>
                    <c:pt idx="0">
                      <c:v>AfD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{D4E93F0F-295A-46C1-B93B-BBBA0E23D405}</c15:txfldGUID>
                      <c15:f>CHES!$A$10</c15:f>
                      <c15:dlblFieldTableCache>
                        <c:ptCount val="1"/>
                        <c:pt idx="0">
                          <c:v>AfD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646A-4186-BD4D-A85C3A85939A}"/>
                </c:ext>
              </c:extLst>
            </c:dLbl>
            <c:dLbl>
              <c:idx val="1"/>
              <c:tx>
                <c:strRef>
                  <c:f>CHES!$A$11</c:f>
                  <c:strCache>
                    <c:ptCount val="1"/>
                    <c:pt idx="0">
                      <c:v>PVV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{44FB75AD-65AC-4743-9A4C-C69C9AA8C33A}</c15:txfldGUID>
                      <c15:f>CHES!$A$11</c15:f>
                      <c15:dlblFieldTableCache>
                        <c:ptCount val="1"/>
                        <c:pt idx="0">
                          <c:v>PVV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646A-4186-BD4D-A85C3A85939A}"/>
                </c:ext>
              </c:extLst>
            </c:dLbl>
            <c:dLbl>
              <c:idx val="2"/>
              <c:tx>
                <c:strRef>
                  <c:f>CHES!$A$12</c:f>
                  <c:strCache>
                    <c:ptCount val="1"/>
                    <c:pt idx="0">
                      <c:v>VOX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{385C2D5B-3217-4898-B5FD-ADACE8142972}</c15:txfldGUID>
                      <c15:f>CHES!$A$12</c15:f>
                      <c15:dlblFieldTableCache>
                        <c:ptCount val="1"/>
                        <c:pt idx="0">
                          <c:v>VOX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46A-4186-BD4D-A85C3A85939A}"/>
                </c:ext>
              </c:extLst>
            </c:dLbl>
            <c:dLbl>
              <c:idx val="3"/>
              <c:tx>
                <c:strRef>
                  <c:f>CHES!$A$13</c:f>
                  <c:strCache>
                    <c:ptCount val="1"/>
                    <c:pt idx="0">
                      <c:v>Lega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{A4965B24-8A39-419D-BBAC-99A93FE2B255}</c15:txfldGUID>
                      <c15:f>CHES!$A$13</c15:f>
                      <c15:dlblFieldTableCache>
                        <c:ptCount val="1"/>
                        <c:pt idx="0">
                          <c:v>Lega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46A-4186-BD4D-A85C3A85939A}"/>
                </c:ext>
              </c:extLst>
            </c:dLbl>
            <c:dLbl>
              <c:idx val="4"/>
              <c:tx>
                <c:strRef>
                  <c:f>CHES!$A$14</c:f>
                  <c:strCache>
                    <c:ptCount val="1"/>
                    <c:pt idx="0">
                      <c:v>DF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{9E0BCF9C-63C9-4419-BFF5-241EDF5D3956}</c15:txfldGUID>
                      <c15:f>CHES!$A$14</c15:f>
                      <c15:dlblFieldTableCache>
                        <c:ptCount val="1"/>
                        <c:pt idx="0">
                          <c:v>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46A-4186-BD4D-A85C3A85939A}"/>
                </c:ext>
              </c:extLst>
            </c:dLbl>
            <c:dLbl>
              <c:idx val="5"/>
              <c:tx>
                <c:strRef>
                  <c:f>CHES!$A$15</c:f>
                  <c:strCache>
                    <c:ptCount val="1"/>
                    <c:pt idx="0">
                      <c:v>RN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{4226F519-8986-4C94-A6D1-C9F4AF008F7C}</c15:txfldGUID>
                      <c15:f>CHES!$A$15</c15:f>
                      <c15:dlblFieldTableCache>
                        <c:ptCount val="1"/>
                        <c:pt idx="0">
                          <c:v>RN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46A-4186-BD4D-A85C3A85939A}"/>
                </c:ext>
              </c:extLst>
            </c:dLbl>
            <c:dLbl>
              <c:idx val="6"/>
              <c:tx>
                <c:strRef>
                  <c:f>CHES!$A$16</c:f>
                  <c:strCache>
                    <c:ptCount val="1"/>
                    <c:pt idx="0">
                      <c:v>Reform UK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{AD482787-DDEA-4634-939B-14759173F8F4}</c15:txfldGUID>
                      <c15:f>CHES!$A$16</c15:f>
                      <c15:dlblFieldTableCache>
                        <c:ptCount val="1"/>
                        <c:pt idx="0">
                          <c:v>Reform UK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46A-4186-BD4D-A85C3A85939A}"/>
                </c:ext>
              </c:extLst>
            </c:dLbl>
            <c:dLbl>
              <c:idx val="7"/>
              <c:tx>
                <c:strRef>
                  <c:f>CHES!$A$17</c:f>
                  <c:strCache>
                    <c:ptCount val="1"/>
                    <c:pt idx="0">
                      <c:v>VB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{ED6C192F-5DF8-45D0-A046-30B168A02128}</c15:txfldGUID>
                      <c15:f>CHES!$A$17</c15:f>
                      <c15:dlblFieldTableCache>
                        <c:ptCount val="1"/>
                        <c:pt idx="0">
                          <c:v>VB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46A-4186-BD4D-A85C3A8593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CHES!$G$10:$G$17</c:f>
              <c:numCache>
                <c:formatCode>0.00</c:formatCode>
                <c:ptCount val="8"/>
                <c:pt idx="0">
                  <c:v>9.5709999999999997</c:v>
                </c:pt>
                <c:pt idx="1">
                  <c:v>6</c:v>
                </c:pt>
                <c:pt idx="2">
                  <c:v>9.625</c:v>
                </c:pt>
                <c:pt idx="3">
                  <c:v>9.125</c:v>
                </c:pt>
                <c:pt idx="4">
                  <c:v>8.8330000000000002</c:v>
                </c:pt>
                <c:pt idx="5">
                  <c:v>10</c:v>
                </c:pt>
                <c:pt idx="6">
                  <c:v>9.8179999999999996</c:v>
                </c:pt>
                <c:pt idx="7">
                  <c:v>9.25</c:v>
                </c:pt>
              </c:numCache>
            </c:numRef>
          </c:xVal>
          <c:yVal>
            <c:numRef>
              <c:f>CHES!$B$10:$B$17</c:f>
              <c:numCache>
                <c:formatCode>0.00</c:formatCode>
                <c:ptCount val="8"/>
                <c:pt idx="0">
                  <c:v>14.372</c:v>
                </c:pt>
                <c:pt idx="1">
                  <c:v>8.2639999999999993</c:v>
                </c:pt>
                <c:pt idx="2">
                  <c:v>4.0590000000000002</c:v>
                </c:pt>
                <c:pt idx="3">
                  <c:v>2.93</c:v>
                </c:pt>
                <c:pt idx="4">
                  <c:v>2.613</c:v>
                </c:pt>
                <c:pt idx="5">
                  <c:v>1.7909999999999999</c:v>
                </c:pt>
                <c:pt idx="6">
                  <c:v>1.603</c:v>
                </c:pt>
                <c:pt idx="7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A-4186-BD4D-A85C3A859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621984"/>
        <c:axId val="24570416"/>
      </c:scatterChart>
      <c:valAx>
        <c:axId val="33562198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Nationalism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70416"/>
        <c:crosses val="autoZero"/>
        <c:crossBetween val="midCat"/>
        <c:majorUnit val="2"/>
      </c:valAx>
      <c:valAx>
        <c:axId val="2457041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62198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strRef>
                  <c:f>CHES!$A$10</c:f>
                  <c:strCache>
                    <c:ptCount val="1"/>
                    <c:pt idx="0">
                      <c:v>AfD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{19A6D715-3D76-4703-8166-142AC8495D51}</c15:txfldGUID>
                      <c15:f>CHES!$A$10</c15:f>
                      <c15:dlblFieldTableCache>
                        <c:ptCount val="1"/>
                        <c:pt idx="0">
                          <c:v>AfD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59B4-4270-AA7B-63A964DE82C7}"/>
                </c:ext>
              </c:extLst>
            </c:dLbl>
            <c:dLbl>
              <c:idx val="1"/>
              <c:tx>
                <c:strRef>
                  <c:f>CHES!$A$11</c:f>
                  <c:strCache>
                    <c:ptCount val="1"/>
                    <c:pt idx="0">
                      <c:v>PVV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{408A14CD-3D1B-4B85-80DC-CD616EBC8A3E}</c15:txfldGUID>
                      <c15:f>CHES!$A$11</c15:f>
                      <c15:dlblFieldTableCache>
                        <c:ptCount val="1"/>
                        <c:pt idx="0">
                          <c:v>PVV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9B4-4270-AA7B-63A964DE82C7}"/>
                </c:ext>
              </c:extLst>
            </c:dLbl>
            <c:dLbl>
              <c:idx val="2"/>
              <c:tx>
                <c:strRef>
                  <c:f>CHES!$A$12</c:f>
                  <c:strCache>
                    <c:ptCount val="1"/>
                    <c:pt idx="0">
                      <c:v>VOX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{C0B6F604-9748-4BF4-A5E1-CAB251BF4C8E}</c15:txfldGUID>
                      <c15:f>CHES!$A$12</c15:f>
                      <c15:dlblFieldTableCache>
                        <c:ptCount val="1"/>
                        <c:pt idx="0">
                          <c:v>VOX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9B4-4270-AA7B-63A964DE82C7}"/>
                </c:ext>
              </c:extLst>
            </c:dLbl>
            <c:dLbl>
              <c:idx val="3"/>
              <c:tx>
                <c:strRef>
                  <c:f>CHES!$A$13</c:f>
                  <c:strCache>
                    <c:ptCount val="1"/>
                    <c:pt idx="0">
                      <c:v>Lega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{964ED595-1D03-4840-A7C4-D4AAB05EFBE4}</c15:txfldGUID>
                      <c15:f>CHES!$A$13</c15:f>
                      <c15:dlblFieldTableCache>
                        <c:ptCount val="1"/>
                        <c:pt idx="0">
                          <c:v>Lega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9B4-4270-AA7B-63A964DE82C7}"/>
                </c:ext>
              </c:extLst>
            </c:dLbl>
            <c:dLbl>
              <c:idx val="4"/>
              <c:tx>
                <c:strRef>
                  <c:f>CHES!$A$14</c:f>
                  <c:strCache>
                    <c:ptCount val="1"/>
                    <c:pt idx="0">
                      <c:v>DF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{3519BADA-70D0-4483-8077-051080D9527B}</c15:txfldGUID>
                      <c15:f>CHES!$A$14</c15:f>
                      <c15:dlblFieldTableCache>
                        <c:ptCount val="1"/>
                        <c:pt idx="0">
                          <c:v>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9B4-4270-AA7B-63A964DE82C7}"/>
                </c:ext>
              </c:extLst>
            </c:dLbl>
            <c:dLbl>
              <c:idx val="5"/>
              <c:tx>
                <c:strRef>
                  <c:f>CHES!$A$15</c:f>
                  <c:strCache>
                    <c:ptCount val="1"/>
                    <c:pt idx="0">
                      <c:v>RN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{50744BB4-B3D0-4C37-A0F0-93B532826421}</c15:txfldGUID>
                      <c15:f>CHES!$A$15</c15:f>
                      <c15:dlblFieldTableCache>
                        <c:ptCount val="1"/>
                        <c:pt idx="0">
                          <c:v>RN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9B4-4270-AA7B-63A964DE82C7}"/>
                </c:ext>
              </c:extLst>
            </c:dLbl>
            <c:dLbl>
              <c:idx val="6"/>
              <c:tx>
                <c:strRef>
                  <c:f>CHES!$A$16</c:f>
                  <c:strCache>
                    <c:ptCount val="1"/>
                    <c:pt idx="0">
                      <c:v>Reform UK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{342B8CB8-E953-487A-BA90-513D25E3FE91}</c15:txfldGUID>
                      <c15:f>CHES!$A$16</c15:f>
                      <c15:dlblFieldTableCache>
                        <c:ptCount val="1"/>
                        <c:pt idx="0">
                          <c:v>Reform UK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9B4-4270-AA7B-63A964DE82C7}"/>
                </c:ext>
              </c:extLst>
            </c:dLbl>
            <c:dLbl>
              <c:idx val="7"/>
              <c:tx>
                <c:strRef>
                  <c:f>CHES!$A$17</c:f>
                  <c:strCache>
                    <c:ptCount val="1"/>
                    <c:pt idx="0">
                      <c:v>VB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{38D03481-9A43-49F9-9865-07769CF56DF9}</c15:txfldGUID>
                      <c15:f>CHES!$A$17</c15:f>
                      <c15:dlblFieldTableCache>
                        <c:ptCount val="1"/>
                        <c:pt idx="0">
                          <c:v>VB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9B4-4270-AA7B-63A964DE8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CHES!$H$10:$H$17</c:f>
              <c:numCache>
                <c:formatCode>0.00</c:formatCode>
                <c:ptCount val="8"/>
                <c:pt idx="0">
                  <c:v>8</c:v>
                </c:pt>
                <c:pt idx="1">
                  <c:v>4.5</c:v>
                </c:pt>
                <c:pt idx="2">
                  <c:v>4.8</c:v>
                </c:pt>
                <c:pt idx="3">
                  <c:v>6.375</c:v>
                </c:pt>
                <c:pt idx="4">
                  <c:v>5</c:v>
                </c:pt>
                <c:pt idx="5">
                  <c:v>7</c:v>
                </c:pt>
                <c:pt idx="6">
                  <c:v>6.556</c:v>
                </c:pt>
                <c:pt idx="7">
                  <c:v>7.6669999999999998</c:v>
                </c:pt>
              </c:numCache>
            </c:numRef>
          </c:xVal>
          <c:yVal>
            <c:numRef>
              <c:f>CHES!$B$10:$B$17</c:f>
              <c:numCache>
                <c:formatCode>0.00</c:formatCode>
                <c:ptCount val="8"/>
                <c:pt idx="0">
                  <c:v>14.372</c:v>
                </c:pt>
                <c:pt idx="1">
                  <c:v>8.2639999999999993</c:v>
                </c:pt>
                <c:pt idx="2">
                  <c:v>4.0590000000000002</c:v>
                </c:pt>
                <c:pt idx="3">
                  <c:v>2.93</c:v>
                </c:pt>
                <c:pt idx="4">
                  <c:v>2.613</c:v>
                </c:pt>
                <c:pt idx="5">
                  <c:v>1.7909999999999999</c:v>
                </c:pt>
                <c:pt idx="6">
                  <c:v>1.603</c:v>
                </c:pt>
                <c:pt idx="7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B4-4270-AA7B-63A964DE8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636832"/>
        <c:axId val="24581456"/>
      </c:scatterChart>
      <c:valAx>
        <c:axId val="335636832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People vs elite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81456"/>
        <c:crosses val="autoZero"/>
        <c:crossBetween val="midCat"/>
        <c:majorUnit val="2"/>
      </c:valAx>
      <c:valAx>
        <c:axId val="2458145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D4D4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63683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v>Landscape</c:v>
          </c:tx>
          <c:spPr>
            <a:solidFill>
              <a:srgbClr val="40404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'Media Format'!$A$6:$A$14</c:f>
              <c:strCache>
                <c:ptCount val="9"/>
                <c:pt idx="0">
                  <c:v>AU</c:v>
                </c:pt>
                <c:pt idx="1">
                  <c:v>BE</c:v>
                </c:pt>
                <c:pt idx="2">
                  <c:v>DE</c:v>
                </c:pt>
                <c:pt idx="3">
                  <c:v>DK</c:v>
                </c:pt>
                <c:pt idx="4">
                  <c:v>ES</c:v>
                </c:pt>
                <c:pt idx="5">
                  <c:v>FR</c:v>
                </c:pt>
                <c:pt idx="6">
                  <c:v>IT</c:v>
                </c:pt>
                <c:pt idx="7">
                  <c:v>NL</c:v>
                </c:pt>
                <c:pt idx="8">
                  <c:v>UK</c:v>
                </c:pt>
              </c:strCache>
            </c:strRef>
          </c:cat>
          <c:val>
            <c:numRef>
              <c:f>'Media Format'!$B$6:$B$14</c:f>
              <c:numCache>
                <c:formatCode>#,##0</c:formatCode>
                <c:ptCount val="9"/>
                <c:pt idx="0">
                  <c:v>118</c:v>
                </c:pt>
                <c:pt idx="1">
                  <c:v>2</c:v>
                </c:pt>
                <c:pt idx="2">
                  <c:v>13</c:v>
                </c:pt>
                <c:pt idx="3">
                  <c:v>1</c:v>
                </c:pt>
                <c:pt idx="4">
                  <c:v>185</c:v>
                </c:pt>
                <c:pt idx="5">
                  <c:v>35</c:v>
                </c:pt>
                <c:pt idx="6">
                  <c:v>7</c:v>
                </c:pt>
                <c:pt idx="7">
                  <c:v>52</c:v>
                </c:pt>
                <c:pt idx="8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E-4EF5-8CBC-EC52D5434DD7}"/>
            </c:ext>
          </c:extLst>
        </c:ser>
        <c:ser>
          <c:idx val="1"/>
          <c:order val="1"/>
          <c:tx>
            <c:v>Portrait</c:v>
          </c:tx>
          <c:spPr>
            <a:solidFill>
              <a:schemeClr val="bg1">
                <a:lumMod val="50000"/>
              </a:schemeClr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'Media Format'!$A$6:$A$14</c:f>
              <c:strCache>
                <c:ptCount val="9"/>
                <c:pt idx="0">
                  <c:v>AU</c:v>
                </c:pt>
                <c:pt idx="1">
                  <c:v>BE</c:v>
                </c:pt>
                <c:pt idx="2">
                  <c:v>DE</c:v>
                </c:pt>
                <c:pt idx="3">
                  <c:v>DK</c:v>
                </c:pt>
                <c:pt idx="4">
                  <c:v>ES</c:v>
                </c:pt>
                <c:pt idx="5">
                  <c:v>FR</c:v>
                </c:pt>
                <c:pt idx="6">
                  <c:v>IT</c:v>
                </c:pt>
                <c:pt idx="7">
                  <c:v>NL</c:v>
                </c:pt>
                <c:pt idx="8">
                  <c:v>UK</c:v>
                </c:pt>
              </c:strCache>
            </c:strRef>
          </c:cat>
          <c:val>
            <c:numRef>
              <c:f>'Media Format'!$D$6:$D$14</c:f>
              <c:numCache>
                <c:formatCode>#,##0</c:formatCode>
                <c:ptCount val="9"/>
                <c:pt idx="0">
                  <c:v>1</c:v>
                </c:pt>
                <c:pt idx="1">
                  <c:v>201</c:v>
                </c:pt>
                <c:pt idx="2">
                  <c:v>154</c:v>
                </c:pt>
                <c:pt idx="3">
                  <c:v>314</c:v>
                </c:pt>
                <c:pt idx="4">
                  <c:v>497</c:v>
                </c:pt>
                <c:pt idx="5">
                  <c:v>282</c:v>
                </c:pt>
                <c:pt idx="6">
                  <c:v>460</c:v>
                </c:pt>
                <c:pt idx="7">
                  <c:v>42</c:v>
                </c:pt>
                <c:pt idx="8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E-4EF5-8CBC-EC52D5434DD7}"/>
            </c:ext>
          </c:extLst>
        </c:ser>
        <c:ser>
          <c:idx val="2"/>
          <c:order val="2"/>
          <c:tx>
            <c:v>Square</c:v>
          </c:tx>
          <c:spPr>
            <a:solidFill>
              <a:srgbClr val="D9D9D9"/>
            </a:solidFill>
          </c:spPr>
          <c:invertIfNegative val="0"/>
          <c:cat>
            <c:strRef>
              <c:f>'Media Format'!$A$6:$A$14</c:f>
              <c:strCache>
                <c:ptCount val="9"/>
                <c:pt idx="0">
                  <c:v>AU</c:v>
                </c:pt>
                <c:pt idx="1">
                  <c:v>BE</c:v>
                </c:pt>
                <c:pt idx="2">
                  <c:v>DE</c:v>
                </c:pt>
                <c:pt idx="3">
                  <c:v>DK</c:v>
                </c:pt>
                <c:pt idx="4">
                  <c:v>ES</c:v>
                </c:pt>
                <c:pt idx="5">
                  <c:v>FR</c:v>
                </c:pt>
                <c:pt idx="6">
                  <c:v>IT</c:v>
                </c:pt>
                <c:pt idx="7">
                  <c:v>NL</c:v>
                </c:pt>
                <c:pt idx="8">
                  <c:v>UK</c:v>
                </c:pt>
              </c:strCache>
            </c:strRef>
          </c:cat>
          <c:val>
            <c:numRef>
              <c:f>'Media Format'!$F$6:$F$14</c:f>
              <c:numCache>
                <c:formatCode>#,##0</c:formatCode>
                <c:ptCount val="9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11</c:v>
                </c:pt>
                <c:pt idx="4">
                  <c:v>10</c:v>
                </c:pt>
                <c:pt idx="5">
                  <c:v>3</c:v>
                </c:pt>
                <c:pt idx="6">
                  <c:v>9</c:v>
                </c:pt>
                <c:pt idx="7">
                  <c:v>0</c:v>
                </c:pt>
                <c:pt idx="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BE-4EF5-8CBC-EC52D5434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981869"/>
        <c:axId val="75208200"/>
      </c:barChart>
      <c:catAx>
        <c:axId val="599818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75208200"/>
        <c:crosses val="autoZero"/>
        <c:auto val="1"/>
        <c:lblAlgn val="ctr"/>
        <c:lblOffset val="100"/>
        <c:noMultiLvlLbl val="0"/>
      </c:catAx>
      <c:valAx>
        <c:axId val="75208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Share of videos (%)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5998186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25400">
      <a:noFill/>
    </a:ln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532710</xdr:colOff>
      <xdr:row>5</xdr:row>
      <xdr:rowOff>38100</xdr:rowOff>
    </xdr:from>
    <xdr:to>
      <xdr:col>28</xdr:col>
      <xdr:colOff>157922</xdr:colOff>
      <xdr:row>22</xdr:row>
      <xdr:rowOff>22777</xdr:rowOff>
    </xdr:to>
    <xdr:graphicFrame macro="">
      <xdr:nvGraphicFramePr>
        <xdr:cNvPr id="7" name="T1 – Chart 1">
          <a:extLst>
            <a:ext uri="{FF2B5EF4-FFF2-40B4-BE49-F238E27FC236}">
              <a16:creationId xmlns:a16="http://schemas.microsoft.com/office/drawing/2014/main" id="{789B3D9F-FAA3-A2EB-5E81-1C1087F46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124</xdr:row>
      <xdr:rowOff>0</xdr:rowOff>
    </xdr:from>
    <xdr:to>
      <xdr:col>15</xdr:col>
      <xdr:colOff>395700</xdr:colOff>
      <xdr:row>136</xdr:row>
      <xdr:rowOff>308249</xdr:rowOff>
    </xdr:to>
    <xdr:graphicFrame macro="">
      <xdr:nvGraphicFramePr>
        <xdr:cNvPr id="13" name="C5 – Chart 1">
          <a:extLst>
            <a:ext uri="{FF2B5EF4-FFF2-40B4-BE49-F238E27FC236}">
              <a16:creationId xmlns:a16="http://schemas.microsoft.com/office/drawing/2014/main" id="{39421D2B-58D9-5E79-7DBC-C851C22E8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76200</xdr:colOff>
      <xdr:row>36</xdr:row>
      <xdr:rowOff>0</xdr:rowOff>
    </xdr:from>
    <xdr:ext cx="6480000" cy="3581400"/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8412DAEF-1410-4690-8786-2B37A0B5A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152400</xdr:colOff>
      <xdr:row>107</xdr:row>
      <xdr:rowOff>0</xdr:rowOff>
    </xdr:from>
    <xdr:ext cx="5257165" cy="3594100"/>
    <xdr:graphicFrame macro="">
      <xdr:nvGraphicFramePr>
        <xdr:cNvPr id="3" name="F2 subject">
          <a:extLst>
            <a:ext uri="{FF2B5EF4-FFF2-40B4-BE49-F238E27FC236}">
              <a16:creationId xmlns:a16="http://schemas.microsoft.com/office/drawing/2014/main" id="{2535EB79-124E-4536-398E-F48F84B97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152400</xdr:colOff>
      <xdr:row>128</xdr:row>
      <xdr:rowOff>0</xdr:rowOff>
    </xdr:from>
    <xdr:ext cx="5257165" cy="3594100"/>
    <xdr:graphicFrame macro="">
      <xdr:nvGraphicFramePr>
        <xdr:cNvPr id="4" name="F3 predication">
          <a:extLst>
            <a:ext uri="{FF2B5EF4-FFF2-40B4-BE49-F238E27FC236}">
              <a16:creationId xmlns:a16="http://schemas.microsoft.com/office/drawing/2014/main" id="{12E74D4E-A808-E52B-21C9-4476E674D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720725</xdr:colOff>
      <xdr:row>52</xdr:row>
      <xdr:rowOff>69850</xdr:rowOff>
    </xdr:from>
    <xdr:to>
      <xdr:col>14</xdr:col>
      <xdr:colOff>215900</xdr:colOff>
      <xdr:row>78</xdr:row>
      <xdr:rowOff>158750</xdr:rowOff>
    </xdr:to>
    <xdr:graphicFrame macro="">
      <xdr:nvGraphicFramePr>
        <xdr:cNvPr id="10" name="Posts B account">
          <a:extLst>
            <a:ext uri="{FF2B5EF4-FFF2-40B4-BE49-F238E27FC236}">
              <a16:creationId xmlns:a16="http://schemas.microsoft.com/office/drawing/2014/main" id="{CF7065FA-AA7A-B315-9181-81D1305AA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860425</xdr:colOff>
      <xdr:row>26</xdr:row>
      <xdr:rowOff>0</xdr:rowOff>
    </xdr:from>
    <xdr:to>
      <xdr:col>5</xdr:col>
      <xdr:colOff>623062</xdr:colOff>
      <xdr:row>39</xdr:row>
      <xdr:rowOff>43180</xdr:rowOff>
    </xdr:to>
    <xdr:graphicFrame macro="">
      <xdr:nvGraphicFramePr>
        <xdr:cNvPr id="14" name="Fig2 1">
          <a:extLst>
            <a:ext uri="{FF2B5EF4-FFF2-40B4-BE49-F238E27FC236}">
              <a16:creationId xmlns:a16="http://schemas.microsoft.com/office/drawing/2014/main" id="{00E0C4EF-1CCA-6630-1F90-53FAE3A50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79375</xdr:colOff>
      <xdr:row>26</xdr:row>
      <xdr:rowOff>0</xdr:rowOff>
    </xdr:from>
    <xdr:to>
      <xdr:col>9</xdr:col>
      <xdr:colOff>337312</xdr:colOff>
      <xdr:row>39</xdr:row>
      <xdr:rowOff>43180</xdr:rowOff>
    </xdr:to>
    <xdr:graphicFrame macro="">
      <xdr:nvGraphicFramePr>
        <xdr:cNvPr id="15" name="Fig2 2">
          <a:extLst>
            <a:ext uri="{FF2B5EF4-FFF2-40B4-BE49-F238E27FC236}">
              <a16:creationId xmlns:a16="http://schemas.microsoft.com/office/drawing/2014/main" id="{F422371D-5C32-53F8-34C6-9E8A154B8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736600</xdr:colOff>
      <xdr:row>26</xdr:row>
      <xdr:rowOff>0</xdr:rowOff>
    </xdr:from>
    <xdr:to>
      <xdr:col>13</xdr:col>
      <xdr:colOff>718312</xdr:colOff>
      <xdr:row>39</xdr:row>
      <xdr:rowOff>43180</xdr:rowOff>
    </xdr:to>
    <xdr:graphicFrame macro="">
      <xdr:nvGraphicFramePr>
        <xdr:cNvPr id="16" name="Fig2 3">
          <a:extLst>
            <a:ext uri="{FF2B5EF4-FFF2-40B4-BE49-F238E27FC236}">
              <a16:creationId xmlns:a16="http://schemas.microsoft.com/office/drawing/2014/main" id="{CFF5F45D-FD67-1C14-D2B0-BE7670298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860425</xdr:colOff>
      <xdr:row>41</xdr:row>
      <xdr:rowOff>0</xdr:rowOff>
    </xdr:from>
    <xdr:to>
      <xdr:col>5</xdr:col>
      <xdr:colOff>623062</xdr:colOff>
      <xdr:row>54</xdr:row>
      <xdr:rowOff>43180</xdr:rowOff>
    </xdr:to>
    <xdr:graphicFrame macro="">
      <xdr:nvGraphicFramePr>
        <xdr:cNvPr id="17" name="Fig2 4">
          <a:extLst>
            <a:ext uri="{FF2B5EF4-FFF2-40B4-BE49-F238E27FC236}">
              <a16:creationId xmlns:a16="http://schemas.microsoft.com/office/drawing/2014/main" id="{B691266B-65BE-3A80-ACB9-EC7022BA8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79375</xdr:colOff>
      <xdr:row>41</xdr:row>
      <xdr:rowOff>0</xdr:rowOff>
    </xdr:from>
    <xdr:to>
      <xdr:col>9</xdr:col>
      <xdr:colOff>337312</xdr:colOff>
      <xdr:row>54</xdr:row>
      <xdr:rowOff>43180</xdr:rowOff>
    </xdr:to>
    <xdr:graphicFrame macro="">
      <xdr:nvGraphicFramePr>
        <xdr:cNvPr id="18" name="Fig2 5">
          <a:extLst>
            <a:ext uri="{FF2B5EF4-FFF2-40B4-BE49-F238E27FC236}">
              <a16:creationId xmlns:a16="http://schemas.microsoft.com/office/drawing/2014/main" id="{C07414F8-E9C0-099F-EA5E-D66635061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736600</xdr:colOff>
      <xdr:row>41</xdr:row>
      <xdr:rowOff>0</xdr:rowOff>
    </xdr:from>
    <xdr:to>
      <xdr:col>13</xdr:col>
      <xdr:colOff>718312</xdr:colOff>
      <xdr:row>54</xdr:row>
      <xdr:rowOff>43180</xdr:rowOff>
    </xdr:to>
    <xdr:graphicFrame macro="">
      <xdr:nvGraphicFramePr>
        <xdr:cNvPr id="19" name="Fig2 6">
          <a:extLst>
            <a:ext uri="{FF2B5EF4-FFF2-40B4-BE49-F238E27FC236}">
              <a16:creationId xmlns:a16="http://schemas.microsoft.com/office/drawing/2014/main" id="{0A9E7337-71AE-D239-7E50-4AF5ED09D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</xdr:colOff>
      <xdr:row>5</xdr:row>
      <xdr:rowOff>57150</xdr:rowOff>
    </xdr:from>
    <xdr:ext cx="7554060" cy="46796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A36EA-F4F5-47E5-8DB5-BFB156C4A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C2711C-58B0-42DD-899B-49EB0439F8C2}">
  <we:reference id="wa200010725" version="1.0.0.1" store="en-GB" storeType="OMEX"/>
  <we:alternateReferences>
    <we:reference id="wa200010725" version="1.0.0.1" store="en-GB" storeType="OMEX"/>
  </we:alternateReferences>
  <we:properties>
    <we:property name="claude.fileId" value="&quot;91e53dbb-b6b5-49cf-8a41-027613295fc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C594-5FF1-4A2B-A34E-927A2C10A123}">
  <sheetPr>
    <tabColor rgb="FF000000"/>
  </sheetPr>
  <dimension ref="A1:G54"/>
  <sheetViews>
    <sheetView showGridLines="0" zoomScale="115" zoomScaleNormal="115" workbookViewId="0">
      <selection activeCell="A13" sqref="A13:G13"/>
    </sheetView>
  </sheetViews>
  <sheetFormatPr defaultRowHeight="15" x14ac:dyDescent="0.25"/>
  <cols>
    <col min="1" max="1" width="30" customWidth="1"/>
    <col min="2" max="2" width="20" customWidth="1"/>
    <col min="3" max="3" width="17" customWidth="1"/>
    <col min="4" max="4" width="14" customWidth="1"/>
    <col min="5" max="6" width="17" customWidth="1"/>
    <col min="7" max="7" width="16" customWidth="1"/>
  </cols>
  <sheetData>
    <row r="1" spans="1:7" x14ac:dyDescent="0.25">
      <c r="A1" s="107" t="s">
        <v>3796</v>
      </c>
      <c r="B1" s="113"/>
      <c r="C1" s="113"/>
      <c r="D1" s="113"/>
      <c r="E1" s="113"/>
      <c r="F1" s="113"/>
      <c r="G1" s="113"/>
    </row>
    <row r="2" spans="1:7" x14ac:dyDescent="0.25">
      <c r="A2" s="116" t="s">
        <v>3797</v>
      </c>
      <c r="B2" s="113"/>
      <c r="C2" s="113"/>
      <c r="D2" s="113"/>
      <c r="E2" s="113"/>
      <c r="F2" s="113"/>
      <c r="G2" s="113"/>
    </row>
    <row r="3" spans="1:7" ht="26.25" customHeight="1" x14ac:dyDescent="0.25">
      <c r="A3" s="115" t="s">
        <v>3798</v>
      </c>
      <c r="B3" s="113"/>
      <c r="C3" s="113"/>
      <c r="D3" s="113"/>
      <c r="E3" s="113"/>
      <c r="F3" s="113"/>
      <c r="G3" s="113"/>
    </row>
    <row r="4" spans="1:7" ht="26.25" customHeight="1" x14ac:dyDescent="0.25">
      <c r="A4" s="115" t="s">
        <v>3799</v>
      </c>
      <c r="B4" s="113"/>
      <c r="C4" s="113"/>
      <c r="D4" s="113"/>
      <c r="E4" s="113"/>
      <c r="F4" s="113"/>
      <c r="G4" s="113"/>
    </row>
    <row r="5" spans="1:7" ht="26.25" customHeight="1" x14ac:dyDescent="0.25">
      <c r="A5" s="115" t="s">
        <v>3800</v>
      </c>
      <c r="B5" s="113"/>
      <c r="C5" s="113"/>
      <c r="D5" s="113"/>
      <c r="E5" s="113"/>
      <c r="F5" s="113"/>
      <c r="G5" s="113"/>
    </row>
    <row r="6" spans="1:7" ht="26.25" customHeight="1" x14ac:dyDescent="0.25">
      <c r="A6" s="115" t="s">
        <v>3801</v>
      </c>
      <c r="B6" s="113"/>
      <c r="C6" s="113"/>
      <c r="D6" s="113"/>
      <c r="E6" s="113"/>
      <c r="F6" s="113"/>
      <c r="G6" s="113"/>
    </row>
    <row r="7" spans="1:7" x14ac:dyDescent="0.25">
      <c r="A7" s="115" t="s">
        <v>3802</v>
      </c>
      <c r="B7" s="113"/>
      <c r="C7" s="113"/>
      <c r="D7" s="113"/>
      <c r="E7" s="113"/>
      <c r="F7" s="113"/>
      <c r="G7" s="113"/>
    </row>
    <row r="8" spans="1:7" ht="26.25" customHeight="1" x14ac:dyDescent="0.25">
      <c r="A8" s="115" t="s">
        <v>3803</v>
      </c>
      <c r="B8" s="113"/>
      <c r="C8" s="113"/>
      <c r="D8" s="113"/>
      <c r="E8" s="113"/>
      <c r="F8" s="113"/>
      <c r="G8" s="113"/>
    </row>
    <row r="9" spans="1:7" ht="26.25" customHeight="1" x14ac:dyDescent="0.25">
      <c r="A9" s="115" t="s">
        <v>3804</v>
      </c>
      <c r="B9" s="113"/>
      <c r="C9" s="113"/>
      <c r="D9" s="113"/>
      <c r="E9" s="113"/>
      <c r="F9" s="113"/>
      <c r="G9" s="113"/>
    </row>
    <row r="10" spans="1:7" ht="26.25" customHeight="1" x14ac:dyDescent="0.25">
      <c r="A10" s="115" t="s">
        <v>3805</v>
      </c>
      <c r="B10" s="113"/>
      <c r="C10" s="113"/>
      <c r="D10" s="113"/>
      <c r="E10" s="113"/>
      <c r="F10" s="113"/>
      <c r="G10" s="113"/>
    </row>
    <row r="11" spans="1:7" x14ac:dyDescent="0.25">
      <c r="A11" s="114" t="s">
        <v>3856</v>
      </c>
      <c r="B11" s="113"/>
      <c r="C11" s="113"/>
      <c r="D11" s="113"/>
      <c r="E11" s="113"/>
      <c r="F11" s="113"/>
      <c r="G11" s="113"/>
    </row>
    <row r="12" spans="1:7" x14ac:dyDescent="0.25">
      <c r="A12" s="115" t="s">
        <v>3865</v>
      </c>
      <c r="B12" s="113"/>
      <c r="C12" s="113"/>
      <c r="D12" s="113"/>
      <c r="E12" s="113"/>
      <c r="F12" s="113"/>
      <c r="G12" s="113"/>
    </row>
    <row r="13" spans="1:7" ht="26.25" customHeight="1" x14ac:dyDescent="0.25">
      <c r="A13" s="115" t="s">
        <v>3806</v>
      </c>
      <c r="B13" s="113"/>
      <c r="C13" s="113"/>
      <c r="D13" s="113"/>
      <c r="E13" s="113"/>
      <c r="F13" s="113"/>
      <c r="G13" s="113"/>
    </row>
    <row r="14" spans="1:7" ht="26.25" customHeight="1" x14ac:dyDescent="0.25">
      <c r="A14" s="115" t="s">
        <v>3807</v>
      </c>
      <c r="B14" s="113"/>
      <c r="C14" s="113"/>
      <c r="D14" s="113"/>
      <c r="E14" s="113"/>
      <c r="F14" s="113"/>
      <c r="G14" s="113"/>
    </row>
    <row r="16" spans="1:7" ht="15.6" customHeight="1" x14ac:dyDescent="0.25">
      <c r="A16" s="107" t="s">
        <v>3808</v>
      </c>
      <c r="B16" s="107"/>
      <c r="C16" s="107"/>
      <c r="D16" s="113"/>
      <c r="E16" s="113"/>
      <c r="F16" s="113"/>
      <c r="G16" s="113"/>
    </row>
    <row r="17" spans="1:7" x14ac:dyDescent="0.25">
      <c r="A17" s="8"/>
      <c r="B17" s="8"/>
      <c r="C17" s="8"/>
    </row>
    <row r="18" spans="1:7" ht="15.75" x14ac:dyDescent="0.25">
      <c r="A18" s="81" t="s">
        <v>0</v>
      </c>
      <c r="B18" s="8"/>
      <c r="C18" s="8"/>
      <c r="D18" s="8"/>
      <c r="E18" s="8"/>
      <c r="F18" s="8"/>
      <c r="G18" s="8"/>
    </row>
    <row r="19" spans="1:7" ht="30" x14ac:dyDescent="0.25">
      <c r="A19" s="9" t="s">
        <v>1</v>
      </c>
      <c r="B19" s="10" t="s">
        <v>2</v>
      </c>
      <c r="C19" s="10" t="s">
        <v>4</v>
      </c>
      <c r="D19" s="15" t="s">
        <v>7</v>
      </c>
      <c r="E19" s="15" t="s">
        <v>3653</v>
      </c>
      <c r="F19" s="15" t="s">
        <v>3654</v>
      </c>
    </row>
    <row r="20" spans="1:7" x14ac:dyDescent="0.25">
      <c r="A20" s="13" t="s">
        <v>5</v>
      </c>
      <c r="B20" s="7" t="s">
        <v>6</v>
      </c>
      <c r="C20" s="7">
        <f t="shared" ref="C20:C38" si="0">COUNTIF(acct,$A20)</f>
        <v>428</v>
      </c>
      <c r="D20" s="8" t="s">
        <v>6</v>
      </c>
      <c r="E20" s="8">
        <f t="shared" ref="E20:E38" si="1">COUNTIFS(acct,$A20,ai_full,1)</f>
        <v>0</v>
      </c>
      <c r="F20" s="8" t="s">
        <v>1979</v>
      </c>
    </row>
    <row r="21" spans="1:7" x14ac:dyDescent="0.25">
      <c r="A21" s="13" t="s">
        <v>8</v>
      </c>
      <c r="B21" s="7" t="s">
        <v>9</v>
      </c>
      <c r="C21" s="7">
        <f t="shared" si="0"/>
        <v>21</v>
      </c>
      <c r="D21" s="8" t="s">
        <v>6</v>
      </c>
      <c r="E21" s="8">
        <f t="shared" si="1"/>
        <v>0</v>
      </c>
      <c r="F21" s="8" t="s">
        <v>1979</v>
      </c>
    </row>
    <row r="22" spans="1:7" x14ac:dyDescent="0.25">
      <c r="A22" s="13" t="s">
        <v>10</v>
      </c>
      <c r="B22" s="7" t="s">
        <v>11</v>
      </c>
      <c r="C22" s="7">
        <f t="shared" si="0"/>
        <v>183</v>
      </c>
      <c r="D22" s="8" t="s">
        <v>3566</v>
      </c>
      <c r="E22" s="8">
        <f t="shared" si="1"/>
        <v>3</v>
      </c>
      <c r="F22" s="8" t="s">
        <v>1971</v>
      </c>
    </row>
    <row r="23" spans="1:7" x14ac:dyDescent="0.25">
      <c r="A23" s="13" t="s">
        <v>12</v>
      </c>
      <c r="B23" s="7" t="s">
        <v>13</v>
      </c>
      <c r="C23" s="7">
        <f t="shared" si="0"/>
        <v>237</v>
      </c>
      <c r="D23" s="8" t="s">
        <v>3566</v>
      </c>
      <c r="E23" s="8">
        <f t="shared" si="1"/>
        <v>0</v>
      </c>
      <c r="F23" s="8" t="s">
        <v>1971</v>
      </c>
    </row>
    <row r="24" spans="1:7" x14ac:dyDescent="0.25">
      <c r="A24" s="13" t="s">
        <v>14</v>
      </c>
      <c r="B24" s="7" t="s">
        <v>15</v>
      </c>
      <c r="C24" s="7">
        <f t="shared" si="0"/>
        <v>185</v>
      </c>
      <c r="D24" s="8" t="s">
        <v>15</v>
      </c>
      <c r="E24" s="8">
        <f t="shared" si="1"/>
        <v>56</v>
      </c>
      <c r="F24" s="8" t="s">
        <v>1974</v>
      </c>
    </row>
    <row r="25" spans="1:7" x14ac:dyDescent="0.25">
      <c r="A25" s="13" t="s">
        <v>16</v>
      </c>
      <c r="B25" s="7" t="s">
        <v>17</v>
      </c>
      <c r="C25" s="7">
        <f t="shared" si="0"/>
        <v>309</v>
      </c>
      <c r="D25" s="8" t="s">
        <v>15</v>
      </c>
      <c r="E25" s="8">
        <f t="shared" si="1"/>
        <v>15</v>
      </c>
      <c r="F25" s="8" t="s">
        <v>1974</v>
      </c>
    </row>
    <row r="26" spans="1:7" x14ac:dyDescent="0.25">
      <c r="A26" s="13" t="s">
        <v>18</v>
      </c>
      <c r="B26" s="7" t="s">
        <v>19</v>
      </c>
      <c r="C26" s="7">
        <f t="shared" si="0"/>
        <v>202</v>
      </c>
      <c r="D26" s="8" t="s">
        <v>3567</v>
      </c>
      <c r="E26" s="8">
        <f t="shared" si="1"/>
        <v>5</v>
      </c>
      <c r="F26" s="8" t="s">
        <v>1977</v>
      </c>
    </row>
    <row r="27" spans="1:7" x14ac:dyDescent="0.25">
      <c r="A27" s="13" t="s">
        <v>20</v>
      </c>
      <c r="B27" s="7" t="s">
        <v>21</v>
      </c>
      <c r="C27" s="7">
        <f t="shared" si="0"/>
        <v>219</v>
      </c>
      <c r="D27" s="8" t="s">
        <v>3567</v>
      </c>
      <c r="E27" s="8">
        <f t="shared" si="1"/>
        <v>6</v>
      </c>
      <c r="F27" s="8" t="s">
        <v>1977</v>
      </c>
    </row>
    <row r="28" spans="1:7" x14ac:dyDescent="0.25">
      <c r="A28" s="13" t="s">
        <v>22</v>
      </c>
      <c r="B28" s="7" t="s">
        <v>23</v>
      </c>
      <c r="C28" s="7">
        <f t="shared" si="0"/>
        <v>722</v>
      </c>
      <c r="D28" s="8" t="s">
        <v>23</v>
      </c>
      <c r="E28" s="8">
        <f t="shared" si="1"/>
        <v>37</v>
      </c>
      <c r="F28" s="8" t="s">
        <v>1972</v>
      </c>
    </row>
    <row r="29" spans="1:7" x14ac:dyDescent="0.25">
      <c r="A29" s="13" t="s">
        <v>24</v>
      </c>
      <c r="B29" s="7" t="s">
        <v>25</v>
      </c>
      <c r="C29" s="7">
        <f t="shared" si="0"/>
        <v>288</v>
      </c>
      <c r="D29" s="8" t="s">
        <v>23</v>
      </c>
      <c r="E29" s="8">
        <f t="shared" si="1"/>
        <v>4</v>
      </c>
      <c r="F29" s="8" t="s">
        <v>1972</v>
      </c>
    </row>
    <row r="30" spans="1:7" x14ac:dyDescent="0.25">
      <c r="A30" s="13" t="s">
        <v>26</v>
      </c>
      <c r="B30" s="7" t="s">
        <v>27</v>
      </c>
      <c r="C30" s="7">
        <f t="shared" si="0"/>
        <v>1226</v>
      </c>
      <c r="D30" s="8" t="s">
        <v>27</v>
      </c>
      <c r="E30" s="8">
        <f t="shared" si="1"/>
        <v>24</v>
      </c>
      <c r="F30" s="8" t="s">
        <v>1973</v>
      </c>
    </row>
    <row r="31" spans="1:7" x14ac:dyDescent="0.25">
      <c r="A31" s="13" t="s">
        <v>28</v>
      </c>
      <c r="B31" s="7" t="s">
        <v>29</v>
      </c>
      <c r="C31" s="7">
        <f t="shared" si="0"/>
        <v>114</v>
      </c>
      <c r="D31" s="8" t="s">
        <v>27</v>
      </c>
      <c r="E31" s="8">
        <f t="shared" si="1"/>
        <v>0</v>
      </c>
      <c r="F31" s="8" t="s">
        <v>1973</v>
      </c>
    </row>
    <row r="32" spans="1:7" x14ac:dyDescent="0.25">
      <c r="A32" s="13" t="s">
        <v>30</v>
      </c>
      <c r="B32" s="7" t="s">
        <v>31</v>
      </c>
      <c r="C32" s="7">
        <f t="shared" si="0"/>
        <v>488</v>
      </c>
      <c r="D32" s="8" t="s">
        <v>31</v>
      </c>
      <c r="E32" s="8">
        <f t="shared" si="1"/>
        <v>9</v>
      </c>
      <c r="F32" s="8" t="s">
        <v>1975</v>
      </c>
    </row>
    <row r="33" spans="1:7" x14ac:dyDescent="0.25">
      <c r="A33" s="13" t="s">
        <v>32</v>
      </c>
      <c r="B33" s="7" t="s">
        <v>33</v>
      </c>
      <c r="C33" s="7">
        <f t="shared" si="0"/>
        <v>843</v>
      </c>
      <c r="D33" s="8" t="s">
        <v>31</v>
      </c>
      <c r="E33" s="8">
        <f t="shared" si="1"/>
        <v>30</v>
      </c>
      <c r="F33" s="8" t="s">
        <v>1975</v>
      </c>
    </row>
    <row r="34" spans="1:7" x14ac:dyDescent="0.25">
      <c r="A34" s="13" t="s">
        <v>34</v>
      </c>
      <c r="B34" s="7" t="s">
        <v>35</v>
      </c>
      <c r="C34" s="7">
        <f t="shared" si="0"/>
        <v>34</v>
      </c>
      <c r="D34" s="8" t="s">
        <v>37</v>
      </c>
      <c r="E34" s="8">
        <f t="shared" si="1"/>
        <v>5</v>
      </c>
      <c r="F34" s="8" t="s">
        <v>1978</v>
      </c>
    </row>
    <row r="35" spans="1:7" x14ac:dyDescent="0.25">
      <c r="A35" s="13" t="s">
        <v>36</v>
      </c>
      <c r="B35" s="7" t="s">
        <v>37</v>
      </c>
      <c r="C35" s="7">
        <f t="shared" si="0"/>
        <v>11</v>
      </c>
      <c r="D35" s="8" t="s">
        <v>37</v>
      </c>
      <c r="E35" s="8">
        <f t="shared" si="1"/>
        <v>0</v>
      </c>
      <c r="F35" s="8" t="s">
        <v>1978</v>
      </c>
    </row>
    <row r="36" spans="1:7" x14ac:dyDescent="0.25">
      <c r="A36" s="13" t="s">
        <v>38</v>
      </c>
      <c r="B36" s="7" t="s">
        <v>39</v>
      </c>
      <c r="C36" s="7">
        <f t="shared" si="0"/>
        <v>197</v>
      </c>
      <c r="D36" s="8" t="s">
        <v>37</v>
      </c>
      <c r="E36" s="8">
        <f t="shared" si="1"/>
        <v>15</v>
      </c>
      <c r="F36" s="8" t="s">
        <v>1978</v>
      </c>
    </row>
    <row r="37" spans="1:7" x14ac:dyDescent="0.25">
      <c r="A37" s="13" t="s">
        <v>40</v>
      </c>
      <c r="B37" s="7" t="s">
        <v>41</v>
      </c>
      <c r="C37" s="7">
        <f t="shared" si="0"/>
        <v>397</v>
      </c>
      <c r="D37" s="8" t="s">
        <v>41</v>
      </c>
      <c r="E37" s="8">
        <f t="shared" si="1"/>
        <v>8</v>
      </c>
      <c r="F37" s="8" t="s">
        <v>1755</v>
      </c>
    </row>
    <row r="38" spans="1:7" x14ac:dyDescent="0.25">
      <c r="A38" s="13" t="s">
        <v>42</v>
      </c>
      <c r="B38" s="7" t="s">
        <v>43</v>
      </c>
      <c r="C38" s="7">
        <f t="shared" si="0"/>
        <v>102</v>
      </c>
      <c r="D38" s="8" t="s">
        <v>41</v>
      </c>
      <c r="E38" s="8">
        <f t="shared" si="1"/>
        <v>0</v>
      </c>
      <c r="F38" s="8" t="s">
        <v>1755</v>
      </c>
    </row>
    <row r="39" spans="1:7" x14ac:dyDescent="0.25">
      <c r="A39" s="14" t="s">
        <v>44</v>
      </c>
      <c r="B39" s="12"/>
      <c r="C39" s="12"/>
      <c r="D39" s="12"/>
      <c r="E39" s="12"/>
      <c r="F39" s="12"/>
    </row>
    <row r="40" spans="1:7" x14ac:dyDescent="0.25">
      <c r="A40" s="8"/>
      <c r="B40" s="8"/>
      <c r="C40" s="8"/>
      <c r="D40" s="8"/>
      <c r="E40" s="8"/>
      <c r="F40" s="8"/>
      <c r="G40" s="8"/>
    </row>
    <row r="41" spans="1:7" ht="15.6" customHeight="1" x14ac:dyDescent="0.25">
      <c r="A41" s="106"/>
      <c r="B41" s="106"/>
      <c r="C41" s="106"/>
      <c r="D41" s="106"/>
      <c r="E41" s="106"/>
      <c r="F41" s="106"/>
      <c r="G41" s="106"/>
    </row>
    <row r="43" spans="1:7" ht="15.75" x14ac:dyDescent="0.25">
      <c r="A43" s="81" t="s">
        <v>45</v>
      </c>
      <c r="B43" s="8"/>
    </row>
    <row r="44" spans="1:7" x14ac:dyDescent="0.25">
      <c r="A44" s="9" t="s">
        <v>46</v>
      </c>
      <c r="B44" s="10" t="s">
        <v>2</v>
      </c>
    </row>
    <row r="45" spans="1:7" x14ac:dyDescent="0.25">
      <c r="A45" s="13" t="s">
        <v>47</v>
      </c>
      <c r="B45" s="7" t="s">
        <v>48</v>
      </c>
    </row>
    <row r="46" spans="1:7" x14ac:dyDescent="0.25">
      <c r="A46" s="13" t="s">
        <v>49</v>
      </c>
      <c r="B46" s="7" t="s">
        <v>50</v>
      </c>
    </row>
    <row r="47" spans="1:7" x14ac:dyDescent="0.25">
      <c r="A47" s="13" t="s">
        <v>51</v>
      </c>
      <c r="B47" s="7" t="s">
        <v>52</v>
      </c>
    </row>
    <row r="48" spans="1:7" x14ac:dyDescent="0.25">
      <c r="A48" s="13" t="s">
        <v>53</v>
      </c>
      <c r="B48" s="7" t="s">
        <v>54</v>
      </c>
    </row>
    <row r="49" spans="1:7" x14ac:dyDescent="0.25">
      <c r="A49" s="13" t="s">
        <v>55</v>
      </c>
      <c r="B49" s="7" t="s">
        <v>56</v>
      </c>
    </row>
    <row r="50" spans="1:7" x14ac:dyDescent="0.25">
      <c r="A50" s="13" t="s">
        <v>57</v>
      </c>
      <c r="B50" s="7" t="s">
        <v>58</v>
      </c>
    </row>
    <row r="51" spans="1:7" x14ac:dyDescent="0.25">
      <c r="A51" s="13" t="s">
        <v>59</v>
      </c>
      <c r="B51" s="7" t="s">
        <v>60</v>
      </c>
    </row>
    <row r="52" spans="1:7" x14ac:dyDescent="0.25">
      <c r="A52" s="14" t="s">
        <v>61</v>
      </c>
      <c r="B52" s="11" t="s">
        <v>62</v>
      </c>
    </row>
    <row r="54" spans="1:7" ht="15.6" customHeight="1" x14ac:dyDescent="0.25">
      <c r="A54" s="106"/>
      <c r="B54" s="113"/>
      <c r="C54" s="113"/>
      <c r="D54" s="113"/>
      <c r="E54" s="113"/>
      <c r="F54" s="113"/>
      <c r="G54" s="113"/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54:G54"/>
    <mergeCell ref="A11:G11"/>
    <mergeCell ref="A12:G12"/>
    <mergeCell ref="A13:G13"/>
    <mergeCell ref="A14:G14"/>
    <mergeCell ref="A16:G16"/>
    <mergeCell ref="A41:G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FD1D-A9F8-44FC-B156-095A16339E8D}">
  <sheetPr>
    <tabColor theme="3"/>
  </sheetPr>
  <dimension ref="A1:V6208"/>
  <sheetViews>
    <sheetView zoomScale="85" zoomScaleNormal="85" workbookViewId="0">
      <pane ySplit="2" topLeftCell="A3" activePane="bottomLeft" state="frozen"/>
      <selection pane="bottomLeft" activeCell="X259" sqref="X259"/>
    </sheetView>
  </sheetViews>
  <sheetFormatPr defaultRowHeight="15" x14ac:dyDescent="0.25"/>
  <cols>
    <col min="2" max="2" width="30" customWidth="1"/>
    <col min="4" max="4" width="11" customWidth="1"/>
    <col min="5" max="5" width="16" customWidth="1"/>
  </cols>
  <sheetData>
    <row r="1" spans="1:22" ht="20.100000000000001" customHeight="1" x14ac:dyDescent="0.25">
      <c r="A1" s="117" t="s">
        <v>3809</v>
      </c>
      <c r="B1" s="117"/>
      <c r="C1" s="117"/>
      <c r="D1" s="117"/>
      <c r="E1" s="117"/>
      <c r="F1" s="118" t="s">
        <v>3810</v>
      </c>
      <c r="G1" s="118"/>
      <c r="H1" s="118"/>
      <c r="I1" s="119" t="s">
        <v>3857</v>
      </c>
      <c r="J1" s="120"/>
      <c r="K1" s="120"/>
      <c r="L1" s="120"/>
      <c r="M1" s="120"/>
      <c r="N1" s="120"/>
      <c r="O1" s="120"/>
      <c r="P1" s="120"/>
      <c r="Q1" s="102" t="s">
        <v>3811</v>
      </c>
      <c r="R1" s="121" t="s">
        <v>3812</v>
      </c>
      <c r="S1" s="121"/>
      <c r="T1" s="121"/>
      <c r="U1" s="121"/>
      <c r="V1" s="121"/>
    </row>
    <row r="2" spans="1:22" x14ac:dyDescent="0.25">
      <c r="A2" s="5" t="s">
        <v>63</v>
      </c>
      <c r="B2" s="5" t="s">
        <v>1</v>
      </c>
      <c r="C2" s="5" t="s">
        <v>64</v>
      </c>
      <c r="D2" s="5" t="s">
        <v>65</v>
      </c>
      <c r="E2" s="5" t="s">
        <v>66</v>
      </c>
      <c r="F2" s="5" t="s">
        <v>67</v>
      </c>
      <c r="G2" s="5" t="s">
        <v>68</v>
      </c>
      <c r="H2" s="5" t="s">
        <v>69</v>
      </c>
      <c r="I2" s="5" t="s">
        <v>47</v>
      </c>
      <c r="J2" s="5" t="s">
        <v>49</v>
      </c>
      <c r="K2" s="5" t="s">
        <v>51</v>
      </c>
      <c r="L2" s="5" t="s">
        <v>53</v>
      </c>
      <c r="M2" s="5" t="s">
        <v>55</v>
      </c>
      <c r="N2" s="5" t="s">
        <v>57</v>
      </c>
      <c r="O2" s="5" t="s">
        <v>59</v>
      </c>
      <c r="P2" s="5" t="s">
        <v>61</v>
      </c>
      <c r="Q2" s="5" t="s">
        <v>3652</v>
      </c>
      <c r="R2" s="5" t="s">
        <v>70</v>
      </c>
      <c r="S2" s="5" t="s">
        <v>71</v>
      </c>
      <c r="T2" s="5" t="s">
        <v>72</v>
      </c>
      <c r="U2" s="5" t="s">
        <v>1885</v>
      </c>
      <c r="V2" s="5" t="s">
        <v>413</v>
      </c>
    </row>
    <row r="3" spans="1:22" x14ac:dyDescent="0.25">
      <c r="A3">
        <v>0</v>
      </c>
      <c r="B3" t="s">
        <v>5</v>
      </c>
      <c r="C3" t="s">
        <v>73</v>
      </c>
      <c r="D3" s="4">
        <v>45670</v>
      </c>
      <c r="E3" t="s">
        <v>633</v>
      </c>
      <c r="F3" t="s">
        <v>75</v>
      </c>
      <c r="I3" s="6"/>
      <c r="J3" s="6"/>
      <c r="K3" s="6"/>
      <c r="L3" s="6"/>
      <c r="M3" s="6"/>
      <c r="N3" s="6"/>
      <c r="O3" s="6"/>
      <c r="P3" s="6"/>
      <c r="Q3">
        <v>0</v>
      </c>
      <c r="R3">
        <f t="shared" ref="R3:R66" si="0">IF(AND(Q3=1,F3="ai_full"),1,0)</f>
        <v>0</v>
      </c>
      <c r="S3">
        <f t="shared" ref="S3:S66" si="1">IF(AND(Q3=1,F3="conventional"),1,0)</f>
        <v>0</v>
      </c>
      <c r="T3">
        <f t="shared" ref="T3:T66" si="2">SUM(I3:P3)</f>
        <v>0</v>
      </c>
      <c r="U3">
        <f t="shared" ref="U3:U66" si="3">IF(T3&gt;=1,1,0)</f>
        <v>0</v>
      </c>
      <c r="V3">
        <f t="shared" ref="V3:V66" si="4">IF(F3="ai_full",1,0)</f>
        <v>0</v>
      </c>
    </row>
    <row r="4" spans="1:22" x14ac:dyDescent="0.25">
      <c r="A4">
        <v>1</v>
      </c>
      <c r="B4" t="s">
        <v>5</v>
      </c>
      <c r="C4" t="s">
        <v>73</v>
      </c>
      <c r="D4" s="4">
        <v>45670</v>
      </c>
      <c r="E4" t="s">
        <v>74</v>
      </c>
      <c r="F4" t="s">
        <v>75</v>
      </c>
      <c r="I4" s="6">
        <v>0</v>
      </c>
      <c r="J4" s="6">
        <v>0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>
        <v>1</v>
      </c>
      <c r="R4">
        <f t="shared" si="0"/>
        <v>0</v>
      </c>
      <c r="S4">
        <f t="shared" si="1"/>
        <v>1</v>
      </c>
      <c r="T4">
        <f t="shared" si="2"/>
        <v>1</v>
      </c>
      <c r="U4">
        <f t="shared" si="3"/>
        <v>1</v>
      </c>
      <c r="V4">
        <f t="shared" si="4"/>
        <v>0</v>
      </c>
    </row>
    <row r="5" spans="1:22" x14ac:dyDescent="0.25">
      <c r="A5">
        <v>2</v>
      </c>
      <c r="B5" t="s">
        <v>5</v>
      </c>
      <c r="C5" t="s">
        <v>73</v>
      </c>
      <c r="D5" s="4">
        <v>45670</v>
      </c>
      <c r="E5" t="s">
        <v>780</v>
      </c>
      <c r="F5" t="s">
        <v>75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>
        <v>1</v>
      </c>
      <c r="R5">
        <f t="shared" si="0"/>
        <v>0</v>
      </c>
      <c r="S5">
        <f t="shared" si="1"/>
        <v>1</v>
      </c>
      <c r="T5">
        <f t="shared" si="2"/>
        <v>1</v>
      </c>
      <c r="U5">
        <f t="shared" si="3"/>
        <v>1</v>
      </c>
      <c r="V5">
        <f t="shared" si="4"/>
        <v>0</v>
      </c>
    </row>
    <row r="6" spans="1:22" x14ac:dyDescent="0.25">
      <c r="A6">
        <v>3</v>
      </c>
      <c r="B6" t="s">
        <v>5</v>
      </c>
      <c r="C6" t="s">
        <v>73</v>
      </c>
      <c r="D6" s="4">
        <v>45670</v>
      </c>
      <c r="E6" t="s">
        <v>2984</v>
      </c>
      <c r="F6" t="s">
        <v>75</v>
      </c>
      <c r="I6" s="6"/>
      <c r="J6" s="6"/>
      <c r="K6" s="6"/>
      <c r="L6" s="6"/>
      <c r="M6" s="6"/>
      <c r="N6" s="6"/>
      <c r="O6" s="6"/>
      <c r="P6" s="6"/>
      <c r="Q6">
        <v>0</v>
      </c>
      <c r="R6">
        <f t="shared" si="0"/>
        <v>0</v>
      </c>
      <c r="S6">
        <f t="shared" si="1"/>
        <v>0</v>
      </c>
      <c r="T6">
        <f t="shared" si="2"/>
        <v>0</v>
      </c>
      <c r="U6">
        <f t="shared" si="3"/>
        <v>0</v>
      </c>
      <c r="V6">
        <f t="shared" si="4"/>
        <v>0</v>
      </c>
    </row>
    <row r="7" spans="1:22" x14ac:dyDescent="0.25">
      <c r="A7">
        <v>4</v>
      </c>
      <c r="B7" t="s">
        <v>5</v>
      </c>
      <c r="C7" t="s">
        <v>73</v>
      </c>
      <c r="D7" s="4">
        <v>45671</v>
      </c>
      <c r="E7" t="s">
        <v>76</v>
      </c>
      <c r="F7" t="s">
        <v>75</v>
      </c>
      <c r="I7" s="6">
        <v>0</v>
      </c>
      <c r="J7" s="6">
        <v>0</v>
      </c>
      <c r="K7" s="6">
        <v>0</v>
      </c>
      <c r="L7" s="6">
        <v>0</v>
      </c>
      <c r="M7" s="6">
        <v>1</v>
      </c>
      <c r="N7" s="6">
        <v>1</v>
      </c>
      <c r="O7" s="6">
        <v>0</v>
      </c>
      <c r="P7" s="6">
        <v>0</v>
      </c>
      <c r="Q7">
        <v>1</v>
      </c>
      <c r="R7">
        <f t="shared" si="0"/>
        <v>0</v>
      </c>
      <c r="S7">
        <f t="shared" si="1"/>
        <v>1</v>
      </c>
      <c r="T7">
        <f t="shared" si="2"/>
        <v>2</v>
      </c>
      <c r="U7">
        <f t="shared" si="3"/>
        <v>1</v>
      </c>
      <c r="V7">
        <f t="shared" si="4"/>
        <v>0</v>
      </c>
    </row>
    <row r="8" spans="1:22" x14ac:dyDescent="0.25">
      <c r="A8">
        <v>5</v>
      </c>
      <c r="B8" t="s">
        <v>5</v>
      </c>
      <c r="C8" t="s">
        <v>73</v>
      </c>
      <c r="D8" s="4">
        <v>45671</v>
      </c>
      <c r="E8" t="s">
        <v>77</v>
      </c>
      <c r="F8" t="s">
        <v>75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>
        <v>1</v>
      </c>
      <c r="R8">
        <f t="shared" si="0"/>
        <v>0</v>
      </c>
      <c r="S8">
        <f t="shared" si="1"/>
        <v>1</v>
      </c>
      <c r="T8">
        <f t="shared" si="2"/>
        <v>0</v>
      </c>
      <c r="U8">
        <f t="shared" si="3"/>
        <v>0</v>
      </c>
      <c r="V8">
        <f t="shared" si="4"/>
        <v>0</v>
      </c>
    </row>
    <row r="9" spans="1:22" x14ac:dyDescent="0.25">
      <c r="A9">
        <v>6</v>
      </c>
      <c r="B9" t="s">
        <v>5</v>
      </c>
      <c r="C9" t="s">
        <v>73</v>
      </c>
      <c r="D9" s="4">
        <v>45672</v>
      </c>
      <c r="E9" t="s">
        <v>635</v>
      </c>
      <c r="F9" t="s">
        <v>75</v>
      </c>
      <c r="I9" s="6">
        <v>0</v>
      </c>
      <c r="J9" s="6">
        <v>0</v>
      </c>
      <c r="K9" s="6">
        <v>0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>
        <v>1</v>
      </c>
      <c r="R9">
        <f t="shared" si="0"/>
        <v>0</v>
      </c>
      <c r="S9">
        <f t="shared" si="1"/>
        <v>1</v>
      </c>
      <c r="T9">
        <f t="shared" si="2"/>
        <v>1</v>
      </c>
      <c r="U9">
        <f t="shared" si="3"/>
        <v>1</v>
      </c>
      <c r="V9">
        <f t="shared" si="4"/>
        <v>0</v>
      </c>
    </row>
    <row r="10" spans="1:22" x14ac:dyDescent="0.25">
      <c r="A10">
        <v>7</v>
      </c>
      <c r="B10" t="s">
        <v>5</v>
      </c>
      <c r="C10" t="s">
        <v>73</v>
      </c>
      <c r="D10" s="4">
        <v>45672</v>
      </c>
      <c r="E10" t="s">
        <v>636</v>
      </c>
      <c r="F10" t="s">
        <v>75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>
        <v>1</v>
      </c>
      <c r="R10">
        <f t="shared" si="0"/>
        <v>0</v>
      </c>
      <c r="S10">
        <f t="shared" si="1"/>
        <v>1</v>
      </c>
      <c r="T10">
        <f t="shared" si="2"/>
        <v>0</v>
      </c>
      <c r="U10">
        <f t="shared" si="3"/>
        <v>0</v>
      </c>
      <c r="V10">
        <f t="shared" si="4"/>
        <v>0</v>
      </c>
    </row>
    <row r="11" spans="1:22" x14ac:dyDescent="0.25">
      <c r="A11">
        <v>8</v>
      </c>
      <c r="B11" t="s">
        <v>5</v>
      </c>
      <c r="C11" t="s">
        <v>73</v>
      </c>
      <c r="D11" s="4">
        <v>45672</v>
      </c>
      <c r="E11" t="s">
        <v>78</v>
      </c>
      <c r="F11" t="s">
        <v>75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>
        <v>1</v>
      </c>
      <c r="R11">
        <f t="shared" si="0"/>
        <v>0</v>
      </c>
      <c r="S11">
        <f t="shared" si="1"/>
        <v>1</v>
      </c>
      <c r="T11">
        <f t="shared" si="2"/>
        <v>1</v>
      </c>
      <c r="U11">
        <f t="shared" si="3"/>
        <v>1</v>
      </c>
      <c r="V11">
        <f t="shared" si="4"/>
        <v>0</v>
      </c>
    </row>
    <row r="12" spans="1:22" x14ac:dyDescent="0.25">
      <c r="A12">
        <v>9</v>
      </c>
      <c r="B12" t="s">
        <v>5</v>
      </c>
      <c r="C12" t="s">
        <v>73</v>
      </c>
      <c r="D12" s="4">
        <v>45673</v>
      </c>
      <c r="E12" t="s">
        <v>638</v>
      </c>
      <c r="F12" t="s">
        <v>75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>
        <v>1</v>
      </c>
      <c r="R12">
        <f t="shared" si="0"/>
        <v>0</v>
      </c>
      <c r="S12">
        <f t="shared" si="1"/>
        <v>1</v>
      </c>
      <c r="T12">
        <f t="shared" si="2"/>
        <v>1</v>
      </c>
      <c r="U12">
        <f t="shared" si="3"/>
        <v>1</v>
      </c>
      <c r="V12">
        <f t="shared" si="4"/>
        <v>0</v>
      </c>
    </row>
    <row r="13" spans="1:22" x14ac:dyDescent="0.25">
      <c r="A13">
        <v>10</v>
      </c>
      <c r="B13" t="s">
        <v>5</v>
      </c>
      <c r="C13" t="s">
        <v>73</v>
      </c>
      <c r="D13" s="4">
        <v>45673</v>
      </c>
      <c r="E13" t="s">
        <v>639</v>
      </c>
      <c r="F13" t="s">
        <v>75</v>
      </c>
      <c r="I13" s="6"/>
      <c r="J13" s="6"/>
      <c r="K13" s="6"/>
      <c r="L13" s="6"/>
      <c r="M13" s="6"/>
      <c r="N13" s="6"/>
      <c r="O13" s="6"/>
      <c r="P13" s="6"/>
      <c r="Q13">
        <v>0</v>
      </c>
      <c r="R13">
        <f t="shared" si="0"/>
        <v>0</v>
      </c>
      <c r="S13">
        <f t="shared" si="1"/>
        <v>0</v>
      </c>
      <c r="T13">
        <f t="shared" si="2"/>
        <v>0</v>
      </c>
      <c r="U13">
        <f t="shared" si="3"/>
        <v>0</v>
      </c>
      <c r="V13">
        <f t="shared" si="4"/>
        <v>0</v>
      </c>
    </row>
    <row r="14" spans="1:22" x14ac:dyDescent="0.25">
      <c r="A14">
        <v>11</v>
      </c>
      <c r="B14" t="s">
        <v>5</v>
      </c>
      <c r="C14" t="s">
        <v>73</v>
      </c>
      <c r="D14" s="4">
        <v>45673</v>
      </c>
      <c r="E14" t="s">
        <v>640</v>
      </c>
      <c r="F14" t="s">
        <v>75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>
        <v>1</v>
      </c>
      <c r="R14">
        <f t="shared" si="0"/>
        <v>0</v>
      </c>
      <c r="S14">
        <f t="shared" si="1"/>
        <v>1</v>
      </c>
      <c r="T14">
        <f t="shared" si="2"/>
        <v>0</v>
      </c>
      <c r="U14">
        <f t="shared" si="3"/>
        <v>0</v>
      </c>
      <c r="V14">
        <f t="shared" si="4"/>
        <v>0</v>
      </c>
    </row>
    <row r="15" spans="1:22" x14ac:dyDescent="0.25">
      <c r="A15">
        <v>12</v>
      </c>
      <c r="B15" t="s">
        <v>5</v>
      </c>
      <c r="C15" t="s">
        <v>73</v>
      </c>
      <c r="D15" s="4">
        <v>45673</v>
      </c>
      <c r="E15" t="s">
        <v>79</v>
      </c>
      <c r="F15" t="s">
        <v>75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>
        <v>1</v>
      </c>
      <c r="R15">
        <f t="shared" si="0"/>
        <v>0</v>
      </c>
      <c r="S15">
        <f t="shared" si="1"/>
        <v>1</v>
      </c>
      <c r="T15">
        <f t="shared" si="2"/>
        <v>0</v>
      </c>
      <c r="U15">
        <f t="shared" si="3"/>
        <v>0</v>
      </c>
      <c r="V15">
        <f t="shared" si="4"/>
        <v>0</v>
      </c>
    </row>
    <row r="16" spans="1:22" x14ac:dyDescent="0.25">
      <c r="A16">
        <v>13</v>
      </c>
      <c r="B16" t="s">
        <v>5</v>
      </c>
      <c r="C16" t="s">
        <v>73</v>
      </c>
      <c r="D16" s="4">
        <v>45674</v>
      </c>
      <c r="E16" t="s">
        <v>641</v>
      </c>
      <c r="F16" t="s">
        <v>75</v>
      </c>
      <c r="I16" s="6"/>
      <c r="J16" s="6"/>
      <c r="K16" s="6"/>
      <c r="L16" s="6"/>
      <c r="M16" s="6"/>
      <c r="N16" s="6"/>
      <c r="O16" s="6"/>
      <c r="P16" s="6"/>
      <c r="Q16">
        <v>0</v>
      </c>
      <c r="R16">
        <f t="shared" si="0"/>
        <v>0</v>
      </c>
      <c r="S16">
        <f t="shared" si="1"/>
        <v>0</v>
      </c>
      <c r="T16">
        <f t="shared" si="2"/>
        <v>0</v>
      </c>
      <c r="U16">
        <f t="shared" si="3"/>
        <v>0</v>
      </c>
      <c r="V16">
        <f t="shared" si="4"/>
        <v>0</v>
      </c>
    </row>
    <row r="17" spans="1:22" x14ac:dyDescent="0.25">
      <c r="A17">
        <v>14</v>
      </c>
      <c r="B17" t="s">
        <v>5</v>
      </c>
      <c r="C17" t="s">
        <v>73</v>
      </c>
      <c r="D17" s="4">
        <v>45674</v>
      </c>
      <c r="E17" t="s">
        <v>642</v>
      </c>
      <c r="F17" t="s">
        <v>75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>
        <v>1</v>
      </c>
      <c r="R17">
        <f t="shared" si="0"/>
        <v>0</v>
      </c>
      <c r="S17">
        <f t="shared" si="1"/>
        <v>1</v>
      </c>
      <c r="T17">
        <f t="shared" si="2"/>
        <v>0</v>
      </c>
      <c r="U17">
        <f t="shared" si="3"/>
        <v>0</v>
      </c>
      <c r="V17">
        <f t="shared" si="4"/>
        <v>0</v>
      </c>
    </row>
    <row r="18" spans="1:22" x14ac:dyDescent="0.25">
      <c r="A18">
        <v>15</v>
      </c>
      <c r="B18" t="s">
        <v>5</v>
      </c>
      <c r="C18" t="s">
        <v>73</v>
      </c>
      <c r="D18" s="4">
        <v>45674</v>
      </c>
      <c r="E18" t="s">
        <v>783</v>
      </c>
      <c r="F18" t="s">
        <v>75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>
        <v>1</v>
      </c>
      <c r="R18">
        <f t="shared" si="0"/>
        <v>0</v>
      </c>
      <c r="S18">
        <f t="shared" si="1"/>
        <v>1</v>
      </c>
      <c r="T18">
        <f t="shared" si="2"/>
        <v>0</v>
      </c>
      <c r="U18">
        <f t="shared" si="3"/>
        <v>0</v>
      </c>
      <c r="V18">
        <f t="shared" si="4"/>
        <v>0</v>
      </c>
    </row>
    <row r="19" spans="1:22" x14ac:dyDescent="0.25">
      <c r="A19">
        <v>16</v>
      </c>
      <c r="B19" t="s">
        <v>5</v>
      </c>
      <c r="C19" t="s">
        <v>73</v>
      </c>
      <c r="D19" s="4">
        <v>45674</v>
      </c>
      <c r="E19" t="s">
        <v>784</v>
      </c>
      <c r="F19" t="s">
        <v>75</v>
      </c>
      <c r="I19" s="6"/>
      <c r="J19" s="6"/>
      <c r="K19" s="6"/>
      <c r="L19" s="6"/>
      <c r="M19" s="6"/>
      <c r="N19" s="6"/>
      <c r="O19" s="6"/>
      <c r="P19" s="6"/>
      <c r="Q19">
        <v>0</v>
      </c>
      <c r="R19">
        <f t="shared" si="0"/>
        <v>0</v>
      </c>
      <c r="S19">
        <f t="shared" si="1"/>
        <v>0</v>
      </c>
      <c r="T19">
        <f t="shared" si="2"/>
        <v>0</v>
      </c>
      <c r="U19">
        <f t="shared" si="3"/>
        <v>0</v>
      </c>
      <c r="V19">
        <f t="shared" si="4"/>
        <v>0</v>
      </c>
    </row>
    <row r="20" spans="1:22" x14ac:dyDescent="0.25">
      <c r="A20">
        <v>17</v>
      </c>
      <c r="B20" t="s">
        <v>5</v>
      </c>
      <c r="C20" t="s">
        <v>73</v>
      </c>
      <c r="D20" s="4">
        <v>45674</v>
      </c>
      <c r="E20" t="s">
        <v>785</v>
      </c>
      <c r="F20" t="s">
        <v>75</v>
      </c>
      <c r="I20" s="6"/>
      <c r="J20" s="6"/>
      <c r="K20" s="6"/>
      <c r="L20" s="6"/>
      <c r="M20" s="6"/>
      <c r="N20" s="6"/>
      <c r="O20" s="6"/>
      <c r="P20" s="6"/>
      <c r="Q20">
        <v>0</v>
      </c>
      <c r="R20">
        <f t="shared" si="0"/>
        <v>0</v>
      </c>
      <c r="S20">
        <f t="shared" si="1"/>
        <v>0</v>
      </c>
      <c r="T20">
        <f t="shared" si="2"/>
        <v>0</v>
      </c>
      <c r="U20">
        <f t="shared" si="3"/>
        <v>0</v>
      </c>
      <c r="V20">
        <f t="shared" si="4"/>
        <v>0</v>
      </c>
    </row>
    <row r="21" spans="1:22" x14ac:dyDescent="0.25">
      <c r="A21">
        <v>18</v>
      </c>
      <c r="B21" t="s">
        <v>5</v>
      </c>
      <c r="C21" t="s">
        <v>73</v>
      </c>
      <c r="D21" s="4">
        <v>45674</v>
      </c>
      <c r="E21" t="s">
        <v>2759</v>
      </c>
      <c r="F21" t="s">
        <v>75</v>
      </c>
      <c r="I21" s="6">
        <v>0</v>
      </c>
      <c r="J21" s="6">
        <v>0</v>
      </c>
      <c r="K21" s="6">
        <v>0</v>
      </c>
      <c r="L21" s="6">
        <v>0</v>
      </c>
      <c r="M21" s="6">
        <v>1</v>
      </c>
      <c r="N21" s="6">
        <v>0</v>
      </c>
      <c r="O21" s="6">
        <v>0</v>
      </c>
      <c r="P21" s="6">
        <v>0</v>
      </c>
      <c r="Q21">
        <v>1</v>
      </c>
      <c r="R21">
        <f t="shared" si="0"/>
        <v>0</v>
      </c>
      <c r="S21">
        <f t="shared" si="1"/>
        <v>1</v>
      </c>
      <c r="T21">
        <f t="shared" si="2"/>
        <v>1</v>
      </c>
      <c r="U21">
        <f t="shared" si="3"/>
        <v>1</v>
      </c>
      <c r="V21">
        <f t="shared" si="4"/>
        <v>0</v>
      </c>
    </row>
    <row r="22" spans="1:22" x14ac:dyDescent="0.25">
      <c r="A22">
        <v>19</v>
      </c>
      <c r="B22" t="s">
        <v>5</v>
      </c>
      <c r="C22" t="s">
        <v>73</v>
      </c>
      <c r="D22" s="4">
        <v>45674</v>
      </c>
      <c r="E22" t="s">
        <v>80</v>
      </c>
      <c r="F22" t="s">
        <v>75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>
        <v>1</v>
      </c>
      <c r="R22">
        <f t="shared" si="0"/>
        <v>0</v>
      </c>
      <c r="S22">
        <f t="shared" si="1"/>
        <v>1</v>
      </c>
      <c r="T22">
        <f t="shared" si="2"/>
        <v>1</v>
      </c>
      <c r="U22">
        <f t="shared" si="3"/>
        <v>1</v>
      </c>
      <c r="V22">
        <f t="shared" si="4"/>
        <v>0</v>
      </c>
    </row>
    <row r="23" spans="1:22" x14ac:dyDescent="0.25">
      <c r="A23">
        <v>20</v>
      </c>
      <c r="B23" t="s">
        <v>5</v>
      </c>
      <c r="C23" t="s">
        <v>73</v>
      </c>
      <c r="D23" s="4">
        <v>45675</v>
      </c>
      <c r="E23" t="s">
        <v>786</v>
      </c>
      <c r="F23" t="s">
        <v>75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>
        <v>1</v>
      </c>
      <c r="R23">
        <f t="shared" si="0"/>
        <v>0</v>
      </c>
      <c r="S23">
        <f t="shared" si="1"/>
        <v>1</v>
      </c>
      <c r="T23">
        <f t="shared" si="2"/>
        <v>0</v>
      </c>
      <c r="U23">
        <f t="shared" si="3"/>
        <v>0</v>
      </c>
      <c r="V23">
        <f t="shared" si="4"/>
        <v>0</v>
      </c>
    </row>
    <row r="24" spans="1:22" x14ac:dyDescent="0.25">
      <c r="A24">
        <v>21</v>
      </c>
      <c r="B24" t="s">
        <v>5</v>
      </c>
      <c r="C24" t="s">
        <v>73</v>
      </c>
      <c r="D24" s="4">
        <v>45675</v>
      </c>
      <c r="E24" t="s">
        <v>81</v>
      </c>
      <c r="F24" t="s">
        <v>75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>
        <v>1</v>
      </c>
      <c r="R24">
        <f t="shared" si="0"/>
        <v>0</v>
      </c>
      <c r="S24">
        <f t="shared" si="1"/>
        <v>1</v>
      </c>
      <c r="T24">
        <f t="shared" si="2"/>
        <v>0</v>
      </c>
      <c r="U24">
        <f t="shared" si="3"/>
        <v>0</v>
      </c>
      <c r="V24">
        <f t="shared" si="4"/>
        <v>0</v>
      </c>
    </row>
    <row r="25" spans="1:22" x14ac:dyDescent="0.25">
      <c r="A25">
        <v>22</v>
      </c>
      <c r="B25" t="s">
        <v>5</v>
      </c>
      <c r="C25" t="s">
        <v>73</v>
      </c>
      <c r="D25" s="4">
        <v>45677</v>
      </c>
      <c r="E25" t="s">
        <v>82</v>
      </c>
      <c r="F25" t="s">
        <v>75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>
        <v>1</v>
      </c>
      <c r="R25">
        <f t="shared" si="0"/>
        <v>0</v>
      </c>
      <c r="S25">
        <f t="shared" si="1"/>
        <v>1</v>
      </c>
      <c r="T25">
        <f t="shared" si="2"/>
        <v>1</v>
      </c>
      <c r="U25">
        <f t="shared" si="3"/>
        <v>1</v>
      </c>
      <c r="V25">
        <f t="shared" si="4"/>
        <v>0</v>
      </c>
    </row>
    <row r="26" spans="1:22" x14ac:dyDescent="0.25">
      <c r="A26">
        <v>23</v>
      </c>
      <c r="B26" t="s">
        <v>5</v>
      </c>
      <c r="C26" t="s">
        <v>73</v>
      </c>
      <c r="D26" s="4">
        <v>45677</v>
      </c>
      <c r="E26" t="s">
        <v>83</v>
      </c>
      <c r="F26" t="s">
        <v>75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1</v>
      </c>
      <c r="O26" s="6">
        <v>0</v>
      </c>
      <c r="P26" s="6">
        <v>0</v>
      </c>
      <c r="Q26">
        <v>1</v>
      </c>
      <c r="R26">
        <f t="shared" si="0"/>
        <v>0</v>
      </c>
      <c r="S26">
        <f t="shared" si="1"/>
        <v>1</v>
      </c>
      <c r="T26">
        <f t="shared" si="2"/>
        <v>2</v>
      </c>
      <c r="U26">
        <f t="shared" si="3"/>
        <v>1</v>
      </c>
      <c r="V26">
        <f t="shared" si="4"/>
        <v>0</v>
      </c>
    </row>
    <row r="27" spans="1:22" x14ac:dyDescent="0.25">
      <c r="A27">
        <v>24</v>
      </c>
      <c r="B27" t="s">
        <v>5</v>
      </c>
      <c r="C27" t="s">
        <v>73</v>
      </c>
      <c r="D27" s="4">
        <v>45677</v>
      </c>
      <c r="E27" t="s">
        <v>2983</v>
      </c>
      <c r="F27" t="s">
        <v>75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>
        <v>1</v>
      </c>
      <c r="R27">
        <f t="shared" si="0"/>
        <v>0</v>
      </c>
      <c r="S27">
        <f t="shared" si="1"/>
        <v>1</v>
      </c>
      <c r="T27">
        <f t="shared" si="2"/>
        <v>0</v>
      </c>
      <c r="U27">
        <f t="shared" si="3"/>
        <v>0</v>
      </c>
      <c r="V27">
        <f t="shared" si="4"/>
        <v>0</v>
      </c>
    </row>
    <row r="28" spans="1:22" x14ac:dyDescent="0.25">
      <c r="A28">
        <v>25</v>
      </c>
      <c r="B28" t="s">
        <v>5</v>
      </c>
      <c r="C28" t="s">
        <v>73</v>
      </c>
      <c r="D28" s="4">
        <v>45678</v>
      </c>
      <c r="E28" t="s">
        <v>645</v>
      </c>
      <c r="F28" t="s">
        <v>75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>
        <v>1</v>
      </c>
      <c r="R28">
        <f t="shared" si="0"/>
        <v>0</v>
      </c>
      <c r="S28">
        <f t="shared" si="1"/>
        <v>1</v>
      </c>
      <c r="T28">
        <f t="shared" si="2"/>
        <v>0</v>
      </c>
      <c r="U28">
        <f t="shared" si="3"/>
        <v>0</v>
      </c>
      <c r="V28">
        <f t="shared" si="4"/>
        <v>0</v>
      </c>
    </row>
    <row r="29" spans="1:22" x14ac:dyDescent="0.25">
      <c r="A29">
        <v>26</v>
      </c>
      <c r="B29" t="s">
        <v>5</v>
      </c>
      <c r="C29" t="s">
        <v>73</v>
      </c>
      <c r="D29" s="4">
        <v>45678</v>
      </c>
      <c r="E29" t="s">
        <v>647</v>
      </c>
      <c r="F29" t="s">
        <v>75</v>
      </c>
      <c r="I29" s="6"/>
      <c r="J29" s="6"/>
      <c r="K29" s="6"/>
      <c r="L29" s="6"/>
      <c r="M29" s="6"/>
      <c r="N29" s="6"/>
      <c r="O29" s="6"/>
      <c r="P29" s="6"/>
      <c r="Q29">
        <v>0</v>
      </c>
      <c r="R29">
        <f t="shared" si="0"/>
        <v>0</v>
      </c>
      <c r="S29">
        <f t="shared" si="1"/>
        <v>0</v>
      </c>
      <c r="T29">
        <f t="shared" si="2"/>
        <v>0</v>
      </c>
      <c r="U29">
        <f t="shared" si="3"/>
        <v>0</v>
      </c>
      <c r="V29">
        <f t="shared" si="4"/>
        <v>0</v>
      </c>
    </row>
    <row r="30" spans="1:22" x14ac:dyDescent="0.25">
      <c r="A30">
        <v>27</v>
      </c>
      <c r="B30" t="s">
        <v>5</v>
      </c>
      <c r="C30" t="s">
        <v>73</v>
      </c>
      <c r="D30" s="4">
        <v>45678</v>
      </c>
      <c r="E30" t="s">
        <v>648</v>
      </c>
      <c r="F30" t="s">
        <v>75</v>
      </c>
      <c r="I30" s="6">
        <v>1</v>
      </c>
      <c r="J30" s="6">
        <v>0</v>
      </c>
      <c r="K30" s="6">
        <v>0</v>
      </c>
      <c r="L30" s="6">
        <v>0</v>
      </c>
      <c r="M30" s="6">
        <v>1</v>
      </c>
      <c r="N30" s="6">
        <v>0</v>
      </c>
      <c r="O30" s="6">
        <v>1</v>
      </c>
      <c r="P30" s="6">
        <v>0</v>
      </c>
      <c r="Q30">
        <v>1</v>
      </c>
      <c r="R30">
        <f t="shared" si="0"/>
        <v>0</v>
      </c>
      <c r="S30">
        <f t="shared" si="1"/>
        <v>1</v>
      </c>
      <c r="T30">
        <f t="shared" si="2"/>
        <v>3</v>
      </c>
      <c r="U30">
        <f t="shared" si="3"/>
        <v>1</v>
      </c>
      <c r="V30">
        <f t="shared" si="4"/>
        <v>0</v>
      </c>
    </row>
    <row r="31" spans="1:22" x14ac:dyDescent="0.25">
      <c r="A31">
        <v>28</v>
      </c>
      <c r="B31" t="s">
        <v>5</v>
      </c>
      <c r="C31" t="s">
        <v>73</v>
      </c>
      <c r="D31" s="4">
        <v>45678</v>
      </c>
      <c r="E31" t="s">
        <v>2982</v>
      </c>
      <c r="F31" t="s">
        <v>75</v>
      </c>
      <c r="I31" s="6"/>
      <c r="J31" s="6"/>
      <c r="K31" s="6"/>
      <c r="L31" s="6"/>
      <c r="M31" s="6"/>
      <c r="N31" s="6"/>
      <c r="O31" s="6"/>
      <c r="P31" s="6"/>
      <c r="Q31">
        <v>0</v>
      </c>
      <c r="R31">
        <f t="shared" si="0"/>
        <v>0</v>
      </c>
      <c r="S31">
        <f t="shared" si="1"/>
        <v>0</v>
      </c>
      <c r="T31">
        <f t="shared" si="2"/>
        <v>0</v>
      </c>
      <c r="U31">
        <f t="shared" si="3"/>
        <v>0</v>
      </c>
      <c r="V31">
        <f t="shared" si="4"/>
        <v>0</v>
      </c>
    </row>
    <row r="32" spans="1:22" x14ac:dyDescent="0.25">
      <c r="A32">
        <v>29</v>
      </c>
      <c r="B32" t="s">
        <v>5</v>
      </c>
      <c r="C32" t="s">
        <v>73</v>
      </c>
      <c r="D32" s="4">
        <v>45678</v>
      </c>
      <c r="E32" t="s">
        <v>84</v>
      </c>
      <c r="F32" t="s">
        <v>75</v>
      </c>
      <c r="I32" s="6">
        <v>1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1</v>
      </c>
      <c r="Q32">
        <v>1</v>
      </c>
      <c r="R32">
        <f t="shared" si="0"/>
        <v>0</v>
      </c>
      <c r="S32">
        <f t="shared" si="1"/>
        <v>1</v>
      </c>
      <c r="T32">
        <f t="shared" si="2"/>
        <v>3</v>
      </c>
      <c r="U32">
        <f t="shared" si="3"/>
        <v>1</v>
      </c>
      <c r="V32">
        <f t="shared" si="4"/>
        <v>0</v>
      </c>
    </row>
    <row r="33" spans="1:22" x14ac:dyDescent="0.25">
      <c r="A33">
        <v>30</v>
      </c>
      <c r="B33" t="s">
        <v>5</v>
      </c>
      <c r="C33" t="s">
        <v>73</v>
      </c>
      <c r="D33" s="4">
        <v>45679</v>
      </c>
      <c r="E33" t="s">
        <v>649</v>
      </c>
      <c r="F33" t="s">
        <v>75</v>
      </c>
      <c r="I33" s="6"/>
      <c r="J33" s="6"/>
      <c r="K33" s="6"/>
      <c r="L33" s="6"/>
      <c r="M33" s="6"/>
      <c r="N33" s="6"/>
      <c r="O33" s="6"/>
      <c r="P33" s="6"/>
      <c r="Q33">
        <v>0</v>
      </c>
      <c r="R33">
        <f t="shared" si="0"/>
        <v>0</v>
      </c>
      <c r="S33">
        <f t="shared" si="1"/>
        <v>0</v>
      </c>
      <c r="T33">
        <f t="shared" si="2"/>
        <v>0</v>
      </c>
      <c r="U33">
        <f t="shared" si="3"/>
        <v>0</v>
      </c>
      <c r="V33">
        <f t="shared" si="4"/>
        <v>0</v>
      </c>
    </row>
    <row r="34" spans="1:22" x14ac:dyDescent="0.25">
      <c r="A34">
        <v>31</v>
      </c>
      <c r="B34" t="s">
        <v>5</v>
      </c>
      <c r="C34" t="s">
        <v>73</v>
      </c>
      <c r="D34" s="4">
        <v>45679</v>
      </c>
      <c r="E34" t="s">
        <v>651</v>
      </c>
      <c r="F34" t="s">
        <v>75</v>
      </c>
      <c r="I34" s="6"/>
      <c r="J34" s="6"/>
      <c r="K34" s="6"/>
      <c r="L34" s="6"/>
      <c r="M34" s="6"/>
      <c r="N34" s="6"/>
      <c r="O34" s="6"/>
      <c r="P34" s="6"/>
      <c r="Q34">
        <v>0</v>
      </c>
      <c r="R34">
        <f t="shared" si="0"/>
        <v>0</v>
      </c>
      <c r="S34">
        <f t="shared" si="1"/>
        <v>0</v>
      </c>
      <c r="T34">
        <f t="shared" si="2"/>
        <v>0</v>
      </c>
      <c r="U34">
        <f t="shared" si="3"/>
        <v>0</v>
      </c>
      <c r="V34">
        <f t="shared" si="4"/>
        <v>0</v>
      </c>
    </row>
    <row r="35" spans="1:22" x14ac:dyDescent="0.25">
      <c r="A35">
        <v>32</v>
      </c>
      <c r="B35" t="s">
        <v>5</v>
      </c>
      <c r="C35" t="s">
        <v>73</v>
      </c>
      <c r="D35" s="4">
        <v>45679</v>
      </c>
      <c r="E35" t="s">
        <v>85</v>
      </c>
      <c r="F35" t="s">
        <v>75</v>
      </c>
      <c r="I35" s="6">
        <v>0</v>
      </c>
      <c r="J35" s="6">
        <v>0</v>
      </c>
      <c r="K35" s="6">
        <v>1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>
        <v>1</v>
      </c>
      <c r="R35">
        <f t="shared" si="0"/>
        <v>0</v>
      </c>
      <c r="S35">
        <f t="shared" si="1"/>
        <v>1</v>
      </c>
      <c r="T35">
        <f t="shared" si="2"/>
        <v>2</v>
      </c>
      <c r="U35">
        <f t="shared" si="3"/>
        <v>1</v>
      </c>
      <c r="V35">
        <f t="shared" si="4"/>
        <v>0</v>
      </c>
    </row>
    <row r="36" spans="1:22" x14ac:dyDescent="0.25">
      <c r="A36">
        <v>33</v>
      </c>
      <c r="B36" t="s">
        <v>5</v>
      </c>
      <c r="C36" t="s">
        <v>73</v>
      </c>
      <c r="D36" s="4">
        <v>45679</v>
      </c>
      <c r="E36" t="s">
        <v>2981</v>
      </c>
      <c r="F36" t="s">
        <v>75</v>
      </c>
      <c r="I36" s="6">
        <v>0</v>
      </c>
      <c r="J36" s="6">
        <v>0</v>
      </c>
      <c r="K36" s="6">
        <v>0</v>
      </c>
      <c r="L36" s="6">
        <v>0</v>
      </c>
      <c r="M36" s="6">
        <v>1</v>
      </c>
      <c r="N36" s="6">
        <v>0</v>
      </c>
      <c r="O36" s="6">
        <v>0</v>
      </c>
      <c r="P36" s="6">
        <v>0</v>
      </c>
      <c r="Q36">
        <v>1</v>
      </c>
      <c r="R36">
        <f t="shared" si="0"/>
        <v>0</v>
      </c>
      <c r="S36">
        <f t="shared" si="1"/>
        <v>1</v>
      </c>
      <c r="T36">
        <f t="shared" si="2"/>
        <v>1</v>
      </c>
      <c r="U36">
        <f t="shared" si="3"/>
        <v>1</v>
      </c>
      <c r="V36">
        <f t="shared" si="4"/>
        <v>0</v>
      </c>
    </row>
    <row r="37" spans="1:22" x14ac:dyDescent="0.25">
      <c r="A37">
        <v>34</v>
      </c>
      <c r="B37" t="s">
        <v>5</v>
      </c>
      <c r="C37" t="s">
        <v>73</v>
      </c>
      <c r="D37" s="4">
        <v>45679</v>
      </c>
      <c r="E37" t="s">
        <v>2980</v>
      </c>
      <c r="F37" t="s">
        <v>75</v>
      </c>
      <c r="I37" s="6"/>
      <c r="J37" s="6"/>
      <c r="K37" s="6"/>
      <c r="L37" s="6"/>
      <c r="M37" s="6"/>
      <c r="N37" s="6"/>
      <c r="O37" s="6"/>
      <c r="P37" s="6"/>
      <c r="Q37">
        <v>0</v>
      </c>
      <c r="R37">
        <f t="shared" si="0"/>
        <v>0</v>
      </c>
      <c r="S37">
        <f t="shared" si="1"/>
        <v>0</v>
      </c>
      <c r="T37">
        <f t="shared" si="2"/>
        <v>0</v>
      </c>
      <c r="U37">
        <f t="shared" si="3"/>
        <v>0</v>
      </c>
      <c r="V37">
        <f t="shared" si="4"/>
        <v>0</v>
      </c>
    </row>
    <row r="38" spans="1:22" x14ac:dyDescent="0.25">
      <c r="A38">
        <v>35</v>
      </c>
      <c r="B38" t="s">
        <v>5</v>
      </c>
      <c r="C38" t="s">
        <v>73</v>
      </c>
      <c r="D38" s="4">
        <v>45680</v>
      </c>
      <c r="E38" t="s">
        <v>86</v>
      </c>
      <c r="F38" t="s">
        <v>75</v>
      </c>
      <c r="I38" s="6">
        <v>0</v>
      </c>
      <c r="J38" s="6">
        <v>0</v>
      </c>
      <c r="K38" s="6">
        <v>1</v>
      </c>
      <c r="L38" s="6">
        <v>0</v>
      </c>
      <c r="M38" s="6">
        <v>1</v>
      </c>
      <c r="N38" s="6">
        <v>0</v>
      </c>
      <c r="O38" s="6">
        <v>0</v>
      </c>
      <c r="P38" s="6">
        <v>0</v>
      </c>
      <c r="Q38">
        <v>1</v>
      </c>
      <c r="R38">
        <f t="shared" si="0"/>
        <v>0</v>
      </c>
      <c r="S38">
        <f t="shared" si="1"/>
        <v>1</v>
      </c>
      <c r="T38">
        <f t="shared" si="2"/>
        <v>2</v>
      </c>
      <c r="U38">
        <f t="shared" si="3"/>
        <v>1</v>
      </c>
      <c r="V38">
        <f t="shared" si="4"/>
        <v>0</v>
      </c>
    </row>
    <row r="39" spans="1:22" x14ac:dyDescent="0.25">
      <c r="A39">
        <v>36</v>
      </c>
      <c r="B39" t="s">
        <v>5</v>
      </c>
      <c r="C39" t="s">
        <v>73</v>
      </c>
      <c r="D39" s="4">
        <v>45680</v>
      </c>
      <c r="E39" t="s">
        <v>653</v>
      </c>
      <c r="F39" t="s">
        <v>75</v>
      </c>
      <c r="I39" s="6">
        <v>1</v>
      </c>
      <c r="J39" s="6">
        <v>0</v>
      </c>
      <c r="K39" s="6">
        <v>0</v>
      </c>
      <c r="L39" s="6">
        <v>1</v>
      </c>
      <c r="M39" s="6">
        <v>1</v>
      </c>
      <c r="N39" s="6">
        <v>1</v>
      </c>
      <c r="O39" s="6">
        <v>1</v>
      </c>
      <c r="P39" s="6">
        <v>0</v>
      </c>
      <c r="Q39">
        <v>1</v>
      </c>
      <c r="R39">
        <f t="shared" si="0"/>
        <v>0</v>
      </c>
      <c r="S39">
        <f t="shared" si="1"/>
        <v>1</v>
      </c>
      <c r="T39">
        <f t="shared" si="2"/>
        <v>5</v>
      </c>
      <c r="U39">
        <f t="shared" si="3"/>
        <v>1</v>
      </c>
      <c r="V39">
        <f t="shared" si="4"/>
        <v>0</v>
      </c>
    </row>
    <row r="40" spans="1:22" x14ac:dyDescent="0.25">
      <c r="A40">
        <v>37</v>
      </c>
      <c r="B40" t="s">
        <v>5</v>
      </c>
      <c r="C40" t="s">
        <v>73</v>
      </c>
      <c r="D40" s="4">
        <v>45680</v>
      </c>
      <c r="E40" t="s">
        <v>2755</v>
      </c>
      <c r="F40" t="s">
        <v>75</v>
      </c>
      <c r="I40" s="6"/>
      <c r="J40" s="6"/>
      <c r="K40" s="6"/>
      <c r="L40" s="6"/>
      <c r="M40" s="6"/>
      <c r="N40" s="6"/>
      <c r="O40" s="6"/>
      <c r="P40" s="6"/>
      <c r="Q40">
        <v>0</v>
      </c>
      <c r="R40">
        <f t="shared" si="0"/>
        <v>0</v>
      </c>
      <c r="S40">
        <f t="shared" si="1"/>
        <v>0</v>
      </c>
      <c r="T40">
        <f t="shared" si="2"/>
        <v>0</v>
      </c>
      <c r="U40">
        <f t="shared" si="3"/>
        <v>0</v>
      </c>
      <c r="V40">
        <f t="shared" si="4"/>
        <v>0</v>
      </c>
    </row>
    <row r="41" spans="1:22" x14ac:dyDescent="0.25">
      <c r="A41">
        <v>38</v>
      </c>
      <c r="B41" t="s">
        <v>5</v>
      </c>
      <c r="C41" t="s">
        <v>73</v>
      </c>
      <c r="D41" s="4">
        <v>45680</v>
      </c>
      <c r="E41" t="s">
        <v>2979</v>
      </c>
      <c r="F41" t="s">
        <v>75</v>
      </c>
      <c r="I41" s="6">
        <v>0</v>
      </c>
      <c r="J41" s="6">
        <v>0</v>
      </c>
      <c r="K41" s="6">
        <v>0</v>
      </c>
      <c r="L41" s="6">
        <v>0</v>
      </c>
      <c r="M41" s="6">
        <v>1</v>
      </c>
      <c r="N41" s="6">
        <v>0</v>
      </c>
      <c r="O41" s="6">
        <v>0</v>
      </c>
      <c r="P41" s="6">
        <v>0</v>
      </c>
      <c r="Q41">
        <v>1</v>
      </c>
      <c r="R41">
        <f t="shared" si="0"/>
        <v>0</v>
      </c>
      <c r="S41">
        <f t="shared" si="1"/>
        <v>1</v>
      </c>
      <c r="T41">
        <f t="shared" si="2"/>
        <v>1</v>
      </c>
      <c r="U41">
        <f t="shared" si="3"/>
        <v>1</v>
      </c>
      <c r="V41">
        <f t="shared" si="4"/>
        <v>0</v>
      </c>
    </row>
    <row r="42" spans="1:22" x14ac:dyDescent="0.25">
      <c r="A42">
        <v>39</v>
      </c>
      <c r="B42" t="s">
        <v>5</v>
      </c>
      <c r="C42" t="s">
        <v>73</v>
      </c>
      <c r="D42" s="4">
        <v>45681</v>
      </c>
      <c r="E42" t="s">
        <v>87</v>
      </c>
      <c r="F42" t="s">
        <v>75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>
        <v>1</v>
      </c>
      <c r="R42">
        <f t="shared" si="0"/>
        <v>0</v>
      </c>
      <c r="S42">
        <f t="shared" si="1"/>
        <v>1</v>
      </c>
      <c r="T42">
        <f t="shared" si="2"/>
        <v>0</v>
      </c>
      <c r="U42">
        <f t="shared" si="3"/>
        <v>0</v>
      </c>
      <c r="V42">
        <f t="shared" si="4"/>
        <v>0</v>
      </c>
    </row>
    <row r="43" spans="1:22" x14ac:dyDescent="0.25">
      <c r="A43">
        <v>40</v>
      </c>
      <c r="B43" t="s">
        <v>5</v>
      </c>
      <c r="C43" t="s">
        <v>73</v>
      </c>
      <c r="D43" s="4">
        <v>45681</v>
      </c>
      <c r="E43" t="s">
        <v>2754</v>
      </c>
      <c r="F43" t="s">
        <v>75</v>
      </c>
      <c r="I43" s="6"/>
      <c r="J43" s="6"/>
      <c r="K43" s="6"/>
      <c r="L43" s="6"/>
      <c r="M43" s="6"/>
      <c r="N43" s="6"/>
      <c r="O43" s="6"/>
      <c r="P43" s="6"/>
      <c r="Q43">
        <v>0</v>
      </c>
      <c r="R43">
        <f t="shared" si="0"/>
        <v>0</v>
      </c>
      <c r="S43">
        <f t="shared" si="1"/>
        <v>0</v>
      </c>
      <c r="T43">
        <f t="shared" si="2"/>
        <v>0</v>
      </c>
      <c r="U43">
        <f t="shared" si="3"/>
        <v>0</v>
      </c>
      <c r="V43">
        <f t="shared" si="4"/>
        <v>0</v>
      </c>
    </row>
    <row r="44" spans="1:22" x14ac:dyDescent="0.25">
      <c r="A44">
        <v>41</v>
      </c>
      <c r="B44" t="s">
        <v>5</v>
      </c>
      <c r="C44" t="s">
        <v>73</v>
      </c>
      <c r="D44" s="4">
        <v>45681</v>
      </c>
      <c r="E44" t="s">
        <v>788</v>
      </c>
      <c r="F44" t="s">
        <v>75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>
        <v>1</v>
      </c>
      <c r="R44">
        <f t="shared" si="0"/>
        <v>0</v>
      </c>
      <c r="S44">
        <f t="shared" si="1"/>
        <v>1</v>
      </c>
      <c r="T44">
        <f t="shared" si="2"/>
        <v>1</v>
      </c>
      <c r="U44">
        <f t="shared" si="3"/>
        <v>1</v>
      </c>
      <c r="V44">
        <f t="shared" si="4"/>
        <v>0</v>
      </c>
    </row>
    <row r="45" spans="1:22" x14ac:dyDescent="0.25">
      <c r="A45">
        <v>42</v>
      </c>
      <c r="B45" t="s">
        <v>5</v>
      </c>
      <c r="C45" t="s">
        <v>73</v>
      </c>
      <c r="D45" s="4">
        <v>45681</v>
      </c>
      <c r="E45" t="s">
        <v>2753</v>
      </c>
      <c r="F45" t="s">
        <v>75</v>
      </c>
      <c r="I45" s="6"/>
      <c r="J45" s="6"/>
      <c r="K45" s="6"/>
      <c r="L45" s="6"/>
      <c r="M45" s="6"/>
      <c r="N45" s="6"/>
      <c r="O45" s="6"/>
      <c r="P45" s="6"/>
      <c r="Q45">
        <v>0</v>
      </c>
      <c r="R45">
        <f t="shared" si="0"/>
        <v>0</v>
      </c>
      <c r="S45">
        <f t="shared" si="1"/>
        <v>0</v>
      </c>
      <c r="T45">
        <f t="shared" si="2"/>
        <v>0</v>
      </c>
      <c r="U45">
        <f t="shared" si="3"/>
        <v>0</v>
      </c>
      <c r="V45">
        <f t="shared" si="4"/>
        <v>0</v>
      </c>
    </row>
    <row r="46" spans="1:22" x14ac:dyDescent="0.25">
      <c r="A46">
        <v>43</v>
      </c>
      <c r="B46" t="s">
        <v>5</v>
      </c>
      <c r="C46" t="s">
        <v>73</v>
      </c>
      <c r="D46" s="4">
        <v>45681</v>
      </c>
      <c r="E46" t="s">
        <v>2978</v>
      </c>
      <c r="F46" t="s">
        <v>75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>
        <v>1</v>
      </c>
      <c r="R46">
        <f t="shared" si="0"/>
        <v>0</v>
      </c>
      <c r="S46">
        <f t="shared" si="1"/>
        <v>1</v>
      </c>
      <c r="T46">
        <f t="shared" si="2"/>
        <v>0</v>
      </c>
      <c r="U46">
        <f t="shared" si="3"/>
        <v>0</v>
      </c>
      <c r="V46">
        <f t="shared" si="4"/>
        <v>0</v>
      </c>
    </row>
    <row r="47" spans="1:22" x14ac:dyDescent="0.25">
      <c r="A47">
        <v>44</v>
      </c>
      <c r="B47" t="s">
        <v>5</v>
      </c>
      <c r="C47" t="s">
        <v>73</v>
      </c>
      <c r="D47" s="4">
        <v>45681</v>
      </c>
      <c r="E47" t="s">
        <v>2977</v>
      </c>
      <c r="F47" t="s">
        <v>75</v>
      </c>
      <c r="I47" s="6"/>
      <c r="J47" s="6"/>
      <c r="K47" s="6"/>
      <c r="L47" s="6"/>
      <c r="M47" s="6"/>
      <c r="N47" s="6"/>
      <c r="O47" s="6"/>
      <c r="P47" s="6"/>
      <c r="Q47">
        <v>0</v>
      </c>
      <c r="R47">
        <f t="shared" si="0"/>
        <v>0</v>
      </c>
      <c r="S47">
        <f t="shared" si="1"/>
        <v>0</v>
      </c>
      <c r="T47">
        <f t="shared" si="2"/>
        <v>0</v>
      </c>
      <c r="U47">
        <f t="shared" si="3"/>
        <v>0</v>
      </c>
      <c r="V47">
        <f t="shared" si="4"/>
        <v>0</v>
      </c>
    </row>
    <row r="48" spans="1:22" x14ac:dyDescent="0.25">
      <c r="A48">
        <v>45</v>
      </c>
      <c r="B48" t="s">
        <v>5</v>
      </c>
      <c r="C48" t="s">
        <v>73</v>
      </c>
      <c r="D48" s="4">
        <v>45683</v>
      </c>
      <c r="E48" t="s">
        <v>658</v>
      </c>
      <c r="F48" t="s">
        <v>75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>
        <v>1</v>
      </c>
      <c r="R48">
        <f t="shared" si="0"/>
        <v>0</v>
      </c>
      <c r="S48">
        <f t="shared" si="1"/>
        <v>1</v>
      </c>
      <c r="T48">
        <f t="shared" si="2"/>
        <v>1</v>
      </c>
      <c r="U48">
        <f t="shared" si="3"/>
        <v>1</v>
      </c>
      <c r="V48">
        <f t="shared" si="4"/>
        <v>0</v>
      </c>
    </row>
    <row r="49" spans="1:22" x14ac:dyDescent="0.25">
      <c r="A49">
        <v>46</v>
      </c>
      <c r="B49" t="s">
        <v>5</v>
      </c>
      <c r="C49" t="s">
        <v>73</v>
      </c>
      <c r="D49" s="4">
        <v>45683</v>
      </c>
      <c r="E49" t="s">
        <v>88</v>
      </c>
      <c r="F49" t="s">
        <v>75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0</v>
      </c>
      <c r="O49" s="6">
        <v>1</v>
      </c>
      <c r="P49" s="6">
        <v>0</v>
      </c>
      <c r="Q49">
        <v>1</v>
      </c>
      <c r="R49">
        <f t="shared" si="0"/>
        <v>0</v>
      </c>
      <c r="S49">
        <f t="shared" si="1"/>
        <v>1</v>
      </c>
      <c r="T49">
        <f t="shared" si="2"/>
        <v>2</v>
      </c>
      <c r="U49">
        <f t="shared" si="3"/>
        <v>1</v>
      </c>
      <c r="V49">
        <f t="shared" si="4"/>
        <v>0</v>
      </c>
    </row>
    <row r="50" spans="1:22" x14ac:dyDescent="0.25">
      <c r="A50">
        <v>47</v>
      </c>
      <c r="B50" t="s">
        <v>5</v>
      </c>
      <c r="C50" t="s">
        <v>73</v>
      </c>
      <c r="D50" s="4">
        <v>45683</v>
      </c>
      <c r="E50" t="s">
        <v>89</v>
      </c>
      <c r="F50" t="s">
        <v>75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>
        <v>1</v>
      </c>
      <c r="R50">
        <f t="shared" si="0"/>
        <v>0</v>
      </c>
      <c r="S50">
        <f t="shared" si="1"/>
        <v>1</v>
      </c>
      <c r="T50">
        <f t="shared" si="2"/>
        <v>1</v>
      </c>
      <c r="U50">
        <f t="shared" si="3"/>
        <v>1</v>
      </c>
      <c r="V50">
        <f t="shared" si="4"/>
        <v>0</v>
      </c>
    </row>
    <row r="51" spans="1:22" x14ac:dyDescent="0.25">
      <c r="A51">
        <v>48</v>
      </c>
      <c r="B51" t="s">
        <v>5</v>
      </c>
      <c r="C51" t="s">
        <v>73</v>
      </c>
      <c r="D51" s="4">
        <v>45684</v>
      </c>
      <c r="E51" t="s">
        <v>1883</v>
      </c>
      <c r="F51" t="s">
        <v>75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>
        <v>1</v>
      </c>
      <c r="R51">
        <f t="shared" si="0"/>
        <v>0</v>
      </c>
      <c r="S51">
        <f t="shared" si="1"/>
        <v>1</v>
      </c>
      <c r="T51">
        <f t="shared" si="2"/>
        <v>1</v>
      </c>
      <c r="U51">
        <f t="shared" si="3"/>
        <v>1</v>
      </c>
      <c r="V51">
        <f t="shared" si="4"/>
        <v>0</v>
      </c>
    </row>
    <row r="52" spans="1:22" x14ac:dyDescent="0.25">
      <c r="A52">
        <v>49</v>
      </c>
      <c r="B52" t="s">
        <v>5</v>
      </c>
      <c r="C52" t="s">
        <v>73</v>
      </c>
      <c r="D52" s="4">
        <v>45685</v>
      </c>
      <c r="E52" t="s">
        <v>90</v>
      </c>
      <c r="F52" t="s">
        <v>75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>
        <v>1</v>
      </c>
      <c r="R52">
        <f t="shared" si="0"/>
        <v>0</v>
      </c>
      <c r="S52">
        <f t="shared" si="1"/>
        <v>1</v>
      </c>
      <c r="T52">
        <f t="shared" si="2"/>
        <v>1</v>
      </c>
      <c r="U52">
        <f t="shared" si="3"/>
        <v>1</v>
      </c>
      <c r="V52">
        <f t="shared" si="4"/>
        <v>0</v>
      </c>
    </row>
    <row r="53" spans="1:22" x14ac:dyDescent="0.25">
      <c r="A53">
        <v>50</v>
      </c>
      <c r="B53" t="s">
        <v>5</v>
      </c>
      <c r="C53" t="s">
        <v>73</v>
      </c>
      <c r="D53" s="4">
        <v>45685</v>
      </c>
      <c r="E53" t="s">
        <v>91</v>
      </c>
      <c r="F53" t="s">
        <v>75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>
        <v>1</v>
      </c>
      <c r="R53">
        <f t="shared" si="0"/>
        <v>0</v>
      </c>
      <c r="S53">
        <f t="shared" si="1"/>
        <v>1</v>
      </c>
      <c r="T53">
        <f t="shared" si="2"/>
        <v>1</v>
      </c>
      <c r="U53">
        <f t="shared" si="3"/>
        <v>1</v>
      </c>
      <c r="V53">
        <f t="shared" si="4"/>
        <v>0</v>
      </c>
    </row>
    <row r="54" spans="1:22" x14ac:dyDescent="0.25">
      <c r="A54">
        <v>51</v>
      </c>
      <c r="B54" t="s">
        <v>5</v>
      </c>
      <c r="C54" t="s">
        <v>73</v>
      </c>
      <c r="D54" s="4">
        <v>45685</v>
      </c>
      <c r="E54" t="s">
        <v>2976</v>
      </c>
      <c r="F54" t="s">
        <v>75</v>
      </c>
      <c r="I54" s="6"/>
      <c r="J54" s="6"/>
      <c r="K54" s="6"/>
      <c r="L54" s="6"/>
      <c r="M54" s="6"/>
      <c r="N54" s="6"/>
      <c r="O54" s="6"/>
      <c r="P54" s="6"/>
      <c r="Q54">
        <v>0</v>
      </c>
      <c r="R54">
        <f t="shared" si="0"/>
        <v>0</v>
      </c>
      <c r="S54">
        <f t="shared" si="1"/>
        <v>0</v>
      </c>
      <c r="T54">
        <f t="shared" si="2"/>
        <v>0</v>
      </c>
      <c r="U54">
        <f t="shared" si="3"/>
        <v>0</v>
      </c>
      <c r="V54">
        <f t="shared" si="4"/>
        <v>0</v>
      </c>
    </row>
    <row r="55" spans="1:22" x14ac:dyDescent="0.25">
      <c r="A55">
        <v>52</v>
      </c>
      <c r="B55" t="s">
        <v>5</v>
      </c>
      <c r="C55" t="s">
        <v>73</v>
      </c>
      <c r="D55" s="4">
        <v>45685</v>
      </c>
      <c r="E55" t="s">
        <v>2975</v>
      </c>
      <c r="F55" t="s">
        <v>75</v>
      </c>
      <c r="I55" s="6"/>
      <c r="J55" s="6"/>
      <c r="K55" s="6"/>
      <c r="L55" s="6"/>
      <c r="M55" s="6"/>
      <c r="N55" s="6"/>
      <c r="O55" s="6"/>
      <c r="P55" s="6"/>
      <c r="Q55">
        <v>0</v>
      </c>
      <c r="R55">
        <f t="shared" si="0"/>
        <v>0</v>
      </c>
      <c r="S55">
        <f t="shared" si="1"/>
        <v>0</v>
      </c>
      <c r="T55">
        <f t="shared" si="2"/>
        <v>0</v>
      </c>
      <c r="U55">
        <f t="shared" si="3"/>
        <v>0</v>
      </c>
      <c r="V55">
        <f t="shared" si="4"/>
        <v>0</v>
      </c>
    </row>
    <row r="56" spans="1:22" x14ac:dyDescent="0.25">
      <c r="A56">
        <v>53</v>
      </c>
      <c r="B56" t="s">
        <v>5</v>
      </c>
      <c r="C56" t="s">
        <v>73</v>
      </c>
      <c r="D56" s="4">
        <v>45685</v>
      </c>
      <c r="E56" t="s">
        <v>92</v>
      </c>
      <c r="F56" t="s">
        <v>75</v>
      </c>
      <c r="I56" s="6">
        <v>0</v>
      </c>
      <c r="J56" s="6">
        <v>0</v>
      </c>
      <c r="K56" s="6">
        <v>0</v>
      </c>
      <c r="L56" s="6">
        <v>0</v>
      </c>
      <c r="M56" s="6">
        <v>1</v>
      </c>
      <c r="N56" s="6">
        <v>0</v>
      </c>
      <c r="O56" s="6">
        <v>0</v>
      </c>
      <c r="P56" s="6">
        <v>0</v>
      </c>
      <c r="Q56">
        <v>1</v>
      </c>
      <c r="R56">
        <f t="shared" si="0"/>
        <v>0</v>
      </c>
      <c r="S56">
        <f t="shared" si="1"/>
        <v>1</v>
      </c>
      <c r="T56">
        <f t="shared" si="2"/>
        <v>1</v>
      </c>
      <c r="U56">
        <f t="shared" si="3"/>
        <v>1</v>
      </c>
      <c r="V56">
        <f t="shared" si="4"/>
        <v>0</v>
      </c>
    </row>
    <row r="57" spans="1:22" x14ac:dyDescent="0.25">
      <c r="A57">
        <v>54</v>
      </c>
      <c r="B57" t="s">
        <v>5</v>
      </c>
      <c r="C57" t="s">
        <v>73</v>
      </c>
      <c r="D57" s="4">
        <v>45685</v>
      </c>
      <c r="E57" t="s">
        <v>93</v>
      </c>
      <c r="F57" t="s">
        <v>75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>
        <v>1</v>
      </c>
      <c r="R57">
        <f t="shared" si="0"/>
        <v>0</v>
      </c>
      <c r="S57">
        <f t="shared" si="1"/>
        <v>1</v>
      </c>
      <c r="T57">
        <f t="shared" si="2"/>
        <v>1</v>
      </c>
      <c r="U57">
        <f t="shared" si="3"/>
        <v>1</v>
      </c>
      <c r="V57">
        <f t="shared" si="4"/>
        <v>0</v>
      </c>
    </row>
    <row r="58" spans="1:22" x14ac:dyDescent="0.25">
      <c r="A58">
        <v>55</v>
      </c>
      <c r="B58" t="s">
        <v>5</v>
      </c>
      <c r="C58" t="s">
        <v>73</v>
      </c>
      <c r="D58" s="4">
        <v>45686</v>
      </c>
      <c r="E58" t="s">
        <v>792</v>
      </c>
      <c r="F58" t="s">
        <v>75</v>
      </c>
      <c r="I58" s="6"/>
      <c r="J58" s="6"/>
      <c r="K58" s="6"/>
      <c r="L58" s="6"/>
      <c r="M58" s="6"/>
      <c r="N58" s="6"/>
      <c r="O58" s="6"/>
      <c r="P58" s="6"/>
      <c r="Q58">
        <v>0</v>
      </c>
      <c r="R58">
        <f t="shared" si="0"/>
        <v>0</v>
      </c>
      <c r="S58">
        <f t="shared" si="1"/>
        <v>0</v>
      </c>
      <c r="T58">
        <f t="shared" si="2"/>
        <v>0</v>
      </c>
      <c r="U58">
        <f t="shared" si="3"/>
        <v>0</v>
      </c>
      <c r="V58">
        <f t="shared" si="4"/>
        <v>0</v>
      </c>
    </row>
    <row r="59" spans="1:22" x14ac:dyDescent="0.25">
      <c r="A59">
        <v>56</v>
      </c>
      <c r="B59" t="s">
        <v>5</v>
      </c>
      <c r="C59" t="s">
        <v>73</v>
      </c>
      <c r="D59" s="4">
        <v>45686</v>
      </c>
      <c r="E59" t="s">
        <v>793</v>
      </c>
      <c r="F59" t="s">
        <v>75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1</v>
      </c>
      <c r="O59" s="6">
        <v>0</v>
      </c>
      <c r="P59" s="6">
        <v>0</v>
      </c>
      <c r="Q59">
        <v>1</v>
      </c>
      <c r="R59">
        <f t="shared" si="0"/>
        <v>0</v>
      </c>
      <c r="S59">
        <f t="shared" si="1"/>
        <v>1</v>
      </c>
      <c r="T59">
        <f t="shared" si="2"/>
        <v>2</v>
      </c>
      <c r="U59">
        <f t="shared" si="3"/>
        <v>1</v>
      </c>
      <c r="V59">
        <f t="shared" si="4"/>
        <v>0</v>
      </c>
    </row>
    <row r="60" spans="1:22" x14ac:dyDescent="0.25">
      <c r="A60">
        <v>57</v>
      </c>
      <c r="B60" t="s">
        <v>5</v>
      </c>
      <c r="C60" t="s">
        <v>73</v>
      </c>
      <c r="D60" s="4">
        <v>45686</v>
      </c>
      <c r="E60" t="s">
        <v>94</v>
      </c>
      <c r="F60" t="s">
        <v>75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0</v>
      </c>
      <c r="Q60">
        <v>1</v>
      </c>
      <c r="R60">
        <f t="shared" si="0"/>
        <v>0</v>
      </c>
      <c r="S60">
        <f t="shared" si="1"/>
        <v>1</v>
      </c>
      <c r="T60">
        <f t="shared" si="2"/>
        <v>1</v>
      </c>
      <c r="U60">
        <f t="shared" si="3"/>
        <v>1</v>
      </c>
      <c r="V60">
        <f t="shared" si="4"/>
        <v>0</v>
      </c>
    </row>
    <row r="61" spans="1:22" x14ac:dyDescent="0.25">
      <c r="A61">
        <v>58</v>
      </c>
      <c r="B61" t="s">
        <v>5</v>
      </c>
      <c r="C61" t="s">
        <v>73</v>
      </c>
      <c r="D61" s="4">
        <v>45686</v>
      </c>
      <c r="E61" t="s">
        <v>95</v>
      </c>
      <c r="F61" t="s">
        <v>75</v>
      </c>
      <c r="I61" s="6">
        <v>0</v>
      </c>
      <c r="J61" s="6">
        <v>0</v>
      </c>
      <c r="K61" s="6">
        <v>0</v>
      </c>
      <c r="L61" s="6">
        <v>0</v>
      </c>
      <c r="M61" s="6">
        <v>1</v>
      </c>
      <c r="N61" s="6">
        <v>0</v>
      </c>
      <c r="O61" s="6">
        <v>1</v>
      </c>
      <c r="P61" s="6">
        <v>0</v>
      </c>
      <c r="Q61">
        <v>1</v>
      </c>
      <c r="R61">
        <f t="shared" si="0"/>
        <v>0</v>
      </c>
      <c r="S61">
        <f t="shared" si="1"/>
        <v>1</v>
      </c>
      <c r="T61">
        <f t="shared" si="2"/>
        <v>2</v>
      </c>
      <c r="U61">
        <f t="shared" si="3"/>
        <v>1</v>
      </c>
      <c r="V61">
        <f t="shared" si="4"/>
        <v>0</v>
      </c>
    </row>
    <row r="62" spans="1:22" x14ac:dyDescent="0.25">
      <c r="A62">
        <v>59</v>
      </c>
      <c r="B62" t="s">
        <v>5</v>
      </c>
      <c r="C62" t="s">
        <v>73</v>
      </c>
      <c r="D62" s="4">
        <v>45686</v>
      </c>
      <c r="E62" t="s">
        <v>794</v>
      </c>
      <c r="F62" t="s">
        <v>75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>
        <v>1</v>
      </c>
      <c r="R62">
        <f t="shared" si="0"/>
        <v>0</v>
      </c>
      <c r="S62">
        <f t="shared" si="1"/>
        <v>1</v>
      </c>
      <c r="T62">
        <f t="shared" si="2"/>
        <v>1</v>
      </c>
      <c r="U62">
        <f t="shared" si="3"/>
        <v>1</v>
      </c>
      <c r="V62">
        <f t="shared" si="4"/>
        <v>0</v>
      </c>
    </row>
    <row r="63" spans="1:22" x14ac:dyDescent="0.25">
      <c r="A63">
        <v>60</v>
      </c>
      <c r="B63" t="s">
        <v>5</v>
      </c>
      <c r="C63" t="s">
        <v>73</v>
      </c>
      <c r="D63" s="4">
        <v>45686</v>
      </c>
      <c r="E63" t="s">
        <v>96</v>
      </c>
      <c r="F63" t="s">
        <v>75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>
        <v>1</v>
      </c>
      <c r="R63">
        <f t="shared" si="0"/>
        <v>0</v>
      </c>
      <c r="S63">
        <f t="shared" si="1"/>
        <v>1</v>
      </c>
      <c r="T63">
        <f t="shared" si="2"/>
        <v>1</v>
      </c>
      <c r="U63">
        <f t="shared" si="3"/>
        <v>1</v>
      </c>
      <c r="V63">
        <f t="shared" si="4"/>
        <v>0</v>
      </c>
    </row>
    <row r="64" spans="1:22" x14ac:dyDescent="0.25">
      <c r="A64">
        <v>61</v>
      </c>
      <c r="B64" t="s">
        <v>5</v>
      </c>
      <c r="C64" t="s">
        <v>73</v>
      </c>
      <c r="D64" s="4">
        <v>45686</v>
      </c>
      <c r="E64" t="s">
        <v>2974</v>
      </c>
      <c r="F64" t="s">
        <v>75</v>
      </c>
      <c r="I64" s="6">
        <v>0</v>
      </c>
      <c r="J64" s="6">
        <v>0</v>
      </c>
      <c r="K64" s="6">
        <v>0</v>
      </c>
      <c r="L64" s="6">
        <v>1</v>
      </c>
      <c r="M64" s="6">
        <v>1</v>
      </c>
      <c r="N64" s="6">
        <v>0</v>
      </c>
      <c r="O64" s="6">
        <v>0</v>
      </c>
      <c r="P64" s="6">
        <v>0</v>
      </c>
      <c r="Q64">
        <v>1</v>
      </c>
      <c r="R64">
        <f t="shared" si="0"/>
        <v>0</v>
      </c>
      <c r="S64">
        <f t="shared" si="1"/>
        <v>1</v>
      </c>
      <c r="T64">
        <f t="shared" si="2"/>
        <v>2</v>
      </c>
      <c r="U64">
        <f t="shared" si="3"/>
        <v>1</v>
      </c>
      <c r="V64">
        <f t="shared" si="4"/>
        <v>0</v>
      </c>
    </row>
    <row r="65" spans="1:22" x14ac:dyDescent="0.25">
      <c r="A65">
        <v>62</v>
      </c>
      <c r="B65" t="s">
        <v>5</v>
      </c>
      <c r="C65" t="s">
        <v>73</v>
      </c>
      <c r="D65" s="4">
        <v>45686</v>
      </c>
      <c r="E65" t="s">
        <v>2973</v>
      </c>
      <c r="F65" t="s">
        <v>75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>
        <v>1</v>
      </c>
      <c r="R65">
        <f t="shared" si="0"/>
        <v>0</v>
      </c>
      <c r="S65">
        <f t="shared" si="1"/>
        <v>1</v>
      </c>
      <c r="T65">
        <f t="shared" si="2"/>
        <v>1</v>
      </c>
      <c r="U65">
        <f t="shared" si="3"/>
        <v>1</v>
      </c>
      <c r="V65">
        <f t="shared" si="4"/>
        <v>0</v>
      </c>
    </row>
    <row r="66" spans="1:22" x14ac:dyDescent="0.25">
      <c r="A66">
        <v>63</v>
      </c>
      <c r="B66" t="s">
        <v>5</v>
      </c>
      <c r="C66" t="s">
        <v>73</v>
      </c>
      <c r="D66" s="4">
        <v>45687</v>
      </c>
      <c r="E66" t="s">
        <v>2751</v>
      </c>
      <c r="F66" t="s">
        <v>75</v>
      </c>
      <c r="I66" s="6">
        <v>1</v>
      </c>
      <c r="J66" s="6">
        <v>0</v>
      </c>
      <c r="K66" s="6">
        <v>1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>
        <v>1</v>
      </c>
      <c r="R66">
        <f t="shared" si="0"/>
        <v>0</v>
      </c>
      <c r="S66">
        <f t="shared" si="1"/>
        <v>1</v>
      </c>
      <c r="T66">
        <f t="shared" si="2"/>
        <v>3</v>
      </c>
      <c r="U66">
        <f t="shared" si="3"/>
        <v>1</v>
      </c>
      <c r="V66">
        <f t="shared" si="4"/>
        <v>0</v>
      </c>
    </row>
    <row r="67" spans="1:22" x14ac:dyDescent="0.25">
      <c r="A67">
        <v>64</v>
      </c>
      <c r="B67" t="s">
        <v>5</v>
      </c>
      <c r="C67" t="s">
        <v>73</v>
      </c>
      <c r="D67" s="4">
        <v>45687</v>
      </c>
      <c r="E67" t="s">
        <v>795</v>
      </c>
      <c r="F67" t="s">
        <v>75</v>
      </c>
      <c r="I67" s="6">
        <v>0</v>
      </c>
      <c r="J67" s="6">
        <v>0</v>
      </c>
      <c r="K67" s="6">
        <v>0</v>
      </c>
      <c r="L67" s="6">
        <v>0</v>
      </c>
      <c r="M67" s="6">
        <v>1</v>
      </c>
      <c r="N67" s="6">
        <v>0</v>
      </c>
      <c r="O67" s="6">
        <v>0</v>
      </c>
      <c r="P67" s="6">
        <v>0</v>
      </c>
      <c r="Q67">
        <v>1</v>
      </c>
      <c r="R67">
        <f t="shared" ref="R67:R130" si="5">IF(AND(Q67=1,F67="ai_full"),1,0)</f>
        <v>0</v>
      </c>
      <c r="S67">
        <f t="shared" ref="S67:S130" si="6">IF(AND(Q67=1,F67="conventional"),1,0)</f>
        <v>1</v>
      </c>
      <c r="T67">
        <f t="shared" ref="T67:T130" si="7">SUM(I67:P67)</f>
        <v>1</v>
      </c>
      <c r="U67">
        <f t="shared" ref="U67:U130" si="8">IF(T67&gt;=1,1,0)</f>
        <v>1</v>
      </c>
      <c r="V67">
        <f t="shared" ref="V67:V130" si="9">IF(F67="ai_full",1,0)</f>
        <v>0</v>
      </c>
    </row>
    <row r="68" spans="1:22" x14ac:dyDescent="0.25">
      <c r="A68">
        <v>65</v>
      </c>
      <c r="B68" t="s">
        <v>5</v>
      </c>
      <c r="C68" t="s">
        <v>73</v>
      </c>
      <c r="D68" s="4">
        <v>45687</v>
      </c>
      <c r="E68" t="s">
        <v>97</v>
      </c>
      <c r="F68" t="s">
        <v>75</v>
      </c>
      <c r="I68" s="6">
        <v>0</v>
      </c>
      <c r="J68" s="6">
        <v>0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>
        <v>1</v>
      </c>
      <c r="R68">
        <f t="shared" si="5"/>
        <v>0</v>
      </c>
      <c r="S68">
        <f t="shared" si="6"/>
        <v>1</v>
      </c>
      <c r="T68">
        <f t="shared" si="7"/>
        <v>1</v>
      </c>
      <c r="U68">
        <f t="shared" si="8"/>
        <v>1</v>
      </c>
      <c r="V68">
        <f t="shared" si="9"/>
        <v>0</v>
      </c>
    </row>
    <row r="69" spans="1:22" x14ac:dyDescent="0.25">
      <c r="A69">
        <v>66</v>
      </c>
      <c r="B69" t="s">
        <v>5</v>
      </c>
      <c r="C69" t="s">
        <v>73</v>
      </c>
      <c r="D69" s="4">
        <v>45687</v>
      </c>
      <c r="E69" t="s">
        <v>98</v>
      </c>
      <c r="F69" t="s">
        <v>75</v>
      </c>
      <c r="I69" s="6">
        <v>0</v>
      </c>
      <c r="J69" s="6">
        <v>0</v>
      </c>
      <c r="K69" s="6">
        <v>0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>
        <v>1</v>
      </c>
      <c r="R69">
        <f t="shared" si="5"/>
        <v>0</v>
      </c>
      <c r="S69">
        <f t="shared" si="6"/>
        <v>1</v>
      </c>
      <c r="T69">
        <f t="shared" si="7"/>
        <v>1</v>
      </c>
      <c r="U69">
        <f t="shared" si="8"/>
        <v>1</v>
      </c>
      <c r="V69">
        <f t="shared" si="9"/>
        <v>0</v>
      </c>
    </row>
    <row r="70" spans="1:22" x14ac:dyDescent="0.25">
      <c r="A70">
        <v>67</v>
      </c>
      <c r="B70" t="s">
        <v>5</v>
      </c>
      <c r="C70" t="s">
        <v>73</v>
      </c>
      <c r="D70" s="4">
        <v>45688</v>
      </c>
      <c r="E70" t="s">
        <v>99</v>
      </c>
      <c r="F70" t="s">
        <v>75</v>
      </c>
      <c r="I70" s="6">
        <v>1</v>
      </c>
      <c r="J70" s="6">
        <v>0</v>
      </c>
      <c r="K70" s="6">
        <v>0</v>
      </c>
      <c r="L70" s="6">
        <v>0</v>
      </c>
      <c r="M70" s="6">
        <v>1</v>
      </c>
      <c r="N70" s="6">
        <v>0</v>
      </c>
      <c r="O70" s="6">
        <v>0</v>
      </c>
      <c r="P70" s="6">
        <v>0</v>
      </c>
      <c r="Q70">
        <v>1</v>
      </c>
      <c r="R70">
        <f t="shared" si="5"/>
        <v>0</v>
      </c>
      <c r="S70">
        <f t="shared" si="6"/>
        <v>1</v>
      </c>
      <c r="T70">
        <f t="shared" si="7"/>
        <v>2</v>
      </c>
      <c r="U70">
        <f t="shared" si="8"/>
        <v>1</v>
      </c>
      <c r="V70">
        <f t="shared" si="9"/>
        <v>0</v>
      </c>
    </row>
    <row r="71" spans="1:22" x14ac:dyDescent="0.25">
      <c r="A71">
        <v>68</v>
      </c>
      <c r="B71" t="s">
        <v>5</v>
      </c>
      <c r="C71" t="s">
        <v>73</v>
      </c>
      <c r="D71" s="4">
        <v>45688</v>
      </c>
      <c r="E71" t="s">
        <v>797</v>
      </c>
      <c r="F71" t="s">
        <v>75</v>
      </c>
      <c r="I71" s="6"/>
      <c r="J71" s="6"/>
      <c r="K71" s="6"/>
      <c r="L71" s="6"/>
      <c r="M71" s="6"/>
      <c r="N71" s="6"/>
      <c r="O71" s="6"/>
      <c r="P71" s="6"/>
      <c r="Q71">
        <v>0</v>
      </c>
      <c r="R71">
        <f t="shared" si="5"/>
        <v>0</v>
      </c>
      <c r="S71">
        <f t="shared" si="6"/>
        <v>0</v>
      </c>
      <c r="T71">
        <f t="shared" si="7"/>
        <v>0</v>
      </c>
      <c r="U71">
        <f t="shared" si="8"/>
        <v>0</v>
      </c>
      <c r="V71">
        <f t="shared" si="9"/>
        <v>0</v>
      </c>
    </row>
    <row r="72" spans="1:22" x14ac:dyDescent="0.25">
      <c r="A72">
        <v>69</v>
      </c>
      <c r="B72" t="s">
        <v>5</v>
      </c>
      <c r="C72" t="s">
        <v>73</v>
      </c>
      <c r="D72" s="4">
        <v>45688</v>
      </c>
      <c r="E72" t="s">
        <v>798</v>
      </c>
      <c r="F72" t="s">
        <v>75</v>
      </c>
      <c r="I72" s="6"/>
      <c r="J72" s="6"/>
      <c r="K72" s="6"/>
      <c r="L72" s="6"/>
      <c r="M72" s="6"/>
      <c r="N72" s="6"/>
      <c r="O72" s="6"/>
      <c r="P72" s="6"/>
      <c r="Q72">
        <v>0</v>
      </c>
      <c r="R72">
        <f t="shared" si="5"/>
        <v>0</v>
      </c>
      <c r="S72">
        <f t="shared" si="6"/>
        <v>0</v>
      </c>
      <c r="T72">
        <f t="shared" si="7"/>
        <v>0</v>
      </c>
      <c r="U72">
        <f t="shared" si="8"/>
        <v>0</v>
      </c>
      <c r="V72">
        <f t="shared" si="9"/>
        <v>0</v>
      </c>
    </row>
    <row r="73" spans="1:22" x14ac:dyDescent="0.25">
      <c r="A73">
        <v>70</v>
      </c>
      <c r="B73" t="s">
        <v>5</v>
      </c>
      <c r="C73" t="s">
        <v>73</v>
      </c>
      <c r="D73" s="4">
        <v>45688</v>
      </c>
      <c r="E73" t="s">
        <v>2972</v>
      </c>
      <c r="F73" t="s">
        <v>75</v>
      </c>
      <c r="I73" s="6">
        <v>0</v>
      </c>
      <c r="J73" s="6">
        <v>0</v>
      </c>
      <c r="K73" s="6">
        <v>0</v>
      </c>
      <c r="L73" s="6">
        <v>1</v>
      </c>
      <c r="M73" s="6">
        <v>1</v>
      </c>
      <c r="N73" s="6">
        <v>0</v>
      </c>
      <c r="O73" s="6">
        <v>0</v>
      </c>
      <c r="P73" s="6">
        <v>0</v>
      </c>
      <c r="Q73">
        <v>1</v>
      </c>
      <c r="R73">
        <f t="shared" si="5"/>
        <v>0</v>
      </c>
      <c r="S73">
        <f t="shared" si="6"/>
        <v>1</v>
      </c>
      <c r="T73">
        <f t="shared" si="7"/>
        <v>2</v>
      </c>
      <c r="U73">
        <f t="shared" si="8"/>
        <v>1</v>
      </c>
      <c r="V73">
        <f t="shared" si="9"/>
        <v>0</v>
      </c>
    </row>
    <row r="74" spans="1:22" x14ac:dyDescent="0.25">
      <c r="A74">
        <v>71</v>
      </c>
      <c r="B74" t="s">
        <v>5</v>
      </c>
      <c r="C74" t="s">
        <v>73</v>
      </c>
      <c r="D74" s="4">
        <v>45688</v>
      </c>
      <c r="E74" t="s">
        <v>2971</v>
      </c>
      <c r="F74" t="s">
        <v>75</v>
      </c>
      <c r="I74" s="6"/>
      <c r="J74" s="6"/>
      <c r="K74" s="6"/>
      <c r="L74" s="6"/>
      <c r="M74" s="6"/>
      <c r="N74" s="6"/>
      <c r="O74" s="6"/>
      <c r="P74" s="6"/>
      <c r="Q74">
        <v>0</v>
      </c>
      <c r="R74">
        <f t="shared" si="5"/>
        <v>0</v>
      </c>
      <c r="S74">
        <f t="shared" si="6"/>
        <v>0</v>
      </c>
      <c r="T74">
        <f t="shared" si="7"/>
        <v>0</v>
      </c>
      <c r="U74">
        <f t="shared" si="8"/>
        <v>0</v>
      </c>
      <c r="V74">
        <f t="shared" si="9"/>
        <v>0</v>
      </c>
    </row>
    <row r="75" spans="1:22" x14ac:dyDescent="0.25">
      <c r="A75">
        <v>72</v>
      </c>
      <c r="B75" t="s">
        <v>5</v>
      </c>
      <c r="C75" t="s">
        <v>73</v>
      </c>
      <c r="D75" s="4">
        <v>45688</v>
      </c>
      <c r="E75" t="s">
        <v>100</v>
      </c>
      <c r="F75" t="s">
        <v>75</v>
      </c>
      <c r="H75" t="s">
        <v>101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>
        <v>1</v>
      </c>
      <c r="R75">
        <f t="shared" si="5"/>
        <v>0</v>
      </c>
      <c r="S75">
        <f t="shared" si="6"/>
        <v>1</v>
      </c>
      <c r="T75">
        <f t="shared" si="7"/>
        <v>0</v>
      </c>
      <c r="U75">
        <f t="shared" si="8"/>
        <v>0</v>
      </c>
      <c r="V75">
        <f t="shared" si="9"/>
        <v>0</v>
      </c>
    </row>
    <row r="76" spans="1:22" x14ac:dyDescent="0.25">
      <c r="A76">
        <v>73</v>
      </c>
      <c r="B76" t="s">
        <v>5</v>
      </c>
      <c r="C76" t="s">
        <v>73</v>
      </c>
      <c r="D76" s="4">
        <v>45688</v>
      </c>
      <c r="E76" t="s">
        <v>102</v>
      </c>
      <c r="F76" t="s">
        <v>75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>
        <v>1</v>
      </c>
      <c r="R76">
        <f t="shared" si="5"/>
        <v>0</v>
      </c>
      <c r="S76">
        <f t="shared" si="6"/>
        <v>1</v>
      </c>
      <c r="T76">
        <f t="shared" si="7"/>
        <v>1</v>
      </c>
      <c r="U76">
        <f t="shared" si="8"/>
        <v>1</v>
      </c>
      <c r="V76">
        <f t="shared" si="9"/>
        <v>0</v>
      </c>
    </row>
    <row r="77" spans="1:22" x14ac:dyDescent="0.25">
      <c r="A77">
        <v>74</v>
      </c>
      <c r="B77" t="s">
        <v>5</v>
      </c>
      <c r="C77" t="s">
        <v>73</v>
      </c>
      <c r="D77" s="4">
        <v>45688</v>
      </c>
      <c r="E77" t="s">
        <v>2970</v>
      </c>
      <c r="F77" t="s">
        <v>75</v>
      </c>
      <c r="I77" s="6"/>
      <c r="J77" s="6"/>
      <c r="K77" s="6"/>
      <c r="L77" s="6"/>
      <c r="M77" s="6"/>
      <c r="N77" s="6"/>
      <c r="O77" s="6"/>
      <c r="P77" s="6"/>
      <c r="Q77">
        <v>0</v>
      </c>
      <c r="R77">
        <f t="shared" si="5"/>
        <v>0</v>
      </c>
      <c r="S77">
        <f t="shared" si="6"/>
        <v>0</v>
      </c>
      <c r="T77">
        <f t="shared" si="7"/>
        <v>0</v>
      </c>
      <c r="U77">
        <f t="shared" si="8"/>
        <v>0</v>
      </c>
      <c r="V77">
        <f t="shared" si="9"/>
        <v>0</v>
      </c>
    </row>
    <row r="78" spans="1:22" x14ac:dyDescent="0.25">
      <c r="A78">
        <v>75</v>
      </c>
      <c r="B78" t="s">
        <v>5</v>
      </c>
      <c r="C78" t="s">
        <v>73</v>
      </c>
      <c r="D78" s="4">
        <v>45688</v>
      </c>
      <c r="E78" t="s">
        <v>2969</v>
      </c>
      <c r="F78" t="s">
        <v>75</v>
      </c>
      <c r="I78" s="6"/>
      <c r="J78" s="6"/>
      <c r="K78" s="6"/>
      <c r="L78" s="6"/>
      <c r="M78" s="6"/>
      <c r="N78" s="6"/>
      <c r="O78" s="6"/>
      <c r="P78" s="6"/>
      <c r="Q78">
        <v>0</v>
      </c>
      <c r="R78">
        <f t="shared" si="5"/>
        <v>0</v>
      </c>
      <c r="S78">
        <f t="shared" si="6"/>
        <v>0</v>
      </c>
      <c r="T78">
        <f t="shared" si="7"/>
        <v>0</v>
      </c>
      <c r="U78">
        <f t="shared" si="8"/>
        <v>0</v>
      </c>
      <c r="V78">
        <f t="shared" si="9"/>
        <v>0</v>
      </c>
    </row>
    <row r="79" spans="1:22" x14ac:dyDescent="0.25">
      <c r="A79">
        <v>76</v>
      </c>
      <c r="B79" t="s">
        <v>5</v>
      </c>
      <c r="C79" t="s">
        <v>73</v>
      </c>
      <c r="D79" s="4">
        <v>45689</v>
      </c>
      <c r="E79" t="s">
        <v>1882</v>
      </c>
      <c r="F79" t="s">
        <v>75</v>
      </c>
      <c r="I79" s="6">
        <v>0</v>
      </c>
      <c r="J79" s="6">
        <v>0</v>
      </c>
      <c r="K79" s="6">
        <v>0</v>
      </c>
      <c r="L79" s="6">
        <v>1</v>
      </c>
      <c r="M79" s="6">
        <v>0</v>
      </c>
      <c r="N79" s="6">
        <v>1</v>
      </c>
      <c r="O79" s="6">
        <v>0</v>
      </c>
      <c r="P79" s="6">
        <v>0</v>
      </c>
      <c r="Q79">
        <v>1</v>
      </c>
      <c r="R79">
        <f t="shared" si="5"/>
        <v>0</v>
      </c>
      <c r="S79">
        <f t="shared" si="6"/>
        <v>1</v>
      </c>
      <c r="T79">
        <f t="shared" si="7"/>
        <v>2</v>
      </c>
      <c r="U79">
        <f t="shared" si="8"/>
        <v>1</v>
      </c>
      <c r="V79">
        <f t="shared" si="9"/>
        <v>0</v>
      </c>
    </row>
    <row r="80" spans="1:22" x14ac:dyDescent="0.25">
      <c r="A80">
        <v>77</v>
      </c>
      <c r="B80" t="s">
        <v>5</v>
      </c>
      <c r="C80" t="s">
        <v>73</v>
      </c>
      <c r="D80" s="4">
        <v>45691</v>
      </c>
      <c r="E80" t="s">
        <v>103</v>
      </c>
      <c r="F80" t="s">
        <v>75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>
        <v>1</v>
      </c>
      <c r="R80">
        <f t="shared" si="5"/>
        <v>0</v>
      </c>
      <c r="S80">
        <f t="shared" si="6"/>
        <v>1</v>
      </c>
      <c r="T80">
        <f t="shared" si="7"/>
        <v>1</v>
      </c>
      <c r="U80">
        <f t="shared" si="8"/>
        <v>1</v>
      </c>
      <c r="V80">
        <f t="shared" si="9"/>
        <v>0</v>
      </c>
    </row>
    <row r="81" spans="1:22" x14ac:dyDescent="0.25">
      <c r="A81">
        <v>78</v>
      </c>
      <c r="B81" t="s">
        <v>5</v>
      </c>
      <c r="C81" t="s">
        <v>73</v>
      </c>
      <c r="D81" s="4">
        <v>45691</v>
      </c>
      <c r="E81" t="s">
        <v>104</v>
      </c>
      <c r="F81" t="s">
        <v>75</v>
      </c>
      <c r="I81" s="6">
        <v>0</v>
      </c>
      <c r="J81" s="6">
        <v>0</v>
      </c>
      <c r="K81" s="6">
        <v>0</v>
      </c>
      <c r="L81" s="6">
        <v>0</v>
      </c>
      <c r="M81" s="6">
        <v>1</v>
      </c>
      <c r="N81" s="6">
        <v>0</v>
      </c>
      <c r="O81" s="6">
        <v>0</v>
      </c>
      <c r="P81" s="6">
        <v>0</v>
      </c>
      <c r="Q81">
        <v>1</v>
      </c>
      <c r="R81">
        <f t="shared" si="5"/>
        <v>0</v>
      </c>
      <c r="S81">
        <f t="shared" si="6"/>
        <v>1</v>
      </c>
      <c r="T81">
        <f t="shared" si="7"/>
        <v>1</v>
      </c>
      <c r="U81">
        <f t="shared" si="8"/>
        <v>1</v>
      </c>
      <c r="V81">
        <f t="shared" si="9"/>
        <v>0</v>
      </c>
    </row>
    <row r="82" spans="1:22" x14ac:dyDescent="0.25">
      <c r="A82">
        <v>79</v>
      </c>
      <c r="B82" t="s">
        <v>5</v>
      </c>
      <c r="C82" t="s">
        <v>73</v>
      </c>
      <c r="D82" s="4">
        <v>45692</v>
      </c>
      <c r="E82" t="s">
        <v>668</v>
      </c>
      <c r="F82" t="s">
        <v>75</v>
      </c>
      <c r="I82" s="6">
        <v>0</v>
      </c>
      <c r="J82" s="6">
        <v>0</v>
      </c>
      <c r="K82" s="6">
        <v>0</v>
      </c>
      <c r="L82" s="6">
        <v>1</v>
      </c>
      <c r="M82" s="6">
        <v>1</v>
      </c>
      <c r="N82" s="6">
        <v>1</v>
      </c>
      <c r="O82" s="6">
        <v>1</v>
      </c>
      <c r="P82" s="6">
        <v>0</v>
      </c>
      <c r="Q82">
        <v>1</v>
      </c>
      <c r="R82">
        <f t="shared" si="5"/>
        <v>0</v>
      </c>
      <c r="S82">
        <f t="shared" si="6"/>
        <v>1</v>
      </c>
      <c r="T82">
        <f t="shared" si="7"/>
        <v>4</v>
      </c>
      <c r="U82">
        <f t="shared" si="8"/>
        <v>1</v>
      </c>
      <c r="V82">
        <f t="shared" si="9"/>
        <v>0</v>
      </c>
    </row>
    <row r="83" spans="1:22" x14ac:dyDescent="0.25">
      <c r="A83">
        <v>80</v>
      </c>
      <c r="B83" t="s">
        <v>5</v>
      </c>
      <c r="C83" t="s">
        <v>73</v>
      </c>
      <c r="D83" s="4">
        <v>45692</v>
      </c>
      <c r="E83" t="s">
        <v>669</v>
      </c>
      <c r="F83" t="s">
        <v>75</v>
      </c>
      <c r="I83" s="6"/>
      <c r="J83" s="6"/>
      <c r="K83" s="6"/>
      <c r="L83" s="6"/>
      <c r="M83" s="6"/>
      <c r="N83" s="6"/>
      <c r="O83" s="6"/>
      <c r="P83" s="6"/>
      <c r="Q83">
        <v>0</v>
      </c>
      <c r="R83">
        <f t="shared" si="5"/>
        <v>0</v>
      </c>
      <c r="S83">
        <f t="shared" si="6"/>
        <v>0</v>
      </c>
      <c r="T83">
        <f t="shared" si="7"/>
        <v>0</v>
      </c>
      <c r="U83">
        <f t="shared" si="8"/>
        <v>0</v>
      </c>
      <c r="V83">
        <f t="shared" si="9"/>
        <v>0</v>
      </c>
    </row>
    <row r="84" spans="1:22" x14ac:dyDescent="0.25">
      <c r="A84">
        <v>81</v>
      </c>
      <c r="B84" t="s">
        <v>5</v>
      </c>
      <c r="C84" t="s">
        <v>73</v>
      </c>
      <c r="D84" s="4">
        <v>45692</v>
      </c>
      <c r="E84" t="s">
        <v>670</v>
      </c>
      <c r="F84" t="s">
        <v>75</v>
      </c>
      <c r="I84" s="6"/>
      <c r="J84" s="6"/>
      <c r="K84" s="6"/>
      <c r="L84" s="6"/>
      <c r="M84" s="6"/>
      <c r="N84" s="6"/>
      <c r="O84" s="6"/>
      <c r="P84" s="6"/>
      <c r="Q84">
        <v>0</v>
      </c>
      <c r="R84">
        <f t="shared" si="5"/>
        <v>0</v>
      </c>
      <c r="S84">
        <f t="shared" si="6"/>
        <v>0</v>
      </c>
      <c r="T84">
        <f t="shared" si="7"/>
        <v>0</v>
      </c>
      <c r="U84">
        <f t="shared" si="8"/>
        <v>0</v>
      </c>
      <c r="V84">
        <f t="shared" si="9"/>
        <v>0</v>
      </c>
    </row>
    <row r="85" spans="1:22" x14ac:dyDescent="0.25">
      <c r="A85">
        <v>82</v>
      </c>
      <c r="B85" t="s">
        <v>5</v>
      </c>
      <c r="C85" t="s">
        <v>73</v>
      </c>
      <c r="D85" s="4">
        <v>45692</v>
      </c>
      <c r="E85" t="s">
        <v>2968</v>
      </c>
      <c r="F85" t="s">
        <v>75</v>
      </c>
      <c r="I85" s="6"/>
      <c r="J85" s="6"/>
      <c r="K85" s="6"/>
      <c r="L85" s="6"/>
      <c r="M85" s="6"/>
      <c r="N85" s="6"/>
      <c r="O85" s="6"/>
      <c r="P85" s="6"/>
      <c r="Q85">
        <v>0</v>
      </c>
      <c r="R85">
        <f t="shared" si="5"/>
        <v>0</v>
      </c>
      <c r="S85">
        <f t="shared" si="6"/>
        <v>0</v>
      </c>
      <c r="T85">
        <f t="shared" si="7"/>
        <v>0</v>
      </c>
      <c r="U85">
        <f t="shared" si="8"/>
        <v>0</v>
      </c>
      <c r="V85">
        <f t="shared" si="9"/>
        <v>0</v>
      </c>
    </row>
    <row r="86" spans="1:22" x14ac:dyDescent="0.25">
      <c r="A86">
        <v>83</v>
      </c>
      <c r="B86" t="s">
        <v>5</v>
      </c>
      <c r="C86" t="s">
        <v>73</v>
      </c>
      <c r="D86" s="4">
        <v>45692</v>
      </c>
      <c r="E86" t="s">
        <v>2967</v>
      </c>
      <c r="F86" t="s">
        <v>75</v>
      </c>
      <c r="I86" s="6"/>
      <c r="J86" s="6"/>
      <c r="K86" s="6"/>
      <c r="L86" s="6"/>
      <c r="M86" s="6"/>
      <c r="N86" s="6"/>
      <c r="O86" s="6"/>
      <c r="P86" s="6"/>
      <c r="Q86">
        <v>0</v>
      </c>
      <c r="R86">
        <f t="shared" si="5"/>
        <v>0</v>
      </c>
      <c r="S86">
        <f t="shared" si="6"/>
        <v>0</v>
      </c>
      <c r="T86">
        <f t="shared" si="7"/>
        <v>0</v>
      </c>
      <c r="U86">
        <f t="shared" si="8"/>
        <v>0</v>
      </c>
      <c r="V86">
        <f t="shared" si="9"/>
        <v>0</v>
      </c>
    </row>
    <row r="87" spans="1:22" x14ac:dyDescent="0.25">
      <c r="A87">
        <v>84</v>
      </c>
      <c r="B87" t="s">
        <v>5</v>
      </c>
      <c r="C87" t="s">
        <v>73</v>
      </c>
      <c r="D87" s="4">
        <v>45692</v>
      </c>
      <c r="E87" t="s">
        <v>105</v>
      </c>
      <c r="F87" t="s">
        <v>75</v>
      </c>
      <c r="I87" s="6">
        <v>1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1</v>
      </c>
      <c r="P87" s="6">
        <v>0</v>
      </c>
      <c r="Q87">
        <v>1</v>
      </c>
      <c r="R87">
        <f t="shared" si="5"/>
        <v>0</v>
      </c>
      <c r="S87">
        <f t="shared" si="6"/>
        <v>1</v>
      </c>
      <c r="T87">
        <f t="shared" si="7"/>
        <v>3</v>
      </c>
      <c r="U87">
        <f t="shared" si="8"/>
        <v>1</v>
      </c>
      <c r="V87">
        <f t="shared" si="9"/>
        <v>0</v>
      </c>
    </row>
    <row r="88" spans="1:22" x14ac:dyDescent="0.25">
      <c r="A88">
        <v>85</v>
      </c>
      <c r="B88" t="s">
        <v>5</v>
      </c>
      <c r="C88" t="s">
        <v>73</v>
      </c>
      <c r="D88" s="4">
        <v>45693</v>
      </c>
      <c r="E88" t="s">
        <v>805</v>
      </c>
      <c r="F88" t="s">
        <v>75</v>
      </c>
      <c r="I88" s="6">
        <v>0</v>
      </c>
      <c r="J88" s="6">
        <v>0</v>
      </c>
      <c r="K88" s="6">
        <v>1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>
        <v>1</v>
      </c>
      <c r="R88">
        <f t="shared" si="5"/>
        <v>0</v>
      </c>
      <c r="S88">
        <f t="shared" si="6"/>
        <v>1</v>
      </c>
      <c r="T88">
        <f t="shared" si="7"/>
        <v>2</v>
      </c>
      <c r="U88">
        <f t="shared" si="8"/>
        <v>1</v>
      </c>
      <c r="V88">
        <f t="shared" si="9"/>
        <v>0</v>
      </c>
    </row>
    <row r="89" spans="1:22" x14ac:dyDescent="0.25">
      <c r="A89">
        <v>86</v>
      </c>
      <c r="B89" t="s">
        <v>5</v>
      </c>
      <c r="C89" t="s">
        <v>73</v>
      </c>
      <c r="D89" s="4">
        <v>45693</v>
      </c>
      <c r="E89" t="s">
        <v>2747</v>
      </c>
      <c r="F89" t="s">
        <v>75</v>
      </c>
      <c r="I89" s="6"/>
      <c r="J89" s="6"/>
      <c r="K89" s="6"/>
      <c r="L89" s="6"/>
      <c r="M89" s="6"/>
      <c r="N89" s="6"/>
      <c r="O89" s="6"/>
      <c r="P89" s="6"/>
      <c r="Q89">
        <v>0</v>
      </c>
      <c r="R89">
        <f t="shared" si="5"/>
        <v>0</v>
      </c>
      <c r="S89">
        <f t="shared" si="6"/>
        <v>0</v>
      </c>
      <c r="T89">
        <f t="shared" si="7"/>
        <v>0</v>
      </c>
      <c r="U89">
        <f t="shared" si="8"/>
        <v>0</v>
      </c>
      <c r="V89">
        <f t="shared" si="9"/>
        <v>0</v>
      </c>
    </row>
    <row r="90" spans="1:22" x14ac:dyDescent="0.25">
      <c r="A90">
        <v>87</v>
      </c>
      <c r="B90" t="s">
        <v>5</v>
      </c>
      <c r="C90" t="s">
        <v>73</v>
      </c>
      <c r="D90" s="4">
        <v>45694</v>
      </c>
      <c r="E90" t="s">
        <v>106</v>
      </c>
      <c r="F90" t="s">
        <v>75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>
        <v>1</v>
      </c>
      <c r="R90">
        <f t="shared" si="5"/>
        <v>0</v>
      </c>
      <c r="S90">
        <f t="shared" si="6"/>
        <v>1</v>
      </c>
      <c r="T90">
        <f t="shared" si="7"/>
        <v>1</v>
      </c>
      <c r="U90">
        <f t="shared" si="8"/>
        <v>1</v>
      </c>
      <c r="V90">
        <f t="shared" si="9"/>
        <v>0</v>
      </c>
    </row>
    <row r="91" spans="1:22" x14ac:dyDescent="0.25">
      <c r="A91">
        <v>88</v>
      </c>
      <c r="B91" t="s">
        <v>5</v>
      </c>
      <c r="C91" t="s">
        <v>73</v>
      </c>
      <c r="D91" s="4">
        <v>45694</v>
      </c>
      <c r="E91" t="s">
        <v>107</v>
      </c>
      <c r="F91" t="s">
        <v>75</v>
      </c>
      <c r="I91" s="6">
        <v>0</v>
      </c>
      <c r="J91" s="6">
        <v>0</v>
      </c>
      <c r="K91" s="6">
        <v>0</v>
      </c>
      <c r="L91" s="6">
        <v>1</v>
      </c>
      <c r="M91" s="6">
        <v>1</v>
      </c>
      <c r="N91" s="6">
        <v>1</v>
      </c>
      <c r="O91" s="6">
        <v>0</v>
      </c>
      <c r="P91" s="6">
        <v>0</v>
      </c>
      <c r="Q91">
        <v>1</v>
      </c>
      <c r="R91">
        <f t="shared" si="5"/>
        <v>0</v>
      </c>
      <c r="S91">
        <f t="shared" si="6"/>
        <v>1</v>
      </c>
      <c r="T91">
        <f t="shared" si="7"/>
        <v>3</v>
      </c>
      <c r="U91">
        <f t="shared" si="8"/>
        <v>1</v>
      </c>
      <c r="V91">
        <f t="shared" si="9"/>
        <v>0</v>
      </c>
    </row>
    <row r="92" spans="1:22" x14ac:dyDescent="0.25">
      <c r="A92">
        <v>89</v>
      </c>
      <c r="B92" t="s">
        <v>5</v>
      </c>
      <c r="C92" t="s">
        <v>73</v>
      </c>
      <c r="D92" s="4">
        <v>45694</v>
      </c>
      <c r="E92" t="s">
        <v>2966</v>
      </c>
      <c r="F92" t="s">
        <v>75</v>
      </c>
      <c r="I92" s="6">
        <v>0</v>
      </c>
      <c r="J92" s="6">
        <v>0</v>
      </c>
      <c r="K92" s="6">
        <v>0</v>
      </c>
      <c r="L92" s="6">
        <v>0</v>
      </c>
      <c r="M92" s="6">
        <v>1</v>
      </c>
      <c r="N92" s="6">
        <v>0</v>
      </c>
      <c r="O92" s="6">
        <v>0</v>
      </c>
      <c r="P92" s="6">
        <v>0</v>
      </c>
      <c r="Q92">
        <v>1</v>
      </c>
      <c r="R92">
        <f t="shared" si="5"/>
        <v>0</v>
      </c>
      <c r="S92">
        <f t="shared" si="6"/>
        <v>1</v>
      </c>
      <c r="T92">
        <f t="shared" si="7"/>
        <v>1</v>
      </c>
      <c r="U92">
        <f t="shared" si="8"/>
        <v>1</v>
      </c>
      <c r="V92">
        <f t="shared" si="9"/>
        <v>0</v>
      </c>
    </row>
    <row r="93" spans="1:22" x14ac:dyDescent="0.25">
      <c r="A93">
        <v>90</v>
      </c>
      <c r="B93" t="s">
        <v>5</v>
      </c>
      <c r="C93" t="s">
        <v>73</v>
      </c>
      <c r="D93" s="4">
        <v>45694</v>
      </c>
      <c r="E93" t="s">
        <v>108</v>
      </c>
      <c r="F93" t="s">
        <v>75</v>
      </c>
      <c r="I93" s="6">
        <v>0</v>
      </c>
      <c r="J93" s="6">
        <v>0</v>
      </c>
      <c r="K93" s="6">
        <v>0</v>
      </c>
      <c r="L93" s="6">
        <v>0</v>
      </c>
      <c r="M93" s="6">
        <v>1</v>
      </c>
      <c r="N93" s="6">
        <v>0</v>
      </c>
      <c r="O93" s="6">
        <v>0</v>
      </c>
      <c r="P93" s="6">
        <v>0</v>
      </c>
      <c r="Q93">
        <v>1</v>
      </c>
      <c r="R93">
        <f t="shared" si="5"/>
        <v>0</v>
      </c>
      <c r="S93">
        <f t="shared" si="6"/>
        <v>1</v>
      </c>
      <c r="T93">
        <f t="shared" si="7"/>
        <v>1</v>
      </c>
      <c r="U93">
        <f t="shared" si="8"/>
        <v>1</v>
      </c>
      <c r="V93">
        <f t="shared" si="9"/>
        <v>0</v>
      </c>
    </row>
    <row r="94" spans="1:22" x14ac:dyDescent="0.25">
      <c r="A94">
        <v>91</v>
      </c>
      <c r="B94" t="s">
        <v>5</v>
      </c>
      <c r="C94" t="s">
        <v>73</v>
      </c>
      <c r="D94" s="4">
        <v>45694</v>
      </c>
      <c r="E94" t="s">
        <v>2965</v>
      </c>
      <c r="F94" t="s">
        <v>75</v>
      </c>
      <c r="I94" s="6"/>
      <c r="J94" s="6"/>
      <c r="K94" s="6"/>
      <c r="L94" s="6"/>
      <c r="M94" s="6"/>
      <c r="N94" s="6"/>
      <c r="O94" s="6"/>
      <c r="P94" s="6"/>
      <c r="Q94">
        <v>0</v>
      </c>
      <c r="R94">
        <f t="shared" si="5"/>
        <v>0</v>
      </c>
      <c r="S94">
        <f t="shared" si="6"/>
        <v>0</v>
      </c>
      <c r="T94">
        <f t="shared" si="7"/>
        <v>0</v>
      </c>
      <c r="U94">
        <f t="shared" si="8"/>
        <v>0</v>
      </c>
      <c r="V94">
        <f t="shared" si="9"/>
        <v>0</v>
      </c>
    </row>
    <row r="95" spans="1:22" x14ac:dyDescent="0.25">
      <c r="A95">
        <v>92</v>
      </c>
      <c r="B95" t="s">
        <v>5</v>
      </c>
      <c r="C95" t="s">
        <v>73</v>
      </c>
      <c r="D95" s="4">
        <v>45694</v>
      </c>
      <c r="E95" t="s">
        <v>2964</v>
      </c>
      <c r="F95" t="s">
        <v>75</v>
      </c>
      <c r="I95" s="6"/>
      <c r="J95" s="6"/>
      <c r="K95" s="6"/>
      <c r="L95" s="6"/>
      <c r="M95" s="6"/>
      <c r="N95" s="6"/>
      <c r="O95" s="6"/>
      <c r="P95" s="6"/>
      <c r="Q95">
        <v>0</v>
      </c>
      <c r="R95">
        <f t="shared" si="5"/>
        <v>0</v>
      </c>
      <c r="S95">
        <f t="shared" si="6"/>
        <v>0</v>
      </c>
      <c r="T95">
        <f t="shared" si="7"/>
        <v>0</v>
      </c>
      <c r="U95">
        <f t="shared" si="8"/>
        <v>0</v>
      </c>
      <c r="V95">
        <f t="shared" si="9"/>
        <v>0</v>
      </c>
    </row>
    <row r="96" spans="1:22" x14ac:dyDescent="0.25">
      <c r="A96">
        <v>93</v>
      </c>
      <c r="B96" t="s">
        <v>5</v>
      </c>
      <c r="C96" t="s">
        <v>73</v>
      </c>
      <c r="D96" s="4">
        <v>45694</v>
      </c>
      <c r="E96" t="s">
        <v>109</v>
      </c>
      <c r="F96" t="s">
        <v>75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1</v>
      </c>
      <c r="O96" s="6">
        <v>0</v>
      </c>
      <c r="P96" s="6">
        <v>0</v>
      </c>
      <c r="Q96">
        <v>1</v>
      </c>
      <c r="R96">
        <f t="shared" si="5"/>
        <v>0</v>
      </c>
      <c r="S96">
        <f t="shared" si="6"/>
        <v>1</v>
      </c>
      <c r="T96">
        <f t="shared" si="7"/>
        <v>2</v>
      </c>
      <c r="U96">
        <f t="shared" si="8"/>
        <v>1</v>
      </c>
      <c r="V96">
        <f t="shared" si="9"/>
        <v>0</v>
      </c>
    </row>
    <row r="97" spans="1:22" x14ac:dyDescent="0.25">
      <c r="A97">
        <v>94</v>
      </c>
      <c r="B97" t="s">
        <v>5</v>
      </c>
      <c r="C97" t="s">
        <v>73</v>
      </c>
      <c r="D97" s="4">
        <v>45694</v>
      </c>
      <c r="E97" t="s">
        <v>2963</v>
      </c>
      <c r="F97" t="s">
        <v>75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1</v>
      </c>
      <c r="O97" s="6">
        <v>0</v>
      </c>
      <c r="P97" s="6">
        <v>0</v>
      </c>
      <c r="Q97">
        <v>1</v>
      </c>
      <c r="R97">
        <f t="shared" si="5"/>
        <v>0</v>
      </c>
      <c r="S97">
        <f t="shared" si="6"/>
        <v>1</v>
      </c>
      <c r="T97">
        <f t="shared" si="7"/>
        <v>2</v>
      </c>
      <c r="U97">
        <f t="shared" si="8"/>
        <v>1</v>
      </c>
      <c r="V97">
        <f t="shared" si="9"/>
        <v>0</v>
      </c>
    </row>
    <row r="98" spans="1:22" x14ac:dyDescent="0.25">
      <c r="A98">
        <v>95</v>
      </c>
      <c r="B98" t="s">
        <v>5</v>
      </c>
      <c r="C98" t="s">
        <v>73</v>
      </c>
      <c r="D98" s="4">
        <v>45694</v>
      </c>
      <c r="E98" t="s">
        <v>110</v>
      </c>
      <c r="F98" t="s">
        <v>75</v>
      </c>
      <c r="I98" s="6">
        <v>0</v>
      </c>
      <c r="J98" s="6">
        <v>0</v>
      </c>
      <c r="K98" s="6">
        <v>0</v>
      </c>
      <c r="L98" s="6">
        <v>0</v>
      </c>
      <c r="M98" s="6">
        <v>1</v>
      </c>
      <c r="N98" s="6">
        <v>0</v>
      </c>
      <c r="O98" s="6">
        <v>0</v>
      </c>
      <c r="P98" s="6">
        <v>0</v>
      </c>
      <c r="Q98">
        <v>1</v>
      </c>
      <c r="R98">
        <f t="shared" si="5"/>
        <v>0</v>
      </c>
      <c r="S98">
        <f t="shared" si="6"/>
        <v>1</v>
      </c>
      <c r="T98">
        <f t="shared" si="7"/>
        <v>1</v>
      </c>
      <c r="U98">
        <f t="shared" si="8"/>
        <v>1</v>
      </c>
      <c r="V98">
        <f t="shared" si="9"/>
        <v>0</v>
      </c>
    </row>
    <row r="99" spans="1:22" x14ac:dyDescent="0.25">
      <c r="A99">
        <v>96</v>
      </c>
      <c r="B99" t="s">
        <v>5</v>
      </c>
      <c r="C99" t="s">
        <v>73</v>
      </c>
      <c r="D99" s="4">
        <v>45694</v>
      </c>
      <c r="E99" t="s">
        <v>111</v>
      </c>
      <c r="F99" t="s">
        <v>75</v>
      </c>
      <c r="I99" s="6">
        <v>0</v>
      </c>
      <c r="J99" s="6">
        <v>0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0</v>
      </c>
      <c r="Q99">
        <v>1</v>
      </c>
      <c r="R99">
        <f t="shared" si="5"/>
        <v>0</v>
      </c>
      <c r="S99">
        <f t="shared" si="6"/>
        <v>1</v>
      </c>
      <c r="T99">
        <f t="shared" si="7"/>
        <v>1</v>
      </c>
      <c r="U99">
        <f t="shared" si="8"/>
        <v>1</v>
      </c>
      <c r="V99">
        <f t="shared" si="9"/>
        <v>0</v>
      </c>
    </row>
    <row r="100" spans="1:22" x14ac:dyDescent="0.25">
      <c r="A100">
        <v>97</v>
      </c>
      <c r="B100" t="s">
        <v>5</v>
      </c>
      <c r="C100" t="s">
        <v>73</v>
      </c>
      <c r="D100" s="4">
        <v>45694</v>
      </c>
      <c r="E100" t="s">
        <v>112</v>
      </c>
      <c r="F100" t="s">
        <v>75</v>
      </c>
      <c r="I100" s="6">
        <v>0</v>
      </c>
      <c r="J100" s="6">
        <v>0</v>
      </c>
      <c r="K100" s="6">
        <v>1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>
        <v>1</v>
      </c>
      <c r="R100">
        <f t="shared" si="5"/>
        <v>0</v>
      </c>
      <c r="S100">
        <f t="shared" si="6"/>
        <v>1</v>
      </c>
      <c r="T100">
        <f t="shared" si="7"/>
        <v>2</v>
      </c>
      <c r="U100">
        <f t="shared" si="8"/>
        <v>1</v>
      </c>
      <c r="V100">
        <f t="shared" si="9"/>
        <v>0</v>
      </c>
    </row>
    <row r="101" spans="1:22" x14ac:dyDescent="0.25">
      <c r="A101">
        <v>98</v>
      </c>
      <c r="B101" t="s">
        <v>5</v>
      </c>
      <c r="C101" t="s">
        <v>73</v>
      </c>
      <c r="D101" s="4">
        <v>45694</v>
      </c>
      <c r="E101" t="s">
        <v>671</v>
      </c>
      <c r="F101" t="s">
        <v>75</v>
      </c>
      <c r="I101" s="6">
        <v>0</v>
      </c>
      <c r="J101" s="6">
        <v>0</v>
      </c>
      <c r="K101" s="6">
        <v>0</v>
      </c>
      <c r="L101" s="6">
        <v>0</v>
      </c>
      <c r="M101" s="6">
        <v>1</v>
      </c>
      <c r="N101" s="6">
        <v>0</v>
      </c>
      <c r="O101" s="6">
        <v>0</v>
      </c>
      <c r="P101" s="6">
        <v>0</v>
      </c>
      <c r="Q101">
        <v>1</v>
      </c>
      <c r="R101">
        <f t="shared" si="5"/>
        <v>0</v>
      </c>
      <c r="S101">
        <f t="shared" si="6"/>
        <v>1</v>
      </c>
      <c r="T101">
        <f t="shared" si="7"/>
        <v>1</v>
      </c>
      <c r="U101">
        <f t="shared" si="8"/>
        <v>1</v>
      </c>
      <c r="V101">
        <f t="shared" si="9"/>
        <v>0</v>
      </c>
    </row>
    <row r="102" spans="1:22" x14ac:dyDescent="0.25">
      <c r="A102">
        <v>99</v>
      </c>
      <c r="B102" t="s">
        <v>5</v>
      </c>
      <c r="C102" t="s">
        <v>73</v>
      </c>
      <c r="D102" s="4">
        <v>45694</v>
      </c>
      <c r="E102" t="s">
        <v>2962</v>
      </c>
      <c r="F102" t="s">
        <v>75</v>
      </c>
      <c r="I102" s="6"/>
      <c r="J102" s="6"/>
      <c r="K102" s="6"/>
      <c r="L102" s="6"/>
      <c r="M102" s="6"/>
      <c r="N102" s="6"/>
      <c r="O102" s="6"/>
      <c r="P102" s="6"/>
      <c r="Q102">
        <v>0</v>
      </c>
      <c r="R102">
        <f t="shared" si="5"/>
        <v>0</v>
      </c>
      <c r="S102">
        <f t="shared" si="6"/>
        <v>0</v>
      </c>
      <c r="T102">
        <f t="shared" si="7"/>
        <v>0</v>
      </c>
      <c r="U102">
        <f t="shared" si="8"/>
        <v>0</v>
      </c>
      <c r="V102">
        <f t="shared" si="9"/>
        <v>0</v>
      </c>
    </row>
    <row r="103" spans="1:22" x14ac:dyDescent="0.25">
      <c r="A103">
        <v>100</v>
      </c>
      <c r="B103" t="s">
        <v>5</v>
      </c>
      <c r="C103" t="s">
        <v>73</v>
      </c>
      <c r="D103" s="4">
        <v>45694</v>
      </c>
      <c r="E103" t="s">
        <v>2961</v>
      </c>
      <c r="F103" t="s">
        <v>75</v>
      </c>
      <c r="I103" s="6">
        <v>0</v>
      </c>
      <c r="J103" s="6">
        <v>0</v>
      </c>
      <c r="K103" s="6">
        <v>1</v>
      </c>
      <c r="L103" s="6">
        <v>1</v>
      </c>
      <c r="M103" s="6">
        <v>1</v>
      </c>
      <c r="N103" s="6">
        <v>1</v>
      </c>
      <c r="O103" s="6">
        <v>0</v>
      </c>
      <c r="P103" s="6">
        <v>0</v>
      </c>
      <c r="Q103">
        <v>1</v>
      </c>
      <c r="R103">
        <f t="shared" si="5"/>
        <v>0</v>
      </c>
      <c r="S103">
        <f t="shared" si="6"/>
        <v>1</v>
      </c>
      <c r="T103">
        <f t="shared" si="7"/>
        <v>4</v>
      </c>
      <c r="U103">
        <f t="shared" si="8"/>
        <v>1</v>
      </c>
      <c r="V103">
        <f t="shared" si="9"/>
        <v>0</v>
      </c>
    </row>
    <row r="104" spans="1:22" x14ac:dyDescent="0.25">
      <c r="A104">
        <v>101</v>
      </c>
      <c r="B104" t="s">
        <v>5</v>
      </c>
      <c r="C104" t="s">
        <v>73</v>
      </c>
      <c r="D104" s="4">
        <v>45694</v>
      </c>
      <c r="E104" t="s">
        <v>2960</v>
      </c>
      <c r="F104" t="s">
        <v>75</v>
      </c>
      <c r="I104" s="6">
        <v>0</v>
      </c>
      <c r="J104" s="6">
        <v>0</v>
      </c>
      <c r="K104" s="6">
        <v>1</v>
      </c>
      <c r="L104" s="6">
        <v>1</v>
      </c>
      <c r="M104" s="6">
        <v>1</v>
      </c>
      <c r="N104" s="6">
        <v>1</v>
      </c>
      <c r="O104" s="6">
        <v>0</v>
      </c>
      <c r="P104" s="6">
        <v>0</v>
      </c>
      <c r="Q104">
        <v>1</v>
      </c>
      <c r="R104">
        <f t="shared" si="5"/>
        <v>0</v>
      </c>
      <c r="S104">
        <f t="shared" si="6"/>
        <v>1</v>
      </c>
      <c r="T104">
        <f t="shared" si="7"/>
        <v>4</v>
      </c>
      <c r="U104">
        <f t="shared" si="8"/>
        <v>1</v>
      </c>
      <c r="V104">
        <f t="shared" si="9"/>
        <v>0</v>
      </c>
    </row>
    <row r="105" spans="1:22" x14ac:dyDescent="0.25">
      <c r="A105">
        <v>102</v>
      </c>
      <c r="B105" t="s">
        <v>5</v>
      </c>
      <c r="C105" t="s">
        <v>73</v>
      </c>
      <c r="D105" s="4">
        <v>45694</v>
      </c>
      <c r="E105" t="s">
        <v>2959</v>
      </c>
      <c r="F105" t="s">
        <v>75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>
        <v>0</v>
      </c>
      <c r="P105" s="6">
        <v>0</v>
      </c>
      <c r="Q105">
        <v>1</v>
      </c>
      <c r="R105">
        <f t="shared" si="5"/>
        <v>0</v>
      </c>
      <c r="S105">
        <f t="shared" si="6"/>
        <v>1</v>
      </c>
      <c r="T105">
        <f t="shared" si="7"/>
        <v>1</v>
      </c>
      <c r="U105">
        <f t="shared" si="8"/>
        <v>1</v>
      </c>
      <c r="V105">
        <f t="shared" si="9"/>
        <v>0</v>
      </c>
    </row>
    <row r="106" spans="1:22" x14ac:dyDescent="0.25">
      <c r="A106">
        <v>103</v>
      </c>
      <c r="B106" t="s">
        <v>5</v>
      </c>
      <c r="C106" t="s">
        <v>73</v>
      </c>
      <c r="D106" s="4">
        <v>45695</v>
      </c>
      <c r="E106" t="s">
        <v>672</v>
      </c>
      <c r="F106" t="s">
        <v>75</v>
      </c>
      <c r="I106" s="6">
        <v>0</v>
      </c>
      <c r="J106" s="6">
        <v>0</v>
      </c>
      <c r="K106" s="6">
        <v>0</v>
      </c>
      <c r="L106" s="6">
        <v>1</v>
      </c>
      <c r="M106" s="6">
        <v>1</v>
      </c>
      <c r="N106" s="6">
        <v>0</v>
      </c>
      <c r="O106" s="6">
        <v>0</v>
      </c>
      <c r="P106" s="6">
        <v>0</v>
      </c>
      <c r="Q106">
        <v>1</v>
      </c>
      <c r="R106">
        <f t="shared" si="5"/>
        <v>0</v>
      </c>
      <c r="S106">
        <f t="shared" si="6"/>
        <v>1</v>
      </c>
      <c r="T106">
        <f t="shared" si="7"/>
        <v>2</v>
      </c>
      <c r="U106">
        <f t="shared" si="8"/>
        <v>1</v>
      </c>
      <c r="V106">
        <f t="shared" si="9"/>
        <v>0</v>
      </c>
    </row>
    <row r="107" spans="1:22" x14ac:dyDescent="0.25">
      <c r="A107">
        <v>104</v>
      </c>
      <c r="B107" t="s">
        <v>5</v>
      </c>
      <c r="C107" t="s">
        <v>73</v>
      </c>
      <c r="D107" s="4">
        <v>45695</v>
      </c>
      <c r="E107" t="s">
        <v>673</v>
      </c>
      <c r="F107" t="s">
        <v>75</v>
      </c>
      <c r="I107" s="6">
        <v>0</v>
      </c>
      <c r="J107" s="6">
        <v>0</v>
      </c>
      <c r="K107" s="6">
        <v>0</v>
      </c>
      <c r="L107" s="6">
        <v>0</v>
      </c>
      <c r="M107" s="6">
        <v>1</v>
      </c>
      <c r="N107" s="6">
        <v>0</v>
      </c>
      <c r="O107" s="6">
        <v>0</v>
      </c>
      <c r="P107" s="6">
        <v>0</v>
      </c>
      <c r="Q107">
        <v>1</v>
      </c>
      <c r="R107">
        <f t="shared" si="5"/>
        <v>0</v>
      </c>
      <c r="S107">
        <f t="shared" si="6"/>
        <v>1</v>
      </c>
      <c r="T107">
        <f t="shared" si="7"/>
        <v>1</v>
      </c>
      <c r="U107">
        <f t="shared" si="8"/>
        <v>1</v>
      </c>
      <c r="V107">
        <f t="shared" si="9"/>
        <v>0</v>
      </c>
    </row>
    <row r="108" spans="1:22" x14ac:dyDescent="0.25">
      <c r="A108">
        <v>105</v>
      </c>
      <c r="B108" t="s">
        <v>5</v>
      </c>
      <c r="C108" t="s">
        <v>73</v>
      </c>
      <c r="D108" s="4">
        <v>45695</v>
      </c>
      <c r="E108" t="s">
        <v>674</v>
      </c>
      <c r="F108" t="s">
        <v>75</v>
      </c>
      <c r="I108" s="6"/>
      <c r="J108" s="6"/>
      <c r="K108" s="6"/>
      <c r="L108" s="6"/>
      <c r="M108" s="6"/>
      <c r="N108" s="6"/>
      <c r="O108" s="6"/>
      <c r="P108" s="6"/>
      <c r="Q108">
        <v>0</v>
      </c>
      <c r="R108">
        <f t="shared" si="5"/>
        <v>0</v>
      </c>
      <c r="S108">
        <f t="shared" si="6"/>
        <v>0</v>
      </c>
      <c r="T108">
        <f t="shared" si="7"/>
        <v>0</v>
      </c>
      <c r="U108">
        <f t="shared" si="8"/>
        <v>0</v>
      </c>
      <c r="V108">
        <f t="shared" si="9"/>
        <v>0</v>
      </c>
    </row>
    <row r="109" spans="1:22" x14ac:dyDescent="0.25">
      <c r="A109">
        <v>106</v>
      </c>
      <c r="B109" t="s">
        <v>5</v>
      </c>
      <c r="C109" t="s">
        <v>73</v>
      </c>
      <c r="D109" s="4">
        <v>45695</v>
      </c>
      <c r="E109" t="s">
        <v>2958</v>
      </c>
      <c r="F109" t="s">
        <v>75</v>
      </c>
      <c r="I109" s="6">
        <v>0</v>
      </c>
      <c r="J109" s="6">
        <v>0</v>
      </c>
      <c r="K109" s="6">
        <v>1</v>
      </c>
      <c r="L109" s="6">
        <v>0</v>
      </c>
      <c r="M109" s="6">
        <v>1</v>
      </c>
      <c r="N109" s="6">
        <v>0</v>
      </c>
      <c r="O109" s="6">
        <v>0</v>
      </c>
      <c r="P109" s="6">
        <v>0</v>
      </c>
      <c r="Q109">
        <v>1</v>
      </c>
      <c r="R109">
        <f t="shared" si="5"/>
        <v>0</v>
      </c>
      <c r="S109">
        <f t="shared" si="6"/>
        <v>1</v>
      </c>
      <c r="T109">
        <f t="shared" si="7"/>
        <v>2</v>
      </c>
      <c r="U109">
        <f t="shared" si="8"/>
        <v>1</v>
      </c>
      <c r="V109">
        <f t="shared" si="9"/>
        <v>0</v>
      </c>
    </row>
    <row r="110" spans="1:22" x14ac:dyDescent="0.25">
      <c r="A110">
        <v>107</v>
      </c>
      <c r="B110" t="s">
        <v>5</v>
      </c>
      <c r="C110" t="s">
        <v>73</v>
      </c>
      <c r="D110" s="4">
        <v>45695</v>
      </c>
      <c r="E110" t="s">
        <v>113</v>
      </c>
      <c r="F110" t="s">
        <v>75</v>
      </c>
      <c r="I110" s="6">
        <v>0</v>
      </c>
      <c r="J110" s="6">
        <v>0</v>
      </c>
      <c r="K110" s="6">
        <v>0</v>
      </c>
      <c r="L110" s="6">
        <v>1</v>
      </c>
      <c r="M110" s="6">
        <v>1</v>
      </c>
      <c r="N110" s="6">
        <v>1</v>
      </c>
      <c r="O110" s="6">
        <v>0</v>
      </c>
      <c r="P110" s="6">
        <v>0</v>
      </c>
      <c r="Q110">
        <v>1</v>
      </c>
      <c r="R110">
        <f t="shared" si="5"/>
        <v>0</v>
      </c>
      <c r="S110">
        <f t="shared" si="6"/>
        <v>1</v>
      </c>
      <c r="T110">
        <f t="shared" si="7"/>
        <v>3</v>
      </c>
      <c r="U110">
        <f t="shared" si="8"/>
        <v>1</v>
      </c>
      <c r="V110">
        <f t="shared" si="9"/>
        <v>0</v>
      </c>
    </row>
    <row r="111" spans="1:22" x14ac:dyDescent="0.25">
      <c r="A111">
        <v>108</v>
      </c>
      <c r="B111" t="s">
        <v>5</v>
      </c>
      <c r="C111" t="s">
        <v>73</v>
      </c>
      <c r="D111" s="4">
        <v>45695</v>
      </c>
      <c r="E111" t="s">
        <v>2957</v>
      </c>
      <c r="F111" t="s">
        <v>75</v>
      </c>
      <c r="I111" s="6">
        <v>0</v>
      </c>
      <c r="J111" s="6">
        <v>0</v>
      </c>
      <c r="K111" s="6">
        <v>0</v>
      </c>
      <c r="L111" s="6">
        <v>1</v>
      </c>
      <c r="M111" s="6">
        <v>1</v>
      </c>
      <c r="N111" s="6">
        <v>1</v>
      </c>
      <c r="O111" s="6">
        <v>0</v>
      </c>
      <c r="P111" s="6">
        <v>0</v>
      </c>
      <c r="Q111">
        <v>1</v>
      </c>
      <c r="R111">
        <f t="shared" si="5"/>
        <v>0</v>
      </c>
      <c r="S111">
        <f t="shared" si="6"/>
        <v>1</v>
      </c>
      <c r="T111">
        <f t="shared" si="7"/>
        <v>3</v>
      </c>
      <c r="U111">
        <f t="shared" si="8"/>
        <v>1</v>
      </c>
      <c r="V111">
        <f t="shared" si="9"/>
        <v>0</v>
      </c>
    </row>
    <row r="112" spans="1:22" x14ac:dyDescent="0.25">
      <c r="A112">
        <v>109</v>
      </c>
      <c r="B112" t="s">
        <v>5</v>
      </c>
      <c r="C112" t="s">
        <v>73</v>
      </c>
      <c r="D112" s="4">
        <v>45695</v>
      </c>
      <c r="E112" t="s">
        <v>2956</v>
      </c>
      <c r="F112" t="s">
        <v>75</v>
      </c>
      <c r="I112" s="6"/>
      <c r="J112" s="6"/>
      <c r="K112" s="6"/>
      <c r="L112" s="6"/>
      <c r="M112" s="6"/>
      <c r="N112" s="6"/>
      <c r="O112" s="6"/>
      <c r="P112" s="6"/>
      <c r="Q112">
        <v>0</v>
      </c>
      <c r="R112">
        <f t="shared" si="5"/>
        <v>0</v>
      </c>
      <c r="S112">
        <f t="shared" si="6"/>
        <v>0</v>
      </c>
      <c r="T112">
        <f t="shared" si="7"/>
        <v>0</v>
      </c>
      <c r="U112">
        <f t="shared" si="8"/>
        <v>0</v>
      </c>
      <c r="V112">
        <f t="shared" si="9"/>
        <v>0</v>
      </c>
    </row>
    <row r="113" spans="1:22" x14ac:dyDescent="0.25">
      <c r="A113">
        <v>110</v>
      </c>
      <c r="B113" t="s">
        <v>5</v>
      </c>
      <c r="C113" t="s">
        <v>73</v>
      </c>
      <c r="D113" s="4">
        <v>45695</v>
      </c>
      <c r="E113" t="s">
        <v>114</v>
      </c>
      <c r="F113" t="s">
        <v>75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>
        <v>1</v>
      </c>
      <c r="R113">
        <f t="shared" si="5"/>
        <v>0</v>
      </c>
      <c r="S113">
        <f t="shared" si="6"/>
        <v>1</v>
      </c>
      <c r="T113">
        <f t="shared" si="7"/>
        <v>0</v>
      </c>
      <c r="U113">
        <f t="shared" si="8"/>
        <v>0</v>
      </c>
      <c r="V113">
        <f t="shared" si="9"/>
        <v>0</v>
      </c>
    </row>
    <row r="114" spans="1:22" x14ac:dyDescent="0.25">
      <c r="A114">
        <v>111</v>
      </c>
      <c r="B114" t="s">
        <v>5</v>
      </c>
      <c r="C114" t="s">
        <v>73</v>
      </c>
      <c r="D114" s="4">
        <v>45696</v>
      </c>
      <c r="E114" t="s">
        <v>807</v>
      </c>
      <c r="F114" t="s">
        <v>75</v>
      </c>
      <c r="I114" s="6">
        <v>0</v>
      </c>
      <c r="J114" s="6">
        <v>0</v>
      </c>
      <c r="K114" s="6">
        <v>0</v>
      </c>
      <c r="L114" s="6">
        <v>0</v>
      </c>
      <c r="M114" s="6">
        <v>1</v>
      </c>
      <c r="N114" s="6">
        <v>1</v>
      </c>
      <c r="O114" s="6">
        <v>0</v>
      </c>
      <c r="P114" s="6">
        <v>0</v>
      </c>
      <c r="Q114">
        <v>1</v>
      </c>
      <c r="R114">
        <f t="shared" si="5"/>
        <v>0</v>
      </c>
      <c r="S114">
        <f t="shared" si="6"/>
        <v>1</v>
      </c>
      <c r="T114">
        <f t="shared" si="7"/>
        <v>2</v>
      </c>
      <c r="U114">
        <f t="shared" si="8"/>
        <v>1</v>
      </c>
      <c r="V114">
        <f t="shared" si="9"/>
        <v>0</v>
      </c>
    </row>
    <row r="115" spans="1:22" x14ac:dyDescent="0.25">
      <c r="A115">
        <v>112</v>
      </c>
      <c r="B115" t="s">
        <v>5</v>
      </c>
      <c r="C115" t="s">
        <v>73</v>
      </c>
      <c r="D115" s="4">
        <v>45696</v>
      </c>
      <c r="E115" t="s">
        <v>2745</v>
      </c>
      <c r="F115" t="s">
        <v>75</v>
      </c>
      <c r="I115" s="6"/>
      <c r="J115" s="6"/>
      <c r="K115" s="6"/>
      <c r="L115" s="6"/>
      <c r="M115" s="6"/>
      <c r="N115" s="6"/>
      <c r="O115" s="6"/>
      <c r="P115" s="6"/>
      <c r="Q115">
        <v>0</v>
      </c>
      <c r="R115">
        <f t="shared" si="5"/>
        <v>0</v>
      </c>
      <c r="S115">
        <f t="shared" si="6"/>
        <v>0</v>
      </c>
      <c r="T115">
        <f t="shared" si="7"/>
        <v>0</v>
      </c>
      <c r="U115">
        <f t="shared" si="8"/>
        <v>0</v>
      </c>
      <c r="V115">
        <f t="shared" si="9"/>
        <v>0</v>
      </c>
    </row>
    <row r="116" spans="1:22" x14ac:dyDescent="0.25">
      <c r="A116">
        <v>113</v>
      </c>
      <c r="B116" t="s">
        <v>5</v>
      </c>
      <c r="C116" t="s">
        <v>73</v>
      </c>
      <c r="D116" s="4">
        <v>45696</v>
      </c>
      <c r="E116" t="s">
        <v>115</v>
      </c>
      <c r="F116" t="s">
        <v>75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>
        <v>1</v>
      </c>
      <c r="R116">
        <f t="shared" si="5"/>
        <v>0</v>
      </c>
      <c r="S116">
        <f t="shared" si="6"/>
        <v>1</v>
      </c>
      <c r="T116">
        <f t="shared" si="7"/>
        <v>0</v>
      </c>
      <c r="U116">
        <f t="shared" si="8"/>
        <v>0</v>
      </c>
      <c r="V116">
        <f t="shared" si="9"/>
        <v>0</v>
      </c>
    </row>
    <row r="117" spans="1:22" x14ac:dyDescent="0.25">
      <c r="A117">
        <v>114</v>
      </c>
      <c r="B117" t="s">
        <v>5</v>
      </c>
      <c r="C117" t="s">
        <v>73</v>
      </c>
      <c r="D117" s="4">
        <v>45698</v>
      </c>
      <c r="E117" t="s">
        <v>116</v>
      </c>
      <c r="F117" t="s">
        <v>75</v>
      </c>
      <c r="I117" s="6">
        <v>0</v>
      </c>
      <c r="J117" s="6">
        <v>0</v>
      </c>
      <c r="K117" s="6">
        <v>0</v>
      </c>
      <c r="L117" s="6">
        <v>0</v>
      </c>
      <c r="M117" s="6">
        <v>1</v>
      </c>
      <c r="N117" s="6">
        <v>0</v>
      </c>
      <c r="O117" s="6">
        <v>1</v>
      </c>
      <c r="P117" s="6">
        <v>0</v>
      </c>
      <c r="Q117">
        <v>1</v>
      </c>
      <c r="R117">
        <f t="shared" si="5"/>
        <v>0</v>
      </c>
      <c r="S117">
        <f t="shared" si="6"/>
        <v>1</v>
      </c>
      <c r="T117">
        <f t="shared" si="7"/>
        <v>2</v>
      </c>
      <c r="U117">
        <f t="shared" si="8"/>
        <v>1</v>
      </c>
      <c r="V117">
        <f t="shared" si="9"/>
        <v>0</v>
      </c>
    </row>
    <row r="118" spans="1:22" x14ac:dyDescent="0.25">
      <c r="A118">
        <v>115</v>
      </c>
      <c r="B118" t="s">
        <v>5</v>
      </c>
      <c r="C118" t="s">
        <v>73</v>
      </c>
      <c r="D118" s="4">
        <v>45698</v>
      </c>
      <c r="E118" t="s">
        <v>2955</v>
      </c>
      <c r="F118" t="s">
        <v>75</v>
      </c>
      <c r="I118" s="6"/>
      <c r="J118" s="6"/>
      <c r="K118" s="6"/>
      <c r="L118" s="6"/>
      <c r="M118" s="6"/>
      <c r="N118" s="6"/>
      <c r="O118" s="6"/>
      <c r="P118" s="6"/>
      <c r="Q118">
        <v>0</v>
      </c>
      <c r="R118">
        <f t="shared" si="5"/>
        <v>0</v>
      </c>
      <c r="S118">
        <f t="shared" si="6"/>
        <v>0</v>
      </c>
      <c r="T118">
        <f t="shared" si="7"/>
        <v>0</v>
      </c>
      <c r="U118">
        <f t="shared" si="8"/>
        <v>0</v>
      </c>
      <c r="V118">
        <f t="shared" si="9"/>
        <v>0</v>
      </c>
    </row>
    <row r="119" spans="1:22" x14ac:dyDescent="0.25">
      <c r="A119">
        <v>116</v>
      </c>
      <c r="B119" t="s">
        <v>5</v>
      </c>
      <c r="C119" t="s">
        <v>73</v>
      </c>
      <c r="D119" s="4">
        <v>45698</v>
      </c>
      <c r="E119" t="s">
        <v>2954</v>
      </c>
      <c r="F119" t="s">
        <v>75</v>
      </c>
      <c r="I119" s="6"/>
      <c r="J119" s="6"/>
      <c r="K119" s="6"/>
      <c r="L119" s="6"/>
      <c r="M119" s="6"/>
      <c r="N119" s="6"/>
      <c r="O119" s="6"/>
      <c r="P119" s="6"/>
      <c r="Q119">
        <v>0</v>
      </c>
      <c r="R119">
        <f t="shared" si="5"/>
        <v>0</v>
      </c>
      <c r="S119">
        <f t="shared" si="6"/>
        <v>0</v>
      </c>
      <c r="T119">
        <f t="shared" si="7"/>
        <v>0</v>
      </c>
      <c r="U119">
        <f t="shared" si="8"/>
        <v>0</v>
      </c>
      <c r="V119">
        <f t="shared" si="9"/>
        <v>0</v>
      </c>
    </row>
    <row r="120" spans="1:22" x14ac:dyDescent="0.25">
      <c r="A120">
        <v>117</v>
      </c>
      <c r="B120" t="s">
        <v>5</v>
      </c>
      <c r="C120" t="s">
        <v>73</v>
      </c>
      <c r="D120" s="4">
        <v>45698</v>
      </c>
      <c r="E120" t="s">
        <v>677</v>
      </c>
      <c r="F120" t="s">
        <v>75</v>
      </c>
      <c r="I120" s="6"/>
      <c r="J120" s="6"/>
      <c r="K120" s="6"/>
      <c r="L120" s="6"/>
      <c r="M120" s="6"/>
      <c r="N120" s="6"/>
      <c r="O120" s="6"/>
      <c r="P120" s="6"/>
      <c r="Q120">
        <v>0</v>
      </c>
      <c r="R120">
        <f t="shared" si="5"/>
        <v>0</v>
      </c>
      <c r="S120">
        <f t="shared" si="6"/>
        <v>0</v>
      </c>
      <c r="T120">
        <f t="shared" si="7"/>
        <v>0</v>
      </c>
      <c r="U120">
        <f t="shared" si="8"/>
        <v>0</v>
      </c>
      <c r="V120">
        <f t="shared" si="9"/>
        <v>0</v>
      </c>
    </row>
    <row r="121" spans="1:22" x14ac:dyDescent="0.25">
      <c r="A121">
        <v>118</v>
      </c>
      <c r="B121" t="s">
        <v>5</v>
      </c>
      <c r="C121" t="s">
        <v>73</v>
      </c>
      <c r="D121" s="4">
        <v>45698</v>
      </c>
      <c r="E121" t="s">
        <v>2742</v>
      </c>
      <c r="F121" t="s">
        <v>75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>
        <v>1</v>
      </c>
      <c r="R121">
        <f t="shared" si="5"/>
        <v>0</v>
      </c>
      <c r="S121">
        <f t="shared" si="6"/>
        <v>1</v>
      </c>
      <c r="T121">
        <f t="shared" si="7"/>
        <v>1</v>
      </c>
      <c r="U121">
        <f t="shared" si="8"/>
        <v>1</v>
      </c>
      <c r="V121">
        <f t="shared" si="9"/>
        <v>0</v>
      </c>
    </row>
    <row r="122" spans="1:22" x14ac:dyDescent="0.25">
      <c r="A122">
        <v>119</v>
      </c>
      <c r="B122" t="s">
        <v>5</v>
      </c>
      <c r="C122" t="s">
        <v>73</v>
      </c>
      <c r="D122" s="4">
        <v>45698</v>
      </c>
      <c r="E122" t="s">
        <v>808</v>
      </c>
      <c r="F122" t="s">
        <v>75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>
        <v>1</v>
      </c>
      <c r="R122">
        <f t="shared" si="5"/>
        <v>0</v>
      </c>
      <c r="S122">
        <f t="shared" si="6"/>
        <v>1</v>
      </c>
      <c r="T122">
        <f t="shared" si="7"/>
        <v>1</v>
      </c>
      <c r="U122">
        <f t="shared" si="8"/>
        <v>1</v>
      </c>
      <c r="V122">
        <f t="shared" si="9"/>
        <v>0</v>
      </c>
    </row>
    <row r="123" spans="1:22" x14ac:dyDescent="0.25">
      <c r="A123">
        <v>120</v>
      </c>
      <c r="B123" t="s">
        <v>5</v>
      </c>
      <c r="C123" t="s">
        <v>73</v>
      </c>
      <c r="D123" s="4">
        <v>45698</v>
      </c>
      <c r="E123" t="s">
        <v>2741</v>
      </c>
      <c r="F123" t="s">
        <v>75</v>
      </c>
      <c r="I123" s="6"/>
      <c r="J123" s="6"/>
      <c r="K123" s="6"/>
      <c r="L123" s="6"/>
      <c r="M123" s="6"/>
      <c r="N123" s="6"/>
      <c r="O123" s="6"/>
      <c r="P123" s="6"/>
      <c r="Q123">
        <v>0</v>
      </c>
      <c r="R123">
        <f t="shared" si="5"/>
        <v>0</v>
      </c>
      <c r="S123">
        <f t="shared" si="6"/>
        <v>0</v>
      </c>
      <c r="T123">
        <f t="shared" si="7"/>
        <v>0</v>
      </c>
      <c r="U123">
        <f t="shared" si="8"/>
        <v>0</v>
      </c>
      <c r="V123">
        <f t="shared" si="9"/>
        <v>0</v>
      </c>
    </row>
    <row r="124" spans="1:22" x14ac:dyDescent="0.25">
      <c r="A124">
        <v>121</v>
      </c>
      <c r="B124" t="s">
        <v>5</v>
      </c>
      <c r="C124" t="s">
        <v>73</v>
      </c>
      <c r="D124" s="4">
        <v>45698</v>
      </c>
      <c r="E124" t="s">
        <v>117</v>
      </c>
      <c r="F124" t="s">
        <v>75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>
        <v>1</v>
      </c>
      <c r="R124">
        <f t="shared" si="5"/>
        <v>0</v>
      </c>
      <c r="S124">
        <f t="shared" si="6"/>
        <v>1</v>
      </c>
      <c r="T124">
        <f t="shared" si="7"/>
        <v>0</v>
      </c>
      <c r="U124">
        <f t="shared" si="8"/>
        <v>0</v>
      </c>
      <c r="V124">
        <f t="shared" si="9"/>
        <v>0</v>
      </c>
    </row>
    <row r="125" spans="1:22" x14ac:dyDescent="0.25">
      <c r="A125">
        <v>122</v>
      </c>
      <c r="B125" t="s">
        <v>5</v>
      </c>
      <c r="C125" t="s">
        <v>73</v>
      </c>
      <c r="D125" s="4">
        <v>45698</v>
      </c>
      <c r="E125" t="s">
        <v>2740</v>
      </c>
      <c r="F125" t="s">
        <v>75</v>
      </c>
      <c r="I125" s="6"/>
      <c r="J125" s="6"/>
      <c r="K125" s="6"/>
      <c r="L125" s="6"/>
      <c r="M125" s="6"/>
      <c r="N125" s="6"/>
      <c r="O125" s="6"/>
      <c r="P125" s="6"/>
      <c r="Q125">
        <v>0</v>
      </c>
      <c r="R125">
        <f t="shared" si="5"/>
        <v>0</v>
      </c>
      <c r="S125">
        <f t="shared" si="6"/>
        <v>0</v>
      </c>
      <c r="T125">
        <f t="shared" si="7"/>
        <v>0</v>
      </c>
      <c r="U125">
        <f t="shared" si="8"/>
        <v>0</v>
      </c>
      <c r="V125">
        <f t="shared" si="9"/>
        <v>0</v>
      </c>
    </row>
    <row r="126" spans="1:22" x14ac:dyDescent="0.25">
      <c r="A126">
        <v>123</v>
      </c>
      <c r="B126" t="s">
        <v>5</v>
      </c>
      <c r="C126" t="s">
        <v>73</v>
      </c>
      <c r="D126" s="4">
        <v>45698</v>
      </c>
      <c r="E126" t="s">
        <v>2953</v>
      </c>
      <c r="F126" t="s">
        <v>75</v>
      </c>
      <c r="I126" s="6"/>
      <c r="J126" s="6"/>
      <c r="K126" s="6"/>
      <c r="L126" s="6"/>
      <c r="M126" s="6"/>
      <c r="N126" s="6"/>
      <c r="O126" s="6"/>
      <c r="P126" s="6"/>
      <c r="Q126">
        <v>0</v>
      </c>
      <c r="R126">
        <f t="shared" si="5"/>
        <v>0</v>
      </c>
      <c r="S126">
        <f t="shared" si="6"/>
        <v>0</v>
      </c>
      <c r="T126">
        <f t="shared" si="7"/>
        <v>0</v>
      </c>
      <c r="U126">
        <f t="shared" si="8"/>
        <v>0</v>
      </c>
      <c r="V126">
        <f t="shared" si="9"/>
        <v>0</v>
      </c>
    </row>
    <row r="127" spans="1:22" x14ac:dyDescent="0.25">
      <c r="A127">
        <v>124</v>
      </c>
      <c r="B127" t="s">
        <v>5</v>
      </c>
      <c r="C127" t="s">
        <v>73</v>
      </c>
      <c r="D127" s="4">
        <v>45698</v>
      </c>
      <c r="E127" t="s">
        <v>118</v>
      </c>
      <c r="F127" t="s">
        <v>75</v>
      </c>
      <c r="I127" s="6">
        <v>1</v>
      </c>
      <c r="J127" s="6">
        <v>0</v>
      </c>
      <c r="K127" s="6">
        <v>1</v>
      </c>
      <c r="L127" s="6">
        <v>1</v>
      </c>
      <c r="M127" s="6">
        <v>1</v>
      </c>
      <c r="N127" s="6">
        <v>1</v>
      </c>
      <c r="O127" s="6">
        <v>0</v>
      </c>
      <c r="P127" s="6">
        <v>0</v>
      </c>
      <c r="Q127">
        <v>1</v>
      </c>
      <c r="R127">
        <f t="shared" si="5"/>
        <v>0</v>
      </c>
      <c r="S127">
        <f t="shared" si="6"/>
        <v>1</v>
      </c>
      <c r="T127">
        <f t="shared" si="7"/>
        <v>5</v>
      </c>
      <c r="U127">
        <f t="shared" si="8"/>
        <v>1</v>
      </c>
      <c r="V127">
        <f t="shared" si="9"/>
        <v>0</v>
      </c>
    </row>
    <row r="128" spans="1:22" x14ac:dyDescent="0.25">
      <c r="A128">
        <v>125</v>
      </c>
      <c r="B128" t="s">
        <v>5</v>
      </c>
      <c r="C128" t="s">
        <v>73</v>
      </c>
      <c r="D128" s="4">
        <v>45699</v>
      </c>
      <c r="E128" t="s">
        <v>809</v>
      </c>
      <c r="F128" t="s">
        <v>75</v>
      </c>
      <c r="I128" s="6"/>
      <c r="J128" s="6"/>
      <c r="K128" s="6"/>
      <c r="L128" s="6"/>
      <c r="M128" s="6"/>
      <c r="N128" s="6"/>
      <c r="O128" s="6"/>
      <c r="P128" s="6"/>
      <c r="Q128">
        <v>0</v>
      </c>
      <c r="R128">
        <f t="shared" si="5"/>
        <v>0</v>
      </c>
      <c r="S128">
        <f t="shared" si="6"/>
        <v>0</v>
      </c>
      <c r="T128">
        <f t="shared" si="7"/>
        <v>0</v>
      </c>
      <c r="U128">
        <f t="shared" si="8"/>
        <v>0</v>
      </c>
      <c r="V128">
        <f t="shared" si="9"/>
        <v>0</v>
      </c>
    </row>
    <row r="129" spans="1:22" x14ac:dyDescent="0.25">
      <c r="A129">
        <v>126</v>
      </c>
      <c r="B129" t="s">
        <v>5</v>
      </c>
      <c r="C129" t="s">
        <v>73</v>
      </c>
      <c r="D129" s="4">
        <v>45699</v>
      </c>
      <c r="E129" t="s">
        <v>2952</v>
      </c>
      <c r="F129" t="s">
        <v>75</v>
      </c>
      <c r="I129" s="6">
        <v>1</v>
      </c>
      <c r="J129" s="6">
        <v>0</v>
      </c>
      <c r="K129" s="6">
        <v>0</v>
      </c>
      <c r="L129" s="6">
        <v>0</v>
      </c>
      <c r="M129" s="6">
        <v>1</v>
      </c>
      <c r="N129" s="6">
        <v>1</v>
      </c>
      <c r="O129" s="6">
        <v>0</v>
      </c>
      <c r="P129" s="6">
        <v>0</v>
      </c>
      <c r="Q129">
        <v>1</v>
      </c>
      <c r="R129">
        <f t="shared" si="5"/>
        <v>0</v>
      </c>
      <c r="S129">
        <f t="shared" si="6"/>
        <v>1</v>
      </c>
      <c r="T129">
        <f t="shared" si="7"/>
        <v>3</v>
      </c>
      <c r="U129">
        <f t="shared" si="8"/>
        <v>1</v>
      </c>
      <c r="V129">
        <f t="shared" si="9"/>
        <v>0</v>
      </c>
    </row>
    <row r="130" spans="1:22" x14ac:dyDescent="0.25">
      <c r="A130">
        <v>127</v>
      </c>
      <c r="B130" t="s">
        <v>5</v>
      </c>
      <c r="C130" t="s">
        <v>73</v>
      </c>
      <c r="D130" s="4">
        <v>45699</v>
      </c>
      <c r="E130" t="s">
        <v>810</v>
      </c>
      <c r="F130" t="s">
        <v>75</v>
      </c>
      <c r="I130" s="6"/>
      <c r="J130" s="6"/>
      <c r="K130" s="6"/>
      <c r="L130" s="6"/>
      <c r="M130" s="6"/>
      <c r="N130" s="6"/>
      <c r="O130" s="6"/>
      <c r="P130" s="6"/>
      <c r="Q130">
        <v>0</v>
      </c>
      <c r="R130">
        <f t="shared" si="5"/>
        <v>0</v>
      </c>
      <c r="S130">
        <f t="shared" si="6"/>
        <v>0</v>
      </c>
      <c r="T130">
        <f t="shared" si="7"/>
        <v>0</v>
      </c>
      <c r="U130">
        <f t="shared" si="8"/>
        <v>0</v>
      </c>
      <c r="V130">
        <f t="shared" si="9"/>
        <v>0</v>
      </c>
    </row>
    <row r="131" spans="1:22" x14ac:dyDescent="0.25">
      <c r="A131">
        <v>128</v>
      </c>
      <c r="B131" t="s">
        <v>5</v>
      </c>
      <c r="C131" t="s">
        <v>73</v>
      </c>
      <c r="D131" s="4">
        <v>45699</v>
      </c>
      <c r="E131" t="s">
        <v>811</v>
      </c>
      <c r="F131" t="s">
        <v>75</v>
      </c>
      <c r="I131" s="6"/>
      <c r="J131" s="6"/>
      <c r="K131" s="6"/>
      <c r="L131" s="6"/>
      <c r="M131" s="6"/>
      <c r="N131" s="6"/>
      <c r="O131" s="6"/>
      <c r="P131" s="6"/>
      <c r="Q131">
        <v>0</v>
      </c>
      <c r="R131">
        <f t="shared" ref="R131:R194" si="10">IF(AND(Q131=1,F131="ai_full"),1,0)</f>
        <v>0</v>
      </c>
      <c r="S131">
        <f t="shared" ref="S131:S194" si="11">IF(AND(Q131=1,F131="conventional"),1,0)</f>
        <v>0</v>
      </c>
      <c r="T131">
        <f t="shared" ref="T131:T194" si="12">SUM(I131:P131)</f>
        <v>0</v>
      </c>
      <c r="U131">
        <f t="shared" ref="U131:U194" si="13">IF(T131&gt;=1,1,0)</f>
        <v>0</v>
      </c>
      <c r="V131">
        <f t="shared" ref="V131:V194" si="14">IF(F131="ai_full",1,0)</f>
        <v>0</v>
      </c>
    </row>
    <row r="132" spans="1:22" x14ac:dyDescent="0.25">
      <c r="A132">
        <v>129</v>
      </c>
      <c r="B132" t="s">
        <v>5</v>
      </c>
      <c r="C132" t="s">
        <v>73</v>
      </c>
      <c r="D132" s="4">
        <v>45699</v>
      </c>
      <c r="E132" t="s">
        <v>812</v>
      </c>
      <c r="F132" t="s">
        <v>75</v>
      </c>
      <c r="I132" s="6"/>
      <c r="J132" s="6"/>
      <c r="K132" s="6"/>
      <c r="L132" s="6"/>
      <c r="M132" s="6"/>
      <c r="N132" s="6"/>
      <c r="O132" s="6"/>
      <c r="P132" s="6"/>
      <c r="Q132">
        <v>0</v>
      </c>
      <c r="R132">
        <f t="shared" si="10"/>
        <v>0</v>
      </c>
      <c r="S132">
        <f t="shared" si="11"/>
        <v>0</v>
      </c>
      <c r="T132">
        <f t="shared" si="12"/>
        <v>0</v>
      </c>
      <c r="U132">
        <f t="shared" si="13"/>
        <v>0</v>
      </c>
      <c r="V132">
        <f t="shared" si="14"/>
        <v>0</v>
      </c>
    </row>
    <row r="133" spans="1:22" x14ac:dyDescent="0.25">
      <c r="A133">
        <v>130</v>
      </c>
      <c r="B133" t="s">
        <v>5</v>
      </c>
      <c r="C133" t="s">
        <v>73</v>
      </c>
      <c r="D133" s="4">
        <v>45699</v>
      </c>
      <c r="E133" t="s">
        <v>119</v>
      </c>
      <c r="F133" t="s">
        <v>75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6">
        <v>0</v>
      </c>
      <c r="O133" s="6">
        <v>0</v>
      </c>
      <c r="P133" s="6">
        <v>0</v>
      </c>
      <c r="Q133">
        <v>1</v>
      </c>
      <c r="R133">
        <f t="shared" si="10"/>
        <v>0</v>
      </c>
      <c r="S133">
        <f t="shared" si="11"/>
        <v>1</v>
      </c>
      <c r="T133">
        <f t="shared" si="12"/>
        <v>1</v>
      </c>
      <c r="U133">
        <f t="shared" si="13"/>
        <v>1</v>
      </c>
      <c r="V133">
        <f t="shared" si="14"/>
        <v>0</v>
      </c>
    </row>
    <row r="134" spans="1:22" x14ac:dyDescent="0.25">
      <c r="A134">
        <v>131</v>
      </c>
      <c r="B134" t="s">
        <v>5</v>
      </c>
      <c r="C134" t="s">
        <v>73</v>
      </c>
      <c r="D134" s="4">
        <v>45699</v>
      </c>
      <c r="E134" t="s">
        <v>813</v>
      </c>
      <c r="F134" t="s">
        <v>75</v>
      </c>
      <c r="I134" s="6"/>
      <c r="J134" s="6"/>
      <c r="K134" s="6"/>
      <c r="L134" s="6"/>
      <c r="M134" s="6"/>
      <c r="N134" s="6"/>
      <c r="O134" s="6"/>
      <c r="P134" s="6"/>
      <c r="Q134">
        <v>0</v>
      </c>
      <c r="R134">
        <f t="shared" si="10"/>
        <v>0</v>
      </c>
      <c r="S134">
        <f t="shared" si="11"/>
        <v>0</v>
      </c>
      <c r="T134">
        <f t="shared" si="12"/>
        <v>0</v>
      </c>
      <c r="U134">
        <f t="shared" si="13"/>
        <v>0</v>
      </c>
      <c r="V134">
        <f t="shared" si="14"/>
        <v>0</v>
      </c>
    </row>
    <row r="135" spans="1:22" x14ac:dyDescent="0.25">
      <c r="A135">
        <v>132</v>
      </c>
      <c r="B135" t="s">
        <v>5</v>
      </c>
      <c r="C135" t="s">
        <v>73</v>
      </c>
      <c r="D135" s="4">
        <v>45699</v>
      </c>
      <c r="E135" t="s">
        <v>2739</v>
      </c>
      <c r="F135" t="s">
        <v>75</v>
      </c>
      <c r="I135" s="6"/>
      <c r="J135" s="6"/>
      <c r="K135" s="6"/>
      <c r="L135" s="6"/>
      <c r="M135" s="6"/>
      <c r="N135" s="6"/>
      <c r="O135" s="6"/>
      <c r="P135" s="6"/>
      <c r="Q135">
        <v>0</v>
      </c>
      <c r="R135">
        <f t="shared" si="10"/>
        <v>0</v>
      </c>
      <c r="S135">
        <f t="shared" si="11"/>
        <v>0</v>
      </c>
      <c r="T135">
        <f t="shared" si="12"/>
        <v>0</v>
      </c>
      <c r="U135">
        <f t="shared" si="13"/>
        <v>0</v>
      </c>
      <c r="V135">
        <f t="shared" si="14"/>
        <v>0</v>
      </c>
    </row>
    <row r="136" spans="1:22" x14ac:dyDescent="0.25">
      <c r="A136">
        <v>133</v>
      </c>
      <c r="B136" t="s">
        <v>5</v>
      </c>
      <c r="C136" t="s">
        <v>73</v>
      </c>
      <c r="D136" s="4">
        <v>45699</v>
      </c>
      <c r="E136" t="s">
        <v>2951</v>
      </c>
      <c r="F136" t="s">
        <v>75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  <c r="Q136">
        <v>1</v>
      </c>
      <c r="R136">
        <f t="shared" si="10"/>
        <v>0</v>
      </c>
      <c r="S136">
        <f t="shared" si="11"/>
        <v>1</v>
      </c>
      <c r="T136">
        <f t="shared" si="12"/>
        <v>1</v>
      </c>
      <c r="U136">
        <f t="shared" si="13"/>
        <v>1</v>
      </c>
      <c r="V136">
        <f t="shared" si="14"/>
        <v>0</v>
      </c>
    </row>
    <row r="137" spans="1:22" x14ac:dyDescent="0.25">
      <c r="A137">
        <v>134</v>
      </c>
      <c r="B137" t="s">
        <v>5</v>
      </c>
      <c r="C137" t="s">
        <v>73</v>
      </c>
      <c r="D137" s="4">
        <v>45699</v>
      </c>
      <c r="E137" t="s">
        <v>120</v>
      </c>
      <c r="F137" t="s">
        <v>75</v>
      </c>
      <c r="I137" s="6">
        <v>0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>
        <v>1</v>
      </c>
      <c r="R137">
        <f t="shared" si="10"/>
        <v>0</v>
      </c>
      <c r="S137">
        <f t="shared" si="11"/>
        <v>1</v>
      </c>
      <c r="T137">
        <f t="shared" si="12"/>
        <v>1</v>
      </c>
      <c r="U137">
        <f t="shared" si="13"/>
        <v>1</v>
      </c>
      <c r="V137">
        <f t="shared" si="14"/>
        <v>0</v>
      </c>
    </row>
    <row r="138" spans="1:22" x14ac:dyDescent="0.25">
      <c r="A138">
        <v>135</v>
      </c>
      <c r="B138" t="s">
        <v>5</v>
      </c>
      <c r="C138" t="s">
        <v>73</v>
      </c>
      <c r="D138" s="4">
        <v>45700</v>
      </c>
      <c r="E138" t="s">
        <v>679</v>
      </c>
      <c r="F138" t="s">
        <v>75</v>
      </c>
      <c r="I138" s="6">
        <v>1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>
        <v>1</v>
      </c>
      <c r="R138">
        <f t="shared" si="10"/>
        <v>0</v>
      </c>
      <c r="S138">
        <f t="shared" si="11"/>
        <v>1</v>
      </c>
      <c r="T138">
        <f t="shared" si="12"/>
        <v>2</v>
      </c>
      <c r="U138">
        <f t="shared" si="13"/>
        <v>1</v>
      </c>
      <c r="V138">
        <f t="shared" si="14"/>
        <v>0</v>
      </c>
    </row>
    <row r="139" spans="1:22" x14ac:dyDescent="0.25">
      <c r="A139">
        <v>136</v>
      </c>
      <c r="B139" t="s">
        <v>5</v>
      </c>
      <c r="C139" t="s">
        <v>73</v>
      </c>
      <c r="D139" s="4">
        <v>45700</v>
      </c>
      <c r="E139" t="s">
        <v>121</v>
      </c>
      <c r="F139" t="s">
        <v>75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>
        <v>1</v>
      </c>
      <c r="R139">
        <f t="shared" si="10"/>
        <v>0</v>
      </c>
      <c r="S139">
        <f t="shared" si="11"/>
        <v>1</v>
      </c>
      <c r="T139">
        <f t="shared" si="12"/>
        <v>0</v>
      </c>
      <c r="U139">
        <f t="shared" si="13"/>
        <v>0</v>
      </c>
      <c r="V139">
        <f t="shared" si="14"/>
        <v>0</v>
      </c>
    </row>
    <row r="140" spans="1:22" x14ac:dyDescent="0.25">
      <c r="A140">
        <v>137</v>
      </c>
      <c r="B140" t="s">
        <v>5</v>
      </c>
      <c r="C140" t="s">
        <v>73</v>
      </c>
      <c r="D140" s="4">
        <v>45700</v>
      </c>
      <c r="E140" t="s">
        <v>2950</v>
      </c>
      <c r="F140" t="s">
        <v>75</v>
      </c>
      <c r="I140" s="6">
        <v>0</v>
      </c>
      <c r="J140" s="6">
        <v>0</v>
      </c>
      <c r="K140" s="6">
        <v>0</v>
      </c>
      <c r="L140" s="6">
        <v>0</v>
      </c>
      <c r="M140" s="6">
        <v>1</v>
      </c>
      <c r="N140" s="6">
        <v>0</v>
      </c>
      <c r="O140" s="6">
        <v>0</v>
      </c>
      <c r="P140" s="6">
        <v>0</v>
      </c>
      <c r="Q140">
        <v>1</v>
      </c>
      <c r="R140">
        <f t="shared" si="10"/>
        <v>0</v>
      </c>
      <c r="S140">
        <f t="shared" si="11"/>
        <v>1</v>
      </c>
      <c r="T140">
        <f t="shared" si="12"/>
        <v>1</v>
      </c>
      <c r="U140">
        <f t="shared" si="13"/>
        <v>1</v>
      </c>
      <c r="V140">
        <f t="shared" si="14"/>
        <v>0</v>
      </c>
    </row>
    <row r="141" spans="1:22" x14ac:dyDescent="0.25">
      <c r="A141">
        <v>138</v>
      </c>
      <c r="B141" t="s">
        <v>5</v>
      </c>
      <c r="C141" t="s">
        <v>73</v>
      </c>
      <c r="D141" s="4">
        <v>45700</v>
      </c>
      <c r="E141" t="s">
        <v>2949</v>
      </c>
      <c r="F141" t="s">
        <v>75</v>
      </c>
      <c r="I141" s="6">
        <v>0</v>
      </c>
      <c r="J141" s="6">
        <v>0</v>
      </c>
      <c r="K141" s="6">
        <v>1</v>
      </c>
      <c r="L141" s="6">
        <v>0</v>
      </c>
      <c r="M141" s="6">
        <v>1</v>
      </c>
      <c r="N141" s="6">
        <v>0</v>
      </c>
      <c r="O141" s="6">
        <v>0</v>
      </c>
      <c r="P141" s="6">
        <v>0</v>
      </c>
      <c r="Q141">
        <v>1</v>
      </c>
      <c r="R141">
        <f t="shared" si="10"/>
        <v>0</v>
      </c>
      <c r="S141">
        <f t="shared" si="11"/>
        <v>1</v>
      </c>
      <c r="T141">
        <f t="shared" si="12"/>
        <v>2</v>
      </c>
      <c r="U141">
        <f t="shared" si="13"/>
        <v>1</v>
      </c>
      <c r="V141">
        <f t="shared" si="14"/>
        <v>0</v>
      </c>
    </row>
    <row r="142" spans="1:22" x14ac:dyDescent="0.25">
      <c r="A142">
        <v>139</v>
      </c>
      <c r="B142" t="s">
        <v>5</v>
      </c>
      <c r="C142" t="s">
        <v>73</v>
      </c>
      <c r="D142" s="4">
        <v>45700</v>
      </c>
      <c r="E142" t="s">
        <v>2948</v>
      </c>
      <c r="F142" t="s">
        <v>75</v>
      </c>
      <c r="I142" s="6">
        <v>1</v>
      </c>
      <c r="J142" s="6">
        <v>0</v>
      </c>
      <c r="K142" s="6">
        <v>0</v>
      </c>
      <c r="L142" s="6">
        <v>0</v>
      </c>
      <c r="M142" s="6">
        <v>1</v>
      </c>
      <c r="N142" s="6">
        <v>1</v>
      </c>
      <c r="O142" s="6">
        <v>1</v>
      </c>
      <c r="P142" s="6">
        <v>1</v>
      </c>
      <c r="Q142">
        <v>1</v>
      </c>
      <c r="R142">
        <f t="shared" si="10"/>
        <v>0</v>
      </c>
      <c r="S142">
        <f t="shared" si="11"/>
        <v>1</v>
      </c>
      <c r="T142">
        <f t="shared" si="12"/>
        <v>5</v>
      </c>
      <c r="U142">
        <f t="shared" si="13"/>
        <v>1</v>
      </c>
      <c r="V142">
        <f t="shared" si="14"/>
        <v>0</v>
      </c>
    </row>
    <row r="143" spans="1:22" x14ac:dyDescent="0.25">
      <c r="A143">
        <v>140</v>
      </c>
      <c r="B143" t="s">
        <v>5</v>
      </c>
      <c r="C143" t="s">
        <v>73</v>
      </c>
      <c r="D143" s="4">
        <v>45700</v>
      </c>
      <c r="E143" t="s">
        <v>122</v>
      </c>
      <c r="F143" t="s">
        <v>75</v>
      </c>
      <c r="I143" s="6">
        <v>0</v>
      </c>
      <c r="J143" s="6">
        <v>0</v>
      </c>
      <c r="K143" s="6">
        <v>1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>
        <v>1</v>
      </c>
      <c r="R143">
        <f t="shared" si="10"/>
        <v>0</v>
      </c>
      <c r="S143">
        <f t="shared" si="11"/>
        <v>1</v>
      </c>
      <c r="T143">
        <f t="shared" si="12"/>
        <v>2</v>
      </c>
      <c r="U143">
        <f t="shared" si="13"/>
        <v>1</v>
      </c>
      <c r="V143">
        <f t="shared" si="14"/>
        <v>0</v>
      </c>
    </row>
    <row r="144" spans="1:22" x14ac:dyDescent="0.25">
      <c r="A144">
        <v>141</v>
      </c>
      <c r="B144" t="s">
        <v>5</v>
      </c>
      <c r="C144" t="s">
        <v>73</v>
      </c>
      <c r="D144" s="4">
        <v>45700</v>
      </c>
      <c r="E144" t="s">
        <v>123</v>
      </c>
      <c r="F144" t="s">
        <v>75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0</v>
      </c>
      <c r="Q144">
        <v>1</v>
      </c>
      <c r="R144">
        <f t="shared" si="10"/>
        <v>0</v>
      </c>
      <c r="S144">
        <f t="shared" si="11"/>
        <v>1</v>
      </c>
      <c r="T144">
        <f t="shared" si="12"/>
        <v>1</v>
      </c>
      <c r="U144">
        <f t="shared" si="13"/>
        <v>1</v>
      </c>
      <c r="V144">
        <f t="shared" si="14"/>
        <v>0</v>
      </c>
    </row>
    <row r="145" spans="1:22" x14ac:dyDescent="0.25">
      <c r="A145">
        <v>142</v>
      </c>
      <c r="B145" t="s">
        <v>5</v>
      </c>
      <c r="C145" t="s">
        <v>73</v>
      </c>
      <c r="D145" s="4">
        <v>45700</v>
      </c>
      <c r="E145" t="s">
        <v>680</v>
      </c>
      <c r="F145" t="s">
        <v>75</v>
      </c>
      <c r="I145" s="6">
        <v>0</v>
      </c>
      <c r="J145" s="6">
        <v>0</v>
      </c>
      <c r="K145" s="6">
        <v>0</v>
      </c>
      <c r="L145" s="6">
        <v>0</v>
      </c>
      <c r="M145" s="6">
        <v>1</v>
      </c>
      <c r="N145" s="6">
        <v>1</v>
      </c>
      <c r="O145" s="6">
        <v>0</v>
      </c>
      <c r="P145" s="6">
        <v>0</v>
      </c>
      <c r="Q145">
        <v>1</v>
      </c>
      <c r="R145">
        <f t="shared" si="10"/>
        <v>0</v>
      </c>
      <c r="S145">
        <f t="shared" si="11"/>
        <v>1</v>
      </c>
      <c r="T145">
        <f t="shared" si="12"/>
        <v>2</v>
      </c>
      <c r="U145">
        <f t="shared" si="13"/>
        <v>1</v>
      </c>
      <c r="V145">
        <f t="shared" si="14"/>
        <v>0</v>
      </c>
    </row>
    <row r="146" spans="1:22" x14ac:dyDescent="0.25">
      <c r="A146">
        <v>143</v>
      </c>
      <c r="B146" t="s">
        <v>5</v>
      </c>
      <c r="C146" t="s">
        <v>73</v>
      </c>
      <c r="D146" s="4">
        <v>45700</v>
      </c>
      <c r="E146" t="s">
        <v>814</v>
      </c>
      <c r="F146" t="s">
        <v>75</v>
      </c>
      <c r="I146" s="6">
        <v>0</v>
      </c>
      <c r="J146" s="6">
        <v>0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>
        <v>1</v>
      </c>
      <c r="R146">
        <f t="shared" si="10"/>
        <v>0</v>
      </c>
      <c r="S146">
        <f t="shared" si="11"/>
        <v>1</v>
      </c>
      <c r="T146">
        <f t="shared" si="12"/>
        <v>1</v>
      </c>
      <c r="U146">
        <f t="shared" si="13"/>
        <v>1</v>
      </c>
      <c r="V146">
        <f t="shared" si="14"/>
        <v>0</v>
      </c>
    </row>
    <row r="147" spans="1:22" x14ac:dyDescent="0.25">
      <c r="A147">
        <v>144</v>
      </c>
      <c r="B147" t="s">
        <v>5</v>
      </c>
      <c r="C147" t="s">
        <v>73</v>
      </c>
      <c r="D147" s="4">
        <v>45700</v>
      </c>
      <c r="E147" t="s">
        <v>124</v>
      </c>
      <c r="F147" t="s">
        <v>75</v>
      </c>
      <c r="I147" s="6">
        <v>1</v>
      </c>
      <c r="J147" s="6">
        <v>0</v>
      </c>
      <c r="K147" s="6">
        <v>0</v>
      </c>
      <c r="L147" s="6">
        <v>0</v>
      </c>
      <c r="M147" s="6">
        <v>1</v>
      </c>
      <c r="N147" s="6">
        <v>0</v>
      </c>
      <c r="O147" s="6">
        <v>0</v>
      </c>
      <c r="P147" s="6">
        <v>0</v>
      </c>
      <c r="Q147">
        <v>1</v>
      </c>
      <c r="R147">
        <f t="shared" si="10"/>
        <v>0</v>
      </c>
      <c r="S147">
        <f t="shared" si="11"/>
        <v>1</v>
      </c>
      <c r="T147">
        <f t="shared" si="12"/>
        <v>2</v>
      </c>
      <c r="U147">
        <f t="shared" si="13"/>
        <v>1</v>
      </c>
      <c r="V147">
        <f t="shared" si="14"/>
        <v>0</v>
      </c>
    </row>
    <row r="148" spans="1:22" x14ac:dyDescent="0.25">
      <c r="A148">
        <v>145</v>
      </c>
      <c r="B148" t="s">
        <v>5</v>
      </c>
      <c r="C148" t="s">
        <v>73</v>
      </c>
      <c r="D148" s="4">
        <v>45700</v>
      </c>
      <c r="E148" t="s">
        <v>2738</v>
      </c>
      <c r="F148" t="s">
        <v>75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1</v>
      </c>
      <c r="P148" s="6">
        <v>0</v>
      </c>
      <c r="Q148">
        <v>1</v>
      </c>
      <c r="R148">
        <f t="shared" si="10"/>
        <v>0</v>
      </c>
      <c r="S148">
        <f t="shared" si="11"/>
        <v>1</v>
      </c>
      <c r="T148">
        <f t="shared" si="12"/>
        <v>1</v>
      </c>
      <c r="U148">
        <f t="shared" si="13"/>
        <v>1</v>
      </c>
      <c r="V148">
        <f t="shared" si="14"/>
        <v>0</v>
      </c>
    </row>
    <row r="149" spans="1:22" x14ac:dyDescent="0.25">
      <c r="A149">
        <v>146</v>
      </c>
      <c r="B149" t="s">
        <v>5</v>
      </c>
      <c r="C149" t="s">
        <v>73</v>
      </c>
      <c r="D149" s="4">
        <v>45700</v>
      </c>
      <c r="E149" t="s">
        <v>815</v>
      </c>
      <c r="F149" t="s">
        <v>75</v>
      </c>
      <c r="I149" s="6">
        <v>1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>
        <v>1</v>
      </c>
      <c r="R149">
        <f t="shared" si="10"/>
        <v>0</v>
      </c>
      <c r="S149">
        <f t="shared" si="11"/>
        <v>1</v>
      </c>
      <c r="T149">
        <f t="shared" si="12"/>
        <v>1</v>
      </c>
      <c r="U149">
        <f t="shared" si="13"/>
        <v>1</v>
      </c>
      <c r="V149">
        <f t="shared" si="14"/>
        <v>0</v>
      </c>
    </row>
    <row r="150" spans="1:22" x14ac:dyDescent="0.25">
      <c r="A150">
        <v>147</v>
      </c>
      <c r="B150" t="s">
        <v>5</v>
      </c>
      <c r="C150" t="s">
        <v>73</v>
      </c>
      <c r="D150" s="4">
        <v>45700</v>
      </c>
      <c r="E150" t="s">
        <v>816</v>
      </c>
      <c r="F150" t="s">
        <v>75</v>
      </c>
      <c r="I150" s="6">
        <v>1</v>
      </c>
      <c r="J150" s="6">
        <v>0</v>
      </c>
      <c r="K150" s="6">
        <v>0</v>
      </c>
      <c r="L150" s="6">
        <v>0</v>
      </c>
      <c r="M150" s="6">
        <v>1</v>
      </c>
      <c r="N150" s="6">
        <v>1</v>
      </c>
      <c r="O150" s="6">
        <v>1</v>
      </c>
      <c r="P150" s="6">
        <v>0</v>
      </c>
      <c r="Q150">
        <v>1</v>
      </c>
      <c r="R150">
        <f t="shared" si="10"/>
        <v>0</v>
      </c>
      <c r="S150">
        <f t="shared" si="11"/>
        <v>1</v>
      </c>
      <c r="T150">
        <f t="shared" si="12"/>
        <v>4</v>
      </c>
      <c r="U150">
        <f t="shared" si="13"/>
        <v>1</v>
      </c>
      <c r="V150">
        <f t="shared" si="14"/>
        <v>0</v>
      </c>
    </row>
    <row r="151" spans="1:22" x14ac:dyDescent="0.25">
      <c r="A151">
        <v>148</v>
      </c>
      <c r="B151" t="s">
        <v>5</v>
      </c>
      <c r="C151" t="s">
        <v>73</v>
      </c>
      <c r="D151" s="4">
        <v>45700</v>
      </c>
      <c r="E151" t="s">
        <v>817</v>
      </c>
      <c r="F151" t="s">
        <v>75</v>
      </c>
      <c r="I151" s="6"/>
      <c r="J151" s="6"/>
      <c r="K151" s="6"/>
      <c r="L151" s="6"/>
      <c r="M151" s="6"/>
      <c r="N151" s="6"/>
      <c r="O151" s="6"/>
      <c r="P151" s="6"/>
      <c r="Q151">
        <v>0</v>
      </c>
      <c r="R151">
        <f t="shared" si="10"/>
        <v>0</v>
      </c>
      <c r="S151">
        <f t="shared" si="11"/>
        <v>0</v>
      </c>
      <c r="T151">
        <f t="shared" si="12"/>
        <v>0</v>
      </c>
      <c r="U151">
        <f t="shared" si="13"/>
        <v>0</v>
      </c>
      <c r="V151">
        <f t="shared" si="14"/>
        <v>0</v>
      </c>
    </row>
    <row r="152" spans="1:22" x14ac:dyDescent="0.25">
      <c r="A152">
        <v>149</v>
      </c>
      <c r="B152" t="s">
        <v>5</v>
      </c>
      <c r="C152" t="s">
        <v>73</v>
      </c>
      <c r="D152" s="4">
        <v>45700</v>
      </c>
      <c r="E152" t="s">
        <v>125</v>
      </c>
      <c r="F152" t="s">
        <v>75</v>
      </c>
      <c r="I152" s="6">
        <v>1</v>
      </c>
      <c r="J152" s="6">
        <v>0</v>
      </c>
      <c r="K152" s="6">
        <v>0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  <c r="Q152">
        <v>1</v>
      </c>
      <c r="R152">
        <f t="shared" si="10"/>
        <v>0</v>
      </c>
      <c r="S152">
        <f t="shared" si="11"/>
        <v>1</v>
      </c>
      <c r="T152">
        <f t="shared" si="12"/>
        <v>2</v>
      </c>
      <c r="U152">
        <f t="shared" si="13"/>
        <v>1</v>
      </c>
      <c r="V152">
        <f t="shared" si="14"/>
        <v>0</v>
      </c>
    </row>
    <row r="153" spans="1:22" x14ac:dyDescent="0.25">
      <c r="A153">
        <v>150</v>
      </c>
      <c r="B153" t="s">
        <v>5</v>
      </c>
      <c r="C153" t="s">
        <v>73</v>
      </c>
      <c r="D153" s="4">
        <v>45701</v>
      </c>
      <c r="E153" t="s">
        <v>126</v>
      </c>
      <c r="F153" t="s">
        <v>75</v>
      </c>
      <c r="I153" s="6">
        <v>0</v>
      </c>
      <c r="J153" s="6">
        <v>0</v>
      </c>
      <c r="K153" s="6">
        <v>1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>
        <v>1</v>
      </c>
      <c r="R153">
        <f t="shared" si="10"/>
        <v>0</v>
      </c>
      <c r="S153">
        <f t="shared" si="11"/>
        <v>1</v>
      </c>
      <c r="T153">
        <f t="shared" si="12"/>
        <v>2</v>
      </c>
      <c r="U153">
        <f t="shared" si="13"/>
        <v>1</v>
      </c>
      <c r="V153">
        <f t="shared" si="14"/>
        <v>0</v>
      </c>
    </row>
    <row r="154" spans="1:22" x14ac:dyDescent="0.25">
      <c r="A154">
        <v>151</v>
      </c>
      <c r="B154" t="s">
        <v>5</v>
      </c>
      <c r="C154" t="s">
        <v>73</v>
      </c>
      <c r="D154" s="4">
        <v>45701</v>
      </c>
      <c r="E154" t="s">
        <v>127</v>
      </c>
      <c r="F154" t="s">
        <v>75</v>
      </c>
      <c r="I154" s="6">
        <v>0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>
        <v>1</v>
      </c>
      <c r="R154">
        <f t="shared" si="10"/>
        <v>0</v>
      </c>
      <c r="S154">
        <f t="shared" si="11"/>
        <v>1</v>
      </c>
      <c r="T154">
        <f t="shared" si="12"/>
        <v>1</v>
      </c>
      <c r="U154">
        <f t="shared" si="13"/>
        <v>1</v>
      </c>
      <c r="V154">
        <f t="shared" si="14"/>
        <v>0</v>
      </c>
    </row>
    <row r="155" spans="1:22" x14ac:dyDescent="0.25">
      <c r="A155">
        <v>152</v>
      </c>
      <c r="B155" t="s">
        <v>5</v>
      </c>
      <c r="C155" t="s">
        <v>73</v>
      </c>
      <c r="D155" s="4">
        <v>45701</v>
      </c>
      <c r="E155" t="s">
        <v>2737</v>
      </c>
      <c r="F155" t="s">
        <v>75</v>
      </c>
      <c r="I155" s="6"/>
      <c r="J155" s="6"/>
      <c r="K155" s="6"/>
      <c r="L155" s="6"/>
      <c r="M155" s="6"/>
      <c r="N155" s="6"/>
      <c r="O155" s="6"/>
      <c r="P155" s="6"/>
      <c r="Q155">
        <v>0</v>
      </c>
      <c r="R155">
        <f t="shared" si="10"/>
        <v>0</v>
      </c>
      <c r="S155">
        <f t="shared" si="11"/>
        <v>0</v>
      </c>
      <c r="T155">
        <f t="shared" si="12"/>
        <v>0</v>
      </c>
      <c r="U155">
        <f t="shared" si="13"/>
        <v>0</v>
      </c>
      <c r="V155">
        <f t="shared" si="14"/>
        <v>0</v>
      </c>
    </row>
    <row r="156" spans="1:22" x14ac:dyDescent="0.25">
      <c r="A156">
        <v>153</v>
      </c>
      <c r="B156" t="s">
        <v>5</v>
      </c>
      <c r="C156" t="s">
        <v>73</v>
      </c>
      <c r="D156" s="4">
        <v>45701</v>
      </c>
      <c r="E156" t="s">
        <v>128</v>
      </c>
      <c r="F156" t="s">
        <v>75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>
        <v>1</v>
      </c>
      <c r="R156">
        <f t="shared" si="10"/>
        <v>0</v>
      </c>
      <c r="S156">
        <f t="shared" si="11"/>
        <v>1</v>
      </c>
      <c r="T156">
        <f t="shared" si="12"/>
        <v>0</v>
      </c>
      <c r="U156">
        <f t="shared" si="13"/>
        <v>0</v>
      </c>
      <c r="V156">
        <f t="shared" si="14"/>
        <v>0</v>
      </c>
    </row>
    <row r="157" spans="1:22" x14ac:dyDescent="0.25">
      <c r="A157">
        <v>154</v>
      </c>
      <c r="B157" t="s">
        <v>5</v>
      </c>
      <c r="C157" t="s">
        <v>73</v>
      </c>
      <c r="D157" s="4">
        <v>45701</v>
      </c>
      <c r="E157" t="s">
        <v>129</v>
      </c>
      <c r="F157" t="s">
        <v>75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>
        <v>1</v>
      </c>
      <c r="R157">
        <f t="shared" si="10"/>
        <v>0</v>
      </c>
      <c r="S157">
        <f t="shared" si="11"/>
        <v>1</v>
      </c>
      <c r="T157">
        <f t="shared" si="12"/>
        <v>0</v>
      </c>
      <c r="U157">
        <f t="shared" si="13"/>
        <v>0</v>
      </c>
      <c r="V157">
        <f t="shared" si="14"/>
        <v>0</v>
      </c>
    </row>
    <row r="158" spans="1:22" x14ac:dyDescent="0.25">
      <c r="A158">
        <v>155</v>
      </c>
      <c r="B158" t="s">
        <v>5</v>
      </c>
      <c r="C158" t="s">
        <v>73</v>
      </c>
      <c r="D158" s="4">
        <v>45702</v>
      </c>
      <c r="E158" t="s">
        <v>682</v>
      </c>
      <c r="F158" t="s">
        <v>75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>
        <v>1</v>
      </c>
      <c r="R158">
        <f t="shared" si="10"/>
        <v>0</v>
      </c>
      <c r="S158">
        <f t="shared" si="11"/>
        <v>1</v>
      </c>
      <c r="T158">
        <f t="shared" si="12"/>
        <v>0</v>
      </c>
      <c r="U158">
        <f t="shared" si="13"/>
        <v>0</v>
      </c>
      <c r="V158">
        <f t="shared" si="14"/>
        <v>0</v>
      </c>
    </row>
    <row r="159" spans="1:22" x14ac:dyDescent="0.25">
      <c r="A159">
        <v>156</v>
      </c>
      <c r="B159" t="s">
        <v>5</v>
      </c>
      <c r="C159" t="s">
        <v>73</v>
      </c>
      <c r="D159" s="4">
        <v>45702</v>
      </c>
      <c r="E159" t="s">
        <v>130</v>
      </c>
      <c r="F159" t="s">
        <v>75</v>
      </c>
      <c r="I159" s="6">
        <v>1</v>
      </c>
      <c r="J159" s="6">
        <v>0</v>
      </c>
      <c r="K159" s="6">
        <v>0</v>
      </c>
      <c r="L159" s="6">
        <v>1</v>
      </c>
      <c r="M159" s="6">
        <v>0</v>
      </c>
      <c r="N159" s="6">
        <v>0</v>
      </c>
      <c r="O159" s="6">
        <v>0</v>
      </c>
      <c r="P159" s="6">
        <v>0</v>
      </c>
      <c r="Q159">
        <v>1</v>
      </c>
      <c r="R159">
        <f t="shared" si="10"/>
        <v>0</v>
      </c>
      <c r="S159">
        <f t="shared" si="11"/>
        <v>1</v>
      </c>
      <c r="T159">
        <f t="shared" si="12"/>
        <v>2</v>
      </c>
      <c r="U159">
        <f t="shared" si="13"/>
        <v>1</v>
      </c>
      <c r="V159">
        <f t="shared" si="14"/>
        <v>0</v>
      </c>
    </row>
    <row r="160" spans="1:22" x14ac:dyDescent="0.25">
      <c r="A160">
        <v>157</v>
      </c>
      <c r="B160" t="s">
        <v>5</v>
      </c>
      <c r="C160" t="s">
        <v>73</v>
      </c>
      <c r="D160" s="4">
        <v>45702</v>
      </c>
      <c r="E160" t="s">
        <v>819</v>
      </c>
      <c r="F160" t="s">
        <v>75</v>
      </c>
      <c r="I160" s="6"/>
      <c r="J160" s="6"/>
      <c r="K160" s="6"/>
      <c r="L160" s="6"/>
      <c r="M160" s="6"/>
      <c r="N160" s="6"/>
      <c r="O160" s="6"/>
      <c r="P160" s="6"/>
      <c r="Q160">
        <v>0</v>
      </c>
      <c r="R160">
        <f t="shared" si="10"/>
        <v>0</v>
      </c>
      <c r="S160">
        <f t="shared" si="11"/>
        <v>0</v>
      </c>
      <c r="T160">
        <f t="shared" si="12"/>
        <v>0</v>
      </c>
      <c r="U160">
        <f t="shared" si="13"/>
        <v>0</v>
      </c>
      <c r="V160">
        <f t="shared" si="14"/>
        <v>0</v>
      </c>
    </row>
    <row r="161" spans="1:22" x14ac:dyDescent="0.25">
      <c r="A161">
        <v>158</v>
      </c>
      <c r="B161" t="s">
        <v>5</v>
      </c>
      <c r="C161" t="s">
        <v>73</v>
      </c>
      <c r="D161" s="4">
        <v>45702</v>
      </c>
      <c r="E161" t="s">
        <v>131</v>
      </c>
      <c r="F161" t="s">
        <v>75</v>
      </c>
      <c r="I161" s="6">
        <v>0</v>
      </c>
      <c r="J161" s="6">
        <v>0</v>
      </c>
      <c r="K161" s="6">
        <v>0</v>
      </c>
      <c r="L161" s="6">
        <v>1</v>
      </c>
      <c r="M161" s="6">
        <v>0</v>
      </c>
      <c r="N161" s="6">
        <v>0</v>
      </c>
      <c r="O161" s="6">
        <v>0</v>
      </c>
      <c r="P161" s="6">
        <v>0</v>
      </c>
      <c r="Q161">
        <v>1</v>
      </c>
      <c r="R161">
        <f t="shared" si="10"/>
        <v>0</v>
      </c>
      <c r="S161">
        <f t="shared" si="11"/>
        <v>1</v>
      </c>
      <c r="T161">
        <f t="shared" si="12"/>
        <v>1</v>
      </c>
      <c r="U161">
        <f t="shared" si="13"/>
        <v>1</v>
      </c>
      <c r="V161">
        <f t="shared" si="14"/>
        <v>0</v>
      </c>
    </row>
    <row r="162" spans="1:22" x14ac:dyDescent="0.25">
      <c r="A162">
        <v>159</v>
      </c>
      <c r="B162" t="s">
        <v>5</v>
      </c>
      <c r="C162" t="s">
        <v>73</v>
      </c>
      <c r="D162" s="4">
        <v>45702</v>
      </c>
      <c r="E162" t="s">
        <v>132</v>
      </c>
      <c r="F162" t="s">
        <v>75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>
        <v>1</v>
      </c>
      <c r="R162">
        <f t="shared" si="10"/>
        <v>0</v>
      </c>
      <c r="S162">
        <f t="shared" si="11"/>
        <v>1</v>
      </c>
      <c r="T162">
        <f t="shared" si="12"/>
        <v>0</v>
      </c>
      <c r="U162">
        <f t="shared" si="13"/>
        <v>0</v>
      </c>
      <c r="V162">
        <f t="shared" si="14"/>
        <v>0</v>
      </c>
    </row>
    <row r="163" spans="1:22" x14ac:dyDescent="0.25">
      <c r="A163">
        <v>160</v>
      </c>
      <c r="B163" t="s">
        <v>5</v>
      </c>
      <c r="C163" t="s">
        <v>73</v>
      </c>
      <c r="D163" s="4">
        <v>45702</v>
      </c>
      <c r="E163" t="s">
        <v>2947</v>
      </c>
      <c r="F163" t="s">
        <v>75</v>
      </c>
      <c r="I163" s="6">
        <v>1</v>
      </c>
      <c r="J163" s="6">
        <v>1</v>
      </c>
      <c r="K163" s="6">
        <v>1</v>
      </c>
      <c r="L163" s="6">
        <v>1</v>
      </c>
      <c r="M163" s="6">
        <v>0</v>
      </c>
      <c r="N163" s="6">
        <v>0</v>
      </c>
      <c r="O163" s="6">
        <v>0</v>
      </c>
      <c r="P163" s="6">
        <v>0</v>
      </c>
      <c r="Q163">
        <v>1</v>
      </c>
      <c r="R163">
        <f t="shared" si="10"/>
        <v>0</v>
      </c>
      <c r="S163">
        <f t="shared" si="11"/>
        <v>1</v>
      </c>
      <c r="T163">
        <f t="shared" si="12"/>
        <v>4</v>
      </c>
      <c r="U163">
        <f t="shared" si="13"/>
        <v>1</v>
      </c>
      <c r="V163">
        <f t="shared" si="14"/>
        <v>0</v>
      </c>
    </row>
    <row r="164" spans="1:22" x14ac:dyDescent="0.25">
      <c r="A164">
        <v>161</v>
      </c>
      <c r="B164" t="s">
        <v>5</v>
      </c>
      <c r="C164" t="s">
        <v>73</v>
      </c>
      <c r="D164" s="4">
        <v>45702</v>
      </c>
      <c r="E164" t="s">
        <v>133</v>
      </c>
      <c r="F164" t="s">
        <v>75</v>
      </c>
      <c r="I164" s="6">
        <v>1</v>
      </c>
      <c r="J164" s="6">
        <v>1</v>
      </c>
      <c r="K164" s="6">
        <v>1</v>
      </c>
      <c r="L164" s="6">
        <v>1</v>
      </c>
      <c r="M164" s="6">
        <v>1</v>
      </c>
      <c r="N164" s="6">
        <v>0</v>
      </c>
      <c r="O164" s="6">
        <v>0</v>
      </c>
      <c r="P164" s="6">
        <v>0</v>
      </c>
      <c r="Q164">
        <v>1</v>
      </c>
      <c r="R164">
        <f t="shared" si="10"/>
        <v>0</v>
      </c>
      <c r="S164">
        <f t="shared" si="11"/>
        <v>1</v>
      </c>
      <c r="T164">
        <f t="shared" si="12"/>
        <v>5</v>
      </c>
      <c r="U164">
        <f t="shared" si="13"/>
        <v>1</v>
      </c>
      <c r="V164">
        <f t="shared" si="14"/>
        <v>0</v>
      </c>
    </row>
    <row r="165" spans="1:22" x14ac:dyDescent="0.25">
      <c r="A165">
        <v>162</v>
      </c>
      <c r="B165" t="s">
        <v>5</v>
      </c>
      <c r="C165" t="s">
        <v>73</v>
      </c>
      <c r="D165" s="4">
        <v>45703</v>
      </c>
      <c r="E165" t="s">
        <v>134</v>
      </c>
      <c r="F165" t="s">
        <v>75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>
        <v>1</v>
      </c>
      <c r="R165">
        <f t="shared" si="10"/>
        <v>0</v>
      </c>
      <c r="S165">
        <f t="shared" si="11"/>
        <v>1</v>
      </c>
      <c r="T165">
        <f t="shared" si="12"/>
        <v>0</v>
      </c>
      <c r="U165">
        <f t="shared" si="13"/>
        <v>0</v>
      </c>
      <c r="V165">
        <f t="shared" si="14"/>
        <v>0</v>
      </c>
    </row>
    <row r="166" spans="1:22" x14ac:dyDescent="0.25">
      <c r="A166">
        <v>163</v>
      </c>
      <c r="B166" t="s">
        <v>5</v>
      </c>
      <c r="C166" t="s">
        <v>73</v>
      </c>
      <c r="D166" s="4">
        <v>45703</v>
      </c>
      <c r="E166" t="s">
        <v>135</v>
      </c>
      <c r="F166" t="s">
        <v>75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0</v>
      </c>
      <c r="Q166">
        <v>1</v>
      </c>
      <c r="R166">
        <f t="shared" si="10"/>
        <v>0</v>
      </c>
      <c r="S166">
        <f t="shared" si="11"/>
        <v>1</v>
      </c>
      <c r="T166">
        <f t="shared" si="12"/>
        <v>1</v>
      </c>
      <c r="U166">
        <f t="shared" si="13"/>
        <v>1</v>
      </c>
      <c r="V166">
        <f t="shared" si="14"/>
        <v>0</v>
      </c>
    </row>
    <row r="167" spans="1:22" x14ac:dyDescent="0.25">
      <c r="A167">
        <v>164</v>
      </c>
      <c r="B167" t="s">
        <v>5</v>
      </c>
      <c r="C167" t="s">
        <v>73</v>
      </c>
      <c r="D167" s="4">
        <v>45703</v>
      </c>
      <c r="E167" t="s">
        <v>820</v>
      </c>
      <c r="F167" t="s">
        <v>75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0</v>
      </c>
      <c r="O167" s="6">
        <v>0</v>
      </c>
      <c r="P167" s="6">
        <v>0</v>
      </c>
      <c r="Q167">
        <v>1</v>
      </c>
      <c r="R167">
        <f t="shared" si="10"/>
        <v>0</v>
      </c>
      <c r="S167">
        <f t="shared" si="11"/>
        <v>1</v>
      </c>
      <c r="T167">
        <f t="shared" si="12"/>
        <v>1</v>
      </c>
      <c r="U167">
        <f t="shared" si="13"/>
        <v>1</v>
      </c>
      <c r="V167">
        <f t="shared" si="14"/>
        <v>0</v>
      </c>
    </row>
    <row r="168" spans="1:22" x14ac:dyDescent="0.25">
      <c r="A168">
        <v>165</v>
      </c>
      <c r="B168" t="s">
        <v>5</v>
      </c>
      <c r="C168" t="s">
        <v>73</v>
      </c>
      <c r="D168" s="4">
        <v>45703</v>
      </c>
      <c r="E168" t="s">
        <v>136</v>
      </c>
      <c r="F168" t="s">
        <v>75</v>
      </c>
      <c r="I168" s="6">
        <v>1</v>
      </c>
      <c r="J168" s="6">
        <v>0</v>
      </c>
      <c r="K168" s="6">
        <v>1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>
        <v>1</v>
      </c>
      <c r="R168">
        <f t="shared" si="10"/>
        <v>0</v>
      </c>
      <c r="S168">
        <f t="shared" si="11"/>
        <v>1</v>
      </c>
      <c r="T168">
        <f t="shared" si="12"/>
        <v>2</v>
      </c>
      <c r="U168">
        <f t="shared" si="13"/>
        <v>1</v>
      </c>
      <c r="V168">
        <f t="shared" si="14"/>
        <v>0</v>
      </c>
    </row>
    <row r="169" spans="1:22" x14ac:dyDescent="0.25">
      <c r="A169">
        <v>166</v>
      </c>
      <c r="B169" t="s">
        <v>5</v>
      </c>
      <c r="C169" t="s">
        <v>73</v>
      </c>
      <c r="D169" s="4">
        <v>45703</v>
      </c>
      <c r="E169" t="s">
        <v>2946</v>
      </c>
      <c r="F169" t="s">
        <v>75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>
        <v>1</v>
      </c>
      <c r="R169">
        <f t="shared" si="10"/>
        <v>0</v>
      </c>
      <c r="S169">
        <f t="shared" si="11"/>
        <v>1</v>
      </c>
      <c r="T169">
        <f t="shared" si="12"/>
        <v>0</v>
      </c>
      <c r="U169">
        <f t="shared" si="13"/>
        <v>0</v>
      </c>
      <c r="V169">
        <f t="shared" si="14"/>
        <v>0</v>
      </c>
    </row>
    <row r="170" spans="1:22" x14ac:dyDescent="0.25">
      <c r="A170">
        <v>167</v>
      </c>
      <c r="B170" t="s">
        <v>5</v>
      </c>
      <c r="C170" t="s">
        <v>73</v>
      </c>
      <c r="D170" s="4">
        <v>45703</v>
      </c>
      <c r="E170" t="s">
        <v>2945</v>
      </c>
      <c r="F170" t="s">
        <v>75</v>
      </c>
      <c r="I170" s="6"/>
      <c r="J170" s="6"/>
      <c r="K170" s="6"/>
      <c r="L170" s="6"/>
      <c r="M170" s="6"/>
      <c r="N170" s="6"/>
      <c r="O170" s="6"/>
      <c r="P170" s="6"/>
      <c r="Q170">
        <v>0</v>
      </c>
      <c r="R170">
        <f t="shared" si="10"/>
        <v>0</v>
      </c>
      <c r="S170">
        <f t="shared" si="11"/>
        <v>0</v>
      </c>
      <c r="T170">
        <f t="shared" si="12"/>
        <v>0</v>
      </c>
      <c r="U170">
        <f t="shared" si="13"/>
        <v>0</v>
      </c>
      <c r="V170">
        <f t="shared" si="14"/>
        <v>0</v>
      </c>
    </row>
    <row r="171" spans="1:22" x14ac:dyDescent="0.25">
      <c r="A171">
        <v>168</v>
      </c>
      <c r="B171" t="s">
        <v>5</v>
      </c>
      <c r="C171" t="s">
        <v>73</v>
      </c>
      <c r="D171" s="4">
        <v>45703</v>
      </c>
      <c r="E171" t="s">
        <v>2944</v>
      </c>
      <c r="F171" t="s">
        <v>75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1</v>
      </c>
      <c r="O171" s="6">
        <v>0</v>
      </c>
      <c r="P171" s="6">
        <v>0</v>
      </c>
      <c r="Q171">
        <v>1</v>
      </c>
      <c r="R171">
        <f t="shared" si="10"/>
        <v>0</v>
      </c>
      <c r="S171">
        <f t="shared" si="11"/>
        <v>1</v>
      </c>
      <c r="T171">
        <f t="shared" si="12"/>
        <v>1</v>
      </c>
      <c r="U171">
        <f t="shared" si="13"/>
        <v>1</v>
      </c>
      <c r="V171">
        <f t="shared" si="14"/>
        <v>0</v>
      </c>
    </row>
    <row r="172" spans="1:22" x14ac:dyDescent="0.25">
      <c r="A172">
        <v>169</v>
      </c>
      <c r="B172" t="s">
        <v>5</v>
      </c>
      <c r="C172" t="s">
        <v>73</v>
      </c>
      <c r="D172" s="4">
        <v>45703</v>
      </c>
      <c r="E172" t="s">
        <v>2943</v>
      </c>
      <c r="F172" t="s">
        <v>75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>
        <v>1</v>
      </c>
      <c r="R172">
        <f t="shared" si="10"/>
        <v>0</v>
      </c>
      <c r="S172">
        <f t="shared" si="11"/>
        <v>1</v>
      </c>
      <c r="T172">
        <f t="shared" si="12"/>
        <v>0</v>
      </c>
      <c r="U172">
        <f t="shared" si="13"/>
        <v>0</v>
      </c>
      <c r="V172">
        <f t="shared" si="14"/>
        <v>0</v>
      </c>
    </row>
    <row r="173" spans="1:22" x14ac:dyDescent="0.25">
      <c r="A173">
        <v>170</v>
      </c>
      <c r="B173" t="s">
        <v>5</v>
      </c>
      <c r="C173" t="s">
        <v>73</v>
      </c>
      <c r="D173" s="4">
        <v>45704</v>
      </c>
      <c r="E173" t="s">
        <v>137</v>
      </c>
      <c r="F173" t="s">
        <v>75</v>
      </c>
      <c r="I173" s="6">
        <v>0</v>
      </c>
      <c r="J173" s="6">
        <v>0</v>
      </c>
      <c r="K173" s="6">
        <v>0</v>
      </c>
      <c r="L173" s="6">
        <v>0</v>
      </c>
      <c r="M173" s="6">
        <v>1</v>
      </c>
      <c r="N173" s="6">
        <v>0</v>
      </c>
      <c r="O173" s="6">
        <v>1</v>
      </c>
      <c r="P173" s="6">
        <v>0</v>
      </c>
      <c r="Q173">
        <v>1</v>
      </c>
      <c r="R173">
        <f t="shared" si="10"/>
        <v>0</v>
      </c>
      <c r="S173">
        <f t="shared" si="11"/>
        <v>1</v>
      </c>
      <c r="T173">
        <f t="shared" si="12"/>
        <v>2</v>
      </c>
      <c r="U173">
        <f t="shared" si="13"/>
        <v>1</v>
      </c>
      <c r="V173">
        <f t="shared" si="14"/>
        <v>0</v>
      </c>
    </row>
    <row r="174" spans="1:22" x14ac:dyDescent="0.25">
      <c r="A174">
        <v>171</v>
      </c>
      <c r="B174" t="s">
        <v>5</v>
      </c>
      <c r="C174" t="s">
        <v>73</v>
      </c>
      <c r="D174" s="4">
        <v>45704</v>
      </c>
      <c r="E174" t="s">
        <v>821</v>
      </c>
      <c r="F174" t="s">
        <v>75</v>
      </c>
      <c r="I174" s="6"/>
      <c r="J174" s="6"/>
      <c r="K174" s="6"/>
      <c r="L174" s="6"/>
      <c r="M174" s="6"/>
      <c r="N174" s="6"/>
      <c r="O174" s="6"/>
      <c r="P174" s="6"/>
      <c r="Q174">
        <v>0</v>
      </c>
      <c r="R174">
        <f t="shared" si="10"/>
        <v>0</v>
      </c>
      <c r="S174">
        <f t="shared" si="11"/>
        <v>0</v>
      </c>
      <c r="T174">
        <f t="shared" si="12"/>
        <v>0</v>
      </c>
      <c r="U174">
        <f t="shared" si="13"/>
        <v>0</v>
      </c>
      <c r="V174">
        <f t="shared" si="14"/>
        <v>0</v>
      </c>
    </row>
    <row r="175" spans="1:22" x14ac:dyDescent="0.25">
      <c r="A175">
        <v>172</v>
      </c>
      <c r="B175" t="s">
        <v>5</v>
      </c>
      <c r="C175" t="s">
        <v>73</v>
      </c>
      <c r="D175" s="4">
        <v>45704</v>
      </c>
      <c r="E175" t="s">
        <v>2736</v>
      </c>
      <c r="F175" t="s">
        <v>75</v>
      </c>
      <c r="I175" s="6">
        <v>0</v>
      </c>
      <c r="J175" s="6">
        <v>0</v>
      </c>
      <c r="K175" s="6">
        <v>0</v>
      </c>
      <c r="L175" s="6">
        <v>0</v>
      </c>
      <c r="M175" s="6">
        <v>1</v>
      </c>
      <c r="N175" s="6">
        <v>0</v>
      </c>
      <c r="O175" s="6">
        <v>0</v>
      </c>
      <c r="P175" s="6">
        <v>0</v>
      </c>
      <c r="Q175">
        <v>1</v>
      </c>
      <c r="R175">
        <f t="shared" si="10"/>
        <v>0</v>
      </c>
      <c r="S175">
        <f t="shared" si="11"/>
        <v>1</v>
      </c>
      <c r="T175">
        <f t="shared" si="12"/>
        <v>1</v>
      </c>
      <c r="U175">
        <f t="shared" si="13"/>
        <v>1</v>
      </c>
      <c r="V175">
        <f t="shared" si="14"/>
        <v>0</v>
      </c>
    </row>
    <row r="176" spans="1:22" x14ac:dyDescent="0.25">
      <c r="A176">
        <v>173</v>
      </c>
      <c r="B176" t="s">
        <v>5</v>
      </c>
      <c r="C176" t="s">
        <v>73</v>
      </c>
      <c r="D176" s="4">
        <v>45704</v>
      </c>
      <c r="E176" t="s">
        <v>138</v>
      </c>
      <c r="F176" t="s">
        <v>75</v>
      </c>
      <c r="I176" s="6">
        <v>0</v>
      </c>
      <c r="J176" s="6">
        <v>0</v>
      </c>
      <c r="K176" s="6">
        <v>0</v>
      </c>
      <c r="L176" s="6">
        <v>1</v>
      </c>
      <c r="M176" s="6">
        <v>1</v>
      </c>
      <c r="N176" s="6">
        <v>0</v>
      </c>
      <c r="O176" s="6">
        <v>0</v>
      </c>
      <c r="P176" s="6">
        <v>0</v>
      </c>
      <c r="Q176">
        <v>1</v>
      </c>
      <c r="R176">
        <f t="shared" si="10"/>
        <v>0</v>
      </c>
      <c r="S176">
        <f t="shared" si="11"/>
        <v>1</v>
      </c>
      <c r="T176">
        <f t="shared" si="12"/>
        <v>2</v>
      </c>
      <c r="U176">
        <f t="shared" si="13"/>
        <v>1</v>
      </c>
      <c r="V176">
        <f t="shared" si="14"/>
        <v>0</v>
      </c>
    </row>
    <row r="177" spans="1:22" x14ac:dyDescent="0.25">
      <c r="A177">
        <v>174</v>
      </c>
      <c r="B177" t="s">
        <v>5</v>
      </c>
      <c r="C177" t="s">
        <v>73</v>
      </c>
      <c r="D177" s="4">
        <v>45705</v>
      </c>
      <c r="E177" t="s">
        <v>822</v>
      </c>
      <c r="F177" t="s">
        <v>75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0</v>
      </c>
      <c r="O177" s="6">
        <v>0</v>
      </c>
      <c r="P177" s="6">
        <v>0</v>
      </c>
      <c r="Q177">
        <v>1</v>
      </c>
      <c r="R177">
        <f t="shared" si="10"/>
        <v>0</v>
      </c>
      <c r="S177">
        <f t="shared" si="11"/>
        <v>1</v>
      </c>
      <c r="T177">
        <f t="shared" si="12"/>
        <v>1</v>
      </c>
      <c r="U177">
        <f t="shared" si="13"/>
        <v>1</v>
      </c>
      <c r="V177">
        <f t="shared" si="14"/>
        <v>0</v>
      </c>
    </row>
    <row r="178" spans="1:22" x14ac:dyDescent="0.25">
      <c r="A178">
        <v>175</v>
      </c>
      <c r="B178" t="s">
        <v>5</v>
      </c>
      <c r="C178" t="s">
        <v>73</v>
      </c>
      <c r="D178" s="4">
        <v>45705</v>
      </c>
      <c r="E178" t="s">
        <v>2942</v>
      </c>
      <c r="F178" t="s">
        <v>75</v>
      </c>
      <c r="I178" s="6"/>
      <c r="J178" s="6"/>
      <c r="K178" s="6"/>
      <c r="L178" s="6"/>
      <c r="M178" s="6"/>
      <c r="N178" s="6"/>
      <c r="O178" s="6"/>
      <c r="P178" s="6"/>
      <c r="Q178">
        <v>0</v>
      </c>
      <c r="R178">
        <f t="shared" si="10"/>
        <v>0</v>
      </c>
      <c r="S178">
        <f t="shared" si="11"/>
        <v>0</v>
      </c>
      <c r="T178">
        <f t="shared" si="12"/>
        <v>0</v>
      </c>
      <c r="U178">
        <f t="shared" si="13"/>
        <v>0</v>
      </c>
      <c r="V178">
        <f t="shared" si="14"/>
        <v>0</v>
      </c>
    </row>
    <row r="179" spans="1:22" x14ac:dyDescent="0.25">
      <c r="A179">
        <v>176</v>
      </c>
      <c r="B179" t="s">
        <v>5</v>
      </c>
      <c r="C179" t="s">
        <v>73</v>
      </c>
      <c r="D179" s="4">
        <v>45705</v>
      </c>
      <c r="E179" t="s">
        <v>139</v>
      </c>
      <c r="F179" t="s">
        <v>75</v>
      </c>
      <c r="I179" s="6">
        <v>0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>
        <v>1</v>
      </c>
      <c r="R179">
        <f t="shared" si="10"/>
        <v>0</v>
      </c>
      <c r="S179">
        <f t="shared" si="11"/>
        <v>1</v>
      </c>
      <c r="T179">
        <f t="shared" si="12"/>
        <v>1</v>
      </c>
      <c r="U179">
        <f t="shared" si="13"/>
        <v>1</v>
      </c>
      <c r="V179">
        <f t="shared" si="14"/>
        <v>0</v>
      </c>
    </row>
    <row r="180" spans="1:22" x14ac:dyDescent="0.25">
      <c r="A180">
        <v>177</v>
      </c>
      <c r="B180" t="s">
        <v>5</v>
      </c>
      <c r="C180" t="s">
        <v>73</v>
      </c>
      <c r="D180" s="4">
        <v>45705</v>
      </c>
      <c r="E180" t="s">
        <v>2941</v>
      </c>
      <c r="F180" t="s">
        <v>75</v>
      </c>
      <c r="I180" s="6"/>
      <c r="J180" s="6"/>
      <c r="K180" s="6"/>
      <c r="L180" s="6"/>
      <c r="M180" s="6"/>
      <c r="N180" s="6"/>
      <c r="O180" s="6"/>
      <c r="P180" s="6"/>
      <c r="Q180">
        <v>0</v>
      </c>
      <c r="R180">
        <f t="shared" si="10"/>
        <v>0</v>
      </c>
      <c r="S180">
        <f t="shared" si="11"/>
        <v>0</v>
      </c>
      <c r="T180">
        <f t="shared" si="12"/>
        <v>0</v>
      </c>
      <c r="U180">
        <f t="shared" si="13"/>
        <v>0</v>
      </c>
      <c r="V180">
        <f t="shared" si="14"/>
        <v>0</v>
      </c>
    </row>
    <row r="181" spans="1:22" x14ac:dyDescent="0.25">
      <c r="A181">
        <v>178</v>
      </c>
      <c r="B181" t="s">
        <v>5</v>
      </c>
      <c r="C181" t="s">
        <v>73</v>
      </c>
      <c r="D181" s="4">
        <v>45705</v>
      </c>
      <c r="E181" t="s">
        <v>823</v>
      </c>
      <c r="F181" t="s">
        <v>75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0</v>
      </c>
      <c r="O181" s="6">
        <v>0</v>
      </c>
      <c r="P181" s="6">
        <v>0</v>
      </c>
      <c r="Q181">
        <v>1</v>
      </c>
      <c r="R181">
        <f t="shared" si="10"/>
        <v>0</v>
      </c>
      <c r="S181">
        <f t="shared" si="11"/>
        <v>1</v>
      </c>
      <c r="T181">
        <f t="shared" si="12"/>
        <v>1</v>
      </c>
      <c r="U181">
        <f t="shared" si="13"/>
        <v>1</v>
      </c>
      <c r="V181">
        <f t="shared" si="14"/>
        <v>0</v>
      </c>
    </row>
    <row r="182" spans="1:22" x14ac:dyDescent="0.25">
      <c r="A182">
        <v>179</v>
      </c>
      <c r="B182" t="s">
        <v>5</v>
      </c>
      <c r="C182" t="s">
        <v>73</v>
      </c>
      <c r="D182" s="4">
        <v>45705</v>
      </c>
      <c r="E182" t="s">
        <v>824</v>
      </c>
      <c r="F182" t="s">
        <v>75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>
        <v>1</v>
      </c>
      <c r="R182">
        <f t="shared" si="10"/>
        <v>0</v>
      </c>
      <c r="S182">
        <f t="shared" si="11"/>
        <v>1</v>
      </c>
      <c r="T182">
        <f t="shared" si="12"/>
        <v>0</v>
      </c>
      <c r="U182">
        <f t="shared" si="13"/>
        <v>0</v>
      </c>
      <c r="V182">
        <f t="shared" si="14"/>
        <v>0</v>
      </c>
    </row>
    <row r="183" spans="1:22" x14ac:dyDescent="0.25">
      <c r="A183">
        <v>180</v>
      </c>
      <c r="B183" t="s">
        <v>5</v>
      </c>
      <c r="C183" t="s">
        <v>73</v>
      </c>
      <c r="D183" s="4">
        <v>45705</v>
      </c>
      <c r="E183" t="s">
        <v>825</v>
      </c>
      <c r="F183" t="s">
        <v>75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>
        <v>1</v>
      </c>
      <c r="R183">
        <f t="shared" si="10"/>
        <v>0</v>
      </c>
      <c r="S183">
        <f t="shared" si="11"/>
        <v>1</v>
      </c>
      <c r="T183">
        <f t="shared" si="12"/>
        <v>1</v>
      </c>
      <c r="U183">
        <f t="shared" si="13"/>
        <v>1</v>
      </c>
      <c r="V183">
        <f t="shared" si="14"/>
        <v>0</v>
      </c>
    </row>
    <row r="184" spans="1:22" x14ac:dyDescent="0.25">
      <c r="A184">
        <v>181</v>
      </c>
      <c r="B184" t="s">
        <v>5</v>
      </c>
      <c r="C184" t="s">
        <v>73</v>
      </c>
      <c r="D184" s="4">
        <v>45705</v>
      </c>
      <c r="E184" t="s">
        <v>826</v>
      </c>
      <c r="F184" t="s">
        <v>75</v>
      </c>
      <c r="I184" s="6">
        <v>0</v>
      </c>
      <c r="J184" s="6">
        <v>0</v>
      </c>
      <c r="K184" s="6">
        <v>1</v>
      </c>
      <c r="L184" s="6">
        <v>0</v>
      </c>
      <c r="M184" s="6">
        <v>1</v>
      </c>
      <c r="N184" s="6">
        <v>0</v>
      </c>
      <c r="O184" s="6">
        <v>0</v>
      </c>
      <c r="P184" s="6">
        <v>0</v>
      </c>
      <c r="Q184">
        <v>1</v>
      </c>
      <c r="R184">
        <f t="shared" si="10"/>
        <v>0</v>
      </c>
      <c r="S184">
        <f t="shared" si="11"/>
        <v>1</v>
      </c>
      <c r="T184">
        <f t="shared" si="12"/>
        <v>2</v>
      </c>
      <c r="U184">
        <f t="shared" si="13"/>
        <v>1</v>
      </c>
      <c r="V184">
        <f t="shared" si="14"/>
        <v>0</v>
      </c>
    </row>
    <row r="185" spans="1:22" x14ac:dyDescent="0.25">
      <c r="A185">
        <v>182</v>
      </c>
      <c r="B185" t="s">
        <v>5</v>
      </c>
      <c r="C185" t="s">
        <v>73</v>
      </c>
      <c r="D185" s="4">
        <v>45705</v>
      </c>
      <c r="E185" t="s">
        <v>140</v>
      </c>
      <c r="F185" t="s">
        <v>75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>
        <v>1</v>
      </c>
      <c r="R185">
        <f t="shared" si="10"/>
        <v>0</v>
      </c>
      <c r="S185">
        <f t="shared" si="11"/>
        <v>1</v>
      </c>
      <c r="T185">
        <f t="shared" si="12"/>
        <v>0</v>
      </c>
      <c r="U185">
        <f t="shared" si="13"/>
        <v>0</v>
      </c>
      <c r="V185">
        <f t="shared" si="14"/>
        <v>0</v>
      </c>
    </row>
    <row r="186" spans="1:22" x14ac:dyDescent="0.25">
      <c r="A186">
        <v>183</v>
      </c>
      <c r="B186" t="s">
        <v>5</v>
      </c>
      <c r="C186" t="s">
        <v>73</v>
      </c>
      <c r="D186" s="4">
        <v>45705</v>
      </c>
      <c r="E186" t="s">
        <v>827</v>
      </c>
      <c r="F186" t="s">
        <v>75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>
        <v>1</v>
      </c>
      <c r="R186">
        <f t="shared" si="10"/>
        <v>0</v>
      </c>
      <c r="S186">
        <f t="shared" si="11"/>
        <v>1</v>
      </c>
      <c r="T186">
        <f t="shared" si="12"/>
        <v>0</v>
      </c>
      <c r="U186">
        <f t="shared" si="13"/>
        <v>0</v>
      </c>
      <c r="V186">
        <f t="shared" si="14"/>
        <v>0</v>
      </c>
    </row>
    <row r="187" spans="1:22" x14ac:dyDescent="0.25">
      <c r="A187">
        <v>184</v>
      </c>
      <c r="B187" t="s">
        <v>5</v>
      </c>
      <c r="C187" t="s">
        <v>73</v>
      </c>
      <c r="D187" s="4">
        <v>45705</v>
      </c>
      <c r="E187" t="s">
        <v>2940</v>
      </c>
      <c r="F187" t="s">
        <v>75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>
        <v>1</v>
      </c>
      <c r="R187">
        <f t="shared" si="10"/>
        <v>0</v>
      </c>
      <c r="S187">
        <f t="shared" si="11"/>
        <v>1</v>
      </c>
      <c r="T187">
        <f t="shared" si="12"/>
        <v>0</v>
      </c>
      <c r="U187">
        <f t="shared" si="13"/>
        <v>0</v>
      </c>
      <c r="V187">
        <f t="shared" si="14"/>
        <v>0</v>
      </c>
    </row>
    <row r="188" spans="1:22" x14ac:dyDescent="0.25">
      <c r="A188">
        <v>185</v>
      </c>
      <c r="B188" t="s">
        <v>5</v>
      </c>
      <c r="C188" t="s">
        <v>73</v>
      </c>
      <c r="D188" s="4">
        <v>45705</v>
      </c>
      <c r="E188" t="s">
        <v>2939</v>
      </c>
      <c r="F188" t="s">
        <v>75</v>
      </c>
      <c r="I188" s="6"/>
      <c r="J188" s="6"/>
      <c r="K188" s="6"/>
      <c r="L188" s="6"/>
      <c r="M188" s="6"/>
      <c r="N188" s="6"/>
      <c r="O188" s="6"/>
      <c r="P188" s="6"/>
      <c r="Q188">
        <v>0</v>
      </c>
      <c r="R188">
        <f t="shared" si="10"/>
        <v>0</v>
      </c>
      <c r="S188">
        <f t="shared" si="11"/>
        <v>0</v>
      </c>
      <c r="T188">
        <f t="shared" si="12"/>
        <v>0</v>
      </c>
      <c r="U188">
        <f t="shared" si="13"/>
        <v>0</v>
      </c>
      <c r="V188">
        <f t="shared" si="14"/>
        <v>0</v>
      </c>
    </row>
    <row r="189" spans="1:22" x14ac:dyDescent="0.25">
      <c r="A189">
        <v>186</v>
      </c>
      <c r="B189" t="s">
        <v>5</v>
      </c>
      <c r="C189" t="s">
        <v>73</v>
      </c>
      <c r="D189" s="4">
        <v>45706</v>
      </c>
      <c r="E189" t="s">
        <v>689</v>
      </c>
      <c r="F189" t="s">
        <v>75</v>
      </c>
      <c r="I189" s="6"/>
      <c r="J189" s="6"/>
      <c r="K189" s="6"/>
      <c r="L189" s="6"/>
      <c r="M189" s="6"/>
      <c r="N189" s="6"/>
      <c r="O189" s="6"/>
      <c r="P189" s="6"/>
      <c r="Q189">
        <v>0</v>
      </c>
      <c r="R189">
        <f t="shared" si="10"/>
        <v>0</v>
      </c>
      <c r="S189">
        <f t="shared" si="11"/>
        <v>0</v>
      </c>
      <c r="T189">
        <f t="shared" si="12"/>
        <v>0</v>
      </c>
      <c r="U189">
        <f t="shared" si="13"/>
        <v>0</v>
      </c>
      <c r="V189">
        <f t="shared" si="14"/>
        <v>0</v>
      </c>
    </row>
    <row r="190" spans="1:22" x14ac:dyDescent="0.25">
      <c r="A190">
        <v>187</v>
      </c>
      <c r="B190" t="s">
        <v>5</v>
      </c>
      <c r="C190" t="s">
        <v>73</v>
      </c>
      <c r="D190" s="4">
        <v>45706</v>
      </c>
      <c r="E190" t="s">
        <v>141</v>
      </c>
      <c r="F190" t="s">
        <v>75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6">
        <v>0</v>
      </c>
      <c r="Q190">
        <v>1</v>
      </c>
      <c r="R190">
        <f t="shared" si="10"/>
        <v>0</v>
      </c>
      <c r="S190">
        <f t="shared" si="11"/>
        <v>1</v>
      </c>
      <c r="T190">
        <f t="shared" si="12"/>
        <v>1</v>
      </c>
      <c r="U190">
        <f t="shared" si="13"/>
        <v>1</v>
      </c>
      <c r="V190">
        <f t="shared" si="14"/>
        <v>0</v>
      </c>
    </row>
    <row r="191" spans="1:22" x14ac:dyDescent="0.25">
      <c r="A191">
        <v>188</v>
      </c>
      <c r="B191" t="s">
        <v>5</v>
      </c>
      <c r="C191" t="s">
        <v>73</v>
      </c>
      <c r="D191" s="4">
        <v>45706</v>
      </c>
      <c r="E191" t="s">
        <v>690</v>
      </c>
      <c r="F191" t="s">
        <v>75</v>
      </c>
      <c r="I191" s="6"/>
      <c r="J191" s="6"/>
      <c r="K191" s="6"/>
      <c r="L191" s="6"/>
      <c r="M191" s="6"/>
      <c r="N191" s="6"/>
      <c r="O191" s="6"/>
      <c r="P191" s="6"/>
      <c r="Q191">
        <v>0</v>
      </c>
      <c r="R191">
        <f t="shared" si="10"/>
        <v>0</v>
      </c>
      <c r="S191">
        <f t="shared" si="11"/>
        <v>0</v>
      </c>
      <c r="T191">
        <f t="shared" si="12"/>
        <v>0</v>
      </c>
      <c r="U191">
        <f t="shared" si="13"/>
        <v>0</v>
      </c>
      <c r="V191">
        <f t="shared" si="14"/>
        <v>0</v>
      </c>
    </row>
    <row r="192" spans="1:22" x14ac:dyDescent="0.25">
      <c r="A192">
        <v>189</v>
      </c>
      <c r="B192" t="s">
        <v>5</v>
      </c>
      <c r="C192" t="s">
        <v>73</v>
      </c>
      <c r="D192" s="4">
        <v>45706</v>
      </c>
      <c r="E192" t="s">
        <v>691</v>
      </c>
      <c r="F192" t="s">
        <v>75</v>
      </c>
      <c r="I192" s="6">
        <v>0</v>
      </c>
      <c r="J192" s="6">
        <v>0</v>
      </c>
      <c r="K192" s="6">
        <v>0</v>
      </c>
      <c r="L192" s="6">
        <v>0</v>
      </c>
      <c r="M192" s="6">
        <v>1</v>
      </c>
      <c r="N192" s="6">
        <v>0</v>
      </c>
      <c r="O192" s="6">
        <v>0</v>
      </c>
      <c r="P192" s="6">
        <v>0</v>
      </c>
      <c r="Q192">
        <v>1</v>
      </c>
      <c r="R192">
        <f t="shared" si="10"/>
        <v>0</v>
      </c>
      <c r="S192">
        <f t="shared" si="11"/>
        <v>1</v>
      </c>
      <c r="T192">
        <f t="shared" si="12"/>
        <v>1</v>
      </c>
      <c r="U192">
        <f t="shared" si="13"/>
        <v>1</v>
      </c>
      <c r="V192">
        <f t="shared" si="14"/>
        <v>0</v>
      </c>
    </row>
    <row r="193" spans="1:22" x14ac:dyDescent="0.25">
      <c r="A193">
        <v>190</v>
      </c>
      <c r="B193" t="s">
        <v>5</v>
      </c>
      <c r="C193" t="s">
        <v>73</v>
      </c>
      <c r="D193" s="4">
        <v>45706</v>
      </c>
      <c r="E193" t="s">
        <v>2735</v>
      </c>
      <c r="F193" t="s">
        <v>75</v>
      </c>
      <c r="I193" s="6"/>
      <c r="J193" s="6"/>
      <c r="K193" s="6"/>
      <c r="L193" s="6"/>
      <c r="M193" s="6"/>
      <c r="N193" s="6"/>
      <c r="O193" s="6"/>
      <c r="P193" s="6"/>
      <c r="Q193">
        <v>0</v>
      </c>
      <c r="R193">
        <f t="shared" si="10"/>
        <v>0</v>
      </c>
      <c r="S193">
        <f t="shared" si="11"/>
        <v>0</v>
      </c>
      <c r="T193">
        <f t="shared" si="12"/>
        <v>0</v>
      </c>
      <c r="U193">
        <f t="shared" si="13"/>
        <v>0</v>
      </c>
      <c r="V193">
        <f t="shared" si="14"/>
        <v>0</v>
      </c>
    </row>
    <row r="194" spans="1:22" x14ac:dyDescent="0.25">
      <c r="A194">
        <v>191</v>
      </c>
      <c r="B194" t="s">
        <v>5</v>
      </c>
      <c r="C194" t="s">
        <v>73</v>
      </c>
      <c r="D194" s="4">
        <v>45706</v>
      </c>
      <c r="E194" t="s">
        <v>142</v>
      </c>
      <c r="F194" t="s">
        <v>75</v>
      </c>
      <c r="I194" s="6">
        <v>0</v>
      </c>
      <c r="J194" s="6">
        <v>0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>
        <v>1</v>
      </c>
      <c r="R194">
        <f t="shared" si="10"/>
        <v>0</v>
      </c>
      <c r="S194">
        <f t="shared" si="11"/>
        <v>1</v>
      </c>
      <c r="T194">
        <f t="shared" si="12"/>
        <v>1</v>
      </c>
      <c r="U194">
        <f t="shared" si="13"/>
        <v>1</v>
      </c>
      <c r="V194">
        <f t="shared" si="14"/>
        <v>0</v>
      </c>
    </row>
    <row r="195" spans="1:22" x14ac:dyDescent="0.25">
      <c r="A195">
        <v>192</v>
      </c>
      <c r="B195" t="s">
        <v>5</v>
      </c>
      <c r="C195" t="s">
        <v>73</v>
      </c>
      <c r="D195" s="4">
        <v>45707</v>
      </c>
      <c r="E195" t="s">
        <v>693</v>
      </c>
      <c r="F195" t="s">
        <v>75</v>
      </c>
      <c r="I195" s="6"/>
      <c r="J195" s="6"/>
      <c r="K195" s="6"/>
      <c r="L195" s="6"/>
      <c r="M195" s="6"/>
      <c r="N195" s="6"/>
      <c r="O195" s="6"/>
      <c r="P195" s="6"/>
      <c r="Q195">
        <v>0</v>
      </c>
      <c r="R195">
        <f t="shared" ref="R195:R258" si="15">IF(AND(Q195=1,F195="ai_full"),1,0)</f>
        <v>0</v>
      </c>
      <c r="S195">
        <f t="shared" ref="S195:S258" si="16">IF(AND(Q195=1,F195="conventional"),1,0)</f>
        <v>0</v>
      </c>
      <c r="T195">
        <f t="shared" ref="T195:T258" si="17">SUM(I195:P195)</f>
        <v>0</v>
      </c>
      <c r="U195">
        <f t="shared" ref="U195:U258" si="18">IF(T195&gt;=1,1,0)</f>
        <v>0</v>
      </c>
      <c r="V195">
        <f t="shared" ref="V195:V258" si="19">IF(F195="ai_full",1,0)</f>
        <v>0</v>
      </c>
    </row>
    <row r="196" spans="1:22" x14ac:dyDescent="0.25">
      <c r="A196">
        <v>193</v>
      </c>
      <c r="B196" t="s">
        <v>5</v>
      </c>
      <c r="C196" t="s">
        <v>73</v>
      </c>
      <c r="D196" s="4">
        <v>45707</v>
      </c>
      <c r="E196" t="s">
        <v>143</v>
      </c>
      <c r="F196" t="s">
        <v>75</v>
      </c>
      <c r="I196" s="6">
        <v>0</v>
      </c>
      <c r="J196" s="6">
        <v>1</v>
      </c>
      <c r="K196" s="6">
        <v>1</v>
      </c>
      <c r="L196" s="6">
        <v>0</v>
      </c>
      <c r="M196" s="6">
        <v>1</v>
      </c>
      <c r="N196" s="6">
        <v>0</v>
      </c>
      <c r="O196" s="6">
        <v>0</v>
      </c>
      <c r="P196" s="6">
        <v>0</v>
      </c>
      <c r="Q196">
        <v>1</v>
      </c>
      <c r="R196">
        <f t="shared" si="15"/>
        <v>0</v>
      </c>
      <c r="S196">
        <f t="shared" si="16"/>
        <v>1</v>
      </c>
      <c r="T196">
        <f t="shared" si="17"/>
        <v>3</v>
      </c>
      <c r="U196">
        <f t="shared" si="18"/>
        <v>1</v>
      </c>
      <c r="V196">
        <f t="shared" si="19"/>
        <v>0</v>
      </c>
    </row>
    <row r="197" spans="1:22" x14ac:dyDescent="0.25">
      <c r="A197">
        <v>194</v>
      </c>
      <c r="B197" t="s">
        <v>5</v>
      </c>
      <c r="C197" t="s">
        <v>73</v>
      </c>
      <c r="D197" s="4">
        <v>45708</v>
      </c>
      <c r="E197" t="s">
        <v>236</v>
      </c>
      <c r="F197" t="s">
        <v>75</v>
      </c>
      <c r="I197" s="6">
        <v>1</v>
      </c>
      <c r="J197" s="6">
        <v>0</v>
      </c>
      <c r="K197" s="6">
        <v>0</v>
      </c>
      <c r="L197" s="6">
        <v>0</v>
      </c>
      <c r="M197" s="6">
        <v>1</v>
      </c>
      <c r="N197" s="6">
        <v>0</v>
      </c>
      <c r="O197" s="6">
        <v>0</v>
      </c>
      <c r="P197" s="6">
        <v>0</v>
      </c>
      <c r="Q197">
        <v>1</v>
      </c>
      <c r="R197">
        <f t="shared" si="15"/>
        <v>0</v>
      </c>
      <c r="S197">
        <f t="shared" si="16"/>
        <v>1</v>
      </c>
      <c r="T197">
        <f t="shared" si="17"/>
        <v>2</v>
      </c>
      <c r="U197">
        <f t="shared" si="18"/>
        <v>1</v>
      </c>
      <c r="V197">
        <f t="shared" si="19"/>
        <v>0</v>
      </c>
    </row>
    <row r="198" spans="1:22" x14ac:dyDescent="0.25">
      <c r="A198">
        <v>195</v>
      </c>
      <c r="B198" t="s">
        <v>5</v>
      </c>
      <c r="C198" t="s">
        <v>73</v>
      </c>
      <c r="D198" s="4">
        <v>45708</v>
      </c>
      <c r="E198" t="s">
        <v>144</v>
      </c>
      <c r="F198" t="s">
        <v>75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>
        <v>1</v>
      </c>
      <c r="R198">
        <f t="shared" si="15"/>
        <v>0</v>
      </c>
      <c r="S198">
        <f t="shared" si="16"/>
        <v>1</v>
      </c>
      <c r="T198">
        <f t="shared" si="17"/>
        <v>0</v>
      </c>
      <c r="U198">
        <f t="shared" si="18"/>
        <v>0</v>
      </c>
      <c r="V198">
        <f t="shared" si="19"/>
        <v>0</v>
      </c>
    </row>
    <row r="199" spans="1:22" x14ac:dyDescent="0.25">
      <c r="A199">
        <v>196</v>
      </c>
      <c r="B199" t="s">
        <v>5</v>
      </c>
      <c r="C199" t="s">
        <v>73</v>
      </c>
      <c r="D199" s="4">
        <v>45708</v>
      </c>
      <c r="E199" t="s">
        <v>831</v>
      </c>
      <c r="F199" t="s">
        <v>75</v>
      </c>
      <c r="I199" s="6">
        <v>0</v>
      </c>
      <c r="J199" s="6">
        <v>0</v>
      </c>
      <c r="K199" s="6">
        <v>0</v>
      </c>
      <c r="L199" s="6">
        <v>0</v>
      </c>
      <c r="M199" s="6">
        <v>1</v>
      </c>
      <c r="N199" s="6">
        <v>0</v>
      </c>
      <c r="O199" s="6">
        <v>0</v>
      </c>
      <c r="P199" s="6">
        <v>0</v>
      </c>
      <c r="Q199">
        <v>1</v>
      </c>
      <c r="R199">
        <f t="shared" si="15"/>
        <v>0</v>
      </c>
      <c r="S199">
        <f t="shared" si="16"/>
        <v>1</v>
      </c>
      <c r="T199">
        <f t="shared" si="17"/>
        <v>1</v>
      </c>
      <c r="U199">
        <f t="shared" si="18"/>
        <v>1</v>
      </c>
      <c r="V199">
        <f t="shared" si="19"/>
        <v>0</v>
      </c>
    </row>
    <row r="200" spans="1:22" x14ac:dyDescent="0.25">
      <c r="A200">
        <v>197</v>
      </c>
      <c r="B200" t="s">
        <v>5</v>
      </c>
      <c r="C200" t="s">
        <v>73</v>
      </c>
      <c r="D200" s="4">
        <v>45709</v>
      </c>
      <c r="E200" t="s">
        <v>145</v>
      </c>
      <c r="F200" t="s">
        <v>75</v>
      </c>
      <c r="I200" s="6">
        <v>0</v>
      </c>
      <c r="J200" s="6">
        <v>0</v>
      </c>
      <c r="K200" s="6">
        <v>0</v>
      </c>
      <c r="L200" s="6">
        <v>0</v>
      </c>
      <c r="M200" s="6">
        <v>1</v>
      </c>
      <c r="N200" s="6">
        <v>0</v>
      </c>
      <c r="O200" s="6">
        <v>0</v>
      </c>
      <c r="P200" s="6">
        <v>0</v>
      </c>
      <c r="Q200">
        <v>1</v>
      </c>
      <c r="R200">
        <f t="shared" si="15"/>
        <v>0</v>
      </c>
      <c r="S200">
        <f t="shared" si="16"/>
        <v>1</v>
      </c>
      <c r="T200">
        <f t="shared" si="17"/>
        <v>1</v>
      </c>
      <c r="U200">
        <f t="shared" si="18"/>
        <v>1</v>
      </c>
      <c r="V200">
        <f t="shared" si="19"/>
        <v>0</v>
      </c>
    </row>
    <row r="201" spans="1:22" x14ac:dyDescent="0.25">
      <c r="A201">
        <v>198</v>
      </c>
      <c r="B201" t="s">
        <v>5</v>
      </c>
      <c r="C201" t="s">
        <v>73</v>
      </c>
      <c r="D201" s="4">
        <v>45709</v>
      </c>
      <c r="E201" t="s">
        <v>694</v>
      </c>
      <c r="F201" t="s">
        <v>75</v>
      </c>
      <c r="I201" s="6"/>
      <c r="J201" s="6"/>
      <c r="K201" s="6"/>
      <c r="L201" s="6"/>
      <c r="M201" s="6"/>
      <c r="N201" s="6"/>
      <c r="O201" s="6"/>
      <c r="P201" s="6"/>
      <c r="Q201">
        <v>0</v>
      </c>
      <c r="R201">
        <f t="shared" si="15"/>
        <v>0</v>
      </c>
      <c r="S201">
        <f t="shared" si="16"/>
        <v>0</v>
      </c>
      <c r="T201">
        <f t="shared" si="17"/>
        <v>0</v>
      </c>
      <c r="U201">
        <f t="shared" si="18"/>
        <v>0</v>
      </c>
      <c r="V201">
        <f t="shared" si="19"/>
        <v>0</v>
      </c>
    </row>
    <row r="202" spans="1:22" x14ac:dyDescent="0.25">
      <c r="A202">
        <v>199</v>
      </c>
      <c r="B202" t="s">
        <v>5</v>
      </c>
      <c r="C202" t="s">
        <v>73</v>
      </c>
      <c r="D202" s="4">
        <v>45709</v>
      </c>
      <c r="E202" t="s">
        <v>696</v>
      </c>
      <c r="F202" t="s">
        <v>75</v>
      </c>
      <c r="I202" s="6">
        <v>0</v>
      </c>
      <c r="J202" s="6">
        <v>0</v>
      </c>
      <c r="K202" s="6">
        <v>0</v>
      </c>
      <c r="L202" s="6">
        <v>0</v>
      </c>
      <c r="M202" s="6">
        <v>1</v>
      </c>
      <c r="N202" s="6">
        <v>1</v>
      </c>
      <c r="O202" s="6">
        <v>0</v>
      </c>
      <c r="P202" s="6">
        <v>0</v>
      </c>
      <c r="Q202">
        <v>1</v>
      </c>
      <c r="R202">
        <f t="shared" si="15"/>
        <v>0</v>
      </c>
      <c r="S202">
        <f t="shared" si="16"/>
        <v>1</v>
      </c>
      <c r="T202">
        <f t="shared" si="17"/>
        <v>2</v>
      </c>
      <c r="U202">
        <f t="shared" si="18"/>
        <v>1</v>
      </c>
      <c r="V202">
        <f t="shared" si="19"/>
        <v>0</v>
      </c>
    </row>
    <row r="203" spans="1:22" x14ac:dyDescent="0.25">
      <c r="A203">
        <v>200</v>
      </c>
      <c r="B203" t="s">
        <v>5</v>
      </c>
      <c r="C203" t="s">
        <v>73</v>
      </c>
      <c r="D203" s="4">
        <v>45709</v>
      </c>
      <c r="E203" t="s">
        <v>697</v>
      </c>
      <c r="F203" t="s">
        <v>75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1</v>
      </c>
      <c r="O203" s="6">
        <v>0</v>
      </c>
      <c r="P203" s="6">
        <v>0</v>
      </c>
      <c r="Q203">
        <v>1</v>
      </c>
      <c r="R203">
        <f t="shared" si="15"/>
        <v>0</v>
      </c>
      <c r="S203">
        <f t="shared" si="16"/>
        <v>1</v>
      </c>
      <c r="T203">
        <f t="shared" si="17"/>
        <v>1</v>
      </c>
      <c r="U203">
        <f t="shared" si="18"/>
        <v>1</v>
      </c>
      <c r="V203">
        <f t="shared" si="19"/>
        <v>0</v>
      </c>
    </row>
    <row r="204" spans="1:22" x14ac:dyDescent="0.25">
      <c r="A204">
        <v>201</v>
      </c>
      <c r="B204" t="s">
        <v>5</v>
      </c>
      <c r="C204" t="s">
        <v>73</v>
      </c>
      <c r="D204" s="4">
        <v>45709</v>
      </c>
      <c r="E204" t="s">
        <v>2733</v>
      </c>
      <c r="F204" t="s">
        <v>75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1</v>
      </c>
      <c r="P204" s="6">
        <v>0</v>
      </c>
      <c r="Q204">
        <v>1</v>
      </c>
      <c r="R204">
        <f t="shared" si="15"/>
        <v>0</v>
      </c>
      <c r="S204">
        <f t="shared" si="16"/>
        <v>1</v>
      </c>
      <c r="T204">
        <f t="shared" si="17"/>
        <v>1</v>
      </c>
      <c r="U204">
        <f t="shared" si="18"/>
        <v>1</v>
      </c>
      <c r="V204">
        <f t="shared" si="19"/>
        <v>0</v>
      </c>
    </row>
    <row r="205" spans="1:22" x14ac:dyDescent="0.25">
      <c r="A205">
        <v>202</v>
      </c>
      <c r="B205" t="s">
        <v>5</v>
      </c>
      <c r="C205" t="s">
        <v>73</v>
      </c>
      <c r="D205" s="4">
        <v>45709</v>
      </c>
      <c r="E205" t="s">
        <v>2732</v>
      </c>
      <c r="F205" t="s">
        <v>75</v>
      </c>
      <c r="I205" s="6"/>
      <c r="J205" s="6"/>
      <c r="K205" s="6"/>
      <c r="L205" s="6"/>
      <c r="M205" s="6"/>
      <c r="N205" s="6"/>
      <c r="O205" s="6"/>
      <c r="P205" s="6"/>
      <c r="Q205">
        <v>0</v>
      </c>
      <c r="R205">
        <f t="shared" si="15"/>
        <v>0</v>
      </c>
      <c r="S205">
        <f t="shared" si="16"/>
        <v>0</v>
      </c>
      <c r="T205">
        <f t="shared" si="17"/>
        <v>0</v>
      </c>
      <c r="U205">
        <f t="shared" si="18"/>
        <v>0</v>
      </c>
      <c r="V205">
        <f t="shared" si="19"/>
        <v>0</v>
      </c>
    </row>
    <row r="206" spans="1:22" x14ac:dyDescent="0.25">
      <c r="A206">
        <v>203</v>
      </c>
      <c r="B206" t="s">
        <v>5</v>
      </c>
      <c r="C206" t="s">
        <v>73</v>
      </c>
      <c r="D206" s="4">
        <v>45709</v>
      </c>
      <c r="E206" t="s">
        <v>832</v>
      </c>
      <c r="F206" t="s">
        <v>75</v>
      </c>
      <c r="I206" s="6">
        <v>0</v>
      </c>
      <c r="J206" s="6">
        <v>0</v>
      </c>
      <c r="K206" s="6">
        <v>0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  <c r="Q206">
        <v>1</v>
      </c>
      <c r="R206">
        <f t="shared" si="15"/>
        <v>0</v>
      </c>
      <c r="S206">
        <f t="shared" si="16"/>
        <v>1</v>
      </c>
      <c r="T206">
        <f t="shared" si="17"/>
        <v>1</v>
      </c>
      <c r="U206">
        <f t="shared" si="18"/>
        <v>1</v>
      </c>
      <c r="V206">
        <f t="shared" si="19"/>
        <v>0</v>
      </c>
    </row>
    <row r="207" spans="1:22" x14ac:dyDescent="0.25">
      <c r="A207">
        <v>204</v>
      </c>
      <c r="B207" t="s">
        <v>5</v>
      </c>
      <c r="C207" t="s">
        <v>73</v>
      </c>
      <c r="D207" s="4">
        <v>45709</v>
      </c>
      <c r="E207" t="s">
        <v>146</v>
      </c>
      <c r="F207" t="s">
        <v>75</v>
      </c>
      <c r="I207" s="6">
        <v>0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1</v>
      </c>
      <c r="P207" s="6">
        <v>0</v>
      </c>
      <c r="Q207">
        <v>1</v>
      </c>
      <c r="R207">
        <f t="shared" si="15"/>
        <v>0</v>
      </c>
      <c r="S207">
        <f t="shared" si="16"/>
        <v>1</v>
      </c>
      <c r="T207">
        <f t="shared" si="17"/>
        <v>2</v>
      </c>
      <c r="U207">
        <f t="shared" si="18"/>
        <v>1</v>
      </c>
      <c r="V207">
        <f t="shared" si="19"/>
        <v>0</v>
      </c>
    </row>
    <row r="208" spans="1:22" x14ac:dyDescent="0.25">
      <c r="A208">
        <v>205</v>
      </c>
      <c r="B208" t="s">
        <v>5</v>
      </c>
      <c r="C208" t="s">
        <v>73</v>
      </c>
      <c r="D208" s="4">
        <v>45709</v>
      </c>
      <c r="E208" t="s">
        <v>2938</v>
      </c>
      <c r="F208" t="s">
        <v>75</v>
      </c>
      <c r="I208" s="6"/>
      <c r="J208" s="6"/>
      <c r="K208" s="6"/>
      <c r="L208" s="6"/>
      <c r="M208" s="6"/>
      <c r="N208" s="6"/>
      <c r="O208" s="6"/>
      <c r="P208" s="6"/>
      <c r="Q208">
        <v>0</v>
      </c>
      <c r="R208">
        <f t="shared" si="15"/>
        <v>0</v>
      </c>
      <c r="S208">
        <f t="shared" si="16"/>
        <v>0</v>
      </c>
      <c r="T208">
        <f t="shared" si="17"/>
        <v>0</v>
      </c>
      <c r="U208">
        <f t="shared" si="18"/>
        <v>0</v>
      </c>
      <c r="V208">
        <f t="shared" si="19"/>
        <v>0</v>
      </c>
    </row>
    <row r="209" spans="1:22" x14ac:dyDescent="0.25">
      <c r="A209">
        <v>206</v>
      </c>
      <c r="B209" t="s">
        <v>5</v>
      </c>
      <c r="C209" t="s">
        <v>73</v>
      </c>
      <c r="D209" s="4">
        <v>45710</v>
      </c>
      <c r="E209" t="s">
        <v>833</v>
      </c>
      <c r="F209" t="s">
        <v>75</v>
      </c>
      <c r="I209" s="6"/>
      <c r="J209" s="6"/>
      <c r="K209" s="6"/>
      <c r="L209" s="6"/>
      <c r="M209" s="6"/>
      <c r="N209" s="6"/>
      <c r="O209" s="6"/>
      <c r="P209" s="6"/>
      <c r="Q209">
        <v>0</v>
      </c>
      <c r="R209">
        <f t="shared" si="15"/>
        <v>0</v>
      </c>
      <c r="S209">
        <f t="shared" si="16"/>
        <v>0</v>
      </c>
      <c r="T209">
        <f t="shared" si="17"/>
        <v>0</v>
      </c>
      <c r="U209">
        <f t="shared" si="18"/>
        <v>0</v>
      </c>
      <c r="V209">
        <f t="shared" si="19"/>
        <v>0</v>
      </c>
    </row>
    <row r="210" spans="1:22" x14ac:dyDescent="0.25">
      <c r="A210">
        <v>207</v>
      </c>
      <c r="B210" t="s">
        <v>5</v>
      </c>
      <c r="C210" t="s">
        <v>73</v>
      </c>
      <c r="D210" s="4">
        <v>45710</v>
      </c>
      <c r="E210" t="s">
        <v>2731</v>
      </c>
      <c r="F210" t="s">
        <v>75</v>
      </c>
      <c r="I210" s="6">
        <v>0</v>
      </c>
      <c r="J210" s="6">
        <v>0</v>
      </c>
      <c r="K210" s="6">
        <v>0</v>
      </c>
      <c r="L210" s="6">
        <v>0</v>
      </c>
      <c r="M210" s="6">
        <v>1</v>
      </c>
      <c r="N210" s="6">
        <v>0</v>
      </c>
      <c r="O210" s="6">
        <v>0</v>
      </c>
      <c r="P210" s="6">
        <v>0</v>
      </c>
      <c r="Q210">
        <v>1</v>
      </c>
      <c r="R210">
        <f t="shared" si="15"/>
        <v>0</v>
      </c>
      <c r="S210">
        <f t="shared" si="16"/>
        <v>1</v>
      </c>
      <c r="T210">
        <f t="shared" si="17"/>
        <v>1</v>
      </c>
      <c r="U210">
        <f t="shared" si="18"/>
        <v>1</v>
      </c>
      <c r="V210">
        <f t="shared" si="19"/>
        <v>0</v>
      </c>
    </row>
    <row r="211" spans="1:22" x14ac:dyDescent="0.25">
      <c r="A211">
        <v>208</v>
      </c>
      <c r="B211" t="s">
        <v>5</v>
      </c>
      <c r="C211" t="s">
        <v>73</v>
      </c>
      <c r="D211" s="4">
        <v>45712</v>
      </c>
      <c r="E211" t="s">
        <v>2937</v>
      </c>
      <c r="F211" t="s">
        <v>75</v>
      </c>
      <c r="I211" s="6">
        <v>1</v>
      </c>
      <c r="J211" s="6">
        <v>0</v>
      </c>
      <c r="K211" s="6">
        <v>0</v>
      </c>
      <c r="L211" s="6">
        <v>0</v>
      </c>
      <c r="M211" s="6">
        <v>1</v>
      </c>
      <c r="N211" s="6">
        <v>0</v>
      </c>
      <c r="O211" s="6">
        <v>0</v>
      </c>
      <c r="P211" s="6">
        <v>0</v>
      </c>
      <c r="Q211">
        <v>1</v>
      </c>
      <c r="R211">
        <f t="shared" si="15"/>
        <v>0</v>
      </c>
      <c r="S211">
        <f t="shared" si="16"/>
        <v>1</v>
      </c>
      <c r="T211">
        <f t="shared" si="17"/>
        <v>2</v>
      </c>
      <c r="U211">
        <f t="shared" si="18"/>
        <v>1</v>
      </c>
      <c r="V211">
        <f t="shared" si="19"/>
        <v>0</v>
      </c>
    </row>
    <row r="212" spans="1:22" x14ac:dyDescent="0.25">
      <c r="A212">
        <v>209</v>
      </c>
      <c r="B212" t="s">
        <v>5</v>
      </c>
      <c r="C212" t="s">
        <v>73</v>
      </c>
      <c r="D212" s="4">
        <v>45713</v>
      </c>
      <c r="E212" t="s">
        <v>2936</v>
      </c>
      <c r="F212" t="s">
        <v>75</v>
      </c>
      <c r="I212" s="6"/>
      <c r="J212" s="6"/>
      <c r="K212" s="6"/>
      <c r="L212" s="6"/>
      <c r="M212" s="6"/>
      <c r="N212" s="6"/>
      <c r="O212" s="6"/>
      <c r="P212" s="6"/>
      <c r="Q212">
        <v>0</v>
      </c>
      <c r="R212">
        <f t="shared" si="15"/>
        <v>0</v>
      </c>
      <c r="S212">
        <f t="shared" si="16"/>
        <v>0</v>
      </c>
      <c r="T212">
        <f t="shared" si="17"/>
        <v>0</v>
      </c>
      <c r="U212">
        <f t="shared" si="18"/>
        <v>0</v>
      </c>
      <c r="V212">
        <f t="shared" si="19"/>
        <v>0</v>
      </c>
    </row>
    <row r="213" spans="1:22" x14ac:dyDescent="0.25">
      <c r="A213">
        <v>210</v>
      </c>
      <c r="B213" t="s">
        <v>5</v>
      </c>
      <c r="C213" t="s">
        <v>73</v>
      </c>
      <c r="D213" s="4">
        <v>45713</v>
      </c>
      <c r="E213" t="s">
        <v>147</v>
      </c>
      <c r="F213" t="s">
        <v>75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>
        <v>1</v>
      </c>
      <c r="R213">
        <f t="shared" si="15"/>
        <v>0</v>
      </c>
      <c r="S213">
        <f t="shared" si="16"/>
        <v>1</v>
      </c>
      <c r="T213">
        <f t="shared" si="17"/>
        <v>0</v>
      </c>
      <c r="U213">
        <f t="shared" si="18"/>
        <v>0</v>
      </c>
      <c r="V213">
        <f t="shared" si="19"/>
        <v>0</v>
      </c>
    </row>
    <row r="214" spans="1:22" x14ac:dyDescent="0.25">
      <c r="A214">
        <v>211</v>
      </c>
      <c r="B214" t="s">
        <v>5</v>
      </c>
      <c r="C214" t="s">
        <v>73</v>
      </c>
      <c r="D214" s="4">
        <v>45713</v>
      </c>
      <c r="E214" t="s">
        <v>148</v>
      </c>
      <c r="F214" t="s">
        <v>75</v>
      </c>
      <c r="H214" t="s">
        <v>149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>
        <v>1</v>
      </c>
      <c r="R214">
        <f t="shared" si="15"/>
        <v>0</v>
      </c>
      <c r="S214">
        <f t="shared" si="16"/>
        <v>1</v>
      </c>
      <c r="T214">
        <f t="shared" si="17"/>
        <v>0</v>
      </c>
      <c r="U214">
        <f t="shared" si="18"/>
        <v>0</v>
      </c>
      <c r="V214">
        <f t="shared" si="19"/>
        <v>0</v>
      </c>
    </row>
    <row r="215" spans="1:22" x14ac:dyDescent="0.25">
      <c r="A215">
        <v>212</v>
      </c>
      <c r="B215" t="s">
        <v>5</v>
      </c>
      <c r="C215" t="s">
        <v>73</v>
      </c>
      <c r="D215" s="4">
        <v>45713</v>
      </c>
      <c r="E215" t="s">
        <v>2935</v>
      </c>
      <c r="F215" t="s">
        <v>75</v>
      </c>
      <c r="I215" s="6"/>
      <c r="J215" s="6"/>
      <c r="K215" s="6"/>
      <c r="L215" s="6"/>
      <c r="M215" s="6"/>
      <c r="N215" s="6"/>
      <c r="O215" s="6"/>
      <c r="P215" s="6"/>
      <c r="Q215">
        <v>0</v>
      </c>
      <c r="R215">
        <f t="shared" si="15"/>
        <v>0</v>
      </c>
      <c r="S215">
        <f t="shared" si="16"/>
        <v>0</v>
      </c>
      <c r="T215">
        <f t="shared" si="17"/>
        <v>0</v>
      </c>
      <c r="U215">
        <f t="shared" si="18"/>
        <v>0</v>
      </c>
      <c r="V215">
        <f t="shared" si="19"/>
        <v>0</v>
      </c>
    </row>
    <row r="216" spans="1:22" x14ac:dyDescent="0.25">
      <c r="A216">
        <v>213</v>
      </c>
      <c r="B216" t="s">
        <v>5</v>
      </c>
      <c r="C216" t="s">
        <v>73</v>
      </c>
      <c r="D216" s="4">
        <v>45713</v>
      </c>
      <c r="E216" t="s">
        <v>2934</v>
      </c>
      <c r="F216" t="s">
        <v>75</v>
      </c>
      <c r="I216" s="6"/>
      <c r="J216" s="6"/>
      <c r="K216" s="6"/>
      <c r="L216" s="6"/>
      <c r="M216" s="6"/>
      <c r="N216" s="6"/>
      <c r="O216" s="6"/>
      <c r="P216" s="6"/>
      <c r="Q216">
        <v>0</v>
      </c>
      <c r="R216">
        <f t="shared" si="15"/>
        <v>0</v>
      </c>
      <c r="S216">
        <f t="shared" si="16"/>
        <v>0</v>
      </c>
      <c r="T216">
        <f t="shared" si="17"/>
        <v>0</v>
      </c>
      <c r="U216">
        <f t="shared" si="18"/>
        <v>0</v>
      </c>
      <c r="V216">
        <f t="shared" si="19"/>
        <v>0</v>
      </c>
    </row>
    <row r="217" spans="1:22" x14ac:dyDescent="0.25">
      <c r="A217">
        <v>214</v>
      </c>
      <c r="B217" t="s">
        <v>5</v>
      </c>
      <c r="C217" t="s">
        <v>73</v>
      </c>
      <c r="D217" s="4">
        <v>45713</v>
      </c>
      <c r="E217" t="s">
        <v>2933</v>
      </c>
      <c r="F217" t="s">
        <v>75</v>
      </c>
      <c r="I217" s="6">
        <v>0</v>
      </c>
      <c r="J217" s="6">
        <v>0</v>
      </c>
      <c r="K217" s="6">
        <v>0</v>
      </c>
      <c r="L217" s="6">
        <v>0</v>
      </c>
      <c r="M217" s="6">
        <v>1</v>
      </c>
      <c r="N217" s="6">
        <v>1</v>
      </c>
      <c r="O217" s="6">
        <v>0</v>
      </c>
      <c r="P217" s="6">
        <v>0</v>
      </c>
      <c r="Q217">
        <v>1</v>
      </c>
      <c r="R217">
        <f t="shared" si="15"/>
        <v>0</v>
      </c>
      <c r="S217">
        <f t="shared" si="16"/>
        <v>1</v>
      </c>
      <c r="T217">
        <f t="shared" si="17"/>
        <v>2</v>
      </c>
      <c r="U217">
        <f t="shared" si="18"/>
        <v>1</v>
      </c>
      <c r="V217">
        <f t="shared" si="19"/>
        <v>0</v>
      </c>
    </row>
    <row r="218" spans="1:22" x14ac:dyDescent="0.25">
      <c r="A218">
        <v>215</v>
      </c>
      <c r="B218" t="s">
        <v>5</v>
      </c>
      <c r="C218" t="s">
        <v>73</v>
      </c>
      <c r="D218" s="4">
        <v>45713</v>
      </c>
      <c r="E218" t="s">
        <v>2932</v>
      </c>
      <c r="F218" t="s">
        <v>75</v>
      </c>
      <c r="I218" s="6">
        <v>0</v>
      </c>
      <c r="J218" s="6">
        <v>0</v>
      </c>
      <c r="K218" s="6">
        <v>0</v>
      </c>
      <c r="L218" s="6">
        <v>0</v>
      </c>
      <c r="M218" s="6">
        <v>1</v>
      </c>
      <c r="N218" s="6">
        <v>0</v>
      </c>
      <c r="O218" s="6">
        <v>0</v>
      </c>
      <c r="P218" s="6">
        <v>0</v>
      </c>
      <c r="Q218">
        <v>1</v>
      </c>
      <c r="R218">
        <f t="shared" si="15"/>
        <v>0</v>
      </c>
      <c r="S218">
        <f t="shared" si="16"/>
        <v>1</v>
      </c>
      <c r="T218">
        <f t="shared" si="17"/>
        <v>1</v>
      </c>
      <c r="U218">
        <f t="shared" si="18"/>
        <v>1</v>
      </c>
      <c r="V218">
        <f t="shared" si="19"/>
        <v>0</v>
      </c>
    </row>
    <row r="219" spans="1:22" x14ac:dyDescent="0.25">
      <c r="A219">
        <v>216</v>
      </c>
      <c r="B219" t="s">
        <v>5</v>
      </c>
      <c r="C219" t="s">
        <v>73</v>
      </c>
      <c r="D219" s="4">
        <v>45714</v>
      </c>
      <c r="E219" t="s">
        <v>150</v>
      </c>
      <c r="F219" t="s">
        <v>75</v>
      </c>
      <c r="I219" s="6">
        <v>0</v>
      </c>
      <c r="J219" s="6">
        <v>0</v>
      </c>
      <c r="K219" s="6">
        <v>0</v>
      </c>
      <c r="L219" s="6">
        <v>0</v>
      </c>
      <c r="M219" s="6">
        <v>1</v>
      </c>
      <c r="N219" s="6">
        <v>0</v>
      </c>
      <c r="O219" s="6">
        <v>0</v>
      </c>
      <c r="P219" s="6">
        <v>0</v>
      </c>
      <c r="Q219">
        <v>1</v>
      </c>
      <c r="R219">
        <f t="shared" si="15"/>
        <v>0</v>
      </c>
      <c r="S219">
        <f t="shared" si="16"/>
        <v>1</v>
      </c>
      <c r="T219">
        <f t="shared" si="17"/>
        <v>1</v>
      </c>
      <c r="U219">
        <f t="shared" si="18"/>
        <v>1</v>
      </c>
      <c r="V219">
        <f t="shared" si="19"/>
        <v>0</v>
      </c>
    </row>
    <row r="220" spans="1:22" x14ac:dyDescent="0.25">
      <c r="A220">
        <v>217</v>
      </c>
      <c r="B220" t="s">
        <v>5</v>
      </c>
      <c r="C220" t="s">
        <v>73</v>
      </c>
      <c r="D220" s="4">
        <v>45715</v>
      </c>
      <c r="E220" t="s">
        <v>151</v>
      </c>
      <c r="F220" t="s">
        <v>75</v>
      </c>
      <c r="I220" s="6">
        <v>0</v>
      </c>
      <c r="J220" s="6">
        <v>0</v>
      </c>
      <c r="K220" s="6">
        <v>1</v>
      </c>
      <c r="L220" s="6">
        <v>0</v>
      </c>
      <c r="M220" s="6">
        <v>1</v>
      </c>
      <c r="N220" s="6">
        <v>0</v>
      </c>
      <c r="O220" s="6">
        <v>0</v>
      </c>
      <c r="P220" s="6">
        <v>0</v>
      </c>
      <c r="Q220">
        <v>1</v>
      </c>
      <c r="R220">
        <f t="shared" si="15"/>
        <v>0</v>
      </c>
      <c r="S220">
        <f t="shared" si="16"/>
        <v>1</v>
      </c>
      <c r="T220">
        <f t="shared" si="17"/>
        <v>2</v>
      </c>
      <c r="U220">
        <f t="shared" si="18"/>
        <v>1</v>
      </c>
      <c r="V220">
        <f t="shared" si="19"/>
        <v>0</v>
      </c>
    </row>
    <row r="221" spans="1:22" x14ac:dyDescent="0.25">
      <c r="A221">
        <v>218</v>
      </c>
      <c r="B221" t="s">
        <v>5</v>
      </c>
      <c r="C221" t="s">
        <v>73</v>
      </c>
      <c r="D221" s="4">
        <v>45715</v>
      </c>
      <c r="E221" t="s">
        <v>152</v>
      </c>
      <c r="F221" t="s">
        <v>75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>
        <v>1</v>
      </c>
      <c r="R221">
        <f t="shared" si="15"/>
        <v>0</v>
      </c>
      <c r="S221">
        <f t="shared" si="16"/>
        <v>1</v>
      </c>
      <c r="T221">
        <f t="shared" si="17"/>
        <v>0</v>
      </c>
      <c r="U221">
        <f t="shared" si="18"/>
        <v>0</v>
      </c>
      <c r="V221">
        <f t="shared" si="19"/>
        <v>0</v>
      </c>
    </row>
    <row r="222" spans="1:22" x14ac:dyDescent="0.25">
      <c r="A222">
        <v>219</v>
      </c>
      <c r="B222" t="s">
        <v>5</v>
      </c>
      <c r="C222" t="s">
        <v>73</v>
      </c>
      <c r="D222" s="4">
        <v>45715</v>
      </c>
      <c r="E222" t="s">
        <v>2931</v>
      </c>
      <c r="F222" t="s">
        <v>75</v>
      </c>
      <c r="I222" s="6"/>
      <c r="J222" s="6"/>
      <c r="K222" s="6"/>
      <c r="L222" s="6"/>
      <c r="M222" s="6"/>
      <c r="N222" s="6"/>
      <c r="O222" s="6"/>
      <c r="P222" s="6"/>
      <c r="Q222">
        <v>0</v>
      </c>
      <c r="R222">
        <f t="shared" si="15"/>
        <v>0</v>
      </c>
      <c r="S222">
        <f t="shared" si="16"/>
        <v>0</v>
      </c>
      <c r="T222">
        <f t="shared" si="17"/>
        <v>0</v>
      </c>
      <c r="U222">
        <f t="shared" si="18"/>
        <v>0</v>
      </c>
      <c r="V222">
        <f t="shared" si="19"/>
        <v>0</v>
      </c>
    </row>
    <row r="223" spans="1:22" x14ac:dyDescent="0.25">
      <c r="A223">
        <v>220</v>
      </c>
      <c r="B223" t="s">
        <v>5</v>
      </c>
      <c r="C223" t="s">
        <v>73</v>
      </c>
      <c r="D223" s="4">
        <v>45715</v>
      </c>
      <c r="E223" t="s">
        <v>2930</v>
      </c>
      <c r="F223" t="s">
        <v>75</v>
      </c>
      <c r="I223" s="6"/>
      <c r="J223" s="6"/>
      <c r="K223" s="6"/>
      <c r="L223" s="6"/>
      <c r="M223" s="6"/>
      <c r="N223" s="6"/>
      <c r="O223" s="6"/>
      <c r="P223" s="6"/>
      <c r="Q223">
        <v>0</v>
      </c>
      <c r="R223">
        <f t="shared" si="15"/>
        <v>0</v>
      </c>
      <c r="S223">
        <f t="shared" si="16"/>
        <v>0</v>
      </c>
      <c r="T223">
        <f t="shared" si="17"/>
        <v>0</v>
      </c>
      <c r="U223">
        <f t="shared" si="18"/>
        <v>0</v>
      </c>
      <c r="V223">
        <f t="shared" si="19"/>
        <v>0</v>
      </c>
    </row>
    <row r="224" spans="1:22" x14ac:dyDescent="0.25">
      <c r="A224">
        <v>221</v>
      </c>
      <c r="B224" t="s">
        <v>5</v>
      </c>
      <c r="C224" t="s">
        <v>73</v>
      </c>
      <c r="D224" s="4">
        <v>45715</v>
      </c>
      <c r="E224" t="s">
        <v>153</v>
      </c>
      <c r="F224" t="s">
        <v>75</v>
      </c>
      <c r="I224" s="6">
        <v>0</v>
      </c>
      <c r="J224" s="6">
        <v>0</v>
      </c>
      <c r="K224" s="6">
        <v>0</v>
      </c>
      <c r="L224" s="6">
        <v>0</v>
      </c>
      <c r="M224" s="6">
        <v>1</v>
      </c>
      <c r="N224" s="6">
        <v>1</v>
      </c>
      <c r="O224" s="6">
        <v>1</v>
      </c>
      <c r="P224" s="6">
        <v>0</v>
      </c>
      <c r="Q224">
        <v>1</v>
      </c>
      <c r="R224">
        <f t="shared" si="15"/>
        <v>0</v>
      </c>
      <c r="S224">
        <f t="shared" si="16"/>
        <v>1</v>
      </c>
      <c r="T224">
        <f t="shared" si="17"/>
        <v>3</v>
      </c>
      <c r="U224">
        <f t="shared" si="18"/>
        <v>1</v>
      </c>
      <c r="V224">
        <f t="shared" si="19"/>
        <v>0</v>
      </c>
    </row>
    <row r="225" spans="1:22" x14ac:dyDescent="0.25">
      <c r="A225">
        <v>222</v>
      </c>
      <c r="B225" t="s">
        <v>5</v>
      </c>
      <c r="C225" t="s">
        <v>73</v>
      </c>
      <c r="D225" s="4">
        <v>45715</v>
      </c>
      <c r="E225" t="s">
        <v>154</v>
      </c>
      <c r="F225" t="s">
        <v>75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>
        <v>1</v>
      </c>
      <c r="R225">
        <f t="shared" si="15"/>
        <v>0</v>
      </c>
      <c r="S225">
        <f t="shared" si="16"/>
        <v>1</v>
      </c>
      <c r="T225">
        <f t="shared" si="17"/>
        <v>0</v>
      </c>
      <c r="U225">
        <f t="shared" si="18"/>
        <v>0</v>
      </c>
      <c r="V225">
        <f t="shared" si="19"/>
        <v>0</v>
      </c>
    </row>
    <row r="226" spans="1:22" x14ac:dyDescent="0.25">
      <c r="A226">
        <v>223</v>
      </c>
      <c r="B226" t="s">
        <v>5</v>
      </c>
      <c r="C226" t="s">
        <v>73</v>
      </c>
      <c r="D226" s="4">
        <v>45716</v>
      </c>
      <c r="E226" t="s">
        <v>155</v>
      </c>
      <c r="F226" t="s">
        <v>75</v>
      </c>
      <c r="H226" t="s">
        <v>156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>
        <v>1</v>
      </c>
      <c r="R226">
        <f t="shared" si="15"/>
        <v>0</v>
      </c>
      <c r="S226">
        <f t="shared" si="16"/>
        <v>1</v>
      </c>
      <c r="T226">
        <f t="shared" si="17"/>
        <v>0</v>
      </c>
      <c r="U226">
        <f t="shared" si="18"/>
        <v>0</v>
      </c>
      <c r="V226">
        <f t="shared" si="19"/>
        <v>0</v>
      </c>
    </row>
    <row r="227" spans="1:22" x14ac:dyDescent="0.25">
      <c r="A227">
        <v>224</v>
      </c>
      <c r="B227" t="s">
        <v>5</v>
      </c>
      <c r="C227" t="s">
        <v>73</v>
      </c>
      <c r="D227" s="4">
        <v>45716</v>
      </c>
      <c r="E227" t="s">
        <v>2929</v>
      </c>
      <c r="F227" t="s">
        <v>75</v>
      </c>
      <c r="I227" s="6">
        <v>0</v>
      </c>
      <c r="J227" s="6">
        <v>0</v>
      </c>
      <c r="K227" s="6">
        <v>0</v>
      </c>
      <c r="L227" s="6">
        <v>0</v>
      </c>
      <c r="M227" s="6">
        <v>1</v>
      </c>
      <c r="N227" s="6">
        <v>1</v>
      </c>
      <c r="O227" s="6">
        <v>0</v>
      </c>
      <c r="P227" s="6">
        <v>0</v>
      </c>
      <c r="Q227">
        <v>1</v>
      </c>
      <c r="R227">
        <f t="shared" si="15"/>
        <v>0</v>
      </c>
      <c r="S227">
        <f t="shared" si="16"/>
        <v>1</v>
      </c>
      <c r="T227">
        <f t="shared" si="17"/>
        <v>2</v>
      </c>
      <c r="U227">
        <f t="shared" si="18"/>
        <v>1</v>
      </c>
      <c r="V227">
        <f t="shared" si="19"/>
        <v>0</v>
      </c>
    </row>
    <row r="228" spans="1:22" x14ac:dyDescent="0.25">
      <c r="A228">
        <v>225</v>
      </c>
      <c r="B228" t="s">
        <v>5</v>
      </c>
      <c r="C228" t="s">
        <v>73</v>
      </c>
      <c r="D228" s="4">
        <v>45717</v>
      </c>
      <c r="E228" t="s">
        <v>157</v>
      </c>
      <c r="F228" t="s">
        <v>75</v>
      </c>
      <c r="I228" s="6">
        <v>0</v>
      </c>
      <c r="J228" s="6">
        <v>0</v>
      </c>
      <c r="K228" s="6">
        <v>0</v>
      </c>
      <c r="L228" s="6">
        <v>0</v>
      </c>
      <c r="M228" s="6">
        <v>1</v>
      </c>
      <c r="N228" s="6">
        <v>0</v>
      </c>
      <c r="O228" s="6">
        <v>0</v>
      </c>
      <c r="P228" s="6">
        <v>0</v>
      </c>
      <c r="Q228">
        <v>1</v>
      </c>
      <c r="R228">
        <f t="shared" si="15"/>
        <v>0</v>
      </c>
      <c r="S228">
        <f t="shared" si="16"/>
        <v>1</v>
      </c>
      <c r="T228">
        <f t="shared" si="17"/>
        <v>1</v>
      </c>
      <c r="U228">
        <f t="shared" si="18"/>
        <v>1</v>
      </c>
      <c r="V228">
        <f t="shared" si="19"/>
        <v>0</v>
      </c>
    </row>
    <row r="229" spans="1:22" x14ac:dyDescent="0.25">
      <c r="A229">
        <v>226</v>
      </c>
      <c r="B229" t="s">
        <v>5</v>
      </c>
      <c r="C229" t="s">
        <v>73</v>
      </c>
      <c r="D229" s="4">
        <v>45717</v>
      </c>
      <c r="E229" t="s">
        <v>2928</v>
      </c>
      <c r="F229" t="s">
        <v>75</v>
      </c>
      <c r="I229" s="6"/>
      <c r="J229" s="6"/>
      <c r="K229" s="6"/>
      <c r="L229" s="6"/>
      <c r="M229" s="6"/>
      <c r="N229" s="6"/>
      <c r="O229" s="6"/>
      <c r="P229" s="6"/>
      <c r="Q229">
        <v>0</v>
      </c>
      <c r="R229">
        <f t="shared" si="15"/>
        <v>0</v>
      </c>
      <c r="S229">
        <f t="shared" si="16"/>
        <v>0</v>
      </c>
      <c r="T229">
        <f t="shared" si="17"/>
        <v>0</v>
      </c>
      <c r="U229">
        <f t="shared" si="18"/>
        <v>0</v>
      </c>
      <c r="V229">
        <f t="shared" si="19"/>
        <v>0</v>
      </c>
    </row>
    <row r="230" spans="1:22" x14ac:dyDescent="0.25">
      <c r="A230">
        <v>227</v>
      </c>
      <c r="B230" t="s">
        <v>5</v>
      </c>
      <c r="C230" t="s">
        <v>73</v>
      </c>
      <c r="D230" s="4">
        <v>45717</v>
      </c>
      <c r="E230" t="s">
        <v>158</v>
      </c>
      <c r="F230" t="s">
        <v>75</v>
      </c>
      <c r="I230" s="6">
        <v>0</v>
      </c>
      <c r="J230" s="6">
        <v>0</v>
      </c>
      <c r="K230" s="6">
        <v>0</v>
      </c>
      <c r="L230" s="6">
        <v>0</v>
      </c>
      <c r="M230" s="6">
        <v>1</v>
      </c>
      <c r="N230" s="6">
        <v>0</v>
      </c>
      <c r="O230" s="6">
        <v>0</v>
      </c>
      <c r="P230" s="6">
        <v>0</v>
      </c>
      <c r="Q230">
        <v>1</v>
      </c>
      <c r="R230">
        <f t="shared" si="15"/>
        <v>0</v>
      </c>
      <c r="S230">
        <f t="shared" si="16"/>
        <v>1</v>
      </c>
      <c r="T230">
        <f t="shared" si="17"/>
        <v>1</v>
      </c>
      <c r="U230">
        <f t="shared" si="18"/>
        <v>1</v>
      </c>
      <c r="V230">
        <f t="shared" si="19"/>
        <v>0</v>
      </c>
    </row>
    <row r="231" spans="1:22" x14ac:dyDescent="0.25">
      <c r="A231">
        <v>228</v>
      </c>
      <c r="B231" t="s">
        <v>5</v>
      </c>
      <c r="C231" t="s">
        <v>73</v>
      </c>
      <c r="D231" s="4">
        <v>45717</v>
      </c>
      <c r="E231" t="s">
        <v>159</v>
      </c>
      <c r="F231" t="s">
        <v>75</v>
      </c>
      <c r="I231" s="6">
        <v>0</v>
      </c>
      <c r="J231" s="6">
        <v>0</v>
      </c>
      <c r="K231" s="6">
        <v>0</v>
      </c>
      <c r="L231" s="6">
        <v>0</v>
      </c>
      <c r="M231" s="6">
        <v>1</v>
      </c>
      <c r="N231" s="6">
        <v>1</v>
      </c>
      <c r="O231" s="6">
        <v>0</v>
      </c>
      <c r="P231" s="6">
        <v>1</v>
      </c>
      <c r="Q231">
        <v>1</v>
      </c>
      <c r="R231">
        <f t="shared" si="15"/>
        <v>0</v>
      </c>
      <c r="S231">
        <f t="shared" si="16"/>
        <v>1</v>
      </c>
      <c r="T231">
        <f t="shared" si="17"/>
        <v>3</v>
      </c>
      <c r="U231">
        <f t="shared" si="18"/>
        <v>1</v>
      </c>
      <c r="V231">
        <f t="shared" si="19"/>
        <v>0</v>
      </c>
    </row>
    <row r="232" spans="1:22" x14ac:dyDescent="0.25">
      <c r="A232">
        <v>229</v>
      </c>
      <c r="B232" t="s">
        <v>5</v>
      </c>
      <c r="C232" t="s">
        <v>73</v>
      </c>
      <c r="D232" s="4">
        <v>45717</v>
      </c>
      <c r="E232" t="s">
        <v>2927</v>
      </c>
      <c r="F232" t="s">
        <v>75</v>
      </c>
      <c r="I232" s="6"/>
      <c r="J232" s="6"/>
      <c r="K232" s="6"/>
      <c r="L232" s="6"/>
      <c r="M232" s="6"/>
      <c r="N232" s="6"/>
      <c r="O232" s="6"/>
      <c r="P232" s="6"/>
      <c r="Q232">
        <v>0</v>
      </c>
      <c r="R232">
        <f t="shared" si="15"/>
        <v>0</v>
      </c>
      <c r="S232">
        <f t="shared" si="16"/>
        <v>0</v>
      </c>
      <c r="T232">
        <f t="shared" si="17"/>
        <v>0</v>
      </c>
      <c r="U232">
        <f t="shared" si="18"/>
        <v>0</v>
      </c>
      <c r="V232">
        <f t="shared" si="19"/>
        <v>0</v>
      </c>
    </row>
    <row r="233" spans="1:22" x14ac:dyDescent="0.25">
      <c r="A233">
        <v>230</v>
      </c>
      <c r="B233" t="s">
        <v>5</v>
      </c>
      <c r="C233" t="s">
        <v>73</v>
      </c>
      <c r="D233" s="4">
        <v>45717</v>
      </c>
      <c r="E233" t="s">
        <v>160</v>
      </c>
      <c r="F233" t="s">
        <v>75</v>
      </c>
      <c r="I233" s="6">
        <v>0</v>
      </c>
      <c r="J233" s="6">
        <v>0</v>
      </c>
      <c r="K233" s="6">
        <v>0</v>
      </c>
      <c r="L233" s="6">
        <v>0</v>
      </c>
      <c r="M233" s="6">
        <v>1</v>
      </c>
      <c r="N233" s="6">
        <v>1</v>
      </c>
      <c r="O233" s="6">
        <v>0</v>
      </c>
      <c r="P233" s="6">
        <v>0</v>
      </c>
      <c r="Q233">
        <v>1</v>
      </c>
      <c r="R233">
        <f t="shared" si="15"/>
        <v>0</v>
      </c>
      <c r="S233">
        <f t="shared" si="16"/>
        <v>1</v>
      </c>
      <c r="T233">
        <f t="shared" si="17"/>
        <v>2</v>
      </c>
      <c r="U233">
        <f t="shared" si="18"/>
        <v>1</v>
      </c>
      <c r="V233">
        <f t="shared" si="19"/>
        <v>0</v>
      </c>
    </row>
    <row r="234" spans="1:22" x14ac:dyDescent="0.25">
      <c r="A234">
        <v>231</v>
      </c>
      <c r="B234" t="s">
        <v>5</v>
      </c>
      <c r="C234" t="s">
        <v>73</v>
      </c>
      <c r="D234" s="4">
        <v>45717</v>
      </c>
      <c r="E234" t="s">
        <v>2926</v>
      </c>
      <c r="F234" t="s">
        <v>75</v>
      </c>
      <c r="I234" s="6">
        <v>0</v>
      </c>
      <c r="J234" s="6">
        <v>0</v>
      </c>
      <c r="K234" s="6">
        <v>0</v>
      </c>
      <c r="L234" s="6">
        <v>0</v>
      </c>
      <c r="M234" s="6">
        <v>1</v>
      </c>
      <c r="N234" s="6">
        <v>1</v>
      </c>
      <c r="O234" s="6">
        <v>0</v>
      </c>
      <c r="P234" s="6">
        <v>0</v>
      </c>
      <c r="Q234">
        <v>1</v>
      </c>
      <c r="R234">
        <f t="shared" si="15"/>
        <v>0</v>
      </c>
      <c r="S234">
        <f t="shared" si="16"/>
        <v>1</v>
      </c>
      <c r="T234">
        <f t="shared" si="17"/>
        <v>2</v>
      </c>
      <c r="U234">
        <f t="shared" si="18"/>
        <v>1</v>
      </c>
      <c r="V234">
        <f t="shared" si="19"/>
        <v>0</v>
      </c>
    </row>
    <row r="235" spans="1:22" x14ac:dyDescent="0.25">
      <c r="A235">
        <v>232</v>
      </c>
      <c r="B235" t="s">
        <v>5</v>
      </c>
      <c r="C235" t="s">
        <v>73</v>
      </c>
      <c r="D235" s="4">
        <v>45717</v>
      </c>
      <c r="E235" t="s">
        <v>2925</v>
      </c>
      <c r="F235" t="s">
        <v>75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>
        <v>1</v>
      </c>
      <c r="R235">
        <f t="shared" si="15"/>
        <v>0</v>
      </c>
      <c r="S235">
        <f t="shared" si="16"/>
        <v>1</v>
      </c>
      <c r="T235">
        <f t="shared" si="17"/>
        <v>0</v>
      </c>
      <c r="U235">
        <f t="shared" si="18"/>
        <v>0</v>
      </c>
      <c r="V235">
        <f t="shared" si="19"/>
        <v>0</v>
      </c>
    </row>
    <row r="236" spans="1:22" x14ac:dyDescent="0.25">
      <c r="A236">
        <v>233</v>
      </c>
      <c r="B236" t="s">
        <v>5</v>
      </c>
      <c r="C236" t="s">
        <v>73</v>
      </c>
      <c r="D236" s="4">
        <v>45719</v>
      </c>
      <c r="E236" t="s">
        <v>161</v>
      </c>
      <c r="F236" t="s">
        <v>75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>
        <v>1</v>
      </c>
      <c r="R236">
        <f t="shared" si="15"/>
        <v>0</v>
      </c>
      <c r="S236">
        <f t="shared" si="16"/>
        <v>1</v>
      </c>
      <c r="T236">
        <f t="shared" si="17"/>
        <v>0</v>
      </c>
      <c r="U236">
        <f t="shared" si="18"/>
        <v>0</v>
      </c>
      <c r="V236">
        <f t="shared" si="19"/>
        <v>0</v>
      </c>
    </row>
    <row r="237" spans="1:22" x14ac:dyDescent="0.25">
      <c r="A237">
        <v>234</v>
      </c>
      <c r="B237" t="s">
        <v>5</v>
      </c>
      <c r="C237" t="s">
        <v>73</v>
      </c>
      <c r="D237" s="4">
        <v>45720</v>
      </c>
      <c r="E237" t="s">
        <v>238</v>
      </c>
      <c r="F237" t="s">
        <v>75</v>
      </c>
      <c r="I237" s="6">
        <v>1</v>
      </c>
      <c r="J237" s="6">
        <v>0</v>
      </c>
      <c r="K237" s="6">
        <v>0</v>
      </c>
      <c r="L237" s="6">
        <v>0</v>
      </c>
      <c r="M237" s="6">
        <v>1</v>
      </c>
      <c r="N237" s="6">
        <v>1</v>
      </c>
      <c r="O237" s="6">
        <v>0</v>
      </c>
      <c r="P237" s="6">
        <v>0</v>
      </c>
      <c r="Q237">
        <v>1</v>
      </c>
      <c r="R237">
        <f t="shared" si="15"/>
        <v>0</v>
      </c>
      <c r="S237">
        <f t="shared" si="16"/>
        <v>1</v>
      </c>
      <c r="T237">
        <f t="shared" si="17"/>
        <v>3</v>
      </c>
      <c r="U237">
        <f t="shared" si="18"/>
        <v>1</v>
      </c>
      <c r="V237">
        <f t="shared" si="19"/>
        <v>0</v>
      </c>
    </row>
    <row r="238" spans="1:22" x14ac:dyDescent="0.25">
      <c r="A238">
        <v>235</v>
      </c>
      <c r="B238" t="s">
        <v>5</v>
      </c>
      <c r="C238" t="s">
        <v>73</v>
      </c>
      <c r="D238" s="4">
        <v>45721</v>
      </c>
      <c r="E238" t="s">
        <v>2924</v>
      </c>
      <c r="F238" t="s">
        <v>75</v>
      </c>
      <c r="I238" s="6"/>
      <c r="J238" s="6"/>
      <c r="K238" s="6"/>
      <c r="L238" s="6"/>
      <c r="M238" s="6"/>
      <c r="N238" s="6"/>
      <c r="O238" s="6"/>
      <c r="P238" s="6"/>
      <c r="Q238">
        <v>0</v>
      </c>
      <c r="R238">
        <f t="shared" si="15"/>
        <v>0</v>
      </c>
      <c r="S238">
        <f t="shared" si="16"/>
        <v>0</v>
      </c>
      <c r="T238">
        <f t="shared" si="17"/>
        <v>0</v>
      </c>
      <c r="U238">
        <f t="shared" si="18"/>
        <v>0</v>
      </c>
      <c r="V238">
        <f t="shared" si="19"/>
        <v>0</v>
      </c>
    </row>
    <row r="239" spans="1:22" x14ac:dyDescent="0.25">
      <c r="A239">
        <v>236</v>
      </c>
      <c r="B239" t="s">
        <v>5</v>
      </c>
      <c r="C239" t="s">
        <v>73</v>
      </c>
      <c r="D239" s="4">
        <v>45721</v>
      </c>
      <c r="E239" t="s">
        <v>2923</v>
      </c>
      <c r="F239" t="s">
        <v>75</v>
      </c>
      <c r="I239" s="6"/>
      <c r="J239" s="6"/>
      <c r="K239" s="6"/>
      <c r="L239" s="6"/>
      <c r="M239" s="6"/>
      <c r="N239" s="6"/>
      <c r="O239" s="6"/>
      <c r="P239" s="6"/>
      <c r="Q239">
        <v>0</v>
      </c>
      <c r="R239">
        <f t="shared" si="15"/>
        <v>0</v>
      </c>
      <c r="S239">
        <f t="shared" si="16"/>
        <v>0</v>
      </c>
      <c r="T239">
        <f t="shared" si="17"/>
        <v>0</v>
      </c>
      <c r="U239">
        <f t="shared" si="18"/>
        <v>0</v>
      </c>
      <c r="V239">
        <f t="shared" si="19"/>
        <v>0</v>
      </c>
    </row>
    <row r="240" spans="1:22" x14ac:dyDescent="0.25">
      <c r="A240">
        <v>237</v>
      </c>
      <c r="B240" t="s">
        <v>5</v>
      </c>
      <c r="C240" t="s">
        <v>73</v>
      </c>
      <c r="D240" s="4">
        <v>45721</v>
      </c>
      <c r="E240" t="s">
        <v>2922</v>
      </c>
      <c r="F240" t="s">
        <v>75</v>
      </c>
      <c r="I240" s="6"/>
      <c r="J240" s="6"/>
      <c r="K240" s="6"/>
      <c r="L240" s="6"/>
      <c r="M240" s="6"/>
      <c r="N240" s="6"/>
      <c r="O240" s="6"/>
      <c r="P240" s="6"/>
      <c r="Q240">
        <v>0</v>
      </c>
      <c r="R240">
        <f t="shared" si="15"/>
        <v>0</v>
      </c>
      <c r="S240">
        <f t="shared" si="16"/>
        <v>0</v>
      </c>
      <c r="T240">
        <f t="shared" si="17"/>
        <v>0</v>
      </c>
      <c r="U240">
        <f t="shared" si="18"/>
        <v>0</v>
      </c>
      <c r="V240">
        <f t="shared" si="19"/>
        <v>0</v>
      </c>
    </row>
    <row r="241" spans="1:22" x14ac:dyDescent="0.25">
      <c r="A241">
        <v>238</v>
      </c>
      <c r="B241" t="s">
        <v>5</v>
      </c>
      <c r="C241" t="s">
        <v>73</v>
      </c>
      <c r="D241" s="4">
        <v>45721</v>
      </c>
      <c r="E241" t="s">
        <v>2921</v>
      </c>
      <c r="F241" t="s">
        <v>75</v>
      </c>
      <c r="I241" s="6">
        <v>0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0</v>
      </c>
      <c r="P241" s="6">
        <v>1</v>
      </c>
      <c r="Q241">
        <v>1</v>
      </c>
      <c r="R241">
        <f t="shared" si="15"/>
        <v>0</v>
      </c>
      <c r="S241">
        <f t="shared" si="16"/>
        <v>1</v>
      </c>
      <c r="T241">
        <f t="shared" si="17"/>
        <v>2</v>
      </c>
      <c r="U241">
        <f t="shared" si="18"/>
        <v>1</v>
      </c>
      <c r="V241">
        <f t="shared" si="19"/>
        <v>0</v>
      </c>
    </row>
    <row r="242" spans="1:22" x14ac:dyDescent="0.25">
      <c r="A242">
        <v>239</v>
      </c>
      <c r="B242" t="s">
        <v>5</v>
      </c>
      <c r="C242" t="s">
        <v>73</v>
      </c>
      <c r="D242" s="4">
        <v>45721</v>
      </c>
      <c r="E242" t="s">
        <v>2920</v>
      </c>
      <c r="F242" t="s">
        <v>75</v>
      </c>
      <c r="I242" s="6"/>
      <c r="J242" s="6"/>
      <c r="K242" s="6"/>
      <c r="L242" s="6"/>
      <c r="M242" s="6"/>
      <c r="N242" s="6"/>
      <c r="O242" s="6"/>
      <c r="P242" s="6"/>
      <c r="Q242">
        <v>0</v>
      </c>
      <c r="R242">
        <f t="shared" si="15"/>
        <v>0</v>
      </c>
      <c r="S242">
        <f t="shared" si="16"/>
        <v>0</v>
      </c>
      <c r="T242">
        <f t="shared" si="17"/>
        <v>0</v>
      </c>
      <c r="U242">
        <f t="shared" si="18"/>
        <v>0</v>
      </c>
      <c r="V242">
        <f t="shared" si="19"/>
        <v>0</v>
      </c>
    </row>
    <row r="243" spans="1:22" x14ac:dyDescent="0.25">
      <c r="A243">
        <v>240</v>
      </c>
      <c r="B243" t="s">
        <v>5</v>
      </c>
      <c r="C243" t="s">
        <v>73</v>
      </c>
      <c r="D243" s="4">
        <v>45722</v>
      </c>
      <c r="E243" t="s">
        <v>162</v>
      </c>
      <c r="F243" t="s">
        <v>75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>
        <v>1</v>
      </c>
      <c r="R243">
        <f t="shared" si="15"/>
        <v>0</v>
      </c>
      <c r="S243">
        <f t="shared" si="16"/>
        <v>1</v>
      </c>
      <c r="T243">
        <f t="shared" si="17"/>
        <v>0</v>
      </c>
      <c r="U243">
        <f t="shared" si="18"/>
        <v>0</v>
      </c>
      <c r="V243">
        <f t="shared" si="19"/>
        <v>0</v>
      </c>
    </row>
    <row r="244" spans="1:22" x14ac:dyDescent="0.25">
      <c r="A244">
        <v>241</v>
      </c>
      <c r="B244" t="s">
        <v>5</v>
      </c>
      <c r="C244" t="s">
        <v>73</v>
      </c>
      <c r="D244" s="4">
        <v>45722</v>
      </c>
      <c r="E244" t="s">
        <v>2919</v>
      </c>
      <c r="F244" t="s">
        <v>75</v>
      </c>
      <c r="I244" s="6"/>
      <c r="J244" s="6"/>
      <c r="K244" s="6"/>
      <c r="L244" s="6"/>
      <c r="M244" s="6"/>
      <c r="N244" s="6"/>
      <c r="O244" s="6"/>
      <c r="P244" s="6"/>
      <c r="Q244">
        <v>0</v>
      </c>
      <c r="R244">
        <f t="shared" si="15"/>
        <v>0</v>
      </c>
      <c r="S244">
        <f t="shared" si="16"/>
        <v>0</v>
      </c>
      <c r="T244">
        <f t="shared" si="17"/>
        <v>0</v>
      </c>
      <c r="U244">
        <f t="shared" si="18"/>
        <v>0</v>
      </c>
      <c r="V244">
        <f t="shared" si="19"/>
        <v>0</v>
      </c>
    </row>
    <row r="245" spans="1:22" x14ac:dyDescent="0.25">
      <c r="A245">
        <v>242</v>
      </c>
      <c r="B245" t="s">
        <v>5</v>
      </c>
      <c r="C245" t="s">
        <v>73</v>
      </c>
      <c r="D245" s="4">
        <v>45722</v>
      </c>
      <c r="E245" t="s">
        <v>2918</v>
      </c>
      <c r="F245" t="s">
        <v>75</v>
      </c>
      <c r="I245" s="6">
        <v>0</v>
      </c>
      <c r="J245" s="6">
        <v>0</v>
      </c>
      <c r="K245" s="6">
        <v>0</v>
      </c>
      <c r="L245" s="6">
        <v>0</v>
      </c>
      <c r="M245" s="6">
        <v>1</v>
      </c>
      <c r="N245" s="6">
        <v>0</v>
      </c>
      <c r="O245" s="6">
        <v>0</v>
      </c>
      <c r="P245" s="6">
        <v>0</v>
      </c>
      <c r="Q245">
        <v>1</v>
      </c>
      <c r="R245">
        <f t="shared" si="15"/>
        <v>0</v>
      </c>
      <c r="S245">
        <f t="shared" si="16"/>
        <v>1</v>
      </c>
      <c r="T245">
        <f t="shared" si="17"/>
        <v>1</v>
      </c>
      <c r="U245">
        <f t="shared" si="18"/>
        <v>1</v>
      </c>
      <c r="V245">
        <f t="shared" si="19"/>
        <v>0</v>
      </c>
    </row>
    <row r="246" spans="1:22" x14ac:dyDescent="0.25">
      <c r="A246">
        <v>243</v>
      </c>
      <c r="B246" t="s">
        <v>5</v>
      </c>
      <c r="C246" t="s">
        <v>73</v>
      </c>
      <c r="D246" s="4">
        <v>45722</v>
      </c>
      <c r="E246" t="s">
        <v>2917</v>
      </c>
      <c r="F246" t="s">
        <v>75</v>
      </c>
      <c r="I246" s="6"/>
      <c r="J246" s="6"/>
      <c r="K246" s="6"/>
      <c r="L246" s="6"/>
      <c r="M246" s="6"/>
      <c r="N246" s="6"/>
      <c r="O246" s="6"/>
      <c r="P246" s="6"/>
      <c r="Q246">
        <v>0</v>
      </c>
      <c r="R246">
        <f t="shared" si="15"/>
        <v>0</v>
      </c>
      <c r="S246">
        <f t="shared" si="16"/>
        <v>0</v>
      </c>
      <c r="T246">
        <f t="shared" si="17"/>
        <v>0</v>
      </c>
      <c r="U246">
        <f t="shared" si="18"/>
        <v>0</v>
      </c>
      <c r="V246">
        <f t="shared" si="19"/>
        <v>0</v>
      </c>
    </row>
    <row r="247" spans="1:22" x14ac:dyDescent="0.25">
      <c r="A247">
        <v>244</v>
      </c>
      <c r="B247" t="s">
        <v>5</v>
      </c>
      <c r="C247" t="s">
        <v>73</v>
      </c>
      <c r="D247" s="4">
        <v>45722</v>
      </c>
      <c r="E247" t="s">
        <v>2916</v>
      </c>
      <c r="F247" t="s">
        <v>75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1</v>
      </c>
      <c r="P247" s="6">
        <v>0</v>
      </c>
      <c r="Q247">
        <v>1</v>
      </c>
      <c r="R247">
        <f t="shared" si="15"/>
        <v>0</v>
      </c>
      <c r="S247">
        <f t="shared" si="16"/>
        <v>1</v>
      </c>
      <c r="T247">
        <f t="shared" si="17"/>
        <v>1</v>
      </c>
      <c r="U247">
        <f t="shared" si="18"/>
        <v>1</v>
      </c>
      <c r="V247">
        <f t="shared" si="19"/>
        <v>0</v>
      </c>
    </row>
    <row r="248" spans="1:22" x14ac:dyDescent="0.25">
      <c r="A248">
        <v>245</v>
      </c>
      <c r="B248" t="s">
        <v>5</v>
      </c>
      <c r="C248" t="s">
        <v>73</v>
      </c>
      <c r="D248" s="4">
        <v>45723</v>
      </c>
      <c r="E248" t="s">
        <v>2915</v>
      </c>
      <c r="F248" t="s">
        <v>75</v>
      </c>
      <c r="I248" s="6">
        <v>0</v>
      </c>
      <c r="J248" s="6">
        <v>0</v>
      </c>
      <c r="K248" s="6">
        <v>0</v>
      </c>
      <c r="L248" s="6">
        <v>1</v>
      </c>
      <c r="M248" s="6">
        <v>0</v>
      </c>
      <c r="N248" s="6">
        <v>0</v>
      </c>
      <c r="O248" s="6">
        <v>0</v>
      </c>
      <c r="P248" s="6">
        <v>0</v>
      </c>
      <c r="Q248">
        <v>1</v>
      </c>
      <c r="R248">
        <f t="shared" si="15"/>
        <v>0</v>
      </c>
      <c r="S248">
        <f t="shared" si="16"/>
        <v>1</v>
      </c>
      <c r="T248">
        <f t="shared" si="17"/>
        <v>1</v>
      </c>
      <c r="U248">
        <f t="shared" si="18"/>
        <v>1</v>
      </c>
      <c r="V248">
        <f t="shared" si="19"/>
        <v>0</v>
      </c>
    </row>
    <row r="249" spans="1:22" x14ac:dyDescent="0.25">
      <c r="A249">
        <v>246</v>
      </c>
      <c r="B249" t="s">
        <v>5</v>
      </c>
      <c r="C249" t="s">
        <v>73</v>
      </c>
      <c r="D249" s="4">
        <v>45723</v>
      </c>
      <c r="E249" t="s">
        <v>2914</v>
      </c>
      <c r="F249" t="s">
        <v>75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>
        <v>1</v>
      </c>
      <c r="R249">
        <f t="shared" si="15"/>
        <v>0</v>
      </c>
      <c r="S249">
        <f t="shared" si="16"/>
        <v>1</v>
      </c>
      <c r="T249">
        <f t="shared" si="17"/>
        <v>1</v>
      </c>
      <c r="U249">
        <f t="shared" si="18"/>
        <v>1</v>
      </c>
      <c r="V249">
        <f t="shared" si="19"/>
        <v>0</v>
      </c>
    </row>
    <row r="250" spans="1:22" x14ac:dyDescent="0.25">
      <c r="A250">
        <v>247</v>
      </c>
      <c r="B250" t="s">
        <v>5</v>
      </c>
      <c r="C250" t="s">
        <v>73</v>
      </c>
      <c r="D250" s="4">
        <v>45723</v>
      </c>
      <c r="E250" t="s">
        <v>2913</v>
      </c>
      <c r="F250" t="s">
        <v>75</v>
      </c>
      <c r="I250" s="6"/>
      <c r="J250" s="6"/>
      <c r="K250" s="6"/>
      <c r="L250" s="6"/>
      <c r="M250" s="6"/>
      <c r="N250" s="6"/>
      <c r="O250" s="6"/>
      <c r="P250" s="6"/>
      <c r="Q250">
        <v>0</v>
      </c>
      <c r="R250">
        <f t="shared" si="15"/>
        <v>0</v>
      </c>
      <c r="S250">
        <f t="shared" si="16"/>
        <v>0</v>
      </c>
      <c r="T250">
        <f t="shared" si="17"/>
        <v>0</v>
      </c>
      <c r="U250">
        <f t="shared" si="18"/>
        <v>0</v>
      </c>
      <c r="V250">
        <f t="shared" si="19"/>
        <v>0</v>
      </c>
    </row>
    <row r="251" spans="1:22" x14ac:dyDescent="0.25">
      <c r="A251">
        <v>248</v>
      </c>
      <c r="B251" t="s">
        <v>5</v>
      </c>
      <c r="C251" t="s">
        <v>73</v>
      </c>
      <c r="D251" s="4">
        <v>45723</v>
      </c>
      <c r="E251" t="s">
        <v>163</v>
      </c>
      <c r="F251" t="s">
        <v>75</v>
      </c>
      <c r="I251" s="6">
        <v>0</v>
      </c>
      <c r="J251" s="6">
        <v>0</v>
      </c>
      <c r="K251" s="6">
        <v>0</v>
      </c>
      <c r="L251" s="6">
        <v>0</v>
      </c>
      <c r="M251" s="6">
        <v>1</v>
      </c>
      <c r="N251" s="6">
        <v>0</v>
      </c>
      <c r="O251" s="6">
        <v>0</v>
      </c>
      <c r="P251" s="6">
        <v>0</v>
      </c>
      <c r="Q251">
        <v>1</v>
      </c>
      <c r="R251">
        <f t="shared" si="15"/>
        <v>0</v>
      </c>
      <c r="S251">
        <f t="shared" si="16"/>
        <v>1</v>
      </c>
      <c r="T251">
        <f t="shared" si="17"/>
        <v>1</v>
      </c>
      <c r="U251">
        <f t="shared" si="18"/>
        <v>1</v>
      </c>
      <c r="V251">
        <f t="shared" si="19"/>
        <v>0</v>
      </c>
    </row>
    <row r="252" spans="1:22" x14ac:dyDescent="0.25">
      <c r="A252">
        <v>249</v>
      </c>
      <c r="B252" t="s">
        <v>5</v>
      </c>
      <c r="C252" t="s">
        <v>73</v>
      </c>
      <c r="D252" s="4">
        <v>45723</v>
      </c>
      <c r="E252" t="s">
        <v>164</v>
      </c>
      <c r="F252" t="s">
        <v>75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1</v>
      </c>
      <c r="P252" s="6">
        <v>0</v>
      </c>
      <c r="Q252">
        <v>1</v>
      </c>
      <c r="R252">
        <f t="shared" si="15"/>
        <v>0</v>
      </c>
      <c r="S252">
        <f t="shared" si="16"/>
        <v>1</v>
      </c>
      <c r="T252">
        <f t="shared" si="17"/>
        <v>1</v>
      </c>
      <c r="U252">
        <f t="shared" si="18"/>
        <v>1</v>
      </c>
      <c r="V252">
        <f t="shared" si="19"/>
        <v>0</v>
      </c>
    </row>
    <row r="253" spans="1:22" x14ac:dyDescent="0.25">
      <c r="A253">
        <v>250</v>
      </c>
      <c r="B253" t="s">
        <v>5</v>
      </c>
      <c r="C253" t="s">
        <v>73</v>
      </c>
      <c r="D253" s="4">
        <v>45723</v>
      </c>
      <c r="E253" t="s">
        <v>2912</v>
      </c>
      <c r="F253" t="s">
        <v>75</v>
      </c>
      <c r="I253" s="6">
        <v>0</v>
      </c>
      <c r="J253" s="6">
        <v>0</v>
      </c>
      <c r="K253" s="6">
        <v>1</v>
      </c>
      <c r="L253" s="6">
        <v>1</v>
      </c>
      <c r="M253" s="6">
        <v>1</v>
      </c>
      <c r="N253" s="6">
        <v>1</v>
      </c>
      <c r="O253" s="6">
        <v>0</v>
      </c>
      <c r="P253" s="6">
        <v>0</v>
      </c>
      <c r="Q253">
        <v>1</v>
      </c>
      <c r="R253">
        <f t="shared" si="15"/>
        <v>0</v>
      </c>
      <c r="S253">
        <f t="shared" si="16"/>
        <v>1</v>
      </c>
      <c r="T253">
        <f t="shared" si="17"/>
        <v>4</v>
      </c>
      <c r="U253">
        <f t="shared" si="18"/>
        <v>1</v>
      </c>
      <c r="V253">
        <f t="shared" si="19"/>
        <v>0</v>
      </c>
    </row>
    <row r="254" spans="1:22" x14ac:dyDescent="0.25">
      <c r="A254">
        <v>251</v>
      </c>
      <c r="B254" t="s">
        <v>5</v>
      </c>
      <c r="C254" t="s">
        <v>73</v>
      </c>
      <c r="D254" s="4">
        <v>45723</v>
      </c>
      <c r="E254" t="s">
        <v>165</v>
      </c>
      <c r="F254" t="s">
        <v>75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>
        <v>1</v>
      </c>
      <c r="R254">
        <f t="shared" si="15"/>
        <v>0</v>
      </c>
      <c r="S254">
        <f t="shared" si="16"/>
        <v>1</v>
      </c>
      <c r="T254">
        <f t="shared" si="17"/>
        <v>0</v>
      </c>
      <c r="U254">
        <f t="shared" si="18"/>
        <v>0</v>
      </c>
      <c r="V254">
        <f t="shared" si="19"/>
        <v>0</v>
      </c>
    </row>
    <row r="255" spans="1:22" x14ac:dyDescent="0.25">
      <c r="A255">
        <v>252</v>
      </c>
      <c r="B255" t="s">
        <v>5</v>
      </c>
      <c r="C255" t="s">
        <v>73</v>
      </c>
      <c r="D255" s="4">
        <v>45723</v>
      </c>
      <c r="E255" t="s">
        <v>166</v>
      </c>
      <c r="F255" t="s">
        <v>75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1</v>
      </c>
      <c r="O255" s="6">
        <v>0</v>
      </c>
      <c r="P255" s="6">
        <v>0</v>
      </c>
      <c r="Q255">
        <v>1</v>
      </c>
      <c r="R255">
        <f t="shared" si="15"/>
        <v>0</v>
      </c>
      <c r="S255">
        <f t="shared" si="16"/>
        <v>1</v>
      </c>
      <c r="T255">
        <f t="shared" si="17"/>
        <v>1</v>
      </c>
      <c r="U255">
        <f t="shared" si="18"/>
        <v>1</v>
      </c>
      <c r="V255">
        <f t="shared" si="19"/>
        <v>0</v>
      </c>
    </row>
    <row r="256" spans="1:22" x14ac:dyDescent="0.25">
      <c r="A256">
        <v>253</v>
      </c>
      <c r="B256" t="s">
        <v>5</v>
      </c>
      <c r="C256" t="s">
        <v>73</v>
      </c>
      <c r="D256" s="4">
        <v>45724</v>
      </c>
      <c r="E256" t="s">
        <v>167</v>
      </c>
      <c r="F256" t="s">
        <v>75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>
        <v>1</v>
      </c>
      <c r="R256">
        <f t="shared" si="15"/>
        <v>0</v>
      </c>
      <c r="S256">
        <f t="shared" si="16"/>
        <v>1</v>
      </c>
      <c r="T256">
        <f t="shared" si="17"/>
        <v>0</v>
      </c>
      <c r="U256">
        <f t="shared" si="18"/>
        <v>0</v>
      </c>
      <c r="V256">
        <f t="shared" si="19"/>
        <v>0</v>
      </c>
    </row>
    <row r="257" spans="1:22" x14ac:dyDescent="0.25">
      <c r="A257">
        <v>254</v>
      </c>
      <c r="B257" t="s">
        <v>5</v>
      </c>
      <c r="C257" t="s">
        <v>73</v>
      </c>
      <c r="D257" s="4">
        <v>45724</v>
      </c>
      <c r="E257" t="s">
        <v>2911</v>
      </c>
      <c r="F257" t="s">
        <v>75</v>
      </c>
      <c r="I257" s="6">
        <v>0</v>
      </c>
      <c r="J257" s="6">
        <v>0</v>
      </c>
      <c r="K257" s="6">
        <v>0</v>
      </c>
      <c r="L257" s="6">
        <v>0</v>
      </c>
      <c r="M257" s="6">
        <v>1</v>
      </c>
      <c r="N257" s="6">
        <v>1</v>
      </c>
      <c r="O257" s="6">
        <v>0</v>
      </c>
      <c r="P257" s="6">
        <v>0</v>
      </c>
      <c r="Q257">
        <v>1</v>
      </c>
      <c r="R257">
        <f t="shared" si="15"/>
        <v>0</v>
      </c>
      <c r="S257">
        <f t="shared" si="16"/>
        <v>1</v>
      </c>
      <c r="T257">
        <f t="shared" si="17"/>
        <v>2</v>
      </c>
      <c r="U257">
        <f t="shared" si="18"/>
        <v>1</v>
      </c>
      <c r="V257">
        <f t="shared" si="19"/>
        <v>0</v>
      </c>
    </row>
    <row r="258" spans="1:22" x14ac:dyDescent="0.25">
      <c r="A258">
        <v>255</v>
      </c>
      <c r="B258" t="s">
        <v>5</v>
      </c>
      <c r="C258" t="s">
        <v>73</v>
      </c>
      <c r="D258" s="4">
        <v>45724</v>
      </c>
      <c r="E258" t="s">
        <v>2910</v>
      </c>
      <c r="F258" t="s">
        <v>75</v>
      </c>
      <c r="I258" s="6">
        <v>0</v>
      </c>
      <c r="J258" s="6">
        <v>0</v>
      </c>
      <c r="K258" s="6">
        <v>0</v>
      </c>
      <c r="L258" s="6">
        <v>0</v>
      </c>
      <c r="M258" s="6">
        <v>1</v>
      </c>
      <c r="N258" s="6">
        <v>0</v>
      </c>
      <c r="O258" s="6">
        <v>0</v>
      </c>
      <c r="P258" s="6">
        <v>0</v>
      </c>
      <c r="Q258">
        <v>1</v>
      </c>
      <c r="R258">
        <f t="shared" si="15"/>
        <v>0</v>
      </c>
      <c r="S258">
        <f t="shared" si="16"/>
        <v>1</v>
      </c>
      <c r="T258">
        <f t="shared" si="17"/>
        <v>1</v>
      </c>
      <c r="U258">
        <f t="shared" si="18"/>
        <v>1</v>
      </c>
      <c r="V258">
        <f t="shared" si="19"/>
        <v>0</v>
      </c>
    </row>
    <row r="259" spans="1:22" x14ac:dyDescent="0.25">
      <c r="A259">
        <v>256</v>
      </c>
      <c r="B259" t="s">
        <v>5</v>
      </c>
      <c r="C259" t="s">
        <v>73</v>
      </c>
      <c r="D259" s="4">
        <v>45726</v>
      </c>
      <c r="E259" t="s">
        <v>2909</v>
      </c>
      <c r="F259" t="s">
        <v>75</v>
      </c>
      <c r="I259" s="6"/>
      <c r="J259" s="6"/>
      <c r="K259" s="6"/>
      <c r="L259" s="6"/>
      <c r="M259" s="6"/>
      <c r="N259" s="6"/>
      <c r="O259" s="6"/>
      <c r="P259" s="6"/>
      <c r="Q259">
        <v>0</v>
      </c>
      <c r="R259">
        <f t="shared" ref="R259:R322" si="20">IF(AND(Q259=1,F259="ai_full"),1,0)</f>
        <v>0</v>
      </c>
      <c r="S259">
        <f t="shared" ref="S259:S322" si="21">IF(AND(Q259=1,F259="conventional"),1,0)</f>
        <v>0</v>
      </c>
      <c r="T259">
        <f t="shared" ref="T259:T322" si="22">SUM(I259:P259)</f>
        <v>0</v>
      </c>
      <c r="U259">
        <f t="shared" ref="U259:U322" si="23">IF(T259&gt;=1,1,0)</f>
        <v>0</v>
      </c>
      <c r="V259">
        <f t="shared" ref="V259:V322" si="24">IF(F259="ai_full",1,0)</f>
        <v>0</v>
      </c>
    </row>
    <row r="260" spans="1:22" x14ac:dyDescent="0.25">
      <c r="A260">
        <v>257</v>
      </c>
      <c r="B260" t="s">
        <v>5</v>
      </c>
      <c r="C260" t="s">
        <v>73</v>
      </c>
      <c r="D260" s="4">
        <v>45726</v>
      </c>
      <c r="E260" t="s">
        <v>168</v>
      </c>
      <c r="F260" t="s">
        <v>75</v>
      </c>
      <c r="I260" s="6">
        <v>1</v>
      </c>
      <c r="J260" s="6">
        <v>0</v>
      </c>
      <c r="K260" s="6">
        <v>0</v>
      </c>
      <c r="L260" s="6">
        <v>0</v>
      </c>
      <c r="M260" s="6">
        <v>1</v>
      </c>
      <c r="N260" s="6">
        <v>0</v>
      </c>
      <c r="O260" s="6">
        <v>0</v>
      </c>
      <c r="P260" s="6">
        <v>0</v>
      </c>
      <c r="Q260">
        <v>1</v>
      </c>
      <c r="R260">
        <f t="shared" si="20"/>
        <v>0</v>
      </c>
      <c r="S260">
        <f t="shared" si="21"/>
        <v>1</v>
      </c>
      <c r="T260">
        <f t="shared" si="22"/>
        <v>2</v>
      </c>
      <c r="U260">
        <f t="shared" si="23"/>
        <v>1</v>
      </c>
      <c r="V260">
        <f t="shared" si="24"/>
        <v>0</v>
      </c>
    </row>
    <row r="261" spans="1:22" x14ac:dyDescent="0.25">
      <c r="A261">
        <v>258</v>
      </c>
      <c r="B261" t="s">
        <v>5</v>
      </c>
      <c r="C261" t="s">
        <v>73</v>
      </c>
      <c r="D261" s="4">
        <v>45726</v>
      </c>
      <c r="E261" t="s">
        <v>169</v>
      </c>
      <c r="F261" t="s">
        <v>75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>
        <v>1</v>
      </c>
      <c r="R261">
        <f t="shared" si="20"/>
        <v>0</v>
      </c>
      <c r="S261">
        <f t="shared" si="21"/>
        <v>1</v>
      </c>
      <c r="T261">
        <f t="shared" si="22"/>
        <v>0</v>
      </c>
      <c r="U261">
        <f t="shared" si="23"/>
        <v>0</v>
      </c>
      <c r="V261">
        <f t="shared" si="24"/>
        <v>0</v>
      </c>
    </row>
    <row r="262" spans="1:22" x14ac:dyDescent="0.25">
      <c r="A262">
        <v>259</v>
      </c>
      <c r="B262" t="s">
        <v>5</v>
      </c>
      <c r="C262" t="s">
        <v>73</v>
      </c>
      <c r="D262" s="4">
        <v>45726</v>
      </c>
      <c r="E262" t="s">
        <v>170</v>
      </c>
      <c r="F262" t="s">
        <v>75</v>
      </c>
      <c r="I262" s="6">
        <v>0</v>
      </c>
      <c r="J262" s="6">
        <v>0</v>
      </c>
      <c r="K262" s="6">
        <v>0</v>
      </c>
      <c r="L262" s="6">
        <v>0</v>
      </c>
      <c r="M262" s="6">
        <v>1</v>
      </c>
      <c r="N262" s="6">
        <v>1</v>
      </c>
      <c r="O262" s="6">
        <v>0</v>
      </c>
      <c r="P262" s="6">
        <v>0</v>
      </c>
      <c r="Q262">
        <v>1</v>
      </c>
      <c r="R262">
        <f t="shared" si="20"/>
        <v>0</v>
      </c>
      <c r="S262">
        <f t="shared" si="21"/>
        <v>1</v>
      </c>
      <c r="T262">
        <f t="shared" si="22"/>
        <v>2</v>
      </c>
      <c r="U262">
        <f t="shared" si="23"/>
        <v>1</v>
      </c>
      <c r="V262">
        <f t="shared" si="24"/>
        <v>0</v>
      </c>
    </row>
    <row r="263" spans="1:22" x14ac:dyDescent="0.25">
      <c r="A263">
        <v>260</v>
      </c>
      <c r="B263" t="s">
        <v>5</v>
      </c>
      <c r="C263" t="s">
        <v>73</v>
      </c>
      <c r="D263" s="4">
        <v>45727</v>
      </c>
      <c r="E263" t="s">
        <v>2908</v>
      </c>
      <c r="F263" t="s">
        <v>75</v>
      </c>
      <c r="I263" s="6"/>
      <c r="J263" s="6"/>
      <c r="K263" s="6"/>
      <c r="L263" s="6"/>
      <c r="M263" s="6"/>
      <c r="N263" s="6"/>
      <c r="O263" s="6"/>
      <c r="P263" s="6"/>
      <c r="Q263">
        <v>0</v>
      </c>
      <c r="R263">
        <f t="shared" si="20"/>
        <v>0</v>
      </c>
      <c r="S263">
        <f t="shared" si="21"/>
        <v>0</v>
      </c>
      <c r="T263">
        <f t="shared" si="22"/>
        <v>0</v>
      </c>
      <c r="U263">
        <f t="shared" si="23"/>
        <v>0</v>
      </c>
      <c r="V263">
        <f t="shared" si="24"/>
        <v>0</v>
      </c>
    </row>
    <row r="264" spans="1:22" x14ac:dyDescent="0.25">
      <c r="A264">
        <v>261</v>
      </c>
      <c r="B264" t="s">
        <v>5</v>
      </c>
      <c r="C264" t="s">
        <v>73</v>
      </c>
      <c r="D264" s="4">
        <v>45727</v>
      </c>
      <c r="E264" t="s">
        <v>2907</v>
      </c>
      <c r="F264" t="s">
        <v>75</v>
      </c>
      <c r="I264" s="6">
        <v>0</v>
      </c>
      <c r="J264" s="6">
        <v>0</v>
      </c>
      <c r="K264" s="6">
        <v>1</v>
      </c>
      <c r="L264" s="6">
        <v>0</v>
      </c>
      <c r="M264" s="6">
        <v>1</v>
      </c>
      <c r="N264" s="6">
        <v>0</v>
      </c>
      <c r="O264" s="6">
        <v>0</v>
      </c>
      <c r="P264" s="6">
        <v>0</v>
      </c>
      <c r="Q264">
        <v>1</v>
      </c>
      <c r="R264">
        <f t="shared" si="20"/>
        <v>0</v>
      </c>
      <c r="S264">
        <f t="shared" si="21"/>
        <v>1</v>
      </c>
      <c r="T264">
        <f t="shared" si="22"/>
        <v>2</v>
      </c>
      <c r="U264">
        <f t="shared" si="23"/>
        <v>1</v>
      </c>
      <c r="V264">
        <f t="shared" si="24"/>
        <v>0</v>
      </c>
    </row>
    <row r="265" spans="1:22" x14ac:dyDescent="0.25">
      <c r="A265">
        <v>262</v>
      </c>
      <c r="B265" t="s">
        <v>5</v>
      </c>
      <c r="C265" t="s">
        <v>73</v>
      </c>
      <c r="D265" s="4">
        <v>45728</v>
      </c>
      <c r="E265" t="s">
        <v>2906</v>
      </c>
      <c r="F265" t="s">
        <v>75</v>
      </c>
      <c r="I265" s="6">
        <v>0</v>
      </c>
      <c r="J265" s="6">
        <v>0</v>
      </c>
      <c r="K265" s="6">
        <v>0</v>
      </c>
      <c r="L265" s="6">
        <v>0</v>
      </c>
      <c r="M265" s="6">
        <v>1</v>
      </c>
      <c r="N265" s="6">
        <v>0</v>
      </c>
      <c r="O265" s="6">
        <v>0</v>
      </c>
      <c r="P265" s="6">
        <v>0</v>
      </c>
      <c r="Q265">
        <v>1</v>
      </c>
      <c r="R265">
        <f t="shared" si="20"/>
        <v>0</v>
      </c>
      <c r="S265">
        <f t="shared" si="21"/>
        <v>1</v>
      </c>
      <c r="T265">
        <f t="shared" si="22"/>
        <v>1</v>
      </c>
      <c r="U265">
        <f t="shared" si="23"/>
        <v>1</v>
      </c>
      <c r="V265">
        <f t="shared" si="24"/>
        <v>0</v>
      </c>
    </row>
    <row r="266" spans="1:22" x14ac:dyDescent="0.25">
      <c r="A266">
        <v>263</v>
      </c>
      <c r="B266" t="s">
        <v>5</v>
      </c>
      <c r="C266" t="s">
        <v>73</v>
      </c>
      <c r="D266" s="4">
        <v>45728</v>
      </c>
      <c r="E266" t="s">
        <v>2905</v>
      </c>
      <c r="F266" t="s">
        <v>75</v>
      </c>
      <c r="I266" s="6">
        <v>0</v>
      </c>
      <c r="J266" s="6">
        <v>0</v>
      </c>
      <c r="K266" s="6">
        <v>0</v>
      </c>
      <c r="L266" s="6">
        <v>0</v>
      </c>
      <c r="M266" s="6">
        <v>1</v>
      </c>
      <c r="N266" s="6">
        <v>0</v>
      </c>
      <c r="O266" s="6">
        <v>1</v>
      </c>
      <c r="P266" s="6">
        <v>0</v>
      </c>
      <c r="Q266">
        <v>1</v>
      </c>
      <c r="R266">
        <f t="shared" si="20"/>
        <v>0</v>
      </c>
      <c r="S266">
        <f t="shared" si="21"/>
        <v>1</v>
      </c>
      <c r="T266">
        <f t="shared" si="22"/>
        <v>2</v>
      </c>
      <c r="U266">
        <f t="shared" si="23"/>
        <v>1</v>
      </c>
      <c r="V266">
        <f t="shared" si="24"/>
        <v>0</v>
      </c>
    </row>
    <row r="267" spans="1:22" x14ac:dyDescent="0.25">
      <c r="A267">
        <v>264</v>
      </c>
      <c r="B267" t="s">
        <v>5</v>
      </c>
      <c r="C267" t="s">
        <v>73</v>
      </c>
      <c r="D267" s="4">
        <v>45728</v>
      </c>
      <c r="E267" t="s">
        <v>2904</v>
      </c>
      <c r="F267" t="s">
        <v>75</v>
      </c>
      <c r="I267" s="6">
        <v>0</v>
      </c>
      <c r="J267" s="6">
        <v>0</v>
      </c>
      <c r="K267" s="6">
        <v>0</v>
      </c>
      <c r="L267" s="6">
        <v>0</v>
      </c>
      <c r="M267" s="6">
        <v>1</v>
      </c>
      <c r="N267" s="6">
        <v>0</v>
      </c>
      <c r="O267" s="6">
        <v>0</v>
      </c>
      <c r="P267" s="6">
        <v>0</v>
      </c>
      <c r="Q267">
        <v>1</v>
      </c>
      <c r="R267">
        <f t="shared" si="20"/>
        <v>0</v>
      </c>
      <c r="S267">
        <f t="shared" si="21"/>
        <v>1</v>
      </c>
      <c r="T267">
        <f t="shared" si="22"/>
        <v>1</v>
      </c>
      <c r="U267">
        <f t="shared" si="23"/>
        <v>1</v>
      </c>
      <c r="V267">
        <f t="shared" si="24"/>
        <v>0</v>
      </c>
    </row>
    <row r="268" spans="1:22" x14ac:dyDescent="0.25">
      <c r="A268">
        <v>265</v>
      </c>
      <c r="B268" t="s">
        <v>5</v>
      </c>
      <c r="C268" t="s">
        <v>73</v>
      </c>
      <c r="D268" s="4">
        <v>45728</v>
      </c>
      <c r="E268" t="s">
        <v>171</v>
      </c>
      <c r="F268" t="s">
        <v>75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>
        <v>1</v>
      </c>
      <c r="R268">
        <f t="shared" si="20"/>
        <v>0</v>
      </c>
      <c r="S268">
        <f t="shared" si="21"/>
        <v>1</v>
      </c>
      <c r="T268">
        <f t="shared" si="22"/>
        <v>0</v>
      </c>
      <c r="U268">
        <f t="shared" si="23"/>
        <v>0</v>
      </c>
      <c r="V268">
        <f t="shared" si="24"/>
        <v>0</v>
      </c>
    </row>
    <row r="269" spans="1:22" x14ac:dyDescent="0.25">
      <c r="A269">
        <v>266</v>
      </c>
      <c r="B269" t="s">
        <v>5</v>
      </c>
      <c r="C269" t="s">
        <v>73</v>
      </c>
      <c r="D269" s="4">
        <v>45728</v>
      </c>
      <c r="E269" t="s">
        <v>2903</v>
      </c>
      <c r="F269" t="s">
        <v>75</v>
      </c>
      <c r="I269" s="6"/>
      <c r="J269" s="6"/>
      <c r="K269" s="6"/>
      <c r="L269" s="6"/>
      <c r="M269" s="6"/>
      <c r="N269" s="6"/>
      <c r="O269" s="6"/>
      <c r="P269" s="6"/>
      <c r="Q269">
        <v>0</v>
      </c>
      <c r="R269">
        <f t="shared" si="20"/>
        <v>0</v>
      </c>
      <c r="S269">
        <f t="shared" si="21"/>
        <v>0</v>
      </c>
      <c r="T269">
        <f t="shared" si="22"/>
        <v>0</v>
      </c>
      <c r="U269">
        <f t="shared" si="23"/>
        <v>0</v>
      </c>
      <c r="V269">
        <f t="shared" si="24"/>
        <v>0</v>
      </c>
    </row>
    <row r="270" spans="1:22" x14ac:dyDescent="0.25">
      <c r="A270">
        <v>267</v>
      </c>
      <c r="B270" t="s">
        <v>5</v>
      </c>
      <c r="C270" t="s">
        <v>73</v>
      </c>
      <c r="D270" s="4">
        <v>45728</v>
      </c>
      <c r="E270" t="s">
        <v>2902</v>
      </c>
      <c r="F270" t="s">
        <v>75</v>
      </c>
      <c r="I270" s="6">
        <v>0</v>
      </c>
      <c r="J270" s="6">
        <v>0</v>
      </c>
      <c r="K270" s="6">
        <v>1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>
        <v>1</v>
      </c>
      <c r="R270">
        <f t="shared" si="20"/>
        <v>0</v>
      </c>
      <c r="S270">
        <f t="shared" si="21"/>
        <v>1</v>
      </c>
      <c r="T270">
        <f t="shared" si="22"/>
        <v>1</v>
      </c>
      <c r="U270">
        <f t="shared" si="23"/>
        <v>1</v>
      </c>
      <c r="V270">
        <f t="shared" si="24"/>
        <v>0</v>
      </c>
    </row>
    <row r="271" spans="1:22" x14ac:dyDescent="0.25">
      <c r="A271">
        <v>268</v>
      </c>
      <c r="B271" t="s">
        <v>5</v>
      </c>
      <c r="C271" t="s">
        <v>73</v>
      </c>
      <c r="D271" s="4">
        <v>45728</v>
      </c>
      <c r="E271" t="s">
        <v>172</v>
      </c>
      <c r="F271" t="s">
        <v>75</v>
      </c>
      <c r="I271" s="6">
        <v>0</v>
      </c>
      <c r="J271" s="6">
        <v>0</v>
      </c>
      <c r="K271" s="6">
        <v>0</v>
      </c>
      <c r="L271" s="6">
        <v>0</v>
      </c>
      <c r="M271" s="6">
        <v>1</v>
      </c>
      <c r="N271" s="6">
        <v>1</v>
      </c>
      <c r="O271" s="6">
        <v>0</v>
      </c>
      <c r="P271" s="6">
        <v>0</v>
      </c>
      <c r="Q271">
        <v>1</v>
      </c>
      <c r="R271">
        <f t="shared" si="20"/>
        <v>0</v>
      </c>
      <c r="S271">
        <f t="shared" si="21"/>
        <v>1</v>
      </c>
      <c r="T271">
        <f t="shared" si="22"/>
        <v>2</v>
      </c>
      <c r="U271">
        <f t="shared" si="23"/>
        <v>1</v>
      </c>
      <c r="V271">
        <f t="shared" si="24"/>
        <v>0</v>
      </c>
    </row>
    <row r="272" spans="1:22" x14ac:dyDescent="0.25">
      <c r="A272">
        <v>269</v>
      </c>
      <c r="B272" t="s">
        <v>5</v>
      </c>
      <c r="C272" t="s">
        <v>73</v>
      </c>
      <c r="D272" s="4">
        <v>45729</v>
      </c>
      <c r="E272" t="s">
        <v>2901</v>
      </c>
      <c r="F272" t="s">
        <v>75</v>
      </c>
      <c r="I272" s="6"/>
      <c r="J272" s="6"/>
      <c r="K272" s="6"/>
      <c r="L272" s="6"/>
      <c r="M272" s="6"/>
      <c r="N272" s="6"/>
      <c r="O272" s="6"/>
      <c r="P272" s="6"/>
      <c r="Q272">
        <v>0</v>
      </c>
      <c r="R272">
        <f t="shared" si="20"/>
        <v>0</v>
      </c>
      <c r="S272">
        <f t="shared" si="21"/>
        <v>0</v>
      </c>
      <c r="T272">
        <f t="shared" si="22"/>
        <v>0</v>
      </c>
      <c r="U272">
        <f t="shared" si="23"/>
        <v>0</v>
      </c>
      <c r="V272">
        <f t="shared" si="24"/>
        <v>0</v>
      </c>
    </row>
    <row r="273" spans="1:22" x14ac:dyDescent="0.25">
      <c r="A273">
        <v>270</v>
      </c>
      <c r="B273" t="s">
        <v>5</v>
      </c>
      <c r="C273" t="s">
        <v>73</v>
      </c>
      <c r="D273" s="4">
        <v>45729</v>
      </c>
      <c r="E273" t="s">
        <v>2900</v>
      </c>
      <c r="F273" t="s">
        <v>75</v>
      </c>
      <c r="I273" s="6"/>
      <c r="J273" s="6"/>
      <c r="K273" s="6"/>
      <c r="L273" s="6"/>
      <c r="M273" s="6"/>
      <c r="N273" s="6"/>
      <c r="O273" s="6"/>
      <c r="P273" s="6"/>
      <c r="Q273">
        <v>0</v>
      </c>
      <c r="R273">
        <f t="shared" si="20"/>
        <v>0</v>
      </c>
      <c r="S273">
        <f t="shared" si="21"/>
        <v>0</v>
      </c>
      <c r="T273">
        <f t="shared" si="22"/>
        <v>0</v>
      </c>
      <c r="U273">
        <f t="shared" si="23"/>
        <v>0</v>
      </c>
      <c r="V273">
        <f t="shared" si="24"/>
        <v>0</v>
      </c>
    </row>
    <row r="274" spans="1:22" x14ac:dyDescent="0.25">
      <c r="A274">
        <v>271</v>
      </c>
      <c r="B274" t="s">
        <v>5</v>
      </c>
      <c r="C274" t="s">
        <v>73</v>
      </c>
      <c r="D274" s="4">
        <v>45729</v>
      </c>
      <c r="E274" t="s">
        <v>2899</v>
      </c>
      <c r="F274" t="s">
        <v>75</v>
      </c>
      <c r="I274" s="6"/>
      <c r="J274" s="6"/>
      <c r="K274" s="6"/>
      <c r="L274" s="6"/>
      <c r="M274" s="6"/>
      <c r="N274" s="6"/>
      <c r="O274" s="6"/>
      <c r="P274" s="6"/>
      <c r="Q274">
        <v>0</v>
      </c>
      <c r="R274">
        <f t="shared" si="20"/>
        <v>0</v>
      </c>
      <c r="S274">
        <f t="shared" si="21"/>
        <v>0</v>
      </c>
      <c r="T274">
        <f t="shared" si="22"/>
        <v>0</v>
      </c>
      <c r="U274">
        <f t="shared" si="23"/>
        <v>0</v>
      </c>
      <c r="V274">
        <f t="shared" si="24"/>
        <v>0</v>
      </c>
    </row>
    <row r="275" spans="1:22" x14ac:dyDescent="0.25">
      <c r="A275">
        <v>272</v>
      </c>
      <c r="B275" t="s">
        <v>5</v>
      </c>
      <c r="C275" t="s">
        <v>73</v>
      </c>
      <c r="D275" s="4">
        <v>45729</v>
      </c>
      <c r="E275" t="s">
        <v>2898</v>
      </c>
      <c r="F275" t="s">
        <v>75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>
        <v>1</v>
      </c>
      <c r="R275">
        <f t="shared" si="20"/>
        <v>0</v>
      </c>
      <c r="S275">
        <f t="shared" si="21"/>
        <v>1</v>
      </c>
      <c r="T275">
        <f t="shared" si="22"/>
        <v>0</v>
      </c>
      <c r="U275">
        <f t="shared" si="23"/>
        <v>0</v>
      </c>
      <c r="V275">
        <f t="shared" si="24"/>
        <v>0</v>
      </c>
    </row>
    <row r="276" spans="1:22" x14ac:dyDescent="0.25">
      <c r="A276">
        <v>273</v>
      </c>
      <c r="B276" t="s">
        <v>5</v>
      </c>
      <c r="C276" t="s">
        <v>73</v>
      </c>
      <c r="D276" s="4">
        <v>45729</v>
      </c>
      <c r="E276" t="s">
        <v>2897</v>
      </c>
      <c r="F276" t="s">
        <v>75</v>
      </c>
      <c r="I276" s="6">
        <v>0</v>
      </c>
      <c r="J276" s="6">
        <v>0</v>
      </c>
      <c r="K276" s="6">
        <v>0</v>
      </c>
      <c r="L276" s="6">
        <v>0</v>
      </c>
      <c r="M276" s="6">
        <v>1</v>
      </c>
      <c r="N276" s="6">
        <v>0</v>
      </c>
      <c r="O276" s="6">
        <v>0</v>
      </c>
      <c r="P276" s="6">
        <v>0</v>
      </c>
      <c r="Q276">
        <v>1</v>
      </c>
      <c r="R276">
        <f t="shared" si="20"/>
        <v>0</v>
      </c>
      <c r="S276">
        <f t="shared" si="21"/>
        <v>1</v>
      </c>
      <c r="T276">
        <f t="shared" si="22"/>
        <v>1</v>
      </c>
      <c r="U276">
        <f t="shared" si="23"/>
        <v>1</v>
      </c>
      <c r="V276">
        <f t="shared" si="24"/>
        <v>0</v>
      </c>
    </row>
    <row r="277" spans="1:22" x14ac:dyDescent="0.25">
      <c r="A277">
        <v>274</v>
      </c>
      <c r="B277" t="s">
        <v>5</v>
      </c>
      <c r="C277" t="s">
        <v>73</v>
      </c>
      <c r="D277" s="4">
        <v>45729</v>
      </c>
      <c r="E277" t="s">
        <v>173</v>
      </c>
      <c r="F277" t="s">
        <v>75</v>
      </c>
      <c r="H277" t="s">
        <v>174</v>
      </c>
      <c r="I277" s="6">
        <v>0</v>
      </c>
      <c r="J277" s="6">
        <v>0</v>
      </c>
      <c r="K277" s="6">
        <v>0</v>
      </c>
      <c r="L277" s="6">
        <v>0</v>
      </c>
      <c r="M277" s="6">
        <v>1</v>
      </c>
      <c r="N277" s="6">
        <v>0</v>
      </c>
      <c r="O277" s="6">
        <v>0</v>
      </c>
      <c r="P277" s="6">
        <v>0</v>
      </c>
      <c r="Q277">
        <v>1</v>
      </c>
      <c r="R277">
        <f t="shared" si="20"/>
        <v>0</v>
      </c>
      <c r="S277">
        <f t="shared" si="21"/>
        <v>1</v>
      </c>
      <c r="T277">
        <f t="shared" si="22"/>
        <v>1</v>
      </c>
      <c r="U277">
        <f t="shared" si="23"/>
        <v>1</v>
      </c>
      <c r="V277">
        <f t="shared" si="24"/>
        <v>0</v>
      </c>
    </row>
    <row r="278" spans="1:22" x14ac:dyDescent="0.25">
      <c r="A278">
        <v>275</v>
      </c>
      <c r="B278" t="s">
        <v>5</v>
      </c>
      <c r="C278" t="s">
        <v>73</v>
      </c>
      <c r="D278" s="4">
        <v>45730</v>
      </c>
      <c r="E278" t="s">
        <v>175</v>
      </c>
      <c r="F278" t="s">
        <v>75</v>
      </c>
      <c r="I278" s="6">
        <v>0</v>
      </c>
      <c r="J278" s="6">
        <v>0</v>
      </c>
      <c r="K278" s="6">
        <v>0</v>
      </c>
      <c r="L278" s="6">
        <v>0</v>
      </c>
      <c r="M278" s="6">
        <v>1</v>
      </c>
      <c r="N278" s="6">
        <v>0</v>
      </c>
      <c r="O278" s="6">
        <v>0</v>
      </c>
      <c r="P278" s="6">
        <v>0</v>
      </c>
      <c r="Q278">
        <v>1</v>
      </c>
      <c r="R278">
        <f t="shared" si="20"/>
        <v>0</v>
      </c>
      <c r="S278">
        <f t="shared" si="21"/>
        <v>1</v>
      </c>
      <c r="T278">
        <f t="shared" si="22"/>
        <v>1</v>
      </c>
      <c r="U278">
        <f t="shared" si="23"/>
        <v>1</v>
      </c>
      <c r="V278">
        <f t="shared" si="24"/>
        <v>0</v>
      </c>
    </row>
    <row r="279" spans="1:22" x14ac:dyDescent="0.25">
      <c r="A279">
        <v>276</v>
      </c>
      <c r="B279" t="s">
        <v>5</v>
      </c>
      <c r="C279" t="s">
        <v>73</v>
      </c>
      <c r="D279" s="4">
        <v>45730</v>
      </c>
      <c r="E279" t="s">
        <v>2896</v>
      </c>
      <c r="F279" t="s">
        <v>75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>
        <v>1</v>
      </c>
      <c r="R279">
        <f t="shared" si="20"/>
        <v>0</v>
      </c>
      <c r="S279">
        <f t="shared" si="21"/>
        <v>1</v>
      </c>
      <c r="T279">
        <f t="shared" si="22"/>
        <v>0</v>
      </c>
      <c r="U279">
        <f t="shared" si="23"/>
        <v>0</v>
      </c>
      <c r="V279">
        <f t="shared" si="24"/>
        <v>0</v>
      </c>
    </row>
    <row r="280" spans="1:22" x14ac:dyDescent="0.25">
      <c r="A280">
        <v>277</v>
      </c>
      <c r="B280" t="s">
        <v>5</v>
      </c>
      <c r="C280" t="s">
        <v>73</v>
      </c>
      <c r="D280" s="4">
        <v>45730</v>
      </c>
      <c r="E280" t="s">
        <v>2895</v>
      </c>
      <c r="F280" t="s">
        <v>75</v>
      </c>
      <c r="I280" s="6">
        <v>0</v>
      </c>
      <c r="J280" s="6">
        <v>0</v>
      </c>
      <c r="K280" s="6">
        <v>0</v>
      </c>
      <c r="L280" s="6">
        <v>0</v>
      </c>
      <c r="M280" s="6">
        <v>1</v>
      </c>
      <c r="N280" s="6">
        <v>1</v>
      </c>
      <c r="O280" s="6">
        <v>0</v>
      </c>
      <c r="P280" s="6">
        <v>0</v>
      </c>
      <c r="Q280">
        <v>1</v>
      </c>
      <c r="R280">
        <f t="shared" si="20"/>
        <v>0</v>
      </c>
      <c r="S280">
        <f t="shared" si="21"/>
        <v>1</v>
      </c>
      <c r="T280">
        <f t="shared" si="22"/>
        <v>2</v>
      </c>
      <c r="U280">
        <f t="shared" si="23"/>
        <v>1</v>
      </c>
      <c r="V280">
        <f t="shared" si="24"/>
        <v>0</v>
      </c>
    </row>
    <row r="281" spans="1:22" x14ac:dyDescent="0.25">
      <c r="A281">
        <v>278</v>
      </c>
      <c r="B281" t="s">
        <v>5</v>
      </c>
      <c r="C281" t="s">
        <v>73</v>
      </c>
      <c r="D281" s="4">
        <v>45730</v>
      </c>
      <c r="E281" t="s">
        <v>2894</v>
      </c>
      <c r="F281" t="s">
        <v>75</v>
      </c>
      <c r="I281" s="6"/>
      <c r="J281" s="6"/>
      <c r="K281" s="6"/>
      <c r="L281" s="6"/>
      <c r="M281" s="6"/>
      <c r="N281" s="6"/>
      <c r="O281" s="6"/>
      <c r="P281" s="6"/>
      <c r="Q281">
        <v>0</v>
      </c>
      <c r="R281">
        <f t="shared" si="20"/>
        <v>0</v>
      </c>
      <c r="S281">
        <f t="shared" si="21"/>
        <v>0</v>
      </c>
      <c r="T281">
        <f t="shared" si="22"/>
        <v>0</v>
      </c>
      <c r="U281">
        <f t="shared" si="23"/>
        <v>0</v>
      </c>
      <c r="V281">
        <f t="shared" si="24"/>
        <v>0</v>
      </c>
    </row>
    <row r="282" spans="1:22" x14ac:dyDescent="0.25">
      <c r="A282">
        <v>279</v>
      </c>
      <c r="B282" t="s">
        <v>5</v>
      </c>
      <c r="C282" t="s">
        <v>73</v>
      </c>
      <c r="D282" s="4">
        <v>45730</v>
      </c>
      <c r="E282" t="s">
        <v>2893</v>
      </c>
      <c r="F282" t="s">
        <v>75</v>
      </c>
      <c r="I282" s="6">
        <v>0</v>
      </c>
      <c r="J282" s="6">
        <v>0</v>
      </c>
      <c r="K282" s="6">
        <v>0</v>
      </c>
      <c r="L282" s="6">
        <v>0</v>
      </c>
      <c r="M282" s="6">
        <v>1</v>
      </c>
      <c r="N282" s="6">
        <v>0</v>
      </c>
      <c r="O282" s="6">
        <v>0</v>
      </c>
      <c r="P282" s="6">
        <v>1</v>
      </c>
      <c r="Q282">
        <v>1</v>
      </c>
      <c r="R282">
        <f t="shared" si="20"/>
        <v>0</v>
      </c>
      <c r="S282">
        <f t="shared" si="21"/>
        <v>1</v>
      </c>
      <c r="T282">
        <f t="shared" si="22"/>
        <v>2</v>
      </c>
      <c r="U282">
        <f t="shared" si="23"/>
        <v>1</v>
      </c>
      <c r="V282">
        <f t="shared" si="24"/>
        <v>0</v>
      </c>
    </row>
    <row r="283" spans="1:22" x14ac:dyDescent="0.25">
      <c r="A283">
        <v>280</v>
      </c>
      <c r="B283" t="s">
        <v>5</v>
      </c>
      <c r="C283" t="s">
        <v>73</v>
      </c>
      <c r="D283" s="4">
        <v>45730</v>
      </c>
      <c r="E283" t="s">
        <v>2892</v>
      </c>
      <c r="F283" t="s">
        <v>75</v>
      </c>
      <c r="I283" s="6">
        <v>0</v>
      </c>
      <c r="J283" s="6">
        <v>0</v>
      </c>
      <c r="K283" s="6">
        <v>0</v>
      </c>
      <c r="L283" s="6">
        <v>0</v>
      </c>
      <c r="M283" s="6">
        <v>1</v>
      </c>
      <c r="N283" s="6">
        <v>1</v>
      </c>
      <c r="O283" s="6">
        <v>0</v>
      </c>
      <c r="P283" s="6">
        <v>0</v>
      </c>
      <c r="Q283">
        <v>1</v>
      </c>
      <c r="R283">
        <f t="shared" si="20"/>
        <v>0</v>
      </c>
      <c r="S283">
        <f t="shared" si="21"/>
        <v>1</v>
      </c>
      <c r="T283">
        <f t="shared" si="22"/>
        <v>2</v>
      </c>
      <c r="U283">
        <f t="shared" si="23"/>
        <v>1</v>
      </c>
      <c r="V283">
        <f t="shared" si="24"/>
        <v>0</v>
      </c>
    </row>
    <row r="284" spans="1:22" x14ac:dyDescent="0.25">
      <c r="A284">
        <v>281</v>
      </c>
      <c r="B284" t="s">
        <v>5</v>
      </c>
      <c r="C284" t="s">
        <v>73</v>
      </c>
      <c r="D284" s="4">
        <v>45731</v>
      </c>
      <c r="E284" t="s">
        <v>2891</v>
      </c>
      <c r="F284" t="s">
        <v>75</v>
      </c>
      <c r="I284" s="6"/>
      <c r="J284" s="6"/>
      <c r="K284" s="6"/>
      <c r="L284" s="6"/>
      <c r="M284" s="6"/>
      <c r="N284" s="6"/>
      <c r="O284" s="6"/>
      <c r="P284" s="6"/>
      <c r="Q284">
        <v>0</v>
      </c>
      <c r="R284">
        <f t="shared" si="20"/>
        <v>0</v>
      </c>
      <c r="S284">
        <f t="shared" si="21"/>
        <v>0</v>
      </c>
      <c r="T284">
        <f t="shared" si="22"/>
        <v>0</v>
      </c>
      <c r="U284">
        <f t="shared" si="23"/>
        <v>0</v>
      </c>
      <c r="V284">
        <f t="shared" si="24"/>
        <v>0</v>
      </c>
    </row>
    <row r="285" spans="1:22" x14ac:dyDescent="0.25">
      <c r="A285">
        <v>282</v>
      </c>
      <c r="B285" t="s">
        <v>5</v>
      </c>
      <c r="C285" t="s">
        <v>73</v>
      </c>
      <c r="D285" s="4">
        <v>45734</v>
      </c>
      <c r="E285" t="s">
        <v>2890</v>
      </c>
      <c r="F285" t="s">
        <v>75</v>
      </c>
      <c r="I285" s="6">
        <v>0</v>
      </c>
      <c r="J285" s="6">
        <v>0</v>
      </c>
      <c r="K285" s="6">
        <v>0</v>
      </c>
      <c r="L285" s="6">
        <v>0</v>
      </c>
      <c r="M285" s="6">
        <v>1</v>
      </c>
      <c r="N285" s="6">
        <v>1</v>
      </c>
      <c r="O285" s="6">
        <v>0</v>
      </c>
      <c r="P285" s="6">
        <v>0</v>
      </c>
      <c r="Q285">
        <v>1</v>
      </c>
      <c r="R285">
        <f t="shared" si="20"/>
        <v>0</v>
      </c>
      <c r="S285">
        <f t="shared" si="21"/>
        <v>1</v>
      </c>
      <c r="T285">
        <f t="shared" si="22"/>
        <v>2</v>
      </c>
      <c r="U285">
        <f t="shared" si="23"/>
        <v>1</v>
      </c>
      <c r="V285">
        <f t="shared" si="24"/>
        <v>0</v>
      </c>
    </row>
    <row r="286" spans="1:22" x14ac:dyDescent="0.25">
      <c r="A286">
        <v>283</v>
      </c>
      <c r="B286" t="s">
        <v>5</v>
      </c>
      <c r="C286" t="s">
        <v>73</v>
      </c>
      <c r="D286" s="4">
        <v>45734</v>
      </c>
      <c r="E286" t="s">
        <v>2889</v>
      </c>
      <c r="F286" t="s">
        <v>75</v>
      </c>
      <c r="I286" s="6"/>
      <c r="J286" s="6"/>
      <c r="K286" s="6"/>
      <c r="L286" s="6"/>
      <c r="M286" s="6"/>
      <c r="N286" s="6"/>
      <c r="O286" s="6"/>
      <c r="P286" s="6"/>
      <c r="Q286">
        <v>0</v>
      </c>
      <c r="R286">
        <f t="shared" si="20"/>
        <v>0</v>
      </c>
      <c r="S286">
        <f t="shared" si="21"/>
        <v>0</v>
      </c>
      <c r="T286">
        <f t="shared" si="22"/>
        <v>0</v>
      </c>
      <c r="U286">
        <f t="shared" si="23"/>
        <v>0</v>
      </c>
      <c r="V286">
        <f t="shared" si="24"/>
        <v>0</v>
      </c>
    </row>
    <row r="287" spans="1:22" x14ac:dyDescent="0.25">
      <c r="A287">
        <v>284</v>
      </c>
      <c r="B287" t="s">
        <v>5</v>
      </c>
      <c r="C287" t="s">
        <v>73</v>
      </c>
      <c r="D287" s="4">
        <v>45734</v>
      </c>
      <c r="E287" t="s">
        <v>176</v>
      </c>
      <c r="F287" t="s">
        <v>75</v>
      </c>
      <c r="I287" s="6">
        <v>1</v>
      </c>
      <c r="J287" s="6">
        <v>0</v>
      </c>
      <c r="K287" s="6">
        <v>0</v>
      </c>
      <c r="L287" s="6">
        <v>0</v>
      </c>
      <c r="M287" s="6">
        <v>1</v>
      </c>
      <c r="N287" s="6">
        <v>1</v>
      </c>
      <c r="O287" s="6">
        <v>0</v>
      </c>
      <c r="P287" s="6">
        <v>0</v>
      </c>
      <c r="Q287">
        <v>1</v>
      </c>
      <c r="R287">
        <f t="shared" si="20"/>
        <v>0</v>
      </c>
      <c r="S287">
        <f t="shared" si="21"/>
        <v>1</v>
      </c>
      <c r="T287">
        <f t="shared" si="22"/>
        <v>3</v>
      </c>
      <c r="U287">
        <f t="shared" si="23"/>
        <v>1</v>
      </c>
      <c r="V287">
        <f t="shared" si="24"/>
        <v>0</v>
      </c>
    </row>
    <row r="288" spans="1:22" x14ac:dyDescent="0.25">
      <c r="A288">
        <v>285</v>
      </c>
      <c r="B288" t="s">
        <v>5</v>
      </c>
      <c r="C288" t="s">
        <v>73</v>
      </c>
      <c r="D288" s="4">
        <v>45734</v>
      </c>
      <c r="E288" t="s">
        <v>2888</v>
      </c>
      <c r="F288" t="s">
        <v>75</v>
      </c>
      <c r="I288" s="6">
        <v>0</v>
      </c>
      <c r="J288" s="6">
        <v>0</v>
      </c>
      <c r="K288" s="6">
        <v>0</v>
      </c>
      <c r="L288" s="6">
        <v>0</v>
      </c>
      <c r="M288" s="6">
        <v>1</v>
      </c>
      <c r="N288" s="6">
        <v>0</v>
      </c>
      <c r="O288" s="6">
        <v>0</v>
      </c>
      <c r="P288" s="6">
        <v>0</v>
      </c>
      <c r="Q288">
        <v>1</v>
      </c>
      <c r="R288">
        <f t="shared" si="20"/>
        <v>0</v>
      </c>
      <c r="S288">
        <f t="shared" si="21"/>
        <v>1</v>
      </c>
      <c r="T288">
        <f t="shared" si="22"/>
        <v>1</v>
      </c>
      <c r="U288">
        <f t="shared" si="23"/>
        <v>1</v>
      </c>
      <c r="V288">
        <f t="shared" si="24"/>
        <v>0</v>
      </c>
    </row>
    <row r="289" spans="1:22" x14ac:dyDescent="0.25">
      <c r="A289">
        <v>286</v>
      </c>
      <c r="B289" t="s">
        <v>5</v>
      </c>
      <c r="C289" t="s">
        <v>73</v>
      </c>
      <c r="D289" s="4">
        <v>45734</v>
      </c>
      <c r="E289" t="s">
        <v>2887</v>
      </c>
      <c r="F289" t="s">
        <v>75</v>
      </c>
      <c r="I289" s="6">
        <v>1</v>
      </c>
      <c r="J289" s="6">
        <v>0</v>
      </c>
      <c r="K289" s="6">
        <v>0</v>
      </c>
      <c r="L289" s="6">
        <v>0</v>
      </c>
      <c r="M289" s="6">
        <v>1</v>
      </c>
      <c r="N289" s="6">
        <v>1</v>
      </c>
      <c r="O289" s="6">
        <v>0</v>
      </c>
      <c r="P289" s="6">
        <v>0</v>
      </c>
      <c r="Q289">
        <v>1</v>
      </c>
      <c r="R289">
        <f t="shared" si="20"/>
        <v>0</v>
      </c>
      <c r="S289">
        <f t="shared" si="21"/>
        <v>1</v>
      </c>
      <c r="T289">
        <f t="shared" si="22"/>
        <v>3</v>
      </c>
      <c r="U289">
        <f t="shared" si="23"/>
        <v>1</v>
      </c>
      <c r="V289">
        <f t="shared" si="24"/>
        <v>0</v>
      </c>
    </row>
    <row r="290" spans="1:22" x14ac:dyDescent="0.25">
      <c r="A290">
        <v>287</v>
      </c>
      <c r="B290" t="s">
        <v>5</v>
      </c>
      <c r="C290" t="s">
        <v>73</v>
      </c>
      <c r="D290" s="4">
        <v>45735</v>
      </c>
      <c r="E290" t="s">
        <v>177</v>
      </c>
      <c r="F290" t="s">
        <v>75</v>
      </c>
      <c r="I290" s="6">
        <v>1</v>
      </c>
      <c r="J290" s="6">
        <v>0</v>
      </c>
      <c r="K290" s="6">
        <v>0</v>
      </c>
      <c r="L290" s="6">
        <v>0</v>
      </c>
      <c r="M290" s="6">
        <v>1</v>
      </c>
      <c r="N290" s="6">
        <v>0</v>
      </c>
      <c r="O290" s="6">
        <v>0</v>
      </c>
      <c r="P290" s="6">
        <v>0</v>
      </c>
      <c r="Q290">
        <v>1</v>
      </c>
      <c r="R290">
        <f t="shared" si="20"/>
        <v>0</v>
      </c>
      <c r="S290">
        <f t="shared" si="21"/>
        <v>1</v>
      </c>
      <c r="T290">
        <f t="shared" si="22"/>
        <v>2</v>
      </c>
      <c r="U290">
        <f t="shared" si="23"/>
        <v>1</v>
      </c>
      <c r="V290">
        <f t="shared" si="24"/>
        <v>0</v>
      </c>
    </row>
    <row r="291" spans="1:22" x14ac:dyDescent="0.25">
      <c r="A291">
        <v>288</v>
      </c>
      <c r="B291" t="s">
        <v>5</v>
      </c>
      <c r="C291" t="s">
        <v>73</v>
      </c>
      <c r="D291" s="4">
        <v>45735</v>
      </c>
      <c r="E291" t="s">
        <v>178</v>
      </c>
      <c r="F291" t="s">
        <v>75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1</v>
      </c>
      <c r="O291" s="6">
        <v>0</v>
      </c>
      <c r="P291" s="6">
        <v>0</v>
      </c>
      <c r="Q291">
        <v>1</v>
      </c>
      <c r="R291">
        <f t="shared" si="20"/>
        <v>0</v>
      </c>
      <c r="S291">
        <f t="shared" si="21"/>
        <v>1</v>
      </c>
      <c r="T291">
        <f t="shared" si="22"/>
        <v>1</v>
      </c>
      <c r="U291">
        <f t="shared" si="23"/>
        <v>1</v>
      </c>
      <c r="V291">
        <f t="shared" si="24"/>
        <v>0</v>
      </c>
    </row>
    <row r="292" spans="1:22" x14ac:dyDescent="0.25">
      <c r="A292">
        <v>289</v>
      </c>
      <c r="B292" t="s">
        <v>5</v>
      </c>
      <c r="C292" t="s">
        <v>73</v>
      </c>
      <c r="D292" s="4">
        <v>45735</v>
      </c>
      <c r="E292" t="s">
        <v>179</v>
      </c>
      <c r="F292" t="s">
        <v>75</v>
      </c>
      <c r="I292" s="6">
        <v>0</v>
      </c>
      <c r="J292" s="6">
        <v>0</v>
      </c>
      <c r="K292" s="6">
        <v>0</v>
      </c>
      <c r="L292" s="6">
        <v>0</v>
      </c>
      <c r="M292" s="6">
        <v>1</v>
      </c>
      <c r="N292" s="6">
        <v>0</v>
      </c>
      <c r="O292" s="6">
        <v>0</v>
      </c>
      <c r="P292" s="6">
        <v>0</v>
      </c>
      <c r="Q292">
        <v>1</v>
      </c>
      <c r="R292">
        <f t="shared" si="20"/>
        <v>0</v>
      </c>
      <c r="S292">
        <f t="shared" si="21"/>
        <v>1</v>
      </c>
      <c r="T292">
        <f t="shared" si="22"/>
        <v>1</v>
      </c>
      <c r="U292">
        <f t="shared" si="23"/>
        <v>1</v>
      </c>
      <c r="V292">
        <f t="shared" si="24"/>
        <v>0</v>
      </c>
    </row>
    <row r="293" spans="1:22" x14ac:dyDescent="0.25">
      <c r="A293">
        <v>290</v>
      </c>
      <c r="B293" t="s">
        <v>5</v>
      </c>
      <c r="C293" t="s">
        <v>73</v>
      </c>
      <c r="D293" s="4">
        <v>45735</v>
      </c>
      <c r="E293" t="s">
        <v>2886</v>
      </c>
      <c r="F293" t="s">
        <v>75</v>
      </c>
      <c r="I293" s="6">
        <v>0</v>
      </c>
      <c r="J293" s="6">
        <v>0</v>
      </c>
      <c r="K293" s="6">
        <v>1</v>
      </c>
      <c r="L293" s="6">
        <v>0</v>
      </c>
      <c r="M293" s="6">
        <v>1</v>
      </c>
      <c r="N293" s="6">
        <v>1</v>
      </c>
      <c r="O293" s="6">
        <v>0</v>
      </c>
      <c r="P293" s="6">
        <v>0</v>
      </c>
      <c r="Q293">
        <v>1</v>
      </c>
      <c r="R293">
        <f t="shared" si="20"/>
        <v>0</v>
      </c>
      <c r="S293">
        <f t="shared" si="21"/>
        <v>1</v>
      </c>
      <c r="T293">
        <f t="shared" si="22"/>
        <v>3</v>
      </c>
      <c r="U293">
        <f t="shared" si="23"/>
        <v>1</v>
      </c>
      <c r="V293">
        <f t="shared" si="24"/>
        <v>0</v>
      </c>
    </row>
    <row r="294" spans="1:22" x14ac:dyDescent="0.25">
      <c r="A294">
        <v>291</v>
      </c>
      <c r="B294" t="s">
        <v>5</v>
      </c>
      <c r="C294" t="s">
        <v>73</v>
      </c>
      <c r="D294" s="4">
        <v>45737</v>
      </c>
      <c r="E294" t="s">
        <v>2885</v>
      </c>
      <c r="F294" t="s">
        <v>75</v>
      </c>
      <c r="I294" s="6"/>
      <c r="J294" s="6"/>
      <c r="K294" s="6"/>
      <c r="L294" s="6"/>
      <c r="M294" s="6"/>
      <c r="N294" s="6"/>
      <c r="O294" s="6"/>
      <c r="P294" s="6"/>
      <c r="Q294">
        <v>0</v>
      </c>
      <c r="R294">
        <f t="shared" si="20"/>
        <v>0</v>
      </c>
      <c r="S294">
        <f t="shared" si="21"/>
        <v>0</v>
      </c>
      <c r="T294">
        <f t="shared" si="22"/>
        <v>0</v>
      </c>
      <c r="U294">
        <f t="shared" si="23"/>
        <v>0</v>
      </c>
      <c r="V294">
        <f t="shared" si="24"/>
        <v>0</v>
      </c>
    </row>
    <row r="295" spans="1:22" x14ac:dyDescent="0.25">
      <c r="A295">
        <v>292</v>
      </c>
      <c r="B295" t="s">
        <v>5</v>
      </c>
      <c r="C295" t="s">
        <v>73</v>
      </c>
      <c r="D295" s="4">
        <v>45737</v>
      </c>
      <c r="E295" t="s">
        <v>2884</v>
      </c>
      <c r="F295" t="s">
        <v>75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>
        <v>1</v>
      </c>
      <c r="R295">
        <f t="shared" si="20"/>
        <v>0</v>
      </c>
      <c r="S295">
        <f t="shared" si="21"/>
        <v>1</v>
      </c>
      <c r="T295">
        <f t="shared" si="22"/>
        <v>0</v>
      </c>
      <c r="U295">
        <f t="shared" si="23"/>
        <v>0</v>
      </c>
      <c r="V295">
        <f t="shared" si="24"/>
        <v>0</v>
      </c>
    </row>
    <row r="296" spans="1:22" x14ac:dyDescent="0.25">
      <c r="A296">
        <v>293</v>
      </c>
      <c r="B296" t="s">
        <v>5</v>
      </c>
      <c r="C296" t="s">
        <v>73</v>
      </c>
      <c r="D296" s="4">
        <v>45737</v>
      </c>
      <c r="E296" t="s">
        <v>180</v>
      </c>
      <c r="F296" t="s">
        <v>75</v>
      </c>
      <c r="I296" s="6">
        <v>0</v>
      </c>
      <c r="J296" s="6">
        <v>0</v>
      </c>
      <c r="K296" s="6">
        <v>0</v>
      </c>
      <c r="L296" s="6">
        <v>0</v>
      </c>
      <c r="M296" s="6">
        <v>1</v>
      </c>
      <c r="N296" s="6">
        <v>0</v>
      </c>
      <c r="O296" s="6">
        <v>0</v>
      </c>
      <c r="P296" s="6">
        <v>0</v>
      </c>
      <c r="Q296">
        <v>1</v>
      </c>
      <c r="R296">
        <f t="shared" si="20"/>
        <v>0</v>
      </c>
      <c r="S296">
        <f t="shared" si="21"/>
        <v>1</v>
      </c>
      <c r="T296">
        <f t="shared" si="22"/>
        <v>1</v>
      </c>
      <c r="U296">
        <f t="shared" si="23"/>
        <v>1</v>
      </c>
      <c r="V296">
        <f t="shared" si="24"/>
        <v>0</v>
      </c>
    </row>
    <row r="297" spans="1:22" x14ac:dyDescent="0.25">
      <c r="A297">
        <v>294</v>
      </c>
      <c r="B297" t="s">
        <v>5</v>
      </c>
      <c r="C297" t="s">
        <v>73</v>
      </c>
      <c r="D297" s="4">
        <v>45740</v>
      </c>
      <c r="E297" t="s">
        <v>2883</v>
      </c>
      <c r="F297" t="s">
        <v>75</v>
      </c>
      <c r="I297" s="6"/>
      <c r="J297" s="6"/>
      <c r="K297" s="6"/>
      <c r="L297" s="6"/>
      <c r="M297" s="6"/>
      <c r="N297" s="6"/>
      <c r="O297" s="6"/>
      <c r="P297" s="6"/>
      <c r="Q297">
        <v>0</v>
      </c>
      <c r="R297">
        <f t="shared" si="20"/>
        <v>0</v>
      </c>
      <c r="S297">
        <f t="shared" si="21"/>
        <v>0</v>
      </c>
      <c r="T297">
        <f t="shared" si="22"/>
        <v>0</v>
      </c>
      <c r="U297">
        <f t="shared" si="23"/>
        <v>0</v>
      </c>
      <c r="V297">
        <f t="shared" si="24"/>
        <v>0</v>
      </c>
    </row>
    <row r="298" spans="1:22" x14ac:dyDescent="0.25">
      <c r="A298">
        <v>295</v>
      </c>
      <c r="B298" t="s">
        <v>5</v>
      </c>
      <c r="C298" t="s">
        <v>73</v>
      </c>
      <c r="D298" s="4">
        <v>45741</v>
      </c>
      <c r="E298" t="s">
        <v>2882</v>
      </c>
      <c r="F298" t="s">
        <v>75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>
        <v>1</v>
      </c>
      <c r="R298">
        <f t="shared" si="20"/>
        <v>0</v>
      </c>
      <c r="S298">
        <f t="shared" si="21"/>
        <v>1</v>
      </c>
      <c r="T298">
        <f t="shared" si="22"/>
        <v>0</v>
      </c>
      <c r="U298">
        <f t="shared" si="23"/>
        <v>0</v>
      </c>
      <c r="V298">
        <f t="shared" si="24"/>
        <v>0</v>
      </c>
    </row>
    <row r="299" spans="1:22" x14ac:dyDescent="0.25">
      <c r="A299">
        <v>296</v>
      </c>
      <c r="B299" t="s">
        <v>5</v>
      </c>
      <c r="C299" t="s">
        <v>73</v>
      </c>
      <c r="D299" s="4">
        <v>45741</v>
      </c>
      <c r="E299" t="s">
        <v>181</v>
      </c>
      <c r="F299" t="s">
        <v>75</v>
      </c>
      <c r="I299" s="6">
        <v>0</v>
      </c>
      <c r="J299" s="6">
        <v>0</v>
      </c>
      <c r="K299" s="6">
        <v>0</v>
      </c>
      <c r="L299" s="6">
        <v>0</v>
      </c>
      <c r="M299" s="6">
        <v>1</v>
      </c>
      <c r="N299" s="6">
        <v>1</v>
      </c>
      <c r="O299" s="6">
        <v>0</v>
      </c>
      <c r="P299" s="6">
        <v>0</v>
      </c>
      <c r="Q299">
        <v>1</v>
      </c>
      <c r="R299">
        <f t="shared" si="20"/>
        <v>0</v>
      </c>
      <c r="S299">
        <f t="shared" si="21"/>
        <v>1</v>
      </c>
      <c r="T299">
        <f t="shared" si="22"/>
        <v>2</v>
      </c>
      <c r="U299">
        <f t="shared" si="23"/>
        <v>1</v>
      </c>
      <c r="V299">
        <f t="shared" si="24"/>
        <v>0</v>
      </c>
    </row>
    <row r="300" spans="1:22" x14ac:dyDescent="0.25">
      <c r="A300">
        <v>297</v>
      </c>
      <c r="B300" t="s">
        <v>5</v>
      </c>
      <c r="C300" t="s">
        <v>73</v>
      </c>
      <c r="D300" s="4">
        <v>45742</v>
      </c>
      <c r="E300" t="s">
        <v>182</v>
      </c>
      <c r="F300" t="s">
        <v>75</v>
      </c>
      <c r="I300" s="6">
        <v>0</v>
      </c>
      <c r="J300" s="6">
        <v>0</v>
      </c>
      <c r="K300" s="6">
        <v>0</v>
      </c>
      <c r="L300" s="6">
        <v>0</v>
      </c>
      <c r="M300" s="6">
        <v>1</v>
      </c>
      <c r="N300" s="6">
        <v>0</v>
      </c>
      <c r="O300" s="6">
        <v>0</v>
      </c>
      <c r="P300" s="6">
        <v>0</v>
      </c>
      <c r="Q300">
        <v>1</v>
      </c>
      <c r="R300">
        <f t="shared" si="20"/>
        <v>0</v>
      </c>
      <c r="S300">
        <f t="shared" si="21"/>
        <v>1</v>
      </c>
      <c r="T300">
        <f t="shared" si="22"/>
        <v>1</v>
      </c>
      <c r="U300">
        <f t="shared" si="23"/>
        <v>1</v>
      </c>
      <c r="V300">
        <f t="shared" si="24"/>
        <v>0</v>
      </c>
    </row>
    <row r="301" spans="1:22" x14ac:dyDescent="0.25">
      <c r="A301">
        <v>298</v>
      </c>
      <c r="B301" t="s">
        <v>5</v>
      </c>
      <c r="C301" t="s">
        <v>73</v>
      </c>
      <c r="D301" s="4">
        <v>45742</v>
      </c>
      <c r="E301" t="s">
        <v>183</v>
      </c>
      <c r="F301" t="s">
        <v>75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>
        <v>1</v>
      </c>
      <c r="R301">
        <f t="shared" si="20"/>
        <v>0</v>
      </c>
      <c r="S301">
        <f t="shared" si="21"/>
        <v>1</v>
      </c>
      <c r="T301">
        <f t="shared" si="22"/>
        <v>0</v>
      </c>
      <c r="U301">
        <f t="shared" si="23"/>
        <v>0</v>
      </c>
      <c r="V301">
        <f t="shared" si="24"/>
        <v>0</v>
      </c>
    </row>
    <row r="302" spans="1:22" x14ac:dyDescent="0.25">
      <c r="A302">
        <v>299</v>
      </c>
      <c r="B302" t="s">
        <v>5</v>
      </c>
      <c r="C302" t="s">
        <v>73</v>
      </c>
      <c r="D302" s="4">
        <v>45742</v>
      </c>
      <c r="E302" t="s">
        <v>2881</v>
      </c>
      <c r="F302" t="s">
        <v>75</v>
      </c>
      <c r="I302" s="6">
        <v>0</v>
      </c>
      <c r="J302" s="6">
        <v>0</v>
      </c>
      <c r="K302" s="6">
        <v>0</v>
      </c>
      <c r="L302" s="6">
        <v>1</v>
      </c>
      <c r="M302" s="6">
        <v>1</v>
      </c>
      <c r="N302" s="6">
        <v>1</v>
      </c>
      <c r="O302" s="6">
        <v>0</v>
      </c>
      <c r="P302" s="6">
        <v>0</v>
      </c>
      <c r="Q302">
        <v>1</v>
      </c>
      <c r="R302">
        <f t="shared" si="20"/>
        <v>0</v>
      </c>
      <c r="S302">
        <f t="shared" si="21"/>
        <v>1</v>
      </c>
      <c r="T302">
        <f t="shared" si="22"/>
        <v>3</v>
      </c>
      <c r="U302">
        <f t="shared" si="23"/>
        <v>1</v>
      </c>
      <c r="V302">
        <f t="shared" si="24"/>
        <v>0</v>
      </c>
    </row>
    <row r="303" spans="1:22" x14ac:dyDescent="0.25">
      <c r="A303">
        <v>300</v>
      </c>
      <c r="B303" t="s">
        <v>5</v>
      </c>
      <c r="C303" t="s">
        <v>73</v>
      </c>
      <c r="D303" s="4">
        <v>45742</v>
      </c>
      <c r="E303" t="s">
        <v>2880</v>
      </c>
      <c r="F303" t="s">
        <v>75</v>
      </c>
      <c r="I303" s="6"/>
      <c r="J303" s="6"/>
      <c r="K303" s="6"/>
      <c r="L303" s="6"/>
      <c r="M303" s="6"/>
      <c r="N303" s="6"/>
      <c r="O303" s="6"/>
      <c r="P303" s="6"/>
      <c r="Q303">
        <v>0</v>
      </c>
      <c r="R303">
        <f t="shared" si="20"/>
        <v>0</v>
      </c>
      <c r="S303">
        <f t="shared" si="21"/>
        <v>0</v>
      </c>
      <c r="T303">
        <f t="shared" si="22"/>
        <v>0</v>
      </c>
      <c r="U303">
        <f t="shared" si="23"/>
        <v>0</v>
      </c>
      <c r="V303">
        <f t="shared" si="24"/>
        <v>0</v>
      </c>
    </row>
    <row r="304" spans="1:22" x14ac:dyDescent="0.25">
      <c r="A304">
        <v>301</v>
      </c>
      <c r="B304" t="s">
        <v>5</v>
      </c>
      <c r="C304" t="s">
        <v>73</v>
      </c>
      <c r="D304" s="4">
        <v>45742</v>
      </c>
      <c r="E304" t="s">
        <v>2879</v>
      </c>
      <c r="F304" t="s">
        <v>75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>
        <v>1</v>
      </c>
      <c r="R304">
        <f t="shared" si="20"/>
        <v>0</v>
      </c>
      <c r="S304">
        <f t="shared" si="21"/>
        <v>1</v>
      </c>
      <c r="T304">
        <f t="shared" si="22"/>
        <v>0</v>
      </c>
      <c r="U304">
        <f t="shared" si="23"/>
        <v>0</v>
      </c>
      <c r="V304">
        <f t="shared" si="24"/>
        <v>0</v>
      </c>
    </row>
    <row r="305" spans="1:22" x14ac:dyDescent="0.25">
      <c r="A305">
        <v>302</v>
      </c>
      <c r="B305" t="s">
        <v>5</v>
      </c>
      <c r="C305" t="s">
        <v>73</v>
      </c>
      <c r="D305" s="4">
        <v>45742</v>
      </c>
      <c r="E305" t="s">
        <v>2878</v>
      </c>
      <c r="F305" t="s">
        <v>75</v>
      </c>
      <c r="I305" s="6"/>
      <c r="J305" s="6"/>
      <c r="K305" s="6"/>
      <c r="L305" s="6"/>
      <c r="M305" s="6"/>
      <c r="N305" s="6"/>
      <c r="O305" s="6"/>
      <c r="P305" s="6"/>
      <c r="Q305">
        <v>0</v>
      </c>
      <c r="R305">
        <f t="shared" si="20"/>
        <v>0</v>
      </c>
      <c r="S305">
        <f t="shared" si="21"/>
        <v>0</v>
      </c>
      <c r="T305">
        <f t="shared" si="22"/>
        <v>0</v>
      </c>
      <c r="U305">
        <f t="shared" si="23"/>
        <v>0</v>
      </c>
      <c r="V305">
        <f t="shared" si="24"/>
        <v>0</v>
      </c>
    </row>
    <row r="306" spans="1:22" x14ac:dyDescent="0.25">
      <c r="A306">
        <v>303</v>
      </c>
      <c r="B306" t="s">
        <v>5</v>
      </c>
      <c r="C306" t="s">
        <v>73</v>
      </c>
      <c r="D306" s="4">
        <v>45742</v>
      </c>
      <c r="E306" t="s">
        <v>2877</v>
      </c>
      <c r="F306" t="s">
        <v>75</v>
      </c>
      <c r="I306" s="6">
        <v>0</v>
      </c>
      <c r="J306" s="6">
        <v>0</v>
      </c>
      <c r="K306" s="6">
        <v>0</v>
      </c>
      <c r="L306" s="6">
        <v>0</v>
      </c>
      <c r="M306" s="6">
        <v>1</v>
      </c>
      <c r="N306" s="6">
        <v>0</v>
      </c>
      <c r="O306" s="6">
        <v>0</v>
      </c>
      <c r="P306" s="6">
        <v>0</v>
      </c>
      <c r="Q306">
        <v>1</v>
      </c>
      <c r="R306">
        <f t="shared" si="20"/>
        <v>0</v>
      </c>
      <c r="S306">
        <f t="shared" si="21"/>
        <v>1</v>
      </c>
      <c r="T306">
        <f t="shared" si="22"/>
        <v>1</v>
      </c>
      <c r="U306">
        <f t="shared" si="23"/>
        <v>1</v>
      </c>
      <c r="V306">
        <f t="shared" si="24"/>
        <v>0</v>
      </c>
    </row>
    <row r="307" spans="1:22" x14ac:dyDescent="0.25">
      <c r="A307">
        <v>304</v>
      </c>
      <c r="B307" t="s">
        <v>5</v>
      </c>
      <c r="C307" t="s">
        <v>73</v>
      </c>
      <c r="D307" s="4">
        <v>45742</v>
      </c>
      <c r="E307" t="s">
        <v>2876</v>
      </c>
      <c r="F307" t="s">
        <v>75</v>
      </c>
      <c r="I307" s="6">
        <v>0</v>
      </c>
      <c r="J307" s="6">
        <v>0</v>
      </c>
      <c r="K307" s="6">
        <v>0</v>
      </c>
      <c r="L307" s="6">
        <v>0</v>
      </c>
      <c r="M307" s="6">
        <v>1</v>
      </c>
      <c r="N307" s="6">
        <v>0</v>
      </c>
      <c r="O307" s="6">
        <v>0</v>
      </c>
      <c r="P307" s="6">
        <v>0</v>
      </c>
      <c r="Q307">
        <v>1</v>
      </c>
      <c r="R307">
        <f t="shared" si="20"/>
        <v>0</v>
      </c>
      <c r="S307">
        <f t="shared" si="21"/>
        <v>1</v>
      </c>
      <c r="T307">
        <f t="shared" si="22"/>
        <v>1</v>
      </c>
      <c r="U307">
        <f t="shared" si="23"/>
        <v>1</v>
      </c>
      <c r="V307">
        <f t="shared" si="24"/>
        <v>0</v>
      </c>
    </row>
    <row r="308" spans="1:22" x14ac:dyDescent="0.25">
      <c r="A308">
        <v>305</v>
      </c>
      <c r="B308" t="s">
        <v>5</v>
      </c>
      <c r="C308" t="s">
        <v>73</v>
      </c>
      <c r="D308" s="4">
        <v>45742</v>
      </c>
      <c r="E308" t="s">
        <v>2875</v>
      </c>
      <c r="F308" t="s">
        <v>75</v>
      </c>
      <c r="I308" s="6"/>
      <c r="J308" s="6"/>
      <c r="K308" s="6"/>
      <c r="L308" s="6"/>
      <c r="M308" s="6"/>
      <c r="N308" s="6"/>
      <c r="O308" s="6"/>
      <c r="P308" s="6"/>
      <c r="Q308">
        <v>0</v>
      </c>
      <c r="R308">
        <f t="shared" si="20"/>
        <v>0</v>
      </c>
      <c r="S308">
        <f t="shared" si="21"/>
        <v>0</v>
      </c>
      <c r="T308">
        <f t="shared" si="22"/>
        <v>0</v>
      </c>
      <c r="U308">
        <f t="shared" si="23"/>
        <v>0</v>
      </c>
      <c r="V308">
        <f t="shared" si="24"/>
        <v>0</v>
      </c>
    </row>
    <row r="309" spans="1:22" x14ac:dyDescent="0.25">
      <c r="A309">
        <v>306</v>
      </c>
      <c r="B309" t="s">
        <v>5</v>
      </c>
      <c r="C309" t="s">
        <v>73</v>
      </c>
      <c r="D309" s="4">
        <v>45743</v>
      </c>
      <c r="E309" t="s">
        <v>184</v>
      </c>
      <c r="F309" t="s">
        <v>75</v>
      </c>
      <c r="I309" s="6">
        <v>0</v>
      </c>
      <c r="J309" s="6">
        <v>0</v>
      </c>
      <c r="K309" s="6">
        <v>0</v>
      </c>
      <c r="L309" s="6">
        <v>0</v>
      </c>
      <c r="M309" s="6">
        <v>1</v>
      </c>
      <c r="N309" s="6">
        <v>0</v>
      </c>
      <c r="O309" s="6">
        <v>0</v>
      </c>
      <c r="P309" s="6">
        <v>0</v>
      </c>
      <c r="Q309">
        <v>1</v>
      </c>
      <c r="R309">
        <f t="shared" si="20"/>
        <v>0</v>
      </c>
      <c r="S309">
        <f t="shared" si="21"/>
        <v>1</v>
      </c>
      <c r="T309">
        <f t="shared" si="22"/>
        <v>1</v>
      </c>
      <c r="U309">
        <f t="shared" si="23"/>
        <v>1</v>
      </c>
      <c r="V309">
        <f t="shared" si="24"/>
        <v>0</v>
      </c>
    </row>
    <row r="310" spans="1:22" x14ac:dyDescent="0.25">
      <c r="A310">
        <v>307</v>
      </c>
      <c r="B310" t="s">
        <v>5</v>
      </c>
      <c r="C310" t="s">
        <v>73</v>
      </c>
      <c r="D310" s="4">
        <v>45743</v>
      </c>
      <c r="E310" t="s">
        <v>185</v>
      </c>
      <c r="F310" t="s">
        <v>75</v>
      </c>
      <c r="I310" s="6">
        <v>0</v>
      </c>
      <c r="J310" s="6">
        <v>0</v>
      </c>
      <c r="K310" s="6">
        <v>0</v>
      </c>
      <c r="L310" s="6">
        <v>0</v>
      </c>
      <c r="M310" s="6">
        <v>1</v>
      </c>
      <c r="N310" s="6">
        <v>0</v>
      </c>
      <c r="O310" s="6">
        <v>0</v>
      </c>
      <c r="P310" s="6">
        <v>0</v>
      </c>
      <c r="Q310">
        <v>1</v>
      </c>
      <c r="R310">
        <f t="shared" si="20"/>
        <v>0</v>
      </c>
      <c r="S310">
        <f t="shared" si="21"/>
        <v>1</v>
      </c>
      <c r="T310">
        <f t="shared" si="22"/>
        <v>1</v>
      </c>
      <c r="U310">
        <f t="shared" si="23"/>
        <v>1</v>
      </c>
      <c r="V310">
        <f t="shared" si="24"/>
        <v>0</v>
      </c>
    </row>
    <row r="311" spans="1:22" x14ac:dyDescent="0.25">
      <c r="A311">
        <v>308</v>
      </c>
      <c r="B311" t="s">
        <v>5</v>
      </c>
      <c r="C311" t="s">
        <v>73</v>
      </c>
      <c r="D311" s="4">
        <v>45743</v>
      </c>
      <c r="E311" t="s">
        <v>2874</v>
      </c>
      <c r="F311" t="s">
        <v>75</v>
      </c>
      <c r="I311" s="6"/>
      <c r="J311" s="6"/>
      <c r="K311" s="6"/>
      <c r="L311" s="6"/>
      <c r="M311" s="6"/>
      <c r="N311" s="6"/>
      <c r="O311" s="6"/>
      <c r="P311" s="6"/>
      <c r="Q311">
        <v>0</v>
      </c>
      <c r="R311">
        <f t="shared" si="20"/>
        <v>0</v>
      </c>
      <c r="S311">
        <f t="shared" si="21"/>
        <v>0</v>
      </c>
      <c r="T311">
        <f t="shared" si="22"/>
        <v>0</v>
      </c>
      <c r="U311">
        <f t="shared" si="23"/>
        <v>0</v>
      </c>
      <c r="V311">
        <f t="shared" si="24"/>
        <v>0</v>
      </c>
    </row>
    <row r="312" spans="1:22" x14ac:dyDescent="0.25">
      <c r="A312">
        <v>309</v>
      </c>
      <c r="B312" t="s">
        <v>5</v>
      </c>
      <c r="C312" t="s">
        <v>73</v>
      </c>
      <c r="D312" s="4">
        <v>45743</v>
      </c>
      <c r="E312" t="s">
        <v>2873</v>
      </c>
      <c r="F312" t="s">
        <v>75</v>
      </c>
      <c r="I312" s="6"/>
      <c r="J312" s="6"/>
      <c r="K312" s="6"/>
      <c r="L312" s="6"/>
      <c r="M312" s="6"/>
      <c r="N312" s="6"/>
      <c r="O312" s="6"/>
      <c r="P312" s="6"/>
      <c r="Q312">
        <v>0</v>
      </c>
      <c r="R312">
        <f t="shared" si="20"/>
        <v>0</v>
      </c>
      <c r="S312">
        <f t="shared" si="21"/>
        <v>0</v>
      </c>
      <c r="T312">
        <f t="shared" si="22"/>
        <v>0</v>
      </c>
      <c r="U312">
        <f t="shared" si="23"/>
        <v>0</v>
      </c>
      <c r="V312">
        <f t="shared" si="24"/>
        <v>0</v>
      </c>
    </row>
    <row r="313" spans="1:22" x14ac:dyDescent="0.25">
      <c r="A313">
        <v>310</v>
      </c>
      <c r="B313" t="s">
        <v>5</v>
      </c>
      <c r="C313" t="s">
        <v>73</v>
      </c>
      <c r="D313" s="4">
        <v>45743</v>
      </c>
      <c r="E313" t="s">
        <v>186</v>
      </c>
      <c r="F313" t="s">
        <v>75</v>
      </c>
      <c r="I313" s="6">
        <v>0</v>
      </c>
      <c r="J313" s="6">
        <v>0</v>
      </c>
      <c r="K313" s="6">
        <v>0</v>
      </c>
      <c r="L313" s="6">
        <v>0</v>
      </c>
      <c r="M313" s="6">
        <v>1</v>
      </c>
      <c r="N313" s="6">
        <v>0</v>
      </c>
      <c r="O313" s="6">
        <v>0</v>
      </c>
      <c r="P313" s="6">
        <v>0</v>
      </c>
      <c r="Q313">
        <v>1</v>
      </c>
      <c r="R313">
        <f t="shared" si="20"/>
        <v>0</v>
      </c>
      <c r="S313">
        <f t="shared" si="21"/>
        <v>1</v>
      </c>
      <c r="T313">
        <f t="shared" si="22"/>
        <v>1</v>
      </c>
      <c r="U313">
        <f t="shared" si="23"/>
        <v>1</v>
      </c>
      <c r="V313">
        <f t="shared" si="24"/>
        <v>0</v>
      </c>
    </row>
    <row r="314" spans="1:22" x14ac:dyDescent="0.25">
      <c r="A314">
        <v>311</v>
      </c>
      <c r="B314" t="s">
        <v>5</v>
      </c>
      <c r="C314" t="s">
        <v>73</v>
      </c>
      <c r="D314" s="4">
        <v>45743</v>
      </c>
      <c r="E314" t="s">
        <v>187</v>
      </c>
      <c r="F314" t="s">
        <v>75</v>
      </c>
      <c r="I314" s="6">
        <v>1</v>
      </c>
      <c r="J314" s="6">
        <v>0</v>
      </c>
      <c r="K314" s="6">
        <v>1</v>
      </c>
      <c r="L314" s="6">
        <v>1</v>
      </c>
      <c r="M314" s="6">
        <v>1</v>
      </c>
      <c r="N314" s="6">
        <v>1</v>
      </c>
      <c r="O314" s="6">
        <v>1</v>
      </c>
      <c r="P314" s="6">
        <v>0</v>
      </c>
      <c r="Q314">
        <v>1</v>
      </c>
      <c r="R314">
        <f t="shared" si="20"/>
        <v>0</v>
      </c>
      <c r="S314">
        <f t="shared" si="21"/>
        <v>1</v>
      </c>
      <c r="T314">
        <f t="shared" si="22"/>
        <v>6</v>
      </c>
      <c r="U314">
        <f t="shared" si="23"/>
        <v>1</v>
      </c>
      <c r="V314">
        <f t="shared" si="24"/>
        <v>0</v>
      </c>
    </row>
    <row r="315" spans="1:22" x14ac:dyDescent="0.25">
      <c r="A315">
        <v>312</v>
      </c>
      <c r="B315" t="s">
        <v>5</v>
      </c>
      <c r="C315" t="s">
        <v>73</v>
      </c>
      <c r="D315" s="4">
        <v>45743</v>
      </c>
      <c r="E315" t="s">
        <v>2872</v>
      </c>
      <c r="F315" t="s">
        <v>75</v>
      </c>
      <c r="I315" s="6"/>
      <c r="J315" s="6"/>
      <c r="K315" s="6"/>
      <c r="L315" s="6"/>
      <c r="M315" s="6"/>
      <c r="N315" s="6"/>
      <c r="O315" s="6"/>
      <c r="P315" s="6"/>
      <c r="Q315">
        <v>0</v>
      </c>
      <c r="R315">
        <f t="shared" si="20"/>
        <v>0</v>
      </c>
      <c r="S315">
        <f t="shared" si="21"/>
        <v>0</v>
      </c>
      <c r="T315">
        <f t="shared" si="22"/>
        <v>0</v>
      </c>
      <c r="U315">
        <f t="shared" si="23"/>
        <v>0</v>
      </c>
      <c r="V315">
        <f t="shared" si="24"/>
        <v>0</v>
      </c>
    </row>
    <row r="316" spans="1:22" x14ac:dyDescent="0.25">
      <c r="A316">
        <v>313</v>
      </c>
      <c r="B316" t="s">
        <v>5</v>
      </c>
      <c r="C316" t="s">
        <v>73</v>
      </c>
      <c r="D316" s="4">
        <v>45744</v>
      </c>
      <c r="E316" t="s">
        <v>2871</v>
      </c>
      <c r="F316" t="s">
        <v>75</v>
      </c>
      <c r="I316" s="6">
        <v>0</v>
      </c>
      <c r="J316" s="6">
        <v>0</v>
      </c>
      <c r="K316" s="6">
        <v>0</v>
      </c>
      <c r="L316" s="6">
        <v>0</v>
      </c>
      <c r="M316" s="6">
        <v>1</v>
      </c>
      <c r="N316" s="6">
        <v>0</v>
      </c>
      <c r="O316" s="6">
        <v>0</v>
      </c>
      <c r="P316" s="6">
        <v>0</v>
      </c>
      <c r="Q316">
        <v>1</v>
      </c>
      <c r="R316">
        <f t="shared" si="20"/>
        <v>0</v>
      </c>
      <c r="S316">
        <f t="shared" si="21"/>
        <v>1</v>
      </c>
      <c r="T316">
        <f t="shared" si="22"/>
        <v>1</v>
      </c>
      <c r="U316">
        <f t="shared" si="23"/>
        <v>1</v>
      </c>
      <c r="V316">
        <f t="shared" si="24"/>
        <v>0</v>
      </c>
    </row>
    <row r="317" spans="1:22" x14ac:dyDescent="0.25">
      <c r="A317">
        <v>314</v>
      </c>
      <c r="B317" t="s">
        <v>5</v>
      </c>
      <c r="C317" t="s">
        <v>73</v>
      </c>
      <c r="D317" s="4">
        <v>45744</v>
      </c>
      <c r="E317" t="s">
        <v>2870</v>
      </c>
      <c r="F317" t="s">
        <v>75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>
        <v>1</v>
      </c>
      <c r="R317">
        <f t="shared" si="20"/>
        <v>0</v>
      </c>
      <c r="S317">
        <f t="shared" si="21"/>
        <v>1</v>
      </c>
      <c r="T317">
        <f t="shared" si="22"/>
        <v>0</v>
      </c>
      <c r="U317">
        <f t="shared" si="23"/>
        <v>0</v>
      </c>
      <c r="V317">
        <f t="shared" si="24"/>
        <v>0</v>
      </c>
    </row>
    <row r="318" spans="1:22" x14ac:dyDescent="0.25">
      <c r="A318">
        <v>315</v>
      </c>
      <c r="B318" t="s">
        <v>5</v>
      </c>
      <c r="C318" t="s">
        <v>73</v>
      </c>
      <c r="D318" s="4">
        <v>45744</v>
      </c>
      <c r="E318" t="s">
        <v>188</v>
      </c>
      <c r="F318" t="s">
        <v>75</v>
      </c>
      <c r="I318" s="6">
        <v>0</v>
      </c>
      <c r="J318" s="6">
        <v>0</v>
      </c>
      <c r="K318" s="6">
        <v>0</v>
      </c>
      <c r="L318" s="6">
        <v>0</v>
      </c>
      <c r="M318" s="6">
        <v>1</v>
      </c>
      <c r="N318" s="6">
        <v>1</v>
      </c>
      <c r="O318" s="6">
        <v>0</v>
      </c>
      <c r="P318" s="6">
        <v>0</v>
      </c>
      <c r="Q318">
        <v>1</v>
      </c>
      <c r="R318">
        <f t="shared" si="20"/>
        <v>0</v>
      </c>
      <c r="S318">
        <f t="shared" si="21"/>
        <v>1</v>
      </c>
      <c r="T318">
        <f t="shared" si="22"/>
        <v>2</v>
      </c>
      <c r="U318">
        <f t="shared" si="23"/>
        <v>1</v>
      </c>
      <c r="V318">
        <f t="shared" si="24"/>
        <v>0</v>
      </c>
    </row>
    <row r="319" spans="1:22" x14ac:dyDescent="0.25">
      <c r="A319">
        <v>316</v>
      </c>
      <c r="B319" t="s">
        <v>5</v>
      </c>
      <c r="C319" t="s">
        <v>73</v>
      </c>
      <c r="D319" s="4">
        <v>45744</v>
      </c>
      <c r="E319" t="s">
        <v>2869</v>
      </c>
      <c r="F319" t="s">
        <v>75</v>
      </c>
      <c r="I319" s="6"/>
      <c r="J319" s="6"/>
      <c r="K319" s="6"/>
      <c r="L319" s="6"/>
      <c r="M319" s="6"/>
      <c r="N319" s="6"/>
      <c r="O319" s="6"/>
      <c r="P319" s="6"/>
      <c r="Q319">
        <v>0</v>
      </c>
      <c r="R319">
        <f t="shared" si="20"/>
        <v>0</v>
      </c>
      <c r="S319">
        <f t="shared" si="21"/>
        <v>0</v>
      </c>
      <c r="T319">
        <f t="shared" si="22"/>
        <v>0</v>
      </c>
      <c r="U319">
        <f t="shared" si="23"/>
        <v>0</v>
      </c>
      <c r="V319">
        <f t="shared" si="24"/>
        <v>0</v>
      </c>
    </row>
    <row r="320" spans="1:22" x14ac:dyDescent="0.25">
      <c r="A320">
        <v>317</v>
      </c>
      <c r="B320" t="s">
        <v>5</v>
      </c>
      <c r="C320" t="s">
        <v>73</v>
      </c>
      <c r="D320" s="4">
        <v>45744</v>
      </c>
      <c r="E320" t="s">
        <v>189</v>
      </c>
      <c r="F320" t="s">
        <v>75</v>
      </c>
      <c r="I320" s="6">
        <v>1</v>
      </c>
      <c r="J320" s="6">
        <v>0</v>
      </c>
      <c r="K320" s="6">
        <v>0</v>
      </c>
      <c r="L320" s="6">
        <v>0</v>
      </c>
      <c r="M320" s="6">
        <v>1</v>
      </c>
      <c r="N320" s="6">
        <v>0</v>
      </c>
      <c r="O320" s="6">
        <v>0</v>
      </c>
      <c r="P320" s="6">
        <v>0</v>
      </c>
      <c r="Q320">
        <v>1</v>
      </c>
      <c r="R320">
        <f t="shared" si="20"/>
        <v>0</v>
      </c>
      <c r="S320">
        <f t="shared" si="21"/>
        <v>1</v>
      </c>
      <c r="T320">
        <f t="shared" si="22"/>
        <v>2</v>
      </c>
      <c r="U320">
        <f t="shared" si="23"/>
        <v>1</v>
      </c>
      <c r="V320">
        <f t="shared" si="24"/>
        <v>0</v>
      </c>
    </row>
    <row r="321" spans="1:22" x14ac:dyDescent="0.25">
      <c r="A321">
        <v>318</v>
      </c>
      <c r="B321" t="s">
        <v>5</v>
      </c>
      <c r="C321" t="s">
        <v>73</v>
      </c>
      <c r="D321" s="4">
        <v>45744</v>
      </c>
      <c r="E321" t="s">
        <v>190</v>
      </c>
      <c r="F321" t="s">
        <v>75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>
        <v>1</v>
      </c>
      <c r="R321">
        <f t="shared" si="20"/>
        <v>0</v>
      </c>
      <c r="S321">
        <f t="shared" si="21"/>
        <v>1</v>
      </c>
      <c r="T321">
        <f t="shared" si="22"/>
        <v>0</v>
      </c>
      <c r="U321">
        <f t="shared" si="23"/>
        <v>0</v>
      </c>
      <c r="V321">
        <f t="shared" si="24"/>
        <v>0</v>
      </c>
    </row>
    <row r="322" spans="1:22" x14ac:dyDescent="0.25">
      <c r="A322">
        <v>319</v>
      </c>
      <c r="B322" t="s">
        <v>5</v>
      </c>
      <c r="C322" t="s">
        <v>73</v>
      </c>
      <c r="D322" s="4">
        <v>45745</v>
      </c>
      <c r="E322" t="s">
        <v>2868</v>
      </c>
      <c r="F322" t="s">
        <v>75</v>
      </c>
      <c r="I322" s="6"/>
      <c r="J322" s="6"/>
      <c r="K322" s="6"/>
      <c r="L322" s="6"/>
      <c r="M322" s="6"/>
      <c r="N322" s="6"/>
      <c r="O322" s="6"/>
      <c r="P322" s="6"/>
      <c r="Q322">
        <v>0</v>
      </c>
      <c r="R322">
        <f t="shared" si="20"/>
        <v>0</v>
      </c>
      <c r="S322">
        <f t="shared" si="21"/>
        <v>0</v>
      </c>
      <c r="T322">
        <f t="shared" si="22"/>
        <v>0</v>
      </c>
      <c r="U322">
        <f t="shared" si="23"/>
        <v>0</v>
      </c>
      <c r="V322">
        <f t="shared" si="24"/>
        <v>0</v>
      </c>
    </row>
    <row r="323" spans="1:22" x14ac:dyDescent="0.25">
      <c r="A323">
        <v>320</v>
      </c>
      <c r="B323" t="s">
        <v>5</v>
      </c>
      <c r="C323" t="s">
        <v>73</v>
      </c>
      <c r="D323" s="4">
        <v>45745</v>
      </c>
      <c r="E323" t="s">
        <v>191</v>
      </c>
      <c r="F323" t="s">
        <v>75</v>
      </c>
      <c r="I323" s="6">
        <v>1</v>
      </c>
      <c r="J323" s="6">
        <v>0</v>
      </c>
      <c r="K323" s="6">
        <v>0</v>
      </c>
      <c r="L323" s="6">
        <v>0</v>
      </c>
      <c r="M323" s="6">
        <v>1</v>
      </c>
      <c r="N323" s="6">
        <v>1</v>
      </c>
      <c r="O323" s="6">
        <v>0</v>
      </c>
      <c r="P323" s="6">
        <v>0</v>
      </c>
      <c r="Q323">
        <v>1</v>
      </c>
      <c r="R323">
        <f t="shared" ref="R323:R386" si="25">IF(AND(Q323=1,F323="ai_full"),1,0)</f>
        <v>0</v>
      </c>
      <c r="S323">
        <f t="shared" ref="S323:S386" si="26">IF(AND(Q323=1,F323="conventional"),1,0)</f>
        <v>1</v>
      </c>
      <c r="T323">
        <f t="shared" ref="T323:T386" si="27">SUM(I323:P323)</f>
        <v>3</v>
      </c>
      <c r="U323">
        <f t="shared" ref="U323:U386" si="28">IF(T323&gt;=1,1,0)</f>
        <v>1</v>
      </c>
      <c r="V323">
        <f t="shared" ref="V323:V386" si="29">IF(F323="ai_full",1,0)</f>
        <v>0</v>
      </c>
    </row>
    <row r="324" spans="1:22" x14ac:dyDescent="0.25">
      <c r="A324">
        <v>321</v>
      </c>
      <c r="B324" t="s">
        <v>5</v>
      </c>
      <c r="C324" t="s">
        <v>73</v>
      </c>
      <c r="D324" s="4">
        <v>45746</v>
      </c>
      <c r="E324" t="s">
        <v>192</v>
      </c>
      <c r="F324" t="s">
        <v>75</v>
      </c>
      <c r="H324" t="s">
        <v>193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>
        <v>1</v>
      </c>
      <c r="R324">
        <f t="shared" si="25"/>
        <v>0</v>
      </c>
      <c r="S324">
        <f t="shared" si="26"/>
        <v>1</v>
      </c>
      <c r="T324">
        <f t="shared" si="27"/>
        <v>0</v>
      </c>
      <c r="U324">
        <f t="shared" si="28"/>
        <v>0</v>
      </c>
      <c r="V324">
        <f t="shared" si="29"/>
        <v>0</v>
      </c>
    </row>
    <row r="325" spans="1:22" x14ac:dyDescent="0.25">
      <c r="A325">
        <v>322</v>
      </c>
      <c r="B325" t="s">
        <v>5</v>
      </c>
      <c r="C325" t="s">
        <v>73</v>
      </c>
      <c r="D325" s="4">
        <v>45747</v>
      </c>
      <c r="E325" t="s">
        <v>2867</v>
      </c>
      <c r="F325" t="s">
        <v>75</v>
      </c>
      <c r="I325" s="6"/>
      <c r="J325" s="6"/>
      <c r="K325" s="6"/>
      <c r="L325" s="6"/>
      <c r="M325" s="6"/>
      <c r="N325" s="6"/>
      <c r="O325" s="6"/>
      <c r="P325" s="6"/>
      <c r="Q325">
        <v>0</v>
      </c>
      <c r="R325">
        <f t="shared" si="25"/>
        <v>0</v>
      </c>
      <c r="S325">
        <f t="shared" si="26"/>
        <v>0</v>
      </c>
      <c r="T325">
        <f t="shared" si="27"/>
        <v>0</v>
      </c>
      <c r="U325">
        <f t="shared" si="28"/>
        <v>0</v>
      </c>
      <c r="V325">
        <f t="shared" si="29"/>
        <v>0</v>
      </c>
    </row>
    <row r="326" spans="1:22" x14ac:dyDescent="0.25">
      <c r="A326">
        <v>323</v>
      </c>
      <c r="B326" t="s">
        <v>5</v>
      </c>
      <c r="C326" t="s">
        <v>73</v>
      </c>
      <c r="D326" s="4">
        <v>45747</v>
      </c>
      <c r="E326" t="s">
        <v>2866</v>
      </c>
      <c r="F326" t="s">
        <v>75</v>
      </c>
      <c r="I326" s="6"/>
      <c r="J326" s="6"/>
      <c r="K326" s="6"/>
      <c r="L326" s="6"/>
      <c r="M326" s="6"/>
      <c r="N326" s="6"/>
      <c r="O326" s="6"/>
      <c r="P326" s="6"/>
      <c r="Q326">
        <v>0</v>
      </c>
      <c r="R326">
        <f t="shared" si="25"/>
        <v>0</v>
      </c>
      <c r="S326">
        <f t="shared" si="26"/>
        <v>0</v>
      </c>
      <c r="T326">
        <f t="shared" si="27"/>
        <v>0</v>
      </c>
      <c r="U326">
        <f t="shared" si="28"/>
        <v>0</v>
      </c>
      <c r="V326">
        <f t="shared" si="29"/>
        <v>0</v>
      </c>
    </row>
    <row r="327" spans="1:22" x14ac:dyDescent="0.25">
      <c r="A327">
        <v>324</v>
      </c>
      <c r="B327" t="s">
        <v>5</v>
      </c>
      <c r="C327" t="s">
        <v>73</v>
      </c>
      <c r="D327" s="4">
        <v>45748</v>
      </c>
      <c r="E327" t="s">
        <v>2865</v>
      </c>
      <c r="F327" t="s">
        <v>75</v>
      </c>
      <c r="I327" s="6"/>
      <c r="J327" s="6"/>
      <c r="K327" s="6"/>
      <c r="L327" s="6"/>
      <c r="M327" s="6"/>
      <c r="N327" s="6"/>
      <c r="O327" s="6"/>
      <c r="P327" s="6"/>
      <c r="Q327">
        <v>0</v>
      </c>
      <c r="R327">
        <f t="shared" si="25"/>
        <v>0</v>
      </c>
      <c r="S327">
        <f t="shared" si="26"/>
        <v>0</v>
      </c>
      <c r="T327">
        <f t="shared" si="27"/>
        <v>0</v>
      </c>
      <c r="U327">
        <f t="shared" si="28"/>
        <v>0</v>
      </c>
      <c r="V327">
        <f t="shared" si="29"/>
        <v>0</v>
      </c>
    </row>
    <row r="328" spans="1:22" x14ac:dyDescent="0.25">
      <c r="A328">
        <v>325</v>
      </c>
      <c r="B328" t="s">
        <v>5</v>
      </c>
      <c r="C328" t="s">
        <v>73</v>
      </c>
      <c r="D328" s="4">
        <v>45748</v>
      </c>
      <c r="E328" t="s">
        <v>2864</v>
      </c>
      <c r="F328" t="s">
        <v>75</v>
      </c>
      <c r="I328" s="6"/>
      <c r="J328" s="6"/>
      <c r="K328" s="6"/>
      <c r="L328" s="6"/>
      <c r="M328" s="6"/>
      <c r="N328" s="6"/>
      <c r="O328" s="6"/>
      <c r="P328" s="6"/>
      <c r="Q328">
        <v>0</v>
      </c>
      <c r="R328">
        <f t="shared" si="25"/>
        <v>0</v>
      </c>
      <c r="S328">
        <f t="shared" si="26"/>
        <v>0</v>
      </c>
      <c r="T328">
        <f t="shared" si="27"/>
        <v>0</v>
      </c>
      <c r="U328">
        <f t="shared" si="28"/>
        <v>0</v>
      </c>
      <c r="V328">
        <f t="shared" si="29"/>
        <v>0</v>
      </c>
    </row>
    <row r="329" spans="1:22" x14ac:dyDescent="0.25">
      <c r="A329">
        <v>326</v>
      </c>
      <c r="B329" t="s">
        <v>5</v>
      </c>
      <c r="C329" t="s">
        <v>73</v>
      </c>
      <c r="D329" s="4">
        <v>45748</v>
      </c>
      <c r="E329" t="s">
        <v>2863</v>
      </c>
      <c r="F329" t="s">
        <v>75</v>
      </c>
      <c r="I329" s="6"/>
      <c r="J329" s="6"/>
      <c r="K329" s="6"/>
      <c r="L329" s="6"/>
      <c r="M329" s="6"/>
      <c r="N329" s="6"/>
      <c r="O329" s="6"/>
      <c r="P329" s="6"/>
      <c r="Q329">
        <v>0</v>
      </c>
      <c r="R329">
        <f t="shared" si="25"/>
        <v>0</v>
      </c>
      <c r="S329">
        <f t="shared" si="26"/>
        <v>0</v>
      </c>
      <c r="T329">
        <f t="shared" si="27"/>
        <v>0</v>
      </c>
      <c r="U329">
        <f t="shared" si="28"/>
        <v>0</v>
      </c>
      <c r="V329">
        <f t="shared" si="29"/>
        <v>0</v>
      </c>
    </row>
    <row r="330" spans="1:22" x14ac:dyDescent="0.25">
      <c r="A330">
        <v>327</v>
      </c>
      <c r="B330" t="s">
        <v>5</v>
      </c>
      <c r="C330" t="s">
        <v>73</v>
      </c>
      <c r="D330" s="4">
        <v>45748</v>
      </c>
      <c r="E330" t="s">
        <v>2862</v>
      </c>
      <c r="F330" t="s">
        <v>75</v>
      </c>
      <c r="I330" s="6">
        <v>0</v>
      </c>
      <c r="J330" s="6">
        <v>0</v>
      </c>
      <c r="K330" s="6">
        <v>0</v>
      </c>
      <c r="L330" s="6">
        <v>0</v>
      </c>
      <c r="M330" s="6">
        <v>1</v>
      </c>
      <c r="N330" s="6">
        <v>1</v>
      </c>
      <c r="O330" s="6">
        <v>0</v>
      </c>
      <c r="P330" s="6">
        <v>0</v>
      </c>
      <c r="Q330">
        <v>1</v>
      </c>
      <c r="R330">
        <f t="shared" si="25"/>
        <v>0</v>
      </c>
      <c r="S330">
        <f t="shared" si="26"/>
        <v>1</v>
      </c>
      <c r="T330">
        <f t="shared" si="27"/>
        <v>2</v>
      </c>
      <c r="U330">
        <f t="shared" si="28"/>
        <v>1</v>
      </c>
      <c r="V330">
        <f t="shared" si="29"/>
        <v>0</v>
      </c>
    </row>
    <row r="331" spans="1:22" x14ac:dyDescent="0.25">
      <c r="A331">
        <v>328</v>
      </c>
      <c r="B331" t="s">
        <v>5</v>
      </c>
      <c r="C331" t="s">
        <v>73</v>
      </c>
      <c r="D331" s="4">
        <v>45748</v>
      </c>
      <c r="E331" t="s">
        <v>2861</v>
      </c>
      <c r="F331" t="s">
        <v>75</v>
      </c>
      <c r="I331" s="6"/>
      <c r="J331" s="6"/>
      <c r="K331" s="6"/>
      <c r="L331" s="6"/>
      <c r="M331" s="6"/>
      <c r="N331" s="6"/>
      <c r="O331" s="6"/>
      <c r="P331" s="6"/>
      <c r="Q331">
        <v>0</v>
      </c>
      <c r="R331">
        <f t="shared" si="25"/>
        <v>0</v>
      </c>
      <c r="S331">
        <f t="shared" si="26"/>
        <v>0</v>
      </c>
      <c r="T331">
        <f t="shared" si="27"/>
        <v>0</v>
      </c>
      <c r="U331">
        <f t="shared" si="28"/>
        <v>0</v>
      </c>
      <c r="V331">
        <f t="shared" si="29"/>
        <v>0</v>
      </c>
    </row>
    <row r="332" spans="1:22" x14ac:dyDescent="0.25">
      <c r="A332">
        <v>329</v>
      </c>
      <c r="B332" t="s">
        <v>5</v>
      </c>
      <c r="C332" t="s">
        <v>73</v>
      </c>
      <c r="D332" s="4">
        <v>45749</v>
      </c>
      <c r="E332" t="s">
        <v>194</v>
      </c>
      <c r="F332" t="s">
        <v>75</v>
      </c>
      <c r="I332" s="6">
        <v>0</v>
      </c>
      <c r="J332" s="6">
        <v>0</v>
      </c>
      <c r="K332" s="6">
        <v>0</v>
      </c>
      <c r="L332" s="6">
        <v>0</v>
      </c>
      <c r="M332" s="6">
        <v>1</v>
      </c>
      <c r="N332" s="6">
        <v>0</v>
      </c>
      <c r="O332" s="6">
        <v>0</v>
      </c>
      <c r="P332" s="6">
        <v>0</v>
      </c>
      <c r="Q332">
        <v>1</v>
      </c>
      <c r="R332">
        <f t="shared" si="25"/>
        <v>0</v>
      </c>
      <c r="S332">
        <f t="shared" si="26"/>
        <v>1</v>
      </c>
      <c r="T332">
        <f t="shared" si="27"/>
        <v>1</v>
      </c>
      <c r="U332">
        <f t="shared" si="28"/>
        <v>1</v>
      </c>
      <c r="V332">
        <f t="shared" si="29"/>
        <v>0</v>
      </c>
    </row>
    <row r="333" spans="1:22" x14ac:dyDescent="0.25">
      <c r="A333">
        <v>330</v>
      </c>
      <c r="B333" t="s">
        <v>5</v>
      </c>
      <c r="C333" t="s">
        <v>73</v>
      </c>
      <c r="D333" s="4">
        <v>45749</v>
      </c>
      <c r="E333" t="s">
        <v>2860</v>
      </c>
      <c r="F333" t="s">
        <v>75</v>
      </c>
      <c r="I333" s="6">
        <v>0</v>
      </c>
      <c r="J333" s="6">
        <v>0</v>
      </c>
      <c r="K333" s="6">
        <v>0</v>
      </c>
      <c r="L333" s="6">
        <v>1</v>
      </c>
      <c r="M333" s="6">
        <v>1</v>
      </c>
      <c r="N333" s="6">
        <v>1</v>
      </c>
      <c r="O333" s="6">
        <v>0</v>
      </c>
      <c r="P333" s="6">
        <v>0</v>
      </c>
      <c r="Q333">
        <v>1</v>
      </c>
      <c r="R333">
        <f t="shared" si="25"/>
        <v>0</v>
      </c>
      <c r="S333">
        <f t="shared" si="26"/>
        <v>1</v>
      </c>
      <c r="T333">
        <f t="shared" si="27"/>
        <v>3</v>
      </c>
      <c r="U333">
        <f t="shared" si="28"/>
        <v>1</v>
      </c>
      <c r="V333">
        <f t="shared" si="29"/>
        <v>0</v>
      </c>
    </row>
    <row r="334" spans="1:22" x14ac:dyDescent="0.25">
      <c r="A334">
        <v>331</v>
      </c>
      <c r="B334" t="s">
        <v>5</v>
      </c>
      <c r="C334" t="s">
        <v>73</v>
      </c>
      <c r="D334" s="4">
        <v>45749</v>
      </c>
      <c r="E334" t="s">
        <v>2859</v>
      </c>
      <c r="F334" t="s">
        <v>75</v>
      </c>
      <c r="I334" s="6">
        <v>0</v>
      </c>
      <c r="J334" s="6">
        <v>0</v>
      </c>
      <c r="K334" s="6">
        <v>0</v>
      </c>
      <c r="L334" s="6">
        <v>0</v>
      </c>
      <c r="M334" s="6">
        <v>1</v>
      </c>
      <c r="N334" s="6">
        <v>1</v>
      </c>
      <c r="O334" s="6">
        <v>0</v>
      </c>
      <c r="P334" s="6">
        <v>0</v>
      </c>
      <c r="Q334">
        <v>1</v>
      </c>
      <c r="R334">
        <f t="shared" si="25"/>
        <v>0</v>
      </c>
      <c r="S334">
        <f t="shared" si="26"/>
        <v>1</v>
      </c>
      <c r="T334">
        <f t="shared" si="27"/>
        <v>2</v>
      </c>
      <c r="U334">
        <f t="shared" si="28"/>
        <v>1</v>
      </c>
      <c r="V334">
        <f t="shared" si="29"/>
        <v>0</v>
      </c>
    </row>
    <row r="335" spans="1:22" x14ac:dyDescent="0.25">
      <c r="A335">
        <v>332</v>
      </c>
      <c r="B335" t="s">
        <v>5</v>
      </c>
      <c r="C335" t="s">
        <v>73</v>
      </c>
      <c r="D335" s="4">
        <v>45749</v>
      </c>
      <c r="E335" t="s">
        <v>2858</v>
      </c>
      <c r="F335" t="s">
        <v>75</v>
      </c>
      <c r="I335" s="6"/>
      <c r="J335" s="6"/>
      <c r="K335" s="6"/>
      <c r="L335" s="6"/>
      <c r="M335" s="6"/>
      <c r="N335" s="6"/>
      <c r="O335" s="6"/>
      <c r="P335" s="6"/>
      <c r="Q335">
        <v>0</v>
      </c>
      <c r="R335">
        <f t="shared" si="25"/>
        <v>0</v>
      </c>
      <c r="S335">
        <f t="shared" si="26"/>
        <v>0</v>
      </c>
      <c r="T335">
        <f t="shared" si="27"/>
        <v>0</v>
      </c>
      <c r="U335">
        <f t="shared" si="28"/>
        <v>0</v>
      </c>
      <c r="V335">
        <f t="shared" si="29"/>
        <v>0</v>
      </c>
    </row>
    <row r="336" spans="1:22" x14ac:dyDescent="0.25">
      <c r="A336">
        <v>333</v>
      </c>
      <c r="B336" t="s">
        <v>5</v>
      </c>
      <c r="C336" t="s">
        <v>73</v>
      </c>
      <c r="D336" s="4">
        <v>45749</v>
      </c>
      <c r="E336" t="s">
        <v>2857</v>
      </c>
      <c r="F336" t="s">
        <v>75</v>
      </c>
      <c r="I336" s="6"/>
      <c r="J336" s="6"/>
      <c r="K336" s="6"/>
      <c r="L336" s="6"/>
      <c r="M336" s="6"/>
      <c r="N336" s="6"/>
      <c r="O336" s="6"/>
      <c r="P336" s="6"/>
      <c r="Q336">
        <v>0</v>
      </c>
      <c r="R336">
        <f t="shared" si="25"/>
        <v>0</v>
      </c>
      <c r="S336">
        <f t="shared" si="26"/>
        <v>0</v>
      </c>
      <c r="T336">
        <f t="shared" si="27"/>
        <v>0</v>
      </c>
      <c r="U336">
        <f t="shared" si="28"/>
        <v>0</v>
      </c>
      <c r="V336">
        <f t="shared" si="29"/>
        <v>0</v>
      </c>
    </row>
    <row r="337" spans="1:22" x14ac:dyDescent="0.25">
      <c r="A337">
        <v>334</v>
      </c>
      <c r="B337" t="s">
        <v>5</v>
      </c>
      <c r="C337" t="s">
        <v>73</v>
      </c>
      <c r="D337" s="4">
        <v>45750</v>
      </c>
      <c r="E337" t="s">
        <v>2856</v>
      </c>
      <c r="F337" t="s">
        <v>75</v>
      </c>
      <c r="I337" s="6">
        <v>0</v>
      </c>
      <c r="J337" s="6">
        <v>0</v>
      </c>
      <c r="K337" s="6">
        <v>0</v>
      </c>
      <c r="L337" s="6">
        <v>0</v>
      </c>
      <c r="M337" s="6">
        <v>1</v>
      </c>
      <c r="N337" s="6">
        <v>0</v>
      </c>
      <c r="O337" s="6">
        <v>0</v>
      </c>
      <c r="P337" s="6">
        <v>0</v>
      </c>
      <c r="Q337">
        <v>1</v>
      </c>
      <c r="R337">
        <f t="shared" si="25"/>
        <v>0</v>
      </c>
      <c r="S337">
        <f t="shared" si="26"/>
        <v>1</v>
      </c>
      <c r="T337">
        <f t="shared" si="27"/>
        <v>1</v>
      </c>
      <c r="U337">
        <f t="shared" si="28"/>
        <v>1</v>
      </c>
      <c r="V337">
        <f t="shared" si="29"/>
        <v>0</v>
      </c>
    </row>
    <row r="338" spans="1:22" x14ac:dyDescent="0.25">
      <c r="A338">
        <v>335</v>
      </c>
      <c r="B338" t="s">
        <v>5</v>
      </c>
      <c r="C338" t="s">
        <v>73</v>
      </c>
      <c r="D338" s="4">
        <v>45750</v>
      </c>
      <c r="E338" t="s">
        <v>195</v>
      </c>
      <c r="F338" t="s">
        <v>75</v>
      </c>
      <c r="I338" s="6">
        <v>1</v>
      </c>
      <c r="J338" s="6">
        <v>0</v>
      </c>
      <c r="K338" s="6">
        <v>1</v>
      </c>
      <c r="L338" s="6">
        <v>0</v>
      </c>
      <c r="M338" s="6">
        <v>1</v>
      </c>
      <c r="N338" s="6">
        <v>0</v>
      </c>
      <c r="O338" s="6">
        <v>0</v>
      </c>
      <c r="P338" s="6">
        <v>1</v>
      </c>
      <c r="Q338">
        <v>1</v>
      </c>
      <c r="R338">
        <f t="shared" si="25"/>
        <v>0</v>
      </c>
      <c r="S338">
        <f t="shared" si="26"/>
        <v>1</v>
      </c>
      <c r="T338">
        <f t="shared" si="27"/>
        <v>4</v>
      </c>
      <c r="U338">
        <f t="shared" si="28"/>
        <v>1</v>
      </c>
      <c r="V338">
        <f t="shared" si="29"/>
        <v>0</v>
      </c>
    </row>
    <row r="339" spans="1:22" x14ac:dyDescent="0.25">
      <c r="A339">
        <v>336</v>
      </c>
      <c r="B339" t="s">
        <v>5</v>
      </c>
      <c r="C339" t="s">
        <v>73</v>
      </c>
      <c r="D339" s="4">
        <v>45750</v>
      </c>
      <c r="E339" t="s">
        <v>196</v>
      </c>
      <c r="F339" t="s">
        <v>75</v>
      </c>
      <c r="I339" s="6">
        <v>0</v>
      </c>
      <c r="J339" s="6">
        <v>0</v>
      </c>
      <c r="K339" s="6">
        <v>0</v>
      </c>
      <c r="L339" s="6">
        <v>0</v>
      </c>
      <c r="M339" s="6">
        <v>1</v>
      </c>
      <c r="N339" s="6">
        <v>0</v>
      </c>
      <c r="O339" s="6">
        <v>0</v>
      </c>
      <c r="P339" s="6">
        <v>0</v>
      </c>
      <c r="Q339">
        <v>1</v>
      </c>
      <c r="R339">
        <f t="shared" si="25"/>
        <v>0</v>
      </c>
      <c r="S339">
        <f t="shared" si="26"/>
        <v>1</v>
      </c>
      <c r="T339">
        <f t="shared" si="27"/>
        <v>1</v>
      </c>
      <c r="U339">
        <f t="shared" si="28"/>
        <v>1</v>
      </c>
      <c r="V339">
        <f t="shared" si="29"/>
        <v>0</v>
      </c>
    </row>
    <row r="340" spans="1:22" x14ac:dyDescent="0.25">
      <c r="A340">
        <v>337</v>
      </c>
      <c r="B340" t="s">
        <v>5</v>
      </c>
      <c r="C340" t="s">
        <v>73</v>
      </c>
      <c r="D340" s="4">
        <v>45750</v>
      </c>
      <c r="E340" t="s">
        <v>2855</v>
      </c>
      <c r="F340" t="s">
        <v>75</v>
      </c>
      <c r="I340" s="6"/>
      <c r="J340" s="6"/>
      <c r="K340" s="6"/>
      <c r="L340" s="6"/>
      <c r="M340" s="6"/>
      <c r="N340" s="6"/>
      <c r="O340" s="6"/>
      <c r="P340" s="6"/>
      <c r="Q340">
        <v>0</v>
      </c>
      <c r="R340">
        <f t="shared" si="25"/>
        <v>0</v>
      </c>
      <c r="S340">
        <f t="shared" si="26"/>
        <v>0</v>
      </c>
      <c r="T340">
        <f t="shared" si="27"/>
        <v>0</v>
      </c>
      <c r="U340">
        <f t="shared" si="28"/>
        <v>0</v>
      </c>
      <c r="V340">
        <f t="shared" si="29"/>
        <v>0</v>
      </c>
    </row>
    <row r="341" spans="1:22" x14ac:dyDescent="0.25">
      <c r="A341">
        <v>338</v>
      </c>
      <c r="B341" t="s">
        <v>5</v>
      </c>
      <c r="C341" t="s">
        <v>73</v>
      </c>
      <c r="D341" s="4">
        <v>45750</v>
      </c>
      <c r="E341" t="s">
        <v>2854</v>
      </c>
      <c r="F341" t="s">
        <v>75</v>
      </c>
      <c r="I341" s="6"/>
      <c r="J341" s="6"/>
      <c r="K341" s="6"/>
      <c r="L341" s="6"/>
      <c r="M341" s="6"/>
      <c r="N341" s="6"/>
      <c r="O341" s="6"/>
      <c r="P341" s="6"/>
      <c r="Q341">
        <v>0</v>
      </c>
      <c r="R341">
        <f t="shared" si="25"/>
        <v>0</v>
      </c>
      <c r="S341">
        <f t="shared" si="26"/>
        <v>0</v>
      </c>
      <c r="T341">
        <f t="shared" si="27"/>
        <v>0</v>
      </c>
      <c r="U341">
        <f t="shared" si="28"/>
        <v>0</v>
      </c>
      <c r="V341">
        <f t="shared" si="29"/>
        <v>0</v>
      </c>
    </row>
    <row r="342" spans="1:22" x14ac:dyDescent="0.25">
      <c r="A342">
        <v>339</v>
      </c>
      <c r="B342" t="s">
        <v>5</v>
      </c>
      <c r="C342" t="s">
        <v>73</v>
      </c>
      <c r="D342" s="4">
        <v>45750</v>
      </c>
      <c r="E342" t="s">
        <v>2853</v>
      </c>
      <c r="F342" t="s">
        <v>75</v>
      </c>
      <c r="I342" s="6">
        <v>0</v>
      </c>
      <c r="J342" s="6">
        <v>0</v>
      </c>
      <c r="K342" s="6">
        <v>0</v>
      </c>
      <c r="L342" s="6">
        <v>0</v>
      </c>
      <c r="M342" s="6">
        <v>1</v>
      </c>
      <c r="N342" s="6">
        <v>0</v>
      </c>
      <c r="O342" s="6">
        <v>0</v>
      </c>
      <c r="P342" s="6">
        <v>0</v>
      </c>
      <c r="Q342">
        <v>1</v>
      </c>
      <c r="R342">
        <f t="shared" si="25"/>
        <v>0</v>
      </c>
      <c r="S342">
        <f t="shared" si="26"/>
        <v>1</v>
      </c>
      <c r="T342">
        <f t="shared" si="27"/>
        <v>1</v>
      </c>
      <c r="U342">
        <f t="shared" si="28"/>
        <v>1</v>
      </c>
      <c r="V342">
        <f t="shared" si="29"/>
        <v>0</v>
      </c>
    </row>
    <row r="343" spans="1:22" x14ac:dyDescent="0.25">
      <c r="A343">
        <v>340</v>
      </c>
      <c r="B343" t="s">
        <v>5</v>
      </c>
      <c r="C343" t="s">
        <v>73</v>
      </c>
      <c r="D343" s="4">
        <v>45750</v>
      </c>
      <c r="E343" t="s">
        <v>2852</v>
      </c>
      <c r="F343" t="s">
        <v>75</v>
      </c>
      <c r="I343" s="6">
        <v>0</v>
      </c>
      <c r="J343" s="6">
        <v>0</v>
      </c>
      <c r="K343" s="6">
        <v>0</v>
      </c>
      <c r="L343" s="6">
        <v>0</v>
      </c>
      <c r="M343" s="6">
        <v>1</v>
      </c>
      <c r="N343" s="6">
        <v>0</v>
      </c>
      <c r="O343" s="6">
        <v>0</v>
      </c>
      <c r="P343" s="6">
        <v>0</v>
      </c>
      <c r="Q343">
        <v>1</v>
      </c>
      <c r="R343">
        <f t="shared" si="25"/>
        <v>0</v>
      </c>
      <c r="S343">
        <f t="shared" si="26"/>
        <v>1</v>
      </c>
      <c r="T343">
        <f t="shared" si="27"/>
        <v>1</v>
      </c>
      <c r="U343">
        <f t="shared" si="28"/>
        <v>1</v>
      </c>
      <c r="V343">
        <f t="shared" si="29"/>
        <v>0</v>
      </c>
    </row>
    <row r="344" spans="1:22" x14ac:dyDescent="0.25">
      <c r="A344">
        <v>341</v>
      </c>
      <c r="B344" t="s">
        <v>5</v>
      </c>
      <c r="C344" t="s">
        <v>73</v>
      </c>
      <c r="D344" s="4">
        <v>45750</v>
      </c>
      <c r="E344" t="s">
        <v>197</v>
      </c>
      <c r="F344" t="s">
        <v>75</v>
      </c>
      <c r="H344" t="s">
        <v>198</v>
      </c>
      <c r="I344" s="6">
        <v>0</v>
      </c>
      <c r="J344" s="6">
        <v>0</v>
      </c>
      <c r="K344" s="6">
        <v>0</v>
      </c>
      <c r="L344" s="6">
        <v>0</v>
      </c>
      <c r="M344" s="6">
        <v>1</v>
      </c>
      <c r="N344" s="6">
        <v>0</v>
      </c>
      <c r="O344" s="6">
        <v>0</v>
      </c>
      <c r="P344" s="6">
        <v>0</v>
      </c>
      <c r="Q344">
        <v>1</v>
      </c>
      <c r="R344">
        <f t="shared" si="25"/>
        <v>0</v>
      </c>
      <c r="S344">
        <f t="shared" si="26"/>
        <v>1</v>
      </c>
      <c r="T344">
        <f t="shared" si="27"/>
        <v>1</v>
      </c>
      <c r="U344">
        <f t="shared" si="28"/>
        <v>1</v>
      </c>
      <c r="V344">
        <f t="shared" si="29"/>
        <v>0</v>
      </c>
    </row>
    <row r="345" spans="1:22" x14ac:dyDescent="0.25">
      <c r="A345">
        <v>342</v>
      </c>
      <c r="B345" t="s">
        <v>5</v>
      </c>
      <c r="C345" t="s">
        <v>73</v>
      </c>
      <c r="D345" s="4">
        <v>45751</v>
      </c>
      <c r="E345" t="s">
        <v>2851</v>
      </c>
      <c r="F345" t="s">
        <v>75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>
        <v>1</v>
      </c>
      <c r="R345">
        <f t="shared" si="25"/>
        <v>0</v>
      </c>
      <c r="S345">
        <f t="shared" si="26"/>
        <v>1</v>
      </c>
      <c r="T345">
        <f t="shared" si="27"/>
        <v>0</v>
      </c>
      <c r="U345">
        <f t="shared" si="28"/>
        <v>0</v>
      </c>
      <c r="V345">
        <f t="shared" si="29"/>
        <v>0</v>
      </c>
    </row>
    <row r="346" spans="1:22" x14ac:dyDescent="0.25">
      <c r="A346">
        <v>343</v>
      </c>
      <c r="B346" t="s">
        <v>5</v>
      </c>
      <c r="C346" t="s">
        <v>73</v>
      </c>
      <c r="D346" s="4">
        <v>45751</v>
      </c>
      <c r="E346" t="s">
        <v>199</v>
      </c>
      <c r="F346" t="s">
        <v>75</v>
      </c>
      <c r="H346" t="s">
        <v>200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>
        <v>1</v>
      </c>
      <c r="R346">
        <f t="shared" si="25"/>
        <v>0</v>
      </c>
      <c r="S346">
        <f t="shared" si="26"/>
        <v>1</v>
      </c>
      <c r="T346">
        <f t="shared" si="27"/>
        <v>0</v>
      </c>
      <c r="U346">
        <f t="shared" si="28"/>
        <v>0</v>
      </c>
      <c r="V346">
        <f t="shared" si="29"/>
        <v>0</v>
      </c>
    </row>
    <row r="347" spans="1:22" x14ac:dyDescent="0.25">
      <c r="A347">
        <v>344</v>
      </c>
      <c r="B347" t="s">
        <v>5</v>
      </c>
      <c r="C347" t="s">
        <v>73</v>
      </c>
      <c r="D347" s="4">
        <v>45751</v>
      </c>
      <c r="E347" t="s">
        <v>201</v>
      </c>
      <c r="F347" t="s">
        <v>75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1</v>
      </c>
      <c r="O347" s="6">
        <v>0</v>
      </c>
      <c r="P347" s="6">
        <v>0</v>
      </c>
      <c r="Q347">
        <v>1</v>
      </c>
      <c r="R347">
        <f t="shared" si="25"/>
        <v>0</v>
      </c>
      <c r="S347">
        <f t="shared" si="26"/>
        <v>1</v>
      </c>
      <c r="T347">
        <f t="shared" si="27"/>
        <v>1</v>
      </c>
      <c r="U347">
        <f t="shared" si="28"/>
        <v>1</v>
      </c>
      <c r="V347">
        <f t="shared" si="29"/>
        <v>0</v>
      </c>
    </row>
    <row r="348" spans="1:22" x14ac:dyDescent="0.25">
      <c r="A348">
        <v>345</v>
      </c>
      <c r="B348" t="s">
        <v>5</v>
      </c>
      <c r="C348" t="s">
        <v>73</v>
      </c>
      <c r="D348" s="4">
        <v>45751</v>
      </c>
      <c r="E348" t="s">
        <v>2850</v>
      </c>
      <c r="F348" t="s">
        <v>75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0</v>
      </c>
      <c r="O348" s="6">
        <v>0</v>
      </c>
      <c r="P348" s="6">
        <v>0</v>
      </c>
      <c r="Q348">
        <v>1</v>
      </c>
      <c r="R348">
        <f t="shared" si="25"/>
        <v>0</v>
      </c>
      <c r="S348">
        <f t="shared" si="26"/>
        <v>1</v>
      </c>
      <c r="T348">
        <f t="shared" si="27"/>
        <v>1</v>
      </c>
      <c r="U348">
        <f t="shared" si="28"/>
        <v>1</v>
      </c>
      <c r="V348">
        <f t="shared" si="29"/>
        <v>0</v>
      </c>
    </row>
    <row r="349" spans="1:22" x14ac:dyDescent="0.25">
      <c r="A349">
        <v>346</v>
      </c>
      <c r="B349" t="s">
        <v>5</v>
      </c>
      <c r="C349" t="s">
        <v>73</v>
      </c>
      <c r="D349" s="4">
        <v>45751</v>
      </c>
      <c r="E349" t="s">
        <v>2849</v>
      </c>
      <c r="F349" t="s">
        <v>75</v>
      </c>
      <c r="I349" s="6"/>
      <c r="J349" s="6"/>
      <c r="K349" s="6"/>
      <c r="L349" s="6"/>
      <c r="M349" s="6"/>
      <c r="N349" s="6"/>
      <c r="O349" s="6"/>
      <c r="P349" s="6"/>
      <c r="Q349">
        <v>0</v>
      </c>
      <c r="R349">
        <f t="shared" si="25"/>
        <v>0</v>
      </c>
      <c r="S349">
        <f t="shared" si="26"/>
        <v>0</v>
      </c>
      <c r="T349">
        <f t="shared" si="27"/>
        <v>0</v>
      </c>
      <c r="U349">
        <f t="shared" si="28"/>
        <v>0</v>
      </c>
      <c r="V349">
        <f t="shared" si="29"/>
        <v>0</v>
      </c>
    </row>
    <row r="350" spans="1:22" x14ac:dyDescent="0.25">
      <c r="A350">
        <v>347</v>
      </c>
      <c r="B350" t="s">
        <v>5</v>
      </c>
      <c r="C350" t="s">
        <v>73</v>
      </c>
      <c r="D350" s="4">
        <v>45751</v>
      </c>
      <c r="E350" t="s">
        <v>2848</v>
      </c>
      <c r="F350" t="s">
        <v>75</v>
      </c>
      <c r="I350" s="6">
        <v>0</v>
      </c>
      <c r="J350" s="6">
        <v>0</v>
      </c>
      <c r="K350" s="6">
        <v>0</v>
      </c>
      <c r="L350" s="6">
        <v>0</v>
      </c>
      <c r="M350" s="6">
        <v>1</v>
      </c>
      <c r="N350" s="6">
        <v>0</v>
      </c>
      <c r="O350" s="6">
        <v>0</v>
      </c>
      <c r="P350" s="6">
        <v>0</v>
      </c>
      <c r="Q350">
        <v>1</v>
      </c>
      <c r="R350">
        <f t="shared" si="25"/>
        <v>0</v>
      </c>
      <c r="S350">
        <f t="shared" si="26"/>
        <v>1</v>
      </c>
      <c r="T350">
        <f t="shared" si="27"/>
        <v>1</v>
      </c>
      <c r="U350">
        <f t="shared" si="28"/>
        <v>1</v>
      </c>
      <c r="V350">
        <f t="shared" si="29"/>
        <v>0</v>
      </c>
    </row>
    <row r="351" spans="1:22" x14ac:dyDescent="0.25">
      <c r="A351">
        <v>348</v>
      </c>
      <c r="B351" t="s">
        <v>5</v>
      </c>
      <c r="C351" t="s">
        <v>73</v>
      </c>
      <c r="D351" s="4">
        <v>45751</v>
      </c>
      <c r="E351" t="s">
        <v>2847</v>
      </c>
      <c r="F351" t="s">
        <v>75</v>
      </c>
      <c r="I351" s="6"/>
      <c r="J351" s="6"/>
      <c r="K351" s="6"/>
      <c r="L351" s="6"/>
      <c r="M351" s="6"/>
      <c r="N351" s="6"/>
      <c r="O351" s="6"/>
      <c r="P351" s="6"/>
      <c r="Q351">
        <v>0</v>
      </c>
      <c r="R351">
        <f t="shared" si="25"/>
        <v>0</v>
      </c>
      <c r="S351">
        <f t="shared" si="26"/>
        <v>0</v>
      </c>
      <c r="T351">
        <f t="shared" si="27"/>
        <v>0</v>
      </c>
      <c r="U351">
        <f t="shared" si="28"/>
        <v>0</v>
      </c>
      <c r="V351">
        <f t="shared" si="29"/>
        <v>0</v>
      </c>
    </row>
    <row r="352" spans="1:22" x14ac:dyDescent="0.25">
      <c r="A352">
        <v>349</v>
      </c>
      <c r="B352" t="s">
        <v>5</v>
      </c>
      <c r="C352" t="s">
        <v>73</v>
      </c>
      <c r="D352" s="4">
        <v>45754</v>
      </c>
      <c r="E352" t="s">
        <v>2846</v>
      </c>
      <c r="F352" t="s">
        <v>75</v>
      </c>
      <c r="I352" s="6"/>
      <c r="J352" s="6"/>
      <c r="K352" s="6"/>
      <c r="L352" s="6"/>
      <c r="M352" s="6"/>
      <c r="N352" s="6"/>
      <c r="O352" s="6"/>
      <c r="P352" s="6"/>
      <c r="Q352">
        <v>0</v>
      </c>
      <c r="R352">
        <f t="shared" si="25"/>
        <v>0</v>
      </c>
      <c r="S352">
        <f t="shared" si="26"/>
        <v>0</v>
      </c>
      <c r="T352">
        <f t="shared" si="27"/>
        <v>0</v>
      </c>
      <c r="U352">
        <f t="shared" si="28"/>
        <v>0</v>
      </c>
      <c r="V352">
        <f t="shared" si="29"/>
        <v>0</v>
      </c>
    </row>
    <row r="353" spans="1:22" x14ac:dyDescent="0.25">
      <c r="A353">
        <v>350</v>
      </c>
      <c r="B353" t="s">
        <v>5</v>
      </c>
      <c r="C353" t="s">
        <v>73</v>
      </c>
      <c r="D353" s="4">
        <v>45754</v>
      </c>
      <c r="E353" t="s">
        <v>2845</v>
      </c>
      <c r="F353" t="s">
        <v>75</v>
      </c>
      <c r="I353" s="6"/>
      <c r="J353" s="6"/>
      <c r="K353" s="6"/>
      <c r="L353" s="6"/>
      <c r="M353" s="6"/>
      <c r="N353" s="6"/>
      <c r="O353" s="6"/>
      <c r="P353" s="6"/>
      <c r="Q353">
        <v>0</v>
      </c>
      <c r="R353">
        <f t="shared" si="25"/>
        <v>0</v>
      </c>
      <c r="S353">
        <f t="shared" si="26"/>
        <v>0</v>
      </c>
      <c r="T353">
        <f t="shared" si="27"/>
        <v>0</v>
      </c>
      <c r="U353">
        <f t="shared" si="28"/>
        <v>0</v>
      </c>
      <c r="V353">
        <f t="shared" si="29"/>
        <v>0</v>
      </c>
    </row>
    <row r="354" spans="1:22" x14ac:dyDescent="0.25">
      <c r="A354">
        <v>351</v>
      </c>
      <c r="B354" t="s">
        <v>5</v>
      </c>
      <c r="C354" t="s">
        <v>73</v>
      </c>
      <c r="D354" s="4">
        <v>45754</v>
      </c>
      <c r="E354" t="s">
        <v>2844</v>
      </c>
      <c r="F354" t="s">
        <v>75</v>
      </c>
      <c r="I354" s="6"/>
      <c r="J354" s="6"/>
      <c r="K354" s="6"/>
      <c r="L354" s="6"/>
      <c r="M354" s="6"/>
      <c r="N354" s="6"/>
      <c r="O354" s="6"/>
      <c r="P354" s="6"/>
      <c r="Q354">
        <v>0</v>
      </c>
      <c r="R354">
        <f t="shared" si="25"/>
        <v>0</v>
      </c>
      <c r="S354">
        <f t="shared" si="26"/>
        <v>0</v>
      </c>
      <c r="T354">
        <f t="shared" si="27"/>
        <v>0</v>
      </c>
      <c r="U354">
        <f t="shared" si="28"/>
        <v>0</v>
      </c>
      <c r="V354">
        <f t="shared" si="29"/>
        <v>0</v>
      </c>
    </row>
    <row r="355" spans="1:22" x14ac:dyDescent="0.25">
      <c r="A355">
        <v>352</v>
      </c>
      <c r="B355" t="s">
        <v>5</v>
      </c>
      <c r="C355" t="s">
        <v>73</v>
      </c>
      <c r="D355" s="4">
        <v>45754</v>
      </c>
      <c r="E355" t="s">
        <v>202</v>
      </c>
      <c r="F355" t="s">
        <v>75</v>
      </c>
      <c r="I355" s="6">
        <v>0</v>
      </c>
      <c r="J355" s="6">
        <v>0</v>
      </c>
      <c r="K355" s="6">
        <v>0</v>
      </c>
      <c r="L355" s="6">
        <v>0</v>
      </c>
      <c r="M355" s="6">
        <v>1</v>
      </c>
      <c r="N355" s="6">
        <v>0</v>
      </c>
      <c r="O355" s="6">
        <v>0</v>
      </c>
      <c r="P355" s="6">
        <v>0</v>
      </c>
      <c r="Q355">
        <v>1</v>
      </c>
      <c r="R355">
        <f t="shared" si="25"/>
        <v>0</v>
      </c>
      <c r="S355">
        <f t="shared" si="26"/>
        <v>1</v>
      </c>
      <c r="T355">
        <f t="shared" si="27"/>
        <v>1</v>
      </c>
      <c r="U355">
        <f t="shared" si="28"/>
        <v>1</v>
      </c>
      <c r="V355">
        <f t="shared" si="29"/>
        <v>0</v>
      </c>
    </row>
    <row r="356" spans="1:22" x14ac:dyDescent="0.25">
      <c r="A356">
        <v>353</v>
      </c>
      <c r="B356" t="s">
        <v>5</v>
      </c>
      <c r="C356" t="s">
        <v>73</v>
      </c>
      <c r="D356" s="4">
        <v>45754</v>
      </c>
      <c r="E356" t="s">
        <v>2843</v>
      </c>
      <c r="F356" t="s">
        <v>75</v>
      </c>
      <c r="I356" s="6"/>
      <c r="J356" s="6"/>
      <c r="K356" s="6"/>
      <c r="L356" s="6"/>
      <c r="M356" s="6"/>
      <c r="N356" s="6"/>
      <c r="O356" s="6"/>
      <c r="P356" s="6"/>
      <c r="Q356">
        <v>0</v>
      </c>
      <c r="R356">
        <f t="shared" si="25"/>
        <v>0</v>
      </c>
      <c r="S356">
        <f t="shared" si="26"/>
        <v>0</v>
      </c>
      <c r="T356">
        <f t="shared" si="27"/>
        <v>0</v>
      </c>
      <c r="U356">
        <f t="shared" si="28"/>
        <v>0</v>
      </c>
      <c r="V356">
        <f t="shared" si="29"/>
        <v>0</v>
      </c>
    </row>
    <row r="357" spans="1:22" x14ac:dyDescent="0.25">
      <c r="A357">
        <v>354</v>
      </c>
      <c r="B357" t="s">
        <v>5</v>
      </c>
      <c r="C357" t="s">
        <v>73</v>
      </c>
      <c r="D357" s="4">
        <v>45756</v>
      </c>
      <c r="E357" t="s">
        <v>2842</v>
      </c>
      <c r="F357" t="s">
        <v>75</v>
      </c>
      <c r="I357" s="6"/>
      <c r="J357" s="6"/>
      <c r="K357" s="6"/>
      <c r="L357" s="6"/>
      <c r="M357" s="6"/>
      <c r="N357" s="6"/>
      <c r="O357" s="6"/>
      <c r="P357" s="6"/>
      <c r="Q357">
        <v>0</v>
      </c>
      <c r="R357">
        <f t="shared" si="25"/>
        <v>0</v>
      </c>
      <c r="S357">
        <f t="shared" si="26"/>
        <v>0</v>
      </c>
      <c r="T357">
        <f t="shared" si="27"/>
        <v>0</v>
      </c>
      <c r="U357">
        <f t="shared" si="28"/>
        <v>0</v>
      </c>
      <c r="V357">
        <f t="shared" si="29"/>
        <v>0</v>
      </c>
    </row>
    <row r="358" spans="1:22" x14ac:dyDescent="0.25">
      <c r="A358">
        <v>355</v>
      </c>
      <c r="B358" t="s">
        <v>5</v>
      </c>
      <c r="C358" t="s">
        <v>73</v>
      </c>
      <c r="D358" s="4">
        <v>45756</v>
      </c>
      <c r="E358" t="s">
        <v>2841</v>
      </c>
      <c r="F358" t="s">
        <v>75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>
        <v>1</v>
      </c>
      <c r="R358">
        <f t="shared" si="25"/>
        <v>0</v>
      </c>
      <c r="S358">
        <f t="shared" si="26"/>
        <v>1</v>
      </c>
      <c r="T358">
        <f t="shared" si="27"/>
        <v>0</v>
      </c>
      <c r="U358">
        <f t="shared" si="28"/>
        <v>0</v>
      </c>
      <c r="V358">
        <f t="shared" si="29"/>
        <v>0</v>
      </c>
    </row>
    <row r="359" spans="1:22" x14ac:dyDescent="0.25">
      <c r="A359">
        <v>356</v>
      </c>
      <c r="B359" t="s">
        <v>5</v>
      </c>
      <c r="C359" t="s">
        <v>73</v>
      </c>
      <c r="D359" s="4">
        <v>45756</v>
      </c>
      <c r="E359" t="s">
        <v>2840</v>
      </c>
      <c r="F359" t="s">
        <v>75</v>
      </c>
      <c r="I359" s="6"/>
      <c r="J359" s="6"/>
      <c r="K359" s="6"/>
      <c r="L359" s="6"/>
      <c r="M359" s="6"/>
      <c r="N359" s="6"/>
      <c r="O359" s="6"/>
      <c r="P359" s="6"/>
      <c r="Q359">
        <v>0</v>
      </c>
      <c r="R359">
        <f t="shared" si="25"/>
        <v>0</v>
      </c>
      <c r="S359">
        <f t="shared" si="26"/>
        <v>0</v>
      </c>
      <c r="T359">
        <f t="shared" si="27"/>
        <v>0</v>
      </c>
      <c r="U359">
        <f t="shared" si="28"/>
        <v>0</v>
      </c>
      <c r="V359">
        <f t="shared" si="29"/>
        <v>0</v>
      </c>
    </row>
    <row r="360" spans="1:22" x14ac:dyDescent="0.25">
      <c r="A360">
        <v>357</v>
      </c>
      <c r="B360" t="s">
        <v>5</v>
      </c>
      <c r="C360" t="s">
        <v>73</v>
      </c>
      <c r="D360" s="4">
        <v>45756</v>
      </c>
      <c r="E360" t="s">
        <v>203</v>
      </c>
      <c r="F360" t="s">
        <v>75</v>
      </c>
      <c r="I360" s="6">
        <v>0</v>
      </c>
      <c r="J360" s="6">
        <v>0</v>
      </c>
      <c r="K360" s="6">
        <v>0</v>
      </c>
      <c r="L360" s="6">
        <v>0</v>
      </c>
      <c r="M360" s="6">
        <v>1</v>
      </c>
      <c r="N360" s="6">
        <v>0</v>
      </c>
      <c r="O360" s="6">
        <v>0</v>
      </c>
      <c r="P360" s="6">
        <v>0</v>
      </c>
      <c r="Q360">
        <v>1</v>
      </c>
      <c r="R360">
        <f t="shared" si="25"/>
        <v>0</v>
      </c>
      <c r="S360">
        <f t="shared" si="26"/>
        <v>1</v>
      </c>
      <c r="T360">
        <f t="shared" si="27"/>
        <v>1</v>
      </c>
      <c r="U360">
        <f t="shared" si="28"/>
        <v>1</v>
      </c>
      <c r="V360">
        <f t="shared" si="29"/>
        <v>0</v>
      </c>
    </row>
    <row r="361" spans="1:22" x14ac:dyDescent="0.25">
      <c r="A361">
        <v>358</v>
      </c>
      <c r="B361" t="s">
        <v>5</v>
      </c>
      <c r="C361" t="s">
        <v>73</v>
      </c>
      <c r="D361" s="4">
        <v>45756</v>
      </c>
      <c r="E361" t="s">
        <v>2839</v>
      </c>
      <c r="F361" t="s">
        <v>75</v>
      </c>
      <c r="I361" s="6"/>
      <c r="J361" s="6"/>
      <c r="K361" s="6"/>
      <c r="L361" s="6"/>
      <c r="M361" s="6"/>
      <c r="N361" s="6"/>
      <c r="O361" s="6"/>
      <c r="P361" s="6"/>
      <c r="Q361">
        <v>0</v>
      </c>
      <c r="R361">
        <f t="shared" si="25"/>
        <v>0</v>
      </c>
      <c r="S361">
        <f t="shared" si="26"/>
        <v>0</v>
      </c>
      <c r="T361">
        <f t="shared" si="27"/>
        <v>0</v>
      </c>
      <c r="U361">
        <f t="shared" si="28"/>
        <v>0</v>
      </c>
      <c r="V361">
        <f t="shared" si="29"/>
        <v>0</v>
      </c>
    </row>
    <row r="362" spans="1:22" x14ac:dyDescent="0.25">
      <c r="A362">
        <v>359</v>
      </c>
      <c r="B362" t="s">
        <v>5</v>
      </c>
      <c r="C362" t="s">
        <v>73</v>
      </c>
      <c r="D362" s="4">
        <v>45757</v>
      </c>
      <c r="E362" t="s">
        <v>204</v>
      </c>
      <c r="F362" t="s">
        <v>75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>
        <v>1</v>
      </c>
      <c r="R362">
        <f t="shared" si="25"/>
        <v>0</v>
      </c>
      <c r="S362">
        <f t="shared" si="26"/>
        <v>1</v>
      </c>
      <c r="T362">
        <f t="shared" si="27"/>
        <v>0</v>
      </c>
      <c r="U362">
        <f t="shared" si="28"/>
        <v>0</v>
      </c>
      <c r="V362">
        <f t="shared" si="29"/>
        <v>0</v>
      </c>
    </row>
    <row r="363" spans="1:22" x14ac:dyDescent="0.25">
      <c r="A363">
        <v>360</v>
      </c>
      <c r="B363" t="s">
        <v>5</v>
      </c>
      <c r="C363" t="s">
        <v>73</v>
      </c>
      <c r="D363" s="4">
        <v>45757</v>
      </c>
      <c r="E363" t="s">
        <v>205</v>
      </c>
      <c r="F363" t="s">
        <v>75</v>
      </c>
      <c r="I363" s="6">
        <v>0</v>
      </c>
      <c r="J363" s="6">
        <v>0</v>
      </c>
      <c r="K363" s="6">
        <v>0</v>
      </c>
      <c r="L363" s="6">
        <v>0</v>
      </c>
      <c r="M363" s="6">
        <v>1</v>
      </c>
      <c r="N363" s="6">
        <v>0</v>
      </c>
      <c r="O363" s="6">
        <v>0</v>
      </c>
      <c r="P363" s="6">
        <v>0</v>
      </c>
      <c r="Q363">
        <v>1</v>
      </c>
      <c r="R363">
        <f t="shared" si="25"/>
        <v>0</v>
      </c>
      <c r="S363">
        <f t="shared" si="26"/>
        <v>1</v>
      </c>
      <c r="T363">
        <f t="shared" si="27"/>
        <v>1</v>
      </c>
      <c r="U363">
        <f t="shared" si="28"/>
        <v>1</v>
      </c>
      <c r="V363">
        <f t="shared" si="29"/>
        <v>0</v>
      </c>
    </row>
    <row r="364" spans="1:22" x14ac:dyDescent="0.25">
      <c r="A364">
        <v>361</v>
      </c>
      <c r="B364" t="s">
        <v>5</v>
      </c>
      <c r="C364" t="s">
        <v>73</v>
      </c>
      <c r="D364" s="4">
        <v>45757</v>
      </c>
      <c r="E364" t="s">
        <v>2838</v>
      </c>
      <c r="F364" t="s">
        <v>75</v>
      </c>
      <c r="I364" s="6">
        <v>1</v>
      </c>
      <c r="J364" s="6">
        <v>0</v>
      </c>
      <c r="K364" s="6">
        <v>0</v>
      </c>
      <c r="L364" s="6">
        <v>0</v>
      </c>
      <c r="M364" s="6">
        <v>1</v>
      </c>
      <c r="N364" s="6">
        <v>0</v>
      </c>
      <c r="O364" s="6">
        <v>0</v>
      </c>
      <c r="P364" s="6">
        <v>0</v>
      </c>
      <c r="Q364">
        <v>1</v>
      </c>
      <c r="R364">
        <f t="shared" si="25"/>
        <v>0</v>
      </c>
      <c r="S364">
        <f t="shared" si="26"/>
        <v>1</v>
      </c>
      <c r="T364">
        <f t="shared" si="27"/>
        <v>2</v>
      </c>
      <c r="U364">
        <f t="shared" si="28"/>
        <v>1</v>
      </c>
      <c r="V364">
        <f t="shared" si="29"/>
        <v>0</v>
      </c>
    </row>
    <row r="365" spans="1:22" x14ac:dyDescent="0.25">
      <c r="A365">
        <v>362</v>
      </c>
      <c r="B365" t="s">
        <v>5</v>
      </c>
      <c r="C365" t="s">
        <v>73</v>
      </c>
      <c r="D365" s="4">
        <v>45757</v>
      </c>
      <c r="E365" t="s">
        <v>2837</v>
      </c>
      <c r="F365" t="s">
        <v>75</v>
      </c>
      <c r="I365" s="6"/>
      <c r="J365" s="6"/>
      <c r="K365" s="6"/>
      <c r="L365" s="6"/>
      <c r="M365" s="6"/>
      <c r="N365" s="6"/>
      <c r="O365" s="6"/>
      <c r="P365" s="6"/>
      <c r="Q365">
        <v>0</v>
      </c>
      <c r="R365">
        <f t="shared" si="25"/>
        <v>0</v>
      </c>
      <c r="S365">
        <f t="shared" si="26"/>
        <v>0</v>
      </c>
      <c r="T365">
        <f t="shared" si="27"/>
        <v>0</v>
      </c>
      <c r="U365">
        <f t="shared" si="28"/>
        <v>0</v>
      </c>
      <c r="V365">
        <f t="shared" si="29"/>
        <v>0</v>
      </c>
    </row>
    <row r="366" spans="1:22" x14ac:dyDescent="0.25">
      <c r="A366">
        <v>363</v>
      </c>
      <c r="B366" t="s">
        <v>5</v>
      </c>
      <c r="C366" t="s">
        <v>73</v>
      </c>
      <c r="D366" s="4">
        <v>45758</v>
      </c>
      <c r="E366" t="s">
        <v>2836</v>
      </c>
      <c r="F366" t="s">
        <v>75</v>
      </c>
      <c r="I366" s="6"/>
      <c r="J366" s="6"/>
      <c r="K366" s="6"/>
      <c r="L366" s="6"/>
      <c r="M366" s="6"/>
      <c r="N366" s="6"/>
      <c r="O366" s="6"/>
      <c r="P366" s="6"/>
      <c r="Q366">
        <v>0</v>
      </c>
      <c r="R366">
        <f t="shared" si="25"/>
        <v>0</v>
      </c>
      <c r="S366">
        <f t="shared" si="26"/>
        <v>0</v>
      </c>
      <c r="T366">
        <f t="shared" si="27"/>
        <v>0</v>
      </c>
      <c r="U366">
        <f t="shared" si="28"/>
        <v>0</v>
      </c>
      <c r="V366">
        <f t="shared" si="29"/>
        <v>0</v>
      </c>
    </row>
    <row r="367" spans="1:22" x14ac:dyDescent="0.25">
      <c r="A367">
        <v>364</v>
      </c>
      <c r="B367" t="s">
        <v>5</v>
      </c>
      <c r="C367" t="s">
        <v>73</v>
      </c>
      <c r="D367" s="4">
        <v>45758</v>
      </c>
      <c r="E367" t="s">
        <v>2835</v>
      </c>
      <c r="F367" t="s">
        <v>75</v>
      </c>
      <c r="I367" s="6">
        <v>0</v>
      </c>
      <c r="J367" s="6">
        <v>0</v>
      </c>
      <c r="K367" s="6">
        <v>0</v>
      </c>
      <c r="L367" s="6">
        <v>0</v>
      </c>
      <c r="M367" s="6">
        <v>1</v>
      </c>
      <c r="N367" s="6">
        <v>0</v>
      </c>
      <c r="O367" s="6">
        <v>0</v>
      </c>
      <c r="P367" s="6">
        <v>0</v>
      </c>
      <c r="Q367">
        <v>1</v>
      </c>
      <c r="R367">
        <f t="shared" si="25"/>
        <v>0</v>
      </c>
      <c r="S367">
        <f t="shared" si="26"/>
        <v>1</v>
      </c>
      <c r="T367">
        <f t="shared" si="27"/>
        <v>1</v>
      </c>
      <c r="U367">
        <f t="shared" si="28"/>
        <v>1</v>
      </c>
      <c r="V367">
        <f t="shared" si="29"/>
        <v>0</v>
      </c>
    </row>
    <row r="368" spans="1:22" x14ac:dyDescent="0.25">
      <c r="A368">
        <v>365</v>
      </c>
      <c r="B368" t="s">
        <v>5</v>
      </c>
      <c r="C368" t="s">
        <v>73</v>
      </c>
      <c r="D368" s="4">
        <v>45759</v>
      </c>
      <c r="E368" t="s">
        <v>241</v>
      </c>
      <c r="F368" t="s">
        <v>75</v>
      </c>
      <c r="I368" s="6"/>
      <c r="J368" s="6"/>
      <c r="K368" s="6"/>
      <c r="L368" s="6"/>
      <c r="M368" s="6"/>
      <c r="N368" s="6"/>
      <c r="O368" s="6"/>
      <c r="P368" s="6"/>
      <c r="Q368">
        <v>0</v>
      </c>
      <c r="R368">
        <f t="shared" si="25"/>
        <v>0</v>
      </c>
      <c r="S368">
        <f t="shared" si="26"/>
        <v>0</v>
      </c>
      <c r="T368">
        <f t="shared" si="27"/>
        <v>0</v>
      </c>
      <c r="U368">
        <f t="shared" si="28"/>
        <v>0</v>
      </c>
      <c r="V368">
        <f t="shared" si="29"/>
        <v>0</v>
      </c>
    </row>
    <row r="369" spans="1:22" x14ac:dyDescent="0.25">
      <c r="A369">
        <v>366</v>
      </c>
      <c r="B369" t="s">
        <v>5</v>
      </c>
      <c r="C369" t="s">
        <v>73</v>
      </c>
      <c r="D369" s="4">
        <v>45761</v>
      </c>
      <c r="E369" t="s">
        <v>2834</v>
      </c>
      <c r="F369" t="s">
        <v>75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>
        <v>1</v>
      </c>
      <c r="R369">
        <f t="shared" si="25"/>
        <v>0</v>
      </c>
      <c r="S369">
        <f t="shared" si="26"/>
        <v>1</v>
      </c>
      <c r="T369">
        <f t="shared" si="27"/>
        <v>0</v>
      </c>
      <c r="U369">
        <f t="shared" si="28"/>
        <v>0</v>
      </c>
      <c r="V369">
        <f t="shared" si="29"/>
        <v>0</v>
      </c>
    </row>
    <row r="370" spans="1:22" x14ac:dyDescent="0.25">
      <c r="A370">
        <v>367</v>
      </c>
      <c r="B370" t="s">
        <v>5</v>
      </c>
      <c r="C370" t="s">
        <v>73</v>
      </c>
      <c r="D370" s="4">
        <v>45761</v>
      </c>
      <c r="E370" t="s">
        <v>206</v>
      </c>
      <c r="F370" t="s">
        <v>75</v>
      </c>
      <c r="I370" s="6">
        <v>0</v>
      </c>
      <c r="J370" s="6">
        <v>0</v>
      </c>
      <c r="K370" s="6">
        <v>0</v>
      </c>
      <c r="L370" s="6">
        <v>0</v>
      </c>
      <c r="M370" s="6">
        <v>1</v>
      </c>
      <c r="N370" s="6">
        <v>1</v>
      </c>
      <c r="O370" s="6">
        <v>1</v>
      </c>
      <c r="P370" s="6">
        <v>0</v>
      </c>
      <c r="Q370">
        <v>1</v>
      </c>
      <c r="R370">
        <f t="shared" si="25"/>
        <v>0</v>
      </c>
      <c r="S370">
        <f t="shared" si="26"/>
        <v>1</v>
      </c>
      <c r="T370">
        <f t="shared" si="27"/>
        <v>3</v>
      </c>
      <c r="U370">
        <f t="shared" si="28"/>
        <v>1</v>
      </c>
      <c r="V370">
        <f t="shared" si="29"/>
        <v>0</v>
      </c>
    </row>
    <row r="371" spans="1:22" x14ac:dyDescent="0.25">
      <c r="A371">
        <v>368</v>
      </c>
      <c r="B371" t="s">
        <v>5</v>
      </c>
      <c r="C371" t="s">
        <v>73</v>
      </c>
      <c r="D371" s="4">
        <v>45761</v>
      </c>
      <c r="E371" t="s">
        <v>2833</v>
      </c>
      <c r="F371" t="s">
        <v>75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>
        <v>1</v>
      </c>
      <c r="R371">
        <f t="shared" si="25"/>
        <v>0</v>
      </c>
      <c r="S371">
        <f t="shared" si="26"/>
        <v>1</v>
      </c>
      <c r="T371">
        <f t="shared" si="27"/>
        <v>0</v>
      </c>
      <c r="U371">
        <f t="shared" si="28"/>
        <v>0</v>
      </c>
      <c r="V371">
        <f t="shared" si="29"/>
        <v>0</v>
      </c>
    </row>
    <row r="372" spans="1:22" x14ac:dyDescent="0.25">
      <c r="A372">
        <v>369</v>
      </c>
      <c r="B372" t="s">
        <v>5</v>
      </c>
      <c r="C372" t="s">
        <v>73</v>
      </c>
      <c r="D372" s="4">
        <v>45761</v>
      </c>
      <c r="E372" t="s">
        <v>2832</v>
      </c>
      <c r="F372" t="s">
        <v>75</v>
      </c>
      <c r="I372" s="6"/>
      <c r="J372" s="6"/>
      <c r="K372" s="6"/>
      <c r="L372" s="6"/>
      <c r="M372" s="6"/>
      <c r="N372" s="6"/>
      <c r="O372" s="6"/>
      <c r="P372" s="6"/>
      <c r="Q372">
        <v>0</v>
      </c>
      <c r="R372">
        <f t="shared" si="25"/>
        <v>0</v>
      </c>
      <c r="S372">
        <f t="shared" si="26"/>
        <v>0</v>
      </c>
      <c r="T372">
        <f t="shared" si="27"/>
        <v>0</v>
      </c>
      <c r="U372">
        <f t="shared" si="28"/>
        <v>0</v>
      </c>
      <c r="V372">
        <f t="shared" si="29"/>
        <v>0</v>
      </c>
    </row>
    <row r="373" spans="1:22" x14ac:dyDescent="0.25">
      <c r="A373">
        <v>370</v>
      </c>
      <c r="B373" t="s">
        <v>5</v>
      </c>
      <c r="C373" t="s">
        <v>73</v>
      </c>
      <c r="D373" s="4">
        <v>45762</v>
      </c>
      <c r="E373" t="s">
        <v>2831</v>
      </c>
      <c r="F373" t="s">
        <v>75</v>
      </c>
      <c r="I373" s="6">
        <v>0</v>
      </c>
      <c r="J373" s="6">
        <v>0</v>
      </c>
      <c r="K373" s="6">
        <v>0</v>
      </c>
      <c r="L373" s="6">
        <v>0</v>
      </c>
      <c r="M373" s="6">
        <v>1</v>
      </c>
      <c r="N373" s="6">
        <v>1</v>
      </c>
      <c r="O373" s="6">
        <v>0</v>
      </c>
      <c r="P373" s="6">
        <v>0</v>
      </c>
      <c r="Q373">
        <v>1</v>
      </c>
      <c r="R373">
        <f t="shared" si="25"/>
        <v>0</v>
      </c>
      <c r="S373">
        <f t="shared" si="26"/>
        <v>1</v>
      </c>
      <c r="T373">
        <f t="shared" si="27"/>
        <v>2</v>
      </c>
      <c r="U373">
        <f t="shared" si="28"/>
        <v>1</v>
      </c>
      <c r="V373">
        <f t="shared" si="29"/>
        <v>0</v>
      </c>
    </row>
    <row r="374" spans="1:22" x14ac:dyDescent="0.25">
      <c r="A374">
        <v>371</v>
      </c>
      <c r="B374" t="s">
        <v>5</v>
      </c>
      <c r="C374" t="s">
        <v>73</v>
      </c>
      <c r="D374" s="4">
        <v>45762</v>
      </c>
      <c r="E374" t="s">
        <v>207</v>
      </c>
      <c r="F374" t="s">
        <v>75</v>
      </c>
      <c r="I374" s="6">
        <v>0</v>
      </c>
      <c r="J374" s="6">
        <v>0</v>
      </c>
      <c r="K374" s="6">
        <v>0</v>
      </c>
      <c r="L374" s="6">
        <v>0</v>
      </c>
      <c r="M374" s="6">
        <v>1</v>
      </c>
      <c r="N374" s="6">
        <v>0</v>
      </c>
      <c r="O374" s="6">
        <v>0</v>
      </c>
      <c r="P374" s="6">
        <v>0</v>
      </c>
      <c r="Q374">
        <v>1</v>
      </c>
      <c r="R374">
        <f t="shared" si="25"/>
        <v>0</v>
      </c>
      <c r="S374">
        <f t="shared" si="26"/>
        <v>1</v>
      </c>
      <c r="T374">
        <f t="shared" si="27"/>
        <v>1</v>
      </c>
      <c r="U374">
        <f t="shared" si="28"/>
        <v>1</v>
      </c>
      <c r="V374">
        <f t="shared" si="29"/>
        <v>0</v>
      </c>
    </row>
    <row r="375" spans="1:22" x14ac:dyDescent="0.25">
      <c r="A375">
        <v>372</v>
      </c>
      <c r="B375" t="s">
        <v>5</v>
      </c>
      <c r="C375" t="s">
        <v>73</v>
      </c>
      <c r="D375" s="4">
        <v>45762</v>
      </c>
      <c r="E375" t="s">
        <v>2830</v>
      </c>
      <c r="F375" t="s">
        <v>75</v>
      </c>
      <c r="I375" s="6"/>
      <c r="J375" s="6"/>
      <c r="K375" s="6"/>
      <c r="L375" s="6"/>
      <c r="M375" s="6"/>
      <c r="N375" s="6"/>
      <c r="O375" s="6"/>
      <c r="P375" s="6"/>
      <c r="Q375">
        <v>0</v>
      </c>
      <c r="R375">
        <f t="shared" si="25"/>
        <v>0</v>
      </c>
      <c r="S375">
        <f t="shared" si="26"/>
        <v>0</v>
      </c>
      <c r="T375">
        <f t="shared" si="27"/>
        <v>0</v>
      </c>
      <c r="U375">
        <f t="shared" si="28"/>
        <v>0</v>
      </c>
      <c r="V375">
        <f t="shared" si="29"/>
        <v>0</v>
      </c>
    </row>
    <row r="376" spans="1:22" x14ac:dyDescent="0.25">
      <c r="A376">
        <v>373</v>
      </c>
      <c r="B376" t="s">
        <v>5</v>
      </c>
      <c r="C376" t="s">
        <v>73</v>
      </c>
      <c r="D376" s="4">
        <v>45762</v>
      </c>
      <c r="E376" t="s">
        <v>2829</v>
      </c>
      <c r="F376" t="s">
        <v>75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>
        <v>1</v>
      </c>
      <c r="R376">
        <f t="shared" si="25"/>
        <v>0</v>
      </c>
      <c r="S376">
        <f t="shared" si="26"/>
        <v>1</v>
      </c>
      <c r="T376">
        <f t="shared" si="27"/>
        <v>0</v>
      </c>
      <c r="U376">
        <f t="shared" si="28"/>
        <v>0</v>
      </c>
      <c r="V376">
        <f t="shared" si="29"/>
        <v>0</v>
      </c>
    </row>
    <row r="377" spans="1:22" x14ac:dyDescent="0.25">
      <c r="A377">
        <v>374</v>
      </c>
      <c r="B377" t="s">
        <v>5</v>
      </c>
      <c r="C377" t="s">
        <v>73</v>
      </c>
      <c r="D377" s="4">
        <v>45763</v>
      </c>
      <c r="E377" t="s">
        <v>208</v>
      </c>
      <c r="F377" t="s">
        <v>75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>
        <v>1</v>
      </c>
      <c r="R377">
        <f t="shared" si="25"/>
        <v>0</v>
      </c>
      <c r="S377">
        <f t="shared" si="26"/>
        <v>1</v>
      </c>
      <c r="T377">
        <f t="shared" si="27"/>
        <v>0</v>
      </c>
      <c r="U377">
        <f t="shared" si="28"/>
        <v>0</v>
      </c>
      <c r="V377">
        <f t="shared" si="29"/>
        <v>0</v>
      </c>
    </row>
    <row r="378" spans="1:22" x14ac:dyDescent="0.25">
      <c r="A378">
        <v>375</v>
      </c>
      <c r="B378" t="s">
        <v>5</v>
      </c>
      <c r="C378" t="s">
        <v>73</v>
      </c>
      <c r="D378" s="4">
        <v>45763</v>
      </c>
      <c r="E378" t="s">
        <v>2828</v>
      </c>
      <c r="F378" t="s">
        <v>75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>
        <v>1</v>
      </c>
      <c r="R378">
        <f t="shared" si="25"/>
        <v>0</v>
      </c>
      <c r="S378">
        <f t="shared" si="26"/>
        <v>1</v>
      </c>
      <c r="T378">
        <f t="shared" si="27"/>
        <v>0</v>
      </c>
      <c r="U378">
        <f t="shared" si="28"/>
        <v>0</v>
      </c>
      <c r="V378">
        <f t="shared" si="29"/>
        <v>0</v>
      </c>
    </row>
    <row r="379" spans="1:22" x14ac:dyDescent="0.25">
      <c r="A379">
        <v>376</v>
      </c>
      <c r="B379" t="s">
        <v>5</v>
      </c>
      <c r="C379" t="s">
        <v>73</v>
      </c>
      <c r="D379" s="4">
        <v>45763</v>
      </c>
      <c r="E379" t="s">
        <v>2827</v>
      </c>
      <c r="F379" t="s">
        <v>75</v>
      </c>
      <c r="I379" s="6"/>
      <c r="J379" s="6"/>
      <c r="K379" s="6"/>
      <c r="L379" s="6"/>
      <c r="M379" s="6"/>
      <c r="N379" s="6"/>
      <c r="O379" s="6"/>
      <c r="P379" s="6"/>
      <c r="Q379">
        <v>0</v>
      </c>
      <c r="R379">
        <f t="shared" si="25"/>
        <v>0</v>
      </c>
      <c r="S379">
        <f t="shared" si="26"/>
        <v>0</v>
      </c>
      <c r="T379">
        <f t="shared" si="27"/>
        <v>0</v>
      </c>
      <c r="U379">
        <f t="shared" si="28"/>
        <v>0</v>
      </c>
      <c r="V379">
        <f t="shared" si="29"/>
        <v>0</v>
      </c>
    </row>
    <row r="380" spans="1:22" x14ac:dyDescent="0.25">
      <c r="A380">
        <v>377</v>
      </c>
      <c r="B380" t="s">
        <v>5</v>
      </c>
      <c r="C380" t="s">
        <v>73</v>
      </c>
      <c r="D380" s="4">
        <v>45763</v>
      </c>
      <c r="E380" t="s">
        <v>2826</v>
      </c>
      <c r="F380" t="s">
        <v>75</v>
      </c>
      <c r="I380" s="6"/>
      <c r="J380" s="6"/>
      <c r="K380" s="6"/>
      <c r="L380" s="6"/>
      <c r="M380" s="6"/>
      <c r="N380" s="6"/>
      <c r="O380" s="6"/>
      <c r="P380" s="6"/>
      <c r="Q380">
        <v>0</v>
      </c>
      <c r="R380">
        <f t="shared" si="25"/>
        <v>0</v>
      </c>
      <c r="S380">
        <f t="shared" si="26"/>
        <v>0</v>
      </c>
      <c r="T380">
        <f t="shared" si="27"/>
        <v>0</v>
      </c>
      <c r="U380">
        <f t="shared" si="28"/>
        <v>0</v>
      </c>
      <c r="V380">
        <f t="shared" si="29"/>
        <v>0</v>
      </c>
    </row>
    <row r="381" spans="1:22" x14ac:dyDescent="0.25">
      <c r="A381">
        <v>378</v>
      </c>
      <c r="B381" t="s">
        <v>5</v>
      </c>
      <c r="C381" t="s">
        <v>73</v>
      </c>
      <c r="D381" s="4">
        <v>45763</v>
      </c>
      <c r="E381" t="s">
        <v>209</v>
      </c>
      <c r="F381" t="s">
        <v>75</v>
      </c>
      <c r="I381" s="6">
        <v>1</v>
      </c>
      <c r="J381" s="6">
        <v>0</v>
      </c>
      <c r="K381" s="6">
        <v>1</v>
      </c>
      <c r="L381" s="6">
        <v>0</v>
      </c>
      <c r="M381" s="6">
        <v>1</v>
      </c>
      <c r="N381" s="6">
        <v>1</v>
      </c>
      <c r="O381" s="6">
        <v>0</v>
      </c>
      <c r="P381" s="6">
        <v>0</v>
      </c>
      <c r="Q381">
        <v>1</v>
      </c>
      <c r="R381">
        <f t="shared" si="25"/>
        <v>0</v>
      </c>
      <c r="S381">
        <f t="shared" si="26"/>
        <v>1</v>
      </c>
      <c r="T381">
        <f t="shared" si="27"/>
        <v>4</v>
      </c>
      <c r="U381">
        <f t="shared" si="28"/>
        <v>1</v>
      </c>
      <c r="V381">
        <f t="shared" si="29"/>
        <v>0</v>
      </c>
    </row>
    <row r="382" spans="1:22" x14ac:dyDescent="0.25">
      <c r="A382">
        <v>379</v>
      </c>
      <c r="B382" t="s">
        <v>5</v>
      </c>
      <c r="C382" t="s">
        <v>73</v>
      </c>
      <c r="D382" s="4">
        <v>45763</v>
      </c>
      <c r="E382" t="s">
        <v>2825</v>
      </c>
      <c r="F382" t="s">
        <v>75</v>
      </c>
      <c r="I382" s="6">
        <v>0</v>
      </c>
      <c r="J382" s="6">
        <v>0</v>
      </c>
      <c r="K382" s="6">
        <v>0</v>
      </c>
      <c r="L382" s="6">
        <v>0</v>
      </c>
      <c r="M382" s="6">
        <v>1</v>
      </c>
      <c r="N382" s="6">
        <v>1</v>
      </c>
      <c r="O382" s="6">
        <v>0</v>
      </c>
      <c r="P382" s="6">
        <v>0</v>
      </c>
      <c r="Q382">
        <v>1</v>
      </c>
      <c r="R382">
        <f t="shared" si="25"/>
        <v>0</v>
      </c>
      <c r="S382">
        <f t="shared" si="26"/>
        <v>1</v>
      </c>
      <c r="T382">
        <f t="shared" si="27"/>
        <v>2</v>
      </c>
      <c r="U382">
        <f t="shared" si="28"/>
        <v>1</v>
      </c>
      <c r="V382">
        <f t="shared" si="29"/>
        <v>0</v>
      </c>
    </row>
    <row r="383" spans="1:22" x14ac:dyDescent="0.25">
      <c r="A383">
        <v>380</v>
      </c>
      <c r="B383" t="s">
        <v>5</v>
      </c>
      <c r="C383" t="s">
        <v>73</v>
      </c>
      <c r="D383" s="4">
        <v>45763</v>
      </c>
      <c r="E383" t="s">
        <v>2824</v>
      </c>
      <c r="F383" t="s">
        <v>75</v>
      </c>
      <c r="I383" s="6">
        <v>0</v>
      </c>
      <c r="J383" s="6">
        <v>0</v>
      </c>
      <c r="K383" s="6">
        <v>0</v>
      </c>
      <c r="L383" s="6">
        <v>0</v>
      </c>
      <c r="M383" s="6">
        <v>1</v>
      </c>
      <c r="N383" s="6">
        <v>0</v>
      </c>
      <c r="O383" s="6">
        <v>0</v>
      </c>
      <c r="P383" s="6">
        <v>0</v>
      </c>
      <c r="Q383">
        <v>1</v>
      </c>
      <c r="R383">
        <f t="shared" si="25"/>
        <v>0</v>
      </c>
      <c r="S383">
        <f t="shared" si="26"/>
        <v>1</v>
      </c>
      <c r="T383">
        <f t="shared" si="27"/>
        <v>1</v>
      </c>
      <c r="U383">
        <f t="shared" si="28"/>
        <v>1</v>
      </c>
      <c r="V383">
        <f t="shared" si="29"/>
        <v>0</v>
      </c>
    </row>
    <row r="384" spans="1:22" x14ac:dyDescent="0.25">
      <c r="A384">
        <v>381</v>
      </c>
      <c r="B384" t="s">
        <v>5</v>
      </c>
      <c r="C384" t="s">
        <v>73</v>
      </c>
      <c r="D384" s="4">
        <v>45764</v>
      </c>
      <c r="E384" t="s">
        <v>210</v>
      </c>
      <c r="F384" t="s">
        <v>75</v>
      </c>
      <c r="H384" t="s">
        <v>211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>
        <v>1</v>
      </c>
      <c r="R384">
        <f t="shared" si="25"/>
        <v>0</v>
      </c>
      <c r="S384">
        <f t="shared" si="26"/>
        <v>1</v>
      </c>
      <c r="T384">
        <f t="shared" si="27"/>
        <v>0</v>
      </c>
      <c r="U384">
        <f t="shared" si="28"/>
        <v>0</v>
      </c>
      <c r="V384">
        <f t="shared" si="29"/>
        <v>0</v>
      </c>
    </row>
    <row r="385" spans="1:22" x14ac:dyDescent="0.25">
      <c r="A385">
        <v>382</v>
      </c>
      <c r="B385" t="s">
        <v>5</v>
      </c>
      <c r="C385" t="s">
        <v>73</v>
      </c>
      <c r="D385" s="4">
        <v>45767</v>
      </c>
      <c r="E385" t="s">
        <v>244</v>
      </c>
      <c r="F385" t="s">
        <v>75</v>
      </c>
      <c r="I385" s="6"/>
      <c r="J385" s="6"/>
      <c r="K385" s="6"/>
      <c r="L385" s="6"/>
      <c r="M385" s="6"/>
      <c r="N385" s="6"/>
      <c r="O385" s="6"/>
      <c r="P385" s="6"/>
      <c r="Q385">
        <v>0</v>
      </c>
      <c r="R385">
        <f t="shared" si="25"/>
        <v>0</v>
      </c>
      <c r="S385">
        <f t="shared" si="26"/>
        <v>0</v>
      </c>
      <c r="T385">
        <f t="shared" si="27"/>
        <v>0</v>
      </c>
      <c r="U385">
        <f t="shared" si="28"/>
        <v>0</v>
      </c>
      <c r="V385">
        <f t="shared" si="29"/>
        <v>0</v>
      </c>
    </row>
    <row r="386" spans="1:22" x14ac:dyDescent="0.25">
      <c r="A386">
        <v>383</v>
      </c>
      <c r="B386" t="s">
        <v>5</v>
      </c>
      <c r="C386" t="s">
        <v>73</v>
      </c>
      <c r="D386" s="4">
        <v>45769</v>
      </c>
      <c r="E386" t="s">
        <v>2823</v>
      </c>
      <c r="F386" t="s">
        <v>75</v>
      </c>
      <c r="I386" s="6">
        <v>1</v>
      </c>
      <c r="J386" s="6">
        <v>0</v>
      </c>
      <c r="K386" s="6">
        <v>0</v>
      </c>
      <c r="L386" s="6">
        <v>0</v>
      </c>
      <c r="M386" s="6">
        <v>1</v>
      </c>
      <c r="N386" s="6">
        <v>0</v>
      </c>
      <c r="O386" s="6">
        <v>0</v>
      </c>
      <c r="P386" s="6">
        <v>0</v>
      </c>
      <c r="Q386">
        <v>1</v>
      </c>
      <c r="R386">
        <f t="shared" si="25"/>
        <v>0</v>
      </c>
      <c r="S386">
        <f t="shared" si="26"/>
        <v>1</v>
      </c>
      <c r="T386">
        <f t="shared" si="27"/>
        <v>2</v>
      </c>
      <c r="U386">
        <f t="shared" si="28"/>
        <v>1</v>
      </c>
      <c r="V386">
        <f t="shared" si="29"/>
        <v>0</v>
      </c>
    </row>
    <row r="387" spans="1:22" x14ac:dyDescent="0.25">
      <c r="A387">
        <v>384</v>
      </c>
      <c r="B387" t="s">
        <v>5</v>
      </c>
      <c r="C387" t="s">
        <v>73</v>
      </c>
      <c r="D387" s="4">
        <v>45770</v>
      </c>
      <c r="E387" t="s">
        <v>2822</v>
      </c>
      <c r="F387" t="s">
        <v>75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>
        <v>1</v>
      </c>
      <c r="R387">
        <f t="shared" ref="R387:R450" si="30">IF(AND(Q387=1,F387="ai_full"),1,0)</f>
        <v>0</v>
      </c>
      <c r="S387">
        <f t="shared" ref="S387:S450" si="31">IF(AND(Q387=1,F387="conventional"),1,0)</f>
        <v>1</v>
      </c>
      <c r="T387">
        <f t="shared" ref="T387:T450" si="32">SUM(I387:P387)</f>
        <v>0</v>
      </c>
      <c r="U387">
        <f t="shared" ref="U387:U450" si="33">IF(T387&gt;=1,1,0)</f>
        <v>0</v>
      </c>
      <c r="V387">
        <f t="shared" ref="V387:V450" si="34">IF(F387="ai_full",1,0)</f>
        <v>0</v>
      </c>
    </row>
    <row r="388" spans="1:22" x14ac:dyDescent="0.25">
      <c r="A388">
        <v>385</v>
      </c>
      <c r="B388" t="s">
        <v>5</v>
      </c>
      <c r="C388" t="s">
        <v>73</v>
      </c>
      <c r="D388" s="4">
        <v>45772</v>
      </c>
      <c r="E388" t="s">
        <v>212</v>
      </c>
      <c r="F388" t="s">
        <v>75</v>
      </c>
      <c r="I388" s="6">
        <v>0</v>
      </c>
      <c r="J388" s="6">
        <v>0</v>
      </c>
      <c r="K388" s="6">
        <v>0</v>
      </c>
      <c r="L388" s="6">
        <v>1</v>
      </c>
      <c r="M388" s="6">
        <v>0</v>
      </c>
      <c r="N388" s="6">
        <v>0</v>
      </c>
      <c r="O388" s="6">
        <v>0</v>
      </c>
      <c r="P388" s="6">
        <v>0</v>
      </c>
      <c r="Q388">
        <v>1</v>
      </c>
      <c r="R388">
        <f t="shared" si="30"/>
        <v>0</v>
      </c>
      <c r="S388">
        <f t="shared" si="31"/>
        <v>1</v>
      </c>
      <c r="T388">
        <f t="shared" si="32"/>
        <v>1</v>
      </c>
      <c r="U388">
        <f t="shared" si="33"/>
        <v>1</v>
      </c>
      <c r="V388">
        <f t="shared" si="34"/>
        <v>0</v>
      </c>
    </row>
    <row r="389" spans="1:22" x14ac:dyDescent="0.25">
      <c r="A389">
        <v>386</v>
      </c>
      <c r="B389" t="s">
        <v>5</v>
      </c>
      <c r="C389" t="s">
        <v>73</v>
      </c>
      <c r="D389" s="4">
        <v>45772</v>
      </c>
      <c r="E389" t="s">
        <v>213</v>
      </c>
      <c r="F389" t="s">
        <v>75</v>
      </c>
      <c r="I389" s="6">
        <v>1</v>
      </c>
      <c r="J389" s="6">
        <v>0</v>
      </c>
      <c r="K389" s="6">
        <v>0</v>
      </c>
      <c r="L389" s="6">
        <v>0</v>
      </c>
      <c r="M389" s="6">
        <v>1</v>
      </c>
      <c r="N389" s="6">
        <v>1</v>
      </c>
      <c r="O389" s="6">
        <v>0</v>
      </c>
      <c r="P389" s="6">
        <v>0</v>
      </c>
      <c r="Q389">
        <v>1</v>
      </c>
      <c r="R389">
        <f t="shared" si="30"/>
        <v>0</v>
      </c>
      <c r="S389">
        <f t="shared" si="31"/>
        <v>1</v>
      </c>
      <c r="T389">
        <f t="shared" si="32"/>
        <v>3</v>
      </c>
      <c r="U389">
        <f t="shared" si="33"/>
        <v>1</v>
      </c>
      <c r="V389">
        <f t="shared" si="34"/>
        <v>0</v>
      </c>
    </row>
    <row r="390" spans="1:22" x14ac:dyDescent="0.25">
      <c r="A390">
        <v>387</v>
      </c>
      <c r="B390" t="s">
        <v>5</v>
      </c>
      <c r="C390" t="s">
        <v>73</v>
      </c>
      <c r="D390" s="4">
        <v>45772</v>
      </c>
      <c r="E390" t="s">
        <v>214</v>
      </c>
      <c r="F390" t="s">
        <v>75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>
        <v>1</v>
      </c>
      <c r="R390">
        <f t="shared" si="30"/>
        <v>0</v>
      </c>
      <c r="S390">
        <f t="shared" si="31"/>
        <v>1</v>
      </c>
      <c r="T390">
        <f t="shared" si="32"/>
        <v>0</v>
      </c>
      <c r="U390">
        <f t="shared" si="33"/>
        <v>0</v>
      </c>
      <c r="V390">
        <f t="shared" si="34"/>
        <v>0</v>
      </c>
    </row>
    <row r="391" spans="1:22" x14ac:dyDescent="0.25">
      <c r="A391">
        <v>388</v>
      </c>
      <c r="B391" t="s">
        <v>5</v>
      </c>
      <c r="C391" t="s">
        <v>73</v>
      </c>
      <c r="D391" s="4">
        <v>45772</v>
      </c>
      <c r="E391" t="s">
        <v>215</v>
      </c>
      <c r="F391" t="s">
        <v>75</v>
      </c>
      <c r="I391" s="6">
        <v>1</v>
      </c>
      <c r="J391" s="6">
        <v>0</v>
      </c>
      <c r="K391" s="6">
        <v>0</v>
      </c>
      <c r="L391" s="6">
        <v>1</v>
      </c>
      <c r="M391" s="6">
        <v>1</v>
      </c>
      <c r="N391" s="6">
        <v>1</v>
      </c>
      <c r="O391" s="6">
        <v>0</v>
      </c>
      <c r="P391" s="6">
        <v>0</v>
      </c>
      <c r="Q391">
        <v>1</v>
      </c>
      <c r="R391">
        <f t="shared" si="30"/>
        <v>0</v>
      </c>
      <c r="S391">
        <f t="shared" si="31"/>
        <v>1</v>
      </c>
      <c r="T391">
        <f t="shared" si="32"/>
        <v>4</v>
      </c>
      <c r="U391">
        <f t="shared" si="33"/>
        <v>1</v>
      </c>
      <c r="V391">
        <f t="shared" si="34"/>
        <v>0</v>
      </c>
    </row>
    <row r="392" spans="1:22" x14ac:dyDescent="0.25">
      <c r="A392">
        <v>389</v>
      </c>
      <c r="B392" t="s">
        <v>5</v>
      </c>
      <c r="C392" t="s">
        <v>73</v>
      </c>
      <c r="D392" s="4">
        <v>45772</v>
      </c>
      <c r="E392" t="s">
        <v>2821</v>
      </c>
      <c r="F392" t="s">
        <v>75</v>
      </c>
      <c r="I392" s="6">
        <v>1</v>
      </c>
      <c r="J392" s="6">
        <v>0</v>
      </c>
      <c r="K392" s="6">
        <v>0</v>
      </c>
      <c r="L392" s="6">
        <v>1</v>
      </c>
      <c r="M392" s="6">
        <v>1</v>
      </c>
      <c r="N392" s="6">
        <v>1</v>
      </c>
      <c r="O392" s="6">
        <v>0</v>
      </c>
      <c r="P392" s="6">
        <v>0</v>
      </c>
      <c r="Q392">
        <v>1</v>
      </c>
      <c r="R392">
        <f t="shared" si="30"/>
        <v>0</v>
      </c>
      <c r="S392">
        <f t="shared" si="31"/>
        <v>1</v>
      </c>
      <c r="T392">
        <f t="shared" si="32"/>
        <v>4</v>
      </c>
      <c r="U392">
        <f t="shared" si="33"/>
        <v>1</v>
      </c>
      <c r="V392">
        <f t="shared" si="34"/>
        <v>0</v>
      </c>
    </row>
    <row r="393" spans="1:22" x14ac:dyDescent="0.25">
      <c r="A393">
        <v>390</v>
      </c>
      <c r="B393" t="s">
        <v>5</v>
      </c>
      <c r="C393" t="s">
        <v>73</v>
      </c>
      <c r="D393" s="4">
        <v>45773</v>
      </c>
      <c r="E393" t="s">
        <v>216</v>
      </c>
      <c r="F393" t="s">
        <v>75</v>
      </c>
      <c r="I393" s="6">
        <v>1</v>
      </c>
      <c r="J393" s="6">
        <v>0</v>
      </c>
      <c r="K393" s="6">
        <v>0</v>
      </c>
      <c r="L393" s="6">
        <v>0</v>
      </c>
      <c r="M393" s="6">
        <v>1</v>
      </c>
      <c r="N393" s="6">
        <v>1</v>
      </c>
      <c r="O393" s="6">
        <v>0</v>
      </c>
      <c r="P393" s="6">
        <v>0</v>
      </c>
      <c r="Q393">
        <v>1</v>
      </c>
      <c r="R393">
        <f t="shared" si="30"/>
        <v>0</v>
      </c>
      <c r="S393">
        <f t="shared" si="31"/>
        <v>1</v>
      </c>
      <c r="T393">
        <f t="shared" si="32"/>
        <v>3</v>
      </c>
      <c r="U393">
        <f t="shared" si="33"/>
        <v>1</v>
      </c>
      <c r="V393">
        <f t="shared" si="34"/>
        <v>0</v>
      </c>
    </row>
    <row r="394" spans="1:22" x14ac:dyDescent="0.25">
      <c r="A394">
        <v>391</v>
      </c>
      <c r="B394" t="s">
        <v>5</v>
      </c>
      <c r="C394" t="s">
        <v>73</v>
      </c>
      <c r="D394" s="4">
        <v>45773</v>
      </c>
      <c r="E394" t="s">
        <v>2820</v>
      </c>
      <c r="F394" t="s">
        <v>75</v>
      </c>
      <c r="I394" s="6"/>
      <c r="J394" s="6"/>
      <c r="K394" s="6"/>
      <c r="L394" s="6"/>
      <c r="M394" s="6"/>
      <c r="N394" s="6"/>
      <c r="O394" s="6"/>
      <c r="P394" s="6"/>
      <c r="Q394">
        <v>0</v>
      </c>
      <c r="R394">
        <f t="shared" si="30"/>
        <v>0</v>
      </c>
      <c r="S394">
        <f t="shared" si="31"/>
        <v>0</v>
      </c>
      <c r="T394">
        <f t="shared" si="32"/>
        <v>0</v>
      </c>
      <c r="U394">
        <f t="shared" si="33"/>
        <v>0</v>
      </c>
      <c r="V394">
        <f t="shared" si="34"/>
        <v>0</v>
      </c>
    </row>
    <row r="395" spans="1:22" x14ac:dyDescent="0.25">
      <c r="A395">
        <v>392</v>
      </c>
      <c r="B395" t="s">
        <v>5</v>
      </c>
      <c r="C395" t="s">
        <v>73</v>
      </c>
      <c r="D395" s="4">
        <v>45773</v>
      </c>
      <c r="E395" t="s">
        <v>2819</v>
      </c>
      <c r="F395" t="s">
        <v>75</v>
      </c>
      <c r="I395" s="6">
        <v>0</v>
      </c>
      <c r="J395" s="6">
        <v>0</v>
      </c>
      <c r="K395" s="6">
        <v>0</v>
      </c>
      <c r="L395" s="6">
        <v>0</v>
      </c>
      <c r="M395" s="6">
        <v>1</v>
      </c>
      <c r="N395" s="6">
        <v>1</v>
      </c>
      <c r="O395" s="6">
        <v>0</v>
      </c>
      <c r="P395" s="6">
        <v>0</v>
      </c>
      <c r="Q395">
        <v>1</v>
      </c>
      <c r="R395">
        <f t="shared" si="30"/>
        <v>0</v>
      </c>
      <c r="S395">
        <f t="shared" si="31"/>
        <v>1</v>
      </c>
      <c r="T395">
        <f t="shared" si="32"/>
        <v>2</v>
      </c>
      <c r="U395">
        <f t="shared" si="33"/>
        <v>1</v>
      </c>
      <c r="V395">
        <f t="shared" si="34"/>
        <v>0</v>
      </c>
    </row>
    <row r="396" spans="1:22" x14ac:dyDescent="0.25">
      <c r="A396">
        <v>393</v>
      </c>
      <c r="B396" t="s">
        <v>5</v>
      </c>
      <c r="C396" t="s">
        <v>73</v>
      </c>
      <c r="D396" s="4">
        <v>45773</v>
      </c>
      <c r="E396" t="s">
        <v>2818</v>
      </c>
      <c r="F396" t="s">
        <v>75</v>
      </c>
      <c r="I396" s="6">
        <v>1</v>
      </c>
      <c r="J396" s="6">
        <v>0</v>
      </c>
      <c r="K396" s="6">
        <v>0</v>
      </c>
      <c r="L396" s="6">
        <v>0</v>
      </c>
      <c r="M396" s="6">
        <v>1</v>
      </c>
      <c r="N396" s="6">
        <v>1</v>
      </c>
      <c r="O396" s="6">
        <v>0</v>
      </c>
      <c r="P396" s="6">
        <v>0</v>
      </c>
      <c r="Q396">
        <v>1</v>
      </c>
      <c r="R396">
        <f t="shared" si="30"/>
        <v>0</v>
      </c>
      <c r="S396">
        <f t="shared" si="31"/>
        <v>1</v>
      </c>
      <c r="T396">
        <f t="shared" si="32"/>
        <v>3</v>
      </c>
      <c r="U396">
        <f t="shared" si="33"/>
        <v>1</v>
      </c>
      <c r="V396">
        <f t="shared" si="34"/>
        <v>0</v>
      </c>
    </row>
    <row r="397" spans="1:22" x14ac:dyDescent="0.25">
      <c r="A397">
        <v>394</v>
      </c>
      <c r="B397" t="s">
        <v>5</v>
      </c>
      <c r="C397" t="s">
        <v>73</v>
      </c>
      <c r="D397" s="4">
        <v>45773</v>
      </c>
      <c r="E397" t="s">
        <v>217</v>
      </c>
      <c r="F397" t="s">
        <v>75</v>
      </c>
      <c r="I397" s="6">
        <v>0</v>
      </c>
      <c r="J397" s="6">
        <v>0</v>
      </c>
      <c r="K397" s="6">
        <v>0</v>
      </c>
      <c r="L397" s="6">
        <v>0</v>
      </c>
      <c r="M397" s="6">
        <v>1</v>
      </c>
      <c r="N397" s="6">
        <v>1</v>
      </c>
      <c r="O397" s="6">
        <v>0</v>
      </c>
      <c r="P397" s="6">
        <v>0</v>
      </c>
      <c r="Q397">
        <v>1</v>
      </c>
      <c r="R397">
        <f t="shared" si="30"/>
        <v>0</v>
      </c>
      <c r="S397">
        <f t="shared" si="31"/>
        <v>1</v>
      </c>
      <c r="T397">
        <f t="shared" si="32"/>
        <v>2</v>
      </c>
      <c r="U397">
        <f t="shared" si="33"/>
        <v>1</v>
      </c>
      <c r="V397">
        <f t="shared" si="34"/>
        <v>0</v>
      </c>
    </row>
    <row r="398" spans="1:22" x14ac:dyDescent="0.25">
      <c r="A398">
        <v>395</v>
      </c>
      <c r="B398" t="s">
        <v>5</v>
      </c>
      <c r="C398" t="s">
        <v>73</v>
      </c>
      <c r="D398" s="4">
        <v>45775</v>
      </c>
      <c r="E398" t="s">
        <v>218</v>
      </c>
      <c r="F398" t="s">
        <v>75</v>
      </c>
      <c r="I398" s="6">
        <v>0</v>
      </c>
      <c r="J398" s="6">
        <v>0</v>
      </c>
      <c r="K398" s="6">
        <v>0</v>
      </c>
      <c r="L398" s="6">
        <v>0</v>
      </c>
      <c r="M398" s="6">
        <v>1</v>
      </c>
      <c r="N398" s="6">
        <v>0</v>
      </c>
      <c r="O398" s="6">
        <v>0</v>
      </c>
      <c r="P398" s="6">
        <v>0</v>
      </c>
      <c r="Q398">
        <v>1</v>
      </c>
      <c r="R398">
        <f t="shared" si="30"/>
        <v>0</v>
      </c>
      <c r="S398">
        <f t="shared" si="31"/>
        <v>1</v>
      </c>
      <c r="T398">
        <f t="shared" si="32"/>
        <v>1</v>
      </c>
      <c r="U398">
        <f t="shared" si="33"/>
        <v>1</v>
      </c>
      <c r="V398">
        <f t="shared" si="34"/>
        <v>0</v>
      </c>
    </row>
    <row r="399" spans="1:22" x14ac:dyDescent="0.25">
      <c r="A399">
        <v>396</v>
      </c>
      <c r="B399" t="s">
        <v>5</v>
      </c>
      <c r="C399" t="s">
        <v>73</v>
      </c>
      <c r="D399" s="4">
        <v>45775</v>
      </c>
      <c r="E399" t="s">
        <v>219</v>
      </c>
      <c r="F399" t="s">
        <v>75</v>
      </c>
      <c r="H399" t="s">
        <v>220</v>
      </c>
      <c r="I399" s="6">
        <v>1</v>
      </c>
      <c r="J399" s="6">
        <v>0</v>
      </c>
      <c r="K399" s="6">
        <v>0</v>
      </c>
      <c r="L399" s="6">
        <v>0</v>
      </c>
      <c r="M399" s="6">
        <v>1</v>
      </c>
      <c r="N399" s="6">
        <v>1</v>
      </c>
      <c r="O399" s="6">
        <v>0</v>
      </c>
      <c r="P399" s="6">
        <v>0</v>
      </c>
      <c r="Q399">
        <v>1</v>
      </c>
      <c r="R399">
        <f t="shared" si="30"/>
        <v>0</v>
      </c>
      <c r="S399">
        <f t="shared" si="31"/>
        <v>1</v>
      </c>
      <c r="T399">
        <f t="shared" si="32"/>
        <v>3</v>
      </c>
      <c r="U399">
        <f t="shared" si="33"/>
        <v>1</v>
      </c>
      <c r="V399">
        <f t="shared" si="34"/>
        <v>0</v>
      </c>
    </row>
    <row r="400" spans="1:22" x14ac:dyDescent="0.25">
      <c r="A400">
        <v>397</v>
      </c>
      <c r="B400" t="s">
        <v>5</v>
      </c>
      <c r="C400" t="s">
        <v>73</v>
      </c>
      <c r="D400" s="4">
        <v>45775</v>
      </c>
      <c r="E400" t="s">
        <v>2817</v>
      </c>
      <c r="F400" t="s">
        <v>75</v>
      </c>
      <c r="I400" s="6">
        <v>0</v>
      </c>
      <c r="J400" s="6">
        <v>0</v>
      </c>
      <c r="K400" s="6">
        <v>1</v>
      </c>
      <c r="L400" s="6">
        <v>1</v>
      </c>
      <c r="M400" s="6">
        <v>1</v>
      </c>
      <c r="N400" s="6">
        <v>0</v>
      </c>
      <c r="O400" s="6">
        <v>1</v>
      </c>
      <c r="P400" s="6">
        <v>0</v>
      </c>
      <c r="Q400">
        <v>1</v>
      </c>
      <c r="R400">
        <f t="shared" si="30"/>
        <v>0</v>
      </c>
      <c r="S400">
        <f t="shared" si="31"/>
        <v>1</v>
      </c>
      <c r="T400">
        <f t="shared" si="32"/>
        <v>4</v>
      </c>
      <c r="U400">
        <f t="shared" si="33"/>
        <v>1</v>
      </c>
      <c r="V400">
        <f t="shared" si="34"/>
        <v>0</v>
      </c>
    </row>
    <row r="401" spans="1:22" x14ac:dyDescent="0.25">
      <c r="A401">
        <v>398</v>
      </c>
      <c r="B401" t="s">
        <v>5</v>
      </c>
      <c r="C401" t="s">
        <v>73</v>
      </c>
      <c r="D401" s="4">
        <v>45775</v>
      </c>
      <c r="E401" t="s">
        <v>221</v>
      </c>
      <c r="F401" t="s">
        <v>75</v>
      </c>
      <c r="I401" s="6">
        <v>1</v>
      </c>
      <c r="J401" s="6">
        <v>0</v>
      </c>
      <c r="K401" s="6">
        <v>0</v>
      </c>
      <c r="L401" s="6">
        <v>0</v>
      </c>
      <c r="M401" s="6">
        <v>1</v>
      </c>
      <c r="N401" s="6">
        <v>1</v>
      </c>
      <c r="O401" s="6">
        <v>1</v>
      </c>
      <c r="P401" s="6">
        <v>0</v>
      </c>
      <c r="Q401">
        <v>1</v>
      </c>
      <c r="R401">
        <f t="shared" si="30"/>
        <v>0</v>
      </c>
      <c r="S401">
        <f t="shared" si="31"/>
        <v>1</v>
      </c>
      <c r="T401">
        <f t="shared" si="32"/>
        <v>4</v>
      </c>
      <c r="U401">
        <f t="shared" si="33"/>
        <v>1</v>
      </c>
      <c r="V401">
        <f t="shared" si="34"/>
        <v>0</v>
      </c>
    </row>
    <row r="402" spans="1:22" x14ac:dyDescent="0.25">
      <c r="A402">
        <v>399</v>
      </c>
      <c r="B402" t="s">
        <v>5</v>
      </c>
      <c r="C402" t="s">
        <v>73</v>
      </c>
      <c r="D402" s="4">
        <v>45775</v>
      </c>
      <c r="E402" t="s">
        <v>2816</v>
      </c>
      <c r="F402" t="s">
        <v>75</v>
      </c>
      <c r="I402" s="6">
        <v>1</v>
      </c>
      <c r="J402" s="6">
        <v>0</v>
      </c>
      <c r="K402" s="6">
        <v>0</v>
      </c>
      <c r="L402" s="6">
        <v>0</v>
      </c>
      <c r="M402" s="6">
        <v>1</v>
      </c>
      <c r="N402" s="6">
        <v>0</v>
      </c>
      <c r="O402" s="6">
        <v>0</v>
      </c>
      <c r="P402" s="6">
        <v>0</v>
      </c>
      <c r="Q402">
        <v>1</v>
      </c>
      <c r="R402">
        <f t="shared" si="30"/>
        <v>0</v>
      </c>
      <c r="S402">
        <f t="shared" si="31"/>
        <v>1</v>
      </c>
      <c r="T402">
        <f t="shared" si="32"/>
        <v>2</v>
      </c>
      <c r="U402">
        <f t="shared" si="33"/>
        <v>1</v>
      </c>
      <c r="V402">
        <f t="shared" si="34"/>
        <v>0</v>
      </c>
    </row>
    <row r="403" spans="1:22" x14ac:dyDescent="0.25">
      <c r="A403">
        <v>400</v>
      </c>
      <c r="B403" t="s">
        <v>5</v>
      </c>
      <c r="C403" t="s">
        <v>73</v>
      </c>
      <c r="D403" s="4">
        <v>45776</v>
      </c>
      <c r="E403" t="s">
        <v>2815</v>
      </c>
      <c r="F403" t="s">
        <v>75</v>
      </c>
      <c r="I403" s="6">
        <v>0</v>
      </c>
      <c r="J403" s="6">
        <v>0</v>
      </c>
      <c r="K403" s="6">
        <v>0</v>
      </c>
      <c r="L403" s="6">
        <v>0</v>
      </c>
      <c r="M403" s="6">
        <v>1</v>
      </c>
      <c r="N403" s="6">
        <v>0</v>
      </c>
      <c r="O403" s="6">
        <v>0</v>
      </c>
      <c r="P403" s="6">
        <v>0</v>
      </c>
      <c r="Q403">
        <v>1</v>
      </c>
      <c r="R403">
        <f t="shared" si="30"/>
        <v>0</v>
      </c>
      <c r="S403">
        <f t="shared" si="31"/>
        <v>1</v>
      </c>
      <c r="T403">
        <f t="shared" si="32"/>
        <v>1</v>
      </c>
      <c r="U403">
        <f t="shared" si="33"/>
        <v>1</v>
      </c>
      <c r="V403">
        <f t="shared" si="34"/>
        <v>0</v>
      </c>
    </row>
    <row r="404" spans="1:22" x14ac:dyDescent="0.25">
      <c r="A404">
        <v>401</v>
      </c>
      <c r="B404" t="s">
        <v>5</v>
      </c>
      <c r="C404" t="s">
        <v>73</v>
      </c>
      <c r="D404" s="4">
        <v>45776</v>
      </c>
      <c r="E404" t="s">
        <v>222</v>
      </c>
      <c r="F404" t="s">
        <v>75</v>
      </c>
      <c r="I404" s="6">
        <v>0</v>
      </c>
      <c r="J404" s="6">
        <v>0</v>
      </c>
      <c r="K404" s="6">
        <v>0</v>
      </c>
      <c r="L404" s="6">
        <v>1</v>
      </c>
      <c r="M404" s="6">
        <v>1</v>
      </c>
      <c r="N404" s="6">
        <v>0</v>
      </c>
      <c r="O404" s="6">
        <v>0</v>
      </c>
      <c r="P404" s="6">
        <v>0</v>
      </c>
      <c r="Q404">
        <v>1</v>
      </c>
      <c r="R404">
        <f t="shared" si="30"/>
        <v>0</v>
      </c>
      <c r="S404">
        <f t="shared" si="31"/>
        <v>1</v>
      </c>
      <c r="T404">
        <f t="shared" si="32"/>
        <v>2</v>
      </c>
      <c r="U404">
        <f t="shared" si="33"/>
        <v>1</v>
      </c>
      <c r="V404">
        <f t="shared" si="34"/>
        <v>0</v>
      </c>
    </row>
    <row r="405" spans="1:22" x14ac:dyDescent="0.25">
      <c r="A405">
        <v>402</v>
      </c>
      <c r="B405" t="s">
        <v>5</v>
      </c>
      <c r="C405" t="s">
        <v>73</v>
      </c>
      <c r="D405" s="4">
        <v>45776</v>
      </c>
      <c r="E405" t="s">
        <v>223</v>
      </c>
      <c r="F405" t="s">
        <v>75</v>
      </c>
      <c r="I405" s="6">
        <v>1</v>
      </c>
      <c r="J405" s="6">
        <v>0</v>
      </c>
      <c r="K405" s="6">
        <v>0</v>
      </c>
      <c r="L405" s="6">
        <v>1</v>
      </c>
      <c r="M405" s="6">
        <v>1</v>
      </c>
      <c r="N405" s="6">
        <v>1</v>
      </c>
      <c r="O405" s="6">
        <v>1</v>
      </c>
      <c r="P405" s="6">
        <v>0</v>
      </c>
      <c r="Q405">
        <v>1</v>
      </c>
      <c r="R405">
        <f t="shared" si="30"/>
        <v>0</v>
      </c>
      <c r="S405">
        <f t="shared" si="31"/>
        <v>1</v>
      </c>
      <c r="T405">
        <f t="shared" si="32"/>
        <v>5</v>
      </c>
      <c r="U405">
        <f t="shared" si="33"/>
        <v>1</v>
      </c>
      <c r="V405">
        <f t="shared" si="34"/>
        <v>0</v>
      </c>
    </row>
    <row r="406" spans="1:22" x14ac:dyDescent="0.25">
      <c r="A406">
        <v>403</v>
      </c>
      <c r="B406" t="s">
        <v>5</v>
      </c>
      <c r="C406" t="s">
        <v>73</v>
      </c>
      <c r="D406" s="4">
        <v>45776</v>
      </c>
      <c r="E406" t="s">
        <v>2814</v>
      </c>
      <c r="F406" t="s">
        <v>75</v>
      </c>
      <c r="I406" s="6">
        <v>0</v>
      </c>
      <c r="J406" s="6">
        <v>0</v>
      </c>
      <c r="K406" s="6">
        <v>0</v>
      </c>
      <c r="L406" s="6">
        <v>0</v>
      </c>
      <c r="M406" s="6">
        <v>1</v>
      </c>
      <c r="N406" s="6">
        <v>1</v>
      </c>
      <c r="O406" s="6">
        <v>0</v>
      </c>
      <c r="P406" s="6">
        <v>0</v>
      </c>
      <c r="Q406">
        <v>1</v>
      </c>
      <c r="R406">
        <f t="shared" si="30"/>
        <v>0</v>
      </c>
      <c r="S406">
        <f t="shared" si="31"/>
        <v>1</v>
      </c>
      <c r="T406">
        <f t="shared" si="32"/>
        <v>2</v>
      </c>
      <c r="U406">
        <f t="shared" si="33"/>
        <v>1</v>
      </c>
      <c r="V406">
        <f t="shared" si="34"/>
        <v>0</v>
      </c>
    </row>
    <row r="407" spans="1:22" x14ac:dyDescent="0.25">
      <c r="A407">
        <v>404</v>
      </c>
      <c r="B407" t="s">
        <v>5</v>
      </c>
      <c r="C407" t="s">
        <v>73</v>
      </c>
      <c r="D407" s="4">
        <v>45776</v>
      </c>
      <c r="E407" t="s">
        <v>2813</v>
      </c>
      <c r="F407" t="s">
        <v>75</v>
      </c>
      <c r="I407" s="6">
        <v>0</v>
      </c>
      <c r="J407" s="6">
        <v>0</v>
      </c>
      <c r="K407" s="6">
        <v>0</v>
      </c>
      <c r="L407" s="6">
        <v>1</v>
      </c>
      <c r="M407" s="6">
        <v>1</v>
      </c>
      <c r="N407" s="6">
        <v>0</v>
      </c>
      <c r="O407" s="6">
        <v>0</v>
      </c>
      <c r="P407" s="6">
        <v>0</v>
      </c>
      <c r="Q407">
        <v>1</v>
      </c>
      <c r="R407">
        <f t="shared" si="30"/>
        <v>0</v>
      </c>
      <c r="S407">
        <f t="shared" si="31"/>
        <v>1</v>
      </c>
      <c r="T407">
        <f t="shared" si="32"/>
        <v>2</v>
      </c>
      <c r="U407">
        <f t="shared" si="33"/>
        <v>1</v>
      </c>
      <c r="V407">
        <f t="shared" si="34"/>
        <v>0</v>
      </c>
    </row>
    <row r="408" spans="1:22" x14ac:dyDescent="0.25">
      <c r="A408">
        <v>405</v>
      </c>
      <c r="B408" t="s">
        <v>5</v>
      </c>
      <c r="C408" t="s">
        <v>73</v>
      </c>
      <c r="D408" s="4">
        <v>45777</v>
      </c>
      <c r="E408" t="s">
        <v>224</v>
      </c>
      <c r="F408" t="s">
        <v>75</v>
      </c>
      <c r="I408" s="6">
        <v>0</v>
      </c>
      <c r="J408" s="6">
        <v>0</v>
      </c>
      <c r="K408" s="6">
        <v>0</v>
      </c>
      <c r="L408" s="6">
        <v>1</v>
      </c>
      <c r="M408" s="6">
        <v>1</v>
      </c>
      <c r="N408" s="6">
        <v>0</v>
      </c>
      <c r="O408" s="6">
        <v>0</v>
      </c>
      <c r="P408" s="6">
        <v>0</v>
      </c>
      <c r="Q408">
        <v>1</v>
      </c>
      <c r="R408">
        <f t="shared" si="30"/>
        <v>0</v>
      </c>
      <c r="S408">
        <f t="shared" si="31"/>
        <v>1</v>
      </c>
      <c r="T408">
        <f t="shared" si="32"/>
        <v>2</v>
      </c>
      <c r="U408">
        <f t="shared" si="33"/>
        <v>1</v>
      </c>
      <c r="V408">
        <f t="shared" si="34"/>
        <v>0</v>
      </c>
    </row>
    <row r="409" spans="1:22" x14ac:dyDescent="0.25">
      <c r="A409">
        <v>406</v>
      </c>
      <c r="B409" t="s">
        <v>5</v>
      </c>
      <c r="C409" t="s">
        <v>73</v>
      </c>
      <c r="D409" s="4">
        <v>45777</v>
      </c>
      <c r="E409" t="s">
        <v>2812</v>
      </c>
      <c r="F409" t="s">
        <v>75</v>
      </c>
      <c r="I409" s="6">
        <v>0</v>
      </c>
      <c r="J409" s="6">
        <v>0</v>
      </c>
      <c r="K409" s="6">
        <v>0</v>
      </c>
      <c r="L409" s="6">
        <v>1</v>
      </c>
      <c r="M409" s="6">
        <v>1</v>
      </c>
      <c r="N409" s="6">
        <v>0</v>
      </c>
      <c r="O409" s="6">
        <v>0</v>
      </c>
      <c r="P409" s="6">
        <v>0</v>
      </c>
      <c r="Q409">
        <v>1</v>
      </c>
      <c r="R409">
        <f t="shared" si="30"/>
        <v>0</v>
      </c>
      <c r="S409">
        <f t="shared" si="31"/>
        <v>1</v>
      </c>
      <c r="T409">
        <f t="shared" si="32"/>
        <v>2</v>
      </c>
      <c r="U409">
        <f t="shared" si="33"/>
        <v>1</v>
      </c>
      <c r="V409">
        <f t="shared" si="34"/>
        <v>0</v>
      </c>
    </row>
    <row r="410" spans="1:22" x14ac:dyDescent="0.25">
      <c r="A410">
        <v>407</v>
      </c>
      <c r="B410" t="s">
        <v>5</v>
      </c>
      <c r="C410" t="s">
        <v>73</v>
      </c>
      <c r="D410" s="4">
        <v>45777</v>
      </c>
      <c r="E410" t="s">
        <v>2811</v>
      </c>
      <c r="F410" t="s">
        <v>75</v>
      </c>
      <c r="I410" s="6">
        <v>1</v>
      </c>
      <c r="J410" s="6">
        <v>0</v>
      </c>
      <c r="K410" s="6">
        <v>0</v>
      </c>
      <c r="L410" s="6">
        <v>1</v>
      </c>
      <c r="M410" s="6">
        <v>1</v>
      </c>
      <c r="N410" s="6">
        <v>1</v>
      </c>
      <c r="O410" s="6">
        <v>0</v>
      </c>
      <c r="P410" s="6">
        <v>0</v>
      </c>
      <c r="Q410">
        <v>1</v>
      </c>
      <c r="R410">
        <f t="shared" si="30"/>
        <v>0</v>
      </c>
      <c r="S410">
        <f t="shared" si="31"/>
        <v>1</v>
      </c>
      <c r="T410">
        <f t="shared" si="32"/>
        <v>4</v>
      </c>
      <c r="U410">
        <f t="shared" si="33"/>
        <v>1</v>
      </c>
      <c r="V410">
        <f t="shared" si="34"/>
        <v>0</v>
      </c>
    </row>
    <row r="411" spans="1:22" x14ac:dyDescent="0.25">
      <c r="A411">
        <v>408</v>
      </c>
      <c r="B411" t="s">
        <v>5</v>
      </c>
      <c r="C411" t="s">
        <v>73</v>
      </c>
      <c r="D411" s="4">
        <v>45777</v>
      </c>
      <c r="E411" t="s">
        <v>225</v>
      </c>
      <c r="F411" t="s">
        <v>75</v>
      </c>
      <c r="I411" s="6">
        <v>0</v>
      </c>
      <c r="J411" s="6">
        <v>0</v>
      </c>
      <c r="K411" s="6">
        <v>0</v>
      </c>
      <c r="L411" s="6">
        <v>0</v>
      </c>
      <c r="M411" s="6">
        <v>1</v>
      </c>
      <c r="N411" s="6">
        <v>1</v>
      </c>
      <c r="O411" s="6">
        <v>0</v>
      </c>
      <c r="P411" s="6">
        <v>0</v>
      </c>
      <c r="Q411">
        <v>1</v>
      </c>
      <c r="R411">
        <f t="shared" si="30"/>
        <v>0</v>
      </c>
      <c r="S411">
        <f t="shared" si="31"/>
        <v>1</v>
      </c>
      <c r="T411">
        <f t="shared" si="32"/>
        <v>2</v>
      </c>
      <c r="U411">
        <f t="shared" si="33"/>
        <v>1</v>
      </c>
      <c r="V411">
        <f t="shared" si="34"/>
        <v>0</v>
      </c>
    </row>
    <row r="412" spans="1:22" x14ac:dyDescent="0.25">
      <c r="A412">
        <v>409</v>
      </c>
      <c r="B412" t="s">
        <v>5</v>
      </c>
      <c r="C412" t="s">
        <v>73</v>
      </c>
      <c r="D412" s="4">
        <v>45777</v>
      </c>
      <c r="E412" t="s">
        <v>226</v>
      </c>
      <c r="F412" t="s">
        <v>75</v>
      </c>
      <c r="I412" s="6">
        <v>0</v>
      </c>
      <c r="J412" s="6">
        <v>0</v>
      </c>
      <c r="K412" s="6">
        <v>0</v>
      </c>
      <c r="L412" s="6">
        <v>0</v>
      </c>
      <c r="M412" s="6">
        <v>1</v>
      </c>
      <c r="N412" s="6">
        <v>0</v>
      </c>
      <c r="O412" s="6">
        <v>0</v>
      </c>
      <c r="P412" s="6">
        <v>0</v>
      </c>
      <c r="Q412">
        <v>1</v>
      </c>
      <c r="R412">
        <f t="shared" si="30"/>
        <v>0</v>
      </c>
      <c r="S412">
        <f t="shared" si="31"/>
        <v>1</v>
      </c>
      <c r="T412">
        <f t="shared" si="32"/>
        <v>1</v>
      </c>
      <c r="U412">
        <f t="shared" si="33"/>
        <v>1</v>
      </c>
      <c r="V412">
        <f t="shared" si="34"/>
        <v>0</v>
      </c>
    </row>
    <row r="413" spans="1:22" x14ac:dyDescent="0.25">
      <c r="A413">
        <v>410</v>
      </c>
      <c r="B413" t="s">
        <v>5</v>
      </c>
      <c r="C413" t="s">
        <v>73</v>
      </c>
      <c r="D413" s="4">
        <v>45777</v>
      </c>
      <c r="E413" t="s">
        <v>227</v>
      </c>
      <c r="F413" t="s">
        <v>75</v>
      </c>
      <c r="I413" s="6">
        <v>0</v>
      </c>
      <c r="J413" s="6">
        <v>0</v>
      </c>
      <c r="K413" s="6">
        <v>0</v>
      </c>
      <c r="L413" s="6">
        <v>1</v>
      </c>
      <c r="M413" s="6">
        <v>1</v>
      </c>
      <c r="N413" s="6">
        <v>0</v>
      </c>
      <c r="O413" s="6">
        <v>0</v>
      </c>
      <c r="P413" s="6">
        <v>0</v>
      </c>
      <c r="Q413">
        <v>1</v>
      </c>
      <c r="R413">
        <f t="shared" si="30"/>
        <v>0</v>
      </c>
      <c r="S413">
        <f t="shared" si="31"/>
        <v>1</v>
      </c>
      <c r="T413">
        <f t="shared" si="32"/>
        <v>2</v>
      </c>
      <c r="U413">
        <f t="shared" si="33"/>
        <v>1</v>
      </c>
      <c r="V413">
        <f t="shared" si="34"/>
        <v>0</v>
      </c>
    </row>
    <row r="414" spans="1:22" x14ac:dyDescent="0.25">
      <c r="A414">
        <v>411</v>
      </c>
      <c r="B414" t="s">
        <v>5</v>
      </c>
      <c r="C414" t="s">
        <v>73</v>
      </c>
      <c r="D414" s="4">
        <v>45778</v>
      </c>
      <c r="E414" t="s">
        <v>228</v>
      </c>
      <c r="F414" t="s">
        <v>75</v>
      </c>
      <c r="I414" s="6">
        <v>0</v>
      </c>
      <c r="J414" s="6">
        <v>0</v>
      </c>
      <c r="K414" s="6">
        <v>0</v>
      </c>
      <c r="L414" s="6">
        <v>0</v>
      </c>
      <c r="M414" s="6">
        <v>1</v>
      </c>
      <c r="N414" s="6">
        <v>1</v>
      </c>
      <c r="O414" s="6">
        <v>0</v>
      </c>
      <c r="P414" s="6">
        <v>0</v>
      </c>
      <c r="Q414">
        <v>1</v>
      </c>
      <c r="R414">
        <f t="shared" si="30"/>
        <v>0</v>
      </c>
      <c r="S414">
        <f t="shared" si="31"/>
        <v>1</v>
      </c>
      <c r="T414">
        <f t="shared" si="32"/>
        <v>2</v>
      </c>
      <c r="U414">
        <f t="shared" si="33"/>
        <v>1</v>
      </c>
      <c r="V414">
        <f t="shared" si="34"/>
        <v>0</v>
      </c>
    </row>
    <row r="415" spans="1:22" x14ac:dyDescent="0.25">
      <c r="A415">
        <v>412</v>
      </c>
      <c r="B415" t="s">
        <v>5</v>
      </c>
      <c r="C415" t="s">
        <v>73</v>
      </c>
      <c r="D415" s="4">
        <v>45778</v>
      </c>
      <c r="E415" t="s">
        <v>229</v>
      </c>
      <c r="F415" t="s">
        <v>75</v>
      </c>
      <c r="I415" s="6">
        <v>0</v>
      </c>
      <c r="J415" s="6">
        <v>0</v>
      </c>
      <c r="K415" s="6">
        <v>0</v>
      </c>
      <c r="L415" s="6">
        <v>0</v>
      </c>
      <c r="M415" s="6">
        <v>1</v>
      </c>
      <c r="N415" s="6">
        <v>0</v>
      </c>
      <c r="O415" s="6">
        <v>0</v>
      </c>
      <c r="P415" s="6">
        <v>0</v>
      </c>
      <c r="Q415">
        <v>1</v>
      </c>
      <c r="R415">
        <f t="shared" si="30"/>
        <v>0</v>
      </c>
      <c r="S415">
        <f t="shared" si="31"/>
        <v>1</v>
      </c>
      <c r="T415">
        <f t="shared" si="32"/>
        <v>1</v>
      </c>
      <c r="U415">
        <f t="shared" si="33"/>
        <v>1</v>
      </c>
      <c r="V415">
        <f t="shared" si="34"/>
        <v>0</v>
      </c>
    </row>
    <row r="416" spans="1:22" x14ac:dyDescent="0.25">
      <c r="A416">
        <v>413</v>
      </c>
      <c r="B416" t="s">
        <v>5</v>
      </c>
      <c r="C416" t="s">
        <v>73</v>
      </c>
      <c r="D416" s="4">
        <v>45778</v>
      </c>
      <c r="E416" t="s">
        <v>2810</v>
      </c>
      <c r="F416" t="s">
        <v>75</v>
      </c>
      <c r="I416" s="6">
        <v>1</v>
      </c>
      <c r="J416" s="6">
        <v>0</v>
      </c>
      <c r="K416" s="6">
        <v>0</v>
      </c>
      <c r="L416" s="6">
        <v>0</v>
      </c>
      <c r="M416" s="6">
        <v>1</v>
      </c>
      <c r="N416" s="6">
        <v>1</v>
      </c>
      <c r="O416" s="6">
        <v>0</v>
      </c>
      <c r="P416" s="6">
        <v>0</v>
      </c>
      <c r="Q416">
        <v>1</v>
      </c>
      <c r="R416">
        <f t="shared" si="30"/>
        <v>0</v>
      </c>
      <c r="S416">
        <f t="shared" si="31"/>
        <v>1</v>
      </c>
      <c r="T416">
        <f t="shared" si="32"/>
        <v>3</v>
      </c>
      <c r="U416">
        <f t="shared" si="33"/>
        <v>1</v>
      </c>
      <c r="V416">
        <f t="shared" si="34"/>
        <v>0</v>
      </c>
    </row>
    <row r="417" spans="1:22" x14ac:dyDescent="0.25">
      <c r="A417">
        <v>414</v>
      </c>
      <c r="B417" t="s">
        <v>5</v>
      </c>
      <c r="C417" t="s">
        <v>73</v>
      </c>
      <c r="D417" s="4">
        <v>45778</v>
      </c>
      <c r="E417" t="s">
        <v>2809</v>
      </c>
      <c r="F417" t="s">
        <v>75</v>
      </c>
      <c r="I417" s="6">
        <v>0</v>
      </c>
      <c r="J417" s="6">
        <v>0</v>
      </c>
      <c r="K417" s="6">
        <v>0</v>
      </c>
      <c r="L417" s="6">
        <v>1</v>
      </c>
      <c r="M417" s="6">
        <v>0</v>
      </c>
      <c r="N417" s="6">
        <v>0</v>
      </c>
      <c r="O417" s="6">
        <v>1</v>
      </c>
      <c r="P417" s="6">
        <v>0</v>
      </c>
      <c r="Q417">
        <v>1</v>
      </c>
      <c r="R417">
        <f t="shared" si="30"/>
        <v>0</v>
      </c>
      <c r="S417">
        <f t="shared" si="31"/>
        <v>1</v>
      </c>
      <c r="T417">
        <f t="shared" si="32"/>
        <v>2</v>
      </c>
      <c r="U417">
        <f t="shared" si="33"/>
        <v>1</v>
      </c>
      <c r="V417">
        <f t="shared" si="34"/>
        <v>0</v>
      </c>
    </row>
    <row r="418" spans="1:22" x14ac:dyDescent="0.25">
      <c r="A418">
        <v>415</v>
      </c>
      <c r="B418" t="s">
        <v>5</v>
      </c>
      <c r="C418" t="s">
        <v>73</v>
      </c>
      <c r="D418" s="4">
        <v>45778</v>
      </c>
      <c r="E418" t="s">
        <v>2808</v>
      </c>
      <c r="F418" t="s">
        <v>75</v>
      </c>
      <c r="I418" s="6"/>
      <c r="J418" s="6"/>
      <c r="K418" s="6"/>
      <c r="L418" s="6"/>
      <c r="M418" s="6"/>
      <c r="N418" s="6"/>
      <c r="O418" s="6"/>
      <c r="P418" s="6"/>
      <c r="Q418">
        <v>0</v>
      </c>
      <c r="R418">
        <f t="shared" si="30"/>
        <v>0</v>
      </c>
      <c r="S418">
        <f t="shared" si="31"/>
        <v>0</v>
      </c>
      <c r="T418">
        <f t="shared" si="32"/>
        <v>0</v>
      </c>
      <c r="U418">
        <f t="shared" si="33"/>
        <v>0</v>
      </c>
      <c r="V418">
        <f t="shared" si="34"/>
        <v>0</v>
      </c>
    </row>
    <row r="419" spans="1:22" x14ac:dyDescent="0.25">
      <c r="A419">
        <v>416</v>
      </c>
      <c r="B419" t="s">
        <v>5</v>
      </c>
      <c r="C419" t="s">
        <v>73</v>
      </c>
      <c r="D419" s="4">
        <v>45778</v>
      </c>
      <c r="E419" t="s">
        <v>230</v>
      </c>
      <c r="F419" t="s">
        <v>75</v>
      </c>
      <c r="I419" s="6">
        <v>1</v>
      </c>
      <c r="J419" s="6">
        <v>0</v>
      </c>
      <c r="K419" s="6">
        <v>0</v>
      </c>
      <c r="L419" s="6">
        <v>0</v>
      </c>
      <c r="M419" s="6">
        <v>1</v>
      </c>
      <c r="N419" s="6">
        <v>1</v>
      </c>
      <c r="O419" s="6">
        <v>0</v>
      </c>
      <c r="P419" s="6">
        <v>0</v>
      </c>
      <c r="Q419">
        <v>1</v>
      </c>
      <c r="R419">
        <f t="shared" si="30"/>
        <v>0</v>
      </c>
      <c r="S419">
        <f t="shared" si="31"/>
        <v>1</v>
      </c>
      <c r="T419">
        <f t="shared" si="32"/>
        <v>3</v>
      </c>
      <c r="U419">
        <f t="shared" si="33"/>
        <v>1</v>
      </c>
      <c r="V419">
        <f t="shared" si="34"/>
        <v>0</v>
      </c>
    </row>
    <row r="420" spans="1:22" x14ac:dyDescent="0.25">
      <c r="A420">
        <v>417</v>
      </c>
      <c r="B420" t="s">
        <v>5</v>
      </c>
      <c r="C420" t="s">
        <v>73</v>
      </c>
      <c r="D420" s="4">
        <v>45778</v>
      </c>
      <c r="E420" t="s">
        <v>2807</v>
      </c>
      <c r="F420" t="s">
        <v>75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>
        <v>1</v>
      </c>
      <c r="R420">
        <f t="shared" si="30"/>
        <v>0</v>
      </c>
      <c r="S420">
        <f t="shared" si="31"/>
        <v>1</v>
      </c>
      <c r="T420">
        <f t="shared" si="32"/>
        <v>0</v>
      </c>
      <c r="U420">
        <f t="shared" si="33"/>
        <v>0</v>
      </c>
      <c r="V420">
        <f t="shared" si="34"/>
        <v>0</v>
      </c>
    </row>
    <row r="421" spans="1:22" x14ac:dyDescent="0.25">
      <c r="A421">
        <v>418</v>
      </c>
      <c r="B421" t="s">
        <v>5</v>
      </c>
      <c r="C421" t="s">
        <v>73</v>
      </c>
      <c r="D421" s="4">
        <v>45778</v>
      </c>
      <c r="E421" t="s">
        <v>2806</v>
      </c>
      <c r="F421" t="s">
        <v>75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>
        <v>1</v>
      </c>
      <c r="R421">
        <f t="shared" si="30"/>
        <v>0</v>
      </c>
      <c r="S421">
        <f t="shared" si="31"/>
        <v>1</v>
      </c>
      <c r="T421">
        <f t="shared" si="32"/>
        <v>0</v>
      </c>
      <c r="U421">
        <f t="shared" si="33"/>
        <v>0</v>
      </c>
      <c r="V421">
        <f t="shared" si="34"/>
        <v>0</v>
      </c>
    </row>
    <row r="422" spans="1:22" x14ac:dyDescent="0.25">
      <c r="A422">
        <v>419</v>
      </c>
      <c r="B422" t="s">
        <v>5</v>
      </c>
      <c r="C422" t="s">
        <v>73</v>
      </c>
      <c r="D422" s="4">
        <v>45778</v>
      </c>
      <c r="E422" t="s">
        <v>2805</v>
      </c>
      <c r="F422" t="s">
        <v>75</v>
      </c>
      <c r="I422" s="6">
        <v>0</v>
      </c>
      <c r="J422" s="6">
        <v>0</v>
      </c>
      <c r="K422" s="6">
        <v>0</v>
      </c>
      <c r="L422" s="6">
        <v>1</v>
      </c>
      <c r="M422" s="6">
        <v>0</v>
      </c>
      <c r="N422" s="6">
        <v>0</v>
      </c>
      <c r="O422" s="6">
        <v>0</v>
      </c>
      <c r="P422" s="6">
        <v>0</v>
      </c>
      <c r="Q422">
        <v>1</v>
      </c>
      <c r="R422">
        <f t="shared" si="30"/>
        <v>0</v>
      </c>
      <c r="S422">
        <f t="shared" si="31"/>
        <v>1</v>
      </c>
      <c r="T422">
        <f t="shared" si="32"/>
        <v>1</v>
      </c>
      <c r="U422">
        <f t="shared" si="33"/>
        <v>1</v>
      </c>
      <c r="V422">
        <f t="shared" si="34"/>
        <v>0</v>
      </c>
    </row>
    <row r="423" spans="1:22" x14ac:dyDescent="0.25">
      <c r="A423">
        <v>420</v>
      </c>
      <c r="B423" t="s">
        <v>5</v>
      </c>
      <c r="C423" t="s">
        <v>73</v>
      </c>
      <c r="D423" s="4">
        <v>45779</v>
      </c>
      <c r="E423" t="s">
        <v>248</v>
      </c>
      <c r="F423" t="s">
        <v>75</v>
      </c>
      <c r="I423" s="6"/>
      <c r="J423" s="6"/>
      <c r="K423" s="6"/>
      <c r="L423" s="6"/>
      <c r="M423" s="6"/>
      <c r="N423" s="6"/>
      <c r="O423" s="6"/>
      <c r="P423" s="6"/>
      <c r="Q423">
        <v>0</v>
      </c>
      <c r="R423">
        <f t="shared" si="30"/>
        <v>0</v>
      </c>
      <c r="S423">
        <f t="shared" si="31"/>
        <v>0</v>
      </c>
      <c r="T423">
        <f t="shared" si="32"/>
        <v>0</v>
      </c>
      <c r="U423">
        <f t="shared" si="33"/>
        <v>0</v>
      </c>
      <c r="V423">
        <f t="shared" si="34"/>
        <v>0</v>
      </c>
    </row>
    <row r="424" spans="1:22" x14ac:dyDescent="0.25">
      <c r="A424">
        <v>421</v>
      </c>
      <c r="B424" t="s">
        <v>5</v>
      </c>
      <c r="C424" t="s">
        <v>73</v>
      </c>
      <c r="D424" s="4">
        <v>45779</v>
      </c>
      <c r="E424" t="s">
        <v>249</v>
      </c>
      <c r="F424" t="s">
        <v>75</v>
      </c>
      <c r="I424" s="6"/>
      <c r="J424" s="6"/>
      <c r="K424" s="6"/>
      <c r="L424" s="6"/>
      <c r="M424" s="6"/>
      <c r="N424" s="6"/>
      <c r="O424" s="6"/>
      <c r="P424" s="6"/>
      <c r="Q424">
        <v>0</v>
      </c>
      <c r="R424">
        <f t="shared" si="30"/>
        <v>0</v>
      </c>
      <c r="S424">
        <f t="shared" si="31"/>
        <v>0</v>
      </c>
      <c r="T424">
        <f t="shared" si="32"/>
        <v>0</v>
      </c>
      <c r="U424">
        <f t="shared" si="33"/>
        <v>0</v>
      </c>
      <c r="V424">
        <f t="shared" si="34"/>
        <v>0</v>
      </c>
    </row>
    <row r="425" spans="1:22" x14ac:dyDescent="0.25">
      <c r="A425">
        <v>422</v>
      </c>
      <c r="B425" t="s">
        <v>5</v>
      </c>
      <c r="C425" t="s">
        <v>73</v>
      </c>
      <c r="D425" s="4">
        <v>45779</v>
      </c>
      <c r="E425" t="s">
        <v>2804</v>
      </c>
      <c r="F425" t="s">
        <v>75</v>
      </c>
      <c r="I425" s="6"/>
      <c r="J425" s="6"/>
      <c r="K425" s="6"/>
      <c r="L425" s="6"/>
      <c r="M425" s="6"/>
      <c r="N425" s="6"/>
      <c r="O425" s="6"/>
      <c r="P425" s="6"/>
      <c r="Q425">
        <v>0</v>
      </c>
      <c r="R425">
        <f t="shared" si="30"/>
        <v>0</v>
      </c>
      <c r="S425">
        <f t="shared" si="31"/>
        <v>0</v>
      </c>
      <c r="T425">
        <f t="shared" si="32"/>
        <v>0</v>
      </c>
      <c r="U425">
        <f t="shared" si="33"/>
        <v>0</v>
      </c>
      <c r="V425">
        <f t="shared" si="34"/>
        <v>0</v>
      </c>
    </row>
    <row r="426" spans="1:22" x14ac:dyDescent="0.25">
      <c r="A426">
        <v>423</v>
      </c>
      <c r="B426" t="s">
        <v>5</v>
      </c>
      <c r="C426" t="s">
        <v>73</v>
      </c>
      <c r="D426" s="4">
        <v>45779</v>
      </c>
      <c r="E426" t="s">
        <v>231</v>
      </c>
      <c r="F426" t="s">
        <v>75</v>
      </c>
      <c r="I426" s="6">
        <v>1</v>
      </c>
      <c r="J426" s="6">
        <v>0</v>
      </c>
      <c r="K426" s="6">
        <v>0</v>
      </c>
      <c r="L426" s="6">
        <v>0</v>
      </c>
      <c r="M426" s="6">
        <v>1</v>
      </c>
      <c r="N426" s="6">
        <v>1</v>
      </c>
      <c r="O426" s="6">
        <v>0</v>
      </c>
      <c r="P426" s="6">
        <v>0</v>
      </c>
      <c r="Q426">
        <v>1</v>
      </c>
      <c r="R426">
        <f t="shared" si="30"/>
        <v>0</v>
      </c>
      <c r="S426">
        <f t="shared" si="31"/>
        <v>1</v>
      </c>
      <c r="T426">
        <f t="shared" si="32"/>
        <v>3</v>
      </c>
      <c r="U426">
        <f t="shared" si="33"/>
        <v>1</v>
      </c>
      <c r="V426">
        <f t="shared" si="34"/>
        <v>0</v>
      </c>
    </row>
    <row r="427" spans="1:22" x14ac:dyDescent="0.25">
      <c r="A427">
        <v>424</v>
      </c>
      <c r="B427" t="s">
        <v>5</v>
      </c>
      <c r="C427" t="s">
        <v>73</v>
      </c>
      <c r="D427" s="4">
        <v>45779</v>
      </c>
      <c r="E427" t="s">
        <v>2803</v>
      </c>
      <c r="F427" t="s">
        <v>75</v>
      </c>
      <c r="I427" s="6"/>
      <c r="J427" s="6"/>
      <c r="K427" s="6"/>
      <c r="L427" s="6"/>
      <c r="M427" s="6"/>
      <c r="N427" s="6"/>
      <c r="O427" s="6"/>
      <c r="P427" s="6"/>
      <c r="Q427">
        <v>0</v>
      </c>
      <c r="R427">
        <f t="shared" si="30"/>
        <v>0</v>
      </c>
      <c r="S427">
        <f t="shared" si="31"/>
        <v>0</v>
      </c>
      <c r="T427">
        <f t="shared" si="32"/>
        <v>0</v>
      </c>
      <c r="U427">
        <f t="shared" si="33"/>
        <v>0</v>
      </c>
      <c r="V427">
        <f t="shared" si="34"/>
        <v>0</v>
      </c>
    </row>
    <row r="428" spans="1:22" x14ac:dyDescent="0.25">
      <c r="A428">
        <v>425</v>
      </c>
      <c r="B428" t="s">
        <v>5</v>
      </c>
      <c r="C428" t="s">
        <v>73</v>
      </c>
      <c r="D428" s="4">
        <v>45780</v>
      </c>
      <c r="E428" t="s">
        <v>2802</v>
      </c>
      <c r="F428" t="s">
        <v>75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>
        <v>1</v>
      </c>
      <c r="R428">
        <f t="shared" si="30"/>
        <v>0</v>
      </c>
      <c r="S428">
        <f t="shared" si="31"/>
        <v>1</v>
      </c>
      <c r="T428">
        <f t="shared" si="32"/>
        <v>0</v>
      </c>
      <c r="U428">
        <f t="shared" si="33"/>
        <v>0</v>
      </c>
      <c r="V428">
        <f t="shared" si="34"/>
        <v>0</v>
      </c>
    </row>
    <row r="429" spans="1:22" x14ac:dyDescent="0.25">
      <c r="A429">
        <v>426</v>
      </c>
      <c r="B429" t="s">
        <v>5</v>
      </c>
      <c r="C429" t="s">
        <v>73</v>
      </c>
      <c r="D429" s="4">
        <v>45780</v>
      </c>
      <c r="E429" t="s">
        <v>232</v>
      </c>
      <c r="F429" t="s">
        <v>75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>
        <v>1</v>
      </c>
      <c r="R429">
        <f t="shared" si="30"/>
        <v>0</v>
      </c>
      <c r="S429">
        <f t="shared" si="31"/>
        <v>1</v>
      </c>
      <c r="T429">
        <f t="shared" si="32"/>
        <v>0</v>
      </c>
      <c r="U429">
        <f t="shared" si="33"/>
        <v>0</v>
      </c>
      <c r="V429">
        <f t="shared" si="34"/>
        <v>0</v>
      </c>
    </row>
    <row r="430" spans="1:22" x14ac:dyDescent="0.25">
      <c r="A430">
        <v>427</v>
      </c>
      <c r="B430" t="s">
        <v>5</v>
      </c>
      <c r="C430" t="s">
        <v>73</v>
      </c>
      <c r="D430" s="4">
        <v>45780</v>
      </c>
      <c r="E430" t="s">
        <v>233</v>
      </c>
      <c r="F430" t="s">
        <v>75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>
        <v>1</v>
      </c>
      <c r="R430">
        <f t="shared" si="30"/>
        <v>0</v>
      </c>
      <c r="S430">
        <f t="shared" si="31"/>
        <v>1</v>
      </c>
      <c r="T430">
        <f t="shared" si="32"/>
        <v>0</v>
      </c>
      <c r="U430">
        <f t="shared" si="33"/>
        <v>0</v>
      </c>
      <c r="V430">
        <f t="shared" si="34"/>
        <v>0</v>
      </c>
    </row>
    <row r="431" spans="1:22" x14ac:dyDescent="0.25">
      <c r="A431">
        <v>428</v>
      </c>
      <c r="B431" t="s">
        <v>8</v>
      </c>
      <c r="C431" t="s">
        <v>73</v>
      </c>
      <c r="D431" s="4">
        <v>45693</v>
      </c>
      <c r="E431" t="s">
        <v>234</v>
      </c>
      <c r="F431" t="s">
        <v>75</v>
      </c>
      <c r="I431" s="6">
        <v>0</v>
      </c>
      <c r="J431" s="6">
        <v>0</v>
      </c>
      <c r="K431" s="6">
        <v>1</v>
      </c>
      <c r="L431" s="6">
        <v>0</v>
      </c>
      <c r="M431" s="6">
        <v>1</v>
      </c>
      <c r="N431" s="6">
        <v>0</v>
      </c>
      <c r="O431" s="6">
        <v>0</v>
      </c>
      <c r="P431" s="6">
        <v>0</v>
      </c>
      <c r="Q431">
        <v>1</v>
      </c>
      <c r="R431">
        <f t="shared" si="30"/>
        <v>0</v>
      </c>
      <c r="S431">
        <f t="shared" si="31"/>
        <v>1</v>
      </c>
      <c r="T431">
        <f t="shared" si="32"/>
        <v>2</v>
      </c>
      <c r="U431">
        <f t="shared" si="33"/>
        <v>1</v>
      </c>
      <c r="V431">
        <f t="shared" si="34"/>
        <v>0</v>
      </c>
    </row>
    <row r="432" spans="1:22" x14ac:dyDescent="0.25">
      <c r="A432">
        <v>429</v>
      </c>
      <c r="B432" t="s">
        <v>8</v>
      </c>
      <c r="C432" t="s">
        <v>73</v>
      </c>
      <c r="D432" s="4">
        <v>45706</v>
      </c>
      <c r="E432" t="s">
        <v>235</v>
      </c>
      <c r="F432" t="s">
        <v>75</v>
      </c>
      <c r="I432" s="6">
        <v>0</v>
      </c>
      <c r="J432" s="6">
        <v>0</v>
      </c>
      <c r="K432" s="6">
        <v>0</v>
      </c>
      <c r="L432" s="6">
        <v>1</v>
      </c>
      <c r="M432" s="6">
        <v>0</v>
      </c>
      <c r="N432" s="6">
        <v>1</v>
      </c>
      <c r="O432" s="6">
        <v>0</v>
      </c>
      <c r="P432" s="6">
        <v>0</v>
      </c>
      <c r="Q432">
        <v>1</v>
      </c>
      <c r="R432">
        <f t="shared" si="30"/>
        <v>0</v>
      </c>
      <c r="S432">
        <f t="shared" si="31"/>
        <v>1</v>
      </c>
      <c r="T432">
        <f t="shared" si="32"/>
        <v>2</v>
      </c>
      <c r="U432">
        <f t="shared" si="33"/>
        <v>1</v>
      </c>
      <c r="V432">
        <f t="shared" si="34"/>
        <v>0</v>
      </c>
    </row>
    <row r="433" spans="1:22" x14ac:dyDescent="0.25">
      <c r="A433">
        <v>430</v>
      </c>
      <c r="B433" t="s">
        <v>8</v>
      </c>
      <c r="C433" t="s">
        <v>73</v>
      </c>
      <c r="D433" s="4">
        <v>45708</v>
      </c>
      <c r="E433" t="s">
        <v>236</v>
      </c>
      <c r="F433" t="s">
        <v>75</v>
      </c>
      <c r="I433" s="6">
        <v>0</v>
      </c>
      <c r="J433" s="6">
        <v>0</v>
      </c>
      <c r="K433" s="6">
        <v>0</v>
      </c>
      <c r="L433" s="6">
        <v>0</v>
      </c>
      <c r="M433" s="6">
        <v>1</v>
      </c>
      <c r="N433" s="6">
        <v>1</v>
      </c>
      <c r="O433" s="6">
        <v>0</v>
      </c>
      <c r="P433" s="6">
        <v>0</v>
      </c>
      <c r="Q433">
        <v>1</v>
      </c>
      <c r="R433">
        <f t="shared" si="30"/>
        <v>0</v>
      </c>
      <c r="S433">
        <f t="shared" si="31"/>
        <v>1</v>
      </c>
      <c r="T433">
        <f t="shared" si="32"/>
        <v>2</v>
      </c>
      <c r="U433">
        <f t="shared" si="33"/>
        <v>1</v>
      </c>
      <c r="V433">
        <f t="shared" si="34"/>
        <v>0</v>
      </c>
    </row>
    <row r="434" spans="1:22" x14ac:dyDescent="0.25">
      <c r="A434">
        <v>431</v>
      </c>
      <c r="B434" t="s">
        <v>8</v>
      </c>
      <c r="C434" t="s">
        <v>73</v>
      </c>
      <c r="D434" s="4">
        <v>45708</v>
      </c>
      <c r="E434" t="s">
        <v>144</v>
      </c>
      <c r="F434" t="s">
        <v>75</v>
      </c>
      <c r="I434" s="6">
        <v>0</v>
      </c>
      <c r="J434" s="6">
        <v>0</v>
      </c>
      <c r="K434" s="6">
        <v>0</v>
      </c>
      <c r="L434" s="6">
        <v>0</v>
      </c>
      <c r="M434" s="6">
        <v>1</v>
      </c>
      <c r="N434" s="6">
        <v>0</v>
      </c>
      <c r="O434" s="6">
        <v>0</v>
      </c>
      <c r="P434" s="6">
        <v>0</v>
      </c>
      <c r="Q434">
        <v>1</v>
      </c>
      <c r="R434">
        <f t="shared" si="30"/>
        <v>0</v>
      </c>
      <c r="S434">
        <f t="shared" si="31"/>
        <v>1</v>
      </c>
      <c r="T434">
        <f t="shared" si="32"/>
        <v>1</v>
      </c>
      <c r="U434">
        <f t="shared" si="33"/>
        <v>1</v>
      </c>
      <c r="V434">
        <f t="shared" si="34"/>
        <v>0</v>
      </c>
    </row>
    <row r="435" spans="1:22" x14ac:dyDescent="0.25">
      <c r="A435">
        <v>432</v>
      </c>
      <c r="B435" t="s">
        <v>8</v>
      </c>
      <c r="C435" t="s">
        <v>73</v>
      </c>
      <c r="D435" s="4">
        <v>45716</v>
      </c>
      <c r="E435" t="s">
        <v>237</v>
      </c>
      <c r="F435" t="s">
        <v>75</v>
      </c>
      <c r="I435" s="6">
        <v>1</v>
      </c>
      <c r="J435" s="6">
        <v>0</v>
      </c>
      <c r="K435" s="6">
        <v>0</v>
      </c>
      <c r="L435" s="6">
        <v>0</v>
      </c>
      <c r="M435" s="6">
        <v>1</v>
      </c>
      <c r="N435" s="6">
        <v>0</v>
      </c>
      <c r="O435" s="6">
        <v>0</v>
      </c>
      <c r="P435" s="6">
        <v>0</v>
      </c>
      <c r="Q435">
        <v>1</v>
      </c>
      <c r="R435">
        <f t="shared" si="30"/>
        <v>0</v>
      </c>
      <c r="S435">
        <f t="shared" si="31"/>
        <v>1</v>
      </c>
      <c r="T435">
        <f t="shared" si="32"/>
        <v>2</v>
      </c>
      <c r="U435">
        <f t="shared" si="33"/>
        <v>1</v>
      </c>
      <c r="V435">
        <f t="shared" si="34"/>
        <v>0</v>
      </c>
    </row>
    <row r="436" spans="1:22" x14ac:dyDescent="0.25">
      <c r="A436">
        <v>433</v>
      </c>
      <c r="B436" t="s">
        <v>8</v>
      </c>
      <c r="C436" t="s">
        <v>73</v>
      </c>
      <c r="D436" s="4">
        <v>45719</v>
      </c>
      <c r="E436" t="s">
        <v>161</v>
      </c>
      <c r="F436" t="s">
        <v>75</v>
      </c>
      <c r="I436" s="6">
        <v>0</v>
      </c>
      <c r="J436" s="6">
        <v>0</v>
      </c>
      <c r="K436" s="6">
        <v>0</v>
      </c>
      <c r="L436" s="6">
        <v>0</v>
      </c>
      <c r="M436" s="6">
        <v>1</v>
      </c>
      <c r="N436" s="6">
        <v>0</v>
      </c>
      <c r="O436" s="6">
        <v>0</v>
      </c>
      <c r="P436" s="6">
        <v>0</v>
      </c>
      <c r="Q436">
        <v>1</v>
      </c>
      <c r="R436">
        <f t="shared" si="30"/>
        <v>0</v>
      </c>
      <c r="S436">
        <f t="shared" si="31"/>
        <v>1</v>
      </c>
      <c r="T436">
        <f t="shared" si="32"/>
        <v>1</v>
      </c>
      <c r="U436">
        <f t="shared" si="33"/>
        <v>1</v>
      </c>
      <c r="V436">
        <f t="shared" si="34"/>
        <v>0</v>
      </c>
    </row>
    <row r="437" spans="1:22" x14ac:dyDescent="0.25">
      <c r="A437">
        <v>434</v>
      </c>
      <c r="B437" t="s">
        <v>8</v>
      </c>
      <c r="C437" t="s">
        <v>73</v>
      </c>
      <c r="D437" s="4">
        <v>45720</v>
      </c>
      <c r="E437" t="s">
        <v>238</v>
      </c>
      <c r="F437" t="s">
        <v>75</v>
      </c>
      <c r="I437" s="6">
        <v>0</v>
      </c>
      <c r="J437" s="6">
        <v>0</v>
      </c>
      <c r="K437" s="6">
        <v>0</v>
      </c>
      <c r="L437" s="6">
        <v>1</v>
      </c>
      <c r="M437" s="6">
        <v>1</v>
      </c>
      <c r="N437" s="6">
        <v>0</v>
      </c>
      <c r="O437" s="6">
        <v>0</v>
      </c>
      <c r="P437" s="6">
        <v>0</v>
      </c>
      <c r="Q437">
        <v>1</v>
      </c>
      <c r="R437">
        <f t="shared" si="30"/>
        <v>0</v>
      </c>
      <c r="S437">
        <f t="shared" si="31"/>
        <v>1</v>
      </c>
      <c r="T437">
        <f t="shared" si="32"/>
        <v>2</v>
      </c>
      <c r="U437">
        <f t="shared" si="33"/>
        <v>1</v>
      </c>
      <c r="V437">
        <f t="shared" si="34"/>
        <v>0</v>
      </c>
    </row>
    <row r="438" spans="1:22" x14ac:dyDescent="0.25">
      <c r="A438">
        <v>435</v>
      </c>
      <c r="B438" t="s">
        <v>8</v>
      </c>
      <c r="C438" t="s">
        <v>73</v>
      </c>
      <c r="D438" s="4">
        <v>45726</v>
      </c>
      <c r="E438" t="s">
        <v>239</v>
      </c>
      <c r="F438" t="s">
        <v>75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>
        <v>1</v>
      </c>
      <c r="R438">
        <f t="shared" si="30"/>
        <v>0</v>
      </c>
      <c r="S438">
        <f t="shared" si="31"/>
        <v>1</v>
      </c>
      <c r="T438">
        <f t="shared" si="32"/>
        <v>0</v>
      </c>
      <c r="U438">
        <f t="shared" si="33"/>
        <v>0</v>
      </c>
      <c r="V438">
        <f t="shared" si="34"/>
        <v>0</v>
      </c>
    </row>
    <row r="439" spans="1:22" x14ac:dyDescent="0.25">
      <c r="A439">
        <v>436</v>
      </c>
      <c r="B439" t="s">
        <v>8</v>
      </c>
      <c r="C439" t="s">
        <v>73</v>
      </c>
      <c r="D439" s="4">
        <v>45758</v>
      </c>
      <c r="E439" t="s">
        <v>240</v>
      </c>
      <c r="F439" t="s">
        <v>75</v>
      </c>
      <c r="I439" s="6">
        <v>0</v>
      </c>
      <c r="J439" s="6">
        <v>0</v>
      </c>
      <c r="K439" s="6">
        <v>0</v>
      </c>
      <c r="L439" s="6">
        <v>1</v>
      </c>
      <c r="M439" s="6">
        <v>0</v>
      </c>
      <c r="N439" s="6">
        <v>0</v>
      </c>
      <c r="O439" s="6">
        <v>0</v>
      </c>
      <c r="P439" s="6">
        <v>0</v>
      </c>
      <c r="Q439">
        <v>1</v>
      </c>
      <c r="R439">
        <f t="shared" si="30"/>
        <v>0</v>
      </c>
      <c r="S439">
        <f t="shared" si="31"/>
        <v>1</v>
      </c>
      <c r="T439">
        <f t="shared" si="32"/>
        <v>1</v>
      </c>
      <c r="U439">
        <f t="shared" si="33"/>
        <v>1</v>
      </c>
      <c r="V439">
        <f t="shared" si="34"/>
        <v>0</v>
      </c>
    </row>
    <row r="440" spans="1:22" x14ac:dyDescent="0.25">
      <c r="A440">
        <v>437</v>
      </c>
      <c r="B440" t="s">
        <v>8</v>
      </c>
      <c r="C440" t="s">
        <v>73</v>
      </c>
      <c r="D440" s="4">
        <v>45759</v>
      </c>
      <c r="E440" t="s">
        <v>241</v>
      </c>
      <c r="F440" t="s">
        <v>75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1</v>
      </c>
      <c r="O440" s="6">
        <v>0</v>
      </c>
      <c r="P440" s="6">
        <v>0</v>
      </c>
      <c r="Q440">
        <v>1</v>
      </c>
      <c r="R440">
        <f t="shared" si="30"/>
        <v>0</v>
      </c>
      <c r="S440">
        <f t="shared" si="31"/>
        <v>1</v>
      </c>
      <c r="T440">
        <f t="shared" si="32"/>
        <v>1</v>
      </c>
      <c r="U440">
        <f t="shared" si="33"/>
        <v>1</v>
      </c>
      <c r="V440">
        <f t="shared" si="34"/>
        <v>0</v>
      </c>
    </row>
    <row r="441" spans="1:22" x14ac:dyDescent="0.25">
      <c r="A441">
        <v>438</v>
      </c>
      <c r="B441" t="s">
        <v>8</v>
      </c>
      <c r="C441" t="s">
        <v>73</v>
      </c>
      <c r="D441" s="4">
        <v>45761</v>
      </c>
      <c r="E441" t="s">
        <v>242</v>
      </c>
      <c r="F441" t="s">
        <v>75</v>
      </c>
      <c r="I441" s="6">
        <v>0</v>
      </c>
      <c r="J441" s="6">
        <v>0</v>
      </c>
      <c r="K441" s="6">
        <v>0</v>
      </c>
      <c r="L441" s="6">
        <v>0</v>
      </c>
      <c r="M441" s="6">
        <v>1</v>
      </c>
      <c r="N441" s="6">
        <v>0</v>
      </c>
      <c r="O441" s="6">
        <v>0</v>
      </c>
      <c r="P441" s="6">
        <v>0</v>
      </c>
      <c r="Q441">
        <v>1</v>
      </c>
      <c r="R441">
        <f t="shared" si="30"/>
        <v>0</v>
      </c>
      <c r="S441">
        <f t="shared" si="31"/>
        <v>1</v>
      </c>
      <c r="T441">
        <f t="shared" si="32"/>
        <v>1</v>
      </c>
      <c r="U441">
        <f t="shared" si="33"/>
        <v>1</v>
      </c>
      <c r="V441">
        <f t="shared" si="34"/>
        <v>0</v>
      </c>
    </row>
    <row r="442" spans="1:22" x14ac:dyDescent="0.25">
      <c r="A442">
        <v>439</v>
      </c>
      <c r="B442" t="s">
        <v>8</v>
      </c>
      <c r="C442" t="s">
        <v>73</v>
      </c>
      <c r="D442" s="4">
        <v>45763</v>
      </c>
      <c r="E442" t="s">
        <v>243</v>
      </c>
      <c r="F442" t="s">
        <v>75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>
        <v>1</v>
      </c>
      <c r="R442">
        <f t="shared" si="30"/>
        <v>0</v>
      </c>
      <c r="S442">
        <f t="shared" si="31"/>
        <v>1</v>
      </c>
      <c r="T442">
        <f t="shared" si="32"/>
        <v>0</v>
      </c>
      <c r="U442">
        <f t="shared" si="33"/>
        <v>0</v>
      </c>
      <c r="V442">
        <f t="shared" si="34"/>
        <v>0</v>
      </c>
    </row>
    <row r="443" spans="1:22" x14ac:dyDescent="0.25">
      <c r="A443">
        <v>440</v>
      </c>
      <c r="B443" t="s">
        <v>8</v>
      </c>
      <c r="C443" t="s">
        <v>73</v>
      </c>
      <c r="D443" s="4">
        <v>45764</v>
      </c>
      <c r="E443" t="s">
        <v>210</v>
      </c>
      <c r="F443" t="s">
        <v>75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>
        <v>1</v>
      </c>
      <c r="R443">
        <f t="shared" si="30"/>
        <v>0</v>
      </c>
      <c r="S443">
        <f t="shared" si="31"/>
        <v>1</v>
      </c>
      <c r="T443">
        <f t="shared" si="32"/>
        <v>0</v>
      </c>
      <c r="U443">
        <f t="shared" si="33"/>
        <v>0</v>
      </c>
      <c r="V443">
        <f t="shared" si="34"/>
        <v>0</v>
      </c>
    </row>
    <row r="444" spans="1:22" x14ac:dyDescent="0.25">
      <c r="A444">
        <v>441</v>
      </c>
      <c r="B444" t="s">
        <v>8</v>
      </c>
      <c r="C444" t="s">
        <v>73</v>
      </c>
      <c r="D444" s="4">
        <v>45767</v>
      </c>
      <c r="E444" t="s">
        <v>244</v>
      </c>
      <c r="F444" t="s">
        <v>75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>
        <v>1</v>
      </c>
      <c r="R444">
        <f t="shared" si="30"/>
        <v>0</v>
      </c>
      <c r="S444">
        <f t="shared" si="31"/>
        <v>1</v>
      </c>
      <c r="T444">
        <f t="shared" si="32"/>
        <v>0</v>
      </c>
      <c r="U444">
        <f t="shared" si="33"/>
        <v>0</v>
      </c>
      <c r="V444">
        <f t="shared" si="34"/>
        <v>0</v>
      </c>
    </row>
    <row r="445" spans="1:22" x14ac:dyDescent="0.25">
      <c r="A445">
        <v>442</v>
      </c>
      <c r="B445" t="s">
        <v>8</v>
      </c>
      <c r="C445" t="s">
        <v>73</v>
      </c>
      <c r="D445" s="4">
        <v>45772</v>
      </c>
      <c r="E445" t="s">
        <v>212</v>
      </c>
      <c r="F445" t="s">
        <v>75</v>
      </c>
      <c r="I445" s="6">
        <v>0</v>
      </c>
      <c r="J445" s="6">
        <v>0</v>
      </c>
      <c r="K445" s="6">
        <v>0</v>
      </c>
      <c r="L445" s="6">
        <v>1</v>
      </c>
      <c r="M445" s="6">
        <v>0</v>
      </c>
      <c r="N445" s="6">
        <v>0</v>
      </c>
      <c r="O445" s="6">
        <v>0</v>
      </c>
      <c r="P445" s="6">
        <v>0</v>
      </c>
      <c r="Q445">
        <v>1</v>
      </c>
      <c r="R445">
        <f t="shared" si="30"/>
        <v>0</v>
      </c>
      <c r="S445">
        <f t="shared" si="31"/>
        <v>1</v>
      </c>
      <c r="T445">
        <f t="shared" si="32"/>
        <v>1</v>
      </c>
      <c r="U445">
        <f t="shared" si="33"/>
        <v>1</v>
      </c>
      <c r="V445">
        <f t="shared" si="34"/>
        <v>0</v>
      </c>
    </row>
    <row r="446" spans="1:22" x14ac:dyDescent="0.25">
      <c r="A446">
        <v>443</v>
      </c>
      <c r="B446" t="s">
        <v>8</v>
      </c>
      <c r="C446" t="s">
        <v>73</v>
      </c>
      <c r="D446" s="4">
        <v>45772</v>
      </c>
      <c r="E446" t="s">
        <v>213</v>
      </c>
      <c r="F446" t="s">
        <v>75</v>
      </c>
      <c r="I446" s="6">
        <v>0</v>
      </c>
      <c r="J446" s="6">
        <v>0</v>
      </c>
      <c r="K446" s="6">
        <v>0</v>
      </c>
      <c r="L446" s="6">
        <v>1</v>
      </c>
      <c r="M446" s="6">
        <v>0</v>
      </c>
      <c r="N446" s="6">
        <v>0</v>
      </c>
      <c r="O446" s="6">
        <v>0</v>
      </c>
      <c r="P446" s="6">
        <v>0</v>
      </c>
      <c r="Q446">
        <v>1</v>
      </c>
      <c r="R446">
        <f t="shared" si="30"/>
        <v>0</v>
      </c>
      <c r="S446">
        <f t="shared" si="31"/>
        <v>1</v>
      </c>
      <c r="T446">
        <f t="shared" si="32"/>
        <v>1</v>
      </c>
      <c r="U446">
        <f t="shared" si="33"/>
        <v>1</v>
      </c>
      <c r="V446">
        <f t="shared" si="34"/>
        <v>0</v>
      </c>
    </row>
    <row r="447" spans="1:22" x14ac:dyDescent="0.25">
      <c r="A447">
        <v>444</v>
      </c>
      <c r="B447" t="s">
        <v>8</v>
      </c>
      <c r="C447" t="s">
        <v>73</v>
      </c>
      <c r="D447" s="4">
        <v>45774</v>
      </c>
      <c r="E447" t="s">
        <v>245</v>
      </c>
      <c r="F447" t="s">
        <v>75</v>
      </c>
      <c r="I447" s="6">
        <v>0</v>
      </c>
      <c r="J447" s="6">
        <v>0</v>
      </c>
      <c r="K447" s="6">
        <v>0</v>
      </c>
      <c r="L447" s="6">
        <v>0</v>
      </c>
      <c r="M447" s="6">
        <v>1</v>
      </c>
      <c r="N447" s="6">
        <v>1</v>
      </c>
      <c r="O447" s="6">
        <v>0</v>
      </c>
      <c r="P447" s="6">
        <v>0</v>
      </c>
      <c r="Q447">
        <v>1</v>
      </c>
      <c r="R447">
        <f t="shared" si="30"/>
        <v>0</v>
      </c>
      <c r="S447">
        <f t="shared" si="31"/>
        <v>1</v>
      </c>
      <c r="T447">
        <f t="shared" si="32"/>
        <v>2</v>
      </c>
      <c r="U447">
        <f t="shared" si="33"/>
        <v>1</v>
      </c>
      <c r="V447">
        <f t="shared" si="34"/>
        <v>0</v>
      </c>
    </row>
    <row r="448" spans="1:22" x14ac:dyDescent="0.25">
      <c r="A448">
        <v>445</v>
      </c>
      <c r="B448" t="s">
        <v>8</v>
      </c>
      <c r="C448" t="s">
        <v>73</v>
      </c>
      <c r="D448" s="4">
        <v>45775</v>
      </c>
      <c r="E448" t="s">
        <v>246</v>
      </c>
      <c r="F448" t="s">
        <v>75</v>
      </c>
      <c r="I448" s="6">
        <v>0</v>
      </c>
      <c r="J448" s="6">
        <v>0</v>
      </c>
      <c r="K448" s="6">
        <v>0</v>
      </c>
      <c r="L448" s="6">
        <v>1</v>
      </c>
      <c r="M448" s="6">
        <v>0</v>
      </c>
      <c r="N448" s="6">
        <v>0</v>
      </c>
      <c r="O448" s="6">
        <v>0</v>
      </c>
      <c r="P448" s="6">
        <v>0</v>
      </c>
      <c r="Q448">
        <v>1</v>
      </c>
      <c r="R448">
        <f t="shared" si="30"/>
        <v>0</v>
      </c>
      <c r="S448">
        <f t="shared" si="31"/>
        <v>1</v>
      </c>
      <c r="T448">
        <f t="shared" si="32"/>
        <v>1</v>
      </c>
      <c r="U448">
        <f t="shared" si="33"/>
        <v>1</v>
      </c>
      <c r="V448">
        <f t="shared" si="34"/>
        <v>0</v>
      </c>
    </row>
    <row r="449" spans="1:22" x14ac:dyDescent="0.25">
      <c r="A449">
        <v>446</v>
      </c>
      <c r="B449" t="s">
        <v>8</v>
      </c>
      <c r="C449" t="s">
        <v>73</v>
      </c>
      <c r="D449" s="4">
        <v>45778</v>
      </c>
      <c r="E449" t="s">
        <v>247</v>
      </c>
      <c r="F449" t="s">
        <v>75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1</v>
      </c>
      <c r="O449" s="6">
        <v>0</v>
      </c>
      <c r="P449" s="6">
        <v>0</v>
      </c>
      <c r="Q449">
        <v>1</v>
      </c>
      <c r="R449">
        <f t="shared" si="30"/>
        <v>0</v>
      </c>
      <c r="S449">
        <f t="shared" si="31"/>
        <v>1</v>
      </c>
      <c r="T449">
        <f t="shared" si="32"/>
        <v>1</v>
      </c>
      <c r="U449">
        <f t="shared" si="33"/>
        <v>1</v>
      </c>
      <c r="V449">
        <f t="shared" si="34"/>
        <v>0</v>
      </c>
    </row>
    <row r="450" spans="1:22" x14ac:dyDescent="0.25">
      <c r="A450">
        <v>447</v>
      </c>
      <c r="B450" t="s">
        <v>8</v>
      </c>
      <c r="C450" t="s">
        <v>73</v>
      </c>
      <c r="D450" s="4">
        <v>45779</v>
      </c>
      <c r="E450" t="s">
        <v>248</v>
      </c>
      <c r="F450" t="s">
        <v>75</v>
      </c>
      <c r="I450" s="6">
        <v>0</v>
      </c>
      <c r="J450" s="6">
        <v>0</v>
      </c>
      <c r="K450" s="6">
        <v>0</v>
      </c>
      <c r="L450" s="6">
        <v>0</v>
      </c>
      <c r="M450" s="6">
        <v>1</v>
      </c>
      <c r="N450" s="6">
        <v>1</v>
      </c>
      <c r="O450" s="6">
        <v>0</v>
      </c>
      <c r="P450" s="6">
        <v>0</v>
      </c>
      <c r="Q450">
        <v>1</v>
      </c>
      <c r="R450">
        <f t="shared" si="30"/>
        <v>0</v>
      </c>
      <c r="S450">
        <f t="shared" si="31"/>
        <v>1</v>
      </c>
      <c r="T450">
        <f t="shared" si="32"/>
        <v>2</v>
      </c>
      <c r="U450">
        <f t="shared" si="33"/>
        <v>1</v>
      </c>
      <c r="V450">
        <f t="shared" si="34"/>
        <v>0</v>
      </c>
    </row>
    <row r="451" spans="1:22" x14ac:dyDescent="0.25">
      <c r="A451">
        <v>448</v>
      </c>
      <c r="B451" t="s">
        <v>8</v>
      </c>
      <c r="C451" t="s">
        <v>73</v>
      </c>
      <c r="D451" s="4">
        <v>45779</v>
      </c>
      <c r="E451" t="s">
        <v>249</v>
      </c>
      <c r="F451" t="s">
        <v>75</v>
      </c>
      <c r="I451" s="6">
        <v>1</v>
      </c>
      <c r="J451" s="6">
        <v>0</v>
      </c>
      <c r="K451" s="6">
        <v>0</v>
      </c>
      <c r="L451" s="6">
        <v>0</v>
      </c>
      <c r="M451" s="6">
        <v>1</v>
      </c>
      <c r="N451" s="6">
        <v>0</v>
      </c>
      <c r="O451" s="6">
        <v>0</v>
      </c>
      <c r="P451" s="6">
        <v>0</v>
      </c>
      <c r="Q451">
        <v>1</v>
      </c>
      <c r="R451">
        <f t="shared" ref="R451:R514" si="35">IF(AND(Q451=1,F451="ai_full"),1,0)</f>
        <v>0</v>
      </c>
      <c r="S451">
        <f t="shared" ref="S451:S514" si="36">IF(AND(Q451=1,F451="conventional"),1,0)</f>
        <v>1</v>
      </c>
      <c r="T451">
        <f t="shared" ref="T451:T514" si="37">SUM(I451:P451)</f>
        <v>2</v>
      </c>
      <c r="U451">
        <f t="shared" ref="U451:U514" si="38">IF(T451&gt;=1,1,0)</f>
        <v>1</v>
      </c>
      <c r="V451">
        <f t="shared" ref="V451:V514" si="39">IF(F451="ai_full",1,0)</f>
        <v>0</v>
      </c>
    </row>
    <row r="452" spans="1:22" x14ac:dyDescent="0.25">
      <c r="A452">
        <v>449</v>
      </c>
      <c r="B452" t="s">
        <v>12</v>
      </c>
      <c r="C452" t="s">
        <v>250</v>
      </c>
      <c r="D452" s="4">
        <v>45333</v>
      </c>
      <c r="E452" t="s">
        <v>410</v>
      </c>
      <c r="F452" t="s">
        <v>75</v>
      </c>
      <c r="I452" s="6">
        <v>0</v>
      </c>
      <c r="J452" s="6">
        <v>0</v>
      </c>
      <c r="K452" s="6">
        <v>1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>
        <v>1</v>
      </c>
      <c r="R452">
        <f t="shared" si="35"/>
        <v>0</v>
      </c>
      <c r="S452">
        <f t="shared" si="36"/>
        <v>1</v>
      </c>
      <c r="T452">
        <f t="shared" si="37"/>
        <v>1</v>
      </c>
      <c r="U452">
        <f t="shared" si="38"/>
        <v>1</v>
      </c>
      <c r="V452">
        <f t="shared" si="39"/>
        <v>0</v>
      </c>
    </row>
    <row r="453" spans="1:22" x14ac:dyDescent="0.25">
      <c r="A453">
        <v>450</v>
      </c>
      <c r="B453" t="s">
        <v>12</v>
      </c>
      <c r="C453" t="s">
        <v>250</v>
      </c>
      <c r="D453" s="4">
        <v>45335</v>
      </c>
      <c r="E453" t="s">
        <v>251</v>
      </c>
      <c r="F453" t="s">
        <v>75</v>
      </c>
      <c r="I453" s="6">
        <v>1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>
        <v>1</v>
      </c>
      <c r="R453">
        <f t="shared" si="35"/>
        <v>0</v>
      </c>
      <c r="S453">
        <f t="shared" si="36"/>
        <v>1</v>
      </c>
      <c r="T453">
        <f t="shared" si="37"/>
        <v>1</v>
      </c>
      <c r="U453">
        <f t="shared" si="38"/>
        <v>1</v>
      </c>
      <c r="V453">
        <f t="shared" si="39"/>
        <v>0</v>
      </c>
    </row>
    <row r="454" spans="1:22" x14ac:dyDescent="0.25">
      <c r="A454">
        <v>451</v>
      </c>
      <c r="B454" t="s">
        <v>12</v>
      </c>
      <c r="C454" t="s">
        <v>250</v>
      </c>
      <c r="D454" s="4">
        <v>45342</v>
      </c>
      <c r="E454" t="s">
        <v>1509</v>
      </c>
      <c r="F454" t="s">
        <v>75</v>
      </c>
      <c r="I454" s="6">
        <v>0</v>
      </c>
      <c r="J454" s="6">
        <v>0</v>
      </c>
      <c r="K454" s="6">
        <v>0</v>
      </c>
      <c r="L454" s="6">
        <v>0</v>
      </c>
      <c r="M454" s="6">
        <v>1</v>
      </c>
      <c r="N454" s="6">
        <v>0</v>
      </c>
      <c r="O454" s="6">
        <v>0</v>
      </c>
      <c r="P454" s="6">
        <v>0</v>
      </c>
      <c r="Q454">
        <v>1</v>
      </c>
      <c r="R454">
        <f t="shared" si="35"/>
        <v>0</v>
      </c>
      <c r="S454">
        <f t="shared" si="36"/>
        <v>1</v>
      </c>
      <c r="T454">
        <f t="shared" si="37"/>
        <v>1</v>
      </c>
      <c r="U454">
        <f t="shared" si="38"/>
        <v>1</v>
      </c>
      <c r="V454">
        <f t="shared" si="39"/>
        <v>0</v>
      </c>
    </row>
    <row r="455" spans="1:22" x14ac:dyDescent="0.25">
      <c r="A455">
        <v>452</v>
      </c>
      <c r="B455" t="s">
        <v>12</v>
      </c>
      <c r="C455" t="s">
        <v>250</v>
      </c>
      <c r="D455" s="4">
        <v>45342</v>
      </c>
      <c r="E455" t="s">
        <v>1460</v>
      </c>
      <c r="F455" t="s">
        <v>75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>
        <v>1</v>
      </c>
      <c r="R455">
        <f t="shared" si="35"/>
        <v>0</v>
      </c>
      <c r="S455">
        <f t="shared" si="36"/>
        <v>1</v>
      </c>
      <c r="T455">
        <f t="shared" si="37"/>
        <v>0</v>
      </c>
      <c r="U455">
        <f t="shared" si="38"/>
        <v>0</v>
      </c>
      <c r="V455">
        <f t="shared" si="39"/>
        <v>0</v>
      </c>
    </row>
    <row r="456" spans="1:22" x14ac:dyDescent="0.25">
      <c r="A456">
        <v>453</v>
      </c>
      <c r="B456" t="s">
        <v>12</v>
      </c>
      <c r="C456" t="s">
        <v>250</v>
      </c>
      <c r="D456" s="4">
        <v>45347</v>
      </c>
      <c r="E456" t="s">
        <v>252</v>
      </c>
      <c r="F456" t="s">
        <v>75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>
        <v>1</v>
      </c>
      <c r="R456">
        <f t="shared" si="35"/>
        <v>0</v>
      </c>
      <c r="S456">
        <f t="shared" si="36"/>
        <v>1</v>
      </c>
      <c r="T456">
        <f t="shared" si="37"/>
        <v>0</v>
      </c>
      <c r="U456">
        <f t="shared" si="38"/>
        <v>0</v>
      </c>
      <c r="V456">
        <f t="shared" si="39"/>
        <v>0</v>
      </c>
    </row>
    <row r="457" spans="1:22" x14ac:dyDescent="0.25">
      <c r="A457">
        <v>454</v>
      </c>
      <c r="B457" t="s">
        <v>12</v>
      </c>
      <c r="C457" t="s">
        <v>250</v>
      </c>
      <c r="D457" s="4">
        <v>45349</v>
      </c>
      <c r="E457" t="s">
        <v>253</v>
      </c>
      <c r="F457" t="s">
        <v>75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>
        <v>1</v>
      </c>
      <c r="R457">
        <f t="shared" si="35"/>
        <v>0</v>
      </c>
      <c r="S457">
        <f t="shared" si="36"/>
        <v>1</v>
      </c>
      <c r="T457">
        <f t="shared" si="37"/>
        <v>0</v>
      </c>
      <c r="U457">
        <f t="shared" si="38"/>
        <v>0</v>
      </c>
      <c r="V457">
        <f t="shared" si="39"/>
        <v>0</v>
      </c>
    </row>
    <row r="458" spans="1:22" x14ac:dyDescent="0.25">
      <c r="A458">
        <v>455</v>
      </c>
      <c r="B458" t="s">
        <v>12</v>
      </c>
      <c r="C458" t="s">
        <v>250</v>
      </c>
      <c r="D458" s="4">
        <v>45350</v>
      </c>
      <c r="E458" t="s">
        <v>254</v>
      </c>
      <c r="F458" t="s">
        <v>75</v>
      </c>
      <c r="I458" s="6">
        <v>1</v>
      </c>
      <c r="J458" s="6">
        <v>0</v>
      </c>
      <c r="K458" s="6">
        <v>0</v>
      </c>
      <c r="L458" s="6">
        <v>0</v>
      </c>
      <c r="M458" s="6">
        <v>1</v>
      </c>
      <c r="N458" s="6">
        <v>0</v>
      </c>
      <c r="O458" s="6">
        <v>0</v>
      </c>
      <c r="P458" s="6">
        <v>0</v>
      </c>
      <c r="Q458">
        <v>1</v>
      </c>
      <c r="R458">
        <f t="shared" si="35"/>
        <v>0</v>
      </c>
      <c r="S458">
        <f t="shared" si="36"/>
        <v>1</v>
      </c>
      <c r="T458">
        <f t="shared" si="37"/>
        <v>2</v>
      </c>
      <c r="U458">
        <f t="shared" si="38"/>
        <v>1</v>
      </c>
      <c r="V458">
        <f t="shared" si="39"/>
        <v>0</v>
      </c>
    </row>
    <row r="459" spans="1:22" x14ac:dyDescent="0.25">
      <c r="A459">
        <v>456</v>
      </c>
      <c r="B459" t="s">
        <v>12</v>
      </c>
      <c r="C459" t="s">
        <v>250</v>
      </c>
      <c r="D459" s="4">
        <v>45353</v>
      </c>
      <c r="E459" t="s">
        <v>255</v>
      </c>
      <c r="F459" t="s">
        <v>75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>
        <v>1</v>
      </c>
      <c r="R459">
        <f t="shared" si="35"/>
        <v>0</v>
      </c>
      <c r="S459">
        <f t="shared" si="36"/>
        <v>1</v>
      </c>
      <c r="T459">
        <f t="shared" si="37"/>
        <v>0</v>
      </c>
      <c r="U459">
        <f t="shared" si="38"/>
        <v>0</v>
      </c>
      <c r="V459">
        <f t="shared" si="39"/>
        <v>0</v>
      </c>
    </row>
    <row r="460" spans="1:22" x14ac:dyDescent="0.25">
      <c r="A460">
        <v>457</v>
      </c>
      <c r="B460" t="s">
        <v>12</v>
      </c>
      <c r="C460" t="s">
        <v>250</v>
      </c>
      <c r="D460" s="4">
        <v>45353</v>
      </c>
      <c r="E460" t="s">
        <v>256</v>
      </c>
      <c r="F460" t="s">
        <v>75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>
        <v>1</v>
      </c>
      <c r="R460">
        <f t="shared" si="35"/>
        <v>0</v>
      </c>
      <c r="S460">
        <f t="shared" si="36"/>
        <v>1</v>
      </c>
      <c r="T460">
        <f t="shared" si="37"/>
        <v>0</v>
      </c>
      <c r="U460">
        <f t="shared" si="38"/>
        <v>0</v>
      </c>
      <c r="V460">
        <f t="shared" si="39"/>
        <v>0</v>
      </c>
    </row>
    <row r="461" spans="1:22" x14ac:dyDescent="0.25">
      <c r="A461">
        <v>458</v>
      </c>
      <c r="B461" t="s">
        <v>12</v>
      </c>
      <c r="C461" t="s">
        <v>250</v>
      </c>
      <c r="D461" s="4">
        <v>45353</v>
      </c>
      <c r="E461" t="s">
        <v>257</v>
      </c>
      <c r="F461" t="s">
        <v>75</v>
      </c>
      <c r="I461" s="6">
        <v>1</v>
      </c>
      <c r="J461" s="6">
        <v>0</v>
      </c>
      <c r="K461" s="6">
        <v>0</v>
      </c>
      <c r="L461" s="6">
        <v>0</v>
      </c>
      <c r="M461" s="6">
        <v>1</v>
      </c>
      <c r="N461" s="6">
        <v>0</v>
      </c>
      <c r="O461" s="6">
        <v>0</v>
      </c>
      <c r="P461" s="6">
        <v>0</v>
      </c>
      <c r="Q461">
        <v>1</v>
      </c>
      <c r="R461">
        <f t="shared" si="35"/>
        <v>0</v>
      </c>
      <c r="S461">
        <f t="shared" si="36"/>
        <v>1</v>
      </c>
      <c r="T461">
        <f t="shared" si="37"/>
        <v>2</v>
      </c>
      <c r="U461">
        <f t="shared" si="38"/>
        <v>1</v>
      </c>
      <c r="V461">
        <f t="shared" si="39"/>
        <v>0</v>
      </c>
    </row>
    <row r="462" spans="1:22" x14ac:dyDescent="0.25">
      <c r="A462">
        <v>459</v>
      </c>
      <c r="B462" t="s">
        <v>12</v>
      </c>
      <c r="C462" t="s">
        <v>250</v>
      </c>
      <c r="D462" s="4">
        <v>45353</v>
      </c>
      <c r="E462" t="s">
        <v>258</v>
      </c>
      <c r="F462" t="s">
        <v>75</v>
      </c>
      <c r="I462" s="6">
        <v>0</v>
      </c>
      <c r="J462" s="6">
        <v>0</v>
      </c>
      <c r="K462" s="6">
        <v>0</v>
      </c>
      <c r="L462" s="6">
        <v>0</v>
      </c>
      <c r="M462" s="6">
        <v>1</v>
      </c>
      <c r="N462" s="6">
        <v>1</v>
      </c>
      <c r="O462" s="6">
        <v>0</v>
      </c>
      <c r="P462" s="6">
        <v>0</v>
      </c>
      <c r="Q462">
        <v>1</v>
      </c>
      <c r="R462">
        <f t="shared" si="35"/>
        <v>0</v>
      </c>
      <c r="S462">
        <f t="shared" si="36"/>
        <v>1</v>
      </c>
      <c r="T462">
        <f t="shared" si="37"/>
        <v>2</v>
      </c>
      <c r="U462">
        <f t="shared" si="38"/>
        <v>1</v>
      </c>
      <c r="V462">
        <f t="shared" si="39"/>
        <v>0</v>
      </c>
    </row>
    <row r="463" spans="1:22" x14ac:dyDescent="0.25">
      <c r="A463">
        <v>460</v>
      </c>
      <c r="B463" t="s">
        <v>12</v>
      </c>
      <c r="C463" t="s">
        <v>250</v>
      </c>
      <c r="D463" s="4">
        <v>45353</v>
      </c>
      <c r="E463" t="s">
        <v>1521</v>
      </c>
      <c r="F463" t="s">
        <v>75</v>
      </c>
      <c r="I463" s="6">
        <v>1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>
        <v>1</v>
      </c>
      <c r="R463">
        <f t="shared" si="35"/>
        <v>0</v>
      </c>
      <c r="S463">
        <f t="shared" si="36"/>
        <v>1</v>
      </c>
      <c r="T463">
        <f t="shared" si="37"/>
        <v>1</v>
      </c>
      <c r="U463">
        <f t="shared" si="38"/>
        <v>1</v>
      </c>
      <c r="V463">
        <f t="shared" si="39"/>
        <v>0</v>
      </c>
    </row>
    <row r="464" spans="1:22" x14ac:dyDescent="0.25">
      <c r="A464">
        <v>461</v>
      </c>
      <c r="B464" t="s">
        <v>12</v>
      </c>
      <c r="C464" t="s">
        <v>250</v>
      </c>
      <c r="D464" s="4">
        <v>45353</v>
      </c>
      <c r="E464" t="s">
        <v>1522</v>
      </c>
      <c r="F464" t="s">
        <v>75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>
        <v>1</v>
      </c>
      <c r="R464">
        <f t="shared" si="35"/>
        <v>0</v>
      </c>
      <c r="S464">
        <f t="shared" si="36"/>
        <v>1</v>
      </c>
      <c r="T464">
        <f t="shared" si="37"/>
        <v>0</v>
      </c>
      <c r="U464">
        <f t="shared" si="38"/>
        <v>0</v>
      </c>
      <c r="V464">
        <f t="shared" si="39"/>
        <v>0</v>
      </c>
    </row>
    <row r="465" spans="1:22" x14ac:dyDescent="0.25">
      <c r="A465">
        <v>462</v>
      </c>
      <c r="B465" t="s">
        <v>12</v>
      </c>
      <c r="C465" t="s">
        <v>250</v>
      </c>
      <c r="D465" s="4">
        <v>45354</v>
      </c>
      <c r="E465" t="s">
        <v>421</v>
      </c>
      <c r="F465" t="s">
        <v>75</v>
      </c>
      <c r="I465" s="6">
        <v>0</v>
      </c>
      <c r="J465" s="6">
        <v>0</v>
      </c>
      <c r="K465" s="6">
        <v>0</v>
      </c>
      <c r="L465" s="6">
        <v>1</v>
      </c>
      <c r="M465" s="6">
        <v>0</v>
      </c>
      <c r="N465" s="6">
        <v>0</v>
      </c>
      <c r="O465" s="6">
        <v>0</v>
      </c>
      <c r="P465" s="6">
        <v>0</v>
      </c>
      <c r="Q465">
        <v>1</v>
      </c>
      <c r="R465">
        <f t="shared" si="35"/>
        <v>0</v>
      </c>
      <c r="S465">
        <f t="shared" si="36"/>
        <v>1</v>
      </c>
      <c r="T465">
        <f t="shared" si="37"/>
        <v>1</v>
      </c>
      <c r="U465">
        <f t="shared" si="38"/>
        <v>1</v>
      </c>
      <c r="V465">
        <f t="shared" si="39"/>
        <v>0</v>
      </c>
    </row>
    <row r="466" spans="1:22" x14ac:dyDescent="0.25">
      <c r="A466">
        <v>463</v>
      </c>
      <c r="B466" t="s">
        <v>12</v>
      </c>
      <c r="C466" t="s">
        <v>250</v>
      </c>
      <c r="D466" s="4">
        <v>45355</v>
      </c>
      <c r="E466" t="s">
        <v>840</v>
      </c>
      <c r="F466" t="s">
        <v>75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>
        <v>1</v>
      </c>
      <c r="R466">
        <f t="shared" si="35"/>
        <v>0</v>
      </c>
      <c r="S466">
        <f t="shared" si="36"/>
        <v>1</v>
      </c>
      <c r="T466">
        <f t="shared" si="37"/>
        <v>0</v>
      </c>
      <c r="U466">
        <f t="shared" si="38"/>
        <v>0</v>
      </c>
      <c r="V466">
        <f t="shared" si="39"/>
        <v>0</v>
      </c>
    </row>
    <row r="467" spans="1:22" x14ac:dyDescent="0.25">
      <c r="A467">
        <v>464</v>
      </c>
      <c r="B467" t="s">
        <v>12</v>
      </c>
      <c r="C467" t="s">
        <v>250</v>
      </c>
      <c r="D467" s="4">
        <v>45355</v>
      </c>
      <c r="E467" t="s">
        <v>259</v>
      </c>
      <c r="F467" t="s">
        <v>75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>
        <v>1</v>
      </c>
      <c r="R467">
        <f t="shared" si="35"/>
        <v>0</v>
      </c>
      <c r="S467">
        <f t="shared" si="36"/>
        <v>1</v>
      </c>
      <c r="T467">
        <f t="shared" si="37"/>
        <v>0</v>
      </c>
      <c r="U467">
        <f t="shared" si="38"/>
        <v>0</v>
      </c>
      <c r="V467">
        <f t="shared" si="39"/>
        <v>0</v>
      </c>
    </row>
    <row r="468" spans="1:22" x14ac:dyDescent="0.25">
      <c r="A468">
        <v>465</v>
      </c>
      <c r="B468" t="s">
        <v>12</v>
      </c>
      <c r="C468" t="s">
        <v>250</v>
      </c>
      <c r="D468" s="4">
        <v>45356</v>
      </c>
      <c r="E468" t="s">
        <v>1879</v>
      </c>
      <c r="F468" t="s">
        <v>75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>
        <v>1</v>
      </c>
      <c r="R468">
        <f t="shared" si="35"/>
        <v>0</v>
      </c>
      <c r="S468">
        <f t="shared" si="36"/>
        <v>1</v>
      </c>
      <c r="T468">
        <f t="shared" si="37"/>
        <v>0</v>
      </c>
      <c r="U468">
        <f t="shared" si="38"/>
        <v>0</v>
      </c>
      <c r="V468">
        <f t="shared" si="39"/>
        <v>0</v>
      </c>
    </row>
    <row r="469" spans="1:22" x14ac:dyDescent="0.25">
      <c r="A469">
        <v>466</v>
      </c>
      <c r="B469" t="s">
        <v>12</v>
      </c>
      <c r="C469" t="s">
        <v>250</v>
      </c>
      <c r="D469" s="4">
        <v>45357</v>
      </c>
      <c r="E469" t="s">
        <v>260</v>
      </c>
      <c r="F469" t="s">
        <v>75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1</v>
      </c>
      <c r="O469" s="6">
        <v>0</v>
      </c>
      <c r="P469" s="6">
        <v>0</v>
      </c>
      <c r="Q469">
        <v>1</v>
      </c>
      <c r="R469">
        <f t="shared" si="35"/>
        <v>0</v>
      </c>
      <c r="S469">
        <f t="shared" si="36"/>
        <v>1</v>
      </c>
      <c r="T469">
        <f t="shared" si="37"/>
        <v>1</v>
      </c>
      <c r="U469">
        <f t="shared" si="38"/>
        <v>1</v>
      </c>
      <c r="V469">
        <f t="shared" si="39"/>
        <v>0</v>
      </c>
    </row>
    <row r="470" spans="1:22" x14ac:dyDescent="0.25">
      <c r="A470">
        <v>467</v>
      </c>
      <c r="B470" t="s">
        <v>12</v>
      </c>
      <c r="C470" t="s">
        <v>250</v>
      </c>
      <c r="D470" s="4">
        <v>45357</v>
      </c>
      <c r="E470" t="s">
        <v>422</v>
      </c>
      <c r="F470" t="s">
        <v>75</v>
      </c>
      <c r="I470" s="6">
        <v>1</v>
      </c>
      <c r="J470" s="6">
        <v>0</v>
      </c>
      <c r="K470" s="6">
        <v>0</v>
      </c>
      <c r="L470" s="6">
        <v>1</v>
      </c>
      <c r="M470" s="6">
        <v>1</v>
      </c>
      <c r="N470" s="6">
        <v>1</v>
      </c>
      <c r="O470" s="6">
        <v>0</v>
      </c>
      <c r="P470" s="6">
        <v>0</v>
      </c>
      <c r="Q470">
        <v>1</v>
      </c>
      <c r="R470">
        <f t="shared" si="35"/>
        <v>0</v>
      </c>
      <c r="S470">
        <f t="shared" si="36"/>
        <v>1</v>
      </c>
      <c r="T470">
        <f t="shared" si="37"/>
        <v>4</v>
      </c>
      <c r="U470">
        <f t="shared" si="38"/>
        <v>1</v>
      </c>
      <c r="V470">
        <f t="shared" si="39"/>
        <v>0</v>
      </c>
    </row>
    <row r="471" spans="1:22" x14ac:dyDescent="0.25">
      <c r="A471">
        <v>468</v>
      </c>
      <c r="B471" t="s">
        <v>12</v>
      </c>
      <c r="C471" t="s">
        <v>250</v>
      </c>
      <c r="D471" s="4">
        <v>45359</v>
      </c>
      <c r="E471" t="s">
        <v>423</v>
      </c>
      <c r="F471" t="s">
        <v>75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>
        <v>1</v>
      </c>
      <c r="R471">
        <f t="shared" si="35"/>
        <v>0</v>
      </c>
      <c r="S471">
        <f t="shared" si="36"/>
        <v>1</v>
      </c>
      <c r="T471">
        <f t="shared" si="37"/>
        <v>0</v>
      </c>
      <c r="U471">
        <f t="shared" si="38"/>
        <v>0</v>
      </c>
      <c r="V471">
        <f t="shared" si="39"/>
        <v>0</v>
      </c>
    </row>
    <row r="472" spans="1:22" x14ac:dyDescent="0.25">
      <c r="A472">
        <v>469</v>
      </c>
      <c r="B472" t="s">
        <v>12</v>
      </c>
      <c r="C472" t="s">
        <v>250</v>
      </c>
      <c r="D472" s="4">
        <v>45360</v>
      </c>
      <c r="E472" t="s">
        <v>1126</v>
      </c>
      <c r="F472" t="s">
        <v>75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>
        <v>1</v>
      </c>
      <c r="R472">
        <f t="shared" si="35"/>
        <v>0</v>
      </c>
      <c r="S472">
        <f t="shared" si="36"/>
        <v>1</v>
      </c>
      <c r="T472">
        <f t="shared" si="37"/>
        <v>0</v>
      </c>
      <c r="U472">
        <f t="shared" si="38"/>
        <v>0</v>
      </c>
      <c r="V472">
        <f t="shared" si="39"/>
        <v>0</v>
      </c>
    </row>
    <row r="473" spans="1:22" x14ac:dyDescent="0.25">
      <c r="A473">
        <v>470</v>
      </c>
      <c r="B473" t="s">
        <v>12</v>
      </c>
      <c r="C473" t="s">
        <v>250</v>
      </c>
      <c r="D473" s="4">
        <v>45360</v>
      </c>
      <c r="E473" t="s">
        <v>261</v>
      </c>
      <c r="F473" t="s">
        <v>75</v>
      </c>
      <c r="I473" s="6">
        <v>0</v>
      </c>
      <c r="J473" s="6">
        <v>0</v>
      </c>
      <c r="K473" s="6">
        <v>0</v>
      </c>
      <c r="L473" s="6">
        <v>1</v>
      </c>
      <c r="M473" s="6">
        <v>0</v>
      </c>
      <c r="N473" s="6">
        <v>0</v>
      </c>
      <c r="O473" s="6">
        <v>0</v>
      </c>
      <c r="P473" s="6">
        <v>0</v>
      </c>
      <c r="Q473">
        <v>1</v>
      </c>
      <c r="R473">
        <f t="shared" si="35"/>
        <v>0</v>
      </c>
      <c r="S473">
        <f t="shared" si="36"/>
        <v>1</v>
      </c>
      <c r="T473">
        <f t="shared" si="37"/>
        <v>1</v>
      </c>
      <c r="U473">
        <f t="shared" si="38"/>
        <v>1</v>
      </c>
      <c r="V473">
        <f t="shared" si="39"/>
        <v>0</v>
      </c>
    </row>
    <row r="474" spans="1:22" x14ac:dyDescent="0.25">
      <c r="A474">
        <v>471</v>
      </c>
      <c r="B474" t="s">
        <v>12</v>
      </c>
      <c r="C474" t="s">
        <v>250</v>
      </c>
      <c r="D474" s="4">
        <v>45360</v>
      </c>
      <c r="E474" t="s">
        <v>262</v>
      </c>
      <c r="F474" t="s">
        <v>75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>
        <v>1</v>
      </c>
      <c r="R474">
        <f t="shared" si="35"/>
        <v>0</v>
      </c>
      <c r="S474">
        <f t="shared" si="36"/>
        <v>1</v>
      </c>
      <c r="T474">
        <f t="shared" si="37"/>
        <v>0</v>
      </c>
      <c r="U474">
        <f t="shared" si="38"/>
        <v>0</v>
      </c>
      <c r="V474">
        <f t="shared" si="39"/>
        <v>0</v>
      </c>
    </row>
    <row r="475" spans="1:22" x14ac:dyDescent="0.25">
      <c r="A475">
        <v>472</v>
      </c>
      <c r="B475" t="s">
        <v>12</v>
      </c>
      <c r="C475" t="s">
        <v>250</v>
      </c>
      <c r="D475" s="4">
        <v>45361</v>
      </c>
      <c r="E475" t="s">
        <v>263</v>
      </c>
      <c r="F475" t="s">
        <v>75</v>
      </c>
      <c r="I475" s="6">
        <v>1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>
        <v>1</v>
      </c>
      <c r="R475">
        <f t="shared" si="35"/>
        <v>0</v>
      </c>
      <c r="S475">
        <f t="shared" si="36"/>
        <v>1</v>
      </c>
      <c r="T475">
        <f t="shared" si="37"/>
        <v>1</v>
      </c>
      <c r="U475">
        <f t="shared" si="38"/>
        <v>1</v>
      </c>
      <c r="V475">
        <f t="shared" si="39"/>
        <v>0</v>
      </c>
    </row>
    <row r="476" spans="1:22" x14ac:dyDescent="0.25">
      <c r="A476">
        <v>473</v>
      </c>
      <c r="B476" t="s">
        <v>12</v>
      </c>
      <c r="C476" t="s">
        <v>250</v>
      </c>
      <c r="D476" s="4">
        <v>45361</v>
      </c>
      <c r="E476" t="s">
        <v>264</v>
      </c>
      <c r="F476" t="s">
        <v>75</v>
      </c>
      <c r="I476" s="6">
        <v>0</v>
      </c>
      <c r="J476" s="6">
        <v>0</v>
      </c>
      <c r="K476" s="6">
        <v>0</v>
      </c>
      <c r="L476" s="6">
        <v>1</v>
      </c>
      <c r="M476" s="6">
        <v>0</v>
      </c>
      <c r="N476" s="6">
        <v>0</v>
      </c>
      <c r="O476" s="6">
        <v>0</v>
      </c>
      <c r="P476" s="6">
        <v>0</v>
      </c>
      <c r="Q476">
        <v>1</v>
      </c>
      <c r="R476">
        <f t="shared" si="35"/>
        <v>0</v>
      </c>
      <c r="S476">
        <f t="shared" si="36"/>
        <v>1</v>
      </c>
      <c r="T476">
        <f t="shared" si="37"/>
        <v>1</v>
      </c>
      <c r="U476">
        <f t="shared" si="38"/>
        <v>1</v>
      </c>
      <c r="V476">
        <f t="shared" si="39"/>
        <v>0</v>
      </c>
    </row>
    <row r="477" spans="1:22" x14ac:dyDescent="0.25">
      <c r="A477">
        <v>474</v>
      </c>
      <c r="B477" t="s">
        <v>12</v>
      </c>
      <c r="C477" t="s">
        <v>250</v>
      </c>
      <c r="D477" s="4">
        <v>45361</v>
      </c>
      <c r="E477" t="s">
        <v>265</v>
      </c>
      <c r="F477" t="s">
        <v>75</v>
      </c>
      <c r="I477" s="6">
        <v>0</v>
      </c>
      <c r="J477" s="6">
        <v>0</v>
      </c>
      <c r="K477" s="6">
        <v>0</v>
      </c>
      <c r="L477" s="6">
        <v>1</v>
      </c>
      <c r="M477" s="6">
        <v>0</v>
      </c>
      <c r="N477" s="6">
        <v>0</v>
      </c>
      <c r="O477" s="6">
        <v>0</v>
      </c>
      <c r="P477" s="6">
        <v>0</v>
      </c>
      <c r="Q477">
        <v>1</v>
      </c>
      <c r="R477">
        <f t="shared" si="35"/>
        <v>0</v>
      </c>
      <c r="S477">
        <f t="shared" si="36"/>
        <v>1</v>
      </c>
      <c r="T477">
        <f t="shared" si="37"/>
        <v>1</v>
      </c>
      <c r="U477">
        <f t="shared" si="38"/>
        <v>1</v>
      </c>
      <c r="V477">
        <f t="shared" si="39"/>
        <v>0</v>
      </c>
    </row>
    <row r="478" spans="1:22" x14ac:dyDescent="0.25">
      <c r="A478">
        <v>475</v>
      </c>
      <c r="B478" t="s">
        <v>12</v>
      </c>
      <c r="C478" t="s">
        <v>250</v>
      </c>
      <c r="D478" s="4">
        <v>45362</v>
      </c>
      <c r="E478" t="s">
        <v>1318</v>
      </c>
      <c r="F478" t="s">
        <v>75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>
        <v>1</v>
      </c>
      <c r="R478">
        <f t="shared" si="35"/>
        <v>0</v>
      </c>
      <c r="S478">
        <f t="shared" si="36"/>
        <v>1</v>
      </c>
      <c r="T478">
        <f t="shared" si="37"/>
        <v>0</v>
      </c>
      <c r="U478">
        <f t="shared" si="38"/>
        <v>0</v>
      </c>
      <c r="V478">
        <f t="shared" si="39"/>
        <v>0</v>
      </c>
    </row>
    <row r="479" spans="1:22" x14ac:dyDescent="0.25">
      <c r="A479">
        <v>476</v>
      </c>
      <c r="B479" t="s">
        <v>12</v>
      </c>
      <c r="C479" t="s">
        <v>250</v>
      </c>
      <c r="D479" s="4">
        <v>45362</v>
      </c>
      <c r="E479" t="s">
        <v>266</v>
      </c>
      <c r="F479" t="s">
        <v>75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>
        <v>1</v>
      </c>
      <c r="R479">
        <f t="shared" si="35"/>
        <v>0</v>
      </c>
      <c r="S479">
        <f t="shared" si="36"/>
        <v>1</v>
      </c>
      <c r="T479">
        <f t="shared" si="37"/>
        <v>0</v>
      </c>
      <c r="U479">
        <f t="shared" si="38"/>
        <v>0</v>
      </c>
      <c r="V479">
        <f t="shared" si="39"/>
        <v>0</v>
      </c>
    </row>
    <row r="480" spans="1:22" x14ac:dyDescent="0.25">
      <c r="A480">
        <v>477</v>
      </c>
      <c r="B480" t="s">
        <v>12</v>
      </c>
      <c r="C480" t="s">
        <v>250</v>
      </c>
      <c r="D480" s="4">
        <v>45363</v>
      </c>
      <c r="E480" t="s">
        <v>267</v>
      </c>
      <c r="F480" t="s">
        <v>75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>
        <v>1</v>
      </c>
      <c r="R480">
        <f t="shared" si="35"/>
        <v>0</v>
      </c>
      <c r="S480">
        <f t="shared" si="36"/>
        <v>1</v>
      </c>
      <c r="T480">
        <f t="shared" si="37"/>
        <v>0</v>
      </c>
      <c r="U480">
        <f t="shared" si="38"/>
        <v>0</v>
      </c>
      <c r="V480">
        <f t="shared" si="39"/>
        <v>0</v>
      </c>
    </row>
    <row r="481" spans="1:22" x14ac:dyDescent="0.25">
      <c r="A481">
        <v>478</v>
      </c>
      <c r="B481" t="s">
        <v>12</v>
      </c>
      <c r="C481" t="s">
        <v>250</v>
      </c>
      <c r="D481" s="4">
        <v>45368</v>
      </c>
      <c r="E481" t="s">
        <v>268</v>
      </c>
      <c r="F481" t="s">
        <v>75</v>
      </c>
      <c r="I481" s="6">
        <v>1</v>
      </c>
      <c r="J481" s="6">
        <v>0</v>
      </c>
      <c r="K481" s="6">
        <v>0</v>
      </c>
      <c r="L481" s="6">
        <v>1</v>
      </c>
      <c r="M481" s="6">
        <v>1</v>
      </c>
      <c r="N481" s="6">
        <v>0</v>
      </c>
      <c r="O481" s="6">
        <v>0</v>
      </c>
      <c r="P481" s="6">
        <v>0</v>
      </c>
      <c r="Q481">
        <v>1</v>
      </c>
      <c r="R481">
        <f t="shared" si="35"/>
        <v>0</v>
      </c>
      <c r="S481">
        <f t="shared" si="36"/>
        <v>1</v>
      </c>
      <c r="T481">
        <f t="shared" si="37"/>
        <v>3</v>
      </c>
      <c r="U481">
        <f t="shared" si="38"/>
        <v>1</v>
      </c>
      <c r="V481">
        <f t="shared" si="39"/>
        <v>0</v>
      </c>
    </row>
    <row r="482" spans="1:22" x14ac:dyDescent="0.25">
      <c r="A482">
        <v>479</v>
      </c>
      <c r="B482" t="s">
        <v>12</v>
      </c>
      <c r="C482" t="s">
        <v>250</v>
      </c>
      <c r="D482" s="4">
        <v>45372</v>
      </c>
      <c r="E482" t="s">
        <v>940</v>
      </c>
      <c r="F482" t="s">
        <v>75</v>
      </c>
      <c r="I482" s="6">
        <v>0</v>
      </c>
      <c r="J482" s="6">
        <v>0</v>
      </c>
      <c r="K482" s="6">
        <v>0</v>
      </c>
      <c r="L482" s="6">
        <v>1</v>
      </c>
      <c r="M482" s="6">
        <v>0</v>
      </c>
      <c r="N482" s="6">
        <v>0</v>
      </c>
      <c r="O482" s="6">
        <v>0</v>
      </c>
      <c r="P482" s="6">
        <v>0</v>
      </c>
      <c r="Q482">
        <v>1</v>
      </c>
      <c r="R482">
        <f t="shared" si="35"/>
        <v>0</v>
      </c>
      <c r="S482">
        <f t="shared" si="36"/>
        <v>1</v>
      </c>
      <c r="T482">
        <f t="shared" si="37"/>
        <v>1</v>
      </c>
      <c r="U482">
        <f t="shared" si="38"/>
        <v>1</v>
      </c>
      <c r="V482">
        <f t="shared" si="39"/>
        <v>0</v>
      </c>
    </row>
    <row r="483" spans="1:22" x14ac:dyDescent="0.25">
      <c r="A483">
        <v>480</v>
      </c>
      <c r="B483" t="s">
        <v>12</v>
      </c>
      <c r="C483" t="s">
        <v>250</v>
      </c>
      <c r="D483" s="4">
        <v>45372</v>
      </c>
      <c r="E483" t="s">
        <v>269</v>
      </c>
      <c r="F483" t="s">
        <v>75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>
        <v>1</v>
      </c>
      <c r="R483">
        <f t="shared" si="35"/>
        <v>0</v>
      </c>
      <c r="S483">
        <f t="shared" si="36"/>
        <v>1</v>
      </c>
      <c r="T483">
        <f t="shared" si="37"/>
        <v>0</v>
      </c>
      <c r="U483">
        <f t="shared" si="38"/>
        <v>0</v>
      </c>
      <c r="V483">
        <f t="shared" si="39"/>
        <v>0</v>
      </c>
    </row>
    <row r="484" spans="1:22" x14ac:dyDescent="0.25">
      <c r="A484">
        <v>481</v>
      </c>
      <c r="B484" t="s">
        <v>12</v>
      </c>
      <c r="C484" t="s">
        <v>250</v>
      </c>
      <c r="D484" s="4">
        <v>45373</v>
      </c>
      <c r="E484" t="s">
        <v>428</v>
      </c>
      <c r="F484" t="s">
        <v>75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1</v>
      </c>
      <c r="O484" s="6">
        <v>0</v>
      </c>
      <c r="P484" s="6">
        <v>0</v>
      </c>
      <c r="Q484">
        <v>1</v>
      </c>
      <c r="R484">
        <f t="shared" si="35"/>
        <v>0</v>
      </c>
      <c r="S484">
        <f t="shared" si="36"/>
        <v>1</v>
      </c>
      <c r="T484">
        <f t="shared" si="37"/>
        <v>1</v>
      </c>
      <c r="U484">
        <f t="shared" si="38"/>
        <v>1</v>
      </c>
      <c r="V484">
        <f t="shared" si="39"/>
        <v>0</v>
      </c>
    </row>
    <row r="485" spans="1:22" x14ac:dyDescent="0.25">
      <c r="A485">
        <v>482</v>
      </c>
      <c r="B485" t="s">
        <v>12</v>
      </c>
      <c r="C485" t="s">
        <v>250</v>
      </c>
      <c r="D485" s="4">
        <v>45373</v>
      </c>
      <c r="E485" t="s">
        <v>429</v>
      </c>
      <c r="F485" t="s">
        <v>75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>
        <v>1</v>
      </c>
      <c r="R485">
        <f t="shared" si="35"/>
        <v>0</v>
      </c>
      <c r="S485">
        <f t="shared" si="36"/>
        <v>1</v>
      </c>
      <c r="T485">
        <f t="shared" si="37"/>
        <v>0</v>
      </c>
      <c r="U485">
        <f t="shared" si="38"/>
        <v>0</v>
      </c>
      <c r="V485">
        <f t="shared" si="39"/>
        <v>0</v>
      </c>
    </row>
    <row r="486" spans="1:22" x14ac:dyDescent="0.25">
      <c r="A486">
        <v>483</v>
      </c>
      <c r="B486" t="s">
        <v>12</v>
      </c>
      <c r="C486" t="s">
        <v>250</v>
      </c>
      <c r="D486" s="4">
        <v>45373</v>
      </c>
      <c r="E486" t="s">
        <v>2203</v>
      </c>
      <c r="F486" t="s">
        <v>75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>
        <v>1</v>
      </c>
      <c r="R486">
        <f t="shared" si="35"/>
        <v>0</v>
      </c>
      <c r="S486">
        <f t="shared" si="36"/>
        <v>1</v>
      </c>
      <c r="T486">
        <f t="shared" si="37"/>
        <v>0</v>
      </c>
      <c r="U486">
        <f t="shared" si="38"/>
        <v>0</v>
      </c>
      <c r="V486">
        <f t="shared" si="39"/>
        <v>0</v>
      </c>
    </row>
    <row r="487" spans="1:22" x14ac:dyDescent="0.25">
      <c r="A487">
        <v>484</v>
      </c>
      <c r="B487" t="s">
        <v>12</v>
      </c>
      <c r="C487" t="s">
        <v>250</v>
      </c>
      <c r="D487" s="4">
        <v>45373</v>
      </c>
      <c r="E487" t="s">
        <v>270</v>
      </c>
      <c r="F487" t="s">
        <v>75</v>
      </c>
      <c r="H487" t="s">
        <v>271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>
        <v>1</v>
      </c>
      <c r="R487">
        <f t="shared" si="35"/>
        <v>0</v>
      </c>
      <c r="S487">
        <f t="shared" si="36"/>
        <v>1</v>
      </c>
      <c r="T487">
        <f t="shared" si="37"/>
        <v>0</v>
      </c>
      <c r="U487">
        <f t="shared" si="38"/>
        <v>0</v>
      </c>
      <c r="V487">
        <f t="shared" si="39"/>
        <v>0</v>
      </c>
    </row>
    <row r="488" spans="1:22" x14ac:dyDescent="0.25">
      <c r="A488">
        <v>485</v>
      </c>
      <c r="B488" t="s">
        <v>12</v>
      </c>
      <c r="C488" t="s">
        <v>250</v>
      </c>
      <c r="D488" s="4">
        <v>45376</v>
      </c>
      <c r="E488" t="s">
        <v>272</v>
      </c>
      <c r="F488" t="s">
        <v>75</v>
      </c>
      <c r="I488" s="6">
        <v>1</v>
      </c>
      <c r="J488" s="6">
        <v>0</v>
      </c>
      <c r="K488" s="6">
        <v>1</v>
      </c>
      <c r="L488" s="6">
        <v>0</v>
      </c>
      <c r="M488" s="6">
        <v>1</v>
      </c>
      <c r="N488" s="6">
        <v>0</v>
      </c>
      <c r="O488" s="6">
        <v>0</v>
      </c>
      <c r="P488" s="6">
        <v>0</v>
      </c>
      <c r="Q488">
        <v>1</v>
      </c>
      <c r="R488">
        <f t="shared" si="35"/>
        <v>0</v>
      </c>
      <c r="S488">
        <f t="shared" si="36"/>
        <v>1</v>
      </c>
      <c r="T488">
        <f t="shared" si="37"/>
        <v>3</v>
      </c>
      <c r="U488">
        <f t="shared" si="38"/>
        <v>1</v>
      </c>
      <c r="V488">
        <f t="shared" si="39"/>
        <v>0</v>
      </c>
    </row>
    <row r="489" spans="1:22" x14ac:dyDescent="0.25">
      <c r="A489">
        <v>486</v>
      </c>
      <c r="B489" t="s">
        <v>12</v>
      </c>
      <c r="C489" t="s">
        <v>250</v>
      </c>
      <c r="D489" s="4">
        <v>45378</v>
      </c>
      <c r="E489" t="s">
        <v>273</v>
      </c>
      <c r="F489" t="s">
        <v>75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>
        <v>1</v>
      </c>
      <c r="R489">
        <f t="shared" si="35"/>
        <v>0</v>
      </c>
      <c r="S489">
        <f t="shared" si="36"/>
        <v>1</v>
      </c>
      <c r="T489">
        <f t="shared" si="37"/>
        <v>0</v>
      </c>
      <c r="U489">
        <f t="shared" si="38"/>
        <v>0</v>
      </c>
      <c r="V489">
        <f t="shared" si="39"/>
        <v>0</v>
      </c>
    </row>
    <row r="490" spans="1:22" x14ac:dyDescent="0.25">
      <c r="A490">
        <v>487</v>
      </c>
      <c r="B490" t="s">
        <v>12</v>
      </c>
      <c r="C490" t="s">
        <v>250</v>
      </c>
      <c r="D490" s="4">
        <v>45380</v>
      </c>
      <c r="E490" t="s">
        <v>274</v>
      </c>
      <c r="F490" t="s">
        <v>75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>
        <v>1</v>
      </c>
      <c r="R490">
        <f t="shared" si="35"/>
        <v>0</v>
      </c>
      <c r="S490">
        <f t="shared" si="36"/>
        <v>1</v>
      </c>
      <c r="T490">
        <f t="shared" si="37"/>
        <v>0</v>
      </c>
      <c r="U490">
        <f t="shared" si="38"/>
        <v>0</v>
      </c>
      <c r="V490">
        <f t="shared" si="39"/>
        <v>0</v>
      </c>
    </row>
    <row r="491" spans="1:22" x14ac:dyDescent="0.25">
      <c r="A491">
        <v>488</v>
      </c>
      <c r="B491" t="s">
        <v>12</v>
      </c>
      <c r="C491" t="s">
        <v>250</v>
      </c>
      <c r="D491" s="4">
        <v>45381</v>
      </c>
      <c r="E491" t="s">
        <v>275</v>
      </c>
      <c r="F491" t="s">
        <v>75</v>
      </c>
      <c r="I491" s="6">
        <v>0</v>
      </c>
      <c r="J491" s="6">
        <v>0</v>
      </c>
      <c r="K491" s="6">
        <v>0</v>
      </c>
      <c r="L491" s="6">
        <v>1</v>
      </c>
      <c r="M491" s="6">
        <v>0</v>
      </c>
      <c r="N491" s="6">
        <v>0</v>
      </c>
      <c r="O491" s="6">
        <v>0</v>
      </c>
      <c r="P491" s="6">
        <v>0</v>
      </c>
      <c r="Q491">
        <v>1</v>
      </c>
      <c r="R491">
        <f t="shared" si="35"/>
        <v>0</v>
      </c>
      <c r="S491">
        <f t="shared" si="36"/>
        <v>1</v>
      </c>
      <c r="T491">
        <f t="shared" si="37"/>
        <v>1</v>
      </c>
      <c r="U491">
        <f t="shared" si="38"/>
        <v>1</v>
      </c>
      <c r="V491">
        <f t="shared" si="39"/>
        <v>0</v>
      </c>
    </row>
    <row r="492" spans="1:22" x14ac:dyDescent="0.25">
      <c r="A492">
        <v>489</v>
      </c>
      <c r="B492" t="s">
        <v>12</v>
      </c>
      <c r="C492" t="s">
        <v>250</v>
      </c>
      <c r="D492" s="4">
        <v>45382</v>
      </c>
      <c r="E492" t="s">
        <v>276</v>
      </c>
      <c r="F492" t="s">
        <v>75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>
        <v>1</v>
      </c>
      <c r="R492">
        <f t="shared" si="35"/>
        <v>0</v>
      </c>
      <c r="S492">
        <f t="shared" si="36"/>
        <v>1</v>
      </c>
      <c r="T492">
        <f t="shared" si="37"/>
        <v>0</v>
      </c>
      <c r="U492">
        <f t="shared" si="38"/>
        <v>0</v>
      </c>
      <c r="V492">
        <f t="shared" si="39"/>
        <v>0</v>
      </c>
    </row>
    <row r="493" spans="1:22" x14ac:dyDescent="0.25">
      <c r="A493">
        <v>490</v>
      </c>
      <c r="B493" t="s">
        <v>12</v>
      </c>
      <c r="C493" t="s">
        <v>250</v>
      </c>
      <c r="D493" s="4">
        <v>45382</v>
      </c>
      <c r="E493" t="s">
        <v>277</v>
      </c>
      <c r="F493" t="s">
        <v>75</v>
      </c>
      <c r="I493" s="6">
        <v>0</v>
      </c>
      <c r="J493" s="6">
        <v>0</v>
      </c>
      <c r="K493" s="6">
        <v>0</v>
      </c>
      <c r="L493" s="6">
        <v>1</v>
      </c>
      <c r="M493" s="6">
        <v>0</v>
      </c>
      <c r="N493" s="6">
        <v>0</v>
      </c>
      <c r="O493" s="6">
        <v>0</v>
      </c>
      <c r="P493" s="6">
        <v>0</v>
      </c>
      <c r="Q493">
        <v>1</v>
      </c>
      <c r="R493">
        <f t="shared" si="35"/>
        <v>0</v>
      </c>
      <c r="S493">
        <f t="shared" si="36"/>
        <v>1</v>
      </c>
      <c r="T493">
        <f t="shared" si="37"/>
        <v>1</v>
      </c>
      <c r="U493">
        <f t="shared" si="38"/>
        <v>1</v>
      </c>
      <c r="V493">
        <f t="shared" si="39"/>
        <v>0</v>
      </c>
    </row>
    <row r="494" spans="1:22" x14ac:dyDescent="0.25">
      <c r="A494">
        <v>491</v>
      </c>
      <c r="B494" t="s">
        <v>12</v>
      </c>
      <c r="C494" t="s">
        <v>250</v>
      </c>
      <c r="D494" s="4">
        <v>45382</v>
      </c>
      <c r="E494" t="s">
        <v>278</v>
      </c>
      <c r="F494" t="s">
        <v>75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>
        <v>1</v>
      </c>
      <c r="R494">
        <f t="shared" si="35"/>
        <v>0</v>
      </c>
      <c r="S494">
        <f t="shared" si="36"/>
        <v>1</v>
      </c>
      <c r="T494">
        <f t="shared" si="37"/>
        <v>0</v>
      </c>
      <c r="U494">
        <f t="shared" si="38"/>
        <v>0</v>
      </c>
      <c r="V494">
        <f t="shared" si="39"/>
        <v>0</v>
      </c>
    </row>
    <row r="495" spans="1:22" x14ac:dyDescent="0.25">
      <c r="A495">
        <v>492</v>
      </c>
      <c r="B495" t="s">
        <v>12</v>
      </c>
      <c r="C495" t="s">
        <v>250</v>
      </c>
      <c r="D495" s="4">
        <v>45383</v>
      </c>
      <c r="E495" t="s">
        <v>279</v>
      </c>
      <c r="F495" t="s">
        <v>75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>
        <v>1</v>
      </c>
      <c r="R495">
        <f t="shared" si="35"/>
        <v>0</v>
      </c>
      <c r="S495">
        <f t="shared" si="36"/>
        <v>1</v>
      </c>
      <c r="T495">
        <f t="shared" si="37"/>
        <v>0</v>
      </c>
      <c r="U495">
        <f t="shared" si="38"/>
        <v>0</v>
      </c>
      <c r="V495">
        <f t="shared" si="39"/>
        <v>0</v>
      </c>
    </row>
    <row r="496" spans="1:22" x14ac:dyDescent="0.25">
      <c r="A496">
        <v>493</v>
      </c>
      <c r="B496" t="s">
        <v>12</v>
      </c>
      <c r="C496" t="s">
        <v>250</v>
      </c>
      <c r="D496" s="4">
        <v>45383</v>
      </c>
      <c r="E496" t="s">
        <v>863</v>
      </c>
      <c r="F496" t="s">
        <v>75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>
        <v>1</v>
      </c>
      <c r="R496">
        <f t="shared" si="35"/>
        <v>0</v>
      </c>
      <c r="S496">
        <f t="shared" si="36"/>
        <v>1</v>
      </c>
      <c r="T496">
        <f t="shared" si="37"/>
        <v>0</v>
      </c>
      <c r="U496">
        <f t="shared" si="38"/>
        <v>0</v>
      </c>
      <c r="V496">
        <f t="shared" si="39"/>
        <v>0</v>
      </c>
    </row>
    <row r="497" spans="1:22" x14ac:dyDescent="0.25">
      <c r="A497">
        <v>494</v>
      </c>
      <c r="B497" t="s">
        <v>12</v>
      </c>
      <c r="C497" t="s">
        <v>250</v>
      </c>
      <c r="D497" s="4">
        <v>45383</v>
      </c>
      <c r="E497" t="s">
        <v>953</v>
      </c>
      <c r="F497" t="s">
        <v>75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>
        <v>1</v>
      </c>
      <c r="R497">
        <f t="shared" si="35"/>
        <v>0</v>
      </c>
      <c r="S497">
        <f t="shared" si="36"/>
        <v>1</v>
      </c>
      <c r="T497">
        <f t="shared" si="37"/>
        <v>0</v>
      </c>
      <c r="U497">
        <f t="shared" si="38"/>
        <v>0</v>
      </c>
      <c r="V497">
        <f t="shared" si="39"/>
        <v>0</v>
      </c>
    </row>
    <row r="498" spans="1:22" x14ac:dyDescent="0.25">
      <c r="A498">
        <v>495</v>
      </c>
      <c r="B498" t="s">
        <v>12</v>
      </c>
      <c r="C498" t="s">
        <v>250</v>
      </c>
      <c r="D498" s="4">
        <v>45385</v>
      </c>
      <c r="E498" t="s">
        <v>280</v>
      </c>
      <c r="F498" t="s">
        <v>75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>
        <v>1</v>
      </c>
      <c r="R498">
        <f t="shared" si="35"/>
        <v>0</v>
      </c>
      <c r="S498">
        <f t="shared" si="36"/>
        <v>1</v>
      </c>
      <c r="T498">
        <f t="shared" si="37"/>
        <v>0</v>
      </c>
      <c r="U498">
        <f t="shared" si="38"/>
        <v>0</v>
      </c>
      <c r="V498">
        <f t="shared" si="39"/>
        <v>0</v>
      </c>
    </row>
    <row r="499" spans="1:22" x14ac:dyDescent="0.25">
      <c r="A499">
        <v>496</v>
      </c>
      <c r="B499" t="s">
        <v>12</v>
      </c>
      <c r="C499" t="s">
        <v>250</v>
      </c>
      <c r="D499" s="4">
        <v>45386</v>
      </c>
      <c r="E499" t="s">
        <v>281</v>
      </c>
      <c r="F499" t="s">
        <v>75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>
        <v>1</v>
      </c>
      <c r="R499">
        <f t="shared" si="35"/>
        <v>0</v>
      </c>
      <c r="S499">
        <f t="shared" si="36"/>
        <v>1</v>
      </c>
      <c r="T499">
        <f t="shared" si="37"/>
        <v>0</v>
      </c>
      <c r="U499">
        <f t="shared" si="38"/>
        <v>0</v>
      </c>
      <c r="V499">
        <f t="shared" si="39"/>
        <v>0</v>
      </c>
    </row>
    <row r="500" spans="1:22" x14ac:dyDescent="0.25">
      <c r="A500">
        <v>497</v>
      </c>
      <c r="B500" t="s">
        <v>12</v>
      </c>
      <c r="C500" t="s">
        <v>250</v>
      </c>
      <c r="D500" s="4">
        <v>45386</v>
      </c>
      <c r="E500" t="s">
        <v>282</v>
      </c>
      <c r="F500" t="s">
        <v>75</v>
      </c>
      <c r="I500" s="6">
        <v>1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>
        <v>1</v>
      </c>
      <c r="R500">
        <f t="shared" si="35"/>
        <v>0</v>
      </c>
      <c r="S500">
        <f t="shared" si="36"/>
        <v>1</v>
      </c>
      <c r="T500">
        <f t="shared" si="37"/>
        <v>1</v>
      </c>
      <c r="U500">
        <f t="shared" si="38"/>
        <v>1</v>
      </c>
      <c r="V500">
        <f t="shared" si="39"/>
        <v>0</v>
      </c>
    </row>
    <row r="501" spans="1:22" x14ac:dyDescent="0.25">
      <c r="A501">
        <v>498</v>
      </c>
      <c r="B501" t="s">
        <v>12</v>
      </c>
      <c r="C501" t="s">
        <v>250</v>
      </c>
      <c r="D501" s="4">
        <v>45387</v>
      </c>
      <c r="E501" t="s">
        <v>283</v>
      </c>
      <c r="F501" t="s">
        <v>75</v>
      </c>
      <c r="I501" s="6">
        <v>1</v>
      </c>
      <c r="J501" s="6">
        <v>0</v>
      </c>
      <c r="K501" s="6">
        <v>1</v>
      </c>
      <c r="L501" s="6">
        <v>1</v>
      </c>
      <c r="M501" s="6">
        <v>0</v>
      </c>
      <c r="N501" s="6">
        <v>0</v>
      </c>
      <c r="O501" s="6">
        <v>0</v>
      </c>
      <c r="P501" s="6">
        <v>0</v>
      </c>
      <c r="Q501">
        <v>1</v>
      </c>
      <c r="R501">
        <f t="shared" si="35"/>
        <v>0</v>
      </c>
      <c r="S501">
        <f t="shared" si="36"/>
        <v>1</v>
      </c>
      <c r="T501">
        <f t="shared" si="37"/>
        <v>3</v>
      </c>
      <c r="U501">
        <f t="shared" si="38"/>
        <v>1</v>
      </c>
      <c r="V501">
        <f t="shared" si="39"/>
        <v>0</v>
      </c>
    </row>
    <row r="502" spans="1:22" x14ac:dyDescent="0.25">
      <c r="A502">
        <v>499</v>
      </c>
      <c r="B502" t="s">
        <v>12</v>
      </c>
      <c r="C502" t="s">
        <v>250</v>
      </c>
      <c r="D502" s="4">
        <v>45387</v>
      </c>
      <c r="E502" t="s">
        <v>284</v>
      </c>
      <c r="F502" t="s">
        <v>75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>
        <v>1</v>
      </c>
      <c r="R502">
        <f t="shared" si="35"/>
        <v>0</v>
      </c>
      <c r="S502">
        <f t="shared" si="36"/>
        <v>1</v>
      </c>
      <c r="T502">
        <f t="shared" si="37"/>
        <v>0</v>
      </c>
      <c r="U502">
        <f t="shared" si="38"/>
        <v>0</v>
      </c>
      <c r="V502">
        <f t="shared" si="39"/>
        <v>0</v>
      </c>
    </row>
    <row r="503" spans="1:22" x14ac:dyDescent="0.25">
      <c r="A503">
        <v>500</v>
      </c>
      <c r="B503" t="s">
        <v>12</v>
      </c>
      <c r="C503" t="s">
        <v>250</v>
      </c>
      <c r="D503" s="4">
        <v>45387</v>
      </c>
      <c r="E503" t="s">
        <v>449</v>
      </c>
      <c r="F503" t="s">
        <v>75</v>
      </c>
      <c r="I503" s="6">
        <v>0</v>
      </c>
      <c r="J503" s="6">
        <v>0</v>
      </c>
      <c r="K503" s="6">
        <v>1</v>
      </c>
      <c r="L503" s="6">
        <v>1</v>
      </c>
      <c r="M503" s="6">
        <v>0</v>
      </c>
      <c r="N503" s="6">
        <v>0</v>
      </c>
      <c r="O503" s="6">
        <v>1</v>
      </c>
      <c r="P503" s="6">
        <v>0</v>
      </c>
      <c r="Q503">
        <v>1</v>
      </c>
      <c r="R503">
        <f t="shared" si="35"/>
        <v>0</v>
      </c>
      <c r="S503">
        <f t="shared" si="36"/>
        <v>1</v>
      </c>
      <c r="T503">
        <f t="shared" si="37"/>
        <v>3</v>
      </c>
      <c r="U503">
        <f t="shared" si="38"/>
        <v>1</v>
      </c>
      <c r="V503">
        <f t="shared" si="39"/>
        <v>0</v>
      </c>
    </row>
    <row r="504" spans="1:22" x14ac:dyDescent="0.25">
      <c r="A504">
        <v>501</v>
      </c>
      <c r="B504" t="s">
        <v>12</v>
      </c>
      <c r="C504" t="s">
        <v>250</v>
      </c>
      <c r="D504" s="4">
        <v>45388</v>
      </c>
      <c r="E504" t="s">
        <v>285</v>
      </c>
      <c r="F504" t="s">
        <v>75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1</v>
      </c>
      <c r="P504" s="6">
        <v>0</v>
      </c>
      <c r="Q504">
        <v>1</v>
      </c>
      <c r="R504">
        <f t="shared" si="35"/>
        <v>0</v>
      </c>
      <c r="S504">
        <f t="shared" si="36"/>
        <v>1</v>
      </c>
      <c r="T504">
        <f t="shared" si="37"/>
        <v>1</v>
      </c>
      <c r="U504">
        <f t="shared" si="38"/>
        <v>1</v>
      </c>
      <c r="V504">
        <f t="shared" si="39"/>
        <v>0</v>
      </c>
    </row>
    <row r="505" spans="1:22" x14ac:dyDescent="0.25">
      <c r="A505">
        <v>502</v>
      </c>
      <c r="B505" t="s">
        <v>12</v>
      </c>
      <c r="C505" t="s">
        <v>250</v>
      </c>
      <c r="D505" s="4">
        <v>45389</v>
      </c>
      <c r="E505" t="s">
        <v>866</v>
      </c>
      <c r="F505" t="s">
        <v>75</v>
      </c>
      <c r="I505" s="6">
        <v>0</v>
      </c>
      <c r="J505" s="6">
        <v>0</v>
      </c>
      <c r="K505" s="6">
        <v>0</v>
      </c>
      <c r="L505" s="6">
        <v>1</v>
      </c>
      <c r="M505" s="6">
        <v>0</v>
      </c>
      <c r="N505" s="6">
        <v>0</v>
      </c>
      <c r="O505" s="6">
        <v>1</v>
      </c>
      <c r="P505" s="6">
        <v>0</v>
      </c>
      <c r="Q505">
        <v>1</v>
      </c>
      <c r="R505">
        <f t="shared" si="35"/>
        <v>0</v>
      </c>
      <c r="S505">
        <f t="shared" si="36"/>
        <v>1</v>
      </c>
      <c r="T505">
        <f t="shared" si="37"/>
        <v>2</v>
      </c>
      <c r="U505">
        <f t="shared" si="38"/>
        <v>1</v>
      </c>
      <c r="V505">
        <f t="shared" si="39"/>
        <v>0</v>
      </c>
    </row>
    <row r="506" spans="1:22" x14ac:dyDescent="0.25">
      <c r="A506">
        <v>503</v>
      </c>
      <c r="B506" t="s">
        <v>12</v>
      </c>
      <c r="C506" t="s">
        <v>250</v>
      </c>
      <c r="D506" s="4">
        <v>45390</v>
      </c>
      <c r="E506" t="s">
        <v>867</v>
      </c>
      <c r="F506" t="s">
        <v>75</v>
      </c>
      <c r="I506" s="6">
        <v>1</v>
      </c>
      <c r="J506" s="6">
        <v>0</v>
      </c>
      <c r="K506" s="6">
        <v>0</v>
      </c>
      <c r="L506" s="6">
        <v>1</v>
      </c>
      <c r="M506" s="6">
        <v>0</v>
      </c>
      <c r="N506" s="6">
        <v>0</v>
      </c>
      <c r="O506" s="6">
        <v>0</v>
      </c>
      <c r="P506" s="6">
        <v>0</v>
      </c>
      <c r="Q506">
        <v>1</v>
      </c>
      <c r="R506">
        <f t="shared" si="35"/>
        <v>0</v>
      </c>
      <c r="S506">
        <f t="shared" si="36"/>
        <v>1</v>
      </c>
      <c r="T506">
        <f t="shared" si="37"/>
        <v>2</v>
      </c>
      <c r="U506">
        <f t="shared" si="38"/>
        <v>1</v>
      </c>
      <c r="V506">
        <f t="shared" si="39"/>
        <v>0</v>
      </c>
    </row>
    <row r="507" spans="1:22" x14ac:dyDescent="0.25">
      <c r="A507">
        <v>504</v>
      </c>
      <c r="B507" t="s">
        <v>12</v>
      </c>
      <c r="C507" t="s">
        <v>250</v>
      </c>
      <c r="D507" s="4">
        <v>45392</v>
      </c>
      <c r="E507" t="s">
        <v>286</v>
      </c>
      <c r="F507" t="s">
        <v>75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>
        <v>1</v>
      </c>
      <c r="R507">
        <f t="shared" si="35"/>
        <v>0</v>
      </c>
      <c r="S507">
        <f t="shared" si="36"/>
        <v>1</v>
      </c>
      <c r="T507">
        <f t="shared" si="37"/>
        <v>0</v>
      </c>
      <c r="U507">
        <f t="shared" si="38"/>
        <v>0</v>
      </c>
      <c r="V507">
        <f t="shared" si="39"/>
        <v>0</v>
      </c>
    </row>
    <row r="508" spans="1:22" x14ac:dyDescent="0.25">
      <c r="A508">
        <v>505</v>
      </c>
      <c r="B508" t="s">
        <v>12</v>
      </c>
      <c r="C508" t="s">
        <v>250</v>
      </c>
      <c r="D508" s="4">
        <v>45393</v>
      </c>
      <c r="E508" t="s">
        <v>287</v>
      </c>
      <c r="F508" t="s">
        <v>75</v>
      </c>
      <c r="I508" s="6">
        <v>1</v>
      </c>
      <c r="J508" s="6">
        <v>1</v>
      </c>
      <c r="K508" s="6">
        <v>0</v>
      </c>
      <c r="L508" s="6">
        <v>1</v>
      </c>
      <c r="M508" s="6">
        <v>0</v>
      </c>
      <c r="N508" s="6">
        <v>0</v>
      </c>
      <c r="O508" s="6">
        <v>0</v>
      </c>
      <c r="P508" s="6">
        <v>0</v>
      </c>
      <c r="Q508">
        <v>1</v>
      </c>
      <c r="R508">
        <f t="shared" si="35"/>
        <v>0</v>
      </c>
      <c r="S508">
        <f t="shared" si="36"/>
        <v>1</v>
      </c>
      <c r="T508">
        <f t="shared" si="37"/>
        <v>3</v>
      </c>
      <c r="U508">
        <f t="shared" si="38"/>
        <v>1</v>
      </c>
      <c r="V508">
        <f t="shared" si="39"/>
        <v>0</v>
      </c>
    </row>
    <row r="509" spans="1:22" x14ac:dyDescent="0.25">
      <c r="A509">
        <v>506</v>
      </c>
      <c r="B509" t="s">
        <v>12</v>
      </c>
      <c r="C509" t="s">
        <v>250</v>
      </c>
      <c r="D509" s="4">
        <v>45394</v>
      </c>
      <c r="E509" t="s">
        <v>288</v>
      </c>
      <c r="F509" t="s">
        <v>75</v>
      </c>
      <c r="I509" s="6">
        <v>1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>
        <v>1</v>
      </c>
      <c r="R509">
        <f t="shared" si="35"/>
        <v>0</v>
      </c>
      <c r="S509">
        <f t="shared" si="36"/>
        <v>1</v>
      </c>
      <c r="T509">
        <f t="shared" si="37"/>
        <v>1</v>
      </c>
      <c r="U509">
        <f t="shared" si="38"/>
        <v>1</v>
      </c>
      <c r="V509">
        <f t="shared" si="39"/>
        <v>0</v>
      </c>
    </row>
    <row r="510" spans="1:22" x14ac:dyDescent="0.25">
      <c r="A510">
        <v>507</v>
      </c>
      <c r="B510" t="s">
        <v>12</v>
      </c>
      <c r="C510" t="s">
        <v>250</v>
      </c>
      <c r="D510" s="4">
        <v>45396</v>
      </c>
      <c r="E510" t="s">
        <v>1224</v>
      </c>
      <c r="F510" t="s">
        <v>75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>
        <v>1</v>
      </c>
      <c r="R510">
        <f t="shared" si="35"/>
        <v>0</v>
      </c>
      <c r="S510">
        <f t="shared" si="36"/>
        <v>1</v>
      </c>
      <c r="T510">
        <f t="shared" si="37"/>
        <v>0</v>
      </c>
      <c r="U510">
        <f t="shared" si="38"/>
        <v>0</v>
      </c>
      <c r="V510">
        <f t="shared" si="39"/>
        <v>0</v>
      </c>
    </row>
    <row r="511" spans="1:22" x14ac:dyDescent="0.25">
      <c r="A511">
        <v>508</v>
      </c>
      <c r="B511" t="s">
        <v>12</v>
      </c>
      <c r="C511" t="s">
        <v>250</v>
      </c>
      <c r="D511" s="4">
        <v>45397</v>
      </c>
      <c r="E511" t="s">
        <v>289</v>
      </c>
      <c r="F511" t="s">
        <v>75</v>
      </c>
      <c r="I511" s="6">
        <v>1</v>
      </c>
      <c r="J511" s="6">
        <v>0</v>
      </c>
      <c r="K511" s="6">
        <v>0</v>
      </c>
      <c r="L511" s="6">
        <v>1</v>
      </c>
      <c r="M511" s="6">
        <v>0</v>
      </c>
      <c r="N511" s="6">
        <v>0</v>
      </c>
      <c r="O511" s="6">
        <v>0</v>
      </c>
      <c r="P511" s="6">
        <v>0</v>
      </c>
      <c r="Q511">
        <v>1</v>
      </c>
      <c r="R511">
        <f t="shared" si="35"/>
        <v>0</v>
      </c>
      <c r="S511">
        <f t="shared" si="36"/>
        <v>1</v>
      </c>
      <c r="T511">
        <f t="shared" si="37"/>
        <v>2</v>
      </c>
      <c r="U511">
        <f t="shared" si="38"/>
        <v>1</v>
      </c>
      <c r="V511">
        <f t="shared" si="39"/>
        <v>0</v>
      </c>
    </row>
    <row r="512" spans="1:22" x14ac:dyDescent="0.25">
      <c r="A512">
        <v>509</v>
      </c>
      <c r="B512" t="s">
        <v>12</v>
      </c>
      <c r="C512" t="s">
        <v>250</v>
      </c>
      <c r="D512" s="4">
        <v>45398</v>
      </c>
      <c r="E512" t="s">
        <v>290</v>
      </c>
      <c r="F512" t="s">
        <v>75</v>
      </c>
      <c r="I512" s="6">
        <v>0</v>
      </c>
      <c r="J512" s="6">
        <v>1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>
        <v>1</v>
      </c>
      <c r="R512">
        <f t="shared" si="35"/>
        <v>0</v>
      </c>
      <c r="S512">
        <f t="shared" si="36"/>
        <v>1</v>
      </c>
      <c r="T512">
        <f t="shared" si="37"/>
        <v>1</v>
      </c>
      <c r="U512">
        <f t="shared" si="38"/>
        <v>1</v>
      </c>
      <c r="V512">
        <f t="shared" si="39"/>
        <v>0</v>
      </c>
    </row>
    <row r="513" spans="1:22" x14ac:dyDescent="0.25">
      <c r="A513">
        <v>510</v>
      </c>
      <c r="B513" t="s">
        <v>12</v>
      </c>
      <c r="C513" t="s">
        <v>250</v>
      </c>
      <c r="D513" s="4">
        <v>45398</v>
      </c>
      <c r="E513" t="s">
        <v>291</v>
      </c>
      <c r="F513" t="s">
        <v>75</v>
      </c>
      <c r="I513" s="6">
        <v>1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>
        <v>1</v>
      </c>
      <c r="R513">
        <f t="shared" si="35"/>
        <v>0</v>
      </c>
      <c r="S513">
        <f t="shared" si="36"/>
        <v>1</v>
      </c>
      <c r="T513">
        <f t="shared" si="37"/>
        <v>1</v>
      </c>
      <c r="U513">
        <f t="shared" si="38"/>
        <v>1</v>
      </c>
      <c r="V513">
        <f t="shared" si="39"/>
        <v>0</v>
      </c>
    </row>
    <row r="514" spans="1:22" x14ac:dyDescent="0.25">
      <c r="A514">
        <v>511</v>
      </c>
      <c r="B514" t="s">
        <v>12</v>
      </c>
      <c r="C514" t="s">
        <v>250</v>
      </c>
      <c r="D514" s="4">
        <v>45398</v>
      </c>
      <c r="E514" t="s">
        <v>292</v>
      </c>
      <c r="F514" t="s">
        <v>75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1</v>
      </c>
      <c r="P514" s="6">
        <v>0</v>
      </c>
      <c r="Q514">
        <v>1</v>
      </c>
      <c r="R514">
        <f t="shared" si="35"/>
        <v>0</v>
      </c>
      <c r="S514">
        <f t="shared" si="36"/>
        <v>1</v>
      </c>
      <c r="T514">
        <f t="shared" si="37"/>
        <v>1</v>
      </c>
      <c r="U514">
        <f t="shared" si="38"/>
        <v>1</v>
      </c>
      <c r="V514">
        <f t="shared" si="39"/>
        <v>0</v>
      </c>
    </row>
    <row r="515" spans="1:22" x14ac:dyDescent="0.25">
      <c r="A515">
        <v>512</v>
      </c>
      <c r="B515" t="s">
        <v>12</v>
      </c>
      <c r="C515" t="s">
        <v>250</v>
      </c>
      <c r="D515" s="4">
        <v>45398</v>
      </c>
      <c r="E515" t="s">
        <v>293</v>
      </c>
      <c r="F515" t="s">
        <v>75</v>
      </c>
      <c r="I515" s="6">
        <v>1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>
        <v>1</v>
      </c>
      <c r="R515">
        <f t="shared" ref="R515:R578" si="40">IF(AND(Q515=1,F515="ai_full"),1,0)</f>
        <v>0</v>
      </c>
      <c r="S515">
        <f t="shared" ref="S515:S578" si="41">IF(AND(Q515=1,F515="conventional"),1,0)</f>
        <v>1</v>
      </c>
      <c r="T515">
        <f t="shared" ref="T515:T578" si="42">SUM(I515:P515)</f>
        <v>1</v>
      </c>
      <c r="U515">
        <f t="shared" ref="U515:U578" si="43">IF(T515&gt;=1,1,0)</f>
        <v>1</v>
      </c>
      <c r="V515">
        <f t="shared" ref="V515:V578" si="44">IF(F515="ai_full",1,0)</f>
        <v>0</v>
      </c>
    </row>
    <row r="516" spans="1:22" x14ac:dyDescent="0.25">
      <c r="A516">
        <v>513</v>
      </c>
      <c r="B516" t="s">
        <v>12</v>
      </c>
      <c r="C516" t="s">
        <v>250</v>
      </c>
      <c r="D516" s="4">
        <v>45399</v>
      </c>
      <c r="E516" t="s">
        <v>294</v>
      </c>
      <c r="F516" t="s">
        <v>75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>
        <v>1</v>
      </c>
      <c r="R516">
        <f t="shared" si="40"/>
        <v>0</v>
      </c>
      <c r="S516">
        <f t="shared" si="41"/>
        <v>1</v>
      </c>
      <c r="T516">
        <f t="shared" si="42"/>
        <v>0</v>
      </c>
      <c r="U516">
        <f t="shared" si="43"/>
        <v>0</v>
      </c>
      <c r="V516">
        <f t="shared" si="44"/>
        <v>0</v>
      </c>
    </row>
    <row r="517" spans="1:22" x14ac:dyDescent="0.25">
      <c r="A517">
        <v>514</v>
      </c>
      <c r="B517" t="s">
        <v>12</v>
      </c>
      <c r="C517" t="s">
        <v>250</v>
      </c>
      <c r="D517" s="4">
        <v>45399</v>
      </c>
      <c r="E517" t="s">
        <v>295</v>
      </c>
      <c r="F517" t="s">
        <v>75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>
        <v>1</v>
      </c>
      <c r="R517">
        <f t="shared" si="40"/>
        <v>0</v>
      </c>
      <c r="S517">
        <f t="shared" si="41"/>
        <v>1</v>
      </c>
      <c r="T517">
        <f t="shared" si="42"/>
        <v>0</v>
      </c>
      <c r="U517">
        <f t="shared" si="43"/>
        <v>0</v>
      </c>
      <c r="V517">
        <f t="shared" si="44"/>
        <v>0</v>
      </c>
    </row>
    <row r="518" spans="1:22" x14ac:dyDescent="0.25">
      <c r="A518">
        <v>515</v>
      </c>
      <c r="B518" t="s">
        <v>12</v>
      </c>
      <c r="C518" t="s">
        <v>250</v>
      </c>
      <c r="D518" s="4">
        <v>45399</v>
      </c>
      <c r="E518" t="s">
        <v>1806</v>
      </c>
      <c r="F518" t="s">
        <v>75</v>
      </c>
      <c r="I518" s="6">
        <v>1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>
        <v>1</v>
      </c>
      <c r="R518">
        <f t="shared" si="40"/>
        <v>0</v>
      </c>
      <c r="S518">
        <f t="shared" si="41"/>
        <v>1</v>
      </c>
      <c r="T518">
        <f t="shared" si="42"/>
        <v>1</v>
      </c>
      <c r="U518">
        <f t="shared" si="43"/>
        <v>1</v>
      </c>
      <c r="V518">
        <f t="shared" si="44"/>
        <v>0</v>
      </c>
    </row>
    <row r="519" spans="1:22" x14ac:dyDescent="0.25">
      <c r="A519">
        <v>516</v>
      </c>
      <c r="B519" t="s">
        <v>12</v>
      </c>
      <c r="C519" t="s">
        <v>250</v>
      </c>
      <c r="D519" s="4">
        <v>45400</v>
      </c>
      <c r="E519" t="s">
        <v>876</v>
      </c>
      <c r="F519" t="s">
        <v>75</v>
      </c>
      <c r="I519" s="6">
        <v>0</v>
      </c>
      <c r="J519" s="6">
        <v>0</v>
      </c>
      <c r="K519" s="6">
        <v>0</v>
      </c>
      <c r="L519" s="6">
        <v>1</v>
      </c>
      <c r="M519" s="6">
        <v>0</v>
      </c>
      <c r="N519" s="6">
        <v>0</v>
      </c>
      <c r="O519" s="6">
        <v>0</v>
      </c>
      <c r="P519" s="6">
        <v>0</v>
      </c>
      <c r="Q519">
        <v>1</v>
      </c>
      <c r="R519">
        <f t="shared" si="40"/>
        <v>0</v>
      </c>
      <c r="S519">
        <f t="shared" si="41"/>
        <v>1</v>
      </c>
      <c r="T519">
        <f t="shared" si="42"/>
        <v>1</v>
      </c>
      <c r="U519">
        <f t="shared" si="43"/>
        <v>1</v>
      </c>
      <c r="V519">
        <f t="shared" si="44"/>
        <v>0</v>
      </c>
    </row>
    <row r="520" spans="1:22" x14ac:dyDescent="0.25">
      <c r="A520">
        <v>517</v>
      </c>
      <c r="B520" t="s">
        <v>12</v>
      </c>
      <c r="C520" t="s">
        <v>250</v>
      </c>
      <c r="D520" s="4">
        <v>45400</v>
      </c>
      <c r="E520" t="s">
        <v>296</v>
      </c>
      <c r="F520" t="s">
        <v>75</v>
      </c>
      <c r="I520" s="6">
        <v>1</v>
      </c>
      <c r="J520" s="6">
        <v>0</v>
      </c>
      <c r="K520" s="6">
        <v>0</v>
      </c>
      <c r="L520" s="6">
        <v>0</v>
      </c>
      <c r="M520" s="6">
        <v>1</v>
      </c>
      <c r="N520" s="6">
        <v>0</v>
      </c>
      <c r="O520" s="6">
        <v>0</v>
      </c>
      <c r="P520" s="6">
        <v>0</v>
      </c>
      <c r="Q520">
        <v>1</v>
      </c>
      <c r="R520">
        <f t="shared" si="40"/>
        <v>0</v>
      </c>
      <c r="S520">
        <f t="shared" si="41"/>
        <v>1</v>
      </c>
      <c r="T520">
        <f t="shared" si="42"/>
        <v>2</v>
      </c>
      <c r="U520">
        <f t="shared" si="43"/>
        <v>1</v>
      </c>
      <c r="V520">
        <f t="shared" si="44"/>
        <v>0</v>
      </c>
    </row>
    <row r="521" spans="1:22" x14ac:dyDescent="0.25">
      <c r="A521">
        <v>518</v>
      </c>
      <c r="B521" t="s">
        <v>12</v>
      </c>
      <c r="C521" t="s">
        <v>250</v>
      </c>
      <c r="D521" s="4">
        <v>45400</v>
      </c>
      <c r="E521" t="s">
        <v>297</v>
      </c>
      <c r="F521" t="s">
        <v>75</v>
      </c>
      <c r="I521" s="6">
        <v>0</v>
      </c>
      <c r="J521" s="6">
        <v>0</v>
      </c>
      <c r="K521" s="6">
        <v>0</v>
      </c>
      <c r="L521" s="6">
        <v>0</v>
      </c>
      <c r="M521" s="6">
        <v>1</v>
      </c>
      <c r="N521" s="6">
        <v>0</v>
      </c>
      <c r="O521" s="6">
        <v>0</v>
      </c>
      <c r="P521" s="6">
        <v>0</v>
      </c>
      <c r="Q521">
        <v>1</v>
      </c>
      <c r="R521">
        <f t="shared" si="40"/>
        <v>0</v>
      </c>
      <c r="S521">
        <f t="shared" si="41"/>
        <v>1</v>
      </c>
      <c r="T521">
        <f t="shared" si="42"/>
        <v>1</v>
      </c>
      <c r="U521">
        <f t="shared" si="43"/>
        <v>1</v>
      </c>
      <c r="V521">
        <f t="shared" si="44"/>
        <v>0</v>
      </c>
    </row>
    <row r="522" spans="1:22" x14ac:dyDescent="0.25">
      <c r="A522">
        <v>519</v>
      </c>
      <c r="B522" t="s">
        <v>12</v>
      </c>
      <c r="C522" t="s">
        <v>250</v>
      </c>
      <c r="D522" s="4">
        <v>45401</v>
      </c>
      <c r="E522" t="s">
        <v>298</v>
      </c>
      <c r="F522" t="s">
        <v>75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>
        <v>1</v>
      </c>
      <c r="R522">
        <f t="shared" si="40"/>
        <v>0</v>
      </c>
      <c r="S522">
        <f t="shared" si="41"/>
        <v>1</v>
      </c>
      <c r="T522">
        <f t="shared" si="42"/>
        <v>0</v>
      </c>
      <c r="U522">
        <f t="shared" si="43"/>
        <v>0</v>
      </c>
      <c r="V522">
        <f t="shared" si="44"/>
        <v>0</v>
      </c>
    </row>
    <row r="523" spans="1:22" x14ac:dyDescent="0.25">
      <c r="A523">
        <v>520</v>
      </c>
      <c r="B523" t="s">
        <v>12</v>
      </c>
      <c r="C523" t="s">
        <v>250</v>
      </c>
      <c r="D523" s="4">
        <v>45401</v>
      </c>
      <c r="E523" t="s">
        <v>459</v>
      </c>
      <c r="F523" t="s">
        <v>75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>
        <v>1</v>
      </c>
      <c r="R523">
        <f t="shared" si="40"/>
        <v>0</v>
      </c>
      <c r="S523">
        <f t="shared" si="41"/>
        <v>1</v>
      </c>
      <c r="T523">
        <f t="shared" si="42"/>
        <v>0</v>
      </c>
      <c r="U523">
        <f t="shared" si="43"/>
        <v>0</v>
      </c>
      <c r="V523">
        <f t="shared" si="44"/>
        <v>0</v>
      </c>
    </row>
    <row r="524" spans="1:22" x14ac:dyDescent="0.25">
      <c r="A524">
        <v>521</v>
      </c>
      <c r="B524" t="s">
        <v>12</v>
      </c>
      <c r="C524" t="s">
        <v>250</v>
      </c>
      <c r="D524" s="4">
        <v>45402</v>
      </c>
      <c r="E524" t="s">
        <v>299</v>
      </c>
      <c r="F524" t="s">
        <v>75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>
        <v>1</v>
      </c>
      <c r="R524">
        <f t="shared" si="40"/>
        <v>0</v>
      </c>
      <c r="S524">
        <f t="shared" si="41"/>
        <v>1</v>
      </c>
      <c r="T524">
        <f t="shared" si="42"/>
        <v>0</v>
      </c>
      <c r="U524">
        <f t="shared" si="43"/>
        <v>0</v>
      </c>
      <c r="V524">
        <f t="shared" si="44"/>
        <v>0</v>
      </c>
    </row>
    <row r="525" spans="1:22" x14ac:dyDescent="0.25">
      <c r="A525">
        <v>522</v>
      </c>
      <c r="B525" t="s">
        <v>12</v>
      </c>
      <c r="C525" t="s">
        <v>250</v>
      </c>
      <c r="D525" s="4">
        <v>45402</v>
      </c>
      <c r="E525" t="s">
        <v>2032</v>
      </c>
      <c r="F525" t="s">
        <v>75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>
        <v>1</v>
      </c>
      <c r="R525">
        <f t="shared" si="40"/>
        <v>0</v>
      </c>
      <c r="S525">
        <f t="shared" si="41"/>
        <v>1</v>
      </c>
      <c r="T525">
        <f t="shared" si="42"/>
        <v>0</v>
      </c>
      <c r="U525">
        <f t="shared" si="43"/>
        <v>0</v>
      </c>
      <c r="V525">
        <f t="shared" si="44"/>
        <v>0</v>
      </c>
    </row>
    <row r="526" spans="1:22" x14ac:dyDescent="0.25">
      <c r="A526">
        <v>523</v>
      </c>
      <c r="B526" t="s">
        <v>12</v>
      </c>
      <c r="C526" t="s">
        <v>250</v>
      </c>
      <c r="D526" s="4">
        <v>45403</v>
      </c>
      <c r="E526" t="s">
        <v>300</v>
      </c>
      <c r="F526" t="s">
        <v>75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>
        <v>1</v>
      </c>
      <c r="R526">
        <f t="shared" si="40"/>
        <v>0</v>
      </c>
      <c r="S526">
        <f t="shared" si="41"/>
        <v>1</v>
      </c>
      <c r="T526">
        <f t="shared" si="42"/>
        <v>0</v>
      </c>
      <c r="U526">
        <f t="shared" si="43"/>
        <v>0</v>
      </c>
      <c r="V526">
        <f t="shared" si="44"/>
        <v>0</v>
      </c>
    </row>
    <row r="527" spans="1:22" x14ac:dyDescent="0.25">
      <c r="A527">
        <v>524</v>
      </c>
      <c r="B527" t="s">
        <v>12</v>
      </c>
      <c r="C527" t="s">
        <v>250</v>
      </c>
      <c r="D527" s="4">
        <v>45403</v>
      </c>
      <c r="E527" t="s">
        <v>461</v>
      </c>
      <c r="F527" t="s">
        <v>75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>
        <v>1</v>
      </c>
      <c r="R527">
        <f t="shared" si="40"/>
        <v>0</v>
      </c>
      <c r="S527">
        <f t="shared" si="41"/>
        <v>1</v>
      </c>
      <c r="T527">
        <f t="shared" si="42"/>
        <v>0</v>
      </c>
      <c r="U527">
        <f t="shared" si="43"/>
        <v>0</v>
      </c>
      <c r="V527">
        <f t="shared" si="44"/>
        <v>0</v>
      </c>
    </row>
    <row r="528" spans="1:22" x14ac:dyDescent="0.25">
      <c r="A528">
        <v>525</v>
      </c>
      <c r="B528" t="s">
        <v>12</v>
      </c>
      <c r="C528" t="s">
        <v>250</v>
      </c>
      <c r="D528" s="4">
        <v>45404</v>
      </c>
      <c r="E528" t="s">
        <v>301</v>
      </c>
      <c r="F528" t="s">
        <v>75</v>
      </c>
      <c r="I528" s="6">
        <v>0</v>
      </c>
      <c r="J528" s="6">
        <v>0</v>
      </c>
      <c r="K528" s="6">
        <v>0</v>
      </c>
      <c r="L528" s="6">
        <v>1</v>
      </c>
      <c r="M528" s="6">
        <v>0</v>
      </c>
      <c r="N528" s="6">
        <v>0</v>
      </c>
      <c r="O528" s="6">
        <v>0</v>
      </c>
      <c r="P528" s="6">
        <v>0</v>
      </c>
      <c r="Q528">
        <v>1</v>
      </c>
      <c r="R528">
        <f t="shared" si="40"/>
        <v>0</v>
      </c>
      <c r="S528">
        <f t="shared" si="41"/>
        <v>1</v>
      </c>
      <c r="T528">
        <f t="shared" si="42"/>
        <v>1</v>
      </c>
      <c r="U528">
        <f t="shared" si="43"/>
        <v>1</v>
      </c>
      <c r="V528">
        <f t="shared" si="44"/>
        <v>0</v>
      </c>
    </row>
    <row r="529" spans="1:22" x14ac:dyDescent="0.25">
      <c r="A529">
        <v>526</v>
      </c>
      <c r="B529" t="s">
        <v>12</v>
      </c>
      <c r="C529" t="s">
        <v>250</v>
      </c>
      <c r="D529" s="4">
        <v>45404</v>
      </c>
      <c r="E529" t="s">
        <v>302</v>
      </c>
      <c r="F529" t="s">
        <v>75</v>
      </c>
      <c r="I529" s="6">
        <v>1</v>
      </c>
      <c r="J529" s="6">
        <v>1</v>
      </c>
      <c r="K529" s="6">
        <v>1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>
        <v>1</v>
      </c>
      <c r="R529">
        <f t="shared" si="40"/>
        <v>0</v>
      </c>
      <c r="S529">
        <f t="shared" si="41"/>
        <v>1</v>
      </c>
      <c r="T529">
        <f t="shared" si="42"/>
        <v>3</v>
      </c>
      <c r="U529">
        <f t="shared" si="43"/>
        <v>1</v>
      </c>
      <c r="V529">
        <f t="shared" si="44"/>
        <v>0</v>
      </c>
    </row>
    <row r="530" spans="1:22" x14ac:dyDescent="0.25">
      <c r="A530">
        <v>527</v>
      </c>
      <c r="B530" t="s">
        <v>12</v>
      </c>
      <c r="C530" t="s">
        <v>250</v>
      </c>
      <c r="D530" s="4">
        <v>45404</v>
      </c>
      <c r="E530" t="s">
        <v>2031</v>
      </c>
      <c r="F530" t="s">
        <v>75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>
        <v>1</v>
      </c>
      <c r="R530">
        <f t="shared" si="40"/>
        <v>0</v>
      </c>
      <c r="S530">
        <f t="shared" si="41"/>
        <v>1</v>
      </c>
      <c r="T530">
        <f t="shared" si="42"/>
        <v>0</v>
      </c>
      <c r="U530">
        <f t="shared" si="43"/>
        <v>0</v>
      </c>
      <c r="V530">
        <f t="shared" si="44"/>
        <v>0</v>
      </c>
    </row>
    <row r="531" spans="1:22" x14ac:dyDescent="0.25">
      <c r="A531">
        <v>528</v>
      </c>
      <c r="B531" t="s">
        <v>12</v>
      </c>
      <c r="C531" t="s">
        <v>250</v>
      </c>
      <c r="D531" s="4">
        <v>45405</v>
      </c>
      <c r="E531" t="s">
        <v>303</v>
      </c>
      <c r="F531" t="s">
        <v>75</v>
      </c>
      <c r="I531" s="6">
        <v>1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>
        <v>1</v>
      </c>
      <c r="R531">
        <f t="shared" si="40"/>
        <v>0</v>
      </c>
      <c r="S531">
        <f t="shared" si="41"/>
        <v>1</v>
      </c>
      <c r="T531">
        <f t="shared" si="42"/>
        <v>1</v>
      </c>
      <c r="U531">
        <f t="shared" si="43"/>
        <v>1</v>
      </c>
      <c r="V531">
        <f t="shared" si="44"/>
        <v>0</v>
      </c>
    </row>
    <row r="532" spans="1:22" x14ac:dyDescent="0.25">
      <c r="A532">
        <v>529</v>
      </c>
      <c r="B532" t="s">
        <v>12</v>
      </c>
      <c r="C532" t="s">
        <v>250</v>
      </c>
      <c r="D532" s="4">
        <v>45405</v>
      </c>
      <c r="E532" t="s">
        <v>1072</v>
      </c>
      <c r="F532" t="s">
        <v>75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>
        <v>1</v>
      </c>
      <c r="R532">
        <f t="shared" si="40"/>
        <v>0</v>
      </c>
      <c r="S532">
        <f t="shared" si="41"/>
        <v>1</v>
      </c>
      <c r="T532">
        <f t="shared" si="42"/>
        <v>0</v>
      </c>
      <c r="U532">
        <f t="shared" si="43"/>
        <v>0</v>
      </c>
      <c r="V532">
        <f t="shared" si="44"/>
        <v>0</v>
      </c>
    </row>
    <row r="533" spans="1:22" x14ac:dyDescent="0.25">
      <c r="A533">
        <v>530</v>
      </c>
      <c r="B533" t="s">
        <v>12</v>
      </c>
      <c r="C533" t="s">
        <v>250</v>
      </c>
      <c r="D533" s="4">
        <v>45407</v>
      </c>
      <c r="E533" t="s">
        <v>304</v>
      </c>
      <c r="F533" t="s">
        <v>75</v>
      </c>
      <c r="I533" s="6">
        <v>1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1</v>
      </c>
      <c r="P533" s="6">
        <v>0</v>
      </c>
      <c r="Q533">
        <v>1</v>
      </c>
      <c r="R533">
        <f t="shared" si="40"/>
        <v>0</v>
      </c>
      <c r="S533">
        <f t="shared" si="41"/>
        <v>1</v>
      </c>
      <c r="T533">
        <f t="shared" si="42"/>
        <v>2</v>
      </c>
      <c r="U533">
        <f t="shared" si="43"/>
        <v>1</v>
      </c>
      <c r="V533">
        <f t="shared" si="44"/>
        <v>0</v>
      </c>
    </row>
    <row r="534" spans="1:22" x14ac:dyDescent="0.25">
      <c r="A534">
        <v>531</v>
      </c>
      <c r="B534" t="s">
        <v>12</v>
      </c>
      <c r="C534" t="s">
        <v>250</v>
      </c>
      <c r="D534" s="4">
        <v>45407</v>
      </c>
      <c r="E534" t="s">
        <v>464</v>
      </c>
      <c r="F534" t="s">
        <v>75</v>
      </c>
      <c r="I534" s="6">
        <v>1</v>
      </c>
      <c r="J534" s="6">
        <v>0</v>
      </c>
      <c r="K534" s="6">
        <v>0</v>
      </c>
      <c r="L534" s="6">
        <v>1</v>
      </c>
      <c r="M534" s="6">
        <v>0</v>
      </c>
      <c r="N534" s="6">
        <v>0</v>
      </c>
      <c r="O534" s="6">
        <v>0</v>
      </c>
      <c r="P534" s="6">
        <v>0</v>
      </c>
      <c r="Q534">
        <v>1</v>
      </c>
      <c r="R534">
        <f t="shared" si="40"/>
        <v>0</v>
      </c>
      <c r="S534">
        <f t="shared" si="41"/>
        <v>1</v>
      </c>
      <c r="T534">
        <f t="shared" si="42"/>
        <v>2</v>
      </c>
      <c r="U534">
        <f t="shared" si="43"/>
        <v>1</v>
      </c>
      <c r="V534">
        <f t="shared" si="44"/>
        <v>0</v>
      </c>
    </row>
    <row r="535" spans="1:22" x14ac:dyDescent="0.25">
      <c r="A535">
        <v>532</v>
      </c>
      <c r="B535" t="s">
        <v>12</v>
      </c>
      <c r="C535" t="s">
        <v>250</v>
      </c>
      <c r="D535" s="4">
        <v>45408</v>
      </c>
      <c r="E535" t="s">
        <v>305</v>
      </c>
      <c r="F535" t="s">
        <v>75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>
        <v>1</v>
      </c>
      <c r="R535">
        <f t="shared" si="40"/>
        <v>0</v>
      </c>
      <c r="S535">
        <f t="shared" si="41"/>
        <v>1</v>
      </c>
      <c r="T535">
        <f t="shared" si="42"/>
        <v>0</v>
      </c>
      <c r="U535">
        <f t="shared" si="43"/>
        <v>0</v>
      </c>
      <c r="V535">
        <f t="shared" si="44"/>
        <v>0</v>
      </c>
    </row>
    <row r="536" spans="1:22" x14ac:dyDescent="0.25">
      <c r="A536">
        <v>533</v>
      </c>
      <c r="B536" t="s">
        <v>12</v>
      </c>
      <c r="C536" t="s">
        <v>250</v>
      </c>
      <c r="D536" s="4">
        <v>45408</v>
      </c>
      <c r="E536" t="s">
        <v>306</v>
      </c>
      <c r="F536" t="s">
        <v>75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>
        <v>1</v>
      </c>
      <c r="R536">
        <f t="shared" si="40"/>
        <v>0</v>
      </c>
      <c r="S536">
        <f t="shared" si="41"/>
        <v>1</v>
      </c>
      <c r="T536">
        <f t="shared" si="42"/>
        <v>0</v>
      </c>
      <c r="U536">
        <f t="shared" si="43"/>
        <v>0</v>
      </c>
      <c r="V536">
        <f t="shared" si="44"/>
        <v>0</v>
      </c>
    </row>
    <row r="537" spans="1:22" x14ac:dyDescent="0.25">
      <c r="A537">
        <v>534</v>
      </c>
      <c r="B537" t="s">
        <v>12</v>
      </c>
      <c r="C537" t="s">
        <v>250</v>
      </c>
      <c r="D537" s="4">
        <v>45408</v>
      </c>
      <c r="E537" t="s">
        <v>307</v>
      </c>
      <c r="F537" t="s">
        <v>75</v>
      </c>
      <c r="I537" s="6">
        <v>1</v>
      </c>
      <c r="J537" s="6">
        <v>0</v>
      </c>
      <c r="K537" s="6">
        <v>1</v>
      </c>
      <c r="L537" s="6">
        <v>1</v>
      </c>
      <c r="M537" s="6">
        <v>1</v>
      </c>
      <c r="N537" s="6">
        <v>0</v>
      </c>
      <c r="O537" s="6">
        <v>0</v>
      </c>
      <c r="P537" s="6">
        <v>0</v>
      </c>
      <c r="Q537">
        <v>1</v>
      </c>
      <c r="R537">
        <f t="shared" si="40"/>
        <v>0</v>
      </c>
      <c r="S537">
        <f t="shared" si="41"/>
        <v>1</v>
      </c>
      <c r="T537">
        <f t="shared" si="42"/>
        <v>4</v>
      </c>
      <c r="U537">
        <f t="shared" si="43"/>
        <v>1</v>
      </c>
      <c r="V537">
        <f t="shared" si="44"/>
        <v>0</v>
      </c>
    </row>
    <row r="538" spans="1:22" x14ac:dyDescent="0.25">
      <c r="A538">
        <v>535</v>
      </c>
      <c r="B538" t="s">
        <v>12</v>
      </c>
      <c r="C538" t="s">
        <v>250</v>
      </c>
      <c r="D538" s="4">
        <v>45408</v>
      </c>
      <c r="E538" t="s">
        <v>2028</v>
      </c>
      <c r="F538" t="s">
        <v>75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>
        <v>1</v>
      </c>
      <c r="R538">
        <f t="shared" si="40"/>
        <v>0</v>
      </c>
      <c r="S538">
        <f t="shared" si="41"/>
        <v>1</v>
      </c>
      <c r="T538">
        <f t="shared" si="42"/>
        <v>0</v>
      </c>
      <c r="U538">
        <f t="shared" si="43"/>
        <v>0</v>
      </c>
      <c r="V538">
        <f t="shared" si="44"/>
        <v>0</v>
      </c>
    </row>
    <row r="539" spans="1:22" x14ac:dyDescent="0.25">
      <c r="A539">
        <v>536</v>
      </c>
      <c r="B539" t="s">
        <v>12</v>
      </c>
      <c r="C539" t="s">
        <v>250</v>
      </c>
      <c r="D539" s="4">
        <v>45408</v>
      </c>
      <c r="E539" t="s">
        <v>308</v>
      </c>
      <c r="F539" t="s">
        <v>75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>
        <v>1</v>
      </c>
      <c r="R539">
        <f t="shared" si="40"/>
        <v>0</v>
      </c>
      <c r="S539">
        <f t="shared" si="41"/>
        <v>1</v>
      </c>
      <c r="T539">
        <f t="shared" si="42"/>
        <v>0</v>
      </c>
      <c r="U539">
        <f t="shared" si="43"/>
        <v>0</v>
      </c>
      <c r="V539">
        <f t="shared" si="44"/>
        <v>0</v>
      </c>
    </row>
    <row r="540" spans="1:22" x14ac:dyDescent="0.25">
      <c r="A540">
        <v>537</v>
      </c>
      <c r="B540" t="s">
        <v>12</v>
      </c>
      <c r="C540" t="s">
        <v>250</v>
      </c>
      <c r="D540" s="4">
        <v>45408</v>
      </c>
      <c r="E540" t="s">
        <v>2146</v>
      </c>
      <c r="F540" t="s">
        <v>75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>
        <v>1</v>
      </c>
      <c r="R540">
        <f t="shared" si="40"/>
        <v>0</v>
      </c>
      <c r="S540">
        <f t="shared" si="41"/>
        <v>1</v>
      </c>
      <c r="T540">
        <f t="shared" si="42"/>
        <v>0</v>
      </c>
      <c r="U540">
        <f t="shared" si="43"/>
        <v>0</v>
      </c>
      <c r="V540">
        <f t="shared" si="44"/>
        <v>0</v>
      </c>
    </row>
    <row r="541" spans="1:22" x14ac:dyDescent="0.25">
      <c r="A541">
        <v>538</v>
      </c>
      <c r="B541" t="s">
        <v>12</v>
      </c>
      <c r="C541" t="s">
        <v>250</v>
      </c>
      <c r="D541" s="4">
        <v>45409</v>
      </c>
      <c r="E541" t="s">
        <v>1480</v>
      </c>
      <c r="F541" t="s">
        <v>75</v>
      </c>
      <c r="I541" s="6">
        <v>0</v>
      </c>
      <c r="J541" s="6">
        <v>0</v>
      </c>
      <c r="K541" s="6">
        <v>0</v>
      </c>
      <c r="L541" s="6">
        <v>1</v>
      </c>
      <c r="M541" s="6">
        <v>1</v>
      </c>
      <c r="N541" s="6">
        <v>0</v>
      </c>
      <c r="O541" s="6">
        <v>0</v>
      </c>
      <c r="P541" s="6">
        <v>0</v>
      </c>
      <c r="Q541">
        <v>1</v>
      </c>
      <c r="R541">
        <f t="shared" si="40"/>
        <v>0</v>
      </c>
      <c r="S541">
        <f t="shared" si="41"/>
        <v>1</v>
      </c>
      <c r="T541">
        <f t="shared" si="42"/>
        <v>2</v>
      </c>
      <c r="U541">
        <f t="shared" si="43"/>
        <v>1</v>
      </c>
      <c r="V541">
        <f t="shared" si="44"/>
        <v>0</v>
      </c>
    </row>
    <row r="542" spans="1:22" x14ac:dyDescent="0.25">
      <c r="A542">
        <v>539</v>
      </c>
      <c r="B542" t="s">
        <v>12</v>
      </c>
      <c r="C542" t="s">
        <v>250</v>
      </c>
      <c r="D542" s="4">
        <v>45409</v>
      </c>
      <c r="E542" t="s">
        <v>309</v>
      </c>
      <c r="F542" t="s">
        <v>75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>
        <v>1</v>
      </c>
      <c r="R542">
        <f t="shared" si="40"/>
        <v>0</v>
      </c>
      <c r="S542">
        <f t="shared" si="41"/>
        <v>1</v>
      </c>
      <c r="T542">
        <f t="shared" si="42"/>
        <v>0</v>
      </c>
      <c r="U542">
        <f t="shared" si="43"/>
        <v>0</v>
      </c>
      <c r="V542">
        <f t="shared" si="44"/>
        <v>0</v>
      </c>
    </row>
    <row r="543" spans="1:22" x14ac:dyDescent="0.25">
      <c r="A543">
        <v>540</v>
      </c>
      <c r="B543" t="s">
        <v>12</v>
      </c>
      <c r="C543" t="s">
        <v>250</v>
      </c>
      <c r="D543" s="4">
        <v>45409</v>
      </c>
      <c r="E543" t="s">
        <v>310</v>
      </c>
      <c r="F543" t="s">
        <v>75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>
        <v>1</v>
      </c>
      <c r="R543">
        <f t="shared" si="40"/>
        <v>0</v>
      </c>
      <c r="S543">
        <f t="shared" si="41"/>
        <v>1</v>
      </c>
      <c r="T543">
        <f t="shared" si="42"/>
        <v>0</v>
      </c>
      <c r="U543">
        <f t="shared" si="43"/>
        <v>0</v>
      </c>
      <c r="V543">
        <f t="shared" si="44"/>
        <v>0</v>
      </c>
    </row>
    <row r="544" spans="1:22" x14ac:dyDescent="0.25">
      <c r="A544">
        <v>541</v>
      </c>
      <c r="B544" t="s">
        <v>12</v>
      </c>
      <c r="C544" t="s">
        <v>250</v>
      </c>
      <c r="D544" s="4">
        <v>45409</v>
      </c>
      <c r="E544" t="s">
        <v>311</v>
      </c>
      <c r="F544" t="s">
        <v>75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>
        <v>1</v>
      </c>
      <c r="R544">
        <f t="shared" si="40"/>
        <v>0</v>
      </c>
      <c r="S544">
        <f t="shared" si="41"/>
        <v>1</v>
      </c>
      <c r="T544">
        <f t="shared" si="42"/>
        <v>0</v>
      </c>
      <c r="U544">
        <f t="shared" si="43"/>
        <v>0</v>
      </c>
      <c r="V544">
        <f t="shared" si="44"/>
        <v>0</v>
      </c>
    </row>
    <row r="545" spans="1:22" x14ac:dyDescent="0.25">
      <c r="A545">
        <v>542</v>
      </c>
      <c r="B545" t="s">
        <v>12</v>
      </c>
      <c r="C545" t="s">
        <v>250</v>
      </c>
      <c r="D545" s="4">
        <v>45409</v>
      </c>
      <c r="E545" t="s">
        <v>1554</v>
      </c>
      <c r="F545" t="s">
        <v>75</v>
      </c>
      <c r="I545" s="6">
        <v>1</v>
      </c>
      <c r="J545" s="6">
        <v>0</v>
      </c>
      <c r="K545" s="6">
        <v>0</v>
      </c>
      <c r="L545" s="6">
        <v>1</v>
      </c>
      <c r="M545" s="6">
        <v>1</v>
      </c>
      <c r="N545" s="6">
        <v>0</v>
      </c>
      <c r="O545" s="6">
        <v>0</v>
      </c>
      <c r="P545" s="6">
        <v>0</v>
      </c>
      <c r="Q545">
        <v>1</v>
      </c>
      <c r="R545">
        <f t="shared" si="40"/>
        <v>0</v>
      </c>
      <c r="S545">
        <f t="shared" si="41"/>
        <v>1</v>
      </c>
      <c r="T545">
        <f t="shared" si="42"/>
        <v>3</v>
      </c>
      <c r="U545">
        <f t="shared" si="43"/>
        <v>1</v>
      </c>
      <c r="V545">
        <f t="shared" si="44"/>
        <v>0</v>
      </c>
    </row>
    <row r="546" spans="1:22" x14ac:dyDescent="0.25">
      <c r="A546">
        <v>543</v>
      </c>
      <c r="B546" t="s">
        <v>12</v>
      </c>
      <c r="C546" t="s">
        <v>250</v>
      </c>
      <c r="D546" s="4">
        <v>45411</v>
      </c>
      <c r="E546" t="s">
        <v>312</v>
      </c>
      <c r="F546" t="s">
        <v>75</v>
      </c>
      <c r="I546" s="6">
        <v>1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>
        <v>1</v>
      </c>
      <c r="R546">
        <f t="shared" si="40"/>
        <v>0</v>
      </c>
      <c r="S546">
        <f t="shared" si="41"/>
        <v>1</v>
      </c>
      <c r="T546">
        <f t="shared" si="42"/>
        <v>1</v>
      </c>
      <c r="U546">
        <f t="shared" si="43"/>
        <v>1</v>
      </c>
      <c r="V546">
        <f t="shared" si="44"/>
        <v>0</v>
      </c>
    </row>
    <row r="547" spans="1:22" x14ac:dyDescent="0.25">
      <c r="A547">
        <v>544</v>
      </c>
      <c r="B547" t="s">
        <v>12</v>
      </c>
      <c r="C547" t="s">
        <v>250</v>
      </c>
      <c r="D547" s="4">
        <v>45412</v>
      </c>
      <c r="E547" t="s">
        <v>986</v>
      </c>
      <c r="F547" t="s">
        <v>75</v>
      </c>
      <c r="I547" s="6">
        <v>0</v>
      </c>
      <c r="J547" s="6">
        <v>0</v>
      </c>
      <c r="K547" s="6">
        <v>0</v>
      </c>
      <c r="L547" s="6">
        <v>1</v>
      </c>
      <c r="M547" s="6">
        <v>0</v>
      </c>
      <c r="N547" s="6">
        <v>0</v>
      </c>
      <c r="O547" s="6">
        <v>0</v>
      </c>
      <c r="P547" s="6">
        <v>0</v>
      </c>
      <c r="Q547">
        <v>1</v>
      </c>
      <c r="R547">
        <f t="shared" si="40"/>
        <v>0</v>
      </c>
      <c r="S547">
        <f t="shared" si="41"/>
        <v>1</v>
      </c>
      <c r="T547">
        <f t="shared" si="42"/>
        <v>1</v>
      </c>
      <c r="U547">
        <f t="shared" si="43"/>
        <v>1</v>
      </c>
      <c r="V547">
        <f t="shared" si="44"/>
        <v>0</v>
      </c>
    </row>
    <row r="548" spans="1:22" x14ac:dyDescent="0.25">
      <c r="A548">
        <v>545</v>
      </c>
      <c r="B548" t="s">
        <v>12</v>
      </c>
      <c r="C548" t="s">
        <v>250</v>
      </c>
      <c r="D548" s="4">
        <v>45413</v>
      </c>
      <c r="E548" t="s">
        <v>467</v>
      </c>
      <c r="F548" t="s">
        <v>75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>
        <v>1</v>
      </c>
      <c r="R548">
        <f t="shared" si="40"/>
        <v>0</v>
      </c>
      <c r="S548">
        <f t="shared" si="41"/>
        <v>1</v>
      </c>
      <c r="T548">
        <f t="shared" si="42"/>
        <v>0</v>
      </c>
      <c r="U548">
        <f t="shared" si="43"/>
        <v>0</v>
      </c>
      <c r="V548">
        <f t="shared" si="44"/>
        <v>0</v>
      </c>
    </row>
    <row r="549" spans="1:22" x14ac:dyDescent="0.25">
      <c r="A549">
        <v>546</v>
      </c>
      <c r="B549" t="s">
        <v>12</v>
      </c>
      <c r="C549" t="s">
        <v>250</v>
      </c>
      <c r="D549" s="4">
        <v>45413</v>
      </c>
      <c r="E549" t="s">
        <v>468</v>
      </c>
      <c r="F549" t="s">
        <v>75</v>
      </c>
      <c r="I549" s="6">
        <v>0</v>
      </c>
      <c r="J549" s="6">
        <v>0</v>
      </c>
      <c r="K549" s="6">
        <v>0</v>
      </c>
      <c r="L549" s="6">
        <v>0</v>
      </c>
      <c r="M549" s="6">
        <v>1</v>
      </c>
      <c r="N549" s="6">
        <v>0</v>
      </c>
      <c r="O549" s="6">
        <v>0</v>
      </c>
      <c r="P549" s="6">
        <v>0</v>
      </c>
      <c r="Q549">
        <v>1</v>
      </c>
      <c r="R549">
        <f t="shared" si="40"/>
        <v>0</v>
      </c>
      <c r="S549">
        <f t="shared" si="41"/>
        <v>1</v>
      </c>
      <c r="T549">
        <f t="shared" si="42"/>
        <v>1</v>
      </c>
      <c r="U549">
        <f t="shared" si="43"/>
        <v>1</v>
      </c>
      <c r="V549">
        <f t="shared" si="44"/>
        <v>0</v>
      </c>
    </row>
    <row r="550" spans="1:22" x14ac:dyDescent="0.25">
      <c r="A550">
        <v>547</v>
      </c>
      <c r="B550" t="s">
        <v>12</v>
      </c>
      <c r="C550" t="s">
        <v>250</v>
      </c>
      <c r="D550" s="4">
        <v>45414</v>
      </c>
      <c r="E550" t="s">
        <v>313</v>
      </c>
      <c r="F550" t="s">
        <v>75</v>
      </c>
      <c r="I550" s="6">
        <v>1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>
        <v>1</v>
      </c>
      <c r="R550">
        <f t="shared" si="40"/>
        <v>0</v>
      </c>
      <c r="S550">
        <f t="shared" si="41"/>
        <v>1</v>
      </c>
      <c r="T550">
        <f t="shared" si="42"/>
        <v>1</v>
      </c>
      <c r="U550">
        <f t="shared" si="43"/>
        <v>1</v>
      </c>
      <c r="V550">
        <f t="shared" si="44"/>
        <v>0</v>
      </c>
    </row>
    <row r="551" spans="1:22" x14ac:dyDescent="0.25">
      <c r="A551">
        <v>548</v>
      </c>
      <c r="B551" t="s">
        <v>12</v>
      </c>
      <c r="C551" t="s">
        <v>250</v>
      </c>
      <c r="D551" s="4">
        <v>45414</v>
      </c>
      <c r="E551" t="s">
        <v>314</v>
      </c>
      <c r="F551" t="s">
        <v>75</v>
      </c>
      <c r="I551" s="6">
        <v>0</v>
      </c>
      <c r="J551" s="6">
        <v>0</v>
      </c>
      <c r="K551" s="6">
        <v>0</v>
      </c>
      <c r="L551" s="6">
        <v>0</v>
      </c>
      <c r="M551" s="6">
        <v>1</v>
      </c>
      <c r="N551" s="6">
        <v>0</v>
      </c>
      <c r="O551" s="6">
        <v>0</v>
      </c>
      <c r="P551" s="6">
        <v>0</v>
      </c>
      <c r="Q551">
        <v>1</v>
      </c>
      <c r="R551">
        <f t="shared" si="40"/>
        <v>0</v>
      </c>
      <c r="S551">
        <f t="shared" si="41"/>
        <v>1</v>
      </c>
      <c r="T551">
        <f t="shared" si="42"/>
        <v>1</v>
      </c>
      <c r="U551">
        <f t="shared" si="43"/>
        <v>1</v>
      </c>
      <c r="V551">
        <f t="shared" si="44"/>
        <v>0</v>
      </c>
    </row>
    <row r="552" spans="1:22" x14ac:dyDescent="0.25">
      <c r="A552">
        <v>549</v>
      </c>
      <c r="B552" t="s">
        <v>12</v>
      </c>
      <c r="C552" t="s">
        <v>250</v>
      </c>
      <c r="D552" s="4">
        <v>45415</v>
      </c>
      <c r="E552" t="s">
        <v>882</v>
      </c>
      <c r="F552" t="s">
        <v>75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>
        <v>1</v>
      </c>
      <c r="R552">
        <f t="shared" si="40"/>
        <v>0</v>
      </c>
      <c r="S552">
        <f t="shared" si="41"/>
        <v>1</v>
      </c>
      <c r="T552">
        <f t="shared" si="42"/>
        <v>0</v>
      </c>
      <c r="U552">
        <f t="shared" si="43"/>
        <v>0</v>
      </c>
      <c r="V552">
        <f t="shared" si="44"/>
        <v>0</v>
      </c>
    </row>
    <row r="553" spans="1:22" x14ac:dyDescent="0.25">
      <c r="A553">
        <v>550</v>
      </c>
      <c r="B553" t="s">
        <v>12</v>
      </c>
      <c r="C553" t="s">
        <v>250</v>
      </c>
      <c r="D553" s="4">
        <v>45415</v>
      </c>
      <c r="E553" t="s">
        <v>883</v>
      </c>
      <c r="F553" t="s">
        <v>75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>
        <v>1</v>
      </c>
      <c r="R553">
        <f t="shared" si="40"/>
        <v>0</v>
      </c>
      <c r="S553">
        <f t="shared" si="41"/>
        <v>1</v>
      </c>
      <c r="T553">
        <f t="shared" si="42"/>
        <v>0</v>
      </c>
      <c r="U553">
        <f t="shared" si="43"/>
        <v>0</v>
      </c>
      <c r="V553">
        <f t="shared" si="44"/>
        <v>0</v>
      </c>
    </row>
    <row r="554" spans="1:22" x14ac:dyDescent="0.25">
      <c r="A554">
        <v>551</v>
      </c>
      <c r="B554" t="s">
        <v>12</v>
      </c>
      <c r="C554" t="s">
        <v>250</v>
      </c>
      <c r="D554" s="4">
        <v>45416</v>
      </c>
      <c r="E554" t="s">
        <v>315</v>
      </c>
      <c r="F554" t="s">
        <v>75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>
        <v>1</v>
      </c>
      <c r="R554">
        <f t="shared" si="40"/>
        <v>0</v>
      </c>
      <c r="S554">
        <f t="shared" si="41"/>
        <v>1</v>
      </c>
      <c r="T554">
        <f t="shared" si="42"/>
        <v>0</v>
      </c>
      <c r="U554">
        <f t="shared" si="43"/>
        <v>0</v>
      </c>
      <c r="V554">
        <f t="shared" si="44"/>
        <v>0</v>
      </c>
    </row>
    <row r="555" spans="1:22" x14ac:dyDescent="0.25">
      <c r="A555">
        <v>552</v>
      </c>
      <c r="B555" t="s">
        <v>12</v>
      </c>
      <c r="C555" t="s">
        <v>250</v>
      </c>
      <c r="D555" s="4">
        <v>45416</v>
      </c>
      <c r="E555" t="s">
        <v>316</v>
      </c>
      <c r="F555" t="s">
        <v>75</v>
      </c>
      <c r="I555" s="6">
        <v>0</v>
      </c>
      <c r="J555" s="6">
        <v>0</v>
      </c>
      <c r="K555" s="6">
        <v>0</v>
      </c>
      <c r="L555" s="6">
        <v>1</v>
      </c>
      <c r="M555" s="6">
        <v>0</v>
      </c>
      <c r="N555" s="6">
        <v>0</v>
      </c>
      <c r="O555" s="6">
        <v>0</v>
      </c>
      <c r="P555" s="6">
        <v>0</v>
      </c>
      <c r="Q555">
        <v>1</v>
      </c>
      <c r="R555">
        <f t="shared" si="40"/>
        <v>0</v>
      </c>
      <c r="S555">
        <f t="shared" si="41"/>
        <v>1</v>
      </c>
      <c r="T555">
        <f t="shared" si="42"/>
        <v>1</v>
      </c>
      <c r="U555">
        <f t="shared" si="43"/>
        <v>1</v>
      </c>
      <c r="V555">
        <f t="shared" si="44"/>
        <v>0</v>
      </c>
    </row>
    <row r="556" spans="1:22" x14ac:dyDescent="0.25">
      <c r="A556">
        <v>553</v>
      </c>
      <c r="B556" t="s">
        <v>12</v>
      </c>
      <c r="C556" t="s">
        <v>250</v>
      </c>
      <c r="D556" s="4">
        <v>45416</v>
      </c>
      <c r="E556" t="s">
        <v>469</v>
      </c>
      <c r="F556" t="s">
        <v>75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>
        <v>1</v>
      </c>
      <c r="R556">
        <f t="shared" si="40"/>
        <v>0</v>
      </c>
      <c r="S556">
        <f t="shared" si="41"/>
        <v>1</v>
      </c>
      <c r="T556">
        <f t="shared" si="42"/>
        <v>0</v>
      </c>
      <c r="U556">
        <f t="shared" si="43"/>
        <v>0</v>
      </c>
      <c r="V556">
        <f t="shared" si="44"/>
        <v>0</v>
      </c>
    </row>
    <row r="557" spans="1:22" x14ac:dyDescent="0.25">
      <c r="A557">
        <v>554</v>
      </c>
      <c r="B557" t="s">
        <v>12</v>
      </c>
      <c r="C557" t="s">
        <v>250</v>
      </c>
      <c r="D557" s="4">
        <v>45418</v>
      </c>
      <c r="E557" t="s">
        <v>317</v>
      </c>
      <c r="F557" t="s">
        <v>75</v>
      </c>
      <c r="I557" s="6">
        <v>1</v>
      </c>
      <c r="J557" s="6">
        <v>0</v>
      </c>
      <c r="K557" s="6">
        <v>1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>
        <v>1</v>
      </c>
      <c r="R557">
        <f t="shared" si="40"/>
        <v>0</v>
      </c>
      <c r="S557">
        <f t="shared" si="41"/>
        <v>1</v>
      </c>
      <c r="T557">
        <f t="shared" si="42"/>
        <v>2</v>
      </c>
      <c r="U557">
        <f t="shared" si="43"/>
        <v>1</v>
      </c>
      <c r="V557">
        <f t="shared" si="44"/>
        <v>0</v>
      </c>
    </row>
    <row r="558" spans="1:22" x14ac:dyDescent="0.25">
      <c r="A558">
        <v>555</v>
      </c>
      <c r="B558" t="s">
        <v>12</v>
      </c>
      <c r="C558" t="s">
        <v>250</v>
      </c>
      <c r="D558" s="4">
        <v>45418</v>
      </c>
      <c r="E558" t="s">
        <v>318</v>
      </c>
      <c r="F558" t="s">
        <v>75</v>
      </c>
      <c r="I558" s="6">
        <v>1</v>
      </c>
      <c r="J558" s="6">
        <v>0</v>
      </c>
      <c r="K558" s="6">
        <v>0</v>
      </c>
      <c r="L558" s="6">
        <v>1</v>
      </c>
      <c r="M558" s="6">
        <v>1</v>
      </c>
      <c r="N558" s="6">
        <v>0</v>
      </c>
      <c r="O558" s="6">
        <v>0</v>
      </c>
      <c r="P558" s="6">
        <v>0</v>
      </c>
      <c r="Q558">
        <v>1</v>
      </c>
      <c r="R558">
        <f t="shared" si="40"/>
        <v>0</v>
      </c>
      <c r="S558">
        <f t="shared" si="41"/>
        <v>1</v>
      </c>
      <c r="T558">
        <f t="shared" si="42"/>
        <v>3</v>
      </c>
      <c r="U558">
        <f t="shared" si="43"/>
        <v>1</v>
      </c>
      <c r="V558">
        <f t="shared" si="44"/>
        <v>0</v>
      </c>
    </row>
    <row r="559" spans="1:22" x14ac:dyDescent="0.25">
      <c r="A559">
        <v>556</v>
      </c>
      <c r="B559" t="s">
        <v>12</v>
      </c>
      <c r="C559" t="s">
        <v>250</v>
      </c>
      <c r="D559" s="4">
        <v>45418</v>
      </c>
      <c r="E559" t="s">
        <v>319</v>
      </c>
      <c r="F559" t="s">
        <v>75</v>
      </c>
      <c r="I559" s="6">
        <v>1</v>
      </c>
      <c r="J559" s="6">
        <v>0</v>
      </c>
      <c r="K559" s="6">
        <v>1</v>
      </c>
      <c r="L559" s="6">
        <v>1</v>
      </c>
      <c r="M559" s="6">
        <v>0</v>
      </c>
      <c r="N559" s="6">
        <v>0</v>
      </c>
      <c r="O559" s="6">
        <v>0</v>
      </c>
      <c r="P559" s="6">
        <v>0</v>
      </c>
      <c r="Q559">
        <v>1</v>
      </c>
      <c r="R559">
        <f t="shared" si="40"/>
        <v>0</v>
      </c>
      <c r="S559">
        <f t="shared" si="41"/>
        <v>1</v>
      </c>
      <c r="T559">
        <f t="shared" si="42"/>
        <v>3</v>
      </c>
      <c r="U559">
        <f t="shared" si="43"/>
        <v>1</v>
      </c>
      <c r="V559">
        <f t="shared" si="44"/>
        <v>0</v>
      </c>
    </row>
    <row r="560" spans="1:22" x14ac:dyDescent="0.25">
      <c r="A560">
        <v>557</v>
      </c>
      <c r="B560" t="s">
        <v>12</v>
      </c>
      <c r="C560" t="s">
        <v>250</v>
      </c>
      <c r="D560" s="4">
        <v>45419</v>
      </c>
      <c r="E560" t="s">
        <v>1080</v>
      </c>
      <c r="F560" t="s">
        <v>75</v>
      </c>
      <c r="I560" s="6">
        <v>1</v>
      </c>
      <c r="J560" s="6">
        <v>0</v>
      </c>
      <c r="K560" s="6">
        <v>0</v>
      </c>
      <c r="L560" s="6">
        <v>0</v>
      </c>
      <c r="M560" s="6">
        <v>1</v>
      </c>
      <c r="N560" s="6">
        <v>0</v>
      </c>
      <c r="O560" s="6">
        <v>0</v>
      </c>
      <c r="P560" s="6">
        <v>0</v>
      </c>
      <c r="Q560">
        <v>1</v>
      </c>
      <c r="R560">
        <f t="shared" si="40"/>
        <v>0</v>
      </c>
      <c r="S560">
        <f t="shared" si="41"/>
        <v>1</v>
      </c>
      <c r="T560">
        <f t="shared" si="42"/>
        <v>2</v>
      </c>
      <c r="U560">
        <f t="shared" si="43"/>
        <v>1</v>
      </c>
      <c r="V560">
        <f t="shared" si="44"/>
        <v>0</v>
      </c>
    </row>
    <row r="561" spans="1:22" x14ac:dyDescent="0.25">
      <c r="A561">
        <v>558</v>
      </c>
      <c r="B561" t="s">
        <v>12</v>
      </c>
      <c r="C561" t="s">
        <v>250</v>
      </c>
      <c r="D561" s="4">
        <v>45419</v>
      </c>
      <c r="E561" t="s">
        <v>320</v>
      </c>
      <c r="F561" t="s">
        <v>75</v>
      </c>
      <c r="I561" s="6">
        <v>1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>
        <v>1</v>
      </c>
      <c r="R561">
        <f t="shared" si="40"/>
        <v>0</v>
      </c>
      <c r="S561">
        <f t="shared" si="41"/>
        <v>1</v>
      </c>
      <c r="T561">
        <f t="shared" si="42"/>
        <v>1</v>
      </c>
      <c r="U561">
        <f t="shared" si="43"/>
        <v>1</v>
      </c>
      <c r="V561">
        <f t="shared" si="44"/>
        <v>0</v>
      </c>
    </row>
    <row r="562" spans="1:22" x14ac:dyDescent="0.25">
      <c r="A562">
        <v>559</v>
      </c>
      <c r="B562" t="s">
        <v>12</v>
      </c>
      <c r="C562" t="s">
        <v>250</v>
      </c>
      <c r="D562" s="4">
        <v>45421</v>
      </c>
      <c r="E562" t="s">
        <v>321</v>
      </c>
      <c r="F562" t="s">
        <v>75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>
        <v>1</v>
      </c>
      <c r="R562">
        <f t="shared" si="40"/>
        <v>0</v>
      </c>
      <c r="S562">
        <f t="shared" si="41"/>
        <v>1</v>
      </c>
      <c r="T562">
        <f t="shared" si="42"/>
        <v>0</v>
      </c>
      <c r="U562">
        <f t="shared" si="43"/>
        <v>0</v>
      </c>
      <c r="V562">
        <f t="shared" si="44"/>
        <v>0</v>
      </c>
    </row>
    <row r="563" spans="1:22" x14ac:dyDescent="0.25">
      <c r="A563">
        <v>560</v>
      </c>
      <c r="B563" t="s">
        <v>12</v>
      </c>
      <c r="C563" t="s">
        <v>250</v>
      </c>
      <c r="D563" s="4">
        <v>45421</v>
      </c>
      <c r="E563" t="s">
        <v>322</v>
      </c>
      <c r="F563" t="s">
        <v>75</v>
      </c>
      <c r="I563" s="6">
        <v>0</v>
      </c>
      <c r="J563" s="6">
        <v>0</v>
      </c>
      <c r="K563" s="6">
        <v>0</v>
      </c>
      <c r="L563" s="6">
        <v>1</v>
      </c>
      <c r="M563" s="6">
        <v>0</v>
      </c>
      <c r="N563" s="6">
        <v>0</v>
      </c>
      <c r="O563" s="6">
        <v>0</v>
      </c>
      <c r="P563" s="6">
        <v>0</v>
      </c>
      <c r="Q563">
        <v>1</v>
      </c>
      <c r="R563">
        <f t="shared" si="40"/>
        <v>0</v>
      </c>
      <c r="S563">
        <f t="shared" si="41"/>
        <v>1</v>
      </c>
      <c r="T563">
        <f t="shared" si="42"/>
        <v>1</v>
      </c>
      <c r="U563">
        <f t="shared" si="43"/>
        <v>1</v>
      </c>
      <c r="V563">
        <f t="shared" si="44"/>
        <v>0</v>
      </c>
    </row>
    <row r="564" spans="1:22" x14ac:dyDescent="0.25">
      <c r="A564">
        <v>561</v>
      </c>
      <c r="B564" t="s">
        <v>12</v>
      </c>
      <c r="C564" t="s">
        <v>250</v>
      </c>
      <c r="D564" s="4">
        <v>45421</v>
      </c>
      <c r="E564" t="s">
        <v>323</v>
      </c>
      <c r="F564" t="s">
        <v>75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>
        <v>1</v>
      </c>
      <c r="R564">
        <f t="shared" si="40"/>
        <v>0</v>
      </c>
      <c r="S564">
        <f t="shared" si="41"/>
        <v>1</v>
      </c>
      <c r="T564">
        <f t="shared" si="42"/>
        <v>0</v>
      </c>
      <c r="U564">
        <f t="shared" si="43"/>
        <v>0</v>
      </c>
      <c r="V564">
        <f t="shared" si="44"/>
        <v>0</v>
      </c>
    </row>
    <row r="565" spans="1:22" x14ac:dyDescent="0.25">
      <c r="A565">
        <v>562</v>
      </c>
      <c r="B565" t="s">
        <v>12</v>
      </c>
      <c r="C565" t="s">
        <v>250</v>
      </c>
      <c r="D565" s="4">
        <v>45421</v>
      </c>
      <c r="E565" t="s">
        <v>324</v>
      </c>
      <c r="F565" t="s">
        <v>75</v>
      </c>
      <c r="I565" s="6">
        <v>1</v>
      </c>
      <c r="J565" s="6">
        <v>0</v>
      </c>
      <c r="K565" s="6">
        <v>1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>
        <v>1</v>
      </c>
      <c r="R565">
        <f t="shared" si="40"/>
        <v>0</v>
      </c>
      <c r="S565">
        <f t="shared" si="41"/>
        <v>1</v>
      </c>
      <c r="T565">
        <f t="shared" si="42"/>
        <v>2</v>
      </c>
      <c r="U565">
        <f t="shared" si="43"/>
        <v>1</v>
      </c>
      <c r="V565">
        <f t="shared" si="44"/>
        <v>0</v>
      </c>
    </row>
    <row r="566" spans="1:22" x14ac:dyDescent="0.25">
      <c r="A566">
        <v>563</v>
      </c>
      <c r="B566" t="s">
        <v>12</v>
      </c>
      <c r="C566" t="s">
        <v>250</v>
      </c>
      <c r="D566" s="4">
        <v>45421</v>
      </c>
      <c r="E566" t="s">
        <v>325</v>
      </c>
      <c r="F566" t="s">
        <v>75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>
        <v>1</v>
      </c>
      <c r="R566">
        <f t="shared" si="40"/>
        <v>0</v>
      </c>
      <c r="S566">
        <f t="shared" si="41"/>
        <v>1</v>
      </c>
      <c r="T566">
        <f t="shared" si="42"/>
        <v>0</v>
      </c>
      <c r="U566">
        <f t="shared" si="43"/>
        <v>0</v>
      </c>
      <c r="V566">
        <f t="shared" si="44"/>
        <v>0</v>
      </c>
    </row>
    <row r="567" spans="1:22" x14ac:dyDescent="0.25">
      <c r="A567">
        <v>564</v>
      </c>
      <c r="B567" t="s">
        <v>12</v>
      </c>
      <c r="C567" t="s">
        <v>250</v>
      </c>
      <c r="D567" s="4">
        <v>45422</v>
      </c>
      <c r="E567" t="s">
        <v>1087</v>
      </c>
      <c r="F567" t="s">
        <v>75</v>
      </c>
      <c r="I567" s="6">
        <v>0</v>
      </c>
      <c r="J567" s="6">
        <v>0</v>
      </c>
      <c r="K567" s="6">
        <v>1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>
        <v>1</v>
      </c>
      <c r="R567">
        <f t="shared" si="40"/>
        <v>0</v>
      </c>
      <c r="S567">
        <f t="shared" si="41"/>
        <v>1</v>
      </c>
      <c r="T567">
        <f t="shared" si="42"/>
        <v>1</v>
      </c>
      <c r="U567">
        <f t="shared" si="43"/>
        <v>1</v>
      </c>
      <c r="V567">
        <f t="shared" si="44"/>
        <v>0</v>
      </c>
    </row>
    <row r="568" spans="1:22" x14ac:dyDescent="0.25">
      <c r="A568">
        <v>565</v>
      </c>
      <c r="B568" t="s">
        <v>12</v>
      </c>
      <c r="C568" t="s">
        <v>250</v>
      </c>
      <c r="D568" s="4">
        <v>45422</v>
      </c>
      <c r="E568" t="s">
        <v>1088</v>
      </c>
      <c r="F568" t="s">
        <v>75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>
        <v>1</v>
      </c>
      <c r="R568">
        <f t="shared" si="40"/>
        <v>0</v>
      </c>
      <c r="S568">
        <f t="shared" si="41"/>
        <v>1</v>
      </c>
      <c r="T568">
        <f t="shared" si="42"/>
        <v>0</v>
      </c>
      <c r="U568">
        <f t="shared" si="43"/>
        <v>0</v>
      </c>
      <c r="V568">
        <f t="shared" si="44"/>
        <v>0</v>
      </c>
    </row>
    <row r="569" spans="1:22" x14ac:dyDescent="0.25">
      <c r="A569">
        <v>566</v>
      </c>
      <c r="B569" t="s">
        <v>12</v>
      </c>
      <c r="C569" t="s">
        <v>250</v>
      </c>
      <c r="D569" s="4">
        <v>45422</v>
      </c>
      <c r="E569" t="s">
        <v>1089</v>
      </c>
      <c r="F569" t="s">
        <v>75</v>
      </c>
      <c r="I569" s="6">
        <v>1</v>
      </c>
      <c r="J569" s="6">
        <v>0</v>
      </c>
      <c r="K569" s="6">
        <v>0</v>
      </c>
      <c r="L569" s="6">
        <v>0</v>
      </c>
      <c r="M569" s="6">
        <v>1</v>
      </c>
      <c r="N569" s="6">
        <v>0</v>
      </c>
      <c r="O569" s="6">
        <v>0</v>
      </c>
      <c r="P569" s="6">
        <v>0</v>
      </c>
      <c r="Q569">
        <v>1</v>
      </c>
      <c r="R569">
        <f t="shared" si="40"/>
        <v>0</v>
      </c>
      <c r="S569">
        <f t="shared" si="41"/>
        <v>1</v>
      </c>
      <c r="T569">
        <f t="shared" si="42"/>
        <v>2</v>
      </c>
      <c r="U569">
        <f t="shared" si="43"/>
        <v>1</v>
      </c>
      <c r="V569">
        <f t="shared" si="44"/>
        <v>0</v>
      </c>
    </row>
    <row r="570" spans="1:22" x14ac:dyDescent="0.25">
      <c r="A570">
        <v>567</v>
      </c>
      <c r="B570" t="s">
        <v>12</v>
      </c>
      <c r="C570" t="s">
        <v>250</v>
      </c>
      <c r="D570" s="4">
        <v>45422</v>
      </c>
      <c r="E570" t="s">
        <v>1183</v>
      </c>
      <c r="F570" t="s">
        <v>75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>
        <v>1</v>
      </c>
      <c r="R570">
        <f t="shared" si="40"/>
        <v>0</v>
      </c>
      <c r="S570">
        <f t="shared" si="41"/>
        <v>1</v>
      </c>
      <c r="T570">
        <f t="shared" si="42"/>
        <v>0</v>
      </c>
      <c r="U570">
        <f t="shared" si="43"/>
        <v>0</v>
      </c>
      <c r="V570">
        <f t="shared" si="44"/>
        <v>0</v>
      </c>
    </row>
    <row r="571" spans="1:22" x14ac:dyDescent="0.25">
      <c r="A571">
        <v>568</v>
      </c>
      <c r="B571" t="s">
        <v>12</v>
      </c>
      <c r="C571" t="s">
        <v>250</v>
      </c>
      <c r="D571" s="4">
        <v>45422</v>
      </c>
      <c r="E571" t="s">
        <v>326</v>
      </c>
      <c r="F571" t="s">
        <v>75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>
        <v>1</v>
      </c>
      <c r="R571">
        <f t="shared" si="40"/>
        <v>0</v>
      </c>
      <c r="S571">
        <f t="shared" si="41"/>
        <v>1</v>
      </c>
      <c r="T571">
        <f t="shared" si="42"/>
        <v>0</v>
      </c>
      <c r="U571">
        <f t="shared" si="43"/>
        <v>0</v>
      </c>
      <c r="V571">
        <f t="shared" si="44"/>
        <v>0</v>
      </c>
    </row>
    <row r="572" spans="1:22" x14ac:dyDescent="0.25">
      <c r="A572">
        <v>569</v>
      </c>
      <c r="B572" t="s">
        <v>12</v>
      </c>
      <c r="C572" t="s">
        <v>250</v>
      </c>
      <c r="D572" s="4">
        <v>45422</v>
      </c>
      <c r="E572" t="s">
        <v>327</v>
      </c>
      <c r="F572" t="s">
        <v>75</v>
      </c>
      <c r="I572" s="6">
        <v>1</v>
      </c>
      <c r="J572" s="6">
        <v>0</v>
      </c>
      <c r="K572" s="6">
        <v>1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>
        <v>1</v>
      </c>
      <c r="R572">
        <f t="shared" si="40"/>
        <v>0</v>
      </c>
      <c r="S572">
        <f t="shared" si="41"/>
        <v>1</v>
      </c>
      <c r="T572">
        <f t="shared" si="42"/>
        <v>2</v>
      </c>
      <c r="U572">
        <f t="shared" si="43"/>
        <v>1</v>
      </c>
      <c r="V572">
        <f t="shared" si="44"/>
        <v>0</v>
      </c>
    </row>
    <row r="573" spans="1:22" x14ac:dyDescent="0.25">
      <c r="A573">
        <v>570</v>
      </c>
      <c r="B573" t="s">
        <v>12</v>
      </c>
      <c r="C573" t="s">
        <v>250</v>
      </c>
      <c r="D573" s="4">
        <v>45422</v>
      </c>
      <c r="E573" t="s">
        <v>328</v>
      </c>
      <c r="F573" t="s">
        <v>75</v>
      </c>
      <c r="I573" s="6">
        <v>0</v>
      </c>
      <c r="J573" s="6">
        <v>0</v>
      </c>
      <c r="K573" s="6">
        <v>0</v>
      </c>
      <c r="L573" s="6">
        <v>1</v>
      </c>
      <c r="M573" s="6">
        <v>0</v>
      </c>
      <c r="N573" s="6">
        <v>0</v>
      </c>
      <c r="O573" s="6">
        <v>0</v>
      </c>
      <c r="P573" s="6">
        <v>0</v>
      </c>
      <c r="Q573">
        <v>1</v>
      </c>
      <c r="R573">
        <f t="shared" si="40"/>
        <v>0</v>
      </c>
      <c r="S573">
        <f t="shared" si="41"/>
        <v>1</v>
      </c>
      <c r="T573">
        <f t="shared" si="42"/>
        <v>1</v>
      </c>
      <c r="U573">
        <f t="shared" si="43"/>
        <v>1</v>
      </c>
      <c r="V573">
        <f t="shared" si="44"/>
        <v>0</v>
      </c>
    </row>
    <row r="574" spans="1:22" x14ac:dyDescent="0.25">
      <c r="A574">
        <v>571</v>
      </c>
      <c r="B574" t="s">
        <v>12</v>
      </c>
      <c r="C574" t="s">
        <v>250</v>
      </c>
      <c r="D574" s="4">
        <v>45422</v>
      </c>
      <c r="E574" t="s">
        <v>1405</v>
      </c>
      <c r="F574" t="s">
        <v>75</v>
      </c>
      <c r="I574" s="6">
        <v>1</v>
      </c>
      <c r="J574" s="6">
        <v>0</v>
      </c>
      <c r="K574" s="6">
        <v>1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>
        <v>1</v>
      </c>
      <c r="R574">
        <f t="shared" si="40"/>
        <v>0</v>
      </c>
      <c r="S574">
        <f t="shared" si="41"/>
        <v>1</v>
      </c>
      <c r="T574">
        <f t="shared" si="42"/>
        <v>2</v>
      </c>
      <c r="U574">
        <f t="shared" si="43"/>
        <v>1</v>
      </c>
      <c r="V574">
        <f t="shared" si="44"/>
        <v>0</v>
      </c>
    </row>
    <row r="575" spans="1:22" x14ac:dyDescent="0.25">
      <c r="A575">
        <v>572</v>
      </c>
      <c r="B575" t="s">
        <v>12</v>
      </c>
      <c r="C575" t="s">
        <v>250</v>
      </c>
      <c r="D575" s="4">
        <v>45423</v>
      </c>
      <c r="E575" t="s">
        <v>329</v>
      </c>
      <c r="F575" t="s">
        <v>75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>
        <v>1</v>
      </c>
      <c r="R575">
        <f t="shared" si="40"/>
        <v>0</v>
      </c>
      <c r="S575">
        <f t="shared" si="41"/>
        <v>1</v>
      </c>
      <c r="T575">
        <f t="shared" si="42"/>
        <v>0</v>
      </c>
      <c r="U575">
        <f t="shared" si="43"/>
        <v>0</v>
      </c>
      <c r="V575">
        <f t="shared" si="44"/>
        <v>0</v>
      </c>
    </row>
    <row r="576" spans="1:22" x14ac:dyDescent="0.25">
      <c r="A576">
        <v>573</v>
      </c>
      <c r="B576" t="s">
        <v>12</v>
      </c>
      <c r="C576" t="s">
        <v>250</v>
      </c>
      <c r="D576" s="4">
        <v>45423</v>
      </c>
      <c r="E576" t="s">
        <v>330</v>
      </c>
      <c r="F576" t="s">
        <v>75</v>
      </c>
      <c r="I576" s="6">
        <v>1</v>
      </c>
      <c r="J576" s="6">
        <v>0</v>
      </c>
      <c r="K576" s="6">
        <v>0</v>
      </c>
      <c r="L576" s="6">
        <v>1</v>
      </c>
      <c r="M576" s="6">
        <v>1</v>
      </c>
      <c r="N576" s="6">
        <v>0</v>
      </c>
      <c r="O576" s="6">
        <v>0</v>
      </c>
      <c r="P576" s="6">
        <v>0</v>
      </c>
      <c r="Q576">
        <v>1</v>
      </c>
      <c r="R576">
        <f t="shared" si="40"/>
        <v>0</v>
      </c>
      <c r="S576">
        <f t="shared" si="41"/>
        <v>1</v>
      </c>
      <c r="T576">
        <f t="shared" si="42"/>
        <v>3</v>
      </c>
      <c r="U576">
        <f t="shared" si="43"/>
        <v>1</v>
      </c>
      <c r="V576">
        <f t="shared" si="44"/>
        <v>0</v>
      </c>
    </row>
    <row r="577" spans="1:22" x14ac:dyDescent="0.25">
      <c r="A577">
        <v>574</v>
      </c>
      <c r="B577" t="s">
        <v>12</v>
      </c>
      <c r="C577" t="s">
        <v>250</v>
      </c>
      <c r="D577" s="4">
        <v>45423</v>
      </c>
      <c r="E577" t="s">
        <v>331</v>
      </c>
      <c r="F577" t="s">
        <v>75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>
        <v>1</v>
      </c>
      <c r="R577">
        <f t="shared" si="40"/>
        <v>0</v>
      </c>
      <c r="S577">
        <f t="shared" si="41"/>
        <v>1</v>
      </c>
      <c r="T577">
        <f t="shared" si="42"/>
        <v>0</v>
      </c>
      <c r="U577">
        <f t="shared" si="43"/>
        <v>0</v>
      </c>
      <c r="V577">
        <f t="shared" si="44"/>
        <v>0</v>
      </c>
    </row>
    <row r="578" spans="1:22" x14ac:dyDescent="0.25">
      <c r="A578">
        <v>575</v>
      </c>
      <c r="B578" t="s">
        <v>12</v>
      </c>
      <c r="C578" t="s">
        <v>250</v>
      </c>
      <c r="D578" s="4">
        <v>45423</v>
      </c>
      <c r="E578" t="s">
        <v>332</v>
      </c>
      <c r="F578" t="s">
        <v>75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>
        <v>1</v>
      </c>
      <c r="R578">
        <f t="shared" si="40"/>
        <v>0</v>
      </c>
      <c r="S578">
        <f t="shared" si="41"/>
        <v>1</v>
      </c>
      <c r="T578">
        <f t="shared" si="42"/>
        <v>0</v>
      </c>
      <c r="U578">
        <f t="shared" si="43"/>
        <v>0</v>
      </c>
      <c r="V578">
        <f t="shared" si="44"/>
        <v>0</v>
      </c>
    </row>
    <row r="579" spans="1:22" x14ac:dyDescent="0.25">
      <c r="A579">
        <v>576</v>
      </c>
      <c r="B579" t="s">
        <v>12</v>
      </c>
      <c r="C579" t="s">
        <v>250</v>
      </c>
      <c r="D579" s="4">
        <v>45424</v>
      </c>
      <c r="E579" t="s">
        <v>1002</v>
      </c>
      <c r="F579" t="s">
        <v>75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>
        <v>1</v>
      </c>
      <c r="R579">
        <f t="shared" ref="R579:R642" si="45">IF(AND(Q579=1,F579="ai_full"),1,0)</f>
        <v>0</v>
      </c>
      <c r="S579">
        <f t="shared" ref="S579:S642" si="46">IF(AND(Q579=1,F579="conventional"),1,0)</f>
        <v>1</v>
      </c>
      <c r="T579">
        <f t="shared" ref="T579:T642" si="47">SUM(I579:P579)</f>
        <v>0</v>
      </c>
      <c r="U579">
        <f t="shared" ref="U579:U642" si="48">IF(T579&gt;=1,1,0)</f>
        <v>0</v>
      </c>
      <c r="V579">
        <f t="shared" ref="V579:V642" si="49">IF(F579="ai_full",1,0)</f>
        <v>0</v>
      </c>
    </row>
    <row r="580" spans="1:22" x14ac:dyDescent="0.25">
      <c r="A580">
        <v>577</v>
      </c>
      <c r="B580" t="s">
        <v>12</v>
      </c>
      <c r="C580" t="s">
        <v>250</v>
      </c>
      <c r="D580" s="4">
        <v>45425</v>
      </c>
      <c r="E580" t="s">
        <v>333</v>
      </c>
      <c r="F580" t="s">
        <v>75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>
        <v>1</v>
      </c>
      <c r="R580">
        <f t="shared" si="45"/>
        <v>0</v>
      </c>
      <c r="S580">
        <f t="shared" si="46"/>
        <v>1</v>
      </c>
      <c r="T580">
        <f t="shared" si="47"/>
        <v>0</v>
      </c>
      <c r="U580">
        <f t="shared" si="48"/>
        <v>0</v>
      </c>
      <c r="V580">
        <f t="shared" si="49"/>
        <v>0</v>
      </c>
    </row>
    <row r="581" spans="1:22" x14ac:dyDescent="0.25">
      <c r="A581">
        <v>578</v>
      </c>
      <c r="B581" t="s">
        <v>12</v>
      </c>
      <c r="C581" t="s">
        <v>250</v>
      </c>
      <c r="D581" s="4">
        <v>45425</v>
      </c>
      <c r="E581" t="s">
        <v>334</v>
      </c>
      <c r="F581" t="s">
        <v>75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>
        <v>1</v>
      </c>
      <c r="R581">
        <f t="shared" si="45"/>
        <v>0</v>
      </c>
      <c r="S581">
        <f t="shared" si="46"/>
        <v>1</v>
      </c>
      <c r="T581">
        <f t="shared" si="47"/>
        <v>0</v>
      </c>
      <c r="U581">
        <f t="shared" si="48"/>
        <v>0</v>
      </c>
      <c r="V581">
        <f t="shared" si="49"/>
        <v>0</v>
      </c>
    </row>
    <row r="582" spans="1:22" x14ac:dyDescent="0.25">
      <c r="A582">
        <v>579</v>
      </c>
      <c r="B582" t="s">
        <v>12</v>
      </c>
      <c r="C582" t="s">
        <v>250</v>
      </c>
      <c r="D582" s="4">
        <v>45426</v>
      </c>
      <c r="E582" t="s">
        <v>335</v>
      </c>
      <c r="F582" t="s">
        <v>75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>
        <v>1</v>
      </c>
      <c r="R582">
        <f t="shared" si="45"/>
        <v>0</v>
      </c>
      <c r="S582">
        <f t="shared" si="46"/>
        <v>1</v>
      </c>
      <c r="T582">
        <f t="shared" si="47"/>
        <v>0</v>
      </c>
      <c r="U582">
        <f t="shared" si="48"/>
        <v>0</v>
      </c>
      <c r="V582">
        <f t="shared" si="49"/>
        <v>0</v>
      </c>
    </row>
    <row r="583" spans="1:22" x14ac:dyDescent="0.25">
      <c r="A583">
        <v>580</v>
      </c>
      <c r="B583" t="s">
        <v>12</v>
      </c>
      <c r="C583" t="s">
        <v>250</v>
      </c>
      <c r="D583" s="4">
        <v>45426</v>
      </c>
      <c r="E583" t="s">
        <v>1185</v>
      </c>
      <c r="F583" t="s">
        <v>75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>
        <v>1</v>
      </c>
      <c r="R583">
        <f t="shared" si="45"/>
        <v>0</v>
      </c>
      <c r="S583">
        <f t="shared" si="46"/>
        <v>1</v>
      </c>
      <c r="T583">
        <f t="shared" si="47"/>
        <v>0</v>
      </c>
      <c r="U583">
        <f t="shared" si="48"/>
        <v>0</v>
      </c>
      <c r="V583">
        <f t="shared" si="49"/>
        <v>0</v>
      </c>
    </row>
    <row r="584" spans="1:22" x14ac:dyDescent="0.25">
      <c r="A584">
        <v>581</v>
      </c>
      <c r="B584" t="s">
        <v>12</v>
      </c>
      <c r="C584" t="s">
        <v>250</v>
      </c>
      <c r="D584" s="4">
        <v>45426</v>
      </c>
      <c r="E584" t="s">
        <v>2019</v>
      </c>
      <c r="F584" t="s">
        <v>75</v>
      </c>
      <c r="I584" s="6">
        <v>0</v>
      </c>
      <c r="J584" s="6">
        <v>0</v>
      </c>
      <c r="K584" s="6">
        <v>1</v>
      </c>
      <c r="L584" s="6">
        <v>1</v>
      </c>
      <c r="M584" s="6">
        <v>0</v>
      </c>
      <c r="N584" s="6">
        <v>0</v>
      </c>
      <c r="O584" s="6">
        <v>0</v>
      </c>
      <c r="P584" s="6">
        <v>0</v>
      </c>
      <c r="Q584">
        <v>1</v>
      </c>
      <c r="R584">
        <f t="shared" si="45"/>
        <v>0</v>
      </c>
      <c r="S584">
        <f t="shared" si="46"/>
        <v>1</v>
      </c>
      <c r="T584">
        <f t="shared" si="47"/>
        <v>2</v>
      </c>
      <c r="U584">
        <f t="shared" si="48"/>
        <v>1</v>
      </c>
      <c r="V584">
        <f t="shared" si="49"/>
        <v>0</v>
      </c>
    </row>
    <row r="585" spans="1:22" x14ac:dyDescent="0.25">
      <c r="A585">
        <v>582</v>
      </c>
      <c r="B585" t="s">
        <v>12</v>
      </c>
      <c r="C585" t="s">
        <v>250</v>
      </c>
      <c r="D585" s="4">
        <v>45427</v>
      </c>
      <c r="E585" t="s">
        <v>336</v>
      </c>
      <c r="F585" t="s">
        <v>75</v>
      </c>
      <c r="I585" s="6">
        <v>1</v>
      </c>
      <c r="J585" s="6">
        <v>0</v>
      </c>
      <c r="K585" s="6">
        <v>0</v>
      </c>
      <c r="L585" s="6">
        <v>1</v>
      </c>
      <c r="M585" s="6">
        <v>1</v>
      </c>
      <c r="N585" s="6">
        <v>0</v>
      </c>
      <c r="O585" s="6">
        <v>0</v>
      </c>
      <c r="P585" s="6">
        <v>0</v>
      </c>
      <c r="Q585">
        <v>1</v>
      </c>
      <c r="R585">
        <f t="shared" si="45"/>
        <v>0</v>
      </c>
      <c r="S585">
        <f t="shared" si="46"/>
        <v>1</v>
      </c>
      <c r="T585">
        <f t="shared" si="47"/>
        <v>3</v>
      </c>
      <c r="U585">
        <f t="shared" si="48"/>
        <v>1</v>
      </c>
      <c r="V585">
        <f t="shared" si="49"/>
        <v>0</v>
      </c>
    </row>
    <row r="586" spans="1:22" x14ac:dyDescent="0.25">
      <c r="A586">
        <v>583</v>
      </c>
      <c r="B586" t="s">
        <v>12</v>
      </c>
      <c r="C586" t="s">
        <v>250</v>
      </c>
      <c r="D586" s="4">
        <v>45427</v>
      </c>
      <c r="E586" t="s">
        <v>337</v>
      </c>
      <c r="F586" t="s">
        <v>75</v>
      </c>
      <c r="I586" s="6">
        <v>0</v>
      </c>
      <c r="J586" s="6">
        <v>0</v>
      </c>
      <c r="K586" s="6">
        <v>0</v>
      </c>
      <c r="L586" s="6">
        <v>1</v>
      </c>
      <c r="M586" s="6">
        <v>0</v>
      </c>
      <c r="N586" s="6">
        <v>0</v>
      </c>
      <c r="O586" s="6">
        <v>0</v>
      </c>
      <c r="P586" s="6">
        <v>0</v>
      </c>
      <c r="Q586">
        <v>1</v>
      </c>
      <c r="R586">
        <f t="shared" si="45"/>
        <v>0</v>
      </c>
      <c r="S586">
        <f t="shared" si="46"/>
        <v>1</v>
      </c>
      <c r="T586">
        <f t="shared" si="47"/>
        <v>1</v>
      </c>
      <c r="U586">
        <f t="shared" si="48"/>
        <v>1</v>
      </c>
      <c r="V586">
        <f t="shared" si="49"/>
        <v>0</v>
      </c>
    </row>
    <row r="587" spans="1:22" x14ac:dyDescent="0.25">
      <c r="A587">
        <v>584</v>
      </c>
      <c r="B587" t="s">
        <v>12</v>
      </c>
      <c r="C587" t="s">
        <v>250</v>
      </c>
      <c r="D587" s="4">
        <v>45427</v>
      </c>
      <c r="E587" t="s">
        <v>338</v>
      </c>
      <c r="F587" t="s">
        <v>75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>
        <v>1</v>
      </c>
      <c r="R587">
        <f t="shared" si="45"/>
        <v>0</v>
      </c>
      <c r="S587">
        <f t="shared" si="46"/>
        <v>1</v>
      </c>
      <c r="T587">
        <f t="shared" si="47"/>
        <v>0</v>
      </c>
      <c r="U587">
        <f t="shared" si="48"/>
        <v>0</v>
      </c>
      <c r="V587">
        <f t="shared" si="49"/>
        <v>0</v>
      </c>
    </row>
    <row r="588" spans="1:22" x14ac:dyDescent="0.25">
      <c r="A588">
        <v>585</v>
      </c>
      <c r="B588" t="s">
        <v>12</v>
      </c>
      <c r="C588" t="s">
        <v>250</v>
      </c>
      <c r="D588" s="4">
        <v>45427</v>
      </c>
      <c r="E588" t="s">
        <v>339</v>
      </c>
      <c r="F588" t="s">
        <v>75</v>
      </c>
      <c r="I588" s="6">
        <v>0</v>
      </c>
      <c r="J588" s="6">
        <v>0</v>
      </c>
      <c r="K588" s="6">
        <v>0</v>
      </c>
      <c r="L588" s="6">
        <v>1</v>
      </c>
      <c r="M588" s="6">
        <v>0</v>
      </c>
      <c r="N588" s="6">
        <v>0</v>
      </c>
      <c r="O588" s="6">
        <v>0</v>
      </c>
      <c r="P588" s="6">
        <v>0</v>
      </c>
      <c r="Q588">
        <v>1</v>
      </c>
      <c r="R588">
        <f t="shared" si="45"/>
        <v>0</v>
      </c>
      <c r="S588">
        <f t="shared" si="46"/>
        <v>1</v>
      </c>
      <c r="T588">
        <f t="shared" si="47"/>
        <v>1</v>
      </c>
      <c r="U588">
        <f t="shared" si="48"/>
        <v>1</v>
      </c>
      <c r="V588">
        <f t="shared" si="49"/>
        <v>0</v>
      </c>
    </row>
    <row r="589" spans="1:22" x14ac:dyDescent="0.25">
      <c r="A589">
        <v>586</v>
      </c>
      <c r="B589" t="s">
        <v>12</v>
      </c>
      <c r="C589" t="s">
        <v>250</v>
      </c>
      <c r="D589" s="4">
        <v>45427</v>
      </c>
      <c r="E589" t="s">
        <v>2126</v>
      </c>
      <c r="F589" t="s">
        <v>75</v>
      </c>
      <c r="I589" s="6">
        <v>0</v>
      </c>
      <c r="J589" s="6">
        <v>0</v>
      </c>
      <c r="K589" s="6">
        <v>1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>
        <v>1</v>
      </c>
      <c r="R589">
        <f t="shared" si="45"/>
        <v>0</v>
      </c>
      <c r="S589">
        <f t="shared" si="46"/>
        <v>1</v>
      </c>
      <c r="T589">
        <f t="shared" si="47"/>
        <v>1</v>
      </c>
      <c r="U589">
        <f t="shared" si="48"/>
        <v>1</v>
      </c>
      <c r="V589">
        <f t="shared" si="49"/>
        <v>0</v>
      </c>
    </row>
    <row r="590" spans="1:22" x14ac:dyDescent="0.25">
      <c r="A590">
        <v>587</v>
      </c>
      <c r="B590" t="s">
        <v>12</v>
      </c>
      <c r="C590" t="s">
        <v>250</v>
      </c>
      <c r="D590" s="4">
        <v>45427</v>
      </c>
      <c r="E590" t="s">
        <v>2125</v>
      </c>
      <c r="F590" t="s">
        <v>75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>
        <v>1</v>
      </c>
      <c r="R590">
        <f t="shared" si="45"/>
        <v>0</v>
      </c>
      <c r="S590">
        <f t="shared" si="46"/>
        <v>1</v>
      </c>
      <c r="T590">
        <f t="shared" si="47"/>
        <v>0</v>
      </c>
      <c r="U590">
        <f t="shared" si="48"/>
        <v>0</v>
      </c>
      <c r="V590">
        <f t="shared" si="49"/>
        <v>0</v>
      </c>
    </row>
    <row r="591" spans="1:22" x14ac:dyDescent="0.25">
      <c r="A591">
        <v>588</v>
      </c>
      <c r="B591" t="s">
        <v>12</v>
      </c>
      <c r="C591" t="s">
        <v>250</v>
      </c>
      <c r="D591" s="4">
        <v>45427</v>
      </c>
      <c r="E591" t="s">
        <v>340</v>
      </c>
      <c r="F591" t="s">
        <v>75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>
        <v>1</v>
      </c>
      <c r="R591">
        <f t="shared" si="45"/>
        <v>0</v>
      </c>
      <c r="S591">
        <f t="shared" si="46"/>
        <v>1</v>
      </c>
      <c r="T591">
        <f t="shared" si="47"/>
        <v>0</v>
      </c>
      <c r="U591">
        <f t="shared" si="48"/>
        <v>0</v>
      </c>
      <c r="V591">
        <f t="shared" si="49"/>
        <v>0</v>
      </c>
    </row>
    <row r="592" spans="1:22" x14ac:dyDescent="0.25">
      <c r="A592">
        <v>589</v>
      </c>
      <c r="B592" t="s">
        <v>12</v>
      </c>
      <c r="C592" t="s">
        <v>250</v>
      </c>
      <c r="D592" s="4">
        <v>45428</v>
      </c>
      <c r="E592" t="s">
        <v>341</v>
      </c>
      <c r="F592" t="s">
        <v>75</v>
      </c>
      <c r="I592" s="6">
        <v>1</v>
      </c>
      <c r="J592" s="6">
        <v>0</v>
      </c>
      <c r="K592" s="6">
        <v>0</v>
      </c>
      <c r="L592" s="6">
        <v>1</v>
      </c>
      <c r="M592" s="6">
        <v>0</v>
      </c>
      <c r="N592" s="6">
        <v>0</v>
      </c>
      <c r="O592" s="6">
        <v>1</v>
      </c>
      <c r="P592" s="6">
        <v>0</v>
      </c>
      <c r="Q592">
        <v>1</v>
      </c>
      <c r="R592">
        <f t="shared" si="45"/>
        <v>0</v>
      </c>
      <c r="S592">
        <f t="shared" si="46"/>
        <v>1</v>
      </c>
      <c r="T592">
        <f t="shared" si="47"/>
        <v>3</v>
      </c>
      <c r="U592">
        <f t="shared" si="48"/>
        <v>1</v>
      </c>
      <c r="V592">
        <f t="shared" si="49"/>
        <v>0</v>
      </c>
    </row>
    <row r="593" spans="1:22" x14ac:dyDescent="0.25">
      <c r="A593">
        <v>590</v>
      </c>
      <c r="B593" t="s">
        <v>12</v>
      </c>
      <c r="C593" t="s">
        <v>250</v>
      </c>
      <c r="D593" s="4">
        <v>45428</v>
      </c>
      <c r="E593" t="s">
        <v>342</v>
      </c>
      <c r="F593" t="s">
        <v>75</v>
      </c>
      <c r="I593" s="6">
        <v>0</v>
      </c>
      <c r="J593" s="6">
        <v>0</v>
      </c>
      <c r="K593" s="6">
        <v>0</v>
      </c>
      <c r="L593" s="6">
        <v>1</v>
      </c>
      <c r="M593" s="6">
        <v>0</v>
      </c>
      <c r="N593" s="6">
        <v>0</v>
      </c>
      <c r="O593" s="6">
        <v>0</v>
      </c>
      <c r="P593" s="6">
        <v>0</v>
      </c>
      <c r="Q593">
        <v>1</v>
      </c>
      <c r="R593">
        <f t="shared" si="45"/>
        <v>0</v>
      </c>
      <c r="S593">
        <f t="shared" si="46"/>
        <v>1</v>
      </c>
      <c r="T593">
        <f t="shared" si="47"/>
        <v>1</v>
      </c>
      <c r="U593">
        <f t="shared" si="48"/>
        <v>1</v>
      </c>
      <c r="V593">
        <f t="shared" si="49"/>
        <v>0</v>
      </c>
    </row>
    <row r="594" spans="1:22" x14ac:dyDescent="0.25">
      <c r="A594">
        <v>591</v>
      </c>
      <c r="B594" t="s">
        <v>12</v>
      </c>
      <c r="C594" t="s">
        <v>250</v>
      </c>
      <c r="D594" s="4">
        <v>45428</v>
      </c>
      <c r="E594" t="s">
        <v>343</v>
      </c>
      <c r="F594" t="s">
        <v>75</v>
      </c>
      <c r="I594" s="6">
        <v>0</v>
      </c>
      <c r="J594" s="6">
        <v>0</v>
      </c>
      <c r="K594" s="6">
        <v>0</v>
      </c>
      <c r="L594" s="6">
        <v>1</v>
      </c>
      <c r="M594" s="6">
        <v>0</v>
      </c>
      <c r="N594" s="6">
        <v>0</v>
      </c>
      <c r="O594" s="6">
        <v>0</v>
      </c>
      <c r="P594" s="6">
        <v>0</v>
      </c>
      <c r="Q594">
        <v>1</v>
      </c>
      <c r="R594">
        <f t="shared" si="45"/>
        <v>0</v>
      </c>
      <c r="S594">
        <f t="shared" si="46"/>
        <v>1</v>
      </c>
      <c r="T594">
        <f t="shared" si="47"/>
        <v>1</v>
      </c>
      <c r="U594">
        <f t="shared" si="48"/>
        <v>1</v>
      </c>
      <c r="V594">
        <f t="shared" si="49"/>
        <v>0</v>
      </c>
    </row>
    <row r="595" spans="1:22" x14ac:dyDescent="0.25">
      <c r="A595">
        <v>592</v>
      </c>
      <c r="B595" t="s">
        <v>12</v>
      </c>
      <c r="C595" t="s">
        <v>250</v>
      </c>
      <c r="D595" s="4">
        <v>45428</v>
      </c>
      <c r="E595" t="s">
        <v>344</v>
      </c>
      <c r="F595" t="s">
        <v>75</v>
      </c>
      <c r="I595" s="6">
        <v>0</v>
      </c>
      <c r="J595" s="6">
        <v>0</v>
      </c>
      <c r="K595" s="6">
        <v>0</v>
      </c>
      <c r="L595" s="6">
        <v>1</v>
      </c>
      <c r="M595" s="6">
        <v>0</v>
      </c>
      <c r="N595" s="6">
        <v>0</v>
      </c>
      <c r="O595" s="6">
        <v>0</v>
      </c>
      <c r="P595" s="6">
        <v>0</v>
      </c>
      <c r="Q595">
        <v>1</v>
      </c>
      <c r="R595">
        <f t="shared" si="45"/>
        <v>0</v>
      </c>
      <c r="S595">
        <f t="shared" si="46"/>
        <v>1</v>
      </c>
      <c r="T595">
        <f t="shared" si="47"/>
        <v>1</v>
      </c>
      <c r="U595">
        <f t="shared" si="48"/>
        <v>1</v>
      </c>
      <c r="V595">
        <f t="shared" si="49"/>
        <v>0</v>
      </c>
    </row>
    <row r="596" spans="1:22" x14ac:dyDescent="0.25">
      <c r="A596">
        <v>593</v>
      </c>
      <c r="B596" t="s">
        <v>12</v>
      </c>
      <c r="C596" t="s">
        <v>250</v>
      </c>
      <c r="D596" s="4">
        <v>45429</v>
      </c>
      <c r="E596" t="s">
        <v>2120</v>
      </c>
      <c r="F596" t="s">
        <v>75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>
        <v>1</v>
      </c>
      <c r="R596">
        <f t="shared" si="45"/>
        <v>0</v>
      </c>
      <c r="S596">
        <f t="shared" si="46"/>
        <v>1</v>
      </c>
      <c r="T596">
        <f t="shared" si="47"/>
        <v>0</v>
      </c>
      <c r="U596">
        <f t="shared" si="48"/>
        <v>0</v>
      </c>
      <c r="V596">
        <f t="shared" si="49"/>
        <v>0</v>
      </c>
    </row>
    <row r="597" spans="1:22" x14ac:dyDescent="0.25">
      <c r="A597">
        <v>594</v>
      </c>
      <c r="B597" t="s">
        <v>12</v>
      </c>
      <c r="C597" t="s">
        <v>250</v>
      </c>
      <c r="D597" s="4">
        <v>45429</v>
      </c>
      <c r="E597" t="s">
        <v>345</v>
      </c>
      <c r="F597" t="s">
        <v>75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1</v>
      </c>
      <c r="P597" s="6">
        <v>0</v>
      </c>
      <c r="Q597">
        <v>1</v>
      </c>
      <c r="R597">
        <f t="shared" si="45"/>
        <v>0</v>
      </c>
      <c r="S597">
        <f t="shared" si="46"/>
        <v>1</v>
      </c>
      <c r="T597">
        <f t="shared" si="47"/>
        <v>1</v>
      </c>
      <c r="U597">
        <f t="shared" si="48"/>
        <v>1</v>
      </c>
      <c r="V597">
        <f t="shared" si="49"/>
        <v>0</v>
      </c>
    </row>
    <row r="598" spans="1:22" x14ac:dyDescent="0.25">
      <c r="A598">
        <v>595</v>
      </c>
      <c r="B598" t="s">
        <v>12</v>
      </c>
      <c r="C598" t="s">
        <v>250</v>
      </c>
      <c r="D598" s="4">
        <v>45429</v>
      </c>
      <c r="E598" t="s">
        <v>1483</v>
      </c>
      <c r="F598" t="s">
        <v>75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1</v>
      </c>
      <c r="Q598">
        <v>1</v>
      </c>
      <c r="R598">
        <f t="shared" si="45"/>
        <v>0</v>
      </c>
      <c r="S598">
        <f t="shared" si="46"/>
        <v>1</v>
      </c>
      <c r="T598">
        <f t="shared" si="47"/>
        <v>1</v>
      </c>
      <c r="U598">
        <f t="shared" si="48"/>
        <v>1</v>
      </c>
      <c r="V598">
        <f t="shared" si="49"/>
        <v>0</v>
      </c>
    </row>
    <row r="599" spans="1:22" x14ac:dyDescent="0.25">
      <c r="A599">
        <v>596</v>
      </c>
      <c r="B599" t="s">
        <v>12</v>
      </c>
      <c r="C599" t="s">
        <v>250</v>
      </c>
      <c r="D599" s="4">
        <v>45429</v>
      </c>
      <c r="E599" t="s">
        <v>346</v>
      </c>
      <c r="F599" t="s">
        <v>75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>
        <v>1</v>
      </c>
      <c r="R599">
        <f t="shared" si="45"/>
        <v>0</v>
      </c>
      <c r="S599">
        <f t="shared" si="46"/>
        <v>1</v>
      </c>
      <c r="T599">
        <f t="shared" si="47"/>
        <v>0</v>
      </c>
      <c r="U599">
        <f t="shared" si="48"/>
        <v>0</v>
      </c>
      <c r="V599">
        <f t="shared" si="49"/>
        <v>0</v>
      </c>
    </row>
    <row r="600" spans="1:22" x14ac:dyDescent="0.25">
      <c r="A600">
        <v>597</v>
      </c>
      <c r="B600" t="s">
        <v>12</v>
      </c>
      <c r="C600" t="s">
        <v>250</v>
      </c>
      <c r="D600" s="4">
        <v>45429</v>
      </c>
      <c r="E600" t="s">
        <v>1409</v>
      </c>
      <c r="F600" t="s">
        <v>75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>
        <v>1</v>
      </c>
      <c r="R600">
        <f t="shared" si="45"/>
        <v>0</v>
      </c>
      <c r="S600">
        <f t="shared" si="46"/>
        <v>1</v>
      </c>
      <c r="T600">
        <f t="shared" si="47"/>
        <v>0</v>
      </c>
      <c r="U600">
        <f t="shared" si="48"/>
        <v>0</v>
      </c>
      <c r="V600">
        <f t="shared" si="49"/>
        <v>0</v>
      </c>
    </row>
    <row r="601" spans="1:22" x14ac:dyDescent="0.25">
      <c r="A601">
        <v>598</v>
      </c>
      <c r="B601" t="s">
        <v>12</v>
      </c>
      <c r="C601" t="s">
        <v>250</v>
      </c>
      <c r="D601" s="4">
        <v>45429</v>
      </c>
      <c r="E601" t="s">
        <v>347</v>
      </c>
      <c r="F601" t="s">
        <v>75</v>
      </c>
      <c r="I601" s="6">
        <v>0</v>
      </c>
      <c r="J601" s="6">
        <v>0</v>
      </c>
      <c r="K601" s="6">
        <v>0</v>
      </c>
      <c r="L601" s="6">
        <v>0</v>
      </c>
      <c r="M601" s="6">
        <v>1</v>
      </c>
      <c r="N601" s="6">
        <v>0</v>
      </c>
      <c r="O601" s="6">
        <v>0</v>
      </c>
      <c r="P601" s="6">
        <v>0</v>
      </c>
      <c r="Q601">
        <v>1</v>
      </c>
      <c r="R601">
        <f t="shared" si="45"/>
        <v>0</v>
      </c>
      <c r="S601">
        <f t="shared" si="46"/>
        <v>1</v>
      </c>
      <c r="T601">
        <f t="shared" si="47"/>
        <v>1</v>
      </c>
      <c r="U601">
        <f t="shared" si="48"/>
        <v>1</v>
      </c>
      <c r="V601">
        <f t="shared" si="49"/>
        <v>0</v>
      </c>
    </row>
    <row r="602" spans="1:22" x14ac:dyDescent="0.25">
      <c r="A602">
        <v>599</v>
      </c>
      <c r="B602" t="s">
        <v>12</v>
      </c>
      <c r="C602" t="s">
        <v>250</v>
      </c>
      <c r="D602" s="4">
        <v>45429</v>
      </c>
      <c r="E602" t="s">
        <v>2801</v>
      </c>
      <c r="F602" t="s">
        <v>75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>
        <v>1</v>
      </c>
      <c r="R602">
        <f t="shared" si="45"/>
        <v>0</v>
      </c>
      <c r="S602">
        <f t="shared" si="46"/>
        <v>1</v>
      </c>
      <c r="T602">
        <f t="shared" si="47"/>
        <v>0</v>
      </c>
      <c r="U602">
        <f t="shared" si="48"/>
        <v>0</v>
      </c>
      <c r="V602">
        <f t="shared" si="49"/>
        <v>0</v>
      </c>
    </row>
    <row r="603" spans="1:22" x14ac:dyDescent="0.25">
      <c r="A603">
        <v>600</v>
      </c>
      <c r="B603" t="s">
        <v>12</v>
      </c>
      <c r="C603" t="s">
        <v>250</v>
      </c>
      <c r="D603" s="4">
        <v>45429</v>
      </c>
      <c r="E603" t="s">
        <v>348</v>
      </c>
      <c r="F603" t="s">
        <v>75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>
        <v>1</v>
      </c>
      <c r="R603">
        <f t="shared" si="45"/>
        <v>0</v>
      </c>
      <c r="S603">
        <f t="shared" si="46"/>
        <v>1</v>
      </c>
      <c r="T603">
        <f t="shared" si="47"/>
        <v>0</v>
      </c>
      <c r="U603">
        <f t="shared" si="48"/>
        <v>0</v>
      </c>
      <c r="V603">
        <f t="shared" si="49"/>
        <v>0</v>
      </c>
    </row>
    <row r="604" spans="1:22" x14ac:dyDescent="0.25">
      <c r="A604">
        <v>601</v>
      </c>
      <c r="B604" t="s">
        <v>12</v>
      </c>
      <c r="C604" t="s">
        <v>250</v>
      </c>
      <c r="D604" s="4">
        <v>45430</v>
      </c>
      <c r="E604" t="s">
        <v>891</v>
      </c>
      <c r="F604" t="s">
        <v>75</v>
      </c>
      <c r="I604" s="6">
        <v>1</v>
      </c>
      <c r="J604" s="6">
        <v>0</v>
      </c>
      <c r="K604" s="6">
        <v>1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>
        <v>1</v>
      </c>
      <c r="R604">
        <f t="shared" si="45"/>
        <v>0</v>
      </c>
      <c r="S604">
        <f t="shared" si="46"/>
        <v>1</v>
      </c>
      <c r="T604">
        <f t="shared" si="47"/>
        <v>2</v>
      </c>
      <c r="U604">
        <f t="shared" si="48"/>
        <v>1</v>
      </c>
      <c r="V604">
        <f t="shared" si="49"/>
        <v>0</v>
      </c>
    </row>
    <row r="605" spans="1:22" x14ac:dyDescent="0.25">
      <c r="A605">
        <v>602</v>
      </c>
      <c r="B605" t="s">
        <v>12</v>
      </c>
      <c r="C605" t="s">
        <v>250</v>
      </c>
      <c r="D605" s="4">
        <v>45430</v>
      </c>
      <c r="E605" t="s">
        <v>349</v>
      </c>
      <c r="F605" t="s">
        <v>75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>
        <v>1</v>
      </c>
      <c r="R605">
        <f t="shared" si="45"/>
        <v>0</v>
      </c>
      <c r="S605">
        <f t="shared" si="46"/>
        <v>1</v>
      </c>
      <c r="T605">
        <f t="shared" si="47"/>
        <v>0</v>
      </c>
      <c r="U605">
        <f t="shared" si="48"/>
        <v>0</v>
      </c>
      <c r="V605">
        <f t="shared" si="49"/>
        <v>0</v>
      </c>
    </row>
    <row r="606" spans="1:22" x14ac:dyDescent="0.25">
      <c r="A606">
        <v>603</v>
      </c>
      <c r="B606" t="s">
        <v>12</v>
      </c>
      <c r="C606" t="s">
        <v>250</v>
      </c>
      <c r="D606" s="4">
        <v>45430</v>
      </c>
      <c r="E606" t="s">
        <v>350</v>
      </c>
      <c r="F606" t="s">
        <v>75</v>
      </c>
      <c r="I606" s="6">
        <v>0</v>
      </c>
      <c r="J606" s="6">
        <v>0</v>
      </c>
      <c r="K606" s="6">
        <v>0</v>
      </c>
      <c r="L606" s="6">
        <v>1</v>
      </c>
      <c r="M606" s="6">
        <v>0</v>
      </c>
      <c r="N606" s="6">
        <v>0</v>
      </c>
      <c r="O606" s="6">
        <v>0</v>
      </c>
      <c r="P606" s="6">
        <v>0</v>
      </c>
      <c r="Q606">
        <v>1</v>
      </c>
      <c r="R606">
        <f t="shared" si="45"/>
        <v>0</v>
      </c>
      <c r="S606">
        <f t="shared" si="46"/>
        <v>1</v>
      </c>
      <c r="T606">
        <f t="shared" si="47"/>
        <v>1</v>
      </c>
      <c r="U606">
        <f t="shared" si="48"/>
        <v>1</v>
      </c>
      <c r="V606">
        <f t="shared" si="49"/>
        <v>0</v>
      </c>
    </row>
    <row r="607" spans="1:22" x14ac:dyDescent="0.25">
      <c r="A607">
        <v>604</v>
      </c>
      <c r="B607" t="s">
        <v>12</v>
      </c>
      <c r="C607" t="s">
        <v>250</v>
      </c>
      <c r="D607" s="4">
        <v>45430</v>
      </c>
      <c r="E607" t="s">
        <v>351</v>
      </c>
      <c r="F607" t="s">
        <v>75</v>
      </c>
      <c r="I607" s="6">
        <v>1</v>
      </c>
      <c r="J607" s="6">
        <v>0</v>
      </c>
      <c r="K607" s="6">
        <v>0</v>
      </c>
      <c r="L607" s="6">
        <v>1</v>
      </c>
      <c r="M607" s="6">
        <v>1</v>
      </c>
      <c r="N607" s="6">
        <v>0</v>
      </c>
      <c r="O607" s="6">
        <v>0</v>
      </c>
      <c r="P607" s="6">
        <v>0</v>
      </c>
      <c r="Q607">
        <v>1</v>
      </c>
      <c r="R607">
        <f t="shared" si="45"/>
        <v>0</v>
      </c>
      <c r="S607">
        <f t="shared" si="46"/>
        <v>1</v>
      </c>
      <c r="T607">
        <f t="shared" si="47"/>
        <v>3</v>
      </c>
      <c r="U607">
        <f t="shared" si="48"/>
        <v>1</v>
      </c>
      <c r="V607">
        <f t="shared" si="49"/>
        <v>0</v>
      </c>
    </row>
    <row r="608" spans="1:22" x14ac:dyDescent="0.25">
      <c r="A608">
        <v>605</v>
      </c>
      <c r="B608" t="s">
        <v>12</v>
      </c>
      <c r="C608" t="s">
        <v>250</v>
      </c>
      <c r="D608" s="4">
        <v>45430</v>
      </c>
      <c r="E608" t="s">
        <v>352</v>
      </c>
      <c r="F608" t="s">
        <v>75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>
        <v>1</v>
      </c>
      <c r="R608">
        <f t="shared" si="45"/>
        <v>0</v>
      </c>
      <c r="S608">
        <f t="shared" si="46"/>
        <v>1</v>
      </c>
      <c r="T608">
        <f t="shared" si="47"/>
        <v>0</v>
      </c>
      <c r="U608">
        <f t="shared" si="48"/>
        <v>0</v>
      </c>
      <c r="V608">
        <f t="shared" si="49"/>
        <v>0</v>
      </c>
    </row>
    <row r="609" spans="1:22" x14ac:dyDescent="0.25">
      <c r="A609">
        <v>606</v>
      </c>
      <c r="B609" t="s">
        <v>12</v>
      </c>
      <c r="C609" t="s">
        <v>250</v>
      </c>
      <c r="D609" s="4">
        <v>45431</v>
      </c>
      <c r="E609" t="s">
        <v>353</v>
      </c>
      <c r="F609" t="s">
        <v>75</v>
      </c>
      <c r="I609" s="6">
        <v>1</v>
      </c>
      <c r="J609" s="6">
        <v>0</v>
      </c>
      <c r="K609" s="6">
        <v>0</v>
      </c>
      <c r="L609" s="6">
        <v>0</v>
      </c>
      <c r="M609" s="6">
        <v>1</v>
      </c>
      <c r="N609" s="6">
        <v>0</v>
      </c>
      <c r="O609" s="6">
        <v>0</v>
      </c>
      <c r="P609" s="6">
        <v>0</v>
      </c>
      <c r="Q609">
        <v>1</v>
      </c>
      <c r="R609">
        <f t="shared" si="45"/>
        <v>0</v>
      </c>
      <c r="S609">
        <f t="shared" si="46"/>
        <v>1</v>
      </c>
      <c r="T609">
        <f t="shared" si="47"/>
        <v>2</v>
      </c>
      <c r="U609">
        <f t="shared" si="48"/>
        <v>1</v>
      </c>
      <c r="V609">
        <f t="shared" si="49"/>
        <v>0</v>
      </c>
    </row>
    <row r="610" spans="1:22" x14ac:dyDescent="0.25">
      <c r="A610">
        <v>607</v>
      </c>
      <c r="B610" t="s">
        <v>12</v>
      </c>
      <c r="C610" t="s">
        <v>250</v>
      </c>
      <c r="D610" s="4">
        <v>45431</v>
      </c>
      <c r="E610" t="s">
        <v>354</v>
      </c>
      <c r="F610" t="s">
        <v>75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>
        <v>1</v>
      </c>
      <c r="R610">
        <f t="shared" si="45"/>
        <v>0</v>
      </c>
      <c r="S610">
        <f t="shared" si="46"/>
        <v>1</v>
      </c>
      <c r="T610">
        <f t="shared" si="47"/>
        <v>0</v>
      </c>
      <c r="U610">
        <f t="shared" si="48"/>
        <v>0</v>
      </c>
      <c r="V610">
        <f t="shared" si="49"/>
        <v>0</v>
      </c>
    </row>
    <row r="611" spans="1:22" x14ac:dyDescent="0.25">
      <c r="A611">
        <v>608</v>
      </c>
      <c r="B611" t="s">
        <v>12</v>
      </c>
      <c r="C611" t="s">
        <v>250</v>
      </c>
      <c r="D611" s="4">
        <v>45431</v>
      </c>
      <c r="E611" t="s">
        <v>1091</v>
      </c>
      <c r="F611" t="s">
        <v>75</v>
      </c>
      <c r="I611" s="6">
        <v>1</v>
      </c>
      <c r="J611" s="6">
        <v>0</v>
      </c>
      <c r="K611" s="6">
        <v>0</v>
      </c>
      <c r="L611" s="6">
        <v>0</v>
      </c>
      <c r="M611" s="6">
        <v>1</v>
      </c>
      <c r="N611" s="6">
        <v>0</v>
      </c>
      <c r="O611" s="6">
        <v>0</v>
      </c>
      <c r="P611" s="6">
        <v>0</v>
      </c>
      <c r="Q611">
        <v>1</v>
      </c>
      <c r="R611">
        <f t="shared" si="45"/>
        <v>0</v>
      </c>
      <c r="S611">
        <f t="shared" si="46"/>
        <v>1</v>
      </c>
      <c r="T611">
        <f t="shared" si="47"/>
        <v>2</v>
      </c>
      <c r="U611">
        <f t="shared" si="48"/>
        <v>1</v>
      </c>
      <c r="V611">
        <f t="shared" si="49"/>
        <v>0</v>
      </c>
    </row>
    <row r="612" spans="1:22" x14ac:dyDescent="0.25">
      <c r="A612">
        <v>609</v>
      </c>
      <c r="B612" t="s">
        <v>12</v>
      </c>
      <c r="C612" t="s">
        <v>250</v>
      </c>
      <c r="D612" s="4">
        <v>45431</v>
      </c>
      <c r="E612" t="s">
        <v>1092</v>
      </c>
      <c r="F612" t="s">
        <v>75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>
        <v>1</v>
      </c>
      <c r="R612">
        <f t="shared" si="45"/>
        <v>0</v>
      </c>
      <c r="S612">
        <f t="shared" si="46"/>
        <v>1</v>
      </c>
      <c r="T612">
        <f t="shared" si="47"/>
        <v>0</v>
      </c>
      <c r="U612">
        <f t="shared" si="48"/>
        <v>0</v>
      </c>
      <c r="V612">
        <f t="shared" si="49"/>
        <v>0</v>
      </c>
    </row>
    <row r="613" spans="1:22" x14ac:dyDescent="0.25">
      <c r="A613">
        <v>610</v>
      </c>
      <c r="B613" t="s">
        <v>12</v>
      </c>
      <c r="C613" t="s">
        <v>250</v>
      </c>
      <c r="D613" s="4">
        <v>45431</v>
      </c>
      <c r="E613" t="s">
        <v>355</v>
      </c>
      <c r="F613" t="s">
        <v>75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>
        <v>1</v>
      </c>
      <c r="R613">
        <f t="shared" si="45"/>
        <v>0</v>
      </c>
      <c r="S613">
        <f t="shared" si="46"/>
        <v>1</v>
      </c>
      <c r="T613">
        <f t="shared" si="47"/>
        <v>0</v>
      </c>
      <c r="U613">
        <f t="shared" si="48"/>
        <v>0</v>
      </c>
      <c r="V613">
        <f t="shared" si="49"/>
        <v>0</v>
      </c>
    </row>
    <row r="614" spans="1:22" x14ac:dyDescent="0.25">
      <c r="A614">
        <v>611</v>
      </c>
      <c r="B614" t="s">
        <v>12</v>
      </c>
      <c r="C614" t="s">
        <v>250</v>
      </c>
      <c r="D614" s="4">
        <v>45431</v>
      </c>
      <c r="E614" t="s">
        <v>1560</v>
      </c>
      <c r="F614" t="s">
        <v>75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>
        <v>1</v>
      </c>
      <c r="R614">
        <f t="shared" si="45"/>
        <v>0</v>
      </c>
      <c r="S614">
        <f t="shared" si="46"/>
        <v>1</v>
      </c>
      <c r="T614">
        <f t="shared" si="47"/>
        <v>0</v>
      </c>
      <c r="U614">
        <f t="shared" si="48"/>
        <v>0</v>
      </c>
      <c r="V614">
        <f t="shared" si="49"/>
        <v>0</v>
      </c>
    </row>
    <row r="615" spans="1:22" x14ac:dyDescent="0.25">
      <c r="A615">
        <v>612</v>
      </c>
      <c r="B615" t="s">
        <v>12</v>
      </c>
      <c r="C615" t="s">
        <v>250</v>
      </c>
      <c r="D615" s="4">
        <v>45432</v>
      </c>
      <c r="E615" t="s">
        <v>1484</v>
      </c>
      <c r="F615" t="s">
        <v>75</v>
      </c>
      <c r="I615" s="6">
        <v>0</v>
      </c>
      <c r="J615" s="6">
        <v>0</v>
      </c>
      <c r="K615" s="6">
        <v>0</v>
      </c>
      <c r="L615" s="6">
        <v>1</v>
      </c>
      <c r="M615" s="6">
        <v>0</v>
      </c>
      <c r="N615" s="6">
        <v>0</v>
      </c>
      <c r="O615" s="6">
        <v>0</v>
      </c>
      <c r="P615" s="6">
        <v>0</v>
      </c>
      <c r="Q615">
        <v>1</v>
      </c>
      <c r="R615">
        <f t="shared" si="45"/>
        <v>0</v>
      </c>
      <c r="S615">
        <f t="shared" si="46"/>
        <v>1</v>
      </c>
      <c r="T615">
        <f t="shared" si="47"/>
        <v>1</v>
      </c>
      <c r="U615">
        <f t="shared" si="48"/>
        <v>1</v>
      </c>
      <c r="V615">
        <f t="shared" si="49"/>
        <v>0</v>
      </c>
    </row>
    <row r="616" spans="1:22" x14ac:dyDescent="0.25">
      <c r="A616">
        <v>613</v>
      </c>
      <c r="B616" t="s">
        <v>12</v>
      </c>
      <c r="C616" t="s">
        <v>250</v>
      </c>
      <c r="D616" s="4">
        <v>45432</v>
      </c>
      <c r="E616" t="s">
        <v>356</v>
      </c>
      <c r="F616" t="s">
        <v>357</v>
      </c>
      <c r="I616" s="6">
        <v>1</v>
      </c>
      <c r="J616" s="6">
        <v>0</v>
      </c>
      <c r="K616" s="6">
        <v>1</v>
      </c>
      <c r="L616" s="6">
        <v>1</v>
      </c>
      <c r="M616" s="6">
        <v>1</v>
      </c>
      <c r="N616" s="6">
        <v>0</v>
      </c>
      <c r="O616" s="6">
        <v>0</v>
      </c>
      <c r="P616" s="6">
        <v>0</v>
      </c>
      <c r="Q616">
        <v>1</v>
      </c>
      <c r="R616">
        <f t="shared" si="45"/>
        <v>0</v>
      </c>
      <c r="S616">
        <f t="shared" si="46"/>
        <v>0</v>
      </c>
      <c r="T616">
        <f t="shared" si="47"/>
        <v>4</v>
      </c>
      <c r="U616">
        <f t="shared" si="48"/>
        <v>1</v>
      </c>
      <c r="V616">
        <f t="shared" si="49"/>
        <v>0</v>
      </c>
    </row>
    <row r="617" spans="1:22" x14ac:dyDescent="0.25">
      <c r="A617">
        <v>614</v>
      </c>
      <c r="B617" t="s">
        <v>12</v>
      </c>
      <c r="C617" t="s">
        <v>250</v>
      </c>
      <c r="D617" s="4">
        <v>45432</v>
      </c>
      <c r="E617" t="s">
        <v>1093</v>
      </c>
      <c r="F617" t="s">
        <v>75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>
        <v>1</v>
      </c>
      <c r="R617">
        <f t="shared" si="45"/>
        <v>0</v>
      </c>
      <c r="S617">
        <f t="shared" si="46"/>
        <v>1</v>
      </c>
      <c r="T617">
        <f t="shared" si="47"/>
        <v>0</v>
      </c>
      <c r="U617">
        <f t="shared" si="48"/>
        <v>0</v>
      </c>
      <c r="V617">
        <f t="shared" si="49"/>
        <v>0</v>
      </c>
    </row>
    <row r="618" spans="1:22" x14ac:dyDescent="0.25">
      <c r="A618">
        <v>615</v>
      </c>
      <c r="B618" t="s">
        <v>12</v>
      </c>
      <c r="C618" t="s">
        <v>250</v>
      </c>
      <c r="D618" s="4">
        <v>45434</v>
      </c>
      <c r="E618" t="s">
        <v>1011</v>
      </c>
      <c r="F618" t="s">
        <v>75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1</v>
      </c>
      <c r="O618" s="6">
        <v>0</v>
      </c>
      <c r="P618" s="6">
        <v>0</v>
      </c>
      <c r="Q618">
        <v>1</v>
      </c>
      <c r="R618">
        <f t="shared" si="45"/>
        <v>0</v>
      </c>
      <c r="S618">
        <f t="shared" si="46"/>
        <v>1</v>
      </c>
      <c r="T618">
        <f t="shared" si="47"/>
        <v>1</v>
      </c>
      <c r="U618">
        <f t="shared" si="48"/>
        <v>1</v>
      </c>
      <c r="V618">
        <f t="shared" si="49"/>
        <v>0</v>
      </c>
    </row>
    <row r="619" spans="1:22" x14ac:dyDescent="0.25">
      <c r="A619">
        <v>616</v>
      </c>
      <c r="B619" t="s">
        <v>12</v>
      </c>
      <c r="C619" t="s">
        <v>250</v>
      </c>
      <c r="D619" s="4">
        <v>45434</v>
      </c>
      <c r="E619" t="s">
        <v>358</v>
      </c>
      <c r="F619" t="s">
        <v>75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>
        <v>1</v>
      </c>
      <c r="R619">
        <f t="shared" si="45"/>
        <v>0</v>
      </c>
      <c r="S619">
        <f t="shared" si="46"/>
        <v>1</v>
      </c>
      <c r="T619">
        <f t="shared" si="47"/>
        <v>0</v>
      </c>
      <c r="U619">
        <f t="shared" si="48"/>
        <v>0</v>
      </c>
      <c r="V619">
        <f t="shared" si="49"/>
        <v>0</v>
      </c>
    </row>
    <row r="620" spans="1:22" x14ac:dyDescent="0.25">
      <c r="A620">
        <v>617</v>
      </c>
      <c r="B620" t="s">
        <v>12</v>
      </c>
      <c r="C620" t="s">
        <v>250</v>
      </c>
      <c r="D620" s="4">
        <v>45434</v>
      </c>
      <c r="E620" t="s">
        <v>359</v>
      </c>
      <c r="F620" t="s">
        <v>75</v>
      </c>
      <c r="I620" s="6">
        <v>0</v>
      </c>
      <c r="J620" s="6">
        <v>0</v>
      </c>
      <c r="K620" s="6">
        <v>0</v>
      </c>
      <c r="L620" s="6">
        <v>1</v>
      </c>
      <c r="M620" s="6">
        <v>0</v>
      </c>
      <c r="N620" s="6">
        <v>0</v>
      </c>
      <c r="O620" s="6">
        <v>0</v>
      </c>
      <c r="P620" s="6">
        <v>0</v>
      </c>
      <c r="Q620">
        <v>1</v>
      </c>
      <c r="R620">
        <f t="shared" si="45"/>
        <v>0</v>
      </c>
      <c r="S620">
        <f t="shared" si="46"/>
        <v>1</v>
      </c>
      <c r="T620">
        <f t="shared" si="47"/>
        <v>1</v>
      </c>
      <c r="U620">
        <f t="shared" si="48"/>
        <v>1</v>
      </c>
      <c r="V620">
        <f t="shared" si="49"/>
        <v>0</v>
      </c>
    </row>
    <row r="621" spans="1:22" x14ac:dyDescent="0.25">
      <c r="A621">
        <v>618</v>
      </c>
      <c r="B621" t="s">
        <v>12</v>
      </c>
      <c r="C621" t="s">
        <v>250</v>
      </c>
      <c r="D621" s="4">
        <v>45434</v>
      </c>
      <c r="E621" t="s">
        <v>1411</v>
      </c>
      <c r="F621" t="s">
        <v>75</v>
      </c>
      <c r="I621" s="6">
        <v>0</v>
      </c>
      <c r="J621" s="6">
        <v>0</v>
      </c>
      <c r="K621" s="6">
        <v>0</v>
      </c>
      <c r="L621" s="6">
        <v>1</v>
      </c>
      <c r="M621" s="6">
        <v>0</v>
      </c>
      <c r="N621" s="6">
        <v>0</v>
      </c>
      <c r="O621" s="6">
        <v>0</v>
      </c>
      <c r="P621" s="6">
        <v>0</v>
      </c>
      <c r="Q621">
        <v>1</v>
      </c>
      <c r="R621">
        <f t="shared" si="45"/>
        <v>0</v>
      </c>
      <c r="S621">
        <f t="shared" si="46"/>
        <v>1</v>
      </c>
      <c r="T621">
        <f t="shared" si="47"/>
        <v>1</v>
      </c>
      <c r="U621">
        <f t="shared" si="48"/>
        <v>1</v>
      </c>
      <c r="V621">
        <f t="shared" si="49"/>
        <v>0</v>
      </c>
    </row>
    <row r="622" spans="1:22" x14ac:dyDescent="0.25">
      <c r="A622">
        <v>619</v>
      </c>
      <c r="B622" t="s">
        <v>12</v>
      </c>
      <c r="C622" t="s">
        <v>250</v>
      </c>
      <c r="D622" s="4">
        <v>45434</v>
      </c>
      <c r="E622" t="s">
        <v>360</v>
      </c>
      <c r="F622" t="s">
        <v>75</v>
      </c>
      <c r="I622" s="6">
        <v>0</v>
      </c>
      <c r="J622" s="6">
        <v>0</v>
      </c>
      <c r="K622" s="6">
        <v>1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>
        <v>1</v>
      </c>
      <c r="R622">
        <f t="shared" si="45"/>
        <v>0</v>
      </c>
      <c r="S622">
        <f t="shared" si="46"/>
        <v>1</v>
      </c>
      <c r="T622">
        <f t="shared" si="47"/>
        <v>1</v>
      </c>
      <c r="U622">
        <f t="shared" si="48"/>
        <v>1</v>
      </c>
      <c r="V622">
        <f t="shared" si="49"/>
        <v>0</v>
      </c>
    </row>
    <row r="623" spans="1:22" x14ac:dyDescent="0.25">
      <c r="A623">
        <v>620</v>
      </c>
      <c r="B623" t="s">
        <v>12</v>
      </c>
      <c r="C623" t="s">
        <v>250</v>
      </c>
      <c r="D623" s="4">
        <v>45435</v>
      </c>
      <c r="E623" t="s">
        <v>361</v>
      </c>
      <c r="F623" t="s">
        <v>75</v>
      </c>
      <c r="I623" s="6">
        <v>1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>
        <v>1</v>
      </c>
      <c r="R623">
        <f t="shared" si="45"/>
        <v>0</v>
      </c>
      <c r="S623">
        <f t="shared" si="46"/>
        <v>1</v>
      </c>
      <c r="T623">
        <f t="shared" si="47"/>
        <v>1</v>
      </c>
      <c r="U623">
        <f t="shared" si="48"/>
        <v>1</v>
      </c>
      <c r="V623">
        <f t="shared" si="49"/>
        <v>0</v>
      </c>
    </row>
    <row r="624" spans="1:22" x14ac:dyDescent="0.25">
      <c r="A624">
        <v>621</v>
      </c>
      <c r="B624" t="s">
        <v>12</v>
      </c>
      <c r="C624" t="s">
        <v>250</v>
      </c>
      <c r="D624" s="4">
        <v>45435</v>
      </c>
      <c r="E624" t="s">
        <v>362</v>
      </c>
      <c r="F624" t="s">
        <v>75</v>
      </c>
      <c r="I624" s="6">
        <v>1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>
        <v>1</v>
      </c>
      <c r="R624">
        <f t="shared" si="45"/>
        <v>0</v>
      </c>
      <c r="S624">
        <f t="shared" si="46"/>
        <v>1</v>
      </c>
      <c r="T624">
        <f t="shared" si="47"/>
        <v>1</v>
      </c>
      <c r="U624">
        <f t="shared" si="48"/>
        <v>1</v>
      </c>
      <c r="V624">
        <f t="shared" si="49"/>
        <v>0</v>
      </c>
    </row>
    <row r="625" spans="1:22" x14ac:dyDescent="0.25">
      <c r="A625">
        <v>622</v>
      </c>
      <c r="B625" t="s">
        <v>12</v>
      </c>
      <c r="C625" t="s">
        <v>250</v>
      </c>
      <c r="D625" s="4">
        <v>45435</v>
      </c>
      <c r="E625" t="s">
        <v>1412</v>
      </c>
      <c r="F625" t="s">
        <v>75</v>
      </c>
      <c r="I625" s="6">
        <v>1</v>
      </c>
      <c r="J625" s="6">
        <v>0</v>
      </c>
      <c r="K625" s="6">
        <v>0</v>
      </c>
      <c r="L625" s="6">
        <v>1</v>
      </c>
      <c r="M625" s="6">
        <v>0</v>
      </c>
      <c r="N625" s="6">
        <v>0</v>
      </c>
      <c r="O625" s="6">
        <v>0</v>
      </c>
      <c r="P625" s="6">
        <v>0</v>
      </c>
      <c r="Q625">
        <v>1</v>
      </c>
      <c r="R625">
        <f t="shared" si="45"/>
        <v>0</v>
      </c>
      <c r="S625">
        <f t="shared" si="46"/>
        <v>1</v>
      </c>
      <c r="T625">
        <f t="shared" si="47"/>
        <v>2</v>
      </c>
      <c r="U625">
        <f t="shared" si="48"/>
        <v>1</v>
      </c>
      <c r="V625">
        <f t="shared" si="49"/>
        <v>0</v>
      </c>
    </row>
    <row r="626" spans="1:22" x14ac:dyDescent="0.25">
      <c r="A626">
        <v>623</v>
      </c>
      <c r="B626" t="s">
        <v>12</v>
      </c>
      <c r="C626" t="s">
        <v>250</v>
      </c>
      <c r="D626" s="4">
        <v>45435</v>
      </c>
      <c r="E626" t="s">
        <v>2018</v>
      </c>
      <c r="F626" t="s">
        <v>75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>
        <v>1</v>
      </c>
      <c r="R626">
        <f t="shared" si="45"/>
        <v>0</v>
      </c>
      <c r="S626">
        <f t="shared" si="46"/>
        <v>1</v>
      </c>
      <c r="T626">
        <f t="shared" si="47"/>
        <v>0</v>
      </c>
      <c r="U626">
        <f t="shared" si="48"/>
        <v>0</v>
      </c>
      <c r="V626">
        <f t="shared" si="49"/>
        <v>0</v>
      </c>
    </row>
    <row r="627" spans="1:22" x14ac:dyDescent="0.25">
      <c r="A627">
        <v>624</v>
      </c>
      <c r="B627" t="s">
        <v>12</v>
      </c>
      <c r="C627" t="s">
        <v>250</v>
      </c>
      <c r="D627" s="4">
        <v>45436</v>
      </c>
      <c r="E627" t="s">
        <v>363</v>
      </c>
      <c r="F627" t="s">
        <v>75</v>
      </c>
      <c r="I627" s="6">
        <v>0</v>
      </c>
      <c r="J627" s="6">
        <v>0</v>
      </c>
      <c r="K627" s="6">
        <v>0</v>
      </c>
      <c r="L627" s="6">
        <v>0</v>
      </c>
      <c r="M627" s="6">
        <v>1</v>
      </c>
      <c r="N627" s="6">
        <v>0</v>
      </c>
      <c r="O627" s="6">
        <v>0</v>
      </c>
      <c r="P627" s="6">
        <v>0</v>
      </c>
      <c r="Q627">
        <v>1</v>
      </c>
      <c r="R627">
        <f t="shared" si="45"/>
        <v>0</v>
      </c>
      <c r="S627">
        <f t="shared" si="46"/>
        <v>1</v>
      </c>
      <c r="T627">
        <f t="shared" si="47"/>
        <v>1</v>
      </c>
      <c r="U627">
        <f t="shared" si="48"/>
        <v>1</v>
      </c>
      <c r="V627">
        <f t="shared" si="49"/>
        <v>0</v>
      </c>
    </row>
    <row r="628" spans="1:22" x14ac:dyDescent="0.25">
      <c r="A628">
        <v>625</v>
      </c>
      <c r="B628" t="s">
        <v>12</v>
      </c>
      <c r="C628" t="s">
        <v>250</v>
      </c>
      <c r="D628" s="4">
        <v>45436</v>
      </c>
      <c r="E628" t="s">
        <v>893</v>
      </c>
      <c r="F628" t="s">
        <v>75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>
        <v>1</v>
      </c>
      <c r="R628">
        <f t="shared" si="45"/>
        <v>0</v>
      </c>
      <c r="S628">
        <f t="shared" si="46"/>
        <v>1</v>
      </c>
      <c r="T628">
        <f t="shared" si="47"/>
        <v>0</v>
      </c>
      <c r="U628">
        <f t="shared" si="48"/>
        <v>0</v>
      </c>
      <c r="V628">
        <f t="shared" si="49"/>
        <v>0</v>
      </c>
    </row>
    <row r="629" spans="1:22" x14ac:dyDescent="0.25">
      <c r="A629">
        <v>626</v>
      </c>
      <c r="B629" t="s">
        <v>12</v>
      </c>
      <c r="C629" t="s">
        <v>250</v>
      </c>
      <c r="D629" s="4">
        <v>45436</v>
      </c>
      <c r="E629" t="s">
        <v>364</v>
      </c>
      <c r="F629" t="s">
        <v>75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>
        <v>1</v>
      </c>
      <c r="R629">
        <f t="shared" si="45"/>
        <v>0</v>
      </c>
      <c r="S629">
        <f t="shared" si="46"/>
        <v>1</v>
      </c>
      <c r="T629">
        <f t="shared" si="47"/>
        <v>0</v>
      </c>
      <c r="U629">
        <f t="shared" si="48"/>
        <v>0</v>
      </c>
      <c r="V629">
        <f t="shared" si="49"/>
        <v>0</v>
      </c>
    </row>
    <row r="630" spans="1:22" x14ac:dyDescent="0.25">
      <c r="A630">
        <v>627</v>
      </c>
      <c r="B630" t="s">
        <v>12</v>
      </c>
      <c r="C630" t="s">
        <v>250</v>
      </c>
      <c r="D630" s="4">
        <v>45436</v>
      </c>
      <c r="E630" t="s">
        <v>365</v>
      </c>
      <c r="F630" t="s">
        <v>75</v>
      </c>
      <c r="I630" s="6">
        <v>0</v>
      </c>
      <c r="J630" s="6">
        <v>0</v>
      </c>
      <c r="K630" s="6">
        <v>0</v>
      </c>
      <c r="L630" s="6">
        <v>1</v>
      </c>
      <c r="M630" s="6">
        <v>0</v>
      </c>
      <c r="N630" s="6">
        <v>0</v>
      </c>
      <c r="O630" s="6">
        <v>0</v>
      </c>
      <c r="P630" s="6">
        <v>0</v>
      </c>
      <c r="Q630">
        <v>1</v>
      </c>
      <c r="R630">
        <f t="shared" si="45"/>
        <v>0</v>
      </c>
      <c r="S630">
        <f t="shared" si="46"/>
        <v>1</v>
      </c>
      <c r="T630">
        <f t="shared" si="47"/>
        <v>1</v>
      </c>
      <c r="U630">
        <f t="shared" si="48"/>
        <v>1</v>
      </c>
      <c r="V630">
        <f t="shared" si="49"/>
        <v>0</v>
      </c>
    </row>
    <row r="631" spans="1:22" x14ac:dyDescent="0.25">
      <c r="A631">
        <v>628</v>
      </c>
      <c r="B631" t="s">
        <v>12</v>
      </c>
      <c r="C631" t="s">
        <v>250</v>
      </c>
      <c r="D631" s="4">
        <v>45436</v>
      </c>
      <c r="E631" t="s">
        <v>366</v>
      </c>
      <c r="F631" t="s">
        <v>75</v>
      </c>
      <c r="I631" s="6">
        <v>0</v>
      </c>
      <c r="J631" s="6">
        <v>0</v>
      </c>
      <c r="K631" s="6">
        <v>0</v>
      </c>
      <c r="L631" s="6">
        <v>1</v>
      </c>
      <c r="M631" s="6">
        <v>0</v>
      </c>
      <c r="N631" s="6">
        <v>0</v>
      </c>
      <c r="O631" s="6">
        <v>0</v>
      </c>
      <c r="P631" s="6">
        <v>0</v>
      </c>
      <c r="Q631">
        <v>1</v>
      </c>
      <c r="R631">
        <f t="shared" si="45"/>
        <v>0</v>
      </c>
      <c r="S631">
        <f t="shared" si="46"/>
        <v>1</v>
      </c>
      <c r="T631">
        <f t="shared" si="47"/>
        <v>1</v>
      </c>
      <c r="U631">
        <f t="shared" si="48"/>
        <v>1</v>
      </c>
      <c r="V631">
        <f t="shared" si="49"/>
        <v>0</v>
      </c>
    </row>
    <row r="632" spans="1:22" x14ac:dyDescent="0.25">
      <c r="A632">
        <v>629</v>
      </c>
      <c r="B632" t="s">
        <v>12</v>
      </c>
      <c r="C632" t="s">
        <v>250</v>
      </c>
      <c r="D632" s="4">
        <v>45436</v>
      </c>
      <c r="E632" t="s">
        <v>367</v>
      </c>
      <c r="F632" t="s">
        <v>75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>
        <v>1</v>
      </c>
      <c r="R632">
        <f t="shared" si="45"/>
        <v>0</v>
      </c>
      <c r="S632">
        <f t="shared" si="46"/>
        <v>1</v>
      </c>
      <c r="T632">
        <f t="shared" si="47"/>
        <v>0</v>
      </c>
      <c r="U632">
        <f t="shared" si="48"/>
        <v>0</v>
      </c>
      <c r="V632">
        <f t="shared" si="49"/>
        <v>0</v>
      </c>
    </row>
    <row r="633" spans="1:22" x14ac:dyDescent="0.25">
      <c r="A633">
        <v>630</v>
      </c>
      <c r="B633" t="s">
        <v>12</v>
      </c>
      <c r="C633" t="s">
        <v>250</v>
      </c>
      <c r="D633" s="4">
        <v>45436</v>
      </c>
      <c r="E633" t="s">
        <v>368</v>
      </c>
      <c r="F633" t="s">
        <v>75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>
        <v>1</v>
      </c>
      <c r="R633">
        <f t="shared" si="45"/>
        <v>0</v>
      </c>
      <c r="S633">
        <f t="shared" si="46"/>
        <v>1</v>
      </c>
      <c r="T633">
        <f t="shared" si="47"/>
        <v>0</v>
      </c>
      <c r="U633">
        <f t="shared" si="48"/>
        <v>0</v>
      </c>
      <c r="V633">
        <f t="shared" si="49"/>
        <v>0</v>
      </c>
    </row>
    <row r="634" spans="1:22" x14ac:dyDescent="0.25">
      <c r="A634">
        <v>631</v>
      </c>
      <c r="B634" t="s">
        <v>12</v>
      </c>
      <c r="C634" t="s">
        <v>250</v>
      </c>
      <c r="D634" s="4">
        <v>45436</v>
      </c>
      <c r="E634" t="s">
        <v>1561</v>
      </c>
      <c r="F634" t="s">
        <v>75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>
        <v>1</v>
      </c>
      <c r="R634">
        <f t="shared" si="45"/>
        <v>0</v>
      </c>
      <c r="S634">
        <f t="shared" si="46"/>
        <v>1</v>
      </c>
      <c r="T634">
        <f t="shared" si="47"/>
        <v>0</v>
      </c>
      <c r="U634">
        <f t="shared" si="48"/>
        <v>0</v>
      </c>
      <c r="V634">
        <f t="shared" si="49"/>
        <v>0</v>
      </c>
    </row>
    <row r="635" spans="1:22" x14ac:dyDescent="0.25">
      <c r="A635">
        <v>632</v>
      </c>
      <c r="B635" t="s">
        <v>12</v>
      </c>
      <c r="C635" t="s">
        <v>250</v>
      </c>
      <c r="D635" s="4">
        <v>45437</v>
      </c>
      <c r="E635" t="s">
        <v>894</v>
      </c>
      <c r="F635" t="s">
        <v>75</v>
      </c>
      <c r="I635" s="6">
        <v>1</v>
      </c>
      <c r="J635" s="6">
        <v>0</v>
      </c>
      <c r="K635" s="6">
        <v>0</v>
      </c>
      <c r="L635" s="6">
        <v>1</v>
      </c>
      <c r="M635" s="6">
        <v>0</v>
      </c>
      <c r="N635" s="6">
        <v>0</v>
      </c>
      <c r="O635" s="6">
        <v>0</v>
      </c>
      <c r="P635" s="6">
        <v>0</v>
      </c>
      <c r="Q635">
        <v>1</v>
      </c>
      <c r="R635">
        <f t="shared" si="45"/>
        <v>0</v>
      </c>
      <c r="S635">
        <f t="shared" si="46"/>
        <v>1</v>
      </c>
      <c r="T635">
        <f t="shared" si="47"/>
        <v>2</v>
      </c>
      <c r="U635">
        <f t="shared" si="48"/>
        <v>1</v>
      </c>
      <c r="V635">
        <f t="shared" si="49"/>
        <v>0</v>
      </c>
    </row>
    <row r="636" spans="1:22" x14ac:dyDescent="0.25">
      <c r="A636">
        <v>633</v>
      </c>
      <c r="B636" t="s">
        <v>12</v>
      </c>
      <c r="C636" t="s">
        <v>250</v>
      </c>
      <c r="D636" s="4">
        <v>45438</v>
      </c>
      <c r="E636" t="s">
        <v>484</v>
      </c>
      <c r="F636" t="s">
        <v>75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>
        <v>1</v>
      </c>
      <c r="R636">
        <f t="shared" si="45"/>
        <v>0</v>
      </c>
      <c r="S636">
        <f t="shared" si="46"/>
        <v>1</v>
      </c>
      <c r="T636">
        <f t="shared" si="47"/>
        <v>0</v>
      </c>
      <c r="U636">
        <f t="shared" si="48"/>
        <v>0</v>
      </c>
      <c r="V636">
        <f t="shared" si="49"/>
        <v>0</v>
      </c>
    </row>
    <row r="637" spans="1:22" x14ac:dyDescent="0.25">
      <c r="A637">
        <v>634</v>
      </c>
      <c r="B637" t="s">
        <v>12</v>
      </c>
      <c r="C637" t="s">
        <v>250</v>
      </c>
      <c r="D637" s="4">
        <v>45438</v>
      </c>
      <c r="E637" t="s">
        <v>369</v>
      </c>
      <c r="F637" t="s">
        <v>75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1</v>
      </c>
      <c r="P637" s="6">
        <v>0</v>
      </c>
      <c r="Q637">
        <v>1</v>
      </c>
      <c r="R637">
        <f t="shared" si="45"/>
        <v>0</v>
      </c>
      <c r="S637">
        <f t="shared" si="46"/>
        <v>1</v>
      </c>
      <c r="T637">
        <f t="shared" si="47"/>
        <v>1</v>
      </c>
      <c r="U637">
        <f t="shared" si="48"/>
        <v>1</v>
      </c>
      <c r="V637">
        <f t="shared" si="49"/>
        <v>0</v>
      </c>
    </row>
    <row r="638" spans="1:22" x14ac:dyDescent="0.25">
      <c r="A638">
        <v>635</v>
      </c>
      <c r="B638" t="s">
        <v>12</v>
      </c>
      <c r="C638" t="s">
        <v>250</v>
      </c>
      <c r="D638" s="4">
        <v>45439</v>
      </c>
      <c r="E638" t="s">
        <v>370</v>
      </c>
      <c r="F638" t="s">
        <v>75</v>
      </c>
      <c r="I638" s="6">
        <v>0</v>
      </c>
      <c r="J638" s="6">
        <v>0</v>
      </c>
      <c r="K638" s="6">
        <v>0</v>
      </c>
      <c r="L638" s="6">
        <v>1</v>
      </c>
      <c r="M638" s="6">
        <v>0</v>
      </c>
      <c r="N638" s="6">
        <v>0</v>
      </c>
      <c r="O638" s="6">
        <v>0</v>
      </c>
      <c r="P638" s="6">
        <v>0</v>
      </c>
      <c r="Q638">
        <v>1</v>
      </c>
      <c r="R638">
        <f t="shared" si="45"/>
        <v>0</v>
      </c>
      <c r="S638">
        <f t="shared" si="46"/>
        <v>1</v>
      </c>
      <c r="T638">
        <f t="shared" si="47"/>
        <v>1</v>
      </c>
      <c r="U638">
        <f t="shared" si="48"/>
        <v>1</v>
      </c>
      <c r="V638">
        <f t="shared" si="49"/>
        <v>0</v>
      </c>
    </row>
    <row r="639" spans="1:22" x14ac:dyDescent="0.25">
      <c r="A639">
        <v>636</v>
      </c>
      <c r="B639" t="s">
        <v>12</v>
      </c>
      <c r="C639" t="s">
        <v>250</v>
      </c>
      <c r="D639" s="4">
        <v>45440</v>
      </c>
      <c r="E639" t="s">
        <v>488</v>
      </c>
      <c r="F639" t="s">
        <v>75</v>
      </c>
      <c r="I639" s="6">
        <v>1</v>
      </c>
      <c r="J639" s="6">
        <v>0</v>
      </c>
      <c r="K639" s="6">
        <v>1</v>
      </c>
      <c r="L639" s="6">
        <v>1</v>
      </c>
      <c r="M639" s="6">
        <v>0</v>
      </c>
      <c r="N639" s="6">
        <v>0</v>
      </c>
      <c r="O639" s="6">
        <v>0</v>
      </c>
      <c r="P639" s="6">
        <v>0</v>
      </c>
      <c r="Q639">
        <v>1</v>
      </c>
      <c r="R639">
        <f t="shared" si="45"/>
        <v>0</v>
      </c>
      <c r="S639">
        <f t="shared" si="46"/>
        <v>1</v>
      </c>
      <c r="T639">
        <f t="shared" si="47"/>
        <v>3</v>
      </c>
      <c r="U639">
        <f t="shared" si="48"/>
        <v>1</v>
      </c>
      <c r="V639">
        <f t="shared" si="49"/>
        <v>0</v>
      </c>
    </row>
    <row r="640" spans="1:22" x14ac:dyDescent="0.25">
      <c r="A640">
        <v>637</v>
      </c>
      <c r="B640" t="s">
        <v>12</v>
      </c>
      <c r="C640" t="s">
        <v>250</v>
      </c>
      <c r="D640" s="4">
        <v>45440</v>
      </c>
      <c r="E640" t="s">
        <v>371</v>
      </c>
      <c r="F640" t="s">
        <v>75</v>
      </c>
      <c r="I640" s="6">
        <v>1</v>
      </c>
      <c r="J640" s="6">
        <v>0</v>
      </c>
      <c r="K640" s="6">
        <v>0</v>
      </c>
      <c r="L640" s="6">
        <v>1</v>
      </c>
      <c r="M640" s="6">
        <v>0</v>
      </c>
      <c r="N640" s="6">
        <v>0</v>
      </c>
      <c r="O640" s="6">
        <v>1</v>
      </c>
      <c r="P640" s="6">
        <v>0</v>
      </c>
      <c r="Q640">
        <v>1</v>
      </c>
      <c r="R640">
        <f t="shared" si="45"/>
        <v>0</v>
      </c>
      <c r="S640">
        <f t="shared" si="46"/>
        <v>1</v>
      </c>
      <c r="T640">
        <f t="shared" si="47"/>
        <v>3</v>
      </c>
      <c r="U640">
        <f t="shared" si="48"/>
        <v>1</v>
      </c>
      <c r="V640">
        <f t="shared" si="49"/>
        <v>0</v>
      </c>
    </row>
    <row r="641" spans="1:22" x14ac:dyDescent="0.25">
      <c r="A641">
        <v>638</v>
      </c>
      <c r="B641" t="s">
        <v>12</v>
      </c>
      <c r="C641" t="s">
        <v>250</v>
      </c>
      <c r="D641" s="4">
        <v>45440</v>
      </c>
      <c r="E641" t="s">
        <v>895</v>
      </c>
      <c r="F641" t="s">
        <v>75</v>
      </c>
      <c r="I641" s="6">
        <v>0</v>
      </c>
      <c r="J641" s="6">
        <v>0</v>
      </c>
      <c r="K641" s="6">
        <v>0</v>
      </c>
      <c r="L641" s="6">
        <v>1</v>
      </c>
      <c r="M641" s="6">
        <v>0</v>
      </c>
      <c r="N641" s="6">
        <v>0</v>
      </c>
      <c r="O641" s="6">
        <v>0</v>
      </c>
      <c r="P641" s="6">
        <v>0</v>
      </c>
      <c r="Q641">
        <v>1</v>
      </c>
      <c r="R641">
        <f t="shared" si="45"/>
        <v>0</v>
      </c>
      <c r="S641">
        <f t="shared" si="46"/>
        <v>1</v>
      </c>
      <c r="T641">
        <f t="shared" si="47"/>
        <v>1</v>
      </c>
      <c r="U641">
        <f t="shared" si="48"/>
        <v>1</v>
      </c>
      <c r="V641">
        <f t="shared" si="49"/>
        <v>0</v>
      </c>
    </row>
    <row r="642" spans="1:22" x14ac:dyDescent="0.25">
      <c r="A642">
        <v>639</v>
      </c>
      <c r="B642" t="s">
        <v>12</v>
      </c>
      <c r="C642" t="s">
        <v>250</v>
      </c>
      <c r="D642" s="4">
        <v>45440</v>
      </c>
      <c r="E642" t="s">
        <v>372</v>
      </c>
      <c r="F642" t="s">
        <v>75</v>
      </c>
      <c r="I642" s="6">
        <v>0</v>
      </c>
      <c r="J642" s="6">
        <v>0</v>
      </c>
      <c r="K642" s="6">
        <v>0</v>
      </c>
      <c r="L642" s="6">
        <v>1</v>
      </c>
      <c r="M642" s="6">
        <v>0</v>
      </c>
      <c r="N642" s="6">
        <v>1</v>
      </c>
      <c r="O642" s="6">
        <v>0</v>
      </c>
      <c r="P642" s="6">
        <v>0</v>
      </c>
      <c r="Q642">
        <v>1</v>
      </c>
      <c r="R642">
        <f t="shared" si="45"/>
        <v>0</v>
      </c>
      <c r="S642">
        <f t="shared" si="46"/>
        <v>1</v>
      </c>
      <c r="T642">
        <f t="shared" si="47"/>
        <v>2</v>
      </c>
      <c r="U642">
        <f t="shared" si="48"/>
        <v>1</v>
      </c>
      <c r="V642">
        <f t="shared" si="49"/>
        <v>0</v>
      </c>
    </row>
    <row r="643" spans="1:22" x14ac:dyDescent="0.25">
      <c r="A643">
        <v>640</v>
      </c>
      <c r="B643" t="s">
        <v>12</v>
      </c>
      <c r="C643" t="s">
        <v>250</v>
      </c>
      <c r="D643" s="4">
        <v>45440</v>
      </c>
      <c r="E643" t="s">
        <v>373</v>
      </c>
      <c r="F643" t="s">
        <v>75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>
        <v>1</v>
      </c>
      <c r="R643">
        <f t="shared" ref="R643:R706" si="50">IF(AND(Q643=1,F643="ai_full"),1,0)</f>
        <v>0</v>
      </c>
      <c r="S643">
        <f t="shared" ref="S643:S706" si="51">IF(AND(Q643=1,F643="conventional"),1,0)</f>
        <v>1</v>
      </c>
      <c r="T643">
        <f t="shared" ref="T643:T706" si="52">SUM(I643:P643)</f>
        <v>0</v>
      </c>
      <c r="U643">
        <f t="shared" ref="U643:U706" si="53">IF(T643&gt;=1,1,0)</f>
        <v>0</v>
      </c>
      <c r="V643">
        <f t="shared" ref="V643:V706" si="54">IF(F643="ai_full",1,0)</f>
        <v>0</v>
      </c>
    </row>
    <row r="644" spans="1:22" x14ac:dyDescent="0.25">
      <c r="A644">
        <v>641</v>
      </c>
      <c r="B644" t="s">
        <v>12</v>
      </c>
      <c r="C644" t="s">
        <v>250</v>
      </c>
      <c r="D644" s="4">
        <v>45441</v>
      </c>
      <c r="E644" t="s">
        <v>374</v>
      </c>
      <c r="F644" t="s">
        <v>75</v>
      </c>
      <c r="I644" s="6">
        <v>1</v>
      </c>
      <c r="J644" s="6">
        <v>0</v>
      </c>
      <c r="K644" s="6">
        <v>0</v>
      </c>
      <c r="L644" s="6">
        <v>1</v>
      </c>
      <c r="M644" s="6">
        <v>1</v>
      </c>
      <c r="N644" s="6">
        <v>0</v>
      </c>
      <c r="O644" s="6">
        <v>0</v>
      </c>
      <c r="P644" s="6">
        <v>0</v>
      </c>
      <c r="Q644">
        <v>1</v>
      </c>
      <c r="R644">
        <f t="shared" si="50"/>
        <v>0</v>
      </c>
      <c r="S644">
        <f t="shared" si="51"/>
        <v>1</v>
      </c>
      <c r="T644">
        <f t="shared" si="52"/>
        <v>3</v>
      </c>
      <c r="U644">
        <f t="shared" si="53"/>
        <v>1</v>
      </c>
      <c r="V644">
        <f t="shared" si="54"/>
        <v>0</v>
      </c>
    </row>
    <row r="645" spans="1:22" x14ac:dyDescent="0.25">
      <c r="A645">
        <v>642</v>
      </c>
      <c r="B645" t="s">
        <v>12</v>
      </c>
      <c r="C645" t="s">
        <v>250</v>
      </c>
      <c r="D645" s="4">
        <v>45441</v>
      </c>
      <c r="E645" t="s">
        <v>375</v>
      </c>
      <c r="F645" t="s">
        <v>75</v>
      </c>
      <c r="I645" s="6">
        <v>0</v>
      </c>
      <c r="J645" s="6">
        <v>0</v>
      </c>
      <c r="K645" s="6">
        <v>0</v>
      </c>
      <c r="L645" s="6">
        <v>1</v>
      </c>
      <c r="M645" s="6">
        <v>0</v>
      </c>
      <c r="N645" s="6">
        <v>0</v>
      </c>
      <c r="O645" s="6">
        <v>0</v>
      </c>
      <c r="P645" s="6">
        <v>0</v>
      </c>
      <c r="Q645">
        <v>1</v>
      </c>
      <c r="R645">
        <f t="shared" si="50"/>
        <v>0</v>
      </c>
      <c r="S645">
        <f t="shared" si="51"/>
        <v>1</v>
      </c>
      <c r="T645">
        <f t="shared" si="52"/>
        <v>1</v>
      </c>
      <c r="U645">
        <f t="shared" si="53"/>
        <v>1</v>
      </c>
      <c r="V645">
        <f t="shared" si="54"/>
        <v>0</v>
      </c>
    </row>
    <row r="646" spans="1:22" x14ac:dyDescent="0.25">
      <c r="A646">
        <v>643</v>
      </c>
      <c r="B646" t="s">
        <v>12</v>
      </c>
      <c r="C646" t="s">
        <v>250</v>
      </c>
      <c r="D646" s="4">
        <v>45444</v>
      </c>
      <c r="E646" t="s">
        <v>376</v>
      </c>
      <c r="F646" t="s">
        <v>75</v>
      </c>
      <c r="I646" s="6">
        <v>1</v>
      </c>
      <c r="J646" s="6">
        <v>1</v>
      </c>
      <c r="K646" s="6">
        <v>0</v>
      </c>
      <c r="L646" s="6">
        <v>1</v>
      </c>
      <c r="M646" s="6">
        <v>0</v>
      </c>
      <c r="N646" s="6">
        <v>0</v>
      </c>
      <c r="O646" s="6">
        <v>1</v>
      </c>
      <c r="P646" s="6">
        <v>0</v>
      </c>
      <c r="Q646">
        <v>1</v>
      </c>
      <c r="R646">
        <f t="shared" si="50"/>
        <v>0</v>
      </c>
      <c r="S646">
        <f t="shared" si="51"/>
        <v>1</v>
      </c>
      <c r="T646">
        <f t="shared" si="52"/>
        <v>4</v>
      </c>
      <c r="U646">
        <f t="shared" si="53"/>
        <v>1</v>
      </c>
      <c r="V646">
        <f t="shared" si="54"/>
        <v>0</v>
      </c>
    </row>
    <row r="647" spans="1:22" x14ac:dyDescent="0.25">
      <c r="A647">
        <v>644</v>
      </c>
      <c r="B647" t="s">
        <v>12</v>
      </c>
      <c r="C647" t="s">
        <v>250</v>
      </c>
      <c r="D647" s="4">
        <v>45444</v>
      </c>
      <c r="E647" t="s">
        <v>899</v>
      </c>
      <c r="F647" t="s">
        <v>75</v>
      </c>
      <c r="I647" s="6">
        <v>1</v>
      </c>
      <c r="J647" s="6">
        <v>0</v>
      </c>
      <c r="K647" s="6">
        <v>0</v>
      </c>
      <c r="L647" s="6">
        <v>1</v>
      </c>
      <c r="M647" s="6">
        <v>0</v>
      </c>
      <c r="N647" s="6">
        <v>0</v>
      </c>
      <c r="O647" s="6">
        <v>0</v>
      </c>
      <c r="P647" s="6">
        <v>0</v>
      </c>
      <c r="Q647">
        <v>1</v>
      </c>
      <c r="R647">
        <f t="shared" si="50"/>
        <v>0</v>
      </c>
      <c r="S647">
        <f t="shared" si="51"/>
        <v>1</v>
      </c>
      <c r="T647">
        <f t="shared" si="52"/>
        <v>2</v>
      </c>
      <c r="U647">
        <f t="shared" si="53"/>
        <v>1</v>
      </c>
      <c r="V647">
        <f t="shared" si="54"/>
        <v>0</v>
      </c>
    </row>
    <row r="648" spans="1:22" x14ac:dyDescent="0.25">
      <c r="A648">
        <v>645</v>
      </c>
      <c r="B648" t="s">
        <v>12</v>
      </c>
      <c r="C648" t="s">
        <v>250</v>
      </c>
      <c r="D648" s="4">
        <v>45444</v>
      </c>
      <c r="E648" t="s">
        <v>377</v>
      </c>
      <c r="F648" t="s">
        <v>75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>
        <v>1</v>
      </c>
      <c r="R648">
        <f t="shared" si="50"/>
        <v>0</v>
      </c>
      <c r="S648">
        <f t="shared" si="51"/>
        <v>1</v>
      </c>
      <c r="T648">
        <f t="shared" si="52"/>
        <v>0</v>
      </c>
      <c r="U648">
        <f t="shared" si="53"/>
        <v>0</v>
      </c>
      <c r="V648">
        <f t="shared" si="54"/>
        <v>0</v>
      </c>
    </row>
    <row r="649" spans="1:22" x14ac:dyDescent="0.25">
      <c r="A649">
        <v>646</v>
      </c>
      <c r="B649" t="s">
        <v>12</v>
      </c>
      <c r="C649" t="s">
        <v>250</v>
      </c>
      <c r="D649" s="4">
        <v>45444</v>
      </c>
      <c r="E649" t="s">
        <v>378</v>
      </c>
      <c r="F649" t="s">
        <v>75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1</v>
      </c>
      <c r="P649" s="6">
        <v>0</v>
      </c>
      <c r="Q649">
        <v>1</v>
      </c>
      <c r="R649">
        <f t="shared" si="50"/>
        <v>0</v>
      </c>
      <c r="S649">
        <f t="shared" si="51"/>
        <v>1</v>
      </c>
      <c r="T649">
        <f t="shared" si="52"/>
        <v>1</v>
      </c>
      <c r="U649">
        <f t="shared" si="53"/>
        <v>1</v>
      </c>
      <c r="V649">
        <f t="shared" si="54"/>
        <v>0</v>
      </c>
    </row>
    <row r="650" spans="1:22" x14ac:dyDescent="0.25">
      <c r="A650">
        <v>647</v>
      </c>
      <c r="B650" t="s">
        <v>12</v>
      </c>
      <c r="C650" t="s">
        <v>250</v>
      </c>
      <c r="D650" s="4">
        <v>45444</v>
      </c>
      <c r="E650" t="s">
        <v>379</v>
      </c>
      <c r="F650" t="s">
        <v>75</v>
      </c>
      <c r="I650" s="6">
        <v>1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>
        <v>1</v>
      </c>
      <c r="R650">
        <f t="shared" si="50"/>
        <v>0</v>
      </c>
      <c r="S650">
        <f t="shared" si="51"/>
        <v>1</v>
      </c>
      <c r="T650">
        <f t="shared" si="52"/>
        <v>1</v>
      </c>
      <c r="U650">
        <f t="shared" si="53"/>
        <v>1</v>
      </c>
      <c r="V650">
        <f t="shared" si="54"/>
        <v>0</v>
      </c>
    </row>
    <row r="651" spans="1:22" x14ac:dyDescent="0.25">
      <c r="A651">
        <v>648</v>
      </c>
      <c r="B651" t="s">
        <v>12</v>
      </c>
      <c r="C651" t="s">
        <v>250</v>
      </c>
      <c r="D651" s="4">
        <v>45445</v>
      </c>
      <c r="E651" t="s">
        <v>380</v>
      </c>
      <c r="F651" t="s">
        <v>75</v>
      </c>
      <c r="I651" s="6">
        <v>1</v>
      </c>
      <c r="J651" s="6">
        <v>0</v>
      </c>
      <c r="K651" s="6">
        <v>0</v>
      </c>
      <c r="L651" s="6">
        <v>1</v>
      </c>
      <c r="M651" s="6">
        <v>1</v>
      </c>
      <c r="N651" s="6">
        <v>0</v>
      </c>
      <c r="O651" s="6">
        <v>0</v>
      </c>
      <c r="P651" s="6">
        <v>0</v>
      </c>
      <c r="Q651">
        <v>1</v>
      </c>
      <c r="R651">
        <f t="shared" si="50"/>
        <v>0</v>
      </c>
      <c r="S651">
        <f t="shared" si="51"/>
        <v>1</v>
      </c>
      <c r="T651">
        <f t="shared" si="52"/>
        <v>3</v>
      </c>
      <c r="U651">
        <f t="shared" si="53"/>
        <v>1</v>
      </c>
      <c r="V651">
        <f t="shared" si="54"/>
        <v>0</v>
      </c>
    </row>
    <row r="652" spans="1:22" x14ac:dyDescent="0.25">
      <c r="A652">
        <v>649</v>
      </c>
      <c r="B652" t="s">
        <v>12</v>
      </c>
      <c r="C652" t="s">
        <v>250</v>
      </c>
      <c r="D652" s="4">
        <v>45445</v>
      </c>
      <c r="E652" t="s">
        <v>381</v>
      </c>
      <c r="F652" t="s">
        <v>75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>
        <v>1</v>
      </c>
      <c r="R652">
        <f t="shared" si="50"/>
        <v>0</v>
      </c>
      <c r="S652">
        <f t="shared" si="51"/>
        <v>1</v>
      </c>
      <c r="T652">
        <f t="shared" si="52"/>
        <v>0</v>
      </c>
      <c r="U652">
        <f t="shared" si="53"/>
        <v>0</v>
      </c>
      <c r="V652">
        <f t="shared" si="54"/>
        <v>0</v>
      </c>
    </row>
    <row r="653" spans="1:22" x14ac:dyDescent="0.25">
      <c r="A653">
        <v>650</v>
      </c>
      <c r="B653" t="s">
        <v>12</v>
      </c>
      <c r="C653" t="s">
        <v>250</v>
      </c>
      <c r="D653" s="4">
        <v>45445</v>
      </c>
      <c r="E653" t="s">
        <v>382</v>
      </c>
      <c r="F653" t="s">
        <v>75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>
        <v>1</v>
      </c>
      <c r="R653">
        <f t="shared" si="50"/>
        <v>0</v>
      </c>
      <c r="S653">
        <f t="shared" si="51"/>
        <v>1</v>
      </c>
      <c r="T653">
        <f t="shared" si="52"/>
        <v>0</v>
      </c>
      <c r="U653">
        <f t="shared" si="53"/>
        <v>0</v>
      </c>
      <c r="V653">
        <f t="shared" si="54"/>
        <v>0</v>
      </c>
    </row>
    <row r="654" spans="1:22" x14ac:dyDescent="0.25">
      <c r="A654">
        <v>651</v>
      </c>
      <c r="B654" t="s">
        <v>12</v>
      </c>
      <c r="C654" t="s">
        <v>250</v>
      </c>
      <c r="D654" s="4">
        <v>45446</v>
      </c>
      <c r="E654" t="s">
        <v>383</v>
      </c>
      <c r="F654" t="s">
        <v>75</v>
      </c>
      <c r="I654" s="6">
        <v>1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>
        <v>1</v>
      </c>
      <c r="R654">
        <f t="shared" si="50"/>
        <v>0</v>
      </c>
      <c r="S654">
        <f t="shared" si="51"/>
        <v>1</v>
      </c>
      <c r="T654">
        <f t="shared" si="52"/>
        <v>1</v>
      </c>
      <c r="U654">
        <f t="shared" si="53"/>
        <v>1</v>
      </c>
      <c r="V654">
        <f t="shared" si="54"/>
        <v>0</v>
      </c>
    </row>
    <row r="655" spans="1:22" x14ac:dyDescent="0.25">
      <c r="A655">
        <v>652</v>
      </c>
      <c r="B655" t="s">
        <v>12</v>
      </c>
      <c r="C655" t="s">
        <v>250</v>
      </c>
      <c r="D655" s="4">
        <v>45446</v>
      </c>
      <c r="E655" t="s">
        <v>384</v>
      </c>
      <c r="F655" t="s">
        <v>75</v>
      </c>
      <c r="I655" s="6">
        <v>1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>
        <v>1</v>
      </c>
      <c r="R655">
        <f t="shared" si="50"/>
        <v>0</v>
      </c>
      <c r="S655">
        <f t="shared" si="51"/>
        <v>1</v>
      </c>
      <c r="T655">
        <f t="shared" si="52"/>
        <v>1</v>
      </c>
      <c r="U655">
        <f t="shared" si="53"/>
        <v>1</v>
      </c>
      <c r="V655">
        <f t="shared" si="54"/>
        <v>0</v>
      </c>
    </row>
    <row r="656" spans="1:22" x14ac:dyDescent="0.25">
      <c r="A656">
        <v>653</v>
      </c>
      <c r="B656" t="s">
        <v>12</v>
      </c>
      <c r="C656" t="s">
        <v>250</v>
      </c>
      <c r="D656" s="4">
        <v>45446</v>
      </c>
      <c r="E656" t="s">
        <v>385</v>
      </c>
      <c r="F656" t="s">
        <v>75</v>
      </c>
      <c r="I656" s="6">
        <v>1</v>
      </c>
      <c r="J656" s="6">
        <v>1</v>
      </c>
      <c r="K656" s="6">
        <v>1</v>
      </c>
      <c r="L656" s="6">
        <v>0</v>
      </c>
      <c r="M656" s="6">
        <v>1</v>
      </c>
      <c r="N656" s="6">
        <v>0</v>
      </c>
      <c r="O656" s="6">
        <v>0</v>
      </c>
      <c r="P656" s="6">
        <v>0</v>
      </c>
      <c r="Q656">
        <v>1</v>
      </c>
      <c r="R656">
        <f t="shared" si="50"/>
        <v>0</v>
      </c>
      <c r="S656">
        <f t="shared" si="51"/>
        <v>1</v>
      </c>
      <c r="T656">
        <f t="shared" si="52"/>
        <v>4</v>
      </c>
      <c r="U656">
        <f t="shared" si="53"/>
        <v>1</v>
      </c>
      <c r="V656">
        <f t="shared" si="54"/>
        <v>0</v>
      </c>
    </row>
    <row r="657" spans="1:22" x14ac:dyDescent="0.25">
      <c r="A657">
        <v>654</v>
      </c>
      <c r="B657" t="s">
        <v>12</v>
      </c>
      <c r="C657" t="s">
        <v>250</v>
      </c>
      <c r="D657" s="4">
        <v>45446</v>
      </c>
      <c r="E657" t="s">
        <v>386</v>
      </c>
      <c r="F657" t="s">
        <v>75</v>
      </c>
      <c r="I657" s="6">
        <v>1</v>
      </c>
      <c r="J657" s="6">
        <v>0</v>
      </c>
      <c r="K657" s="6">
        <v>0</v>
      </c>
      <c r="L657" s="6">
        <v>0</v>
      </c>
      <c r="M657" s="6">
        <v>1</v>
      </c>
      <c r="N657" s="6">
        <v>0</v>
      </c>
      <c r="O657" s="6">
        <v>0</v>
      </c>
      <c r="P657" s="6">
        <v>0</v>
      </c>
      <c r="Q657">
        <v>1</v>
      </c>
      <c r="R657">
        <f t="shared" si="50"/>
        <v>0</v>
      </c>
      <c r="S657">
        <f t="shared" si="51"/>
        <v>1</v>
      </c>
      <c r="T657">
        <f t="shared" si="52"/>
        <v>2</v>
      </c>
      <c r="U657">
        <f t="shared" si="53"/>
        <v>1</v>
      </c>
      <c r="V657">
        <f t="shared" si="54"/>
        <v>0</v>
      </c>
    </row>
    <row r="658" spans="1:22" x14ac:dyDescent="0.25">
      <c r="A658">
        <v>655</v>
      </c>
      <c r="B658" t="s">
        <v>12</v>
      </c>
      <c r="C658" t="s">
        <v>250</v>
      </c>
      <c r="D658" s="4">
        <v>45447</v>
      </c>
      <c r="E658" t="s">
        <v>387</v>
      </c>
      <c r="F658" t="s">
        <v>75</v>
      </c>
      <c r="I658" s="6">
        <v>0</v>
      </c>
      <c r="J658" s="6">
        <v>0</v>
      </c>
      <c r="K658" s="6">
        <v>0</v>
      </c>
      <c r="L658" s="6">
        <v>1</v>
      </c>
      <c r="M658" s="6">
        <v>0</v>
      </c>
      <c r="N658" s="6">
        <v>0</v>
      </c>
      <c r="O658" s="6">
        <v>0</v>
      </c>
      <c r="P658" s="6">
        <v>0</v>
      </c>
      <c r="Q658">
        <v>1</v>
      </c>
      <c r="R658">
        <f t="shared" si="50"/>
        <v>0</v>
      </c>
      <c r="S658">
        <f t="shared" si="51"/>
        <v>1</v>
      </c>
      <c r="T658">
        <f t="shared" si="52"/>
        <v>1</v>
      </c>
      <c r="U658">
        <f t="shared" si="53"/>
        <v>1</v>
      </c>
      <c r="V658">
        <f t="shared" si="54"/>
        <v>0</v>
      </c>
    </row>
    <row r="659" spans="1:22" x14ac:dyDescent="0.25">
      <c r="A659">
        <v>656</v>
      </c>
      <c r="B659" t="s">
        <v>12</v>
      </c>
      <c r="C659" t="s">
        <v>250</v>
      </c>
      <c r="D659" s="4">
        <v>45447</v>
      </c>
      <c r="E659" t="s">
        <v>494</v>
      </c>
      <c r="F659" t="s">
        <v>75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>
        <v>1</v>
      </c>
      <c r="R659">
        <f t="shared" si="50"/>
        <v>0</v>
      </c>
      <c r="S659">
        <f t="shared" si="51"/>
        <v>1</v>
      </c>
      <c r="T659">
        <f t="shared" si="52"/>
        <v>0</v>
      </c>
      <c r="U659">
        <f t="shared" si="53"/>
        <v>0</v>
      </c>
      <c r="V659">
        <f t="shared" si="54"/>
        <v>0</v>
      </c>
    </row>
    <row r="660" spans="1:22" x14ac:dyDescent="0.25">
      <c r="A660">
        <v>657</v>
      </c>
      <c r="B660" t="s">
        <v>12</v>
      </c>
      <c r="C660" t="s">
        <v>250</v>
      </c>
      <c r="D660" s="4">
        <v>45447</v>
      </c>
      <c r="E660" t="s">
        <v>900</v>
      </c>
      <c r="F660" t="s">
        <v>75</v>
      </c>
      <c r="I660" s="6">
        <v>1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>
        <v>1</v>
      </c>
      <c r="R660">
        <f t="shared" si="50"/>
        <v>0</v>
      </c>
      <c r="S660">
        <f t="shared" si="51"/>
        <v>1</v>
      </c>
      <c r="T660">
        <f t="shared" si="52"/>
        <v>1</v>
      </c>
      <c r="U660">
        <f t="shared" si="53"/>
        <v>1</v>
      </c>
      <c r="V660">
        <f t="shared" si="54"/>
        <v>0</v>
      </c>
    </row>
    <row r="661" spans="1:22" x14ac:dyDescent="0.25">
      <c r="A661">
        <v>658</v>
      </c>
      <c r="B661" t="s">
        <v>12</v>
      </c>
      <c r="C661" t="s">
        <v>250</v>
      </c>
      <c r="D661" s="4">
        <v>45448</v>
      </c>
      <c r="E661" t="s">
        <v>497</v>
      </c>
      <c r="F661" t="s">
        <v>75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1</v>
      </c>
      <c r="P661" s="6">
        <v>0</v>
      </c>
      <c r="Q661">
        <v>1</v>
      </c>
      <c r="R661">
        <f t="shared" si="50"/>
        <v>0</v>
      </c>
      <c r="S661">
        <f t="shared" si="51"/>
        <v>1</v>
      </c>
      <c r="T661">
        <f t="shared" si="52"/>
        <v>1</v>
      </c>
      <c r="U661">
        <f t="shared" si="53"/>
        <v>1</v>
      </c>
      <c r="V661">
        <f t="shared" si="54"/>
        <v>0</v>
      </c>
    </row>
    <row r="662" spans="1:22" x14ac:dyDescent="0.25">
      <c r="A662">
        <v>659</v>
      </c>
      <c r="B662" t="s">
        <v>12</v>
      </c>
      <c r="C662" t="s">
        <v>250</v>
      </c>
      <c r="D662" s="4">
        <v>45448</v>
      </c>
      <c r="E662" t="s">
        <v>388</v>
      </c>
      <c r="F662" t="s">
        <v>75</v>
      </c>
      <c r="I662" s="6">
        <v>1</v>
      </c>
      <c r="J662" s="6">
        <v>0</v>
      </c>
      <c r="K662" s="6">
        <v>0</v>
      </c>
      <c r="L662" s="6">
        <v>1</v>
      </c>
      <c r="M662" s="6">
        <v>0</v>
      </c>
      <c r="N662" s="6">
        <v>0</v>
      </c>
      <c r="O662" s="6">
        <v>0</v>
      </c>
      <c r="P662" s="6">
        <v>0</v>
      </c>
      <c r="Q662">
        <v>1</v>
      </c>
      <c r="R662">
        <f t="shared" si="50"/>
        <v>0</v>
      </c>
      <c r="S662">
        <f t="shared" si="51"/>
        <v>1</v>
      </c>
      <c r="T662">
        <f t="shared" si="52"/>
        <v>2</v>
      </c>
      <c r="U662">
        <f t="shared" si="53"/>
        <v>1</v>
      </c>
      <c r="V662">
        <f t="shared" si="54"/>
        <v>0</v>
      </c>
    </row>
    <row r="663" spans="1:22" x14ac:dyDescent="0.25">
      <c r="A663">
        <v>660</v>
      </c>
      <c r="B663" t="s">
        <v>12</v>
      </c>
      <c r="C663" t="s">
        <v>250</v>
      </c>
      <c r="D663" s="4">
        <v>45448</v>
      </c>
      <c r="E663" t="s">
        <v>500</v>
      </c>
      <c r="F663" t="s">
        <v>75</v>
      </c>
      <c r="I663" s="6">
        <v>1</v>
      </c>
      <c r="J663" s="6">
        <v>0</v>
      </c>
      <c r="K663" s="6">
        <v>0</v>
      </c>
      <c r="L663" s="6">
        <v>0</v>
      </c>
      <c r="M663" s="6">
        <v>1</v>
      </c>
      <c r="N663" s="6">
        <v>0</v>
      </c>
      <c r="O663" s="6">
        <v>0</v>
      </c>
      <c r="P663" s="6">
        <v>0</v>
      </c>
      <c r="Q663">
        <v>1</v>
      </c>
      <c r="R663">
        <f t="shared" si="50"/>
        <v>0</v>
      </c>
      <c r="S663">
        <f t="shared" si="51"/>
        <v>1</v>
      </c>
      <c r="T663">
        <f t="shared" si="52"/>
        <v>2</v>
      </c>
      <c r="U663">
        <f t="shared" si="53"/>
        <v>1</v>
      </c>
      <c r="V663">
        <f t="shared" si="54"/>
        <v>0</v>
      </c>
    </row>
    <row r="664" spans="1:22" x14ac:dyDescent="0.25">
      <c r="A664">
        <v>661</v>
      </c>
      <c r="B664" t="s">
        <v>12</v>
      </c>
      <c r="C664" t="s">
        <v>250</v>
      </c>
      <c r="D664" s="4">
        <v>45448</v>
      </c>
      <c r="E664" t="s">
        <v>501</v>
      </c>
      <c r="F664" t="s">
        <v>75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1</v>
      </c>
      <c r="P664" s="6">
        <v>0</v>
      </c>
      <c r="Q664">
        <v>1</v>
      </c>
      <c r="R664">
        <f t="shared" si="50"/>
        <v>0</v>
      </c>
      <c r="S664">
        <f t="shared" si="51"/>
        <v>1</v>
      </c>
      <c r="T664">
        <f t="shared" si="52"/>
        <v>1</v>
      </c>
      <c r="U664">
        <f t="shared" si="53"/>
        <v>1</v>
      </c>
      <c r="V664">
        <f t="shared" si="54"/>
        <v>0</v>
      </c>
    </row>
    <row r="665" spans="1:22" x14ac:dyDescent="0.25">
      <c r="A665">
        <v>662</v>
      </c>
      <c r="B665" t="s">
        <v>12</v>
      </c>
      <c r="C665" t="s">
        <v>250</v>
      </c>
      <c r="D665" s="4">
        <v>45448</v>
      </c>
      <c r="E665" t="s">
        <v>502</v>
      </c>
      <c r="F665" t="s">
        <v>75</v>
      </c>
      <c r="I665" s="6">
        <v>1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>
        <v>1</v>
      </c>
      <c r="R665">
        <f t="shared" si="50"/>
        <v>0</v>
      </c>
      <c r="S665">
        <f t="shared" si="51"/>
        <v>1</v>
      </c>
      <c r="T665">
        <f t="shared" si="52"/>
        <v>1</v>
      </c>
      <c r="U665">
        <f t="shared" si="53"/>
        <v>1</v>
      </c>
      <c r="V665">
        <f t="shared" si="54"/>
        <v>0</v>
      </c>
    </row>
    <row r="666" spans="1:22" x14ac:dyDescent="0.25">
      <c r="A666">
        <v>663</v>
      </c>
      <c r="B666" t="s">
        <v>12</v>
      </c>
      <c r="C666" t="s">
        <v>250</v>
      </c>
      <c r="D666" s="4">
        <v>45448</v>
      </c>
      <c r="E666" t="s">
        <v>503</v>
      </c>
      <c r="F666" t="s">
        <v>75</v>
      </c>
      <c r="I666" s="6">
        <v>0</v>
      </c>
      <c r="J666" s="6">
        <v>0</v>
      </c>
      <c r="K666" s="6">
        <v>0</v>
      </c>
      <c r="L666" s="6">
        <v>0</v>
      </c>
      <c r="M666" s="6">
        <v>1</v>
      </c>
      <c r="N666" s="6">
        <v>0</v>
      </c>
      <c r="O666" s="6">
        <v>0</v>
      </c>
      <c r="P666" s="6">
        <v>0</v>
      </c>
      <c r="Q666">
        <v>1</v>
      </c>
      <c r="R666">
        <f t="shared" si="50"/>
        <v>0</v>
      </c>
      <c r="S666">
        <f t="shared" si="51"/>
        <v>1</v>
      </c>
      <c r="T666">
        <f t="shared" si="52"/>
        <v>1</v>
      </c>
      <c r="U666">
        <f t="shared" si="53"/>
        <v>1</v>
      </c>
      <c r="V666">
        <f t="shared" si="54"/>
        <v>0</v>
      </c>
    </row>
    <row r="667" spans="1:22" x14ac:dyDescent="0.25">
      <c r="A667">
        <v>664</v>
      </c>
      <c r="B667" t="s">
        <v>12</v>
      </c>
      <c r="C667" t="s">
        <v>250</v>
      </c>
      <c r="D667" s="4">
        <v>45448</v>
      </c>
      <c r="E667" t="s">
        <v>504</v>
      </c>
      <c r="F667" t="s">
        <v>75</v>
      </c>
      <c r="I667" s="6">
        <v>0</v>
      </c>
      <c r="J667" s="6">
        <v>0</v>
      </c>
      <c r="K667" s="6">
        <v>1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>
        <v>1</v>
      </c>
      <c r="R667">
        <f t="shared" si="50"/>
        <v>0</v>
      </c>
      <c r="S667">
        <f t="shared" si="51"/>
        <v>1</v>
      </c>
      <c r="T667">
        <f t="shared" si="52"/>
        <v>1</v>
      </c>
      <c r="U667">
        <f t="shared" si="53"/>
        <v>1</v>
      </c>
      <c r="V667">
        <f t="shared" si="54"/>
        <v>0</v>
      </c>
    </row>
    <row r="668" spans="1:22" x14ac:dyDescent="0.25">
      <c r="A668">
        <v>665</v>
      </c>
      <c r="B668" t="s">
        <v>12</v>
      </c>
      <c r="C668" t="s">
        <v>250</v>
      </c>
      <c r="D668" s="4">
        <v>45448</v>
      </c>
      <c r="E668" t="s">
        <v>1215</v>
      </c>
      <c r="F668" t="s">
        <v>75</v>
      </c>
      <c r="I668" s="6">
        <v>0</v>
      </c>
      <c r="J668" s="6">
        <v>0</v>
      </c>
      <c r="K668" s="6">
        <v>0</v>
      </c>
      <c r="L668" s="6">
        <v>0</v>
      </c>
      <c r="M668" s="6">
        <v>1</v>
      </c>
      <c r="N668" s="6">
        <v>1</v>
      </c>
      <c r="O668" s="6">
        <v>0</v>
      </c>
      <c r="P668" s="6">
        <v>0</v>
      </c>
      <c r="Q668">
        <v>1</v>
      </c>
      <c r="R668">
        <f t="shared" si="50"/>
        <v>0</v>
      </c>
      <c r="S668">
        <f t="shared" si="51"/>
        <v>1</v>
      </c>
      <c r="T668">
        <f t="shared" si="52"/>
        <v>2</v>
      </c>
      <c r="U668">
        <f t="shared" si="53"/>
        <v>1</v>
      </c>
      <c r="V668">
        <f t="shared" si="54"/>
        <v>0</v>
      </c>
    </row>
    <row r="669" spans="1:22" x14ac:dyDescent="0.25">
      <c r="A669">
        <v>666</v>
      </c>
      <c r="B669" t="s">
        <v>12</v>
      </c>
      <c r="C669" t="s">
        <v>250</v>
      </c>
      <c r="D669" s="4">
        <v>45449</v>
      </c>
      <c r="E669" t="s">
        <v>389</v>
      </c>
      <c r="F669" t="s">
        <v>75</v>
      </c>
      <c r="I669" s="6">
        <v>0</v>
      </c>
      <c r="J669" s="6">
        <v>0</v>
      </c>
      <c r="K669" s="6">
        <v>1</v>
      </c>
      <c r="L669" s="6">
        <v>1</v>
      </c>
      <c r="M669" s="6">
        <v>0</v>
      </c>
      <c r="N669" s="6">
        <v>0</v>
      </c>
      <c r="O669" s="6">
        <v>0</v>
      </c>
      <c r="P669" s="6">
        <v>0</v>
      </c>
      <c r="Q669">
        <v>1</v>
      </c>
      <c r="R669">
        <f t="shared" si="50"/>
        <v>0</v>
      </c>
      <c r="S669">
        <f t="shared" si="51"/>
        <v>1</v>
      </c>
      <c r="T669">
        <f t="shared" si="52"/>
        <v>2</v>
      </c>
      <c r="U669">
        <f t="shared" si="53"/>
        <v>1</v>
      </c>
      <c r="V669">
        <f t="shared" si="54"/>
        <v>0</v>
      </c>
    </row>
    <row r="670" spans="1:22" x14ac:dyDescent="0.25">
      <c r="A670">
        <v>667</v>
      </c>
      <c r="B670" t="s">
        <v>12</v>
      </c>
      <c r="C670" t="s">
        <v>250</v>
      </c>
      <c r="D670" s="4">
        <v>45449</v>
      </c>
      <c r="E670" t="s">
        <v>507</v>
      </c>
      <c r="F670" t="s">
        <v>75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>
        <v>1</v>
      </c>
      <c r="R670">
        <f t="shared" si="50"/>
        <v>0</v>
      </c>
      <c r="S670">
        <f t="shared" si="51"/>
        <v>1</v>
      </c>
      <c r="T670">
        <f t="shared" si="52"/>
        <v>0</v>
      </c>
      <c r="U670">
        <f t="shared" si="53"/>
        <v>0</v>
      </c>
      <c r="V670">
        <f t="shared" si="54"/>
        <v>0</v>
      </c>
    </row>
    <row r="671" spans="1:22" x14ac:dyDescent="0.25">
      <c r="A671">
        <v>668</v>
      </c>
      <c r="B671" t="s">
        <v>12</v>
      </c>
      <c r="C671" t="s">
        <v>250</v>
      </c>
      <c r="D671" s="4">
        <v>45449</v>
      </c>
      <c r="E671" t="s">
        <v>390</v>
      </c>
      <c r="F671" t="s">
        <v>75</v>
      </c>
      <c r="I671" s="6">
        <v>0</v>
      </c>
      <c r="J671" s="6">
        <v>0</v>
      </c>
      <c r="K671" s="6">
        <v>0</v>
      </c>
      <c r="L671" s="6">
        <v>1</v>
      </c>
      <c r="M671" s="6">
        <v>0</v>
      </c>
      <c r="N671" s="6">
        <v>0</v>
      </c>
      <c r="O671" s="6">
        <v>0</v>
      </c>
      <c r="P671" s="6">
        <v>0</v>
      </c>
      <c r="Q671">
        <v>1</v>
      </c>
      <c r="R671">
        <f t="shared" si="50"/>
        <v>0</v>
      </c>
      <c r="S671">
        <f t="shared" si="51"/>
        <v>1</v>
      </c>
      <c r="T671">
        <f t="shared" si="52"/>
        <v>1</v>
      </c>
      <c r="U671">
        <f t="shared" si="53"/>
        <v>1</v>
      </c>
      <c r="V671">
        <f t="shared" si="54"/>
        <v>0</v>
      </c>
    </row>
    <row r="672" spans="1:22" x14ac:dyDescent="0.25">
      <c r="A672">
        <v>669</v>
      </c>
      <c r="B672" t="s">
        <v>12</v>
      </c>
      <c r="C672" t="s">
        <v>250</v>
      </c>
      <c r="D672" s="4">
        <v>45449</v>
      </c>
      <c r="E672" t="s">
        <v>391</v>
      </c>
      <c r="F672" t="s">
        <v>75</v>
      </c>
      <c r="I672" s="6">
        <v>1</v>
      </c>
      <c r="J672" s="6">
        <v>0</v>
      </c>
      <c r="K672" s="6">
        <v>0</v>
      </c>
      <c r="L672" s="6">
        <v>0</v>
      </c>
      <c r="M672" s="6">
        <v>1</v>
      </c>
      <c r="N672" s="6">
        <v>0</v>
      </c>
      <c r="O672" s="6">
        <v>0</v>
      </c>
      <c r="P672" s="6">
        <v>0</v>
      </c>
      <c r="Q672">
        <v>1</v>
      </c>
      <c r="R672">
        <f t="shared" si="50"/>
        <v>0</v>
      </c>
      <c r="S672">
        <f t="shared" si="51"/>
        <v>1</v>
      </c>
      <c r="T672">
        <f t="shared" si="52"/>
        <v>2</v>
      </c>
      <c r="U672">
        <f t="shared" si="53"/>
        <v>1</v>
      </c>
      <c r="V672">
        <f t="shared" si="54"/>
        <v>0</v>
      </c>
    </row>
    <row r="673" spans="1:22" x14ac:dyDescent="0.25">
      <c r="A673">
        <v>670</v>
      </c>
      <c r="B673" t="s">
        <v>12</v>
      </c>
      <c r="C673" t="s">
        <v>250</v>
      </c>
      <c r="D673" s="4">
        <v>45450</v>
      </c>
      <c r="E673" t="s">
        <v>392</v>
      </c>
      <c r="F673" t="s">
        <v>75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>
        <v>1</v>
      </c>
      <c r="R673">
        <f t="shared" si="50"/>
        <v>0</v>
      </c>
      <c r="S673">
        <f t="shared" si="51"/>
        <v>1</v>
      </c>
      <c r="T673">
        <f t="shared" si="52"/>
        <v>0</v>
      </c>
      <c r="U673">
        <f t="shared" si="53"/>
        <v>0</v>
      </c>
      <c r="V673">
        <f t="shared" si="54"/>
        <v>0</v>
      </c>
    </row>
    <row r="674" spans="1:22" x14ac:dyDescent="0.25">
      <c r="A674">
        <v>671</v>
      </c>
      <c r="B674" t="s">
        <v>12</v>
      </c>
      <c r="C674" t="s">
        <v>250</v>
      </c>
      <c r="D674" s="4">
        <v>45450</v>
      </c>
      <c r="E674" t="s">
        <v>515</v>
      </c>
      <c r="F674" t="s">
        <v>75</v>
      </c>
      <c r="I674" s="6">
        <v>0</v>
      </c>
      <c r="J674" s="6">
        <v>0</v>
      </c>
      <c r="K674" s="6">
        <v>0</v>
      </c>
      <c r="L674" s="6">
        <v>1</v>
      </c>
      <c r="M674" s="6">
        <v>0</v>
      </c>
      <c r="N674" s="6">
        <v>0</v>
      </c>
      <c r="O674" s="6">
        <v>0</v>
      </c>
      <c r="P674" s="6">
        <v>0</v>
      </c>
      <c r="Q674">
        <v>1</v>
      </c>
      <c r="R674">
        <f t="shared" si="50"/>
        <v>0</v>
      </c>
      <c r="S674">
        <f t="shared" si="51"/>
        <v>1</v>
      </c>
      <c r="T674">
        <f t="shared" si="52"/>
        <v>1</v>
      </c>
      <c r="U674">
        <f t="shared" si="53"/>
        <v>1</v>
      </c>
      <c r="V674">
        <f t="shared" si="54"/>
        <v>0</v>
      </c>
    </row>
    <row r="675" spans="1:22" x14ac:dyDescent="0.25">
      <c r="A675">
        <v>672</v>
      </c>
      <c r="B675" t="s">
        <v>12</v>
      </c>
      <c r="C675" t="s">
        <v>250</v>
      </c>
      <c r="D675" s="4">
        <v>45450</v>
      </c>
      <c r="E675" t="s">
        <v>516</v>
      </c>
      <c r="F675" t="s">
        <v>75</v>
      </c>
      <c r="I675" s="6">
        <v>1</v>
      </c>
      <c r="J675" s="6">
        <v>0</v>
      </c>
      <c r="K675" s="6">
        <v>0</v>
      </c>
      <c r="L675" s="6">
        <v>1</v>
      </c>
      <c r="M675" s="6">
        <v>1</v>
      </c>
      <c r="N675" s="6">
        <v>0</v>
      </c>
      <c r="O675" s="6">
        <v>0</v>
      </c>
      <c r="P675" s="6">
        <v>0</v>
      </c>
      <c r="Q675">
        <v>1</v>
      </c>
      <c r="R675">
        <f t="shared" si="50"/>
        <v>0</v>
      </c>
      <c r="S675">
        <f t="shared" si="51"/>
        <v>1</v>
      </c>
      <c r="T675">
        <f t="shared" si="52"/>
        <v>3</v>
      </c>
      <c r="U675">
        <f t="shared" si="53"/>
        <v>1</v>
      </c>
      <c r="V675">
        <f t="shared" si="54"/>
        <v>0</v>
      </c>
    </row>
    <row r="676" spans="1:22" x14ac:dyDescent="0.25">
      <c r="A676">
        <v>673</v>
      </c>
      <c r="B676" t="s">
        <v>12</v>
      </c>
      <c r="C676" t="s">
        <v>250</v>
      </c>
      <c r="D676" s="4">
        <v>45451</v>
      </c>
      <c r="E676" t="s">
        <v>393</v>
      </c>
      <c r="F676" t="s">
        <v>75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>
        <v>1</v>
      </c>
      <c r="R676">
        <f t="shared" si="50"/>
        <v>0</v>
      </c>
      <c r="S676">
        <f t="shared" si="51"/>
        <v>1</v>
      </c>
      <c r="T676">
        <f t="shared" si="52"/>
        <v>0</v>
      </c>
      <c r="U676">
        <f t="shared" si="53"/>
        <v>0</v>
      </c>
      <c r="V676">
        <f t="shared" si="54"/>
        <v>0</v>
      </c>
    </row>
    <row r="677" spans="1:22" x14ac:dyDescent="0.25">
      <c r="A677">
        <v>674</v>
      </c>
      <c r="B677" t="s">
        <v>12</v>
      </c>
      <c r="C677" t="s">
        <v>250</v>
      </c>
      <c r="D677" s="4">
        <v>45451</v>
      </c>
      <c r="E677" t="s">
        <v>394</v>
      </c>
      <c r="F677" t="s">
        <v>75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>
        <v>1</v>
      </c>
      <c r="R677">
        <f t="shared" si="50"/>
        <v>0</v>
      </c>
      <c r="S677">
        <f t="shared" si="51"/>
        <v>1</v>
      </c>
      <c r="T677">
        <f t="shared" si="52"/>
        <v>0</v>
      </c>
      <c r="U677">
        <f t="shared" si="53"/>
        <v>0</v>
      </c>
      <c r="V677">
        <f t="shared" si="54"/>
        <v>0</v>
      </c>
    </row>
    <row r="678" spans="1:22" x14ac:dyDescent="0.25">
      <c r="A678">
        <v>675</v>
      </c>
      <c r="B678" t="s">
        <v>12</v>
      </c>
      <c r="C678" t="s">
        <v>250</v>
      </c>
      <c r="D678" s="4">
        <v>45451</v>
      </c>
      <c r="E678" t="s">
        <v>395</v>
      </c>
      <c r="F678" t="s">
        <v>75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>
        <v>1</v>
      </c>
      <c r="R678">
        <f t="shared" si="50"/>
        <v>0</v>
      </c>
      <c r="S678">
        <f t="shared" si="51"/>
        <v>1</v>
      </c>
      <c r="T678">
        <f t="shared" si="52"/>
        <v>0</v>
      </c>
      <c r="U678">
        <f t="shared" si="53"/>
        <v>0</v>
      </c>
      <c r="V678">
        <f t="shared" si="54"/>
        <v>0</v>
      </c>
    </row>
    <row r="679" spans="1:22" x14ac:dyDescent="0.25">
      <c r="A679">
        <v>676</v>
      </c>
      <c r="B679" t="s">
        <v>12</v>
      </c>
      <c r="C679" t="s">
        <v>250</v>
      </c>
      <c r="D679" s="4">
        <v>45451</v>
      </c>
      <c r="E679" t="s">
        <v>396</v>
      </c>
      <c r="F679" t="s">
        <v>75</v>
      </c>
      <c r="I679" s="6">
        <v>0</v>
      </c>
      <c r="J679" s="6">
        <v>0</v>
      </c>
      <c r="K679" s="6">
        <v>0</v>
      </c>
      <c r="L679" s="6">
        <v>1</v>
      </c>
      <c r="M679" s="6">
        <v>0</v>
      </c>
      <c r="N679" s="6">
        <v>0</v>
      </c>
      <c r="O679" s="6">
        <v>0</v>
      </c>
      <c r="P679" s="6">
        <v>0</v>
      </c>
      <c r="Q679">
        <v>1</v>
      </c>
      <c r="R679">
        <f t="shared" si="50"/>
        <v>0</v>
      </c>
      <c r="S679">
        <f t="shared" si="51"/>
        <v>1</v>
      </c>
      <c r="T679">
        <f t="shared" si="52"/>
        <v>1</v>
      </c>
      <c r="U679">
        <f t="shared" si="53"/>
        <v>1</v>
      </c>
      <c r="V679">
        <f t="shared" si="54"/>
        <v>0</v>
      </c>
    </row>
    <row r="680" spans="1:22" x14ac:dyDescent="0.25">
      <c r="A680">
        <v>677</v>
      </c>
      <c r="B680" t="s">
        <v>12</v>
      </c>
      <c r="C680" t="s">
        <v>250</v>
      </c>
      <c r="D680" s="4">
        <v>45451</v>
      </c>
      <c r="E680" t="s">
        <v>521</v>
      </c>
      <c r="F680" t="s">
        <v>75</v>
      </c>
      <c r="I680" s="6">
        <v>1</v>
      </c>
      <c r="J680" s="6">
        <v>0</v>
      </c>
      <c r="K680" s="6">
        <v>1</v>
      </c>
      <c r="L680" s="6">
        <v>1</v>
      </c>
      <c r="M680" s="6">
        <v>1</v>
      </c>
      <c r="N680" s="6">
        <v>0</v>
      </c>
      <c r="O680" s="6">
        <v>0</v>
      </c>
      <c r="P680" s="6">
        <v>0</v>
      </c>
      <c r="Q680">
        <v>1</v>
      </c>
      <c r="R680">
        <f t="shared" si="50"/>
        <v>0</v>
      </c>
      <c r="S680">
        <f t="shared" si="51"/>
        <v>1</v>
      </c>
      <c r="T680">
        <f t="shared" si="52"/>
        <v>4</v>
      </c>
      <c r="U680">
        <f t="shared" si="53"/>
        <v>1</v>
      </c>
      <c r="V680">
        <f t="shared" si="54"/>
        <v>0</v>
      </c>
    </row>
    <row r="681" spans="1:22" x14ac:dyDescent="0.25">
      <c r="A681">
        <v>678</v>
      </c>
      <c r="B681" t="s">
        <v>12</v>
      </c>
      <c r="C681" t="s">
        <v>250</v>
      </c>
      <c r="D681" s="4">
        <v>45451</v>
      </c>
      <c r="E681" t="s">
        <v>397</v>
      </c>
      <c r="F681" t="s">
        <v>75</v>
      </c>
      <c r="I681" s="6">
        <v>1</v>
      </c>
      <c r="J681" s="6">
        <v>0</v>
      </c>
      <c r="K681" s="6">
        <v>1</v>
      </c>
      <c r="L681" s="6">
        <v>0</v>
      </c>
      <c r="M681" s="6">
        <v>1</v>
      </c>
      <c r="N681" s="6">
        <v>0</v>
      </c>
      <c r="O681" s="6">
        <v>0</v>
      </c>
      <c r="P681" s="6">
        <v>0</v>
      </c>
      <c r="Q681">
        <v>1</v>
      </c>
      <c r="R681">
        <f t="shared" si="50"/>
        <v>0</v>
      </c>
      <c r="S681">
        <f t="shared" si="51"/>
        <v>1</v>
      </c>
      <c r="T681">
        <f t="shared" si="52"/>
        <v>3</v>
      </c>
      <c r="U681">
        <f t="shared" si="53"/>
        <v>1</v>
      </c>
      <c r="V681">
        <f t="shared" si="54"/>
        <v>0</v>
      </c>
    </row>
    <row r="682" spans="1:22" x14ac:dyDescent="0.25">
      <c r="A682">
        <v>679</v>
      </c>
      <c r="B682" t="s">
        <v>12</v>
      </c>
      <c r="C682" t="s">
        <v>250</v>
      </c>
      <c r="D682" s="4">
        <v>45452</v>
      </c>
      <c r="E682" t="s">
        <v>398</v>
      </c>
      <c r="F682" t="s">
        <v>75</v>
      </c>
      <c r="I682" s="6">
        <v>0</v>
      </c>
      <c r="J682" s="6">
        <v>0</v>
      </c>
      <c r="K682" s="6">
        <v>0</v>
      </c>
      <c r="L682" s="6">
        <v>1</v>
      </c>
      <c r="M682" s="6">
        <v>0</v>
      </c>
      <c r="N682" s="6">
        <v>0</v>
      </c>
      <c r="O682" s="6">
        <v>0</v>
      </c>
      <c r="P682" s="6">
        <v>0</v>
      </c>
      <c r="Q682">
        <v>1</v>
      </c>
      <c r="R682">
        <f t="shared" si="50"/>
        <v>0</v>
      </c>
      <c r="S682">
        <f t="shared" si="51"/>
        <v>1</v>
      </c>
      <c r="T682">
        <f t="shared" si="52"/>
        <v>1</v>
      </c>
      <c r="U682">
        <f t="shared" si="53"/>
        <v>1</v>
      </c>
      <c r="V682">
        <f t="shared" si="54"/>
        <v>0</v>
      </c>
    </row>
    <row r="683" spans="1:22" x14ac:dyDescent="0.25">
      <c r="A683">
        <v>680</v>
      </c>
      <c r="B683" t="s">
        <v>12</v>
      </c>
      <c r="C683" t="s">
        <v>250</v>
      </c>
      <c r="D683" s="4">
        <v>45452</v>
      </c>
      <c r="E683" t="s">
        <v>399</v>
      </c>
      <c r="F683" t="s">
        <v>75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>
        <v>1</v>
      </c>
      <c r="R683">
        <f t="shared" si="50"/>
        <v>0</v>
      </c>
      <c r="S683">
        <f t="shared" si="51"/>
        <v>1</v>
      </c>
      <c r="T683">
        <f t="shared" si="52"/>
        <v>0</v>
      </c>
      <c r="U683">
        <f t="shared" si="53"/>
        <v>0</v>
      </c>
      <c r="V683">
        <f t="shared" si="54"/>
        <v>0</v>
      </c>
    </row>
    <row r="684" spans="1:22" x14ac:dyDescent="0.25">
      <c r="A684">
        <v>681</v>
      </c>
      <c r="B684" t="s">
        <v>12</v>
      </c>
      <c r="C684" t="s">
        <v>250</v>
      </c>
      <c r="D684" s="4">
        <v>45452</v>
      </c>
      <c r="E684" t="s">
        <v>902</v>
      </c>
      <c r="F684" t="s">
        <v>75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>
        <v>1</v>
      </c>
      <c r="R684">
        <f t="shared" si="50"/>
        <v>0</v>
      </c>
      <c r="S684">
        <f t="shared" si="51"/>
        <v>1</v>
      </c>
      <c r="T684">
        <f t="shared" si="52"/>
        <v>0</v>
      </c>
      <c r="U684">
        <f t="shared" si="53"/>
        <v>0</v>
      </c>
      <c r="V684">
        <f t="shared" si="54"/>
        <v>0</v>
      </c>
    </row>
    <row r="685" spans="1:22" x14ac:dyDescent="0.25">
      <c r="A685">
        <v>682</v>
      </c>
      <c r="B685" t="s">
        <v>12</v>
      </c>
      <c r="C685" t="s">
        <v>250</v>
      </c>
      <c r="D685" s="4">
        <v>45452</v>
      </c>
      <c r="E685" t="s">
        <v>400</v>
      </c>
      <c r="F685" t="s">
        <v>75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>
        <v>1</v>
      </c>
      <c r="R685">
        <f t="shared" si="50"/>
        <v>0</v>
      </c>
      <c r="S685">
        <f t="shared" si="51"/>
        <v>1</v>
      </c>
      <c r="T685">
        <f t="shared" si="52"/>
        <v>0</v>
      </c>
      <c r="U685">
        <f t="shared" si="53"/>
        <v>0</v>
      </c>
      <c r="V685">
        <f t="shared" si="54"/>
        <v>0</v>
      </c>
    </row>
    <row r="686" spans="1:22" x14ac:dyDescent="0.25">
      <c r="A686">
        <v>683</v>
      </c>
      <c r="B686" t="s">
        <v>12</v>
      </c>
      <c r="C686" t="s">
        <v>250</v>
      </c>
      <c r="D686" s="4">
        <v>45452</v>
      </c>
      <c r="E686" t="s">
        <v>2084</v>
      </c>
      <c r="F686" t="s">
        <v>75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>
        <v>1</v>
      </c>
      <c r="R686">
        <f t="shared" si="50"/>
        <v>0</v>
      </c>
      <c r="S686">
        <f t="shared" si="51"/>
        <v>1</v>
      </c>
      <c r="T686">
        <f t="shared" si="52"/>
        <v>0</v>
      </c>
      <c r="U686">
        <f t="shared" si="53"/>
        <v>0</v>
      </c>
      <c r="V686">
        <f t="shared" si="54"/>
        <v>0</v>
      </c>
    </row>
    <row r="687" spans="1:22" x14ac:dyDescent="0.25">
      <c r="A687">
        <v>684</v>
      </c>
      <c r="B687" t="s">
        <v>12</v>
      </c>
      <c r="C687" t="s">
        <v>250</v>
      </c>
      <c r="D687" s="4">
        <v>45452</v>
      </c>
      <c r="E687" t="s">
        <v>401</v>
      </c>
      <c r="F687" t="s">
        <v>75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>
        <v>1</v>
      </c>
      <c r="R687">
        <f t="shared" si="50"/>
        <v>0</v>
      </c>
      <c r="S687">
        <f t="shared" si="51"/>
        <v>1</v>
      </c>
      <c r="T687">
        <f t="shared" si="52"/>
        <v>0</v>
      </c>
      <c r="U687">
        <f t="shared" si="53"/>
        <v>0</v>
      </c>
      <c r="V687">
        <f t="shared" si="54"/>
        <v>0</v>
      </c>
    </row>
    <row r="688" spans="1:22" x14ac:dyDescent="0.25">
      <c r="A688">
        <v>685</v>
      </c>
      <c r="B688" t="s">
        <v>12</v>
      </c>
      <c r="C688" t="s">
        <v>250</v>
      </c>
      <c r="D688" s="4">
        <v>45452</v>
      </c>
      <c r="E688" t="s">
        <v>402</v>
      </c>
      <c r="F688" t="s">
        <v>75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>
        <v>1</v>
      </c>
      <c r="R688">
        <f t="shared" si="50"/>
        <v>0</v>
      </c>
      <c r="S688">
        <f t="shared" si="51"/>
        <v>1</v>
      </c>
      <c r="T688">
        <f t="shared" si="52"/>
        <v>0</v>
      </c>
      <c r="U688">
        <f t="shared" si="53"/>
        <v>0</v>
      </c>
      <c r="V688">
        <f t="shared" si="54"/>
        <v>0</v>
      </c>
    </row>
    <row r="689" spans="1:22" x14ac:dyDescent="0.25">
      <c r="A689">
        <v>686</v>
      </c>
      <c r="B689" t="s">
        <v>10</v>
      </c>
      <c r="C689" t="s">
        <v>250</v>
      </c>
      <c r="D689" s="4">
        <v>45329</v>
      </c>
      <c r="E689" t="s">
        <v>403</v>
      </c>
      <c r="F689" t="s">
        <v>75</v>
      </c>
      <c r="I689" s="6">
        <v>1</v>
      </c>
      <c r="J689" s="6">
        <v>0</v>
      </c>
      <c r="K689" s="6">
        <v>0</v>
      </c>
      <c r="L689" s="6">
        <v>0</v>
      </c>
      <c r="M689" s="6">
        <v>1</v>
      </c>
      <c r="N689" s="6">
        <v>0</v>
      </c>
      <c r="O689" s="6">
        <v>0</v>
      </c>
      <c r="P689" s="6">
        <v>0</v>
      </c>
      <c r="Q689">
        <v>1</v>
      </c>
      <c r="R689">
        <f t="shared" si="50"/>
        <v>0</v>
      </c>
      <c r="S689">
        <f t="shared" si="51"/>
        <v>1</v>
      </c>
      <c r="T689">
        <f t="shared" si="52"/>
        <v>2</v>
      </c>
      <c r="U689">
        <f t="shared" si="53"/>
        <v>1</v>
      </c>
      <c r="V689">
        <f t="shared" si="54"/>
        <v>0</v>
      </c>
    </row>
    <row r="690" spans="1:22" x14ac:dyDescent="0.25">
      <c r="A690">
        <v>687</v>
      </c>
      <c r="B690" t="s">
        <v>10</v>
      </c>
      <c r="C690" t="s">
        <v>250</v>
      </c>
      <c r="D690" s="4">
        <v>45329</v>
      </c>
      <c r="E690" t="s">
        <v>404</v>
      </c>
      <c r="F690" t="s">
        <v>75</v>
      </c>
      <c r="I690" s="6">
        <v>0</v>
      </c>
      <c r="J690" s="6">
        <v>0</v>
      </c>
      <c r="K690" s="6">
        <v>0</v>
      </c>
      <c r="L690" s="6">
        <v>0</v>
      </c>
      <c r="M690" s="6">
        <v>1</v>
      </c>
      <c r="N690" s="6">
        <v>1</v>
      </c>
      <c r="O690" s="6">
        <v>0</v>
      </c>
      <c r="P690" s="6">
        <v>0</v>
      </c>
      <c r="Q690">
        <v>1</v>
      </c>
      <c r="R690">
        <f t="shared" si="50"/>
        <v>0</v>
      </c>
      <c r="S690">
        <f t="shared" si="51"/>
        <v>1</v>
      </c>
      <c r="T690">
        <f t="shared" si="52"/>
        <v>2</v>
      </c>
      <c r="U690">
        <f t="shared" si="53"/>
        <v>1</v>
      </c>
      <c r="V690">
        <f t="shared" si="54"/>
        <v>0</v>
      </c>
    </row>
    <row r="691" spans="1:22" x14ac:dyDescent="0.25">
      <c r="A691">
        <v>688</v>
      </c>
      <c r="B691" t="s">
        <v>10</v>
      </c>
      <c r="C691" t="s">
        <v>250</v>
      </c>
      <c r="D691" s="4">
        <v>45329</v>
      </c>
      <c r="E691" t="s">
        <v>405</v>
      </c>
      <c r="F691" t="s">
        <v>75</v>
      </c>
      <c r="I691" s="6">
        <v>1</v>
      </c>
      <c r="J691" s="6">
        <v>0</v>
      </c>
      <c r="K691" s="6">
        <v>1</v>
      </c>
      <c r="L691" s="6">
        <v>1</v>
      </c>
      <c r="M691" s="6">
        <v>1</v>
      </c>
      <c r="N691" s="6">
        <v>1</v>
      </c>
      <c r="O691" s="6">
        <v>1</v>
      </c>
      <c r="P691" s="6">
        <v>0</v>
      </c>
      <c r="Q691">
        <v>1</v>
      </c>
      <c r="R691">
        <f t="shared" si="50"/>
        <v>0</v>
      </c>
      <c r="S691">
        <f t="shared" si="51"/>
        <v>1</v>
      </c>
      <c r="T691">
        <f t="shared" si="52"/>
        <v>6</v>
      </c>
      <c r="U691">
        <f t="shared" si="53"/>
        <v>1</v>
      </c>
      <c r="V691">
        <f t="shared" si="54"/>
        <v>0</v>
      </c>
    </row>
    <row r="692" spans="1:22" x14ac:dyDescent="0.25">
      <c r="A692">
        <v>689</v>
      </c>
      <c r="B692" t="s">
        <v>10</v>
      </c>
      <c r="C692" t="s">
        <v>250</v>
      </c>
      <c r="D692" s="4">
        <v>45330</v>
      </c>
      <c r="E692" t="s">
        <v>836</v>
      </c>
      <c r="F692" t="s">
        <v>75</v>
      </c>
      <c r="I692" s="6">
        <v>1</v>
      </c>
      <c r="J692" s="6">
        <v>0</v>
      </c>
      <c r="K692" s="6">
        <v>0</v>
      </c>
      <c r="L692" s="6">
        <v>0</v>
      </c>
      <c r="M692" s="6">
        <v>1</v>
      </c>
      <c r="N692" s="6">
        <v>0</v>
      </c>
      <c r="O692" s="6">
        <v>0</v>
      </c>
      <c r="P692" s="6">
        <v>0</v>
      </c>
      <c r="Q692">
        <v>1</v>
      </c>
      <c r="R692">
        <f t="shared" si="50"/>
        <v>0</v>
      </c>
      <c r="S692">
        <f t="shared" si="51"/>
        <v>1</v>
      </c>
      <c r="T692">
        <f t="shared" si="52"/>
        <v>2</v>
      </c>
      <c r="U692">
        <f t="shared" si="53"/>
        <v>1</v>
      </c>
      <c r="V692">
        <f t="shared" si="54"/>
        <v>0</v>
      </c>
    </row>
    <row r="693" spans="1:22" x14ac:dyDescent="0.25">
      <c r="A693">
        <v>690</v>
      </c>
      <c r="B693" t="s">
        <v>10</v>
      </c>
      <c r="C693" t="s">
        <v>250</v>
      </c>
      <c r="D693" s="4">
        <v>45330</v>
      </c>
      <c r="E693" t="s">
        <v>406</v>
      </c>
      <c r="F693" t="s">
        <v>75</v>
      </c>
      <c r="I693" s="6">
        <v>0</v>
      </c>
      <c r="J693" s="6">
        <v>0</v>
      </c>
      <c r="K693" s="6">
        <v>0</v>
      </c>
      <c r="L693" s="6">
        <v>0</v>
      </c>
      <c r="M693" s="6">
        <v>1</v>
      </c>
      <c r="N693" s="6">
        <v>1</v>
      </c>
      <c r="O693" s="6">
        <v>0</v>
      </c>
      <c r="P693" s="6">
        <v>0</v>
      </c>
      <c r="Q693">
        <v>1</v>
      </c>
      <c r="R693">
        <f t="shared" si="50"/>
        <v>0</v>
      </c>
      <c r="S693">
        <f t="shared" si="51"/>
        <v>1</v>
      </c>
      <c r="T693">
        <f t="shared" si="52"/>
        <v>2</v>
      </c>
      <c r="U693">
        <f t="shared" si="53"/>
        <v>1</v>
      </c>
      <c r="V693">
        <f t="shared" si="54"/>
        <v>0</v>
      </c>
    </row>
    <row r="694" spans="1:22" x14ac:dyDescent="0.25">
      <c r="A694">
        <v>691</v>
      </c>
      <c r="B694" t="s">
        <v>10</v>
      </c>
      <c r="C694" t="s">
        <v>250</v>
      </c>
      <c r="D694" s="4">
        <v>45330</v>
      </c>
      <c r="E694" t="s">
        <v>407</v>
      </c>
      <c r="F694" t="s">
        <v>75</v>
      </c>
      <c r="I694" s="6">
        <v>1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>
        <v>1</v>
      </c>
      <c r="R694">
        <f t="shared" si="50"/>
        <v>0</v>
      </c>
      <c r="S694">
        <f t="shared" si="51"/>
        <v>1</v>
      </c>
      <c r="T694">
        <f t="shared" si="52"/>
        <v>1</v>
      </c>
      <c r="U694">
        <f t="shared" si="53"/>
        <v>1</v>
      </c>
      <c r="V694">
        <f t="shared" si="54"/>
        <v>0</v>
      </c>
    </row>
    <row r="695" spans="1:22" x14ac:dyDescent="0.25">
      <c r="A695">
        <v>692</v>
      </c>
      <c r="B695" t="s">
        <v>10</v>
      </c>
      <c r="C695" t="s">
        <v>250</v>
      </c>
      <c r="D695" s="4">
        <v>45331</v>
      </c>
      <c r="E695" t="s">
        <v>408</v>
      </c>
      <c r="F695" t="s">
        <v>75</v>
      </c>
      <c r="I695" s="6">
        <v>1</v>
      </c>
      <c r="J695" s="6">
        <v>0</v>
      </c>
      <c r="K695" s="6">
        <v>0</v>
      </c>
      <c r="L695" s="6">
        <v>1</v>
      </c>
      <c r="M695" s="6">
        <v>0</v>
      </c>
      <c r="N695" s="6">
        <v>0</v>
      </c>
      <c r="O695" s="6">
        <v>0</v>
      </c>
      <c r="P695" s="6">
        <v>0</v>
      </c>
      <c r="Q695">
        <v>1</v>
      </c>
      <c r="R695">
        <f t="shared" si="50"/>
        <v>0</v>
      </c>
      <c r="S695">
        <f t="shared" si="51"/>
        <v>1</v>
      </c>
      <c r="T695">
        <f t="shared" si="52"/>
        <v>2</v>
      </c>
      <c r="U695">
        <f t="shared" si="53"/>
        <v>1</v>
      </c>
      <c r="V695">
        <f t="shared" si="54"/>
        <v>0</v>
      </c>
    </row>
    <row r="696" spans="1:22" x14ac:dyDescent="0.25">
      <c r="A696">
        <v>693</v>
      </c>
      <c r="B696" t="s">
        <v>10</v>
      </c>
      <c r="C696" t="s">
        <v>250</v>
      </c>
      <c r="D696" s="4">
        <v>45332</v>
      </c>
      <c r="E696" t="s">
        <v>409</v>
      </c>
      <c r="F696" t="s">
        <v>75</v>
      </c>
      <c r="I696" s="6">
        <v>1</v>
      </c>
      <c r="J696" s="6">
        <v>0</v>
      </c>
      <c r="K696" s="6">
        <v>1</v>
      </c>
      <c r="L696" s="6">
        <v>1</v>
      </c>
      <c r="M696" s="6">
        <v>0</v>
      </c>
      <c r="N696" s="6">
        <v>0</v>
      </c>
      <c r="O696" s="6">
        <v>0</v>
      </c>
      <c r="P696" s="6">
        <v>0</v>
      </c>
      <c r="Q696">
        <v>1</v>
      </c>
      <c r="R696">
        <f t="shared" si="50"/>
        <v>0</v>
      </c>
      <c r="S696">
        <f t="shared" si="51"/>
        <v>1</v>
      </c>
      <c r="T696">
        <f t="shared" si="52"/>
        <v>3</v>
      </c>
      <c r="U696">
        <f t="shared" si="53"/>
        <v>1</v>
      </c>
      <c r="V696">
        <f t="shared" si="54"/>
        <v>0</v>
      </c>
    </row>
    <row r="697" spans="1:22" x14ac:dyDescent="0.25">
      <c r="A697">
        <v>694</v>
      </c>
      <c r="B697" t="s">
        <v>10</v>
      </c>
      <c r="C697" t="s">
        <v>250</v>
      </c>
      <c r="D697" s="4">
        <v>45333</v>
      </c>
      <c r="E697" t="s">
        <v>410</v>
      </c>
      <c r="F697" t="s">
        <v>75</v>
      </c>
      <c r="I697" s="6">
        <v>0</v>
      </c>
      <c r="J697" s="6">
        <v>0</v>
      </c>
      <c r="K697" s="6">
        <v>0</v>
      </c>
      <c r="L697" s="6">
        <v>0</v>
      </c>
      <c r="M697" s="6">
        <v>1</v>
      </c>
      <c r="N697" s="6">
        <v>0</v>
      </c>
      <c r="O697" s="6">
        <v>0</v>
      </c>
      <c r="P697" s="6">
        <v>0</v>
      </c>
      <c r="Q697">
        <v>1</v>
      </c>
      <c r="R697">
        <f t="shared" si="50"/>
        <v>0</v>
      </c>
      <c r="S697">
        <f t="shared" si="51"/>
        <v>1</v>
      </c>
      <c r="T697">
        <f t="shared" si="52"/>
        <v>1</v>
      </c>
      <c r="U697">
        <f t="shared" si="53"/>
        <v>1</v>
      </c>
      <c r="V697">
        <f t="shared" si="54"/>
        <v>0</v>
      </c>
    </row>
    <row r="698" spans="1:22" x14ac:dyDescent="0.25">
      <c r="A698">
        <v>695</v>
      </c>
      <c r="B698" t="s">
        <v>10</v>
      </c>
      <c r="C698" t="s">
        <v>250</v>
      </c>
      <c r="D698" s="4">
        <v>45335</v>
      </c>
      <c r="E698" t="s">
        <v>411</v>
      </c>
      <c r="F698" t="s">
        <v>75</v>
      </c>
      <c r="I698" s="6">
        <v>1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>
        <v>1</v>
      </c>
      <c r="R698">
        <f t="shared" si="50"/>
        <v>0</v>
      </c>
      <c r="S698">
        <f t="shared" si="51"/>
        <v>1</v>
      </c>
      <c r="T698">
        <f t="shared" si="52"/>
        <v>1</v>
      </c>
      <c r="U698">
        <f t="shared" si="53"/>
        <v>1</v>
      </c>
      <c r="V698">
        <f t="shared" si="54"/>
        <v>0</v>
      </c>
    </row>
    <row r="699" spans="1:22" x14ac:dyDescent="0.25">
      <c r="A699">
        <v>696</v>
      </c>
      <c r="B699" t="s">
        <v>10</v>
      </c>
      <c r="C699" t="s">
        <v>250</v>
      </c>
      <c r="D699" s="4">
        <v>45335</v>
      </c>
      <c r="E699" t="s">
        <v>412</v>
      </c>
      <c r="F699" t="s">
        <v>413</v>
      </c>
      <c r="G699">
        <v>1</v>
      </c>
      <c r="I699" s="6">
        <v>0</v>
      </c>
      <c r="J699" s="6">
        <v>0</v>
      </c>
      <c r="K699" s="6">
        <v>0</v>
      </c>
      <c r="L699" s="6">
        <v>1</v>
      </c>
      <c r="M699" s="6">
        <v>1</v>
      </c>
      <c r="N699" s="6">
        <v>1</v>
      </c>
      <c r="O699" s="6">
        <v>0</v>
      </c>
      <c r="P699" s="6">
        <v>0</v>
      </c>
      <c r="Q699">
        <v>1</v>
      </c>
      <c r="R699">
        <f t="shared" si="50"/>
        <v>1</v>
      </c>
      <c r="S699">
        <f t="shared" si="51"/>
        <v>0</v>
      </c>
      <c r="T699">
        <f t="shared" si="52"/>
        <v>3</v>
      </c>
      <c r="U699">
        <f t="shared" si="53"/>
        <v>1</v>
      </c>
      <c r="V699">
        <f t="shared" si="54"/>
        <v>1</v>
      </c>
    </row>
    <row r="700" spans="1:22" x14ac:dyDescent="0.25">
      <c r="A700">
        <v>697</v>
      </c>
      <c r="B700" t="s">
        <v>10</v>
      </c>
      <c r="C700" t="s">
        <v>250</v>
      </c>
      <c r="D700" s="4">
        <v>45335</v>
      </c>
      <c r="E700" t="s">
        <v>414</v>
      </c>
      <c r="F700" t="s">
        <v>75</v>
      </c>
      <c r="I700" s="6">
        <v>0</v>
      </c>
      <c r="J700" s="6">
        <v>0</v>
      </c>
      <c r="K700" s="6">
        <v>1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>
        <v>1</v>
      </c>
      <c r="R700">
        <f t="shared" si="50"/>
        <v>0</v>
      </c>
      <c r="S700">
        <f t="shared" si="51"/>
        <v>1</v>
      </c>
      <c r="T700">
        <f t="shared" si="52"/>
        <v>1</v>
      </c>
      <c r="U700">
        <f t="shared" si="53"/>
        <v>1</v>
      </c>
      <c r="V700">
        <f t="shared" si="54"/>
        <v>0</v>
      </c>
    </row>
    <row r="701" spans="1:22" x14ac:dyDescent="0.25">
      <c r="A701">
        <v>698</v>
      </c>
      <c r="B701" t="s">
        <v>10</v>
      </c>
      <c r="C701" t="s">
        <v>250</v>
      </c>
      <c r="D701" s="4">
        <v>45336</v>
      </c>
      <c r="E701" t="s">
        <v>415</v>
      </c>
      <c r="F701" t="s">
        <v>75</v>
      </c>
      <c r="I701" s="6">
        <v>1</v>
      </c>
      <c r="J701" s="6">
        <v>0</v>
      </c>
      <c r="K701" s="6">
        <v>0</v>
      </c>
      <c r="L701" s="6">
        <v>0</v>
      </c>
      <c r="M701" s="6">
        <v>1</v>
      </c>
      <c r="N701" s="6">
        <v>0</v>
      </c>
      <c r="O701" s="6">
        <v>0</v>
      </c>
      <c r="P701" s="6">
        <v>0</v>
      </c>
      <c r="Q701">
        <v>1</v>
      </c>
      <c r="R701">
        <f t="shared" si="50"/>
        <v>0</v>
      </c>
      <c r="S701">
        <f t="shared" si="51"/>
        <v>1</v>
      </c>
      <c r="T701">
        <f t="shared" si="52"/>
        <v>2</v>
      </c>
      <c r="U701">
        <f t="shared" si="53"/>
        <v>1</v>
      </c>
      <c r="V701">
        <f t="shared" si="54"/>
        <v>0</v>
      </c>
    </row>
    <row r="702" spans="1:22" x14ac:dyDescent="0.25">
      <c r="A702">
        <v>699</v>
      </c>
      <c r="B702" t="s">
        <v>10</v>
      </c>
      <c r="C702" t="s">
        <v>250</v>
      </c>
      <c r="D702" s="4">
        <v>45336</v>
      </c>
      <c r="E702" t="s">
        <v>416</v>
      </c>
      <c r="F702" t="s">
        <v>75</v>
      </c>
      <c r="I702" s="6">
        <v>0</v>
      </c>
      <c r="J702" s="6">
        <v>0</v>
      </c>
      <c r="K702" s="6">
        <v>1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>
        <v>1</v>
      </c>
      <c r="R702">
        <f t="shared" si="50"/>
        <v>0</v>
      </c>
      <c r="S702">
        <f t="shared" si="51"/>
        <v>1</v>
      </c>
      <c r="T702">
        <f t="shared" si="52"/>
        <v>1</v>
      </c>
      <c r="U702">
        <f t="shared" si="53"/>
        <v>1</v>
      </c>
      <c r="V702">
        <f t="shared" si="54"/>
        <v>0</v>
      </c>
    </row>
    <row r="703" spans="1:22" x14ac:dyDescent="0.25">
      <c r="A703">
        <v>700</v>
      </c>
      <c r="B703" t="s">
        <v>10</v>
      </c>
      <c r="C703" t="s">
        <v>250</v>
      </c>
      <c r="D703" s="4">
        <v>45338</v>
      </c>
      <c r="E703" t="s">
        <v>417</v>
      </c>
      <c r="F703" t="s">
        <v>75</v>
      </c>
      <c r="I703" s="6">
        <v>0</v>
      </c>
      <c r="J703" s="6">
        <v>0</v>
      </c>
      <c r="K703" s="6">
        <v>1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>
        <v>1</v>
      </c>
      <c r="R703">
        <f t="shared" si="50"/>
        <v>0</v>
      </c>
      <c r="S703">
        <f t="shared" si="51"/>
        <v>1</v>
      </c>
      <c r="T703">
        <f t="shared" si="52"/>
        <v>1</v>
      </c>
      <c r="U703">
        <f t="shared" si="53"/>
        <v>1</v>
      </c>
      <c r="V703">
        <f t="shared" si="54"/>
        <v>0</v>
      </c>
    </row>
    <row r="704" spans="1:22" x14ac:dyDescent="0.25">
      <c r="A704">
        <v>701</v>
      </c>
      <c r="B704" t="s">
        <v>10</v>
      </c>
      <c r="C704" t="s">
        <v>250</v>
      </c>
      <c r="D704" s="4">
        <v>45339</v>
      </c>
      <c r="E704" t="s">
        <v>908</v>
      </c>
      <c r="F704" t="s">
        <v>75</v>
      </c>
      <c r="I704" s="6">
        <v>1</v>
      </c>
      <c r="J704" s="6">
        <v>0</v>
      </c>
      <c r="K704" s="6">
        <v>1</v>
      </c>
      <c r="L704" s="6">
        <v>1</v>
      </c>
      <c r="M704" s="6">
        <v>0</v>
      </c>
      <c r="N704" s="6">
        <v>0</v>
      </c>
      <c r="O704" s="6">
        <v>0</v>
      </c>
      <c r="P704" s="6">
        <v>0</v>
      </c>
      <c r="Q704">
        <v>1</v>
      </c>
      <c r="R704">
        <f t="shared" si="50"/>
        <v>0</v>
      </c>
      <c r="S704">
        <f t="shared" si="51"/>
        <v>1</v>
      </c>
      <c r="T704">
        <f t="shared" si="52"/>
        <v>3</v>
      </c>
      <c r="U704">
        <f t="shared" si="53"/>
        <v>1</v>
      </c>
      <c r="V704">
        <f t="shared" si="54"/>
        <v>0</v>
      </c>
    </row>
    <row r="705" spans="1:22" x14ac:dyDescent="0.25">
      <c r="A705">
        <v>702</v>
      </c>
      <c r="B705" t="s">
        <v>10</v>
      </c>
      <c r="C705" t="s">
        <v>250</v>
      </c>
      <c r="D705" s="4">
        <v>45342</v>
      </c>
      <c r="E705" t="s">
        <v>418</v>
      </c>
      <c r="F705" t="s">
        <v>75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>
        <v>1</v>
      </c>
      <c r="R705">
        <f t="shared" si="50"/>
        <v>0</v>
      </c>
      <c r="S705">
        <f t="shared" si="51"/>
        <v>1</v>
      </c>
      <c r="T705">
        <f t="shared" si="52"/>
        <v>0</v>
      </c>
      <c r="U705">
        <f t="shared" si="53"/>
        <v>0</v>
      </c>
      <c r="V705">
        <f t="shared" si="54"/>
        <v>0</v>
      </c>
    </row>
    <row r="706" spans="1:22" x14ac:dyDescent="0.25">
      <c r="A706">
        <v>703</v>
      </c>
      <c r="B706" t="s">
        <v>10</v>
      </c>
      <c r="C706" t="s">
        <v>250</v>
      </c>
      <c r="D706" s="4">
        <v>45344</v>
      </c>
      <c r="E706" t="s">
        <v>419</v>
      </c>
      <c r="F706" t="s">
        <v>413</v>
      </c>
      <c r="G706">
        <v>2</v>
      </c>
      <c r="I706" s="6">
        <v>0</v>
      </c>
      <c r="J706" s="6">
        <v>0</v>
      </c>
      <c r="K706" s="6">
        <v>1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>
        <v>1</v>
      </c>
      <c r="R706">
        <f t="shared" si="50"/>
        <v>1</v>
      </c>
      <c r="S706">
        <f t="shared" si="51"/>
        <v>0</v>
      </c>
      <c r="T706">
        <f t="shared" si="52"/>
        <v>1</v>
      </c>
      <c r="U706">
        <f t="shared" si="53"/>
        <v>1</v>
      </c>
      <c r="V706">
        <f t="shared" si="54"/>
        <v>1</v>
      </c>
    </row>
    <row r="707" spans="1:22" x14ac:dyDescent="0.25">
      <c r="A707">
        <v>704</v>
      </c>
      <c r="B707" t="s">
        <v>10</v>
      </c>
      <c r="C707" t="s">
        <v>250</v>
      </c>
      <c r="D707" s="4">
        <v>45350</v>
      </c>
      <c r="E707" t="s">
        <v>254</v>
      </c>
      <c r="F707" t="s">
        <v>75</v>
      </c>
      <c r="I707" s="6">
        <v>1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>
        <v>1</v>
      </c>
      <c r="R707">
        <f t="shared" ref="R707:R770" si="55">IF(AND(Q707=1,F707="ai_full"),1,0)</f>
        <v>0</v>
      </c>
      <c r="S707">
        <f t="shared" ref="S707:S770" si="56">IF(AND(Q707=1,F707="conventional"),1,0)</f>
        <v>1</v>
      </c>
      <c r="T707">
        <f t="shared" ref="T707:T770" si="57">SUM(I707:P707)</f>
        <v>1</v>
      </c>
      <c r="U707">
        <f t="shared" ref="U707:U770" si="58">IF(T707&gt;=1,1,0)</f>
        <v>1</v>
      </c>
      <c r="V707">
        <f t="shared" ref="V707:V770" si="59">IF(F707="ai_full",1,0)</f>
        <v>0</v>
      </c>
    </row>
    <row r="708" spans="1:22" x14ac:dyDescent="0.25">
      <c r="A708">
        <v>705</v>
      </c>
      <c r="B708" t="s">
        <v>10</v>
      </c>
      <c r="C708" t="s">
        <v>250</v>
      </c>
      <c r="D708" s="4">
        <v>45352</v>
      </c>
      <c r="E708" t="s">
        <v>420</v>
      </c>
      <c r="F708" t="s">
        <v>75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>
        <v>1</v>
      </c>
      <c r="R708">
        <f t="shared" si="55"/>
        <v>0</v>
      </c>
      <c r="S708">
        <f t="shared" si="56"/>
        <v>1</v>
      </c>
      <c r="T708">
        <f t="shared" si="57"/>
        <v>0</v>
      </c>
      <c r="U708">
        <f t="shared" si="58"/>
        <v>0</v>
      </c>
      <c r="V708">
        <f t="shared" si="59"/>
        <v>0</v>
      </c>
    </row>
    <row r="709" spans="1:22" x14ac:dyDescent="0.25">
      <c r="A709">
        <v>706</v>
      </c>
      <c r="B709" t="s">
        <v>10</v>
      </c>
      <c r="C709" t="s">
        <v>250</v>
      </c>
      <c r="D709" s="4">
        <v>45353</v>
      </c>
      <c r="E709" t="s">
        <v>255</v>
      </c>
      <c r="F709" t="s">
        <v>75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>
        <v>1</v>
      </c>
      <c r="R709">
        <f t="shared" si="55"/>
        <v>0</v>
      </c>
      <c r="S709">
        <f t="shared" si="56"/>
        <v>1</v>
      </c>
      <c r="T709">
        <f t="shared" si="57"/>
        <v>0</v>
      </c>
      <c r="U709">
        <f t="shared" si="58"/>
        <v>0</v>
      </c>
      <c r="V709">
        <f t="shared" si="59"/>
        <v>0</v>
      </c>
    </row>
    <row r="710" spans="1:22" x14ac:dyDescent="0.25">
      <c r="A710">
        <v>707</v>
      </c>
      <c r="B710" t="s">
        <v>10</v>
      </c>
      <c r="C710" t="s">
        <v>250</v>
      </c>
      <c r="D710" s="4">
        <v>45353</v>
      </c>
      <c r="E710" t="s">
        <v>256</v>
      </c>
      <c r="F710" t="s">
        <v>75</v>
      </c>
      <c r="I710" s="6">
        <v>1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>
        <v>1</v>
      </c>
      <c r="R710">
        <f t="shared" si="55"/>
        <v>0</v>
      </c>
      <c r="S710">
        <f t="shared" si="56"/>
        <v>1</v>
      </c>
      <c r="T710">
        <f t="shared" si="57"/>
        <v>1</v>
      </c>
      <c r="U710">
        <f t="shared" si="58"/>
        <v>1</v>
      </c>
      <c r="V710">
        <f t="shared" si="59"/>
        <v>0</v>
      </c>
    </row>
    <row r="711" spans="1:22" x14ac:dyDescent="0.25">
      <c r="A711">
        <v>708</v>
      </c>
      <c r="B711" t="s">
        <v>10</v>
      </c>
      <c r="C711" t="s">
        <v>250</v>
      </c>
      <c r="D711" s="4">
        <v>45354</v>
      </c>
      <c r="E711" t="s">
        <v>421</v>
      </c>
      <c r="F711" t="s">
        <v>75</v>
      </c>
      <c r="I711" s="6">
        <v>0</v>
      </c>
      <c r="J711" s="6">
        <v>0</v>
      </c>
      <c r="K711" s="6">
        <v>0</v>
      </c>
      <c r="L711" s="6">
        <v>1</v>
      </c>
      <c r="M711" s="6">
        <v>0</v>
      </c>
      <c r="N711" s="6">
        <v>0</v>
      </c>
      <c r="O711" s="6">
        <v>0</v>
      </c>
      <c r="P711" s="6">
        <v>0</v>
      </c>
      <c r="Q711">
        <v>1</v>
      </c>
      <c r="R711">
        <f t="shared" si="55"/>
        <v>0</v>
      </c>
      <c r="S711">
        <f t="shared" si="56"/>
        <v>1</v>
      </c>
      <c r="T711">
        <f t="shared" si="57"/>
        <v>1</v>
      </c>
      <c r="U711">
        <f t="shared" si="58"/>
        <v>1</v>
      </c>
      <c r="V711">
        <f t="shared" si="59"/>
        <v>0</v>
      </c>
    </row>
    <row r="712" spans="1:22" x14ac:dyDescent="0.25">
      <c r="A712">
        <v>709</v>
      </c>
      <c r="B712" t="s">
        <v>10</v>
      </c>
      <c r="C712" t="s">
        <v>250</v>
      </c>
      <c r="D712" s="4">
        <v>45357</v>
      </c>
      <c r="E712" t="s">
        <v>260</v>
      </c>
      <c r="F712" t="s">
        <v>75</v>
      </c>
      <c r="I712" s="6">
        <v>1</v>
      </c>
      <c r="J712" s="6">
        <v>0</v>
      </c>
      <c r="K712" s="6">
        <v>0</v>
      </c>
      <c r="L712" s="6">
        <v>0</v>
      </c>
      <c r="M712" s="6">
        <v>1</v>
      </c>
      <c r="N712" s="6">
        <v>0</v>
      </c>
      <c r="O712" s="6">
        <v>0</v>
      </c>
      <c r="P712" s="6">
        <v>0</v>
      </c>
      <c r="Q712">
        <v>1</v>
      </c>
      <c r="R712">
        <f t="shared" si="55"/>
        <v>0</v>
      </c>
      <c r="S712">
        <f t="shared" si="56"/>
        <v>1</v>
      </c>
      <c r="T712">
        <f t="shared" si="57"/>
        <v>2</v>
      </c>
      <c r="U712">
        <f t="shared" si="58"/>
        <v>1</v>
      </c>
      <c r="V712">
        <f t="shared" si="59"/>
        <v>0</v>
      </c>
    </row>
    <row r="713" spans="1:22" x14ac:dyDescent="0.25">
      <c r="A713">
        <v>710</v>
      </c>
      <c r="B713" t="s">
        <v>10</v>
      </c>
      <c r="C713" t="s">
        <v>250</v>
      </c>
      <c r="D713" s="4">
        <v>45357</v>
      </c>
      <c r="E713" t="s">
        <v>422</v>
      </c>
      <c r="F713" t="s">
        <v>75</v>
      </c>
      <c r="I713" s="6">
        <v>0</v>
      </c>
      <c r="J713" s="6">
        <v>0</v>
      </c>
      <c r="K713" s="6">
        <v>0</v>
      </c>
      <c r="L713" s="6">
        <v>1</v>
      </c>
      <c r="M713" s="6">
        <v>0</v>
      </c>
      <c r="N713" s="6">
        <v>0</v>
      </c>
      <c r="O713" s="6">
        <v>0</v>
      </c>
      <c r="P713" s="6">
        <v>0</v>
      </c>
      <c r="Q713">
        <v>1</v>
      </c>
      <c r="R713">
        <f t="shared" si="55"/>
        <v>0</v>
      </c>
      <c r="S713">
        <f t="shared" si="56"/>
        <v>1</v>
      </c>
      <c r="T713">
        <f t="shared" si="57"/>
        <v>1</v>
      </c>
      <c r="U713">
        <f t="shared" si="58"/>
        <v>1</v>
      </c>
      <c r="V713">
        <f t="shared" si="59"/>
        <v>0</v>
      </c>
    </row>
    <row r="714" spans="1:22" x14ac:dyDescent="0.25">
      <c r="A714">
        <v>711</v>
      </c>
      <c r="B714" t="s">
        <v>10</v>
      </c>
      <c r="C714" t="s">
        <v>250</v>
      </c>
      <c r="D714" s="4">
        <v>45359</v>
      </c>
      <c r="E714" t="s">
        <v>423</v>
      </c>
      <c r="F714" t="s">
        <v>75</v>
      </c>
      <c r="I714" s="6">
        <v>0</v>
      </c>
      <c r="J714" s="6">
        <v>0</v>
      </c>
      <c r="K714" s="6">
        <v>1</v>
      </c>
      <c r="L714" s="6">
        <v>0</v>
      </c>
      <c r="M714" s="6">
        <v>0</v>
      </c>
      <c r="N714" s="6">
        <v>0</v>
      </c>
      <c r="O714" s="6">
        <v>1</v>
      </c>
      <c r="P714" s="6">
        <v>0</v>
      </c>
      <c r="Q714">
        <v>1</v>
      </c>
      <c r="R714">
        <f t="shared" si="55"/>
        <v>0</v>
      </c>
      <c r="S714">
        <f t="shared" si="56"/>
        <v>1</v>
      </c>
      <c r="T714">
        <f t="shared" si="57"/>
        <v>2</v>
      </c>
      <c r="U714">
        <f t="shared" si="58"/>
        <v>1</v>
      </c>
      <c r="V714">
        <f t="shared" si="59"/>
        <v>0</v>
      </c>
    </row>
    <row r="715" spans="1:22" x14ac:dyDescent="0.25">
      <c r="A715">
        <v>712</v>
      </c>
      <c r="B715" t="s">
        <v>10</v>
      </c>
      <c r="C715" t="s">
        <v>250</v>
      </c>
      <c r="D715" s="4">
        <v>45360</v>
      </c>
      <c r="E715" t="s">
        <v>424</v>
      </c>
      <c r="F715" t="s">
        <v>75</v>
      </c>
      <c r="I715" s="6">
        <v>1</v>
      </c>
      <c r="J715" s="6">
        <v>0</v>
      </c>
      <c r="K715" s="6">
        <v>0</v>
      </c>
      <c r="L715" s="6">
        <v>0</v>
      </c>
      <c r="M715" s="6">
        <v>1</v>
      </c>
      <c r="N715" s="6">
        <v>1</v>
      </c>
      <c r="O715" s="6">
        <v>0</v>
      </c>
      <c r="P715" s="6">
        <v>0</v>
      </c>
      <c r="Q715">
        <v>1</v>
      </c>
      <c r="R715">
        <f t="shared" si="55"/>
        <v>0</v>
      </c>
      <c r="S715">
        <f t="shared" si="56"/>
        <v>1</v>
      </c>
      <c r="T715">
        <f t="shared" si="57"/>
        <v>3</v>
      </c>
      <c r="U715">
        <f t="shared" si="58"/>
        <v>1</v>
      </c>
      <c r="V715">
        <f t="shared" si="59"/>
        <v>0</v>
      </c>
    </row>
    <row r="716" spans="1:22" x14ac:dyDescent="0.25">
      <c r="A716">
        <v>713</v>
      </c>
      <c r="B716" t="s">
        <v>10</v>
      </c>
      <c r="C716" t="s">
        <v>250</v>
      </c>
      <c r="D716" s="4">
        <v>45363</v>
      </c>
      <c r="E716" t="s">
        <v>267</v>
      </c>
      <c r="F716" t="s">
        <v>75</v>
      </c>
      <c r="I716" s="6">
        <v>1</v>
      </c>
      <c r="J716" s="6">
        <v>0</v>
      </c>
      <c r="K716" s="6">
        <v>0</v>
      </c>
      <c r="L716" s="6">
        <v>0</v>
      </c>
      <c r="M716" s="6">
        <v>1</v>
      </c>
      <c r="N716" s="6">
        <v>0</v>
      </c>
      <c r="O716" s="6">
        <v>0</v>
      </c>
      <c r="P716" s="6">
        <v>0</v>
      </c>
      <c r="Q716">
        <v>1</v>
      </c>
      <c r="R716">
        <f t="shared" si="55"/>
        <v>0</v>
      </c>
      <c r="S716">
        <f t="shared" si="56"/>
        <v>1</v>
      </c>
      <c r="T716">
        <f t="shared" si="57"/>
        <v>2</v>
      </c>
      <c r="U716">
        <f t="shared" si="58"/>
        <v>1</v>
      </c>
      <c r="V716">
        <f t="shared" si="59"/>
        <v>0</v>
      </c>
    </row>
    <row r="717" spans="1:22" x14ac:dyDescent="0.25">
      <c r="A717">
        <v>714</v>
      </c>
      <c r="B717" t="s">
        <v>10</v>
      </c>
      <c r="C717" t="s">
        <v>250</v>
      </c>
      <c r="D717" s="4">
        <v>45364</v>
      </c>
      <c r="E717" t="s">
        <v>1756</v>
      </c>
      <c r="F717" t="s">
        <v>75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>
        <v>1</v>
      </c>
      <c r="R717">
        <f t="shared" si="55"/>
        <v>0</v>
      </c>
      <c r="S717">
        <f t="shared" si="56"/>
        <v>1</v>
      </c>
      <c r="T717">
        <f t="shared" si="57"/>
        <v>0</v>
      </c>
      <c r="U717">
        <f t="shared" si="58"/>
        <v>0</v>
      </c>
      <c r="V717">
        <f t="shared" si="59"/>
        <v>0</v>
      </c>
    </row>
    <row r="718" spans="1:22" x14ac:dyDescent="0.25">
      <c r="A718">
        <v>715</v>
      </c>
      <c r="B718" t="s">
        <v>10</v>
      </c>
      <c r="C718" t="s">
        <v>250</v>
      </c>
      <c r="D718" s="4">
        <v>45367</v>
      </c>
      <c r="E718" t="s">
        <v>425</v>
      </c>
      <c r="F718" t="s">
        <v>75</v>
      </c>
      <c r="I718" s="6">
        <v>0</v>
      </c>
      <c r="J718" s="6">
        <v>0</v>
      </c>
      <c r="K718" s="6">
        <v>0</v>
      </c>
      <c r="L718" s="6">
        <v>1</v>
      </c>
      <c r="M718" s="6">
        <v>0</v>
      </c>
      <c r="N718" s="6">
        <v>0</v>
      </c>
      <c r="O718" s="6">
        <v>0</v>
      </c>
      <c r="P718" s="6">
        <v>0</v>
      </c>
      <c r="Q718">
        <v>1</v>
      </c>
      <c r="R718">
        <f t="shared" si="55"/>
        <v>0</v>
      </c>
      <c r="S718">
        <f t="shared" si="56"/>
        <v>1</v>
      </c>
      <c r="T718">
        <f t="shared" si="57"/>
        <v>1</v>
      </c>
      <c r="U718">
        <f t="shared" si="58"/>
        <v>1</v>
      </c>
      <c r="V718">
        <f t="shared" si="59"/>
        <v>0</v>
      </c>
    </row>
    <row r="719" spans="1:22" x14ac:dyDescent="0.25">
      <c r="A719">
        <v>716</v>
      </c>
      <c r="B719" t="s">
        <v>10</v>
      </c>
      <c r="C719" t="s">
        <v>250</v>
      </c>
      <c r="D719" s="4">
        <v>45367</v>
      </c>
      <c r="E719" t="s">
        <v>426</v>
      </c>
      <c r="F719" t="s">
        <v>75</v>
      </c>
      <c r="I719" s="6">
        <v>1</v>
      </c>
      <c r="J719" s="6">
        <v>0</v>
      </c>
      <c r="K719" s="6">
        <v>0</v>
      </c>
      <c r="L719" s="6">
        <v>0</v>
      </c>
      <c r="M719" s="6">
        <v>1</v>
      </c>
      <c r="N719" s="6">
        <v>0</v>
      </c>
      <c r="O719" s="6">
        <v>1</v>
      </c>
      <c r="P719" s="6">
        <v>0</v>
      </c>
      <c r="Q719">
        <v>1</v>
      </c>
      <c r="R719">
        <f t="shared" si="55"/>
        <v>0</v>
      </c>
      <c r="S719">
        <f t="shared" si="56"/>
        <v>1</v>
      </c>
      <c r="T719">
        <f t="shared" si="57"/>
        <v>3</v>
      </c>
      <c r="U719">
        <f t="shared" si="58"/>
        <v>1</v>
      </c>
      <c r="V719">
        <f t="shared" si="59"/>
        <v>0</v>
      </c>
    </row>
    <row r="720" spans="1:22" x14ac:dyDescent="0.25">
      <c r="A720">
        <v>717</v>
      </c>
      <c r="B720" t="s">
        <v>10</v>
      </c>
      <c r="C720" t="s">
        <v>250</v>
      </c>
      <c r="D720" s="4">
        <v>45370</v>
      </c>
      <c r="E720" t="s">
        <v>427</v>
      </c>
      <c r="F720" t="s">
        <v>75</v>
      </c>
      <c r="I720" s="6">
        <v>1</v>
      </c>
      <c r="J720" s="6">
        <v>0</v>
      </c>
      <c r="K720" s="6">
        <v>0</v>
      </c>
      <c r="L720" s="6">
        <v>1</v>
      </c>
      <c r="M720" s="6">
        <v>1</v>
      </c>
      <c r="N720" s="6">
        <v>0</v>
      </c>
      <c r="O720" s="6">
        <v>0</v>
      </c>
      <c r="P720" s="6">
        <v>0</v>
      </c>
      <c r="Q720">
        <v>1</v>
      </c>
      <c r="R720">
        <f t="shared" si="55"/>
        <v>0</v>
      </c>
      <c r="S720">
        <f t="shared" si="56"/>
        <v>1</v>
      </c>
      <c r="T720">
        <f t="shared" si="57"/>
        <v>3</v>
      </c>
      <c r="U720">
        <f t="shared" si="58"/>
        <v>1</v>
      </c>
      <c r="V720">
        <f t="shared" si="59"/>
        <v>0</v>
      </c>
    </row>
    <row r="721" spans="1:22" x14ac:dyDescent="0.25">
      <c r="A721">
        <v>718</v>
      </c>
      <c r="B721" t="s">
        <v>10</v>
      </c>
      <c r="C721" t="s">
        <v>250</v>
      </c>
      <c r="D721" s="4">
        <v>45373</v>
      </c>
      <c r="E721" t="s">
        <v>428</v>
      </c>
      <c r="F721" t="s">
        <v>75</v>
      </c>
      <c r="I721" s="6">
        <v>0</v>
      </c>
      <c r="J721" s="6">
        <v>1</v>
      </c>
      <c r="K721" s="6">
        <v>1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>
        <v>1</v>
      </c>
      <c r="R721">
        <f t="shared" si="55"/>
        <v>0</v>
      </c>
      <c r="S721">
        <f t="shared" si="56"/>
        <v>1</v>
      </c>
      <c r="T721">
        <f t="shared" si="57"/>
        <v>2</v>
      </c>
      <c r="U721">
        <f t="shared" si="58"/>
        <v>1</v>
      </c>
      <c r="V721">
        <f t="shared" si="59"/>
        <v>0</v>
      </c>
    </row>
    <row r="722" spans="1:22" x14ac:dyDescent="0.25">
      <c r="A722">
        <v>719</v>
      </c>
      <c r="B722" t="s">
        <v>10</v>
      </c>
      <c r="C722" t="s">
        <v>250</v>
      </c>
      <c r="D722" s="4">
        <v>45373</v>
      </c>
      <c r="E722" t="s">
        <v>429</v>
      </c>
      <c r="F722" t="s">
        <v>75</v>
      </c>
      <c r="I722" s="6">
        <v>0</v>
      </c>
      <c r="J722" s="6">
        <v>0</v>
      </c>
      <c r="K722" s="6">
        <v>0</v>
      </c>
      <c r="L722" s="6">
        <v>1</v>
      </c>
      <c r="M722" s="6">
        <v>0</v>
      </c>
      <c r="N722" s="6">
        <v>0</v>
      </c>
      <c r="O722" s="6">
        <v>0</v>
      </c>
      <c r="P722" s="6">
        <v>0</v>
      </c>
      <c r="Q722">
        <v>1</v>
      </c>
      <c r="R722">
        <f t="shared" si="55"/>
        <v>0</v>
      </c>
      <c r="S722">
        <f t="shared" si="56"/>
        <v>1</v>
      </c>
      <c r="T722">
        <f t="shared" si="57"/>
        <v>1</v>
      </c>
      <c r="U722">
        <f t="shared" si="58"/>
        <v>1</v>
      </c>
      <c r="V722">
        <f t="shared" si="59"/>
        <v>0</v>
      </c>
    </row>
    <row r="723" spans="1:22" x14ac:dyDescent="0.25">
      <c r="A723">
        <v>720</v>
      </c>
      <c r="B723" t="s">
        <v>10</v>
      </c>
      <c r="C723" t="s">
        <v>250</v>
      </c>
      <c r="D723" s="4">
        <v>45374</v>
      </c>
      <c r="E723" t="s">
        <v>430</v>
      </c>
      <c r="F723" t="s">
        <v>75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>
        <v>1</v>
      </c>
      <c r="R723">
        <f t="shared" si="55"/>
        <v>0</v>
      </c>
      <c r="S723">
        <f t="shared" si="56"/>
        <v>1</v>
      </c>
      <c r="T723">
        <f t="shared" si="57"/>
        <v>0</v>
      </c>
      <c r="U723">
        <f t="shared" si="58"/>
        <v>0</v>
      </c>
      <c r="V723">
        <f t="shared" si="59"/>
        <v>0</v>
      </c>
    </row>
    <row r="724" spans="1:22" x14ac:dyDescent="0.25">
      <c r="A724">
        <v>721</v>
      </c>
      <c r="B724" t="s">
        <v>10</v>
      </c>
      <c r="C724" t="s">
        <v>250</v>
      </c>
      <c r="D724" s="4">
        <v>45374</v>
      </c>
      <c r="E724" t="s">
        <v>431</v>
      </c>
      <c r="F724" t="s">
        <v>75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>
        <v>1</v>
      </c>
      <c r="R724">
        <f t="shared" si="55"/>
        <v>0</v>
      </c>
      <c r="S724">
        <f t="shared" si="56"/>
        <v>1</v>
      </c>
      <c r="T724">
        <f t="shared" si="57"/>
        <v>0</v>
      </c>
      <c r="U724">
        <f t="shared" si="58"/>
        <v>0</v>
      </c>
      <c r="V724">
        <f t="shared" si="59"/>
        <v>0</v>
      </c>
    </row>
    <row r="725" spans="1:22" x14ac:dyDescent="0.25">
      <c r="A725">
        <v>722</v>
      </c>
      <c r="B725" t="s">
        <v>10</v>
      </c>
      <c r="C725" t="s">
        <v>250</v>
      </c>
      <c r="D725" s="4">
        <v>45374</v>
      </c>
      <c r="E725" t="s">
        <v>432</v>
      </c>
      <c r="F725" t="s">
        <v>75</v>
      </c>
      <c r="I725" s="6">
        <v>1</v>
      </c>
      <c r="J725" s="6">
        <v>1</v>
      </c>
      <c r="K725" s="6">
        <v>1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>
        <v>1</v>
      </c>
      <c r="R725">
        <f t="shared" si="55"/>
        <v>0</v>
      </c>
      <c r="S725">
        <f t="shared" si="56"/>
        <v>1</v>
      </c>
      <c r="T725">
        <f t="shared" si="57"/>
        <v>3</v>
      </c>
      <c r="U725">
        <f t="shared" si="58"/>
        <v>1</v>
      </c>
      <c r="V725">
        <f t="shared" si="59"/>
        <v>0</v>
      </c>
    </row>
    <row r="726" spans="1:22" x14ac:dyDescent="0.25">
      <c r="A726">
        <v>723</v>
      </c>
      <c r="B726" t="s">
        <v>10</v>
      </c>
      <c r="C726" t="s">
        <v>250</v>
      </c>
      <c r="D726" s="4">
        <v>45375</v>
      </c>
      <c r="E726" t="s">
        <v>433</v>
      </c>
      <c r="F726" t="s">
        <v>75</v>
      </c>
      <c r="I726" s="6">
        <v>1</v>
      </c>
      <c r="J726" s="6">
        <v>0</v>
      </c>
      <c r="K726" s="6">
        <v>1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>
        <v>1</v>
      </c>
      <c r="R726">
        <f t="shared" si="55"/>
        <v>0</v>
      </c>
      <c r="S726">
        <f t="shared" si="56"/>
        <v>1</v>
      </c>
      <c r="T726">
        <f t="shared" si="57"/>
        <v>2</v>
      </c>
      <c r="U726">
        <f t="shared" si="58"/>
        <v>1</v>
      </c>
      <c r="V726">
        <f t="shared" si="59"/>
        <v>0</v>
      </c>
    </row>
    <row r="727" spans="1:22" x14ac:dyDescent="0.25">
      <c r="A727">
        <v>724</v>
      </c>
      <c r="B727" t="s">
        <v>10</v>
      </c>
      <c r="C727" t="s">
        <v>250</v>
      </c>
      <c r="D727" s="4">
        <v>45376</v>
      </c>
      <c r="E727" t="s">
        <v>434</v>
      </c>
      <c r="F727" t="s">
        <v>75</v>
      </c>
      <c r="I727" s="6">
        <v>1</v>
      </c>
      <c r="J727" s="6">
        <v>0</v>
      </c>
      <c r="K727" s="6">
        <v>1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>
        <v>1</v>
      </c>
      <c r="R727">
        <f t="shared" si="55"/>
        <v>0</v>
      </c>
      <c r="S727">
        <f t="shared" si="56"/>
        <v>1</v>
      </c>
      <c r="T727">
        <f t="shared" si="57"/>
        <v>2</v>
      </c>
      <c r="U727">
        <f t="shared" si="58"/>
        <v>1</v>
      </c>
      <c r="V727">
        <f t="shared" si="59"/>
        <v>0</v>
      </c>
    </row>
    <row r="728" spans="1:22" x14ac:dyDescent="0.25">
      <c r="A728">
        <v>725</v>
      </c>
      <c r="B728" t="s">
        <v>10</v>
      </c>
      <c r="C728" t="s">
        <v>250</v>
      </c>
      <c r="D728" s="4">
        <v>45376</v>
      </c>
      <c r="E728" t="s">
        <v>435</v>
      </c>
      <c r="F728" t="s">
        <v>75</v>
      </c>
      <c r="I728" s="6">
        <v>1</v>
      </c>
      <c r="J728" s="6">
        <v>0</v>
      </c>
      <c r="K728" s="6">
        <v>1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>
        <v>1</v>
      </c>
      <c r="R728">
        <f t="shared" si="55"/>
        <v>0</v>
      </c>
      <c r="S728">
        <f t="shared" si="56"/>
        <v>1</v>
      </c>
      <c r="T728">
        <f t="shared" si="57"/>
        <v>2</v>
      </c>
      <c r="U728">
        <f t="shared" si="58"/>
        <v>1</v>
      </c>
      <c r="V728">
        <f t="shared" si="59"/>
        <v>0</v>
      </c>
    </row>
    <row r="729" spans="1:22" x14ac:dyDescent="0.25">
      <c r="A729">
        <v>726</v>
      </c>
      <c r="B729" t="s">
        <v>10</v>
      </c>
      <c r="C729" t="s">
        <v>250</v>
      </c>
      <c r="D729" s="4">
        <v>45376</v>
      </c>
      <c r="E729" t="s">
        <v>436</v>
      </c>
      <c r="F729" t="s">
        <v>75</v>
      </c>
      <c r="I729" s="6">
        <v>1</v>
      </c>
      <c r="J729" s="6">
        <v>0</v>
      </c>
      <c r="K729" s="6">
        <v>1</v>
      </c>
      <c r="L729" s="6">
        <v>1</v>
      </c>
      <c r="M729" s="6">
        <v>1</v>
      </c>
      <c r="N729" s="6">
        <v>0</v>
      </c>
      <c r="O729" s="6">
        <v>0</v>
      </c>
      <c r="P729" s="6">
        <v>0</v>
      </c>
      <c r="Q729">
        <v>1</v>
      </c>
      <c r="R729">
        <f t="shared" si="55"/>
        <v>0</v>
      </c>
      <c r="S729">
        <f t="shared" si="56"/>
        <v>1</v>
      </c>
      <c r="T729">
        <f t="shared" si="57"/>
        <v>4</v>
      </c>
      <c r="U729">
        <f t="shared" si="58"/>
        <v>1</v>
      </c>
      <c r="V729">
        <f t="shared" si="59"/>
        <v>0</v>
      </c>
    </row>
    <row r="730" spans="1:22" x14ac:dyDescent="0.25">
      <c r="A730">
        <v>727</v>
      </c>
      <c r="B730" t="s">
        <v>10</v>
      </c>
      <c r="C730" t="s">
        <v>250</v>
      </c>
      <c r="D730" s="4">
        <v>45377</v>
      </c>
      <c r="E730" t="s">
        <v>437</v>
      </c>
      <c r="F730" t="s">
        <v>75</v>
      </c>
      <c r="I730" s="6">
        <v>0</v>
      </c>
      <c r="J730" s="6">
        <v>0</v>
      </c>
      <c r="K730" s="6">
        <v>1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>
        <v>1</v>
      </c>
      <c r="R730">
        <f t="shared" si="55"/>
        <v>0</v>
      </c>
      <c r="S730">
        <f t="shared" si="56"/>
        <v>1</v>
      </c>
      <c r="T730">
        <f t="shared" si="57"/>
        <v>1</v>
      </c>
      <c r="U730">
        <f t="shared" si="58"/>
        <v>1</v>
      </c>
      <c r="V730">
        <f t="shared" si="59"/>
        <v>0</v>
      </c>
    </row>
    <row r="731" spans="1:22" x14ac:dyDescent="0.25">
      <c r="A731">
        <v>728</v>
      </c>
      <c r="B731" t="s">
        <v>10</v>
      </c>
      <c r="C731" t="s">
        <v>250</v>
      </c>
      <c r="D731" s="4">
        <v>45377</v>
      </c>
      <c r="E731" t="s">
        <v>1534</v>
      </c>
      <c r="F731" t="s">
        <v>75</v>
      </c>
      <c r="I731" s="6">
        <v>1</v>
      </c>
      <c r="J731" s="6">
        <v>0</v>
      </c>
      <c r="K731" s="6">
        <v>1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>
        <v>1</v>
      </c>
      <c r="R731">
        <f t="shared" si="55"/>
        <v>0</v>
      </c>
      <c r="S731">
        <f t="shared" si="56"/>
        <v>1</v>
      </c>
      <c r="T731">
        <f t="shared" si="57"/>
        <v>2</v>
      </c>
      <c r="U731">
        <f t="shared" si="58"/>
        <v>1</v>
      </c>
      <c r="V731">
        <f t="shared" si="59"/>
        <v>0</v>
      </c>
    </row>
    <row r="732" spans="1:22" x14ac:dyDescent="0.25">
      <c r="A732">
        <v>729</v>
      </c>
      <c r="B732" t="s">
        <v>10</v>
      </c>
      <c r="C732" t="s">
        <v>250</v>
      </c>
      <c r="D732" s="4">
        <v>45378</v>
      </c>
      <c r="E732" t="s">
        <v>438</v>
      </c>
      <c r="F732" t="s">
        <v>75</v>
      </c>
      <c r="I732" s="6">
        <v>0</v>
      </c>
      <c r="J732" s="6">
        <v>0</v>
      </c>
      <c r="K732" s="6">
        <v>0</v>
      </c>
      <c r="L732" s="6">
        <v>1</v>
      </c>
      <c r="M732" s="6">
        <v>1</v>
      </c>
      <c r="N732" s="6">
        <v>0</v>
      </c>
      <c r="O732" s="6">
        <v>0</v>
      </c>
      <c r="P732" s="6">
        <v>0</v>
      </c>
      <c r="Q732">
        <v>1</v>
      </c>
      <c r="R732">
        <f t="shared" si="55"/>
        <v>0</v>
      </c>
      <c r="S732">
        <f t="shared" si="56"/>
        <v>1</v>
      </c>
      <c r="T732">
        <f t="shared" si="57"/>
        <v>2</v>
      </c>
      <c r="U732">
        <f t="shared" si="58"/>
        <v>1</v>
      </c>
      <c r="V732">
        <f t="shared" si="59"/>
        <v>0</v>
      </c>
    </row>
    <row r="733" spans="1:22" x14ac:dyDescent="0.25">
      <c r="A733">
        <v>730</v>
      </c>
      <c r="B733" t="s">
        <v>10</v>
      </c>
      <c r="C733" t="s">
        <v>250</v>
      </c>
      <c r="D733" s="4">
        <v>45378</v>
      </c>
      <c r="E733" t="s">
        <v>439</v>
      </c>
      <c r="F733" t="s">
        <v>75</v>
      </c>
      <c r="I733" s="6">
        <v>1</v>
      </c>
      <c r="J733" s="6">
        <v>0</v>
      </c>
      <c r="K733" s="6">
        <v>1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>
        <v>1</v>
      </c>
      <c r="R733">
        <f t="shared" si="55"/>
        <v>0</v>
      </c>
      <c r="S733">
        <f t="shared" si="56"/>
        <v>1</v>
      </c>
      <c r="T733">
        <f t="shared" si="57"/>
        <v>2</v>
      </c>
      <c r="U733">
        <f t="shared" si="58"/>
        <v>1</v>
      </c>
      <c r="V733">
        <f t="shared" si="59"/>
        <v>0</v>
      </c>
    </row>
    <row r="734" spans="1:22" x14ac:dyDescent="0.25">
      <c r="A734">
        <v>731</v>
      </c>
      <c r="B734" t="s">
        <v>10</v>
      </c>
      <c r="C734" t="s">
        <v>250</v>
      </c>
      <c r="D734" s="4">
        <v>45379</v>
      </c>
      <c r="E734" t="s">
        <v>440</v>
      </c>
      <c r="F734" t="s">
        <v>75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>
        <v>1</v>
      </c>
      <c r="R734">
        <f t="shared" si="55"/>
        <v>0</v>
      </c>
      <c r="S734">
        <f t="shared" si="56"/>
        <v>1</v>
      </c>
      <c r="T734">
        <f t="shared" si="57"/>
        <v>0</v>
      </c>
      <c r="U734">
        <f t="shared" si="58"/>
        <v>0</v>
      </c>
      <c r="V734">
        <f t="shared" si="59"/>
        <v>0</v>
      </c>
    </row>
    <row r="735" spans="1:22" x14ac:dyDescent="0.25">
      <c r="A735">
        <v>732</v>
      </c>
      <c r="B735" t="s">
        <v>10</v>
      </c>
      <c r="C735" t="s">
        <v>250</v>
      </c>
      <c r="D735" s="4">
        <v>45379</v>
      </c>
      <c r="E735" t="s">
        <v>441</v>
      </c>
      <c r="F735" t="s">
        <v>75</v>
      </c>
      <c r="I735" s="6">
        <v>1</v>
      </c>
      <c r="J735" s="6">
        <v>0</v>
      </c>
      <c r="K735" s="6">
        <v>1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>
        <v>1</v>
      </c>
      <c r="R735">
        <f t="shared" si="55"/>
        <v>0</v>
      </c>
      <c r="S735">
        <f t="shared" si="56"/>
        <v>1</v>
      </c>
      <c r="T735">
        <f t="shared" si="57"/>
        <v>2</v>
      </c>
      <c r="U735">
        <f t="shared" si="58"/>
        <v>1</v>
      </c>
      <c r="V735">
        <f t="shared" si="59"/>
        <v>0</v>
      </c>
    </row>
    <row r="736" spans="1:22" x14ac:dyDescent="0.25">
      <c r="A736">
        <v>733</v>
      </c>
      <c r="B736" t="s">
        <v>10</v>
      </c>
      <c r="C736" t="s">
        <v>250</v>
      </c>
      <c r="D736" s="4">
        <v>45379</v>
      </c>
      <c r="E736" t="s">
        <v>442</v>
      </c>
      <c r="F736" t="s">
        <v>75</v>
      </c>
      <c r="I736" s="6">
        <v>1</v>
      </c>
      <c r="J736" s="6">
        <v>0</v>
      </c>
      <c r="K736" s="6">
        <v>1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>
        <v>1</v>
      </c>
      <c r="R736">
        <f t="shared" si="55"/>
        <v>0</v>
      </c>
      <c r="S736">
        <f t="shared" si="56"/>
        <v>1</v>
      </c>
      <c r="T736">
        <f t="shared" si="57"/>
        <v>2</v>
      </c>
      <c r="U736">
        <f t="shared" si="58"/>
        <v>1</v>
      </c>
      <c r="V736">
        <f t="shared" si="59"/>
        <v>0</v>
      </c>
    </row>
    <row r="737" spans="1:22" x14ac:dyDescent="0.25">
      <c r="A737">
        <v>734</v>
      </c>
      <c r="B737" t="s">
        <v>10</v>
      </c>
      <c r="C737" t="s">
        <v>250</v>
      </c>
      <c r="D737" s="4">
        <v>45379</v>
      </c>
      <c r="E737" t="s">
        <v>2185</v>
      </c>
      <c r="F737" t="s">
        <v>75</v>
      </c>
      <c r="I737" s="6">
        <v>1</v>
      </c>
      <c r="J737" s="6">
        <v>1</v>
      </c>
      <c r="K737" s="6">
        <v>1</v>
      </c>
      <c r="L737" s="6">
        <v>1</v>
      </c>
      <c r="M737" s="6">
        <v>0</v>
      </c>
      <c r="N737" s="6">
        <v>0</v>
      </c>
      <c r="O737" s="6">
        <v>0</v>
      </c>
      <c r="P737" s="6">
        <v>0</v>
      </c>
      <c r="Q737">
        <v>1</v>
      </c>
      <c r="R737">
        <f t="shared" si="55"/>
        <v>0</v>
      </c>
      <c r="S737">
        <f t="shared" si="56"/>
        <v>1</v>
      </c>
      <c r="T737">
        <f t="shared" si="57"/>
        <v>4</v>
      </c>
      <c r="U737">
        <f t="shared" si="58"/>
        <v>1</v>
      </c>
      <c r="V737">
        <f t="shared" si="59"/>
        <v>0</v>
      </c>
    </row>
    <row r="738" spans="1:22" x14ac:dyDescent="0.25">
      <c r="A738">
        <v>735</v>
      </c>
      <c r="B738" t="s">
        <v>10</v>
      </c>
      <c r="C738" t="s">
        <v>250</v>
      </c>
      <c r="D738" s="4">
        <v>45380</v>
      </c>
      <c r="E738" t="s">
        <v>948</v>
      </c>
      <c r="F738" t="s">
        <v>75</v>
      </c>
      <c r="I738" s="6">
        <v>0</v>
      </c>
      <c r="J738" s="6">
        <v>0</v>
      </c>
      <c r="K738" s="6">
        <v>0</v>
      </c>
      <c r="L738" s="6">
        <v>1</v>
      </c>
      <c r="M738" s="6">
        <v>0</v>
      </c>
      <c r="N738" s="6">
        <v>0</v>
      </c>
      <c r="O738" s="6">
        <v>0</v>
      </c>
      <c r="P738" s="6">
        <v>0</v>
      </c>
      <c r="Q738">
        <v>1</v>
      </c>
      <c r="R738">
        <f t="shared" si="55"/>
        <v>0</v>
      </c>
      <c r="S738">
        <f t="shared" si="56"/>
        <v>1</v>
      </c>
      <c r="T738">
        <f t="shared" si="57"/>
        <v>1</v>
      </c>
      <c r="U738">
        <f t="shared" si="58"/>
        <v>1</v>
      </c>
      <c r="V738">
        <f t="shared" si="59"/>
        <v>0</v>
      </c>
    </row>
    <row r="739" spans="1:22" x14ac:dyDescent="0.25">
      <c r="A739">
        <v>736</v>
      </c>
      <c r="B739" t="s">
        <v>10</v>
      </c>
      <c r="C739" t="s">
        <v>250</v>
      </c>
      <c r="D739" s="4">
        <v>45380</v>
      </c>
      <c r="E739" t="s">
        <v>443</v>
      </c>
      <c r="F739" t="s">
        <v>75</v>
      </c>
      <c r="I739" s="6">
        <v>1</v>
      </c>
      <c r="J739" s="6">
        <v>0</v>
      </c>
      <c r="K739" s="6">
        <v>1</v>
      </c>
      <c r="L739" s="6">
        <v>0</v>
      </c>
      <c r="M739" s="6">
        <v>0</v>
      </c>
      <c r="N739" s="6">
        <v>0</v>
      </c>
      <c r="O739" s="6">
        <v>0</v>
      </c>
      <c r="P739" s="6">
        <v>1</v>
      </c>
      <c r="Q739">
        <v>1</v>
      </c>
      <c r="R739">
        <f t="shared" si="55"/>
        <v>0</v>
      </c>
      <c r="S739">
        <f t="shared" si="56"/>
        <v>1</v>
      </c>
      <c r="T739">
        <f t="shared" si="57"/>
        <v>3</v>
      </c>
      <c r="U739">
        <f t="shared" si="58"/>
        <v>1</v>
      </c>
      <c r="V739">
        <f t="shared" si="59"/>
        <v>0</v>
      </c>
    </row>
    <row r="740" spans="1:22" x14ac:dyDescent="0.25">
      <c r="A740">
        <v>737</v>
      </c>
      <c r="B740" t="s">
        <v>10</v>
      </c>
      <c r="C740" t="s">
        <v>250</v>
      </c>
      <c r="D740" s="4">
        <v>45381</v>
      </c>
      <c r="E740" t="s">
        <v>444</v>
      </c>
      <c r="F740" t="s">
        <v>75</v>
      </c>
      <c r="I740" s="6">
        <v>0</v>
      </c>
      <c r="J740" s="6">
        <v>0</v>
      </c>
      <c r="K740" s="6">
        <v>0</v>
      </c>
      <c r="L740" s="6">
        <v>1</v>
      </c>
      <c r="M740" s="6">
        <v>0</v>
      </c>
      <c r="N740" s="6">
        <v>0</v>
      </c>
      <c r="O740" s="6">
        <v>0</v>
      </c>
      <c r="P740" s="6">
        <v>0</v>
      </c>
      <c r="Q740">
        <v>1</v>
      </c>
      <c r="R740">
        <f t="shared" si="55"/>
        <v>0</v>
      </c>
      <c r="S740">
        <f t="shared" si="56"/>
        <v>1</v>
      </c>
      <c r="T740">
        <f t="shared" si="57"/>
        <v>1</v>
      </c>
      <c r="U740">
        <f t="shared" si="58"/>
        <v>1</v>
      </c>
      <c r="V740">
        <f t="shared" si="59"/>
        <v>0</v>
      </c>
    </row>
    <row r="741" spans="1:22" x14ac:dyDescent="0.25">
      <c r="A741">
        <v>738</v>
      </c>
      <c r="B741" t="s">
        <v>10</v>
      </c>
      <c r="C741" t="s">
        <v>250</v>
      </c>
      <c r="D741" s="4">
        <v>45381</v>
      </c>
      <c r="E741" t="s">
        <v>1801</v>
      </c>
      <c r="F741" t="s">
        <v>75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>
        <v>1</v>
      </c>
      <c r="R741">
        <f t="shared" si="55"/>
        <v>0</v>
      </c>
      <c r="S741">
        <f t="shared" si="56"/>
        <v>1</v>
      </c>
      <c r="T741">
        <f t="shared" si="57"/>
        <v>0</v>
      </c>
      <c r="U741">
        <f t="shared" si="58"/>
        <v>0</v>
      </c>
      <c r="V741">
        <f t="shared" si="59"/>
        <v>0</v>
      </c>
    </row>
    <row r="742" spans="1:22" x14ac:dyDescent="0.25">
      <c r="A742">
        <v>739</v>
      </c>
      <c r="B742" t="s">
        <v>10</v>
      </c>
      <c r="C742" t="s">
        <v>250</v>
      </c>
      <c r="D742" s="4">
        <v>45382</v>
      </c>
      <c r="E742" t="s">
        <v>276</v>
      </c>
      <c r="F742" t="s">
        <v>75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>
        <v>1</v>
      </c>
      <c r="R742">
        <f t="shared" si="55"/>
        <v>0</v>
      </c>
      <c r="S742">
        <f t="shared" si="56"/>
        <v>1</v>
      </c>
      <c r="T742">
        <f t="shared" si="57"/>
        <v>0</v>
      </c>
      <c r="U742">
        <f t="shared" si="58"/>
        <v>0</v>
      </c>
      <c r="V742">
        <f t="shared" si="59"/>
        <v>0</v>
      </c>
    </row>
    <row r="743" spans="1:22" x14ac:dyDescent="0.25">
      <c r="A743">
        <v>740</v>
      </c>
      <c r="B743" t="s">
        <v>10</v>
      </c>
      <c r="C743" t="s">
        <v>250</v>
      </c>
      <c r="D743" s="4">
        <v>45382</v>
      </c>
      <c r="E743" t="s">
        <v>277</v>
      </c>
      <c r="F743" t="s">
        <v>75</v>
      </c>
      <c r="I743" s="6">
        <v>0</v>
      </c>
      <c r="J743" s="6">
        <v>0</v>
      </c>
      <c r="K743" s="6">
        <v>0</v>
      </c>
      <c r="L743" s="6">
        <v>1</v>
      </c>
      <c r="M743" s="6">
        <v>0</v>
      </c>
      <c r="N743" s="6">
        <v>0</v>
      </c>
      <c r="O743" s="6">
        <v>0</v>
      </c>
      <c r="P743" s="6">
        <v>0</v>
      </c>
      <c r="Q743">
        <v>1</v>
      </c>
      <c r="R743">
        <f t="shared" si="55"/>
        <v>0</v>
      </c>
      <c r="S743">
        <f t="shared" si="56"/>
        <v>1</v>
      </c>
      <c r="T743">
        <f t="shared" si="57"/>
        <v>1</v>
      </c>
      <c r="U743">
        <f t="shared" si="58"/>
        <v>1</v>
      </c>
      <c r="V743">
        <f t="shared" si="59"/>
        <v>0</v>
      </c>
    </row>
    <row r="744" spans="1:22" x14ac:dyDescent="0.25">
      <c r="A744">
        <v>741</v>
      </c>
      <c r="B744" t="s">
        <v>10</v>
      </c>
      <c r="C744" t="s">
        <v>250</v>
      </c>
      <c r="D744" s="4">
        <v>45383</v>
      </c>
      <c r="E744" t="s">
        <v>445</v>
      </c>
      <c r="F744" t="s">
        <v>75</v>
      </c>
      <c r="I744" s="6">
        <v>0</v>
      </c>
      <c r="J744" s="6">
        <v>0</v>
      </c>
      <c r="K744" s="6">
        <v>0</v>
      </c>
      <c r="L744" s="6">
        <v>1</v>
      </c>
      <c r="M744" s="6">
        <v>0</v>
      </c>
      <c r="N744" s="6">
        <v>0</v>
      </c>
      <c r="O744" s="6">
        <v>0</v>
      </c>
      <c r="P744" s="6">
        <v>0</v>
      </c>
      <c r="Q744">
        <v>1</v>
      </c>
      <c r="R744">
        <f t="shared" si="55"/>
        <v>0</v>
      </c>
      <c r="S744">
        <f t="shared" si="56"/>
        <v>1</v>
      </c>
      <c r="T744">
        <f t="shared" si="57"/>
        <v>1</v>
      </c>
      <c r="U744">
        <f t="shared" si="58"/>
        <v>1</v>
      </c>
      <c r="V744">
        <f t="shared" si="59"/>
        <v>0</v>
      </c>
    </row>
    <row r="745" spans="1:22" x14ac:dyDescent="0.25">
      <c r="A745">
        <v>742</v>
      </c>
      <c r="B745" t="s">
        <v>10</v>
      </c>
      <c r="C745" t="s">
        <v>250</v>
      </c>
      <c r="D745" s="4">
        <v>45384</v>
      </c>
      <c r="E745" t="s">
        <v>446</v>
      </c>
      <c r="F745" t="s">
        <v>413</v>
      </c>
      <c r="G745">
        <v>3</v>
      </c>
      <c r="I745" s="6">
        <v>1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>
        <v>1</v>
      </c>
      <c r="R745">
        <f t="shared" si="55"/>
        <v>1</v>
      </c>
      <c r="S745">
        <f t="shared" si="56"/>
        <v>0</v>
      </c>
      <c r="T745">
        <f t="shared" si="57"/>
        <v>1</v>
      </c>
      <c r="U745">
        <f t="shared" si="58"/>
        <v>1</v>
      </c>
      <c r="V745">
        <f t="shared" si="59"/>
        <v>1</v>
      </c>
    </row>
    <row r="746" spans="1:22" x14ac:dyDescent="0.25">
      <c r="A746">
        <v>743</v>
      </c>
      <c r="B746" t="s">
        <v>10</v>
      </c>
      <c r="C746" t="s">
        <v>250</v>
      </c>
      <c r="D746" s="4">
        <v>45384</v>
      </c>
      <c r="E746" t="s">
        <v>447</v>
      </c>
      <c r="F746" t="s">
        <v>75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>
        <v>1</v>
      </c>
      <c r="R746">
        <f t="shared" si="55"/>
        <v>0</v>
      </c>
      <c r="S746">
        <f t="shared" si="56"/>
        <v>1</v>
      </c>
      <c r="T746">
        <f t="shared" si="57"/>
        <v>0</v>
      </c>
      <c r="U746">
        <f t="shared" si="58"/>
        <v>0</v>
      </c>
      <c r="V746">
        <f t="shared" si="59"/>
        <v>0</v>
      </c>
    </row>
    <row r="747" spans="1:22" x14ac:dyDescent="0.25">
      <c r="A747">
        <v>744</v>
      </c>
      <c r="B747" t="s">
        <v>10</v>
      </c>
      <c r="C747" t="s">
        <v>250</v>
      </c>
      <c r="D747" s="4">
        <v>45385</v>
      </c>
      <c r="E747" t="s">
        <v>280</v>
      </c>
      <c r="F747" t="s">
        <v>75</v>
      </c>
      <c r="I747" s="6">
        <v>1</v>
      </c>
      <c r="J747" s="6">
        <v>0</v>
      </c>
      <c r="K747" s="6">
        <v>1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>
        <v>1</v>
      </c>
      <c r="R747">
        <f t="shared" si="55"/>
        <v>0</v>
      </c>
      <c r="S747">
        <f t="shared" si="56"/>
        <v>1</v>
      </c>
      <c r="T747">
        <f t="shared" si="57"/>
        <v>2</v>
      </c>
      <c r="U747">
        <f t="shared" si="58"/>
        <v>1</v>
      </c>
      <c r="V747">
        <f t="shared" si="59"/>
        <v>0</v>
      </c>
    </row>
    <row r="748" spans="1:22" x14ac:dyDescent="0.25">
      <c r="A748">
        <v>745</v>
      </c>
      <c r="B748" t="s">
        <v>10</v>
      </c>
      <c r="C748" t="s">
        <v>250</v>
      </c>
      <c r="D748" s="4">
        <v>45386</v>
      </c>
      <c r="E748" t="s">
        <v>448</v>
      </c>
      <c r="F748" t="s">
        <v>75</v>
      </c>
      <c r="I748" s="6">
        <v>1</v>
      </c>
      <c r="J748" s="6">
        <v>0</v>
      </c>
      <c r="K748" s="6">
        <v>1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>
        <v>1</v>
      </c>
      <c r="R748">
        <f t="shared" si="55"/>
        <v>0</v>
      </c>
      <c r="S748">
        <f t="shared" si="56"/>
        <v>1</v>
      </c>
      <c r="T748">
        <f t="shared" si="57"/>
        <v>2</v>
      </c>
      <c r="U748">
        <f t="shared" si="58"/>
        <v>1</v>
      </c>
      <c r="V748">
        <f t="shared" si="59"/>
        <v>0</v>
      </c>
    </row>
    <row r="749" spans="1:22" x14ac:dyDescent="0.25">
      <c r="A749">
        <v>746</v>
      </c>
      <c r="B749" t="s">
        <v>10</v>
      </c>
      <c r="C749" t="s">
        <v>250</v>
      </c>
      <c r="D749" s="4">
        <v>45387</v>
      </c>
      <c r="E749" t="s">
        <v>283</v>
      </c>
      <c r="F749" t="s">
        <v>75</v>
      </c>
      <c r="I749" s="6">
        <v>0</v>
      </c>
      <c r="J749" s="6">
        <v>0</v>
      </c>
      <c r="K749" s="6">
        <v>0</v>
      </c>
      <c r="L749" s="6">
        <v>1</v>
      </c>
      <c r="M749" s="6">
        <v>0</v>
      </c>
      <c r="N749" s="6">
        <v>0</v>
      </c>
      <c r="O749" s="6">
        <v>0</v>
      </c>
      <c r="P749" s="6">
        <v>0</v>
      </c>
      <c r="Q749">
        <v>1</v>
      </c>
      <c r="R749">
        <f t="shared" si="55"/>
        <v>0</v>
      </c>
      <c r="S749">
        <f t="shared" si="56"/>
        <v>1</v>
      </c>
      <c r="T749">
        <f t="shared" si="57"/>
        <v>1</v>
      </c>
      <c r="U749">
        <f t="shared" si="58"/>
        <v>1</v>
      </c>
      <c r="V749">
        <f t="shared" si="59"/>
        <v>0</v>
      </c>
    </row>
    <row r="750" spans="1:22" x14ac:dyDescent="0.25">
      <c r="A750">
        <v>747</v>
      </c>
      <c r="B750" t="s">
        <v>10</v>
      </c>
      <c r="C750" t="s">
        <v>250</v>
      </c>
      <c r="D750" s="4">
        <v>45387</v>
      </c>
      <c r="E750" t="s">
        <v>284</v>
      </c>
      <c r="F750" t="s">
        <v>75</v>
      </c>
      <c r="I750" s="6">
        <v>1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>
        <v>1</v>
      </c>
      <c r="R750">
        <f t="shared" si="55"/>
        <v>0</v>
      </c>
      <c r="S750">
        <f t="shared" si="56"/>
        <v>1</v>
      </c>
      <c r="T750">
        <f t="shared" si="57"/>
        <v>1</v>
      </c>
      <c r="U750">
        <f t="shared" si="58"/>
        <v>1</v>
      </c>
      <c r="V750">
        <f t="shared" si="59"/>
        <v>0</v>
      </c>
    </row>
    <row r="751" spans="1:22" x14ac:dyDescent="0.25">
      <c r="A751">
        <v>748</v>
      </c>
      <c r="B751" t="s">
        <v>10</v>
      </c>
      <c r="C751" t="s">
        <v>250</v>
      </c>
      <c r="D751" s="4">
        <v>45387</v>
      </c>
      <c r="E751" t="s">
        <v>449</v>
      </c>
      <c r="F751" t="s">
        <v>75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>
        <v>1</v>
      </c>
      <c r="R751">
        <f t="shared" si="55"/>
        <v>0</v>
      </c>
      <c r="S751">
        <f t="shared" si="56"/>
        <v>1</v>
      </c>
      <c r="T751">
        <f t="shared" si="57"/>
        <v>0</v>
      </c>
      <c r="U751">
        <f t="shared" si="58"/>
        <v>0</v>
      </c>
      <c r="V751">
        <f t="shared" si="59"/>
        <v>0</v>
      </c>
    </row>
    <row r="752" spans="1:22" x14ac:dyDescent="0.25">
      <c r="A752">
        <v>749</v>
      </c>
      <c r="B752" t="s">
        <v>10</v>
      </c>
      <c r="C752" t="s">
        <v>250</v>
      </c>
      <c r="D752" s="4">
        <v>45389</v>
      </c>
      <c r="E752" t="s">
        <v>450</v>
      </c>
      <c r="F752" t="s">
        <v>75</v>
      </c>
      <c r="I752" s="6">
        <v>1</v>
      </c>
      <c r="J752" s="6">
        <v>1</v>
      </c>
      <c r="K752" s="6">
        <v>0</v>
      </c>
      <c r="L752" s="6">
        <v>1</v>
      </c>
      <c r="M752" s="6">
        <v>0</v>
      </c>
      <c r="N752" s="6">
        <v>0</v>
      </c>
      <c r="O752" s="6">
        <v>0</v>
      </c>
      <c r="P752" s="6">
        <v>0</v>
      </c>
      <c r="Q752">
        <v>1</v>
      </c>
      <c r="R752">
        <f t="shared" si="55"/>
        <v>0</v>
      </c>
      <c r="S752">
        <f t="shared" si="56"/>
        <v>1</v>
      </c>
      <c r="T752">
        <f t="shared" si="57"/>
        <v>3</v>
      </c>
      <c r="U752">
        <f t="shared" si="58"/>
        <v>1</v>
      </c>
      <c r="V752">
        <f t="shared" si="59"/>
        <v>0</v>
      </c>
    </row>
    <row r="753" spans="1:22" x14ac:dyDescent="0.25">
      <c r="A753">
        <v>750</v>
      </c>
      <c r="B753" t="s">
        <v>10</v>
      </c>
      <c r="C753" t="s">
        <v>250</v>
      </c>
      <c r="D753" s="4">
        <v>45389</v>
      </c>
      <c r="E753" t="s">
        <v>1223</v>
      </c>
      <c r="F753" t="s">
        <v>75</v>
      </c>
      <c r="I753" s="6">
        <v>1</v>
      </c>
      <c r="J753" s="6">
        <v>0</v>
      </c>
      <c r="K753" s="6">
        <v>0</v>
      </c>
      <c r="L753" s="6">
        <v>1</v>
      </c>
      <c r="M753" s="6">
        <v>1</v>
      </c>
      <c r="N753" s="6">
        <v>0</v>
      </c>
      <c r="O753" s="6">
        <v>0</v>
      </c>
      <c r="P753" s="6">
        <v>0</v>
      </c>
      <c r="Q753">
        <v>1</v>
      </c>
      <c r="R753">
        <f t="shared" si="55"/>
        <v>0</v>
      </c>
      <c r="S753">
        <f t="shared" si="56"/>
        <v>1</v>
      </c>
      <c r="T753">
        <f t="shared" si="57"/>
        <v>3</v>
      </c>
      <c r="U753">
        <f t="shared" si="58"/>
        <v>1</v>
      </c>
      <c r="V753">
        <f t="shared" si="59"/>
        <v>0</v>
      </c>
    </row>
    <row r="754" spans="1:22" x14ac:dyDescent="0.25">
      <c r="A754">
        <v>751</v>
      </c>
      <c r="B754" t="s">
        <v>10</v>
      </c>
      <c r="C754" t="s">
        <v>250</v>
      </c>
      <c r="D754" s="4">
        <v>45391</v>
      </c>
      <c r="E754" t="s">
        <v>451</v>
      </c>
      <c r="F754" t="s">
        <v>75</v>
      </c>
      <c r="I754" s="6">
        <v>0</v>
      </c>
      <c r="J754" s="6">
        <v>0</v>
      </c>
      <c r="K754" s="6">
        <v>0</v>
      </c>
      <c r="L754" s="6">
        <v>1</v>
      </c>
      <c r="M754" s="6">
        <v>0</v>
      </c>
      <c r="N754" s="6">
        <v>0</v>
      </c>
      <c r="O754" s="6">
        <v>0</v>
      </c>
      <c r="P754" s="6">
        <v>0</v>
      </c>
      <c r="Q754">
        <v>1</v>
      </c>
      <c r="R754">
        <f t="shared" si="55"/>
        <v>0</v>
      </c>
      <c r="S754">
        <f t="shared" si="56"/>
        <v>1</v>
      </c>
      <c r="T754">
        <f t="shared" si="57"/>
        <v>1</v>
      </c>
      <c r="U754">
        <f t="shared" si="58"/>
        <v>1</v>
      </c>
      <c r="V754">
        <f t="shared" si="59"/>
        <v>0</v>
      </c>
    </row>
    <row r="755" spans="1:22" x14ac:dyDescent="0.25">
      <c r="A755">
        <v>752</v>
      </c>
      <c r="B755" t="s">
        <v>10</v>
      </c>
      <c r="C755" t="s">
        <v>250</v>
      </c>
      <c r="D755" s="4">
        <v>45392</v>
      </c>
      <c r="E755" t="s">
        <v>452</v>
      </c>
      <c r="F755" t="s">
        <v>75</v>
      </c>
      <c r="I755" s="6">
        <v>1</v>
      </c>
      <c r="J755" s="6">
        <v>0</v>
      </c>
      <c r="K755" s="6">
        <v>0</v>
      </c>
      <c r="L755" s="6">
        <v>1</v>
      </c>
      <c r="M755" s="6">
        <v>0</v>
      </c>
      <c r="N755" s="6">
        <v>0</v>
      </c>
      <c r="O755" s="6">
        <v>0</v>
      </c>
      <c r="P755" s="6">
        <v>0</v>
      </c>
      <c r="Q755">
        <v>1</v>
      </c>
      <c r="R755">
        <f t="shared" si="55"/>
        <v>0</v>
      </c>
      <c r="S755">
        <f t="shared" si="56"/>
        <v>1</v>
      </c>
      <c r="T755">
        <f t="shared" si="57"/>
        <v>2</v>
      </c>
      <c r="U755">
        <f t="shared" si="58"/>
        <v>1</v>
      </c>
      <c r="V755">
        <f t="shared" si="59"/>
        <v>0</v>
      </c>
    </row>
    <row r="756" spans="1:22" x14ac:dyDescent="0.25">
      <c r="A756">
        <v>753</v>
      </c>
      <c r="B756" t="s">
        <v>10</v>
      </c>
      <c r="C756" t="s">
        <v>250</v>
      </c>
      <c r="D756" s="4">
        <v>45392</v>
      </c>
      <c r="E756" t="s">
        <v>453</v>
      </c>
      <c r="F756" t="s">
        <v>75</v>
      </c>
      <c r="I756" s="6">
        <v>1</v>
      </c>
      <c r="J756" s="6">
        <v>0</v>
      </c>
      <c r="K756" s="6">
        <v>0</v>
      </c>
      <c r="L756" s="6">
        <v>0</v>
      </c>
      <c r="M756" s="6">
        <v>1</v>
      </c>
      <c r="N756" s="6">
        <v>0</v>
      </c>
      <c r="O756" s="6">
        <v>0</v>
      </c>
      <c r="P756" s="6">
        <v>0</v>
      </c>
      <c r="Q756">
        <v>1</v>
      </c>
      <c r="R756">
        <f t="shared" si="55"/>
        <v>0</v>
      </c>
      <c r="S756">
        <f t="shared" si="56"/>
        <v>1</v>
      </c>
      <c r="T756">
        <f t="shared" si="57"/>
        <v>2</v>
      </c>
      <c r="U756">
        <f t="shared" si="58"/>
        <v>1</v>
      </c>
      <c r="V756">
        <f t="shared" si="59"/>
        <v>0</v>
      </c>
    </row>
    <row r="757" spans="1:22" x14ac:dyDescent="0.25">
      <c r="A757">
        <v>754</v>
      </c>
      <c r="B757" t="s">
        <v>10</v>
      </c>
      <c r="C757" t="s">
        <v>250</v>
      </c>
      <c r="D757" s="4">
        <v>45393</v>
      </c>
      <c r="E757" t="s">
        <v>454</v>
      </c>
      <c r="F757" t="s">
        <v>75</v>
      </c>
      <c r="I757" s="6">
        <v>0</v>
      </c>
      <c r="J757" s="6">
        <v>1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>
        <v>1</v>
      </c>
      <c r="R757">
        <f t="shared" si="55"/>
        <v>0</v>
      </c>
      <c r="S757">
        <f t="shared" si="56"/>
        <v>1</v>
      </c>
      <c r="T757">
        <f t="shared" si="57"/>
        <v>1</v>
      </c>
      <c r="U757">
        <f t="shared" si="58"/>
        <v>1</v>
      </c>
      <c r="V757">
        <f t="shared" si="59"/>
        <v>0</v>
      </c>
    </row>
    <row r="758" spans="1:22" x14ac:dyDescent="0.25">
      <c r="A758">
        <v>755</v>
      </c>
      <c r="B758" t="s">
        <v>10</v>
      </c>
      <c r="C758" t="s">
        <v>250</v>
      </c>
      <c r="D758" s="4">
        <v>45393</v>
      </c>
      <c r="E758" t="s">
        <v>455</v>
      </c>
      <c r="F758" t="s">
        <v>75</v>
      </c>
      <c r="I758" s="6">
        <v>0</v>
      </c>
      <c r="J758" s="6">
        <v>0</v>
      </c>
      <c r="K758" s="6">
        <v>1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>
        <v>1</v>
      </c>
      <c r="R758">
        <f t="shared" si="55"/>
        <v>0</v>
      </c>
      <c r="S758">
        <f t="shared" si="56"/>
        <v>1</v>
      </c>
      <c r="T758">
        <f t="shared" si="57"/>
        <v>1</v>
      </c>
      <c r="U758">
        <f t="shared" si="58"/>
        <v>1</v>
      </c>
      <c r="V758">
        <f t="shared" si="59"/>
        <v>0</v>
      </c>
    </row>
    <row r="759" spans="1:22" x14ac:dyDescent="0.25">
      <c r="A759">
        <v>756</v>
      </c>
      <c r="B759" t="s">
        <v>10</v>
      </c>
      <c r="C759" t="s">
        <v>250</v>
      </c>
      <c r="D759" s="4">
        <v>45397</v>
      </c>
      <c r="E759" t="s">
        <v>289</v>
      </c>
      <c r="F759" t="s">
        <v>75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>
        <v>1</v>
      </c>
      <c r="R759">
        <f t="shared" si="55"/>
        <v>0</v>
      </c>
      <c r="S759">
        <f t="shared" si="56"/>
        <v>1</v>
      </c>
      <c r="T759">
        <f t="shared" si="57"/>
        <v>0</v>
      </c>
      <c r="U759">
        <f t="shared" si="58"/>
        <v>0</v>
      </c>
      <c r="V759">
        <f t="shared" si="59"/>
        <v>0</v>
      </c>
    </row>
    <row r="760" spans="1:22" x14ac:dyDescent="0.25">
      <c r="A760">
        <v>757</v>
      </c>
      <c r="B760" t="s">
        <v>10</v>
      </c>
      <c r="C760" t="s">
        <v>250</v>
      </c>
      <c r="D760" s="4">
        <v>45398</v>
      </c>
      <c r="E760" t="s">
        <v>456</v>
      </c>
      <c r="F760" t="s">
        <v>75</v>
      </c>
      <c r="I760" s="6">
        <v>1</v>
      </c>
      <c r="J760" s="6">
        <v>0</v>
      </c>
      <c r="K760" s="6">
        <v>1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>
        <v>1</v>
      </c>
      <c r="R760">
        <f t="shared" si="55"/>
        <v>0</v>
      </c>
      <c r="S760">
        <f t="shared" si="56"/>
        <v>1</v>
      </c>
      <c r="T760">
        <f t="shared" si="57"/>
        <v>2</v>
      </c>
      <c r="U760">
        <f t="shared" si="58"/>
        <v>1</v>
      </c>
      <c r="V760">
        <f t="shared" si="59"/>
        <v>0</v>
      </c>
    </row>
    <row r="761" spans="1:22" x14ac:dyDescent="0.25">
      <c r="A761">
        <v>758</v>
      </c>
      <c r="B761" t="s">
        <v>10</v>
      </c>
      <c r="C761" t="s">
        <v>250</v>
      </c>
      <c r="D761" s="4">
        <v>45399</v>
      </c>
      <c r="E761" t="s">
        <v>457</v>
      </c>
      <c r="F761" t="s">
        <v>75</v>
      </c>
      <c r="I761" s="6">
        <v>0</v>
      </c>
      <c r="J761" s="6">
        <v>0</v>
      </c>
      <c r="K761" s="6">
        <v>0</v>
      </c>
      <c r="L761" s="6">
        <v>1</v>
      </c>
      <c r="M761" s="6">
        <v>0</v>
      </c>
      <c r="N761" s="6">
        <v>0</v>
      </c>
      <c r="O761" s="6">
        <v>0</v>
      </c>
      <c r="P761" s="6">
        <v>0</v>
      </c>
      <c r="Q761">
        <v>1</v>
      </c>
      <c r="R761">
        <f t="shared" si="55"/>
        <v>0</v>
      </c>
      <c r="S761">
        <f t="shared" si="56"/>
        <v>1</v>
      </c>
      <c r="T761">
        <f t="shared" si="57"/>
        <v>1</v>
      </c>
      <c r="U761">
        <f t="shared" si="58"/>
        <v>1</v>
      </c>
      <c r="V761">
        <f t="shared" si="59"/>
        <v>0</v>
      </c>
    </row>
    <row r="762" spans="1:22" x14ac:dyDescent="0.25">
      <c r="A762">
        <v>759</v>
      </c>
      <c r="B762" t="s">
        <v>10</v>
      </c>
      <c r="C762" t="s">
        <v>250</v>
      </c>
      <c r="D762" s="4">
        <v>45400</v>
      </c>
      <c r="E762" t="s">
        <v>458</v>
      </c>
      <c r="F762" t="s">
        <v>75</v>
      </c>
      <c r="I762" s="6">
        <v>1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>
        <v>1</v>
      </c>
      <c r="R762">
        <f t="shared" si="55"/>
        <v>0</v>
      </c>
      <c r="S762">
        <f t="shared" si="56"/>
        <v>1</v>
      </c>
      <c r="T762">
        <f t="shared" si="57"/>
        <v>1</v>
      </c>
      <c r="U762">
        <f t="shared" si="58"/>
        <v>1</v>
      </c>
      <c r="V762">
        <f t="shared" si="59"/>
        <v>0</v>
      </c>
    </row>
    <row r="763" spans="1:22" x14ac:dyDescent="0.25">
      <c r="A763">
        <v>760</v>
      </c>
      <c r="B763" t="s">
        <v>10</v>
      </c>
      <c r="C763" t="s">
        <v>250</v>
      </c>
      <c r="D763" s="4">
        <v>45401</v>
      </c>
      <c r="E763" t="s">
        <v>298</v>
      </c>
      <c r="F763" t="s">
        <v>75</v>
      </c>
      <c r="I763" s="6">
        <v>1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>
        <v>1</v>
      </c>
      <c r="R763">
        <f t="shared" si="55"/>
        <v>0</v>
      </c>
      <c r="S763">
        <f t="shared" si="56"/>
        <v>1</v>
      </c>
      <c r="T763">
        <f t="shared" si="57"/>
        <v>1</v>
      </c>
      <c r="U763">
        <f t="shared" si="58"/>
        <v>1</v>
      </c>
      <c r="V763">
        <f t="shared" si="59"/>
        <v>0</v>
      </c>
    </row>
    <row r="764" spans="1:22" x14ac:dyDescent="0.25">
      <c r="A764">
        <v>761</v>
      </c>
      <c r="B764" t="s">
        <v>10</v>
      </c>
      <c r="C764" t="s">
        <v>250</v>
      </c>
      <c r="D764" s="4">
        <v>45401</v>
      </c>
      <c r="E764" t="s">
        <v>459</v>
      </c>
      <c r="F764" t="s">
        <v>75</v>
      </c>
      <c r="I764" s="6">
        <v>1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>
        <v>1</v>
      </c>
      <c r="R764">
        <f t="shared" si="55"/>
        <v>0</v>
      </c>
      <c r="S764">
        <f t="shared" si="56"/>
        <v>1</v>
      </c>
      <c r="T764">
        <f t="shared" si="57"/>
        <v>1</v>
      </c>
      <c r="U764">
        <f t="shared" si="58"/>
        <v>1</v>
      </c>
      <c r="V764">
        <f t="shared" si="59"/>
        <v>0</v>
      </c>
    </row>
    <row r="765" spans="1:22" x14ac:dyDescent="0.25">
      <c r="A765">
        <v>762</v>
      </c>
      <c r="B765" t="s">
        <v>10</v>
      </c>
      <c r="C765" t="s">
        <v>250</v>
      </c>
      <c r="D765" s="4">
        <v>45402</v>
      </c>
      <c r="E765" t="s">
        <v>460</v>
      </c>
      <c r="F765" t="s">
        <v>75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>
        <v>1</v>
      </c>
      <c r="R765">
        <f t="shared" si="55"/>
        <v>0</v>
      </c>
      <c r="S765">
        <f t="shared" si="56"/>
        <v>1</v>
      </c>
      <c r="T765">
        <f t="shared" si="57"/>
        <v>0</v>
      </c>
      <c r="U765">
        <f t="shared" si="58"/>
        <v>0</v>
      </c>
      <c r="V765">
        <f t="shared" si="59"/>
        <v>0</v>
      </c>
    </row>
    <row r="766" spans="1:22" x14ac:dyDescent="0.25">
      <c r="A766">
        <v>763</v>
      </c>
      <c r="B766" t="s">
        <v>10</v>
      </c>
      <c r="C766" t="s">
        <v>250</v>
      </c>
      <c r="D766" s="4">
        <v>45403</v>
      </c>
      <c r="E766" t="s">
        <v>300</v>
      </c>
      <c r="F766" t="s">
        <v>75</v>
      </c>
      <c r="I766" s="6">
        <v>1</v>
      </c>
      <c r="J766" s="6">
        <v>0</v>
      </c>
      <c r="K766" s="6">
        <v>0</v>
      </c>
      <c r="L766" s="6">
        <v>1</v>
      </c>
      <c r="M766" s="6">
        <v>0</v>
      </c>
      <c r="N766" s="6">
        <v>0</v>
      </c>
      <c r="O766" s="6">
        <v>0</v>
      </c>
      <c r="P766" s="6">
        <v>0</v>
      </c>
      <c r="Q766">
        <v>1</v>
      </c>
      <c r="R766">
        <f t="shared" si="55"/>
        <v>0</v>
      </c>
      <c r="S766">
        <f t="shared" si="56"/>
        <v>1</v>
      </c>
      <c r="T766">
        <f t="shared" si="57"/>
        <v>2</v>
      </c>
      <c r="U766">
        <f t="shared" si="58"/>
        <v>1</v>
      </c>
      <c r="V766">
        <f t="shared" si="59"/>
        <v>0</v>
      </c>
    </row>
    <row r="767" spans="1:22" x14ac:dyDescent="0.25">
      <c r="A767">
        <v>764</v>
      </c>
      <c r="B767" t="s">
        <v>10</v>
      </c>
      <c r="C767" t="s">
        <v>250</v>
      </c>
      <c r="D767" s="4">
        <v>45403</v>
      </c>
      <c r="E767" t="s">
        <v>461</v>
      </c>
      <c r="F767" t="s">
        <v>75</v>
      </c>
      <c r="I767" s="6">
        <v>1</v>
      </c>
      <c r="J767" s="6">
        <v>0</v>
      </c>
      <c r="K767" s="6">
        <v>0</v>
      </c>
      <c r="L767" s="6">
        <v>1</v>
      </c>
      <c r="M767" s="6">
        <v>0</v>
      </c>
      <c r="N767" s="6">
        <v>0</v>
      </c>
      <c r="O767" s="6">
        <v>0</v>
      </c>
      <c r="P767" s="6">
        <v>0</v>
      </c>
      <c r="Q767">
        <v>1</v>
      </c>
      <c r="R767">
        <f t="shared" si="55"/>
        <v>0</v>
      </c>
      <c r="S767">
        <f t="shared" si="56"/>
        <v>1</v>
      </c>
      <c r="T767">
        <f t="shared" si="57"/>
        <v>2</v>
      </c>
      <c r="U767">
        <f t="shared" si="58"/>
        <v>1</v>
      </c>
      <c r="V767">
        <f t="shared" si="59"/>
        <v>0</v>
      </c>
    </row>
    <row r="768" spans="1:22" x14ac:dyDescent="0.25">
      <c r="A768">
        <v>765</v>
      </c>
      <c r="B768" t="s">
        <v>10</v>
      </c>
      <c r="C768" t="s">
        <v>250</v>
      </c>
      <c r="D768" s="4">
        <v>45403</v>
      </c>
      <c r="E768" t="s">
        <v>462</v>
      </c>
      <c r="F768" t="s">
        <v>75</v>
      </c>
      <c r="I768" s="6">
        <v>0</v>
      </c>
      <c r="J768" s="6">
        <v>0</v>
      </c>
      <c r="K768" s="6">
        <v>1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>
        <v>1</v>
      </c>
      <c r="R768">
        <f t="shared" si="55"/>
        <v>0</v>
      </c>
      <c r="S768">
        <f t="shared" si="56"/>
        <v>1</v>
      </c>
      <c r="T768">
        <f t="shared" si="57"/>
        <v>1</v>
      </c>
      <c r="U768">
        <f t="shared" si="58"/>
        <v>1</v>
      </c>
      <c r="V768">
        <f t="shared" si="59"/>
        <v>0</v>
      </c>
    </row>
    <row r="769" spans="1:22" x14ac:dyDescent="0.25">
      <c r="A769">
        <v>766</v>
      </c>
      <c r="B769" t="s">
        <v>10</v>
      </c>
      <c r="C769" t="s">
        <v>250</v>
      </c>
      <c r="D769" s="4">
        <v>45404</v>
      </c>
      <c r="E769" t="s">
        <v>301</v>
      </c>
      <c r="F769" t="s">
        <v>75</v>
      </c>
      <c r="I769" s="6">
        <v>0</v>
      </c>
      <c r="J769" s="6">
        <v>0</v>
      </c>
      <c r="K769" s="6">
        <v>0</v>
      </c>
      <c r="L769" s="6">
        <v>0</v>
      </c>
      <c r="M769" s="6">
        <v>1</v>
      </c>
      <c r="N769" s="6">
        <v>1</v>
      </c>
      <c r="O769" s="6">
        <v>0</v>
      </c>
      <c r="P769" s="6">
        <v>0</v>
      </c>
      <c r="Q769">
        <v>1</v>
      </c>
      <c r="R769">
        <f t="shared" si="55"/>
        <v>0</v>
      </c>
      <c r="S769">
        <f t="shared" si="56"/>
        <v>1</v>
      </c>
      <c r="T769">
        <f t="shared" si="57"/>
        <v>2</v>
      </c>
      <c r="U769">
        <f t="shared" si="58"/>
        <v>1</v>
      </c>
      <c r="V769">
        <f t="shared" si="59"/>
        <v>0</v>
      </c>
    </row>
    <row r="770" spans="1:22" x14ac:dyDescent="0.25">
      <c r="A770">
        <v>767</v>
      </c>
      <c r="B770" t="s">
        <v>10</v>
      </c>
      <c r="C770" t="s">
        <v>250</v>
      </c>
      <c r="D770" s="4">
        <v>45404</v>
      </c>
      <c r="E770" t="s">
        <v>302</v>
      </c>
      <c r="F770" t="s">
        <v>75</v>
      </c>
      <c r="I770" s="6">
        <v>1</v>
      </c>
      <c r="J770" s="6">
        <v>0</v>
      </c>
      <c r="K770" s="6">
        <v>1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>
        <v>1</v>
      </c>
      <c r="R770">
        <f t="shared" si="55"/>
        <v>0</v>
      </c>
      <c r="S770">
        <f t="shared" si="56"/>
        <v>1</v>
      </c>
      <c r="T770">
        <f t="shared" si="57"/>
        <v>2</v>
      </c>
      <c r="U770">
        <f t="shared" si="58"/>
        <v>1</v>
      </c>
      <c r="V770">
        <f t="shared" si="59"/>
        <v>0</v>
      </c>
    </row>
    <row r="771" spans="1:22" x14ac:dyDescent="0.25">
      <c r="A771">
        <v>768</v>
      </c>
      <c r="B771" t="s">
        <v>10</v>
      </c>
      <c r="C771" t="s">
        <v>250</v>
      </c>
      <c r="D771" s="4">
        <v>45405</v>
      </c>
      <c r="E771" t="s">
        <v>463</v>
      </c>
      <c r="F771" t="s">
        <v>75</v>
      </c>
      <c r="I771" s="6">
        <v>0</v>
      </c>
      <c r="J771" s="6">
        <v>0</v>
      </c>
      <c r="K771" s="6">
        <v>1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>
        <v>1</v>
      </c>
      <c r="R771">
        <f t="shared" ref="R771:R834" si="60">IF(AND(Q771=1,F771="ai_full"),1,0)</f>
        <v>0</v>
      </c>
      <c r="S771">
        <f t="shared" ref="S771:S834" si="61">IF(AND(Q771=1,F771="conventional"),1,0)</f>
        <v>1</v>
      </c>
      <c r="T771">
        <f t="shared" ref="T771:T834" si="62">SUM(I771:P771)</f>
        <v>1</v>
      </c>
      <c r="U771">
        <f t="shared" ref="U771:U834" si="63">IF(T771&gt;=1,1,0)</f>
        <v>1</v>
      </c>
      <c r="V771">
        <f t="shared" ref="V771:V834" si="64">IF(F771="ai_full",1,0)</f>
        <v>0</v>
      </c>
    </row>
    <row r="772" spans="1:22" x14ac:dyDescent="0.25">
      <c r="A772">
        <v>769</v>
      </c>
      <c r="B772" t="s">
        <v>10</v>
      </c>
      <c r="C772" t="s">
        <v>250</v>
      </c>
      <c r="D772" s="4">
        <v>45407</v>
      </c>
      <c r="E772" t="s">
        <v>304</v>
      </c>
      <c r="F772" t="s">
        <v>75</v>
      </c>
      <c r="I772" s="6">
        <v>1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>
        <v>1</v>
      </c>
      <c r="R772">
        <f t="shared" si="60"/>
        <v>0</v>
      </c>
      <c r="S772">
        <f t="shared" si="61"/>
        <v>1</v>
      </c>
      <c r="T772">
        <f t="shared" si="62"/>
        <v>1</v>
      </c>
      <c r="U772">
        <f t="shared" si="63"/>
        <v>1</v>
      </c>
      <c r="V772">
        <f t="shared" si="64"/>
        <v>0</v>
      </c>
    </row>
    <row r="773" spans="1:22" x14ac:dyDescent="0.25">
      <c r="A773">
        <v>770</v>
      </c>
      <c r="B773" t="s">
        <v>10</v>
      </c>
      <c r="C773" t="s">
        <v>250</v>
      </c>
      <c r="D773" s="4">
        <v>45407</v>
      </c>
      <c r="E773" t="s">
        <v>464</v>
      </c>
      <c r="F773" t="s">
        <v>75</v>
      </c>
      <c r="I773" s="6">
        <v>0</v>
      </c>
      <c r="J773" s="6">
        <v>0</v>
      </c>
      <c r="K773" s="6">
        <v>0</v>
      </c>
      <c r="L773" s="6">
        <v>1</v>
      </c>
      <c r="M773" s="6">
        <v>0</v>
      </c>
      <c r="N773" s="6">
        <v>0</v>
      </c>
      <c r="O773" s="6">
        <v>0</v>
      </c>
      <c r="P773" s="6">
        <v>0</v>
      </c>
      <c r="Q773">
        <v>1</v>
      </c>
      <c r="R773">
        <f t="shared" si="60"/>
        <v>0</v>
      </c>
      <c r="S773">
        <f t="shared" si="61"/>
        <v>1</v>
      </c>
      <c r="T773">
        <f t="shared" si="62"/>
        <v>1</v>
      </c>
      <c r="U773">
        <f t="shared" si="63"/>
        <v>1</v>
      </c>
      <c r="V773">
        <f t="shared" si="64"/>
        <v>0</v>
      </c>
    </row>
    <row r="774" spans="1:22" x14ac:dyDescent="0.25">
      <c r="A774">
        <v>771</v>
      </c>
      <c r="B774" t="s">
        <v>10</v>
      </c>
      <c r="C774" t="s">
        <v>250</v>
      </c>
      <c r="D774" s="4">
        <v>45408</v>
      </c>
      <c r="E774" t="s">
        <v>1877</v>
      </c>
      <c r="F774" t="s">
        <v>75</v>
      </c>
      <c r="I774" s="6">
        <v>0</v>
      </c>
      <c r="J774" s="6">
        <v>0</v>
      </c>
      <c r="K774" s="6">
        <v>0</v>
      </c>
      <c r="L774" s="6">
        <v>0</v>
      </c>
      <c r="M774" s="6">
        <v>1</v>
      </c>
      <c r="N774" s="6">
        <v>0</v>
      </c>
      <c r="O774" s="6">
        <v>0</v>
      </c>
      <c r="P774" s="6">
        <v>0</v>
      </c>
      <c r="Q774">
        <v>1</v>
      </c>
      <c r="R774">
        <f t="shared" si="60"/>
        <v>0</v>
      </c>
      <c r="S774">
        <f t="shared" si="61"/>
        <v>1</v>
      </c>
      <c r="T774">
        <f t="shared" si="62"/>
        <v>1</v>
      </c>
      <c r="U774">
        <f t="shared" si="63"/>
        <v>1</v>
      </c>
      <c r="V774">
        <f t="shared" si="64"/>
        <v>0</v>
      </c>
    </row>
    <row r="775" spans="1:22" x14ac:dyDescent="0.25">
      <c r="A775">
        <v>772</v>
      </c>
      <c r="B775" t="s">
        <v>10</v>
      </c>
      <c r="C775" t="s">
        <v>250</v>
      </c>
      <c r="D775" s="4">
        <v>45409</v>
      </c>
      <c r="E775" t="s">
        <v>1480</v>
      </c>
      <c r="F775" t="s">
        <v>75</v>
      </c>
      <c r="I775" s="6">
        <v>0</v>
      </c>
      <c r="J775" s="6">
        <v>0</v>
      </c>
      <c r="K775" s="6">
        <v>1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>
        <v>1</v>
      </c>
      <c r="R775">
        <f t="shared" si="60"/>
        <v>0</v>
      </c>
      <c r="S775">
        <f t="shared" si="61"/>
        <v>1</v>
      </c>
      <c r="T775">
        <f t="shared" si="62"/>
        <v>1</v>
      </c>
      <c r="U775">
        <f t="shared" si="63"/>
        <v>1</v>
      </c>
      <c r="V775">
        <f t="shared" si="64"/>
        <v>0</v>
      </c>
    </row>
    <row r="776" spans="1:22" x14ac:dyDescent="0.25">
      <c r="A776">
        <v>773</v>
      </c>
      <c r="B776" t="s">
        <v>10</v>
      </c>
      <c r="C776" t="s">
        <v>250</v>
      </c>
      <c r="D776" s="4">
        <v>45409</v>
      </c>
      <c r="E776" t="s">
        <v>309</v>
      </c>
      <c r="F776" t="s">
        <v>75</v>
      </c>
      <c r="I776" s="6">
        <v>1</v>
      </c>
      <c r="J776" s="6">
        <v>0</v>
      </c>
      <c r="K776" s="6">
        <v>1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>
        <v>1</v>
      </c>
      <c r="R776">
        <f t="shared" si="60"/>
        <v>0</v>
      </c>
      <c r="S776">
        <f t="shared" si="61"/>
        <v>1</v>
      </c>
      <c r="T776">
        <f t="shared" si="62"/>
        <v>2</v>
      </c>
      <c r="U776">
        <f t="shared" si="63"/>
        <v>1</v>
      </c>
      <c r="V776">
        <f t="shared" si="64"/>
        <v>0</v>
      </c>
    </row>
    <row r="777" spans="1:22" x14ac:dyDescent="0.25">
      <c r="A777">
        <v>774</v>
      </c>
      <c r="B777" t="s">
        <v>10</v>
      </c>
      <c r="C777" t="s">
        <v>250</v>
      </c>
      <c r="D777" s="4">
        <v>45410</v>
      </c>
      <c r="E777" t="s">
        <v>465</v>
      </c>
      <c r="F777" t="s">
        <v>75</v>
      </c>
      <c r="I777" s="6">
        <v>0</v>
      </c>
      <c r="J777" s="6">
        <v>0</v>
      </c>
      <c r="K777" s="6">
        <v>0</v>
      </c>
      <c r="L777" s="6">
        <v>1</v>
      </c>
      <c r="M777" s="6">
        <v>0</v>
      </c>
      <c r="N777" s="6">
        <v>0</v>
      </c>
      <c r="O777" s="6">
        <v>0</v>
      </c>
      <c r="P777" s="6">
        <v>0</v>
      </c>
      <c r="Q777">
        <v>1</v>
      </c>
      <c r="R777">
        <f t="shared" si="60"/>
        <v>0</v>
      </c>
      <c r="S777">
        <f t="shared" si="61"/>
        <v>1</v>
      </c>
      <c r="T777">
        <f t="shared" si="62"/>
        <v>1</v>
      </c>
      <c r="U777">
        <f t="shared" si="63"/>
        <v>1</v>
      </c>
      <c r="V777">
        <f t="shared" si="64"/>
        <v>0</v>
      </c>
    </row>
    <row r="778" spans="1:22" x14ac:dyDescent="0.25">
      <c r="A778">
        <v>775</v>
      </c>
      <c r="B778" t="s">
        <v>10</v>
      </c>
      <c r="C778" t="s">
        <v>250</v>
      </c>
      <c r="D778" s="4">
        <v>45410</v>
      </c>
      <c r="E778" t="s">
        <v>466</v>
      </c>
      <c r="F778" t="s">
        <v>75</v>
      </c>
      <c r="I778" s="6">
        <v>0</v>
      </c>
      <c r="J778" s="6">
        <v>0</v>
      </c>
      <c r="K778" s="6">
        <v>0</v>
      </c>
      <c r="L778" s="6">
        <v>0</v>
      </c>
      <c r="M778" s="6">
        <v>1</v>
      </c>
      <c r="N778" s="6">
        <v>1</v>
      </c>
      <c r="O778" s="6">
        <v>0</v>
      </c>
      <c r="P778" s="6">
        <v>0</v>
      </c>
      <c r="Q778">
        <v>1</v>
      </c>
      <c r="R778">
        <f t="shared" si="60"/>
        <v>0</v>
      </c>
      <c r="S778">
        <f t="shared" si="61"/>
        <v>1</v>
      </c>
      <c r="T778">
        <f t="shared" si="62"/>
        <v>2</v>
      </c>
      <c r="U778">
        <f t="shared" si="63"/>
        <v>1</v>
      </c>
      <c r="V778">
        <f t="shared" si="64"/>
        <v>0</v>
      </c>
    </row>
    <row r="779" spans="1:22" x14ac:dyDescent="0.25">
      <c r="A779">
        <v>776</v>
      </c>
      <c r="B779" t="s">
        <v>10</v>
      </c>
      <c r="C779" t="s">
        <v>250</v>
      </c>
      <c r="D779" s="4">
        <v>45413</v>
      </c>
      <c r="E779" t="s">
        <v>467</v>
      </c>
      <c r="F779" t="s">
        <v>75</v>
      </c>
      <c r="I779" s="6">
        <v>0</v>
      </c>
      <c r="J779" s="6">
        <v>0</v>
      </c>
      <c r="K779" s="6">
        <v>0</v>
      </c>
      <c r="L779" s="6">
        <v>0</v>
      </c>
      <c r="M779" s="6">
        <v>1</v>
      </c>
      <c r="N779" s="6">
        <v>0</v>
      </c>
      <c r="O779" s="6">
        <v>0</v>
      </c>
      <c r="P779" s="6">
        <v>0</v>
      </c>
      <c r="Q779">
        <v>1</v>
      </c>
      <c r="R779">
        <f t="shared" si="60"/>
        <v>0</v>
      </c>
      <c r="S779">
        <f t="shared" si="61"/>
        <v>1</v>
      </c>
      <c r="T779">
        <f t="shared" si="62"/>
        <v>1</v>
      </c>
      <c r="U779">
        <f t="shared" si="63"/>
        <v>1</v>
      </c>
      <c r="V779">
        <f t="shared" si="64"/>
        <v>0</v>
      </c>
    </row>
    <row r="780" spans="1:22" x14ac:dyDescent="0.25">
      <c r="A780">
        <v>777</v>
      </c>
      <c r="B780" t="s">
        <v>10</v>
      </c>
      <c r="C780" t="s">
        <v>250</v>
      </c>
      <c r="D780" s="4">
        <v>45413</v>
      </c>
      <c r="E780" t="s">
        <v>468</v>
      </c>
      <c r="F780" t="s">
        <v>75</v>
      </c>
      <c r="I780" s="6">
        <v>1</v>
      </c>
      <c r="J780" s="6">
        <v>0</v>
      </c>
      <c r="K780" s="6">
        <v>0</v>
      </c>
      <c r="L780" s="6">
        <v>0</v>
      </c>
      <c r="M780" s="6">
        <v>1</v>
      </c>
      <c r="N780" s="6">
        <v>0</v>
      </c>
      <c r="O780" s="6">
        <v>0</v>
      </c>
      <c r="P780" s="6">
        <v>0</v>
      </c>
      <c r="Q780">
        <v>1</v>
      </c>
      <c r="R780">
        <f t="shared" si="60"/>
        <v>0</v>
      </c>
      <c r="S780">
        <f t="shared" si="61"/>
        <v>1</v>
      </c>
      <c r="T780">
        <f t="shared" si="62"/>
        <v>2</v>
      </c>
      <c r="U780">
        <f t="shared" si="63"/>
        <v>1</v>
      </c>
      <c r="V780">
        <f t="shared" si="64"/>
        <v>0</v>
      </c>
    </row>
    <row r="781" spans="1:22" x14ac:dyDescent="0.25">
      <c r="A781">
        <v>778</v>
      </c>
      <c r="B781" t="s">
        <v>10</v>
      </c>
      <c r="C781" t="s">
        <v>250</v>
      </c>
      <c r="D781" s="4">
        <v>45416</v>
      </c>
      <c r="E781" t="s">
        <v>315</v>
      </c>
      <c r="F781" t="s">
        <v>75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1</v>
      </c>
      <c r="O781" s="6">
        <v>0</v>
      </c>
      <c r="P781" s="6">
        <v>0</v>
      </c>
      <c r="Q781">
        <v>1</v>
      </c>
      <c r="R781">
        <f t="shared" si="60"/>
        <v>0</v>
      </c>
      <c r="S781">
        <f t="shared" si="61"/>
        <v>1</v>
      </c>
      <c r="T781">
        <f t="shared" si="62"/>
        <v>1</v>
      </c>
      <c r="U781">
        <f t="shared" si="63"/>
        <v>1</v>
      </c>
      <c r="V781">
        <f t="shared" si="64"/>
        <v>0</v>
      </c>
    </row>
    <row r="782" spans="1:22" x14ac:dyDescent="0.25">
      <c r="A782">
        <v>779</v>
      </c>
      <c r="B782" t="s">
        <v>10</v>
      </c>
      <c r="C782" t="s">
        <v>250</v>
      </c>
      <c r="D782" s="4">
        <v>45416</v>
      </c>
      <c r="E782" t="s">
        <v>316</v>
      </c>
      <c r="F782" t="s">
        <v>75</v>
      </c>
      <c r="I782" s="6">
        <v>0</v>
      </c>
      <c r="J782" s="6">
        <v>0</v>
      </c>
      <c r="K782" s="6">
        <v>1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>
        <v>1</v>
      </c>
      <c r="R782">
        <f t="shared" si="60"/>
        <v>0</v>
      </c>
      <c r="S782">
        <f t="shared" si="61"/>
        <v>1</v>
      </c>
      <c r="T782">
        <f t="shared" si="62"/>
        <v>1</v>
      </c>
      <c r="U782">
        <f t="shared" si="63"/>
        <v>1</v>
      </c>
      <c r="V782">
        <f t="shared" si="64"/>
        <v>0</v>
      </c>
    </row>
    <row r="783" spans="1:22" x14ac:dyDescent="0.25">
      <c r="A783">
        <v>780</v>
      </c>
      <c r="B783" t="s">
        <v>10</v>
      </c>
      <c r="C783" t="s">
        <v>250</v>
      </c>
      <c r="D783" s="4">
        <v>45416</v>
      </c>
      <c r="E783" t="s">
        <v>469</v>
      </c>
      <c r="F783" t="s">
        <v>75</v>
      </c>
      <c r="I783" s="6">
        <v>0</v>
      </c>
      <c r="J783" s="6">
        <v>0</v>
      </c>
      <c r="K783" s="6">
        <v>0</v>
      </c>
      <c r="L783" s="6">
        <v>1</v>
      </c>
      <c r="M783" s="6">
        <v>0</v>
      </c>
      <c r="N783" s="6">
        <v>0</v>
      </c>
      <c r="O783" s="6">
        <v>0</v>
      </c>
      <c r="P783" s="6">
        <v>0</v>
      </c>
      <c r="Q783">
        <v>1</v>
      </c>
      <c r="R783">
        <f t="shared" si="60"/>
        <v>0</v>
      </c>
      <c r="S783">
        <f t="shared" si="61"/>
        <v>1</v>
      </c>
      <c r="T783">
        <f t="shared" si="62"/>
        <v>1</v>
      </c>
      <c r="U783">
        <f t="shared" si="63"/>
        <v>1</v>
      </c>
      <c r="V783">
        <f t="shared" si="64"/>
        <v>0</v>
      </c>
    </row>
    <row r="784" spans="1:22" x14ac:dyDescent="0.25">
      <c r="A784">
        <v>781</v>
      </c>
      <c r="B784" t="s">
        <v>10</v>
      </c>
      <c r="C784" t="s">
        <v>250</v>
      </c>
      <c r="D784" s="4">
        <v>45416</v>
      </c>
      <c r="E784" t="s">
        <v>2140</v>
      </c>
      <c r="F784" t="s">
        <v>75</v>
      </c>
      <c r="I784" s="6">
        <v>1</v>
      </c>
      <c r="J784" s="6">
        <v>0</v>
      </c>
      <c r="K784" s="6">
        <v>1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>
        <v>1</v>
      </c>
      <c r="R784">
        <f t="shared" si="60"/>
        <v>0</v>
      </c>
      <c r="S784">
        <f t="shared" si="61"/>
        <v>1</v>
      </c>
      <c r="T784">
        <f t="shared" si="62"/>
        <v>2</v>
      </c>
      <c r="U784">
        <f t="shared" si="63"/>
        <v>1</v>
      </c>
      <c r="V784">
        <f t="shared" si="64"/>
        <v>0</v>
      </c>
    </row>
    <row r="785" spans="1:22" x14ac:dyDescent="0.25">
      <c r="A785">
        <v>782</v>
      </c>
      <c r="B785" t="s">
        <v>10</v>
      </c>
      <c r="C785" t="s">
        <v>250</v>
      </c>
      <c r="D785" s="4">
        <v>45418</v>
      </c>
      <c r="E785" t="s">
        <v>470</v>
      </c>
      <c r="F785" t="s">
        <v>75</v>
      </c>
      <c r="I785" s="6">
        <v>0</v>
      </c>
      <c r="J785" s="6">
        <v>1</v>
      </c>
      <c r="K785" s="6">
        <v>1</v>
      </c>
      <c r="L785" s="6">
        <v>0</v>
      </c>
      <c r="M785" s="6">
        <v>0</v>
      </c>
      <c r="N785" s="6">
        <v>0</v>
      </c>
      <c r="O785" s="6">
        <v>1</v>
      </c>
      <c r="P785" s="6">
        <v>0</v>
      </c>
      <c r="Q785">
        <v>1</v>
      </c>
      <c r="R785">
        <f t="shared" si="60"/>
        <v>0</v>
      </c>
      <c r="S785">
        <f t="shared" si="61"/>
        <v>1</v>
      </c>
      <c r="T785">
        <f t="shared" si="62"/>
        <v>3</v>
      </c>
      <c r="U785">
        <f t="shared" si="63"/>
        <v>1</v>
      </c>
      <c r="V785">
        <f t="shared" si="64"/>
        <v>0</v>
      </c>
    </row>
    <row r="786" spans="1:22" x14ac:dyDescent="0.25">
      <c r="A786">
        <v>783</v>
      </c>
      <c r="B786" t="s">
        <v>10</v>
      </c>
      <c r="C786" t="s">
        <v>250</v>
      </c>
      <c r="D786" s="4">
        <v>45419</v>
      </c>
      <c r="E786" t="s">
        <v>886</v>
      </c>
      <c r="F786" t="s">
        <v>75</v>
      </c>
      <c r="I786" s="6">
        <v>0</v>
      </c>
      <c r="J786" s="6">
        <v>0</v>
      </c>
      <c r="K786" s="6">
        <v>0</v>
      </c>
      <c r="L786" s="6">
        <v>1</v>
      </c>
      <c r="M786" s="6">
        <v>1</v>
      </c>
      <c r="N786" s="6">
        <v>1</v>
      </c>
      <c r="O786" s="6">
        <v>0</v>
      </c>
      <c r="P786" s="6">
        <v>0</v>
      </c>
      <c r="Q786">
        <v>1</v>
      </c>
      <c r="R786">
        <f t="shared" si="60"/>
        <v>0</v>
      </c>
      <c r="S786">
        <f t="shared" si="61"/>
        <v>1</v>
      </c>
      <c r="T786">
        <f t="shared" si="62"/>
        <v>3</v>
      </c>
      <c r="U786">
        <f t="shared" si="63"/>
        <v>1</v>
      </c>
      <c r="V786">
        <f t="shared" si="64"/>
        <v>0</v>
      </c>
    </row>
    <row r="787" spans="1:22" x14ac:dyDescent="0.25">
      <c r="A787">
        <v>784</v>
      </c>
      <c r="B787" t="s">
        <v>10</v>
      </c>
      <c r="C787" t="s">
        <v>250</v>
      </c>
      <c r="D787" s="4">
        <v>45420</v>
      </c>
      <c r="E787" t="s">
        <v>471</v>
      </c>
      <c r="F787" t="s">
        <v>75</v>
      </c>
      <c r="I787" s="6">
        <v>0</v>
      </c>
      <c r="J787" s="6">
        <v>0</v>
      </c>
      <c r="K787" s="6">
        <v>1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>
        <v>1</v>
      </c>
      <c r="R787">
        <f t="shared" si="60"/>
        <v>0</v>
      </c>
      <c r="S787">
        <f t="shared" si="61"/>
        <v>1</v>
      </c>
      <c r="T787">
        <f t="shared" si="62"/>
        <v>1</v>
      </c>
      <c r="U787">
        <f t="shared" si="63"/>
        <v>1</v>
      </c>
      <c r="V787">
        <f t="shared" si="64"/>
        <v>0</v>
      </c>
    </row>
    <row r="788" spans="1:22" x14ac:dyDescent="0.25">
      <c r="A788">
        <v>785</v>
      </c>
      <c r="B788" t="s">
        <v>10</v>
      </c>
      <c r="C788" t="s">
        <v>250</v>
      </c>
      <c r="D788" s="4">
        <v>45420</v>
      </c>
      <c r="E788" t="s">
        <v>472</v>
      </c>
      <c r="F788" t="s">
        <v>75</v>
      </c>
      <c r="I788" s="6">
        <v>0</v>
      </c>
      <c r="J788" s="6">
        <v>0</v>
      </c>
      <c r="K788" s="6">
        <v>1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>
        <v>1</v>
      </c>
      <c r="R788">
        <f t="shared" si="60"/>
        <v>0</v>
      </c>
      <c r="S788">
        <f t="shared" si="61"/>
        <v>1</v>
      </c>
      <c r="T788">
        <f t="shared" si="62"/>
        <v>1</v>
      </c>
      <c r="U788">
        <f t="shared" si="63"/>
        <v>1</v>
      </c>
      <c r="V788">
        <f t="shared" si="64"/>
        <v>0</v>
      </c>
    </row>
    <row r="789" spans="1:22" x14ac:dyDescent="0.25">
      <c r="A789">
        <v>786</v>
      </c>
      <c r="B789" t="s">
        <v>10</v>
      </c>
      <c r="C789" t="s">
        <v>250</v>
      </c>
      <c r="D789" s="4">
        <v>45420</v>
      </c>
      <c r="E789" t="s">
        <v>473</v>
      </c>
      <c r="F789" t="s">
        <v>75</v>
      </c>
      <c r="I789" s="6">
        <v>1</v>
      </c>
      <c r="J789" s="6">
        <v>0</v>
      </c>
      <c r="K789" s="6">
        <v>1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>
        <v>1</v>
      </c>
      <c r="R789">
        <f t="shared" si="60"/>
        <v>0</v>
      </c>
      <c r="S789">
        <f t="shared" si="61"/>
        <v>1</v>
      </c>
      <c r="T789">
        <f t="shared" si="62"/>
        <v>2</v>
      </c>
      <c r="U789">
        <f t="shared" si="63"/>
        <v>1</v>
      </c>
      <c r="V789">
        <f t="shared" si="64"/>
        <v>0</v>
      </c>
    </row>
    <row r="790" spans="1:22" x14ac:dyDescent="0.25">
      <c r="A790">
        <v>787</v>
      </c>
      <c r="B790" t="s">
        <v>10</v>
      </c>
      <c r="C790" t="s">
        <v>250</v>
      </c>
      <c r="D790" s="4">
        <v>45421</v>
      </c>
      <c r="E790" t="s">
        <v>321</v>
      </c>
      <c r="F790" t="s">
        <v>75</v>
      </c>
      <c r="I790" s="6">
        <v>1</v>
      </c>
      <c r="J790" s="6">
        <v>0</v>
      </c>
      <c r="K790" s="6">
        <v>1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>
        <v>1</v>
      </c>
      <c r="R790">
        <f t="shared" si="60"/>
        <v>0</v>
      </c>
      <c r="S790">
        <f t="shared" si="61"/>
        <v>1</v>
      </c>
      <c r="T790">
        <f t="shared" si="62"/>
        <v>2</v>
      </c>
      <c r="U790">
        <f t="shared" si="63"/>
        <v>1</v>
      </c>
      <c r="V790">
        <f t="shared" si="64"/>
        <v>0</v>
      </c>
    </row>
    <row r="791" spans="1:22" x14ac:dyDescent="0.25">
      <c r="A791">
        <v>788</v>
      </c>
      <c r="B791" t="s">
        <v>10</v>
      </c>
      <c r="C791" t="s">
        <v>250</v>
      </c>
      <c r="D791" s="4">
        <v>45421</v>
      </c>
      <c r="E791" t="s">
        <v>322</v>
      </c>
      <c r="F791" t="s">
        <v>75</v>
      </c>
      <c r="I791" s="6">
        <v>0</v>
      </c>
      <c r="J791" s="6">
        <v>0</v>
      </c>
      <c r="K791" s="6">
        <v>0</v>
      </c>
      <c r="L791" s="6">
        <v>1</v>
      </c>
      <c r="M791" s="6">
        <v>0</v>
      </c>
      <c r="N791" s="6">
        <v>0</v>
      </c>
      <c r="O791" s="6">
        <v>0</v>
      </c>
      <c r="P791" s="6">
        <v>0</v>
      </c>
      <c r="Q791">
        <v>1</v>
      </c>
      <c r="R791">
        <f t="shared" si="60"/>
        <v>0</v>
      </c>
      <c r="S791">
        <f t="shared" si="61"/>
        <v>1</v>
      </c>
      <c r="T791">
        <f t="shared" si="62"/>
        <v>1</v>
      </c>
      <c r="U791">
        <f t="shared" si="63"/>
        <v>1</v>
      </c>
      <c r="V791">
        <f t="shared" si="64"/>
        <v>0</v>
      </c>
    </row>
    <row r="792" spans="1:22" x14ac:dyDescent="0.25">
      <c r="A792">
        <v>789</v>
      </c>
      <c r="B792" t="s">
        <v>10</v>
      </c>
      <c r="C792" t="s">
        <v>250</v>
      </c>
      <c r="D792" s="4">
        <v>45422</v>
      </c>
      <c r="E792" t="s">
        <v>474</v>
      </c>
      <c r="F792" t="s">
        <v>75</v>
      </c>
      <c r="I792" s="6">
        <v>0</v>
      </c>
      <c r="J792" s="6">
        <v>0</v>
      </c>
      <c r="K792" s="6">
        <v>1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>
        <v>1</v>
      </c>
      <c r="R792">
        <f t="shared" si="60"/>
        <v>0</v>
      </c>
      <c r="S792">
        <f t="shared" si="61"/>
        <v>1</v>
      </c>
      <c r="T792">
        <f t="shared" si="62"/>
        <v>1</v>
      </c>
      <c r="U792">
        <f t="shared" si="63"/>
        <v>1</v>
      </c>
      <c r="V792">
        <f t="shared" si="64"/>
        <v>0</v>
      </c>
    </row>
    <row r="793" spans="1:22" x14ac:dyDescent="0.25">
      <c r="A793">
        <v>790</v>
      </c>
      <c r="B793" t="s">
        <v>10</v>
      </c>
      <c r="C793" t="s">
        <v>250</v>
      </c>
      <c r="D793" s="4">
        <v>45424</v>
      </c>
      <c r="E793" t="s">
        <v>475</v>
      </c>
      <c r="F793" t="s">
        <v>75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>
        <v>1</v>
      </c>
      <c r="R793">
        <f t="shared" si="60"/>
        <v>0</v>
      </c>
      <c r="S793">
        <f t="shared" si="61"/>
        <v>1</v>
      </c>
      <c r="T793">
        <f t="shared" si="62"/>
        <v>0</v>
      </c>
      <c r="U793">
        <f t="shared" si="63"/>
        <v>0</v>
      </c>
      <c r="V793">
        <f t="shared" si="64"/>
        <v>0</v>
      </c>
    </row>
    <row r="794" spans="1:22" x14ac:dyDescent="0.25">
      <c r="A794">
        <v>791</v>
      </c>
      <c r="B794" t="s">
        <v>10</v>
      </c>
      <c r="C794" t="s">
        <v>250</v>
      </c>
      <c r="D794" s="4">
        <v>45424</v>
      </c>
      <c r="E794" t="s">
        <v>476</v>
      </c>
      <c r="F794" t="s">
        <v>75</v>
      </c>
      <c r="I794" s="6">
        <v>1</v>
      </c>
      <c r="J794" s="6">
        <v>0</v>
      </c>
      <c r="K794" s="6">
        <v>1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>
        <v>1</v>
      </c>
      <c r="R794">
        <f t="shared" si="60"/>
        <v>0</v>
      </c>
      <c r="S794">
        <f t="shared" si="61"/>
        <v>1</v>
      </c>
      <c r="T794">
        <f t="shared" si="62"/>
        <v>2</v>
      </c>
      <c r="U794">
        <f t="shared" si="63"/>
        <v>1</v>
      </c>
      <c r="V794">
        <f t="shared" si="64"/>
        <v>0</v>
      </c>
    </row>
    <row r="795" spans="1:22" x14ac:dyDescent="0.25">
      <c r="A795">
        <v>792</v>
      </c>
      <c r="B795" t="s">
        <v>10</v>
      </c>
      <c r="C795" t="s">
        <v>250</v>
      </c>
      <c r="D795" s="4">
        <v>45424</v>
      </c>
      <c r="E795" t="s">
        <v>477</v>
      </c>
      <c r="F795" t="s">
        <v>75</v>
      </c>
      <c r="I795" s="6">
        <v>1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>
        <v>1</v>
      </c>
      <c r="R795">
        <f t="shared" si="60"/>
        <v>0</v>
      </c>
      <c r="S795">
        <f t="shared" si="61"/>
        <v>1</v>
      </c>
      <c r="T795">
        <f t="shared" si="62"/>
        <v>1</v>
      </c>
      <c r="U795">
        <f t="shared" si="63"/>
        <v>1</v>
      </c>
      <c r="V795">
        <f t="shared" si="64"/>
        <v>0</v>
      </c>
    </row>
    <row r="796" spans="1:22" x14ac:dyDescent="0.25">
      <c r="A796">
        <v>793</v>
      </c>
      <c r="B796" t="s">
        <v>10</v>
      </c>
      <c r="C796" t="s">
        <v>250</v>
      </c>
      <c r="D796" s="4">
        <v>45424</v>
      </c>
      <c r="E796" t="s">
        <v>478</v>
      </c>
      <c r="F796" t="s">
        <v>75</v>
      </c>
      <c r="I796" s="6">
        <v>0</v>
      </c>
      <c r="J796" s="6">
        <v>0</v>
      </c>
      <c r="K796" s="6">
        <v>0</v>
      </c>
      <c r="L796" s="6">
        <v>1</v>
      </c>
      <c r="M796" s="6">
        <v>0</v>
      </c>
      <c r="N796" s="6">
        <v>0</v>
      </c>
      <c r="O796" s="6">
        <v>0</v>
      </c>
      <c r="P796" s="6">
        <v>0</v>
      </c>
      <c r="Q796">
        <v>1</v>
      </c>
      <c r="R796">
        <f t="shared" si="60"/>
        <v>0</v>
      </c>
      <c r="S796">
        <f t="shared" si="61"/>
        <v>1</v>
      </c>
      <c r="T796">
        <f t="shared" si="62"/>
        <v>1</v>
      </c>
      <c r="U796">
        <f t="shared" si="63"/>
        <v>1</v>
      </c>
      <c r="V796">
        <f t="shared" si="64"/>
        <v>0</v>
      </c>
    </row>
    <row r="797" spans="1:22" x14ac:dyDescent="0.25">
      <c r="A797">
        <v>794</v>
      </c>
      <c r="B797" t="s">
        <v>10</v>
      </c>
      <c r="C797" t="s">
        <v>250</v>
      </c>
      <c r="D797" s="4">
        <v>45429</v>
      </c>
      <c r="E797" t="s">
        <v>890</v>
      </c>
      <c r="F797" t="s">
        <v>75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1</v>
      </c>
      <c r="P797" s="6">
        <v>0</v>
      </c>
      <c r="Q797">
        <v>1</v>
      </c>
      <c r="R797">
        <f t="shared" si="60"/>
        <v>0</v>
      </c>
      <c r="S797">
        <f t="shared" si="61"/>
        <v>1</v>
      </c>
      <c r="T797">
        <f t="shared" si="62"/>
        <v>1</v>
      </c>
      <c r="U797">
        <f t="shared" si="63"/>
        <v>1</v>
      </c>
      <c r="V797">
        <f t="shared" si="64"/>
        <v>0</v>
      </c>
    </row>
    <row r="798" spans="1:22" x14ac:dyDescent="0.25">
      <c r="A798">
        <v>795</v>
      </c>
      <c r="B798" t="s">
        <v>10</v>
      </c>
      <c r="C798" t="s">
        <v>250</v>
      </c>
      <c r="D798" s="4">
        <v>45431</v>
      </c>
      <c r="E798" t="s">
        <v>479</v>
      </c>
      <c r="F798" t="s">
        <v>75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1</v>
      </c>
      <c r="O798" s="6">
        <v>0</v>
      </c>
      <c r="P798" s="6">
        <v>0</v>
      </c>
      <c r="Q798">
        <v>1</v>
      </c>
      <c r="R798">
        <f t="shared" si="60"/>
        <v>0</v>
      </c>
      <c r="S798">
        <f t="shared" si="61"/>
        <v>1</v>
      </c>
      <c r="T798">
        <f t="shared" si="62"/>
        <v>1</v>
      </c>
      <c r="U798">
        <f t="shared" si="63"/>
        <v>1</v>
      </c>
      <c r="V798">
        <f t="shared" si="64"/>
        <v>0</v>
      </c>
    </row>
    <row r="799" spans="1:22" x14ac:dyDescent="0.25">
      <c r="A799">
        <v>796</v>
      </c>
      <c r="B799" t="s">
        <v>10</v>
      </c>
      <c r="C799" t="s">
        <v>250</v>
      </c>
      <c r="D799" s="4">
        <v>45432</v>
      </c>
      <c r="E799" t="s">
        <v>480</v>
      </c>
      <c r="F799" t="s">
        <v>75</v>
      </c>
      <c r="I799" s="6">
        <v>0</v>
      </c>
      <c r="J799" s="6">
        <v>0</v>
      </c>
      <c r="K799" s="6">
        <v>0</v>
      </c>
      <c r="L799" s="6">
        <v>1</v>
      </c>
      <c r="M799" s="6">
        <v>0</v>
      </c>
      <c r="N799" s="6">
        <v>0</v>
      </c>
      <c r="O799" s="6">
        <v>0</v>
      </c>
      <c r="P799" s="6">
        <v>0</v>
      </c>
      <c r="Q799">
        <v>1</v>
      </c>
      <c r="R799">
        <f t="shared" si="60"/>
        <v>0</v>
      </c>
      <c r="S799">
        <f t="shared" si="61"/>
        <v>1</v>
      </c>
      <c r="T799">
        <f t="shared" si="62"/>
        <v>1</v>
      </c>
      <c r="U799">
        <f t="shared" si="63"/>
        <v>1</v>
      </c>
      <c r="V799">
        <f t="shared" si="64"/>
        <v>0</v>
      </c>
    </row>
    <row r="800" spans="1:22" x14ac:dyDescent="0.25">
      <c r="A800">
        <v>797</v>
      </c>
      <c r="B800" t="s">
        <v>10</v>
      </c>
      <c r="C800" t="s">
        <v>250</v>
      </c>
      <c r="D800" s="4">
        <v>45434</v>
      </c>
      <c r="E800" t="s">
        <v>481</v>
      </c>
      <c r="F800" t="s">
        <v>75</v>
      </c>
      <c r="I800" s="6">
        <v>0</v>
      </c>
      <c r="J800" s="6">
        <v>0</v>
      </c>
      <c r="K800" s="6">
        <v>0</v>
      </c>
      <c r="L800" s="6">
        <v>1</v>
      </c>
      <c r="M800" s="6">
        <v>0</v>
      </c>
      <c r="N800" s="6">
        <v>0</v>
      </c>
      <c r="O800" s="6">
        <v>0</v>
      </c>
      <c r="P800" s="6">
        <v>0</v>
      </c>
      <c r="Q800">
        <v>1</v>
      </c>
      <c r="R800">
        <f t="shared" si="60"/>
        <v>0</v>
      </c>
      <c r="S800">
        <f t="shared" si="61"/>
        <v>1</v>
      </c>
      <c r="T800">
        <f t="shared" si="62"/>
        <v>1</v>
      </c>
      <c r="U800">
        <f t="shared" si="63"/>
        <v>1</v>
      </c>
      <c r="V800">
        <f t="shared" si="64"/>
        <v>0</v>
      </c>
    </row>
    <row r="801" spans="1:22" x14ac:dyDescent="0.25">
      <c r="A801">
        <v>798</v>
      </c>
      <c r="B801" t="s">
        <v>10</v>
      </c>
      <c r="C801" t="s">
        <v>250</v>
      </c>
      <c r="D801" s="4">
        <v>45435</v>
      </c>
      <c r="E801" t="s">
        <v>482</v>
      </c>
      <c r="F801" t="s">
        <v>75</v>
      </c>
      <c r="I801" s="6">
        <v>0</v>
      </c>
      <c r="J801" s="6">
        <v>0</v>
      </c>
      <c r="K801" s="6">
        <v>0</v>
      </c>
      <c r="L801" s="6">
        <v>1</v>
      </c>
      <c r="M801" s="6">
        <v>0</v>
      </c>
      <c r="N801" s="6">
        <v>0</v>
      </c>
      <c r="O801" s="6">
        <v>0</v>
      </c>
      <c r="P801" s="6">
        <v>0</v>
      </c>
      <c r="Q801">
        <v>1</v>
      </c>
      <c r="R801">
        <f t="shared" si="60"/>
        <v>0</v>
      </c>
      <c r="S801">
        <f t="shared" si="61"/>
        <v>1</v>
      </c>
      <c r="T801">
        <f t="shared" si="62"/>
        <v>1</v>
      </c>
      <c r="U801">
        <f t="shared" si="63"/>
        <v>1</v>
      </c>
      <c r="V801">
        <f t="shared" si="64"/>
        <v>0</v>
      </c>
    </row>
    <row r="802" spans="1:22" x14ac:dyDescent="0.25">
      <c r="A802">
        <v>799</v>
      </c>
      <c r="B802" t="s">
        <v>10</v>
      </c>
      <c r="C802" t="s">
        <v>250</v>
      </c>
      <c r="D802" s="4">
        <v>45436</v>
      </c>
      <c r="E802" t="s">
        <v>483</v>
      </c>
      <c r="F802" t="s">
        <v>75</v>
      </c>
      <c r="I802" s="6">
        <v>0</v>
      </c>
      <c r="J802" s="6">
        <v>0</v>
      </c>
      <c r="K802" s="6">
        <v>0</v>
      </c>
      <c r="L802" s="6">
        <v>1</v>
      </c>
      <c r="M802" s="6">
        <v>0</v>
      </c>
      <c r="N802" s="6">
        <v>0</v>
      </c>
      <c r="O802" s="6">
        <v>0</v>
      </c>
      <c r="P802" s="6">
        <v>0</v>
      </c>
      <c r="Q802">
        <v>1</v>
      </c>
      <c r="R802">
        <f t="shared" si="60"/>
        <v>0</v>
      </c>
      <c r="S802">
        <f t="shared" si="61"/>
        <v>1</v>
      </c>
      <c r="T802">
        <f t="shared" si="62"/>
        <v>1</v>
      </c>
      <c r="U802">
        <f t="shared" si="63"/>
        <v>1</v>
      </c>
      <c r="V802">
        <f t="shared" si="64"/>
        <v>0</v>
      </c>
    </row>
    <row r="803" spans="1:22" x14ac:dyDescent="0.25">
      <c r="A803">
        <v>800</v>
      </c>
      <c r="B803" t="s">
        <v>10</v>
      </c>
      <c r="C803" t="s">
        <v>250</v>
      </c>
      <c r="D803" s="4">
        <v>45438</v>
      </c>
      <c r="E803" t="s">
        <v>484</v>
      </c>
      <c r="F803" t="s">
        <v>75</v>
      </c>
      <c r="I803" s="6">
        <v>1</v>
      </c>
      <c r="J803" s="6">
        <v>1</v>
      </c>
      <c r="K803" s="6">
        <v>1</v>
      </c>
      <c r="L803" s="6">
        <v>0</v>
      </c>
      <c r="M803" s="6">
        <v>1</v>
      </c>
      <c r="N803" s="6">
        <v>0</v>
      </c>
      <c r="O803" s="6">
        <v>0</v>
      </c>
      <c r="P803" s="6">
        <v>0</v>
      </c>
      <c r="Q803">
        <v>1</v>
      </c>
      <c r="R803">
        <f t="shared" si="60"/>
        <v>0</v>
      </c>
      <c r="S803">
        <f t="shared" si="61"/>
        <v>1</v>
      </c>
      <c r="T803">
        <f t="shared" si="62"/>
        <v>4</v>
      </c>
      <c r="U803">
        <f t="shared" si="63"/>
        <v>1</v>
      </c>
      <c r="V803">
        <f t="shared" si="64"/>
        <v>0</v>
      </c>
    </row>
    <row r="804" spans="1:22" x14ac:dyDescent="0.25">
      <c r="A804">
        <v>801</v>
      </c>
      <c r="B804" t="s">
        <v>10</v>
      </c>
      <c r="C804" t="s">
        <v>250</v>
      </c>
      <c r="D804" s="4">
        <v>45438</v>
      </c>
      <c r="E804" t="s">
        <v>369</v>
      </c>
      <c r="F804" t="s">
        <v>75</v>
      </c>
      <c r="I804" s="6">
        <v>1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>
        <v>1</v>
      </c>
      <c r="R804">
        <f t="shared" si="60"/>
        <v>0</v>
      </c>
      <c r="S804">
        <f t="shared" si="61"/>
        <v>1</v>
      </c>
      <c r="T804">
        <f t="shared" si="62"/>
        <v>1</v>
      </c>
      <c r="U804">
        <f t="shared" si="63"/>
        <v>1</v>
      </c>
      <c r="V804">
        <f t="shared" si="64"/>
        <v>0</v>
      </c>
    </row>
    <row r="805" spans="1:22" x14ac:dyDescent="0.25">
      <c r="A805">
        <v>802</v>
      </c>
      <c r="B805" t="s">
        <v>10</v>
      </c>
      <c r="C805" t="s">
        <v>250</v>
      </c>
      <c r="D805" s="4">
        <v>45438</v>
      </c>
      <c r="E805" t="s">
        <v>485</v>
      </c>
      <c r="F805" t="s">
        <v>75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1</v>
      </c>
      <c r="P805" s="6">
        <v>0</v>
      </c>
      <c r="Q805">
        <v>1</v>
      </c>
      <c r="R805">
        <f t="shared" si="60"/>
        <v>0</v>
      </c>
      <c r="S805">
        <f t="shared" si="61"/>
        <v>1</v>
      </c>
      <c r="T805">
        <f t="shared" si="62"/>
        <v>1</v>
      </c>
      <c r="U805">
        <f t="shared" si="63"/>
        <v>1</v>
      </c>
      <c r="V805">
        <f t="shared" si="64"/>
        <v>0</v>
      </c>
    </row>
    <row r="806" spans="1:22" x14ac:dyDescent="0.25">
      <c r="A806">
        <v>803</v>
      </c>
      <c r="B806" t="s">
        <v>10</v>
      </c>
      <c r="C806" t="s">
        <v>250</v>
      </c>
      <c r="D806" s="4">
        <v>45438</v>
      </c>
      <c r="E806" t="s">
        <v>486</v>
      </c>
      <c r="F806" t="s">
        <v>75</v>
      </c>
      <c r="I806" s="6">
        <v>1</v>
      </c>
      <c r="J806" s="6">
        <v>0</v>
      </c>
      <c r="K806" s="6">
        <v>0</v>
      </c>
      <c r="L806" s="6">
        <v>1</v>
      </c>
      <c r="M806" s="6">
        <v>1</v>
      </c>
      <c r="N806" s="6">
        <v>0</v>
      </c>
      <c r="O806" s="6">
        <v>0</v>
      </c>
      <c r="P806" s="6">
        <v>0</v>
      </c>
      <c r="Q806">
        <v>1</v>
      </c>
      <c r="R806">
        <f t="shared" si="60"/>
        <v>0</v>
      </c>
      <c r="S806">
        <f t="shared" si="61"/>
        <v>1</v>
      </c>
      <c r="T806">
        <f t="shared" si="62"/>
        <v>3</v>
      </c>
      <c r="U806">
        <f t="shared" si="63"/>
        <v>1</v>
      </c>
      <c r="V806">
        <f t="shared" si="64"/>
        <v>0</v>
      </c>
    </row>
    <row r="807" spans="1:22" x14ac:dyDescent="0.25">
      <c r="A807">
        <v>804</v>
      </c>
      <c r="B807" t="s">
        <v>10</v>
      </c>
      <c r="C807" t="s">
        <v>250</v>
      </c>
      <c r="D807" s="4">
        <v>45438</v>
      </c>
      <c r="E807" t="s">
        <v>487</v>
      </c>
      <c r="F807" t="s">
        <v>75</v>
      </c>
      <c r="I807" s="6">
        <v>0</v>
      </c>
      <c r="J807" s="6">
        <v>0</v>
      </c>
      <c r="K807" s="6">
        <v>0</v>
      </c>
      <c r="L807" s="6">
        <v>1</v>
      </c>
      <c r="M807" s="6">
        <v>0</v>
      </c>
      <c r="N807" s="6">
        <v>0</v>
      </c>
      <c r="O807" s="6">
        <v>0</v>
      </c>
      <c r="P807" s="6">
        <v>0</v>
      </c>
      <c r="Q807">
        <v>1</v>
      </c>
      <c r="R807">
        <f t="shared" si="60"/>
        <v>0</v>
      </c>
      <c r="S807">
        <f t="shared" si="61"/>
        <v>1</v>
      </c>
      <c r="T807">
        <f t="shared" si="62"/>
        <v>1</v>
      </c>
      <c r="U807">
        <f t="shared" si="63"/>
        <v>1</v>
      </c>
      <c r="V807">
        <f t="shared" si="64"/>
        <v>0</v>
      </c>
    </row>
    <row r="808" spans="1:22" x14ac:dyDescent="0.25">
      <c r="A808">
        <v>805</v>
      </c>
      <c r="B808" t="s">
        <v>10</v>
      </c>
      <c r="C808" t="s">
        <v>250</v>
      </c>
      <c r="D808" s="4">
        <v>45439</v>
      </c>
      <c r="E808" t="s">
        <v>370</v>
      </c>
      <c r="F808" t="s">
        <v>75</v>
      </c>
      <c r="I808" s="6">
        <v>0</v>
      </c>
      <c r="J808" s="6">
        <v>0</v>
      </c>
      <c r="K808" s="6">
        <v>0</v>
      </c>
      <c r="L808" s="6">
        <v>1</v>
      </c>
      <c r="M808" s="6">
        <v>0</v>
      </c>
      <c r="N808" s="6">
        <v>0</v>
      </c>
      <c r="O808" s="6">
        <v>0</v>
      </c>
      <c r="P808" s="6">
        <v>0</v>
      </c>
      <c r="Q808">
        <v>1</v>
      </c>
      <c r="R808">
        <f t="shared" si="60"/>
        <v>0</v>
      </c>
      <c r="S808">
        <f t="shared" si="61"/>
        <v>1</v>
      </c>
      <c r="T808">
        <f t="shared" si="62"/>
        <v>1</v>
      </c>
      <c r="U808">
        <f t="shared" si="63"/>
        <v>1</v>
      </c>
      <c r="V808">
        <f t="shared" si="64"/>
        <v>0</v>
      </c>
    </row>
    <row r="809" spans="1:22" x14ac:dyDescent="0.25">
      <c r="A809">
        <v>806</v>
      </c>
      <c r="B809" t="s">
        <v>10</v>
      </c>
      <c r="C809" t="s">
        <v>250</v>
      </c>
      <c r="D809" s="4">
        <v>45440</v>
      </c>
      <c r="E809" t="s">
        <v>488</v>
      </c>
      <c r="F809" t="s">
        <v>75</v>
      </c>
      <c r="I809" s="6">
        <v>1</v>
      </c>
      <c r="J809" s="6">
        <v>0</v>
      </c>
      <c r="K809" s="6">
        <v>0</v>
      </c>
      <c r="L809" s="6">
        <v>1</v>
      </c>
      <c r="M809" s="6">
        <v>0</v>
      </c>
      <c r="N809" s="6">
        <v>0</v>
      </c>
      <c r="O809" s="6">
        <v>0</v>
      </c>
      <c r="P809" s="6">
        <v>0</v>
      </c>
      <c r="Q809">
        <v>1</v>
      </c>
      <c r="R809">
        <f t="shared" si="60"/>
        <v>0</v>
      </c>
      <c r="S809">
        <f t="shared" si="61"/>
        <v>1</v>
      </c>
      <c r="T809">
        <f t="shared" si="62"/>
        <v>2</v>
      </c>
      <c r="U809">
        <f t="shared" si="63"/>
        <v>1</v>
      </c>
      <c r="V809">
        <f t="shared" si="64"/>
        <v>0</v>
      </c>
    </row>
    <row r="810" spans="1:22" x14ac:dyDescent="0.25">
      <c r="A810">
        <v>807</v>
      </c>
      <c r="B810" t="s">
        <v>10</v>
      </c>
      <c r="C810" t="s">
        <v>250</v>
      </c>
      <c r="D810" s="4">
        <v>45440</v>
      </c>
      <c r="E810" t="s">
        <v>371</v>
      </c>
      <c r="F810" t="s">
        <v>75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>
        <v>1</v>
      </c>
      <c r="R810">
        <f t="shared" si="60"/>
        <v>0</v>
      </c>
      <c r="S810">
        <f t="shared" si="61"/>
        <v>1</v>
      </c>
      <c r="T810">
        <f t="shared" si="62"/>
        <v>0</v>
      </c>
      <c r="U810">
        <f t="shared" si="63"/>
        <v>0</v>
      </c>
      <c r="V810">
        <f t="shared" si="64"/>
        <v>0</v>
      </c>
    </row>
    <row r="811" spans="1:22" x14ac:dyDescent="0.25">
      <c r="A811">
        <v>808</v>
      </c>
      <c r="B811" t="s">
        <v>10</v>
      </c>
      <c r="C811" t="s">
        <v>250</v>
      </c>
      <c r="D811" s="4">
        <v>45440</v>
      </c>
      <c r="E811" t="s">
        <v>895</v>
      </c>
      <c r="F811" t="s">
        <v>75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>
        <v>1</v>
      </c>
      <c r="R811">
        <f t="shared" si="60"/>
        <v>0</v>
      </c>
      <c r="S811">
        <f t="shared" si="61"/>
        <v>1</v>
      </c>
      <c r="T811">
        <f t="shared" si="62"/>
        <v>0</v>
      </c>
      <c r="U811">
        <f t="shared" si="63"/>
        <v>0</v>
      </c>
      <c r="V811">
        <f t="shared" si="64"/>
        <v>0</v>
      </c>
    </row>
    <row r="812" spans="1:22" x14ac:dyDescent="0.25">
      <c r="A812">
        <v>809</v>
      </c>
      <c r="B812" t="s">
        <v>10</v>
      </c>
      <c r="C812" t="s">
        <v>250</v>
      </c>
      <c r="D812" s="4">
        <v>45441</v>
      </c>
      <c r="E812" t="s">
        <v>374</v>
      </c>
      <c r="F812" t="s">
        <v>75</v>
      </c>
      <c r="I812" s="6">
        <v>0</v>
      </c>
      <c r="J812" s="6">
        <v>0</v>
      </c>
      <c r="K812" s="6">
        <v>0</v>
      </c>
      <c r="L812" s="6">
        <v>1</v>
      </c>
      <c r="M812" s="6">
        <v>0</v>
      </c>
      <c r="N812" s="6">
        <v>0</v>
      </c>
      <c r="O812" s="6">
        <v>1</v>
      </c>
      <c r="P812" s="6">
        <v>0</v>
      </c>
      <c r="Q812">
        <v>1</v>
      </c>
      <c r="R812">
        <f t="shared" si="60"/>
        <v>0</v>
      </c>
      <c r="S812">
        <f t="shared" si="61"/>
        <v>1</v>
      </c>
      <c r="T812">
        <f t="shared" si="62"/>
        <v>2</v>
      </c>
      <c r="U812">
        <f t="shared" si="63"/>
        <v>1</v>
      </c>
      <c r="V812">
        <f t="shared" si="64"/>
        <v>0</v>
      </c>
    </row>
    <row r="813" spans="1:22" x14ac:dyDescent="0.25">
      <c r="A813">
        <v>810</v>
      </c>
      <c r="B813" t="s">
        <v>10</v>
      </c>
      <c r="C813" t="s">
        <v>250</v>
      </c>
      <c r="D813" s="4">
        <v>45441</v>
      </c>
      <c r="E813" t="s">
        <v>375</v>
      </c>
      <c r="F813" t="s">
        <v>75</v>
      </c>
      <c r="I813" s="6">
        <v>1</v>
      </c>
      <c r="J813" s="6">
        <v>0</v>
      </c>
      <c r="K813" s="6">
        <v>0</v>
      </c>
      <c r="L813" s="6">
        <v>0</v>
      </c>
      <c r="M813" s="6">
        <v>1</v>
      </c>
      <c r="N813" s="6">
        <v>0</v>
      </c>
      <c r="O813" s="6">
        <v>0</v>
      </c>
      <c r="P813" s="6">
        <v>0</v>
      </c>
      <c r="Q813">
        <v>1</v>
      </c>
      <c r="R813">
        <f t="shared" si="60"/>
        <v>0</v>
      </c>
      <c r="S813">
        <f t="shared" si="61"/>
        <v>1</v>
      </c>
      <c r="T813">
        <f t="shared" si="62"/>
        <v>2</v>
      </c>
      <c r="U813">
        <f t="shared" si="63"/>
        <v>1</v>
      </c>
      <c r="V813">
        <f t="shared" si="64"/>
        <v>0</v>
      </c>
    </row>
    <row r="814" spans="1:22" x14ac:dyDescent="0.25">
      <c r="A814">
        <v>811</v>
      </c>
      <c r="B814" t="s">
        <v>10</v>
      </c>
      <c r="C814" t="s">
        <v>250</v>
      </c>
      <c r="D814" s="4">
        <v>45441</v>
      </c>
      <c r="E814" t="s">
        <v>489</v>
      </c>
      <c r="F814" t="s">
        <v>75</v>
      </c>
      <c r="I814" s="6">
        <v>1</v>
      </c>
      <c r="J814" s="6">
        <v>0</v>
      </c>
      <c r="K814" s="6">
        <v>0</v>
      </c>
      <c r="L814" s="6">
        <v>1</v>
      </c>
      <c r="M814" s="6">
        <v>1</v>
      </c>
      <c r="N814" s="6">
        <v>0</v>
      </c>
      <c r="O814" s="6">
        <v>0</v>
      </c>
      <c r="P814" s="6">
        <v>0</v>
      </c>
      <c r="Q814">
        <v>1</v>
      </c>
      <c r="R814">
        <f t="shared" si="60"/>
        <v>0</v>
      </c>
      <c r="S814">
        <f t="shared" si="61"/>
        <v>1</v>
      </c>
      <c r="T814">
        <f t="shared" si="62"/>
        <v>3</v>
      </c>
      <c r="U814">
        <f t="shared" si="63"/>
        <v>1</v>
      </c>
      <c r="V814">
        <f t="shared" si="64"/>
        <v>0</v>
      </c>
    </row>
    <row r="815" spans="1:22" x14ac:dyDescent="0.25">
      <c r="A815">
        <v>812</v>
      </c>
      <c r="B815" t="s">
        <v>10</v>
      </c>
      <c r="C815" t="s">
        <v>250</v>
      </c>
      <c r="D815" s="4">
        <v>45442</v>
      </c>
      <c r="E815" t="s">
        <v>1099</v>
      </c>
      <c r="F815" t="s">
        <v>75</v>
      </c>
      <c r="I815" s="6">
        <v>0</v>
      </c>
      <c r="J815" s="6">
        <v>0</v>
      </c>
      <c r="K815" s="6">
        <v>0</v>
      </c>
      <c r="L815" s="6">
        <v>1</v>
      </c>
      <c r="M815" s="6">
        <v>1</v>
      </c>
      <c r="N815" s="6">
        <v>0</v>
      </c>
      <c r="O815" s="6">
        <v>0</v>
      </c>
      <c r="P815" s="6">
        <v>0</v>
      </c>
      <c r="Q815">
        <v>1</v>
      </c>
      <c r="R815">
        <f t="shared" si="60"/>
        <v>0</v>
      </c>
      <c r="S815">
        <f t="shared" si="61"/>
        <v>1</v>
      </c>
      <c r="T815">
        <f t="shared" si="62"/>
        <v>2</v>
      </c>
      <c r="U815">
        <f t="shared" si="63"/>
        <v>1</v>
      </c>
      <c r="V815">
        <f t="shared" si="64"/>
        <v>0</v>
      </c>
    </row>
    <row r="816" spans="1:22" x14ac:dyDescent="0.25">
      <c r="A816">
        <v>813</v>
      </c>
      <c r="B816" t="s">
        <v>10</v>
      </c>
      <c r="C816" t="s">
        <v>250</v>
      </c>
      <c r="D816" s="4">
        <v>45442</v>
      </c>
      <c r="E816" t="s">
        <v>490</v>
      </c>
      <c r="F816" t="s">
        <v>75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1</v>
      </c>
      <c r="O816" s="6">
        <v>0</v>
      </c>
      <c r="P816" s="6">
        <v>0</v>
      </c>
      <c r="Q816">
        <v>1</v>
      </c>
      <c r="R816">
        <f t="shared" si="60"/>
        <v>0</v>
      </c>
      <c r="S816">
        <f t="shared" si="61"/>
        <v>1</v>
      </c>
      <c r="T816">
        <f t="shared" si="62"/>
        <v>1</v>
      </c>
      <c r="U816">
        <f t="shared" si="63"/>
        <v>1</v>
      </c>
      <c r="V816">
        <f t="shared" si="64"/>
        <v>0</v>
      </c>
    </row>
    <row r="817" spans="1:22" x14ac:dyDescent="0.25">
      <c r="A817">
        <v>814</v>
      </c>
      <c r="B817" t="s">
        <v>10</v>
      </c>
      <c r="C817" t="s">
        <v>250</v>
      </c>
      <c r="D817" s="4">
        <v>45442</v>
      </c>
      <c r="E817" t="s">
        <v>1100</v>
      </c>
      <c r="F817" t="s">
        <v>75</v>
      </c>
      <c r="I817" s="6">
        <v>1</v>
      </c>
      <c r="J817" s="6">
        <v>0</v>
      </c>
      <c r="K817" s="6">
        <v>0</v>
      </c>
      <c r="L817" s="6">
        <v>1</v>
      </c>
      <c r="M817" s="6">
        <v>1</v>
      </c>
      <c r="N817" s="6">
        <v>0</v>
      </c>
      <c r="O817" s="6">
        <v>0</v>
      </c>
      <c r="P817" s="6">
        <v>0</v>
      </c>
      <c r="Q817">
        <v>1</v>
      </c>
      <c r="R817">
        <f t="shared" si="60"/>
        <v>0</v>
      </c>
      <c r="S817">
        <f t="shared" si="61"/>
        <v>1</v>
      </c>
      <c r="T817">
        <f t="shared" si="62"/>
        <v>3</v>
      </c>
      <c r="U817">
        <f t="shared" si="63"/>
        <v>1</v>
      </c>
      <c r="V817">
        <f t="shared" si="64"/>
        <v>0</v>
      </c>
    </row>
    <row r="818" spans="1:22" x14ac:dyDescent="0.25">
      <c r="A818">
        <v>815</v>
      </c>
      <c r="B818" t="s">
        <v>10</v>
      </c>
      <c r="C818" t="s">
        <v>250</v>
      </c>
      <c r="D818" s="4">
        <v>45445</v>
      </c>
      <c r="E818" t="s">
        <v>380</v>
      </c>
      <c r="F818" t="s">
        <v>75</v>
      </c>
      <c r="I818" s="6">
        <v>1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1</v>
      </c>
      <c r="Q818">
        <v>1</v>
      </c>
      <c r="R818">
        <f t="shared" si="60"/>
        <v>0</v>
      </c>
      <c r="S818">
        <f t="shared" si="61"/>
        <v>1</v>
      </c>
      <c r="T818">
        <f t="shared" si="62"/>
        <v>2</v>
      </c>
      <c r="U818">
        <f t="shared" si="63"/>
        <v>1</v>
      </c>
      <c r="V818">
        <f t="shared" si="64"/>
        <v>0</v>
      </c>
    </row>
    <row r="819" spans="1:22" x14ac:dyDescent="0.25">
      <c r="A819">
        <v>816</v>
      </c>
      <c r="B819" t="s">
        <v>10</v>
      </c>
      <c r="C819" t="s">
        <v>250</v>
      </c>
      <c r="D819" s="4">
        <v>45445</v>
      </c>
      <c r="E819" t="s">
        <v>381</v>
      </c>
      <c r="F819" t="s">
        <v>75</v>
      </c>
      <c r="H819" t="s">
        <v>491</v>
      </c>
      <c r="I819" s="6">
        <v>1</v>
      </c>
      <c r="J819" s="6">
        <v>0</v>
      </c>
      <c r="K819" s="6">
        <v>0</v>
      </c>
      <c r="L819" s="6">
        <v>1</v>
      </c>
      <c r="M819" s="6">
        <v>1</v>
      </c>
      <c r="N819" s="6">
        <v>0</v>
      </c>
      <c r="O819" s="6">
        <v>0</v>
      </c>
      <c r="P819" s="6">
        <v>0</v>
      </c>
      <c r="Q819">
        <v>1</v>
      </c>
      <c r="R819">
        <f t="shared" si="60"/>
        <v>0</v>
      </c>
      <c r="S819">
        <f t="shared" si="61"/>
        <v>1</v>
      </c>
      <c r="T819">
        <f t="shared" si="62"/>
        <v>3</v>
      </c>
      <c r="U819">
        <f t="shared" si="63"/>
        <v>1</v>
      </c>
      <c r="V819">
        <f t="shared" si="64"/>
        <v>0</v>
      </c>
    </row>
    <row r="820" spans="1:22" x14ac:dyDescent="0.25">
      <c r="A820">
        <v>817</v>
      </c>
      <c r="B820" t="s">
        <v>10</v>
      </c>
      <c r="C820" t="s">
        <v>250</v>
      </c>
      <c r="D820" s="4">
        <v>45445</v>
      </c>
      <c r="E820" t="s">
        <v>382</v>
      </c>
      <c r="F820" t="s">
        <v>75</v>
      </c>
      <c r="I820" s="6">
        <v>0</v>
      </c>
      <c r="J820" s="6">
        <v>0</v>
      </c>
      <c r="K820" s="6">
        <v>0</v>
      </c>
      <c r="L820" s="6">
        <v>1</v>
      </c>
      <c r="M820" s="6">
        <v>0</v>
      </c>
      <c r="N820" s="6">
        <v>0</v>
      </c>
      <c r="O820" s="6">
        <v>0</v>
      </c>
      <c r="P820" s="6">
        <v>0</v>
      </c>
      <c r="Q820">
        <v>1</v>
      </c>
      <c r="R820">
        <f t="shared" si="60"/>
        <v>0</v>
      </c>
      <c r="S820">
        <f t="shared" si="61"/>
        <v>1</v>
      </c>
      <c r="T820">
        <f t="shared" si="62"/>
        <v>1</v>
      </c>
      <c r="U820">
        <f t="shared" si="63"/>
        <v>1</v>
      </c>
      <c r="V820">
        <f t="shared" si="64"/>
        <v>0</v>
      </c>
    </row>
    <row r="821" spans="1:22" x14ac:dyDescent="0.25">
      <c r="A821">
        <v>818</v>
      </c>
      <c r="B821" t="s">
        <v>10</v>
      </c>
      <c r="C821" t="s">
        <v>250</v>
      </c>
      <c r="D821" s="4">
        <v>45446</v>
      </c>
      <c r="E821" t="s">
        <v>383</v>
      </c>
      <c r="F821" t="s">
        <v>75</v>
      </c>
      <c r="I821" s="6">
        <v>0</v>
      </c>
      <c r="J821" s="6">
        <v>0</v>
      </c>
      <c r="K821" s="6">
        <v>1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>
        <v>1</v>
      </c>
      <c r="R821">
        <f t="shared" si="60"/>
        <v>0</v>
      </c>
      <c r="S821">
        <f t="shared" si="61"/>
        <v>1</v>
      </c>
      <c r="T821">
        <f t="shared" si="62"/>
        <v>1</v>
      </c>
      <c r="U821">
        <f t="shared" si="63"/>
        <v>1</v>
      </c>
      <c r="V821">
        <f t="shared" si="64"/>
        <v>0</v>
      </c>
    </row>
    <row r="822" spans="1:22" x14ac:dyDescent="0.25">
      <c r="A822">
        <v>819</v>
      </c>
      <c r="B822" t="s">
        <v>10</v>
      </c>
      <c r="C822" t="s">
        <v>250</v>
      </c>
      <c r="D822" s="4">
        <v>45446</v>
      </c>
      <c r="E822" t="s">
        <v>384</v>
      </c>
      <c r="F822" t="s">
        <v>75</v>
      </c>
      <c r="I822" s="6">
        <v>1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>
        <v>1</v>
      </c>
      <c r="R822">
        <f t="shared" si="60"/>
        <v>0</v>
      </c>
      <c r="S822">
        <f t="shared" si="61"/>
        <v>1</v>
      </c>
      <c r="T822">
        <f t="shared" si="62"/>
        <v>1</v>
      </c>
      <c r="U822">
        <f t="shared" si="63"/>
        <v>1</v>
      </c>
      <c r="V822">
        <f t="shared" si="64"/>
        <v>0</v>
      </c>
    </row>
    <row r="823" spans="1:22" x14ac:dyDescent="0.25">
      <c r="A823">
        <v>820</v>
      </c>
      <c r="B823" t="s">
        <v>10</v>
      </c>
      <c r="C823" t="s">
        <v>250</v>
      </c>
      <c r="D823" s="4">
        <v>45446</v>
      </c>
      <c r="E823" t="s">
        <v>385</v>
      </c>
      <c r="F823" t="s">
        <v>75</v>
      </c>
      <c r="I823" s="6">
        <v>1</v>
      </c>
      <c r="J823" s="6">
        <v>0</v>
      </c>
      <c r="K823" s="6">
        <v>0</v>
      </c>
      <c r="L823" s="6">
        <v>1</v>
      </c>
      <c r="M823" s="6">
        <v>0</v>
      </c>
      <c r="N823" s="6">
        <v>0</v>
      </c>
      <c r="O823" s="6">
        <v>0</v>
      </c>
      <c r="P823" s="6">
        <v>0</v>
      </c>
      <c r="Q823">
        <v>1</v>
      </c>
      <c r="R823">
        <f t="shared" si="60"/>
        <v>0</v>
      </c>
      <c r="S823">
        <f t="shared" si="61"/>
        <v>1</v>
      </c>
      <c r="T823">
        <f t="shared" si="62"/>
        <v>2</v>
      </c>
      <c r="U823">
        <f t="shared" si="63"/>
        <v>1</v>
      </c>
      <c r="V823">
        <f t="shared" si="64"/>
        <v>0</v>
      </c>
    </row>
    <row r="824" spans="1:22" x14ac:dyDescent="0.25">
      <c r="A824">
        <v>821</v>
      </c>
      <c r="B824" t="s">
        <v>10</v>
      </c>
      <c r="C824" t="s">
        <v>250</v>
      </c>
      <c r="D824" s="4">
        <v>45446</v>
      </c>
      <c r="E824" t="s">
        <v>386</v>
      </c>
      <c r="F824" t="s">
        <v>75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>
        <v>1</v>
      </c>
      <c r="R824">
        <f t="shared" si="60"/>
        <v>0</v>
      </c>
      <c r="S824">
        <f t="shared" si="61"/>
        <v>1</v>
      </c>
      <c r="T824">
        <f t="shared" si="62"/>
        <v>0</v>
      </c>
      <c r="U824">
        <f t="shared" si="63"/>
        <v>0</v>
      </c>
      <c r="V824">
        <f t="shared" si="64"/>
        <v>0</v>
      </c>
    </row>
    <row r="825" spans="1:22" x14ac:dyDescent="0.25">
      <c r="A825">
        <v>822</v>
      </c>
      <c r="B825" t="s">
        <v>10</v>
      </c>
      <c r="C825" t="s">
        <v>250</v>
      </c>
      <c r="D825" s="4">
        <v>45446</v>
      </c>
      <c r="E825" t="s">
        <v>492</v>
      </c>
      <c r="F825" t="s">
        <v>75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>
        <v>1</v>
      </c>
      <c r="R825">
        <f t="shared" si="60"/>
        <v>0</v>
      </c>
      <c r="S825">
        <f t="shared" si="61"/>
        <v>1</v>
      </c>
      <c r="T825">
        <f t="shared" si="62"/>
        <v>0</v>
      </c>
      <c r="U825">
        <f t="shared" si="63"/>
        <v>0</v>
      </c>
      <c r="V825">
        <f t="shared" si="64"/>
        <v>0</v>
      </c>
    </row>
    <row r="826" spans="1:22" x14ac:dyDescent="0.25">
      <c r="A826">
        <v>823</v>
      </c>
      <c r="B826" t="s">
        <v>10</v>
      </c>
      <c r="C826" t="s">
        <v>250</v>
      </c>
      <c r="D826" s="4">
        <v>45446</v>
      </c>
      <c r="E826" t="s">
        <v>493</v>
      </c>
      <c r="F826" t="s">
        <v>75</v>
      </c>
      <c r="I826" s="6">
        <v>1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>
        <v>1</v>
      </c>
      <c r="R826">
        <f t="shared" si="60"/>
        <v>0</v>
      </c>
      <c r="S826">
        <f t="shared" si="61"/>
        <v>1</v>
      </c>
      <c r="T826">
        <f t="shared" si="62"/>
        <v>1</v>
      </c>
      <c r="U826">
        <f t="shared" si="63"/>
        <v>1</v>
      </c>
      <c r="V826">
        <f t="shared" si="64"/>
        <v>0</v>
      </c>
    </row>
    <row r="827" spans="1:22" x14ac:dyDescent="0.25">
      <c r="A827">
        <v>824</v>
      </c>
      <c r="B827" t="s">
        <v>10</v>
      </c>
      <c r="C827" t="s">
        <v>250</v>
      </c>
      <c r="D827" s="4">
        <v>45447</v>
      </c>
      <c r="E827" t="s">
        <v>387</v>
      </c>
      <c r="F827" t="s">
        <v>75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1</v>
      </c>
      <c r="P827" s="6">
        <v>0</v>
      </c>
      <c r="Q827">
        <v>1</v>
      </c>
      <c r="R827">
        <f t="shared" si="60"/>
        <v>0</v>
      </c>
      <c r="S827">
        <f t="shared" si="61"/>
        <v>1</v>
      </c>
      <c r="T827">
        <f t="shared" si="62"/>
        <v>1</v>
      </c>
      <c r="U827">
        <f t="shared" si="63"/>
        <v>1</v>
      </c>
      <c r="V827">
        <f t="shared" si="64"/>
        <v>0</v>
      </c>
    </row>
    <row r="828" spans="1:22" x14ac:dyDescent="0.25">
      <c r="A828">
        <v>825</v>
      </c>
      <c r="B828" t="s">
        <v>10</v>
      </c>
      <c r="C828" t="s">
        <v>250</v>
      </c>
      <c r="D828" s="4">
        <v>45447</v>
      </c>
      <c r="E828" t="s">
        <v>494</v>
      </c>
      <c r="F828" t="s">
        <v>75</v>
      </c>
      <c r="I828" s="6">
        <v>0</v>
      </c>
      <c r="J828" s="6">
        <v>0</v>
      </c>
      <c r="K828" s="6">
        <v>1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>
        <v>1</v>
      </c>
      <c r="R828">
        <f t="shared" si="60"/>
        <v>0</v>
      </c>
      <c r="S828">
        <f t="shared" si="61"/>
        <v>1</v>
      </c>
      <c r="T828">
        <f t="shared" si="62"/>
        <v>1</v>
      </c>
      <c r="U828">
        <f t="shared" si="63"/>
        <v>1</v>
      </c>
      <c r="V828">
        <f t="shared" si="64"/>
        <v>0</v>
      </c>
    </row>
    <row r="829" spans="1:22" x14ac:dyDescent="0.25">
      <c r="A829">
        <v>826</v>
      </c>
      <c r="B829" t="s">
        <v>10</v>
      </c>
      <c r="C829" t="s">
        <v>250</v>
      </c>
      <c r="D829" s="4">
        <v>45447</v>
      </c>
      <c r="E829" t="s">
        <v>900</v>
      </c>
      <c r="F829" t="s">
        <v>75</v>
      </c>
      <c r="I829" s="6">
        <v>1</v>
      </c>
      <c r="J829" s="6">
        <v>0</v>
      </c>
      <c r="K829" s="6">
        <v>0</v>
      </c>
      <c r="L829" s="6">
        <v>1</v>
      </c>
      <c r="M829" s="6">
        <v>1</v>
      </c>
      <c r="N829" s="6">
        <v>0</v>
      </c>
      <c r="O829" s="6">
        <v>0</v>
      </c>
      <c r="P829" s="6">
        <v>0</v>
      </c>
      <c r="Q829">
        <v>1</v>
      </c>
      <c r="R829">
        <f t="shared" si="60"/>
        <v>0</v>
      </c>
      <c r="S829">
        <f t="shared" si="61"/>
        <v>1</v>
      </c>
      <c r="T829">
        <f t="shared" si="62"/>
        <v>3</v>
      </c>
      <c r="U829">
        <f t="shared" si="63"/>
        <v>1</v>
      </c>
      <c r="V829">
        <f t="shared" si="64"/>
        <v>0</v>
      </c>
    </row>
    <row r="830" spans="1:22" x14ac:dyDescent="0.25">
      <c r="A830">
        <v>827</v>
      </c>
      <c r="B830" t="s">
        <v>10</v>
      </c>
      <c r="C830" t="s">
        <v>250</v>
      </c>
      <c r="D830" s="4">
        <v>45447</v>
      </c>
      <c r="E830" t="s">
        <v>1029</v>
      </c>
      <c r="F830" t="s">
        <v>75</v>
      </c>
      <c r="I830" s="6">
        <v>1</v>
      </c>
      <c r="J830" s="6">
        <v>0</v>
      </c>
      <c r="K830" s="6">
        <v>1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>
        <v>1</v>
      </c>
      <c r="R830">
        <f t="shared" si="60"/>
        <v>0</v>
      </c>
      <c r="S830">
        <f t="shared" si="61"/>
        <v>1</v>
      </c>
      <c r="T830">
        <f t="shared" si="62"/>
        <v>2</v>
      </c>
      <c r="U830">
        <f t="shared" si="63"/>
        <v>1</v>
      </c>
      <c r="V830">
        <f t="shared" si="64"/>
        <v>0</v>
      </c>
    </row>
    <row r="831" spans="1:22" x14ac:dyDescent="0.25">
      <c r="A831">
        <v>828</v>
      </c>
      <c r="B831" t="s">
        <v>10</v>
      </c>
      <c r="C831" t="s">
        <v>250</v>
      </c>
      <c r="D831" s="4">
        <v>45447</v>
      </c>
      <c r="E831" t="s">
        <v>495</v>
      </c>
      <c r="F831" t="s">
        <v>75</v>
      </c>
      <c r="I831" s="6">
        <v>1</v>
      </c>
      <c r="J831" s="6">
        <v>0</v>
      </c>
      <c r="K831" s="6">
        <v>0</v>
      </c>
      <c r="L831" s="6">
        <v>0</v>
      </c>
      <c r="M831" s="6">
        <v>1</v>
      </c>
      <c r="N831" s="6">
        <v>0</v>
      </c>
      <c r="O831" s="6">
        <v>0</v>
      </c>
      <c r="P831" s="6">
        <v>0</v>
      </c>
      <c r="Q831">
        <v>1</v>
      </c>
      <c r="R831">
        <f t="shared" si="60"/>
        <v>0</v>
      </c>
      <c r="S831">
        <f t="shared" si="61"/>
        <v>1</v>
      </c>
      <c r="T831">
        <f t="shared" si="62"/>
        <v>2</v>
      </c>
      <c r="U831">
        <f t="shared" si="63"/>
        <v>1</v>
      </c>
      <c r="V831">
        <f t="shared" si="64"/>
        <v>0</v>
      </c>
    </row>
    <row r="832" spans="1:22" x14ac:dyDescent="0.25">
      <c r="A832">
        <v>829</v>
      </c>
      <c r="B832" t="s">
        <v>10</v>
      </c>
      <c r="C832" t="s">
        <v>250</v>
      </c>
      <c r="D832" s="4">
        <v>45447</v>
      </c>
      <c r="E832" t="s">
        <v>496</v>
      </c>
      <c r="F832" t="s">
        <v>75</v>
      </c>
      <c r="I832" s="6">
        <v>0</v>
      </c>
      <c r="J832" s="6">
        <v>0</v>
      </c>
      <c r="K832" s="6">
        <v>0</v>
      </c>
      <c r="L832" s="6">
        <v>0</v>
      </c>
      <c r="M832" s="6">
        <v>1</v>
      </c>
      <c r="N832" s="6">
        <v>0</v>
      </c>
      <c r="O832" s="6">
        <v>0</v>
      </c>
      <c r="P832" s="6">
        <v>0</v>
      </c>
      <c r="Q832">
        <v>1</v>
      </c>
      <c r="R832">
        <f t="shared" si="60"/>
        <v>0</v>
      </c>
      <c r="S832">
        <f t="shared" si="61"/>
        <v>1</v>
      </c>
      <c r="T832">
        <f t="shared" si="62"/>
        <v>1</v>
      </c>
      <c r="U832">
        <f t="shared" si="63"/>
        <v>1</v>
      </c>
      <c r="V832">
        <f t="shared" si="64"/>
        <v>0</v>
      </c>
    </row>
    <row r="833" spans="1:22" x14ac:dyDescent="0.25">
      <c r="A833">
        <v>830</v>
      </c>
      <c r="B833" t="s">
        <v>10</v>
      </c>
      <c r="C833" t="s">
        <v>250</v>
      </c>
      <c r="D833" s="4">
        <v>45448</v>
      </c>
      <c r="E833" t="s">
        <v>497</v>
      </c>
      <c r="F833" t="s">
        <v>75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>
        <v>1</v>
      </c>
      <c r="R833">
        <f t="shared" si="60"/>
        <v>0</v>
      </c>
      <c r="S833">
        <f t="shared" si="61"/>
        <v>1</v>
      </c>
      <c r="T833">
        <f t="shared" si="62"/>
        <v>0</v>
      </c>
      <c r="U833">
        <f t="shared" si="63"/>
        <v>0</v>
      </c>
      <c r="V833">
        <f t="shared" si="64"/>
        <v>0</v>
      </c>
    </row>
    <row r="834" spans="1:22" x14ac:dyDescent="0.25">
      <c r="A834">
        <v>831</v>
      </c>
      <c r="B834" t="s">
        <v>10</v>
      </c>
      <c r="C834" t="s">
        <v>250</v>
      </c>
      <c r="D834" s="4">
        <v>45448</v>
      </c>
      <c r="E834" t="s">
        <v>498</v>
      </c>
      <c r="F834" t="s">
        <v>75</v>
      </c>
      <c r="I834" s="6">
        <v>0</v>
      </c>
      <c r="J834" s="6">
        <v>0</v>
      </c>
      <c r="K834" s="6">
        <v>0</v>
      </c>
      <c r="L834" s="6">
        <v>1</v>
      </c>
      <c r="M834" s="6">
        <v>0</v>
      </c>
      <c r="N834" s="6">
        <v>0</v>
      </c>
      <c r="O834" s="6">
        <v>0</v>
      </c>
      <c r="P834" s="6">
        <v>0</v>
      </c>
      <c r="Q834">
        <v>1</v>
      </c>
      <c r="R834">
        <f t="shared" si="60"/>
        <v>0</v>
      </c>
      <c r="S834">
        <f t="shared" si="61"/>
        <v>1</v>
      </c>
      <c r="T834">
        <f t="shared" si="62"/>
        <v>1</v>
      </c>
      <c r="U834">
        <f t="shared" si="63"/>
        <v>1</v>
      </c>
      <c r="V834">
        <f t="shared" si="64"/>
        <v>0</v>
      </c>
    </row>
    <row r="835" spans="1:22" x14ac:dyDescent="0.25">
      <c r="A835">
        <v>832</v>
      </c>
      <c r="B835" t="s">
        <v>10</v>
      </c>
      <c r="C835" t="s">
        <v>250</v>
      </c>
      <c r="D835" s="4">
        <v>45448</v>
      </c>
      <c r="E835" t="s">
        <v>1214</v>
      </c>
      <c r="F835" t="s">
        <v>75</v>
      </c>
      <c r="I835" s="6">
        <v>1</v>
      </c>
      <c r="J835" s="6">
        <v>0</v>
      </c>
      <c r="K835" s="6">
        <v>1</v>
      </c>
      <c r="L835" s="6">
        <v>1</v>
      </c>
      <c r="M835" s="6">
        <v>1</v>
      </c>
      <c r="N835" s="6">
        <v>1</v>
      </c>
      <c r="O835" s="6">
        <v>0</v>
      </c>
      <c r="P835" s="6">
        <v>0</v>
      </c>
      <c r="Q835">
        <v>1</v>
      </c>
      <c r="R835">
        <f t="shared" ref="R835:R898" si="65">IF(AND(Q835=1,F835="ai_full"),1,0)</f>
        <v>0</v>
      </c>
      <c r="S835">
        <f t="shared" ref="S835:S898" si="66">IF(AND(Q835=1,F835="conventional"),1,0)</f>
        <v>1</v>
      </c>
      <c r="T835">
        <f t="shared" ref="T835:T898" si="67">SUM(I835:P835)</f>
        <v>5</v>
      </c>
      <c r="U835">
        <f t="shared" ref="U835:U898" si="68">IF(T835&gt;=1,1,0)</f>
        <v>1</v>
      </c>
      <c r="V835">
        <f t="shared" ref="V835:V898" si="69">IF(F835="ai_full",1,0)</f>
        <v>0</v>
      </c>
    </row>
    <row r="836" spans="1:22" x14ac:dyDescent="0.25">
      <c r="A836">
        <v>833</v>
      </c>
      <c r="B836" t="s">
        <v>10</v>
      </c>
      <c r="C836" t="s">
        <v>250</v>
      </c>
      <c r="D836" s="4">
        <v>45448</v>
      </c>
      <c r="E836" t="s">
        <v>499</v>
      </c>
      <c r="F836" t="s">
        <v>75</v>
      </c>
      <c r="I836" s="6">
        <v>0</v>
      </c>
      <c r="J836" s="6">
        <v>0</v>
      </c>
      <c r="K836" s="6">
        <v>0</v>
      </c>
      <c r="L836" s="6">
        <v>0</v>
      </c>
      <c r="M836" s="6">
        <v>1</v>
      </c>
      <c r="N836" s="6">
        <v>0</v>
      </c>
      <c r="O836" s="6">
        <v>0</v>
      </c>
      <c r="P836" s="6">
        <v>0</v>
      </c>
      <c r="Q836">
        <v>1</v>
      </c>
      <c r="R836">
        <f t="shared" si="65"/>
        <v>0</v>
      </c>
      <c r="S836">
        <f t="shared" si="66"/>
        <v>1</v>
      </c>
      <c r="T836">
        <f t="shared" si="67"/>
        <v>1</v>
      </c>
      <c r="U836">
        <f t="shared" si="68"/>
        <v>1</v>
      </c>
      <c r="V836">
        <f t="shared" si="69"/>
        <v>0</v>
      </c>
    </row>
    <row r="837" spans="1:22" x14ac:dyDescent="0.25">
      <c r="A837">
        <v>834</v>
      </c>
      <c r="B837" t="s">
        <v>10</v>
      </c>
      <c r="C837" t="s">
        <v>250</v>
      </c>
      <c r="D837" s="4">
        <v>45448</v>
      </c>
      <c r="E837" t="s">
        <v>388</v>
      </c>
      <c r="F837" t="s">
        <v>75</v>
      </c>
      <c r="I837" s="6">
        <v>0</v>
      </c>
      <c r="J837" s="6">
        <v>0</v>
      </c>
      <c r="K837" s="6">
        <v>0</v>
      </c>
      <c r="L837" s="6">
        <v>0</v>
      </c>
      <c r="M837" s="6">
        <v>1</v>
      </c>
      <c r="N837" s="6">
        <v>0</v>
      </c>
      <c r="O837" s="6">
        <v>0</v>
      </c>
      <c r="P837" s="6">
        <v>0</v>
      </c>
      <c r="Q837">
        <v>1</v>
      </c>
      <c r="R837">
        <f t="shared" si="65"/>
        <v>0</v>
      </c>
      <c r="S837">
        <f t="shared" si="66"/>
        <v>1</v>
      </c>
      <c r="T837">
        <f t="shared" si="67"/>
        <v>1</v>
      </c>
      <c r="U837">
        <f t="shared" si="68"/>
        <v>1</v>
      </c>
      <c r="V837">
        <f t="shared" si="69"/>
        <v>0</v>
      </c>
    </row>
    <row r="838" spans="1:22" x14ac:dyDescent="0.25">
      <c r="A838">
        <v>835</v>
      </c>
      <c r="B838" t="s">
        <v>10</v>
      </c>
      <c r="C838" t="s">
        <v>250</v>
      </c>
      <c r="D838" s="4">
        <v>45448</v>
      </c>
      <c r="E838" t="s">
        <v>500</v>
      </c>
      <c r="F838" t="s">
        <v>75</v>
      </c>
      <c r="I838" s="6">
        <v>0</v>
      </c>
      <c r="J838" s="6">
        <v>0</v>
      </c>
      <c r="K838" s="6">
        <v>1</v>
      </c>
      <c r="L838" s="6">
        <v>0</v>
      </c>
      <c r="M838" s="6">
        <v>0</v>
      </c>
      <c r="N838" s="6">
        <v>0</v>
      </c>
      <c r="O838" s="6">
        <v>1</v>
      </c>
      <c r="P838" s="6">
        <v>0</v>
      </c>
      <c r="Q838">
        <v>1</v>
      </c>
      <c r="R838">
        <f t="shared" si="65"/>
        <v>0</v>
      </c>
      <c r="S838">
        <f t="shared" si="66"/>
        <v>1</v>
      </c>
      <c r="T838">
        <f t="shared" si="67"/>
        <v>2</v>
      </c>
      <c r="U838">
        <f t="shared" si="68"/>
        <v>1</v>
      </c>
      <c r="V838">
        <f t="shared" si="69"/>
        <v>0</v>
      </c>
    </row>
    <row r="839" spans="1:22" x14ac:dyDescent="0.25">
      <c r="A839">
        <v>836</v>
      </c>
      <c r="B839" t="s">
        <v>10</v>
      </c>
      <c r="C839" t="s">
        <v>250</v>
      </c>
      <c r="D839" s="4">
        <v>45448</v>
      </c>
      <c r="E839" t="s">
        <v>501</v>
      </c>
      <c r="F839" t="s">
        <v>75</v>
      </c>
      <c r="I839" s="6">
        <v>0</v>
      </c>
      <c r="J839" s="6">
        <v>0</v>
      </c>
      <c r="K839" s="6">
        <v>0</v>
      </c>
      <c r="L839" s="6">
        <v>1</v>
      </c>
      <c r="M839" s="6">
        <v>0</v>
      </c>
      <c r="N839" s="6">
        <v>0</v>
      </c>
      <c r="O839" s="6">
        <v>0</v>
      </c>
      <c r="P839" s="6">
        <v>0</v>
      </c>
      <c r="Q839">
        <v>1</v>
      </c>
      <c r="R839">
        <f t="shared" si="65"/>
        <v>0</v>
      </c>
      <c r="S839">
        <f t="shared" si="66"/>
        <v>1</v>
      </c>
      <c r="T839">
        <f t="shared" si="67"/>
        <v>1</v>
      </c>
      <c r="U839">
        <f t="shared" si="68"/>
        <v>1</v>
      </c>
      <c r="V839">
        <f t="shared" si="69"/>
        <v>0</v>
      </c>
    </row>
    <row r="840" spans="1:22" x14ac:dyDescent="0.25">
      <c r="A840">
        <v>837</v>
      </c>
      <c r="B840" t="s">
        <v>10</v>
      </c>
      <c r="C840" t="s">
        <v>250</v>
      </c>
      <c r="D840" s="4">
        <v>45448</v>
      </c>
      <c r="E840" t="s">
        <v>502</v>
      </c>
      <c r="F840" t="s">
        <v>75</v>
      </c>
      <c r="I840" s="6">
        <v>0</v>
      </c>
      <c r="J840" s="6">
        <v>0</v>
      </c>
      <c r="K840" s="6">
        <v>0</v>
      </c>
      <c r="L840" s="6">
        <v>1</v>
      </c>
      <c r="M840" s="6">
        <v>0</v>
      </c>
      <c r="N840" s="6">
        <v>0</v>
      </c>
      <c r="O840" s="6">
        <v>0</v>
      </c>
      <c r="P840" s="6">
        <v>0</v>
      </c>
      <c r="Q840">
        <v>1</v>
      </c>
      <c r="R840">
        <f t="shared" si="65"/>
        <v>0</v>
      </c>
      <c r="S840">
        <f t="shared" si="66"/>
        <v>1</v>
      </c>
      <c r="T840">
        <f t="shared" si="67"/>
        <v>1</v>
      </c>
      <c r="U840">
        <f t="shared" si="68"/>
        <v>1</v>
      </c>
      <c r="V840">
        <f t="shared" si="69"/>
        <v>0</v>
      </c>
    </row>
    <row r="841" spans="1:22" x14ac:dyDescent="0.25">
      <c r="A841">
        <v>838</v>
      </c>
      <c r="B841" t="s">
        <v>10</v>
      </c>
      <c r="C841" t="s">
        <v>250</v>
      </c>
      <c r="D841" s="4">
        <v>45448</v>
      </c>
      <c r="E841" t="s">
        <v>503</v>
      </c>
      <c r="F841" t="s">
        <v>75</v>
      </c>
      <c r="I841" s="6">
        <v>1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>
        <v>1</v>
      </c>
      <c r="R841">
        <f t="shared" si="65"/>
        <v>0</v>
      </c>
      <c r="S841">
        <f t="shared" si="66"/>
        <v>1</v>
      </c>
      <c r="T841">
        <f t="shared" si="67"/>
        <v>1</v>
      </c>
      <c r="U841">
        <f t="shared" si="68"/>
        <v>1</v>
      </c>
      <c r="V841">
        <f t="shared" si="69"/>
        <v>0</v>
      </c>
    </row>
    <row r="842" spans="1:22" x14ac:dyDescent="0.25">
      <c r="A842">
        <v>839</v>
      </c>
      <c r="B842" t="s">
        <v>10</v>
      </c>
      <c r="C842" t="s">
        <v>250</v>
      </c>
      <c r="D842" s="4">
        <v>45448</v>
      </c>
      <c r="E842" t="s">
        <v>504</v>
      </c>
      <c r="F842" t="s">
        <v>75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1</v>
      </c>
      <c r="P842" s="6">
        <v>0</v>
      </c>
      <c r="Q842">
        <v>1</v>
      </c>
      <c r="R842">
        <f t="shared" si="65"/>
        <v>0</v>
      </c>
      <c r="S842">
        <f t="shared" si="66"/>
        <v>1</v>
      </c>
      <c r="T842">
        <f t="shared" si="67"/>
        <v>1</v>
      </c>
      <c r="U842">
        <f t="shared" si="68"/>
        <v>1</v>
      </c>
      <c r="V842">
        <f t="shared" si="69"/>
        <v>0</v>
      </c>
    </row>
    <row r="843" spans="1:22" x14ac:dyDescent="0.25">
      <c r="A843">
        <v>840</v>
      </c>
      <c r="B843" t="s">
        <v>10</v>
      </c>
      <c r="C843" t="s">
        <v>250</v>
      </c>
      <c r="D843" s="4">
        <v>45448</v>
      </c>
      <c r="E843" t="s">
        <v>1215</v>
      </c>
      <c r="F843" t="s">
        <v>75</v>
      </c>
      <c r="I843" s="6">
        <v>0</v>
      </c>
      <c r="J843" s="6">
        <v>0</v>
      </c>
      <c r="K843" s="6">
        <v>1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>
        <v>1</v>
      </c>
      <c r="R843">
        <f t="shared" si="65"/>
        <v>0</v>
      </c>
      <c r="S843">
        <f t="shared" si="66"/>
        <v>1</v>
      </c>
      <c r="T843">
        <f t="shared" si="67"/>
        <v>1</v>
      </c>
      <c r="U843">
        <f t="shared" si="68"/>
        <v>1</v>
      </c>
      <c r="V843">
        <f t="shared" si="69"/>
        <v>0</v>
      </c>
    </row>
    <row r="844" spans="1:22" x14ac:dyDescent="0.25">
      <c r="A844">
        <v>841</v>
      </c>
      <c r="B844" t="s">
        <v>10</v>
      </c>
      <c r="C844" t="s">
        <v>250</v>
      </c>
      <c r="D844" s="4">
        <v>45448</v>
      </c>
      <c r="E844" t="s">
        <v>505</v>
      </c>
      <c r="F844" t="s">
        <v>75</v>
      </c>
      <c r="I844" s="6">
        <v>1</v>
      </c>
      <c r="J844" s="6">
        <v>0</v>
      </c>
      <c r="K844" s="6">
        <v>1</v>
      </c>
      <c r="L844" s="6">
        <v>0</v>
      </c>
      <c r="M844" s="6">
        <v>1</v>
      </c>
      <c r="N844" s="6">
        <v>0</v>
      </c>
      <c r="O844" s="6">
        <v>0</v>
      </c>
      <c r="P844" s="6">
        <v>0</v>
      </c>
      <c r="Q844">
        <v>1</v>
      </c>
      <c r="R844">
        <f t="shared" si="65"/>
        <v>0</v>
      </c>
      <c r="S844">
        <f t="shared" si="66"/>
        <v>1</v>
      </c>
      <c r="T844">
        <f t="shared" si="67"/>
        <v>3</v>
      </c>
      <c r="U844">
        <f t="shared" si="68"/>
        <v>1</v>
      </c>
      <c r="V844">
        <f t="shared" si="69"/>
        <v>0</v>
      </c>
    </row>
    <row r="845" spans="1:22" x14ac:dyDescent="0.25">
      <c r="A845">
        <v>842</v>
      </c>
      <c r="B845" t="s">
        <v>10</v>
      </c>
      <c r="C845" t="s">
        <v>250</v>
      </c>
      <c r="D845" s="4">
        <v>45449</v>
      </c>
      <c r="E845" t="s">
        <v>389</v>
      </c>
      <c r="F845" t="s">
        <v>75</v>
      </c>
      <c r="I845" s="6">
        <v>0</v>
      </c>
      <c r="J845" s="6">
        <v>0</v>
      </c>
      <c r="K845" s="6">
        <v>0</v>
      </c>
      <c r="L845" s="6">
        <v>1</v>
      </c>
      <c r="M845" s="6">
        <v>0</v>
      </c>
      <c r="N845" s="6">
        <v>0</v>
      </c>
      <c r="O845" s="6">
        <v>0</v>
      </c>
      <c r="P845" s="6">
        <v>0</v>
      </c>
      <c r="Q845">
        <v>1</v>
      </c>
      <c r="R845">
        <f t="shared" si="65"/>
        <v>0</v>
      </c>
      <c r="S845">
        <f t="shared" si="66"/>
        <v>1</v>
      </c>
      <c r="T845">
        <f t="shared" si="67"/>
        <v>1</v>
      </c>
      <c r="U845">
        <f t="shared" si="68"/>
        <v>1</v>
      </c>
      <c r="V845">
        <f t="shared" si="69"/>
        <v>0</v>
      </c>
    </row>
    <row r="846" spans="1:22" x14ac:dyDescent="0.25">
      <c r="A846">
        <v>843</v>
      </c>
      <c r="B846" t="s">
        <v>10</v>
      </c>
      <c r="C846" t="s">
        <v>250</v>
      </c>
      <c r="D846" s="4">
        <v>45449</v>
      </c>
      <c r="E846" t="s">
        <v>506</v>
      </c>
      <c r="F846" t="s">
        <v>75</v>
      </c>
      <c r="I846" s="6">
        <v>0</v>
      </c>
      <c r="J846" s="6">
        <v>0</v>
      </c>
      <c r="K846" s="6">
        <v>0</v>
      </c>
      <c r="L846" s="6">
        <v>0</v>
      </c>
      <c r="M846" s="6">
        <v>1</v>
      </c>
      <c r="N846" s="6">
        <v>0</v>
      </c>
      <c r="O846" s="6">
        <v>0</v>
      </c>
      <c r="P846" s="6">
        <v>0</v>
      </c>
      <c r="Q846">
        <v>1</v>
      </c>
      <c r="R846">
        <f t="shared" si="65"/>
        <v>0</v>
      </c>
      <c r="S846">
        <f t="shared" si="66"/>
        <v>1</v>
      </c>
      <c r="T846">
        <f t="shared" si="67"/>
        <v>1</v>
      </c>
      <c r="U846">
        <f t="shared" si="68"/>
        <v>1</v>
      </c>
      <c r="V846">
        <f t="shared" si="69"/>
        <v>0</v>
      </c>
    </row>
    <row r="847" spans="1:22" x14ac:dyDescent="0.25">
      <c r="A847">
        <v>844</v>
      </c>
      <c r="B847" t="s">
        <v>10</v>
      </c>
      <c r="C847" t="s">
        <v>250</v>
      </c>
      <c r="D847" s="4">
        <v>45449</v>
      </c>
      <c r="E847" t="s">
        <v>507</v>
      </c>
      <c r="F847" t="s">
        <v>75</v>
      </c>
      <c r="I847" s="6">
        <v>0</v>
      </c>
      <c r="J847" s="6">
        <v>0</v>
      </c>
      <c r="K847" s="6">
        <v>0</v>
      </c>
      <c r="L847" s="6">
        <v>0</v>
      </c>
      <c r="M847" s="6">
        <v>1</v>
      </c>
      <c r="N847" s="6">
        <v>1</v>
      </c>
      <c r="O847" s="6">
        <v>0</v>
      </c>
      <c r="P847" s="6">
        <v>0</v>
      </c>
      <c r="Q847">
        <v>1</v>
      </c>
      <c r="R847">
        <f t="shared" si="65"/>
        <v>0</v>
      </c>
      <c r="S847">
        <f t="shared" si="66"/>
        <v>1</v>
      </c>
      <c r="T847">
        <f t="shared" si="67"/>
        <v>2</v>
      </c>
      <c r="U847">
        <f t="shared" si="68"/>
        <v>1</v>
      </c>
      <c r="V847">
        <f t="shared" si="69"/>
        <v>0</v>
      </c>
    </row>
    <row r="848" spans="1:22" x14ac:dyDescent="0.25">
      <c r="A848">
        <v>845</v>
      </c>
      <c r="B848" t="s">
        <v>10</v>
      </c>
      <c r="C848" t="s">
        <v>250</v>
      </c>
      <c r="D848" s="4">
        <v>45449</v>
      </c>
      <c r="E848" t="s">
        <v>390</v>
      </c>
      <c r="F848" t="s">
        <v>75</v>
      </c>
      <c r="I848" s="6">
        <v>0</v>
      </c>
      <c r="J848" s="6">
        <v>0</v>
      </c>
      <c r="K848" s="6">
        <v>1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>
        <v>1</v>
      </c>
      <c r="R848">
        <f t="shared" si="65"/>
        <v>0</v>
      </c>
      <c r="S848">
        <f t="shared" si="66"/>
        <v>1</v>
      </c>
      <c r="T848">
        <f t="shared" si="67"/>
        <v>1</v>
      </c>
      <c r="U848">
        <f t="shared" si="68"/>
        <v>1</v>
      </c>
      <c r="V848">
        <f t="shared" si="69"/>
        <v>0</v>
      </c>
    </row>
    <row r="849" spans="1:22" x14ac:dyDescent="0.25">
      <c r="A849">
        <v>846</v>
      </c>
      <c r="B849" t="s">
        <v>10</v>
      </c>
      <c r="C849" t="s">
        <v>250</v>
      </c>
      <c r="D849" s="4">
        <v>45449</v>
      </c>
      <c r="E849" t="s">
        <v>391</v>
      </c>
      <c r="F849" t="s">
        <v>75</v>
      </c>
      <c r="I849" s="6">
        <v>0</v>
      </c>
      <c r="J849" s="6">
        <v>0</v>
      </c>
      <c r="K849" s="6">
        <v>0</v>
      </c>
      <c r="L849" s="6">
        <v>0</v>
      </c>
      <c r="M849" s="6">
        <v>1</v>
      </c>
      <c r="N849" s="6">
        <v>0</v>
      </c>
      <c r="O849" s="6">
        <v>0</v>
      </c>
      <c r="P849" s="6">
        <v>0</v>
      </c>
      <c r="Q849">
        <v>1</v>
      </c>
      <c r="R849">
        <f t="shared" si="65"/>
        <v>0</v>
      </c>
      <c r="S849">
        <f t="shared" si="66"/>
        <v>1</v>
      </c>
      <c r="T849">
        <f t="shared" si="67"/>
        <v>1</v>
      </c>
      <c r="U849">
        <f t="shared" si="68"/>
        <v>1</v>
      </c>
      <c r="V849">
        <f t="shared" si="69"/>
        <v>0</v>
      </c>
    </row>
    <row r="850" spans="1:22" x14ac:dyDescent="0.25">
      <c r="A850">
        <v>847</v>
      </c>
      <c r="B850" t="s">
        <v>10</v>
      </c>
      <c r="C850" t="s">
        <v>250</v>
      </c>
      <c r="D850" s="4">
        <v>45449</v>
      </c>
      <c r="E850" t="s">
        <v>508</v>
      </c>
      <c r="F850" t="s">
        <v>75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>
        <v>1</v>
      </c>
      <c r="R850">
        <f t="shared" si="65"/>
        <v>0</v>
      </c>
      <c r="S850">
        <f t="shared" si="66"/>
        <v>1</v>
      </c>
      <c r="T850">
        <f t="shared" si="67"/>
        <v>0</v>
      </c>
      <c r="U850">
        <f t="shared" si="68"/>
        <v>0</v>
      </c>
      <c r="V850">
        <f t="shared" si="69"/>
        <v>0</v>
      </c>
    </row>
    <row r="851" spans="1:22" x14ac:dyDescent="0.25">
      <c r="A851">
        <v>848</v>
      </c>
      <c r="B851" t="s">
        <v>10</v>
      </c>
      <c r="C851" t="s">
        <v>250</v>
      </c>
      <c r="D851" s="4">
        <v>45449</v>
      </c>
      <c r="E851" t="s">
        <v>509</v>
      </c>
      <c r="F851" t="s">
        <v>75</v>
      </c>
      <c r="I851" s="6">
        <v>0</v>
      </c>
      <c r="J851" s="6">
        <v>0</v>
      </c>
      <c r="K851" s="6">
        <v>0</v>
      </c>
      <c r="L851" s="6">
        <v>1</v>
      </c>
      <c r="M851" s="6">
        <v>1</v>
      </c>
      <c r="N851" s="6">
        <v>1</v>
      </c>
      <c r="O851" s="6">
        <v>0</v>
      </c>
      <c r="P851" s="6">
        <v>0</v>
      </c>
      <c r="Q851">
        <v>1</v>
      </c>
      <c r="R851">
        <f t="shared" si="65"/>
        <v>0</v>
      </c>
      <c r="S851">
        <f t="shared" si="66"/>
        <v>1</v>
      </c>
      <c r="T851">
        <f t="shared" si="67"/>
        <v>3</v>
      </c>
      <c r="U851">
        <f t="shared" si="68"/>
        <v>1</v>
      </c>
      <c r="V851">
        <f t="shared" si="69"/>
        <v>0</v>
      </c>
    </row>
    <row r="852" spans="1:22" x14ac:dyDescent="0.25">
      <c r="A852">
        <v>849</v>
      </c>
      <c r="B852" t="s">
        <v>10</v>
      </c>
      <c r="C852" t="s">
        <v>250</v>
      </c>
      <c r="D852" s="4">
        <v>45449</v>
      </c>
      <c r="E852" t="s">
        <v>510</v>
      </c>
      <c r="F852" t="s">
        <v>75</v>
      </c>
      <c r="I852" s="6">
        <v>1</v>
      </c>
      <c r="J852" s="6">
        <v>0</v>
      </c>
      <c r="K852" s="6">
        <v>0</v>
      </c>
      <c r="L852" s="6">
        <v>1</v>
      </c>
      <c r="M852" s="6">
        <v>0</v>
      </c>
      <c r="N852" s="6">
        <v>0</v>
      </c>
      <c r="O852" s="6">
        <v>0</v>
      </c>
      <c r="P852" s="6">
        <v>0</v>
      </c>
      <c r="Q852">
        <v>1</v>
      </c>
      <c r="R852">
        <f t="shared" si="65"/>
        <v>0</v>
      </c>
      <c r="S852">
        <f t="shared" si="66"/>
        <v>1</v>
      </c>
      <c r="T852">
        <f t="shared" si="67"/>
        <v>2</v>
      </c>
      <c r="U852">
        <f t="shared" si="68"/>
        <v>1</v>
      </c>
      <c r="V852">
        <f t="shared" si="69"/>
        <v>0</v>
      </c>
    </row>
    <row r="853" spans="1:22" x14ac:dyDescent="0.25">
      <c r="A853">
        <v>850</v>
      </c>
      <c r="B853" t="s">
        <v>10</v>
      </c>
      <c r="C853" t="s">
        <v>250</v>
      </c>
      <c r="D853" s="4">
        <v>45449</v>
      </c>
      <c r="E853" t="s">
        <v>511</v>
      </c>
      <c r="F853" t="s">
        <v>75</v>
      </c>
      <c r="I853" s="6">
        <v>1</v>
      </c>
      <c r="J853" s="6">
        <v>0</v>
      </c>
      <c r="K853" s="6">
        <v>0</v>
      </c>
      <c r="L853" s="6">
        <v>0</v>
      </c>
      <c r="M853" s="6">
        <v>1</v>
      </c>
      <c r="N853" s="6">
        <v>0</v>
      </c>
      <c r="O853" s="6">
        <v>0</v>
      </c>
      <c r="P853" s="6">
        <v>0</v>
      </c>
      <c r="Q853">
        <v>1</v>
      </c>
      <c r="R853">
        <f t="shared" si="65"/>
        <v>0</v>
      </c>
      <c r="S853">
        <f t="shared" si="66"/>
        <v>1</v>
      </c>
      <c r="T853">
        <f t="shared" si="67"/>
        <v>2</v>
      </c>
      <c r="U853">
        <f t="shared" si="68"/>
        <v>1</v>
      </c>
      <c r="V853">
        <f t="shared" si="69"/>
        <v>0</v>
      </c>
    </row>
    <row r="854" spans="1:22" x14ac:dyDescent="0.25">
      <c r="A854">
        <v>851</v>
      </c>
      <c r="B854" t="s">
        <v>10</v>
      </c>
      <c r="C854" t="s">
        <v>250</v>
      </c>
      <c r="D854" s="4">
        <v>45449</v>
      </c>
      <c r="E854" t="s">
        <v>512</v>
      </c>
      <c r="F854" t="s">
        <v>75</v>
      </c>
      <c r="I854" s="6">
        <v>1</v>
      </c>
      <c r="J854" s="6">
        <v>0</v>
      </c>
      <c r="K854" s="6">
        <v>0</v>
      </c>
      <c r="L854" s="6">
        <v>0</v>
      </c>
      <c r="M854" s="6">
        <v>1</v>
      </c>
      <c r="N854" s="6">
        <v>0</v>
      </c>
      <c r="O854" s="6">
        <v>0</v>
      </c>
      <c r="P854" s="6">
        <v>0</v>
      </c>
      <c r="Q854">
        <v>1</v>
      </c>
      <c r="R854">
        <f t="shared" si="65"/>
        <v>0</v>
      </c>
      <c r="S854">
        <f t="shared" si="66"/>
        <v>1</v>
      </c>
      <c r="T854">
        <f t="shared" si="67"/>
        <v>2</v>
      </c>
      <c r="U854">
        <f t="shared" si="68"/>
        <v>1</v>
      </c>
      <c r="V854">
        <f t="shared" si="69"/>
        <v>0</v>
      </c>
    </row>
    <row r="855" spans="1:22" x14ac:dyDescent="0.25">
      <c r="A855">
        <v>852</v>
      </c>
      <c r="B855" t="s">
        <v>10</v>
      </c>
      <c r="C855" t="s">
        <v>250</v>
      </c>
      <c r="D855" s="4">
        <v>45450</v>
      </c>
      <c r="E855" t="s">
        <v>392</v>
      </c>
      <c r="F855" t="s">
        <v>75</v>
      </c>
      <c r="I855" s="6">
        <v>0</v>
      </c>
      <c r="J855" s="6">
        <v>0</v>
      </c>
      <c r="K855" s="6">
        <v>1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>
        <v>1</v>
      </c>
      <c r="R855">
        <f t="shared" si="65"/>
        <v>0</v>
      </c>
      <c r="S855">
        <f t="shared" si="66"/>
        <v>1</v>
      </c>
      <c r="T855">
        <f t="shared" si="67"/>
        <v>1</v>
      </c>
      <c r="U855">
        <f t="shared" si="68"/>
        <v>1</v>
      </c>
      <c r="V855">
        <f t="shared" si="69"/>
        <v>0</v>
      </c>
    </row>
    <row r="856" spans="1:22" x14ac:dyDescent="0.25">
      <c r="A856">
        <v>853</v>
      </c>
      <c r="B856" t="s">
        <v>10</v>
      </c>
      <c r="C856" t="s">
        <v>250</v>
      </c>
      <c r="D856" s="4">
        <v>45450</v>
      </c>
      <c r="E856" t="s">
        <v>513</v>
      </c>
      <c r="F856" t="s">
        <v>75</v>
      </c>
      <c r="I856" s="6">
        <v>1</v>
      </c>
      <c r="J856" s="6">
        <v>0</v>
      </c>
      <c r="K856" s="6">
        <v>0</v>
      </c>
      <c r="L856" s="6">
        <v>1</v>
      </c>
      <c r="M856" s="6">
        <v>0</v>
      </c>
      <c r="N856" s="6">
        <v>0</v>
      </c>
      <c r="O856" s="6">
        <v>0</v>
      </c>
      <c r="P856" s="6">
        <v>0</v>
      </c>
      <c r="Q856">
        <v>1</v>
      </c>
      <c r="R856">
        <f t="shared" si="65"/>
        <v>0</v>
      </c>
      <c r="S856">
        <f t="shared" si="66"/>
        <v>1</v>
      </c>
      <c r="T856">
        <f t="shared" si="67"/>
        <v>2</v>
      </c>
      <c r="U856">
        <f t="shared" si="68"/>
        <v>1</v>
      </c>
      <c r="V856">
        <f t="shared" si="69"/>
        <v>0</v>
      </c>
    </row>
    <row r="857" spans="1:22" x14ac:dyDescent="0.25">
      <c r="A857">
        <v>854</v>
      </c>
      <c r="B857" t="s">
        <v>10</v>
      </c>
      <c r="C857" t="s">
        <v>250</v>
      </c>
      <c r="D857" s="4">
        <v>45450</v>
      </c>
      <c r="E857" t="s">
        <v>514</v>
      </c>
      <c r="F857" t="s">
        <v>75</v>
      </c>
      <c r="I857" s="6">
        <v>0</v>
      </c>
      <c r="J857" s="6">
        <v>0</v>
      </c>
      <c r="K857" s="6">
        <v>0</v>
      </c>
      <c r="L857" s="6">
        <v>1</v>
      </c>
      <c r="M857" s="6">
        <v>0</v>
      </c>
      <c r="N857" s="6">
        <v>0</v>
      </c>
      <c r="O857" s="6">
        <v>0</v>
      </c>
      <c r="P857" s="6">
        <v>0</v>
      </c>
      <c r="Q857">
        <v>1</v>
      </c>
      <c r="R857">
        <f t="shared" si="65"/>
        <v>0</v>
      </c>
      <c r="S857">
        <f t="shared" si="66"/>
        <v>1</v>
      </c>
      <c r="T857">
        <f t="shared" si="67"/>
        <v>1</v>
      </c>
      <c r="U857">
        <f t="shared" si="68"/>
        <v>1</v>
      </c>
      <c r="V857">
        <f t="shared" si="69"/>
        <v>0</v>
      </c>
    </row>
    <row r="858" spans="1:22" x14ac:dyDescent="0.25">
      <c r="A858">
        <v>855</v>
      </c>
      <c r="B858" t="s">
        <v>10</v>
      </c>
      <c r="C858" t="s">
        <v>250</v>
      </c>
      <c r="D858" s="4">
        <v>45450</v>
      </c>
      <c r="E858" t="s">
        <v>515</v>
      </c>
      <c r="F858" t="s">
        <v>75</v>
      </c>
      <c r="I858" s="6">
        <v>1</v>
      </c>
      <c r="J858" s="6">
        <v>0</v>
      </c>
      <c r="K858" s="6">
        <v>0</v>
      </c>
      <c r="L858" s="6">
        <v>0</v>
      </c>
      <c r="M858" s="6">
        <v>1</v>
      </c>
      <c r="N858" s="6">
        <v>1</v>
      </c>
      <c r="O858" s="6">
        <v>1</v>
      </c>
      <c r="P858" s="6">
        <v>0</v>
      </c>
      <c r="Q858">
        <v>1</v>
      </c>
      <c r="R858">
        <f t="shared" si="65"/>
        <v>0</v>
      </c>
      <c r="S858">
        <f t="shared" si="66"/>
        <v>1</v>
      </c>
      <c r="T858">
        <f t="shared" si="67"/>
        <v>4</v>
      </c>
      <c r="U858">
        <f t="shared" si="68"/>
        <v>1</v>
      </c>
      <c r="V858">
        <f t="shared" si="69"/>
        <v>0</v>
      </c>
    </row>
    <row r="859" spans="1:22" x14ac:dyDescent="0.25">
      <c r="A859">
        <v>856</v>
      </c>
      <c r="B859" t="s">
        <v>10</v>
      </c>
      <c r="C859" t="s">
        <v>250</v>
      </c>
      <c r="D859" s="4">
        <v>45450</v>
      </c>
      <c r="E859" t="s">
        <v>516</v>
      </c>
      <c r="F859" t="s">
        <v>75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>
        <v>1</v>
      </c>
      <c r="R859">
        <f t="shared" si="65"/>
        <v>0</v>
      </c>
      <c r="S859">
        <f t="shared" si="66"/>
        <v>1</v>
      </c>
      <c r="T859">
        <f t="shared" si="67"/>
        <v>0</v>
      </c>
      <c r="U859">
        <f t="shared" si="68"/>
        <v>0</v>
      </c>
      <c r="V859">
        <f t="shared" si="69"/>
        <v>0</v>
      </c>
    </row>
    <row r="860" spans="1:22" x14ac:dyDescent="0.25">
      <c r="A860">
        <v>857</v>
      </c>
      <c r="B860" t="s">
        <v>10</v>
      </c>
      <c r="C860" t="s">
        <v>250</v>
      </c>
      <c r="D860" s="4">
        <v>45450</v>
      </c>
      <c r="E860" t="s">
        <v>517</v>
      </c>
      <c r="F860" t="s">
        <v>75</v>
      </c>
      <c r="I860" s="6">
        <v>1</v>
      </c>
      <c r="J860" s="6">
        <v>1</v>
      </c>
      <c r="K860" s="6">
        <v>1</v>
      </c>
      <c r="L860" s="6">
        <v>0</v>
      </c>
      <c r="M860" s="6">
        <v>1</v>
      </c>
      <c r="N860" s="6">
        <v>0</v>
      </c>
      <c r="O860" s="6">
        <v>0</v>
      </c>
      <c r="P860" s="6">
        <v>0</v>
      </c>
      <c r="Q860">
        <v>1</v>
      </c>
      <c r="R860">
        <f t="shared" si="65"/>
        <v>0</v>
      </c>
      <c r="S860">
        <f t="shared" si="66"/>
        <v>1</v>
      </c>
      <c r="T860">
        <f t="shared" si="67"/>
        <v>4</v>
      </c>
      <c r="U860">
        <f t="shared" si="68"/>
        <v>1</v>
      </c>
      <c r="V860">
        <f t="shared" si="69"/>
        <v>0</v>
      </c>
    </row>
    <row r="861" spans="1:22" x14ac:dyDescent="0.25">
      <c r="A861">
        <v>858</v>
      </c>
      <c r="B861" t="s">
        <v>10</v>
      </c>
      <c r="C861" t="s">
        <v>250</v>
      </c>
      <c r="D861" s="4">
        <v>45450</v>
      </c>
      <c r="E861" t="s">
        <v>518</v>
      </c>
      <c r="F861" t="s">
        <v>75</v>
      </c>
      <c r="I861" s="6">
        <v>1</v>
      </c>
      <c r="J861" s="6">
        <v>0</v>
      </c>
      <c r="K861" s="6">
        <v>0</v>
      </c>
      <c r="L861" s="6">
        <v>1</v>
      </c>
      <c r="M861" s="6">
        <v>0</v>
      </c>
      <c r="N861" s="6">
        <v>0</v>
      </c>
      <c r="O861" s="6">
        <v>0</v>
      </c>
      <c r="P861" s="6">
        <v>0</v>
      </c>
      <c r="Q861">
        <v>1</v>
      </c>
      <c r="R861">
        <f t="shared" si="65"/>
        <v>0</v>
      </c>
      <c r="S861">
        <f t="shared" si="66"/>
        <v>1</v>
      </c>
      <c r="T861">
        <f t="shared" si="67"/>
        <v>2</v>
      </c>
      <c r="U861">
        <f t="shared" si="68"/>
        <v>1</v>
      </c>
      <c r="V861">
        <f t="shared" si="69"/>
        <v>0</v>
      </c>
    </row>
    <row r="862" spans="1:22" x14ac:dyDescent="0.25">
      <c r="A862">
        <v>859</v>
      </c>
      <c r="B862" t="s">
        <v>10</v>
      </c>
      <c r="C862" t="s">
        <v>250</v>
      </c>
      <c r="D862" s="4">
        <v>45450</v>
      </c>
      <c r="E862" t="s">
        <v>519</v>
      </c>
      <c r="F862" t="s">
        <v>75</v>
      </c>
      <c r="I862" s="6">
        <v>0</v>
      </c>
      <c r="J862" s="6">
        <v>0</v>
      </c>
      <c r="K862" s="6">
        <v>1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>
        <v>1</v>
      </c>
      <c r="R862">
        <f t="shared" si="65"/>
        <v>0</v>
      </c>
      <c r="S862">
        <f t="shared" si="66"/>
        <v>1</v>
      </c>
      <c r="T862">
        <f t="shared" si="67"/>
        <v>1</v>
      </c>
      <c r="U862">
        <f t="shared" si="68"/>
        <v>1</v>
      </c>
      <c r="V862">
        <f t="shared" si="69"/>
        <v>0</v>
      </c>
    </row>
    <row r="863" spans="1:22" x14ac:dyDescent="0.25">
      <c r="A863">
        <v>860</v>
      </c>
      <c r="B863" t="s">
        <v>10</v>
      </c>
      <c r="C863" t="s">
        <v>250</v>
      </c>
      <c r="D863" s="4">
        <v>45450</v>
      </c>
      <c r="E863" t="s">
        <v>1499</v>
      </c>
      <c r="F863" t="s">
        <v>75</v>
      </c>
      <c r="I863" s="6">
        <v>1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>
        <v>1</v>
      </c>
      <c r="R863">
        <f t="shared" si="65"/>
        <v>0</v>
      </c>
      <c r="S863">
        <f t="shared" si="66"/>
        <v>1</v>
      </c>
      <c r="T863">
        <f t="shared" si="67"/>
        <v>1</v>
      </c>
      <c r="U863">
        <f t="shared" si="68"/>
        <v>1</v>
      </c>
      <c r="V863">
        <f t="shared" si="69"/>
        <v>0</v>
      </c>
    </row>
    <row r="864" spans="1:22" x14ac:dyDescent="0.25">
      <c r="A864">
        <v>861</v>
      </c>
      <c r="B864" t="s">
        <v>10</v>
      </c>
      <c r="C864" t="s">
        <v>250</v>
      </c>
      <c r="D864" s="4">
        <v>45450</v>
      </c>
      <c r="E864" t="s">
        <v>520</v>
      </c>
      <c r="F864" t="s">
        <v>75</v>
      </c>
      <c r="I864" s="6">
        <v>1</v>
      </c>
      <c r="J864" s="6">
        <v>0</v>
      </c>
      <c r="K864" s="6">
        <v>0</v>
      </c>
      <c r="L864" s="6">
        <v>0</v>
      </c>
      <c r="M864" s="6">
        <v>1</v>
      </c>
      <c r="N864" s="6">
        <v>0</v>
      </c>
      <c r="O864" s="6">
        <v>0</v>
      </c>
      <c r="P864" s="6">
        <v>0</v>
      </c>
      <c r="Q864">
        <v>1</v>
      </c>
      <c r="R864">
        <f t="shared" si="65"/>
        <v>0</v>
      </c>
      <c r="S864">
        <f t="shared" si="66"/>
        <v>1</v>
      </c>
      <c r="T864">
        <f t="shared" si="67"/>
        <v>2</v>
      </c>
      <c r="U864">
        <f t="shared" si="68"/>
        <v>1</v>
      </c>
      <c r="V864">
        <f t="shared" si="69"/>
        <v>0</v>
      </c>
    </row>
    <row r="865" spans="1:22" x14ac:dyDescent="0.25">
      <c r="A865">
        <v>862</v>
      </c>
      <c r="B865" t="s">
        <v>10</v>
      </c>
      <c r="C865" t="s">
        <v>250</v>
      </c>
      <c r="D865" s="4">
        <v>45450</v>
      </c>
      <c r="E865" t="s">
        <v>1569</v>
      </c>
      <c r="F865" t="s">
        <v>75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>
        <v>1</v>
      </c>
      <c r="R865">
        <f t="shared" si="65"/>
        <v>0</v>
      </c>
      <c r="S865">
        <f t="shared" si="66"/>
        <v>1</v>
      </c>
      <c r="T865">
        <f t="shared" si="67"/>
        <v>0</v>
      </c>
      <c r="U865">
        <f t="shared" si="68"/>
        <v>0</v>
      </c>
      <c r="V865">
        <f t="shared" si="69"/>
        <v>0</v>
      </c>
    </row>
    <row r="866" spans="1:22" x14ac:dyDescent="0.25">
      <c r="A866">
        <v>863</v>
      </c>
      <c r="B866" t="s">
        <v>10</v>
      </c>
      <c r="C866" t="s">
        <v>250</v>
      </c>
      <c r="D866" s="4">
        <v>45451</v>
      </c>
      <c r="E866" t="s">
        <v>393</v>
      </c>
      <c r="F866" t="s">
        <v>75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>
        <v>1</v>
      </c>
      <c r="R866">
        <f t="shared" si="65"/>
        <v>0</v>
      </c>
      <c r="S866">
        <f t="shared" si="66"/>
        <v>1</v>
      </c>
      <c r="T866">
        <f t="shared" si="67"/>
        <v>0</v>
      </c>
      <c r="U866">
        <f t="shared" si="68"/>
        <v>0</v>
      </c>
      <c r="V866">
        <f t="shared" si="69"/>
        <v>0</v>
      </c>
    </row>
    <row r="867" spans="1:22" x14ac:dyDescent="0.25">
      <c r="A867">
        <v>864</v>
      </c>
      <c r="B867" t="s">
        <v>10</v>
      </c>
      <c r="C867" t="s">
        <v>250</v>
      </c>
      <c r="D867" s="4">
        <v>45451</v>
      </c>
      <c r="E867" t="s">
        <v>394</v>
      </c>
      <c r="F867" t="s">
        <v>75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>
        <v>1</v>
      </c>
      <c r="R867">
        <f t="shared" si="65"/>
        <v>0</v>
      </c>
      <c r="S867">
        <f t="shared" si="66"/>
        <v>1</v>
      </c>
      <c r="T867">
        <f t="shared" si="67"/>
        <v>0</v>
      </c>
      <c r="U867">
        <f t="shared" si="68"/>
        <v>0</v>
      </c>
      <c r="V867">
        <f t="shared" si="69"/>
        <v>0</v>
      </c>
    </row>
    <row r="868" spans="1:22" x14ac:dyDescent="0.25">
      <c r="A868">
        <v>865</v>
      </c>
      <c r="B868" t="s">
        <v>10</v>
      </c>
      <c r="C868" t="s">
        <v>250</v>
      </c>
      <c r="D868" s="4">
        <v>45451</v>
      </c>
      <c r="E868" t="s">
        <v>395</v>
      </c>
      <c r="F868" t="s">
        <v>75</v>
      </c>
      <c r="I868" s="6">
        <v>1</v>
      </c>
      <c r="J868" s="6">
        <v>0</v>
      </c>
      <c r="K868" s="6">
        <v>1</v>
      </c>
      <c r="L868" s="6">
        <v>0</v>
      </c>
      <c r="M868" s="6">
        <v>1</v>
      </c>
      <c r="N868" s="6">
        <v>0</v>
      </c>
      <c r="O868" s="6">
        <v>0</v>
      </c>
      <c r="P868" s="6">
        <v>0</v>
      </c>
      <c r="Q868">
        <v>1</v>
      </c>
      <c r="R868">
        <f t="shared" si="65"/>
        <v>0</v>
      </c>
      <c r="S868">
        <f t="shared" si="66"/>
        <v>1</v>
      </c>
      <c r="T868">
        <f t="shared" si="67"/>
        <v>3</v>
      </c>
      <c r="U868">
        <f t="shared" si="68"/>
        <v>1</v>
      </c>
      <c r="V868">
        <f t="shared" si="69"/>
        <v>0</v>
      </c>
    </row>
    <row r="869" spans="1:22" x14ac:dyDescent="0.25">
      <c r="A869">
        <v>866</v>
      </c>
      <c r="B869" t="s">
        <v>10</v>
      </c>
      <c r="C869" t="s">
        <v>250</v>
      </c>
      <c r="D869" s="4">
        <v>45451</v>
      </c>
      <c r="E869" t="s">
        <v>396</v>
      </c>
      <c r="F869" t="s">
        <v>75</v>
      </c>
      <c r="I869" s="6">
        <v>1</v>
      </c>
      <c r="J869" s="6">
        <v>0</v>
      </c>
      <c r="K869" s="6">
        <v>1</v>
      </c>
      <c r="L869" s="6">
        <v>0</v>
      </c>
      <c r="M869" s="6">
        <v>1</v>
      </c>
      <c r="N869" s="6">
        <v>0</v>
      </c>
      <c r="O869" s="6">
        <v>0</v>
      </c>
      <c r="P869" s="6">
        <v>0</v>
      </c>
      <c r="Q869">
        <v>1</v>
      </c>
      <c r="R869">
        <f t="shared" si="65"/>
        <v>0</v>
      </c>
      <c r="S869">
        <f t="shared" si="66"/>
        <v>1</v>
      </c>
      <c r="T869">
        <f t="shared" si="67"/>
        <v>3</v>
      </c>
      <c r="U869">
        <f t="shared" si="68"/>
        <v>1</v>
      </c>
      <c r="V869">
        <f t="shared" si="69"/>
        <v>0</v>
      </c>
    </row>
    <row r="870" spans="1:22" x14ac:dyDescent="0.25">
      <c r="A870">
        <v>867</v>
      </c>
      <c r="B870" t="s">
        <v>10</v>
      </c>
      <c r="C870" t="s">
        <v>250</v>
      </c>
      <c r="D870" s="4">
        <v>45451</v>
      </c>
      <c r="E870" t="s">
        <v>521</v>
      </c>
      <c r="F870" t="s">
        <v>75</v>
      </c>
      <c r="I870" s="6">
        <v>1</v>
      </c>
      <c r="J870" s="6">
        <v>0</v>
      </c>
      <c r="K870" s="6">
        <v>0</v>
      </c>
      <c r="L870" s="6">
        <v>0</v>
      </c>
      <c r="M870" s="6">
        <v>1</v>
      </c>
      <c r="N870" s="6">
        <v>0</v>
      </c>
      <c r="O870" s="6">
        <v>0</v>
      </c>
      <c r="P870" s="6">
        <v>0</v>
      </c>
      <c r="Q870">
        <v>1</v>
      </c>
      <c r="R870">
        <f t="shared" si="65"/>
        <v>0</v>
      </c>
      <c r="S870">
        <f t="shared" si="66"/>
        <v>1</v>
      </c>
      <c r="T870">
        <f t="shared" si="67"/>
        <v>2</v>
      </c>
      <c r="U870">
        <f t="shared" si="68"/>
        <v>1</v>
      </c>
      <c r="V870">
        <f t="shared" si="69"/>
        <v>0</v>
      </c>
    </row>
    <row r="871" spans="1:22" x14ac:dyDescent="0.25">
      <c r="A871">
        <v>868</v>
      </c>
      <c r="B871" t="s">
        <v>10</v>
      </c>
      <c r="C871" t="s">
        <v>250</v>
      </c>
      <c r="D871" s="4">
        <v>45452</v>
      </c>
      <c r="E871" t="s">
        <v>522</v>
      </c>
      <c r="F871" t="s">
        <v>75</v>
      </c>
      <c r="I871" s="6">
        <v>1</v>
      </c>
      <c r="J871" s="6">
        <v>0</v>
      </c>
      <c r="K871" s="6">
        <v>1</v>
      </c>
      <c r="L871" s="6">
        <v>1</v>
      </c>
      <c r="M871" s="6">
        <v>1</v>
      </c>
      <c r="N871" s="6">
        <v>0</v>
      </c>
      <c r="O871" s="6">
        <v>0</v>
      </c>
      <c r="P871" s="6">
        <v>0</v>
      </c>
      <c r="Q871">
        <v>1</v>
      </c>
      <c r="R871">
        <f t="shared" si="65"/>
        <v>0</v>
      </c>
      <c r="S871">
        <f t="shared" si="66"/>
        <v>1</v>
      </c>
      <c r="T871">
        <f t="shared" si="67"/>
        <v>4</v>
      </c>
      <c r="U871">
        <f t="shared" si="68"/>
        <v>1</v>
      </c>
      <c r="V871">
        <f t="shared" si="69"/>
        <v>0</v>
      </c>
    </row>
    <row r="872" spans="1:22" x14ac:dyDescent="0.25">
      <c r="A872">
        <v>869</v>
      </c>
      <c r="B872" t="s">
        <v>14</v>
      </c>
      <c r="C872" t="s">
        <v>523</v>
      </c>
      <c r="D872" s="4">
        <v>45593</v>
      </c>
      <c r="E872" t="s">
        <v>524</v>
      </c>
      <c r="F872" t="s">
        <v>75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>
        <v>1</v>
      </c>
      <c r="R872">
        <f t="shared" si="65"/>
        <v>0</v>
      </c>
      <c r="S872">
        <f t="shared" si="66"/>
        <v>1</v>
      </c>
      <c r="T872">
        <f t="shared" si="67"/>
        <v>0</v>
      </c>
      <c r="U872">
        <f t="shared" si="68"/>
        <v>0</v>
      </c>
      <c r="V872">
        <f t="shared" si="69"/>
        <v>0</v>
      </c>
    </row>
    <row r="873" spans="1:22" x14ac:dyDescent="0.25">
      <c r="A873">
        <v>870</v>
      </c>
      <c r="B873" t="s">
        <v>14</v>
      </c>
      <c r="C873" t="s">
        <v>523</v>
      </c>
      <c r="D873" s="4">
        <v>45593</v>
      </c>
      <c r="E873" t="s">
        <v>525</v>
      </c>
      <c r="F873" t="s">
        <v>75</v>
      </c>
      <c r="I873" s="6">
        <v>0</v>
      </c>
      <c r="J873" s="6">
        <v>0</v>
      </c>
      <c r="K873" s="6">
        <v>0</v>
      </c>
      <c r="L873" s="6">
        <v>0</v>
      </c>
      <c r="M873" s="6">
        <v>1</v>
      </c>
      <c r="N873" s="6">
        <v>1</v>
      </c>
      <c r="O873" s="6">
        <v>0</v>
      </c>
      <c r="P873" s="6">
        <v>0</v>
      </c>
      <c r="Q873">
        <v>1</v>
      </c>
      <c r="R873">
        <f t="shared" si="65"/>
        <v>0</v>
      </c>
      <c r="S873">
        <f t="shared" si="66"/>
        <v>1</v>
      </c>
      <c r="T873">
        <f t="shared" si="67"/>
        <v>2</v>
      </c>
      <c r="U873">
        <f t="shared" si="68"/>
        <v>1</v>
      </c>
      <c r="V873">
        <f t="shared" si="69"/>
        <v>0</v>
      </c>
    </row>
    <row r="874" spans="1:22" x14ac:dyDescent="0.25">
      <c r="A874">
        <v>871</v>
      </c>
      <c r="B874" t="s">
        <v>14</v>
      </c>
      <c r="C874" t="s">
        <v>523</v>
      </c>
      <c r="D874" s="4">
        <v>45594</v>
      </c>
      <c r="E874" t="s">
        <v>526</v>
      </c>
      <c r="F874" t="s">
        <v>75</v>
      </c>
      <c r="I874" s="6">
        <v>0</v>
      </c>
      <c r="J874" s="6">
        <v>0</v>
      </c>
      <c r="K874" s="6">
        <v>0</v>
      </c>
      <c r="L874" s="6">
        <v>0</v>
      </c>
      <c r="M874" s="6">
        <v>1</v>
      </c>
      <c r="N874" s="6">
        <v>1</v>
      </c>
      <c r="O874" s="6">
        <v>0</v>
      </c>
      <c r="P874" s="6">
        <v>0</v>
      </c>
      <c r="Q874">
        <v>1</v>
      </c>
      <c r="R874">
        <f t="shared" si="65"/>
        <v>0</v>
      </c>
      <c r="S874">
        <f t="shared" si="66"/>
        <v>1</v>
      </c>
      <c r="T874">
        <f t="shared" si="67"/>
        <v>2</v>
      </c>
      <c r="U874">
        <f t="shared" si="68"/>
        <v>1</v>
      </c>
      <c r="V874">
        <f t="shared" si="69"/>
        <v>0</v>
      </c>
    </row>
    <row r="875" spans="1:22" x14ac:dyDescent="0.25">
      <c r="A875">
        <v>872</v>
      </c>
      <c r="B875" t="s">
        <v>14</v>
      </c>
      <c r="C875" t="s">
        <v>523</v>
      </c>
      <c r="D875" s="4">
        <v>45594</v>
      </c>
      <c r="E875" t="s">
        <v>527</v>
      </c>
      <c r="F875" t="s">
        <v>413</v>
      </c>
      <c r="G875">
        <v>4</v>
      </c>
      <c r="I875" s="6">
        <v>0</v>
      </c>
      <c r="J875" s="6">
        <v>0</v>
      </c>
      <c r="K875" s="6">
        <v>0</v>
      </c>
      <c r="L875" s="6">
        <v>0</v>
      </c>
      <c r="M875" s="6">
        <v>1</v>
      </c>
      <c r="N875" s="6">
        <v>1</v>
      </c>
      <c r="O875" s="6">
        <v>0</v>
      </c>
      <c r="P875" s="6">
        <v>0</v>
      </c>
      <c r="Q875">
        <v>1</v>
      </c>
      <c r="R875">
        <f t="shared" si="65"/>
        <v>1</v>
      </c>
      <c r="S875">
        <f t="shared" si="66"/>
        <v>0</v>
      </c>
      <c r="T875">
        <f t="shared" si="67"/>
        <v>2</v>
      </c>
      <c r="U875">
        <f t="shared" si="68"/>
        <v>1</v>
      </c>
      <c r="V875">
        <f t="shared" si="69"/>
        <v>1</v>
      </c>
    </row>
    <row r="876" spans="1:22" x14ac:dyDescent="0.25">
      <c r="A876">
        <v>873</v>
      </c>
      <c r="B876" t="s">
        <v>14</v>
      </c>
      <c r="C876" t="s">
        <v>523</v>
      </c>
      <c r="D876" s="4">
        <v>45595</v>
      </c>
      <c r="E876" t="s">
        <v>528</v>
      </c>
      <c r="F876" t="s">
        <v>413</v>
      </c>
      <c r="G876">
        <v>5</v>
      </c>
      <c r="I876" s="6">
        <v>0</v>
      </c>
      <c r="J876" s="6">
        <v>0</v>
      </c>
      <c r="K876" s="6">
        <v>0</v>
      </c>
      <c r="L876" s="6">
        <v>0</v>
      </c>
      <c r="M876" s="6">
        <v>1</v>
      </c>
      <c r="N876" s="6">
        <v>0</v>
      </c>
      <c r="O876" s="6">
        <v>0</v>
      </c>
      <c r="P876" s="6">
        <v>0</v>
      </c>
      <c r="Q876">
        <v>1</v>
      </c>
      <c r="R876">
        <f t="shared" si="65"/>
        <v>1</v>
      </c>
      <c r="S876">
        <f t="shared" si="66"/>
        <v>0</v>
      </c>
      <c r="T876">
        <f t="shared" si="67"/>
        <v>1</v>
      </c>
      <c r="U876">
        <f t="shared" si="68"/>
        <v>1</v>
      </c>
      <c r="V876">
        <f t="shared" si="69"/>
        <v>1</v>
      </c>
    </row>
    <row r="877" spans="1:22" x14ac:dyDescent="0.25">
      <c r="A877">
        <v>874</v>
      </c>
      <c r="B877" t="s">
        <v>14</v>
      </c>
      <c r="C877" t="s">
        <v>523</v>
      </c>
      <c r="D877" s="4">
        <v>45595</v>
      </c>
      <c r="E877" t="s">
        <v>529</v>
      </c>
      <c r="F877" t="s">
        <v>413</v>
      </c>
      <c r="G877">
        <v>6</v>
      </c>
      <c r="I877" s="6">
        <v>1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>
        <v>1</v>
      </c>
      <c r="R877">
        <f t="shared" si="65"/>
        <v>1</v>
      </c>
      <c r="S877">
        <f t="shared" si="66"/>
        <v>0</v>
      </c>
      <c r="T877">
        <f t="shared" si="67"/>
        <v>1</v>
      </c>
      <c r="U877">
        <f t="shared" si="68"/>
        <v>1</v>
      </c>
      <c r="V877">
        <f t="shared" si="69"/>
        <v>1</v>
      </c>
    </row>
    <row r="878" spans="1:22" x14ac:dyDescent="0.25">
      <c r="A878">
        <v>875</v>
      </c>
      <c r="B878" t="s">
        <v>14</v>
      </c>
      <c r="C878" t="s">
        <v>523</v>
      </c>
      <c r="D878" s="4">
        <v>45596</v>
      </c>
      <c r="E878" t="s">
        <v>530</v>
      </c>
      <c r="F878" t="s">
        <v>413</v>
      </c>
      <c r="G878">
        <v>7</v>
      </c>
      <c r="I878" s="6">
        <v>1</v>
      </c>
      <c r="J878" s="6">
        <v>0</v>
      </c>
      <c r="K878" s="6">
        <v>0</v>
      </c>
      <c r="L878" s="6">
        <v>0</v>
      </c>
      <c r="M878" s="6">
        <v>1</v>
      </c>
      <c r="N878" s="6">
        <v>0</v>
      </c>
      <c r="O878" s="6">
        <v>0</v>
      </c>
      <c r="P878" s="6">
        <v>0</v>
      </c>
      <c r="Q878">
        <v>1</v>
      </c>
      <c r="R878">
        <f t="shared" si="65"/>
        <v>1</v>
      </c>
      <c r="S878">
        <f t="shared" si="66"/>
        <v>0</v>
      </c>
      <c r="T878">
        <f t="shared" si="67"/>
        <v>2</v>
      </c>
      <c r="U878">
        <f t="shared" si="68"/>
        <v>1</v>
      </c>
      <c r="V878">
        <f t="shared" si="69"/>
        <v>1</v>
      </c>
    </row>
    <row r="879" spans="1:22" x14ac:dyDescent="0.25">
      <c r="A879">
        <v>876</v>
      </c>
      <c r="B879" t="s">
        <v>14</v>
      </c>
      <c r="C879" t="s">
        <v>523</v>
      </c>
      <c r="D879" s="4">
        <v>45596</v>
      </c>
      <c r="E879" t="s">
        <v>531</v>
      </c>
      <c r="F879" t="s">
        <v>413</v>
      </c>
      <c r="G879">
        <v>8</v>
      </c>
      <c r="I879" s="6">
        <v>1</v>
      </c>
      <c r="J879" s="6">
        <v>1</v>
      </c>
      <c r="K879" s="6">
        <v>1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>
        <v>1</v>
      </c>
      <c r="R879">
        <f t="shared" si="65"/>
        <v>1</v>
      </c>
      <c r="S879">
        <f t="shared" si="66"/>
        <v>0</v>
      </c>
      <c r="T879">
        <f t="shared" si="67"/>
        <v>3</v>
      </c>
      <c r="U879">
        <f t="shared" si="68"/>
        <v>1</v>
      </c>
      <c r="V879">
        <f t="shared" si="69"/>
        <v>1</v>
      </c>
    </row>
    <row r="880" spans="1:22" x14ac:dyDescent="0.25">
      <c r="A880">
        <v>877</v>
      </c>
      <c r="B880" t="s">
        <v>14</v>
      </c>
      <c r="C880" t="s">
        <v>523</v>
      </c>
      <c r="D880" s="4">
        <v>45597</v>
      </c>
      <c r="E880" t="s">
        <v>532</v>
      </c>
      <c r="F880" t="s">
        <v>413</v>
      </c>
      <c r="G880">
        <v>9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1</v>
      </c>
      <c r="O880" s="6">
        <v>1</v>
      </c>
      <c r="P880" s="6">
        <v>0</v>
      </c>
      <c r="Q880">
        <v>1</v>
      </c>
      <c r="R880">
        <f t="shared" si="65"/>
        <v>1</v>
      </c>
      <c r="S880">
        <f t="shared" si="66"/>
        <v>0</v>
      </c>
      <c r="T880">
        <f t="shared" si="67"/>
        <v>2</v>
      </c>
      <c r="U880">
        <f t="shared" si="68"/>
        <v>1</v>
      </c>
      <c r="V880">
        <f t="shared" si="69"/>
        <v>1</v>
      </c>
    </row>
    <row r="881" spans="1:22" x14ac:dyDescent="0.25">
      <c r="A881">
        <v>878</v>
      </c>
      <c r="B881" t="s">
        <v>14</v>
      </c>
      <c r="C881" t="s">
        <v>523</v>
      </c>
      <c r="D881" s="4">
        <v>45597</v>
      </c>
      <c r="E881" t="s">
        <v>533</v>
      </c>
      <c r="F881" t="s">
        <v>75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1</v>
      </c>
      <c r="P881" s="6">
        <v>0</v>
      </c>
      <c r="Q881">
        <v>1</v>
      </c>
      <c r="R881">
        <f t="shared" si="65"/>
        <v>0</v>
      </c>
      <c r="S881">
        <f t="shared" si="66"/>
        <v>1</v>
      </c>
      <c r="T881">
        <f t="shared" si="67"/>
        <v>1</v>
      </c>
      <c r="U881">
        <f t="shared" si="68"/>
        <v>1</v>
      </c>
      <c r="V881">
        <f t="shared" si="69"/>
        <v>0</v>
      </c>
    </row>
    <row r="882" spans="1:22" x14ac:dyDescent="0.25">
      <c r="A882">
        <v>879</v>
      </c>
      <c r="B882" t="s">
        <v>14</v>
      </c>
      <c r="C882" t="s">
        <v>523</v>
      </c>
      <c r="D882" s="4">
        <v>45600</v>
      </c>
      <c r="E882" t="s">
        <v>534</v>
      </c>
      <c r="F882" t="s">
        <v>413</v>
      </c>
      <c r="G882">
        <v>10</v>
      </c>
      <c r="I882" s="6">
        <v>1</v>
      </c>
      <c r="J882" s="6">
        <v>0</v>
      </c>
      <c r="K882" s="6">
        <v>0</v>
      </c>
      <c r="L882" s="6">
        <v>0</v>
      </c>
      <c r="M882" s="6">
        <v>1</v>
      </c>
      <c r="N882" s="6">
        <v>1</v>
      </c>
      <c r="O882" s="6">
        <v>1</v>
      </c>
      <c r="P882" s="6">
        <v>0</v>
      </c>
      <c r="Q882">
        <v>1</v>
      </c>
      <c r="R882">
        <f t="shared" si="65"/>
        <v>1</v>
      </c>
      <c r="S882">
        <f t="shared" si="66"/>
        <v>0</v>
      </c>
      <c r="T882">
        <f t="shared" si="67"/>
        <v>4</v>
      </c>
      <c r="U882">
        <f t="shared" si="68"/>
        <v>1</v>
      </c>
      <c r="V882">
        <f t="shared" si="69"/>
        <v>1</v>
      </c>
    </row>
    <row r="883" spans="1:22" x14ac:dyDescent="0.25">
      <c r="A883">
        <v>880</v>
      </c>
      <c r="B883" t="s">
        <v>14</v>
      </c>
      <c r="C883" t="s">
        <v>523</v>
      </c>
      <c r="D883" s="4">
        <v>45601</v>
      </c>
      <c r="E883" t="s">
        <v>535</v>
      </c>
      <c r="F883" t="s">
        <v>357</v>
      </c>
      <c r="I883" s="6">
        <v>1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>
        <v>1</v>
      </c>
      <c r="R883">
        <f t="shared" si="65"/>
        <v>0</v>
      </c>
      <c r="S883">
        <f t="shared" si="66"/>
        <v>0</v>
      </c>
      <c r="T883">
        <f t="shared" si="67"/>
        <v>1</v>
      </c>
      <c r="U883">
        <f t="shared" si="68"/>
        <v>1</v>
      </c>
      <c r="V883">
        <f t="shared" si="69"/>
        <v>0</v>
      </c>
    </row>
    <row r="884" spans="1:22" x14ac:dyDescent="0.25">
      <c r="A884">
        <v>881</v>
      </c>
      <c r="B884" t="s">
        <v>14</v>
      </c>
      <c r="C884" t="s">
        <v>523</v>
      </c>
      <c r="D884" s="4">
        <v>45601</v>
      </c>
      <c r="E884" t="s">
        <v>536</v>
      </c>
      <c r="F884" t="s">
        <v>75</v>
      </c>
      <c r="I884" s="6">
        <v>1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>
        <v>1</v>
      </c>
      <c r="R884">
        <f t="shared" si="65"/>
        <v>0</v>
      </c>
      <c r="S884">
        <f t="shared" si="66"/>
        <v>1</v>
      </c>
      <c r="T884">
        <f t="shared" si="67"/>
        <v>1</v>
      </c>
      <c r="U884">
        <f t="shared" si="68"/>
        <v>1</v>
      </c>
      <c r="V884">
        <f t="shared" si="69"/>
        <v>0</v>
      </c>
    </row>
    <row r="885" spans="1:22" x14ac:dyDescent="0.25">
      <c r="A885">
        <v>882</v>
      </c>
      <c r="B885" t="s">
        <v>14</v>
      </c>
      <c r="C885" t="s">
        <v>523</v>
      </c>
      <c r="D885" s="4">
        <v>45601</v>
      </c>
      <c r="E885" t="s">
        <v>537</v>
      </c>
      <c r="F885" t="s">
        <v>75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>
        <v>1</v>
      </c>
      <c r="R885">
        <f t="shared" si="65"/>
        <v>0</v>
      </c>
      <c r="S885">
        <f t="shared" si="66"/>
        <v>1</v>
      </c>
      <c r="T885">
        <f t="shared" si="67"/>
        <v>0</v>
      </c>
      <c r="U885">
        <f t="shared" si="68"/>
        <v>0</v>
      </c>
      <c r="V885">
        <f t="shared" si="69"/>
        <v>0</v>
      </c>
    </row>
    <row r="886" spans="1:22" x14ac:dyDescent="0.25">
      <c r="A886">
        <v>883</v>
      </c>
      <c r="B886" t="s">
        <v>14</v>
      </c>
      <c r="C886" t="s">
        <v>523</v>
      </c>
      <c r="D886" s="4">
        <v>45602</v>
      </c>
      <c r="E886" t="s">
        <v>538</v>
      </c>
      <c r="F886" t="s">
        <v>75</v>
      </c>
      <c r="I886" s="6">
        <v>1</v>
      </c>
      <c r="J886" s="6">
        <v>0</v>
      </c>
      <c r="K886" s="6">
        <v>0</v>
      </c>
      <c r="L886" s="6">
        <v>0</v>
      </c>
      <c r="M886" s="6">
        <v>1</v>
      </c>
      <c r="N886" s="6">
        <v>1</v>
      </c>
      <c r="O886" s="6">
        <v>1</v>
      </c>
      <c r="P886" s="6">
        <v>1</v>
      </c>
      <c r="Q886">
        <v>1</v>
      </c>
      <c r="R886">
        <f t="shared" si="65"/>
        <v>0</v>
      </c>
      <c r="S886">
        <f t="shared" si="66"/>
        <v>1</v>
      </c>
      <c r="T886">
        <f t="shared" si="67"/>
        <v>5</v>
      </c>
      <c r="U886">
        <f t="shared" si="68"/>
        <v>1</v>
      </c>
      <c r="V886">
        <f t="shared" si="69"/>
        <v>0</v>
      </c>
    </row>
    <row r="887" spans="1:22" x14ac:dyDescent="0.25">
      <c r="A887">
        <v>884</v>
      </c>
      <c r="B887" t="s">
        <v>14</v>
      </c>
      <c r="C887" t="s">
        <v>523</v>
      </c>
      <c r="D887" s="4">
        <v>45602</v>
      </c>
      <c r="E887" t="s">
        <v>539</v>
      </c>
      <c r="F887" t="s">
        <v>75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>
        <v>1</v>
      </c>
      <c r="R887">
        <f t="shared" si="65"/>
        <v>0</v>
      </c>
      <c r="S887">
        <f t="shared" si="66"/>
        <v>1</v>
      </c>
      <c r="T887">
        <f t="shared" si="67"/>
        <v>0</v>
      </c>
      <c r="U887">
        <f t="shared" si="68"/>
        <v>0</v>
      </c>
      <c r="V887">
        <f t="shared" si="69"/>
        <v>0</v>
      </c>
    </row>
    <row r="888" spans="1:22" x14ac:dyDescent="0.25">
      <c r="A888">
        <v>885</v>
      </c>
      <c r="B888" t="s">
        <v>14</v>
      </c>
      <c r="C888" t="s">
        <v>523</v>
      </c>
      <c r="D888" s="4">
        <v>45603</v>
      </c>
      <c r="E888" t="s">
        <v>540</v>
      </c>
      <c r="F888" t="s">
        <v>75</v>
      </c>
      <c r="I888" s="6">
        <v>0</v>
      </c>
      <c r="J888" s="6">
        <v>0</v>
      </c>
      <c r="K888" s="6">
        <v>0</v>
      </c>
      <c r="L888" s="6">
        <v>0</v>
      </c>
      <c r="M888" s="6">
        <v>1</v>
      </c>
      <c r="N888" s="6">
        <v>0</v>
      </c>
      <c r="O888" s="6">
        <v>0</v>
      </c>
      <c r="P888" s="6">
        <v>0</v>
      </c>
      <c r="Q888">
        <v>1</v>
      </c>
      <c r="R888">
        <f t="shared" si="65"/>
        <v>0</v>
      </c>
      <c r="S888">
        <f t="shared" si="66"/>
        <v>1</v>
      </c>
      <c r="T888">
        <f t="shared" si="67"/>
        <v>1</v>
      </c>
      <c r="U888">
        <f t="shared" si="68"/>
        <v>1</v>
      </c>
      <c r="V888">
        <f t="shared" si="69"/>
        <v>0</v>
      </c>
    </row>
    <row r="889" spans="1:22" x14ac:dyDescent="0.25">
      <c r="A889">
        <v>886</v>
      </c>
      <c r="B889" t="s">
        <v>14</v>
      </c>
      <c r="C889" t="s">
        <v>523</v>
      </c>
      <c r="D889" s="4">
        <v>45603</v>
      </c>
      <c r="E889" t="s">
        <v>541</v>
      </c>
      <c r="F889" t="s">
        <v>357</v>
      </c>
      <c r="I889" s="6">
        <v>0</v>
      </c>
      <c r="J889" s="6">
        <v>0</v>
      </c>
      <c r="K889" s="6">
        <v>0</v>
      </c>
      <c r="L889" s="6">
        <v>0</v>
      </c>
      <c r="M889" s="6">
        <v>1</v>
      </c>
      <c r="N889" s="6">
        <v>1</v>
      </c>
      <c r="O889" s="6">
        <v>0</v>
      </c>
      <c r="P889" s="6">
        <v>0</v>
      </c>
      <c r="Q889">
        <v>1</v>
      </c>
      <c r="R889">
        <f t="shared" si="65"/>
        <v>0</v>
      </c>
      <c r="S889">
        <f t="shared" si="66"/>
        <v>0</v>
      </c>
      <c r="T889">
        <f t="shared" si="67"/>
        <v>2</v>
      </c>
      <c r="U889">
        <f t="shared" si="68"/>
        <v>1</v>
      </c>
      <c r="V889">
        <f t="shared" si="69"/>
        <v>0</v>
      </c>
    </row>
    <row r="890" spans="1:22" x14ac:dyDescent="0.25">
      <c r="A890">
        <v>887</v>
      </c>
      <c r="B890" t="s">
        <v>14</v>
      </c>
      <c r="C890" t="s">
        <v>523</v>
      </c>
      <c r="D890" s="4">
        <v>45604</v>
      </c>
      <c r="E890" t="s">
        <v>542</v>
      </c>
      <c r="F890" t="s">
        <v>75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1</v>
      </c>
      <c r="O890" s="6">
        <v>0</v>
      </c>
      <c r="P890" s="6">
        <v>0</v>
      </c>
      <c r="Q890">
        <v>1</v>
      </c>
      <c r="R890">
        <f t="shared" si="65"/>
        <v>0</v>
      </c>
      <c r="S890">
        <f t="shared" si="66"/>
        <v>1</v>
      </c>
      <c r="T890">
        <f t="shared" si="67"/>
        <v>1</v>
      </c>
      <c r="U890">
        <f t="shared" si="68"/>
        <v>1</v>
      </c>
      <c r="V890">
        <f t="shared" si="69"/>
        <v>0</v>
      </c>
    </row>
    <row r="891" spans="1:22" x14ac:dyDescent="0.25">
      <c r="A891">
        <v>888</v>
      </c>
      <c r="B891" t="s">
        <v>14</v>
      </c>
      <c r="C891" t="s">
        <v>523</v>
      </c>
      <c r="D891" s="4">
        <v>45607</v>
      </c>
      <c r="E891" t="s">
        <v>543</v>
      </c>
      <c r="F891" t="s">
        <v>413</v>
      </c>
      <c r="G891">
        <v>11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>
        <v>1</v>
      </c>
      <c r="R891">
        <f t="shared" si="65"/>
        <v>1</v>
      </c>
      <c r="S891">
        <f t="shared" si="66"/>
        <v>0</v>
      </c>
      <c r="T891">
        <f t="shared" si="67"/>
        <v>0</v>
      </c>
      <c r="U891">
        <f t="shared" si="68"/>
        <v>0</v>
      </c>
      <c r="V891">
        <f t="shared" si="69"/>
        <v>1</v>
      </c>
    </row>
    <row r="892" spans="1:22" x14ac:dyDescent="0.25">
      <c r="A892">
        <v>889</v>
      </c>
      <c r="B892" t="s">
        <v>14</v>
      </c>
      <c r="C892" t="s">
        <v>523</v>
      </c>
      <c r="D892" s="4">
        <v>45610</v>
      </c>
      <c r="E892" t="s">
        <v>544</v>
      </c>
      <c r="F892" t="s">
        <v>75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>
        <v>1</v>
      </c>
      <c r="R892">
        <f t="shared" si="65"/>
        <v>0</v>
      </c>
      <c r="S892">
        <f t="shared" si="66"/>
        <v>1</v>
      </c>
      <c r="T892">
        <f t="shared" si="67"/>
        <v>0</v>
      </c>
      <c r="U892">
        <f t="shared" si="68"/>
        <v>0</v>
      </c>
      <c r="V892">
        <f t="shared" si="69"/>
        <v>0</v>
      </c>
    </row>
    <row r="893" spans="1:22" x14ac:dyDescent="0.25">
      <c r="A893">
        <v>890</v>
      </c>
      <c r="B893" t="s">
        <v>14</v>
      </c>
      <c r="C893" t="s">
        <v>523</v>
      </c>
      <c r="D893" s="4">
        <v>45612</v>
      </c>
      <c r="E893" t="s">
        <v>545</v>
      </c>
      <c r="F893" t="s">
        <v>75</v>
      </c>
      <c r="I893" s="6">
        <v>1</v>
      </c>
      <c r="J893" s="6">
        <v>0</v>
      </c>
      <c r="K893" s="6">
        <v>0</v>
      </c>
      <c r="L893" s="6">
        <v>1</v>
      </c>
      <c r="M893" s="6">
        <v>0</v>
      </c>
      <c r="N893" s="6">
        <v>0</v>
      </c>
      <c r="O893" s="6">
        <v>0</v>
      </c>
      <c r="P893" s="6">
        <v>1</v>
      </c>
      <c r="Q893">
        <v>1</v>
      </c>
      <c r="R893">
        <f t="shared" si="65"/>
        <v>0</v>
      </c>
      <c r="S893">
        <f t="shared" si="66"/>
        <v>1</v>
      </c>
      <c r="T893">
        <f t="shared" si="67"/>
        <v>3</v>
      </c>
      <c r="U893">
        <f t="shared" si="68"/>
        <v>1</v>
      </c>
      <c r="V893">
        <f t="shared" si="69"/>
        <v>0</v>
      </c>
    </row>
    <row r="894" spans="1:22" x14ac:dyDescent="0.25">
      <c r="A894">
        <v>891</v>
      </c>
      <c r="B894" t="s">
        <v>14</v>
      </c>
      <c r="C894" t="s">
        <v>523</v>
      </c>
      <c r="D894" s="4">
        <v>45614</v>
      </c>
      <c r="E894" t="s">
        <v>546</v>
      </c>
      <c r="F894" t="s">
        <v>75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1</v>
      </c>
      <c r="Q894">
        <v>1</v>
      </c>
      <c r="R894">
        <f t="shared" si="65"/>
        <v>0</v>
      </c>
      <c r="S894">
        <f t="shared" si="66"/>
        <v>1</v>
      </c>
      <c r="T894">
        <f t="shared" si="67"/>
        <v>1</v>
      </c>
      <c r="U894">
        <f t="shared" si="68"/>
        <v>1</v>
      </c>
      <c r="V894">
        <f t="shared" si="69"/>
        <v>0</v>
      </c>
    </row>
    <row r="895" spans="1:22" x14ac:dyDescent="0.25">
      <c r="A895">
        <v>892</v>
      </c>
      <c r="B895" t="s">
        <v>14</v>
      </c>
      <c r="C895" t="s">
        <v>523</v>
      </c>
      <c r="D895" s="4">
        <v>45614</v>
      </c>
      <c r="E895" t="s">
        <v>547</v>
      </c>
      <c r="F895" t="s">
        <v>413</v>
      </c>
      <c r="G895">
        <v>12</v>
      </c>
      <c r="I895" s="6">
        <v>1</v>
      </c>
      <c r="J895" s="6">
        <v>0</v>
      </c>
      <c r="K895" s="6">
        <v>0</v>
      </c>
      <c r="L895" s="6">
        <v>0</v>
      </c>
      <c r="M895" s="6">
        <v>1</v>
      </c>
      <c r="N895" s="6">
        <v>0</v>
      </c>
      <c r="O895" s="6">
        <v>0</v>
      </c>
      <c r="P895" s="6">
        <v>0</v>
      </c>
      <c r="Q895">
        <v>1</v>
      </c>
      <c r="R895">
        <f t="shared" si="65"/>
        <v>1</v>
      </c>
      <c r="S895">
        <f t="shared" si="66"/>
        <v>0</v>
      </c>
      <c r="T895">
        <f t="shared" si="67"/>
        <v>2</v>
      </c>
      <c r="U895">
        <f t="shared" si="68"/>
        <v>1</v>
      </c>
      <c r="V895">
        <f t="shared" si="69"/>
        <v>1</v>
      </c>
    </row>
    <row r="896" spans="1:22" x14ac:dyDescent="0.25">
      <c r="A896">
        <v>893</v>
      </c>
      <c r="B896" t="s">
        <v>14</v>
      </c>
      <c r="C896" t="s">
        <v>523</v>
      </c>
      <c r="D896" s="4">
        <v>45615</v>
      </c>
      <c r="E896" t="s">
        <v>548</v>
      </c>
      <c r="F896" t="s">
        <v>75</v>
      </c>
      <c r="I896" s="6">
        <v>1</v>
      </c>
      <c r="J896" s="6">
        <v>1</v>
      </c>
      <c r="K896" s="6">
        <v>1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>
        <v>1</v>
      </c>
      <c r="R896">
        <f t="shared" si="65"/>
        <v>0</v>
      </c>
      <c r="S896">
        <f t="shared" si="66"/>
        <v>1</v>
      </c>
      <c r="T896">
        <f t="shared" si="67"/>
        <v>3</v>
      </c>
      <c r="U896">
        <f t="shared" si="68"/>
        <v>1</v>
      </c>
      <c r="V896">
        <f t="shared" si="69"/>
        <v>0</v>
      </c>
    </row>
    <row r="897" spans="1:22" x14ac:dyDescent="0.25">
      <c r="A897">
        <v>894</v>
      </c>
      <c r="B897" t="s">
        <v>14</v>
      </c>
      <c r="C897" t="s">
        <v>523</v>
      </c>
      <c r="D897" s="4">
        <v>45616</v>
      </c>
      <c r="E897" t="s">
        <v>549</v>
      </c>
      <c r="F897" t="s">
        <v>357</v>
      </c>
      <c r="I897" s="6">
        <v>0</v>
      </c>
      <c r="J897" s="6">
        <v>0</v>
      </c>
      <c r="K897" s="6">
        <v>0</v>
      </c>
      <c r="L897" s="6">
        <v>0</v>
      </c>
      <c r="M897" s="6">
        <v>1</v>
      </c>
      <c r="N897" s="6">
        <v>1</v>
      </c>
      <c r="O897" s="6">
        <v>0</v>
      </c>
      <c r="P897" s="6">
        <v>0</v>
      </c>
      <c r="Q897">
        <v>1</v>
      </c>
      <c r="R897">
        <f t="shared" si="65"/>
        <v>0</v>
      </c>
      <c r="S897">
        <f t="shared" si="66"/>
        <v>0</v>
      </c>
      <c r="T897">
        <f t="shared" si="67"/>
        <v>2</v>
      </c>
      <c r="U897">
        <f t="shared" si="68"/>
        <v>1</v>
      </c>
      <c r="V897">
        <f t="shared" si="69"/>
        <v>0</v>
      </c>
    </row>
    <row r="898" spans="1:22" x14ac:dyDescent="0.25">
      <c r="A898">
        <v>895</v>
      </c>
      <c r="B898" t="s">
        <v>14</v>
      </c>
      <c r="C898" t="s">
        <v>523</v>
      </c>
      <c r="D898" s="4">
        <v>45616</v>
      </c>
      <c r="E898" t="s">
        <v>550</v>
      </c>
      <c r="F898" t="s">
        <v>75</v>
      </c>
      <c r="I898" s="6">
        <v>1</v>
      </c>
      <c r="J898" s="6">
        <v>0</v>
      </c>
      <c r="K898" s="6">
        <v>1</v>
      </c>
      <c r="L898" s="6">
        <v>1</v>
      </c>
      <c r="M898" s="6">
        <v>0</v>
      </c>
      <c r="N898" s="6">
        <v>0</v>
      </c>
      <c r="O898" s="6">
        <v>0</v>
      </c>
      <c r="P898" s="6">
        <v>0</v>
      </c>
      <c r="Q898">
        <v>1</v>
      </c>
      <c r="R898">
        <f t="shared" si="65"/>
        <v>0</v>
      </c>
      <c r="S898">
        <f t="shared" si="66"/>
        <v>1</v>
      </c>
      <c r="T898">
        <f t="shared" si="67"/>
        <v>3</v>
      </c>
      <c r="U898">
        <f t="shared" si="68"/>
        <v>1</v>
      </c>
      <c r="V898">
        <f t="shared" si="69"/>
        <v>0</v>
      </c>
    </row>
    <row r="899" spans="1:22" x14ac:dyDescent="0.25">
      <c r="A899">
        <v>896</v>
      </c>
      <c r="B899" t="s">
        <v>14</v>
      </c>
      <c r="C899" t="s">
        <v>523</v>
      </c>
      <c r="D899" s="4">
        <v>45616</v>
      </c>
      <c r="E899" t="s">
        <v>551</v>
      </c>
      <c r="F899" t="s">
        <v>75</v>
      </c>
      <c r="I899" s="6">
        <v>1</v>
      </c>
      <c r="J899" s="6">
        <v>0</v>
      </c>
      <c r="K899" s="6">
        <v>1</v>
      </c>
      <c r="L899" s="6">
        <v>0</v>
      </c>
      <c r="M899" s="6">
        <v>1</v>
      </c>
      <c r="N899" s="6">
        <v>1</v>
      </c>
      <c r="O899" s="6">
        <v>1</v>
      </c>
      <c r="P899" s="6">
        <v>1</v>
      </c>
      <c r="Q899">
        <v>1</v>
      </c>
      <c r="R899">
        <f t="shared" ref="R899:R962" si="70">IF(AND(Q899=1,F899="ai_full"),1,0)</f>
        <v>0</v>
      </c>
      <c r="S899">
        <f t="shared" ref="S899:S962" si="71">IF(AND(Q899=1,F899="conventional"),1,0)</f>
        <v>1</v>
      </c>
      <c r="T899">
        <f t="shared" ref="T899:T962" si="72">SUM(I899:P899)</f>
        <v>6</v>
      </c>
      <c r="U899">
        <f t="shared" ref="U899:U962" si="73">IF(T899&gt;=1,1,0)</f>
        <v>1</v>
      </c>
      <c r="V899">
        <f t="shared" ref="V899:V962" si="74">IF(F899="ai_full",1,0)</f>
        <v>0</v>
      </c>
    </row>
    <row r="900" spans="1:22" x14ac:dyDescent="0.25">
      <c r="A900">
        <v>897</v>
      </c>
      <c r="B900" t="s">
        <v>14</v>
      </c>
      <c r="C900" t="s">
        <v>523</v>
      </c>
      <c r="D900" s="4">
        <v>45617</v>
      </c>
      <c r="E900" t="s">
        <v>552</v>
      </c>
      <c r="F900" t="s">
        <v>357</v>
      </c>
      <c r="I900" s="6">
        <v>0</v>
      </c>
      <c r="J900" s="6">
        <v>0</v>
      </c>
      <c r="K900" s="6">
        <v>0</v>
      </c>
      <c r="L900" s="6">
        <v>0</v>
      </c>
      <c r="M900" s="6">
        <v>1</v>
      </c>
      <c r="N900" s="6">
        <v>1</v>
      </c>
      <c r="O900" s="6">
        <v>0</v>
      </c>
      <c r="P900" s="6">
        <v>0</v>
      </c>
      <c r="Q900">
        <v>1</v>
      </c>
      <c r="R900">
        <f t="shared" si="70"/>
        <v>0</v>
      </c>
      <c r="S900">
        <f t="shared" si="71"/>
        <v>0</v>
      </c>
      <c r="T900">
        <f t="shared" si="72"/>
        <v>2</v>
      </c>
      <c r="U900">
        <f t="shared" si="73"/>
        <v>1</v>
      </c>
      <c r="V900">
        <f t="shared" si="74"/>
        <v>0</v>
      </c>
    </row>
    <row r="901" spans="1:22" x14ac:dyDescent="0.25">
      <c r="A901">
        <v>898</v>
      </c>
      <c r="B901" t="s">
        <v>14</v>
      </c>
      <c r="C901" t="s">
        <v>523</v>
      </c>
      <c r="D901" s="4">
        <v>45617</v>
      </c>
      <c r="E901" t="s">
        <v>553</v>
      </c>
      <c r="F901" t="s">
        <v>75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1</v>
      </c>
      <c r="P901" s="6">
        <v>0</v>
      </c>
      <c r="Q901">
        <v>1</v>
      </c>
      <c r="R901">
        <f t="shared" si="70"/>
        <v>0</v>
      </c>
      <c r="S901">
        <f t="shared" si="71"/>
        <v>1</v>
      </c>
      <c r="T901">
        <f t="shared" si="72"/>
        <v>1</v>
      </c>
      <c r="U901">
        <f t="shared" si="73"/>
        <v>1</v>
      </c>
      <c r="V901">
        <f t="shared" si="74"/>
        <v>0</v>
      </c>
    </row>
    <row r="902" spans="1:22" x14ac:dyDescent="0.25">
      <c r="A902">
        <v>899</v>
      </c>
      <c r="B902" t="s">
        <v>14</v>
      </c>
      <c r="C902" t="s">
        <v>523</v>
      </c>
      <c r="D902" s="4">
        <v>45618</v>
      </c>
      <c r="E902" t="s">
        <v>554</v>
      </c>
      <c r="F902" t="s">
        <v>413</v>
      </c>
      <c r="G902">
        <v>13</v>
      </c>
      <c r="I902" s="6">
        <v>0</v>
      </c>
      <c r="J902" s="6">
        <v>0</v>
      </c>
      <c r="K902" s="6">
        <v>1</v>
      </c>
      <c r="L902" s="6">
        <v>0</v>
      </c>
      <c r="M902" s="6">
        <v>0</v>
      </c>
      <c r="N902" s="6">
        <v>0</v>
      </c>
      <c r="O902" s="6">
        <v>1</v>
      </c>
      <c r="P902" s="6">
        <v>0</v>
      </c>
      <c r="Q902">
        <v>1</v>
      </c>
      <c r="R902">
        <f t="shared" si="70"/>
        <v>1</v>
      </c>
      <c r="S902">
        <f t="shared" si="71"/>
        <v>0</v>
      </c>
      <c r="T902">
        <f t="shared" si="72"/>
        <v>2</v>
      </c>
      <c r="U902">
        <f t="shared" si="73"/>
        <v>1</v>
      </c>
      <c r="V902">
        <f t="shared" si="74"/>
        <v>1</v>
      </c>
    </row>
    <row r="903" spans="1:22" x14ac:dyDescent="0.25">
      <c r="A903">
        <v>900</v>
      </c>
      <c r="B903" t="s">
        <v>14</v>
      </c>
      <c r="C903" t="s">
        <v>523</v>
      </c>
      <c r="D903" s="4">
        <v>45621</v>
      </c>
      <c r="E903" t="s">
        <v>555</v>
      </c>
      <c r="F903" t="s">
        <v>75</v>
      </c>
      <c r="I903" s="6">
        <v>0</v>
      </c>
      <c r="J903" s="6">
        <v>0</v>
      </c>
      <c r="K903" s="6">
        <v>0</v>
      </c>
      <c r="L903" s="6">
        <v>0</v>
      </c>
      <c r="M903" s="6">
        <v>1</v>
      </c>
      <c r="N903" s="6">
        <v>1</v>
      </c>
      <c r="O903" s="6">
        <v>0</v>
      </c>
      <c r="P903" s="6">
        <v>0</v>
      </c>
      <c r="Q903">
        <v>1</v>
      </c>
      <c r="R903">
        <f t="shared" si="70"/>
        <v>0</v>
      </c>
      <c r="S903">
        <f t="shared" si="71"/>
        <v>1</v>
      </c>
      <c r="T903">
        <f t="shared" si="72"/>
        <v>2</v>
      </c>
      <c r="U903">
        <f t="shared" si="73"/>
        <v>1</v>
      </c>
      <c r="V903">
        <f t="shared" si="74"/>
        <v>0</v>
      </c>
    </row>
    <row r="904" spans="1:22" x14ac:dyDescent="0.25">
      <c r="A904">
        <v>901</v>
      </c>
      <c r="B904" t="s">
        <v>14</v>
      </c>
      <c r="C904" t="s">
        <v>523</v>
      </c>
      <c r="D904" s="4">
        <v>45622</v>
      </c>
      <c r="E904" t="s">
        <v>556</v>
      </c>
      <c r="F904" t="s">
        <v>413</v>
      </c>
      <c r="G904">
        <v>14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1</v>
      </c>
      <c r="Q904">
        <v>1</v>
      </c>
      <c r="R904">
        <f t="shared" si="70"/>
        <v>1</v>
      </c>
      <c r="S904">
        <f t="shared" si="71"/>
        <v>0</v>
      </c>
      <c r="T904">
        <f t="shared" si="72"/>
        <v>1</v>
      </c>
      <c r="U904">
        <f t="shared" si="73"/>
        <v>1</v>
      </c>
      <c r="V904">
        <f t="shared" si="74"/>
        <v>1</v>
      </c>
    </row>
    <row r="905" spans="1:22" x14ac:dyDescent="0.25">
      <c r="A905">
        <v>902</v>
      </c>
      <c r="B905" t="s">
        <v>14</v>
      </c>
      <c r="C905" t="s">
        <v>523</v>
      </c>
      <c r="D905" s="4">
        <v>45622</v>
      </c>
      <c r="E905" t="s">
        <v>557</v>
      </c>
      <c r="F905" t="s">
        <v>413</v>
      </c>
      <c r="G905">
        <v>15</v>
      </c>
      <c r="I905" s="6">
        <v>1</v>
      </c>
      <c r="J905" s="6">
        <v>1</v>
      </c>
      <c r="K905" s="6">
        <v>1</v>
      </c>
      <c r="L905" s="6">
        <v>0</v>
      </c>
      <c r="M905" s="6">
        <v>0</v>
      </c>
      <c r="N905" s="6">
        <v>0</v>
      </c>
      <c r="O905" s="6">
        <v>1</v>
      </c>
      <c r="P905" s="6">
        <v>0</v>
      </c>
      <c r="Q905">
        <v>1</v>
      </c>
      <c r="R905">
        <f t="shared" si="70"/>
        <v>1</v>
      </c>
      <c r="S905">
        <f t="shared" si="71"/>
        <v>0</v>
      </c>
      <c r="T905">
        <f t="shared" si="72"/>
        <v>4</v>
      </c>
      <c r="U905">
        <f t="shared" si="73"/>
        <v>1</v>
      </c>
      <c r="V905">
        <f t="shared" si="74"/>
        <v>1</v>
      </c>
    </row>
    <row r="906" spans="1:22" x14ac:dyDescent="0.25">
      <c r="A906">
        <v>903</v>
      </c>
      <c r="B906" t="s">
        <v>14</v>
      </c>
      <c r="C906" t="s">
        <v>523</v>
      </c>
      <c r="D906" s="4">
        <v>45623</v>
      </c>
      <c r="E906" t="s">
        <v>558</v>
      </c>
      <c r="F906" t="s">
        <v>75</v>
      </c>
      <c r="I906" s="6">
        <v>1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>
        <v>1</v>
      </c>
      <c r="R906">
        <f t="shared" si="70"/>
        <v>0</v>
      </c>
      <c r="S906">
        <f t="shared" si="71"/>
        <v>1</v>
      </c>
      <c r="T906">
        <f t="shared" si="72"/>
        <v>1</v>
      </c>
      <c r="U906">
        <f t="shared" si="73"/>
        <v>1</v>
      </c>
      <c r="V906">
        <f t="shared" si="74"/>
        <v>0</v>
      </c>
    </row>
    <row r="907" spans="1:22" x14ac:dyDescent="0.25">
      <c r="A907">
        <v>904</v>
      </c>
      <c r="B907" t="s">
        <v>14</v>
      </c>
      <c r="C907" t="s">
        <v>523</v>
      </c>
      <c r="D907" s="4">
        <v>45623</v>
      </c>
      <c r="E907" t="s">
        <v>559</v>
      </c>
      <c r="F907" t="s">
        <v>75</v>
      </c>
      <c r="I907" s="6">
        <v>1</v>
      </c>
      <c r="J907" s="6">
        <v>1</v>
      </c>
      <c r="K907" s="6">
        <v>1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>
        <v>1</v>
      </c>
      <c r="R907">
        <f t="shared" si="70"/>
        <v>0</v>
      </c>
      <c r="S907">
        <f t="shared" si="71"/>
        <v>1</v>
      </c>
      <c r="T907">
        <f t="shared" si="72"/>
        <v>3</v>
      </c>
      <c r="U907">
        <f t="shared" si="73"/>
        <v>1</v>
      </c>
      <c r="V907">
        <f t="shared" si="74"/>
        <v>0</v>
      </c>
    </row>
    <row r="908" spans="1:22" x14ac:dyDescent="0.25">
      <c r="A908">
        <v>905</v>
      </c>
      <c r="B908" t="s">
        <v>14</v>
      </c>
      <c r="C908" t="s">
        <v>523</v>
      </c>
      <c r="D908" s="4">
        <v>45624</v>
      </c>
      <c r="E908" t="s">
        <v>560</v>
      </c>
      <c r="F908" t="s">
        <v>75</v>
      </c>
      <c r="I908" s="6">
        <v>0</v>
      </c>
      <c r="J908" s="6">
        <v>0</v>
      </c>
      <c r="K908" s="6">
        <v>0</v>
      </c>
      <c r="L908" s="6">
        <v>0</v>
      </c>
      <c r="M908" s="6">
        <v>1</v>
      </c>
      <c r="N908" s="6">
        <v>1</v>
      </c>
      <c r="O908" s="6">
        <v>0</v>
      </c>
      <c r="P908" s="6">
        <v>0</v>
      </c>
      <c r="Q908">
        <v>1</v>
      </c>
      <c r="R908">
        <f t="shared" si="70"/>
        <v>0</v>
      </c>
      <c r="S908">
        <f t="shared" si="71"/>
        <v>1</v>
      </c>
      <c r="T908">
        <f t="shared" si="72"/>
        <v>2</v>
      </c>
      <c r="U908">
        <f t="shared" si="73"/>
        <v>1</v>
      </c>
      <c r="V908">
        <f t="shared" si="74"/>
        <v>0</v>
      </c>
    </row>
    <row r="909" spans="1:22" x14ac:dyDescent="0.25">
      <c r="A909">
        <v>906</v>
      </c>
      <c r="B909" t="s">
        <v>14</v>
      </c>
      <c r="C909" t="s">
        <v>523</v>
      </c>
      <c r="D909" s="4">
        <v>45624</v>
      </c>
      <c r="E909" t="s">
        <v>561</v>
      </c>
      <c r="F909" t="s">
        <v>357</v>
      </c>
      <c r="I909" s="6">
        <v>1</v>
      </c>
      <c r="J909" s="6">
        <v>0</v>
      </c>
      <c r="K909" s="6">
        <v>0</v>
      </c>
      <c r="L909" s="6">
        <v>1</v>
      </c>
      <c r="M909" s="6">
        <v>0</v>
      </c>
      <c r="N909" s="6">
        <v>0</v>
      </c>
      <c r="O909" s="6">
        <v>0</v>
      </c>
      <c r="P909" s="6">
        <v>0</v>
      </c>
      <c r="Q909">
        <v>1</v>
      </c>
      <c r="R909">
        <f t="shared" si="70"/>
        <v>0</v>
      </c>
      <c r="S909">
        <f t="shared" si="71"/>
        <v>0</v>
      </c>
      <c r="T909">
        <f t="shared" si="72"/>
        <v>2</v>
      </c>
      <c r="U909">
        <f t="shared" si="73"/>
        <v>1</v>
      </c>
      <c r="V909">
        <f t="shared" si="74"/>
        <v>0</v>
      </c>
    </row>
    <row r="910" spans="1:22" x14ac:dyDescent="0.25">
      <c r="A910">
        <v>907</v>
      </c>
      <c r="B910" t="s">
        <v>14</v>
      </c>
      <c r="C910" t="s">
        <v>523</v>
      </c>
      <c r="D910" s="4">
        <v>45624</v>
      </c>
      <c r="E910" t="s">
        <v>562</v>
      </c>
      <c r="F910" t="s">
        <v>413</v>
      </c>
      <c r="G910">
        <v>16</v>
      </c>
      <c r="I910" s="6">
        <v>1</v>
      </c>
      <c r="J910" s="6">
        <v>0</v>
      </c>
      <c r="K910" s="6">
        <v>0</v>
      </c>
      <c r="L910" s="6">
        <v>0</v>
      </c>
      <c r="M910" s="6">
        <v>1</v>
      </c>
      <c r="N910" s="6">
        <v>0</v>
      </c>
      <c r="O910" s="6">
        <v>0</v>
      </c>
      <c r="P910" s="6">
        <v>0</v>
      </c>
      <c r="Q910">
        <v>1</v>
      </c>
      <c r="R910">
        <f t="shared" si="70"/>
        <v>1</v>
      </c>
      <c r="S910">
        <f t="shared" si="71"/>
        <v>0</v>
      </c>
      <c r="T910">
        <f t="shared" si="72"/>
        <v>2</v>
      </c>
      <c r="U910">
        <f t="shared" si="73"/>
        <v>1</v>
      </c>
      <c r="V910">
        <f t="shared" si="74"/>
        <v>1</v>
      </c>
    </row>
    <row r="911" spans="1:22" x14ac:dyDescent="0.25">
      <c r="A911">
        <v>908</v>
      </c>
      <c r="B911" t="s">
        <v>14</v>
      </c>
      <c r="C911" t="s">
        <v>523</v>
      </c>
      <c r="D911" s="4">
        <v>45624</v>
      </c>
      <c r="E911" t="s">
        <v>563</v>
      </c>
      <c r="F911" t="s">
        <v>357</v>
      </c>
      <c r="I911" s="6">
        <v>0</v>
      </c>
      <c r="J911" s="6">
        <v>0</v>
      </c>
      <c r="K911" s="6">
        <v>0</v>
      </c>
      <c r="L911" s="6">
        <v>0</v>
      </c>
      <c r="M911" s="6">
        <v>1</v>
      </c>
      <c r="N911" s="6">
        <v>0</v>
      </c>
      <c r="O911" s="6">
        <v>0</v>
      </c>
      <c r="P911" s="6">
        <v>0</v>
      </c>
      <c r="Q911">
        <v>1</v>
      </c>
      <c r="R911">
        <f t="shared" si="70"/>
        <v>0</v>
      </c>
      <c r="S911">
        <f t="shared" si="71"/>
        <v>0</v>
      </c>
      <c r="T911">
        <f t="shared" si="72"/>
        <v>1</v>
      </c>
      <c r="U911">
        <f t="shared" si="73"/>
        <v>1</v>
      </c>
      <c r="V911">
        <f t="shared" si="74"/>
        <v>0</v>
      </c>
    </row>
    <row r="912" spans="1:22" x14ac:dyDescent="0.25">
      <c r="A912">
        <v>909</v>
      </c>
      <c r="B912" t="s">
        <v>14</v>
      </c>
      <c r="C912" t="s">
        <v>523</v>
      </c>
      <c r="D912" s="4">
        <v>45625</v>
      </c>
      <c r="E912" t="s">
        <v>564</v>
      </c>
      <c r="F912" t="s">
        <v>357</v>
      </c>
      <c r="I912" s="6">
        <v>1</v>
      </c>
      <c r="J912" s="6">
        <v>0</v>
      </c>
      <c r="K912" s="6">
        <v>0</v>
      </c>
      <c r="L912" s="6">
        <v>0</v>
      </c>
      <c r="M912" s="6">
        <v>1</v>
      </c>
      <c r="N912" s="6">
        <v>1</v>
      </c>
      <c r="O912" s="6">
        <v>1</v>
      </c>
      <c r="P912" s="6">
        <v>0</v>
      </c>
      <c r="Q912">
        <v>1</v>
      </c>
      <c r="R912">
        <f t="shared" si="70"/>
        <v>0</v>
      </c>
      <c r="S912">
        <f t="shared" si="71"/>
        <v>0</v>
      </c>
      <c r="T912">
        <f t="shared" si="72"/>
        <v>4</v>
      </c>
      <c r="U912">
        <f t="shared" si="73"/>
        <v>1</v>
      </c>
      <c r="V912">
        <f t="shared" si="74"/>
        <v>0</v>
      </c>
    </row>
    <row r="913" spans="1:22" x14ac:dyDescent="0.25">
      <c r="A913">
        <v>910</v>
      </c>
      <c r="B913" t="s">
        <v>14</v>
      </c>
      <c r="C913" t="s">
        <v>523</v>
      </c>
      <c r="D913" s="4">
        <v>45625</v>
      </c>
      <c r="E913" t="s">
        <v>565</v>
      </c>
      <c r="F913" t="s">
        <v>413</v>
      </c>
      <c r="G913">
        <v>17</v>
      </c>
      <c r="I913" s="6">
        <v>1</v>
      </c>
      <c r="J913" s="6">
        <v>0</v>
      </c>
      <c r="K913" s="6">
        <v>1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>
        <v>1</v>
      </c>
      <c r="R913">
        <f t="shared" si="70"/>
        <v>1</v>
      </c>
      <c r="S913">
        <f t="shared" si="71"/>
        <v>0</v>
      </c>
      <c r="T913">
        <f t="shared" si="72"/>
        <v>2</v>
      </c>
      <c r="U913">
        <f t="shared" si="73"/>
        <v>1</v>
      </c>
      <c r="V913">
        <f t="shared" si="74"/>
        <v>1</v>
      </c>
    </row>
    <row r="914" spans="1:22" x14ac:dyDescent="0.25">
      <c r="A914">
        <v>911</v>
      </c>
      <c r="B914" t="s">
        <v>14</v>
      </c>
      <c r="C914" t="s">
        <v>523</v>
      </c>
      <c r="D914" s="4">
        <v>45628</v>
      </c>
      <c r="E914" t="s">
        <v>566</v>
      </c>
      <c r="F914" t="s">
        <v>357</v>
      </c>
      <c r="I914" s="6">
        <v>0</v>
      </c>
      <c r="J914" s="6">
        <v>0</v>
      </c>
      <c r="K914" s="6">
        <v>0</v>
      </c>
      <c r="L914" s="6">
        <v>0</v>
      </c>
      <c r="M914" s="6">
        <v>1</v>
      </c>
      <c r="N914" s="6">
        <v>0</v>
      </c>
      <c r="O914" s="6">
        <v>0</v>
      </c>
      <c r="P914" s="6">
        <v>1</v>
      </c>
      <c r="Q914">
        <v>1</v>
      </c>
      <c r="R914">
        <f t="shared" si="70"/>
        <v>0</v>
      </c>
      <c r="S914">
        <f t="shared" si="71"/>
        <v>0</v>
      </c>
      <c r="T914">
        <f t="shared" si="72"/>
        <v>2</v>
      </c>
      <c r="U914">
        <f t="shared" si="73"/>
        <v>1</v>
      </c>
      <c r="V914">
        <f t="shared" si="74"/>
        <v>0</v>
      </c>
    </row>
    <row r="915" spans="1:22" x14ac:dyDescent="0.25">
      <c r="A915">
        <v>912</v>
      </c>
      <c r="B915" t="s">
        <v>14</v>
      </c>
      <c r="C915" t="s">
        <v>523</v>
      </c>
      <c r="D915" s="4">
        <v>45629</v>
      </c>
      <c r="E915" t="s">
        <v>567</v>
      </c>
      <c r="F915" t="s">
        <v>413</v>
      </c>
      <c r="G915">
        <v>18</v>
      </c>
      <c r="I915" s="6">
        <v>0</v>
      </c>
      <c r="J915" s="6">
        <v>0</v>
      </c>
      <c r="K915" s="6">
        <v>0</v>
      </c>
      <c r="L915" s="6">
        <v>0</v>
      </c>
      <c r="M915" s="6">
        <v>1</v>
      </c>
      <c r="N915" s="6">
        <v>0</v>
      </c>
      <c r="O915" s="6">
        <v>0</v>
      </c>
      <c r="P915" s="6">
        <v>1</v>
      </c>
      <c r="Q915">
        <v>1</v>
      </c>
      <c r="R915">
        <f t="shared" si="70"/>
        <v>1</v>
      </c>
      <c r="S915">
        <f t="shared" si="71"/>
        <v>0</v>
      </c>
      <c r="T915">
        <f t="shared" si="72"/>
        <v>2</v>
      </c>
      <c r="U915">
        <f t="shared" si="73"/>
        <v>1</v>
      </c>
      <c r="V915">
        <f t="shared" si="74"/>
        <v>1</v>
      </c>
    </row>
    <row r="916" spans="1:22" x14ac:dyDescent="0.25">
      <c r="A916">
        <v>913</v>
      </c>
      <c r="B916" t="s">
        <v>14</v>
      </c>
      <c r="C916" t="s">
        <v>523</v>
      </c>
      <c r="D916" s="4">
        <v>45629</v>
      </c>
      <c r="E916" t="s">
        <v>568</v>
      </c>
      <c r="F916" t="s">
        <v>75</v>
      </c>
      <c r="I916" s="6">
        <v>0</v>
      </c>
      <c r="J916" s="6">
        <v>0</v>
      </c>
      <c r="K916" s="6">
        <v>0</v>
      </c>
      <c r="L916" s="6">
        <v>0</v>
      </c>
      <c r="M916" s="6">
        <v>1</v>
      </c>
      <c r="N916" s="6">
        <v>0</v>
      </c>
      <c r="O916" s="6">
        <v>0</v>
      </c>
      <c r="P916" s="6">
        <v>0</v>
      </c>
      <c r="Q916">
        <v>1</v>
      </c>
      <c r="R916">
        <f t="shared" si="70"/>
        <v>0</v>
      </c>
      <c r="S916">
        <f t="shared" si="71"/>
        <v>1</v>
      </c>
      <c r="T916">
        <f t="shared" si="72"/>
        <v>1</v>
      </c>
      <c r="U916">
        <f t="shared" si="73"/>
        <v>1</v>
      </c>
      <c r="V916">
        <f t="shared" si="74"/>
        <v>0</v>
      </c>
    </row>
    <row r="917" spans="1:22" x14ac:dyDescent="0.25">
      <c r="A917">
        <v>914</v>
      </c>
      <c r="B917" t="s">
        <v>14</v>
      </c>
      <c r="C917" t="s">
        <v>523</v>
      </c>
      <c r="D917" s="4">
        <v>45630</v>
      </c>
      <c r="E917" t="s">
        <v>569</v>
      </c>
      <c r="F917" t="s">
        <v>75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1</v>
      </c>
      <c r="Q917">
        <v>1</v>
      </c>
      <c r="R917">
        <f t="shared" si="70"/>
        <v>0</v>
      </c>
      <c r="S917">
        <f t="shared" si="71"/>
        <v>1</v>
      </c>
      <c r="T917">
        <f t="shared" si="72"/>
        <v>1</v>
      </c>
      <c r="U917">
        <f t="shared" si="73"/>
        <v>1</v>
      </c>
      <c r="V917">
        <f t="shared" si="74"/>
        <v>0</v>
      </c>
    </row>
    <row r="918" spans="1:22" x14ac:dyDescent="0.25">
      <c r="A918">
        <v>915</v>
      </c>
      <c r="B918" t="s">
        <v>14</v>
      </c>
      <c r="C918" t="s">
        <v>523</v>
      </c>
      <c r="D918" s="4">
        <v>45630</v>
      </c>
      <c r="E918" t="s">
        <v>570</v>
      </c>
      <c r="F918" t="s">
        <v>357</v>
      </c>
      <c r="I918" s="6">
        <v>0</v>
      </c>
      <c r="J918" s="6">
        <v>0</v>
      </c>
      <c r="K918" s="6">
        <v>0</v>
      </c>
      <c r="L918" s="6">
        <v>0</v>
      </c>
      <c r="M918" s="6">
        <v>1</v>
      </c>
      <c r="N918" s="6">
        <v>1</v>
      </c>
      <c r="O918" s="6">
        <v>0</v>
      </c>
      <c r="P918" s="6">
        <v>0</v>
      </c>
      <c r="Q918">
        <v>1</v>
      </c>
      <c r="R918">
        <f t="shared" si="70"/>
        <v>0</v>
      </c>
      <c r="S918">
        <f t="shared" si="71"/>
        <v>0</v>
      </c>
      <c r="T918">
        <f t="shared" si="72"/>
        <v>2</v>
      </c>
      <c r="U918">
        <f t="shared" si="73"/>
        <v>1</v>
      </c>
      <c r="V918">
        <f t="shared" si="74"/>
        <v>0</v>
      </c>
    </row>
    <row r="919" spans="1:22" x14ac:dyDescent="0.25">
      <c r="A919">
        <v>916</v>
      </c>
      <c r="B919" t="s">
        <v>14</v>
      </c>
      <c r="C919" t="s">
        <v>523</v>
      </c>
      <c r="D919" s="4">
        <v>45631</v>
      </c>
      <c r="E919" t="s">
        <v>571</v>
      </c>
      <c r="F919" t="s">
        <v>413</v>
      </c>
      <c r="G919">
        <v>19</v>
      </c>
      <c r="I919" s="6">
        <v>0</v>
      </c>
      <c r="J919" s="6">
        <v>0</v>
      </c>
      <c r="K919" s="6">
        <v>0</v>
      </c>
      <c r="L919" s="6">
        <v>0</v>
      </c>
      <c r="M919" s="6">
        <v>1</v>
      </c>
      <c r="N919" s="6">
        <v>0</v>
      </c>
      <c r="O919" s="6">
        <v>0</v>
      </c>
      <c r="P919" s="6">
        <v>0</v>
      </c>
      <c r="Q919">
        <v>1</v>
      </c>
      <c r="R919">
        <f t="shared" si="70"/>
        <v>1</v>
      </c>
      <c r="S919">
        <f t="shared" si="71"/>
        <v>0</v>
      </c>
      <c r="T919">
        <f t="shared" si="72"/>
        <v>1</v>
      </c>
      <c r="U919">
        <f t="shared" si="73"/>
        <v>1</v>
      </c>
      <c r="V919">
        <f t="shared" si="74"/>
        <v>1</v>
      </c>
    </row>
    <row r="920" spans="1:22" x14ac:dyDescent="0.25">
      <c r="A920">
        <v>917</v>
      </c>
      <c r="B920" t="s">
        <v>14</v>
      </c>
      <c r="C920" t="s">
        <v>523</v>
      </c>
      <c r="D920" s="4">
        <v>45632</v>
      </c>
      <c r="E920" t="s">
        <v>572</v>
      </c>
      <c r="F920" t="s">
        <v>413</v>
      </c>
      <c r="G920">
        <v>20</v>
      </c>
      <c r="I920" s="6">
        <v>1</v>
      </c>
      <c r="J920" s="6">
        <v>0</v>
      </c>
      <c r="K920" s="6">
        <v>1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>
        <v>1</v>
      </c>
      <c r="R920">
        <f t="shared" si="70"/>
        <v>1</v>
      </c>
      <c r="S920">
        <f t="shared" si="71"/>
        <v>0</v>
      </c>
      <c r="T920">
        <f t="shared" si="72"/>
        <v>2</v>
      </c>
      <c r="U920">
        <f t="shared" si="73"/>
        <v>1</v>
      </c>
      <c r="V920">
        <f t="shared" si="74"/>
        <v>1</v>
      </c>
    </row>
    <row r="921" spans="1:22" x14ac:dyDescent="0.25">
      <c r="A921">
        <v>918</v>
      </c>
      <c r="B921" t="s">
        <v>14</v>
      </c>
      <c r="C921" t="s">
        <v>523</v>
      </c>
      <c r="D921" s="4">
        <v>45632</v>
      </c>
      <c r="E921" t="s">
        <v>573</v>
      </c>
      <c r="F921" t="s">
        <v>75</v>
      </c>
      <c r="I921" s="6">
        <v>0</v>
      </c>
      <c r="J921" s="6">
        <v>0</v>
      </c>
      <c r="K921" s="6">
        <v>0</v>
      </c>
      <c r="L921" s="6">
        <v>0</v>
      </c>
      <c r="M921" s="6">
        <v>1</v>
      </c>
      <c r="N921" s="6">
        <v>0</v>
      </c>
      <c r="O921" s="6">
        <v>0</v>
      </c>
      <c r="P921" s="6">
        <v>0</v>
      </c>
      <c r="Q921">
        <v>1</v>
      </c>
      <c r="R921">
        <f t="shared" si="70"/>
        <v>0</v>
      </c>
      <c r="S921">
        <f t="shared" si="71"/>
        <v>1</v>
      </c>
      <c r="T921">
        <f t="shared" si="72"/>
        <v>1</v>
      </c>
      <c r="U921">
        <f t="shared" si="73"/>
        <v>1</v>
      </c>
      <c r="V921">
        <f t="shared" si="74"/>
        <v>0</v>
      </c>
    </row>
    <row r="922" spans="1:22" x14ac:dyDescent="0.25">
      <c r="A922">
        <v>919</v>
      </c>
      <c r="B922" t="s">
        <v>14</v>
      </c>
      <c r="C922" t="s">
        <v>523</v>
      </c>
      <c r="D922" s="4">
        <v>45632</v>
      </c>
      <c r="E922" t="s">
        <v>574</v>
      </c>
      <c r="F922" t="s">
        <v>413</v>
      </c>
      <c r="G922">
        <v>21</v>
      </c>
      <c r="I922" s="6">
        <v>0</v>
      </c>
      <c r="J922" s="6">
        <v>0</v>
      </c>
      <c r="K922" s="6">
        <v>0</v>
      </c>
      <c r="L922" s="6">
        <v>0</v>
      </c>
      <c r="M922" s="6">
        <v>1</v>
      </c>
      <c r="N922" s="6">
        <v>0</v>
      </c>
      <c r="O922" s="6">
        <v>0</v>
      </c>
      <c r="P922" s="6">
        <v>0</v>
      </c>
      <c r="Q922">
        <v>1</v>
      </c>
      <c r="R922">
        <f t="shared" si="70"/>
        <v>1</v>
      </c>
      <c r="S922">
        <f t="shared" si="71"/>
        <v>0</v>
      </c>
      <c r="T922">
        <f t="shared" si="72"/>
        <v>1</v>
      </c>
      <c r="U922">
        <f t="shared" si="73"/>
        <v>1</v>
      </c>
      <c r="V922">
        <f t="shared" si="74"/>
        <v>1</v>
      </c>
    </row>
    <row r="923" spans="1:22" x14ac:dyDescent="0.25">
      <c r="A923">
        <v>920</v>
      </c>
      <c r="B923" t="s">
        <v>14</v>
      </c>
      <c r="C923" t="s">
        <v>523</v>
      </c>
      <c r="D923" s="4">
        <v>45635</v>
      </c>
      <c r="E923" t="s">
        <v>575</v>
      </c>
      <c r="F923" t="s">
        <v>75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>
        <v>1</v>
      </c>
      <c r="R923">
        <f t="shared" si="70"/>
        <v>0</v>
      </c>
      <c r="S923">
        <f t="shared" si="71"/>
        <v>1</v>
      </c>
      <c r="T923">
        <f t="shared" si="72"/>
        <v>0</v>
      </c>
      <c r="U923">
        <f t="shared" si="73"/>
        <v>0</v>
      </c>
      <c r="V923">
        <f t="shared" si="74"/>
        <v>0</v>
      </c>
    </row>
    <row r="924" spans="1:22" x14ac:dyDescent="0.25">
      <c r="A924">
        <v>921</v>
      </c>
      <c r="B924" t="s">
        <v>14</v>
      </c>
      <c r="C924" t="s">
        <v>523</v>
      </c>
      <c r="D924" s="4">
        <v>45635</v>
      </c>
      <c r="E924" t="s">
        <v>576</v>
      </c>
      <c r="F924" t="s">
        <v>75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>
        <v>1</v>
      </c>
      <c r="R924">
        <f t="shared" si="70"/>
        <v>0</v>
      </c>
      <c r="S924">
        <f t="shared" si="71"/>
        <v>1</v>
      </c>
      <c r="T924">
        <f t="shared" si="72"/>
        <v>0</v>
      </c>
      <c r="U924">
        <f t="shared" si="73"/>
        <v>0</v>
      </c>
      <c r="V924">
        <f t="shared" si="74"/>
        <v>0</v>
      </c>
    </row>
    <row r="925" spans="1:22" x14ac:dyDescent="0.25">
      <c r="A925">
        <v>922</v>
      </c>
      <c r="B925" t="s">
        <v>14</v>
      </c>
      <c r="C925" t="s">
        <v>523</v>
      </c>
      <c r="D925" s="4">
        <v>45635</v>
      </c>
      <c r="E925" t="s">
        <v>577</v>
      </c>
      <c r="F925" t="s">
        <v>413</v>
      </c>
      <c r="G925">
        <v>22</v>
      </c>
      <c r="I925" s="6">
        <v>1</v>
      </c>
      <c r="J925" s="6">
        <v>0</v>
      </c>
      <c r="K925" s="6">
        <v>0</v>
      </c>
      <c r="L925" s="6">
        <v>0</v>
      </c>
      <c r="M925" s="6">
        <v>1</v>
      </c>
      <c r="N925" s="6">
        <v>0</v>
      </c>
      <c r="O925" s="6">
        <v>0</v>
      </c>
      <c r="P925" s="6">
        <v>0</v>
      </c>
      <c r="Q925">
        <v>1</v>
      </c>
      <c r="R925">
        <f t="shared" si="70"/>
        <v>1</v>
      </c>
      <c r="S925">
        <f t="shared" si="71"/>
        <v>0</v>
      </c>
      <c r="T925">
        <f t="shared" si="72"/>
        <v>2</v>
      </c>
      <c r="U925">
        <f t="shared" si="73"/>
        <v>1</v>
      </c>
      <c r="V925">
        <f t="shared" si="74"/>
        <v>1</v>
      </c>
    </row>
    <row r="926" spans="1:22" x14ac:dyDescent="0.25">
      <c r="A926">
        <v>923</v>
      </c>
      <c r="B926" t="s">
        <v>14</v>
      </c>
      <c r="C926" t="s">
        <v>523</v>
      </c>
      <c r="D926" s="4">
        <v>45637</v>
      </c>
      <c r="E926" t="s">
        <v>578</v>
      </c>
      <c r="F926" t="s">
        <v>75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>
        <v>1</v>
      </c>
      <c r="R926">
        <f t="shared" si="70"/>
        <v>0</v>
      </c>
      <c r="S926">
        <f t="shared" si="71"/>
        <v>1</v>
      </c>
      <c r="T926">
        <f t="shared" si="72"/>
        <v>0</v>
      </c>
      <c r="U926">
        <f t="shared" si="73"/>
        <v>0</v>
      </c>
      <c r="V926">
        <f t="shared" si="74"/>
        <v>0</v>
      </c>
    </row>
    <row r="927" spans="1:22" x14ac:dyDescent="0.25">
      <c r="A927">
        <v>924</v>
      </c>
      <c r="B927" t="s">
        <v>14</v>
      </c>
      <c r="C927" t="s">
        <v>523</v>
      </c>
      <c r="D927" s="4">
        <v>45638</v>
      </c>
      <c r="E927" t="s">
        <v>579</v>
      </c>
      <c r="F927" t="s">
        <v>75</v>
      </c>
      <c r="I927" s="6">
        <v>1</v>
      </c>
      <c r="J927" s="6">
        <v>0</v>
      </c>
      <c r="K927" s="6">
        <v>1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>
        <v>1</v>
      </c>
      <c r="R927">
        <f t="shared" si="70"/>
        <v>0</v>
      </c>
      <c r="S927">
        <f t="shared" si="71"/>
        <v>1</v>
      </c>
      <c r="T927">
        <f t="shared" si="72"/>
        <v>2</v>
      </c>
      <c r="U927">
        <f t="shared" si="73"/>
        <v>1</v>
      </c>
      <c r="V927">
        <f t="shared" si="74"/>
        <v>0</v>
      </c>
    </row>
    <row r="928" spans="1:22" x14ac:dyDescent="0.25">
      <c r="A928">
        <v>925</v>
      </c>
      <c r="B928" t="s">
        <v>14</v>
      </c>
      <c r="C928" t="s">
        <v>523</v>
      </c>
      <c r="D928" s="4">
        <v>45638</v>
      </c>
      <c r="E928" t="s">
        <v>580</v>
      </c>
      <c r="F928" t="s">
        <v>75</v>
      </c>
      <c r="I928" s="6">
        <v>0</v>
      </c>
      <c r="J928" s="6">
        <v>0</v>
      </c>
      <c r="K928" s="6">
        <v>0</v>
      </c>
      <c r="L928" s="6">
        <v>0</v>
      </c>
      <c r="M928" s="6">
        <v>1</v>
      </c>
      <c r="N928" s="6">
        <v>1</v>
      </c>
      <c r="O928" s="6">
        <v>0</v>
      </c>
      <c r="P928" s="6">
        <v>0</v>
      </c>
      <c r="Q928">
        <v>1</v>
      </c>
      <c r="R928">
        <f t="shared" si="70"/>
        <v>0</v>
      </c>
      <c r="S928">
        <f t="shared" si="71"/>
        <v>1</v>
      </c>
      <c r="T928">
        <f t="shared" si="72"/>
        <v>2</v>
      </c>
      <c r="U928">
        <f t="shared" si="73"/>
        <v>1</v>
      </c>
      <c r="V928">
        <f t="shared" si="74"/>
        <v>0</v>
      </c>
    </row>
    <row r="929" spans="1:22" x14ac:dyDescent="0.25">
      <c r="A929">
        <v>926</v>
      </c>
      <c r="B929" t="s">
        <v>14</v>
      </c>
      <c r="C929" t="s">
        <v>523</v>
      </c>
      <c r="D929" s="4">
        <v>45639</v>
      </c>
      <c r="E929" t="s">
        <v>581</v>
      </c>
      <c r="F929" t="s">
        <v>413</v>
      </c>
      <c r="G929">
        <v>23</v>
      </c>
      <c r="I929" s="6">
        <v>1</v>
      </c>
      <c r="J929" s="6">
        <v>0</v>
      </c>
      <c r="K929" s="6">
        <v>1</v>
      </c>
      <c r="L929" s="6">
        <v>0</v>
      </c>
      <c r="M929" s="6">
        <v>1</v>
      </c>
      <c r="N929" s="6">
        <v>0</v>
      </c>
      <c r="O929" s="6">
        <v>0</v>
      </c>
      <c r="P929" s="6">
        <v>0</v>
      </c>
      <c r="Q929">
        <v>1</v>
      </c>
      <c r="R929">
        <f t="shared" si="70"/>
        <v>1</v>
      </c>
      <c r="S929">
        <f t="shared" si="71"/>
        <v>0</v>
      </c>
      <c r="T929">
        <f t="shared" si="72"/>
        <v>3</v>
      </c>
      <c r="U929">
        <f t="shared" si="73"/>
        <v>1</v>
      </c>
      <c r="V929">
        <f t="shared" si="74"/>
        <v>1</v>
      </c>
    </row>
    <row r="930" spans="1:22" x14ac:dyDescent="0.25">
      <c r="A930">
        <v>927</v>
      </c>
      <c r="B930" t="s">
        <v>14</v>
      </c>
      <c r="C930" t="s">
        <v>523</v>
      </c>
      <c r="D930" s="4">
        <v>45639</v>
      </c>
      <c r="E930" t="s">
        <v>582</v>
      </c>
      <c r="F930" t="s">
        <v>75</v>
      </c>
      <c r="I930" s="6">
        <v>0</v>
      </c>
      <c r="J930" s="6">
        <v>0</v>
      </c>
      <c r="K930" s="6">
        <v>0</v>
      </c>
      <c r="L930" s="6">
        <v>1</v>
      </c>
      <c r="M930" s="6">
        <v>0</v>
      </c>
      <c r="N930" s="6">
        <v>0</v>
      </c>
      <c r="O930" s="6">
        <v>0</v>
      </c>
      <c r="P930" s="6">
        <v>0</v>
      </c>
      <c r="Q930">
        <v>1</v>
      </c>
      <c r="R930">
        <f t="shared" si="70"/>
        <v>0</v>
      </c>
      <c r="S930">
        <f t="shared" si="71"/>
        <v>1</v>
      </c>
      <c r="T930">
        <f t="shared" si="72"/>
        <v>1</v>
      </c>
      <c r="U930">
        <f t="shared" si="73"/>
        <v>1</v>
      </c>
      <c r="V930">
        <f t="shared" si="74"/>
        <v>0</v>
      </c>
    </row>
    <row r="931" spans="1:22" x14ac:dyDescent="0.25">
      <c r="A931">
        <v>928</v>
      </c>
      <c r="B931" t="s">
        <v>14</v>
      </c>
      <c r="C931" t="s">
        <v>523</v>
      </c>
      <c r="D931" s="4">
        <v>45640</v>
      </c>
      <c r="E931" t="s">
        <v>583</v>
      </c>
      <c r="F931" t="s">
        <v>75</v>
      </c>
      <c r="I931" s="6">
        <v>1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>
        <v>1</v>
      </c>
      <c r="R931">
        <f t="shared" si="70"/>
        <v>0</v>
      </c>
      <c r="S931">
        <f t="shared" si="71"/>
        <v>1</v>
      </c>
      <c r="T931">
        <f t="shared" si="72"/>
        <v>1</v>
      </c>
      <c r="U931">
        <f t="shared" si="73"/>
        <v>1</v>
      </c>
      <c r="V931">
        <f t="shared" si="74"/>
        <v>0</v>
      </c>
    </row>
    <row r="932" spans="1:22" x14ac:dyDescent="0.25">
      <c r="A932">
        <v>929</v>
      </c>
      <c r="B932" t="s">
        <v>14</v>
      </c>
      <c r="C932" t="s">
        <v>523</v>
      </c>
      <c r="D932" s="4">
        <v>45642</v>
      </c>
      <c r="E932" t="s">
        <v>584</v>
      </c>
      <c r="F932" t="s">
        <v>75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1</v>
      </c>
      <c r="Q932">
        <v>1</v>
      </c>
      <c r="R932">
        <f t="shared" si="70"/>
        <v>0</v>
      </c>
      <c r="S932">
        <f t="shared" si="71"/>
        <v>1</v>
      </c>
      <c r="T932">
        <f t="shared" si="72"/>
        <v>1</v>
      </c>
      <c r="U932">
        <f t="shared" si="73"/>
        <v>1</v>
      </c>
      <c r="V932">
        <f t="shared" si="74"/>
        <v>0</v>
      </c>
    </row>
    <row r="933" spans="1:22" x14ac:dyDescent="0.25">
      <c r="A933">
        <v>930</v>
      </c>
      <c r="B933" t="s">
        <v>14</v>
      </c>
      <c r="C933" t="s">
        <v>523</v>
      </c>
      <c r="D933" s="4">
        <v>45643</v>
      </c>
      <c r="E933" t="s">
        <v>585</v>
      </c>
      <c r="F933" t="s">
        <v>75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1</v>
      </c>
      <c r="O933" s="6">
        <v>0</v>
      </c>
      <c r="P933" s="6">
        <v>0</v>
      </c>
      <c r="Q933">
        <v>1</v>
      </c>
      <c r="R933">
        <f t="shared" si="70"/>
        <v>0</v>
      </c>
      <c r="S933">
        <f t="shared" si="71"/>
        <v>1</v>
      </c>
      <c r="T933">
        <f t="shared" si="72"/>
        <v>1</v>
      </c>
      <c r="U933">
        <f t="shared" si="73"/>
        <v>1</v>
      </c>
      <c r="V933">
        <f t="shared" si="74"/>
        <v>0</v>
      </c>
    </row>
    <row r="934" spans="1:22" x14ac:dyDescent="0.25">
      <c r="A934">
        <v>931</v>
      </c>
      <c r="B934" t="s">
        <v>14</v>
      </c>
      <c r="C934" t="s">
        <v>523</v>
      </c>
      <c r="D934" s="4">
        <v>45643</v>
      </c>
      <c r="E934" t="s">
        <v>586</v>
      </c>
      <c r="F934" t="s">
        <v>413</v>
      </c>
      <c r="G934">
        <v>24</v>
      </c>
      <c r="I934" s="6">
        <v>0</v>
      </c>
      <c r="J934" s="6">
        <v>0</v>
      </c>
      <c r="K934" s="6">
        <v>0</v>
      </c>
      <c r="L934" s="6">
        <v>0</v>
      </c>
      <c r="M934" s="6">
        <v>1</v>
      </c>
      <c r="N934" s="6">
        <v>1</v>
      </c>
      <c r="O934" s="6">
        <v>0</v>
      </c>
      <c r="P934" s="6">
        <v>0</v>
      </c>
      <c r="Q934">
        <v>1</v>
      </c>
      <c r="R934">
        <f t="shared" si="70"/>
        <v>1</v>
      </c>
      <c r="S934">
        <f t="shared" si="71"/>
        <v>0</v>
      </c>
      <c r="T934">
        <f t="shared" si="72"/>
        <v>2</v>
      </c>
      <c r="U934">
        <f t="shared" si="73"/>
        <v>1</v>
      </c>
      <c r="V934">
        <f t="shared" si="74"/>
        <v>1</v>
      </c>
    </row>
    <row r="935" spans="1:22" x14ac:dyDescent="0.25">
      <c r="A935">
        <v>932</v>
      </c>
      <c r="B935" t="s">
        <v>14</v>
      </c>
      <c r="C935" t="s">
        <v>523</v>
      </c>
      <c r="D935" s="4">
        <v>45644</v>
      </c>
      <c r="E935" t="s">
        <v>587</v>
      </c>
      <c r="F935" t="s">
        <v>75</v>
      </c>
      <c r="I935" s="6">
        <v>0</v>
      </c>
      <c r="J935" s="6">
        <v>0</v>
      </c>
      <c r="K935" s="6">
        <v>0</v>
      </c>
      <c r="L935" s="6">
        <v>0</v>
      </c>
      <c r="M935" s="6">
        <v>1</v>
      </c>
      <c r="N935" s="6">
        <v>0</v>
      </c>
      <c r="O935" s="6">
        <v>0</v>
      </c>
      <c r="P935" s="6">
        <v>0</v>
      </c>
      <c r="Q935">
        <v>1</v>
      </c>
      <c r="R935">
        <f t="shared" si="70"/>
        <v>0</v>
      </c>
      <c r="S935">
        <f t="shared" si="71"/>
        <v>1</v>
      </c>
      <c r="T935">
        <f t="shared" si="72"/>
        <v>1</v>
      </c>
      <c r="U935">
        <f t="shared" si="73"/>
        <v>1</v>
      </c>
      <c r="V935">
        <f t="shared" si="74"/>
        <v>0</v>
      </c>
    </row>
    <row r="936" spans="1:22" x14ac:dyDescent="0.25">
      <c r="A936">
        <v>933</v>
      </c>
      <c r="B936" t="s">
        <v>14</v>
      </c>
      <c r="C936" t="s">
        <v>523</v>
      </c>
      <c r="D936" s="4">
        <v>45644</v>
      </c>
      <c r="E936" t="s">
        <v>588</v>
      </c>
      <c r="F936" t="s">
        <v>75</v>
      </c>
      <c r="I936" s="6">
        <v>1</v>
      </c>
      <c r="J936" s="6">
        <v>0</v>
      </c>
      <c r="K936" s="6">
        <v>0</v>
      </c>
      <c r="L936" s="6">
        <v>1</v>
      </c>
      <c r="M936" s="6">
        <v>0</v>
      </c>
      <c r="N936" s="6">
        <v>0</v>
      </c>
      <c r="O936" s="6">
        <v>0</v>
      </c>
      <c r="P936" s="6">
        <v>0</v>
      </c>
      <c r="Q936">
        <v>1</v>
      </c>
      <c r="R936">
        <f t="shared" si="70"/>
        <v>0</v>
      </c>
      <c r="S936">
        <f t="shared" si="71"/>
        <v>1</v>
      </c>
      <c r="T936">
        <f t="shared" si="72"/>
        <v>2</v>
      </c>
      <c r="U936">
        <f t="shared" si="73"/>
        <v>1</v>
      </c>
      <c r="V936">
        <f t="shared" si="74"/>
        <v>0</v>
      </c>
    </row>
    <row r="937" spans="1:22" x14ac:dyDescent="0.25">
      <c r="A937">
        <v>934</v>
      </c>
      <c r="B937" t="s">
        <v>14</v>
      </c>
      <c r="C937" t="s">
        <v>523</v>
      </c>
      <c r="D937" s="4">
        <v>45644</v>
      </c>
      <c r="E937" t="s">
        <v>589</v>
      </c>
      <c r="F937" t="s">
        <v>75</v>
      </c>
      <c r="I937" s="6">
        <v>1</v>
      </c>
      <c r="J937" s="6">
        <v>0</v>
      </c>
      <c r="K937" s="6">
        <v>0</v>
      </c>
      <c r="L937" s="6">
        <v>0</v>
      </c>
      <c r="M937" s="6">
        <v>1</v>
      </c>
      <c r="N937" s="6">
        <v>0</v>
      </c>
      <c r="O937" s="6">
        <v>0</v>
      </c>
      <c r="P937" s="6">
        <v>0</v>
      </c>
      <c r="Q937">
        <v>1</v>
      </c>
      <c r="R937">
        <f t="shared" si="70"/>
        <v>0</v>
      </c>
      <c r="S937">
        <f t="shared" si="71"/>
        <v>1</v>
      </c>
      <c r="T937">
        <f t="shared" si="72"/>
        <v>2</v>
      </c>
      <c r="U937">
        <f t="shared" si="73"/>
        <v>1</v>
      </c>
      <c r="V937">
        <f t="shared" si="74"/>
        <v>0</v>
      </c>
    </row>
    <row r="938" spans="1:22" x14ac:dyDescent="0.25">
      <c r="A938">
        <v>935</v>
      </c>
      <c r="B938" t="s">
        <v>14</v>
      </c>
      <c r="C938" t="s">
        <v>523</v>
      </c>
      <c r="D938" s="4">
        <v>45645</v>
      </c>
      <c r="E938" t="s">
        <v>590</v>
      </c>
      <c r="F938" t="s">
        <v>75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1</v>
      </c>
      <c r="O938" s="6">
        <v>0</v>
      </c>
      <c r="P938" s="6">
        <v>0</v>
      </c>
      <c r="Q938">
        <v>1</v>
      </c>
      <c r="R938">
        <f t="shared" si="70"/>
        <v>0</v>
      </c>
      <c r="S938">
        <f t="shared" si="71"/>
        <v>1</v>
      </c>
      <c r="T938">
        <f t="shared" si="72"/>
        <v>1</v>
      </c>
      <c r="U938">
        <f t="shared" si="73"/>
        <v>1</v>
      </c>
      <c r="V938">
        <f t="shared" si="74"/>
        <v>0</v>
      </c>
    </row>
    <row r="939" spans="1:22" x14ac:dyDescent="0.25">
      <c r="A939">
        <v>936</v>
      </c>
      <c r="B939" t="s">
        <v>14</v>
      </c>
      <c r="C939" t="s">
        <v>523</v>
      </c>
      <c r="D939" s="4">
        <v>45645</v>
      </c>
      <c r="E939" t="s">
        <v>591</v>
      </c>
      <c r="F939" t="s">
        <v>75</v>
      </c>
      <c r="I939" s="6">
        <v>1</v>
      </c>
      <c r="J939" s="6">
        <v>0</v>
      </c>
      <c r="K939" s="6">
        <v>1</v>
      </c>
      <c r="L939" s="6">
        <v>0</v>
      </c>
      <c r="M939" s="6">
        <v>1</v>
      </c>
      <c r="N939" s="6">
        <v>1</v>
      </c>
      <c r="O939" s="6">
        <v>0</v>
      </c>
      <c r="P939" s="6">
        <v>1</v>
      </c>
      <c r="Q939">
        <v>1</v>
      </c>
      <c r="R939">
        <f t="shared" si="70"/>
        <v>0</v>
      </c>
      <c r="S939">
        <f t="shared" si="71"/>
        <v>1</v>
      </c>
      <c r="T939">
        <f t="shared" si="72"/>
        <v>5</v>
      </c>
      <c r="U939">
        <f t="shared" si="73"/>
        <v>1</v>
      </c>
      <c r="V939">
        <f t="shared" si="74"/>
        <v>0</v>
      </c>
    </row>
    <row r="940" spans="1:22" x14ac:dyDescent="0.25">
      <c r="A940">
        <v>937</v>
      </c>
      <c r="B940" t="s">
        <v>14</v>
      </c>
      <c r="C940" t="s">
        <v>523</v>
      </c>
      <c r="D940" s="4">
        <v>45645</v>
      </c>
      <c r="E940" t="s">
        <v>592</v>
      </c>
      <c r="F940" t="s">
        <v>75</v>
      </c>
      <c r="I940" s="6">
        <v>0</v>
      </c>
      <c r="J940" s="6">
        <v>0</v>
      </c>
      <c r="K940" s="6">
        <v>0</v>
      </c>
      <c r="L940" s="6">
        <v>0</v>
      </c>
      <c r="M940" s="6">
        <v>1</v>
      </c>
      <c r="N940" s="6">
        <v>0</v>
      </c>
      <c r="O940" s="6">
        <v>0</v>
      </c>
      <c r="P940" s="6">
        <v>0</v>
      </c>
      <c r="Q940">
        <v>1</v>
      </c>
      <c r="R940">
        <f t="shared" si="70"/>
        <v>0</v>
      </c>
      <c r="S940">
        <f t="shared" si="71"/>
        <v>1</v>
      </c>
      <c r="T940">
        <f t="shared" si="72"/>
        <v>1</v>
      </c>
      <c r="U940">
        <f t="shared" si="73"/>
        <v>1</v>
      </c>
      <c r="V940">
        <f t="shared" si="74"/>
        <v>0</v>
      </c>
    </row>
    <row r="941" spans="1:22" x14ac:dyDescent="0.25">
      <c r="A941">
        <v>938</v>
      </c>
      <c r="B941" t="s">
        <v>14</v>
      </c>
      <c r="C941" t="s">
        <v>523</v>
      </c>
      <c r="D941" s="4">
        <v>45645</v>
      </c>
      <c r="E941" t="s">
        <v>593</v>
      </c>
      <c r="F941" t="s">
        <v>413</v>
      </c>
      <c r="G941">
        <v>25</v>
      </c>
      <c r="I941" s="6">
        <v>1</v>
      </c>
      <c r="J941" s="6">
        <v>0</v>
      </c>
      <c r="K941" s="6">
        <v>0</v>
      </c>
      <c r="L941" s="6">
        <v>0</v>
      </c>
      <c r="M941" s="6">
        <v>1</v>
      </c>
      <c r="N941" s="6">
        <v>1</v>
      </c>
      <c r="O941" s="6">
        <v>0</v>
      </c>
      <c r="P941" s="6">
        <v>0</v>
      </c>
      <c r="Q941">
        <v>1</v>
      </c>
      <c r="R941">
        <f t="shared" si="70"/>
        <v>1</v>
      </c>
      <c r="S941">
        <f t="shared" si="71"/>
        <v>0</v>
      </c>
      <c r="T941">
        <f t="shared" si="72"/>
        <v>3</v>
      </c>
      <c r="U941">
        <f t="shared" si="73"/>
        <v>1</v>
      </c>
      <c r="V941">
        <f t="shared" si="74"/>
        <v>1</v>
      </c>
    </row>
    <row r="942" spans="1:22" x14ac:dyDescent="0.25">
      <c r="A942">
        <v>939</v>
      </c>
      <c r="B942" t="s">
        <v>14</v>
      </c>
      <c r="C942" t="s">
        <v>523</v>
      </c>
      <c r="D942" s="4">
        <v>45646</v>
      </c>
      <c r="E942" t="s">
        <v>594</v>
      </c>
      <c r="F942" t="s">
        <v>75</v>
      </c>
      <c r="I942" s="6">
        <v>0</v>
      </c>
      <c r="J942" s="6">
        <v>0</v>
      </c>
      <c r="K942" s="6">
        <v>0</v>
      </c>
      <c r="L942" s="6">
        <v>0</v>
      </c>
      <c r="M942" s="6">
        <v>1</v>
      </c>
      <c r="N942" s="6">
        <v>1</v>
      </c>
      <c r="O942" s="6">
        <v>0</v>
      </c>
      <c r="P942" s="6">
        <v>0</v>
      </c>
      <c r="Q942">
        <v>1</v>
      </c>
      <c r="R942">
        <f t="shared" si="70"/>
        <v>0</v>
      </c>
      <c r="S942">
        <f t="shared" si="71"/>
        <v>1</v>
      </c>
      <c r="T942">
        <f t="shared" si="72"/>
        <v>2</v>
      </c>
      <c r="U942">
        <f t="shared" si="73"/>
        <v>1</v>
      </c>
      <c r="V942">
        <f t="shared" si="74"/>
        <v>0</v>
      </c>
    </row>
    <row r="943" spans="1:22" x14ac:dyDescent="0.25">
      <c r="A943">
        <v>940</v>
      </c>
      <c r="B943" t="s">
        <v>14</v>
      </c>
      <c r="C943" t="s">
        <v>523</v>
      </c>
      <c r="D943" s="4">
        <v>45646</v>
      </c>
      <c r="E943" t="s">
        <v>595</v>
      </c>
      <c r="F943" t="s">
        <v>413</v>
      </c>
      <c r="G943">
        <v>26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>
        <v>1</v>
      </c>
      <c r="R943">
        <f t="shared" si="70"/>
        <v>1</v>
      </c>
      <c r="S943">
        <f t="shared" si="71"/>
        <v>0</v>
      </c>
      <c r="T943">
        <f t="shared" si="72"/>
        <v>0</v>
      </c>
      <c r="U943">
        <f t="shared" si="73"/>
        <v>0</v>
      </c>
      <c r="V943">
        <f t="shared" si="74"/>
        <v>1</v>
      </c>
    </row>
    <row r="944" spans="1:22" x14ac:dyDescent="0.25">
      <c r="A944">
        <v>941</v>
      </c>
      <c r="B944" t="s">
        <v>14</v>
      </c>
      <c r="C944" t="s">
        <v>523</v>
      </c>
      <c r="D944" s="4">
        <v>45646</v>
      </c>
      <c r="E944" t="s">
        <v>596</v>
      </c>
      <c r="F944" t="s">
        <v>75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1</v>
      </c>
      <c r="P944" s="6">
        <v>0</v>
      </c>
      <c r="Q944">
        <v>1</v>
      </c>
      <c r="R944">
        <f t="shared" si="70"/>
        <v>0</v>
      </c>
      <c r="S944">
        <f t="shared" si="71"/>
        <v>1</v>
      </c>
      <c r="T944">
        <f t="shared" si="72"/>
        <v>1</v>
      </c>
      <c r="U944">
        <f t="shared" si="73"/>
        <v>1</v>
      </c>
      <c r="V944">
        <f t="shared" si="74"/>
        <v>0</v>
      </c>
    </row>
    <row r="945" spans="1:22" x14ac:dyDescent="0.25">
      <c r="A945">
        <v>942</v>
      </c>
      <c r="B945" t="s">
        <v>14</v>
      </c>
      <c r="C945" t="s">
        <v>523</v>
      </c>
      <c r="D945" s="4">
        <v>45647</v>
      </c>
      <c r="E945" t="s">
        <v>597</v>
      </c>
      <c r="F945" t="s">
        <v>75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>
        <v>1</v>
      </c>
      <c r="R945">
        <f t="shared" si="70"/>
        <v>0</v>
      </c>
      <c r="S945">
        <f t="shared" si="71"/>
        <v>1</v>
      </c>
      <c r="T945">
        <f t="shared" si="72"/>
        <v>0</v>
      </c>
      <c r="U945">
        <f t="shared" si="73"/>
        <v>0</v>
      </c>
      <c r="V945">
        <f t="shared" si="74"/>
        <v>0</v>
      </c>
    </row>
    <row r="946" spans="1:22" x14ac:dyDescent="0.25">
      <c r="A946">
        <v>943</v>
      </c>
      <c r="B946" t="s">
        <v>14</v>
      </c>
      <c r="C946" t="s">
        <v>523</v>
      </c>
      <c r="D946" s="4">
        <v>45648</v>
      </c>
      <c r="E946" t="s">
        <v>598</v>
      </c>
      <c r="F946" t="s">
        <v>75</v>
      </c>
      <c r="H946" t="s">
        <v>599</v>
      </c>
      <c r="I946" s="6">
        <v>0</v>
      </c>
      <c r="J946" s="6">
        <v>0</v>
      </c>
      <c r="K946" s="6">
        <v>0</v>
      </c>
      <c r="L946" s="6">
        <v>0</v>
      </c>
      <c r="M946" s="6">
        <v>1</v>
      </c>
      <c r="N946" s="6">
        <v>1</v>
      </c>
      <c r="O946" s="6">
        <v>0</v>
      </c>
      <c r="P946" s="6">
        <v>0</v>
      </c>
      <c r="Q946">
        <v>1</v>
      </c>
      <c r="R946">
        <f t="shared" si="70"/>
        <v>0</v>
      </c>
      <c r="S946">
        <f t="shared" si="71"/>
        <v>1</v>
      </c>
      <c r="T946">
        <f t="shared" si="72"/>
        <v>2</v>
      </c>
      <c r="U946">
        <f t="shared" si="73"/>
        <v>1</v>
      </c>
      <c r="V946">
        <f t="shared" si="74"/>
        <v>0</v>
      </c>
    </row>
    <row r="947" spans="1:22" x14ac:dyDescent="0.25">
      <c r="A947">
        <v>944</v>
      </c>
      <c r="B947" t="s">
        <v>14</v>
      </c>
      <c r="C947" t="s">
        <v>523</v>
      </c>
      <c r="D947" s="4">
        <v>45648</v>
      </c>
      <c r="E947" t="s">
        <v>600</v>
      </c>
      <c r="F947" t="s">
        <v>75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>
        <v>1</v>
      </c>
      <c r="R947">
        <f t="shared" si="70"/>
        <v>0</v>
      </c>
      <c r="S947">
        <f t="shared" si="71"/>
        <v>1</v>
      </c>
      <c r="T947">
        <f t="shared" si="72"/>
        <v>0</v>
      </c>
      <c r="U947">
        <f t="shared" si="73"/>
        <v>0</v>
      </c>
      <c r="V947">
        <f t="shared" si="74"/>
        <v>0</v>
      </c>
    </row>
    <row r="948" spans="1:22" x14ac:dyDescent="0.25">
      <c r="A948">
        <v>945</v>
      </c>
      <c r="B948" t="s">
        <v>14</v>
      </c>
      <c r="C948" t="s">
        <v>523</v>
      </c>
      <c r="D948" s="4">
        <v>45648</v>
      </c>
      <c r="E948" t="s">
        <v>601</v>
      </c>
      <c r="F948" t="s">
        <v>75</v>
      </c>
      <c r="I948" s="6">
        <v>0</v>
      </c>
      <c r="J948" s="6">
        <v>0</v>
      </c>
      <c r="K948" s="6">
        <v>0</v>
      </c>
      <c r="L948" s="6">
        <v>0</v>
      </c>
      <c r="M948" s="6">
        <v>1</v>
      </c>
      <c r="N948" s="6">
        <v>0</v>
      </c>
      <c r="O948" s="6">
        <v>0</v>
      </c>
      <c r="P948" s="6">
        <v>0</v>
      </c>
      <c r="Q948">
        <v>1</v>
      </c>
      <c r="R948">
        <f t="shared" si="70"/>
        <v>0</v>
      </c>
      <c r="S948">
        <f t="shared" si="71"/>
        <v>1</v>
      </c>
      <c r="T948">
        <f t="shared" si="72"/>
        <v>1</v>
      </c>
      <c r="U948">
        <f t="shared" si="73"/>
        <v>1</v>
      </c>
      <c r="V948">
        <f t="shared" si="74"/>
        <v>0</v>
      </c>
    </row>
    <row r="949" spans="1:22" x14ac:dyDescent="0.25">
      <c r="A949">
        <v>946</v>
      </c>
      <c r="B949" t="s">
        <v>14</v>
      </c>
      <c r="C949" t="s">
        <v>523</v>
      </c>
      <c r="D949" s="4">
        <v>45648</v>
      </c>
      <c r="E949" t="s">
        <v>602</v>
      </c>
      <c r="F949" t="s">
        <v>75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>
        <v>1</v>
      </c>
      <c r="R949">
        <f t="shared" si="70"/>
        <v>0</v>
      </c>
      <c r="S949">
        <f t="shared" si="71"/>
        <v>1</v>
      </c>
      <c r="T949">
        <f t="shared" si="72"/>
        <v>0</v>
      </c>
      <c r="U949">
        <f t="shared" si="73"/>
        <v>0</v>
      </c>
      <c r="V949">
        <f t="shared" si="74"/>
        <v>0</v>
      </c>
    </row>
    <row r="950" spans="1:22" x14ac:dyDescent="0.25">
      <c r="A950">
        <v>947</v>
      </c>
      <c r="B950" t="s">
        <v>14</v>
      </c>
      <c r="C950" t="s">
        <v>523</v>
      </c>
      <c r="D950" s="4">
        <v>45649</v>
      </c>
      <c r="E950" t="s">
        <v>603</v>
      </c>
      <c r="F950" t="s">
        <v>75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1</v>
      </c>
      <c r="O950" s="6">
        <v>0</v>
      </c>
      <c r="P950" s="6">
        <v>0</v>
      </c>
      <c r="Q950">
        <v>1</v>
      </c>
      <c r="R950">
        <f t="shared" si="70"/>
        <v>0</v>
      </c>
      <c r="S950">
        <f t="shared" si="71"/>
        <v>1</v>
      </c>
      <c r="T950">
        <f t="shared" si="72"/>
        <v>1</v>
      </c>
      <c r="U950">
        <f t="shared" si="73"/>
        <v>1</v>
      </c>
      <c r="V950">
        <f t="shared" si="74"/>
        <v>0</v>
      </c>
    </row>
    <row r="951" spans="1:22" x14ac:dyDescent="0.25">
      <c r="A951">
        <v>948</v>
      </c>
      <c r="B951" t="s">
        <v>14</v>
      </c>
      <c r="C951" t="s">
        <v>523</v>
      </c>
      <c r="D951" s="4">
        <v>45651</v>
      </c>
      <c r="E951" t="s">
        <v>604</v>
      </c>
      <c r="F951" t="s">
        <v>75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>
        <v>1</v>
      </c>
      <c r="R951">
        <f t="shared" si="70"/>
        <v>0</v>
      </c>
      <c r="S951">
        <f t="shared" si="71"/>
        <v>1</v>
      </c>
      <c r="T951">
        <f t="shared" si="72"/>
        <v>0</v>
      </c>
      <c r="U951">
        <f t="shared" si="73"/>
        <v>0</v>
      </c>
      <c r="V951">
        <f t="shared" si="74"/>
        <v>0</v>
      </c>
    </row>
    <row r="952" spans="1:22" x14ac:dyDescent="0.25">
      <c r="A952">
        <v>949</v>
      </c>
      <c r="B952" t="s">
        <v>14</v>
      </c>
      <c r="C952" t="s">
        <v>523</v>
      </c>
      <c r="D952" s="4">
        <v>45652</v>
      </c>
      <c r="E952" t="s">
        <v>605</v>
      </c>
      <c r="F952" t="s">
        <v>75</v>
      </c>
      <c r="I952" s="6">
        <v>1</v>
      </c>
      <c r="J952" s="6">
        <v>0</v>
      </c>
      <c r="K952" s="6">
        <v>0</v>
      </c>
      <c r="L952" s="6">
        <v>0</v>
      </c>
      <c r="M952" s="6">
        <v>1</v>
      </c>
      <c r="N952" s="6">
        <v>1</v>
      </c>
      <c r="O952" s="6">
        <v>0</v>
      </c>
      <c r="P952" s="6">
        <v>0</v>
      </c>
      <c r="Q952">
        <v>1</v>
      </c>
      <c r="R952">
        <f t="shared" si="70"/>
        <v>0</v>
      </c>
      <c r="S952">
        <f t="shared" si="71"/>
        <v>1</v>
      </c>
      <c r="T952">
        <f t="shared" si="72"/>
        <v>3</v>
      </c>
      <c r="U952">
        <f t="shared" si="73"/>
        <v>1</v>
      </c>
      <c r="V952">
        <f t="shared" si="74"/>
        <v>0</v>
      </c>
    </row>
    <row r="953" spans="1:22" x14ac:dyDescent="0.25">
      <c r="A953">
        <v>950</v>
      </c>
      <c r="B953" t="s">
        <v>14</v>
      </c>
      <c r="C953" t="s">
        <v>523</v>
      </c>
      <c r="D953" s="4">
        <v>45653</v>
      </c>
      <c r="E953" t="s">
        <v>606</v>
      </c>
      <c r="F953" t="s">
        <v>75</v>
      </c>
      <c r="I953" s="6">
        <v>1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>
        <v>1</v>
      </c>
      <c r="R953">
        <f t="shared" si="70"/>
        <v>0</v>
      </c>
      <c r="S953">
        <f t="shared" si="71"/>
        <v>1</v>
      </c>
      <c r="T953">
        <f t="shared" si="72"/>
        <v>1</v>
      </c>
      <c r="U953">
        <f t="shared" si="73"/>
        <v>1</v>
      </c>
      <c r="V953">
        <f t="shared" si="74"/>
        <v>0</v>
      </c>
    </row>
    <row r="954" spans="1:22" x14ac:dyDescent="0.25">
      <c r="A954">
        <v>951</v>
      </c>
      <c r="B954" t="s">
        <v>14</v>
      </c>
      <c r="C954" t="s">
        <v>523</v>
      </c>
      <c r="D954" s="4">
        <v>45653</v>
      </c>
      <c r="E954" t="s">
        <v>607</v>
      </c>
      <c r="F954" t="s">
        <v>75</v>
      </c>
      <c r="I954" s="6">
        <v>0</v>
      </c>
      <c r="J954" s="6">
        <v>0</v>
      </c>
      <c r="K954" s="6">
        <v>0</v>
      </c>
      <c r="L954" s="6">
        <v>1</v>
      </c>
      <c r="M954" s="6">
        <v>1</v>
      </c>
      <c r="N954" s="6">
        <v>0</v>
      </c>
      <c r="O954" s="6">
        <v>1</v>
      </c>
      <c r="P954" s="6">
        <v>0</v>
      </c>
      <c r="Q954">
        <v>1</v>
      </c>
      <c r="R954">
        <f t="shared" si="70"/>
        <v>0</v>
      </c>
      <c r="S954">
        <f t="shared" si="71"/>
        <v>1</v>
      </c>
      <c r="T954">
        <f t="shared" si="72"/>
        <v>3</v>
      </c>
      <c r="U954">
        <f t="shared" si="73"/>
        <v>1</v>
      </c>
      <c r="V954">
        <f t="shared" si="74"/>
        <v>0</v>
      </c>
    </row>
    <row r="955" spans="1:22" x14ac:dyDescent="0.25">
      <c r="A955">
        <v>952</v>
      </c>
      <c r="B955" t="s">
        <v>14</v>
      </c>
      <c r="C955" t="s">
        <v>523</v>
      </c>
      <c r="D955" s="4">
        <v>45655</v>
      </c>
      <c r="E955" t="s">
        <v>608</v>
      </c>
      <c r="F955" t="s">
        <v>75</v>
      </c>
      <c r="I955" s="6">
        <v>1</v>
      </c>
      <c r="J955" s="6">
        <v>0</v>
      </c>
      <c r="K955" s="6">
        <v>1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>
        <v>1</v>
      </c>
      <c r="R955">
        <f t="shared" si="70"/>
        <v>0</v>
      </c>
      <c r="S955">
        <f t="shared" si="71"/>
        <v>1</v>
      </c>
      <c r="T955">
        <f t="shared" si="72"/>
        <v>2</v>
      </c>
      <c r="U955">
        <f t="shared" si="73"/>
        <v>1</v>
      </c>
      <c r="V955">
        <f t="shared" si="74"/>
        <v>0</v>
      </c>
    </row>
    <row r="956" spans="1:22" x14ac:dyDescent="0.25">
      <c r="A956">
        <v>953</v>
      </c>
      <c r="B956" t="s">
        <v>14</v>
      </c>
      <c r="C956" t="s">
        <v>523</v>
      </c>
      <c r="D956" s="4">
        <v>45656</v>
      </c>
      <c r="E956" t="s">
        <v>609</v>
      </c>
      <c r="F956" t="s">
        <v>357</v>
      </c>
      <c r="I956" s="6">
        <v>1</v>
      </c>
      <c r="J956" s="6">
        <v>0</v>
      </c>
      <c r="K956" s="6">
        <v>1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>
        <v>1</v>
      </c>
      <c r="R956">
        <f t="shared" si="70"/>
        <v>0</v>
      </c>
      <c r="S956">
        <f t="shared" si="71"/>
        <v>0</v>
      </c>
      <c r="T956">
        <f t="shared" si="72"/>
        <v>2</v>
      </c>
      <c r="U956">
        <f t="shared" si="73"/>
        <v>1</v>
      </c>
      <c r="V956">
        <f t="shared" si="74"/>
        <v>0</v>
      </c>
    </row>
    <row r="957" spans="1:22" x14ac:dyDescent="0.25">
      <c r="A957">
        <v>954</v>
      </c>
      <c r="B957" t="s">
        <v>14</v>
      </c>
      <c r="C957" t="s">
        <v>523</v>
      </c>
      <c r="D957" s="4">
        <v>45656</v>
      </c>
      <c r="E957" t="s">
        <v>610</v>
      </c>
      <c r="F957" t="s">
        <v>75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1</v>
      </c>
      <c r="P957" s="6">
        <v>0</v>
      </c>
      <c r="Q957">
        <v>1</v>
      </c>
      <c r="R957">
        <f t="shared" si="70"/>
        <v>0</v>
      </c>
      <c r="S957">
        <f t="shared" si="71"/>
        <v>1</v>
      </c>
      <c r="T957">
        <f t="shared" si="72"/>
        <v>1</v>
      </c>
      <c r="U957">
        <f t="shared" si="73"/>
        <v>1</v>
      </c>
      <c r="V957">
        <f t="shared" si="74"/>
        <v>0</v>
      </c>
    </row>
    <row r="958" spans="1:22" x14ac:dyDescent="0.25">
      <c r="A958">
        <v>955</v>
      </c>
      <c r="B958" t="s">
        <v>14</v>
      </c>
      <c r="C958" t="s">
        <v>523</v>
      </c>
      <c r="D958" s="4">
        <v>45657</v>
      </c>
      <c r="E958" t="s">
        <v>611</v>
      </c>
      <c r="F958" t="s">
        <v>75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1</v>
      </c>
      <c r="O958" s="6">
        <v>0</v>
      </c>
      <c r="P958" s="6">
        <v>0</v>
      </c>
      <c r="Q958">
        <v>1</v>
      </c>
      <c r="R958">
        <f t="shared" si="70"/>
        <v>0</v>
      </c>
      <c r="S958">
        <f t="shared" si="71"/>
        <v>1</v>
      </c>
      <c r="T958">
        <f t="shared" si="72"/>
        <v>1</v>
      </c>
      <c r="U958">
        <f t="shared" si="73"/>
        <v>1</v>
      </c>
      <c r="V958">
        <f t="shared" si="74"/>
        <v>0</v>
      </c>
    </row>
    <row r="959" spans="1:22" x14ac:dyDescent="0.25">
      <c r="A959">
        <v>956</v>
      </c>
      <c r="B959" t="s">
        <v>14</v>
      </c>
      <c r="C959" t="s">
        <v>523</v>
      </c>
      <c r="D959" s="4">
        <v>45659</v>
      </c>
      <c r="E959" t="s">
        <v>612</v>
      </c>
      <c r="F959" t="s">
        <v>75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1</v>
      </c>
      <c r="O959" s="6">
        <v>0</v>
      </c>
      <c r="P959" s="6">
        <v>0</v>
      </c>
      <c r="Q959">
        <v>1</v>
      </c>
      <c r="R959">
        <f t="shared" si="70"/>
        <v>0</v>
      </c>
      <c r="S959">
        <f t="shared" si="71"/>
        <v>1</v>
      </c>
      <c r="T959">
        <f t="shared" si="72"/>
        <v>1</v>
      </c>
      <c r="U959">
        <f t="shared" si="73"/>
        <v>1</v>
      </c>
      <c r="V959">
        <f t="shared" si="74"/>
        <v>0</v>
      </c>
    </row>
    <row r="960" spans="1:22" x14ac:dyDescent="0.25">
      <c r="A960">
        <v>957</v>
      </c>
      <c r="B960" t="s">
        <v>14</v>
      </c>
      <c r="C960" t="s">
        <v>523</v>
      </c>
      <c r="D960" s="4">
        <v>45659</v>
      </c>
      <c r="E960" t="s">
        <v>613</v>
      </c>
      <c r="F960" t="s">
        <v>75</v>
      </c>
      <c r="I960" s="6">
        <v>0</v>
      </c>
      <c r="J960" s="6">
        <v>0</v>
      </c>
      <c r="K960" s="6">
        <v>0</v>
      </c>
      <c r="L960" s="6">
        <v>0</v>
      </c>
      <c r="M960" s="6">
        <v>1</v>
      </c>
      <c r="N960" s="6">
        <v>1</v>
      </c>
      <c r="O960" s="6">
        <v>0</v>
      </c>
      <c r="P960" s="6">
        <v>0</v>
      </c>
      <c r="Q960">
        <v>1</v>
      </c>
      <c r="R960">
        <f t="shared" si="70"/>
        <v>0</v>
      </c>
      <c r="S960">
        <f t="shared" si="71"/>
        <v>1</v>
      </c>
      <c r="T960">
        <f t="shared" si="72"/>
        <v>2</v>
      </c>
      <c r="U960">
        <f t="shared" si="73"/>
        <v>1</v>
      </c>
      <c r="V960">
        <f t="shared" si="74"/>
        <v>0</v>
      </c>
    </row>
    <row r="961" spans="1:22" x14ac:dyDescent="0.25">
      <c r="A961">
        <v>958</v>
      </c>
      <c r="B961" t="s">
        <v>14</v>
      </c>
      <c r="C961" t="s">
        <v>523</v>
      </c>
      <c r="D961" s="4">
        <v>45660</v>
      </c>
      <c r="E961" t="s">
        <v>614</v>
      </c>
      <c r="F961" t="s">
        <v>75</v>
      </c>
      <c r="I961" s="6">
        <v>0</v>
      </c>
      <c r="J961" s="6">
        <v>0</v>
      </c>
      <c r="K961" s="6">
        <v>0</v>
      </c>
      <c r="L961" s="6">
        <v>0</v>
      </c>
      <c r="M961" s="6">
        <v>1</v>
      </c>
      <c r="N961" s="6">
        <v>0</v>
      </c>
      <c r="O961" s="6">
        <v>0</v>
      </c>
      <c r="P961" s="6">
        <v>0</v>
      </c>
      <c r="Q961">
        <v>1</v>
      </c>
      <c r="R961">
        <f t="shared" si="70"/>
        <v>0</v>
      </c>
      <c r="S961">
        <f t="shared" si="71"/>
        <v>1</v>
      </c>
      <c r="T961">
        <f t="shared" si="72"/>
        <v>1</v>
      </c>
      <c r="U961">
        <f t="shared" si="73"/>
        <v>1</v>
      </c>
      <c r="V961">
        <f t="shared" si="74"/>
        <v>0</v>
      </c>
    </row>
    <row r="962" spans="1:22" x14ac:dyDescent="0.25">
      <c r="A962">
        <v>959</v>
      </c>
      <c r="B962" t="s">
        <v>14</v>
      </c>
      <c r="C962" t="s">
        <v>523</v>
      </c>
      <c r="D962" s="4">
        <v>45660</v>
      </c>
      <c r="E962" t="s">
        <v>615</v>
      </c>
      <c r="F962" t="s">
        <v>75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>
        <v>1</v>
      </c>
      <c r="R962">
        <f t="shared" si="70"/>
        <v>0</v>
      </c>
      <c r="S962">
        <f t="shared" si="71"/>
        <v>1</v>
      </c>
      <c r="T962">
        <f t="shared" si="72"/>
        <v>0</v>
      </c>
      <c r="U962">
        <f t="shared" si="73"/>
        <v>0</v>
      </c>
      <c r="V962">
        <f t="shared" si="74"/>
        <v>0</v>
      </c>
    </row>
    <row r="963" spans="1:22" x14ac:dyDescent="0.25">
      <c r="A963">
        <v>960</v>
      </c>
      <c r="B963" t="s">
        <v>14</v>
      </c>
      <c r="C963" t="s">
        <v>523</v>
      </c>
      <c r="D963" s="4">
        <v>45660</v>
      </c>
      <c r="E963" t="s">
        <v>616</v>
      </c>
      <c r="F963" t="s">
        <v>75</v>
      </c>
      <c r="I963" s="6">
        <v>1</v>
      </c>
      <c r="J963" s="6">
        <v>0</v>
      </c>
      <c r="K963" s="6">
        <v>1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>
        <v>1</v>
      </c>
      <c r="R963">
        <f t="shared" ref="R963:R1026" si="75">IF(AND(Q963=1,F963="ai_full"),1,0)</f>
        <v>0</v>
      </c>
      <c r="S963">
        <f t="shared" ref="S963:S1026" si="76">IF(AND(Q963=1,F963="conventional"),1,0)</f>
        <v>1</v>
      </c>
      <c r="T963">
        <f t="shared" ref="T963:T1026" si="77">SUM(I963:P963)</f>
        <v>2</v>
      </c>
      <c r="U963">
        <f t="shared" ref="U963:U1026" si="78">IF(T963&gt;=1,1,0)</f>
        <v>1</v>
      </c>
      <c r="V963">
        <f t="shared" ref="V963:V1026" si="79">IF(F963="ai_full",1,0)</f>
        <v>0</v>
      </c>
    </row>
    <row r="964" spans="1:22" x14ac:dyDescent="0.25">
      <c r="A964">
        <v>961</v>
      </c>
      <c r="B964" t="s">
        <v>14</v>
      </c>
      <c r="C964" t="s">
        <v>523</v>
      </c>
      <c r="D964" s="4">
        <v>45661</v>
      </c>
      <c r="E964" t="s">
        <v>617</v>
      </c>
      <c r="F964" t="s">
        <v>75</v>
      </c>
      <c r="H964" t="s">
        <v>618</v>
      </c>
      <c r="I964" s="6">
        <v>1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>
        <v>1</v>
      </c>
      <c r="R964">
        <f t="shared" si="75"/>
        <v>0</v>
      </c>
      <c r="S964">
        <f t="shared" si="76"/>
        <v>1</v>
      </c>
      <c r="T964">
        <f t="shared" si="77"/>
        <v>1</v>
      </c>
      <c r="U964">
        <f t="shared" si="78"/>
        <v>1</v>
      </c>
      <c r="V964">
        <f t="shared" si="79"/>
        <v>0</v>
      </c>
    </row>
    <row r="965" spans="1:22" x14ac:dyDescent="0.25">
      <c r="A965">
        <v>962</v>
      </c>
      <c r="B965" t="s">
        <v>14</v>
      </c>
      <c r="C965" t="s">
        <v>523</v>
      </c>
      <c r="D965" s="4">
        <v>45661</v>
      </c>
      <c r="E965" t="s">
        <v>619</v>
      </c>
      <c r="F965" t="s">
        <v>75</v>
      </c>
      <c r="I965" s="6">
        <v>0</v>
      </c>
      <c r="J965" s="6">
        <v>0</v>
      </c>
      <c r="K965" s="6">
        <v>0</v>
      </c>
      <c r="L965" s="6">
        <v>0</v>
      </c>
      <c r="M965" s="6">
        <v>1</v>
      </c>
      <c r="N965" s="6">
        <v>0</v>
      </c>
      <c r="O965" s="6">
        <v>0</v>
      </c>
      <c r="P965" s="6">
        <v>0</v>
      </c>
      <c r="Q965">
        <v>1</v>
      </c>
      <c r="R965">
        <f t="shared" si="75"/>
        <v>0</v>
      </c>
      <c r="S965">
        <f t="shared" si="76"/>
        <v>1</v>
      </c>
      <c r="T965">
        <f t="shared" si="77"/>
        <v>1</v>
      </c>
      <c r="U965">
        <f t="shared" si="78"/>
        <v>1</v>
      </c>
      <c r="V965">
        <f t="shared" si="79"/>
        <v>0</v>
      </c>
    </row>
    <row r="966" spans="1:22" x14ac:dyDescent="0.25">
      <c r="A966">
        <v>963</v>
      </c>
      <c r="B966" t="s">
        <v>14</v>
      </c>
      <c r="C966" t="s">
        <v>523</v>
      </c>
      <c r="D966" s="4">
        <v>45661</v>
      </c>
      <c r="E966" t="s">
        <v>620</v>
      </c>
      <c r="F966" t="s">
        <v>75</v>
      </c>
      <c r="I966" s="6">
        <v>0</v>
      </c>
      <c r="J966" s="6">
        <v>0</v>
      </c>
      <c r="K966" s="6">
        <v>0</v>
      </c>
      <c r="L966" s="6">
        <v>0</v>
      </c>
      <c r="M966" s="6">
        <v>1</v>
      </c>
      <c r="N966" s="6">
        <v>1</v>
      </c>
      <c r="O966" s="6">
        <v>0</v>
      </c>
      <c r="P966" s="6">
        <v>0</v>
      </c>
      <c r="Q966">
        <v>1</v>
      </c>
      <c r="R966">
        <f t="shared" si="75"/>
        <v>0</v>
      </c>
      <c r="S966">
        <f t="shared" si="76"/>
        <v>1</v>
      </c>
      <c r="T966">
        <f t="shared" si="77"/>
        <v>2</v>
      </c>
      <c r="U966">
        <f t="shared" si="78"/>
        <v>1</v>
      </c>
      <c r="V966">
        <f t="shared" si="79"/>
        <v>0</v>
      </c>
    </row>
    <row r="967" spans="1:22" x14ac:dyDescent="0.25">
      <c r="A967">
        <v>964</v>
      </c>
      <c r="B967" t="s">
        <v>14</v>
      </c>
      <c r="C967" t="s">
        <v>523</v>
      </c>
      <c r="D967" s="4">
        <v>45661</v>
      </c>
      <c r="E967" t="s">
        <v>621</v>
      </c>
      <c r="F967" t="s">
        <v>75</v>
      </c>
      <c r="I967" s="6">
        <v>0</v>
      </c>
      <c r="J967" s="6">
        <v>0</v>
      </c>
      <c r="K967" s="6">
        <v>0</v>
      </c>
      <c r="L967" s="6">
        <v>1</v>
      </c>
      <c r="M967" s="6">
        <v>1</v>
      </c>
      <c r="N967" s="6">
        <v>0</v>
      </c>
      <c r="O967" s="6">
        <v>0</v>
      </c>
      <c r="P967" s="6">
        <v>0</v>
      </c>
      <c r="Q967">
        <v>1</v>
      </c>
      <c r="R967">
        <f t="shared" si="75"/>
        <v>0</v>
      </c>
      <c r="S967">
        <f t="shared" si="76"/>
        <v>1</v>
      </c>
      <c r="T967">
        <f t="shared" si="77"/>
        <v>2</v>
      </c>
      <c r="U967">
        <f t="shared" si="78"/>
        <v>1</v>
      </c>
      <c r="V967">
        <f t="shared" si="79"/>
        <v>0</v>
      </c>
    </row>
    <row r="968" spans="1:22" x14ac:dyDescent="0.25">
      <c r="A968">
        <v>965</v>
      </c>
      <c r="B968" t="s">
        <v>14</v>
      </c>
      <c r="C968" t="s">
        <v>523</v>
      </c>
      <c r="D968" s="4">
        <v>45662</v>
      </c>
      <c r="E968" t="s">
        <v>622</v>
      </c>
      <c r="F968" t="s">
        <v>75</v>
      </c>
      <c r="I968" s="6">
        <v>0</v>
      </c>
      <c r="J968" s="6">
        <v>0</v>
      </c>
      <c r="K968" s="6">
        <v>0</v>
      </c>
      <c r="L968" s="6">
        <v>1</v>
      </c>
      <c r="M968" s="6">
        <v>0</v>
      </c>
      <c r="N968" s="6">
        <v>0</v>
      </c>
      <c r="O968" s="6">
        <v>0</v>
      </c>
      <c r="P968" s="6">
        <v>0</v>
      </c>
      <c r="Q968">
        <v>1</v>
      </c>
      <c r="R968">
        <f t="shared" si="75"/>
        <v>0</v>
      </c>
      <c r="S968">
        <f t="shared" si="76"/>
        <v>1</v>
      </c>
      <c r="T968">
        <f t="shared" si="77"/>
        <v>1</v>
      </c>
      <c r="U968">
        <f t="shared" si="78"/>
        <v>1</v>
      </c>
      <c r="V968">
        <f t="shared" si="79"/>
        <v>0</v>
      </c>
    </row>
    <row r="969" spans="1:22" x14ac:dyDescent="0.25">
      <c r="A969">
        <v>966</v>
      </c>
      <c r="B969" t="s">
        <v>14</v>
      </c>
      <c r="C969" t="s">
        <v>523</v>
      </c>
      <c r="D969" s="4">
        <v>45663</v>
      </c>
      <c r="E969" t="s">
        <v>623</v>
      </c>
      <c r="F969" t="s">
        <v>75</v>
      </c>
      <c r="I969" s="6">
        <v>0</v>
      </c>
      <c r="J969" s="6">
        <v>0</v>
      </c>
      <c r="K969" s="6">
        <v>0</v>
      </c>
      <c r="L969" s="6">
        <v>0</v>
      </c>
      <c r="M969" s="6">
        <v>1</v>
      </c>
      <c r="N969" s="6">
        <v>0</v>
      </c>
      <c r="O969" s="6">
        <v>0</v>
      </c>
      <c r="P969" s="6">
        <v>0</v>
      </c>
      <c r="Q969">
        <v>1</v>
      </c>
      <c r="R969">
        <f t="shared" si="75"/>
        <v>0</v>
      </c>
      <c r="S969">
        <f t="shared" si="76"/>
        <v>1</v>
      </c>
      <c r="T969">
        <f t="shared" si="77"/>
        <v>1</v>
      </c>
      <c r="U969">
        <f t="shared" si="78"/>
        <v>1</v>
      </c>
      <c r="V969">
        <f t="shared" si="79"/>
        <v>0</v>
      </c>
    </row>
    <row r="970" spans="1:22" x14ac:dyDescent="0.25">
      <c r="A970">
        <v>967</v>
      </c>
      <c r="B970" t="s">
        <v>14</v>
      </c>
      <c r="C970" t="s">
        <v>523</v>
      </c>
      <c r="D970" s="4">
        <v>45664</v>
      </c>
      <c r="E970" t="s">
        <v>624</v>
      </c>
      <c r="F970" t="s">
        <v>75</v>
      </c>
      <c r="I970" s="6">
        <v>0</v>
      </c>
      <c r="J970" s="6">
        <v>0</v>
      </c>
      <c r="K970" s="6">
        <v>0</v>
      </c>
      <c r="L970" s="6">
        <v>0</v>
      </c>
      <c r="M970" s="6">
        <v>1</v>
      </c>
      <c r="N970" s="6">
        <v>0</v>
      </c>
      <c r="O970" s="6">
        <v>0</v>
      </c>
      <c r="P970" s="6">
        <v>0</v>
      </c>
      <c r="Q970">
        <v>1</v>
      </c>
      <c r="R970">
        <f t="shared" si="75"/>
        <v>0</v>
      </c>
      <c r="S970">
        <f t="shared" si="76"/>
        <v>1</v>
      </c>
      <c r="T970">
        <f t="shared" si="77"/>
        <v>1</v>
      </c>
      <c r="U970">
        <f t="shared" si="78"/>
        <v>1</v>
      </c>
      <c r="V970">
        <f t="shared" si="79"/>
        <v>0</v>
      </c>
    </row>
    <row r="971" spans="1:22" x14ac:dyDescent="0.25">
      <c r="A971">
        <v>968</v>
      </c>
      <c r="B971" t="s">
        <v>14</v>
      </c>
      <c r="C971" t="s">
        <v>523</v>
      </c>
      <c r="D971" s="4">
        <v>45665</v>
      </c>
      <c r="E971" t="s">
        <v>625</v>
      </c>
      <c r="F971" t="s">
        <v>413</v>
      </c>
      <c r="G971">
        <v>27</v>
      </c>
      <c r="I971" s="6">
        <v>0</v>
      </c>
      <c r="J971" s="6">
        <v>0</v>
      </c>
      <c r="K971" s="6">
        <v>0</v>
      </c>
      <c r="L971" s="6">
        <v>0</v>
      </c>
      <c r="M971" s="6">
        <v>1</v>
      </c>
      <c r="N971" s="6">
        <v>0</v>
      </c>
      <c r="O971" s="6">
        <v>0</v>
      </c>
      <c r="P971" s="6">
        <v>0</v>
      </c>
      <c r="Q971">
        <v>1</v>
      </c>
      <c r="R971">
        <f t="shared" si="75"/>
        <v>1</v>
      </c>
      <c r="S971">
        <f t="shared" si="76"/>
        <v>0</v>
      </c>
      <c r="T971">
        <f t="shared" si="77"/>
        <v>1</v>
      </c>
      <c r="U971">
        <f t="shared" si="78"/>
        <v>1</v>
      </c>
      <c r="V971">
        <f t="shared" si="79"/>
        <v>1</v>
      </c>
    </row>
    <row r="972" spans="1:22" x14ac:dyDescent="0.25">
      <c r="A972">
        <v>969</v>
      </c>
      <c r="B972" t="s">
        <v>14</v>
      </c>
      <c r="C972" t="s">
        <v>523</v>
      </c>
      <c r="D972" s="4">
        <v>45666</v>
      </c>
      <c r="E972" t="s">
        <v>626</v>
      </c>
      <c r="F972" t="s">
        <v>413</v>
      </c>
      <c r="G972">
        <v>28</v>
      </c>
      <c r="I972" s="6">
        <v>0</v>
      </c>
      <c r="J972" s="6">
        <v>0</v>
      </c>
      <c r="K972" s="6">
        <v>0</v>
      </c>
      <c r="L972" s="6">
        <v>0</v>
      </c>
      <c r="M972" s="6">
        <v>1</v>
      </c>
      <c r="N972" s="6">
        <v>0</v>
      </c>
      <c r="O972" s="6">
        <v>0</v>
      </c>
      <c r="P972" s="6">
        <v>0</v>
      </c>
      <c r="Q972">
        <v>1</v>
      </c>
      <c r="R972">
        <f t="shared" si="75"/>
        <v>1</v>
      </c>
      <c r="S972">
        <f t="shared" si="76"/>
        <v>0</v>
      </c>
      <c r="T972">
        <f t="shared" si="77"/>
        <v>1</v>
      </c>
      <c r="U972">
        <f t="shared" si="78"/>
        <v>1</v>
      </c>
      <c r="V972">
        <f t="shared" si="79"/>
        <v>1</v>
      </c>
    </row>
    <row r="973" spans="1:22" x14ac:dyDescent="0.25">
      <c r="A973">
        <v>970</v>
      </c>
      <c r="B973" t="s">
        <v>14</v>
      </c>
      <c r="C973" t="s">
        <v>523</v>
      </c>
      <c r="D973" s="4">
        <v>45667</v>
      </c>
      <c r="E973" t="s">
        <v>627</v>
      </c>
      <c r="F973" t="s">
        <v>357</v>
      </c>
      <c r="I973" s="6">
        <v>0</v>
      </c>
      <c r="J973" s="6">
        <v>0</v>
      </c>
      <c r="K973" s="6">
        <v>0</v>
      </c>
      <c r="L973" s="6">
        <v>1</v>
      </c>
      <c r="M973" s="6">
        <v>0</v>
      </c>
      <c r="N973" s="6">
        <v>0</v>
      </c>
      <c r="O973" s="6">
        <v>0</v>
      </c>
      <c r="P973" s="6">
        <v>0</v>
      </c>
      <c r="Q973">
        <v>1</v>
      </c>
      <c r="R973">
        <f t="shared" si="75"/>
        <v>0</v>
      </c>
      <c r="S973">
        <f t="shared" si="76"/>
        <v>0</v>
      </c>
      <c r="T973">
        <f t="shared" si="77"/>
        <v>1</v>
      </c>
      <c r="U973">
        <f t="shared" si="78"/>
        <v>1</v>
      </c>
      <c r="V973">
        <f t="shared" si="79"/>
        <v>0</v>
      </c>
    </row>
    <row r="974" spans="1:22" x14ac:dyDescent="0.25">
      <c r="A974">
        <v>971</v>
      </c>
      <c r="B974" t="s">
        <v>14</v>
      </c>
      <c r="C974" t="s">
        <v>523</v>
      </c>
      <c r="D974" s="4">
        <v>45668</v>
      </c>
      <c r="E974" t="s">
        <v>628</v>
      </c>
      <c r="F974" t="s">
        <v>75</v>
      </c>
      <c r="I974" s="6">
        <v>1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>
        <v>1</v>
      </c>
      <c r="R974">
        <f t="shared" si="75"/>
        <v>0</v>
      </c>
      <c r="S974">
        <f t="shared" si="76"/>
        <v>1</v>
      </c>
      <c r="T974">
        <f t="shared" si="77"/>
        <v>1</v>
      </c>
      <c r="U974">
        <f t="shared" si="78"/>
        <v>1</v>
      </c>
      <c r="V974">
        <f t="shared" si="79"/>
        <v>0</v>
      </c>
    </row>
    <row r="975" spans="1:22" x14ac:dyDescent="0.25">
      <c r="A975">
        <v>972</v>
      </c>
      <c r="B975" t="s">
        <v>14</v>
      </c>
      <c r="C975" t="s">
        <v>523</v>
      </c>
      <c r="D975" s="4">
        <v>45668</v>
      </c>
      <c r="E975" t="s">
        <v>629</v>
      </c>
      <c r="F975" t="s">
        <v>413</v>
      </c>
      <c r="G975">
        <v>29</v>
      </c>
      <c r="I975" s="6">
        <v>0</v>
      </c>
      <c r="J975" s="6">
        <v>0</v>
      </c>
      <c r="K975" s="6">
        <v>1</v>
      </c>
      <c r="L975" s="6">
        <v>0</v>
      </c>
      <c r="M975" s="6">
        <v>1</v>
      </c>
      <c r="N975" s="6">
        <v>0</v>
      </c>
      <c r="O975" s="6">
        <v>0</v>
      </c>
      <c r="P975" s="6">
        <v>0</v>
      </c>
      <c r="Q975">
        <v>1</v>
      </c>
      <c r="R975">
        <f t="shared" si="75"/>
        <v>1</v>
      </c>
      <c r="S975">
        <f t="shared" si="76"/>
        <v>0</v>
      </c>
      <c r="T975">
        <f t="shared" si="77"/>
        <v>2</v>
      </c>
      <c r="U975">
        <f t="shared" si="78"/>
        <v>1</v>
      </c>
      <c r="V975">
        <f t="shared" si="79"/>
        <v>1</v>
      </c>
    </row>
    <row r="976" spans="1:22" x14ac:dyDescent="0.25">
      <c r="A976">
        <v>973</v>
      </c>
      <c r="B976" t="s">
        <v>14</v>
      </c>
      <c r="C976" t="s">
        <v>523</v>
      </c>
      <c r="D976" s="4">
        <v>45669</v>
      </c>
      <c r="E976" t="s">
        <v>630</v>
      </c>
      <c r="F976" t="s">
        <v>75</v>
      </c>
      <c r="I976" s="6">
        <v>1</v>
      </c>
      <c r="J976" s="6">
        <v>0</v>
      </c>
      <c r="K976" s="6">
        <v>0</v>
      </c>
      <c r="L976" s="6">
        <v>0</v>
      </c>
      <c r="M976" s="6">
        <v>1</v>
      </c>
      <c r="N976" s="6">
        <v>0</v>
      </c>
      <c r="O976" s="6">
        <v>0</v>
      </c>
      <c r="P976" s="6">
        <v>0</v>
      </c>
      <c r="Q976">
        <v>1</v>
      </c>
      <c r="R976">
        <f t="shared" si="75"/>
        <v>0</v>
      </c>
      <c r="S976">
        <f t="shared" si="76"/>
        <v>1</v>
      </c>
      <c r="T976">
        <f t="shared" si="77"/>
        <v>2</v>
      </c>
      <c r="U976">
        <f t="shared" si="78"/>
        <v>1</v>
      </c>
      <c r="V976">
        <f t="shared" si="79"/>
        <v>0</v>
      </c>
    </row>
    <row r="977" spans="1:22" x14ac:dyDescent="0.25">
      <c r="A977">
        <v>974</v>
      </c>
      <c r="B977" t="s">
        <v>14</v>
      </c>
      <c r="C977" t="s">
        <v>523</v>
      </c>
      <c r="D977" s="4">
        <v>45669</v>
      </c>
      <c r="E977" t="s">
        <v>631</v>
      </c>
      <c r="F977" t="s">
        <v>413</v>
      </c>
      <c r="G977">
        <v>30</v>
      </c>
      <c r="H977" t="s">
        <v>632</v>
      </c>
      <c r="I977" s="6">
        <v>0</v>
      </c>
      <c r="J977" s="6">
        <v>0</v>
      </c>
      <c r="K977" s="6">
        <v>0</v>
      </c>
      <c r="L977" s="6">
        <v>0</v>
      </c>
      <c r="M977" s="6">
        <v>1</v>
      </c>
      <c r="N977" s="6">
        <v>1</v>
      </c>
      <c r="O977" s="6">
        <v>0</v>
      </c>
      <c r="P977" s="6">
        <v>0</v>
      </c>
      <c r="Q977">
        <v>1</v>
      </c>
      <c r="R977">
        <f t="shared" si="75"/>
        <v>1</v>
      </c>
      <c r="S977">
        <f t="shared" si="76"/>
        <v>0</v>
      </c>
      <c r="T977">
        <f t="shared" si="77"/>
        <v>2</v>
      </c>
      <c r="U977">
        <f t="shared" si="78"/>
        <v>1</v>
      </c>
      <c r="V977">
        <f t="shared" si="79"/>
        <v>1</v>
      </c>
    </row>
    <row r="978" spans="1:22" x14ac:dyDescent="0.25">
      <c r="A978">
        <v>975</v>
      </c>
      <c r="B978" t="s">
        <v>14</v>
      </c>
      <c r="C978" t="s">
        <v>523</v>
      </c>
      <c r="D978" s="4">
        <v>45670</v>
      </c>
      <c r="E978" t="s">
        <v>633</v>
      </c>
      <c r="F978" t="s">
        <v>413</v>
      </c>
      <c r="G978">
        <v>31</v>
      </c>
      <c r="I978" s="6">
        <v>0</v>
      </c>
      <c r="J978" s="6">
        <v>0</v>
      </c>
      <c r="K978" s="6">
        <v>0</v>
      </c>
      <c r="L978" s="6">
        <v>0</v>
      </c>
      <c r="M978" s="6">
        <v>1</v>
      </c>
      <c r="N978" s="6">
        <v>1</v>
      </c>
      <c r="O978" s="6">
        <v>0</v>
      </c>
      <c r="P978" s="6">
        <v>0</v>
      </c>
      <c r="Q978">
        <v>1</v>
      </c>
      <c r="R978">
        <f t="shared" si="75"/>
        <v>1</v>
      </c>
      <c r="S978">
        <f t="shared" si="76"/>
        <v>0</v>
      </c>
      <c r="T978">
        <f t="shared" si="77"/>
        <v>2</v>
      </c>
      <c r="U978">
        <f t="shared" si="78"/>
        <v>1</v>
      </c>
      <c r="V978">
        <f t="shared" si="79"/>
        <v>1</v>
      </c>
    </row>
    <row r="979" spans="1:22" x14ac:dyDescent="0.25">
      <c r="A979">
        <v>976</v>
      </c>
      <c r="B979" t="s">
        <v>14</v>
      </c>
      <c r="C979" t="s">
        <v>523</v>
      </c>
      <c r="D979" s="4">
        <v>45670</v>
      </c>
      <c r="E979" t="s">
        <v>74</v>
      </c>
      <c r="F979" t="s">
        <v>413</v>
      </c>
      <c r="G979">
        <v>32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1</v>
      </c>
      <c r="P979" s="6">
        <v>0</v>
      </c>
      <c r="Q979">
        <v>1</v>
      </c>
      <c r="R979">
        <f t="shared" si="75"/>
        <v>1</v>
      </c>
      <c r="S979">
        <f t="shared" si="76"/>
        <v>0</v>
      </c>
      <c r="T979">
        <f t="shared" si="77"/>
        <v>1</v>
      </c>
      <c r="U979">
        <f t="shared" si="78"/>
        <v>1</v>
      </c>
      <c r="V979">
        <f t="shared" si="79"/>
        <v>1</v>
      </c>
    </row>
    <row r="980" spans="1:22" x14ac:dyDescent="0.25">
      <c r="A980">
        <v>977</v>
      </c>
      <c r="B980" t="s">
        <v>14</v>
      </c>
      <c r="C980" t="s">
        <v>523</v>
      </c>
      <c r="D980" s="4">
        <v>45671</v>
      </c>
      <c r="E980" t="s">
        <v>76</v>
      </c>
      <c r="F980" t="s">
        <v>75</v>
      </c>
      <c r="I980" s="6">
        <v>0</v>
      </c>
      <c r="J980" s="6">
        <v>0</v>
      </c>
      <c r="K980" s="6">
        <v>0</v>
      </c>
      <c r="L980" s="6">
        <v>0</v>
      </c>
      <c r="M980" s="6">
        <v>1</v>
      </c>
      <c r="N980" s="6">
        <v>1</v>
      </c>
      <c r="O980" s="6">
        <v>0</v>
      </c>
      <c r="P980" s="6">
        <v>0</v>
      </c>
      <c r="Q980">
        <v>1</v>
      </c>
      <c r="R980">
        <f t="shared" si="75"/>
        <v>0</v>
      </c>
      <c r="S980">
        <f t="shared" si="76"/>
        <v>1</v>
      </c>
      <c r="T980">
        <f t="shared" si="77"/>
        <v>2</v>
      </c>
      <c r="U980">
        <f t="shared" si="78"/>
        <v>1</v>
      </c>
      <c r="V980">
        <f t="shared" si="79"/>
        <v>0</v>
      </c>
    </row>
    <row r="981" spans="1:22" x14ac:dyDescent="0.25">
      <c r="A981">
        <v>978</v>
      </c>
      <c r="B981" t="s">
        <v>14</v>
      </c>
      <c r="C981" t="s">
        <v>523</v>
      </c>
      <c r="D981" s="4">
        <v>45671</v>
      </c>
      <c r="E981" t="s">
        <v>77</v>
      </c>
      <c r="F981" t="s">
        <v>413</v>
      </c>
      <c r="G981">
        <v>33</v>
      </c>
      <c r="I981" s="6">
        <v>0</v>
      </c>
      <c r="J981" s="6">
        <v>0</v>
      </c>
      <c r="K981" s="6">
        <v>0</v>
      </c>
      <c r="L981" s="6">
        <v>0</v>
      </c>
      <c r="M981" s="6">
        <v>1</v>
      </c>
      <c r="N981" s="6">
        <v>0</v>
      </c>
      <c r="O981" s="6">
        <v>0</v>
      </c>
      <c r="P981" s="6">
        <v>0</v>
      </c>
      <c r="Q981">
        <v>1</v>
      </c>
      <c r="R981">
        <f t="shared" si="75"/>
        <v>1</v>
      </c>
      <c r="S981">
        <f t="shared" si="76"/>
        <v>0</v>
      </c>
      <c r="T981">
        <f t="shared" si="77"/>
        <v>1</v>
      </c>
      <c r="U981">
        <f t="shared" si="78"/>
        <v>1</v>
      </c>
      <c r="V981">
        <f t="shared" si="79"/>
        <v>1</v>
      </c>
    </row>
    <row r="982" spans="1:22" x14ac:dyDescent="0.25">
      <c r="A982">
        <v>979</v>
      </c>
      <c r="B982" t="s">
        <v>14</v>
      </c>
      <c r="C982" t="s">
        <v>523</v>
      </c>
      <c r="D982" s="4">
        <v>45671</v>
      </c>
      <c r="E982" t="s">
        <v>634</v>
      </c>
      <c r="F982" t="s">
        <v>75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>
        <v>1</v>
      </c>
      <c r="R982">
        <f t="shared" si="75"/>
        <v>0</v>
      </c>
      <c r="S982">
        <f t="shared" si="76"/>
        <v>1</v>
      </c>
      <c r="T982">
        <f t="shared" si="77"/>
        <v>0</v>
      </c>
      <c r="U982">
        <f t="shared" si="78"/>
        <v>0</v>
      </c>
      <c r="V982">
        <f t="shared" si="79"/>
        <v>0</v>
      </c>
    </row>
    <row r="983" spans="1:22" x14ac:dyDescent="0.25">
      <c r="A983">
        <v>980</v>
      </c>
      <c r="B983" t="s">
        <v>14</v>
      </c>
      <c r="C983" t="s">
        <v>523</v>
      </c>
      <c r="D983" s="4">
        <v>45672</v>
      </c>
      <c r="E983" t="s">
        <v>635</v>
      </c>
      <c r="F983" t="s">
        <v>413</v>
      </c>
      <c r="G983">
        <v>34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1</v>
      </c>
      <c r="P983" s="6">
        <v>0</v>
      </c>
      <c r="Q983">
        <v>1</v>
      </c>
      <c r="R983">
        <f t="shared" si="75"/>
        <v>1</v>
      </c>
      <c r="S983">
        <f t="shared" si="76"/>
        <v>0</v>
      </c>
      <c r="T983">
        <f t="shared" si="77"/>
        <v>1</v>
      </c>
      <c r="U983">
        <f t="shared" si="78"/>
        <v>1</v>
      </c>
      <c r="V983">
        <f t="shared" si="79"/>
        <v>1</v>
      </c>
    </row>
    <row r="984" spans="1:22" x14ac:dyDescent="0.25">
      <c r="A984">
        <v>981</v>
      </c>
      <c r="B984" t="s">
        <v>14</v>
      </c>
      <c r="C984" t="s">
        <v>523</v>
      </c>
      <c r="D984" s="4">
        <v>45672</v>
      </c>
      <c r="E984" t="s">
        <v>636</v>
      </c>
      <c r="F984" t="s">
        <v>75</v>
      </c>
      <c r="I984" s="6">
        <v>0</v>
      </c>
      <c r="J984" s="6">
        <v>0</v>
      </c>
      <c r="K984" s="6">
        <v>0</v>
      </c>
      <c r="L984" s="6">
        <v>0</v>
      </c>
      <c r="M984" s="6">
        <v>1</v>
      </c>
      <c r="N984" s="6">
        <v>1</v>
      </c>
      <c r="O984" s="6">
        <v>0</v>
      </c>
      <c r="P984" s="6">
        <v>0</v>
      </c>
      <c r="Q984">
        <v>1</v>
      </c>
      <c r="R984">
        <f t="shared" si="75"/>
        <v>0</v>
      </c>
      <c r="S984">
        <f t="shared" si="76"/>
        <v>1</v>
      </c>
      <c r="T984">
        <f t="shared" si="77"/>
        <v>2</v>
      </c>
      <c r="U984">
        <f t="shared" si="78"/>
        <v>1</v>
      </c>
      <c r="V984">
        <f t="shared" si="79"/>
        <v>0</v>
      </c>
    </row>
    <row r="985" spans="1:22" x14ac:dyDescent="0.25">
      <c r="A985">
        <v>982</v>
      </c>
      <c r="B985" t="s">
        <v>14</v>
      </c>
      <c r="C985" t="s">
        <v>523</v>
      </c>
      <c r="D985" s="4">
        <v>45672</v>
      </c>
      <c r="E985" t="s">
        <v>78</v>
      </c>
      <c r="F985" t="s">
        <v>413</v>
      </c>
      <c r="G985">
        <v>35</v>
      </c>
      <c r="I985" s="6">
        <v>0</v>
      </c>
      <c r="J985" s="6">
        <v>0</v>
      </c>
      <c r="K985" s="6">
        <v>0</v>
      </c>
      <c r="L985" s="6">
        <v>0</v>
      </c>
      <c r="M985" s="6">
        <v>1</v>
      </c>
      <c r="N985" s="6">
        <v>0</v>
      </c>
      <c r="O985" s="6">
        <v>0</v>
      </c>
      <c r="P985" s="6">
        <v>0</v>
      </c>
      <c r="Q985">
        <v>1</v>
      </c>
      <c r="R985">
        <f t="shared" si="75"/>
        <v>1</v>
      </c>
      <c r="S985">
        <f t="shared" si="76"/>
        <v>0</v>
      </c>
      <c r="T985">
        <f t="shared" si="77"/>
        <v>1</v>
      </c>
      <c r="U985">
        <f t="shared" si="78"/>
        <v>1</v>
      </c>
      <c r="V985">
        <f t="shared" si="79"/>
        <v>1</v>
      </c>
    </row>
    <row r="986" spans="1:22" x14ac:dyDescent="0.25">
      <c r="A986">
        <v>983</v>
      </c>
      <c r="B986" t="s">
        <v>14</v>
      </c>
      <c r="C986" t="s">
        <v>523</v>
      </c>
      <c r="D986" s="4">
        <v>45672</v>
      </c>
      <c r="E986" t="s">
        <v>637</v>
      </c>
      <c r="F986" t="s">
        <v>75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1</v>
      </c>
      <c r="P986" s="6">
        <v>0</v>
      </c>
      <c r="Q986">
        <v>1</v>
      </c>
      <c r="R986">
        <f t="shared" si="75"/>
        <v>0</v>
      </c>
      <c r="S986">
        <f t="shared" si="76"/>
        <v>1</v>
      </c>
      <c r="T986">
        <f t="shared" si="77"/>
        <v>1</v>
      </c>
      <c r="U986">
        <f t="shared" si="78"/>
        <v>1</v>
      </c>
      <c r="V986">
        <f t="shared" si="79"/>
        <v>0</v>
      </c>
    </row>
    <row r="987" spans="1:22" x14ac:dyDescent="0.25">
      <c r="A987">
        <v>984</v>
      </c>
      <c r="B987" t="s">
        <v>14</v>
      </c>
      <c r="C987" t="s">
        <v>523</v>
      </c>
      <c r="D987" s="4">
        <v>45673</v>
      </c>
      <c r="E987" t="s">
        <v>638</v>
      </c>
      <c r="F987" t="s">
        <v>75</v>
      </c>
      <c r="I987" s="6">
        <v>1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>
        <v>1</v>
      </c>
      <c r="R987">
        <f t="shared" si="75"/>
        <v>0</v>
      </c>
      <c r="S987">
        <f t="shared" si="76"/>
        <v>1</v>
      </c>
      <c r="T987">
        <f t="shared" si="77"/>
        <v>1</v>
      </c>
      <c r="U987">
        <f t="shared" si="78"/>
        <v>1</v>
      </c>
      <c r="V987">
        <f t="shared" si="79"/>
        <v>0</v>
      </c>
    </row>
    <row r="988" spans="1:22" x14ac:dyDescent="0.25">
      <c r="A988">
        <v>985</v>
      </c>
      <c r="B988" t="s">
        <v>14</v>
      </c>
      <c r="C988" t="s">
        <v>523</v>
      </c>
      <c r="D988" s="4">
        <v>45673</v>
      </c>
      <c r="E988" t="s">
        <v>639</v>
      </c>
      <c r="F988" t="s">
        <v>413</v>
      </c>
      <c r="G988">
        <v>36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1</v>
      </c>
      <c r="P988" s="6">
        <v>0</v>
      </c>
      <c r="Q988">
        <v>1</v>
      </c>
      <c r="R988">
        <f t="shared" si="75"/>
        <v>1</v>
      </c>
      <c r="S988">
        <f t="shared" si="76"/>
        <v>0</v>
      </c>
      <c r="T988">
        <f t="shared" si="77"/>
        <v>1</v>
      </c>
      <c r="U988">
        <f t="shared" si="78"/>
        <v>1</v>
      </c>
      <c r="V988">
        <f t="shared" si="79"/>
        <v>1</v>
      </c>
    </row>
    <row r="989" spans="1:22" x14ac:dyDescent="0.25">
      <c r="A989">
        <v>986</v>
      </c>
      <c r="B989" t="s">
        <v>14</v>
      </c>
      <c r="C989" t="s">
        <v>523</v>
      </c>
      <c r="D989" s="4">
        <v>45673</v>
      </c>
      <c r="E989" t="s">
        <v>640</v>
      </c>
      <c r="F989" t="s">
        <v>413</v>
      </c>
      <c r="G989">
        <v>37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1</v>
      </c>
      <c r="Q989">
        <v>1</v>
      </c>
      <c r="R989">
        <f t="shared" si="75"/>
        <v>1</v>
      </c>
      <c r="S989">
        <f t="shared" si="76"/>
        <v>0</v>
      </c>
      <c r="T989">
        <f t="shared" si="77"/>
        <v>1</v>
      </c>
      <c r="U989">
        <f t="shared" si="78"/>
        <v>1</v>
      </c>
      <c r="V989">
        <f t="shared" si="79"/>
        <v>1</v>
      </c>
    </row>
    <row r="990" spans="1:22" x14ac:dyDescent="0.25">
      <c r="A990">
        <v>987</v>
      </c>
      <c r="B990" t="s">
        <v>14</v>
      </c>
      <c r="C990" t="s">
        <v>523</v>
      </c>
      <c r="D990" s="4">
        <v>45673</v>
      </c>
      <c r="E990" t="s">
        <v>79</v>
      </c>
      <c r="F990" t="s">
        <v>75</v>
      </c>
      <c r="I990" s="6">
        <v>1</v>
      </c>
      <c r="J990" s="6">
        <v>0</v>
      </c>
      <c r="K990" s="6">
        <v>1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>
        <v>1</v>
      </c>
      <c r="R990">
        <f t="shared" si="75"/>
        <v>0</v>
      </c>
      <c r="S990">
        <f t="shared" si="76"/>
        <v>1</v>
      </c>
      <c r="T990">
        <f t="shared" si="77"/>
        <v>2</v>
      </c>
      <c r="U990">
        <f t="shared" si="78"/>
        <v>1</v>
      </c>
      <c r="V990">
        <f t="shared" si="79"/>
        <v>0</v>
      </c>
    </row>
    <row r="991" spans="1:22" x14ac:dyDescent="0.25">
      <c r="A991">
        <v>988</v>
      </c>
      <c r="B991" t="s">
        <v>14</v>
      </c>
      <c r="C991" t="s">
        <v>523</v>
      </c>
      <c r="D991" s="4">
        <v>45674</v>
      </c>
      <c r="E991" t="s">
        <v>641</v>
      </c>
      <c r="F991" t="s">
        <v>75</v>
      </c>
      <c r="I991" s="6">
        <v>0</v>
      </c>
      <c r="J991" s="6">
        <v>0</v>
      </c>
      <c r="K991" s="6">
        <v>0</v>
      </c>
      <c r="L991" s="6">
        <v>0</v>
      </c>
      <c r="M991" s="6">
        <v>1</v>
      </c>
      <c r="N991" s="6">
        <v>1</v>
      </c>
      <c r="O991" s="6">
        <v>0</v>
      </c>
      <c r="P991" s="6">
        <v>0</v>
      </c>
      <c r="Q991">
        <v>1</v>
      </c>
      <c r="R991">
        <f t="shared" si="75"/>
        <v>0</v>
      </c>
      <c r="S991">
        <f t="shared" si="76"/>
        <v>1</v>
      </c>
      <c r="T991">
        <f t="shared" si="77"/>
        <v>2</v>
      </c>
      <c r="U991">
        <f t="shared" si="78"/>
        <v>1</v>
      </c>
      <c r="V991">
        <f t="shared" si="79"/>
        <v>0</v>
      </c>
    </row>
    <row r="992" spans="1:22" x14ac:dyDescent="0.25">
      <c r="A992">
        <v>989</v>
      </c>
      <c r="B992" t="s">
        <v>14</v>
      </c>
      <c r="C992" t="s">
        <v>523</v>
      </c>
      <c r="D992" s="4">
        <v>45674</v>
      </c>
      <c r="E992" t="s">
        <v>642</v>
      </c>
      <c r="F992" t="s">
        <v>413</v>
      </c>
      <c r="G992">
        <v>38</v>
      </c>
      <c r="I992" s="6">
        <v>0</v>
      </c>
      <c r="J992" s="6">
        <v>0</v>
      </c>
      <c r="K992" s="6">
        <v>0</v>
      </c>
      <c r="L992" s="6">
        <v>0</v>
      </c>
      <c r="M992" s="6">
        <v>1</v>
      </c>
      <c r="N992" s="6">
        <v>0</v>
      </c>
      <c r="O992" s="6">
        <v>0</v>
      </c>
      <c r="P992" s="6">
        <v>0</v>
      </c>
      <c r="Q992">
        <v>1</v>
      </c>
      <c r="R992">
        <f t="shared" si="75"/>
        <v>1</v>
      </c>
      <c r="S992">
        <f t="shared" si="76"/>
        <v>0</v>
      </c>
      <c r="T992">
        <f t="shared" si="77"/>
        <v>1</v>
      </c>
      <c r="U992">
        <f t="shared" si="78"/>
        <v>1</v>
      </c>
      <c r="V992">
        <f t="shared" si="79"/>
        <v>1</v>
      </c>
    </row>
    <row r="993" spans="1:22" x14ac:dyDescent="0.25">
      <c r="A993">
        <v>990</v>
      </c>
      <c r="B993" t="s">
        <v>14</v>
      </c>
      <c r="C993" t="s">
        <v>523</v>
      </c>
      <c r="D993" s="4">
        <v>45675</v>
      </c>
      <c r="E993" t="s">
        <v>643</v>
      </c>
      <c r="F993" t="s">
        <v>75</v>
      </c>
      <c r="I993" s="6">
        <v>1</v>
      </c>
      <c r="J993" s="6">
        <v>0</v>
      </c>
      <c r="K993" s="6">
        <v>0</v>
      </c>
      <c r="L993" s="6">
        <v>1</v>
      </c>
      <c r="M993" s="6">
        <v>0</v>
      </c>
      <c r="N993" s="6">
        <v>0</v>
      </c>
      <c r="O993" s="6">
        <v>0</v>
      </c>
      <c r="P993" s="6">
        <v>0</v>
      </c>
      <c r="Q993">
        <v>1</v>
      </c>
      <c r="R993">
        <f t="shared" si="75"/>
        <v>0</v>
      </c>
      <c r="S993">
        <f t="shared" si="76"/>
        <v>1</v>
      </c>
      <c r="T993">
        <f t="shared" si="77"/>
        <v>2</v>
      </c>
      <c r="U993">
        <f t="shared" si="78"/>
        <v>1</v>
      </c>
      <c r="V993">
        <f t="shared" si="79"/>
        <v>0</v>
      </c>
    </row>
    <row r="994" spans="1:22" x14ac:dyDescent="0.25">
      <c r="A994">
        <v>991</v>
      </c>
      <c r="B994" t="s">
        <v>14</v>
      </c>
      <c r="C994" t="s">
        <v>523</v>
      </c>
      <c r="D994" s="4">
        <v>45676</v>
      </c>
      <c r="E994" t="s">
        <v>644</v>
      </c>
      <c r="F994" t="s">
        <v>75</v>
      </c>
      <c r="I994" s="6">
        <v>0</v>
      </c>
      <c r="J994" s="6">
        <v>0</v>
      </c>
      <c r="K994" s="6">
        <v>0</v>
      </c>
      <c r="L994" s="6">
        <v>1</v>
      </c>
      <c r="M994" s="6">
        <v>1</v>
      </c>
      <c r="N994" s="6">
        <v>0</v>
      </c>
      <c r="O994" s="6">
        <v>0</v>
      </c>
      <c r="P994" s="6">
        <v>0</v>
      </c>
      <c r="Q994">
        <v>1</v>
      </c>
      <c r="R994">
        <f t="shared" si="75"/>
        <v>0</v>
      </c>
      <c r="S994">
        <f t="shared" si="76"/>
        <v>1</v>
      </c>
      <c r="T994">
        <f t="shared" si="77"/>
        <v>2</v>
      </c>
      <c r="U994">
        <f t="shared" si="78"/>
        <v>1</v>
      </c>
      <c r="V994">
        <f t="shared" si="79"/>
        <v>0</v>
      </c>
    </row>
    <row r="995" spans="1:22" x14ac:dyDescent="0.25">
      <c r="A995">
        <v>992</v>
      </c>
      <c r="B995" t="s">
        <v>14</v>
      </c>
      <c r="C995" t="s">
        <v>523</v>
      </c>
      <c r="D995" s="4">
        <v>45677</v>
      </c>
      <c r="E995" t="s">
        <v>82</v>
      </c>
      <c r="F995" t="s">
        <v>75</v>
      </c>
      <c r="I995" s="6">
        <v>1</v>
      </c>
      <c r="J995" s="6">
        <v>0</v>
      </c>
      <c r="K995" s="6">
        <v>0</v>
      </c>
      <c r="L995" s="6">
        <v>0</v>
      </c>
      <c r="M995" s="6">
        <v>1</v>
      </c>
      <c r="N995" s="6">
        <v>0</v>
      </c>
      <c r="O995" s="6">
        <v>0</v>
      </c>
      <c r="P995" s="6">
        <v>0</v>
      </c>
      <c r="Q995">
        <v>1</v>
      </c>
      <c r="R995">
        <f t="shared" si="75"/>
        <v>0</v>
      </c>
      <c r="S995">
        <f t="shared" si="76"/>
        <v>1</v>
      </c>
      <c r="T995">
        <f t="shared" si="77"/>
        <v>2</v>
      </c>
      <c r="U995">
        <f t="shared" si="78"/>
        <v>1</v>
      </c>
      <c r="V995">
        <f t="shared" si="79"/>
        <v>0</v>
      </c>
    </row>
    <row r="996" spans="1:22" x14ac:dyDescent="0.25">
      <c r="A996">
        <v>993</v>
      </c>
      <c r="B996" t="s">
        <v>14</v>
      </c>
      <c r="C996" t="s">
        <v>523</v>
      </c>
      <c r="D996" s="4">
        <v>45677</v>
      </c>
      <c r="E996" t="s">
        <v>83</v>
      </c>
      <c r="F996" t="s">
        <v>413</v>
      </c>
      <c r="G996">
        <v>39</v>
      </c>
      <c r="I996" s="6">
        <v>1</v>
      </c>
      <c r="J996" s="6">
        <v>0</v>
      </c>
      <c r="K996" s="6">
        <v>1</v>
      </c>
      <c r="L996" s="6">
        <v>0</v>
      </c>
      <c r="M996" s="6">
        <v>1</v>
      </c>
      <c r="N996" s="6">
        <v>0</v>
      </c>
      <c r="O996" s="6">
        <v>0</v>
      </c>
      <c r="P996" s="6">
        <v>0</v>
      </c>
      <c r="Q996">
        <v>1</v>
      </c>
      <c r="R996">
        <f t="shared" si="75"/>
        <v>1</v>
      </c>
      <c r="S996">
        <f t="shared" si="76"/>
        <v>0</v>
      </c>
      <c r="T996">
        <f t="shared" si="77"/>
        <v>3</v>
      </c>
      <c r="U996">
        <f t="shared" si="78"/>
        <v>1</v>
      </c>
      <c r="V996">
        <f t="shared" si="79"/>
        <v>1</v>
      </c>
    </row>
    <row r="997" spans="1:22" x14ac:dyDescent="0.25">
      <c r="A997">
        <v>994</v>
      </c>
      <c r="B997" t="s">
        <v>14</v>
      </c>
      <c r="C997" t="s">
        <v>523</v>
      </c>
      <c r="D997" s="4">
        <v>45678</v>
      </c>
      <c r="E997" t="s">
        <v>645</v>
      </c>
      <c r="F997" t="s">
        <v>75</v>
      </c>
      <c r="H997" t="s">
        <v>646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1</v>
      </c>
      <c r="P997" s="6">
        <v>0</v>
      </c>
      <c r="Q997">
        <v>1</v>
      </c>
      <c r="R997">
        <f t="shared" si="75"/>
        <v>0</v>
      </c>
      <c r="S997">
        <f t="shared" si="76"/>
        <v>1</v>
      </c>
      <c r="T997">
        <f t="shared" si="77"/>
        <v>1</v>
      </c>
      <c r="U997">
        <f t="shared" si="78"/>
        <v>1</v>
      </c>
      <c r="V997">
        <f t="shared" si="79"/>
        <v>0</v>
      </c>
    </row>
    <row r="998" spans="1:22" x14ac:dyDescent="0.25">
      <c r="A998">
        <v>995</v>
      </c>
      <c r="B998" t="s">
        <v>14</v>
      </c>
      <c r="C998" t="s">
        <v>523</v>
      </c>
      <c r="D998" s="4">
        <v>45678</v>
      </c>
      <c r="E998" t="s">
        <v>647</v>
      </c>
      <c r="F998" t="s">
        <v>413</v>
      </c>
      <c r="G998">
        <v>40</v>
      </c>
      <c r="I998" s="6">
        <v>1</v>
      </c>
      <c r="J998" s="6">
        <v>0</v>
      </c>
      <c r="K998" s="6">
        <v>1</v>
      </c>
      <c r="L998" s="6">
        <v>0</v>
      </c>
      <c r="M998" s="6">
        <v>0</v>
      </c>
      <c r="N998" s="6">
        <v>1</v>
      </c>
      <c r="O998" s="6">
        <v>1</v>
      </c>
      <c r="P998" s="6">
        <v>0</v>
      </c>
      <c r="Q998">
        <v>1</v>
      </c>
      <c r="R998">
        <f t="shared" si="75"/>
        <v>1</v>
      </c>
      <c r="S998">
        <f t="shared" si="76"/>
        <v>0</v>
      </c>
      <c r="T998">
        <f t="shared" si="77"/>
        <v>4</v>
      </c>
      <c r="U998">
        <f t="shared" si="78"/>
        <v>1</v>
      </c>
      <c r="V998">
        <f t="shared" si="79"/>
        <v>1</v>
      </c>
    </row>
    <row r="999" spans="1:22" x14ac:dyDescent="0.25">
      <c r="A999">
        <v>996</v>
      </c>
      <c r="B999" t="s">
        <v>14</v>
      </c>
      <c r="C999" t="s">
        <v>523</v>
      </c>
      <c r="D999" s="4">
        <v>45678</v>
      </c>
      <c r="E999" t="s">
        <v>648</v>
      </c>
      <c r="F999" t="s">
        <v>413</v>
      </c>
      <c r="G999">
        <v>41</v>
      </c>
      <c r="I999" s="6">
        <v>1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>
        <v>1</v>
      </c>
      <c r="R999">
        <f t="shared" si="75"/>
        <v>1</v>
      </c>
      <c r="S999">
        <f t="shared" si="76"/>
        <v>0</v>
      </c>
      <c r="T999">
        <f t="shared" si="77"/>
        <v>1</v>
      </c>
      <c r="U999">
        <f t="shared" si="78"/>
        <v>1</v>
      </c>
      <c r="V999">
        <f t="shared" si="79"/>
        <v>1</v>
      </c>
    </row>
    <row r="1000" spans="1:22" x14ac:dyDescent="0.25">
      <c r="A1000">
        <v>997</v>
      </c>
      <c r="B1000" t="s">
        <v>14</v>
      </c>
      <c r="C1000" t="s">
        <v>523</v>
      </c>
      <c r="D1000" s="4">
        <v>45679</v>
      </c>
      <c r="E1000" t="s">
        <v>649</v>
      </c>
      <c r="F1000" t="s">
        <v>75</v>
      </c>
      <c r="H1000" t="s">
        <v>650</v>
      </c>
      <c r="I1000" s="6">
        <v>1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>
        <v>1</v>
      </c>
      <c r="R1000">
        <f t="shared" si="75"/>
        <v>0</v>
      </c>
      <c r="S1000">
        <f t="shared" si="76"/>
        <v>1</v>
      </c>
      <c r="T1000">
        <f t="shared" si="77"/>
        <v>1</v>
      </c>
      <c r="U1000">
        <f t="shared" si="78"/>
        <v>1</v>
      </c>
      <c r="V1000">
        <f t="shared" si="79"/>
        <v>0</v>
      </c>
    </row>
    <row r="1001" spans="1:22" x14ac:dyDescent="0.25">
      <c r="A1001">
        <v>998</v>
      </c>
      <c r="B1001" t="s">
        <v>14</v>
      </c>
      <c r="C1001" t="s">
        <v>523</v>
      </c>
      <c r="D1001" s="4">
        <v>45679</v>
      </c>
      <c r="E1001" t="s">
        <v>651</v>
      </c>
      <c r="F1001" t="s">
        <v>75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1</v>
      </c>
      <c r="P1001" s="6">
        <v>0</v>
      </c>
      <c r="Q1001">
        <v>1</v>
      </c>
      <c r="R1001">
        <f t="shared" si="75"/>
        <v>0</v>
      </c>
      <c r="S1001">
        <f t="shared" si="76"/>
        <v>1</v>
      </c>
      <c r="T1001">
        <f t="shared" si="77"/>
        <v>1</v>
      </c>
      <c r="U1001">
        <f t="shared" si="78"/>
        <v>1</v>
      </c>
      <c r="V1001">
        <f t="shared" si="79"/>
        <v>0</v>
      </c>
    </row>
    <row r="1002" spans="1:22" x14ac:dyDescent="0.25">
      <c r="A1002">
        <v>999</v>
      </c>
      <c r="B1002" t="s">
        <v>14</v>
      </c>
      <c r="C1002" t="s">
        <v>523</v>
      </c>
      <c r="D1002" s="4">
        <v>45680</v>
      </c>
      <c r="E1002" t="s">
        <v>86</v>
      </c>
      <c r="F1002" t="s">
        <v>75</v>
      </c>
      <c r="H1002" t="s">
        <v>652</v>
      </c>
      <c r="I1002" s="6">
        <v>0</v>
      </c>
      <c r="J1002" s="6">
        <v>0</v>
      </c>
      <c r="K1002" s="6">
        <v>0</v>
      </c>
      <c r="L1002" s="6">
        <v>0</v>
      </c>
      <c r="M1002" s="6">
        <v>1</v>
      </c>
      <c r="N1002" s="6">
        <v>1</v>
      </c>
      <c r="O1002" s="6">
        <v>0</v>
      </c>
      <c r="P1002" s="6">
        <v>0</v>
      </c>
      <c r="Q1002">
        <v>1</v>
      </c>
      <c r="R1002">
        <f t="shared" si="75"/>
        <v>0</v>
      </c>
      <c r="S1002">
        <f t="shared" si="76"/>
        <v>1</v>
      </c>
      <c r="T1002">
        <f t="shared" si="77"/>
        <v>2</v>
      </c>
      <c r="U1002">
        <f t="shared" si="78"/>
        <v>1</v>
      </c>
      <c r="V1002">
        <f t="shared" si="79"/>
        <v>0</v>
      </c>
    </row>
    <row r="1003" spans="1:22" x14ac:dyDescent="0.25">
      <c r="A1003">
        <v>1000</v>
      </c>
      <c r="B1003" t="s">
        <v>14</v>
      </c>
      <c r="C1003" t="s">
        <v>523</v>
      </c>
      <c r="D1003" s="4">
        <v>45680</v>
      </c>
      <c r="E1003" t="s">
        <v>653</v>
      </c>
      <c r="F1003" t="s">
        <v>75</v>
      </c>
      <c r="I1003" s="6">
        <v>1</v>
      </c>
      <c r="J1003" s="6">
        <v>0</v>
      </c>
      <c r="K1003" s="6">
        <v>1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>
        <v>1</v>
      </c>
      <c r="R1003">
        <f t="shared" si="75"/>
        <v>0</v>
      </c>
      <c r="S1003">
        <f t="shared" si="76"/>
        <v>1</v>
      </c>
      <c r="T1003">
        <f t="shared" si="77"/>
        <v>2</v>
      </c>
      <c r="U1003">
        <f t="shared" si="78"/>
        <v>1</v>
      </c>
      <c r="V1003">
        <f t="shared" si="79"/>
        <v>0</v>
      </c>
    </row>
    <row r="1004" spans="1:22" x14ac:dyDescent="0.25">
      <c r="A1004">
        <v>1001</v>
      </c>
      <c r="B1004" t="s">
        <v>14</v>
      </c>
      <c r="C1004" t="s">
        <v>523</v>
      </c>
      <c r="D1004" s="4">
        <v>45681</v>
      </c>
      <c r="E1004" t="s">
        <v>654</v>
      </c>
      <c r="F1004" t="s">
        <v>75</v>
      </c>
      <c r="H1004" t="s">
        <v>655</v>
      </c>
      <c r="I1004" s="6">
        <v>1</v>
      </c>
      <c r="J1004" s="6">
        <v>0</v>
      </c>
      <c r="K1004" s="6">
        <v>0</v>
      </c>
      <c r="L1004" s="6">
        <v>1</v>
      </c>
      <c r="M1004" s="6">
        <v>0</v>
      </c>
      <c r="N1004" s="6">
        <v>0</v>
      </c>
      <c r="O1004" s="6">
        <v>0</v>
      </c>
      <c r="P1004" s="6">
        <v>0</v>
      </c>
      <c r="Q1004">
        <v>1</v>
      </c>
      <c r="R1004">
        <f t="shared" si="75"/>
        <v>0</v>
      </c>
      <c r="S1004">
        <f t="shared" si="76"/>
        <v>1</v>
      </c>
      <c r="T1004">
        <f t="shared" si="77"/>
        <v>2</v>
      </c>
      <c r="U1004">
        <f t="shared" si="78"/>
        <v>1</v>
      </c>
      <c r="V1004">
        <f t="shared" si="79"/>
        <v>0</v>
      </c>
    </row>
    <row r="1005" spans="1:22" x14ac:dyDescent="0.25">
      <c r="A1005">
        <v>1002</v>
      </c>
      <c r="B1005" t="s">
        <v>14</v>
      </c>
      <c r="C1005" t="s">
        <v>523</v>
      </c>
      <c r="D1005" s="4">
        <v>45682</v>
      </c>
      <c r="E1005" t="s">
        <v>656</v>
      </c>
      <c r="F1005" t="s">
        <v>75</v>
      </c>
      <c r="H1005" t="s">
        <v>657</v>
      </c>
      <c r="I1005" s="6">
        <v>0</v>
      </c>
      <c r="J1005" s="6">
        <v>0</v>
      </c>
      <c r="K1005" s="6">
        <v>0</v>
      </c>
      <c r="L1005" s="6">
        <v>1</v>
      </c>
      <c r="M1005" s="6">
        <v>1</v>
      </c>
      <c r="N1005" s="6">
        <v>0</v>
      </c>
      <c r="O1005" s="6">
        <v>0</v>
      </c>
      <c r="P1005" s="6">
        <v>0</v>
      </c>
      <c r="Q1005">
        <v>1</v>
      </c>
      <c r="R1005">
        <f t="shared" si="75"/>
        <v>0</v>
      </c>
      <c r="S1005">
        <f t="shared" si="76"/>
        <v>1</v>
      </c>
      <c r="T1005">
        <f t="shared" si="77"/>
        <v>2</v>
      </c>
      <c r="U1005">
        <f t="shared" si="78"/>
        <v>1</v>
      </c>
      <c r="V1005">
        <f t="shared" si="79"/>
        <v>0</v>
      </c>
    </row>
    <row r="1006" spans="1:22" x14ac:dyDescent="0.25">
      <c r="A1006">
        <v>1003</v>
      </c>
      <c r="B1006" t="s">
        <v>14</v>
      </c>
      <c r="C1006" t="s">
        <v>523</v>
      </c>
      <c r="D1006" s="4">
        <v>45683</v>
      </c>
      <c r="E1006" t="s">
        <v>658</v>
      </c>
      <c r="F1006" t="s">
        <v>75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>
        <v>1</v>
      </c>
      <c r="R1006">
        <f t="shared" si="75"/>
        <v>0</v>
      </c>
      <c r="S1006">
        <f t="shared" si="76"/>
        <v>1</v>
      </c>
      <c r="T1006">
        <f t="shared" si="77"/>
        <v>0</v>
      </c>
      <c r="U1006">
        <f t="shared" si="78"/>
        <v>0</v>
      </c>
      <c r="V1006">
        <f t="shared" si="79"/>
        <v>0</v>
      </c>
    </row>
    <row r="1007" spans="1:22" x14ac:dyDescent="0.25">
      <c r="A1007">
        <v>1004</v>
      </c>
      <c r="B1007" t="s">
        <v>14</v>
      </c>
      <c r="C1007" t="s">
        <v>523</v>
      </c>
      <c r="D1007" s="4">
        <v>45683</v>
      </c>
      <c r="E1007" t="s">
        <v>88</v>
      </c>
      <c r="F1007" t="s">
        <v>75</v>
      </c>
      <c r="H1007" t="s">
        <v>659</v>
      </c>
      <c r="I1007" s="6">
        <v>1</v>
      </c>
      <c r="J1007" s="6">
        <v>0</v>
      </c>
      <c r="K1007" s="6">
        <v>0</v>
      </c>
      <c r="L1007" s="6">
        <v>0</v>
      </c>
      <c r="M1007" s="6">
        <v>1</v>
      </c>
      <c r="N1007" s="6">
        <v>0</v>
      </c>
      <c r="O1007" s="6">
        <v>0</v>
      </c>
      <c r="P1007" s="6">
        <v>0</v>
      </c>
      <c r="Q1007">
        <v>1</v>
      </c>
      <c r="R1007">
        <f t="shared" si="75"/>
        <v>0</v>
      </c>
      <c r="S1007">
        <f t="shared" si="76"/>
        <v>1</v>
      </c>
      <c r="T1007">
        <f t="shared" si="77"/>
        <v>2</v>
      </c>
      <c r="U1007">
        <f t="shared" si="78"/>
        <v>1</v>
      </c>
      <c r="V1007">
        <f t="shared" si="79"/>
        <v>0</v>
      </c>
    </row>
    <row r="1008" spans="1:22" x14ac:dyDescent="0.25">
      <c r="A1008">
        <v>1005</v>
      </c>
      <c r="B1008" t="s">
        <v>14</v>
      </c>
      <c r="C1008" t="s">
        <v>523</v>
      </c>
      <c r="D1008" s="4">
        <v>45683</v>
      </c>
      <c r="E1008" t="s">
        <v>89</v>
      </c>
      <c r="F1008" t="s">
        <v>75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>
        <v>1</v>
      </c>
      <c r="R1008">
        <f t="shared" si="75"/>
        <v>0</v>
      </c>
      <c r="S1008">
        <f t="shared" si="76"/>
        <v>1</v>
      </c>
      <c r="T1008">
        <f t="shared" si="77"/>
        <v>0</v>
      </c>
      <c r="U1008">
        <f t="shared" si="78"/>
        <v>0</v>
      </c>
      <c r="V1008">
        <f t="shared" si="79"/>
        <v>0</v>
      </c>
    </row>
    <row r="1009" spans="1:22" x14ac:dyDescent="0.25">
      <c r="A1009">
        <v>1006</v>
      </c>
      <c r="B1009" t="s">
        <v>14</v>
      </c>
      <c r="C1009" t="s">
        <v>523</v>
      </c>
      <c r="D1009" s="4">
        <v>45684</v>
      </c>
      <c r="E1009" t="s">
        <v>660</v>
      </c>
      <c r="F1009" t="s">
        <v>413</v>
      </c>
      <c r="G1009">
        <v>42</v>
      </c>
      <c r="H1009" t="s">
        <v>661</v>
      </c>
      <c r="I1009" s="6">
        <v>1</v>
      </c>
      <c r="J1009" s="6">
        <v>0</v>
      </c>
      <c r="K1009" s="6">
        <v>0</v>
      </c>
      <c r="L1009" s="6">
        <v>0</v>
      </c>
      <c r="M1009" s="6">
        <v>1</v>
      </c>
      <c r="N1009" s="6">
        <v>0</v>
      </c>
      <c r="O1009" s="6">
        <v>0</v>
      </c>
      <c r="P1009" s="6">
        <v>0</v>
      </c>
      <c r="Q1009">
        <v>1</v>
      </c>
      <c r="R1009">
        <f t="shared" si="75"/>
        <v>1</v>
      </c>
      <c r="S1009">
        <f t="shared" si="76"/>
        <v>0</v>
      </c>
      <c r="T1009">
        <f t="shared" si="77"/>
        <v>2</v>
      </c>
      <c r="U1009">
        <f t="shared" si="78"/>
        <v>1</v>
      </c>
      <c r="V1009">
        <f t="shared" si="79"/>
        <v>1</v>
      </c>
    </row>
    <row r="1010" spans="1:22" x14ac:dyDescent="0.25">
      <c r="A1010">
        <v>1007</v>
      </c>
      <c r="B1010" t="s">
        <v>14</v>
      </c>
      <c r="C1010" t="s">
        <v>523</v>
      </c>
      <c r="D1010" s="4">
        <v>45684</v>
      </c>
      <c r="E1010" t="s">
        <v>662</v>
      </c>
      <c r="F1010" t="s">
        <v>75</v>
      </c>
      <c r="I1010" s="6">
        <v>1</v>
      </c>
      <c r="J1010" s="6">
        <v>0</v>
      </c>
      <c r="K1010" s="6">
        <v>1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>
        <v>1</v>
      </c>
      <c r="R1010">
        <f t="shared" si="75"/>
        <v>0</v>
      </c>
      <c r="S1010">
        <f t="shared" si="76"/>
        <v>1</v>
      </c>
      <c r="T1010">
        <f t="shared" si="77"/>
        <v>2</v>
      </c>
      <c r="U1010">
        <f t="shared" si="78"/>
        <v>1</v>
      </c>
      <c r="V1010">
        <f t="shared" si="79"/>
        <v>0</v>
      </c>
    </row>
    <row r="1011" spans="1:22" x14ac:dyDescent="0.25">
      <c r="A1011">
        <v>1008</v>
      </c>
      <c r="B1011" t="s">
        <v>14</v>
      </c>
      <c r="C1011" t="s">
        <v>523</v>
      </c>
      <c r="D1011" s="4">
        <v>45685</v>
      </c>
      <c r="E1011" t="s">
        <v>663</v>
      </c>
      <c r="F1011" t="s">
        <v>75</v>
      </c>
      <c r="H1011" t="s">
        <v>664</v>
      </c>
      <c r="I1011" s="6">
        <v>0</v>
      </c>
      <c r="J1011" s="6">
        <v>0</v>
      </c>
      <c r="K1011" s="6">
        <v>0</v>
      </c>
      <c r="L1011" s="6">
        <v>0</v>
      </c>
      <c r="M1011" s="6">
        <v>1</v>
      </c>
      <c r="N1011" s="6">
        <v>1</v>
      </c>
      <c r="O1011" s="6">
        <v>0</v>
      </c>
      <c r="P1011" s="6">
        <v>0</v>
      </c>
      <c r="Q1011">
        <v>1</v>
      </c>
      <c r="R1011">
        <f t="shared" si="75"/>
        <v>0</v>
      </c>
      <c r="S1011">
        <f t="shared" si="76"/>
        <v>1</v>
      </c>
      <c r="T1011">
        <f t="shared" si="77"/>
        <v>2</v>
      </c>
      <c r="U1011">
        <f t="shared" si="78"/>
        <v>1</v>
      </c>
      <c r="V1011">
        <f t="shared" si="79"/>
        <v>0</v>
      </c>
    </row>
    <row r="1012" spans="1:22" x14ac:dyDescent="0.25">
      <c r="A1012">
        <v>1009</v>
      </c>
      <c r="B1012" t="s">
        <v>14</v>
      </c>
      <c r="C1012" t="s">
        <v>523</v>
      </c>
      <c r="D1012" s="4">
        <v>45686</v>
      </c>
      <c r="E1012" t="s">
        <v>665</v>
      </c>
      <c r="F1012" t="s">
        <v>413</v>
      </c>
      <c r="G1012">
        <v>43</v>
      </c>
      <c r="H1012" t="s">
        <v>666</v>
      </c>
      <c r="I1012" s="6">
        <v>1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>
        <v>1</v>
      </c>
      <c r="R1012">
        <f t="shared" si="75"/>
        <v>1</v>
      </c>
      <c r="S1012">
        <f t="shared" si="76"/>
        <v>0</v>
      </c>
      <c r="T1012">
        <f t="shared" si="77"/>
        <v>1</v>
      </c>
      <c r="U1012">
        <f t="shared" si="78"/>
        <v>1</v>
      </c>
      <c r="V1012">
        <f t="shared" si="79"/>
        <v>1</v>
      </c>
    </row>
    <row r="1013" spans="1:22" x14ac:dyDescent="0.25">
      <c r="A1013">
        <v>1010</v>
      </c>
      <c r="B1013" t="s">
        <v>14</v>
      </c>
      <c r="C1013" t="s">
        <v>523</v>
      </c>
      <c r="D1013" s="4">
        <v>45687</v>
      </c>
      <c r="E1013" t="s">
        <v>667</v>
      </c>
      <c r="F1013" t="s">
        <v>413</v>
      </c>
      <c r="G1013">
        <v>44</v>
      </c>
      <c r="I1013" s="6">
        <v>0</v>
      </c>
      <c r="J1013" s="6">
        <v>0</v>
      </c>
      <c r="K1013" s="6">
        <v>0</v>
      </c>
      <c r="L1013" s="6">
        <v>0</v>
      </c>
      <c r="M1013" s="6">
        <v>1</v>
      </c>
      <c r="N1013" s="6">
        <v>0</v>
      </c>
      <c r="O1013" s="6">
        <v>0</v>
      </c>
      <c r="P1013" s="6">
        <v>0</v>
      </c>
      <c r="Q1013">
        <v>1</v>
      </c>
      <c r="R1013">
        <f t="shared" si="75"/>
        <v>1</v>
      </c>
      <c r="S1013">
        <f t="shared" si="76"/>
        <v>0</v>
      </c>
      <c r="T1013">
        <f t="shared" si="77"/>
        <v>1</v>
      </c>
      <c r="U1013">
        <f t="shared" si="78"/>
        <v>1</v>
      </c>
      <c r="V1013">
        <f t="shared" si="79"/>
        <v>1</v>
      </c>
    </row>
    <row r="1014" spans="1:22" x14ac:dyDescent="0.25">
      <c r="A1014">
        <v>1011</v>
      </c>
      <c r="B1014" t="s">
        <v>14</v>
      </c>
      <c r="C1014" t="s">
        <v>523</v>
      </c>
      <c r="D1014" s="4">
        <v>45691</v>
      </c>
      <c r="E1014" t="s">
        <v>103</v>
      </c>
      <c r="F1014" t="s">
        <v>75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1</v>
      </c>
      <c r="Q1014">
        <v>1</v>
      </c>
      <c r="R1014">
        <f t="shared" si="75"/>
        <v>0</v>
      </c>
      <c r="S1014">
        <f t="shared" si="76"/>
        <v>1</v>
      </c>
      <c r="T1014">
        <f t="shared" si="77"/>
        <v>1</v>
      </c>
      <c r="U1014">
        <f t="shared" si="78"/>
        <v>1</v>
      </c>
      <c r="V1014">
        <f t="shared" si="79"/>
        <v>0</v>
      </c>
    </row>
    <row r="1015" spans="1:22" x14ac:dyDescent="0.25">
      <c r="A1015">
        <v>1012</v>
      </c>
      <c r="B1015" t="s">
        <v>14</v>
      </c>
      <c r="C1015" t="s">
        <v>523</v>
      </c>
      <c r="D1015" s="4">
        <v>45691</v>
      </c>
      <c r="E1015" t="s">
        <v>104</v>
      </c>
      <c r="F1015" t="s">
        <v>75</v>
      </c>
      <c r="I1015" s="6">
        <v>0</v>
      </c>
      <c r="J1015" s="6">
        <v>0</v>
      </c>
      <c r="K1015" s="6">
        <v>0</v>
      </c>
      <c r="L1015" s="6">
        <v>0</v>
      </c>
      <c r="M1015" s="6">
        <v>1</v>
      </c>
      <c r="N1015" s="6">
        <v>1</v>
      </c>
      <c r="O1015" s="6">
        <v>0</v>
      </c>
      <c r="P1015" s="6">
        <v>0</v>
      </c>
      <c r="Q1015">
        <v>1</v>
      </c>
      <c r="R1015">
        <f t="shared" si="75"/>
        <v>0</v>
      </c>
      <c r="S1015">
        <f t="shared" si="76"/>
        <v>1</v>
      </c>
      <c r="T1015">
        <f t="shared" si="77"/>
        <v>2</v>
      </c>
      <c r="U1015">
        <f t="shared" si="78"/>
        <v>1</v>
      </c>
      <c r="V1015">
        <f t="shared" si="79"/>
        <v>0</v>
      </c>
    </row>
    <row r="1016" spans="1:22" x14ac:dyDescent="0.25">
      <c r="A1016">
        <v>1013</v>
      </c>
      <c r="B1016" t="s">
        <v>14</v>
      </c>
      <c r="C1016" t="s">
        <v>523</v>
      </c>
      <c r="D1016" s="4">
        <v>45692</v>
      </c>
      <c r="E1016" t="s">
        <v>668</v>
      </c>
      <c r="F1016" t="s">
        <v>75</v>
      </c>
      <c r="I1016" s="6">
        <v>1</v>
      </c>
      <c r="J1016" s="6">
        <v>0</v>
      </c>
      <c r="K1016" s="6">
        <v>1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>
        <v>1</v>
      </c>
      <c r="R1016">
        <f t="shared" si="75"/>
        <v>0</v>
      </c>
      <c r="S1016">
        <f t="shared" si="76"/>
        <v>1</v>
      </c>
      <c r="T1016">
        <f t="shared" si="77"/>
        <v>2</v>
      </c>
      <c r="U1016">
        <f t="shared" si="78"/>
        <v>1</v>
      </c>
      <c r="V1016">
        <f t="shared" si="79"/>
        <v>0</v>
      </c>
    </row>
    <row r="1017" spans="1:22" x14ac:dyDescent="0.25">
      <c r="A1017">
        <v>1014</v>
      </c>
      <c r="B1017" t="s">
        <v>14</v>
      </c>
      <c r="C1017" t="s">
        <v>523</v>
      </c>
      <c r="D1017" s="4">
        <v>45692</v>
      </c>
      <c r="E1017" t="s">
        <v>669</v>
      </c>
      <c r="F1017" t="s">
        <v>413</v>
      </c>
      <c r="G1017">
        <v>45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>
        <v>1</v>
      </c>
      <c r="R1017">
        <f t="shared" si="75"/>
        <v>1</v>
      </c>
      <c r="S1017">
        <f t="shared" si="76"/>
        <v>0</v>
      </c>
      <c r="T1017">
        <f t="shared" si="77"/>
        <v>0</v>
      </c>
      <c r="U1017">
        <f t="shared" si="78"/>
        <v>0</v>
      </c>
      <c r="V1017">
        <f t="shared" si="79"/>
        <v>1</v>
      </c>
    </row>
    <row r="1018" spans="1:22" x14ac:dyDescent="0.25">
      <c r="A1018">
        <v>1015</v>
      </c>
      <c r="B1018" t="s">
        <v>14</v>
      </c>
      <c r="C1018" t="s">
        <v>523</v>
      </c>
      <c r="D1018" s="4">
        <v>45692</v>
      </c>
      <c r="E1018" t="s">
        <v>670</v>
      </c>
      <c r="F1018" t="s">
        <v>75</v>
      </c>
      <c r="I1018" s="6">
        <v>1</v>
      </c>
      <c r="J1018" s="6">
        <v>0</v>
      </c>
      <c r="K1018" s="6">
        <v>1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>
        <v>1</v>
      </c>
      <c r="R1018">
        <f t="shared" si="75"/>
        <v>0</v>
      </c>
      <c r="S1018">
        <f t="shared" si="76"/>
        <v>1</v>
      </c>
      <c r="T1018">
        <f t="shared" si="77"/>
        <v>2</v>
      </c>
      <c r="U1018">
        <f t="shared" si="78"/>
        <v>1</v>
      </c>
      <c r="V1018">
        <f t="shared" si="79"/>
        <v>0</v>
      </c>
    </row>
    <row r="1019" spans="1:22" x14ac:dyDescent="0.25">
      <c r="A1019">
        <v>1016</v>
      </c>
      <c r="B1019" t="s">
        <v>14</v>
      </c>
      <c r="C1019" t="s">
        <v>523</v>
      </c>
      <c r="D1019" s="4">
        <v>45693</v>
      </c>
      <c r="E1019" t="s">
        <v>234</v>
      </c>
      <c r="F1019" t="s">
        <v>413</v>
      </c>
      <c r="G1019">
        <v>46</v>
      </c>
      <c r="I1019" s="6">
        <v>1</v>
      </c>
      <c r="J1019" s="6">
        <v>0</v>
      </c>
      <c r="K1019" s="6">
        <v>1</v>
      </c>
      <c r="L1019" s="6">
        <v>0</v>
      </c>
      <c r="M1019" s="6">
        <v>0</v>
      </c>
      <c r="N1019" s="6">
        <v>0</v>
      </c>
      <c r="O1019" s="6">
        <v>0</v>
      </c>
      <c r="P1019" s="6">
        <v>1</v>
      </c>
      <c r="Q1019">
        <v>1</v>
      </c>
      <c r="R1019">
        <f t="shared" si="75"/>
        <v>1</v>
      </c>
      <c r="S1019">
        <f t="shared" si="76"/>
        <v>0</v>
      </c>
      <c r="T1019">
        <f t="shared" si="77"/>
        <v>3</v>
      </c>
      <c r="U1019">
        <f t="shared" si="78"/>
        <v>1</v>
      </c>
      <c r="V1019">
        <f t="shared" si="79"/>
        <v>1</v>
      </c>
    </row>
    <row r="1020" spans="1:22" x14ac:dyDescent="0.25">
      <c r="A1020">
        <v>1017</v>
      </c>
      <c r="B1020" t="s">
        <v>14</v>
      </c>
      <c r="C1020" t="s">
        <v>523</v>
      </c>
      <c r="D1020" s="4">
        <v>45694</v>
      </c>
      <c r="E1020" t="s">
        <v>106</v>
      </c>
      <c r="F1020" t="s">
        <v>413</v>
      </c>
      <c r="G1020">
        <v>47</v>
      </c>
      <c r="I1020" s="6">
        <v>0</v>
      </c>
      <c r="J1020" s="6">
        <v>0</v>
      </c>
      <c r="K1020" s="6">
        <v>0</v>
      </c>
      <c r="L1020" s="6">
        <v>0</v>
      </c>
      <c r="M1020" s="6">
        <v>1</v>
      </c>
      <c r="N1020" s="6">
        <v>1</v>
      </c>
      <c r="O1020" s="6">
        <v>0</v>
      </c>
      <c r="P1020" s="6">
        <v>0</v>
      </c>
      <c r="Q1020">
        <v>1</v>
      </c>
      <c r="R1020">
        <f t="shared" si="75"/>
        <v>1</v>
      </c>
      <c r="S1020">
        <f t="shared" si="76"/>
        <v>0</v>
      </c>
      <c r="T1020">
        <f t="shared" si="77"/>
        <v>2</v>
      </c>
      <c r="U1020">
        <f t="shared" si="78"/>
        <v>1</v>
      </c>
      <c r="V1020">
        <f t="shared" si="79"/>
        <v>1</v>
      </c>
    </row>
    <row r="1021" spans="1:22" x14ac:dyDescent="0.25">
      <c r="A1021">
        <v>1018</v>
      </c>
      <c r="B1021" t="s">
        <v>14</v>
      </c>
      <c r="C1021" t="s">
        <v>523</v>
      </c>
      <c r="D1021" s="4">
        <v>45694</v>
      </c>
      <c r="E1021" t="s">
        <v>110</v>
      </c>
      <c r="F1021" t="s">
        <v>75</v>
      </c>
      <c r="I1021" s="6">
        <v>1</v>
      </c>
      <c r="J1021" s="6">
        <v>0</v>
      </c>
      <c r="K1021" s="6">
        <v>1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>
        <v>1</v>
      </c>
      <c r="R1021">
        <f t="shared" si="75"/>
        <v>0</v>
      </c>
      <c r="S1021">
        <f t="shared" si="76"/>
        <v>1</v>
      </c>
      <c r="T1021">
        <f t="shared" si="77"/>
        <v>2</v>
      </c>
      <c r="U1021">
        <f t="shared" si="78"/>
        <v>1</v>
      </c>
      <c r="V1021">
        <f t="shared" si="79"/>
        <v>0</v>
      </c>
    </row>
    <row r="1022" spans="1:22" x14ac:dyDescent="0.25">
      <c r="A1022">
        <v>1019</v>
      </c>
      <c r="B1022" t="s">
        <v>14</v>
      </c>
      <c r="C1022" t="s">
        <v>523</v>
      </c>
      <c r="D1022" s="4">
        <v>45694</v>
      </c>
      <c r="E1022" t="s">
        <v>111</v>
      </c>
      <c r="F1022" t="s">
        <v>413</v>
      </c>
      <c r="G1022">
        <v>48</v>
      </c>
      <c r="I1022" s="6">
        <v>0</v>
      </c>
      <c r="J1022" s="6">
        <v>0</v>
      </c>
      <c r="K1022" s="6">
        <v>1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>
        <v>1</v>
      </c>
      <c r="R1022">
        <f t="shared" si="75"/>
        <v>1</v>
      </c>
      <c r="S1022">
        <f t="shared" si="76"/>
        <v>0</v>
      </c>
      <c r="T1022">
        <f t="shared" si="77"/>
        <v>1</v>
      </c>
      <c r="U1022">
        <f t="shared" si="78"/>
        <v>1</v>
      </c>
      <c r="V1022">
        <f t="shared" si="79"/>
        <v>1</v>
      </c>
    </row>
    <row r="1023" spans="1:22" x14ac:dyDescent="0.25">
      <c r="A1023">
        <v>1020</v>
      </c>
      <c r="B1023" t="s">
        <v>14</v>
      </c>
      <c r="C1023" t="s">
        <v>523</v>
      </c>
      <c r="D1023" s="4">
        <v>45694</v>
      </c>
      <c r="E1023" t="s">
        <v>112</v>
      </c>
      <c r="F1023" t="s">
        <v>413</v>
      </c>
      <c r="G1023">
        <v>49</v>
      </c>
      <c r="I1023" s="6">
        <v>0</v>
      </c>
      <c r="J1023" s="6">
        <v>0</v>
      </c>
      <c r="K1023" s="6">
        <v>0</v>
      </c>
      <c r="L1023" s="6">
        <v>0</v>
      </c>
      <c r="M1023" s="6">
        <v>1</v>
      </c>
      <c r="N1023" s="6">
        <v>0</v>
      </c>
      <c r="O1023" s="6">
        <v>1</v>
      </c>
      <c r="P1023" s="6">
        <v>0</v>
      </c>
      <c r="Q1023">
        <v>1</v>
      </c>
      <c r="R1023">
        <f t="shared" si="75"/>
        <v>1</v>
      </c>
      <c r="S1023">
        <f t="shared" si="76"/>
        <v>0</v>
      </c>
      <c r="T1023">
        <f t="shared" si="77"/>
        <v>2</v>
      </c>
      <c r="U1023">
        <f t="shared" si="78"/>
        <v>1</v>
      </c>
      <c r="V1023">
        <f t="shared" si="79"/>
        <v>1</v>
      </c>
    </row>
    <row r="1024" spans="1:22" x14ac:dyDescent="0.25">
      <c r="A1024">
        <v>1021</v>
      </c>
      <c r="B1024" t="s">
        <v>14</v>
      </c>
      <c r="C1024" t="s">
        <v>523</v>
      </c>
      <c r="D1024" s="4">
        <v>45694</v>
      </c>
      <c r="E1024" t="s">
        <v>671</v>
      </c>
      <c r="F1024" t="s">
        <v>75</v>
      </c>
      <c r="H1024" t="s">
        <v>664</v>
      </c>
      <c r="I1024" s="6">
        <v>0</v>
      </c>
      <c r="J1024" s="6">
        <v>0</v>
      </c>
      <c r="K1024" s="6">
        <v>0</v>
      </c>
      <c r="L1024" s="6">
        <v>0</v>
      </c>
      <c r="M1024" s="6">
        <v>1</v>
      </c>
      <c r="N1024" s="6">
        <v>1</v>
      </c>
      <c r="O1024" s="6">
        <v>0</v>
      </c>
      <c r="P1024" s="6">
        <v>0</v>
      </c>
      <c r="Q1024">
        <v>1</v>
      </c>
      <c r="R1024">
        <f t="shared" si="75"/>
        <v>0</v>
      </c>
      <c r="S1024">
        <f t="shared" si="76"/>
        <v>1</v>
      </c>
      <c r="T1024">
        <f t="shared" si="77"/>
        <v>2</v>
      </c>
      <c r="U1024">
        <f t="shared" si="78"/>
        <v>1</v>
      </c>
      <c r="V1024">
        <f t="shared" si="79"/>
        <v>0</v>
      </c>
    </row>
    <row r="1025" spans="1:22" x14ac:dyDescent="0.25">
      <c r="A1025">
        <v>1022</v>
      </c>
      <c r="B1025" t="s">
        <v>14</v>
      </c>
      <c r="C1025" t="s">
        <v>523</v>
      </c>
      <c r="D1025" s="4">
        <v>45695</v>
      </c>
      <c r="E1025" t="s">
        <v>672</v>
      </c>
      <c r="F1025" t="s">
        <v>75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>
        <v>1</v>
      </c>
      <c r="R1025">
        <f t="shared" si="75"/>
        <v>0</v>
      </c>
      <c r="S1025">
        <f t="shared" si="76"/>
        <v>1</v>
      </c>
      <c r="T1025">
        <f t="shared" si="77"/>
        <v>0</v>
      </c>
      <c r="U1025">
        <f t="shared" si="78"/>
        <v>0</v>
      </c>
      <c r="V1025">
        <f t="shared" si="79"/>
        <v>0</v>
      </c>
    </row>
    <row r="1026" spans="1:22" x14ac:dyDescent="0.25">
      <c r="A1026">
        <v>1023</v>
      </c>
      <c r="B1026" t="s">
        <v>14</v>
      </c>
      <c r="C1026" t="s">
        <v>523</v>
      </c>
      <c r="D1026" s="4">
        <v>45695</v>
      </c>
      <c r="E1026" t="s">
        <v>673</v>
      </c>
      <c r="F1026" t="s">
        <v>75</v>
      </c>
      <c r="I1026" s="6">
        <v>0</v>
      </c>
      <c r="J1026" s="6">
        <v>0</v>
      </c>
      <c r="K1026" s="6">
        <v>0</v>
      </c>
      <c r="L1026" s="6">
        <v>0</v>
      </c>
      <c r="M1026" s="6">
        <v>1</v>
      </c>
      <c r="N1026" s="6">
        <v>1</v>
      </c>
      <c r="O1026" s="6">
        <v>0</v>
      </c>
      <c r="P1026" s="6">
        <v>0</v>
      </c>
      <c r="Q1026">
        <v>1</v>
      </c>
      <c r="R1026">
        <f t="shared" si="75"/>
        <v>0</v>
      </c>
      <c r="S1026">
        <f t="shared" si="76"/>
        <v>1</v>
      </c>
      <c r="T1026">
        <f t="shared" si="77"/>
        <v>2</v>
      </c>
      <c r="U1026">
        <f t="shared" si="78"/>
        <v>1</v>
      </c>
      <c r="V1026">
        <f t="shared" si="79"/>
        <v>0</v>
      </c>
    </row>
    <row r="1027" spans="1:22" x14ac:dyDescent="0.25">
      <c r="A1027">
        <v>1024</v>
      </c>
      <c r="B1027" t="s">
        <v>14</v>
      </c>
      <c r="C1027" t="s">
        <v>523</v>
      </c>
      <c r="D1027" s="4">
        <v>45695</v>
      </c>
      <c r="E1027" t="s">
        <v>674</v>
      </c>
      <c r="F1027" t="s">
        <v>413</v>
      </c>
      <c r="G1027">
        <v>50</v>
      </c>
      <c r="H1027" t="s">
        <v>661</v>
      </c>
      <c r="I1027" s="6">
        <v>1</v>
      </c>
      <c r="J1027" s="6">
        <v>0</v>
      </c>
      <c r="K1027" s="6">
        <v>0</v>
      </c>
      <c r="L1027" s="6">
        <v>0</v>
      </c>
      <c r="M1027" s="6">
        <v>1</v>
      </c>
      <c r="N1027" s="6">
        <v>0</v>
      </c>
      <c r="O1027" s="6">
        <v>0</v>
      </c>
      <c r="P1027" s="6">
        <v>0</v>
      </c>
      <c r="Q1027">
        <v>1</v>
      </c>
      <c r="R1027">
        <f t="shared" ref="R1027:R1090" si="80">IF(AND(Q1027=1,F1027="ai_full"),1,0)</f>
        <v>1</v>
      </c>
      <c r="S1027">
        <f t="shared" ref="S1027:S1090" si="81">IF(AND(Q1027=1,F1027="conventional"),1,0)</f>
        <v>0</v>
      </c>
      <c r="T1027">
        <f t="shared" ref="T1027:T1090" si="82">SUM(I1027:P1027)</f>
        <v>2</v>
      </c>
      <c r="U1027">
        <f t="shared" ref="U1027:U1090" si="83">IF(T1027&gt;=1,1,0)</f>
        <v>1</v>
      </c>
      <c r="V1027">
        <f t="shared" ref="V1027:V1090" si="84">IF(F1027="ai_full",1,0)</f>
        <v>1</v>
      </c>
    </row>
    <row r="1028" spans="1:22" x14ac:dyDescent="0.25">
      <c r="A1028">
        <v>1025</v>
      </c>
      <c r="B1028" t="s">
        <v>14</v>
      </c>
      <c r="C1028" t="s">
        <v>523</v>
      </c>
      <c r="D1028" s="4">
        <v>45696</v>
      </c>
      <c r="E1028" t="s">
        <v>675</v>
      </c>
      <c r="F1028" t="s">
        <v>75</v>
      </c>
      <c r="H1028" t="s">
        <v>659</v>
      </c>
      <c r="I1028" s="6">
        <v>1</v>
      </c>
      <c r="J1028" s="6">
        <v>0</v>
      </c>
      <c r="K1028" s="6">
        <v>0</v>
      </c>
      <c r="L1028" s="6">
        <v>0</v>
      </c>
      <c r="M1028" s="6">
        <v>1</v>
      </c>
      <c r="N1028" s="6">
        <v>0</v>
      </c>
      <c r="O1028" s="6">
        <v>0</v>
      </c>
      <c r="P1028" s="6">
        <v>0</v>
      </c>
      <c r="Q1028">
        <v>1</v>
      </c>
      <c r="R1028">
        <f t="shared" si="80"/>
        <v>0</v>
      </c>
      <c r="S1028">
        <f t="shared" si="81"/>
        <v>1</v>
      </c>
      <c r="T1028">
        <f t="shared" si="82"/>
        <v>2</v>
      </c>
      <c r="U1028">
        <f t="shared" si="83"/>
        <v>1</v>
      </c>
      <c r="V1028">
        <f t="shared" si="84"/>
        <v>0</v>
      </c>
    </row>
    <row r="1029" spans="1:22" x14ac:dyDescent="0.25">
      <c r="A1029">
        <v>1026</v>
      </c>
      <c r="B1029" t="s">
        <v>14</v>
      </c>
      <c r="C1029" t="s">
        <v>523</v>
      </c>
      <c r="D1029" s="4">
        <v>45697</v>
      </c>
      <c r="E1029" t="s">
        <v>676</v>
      </c>
      <c r="F1029" t="s">
        <v>413</v>
      </c>
      <c r="G1029">
        <v>51</v>
      </c>
      <c r="H1029" t="s">
        <v>666</v>
      </c>
      <c r="I1029" s="6">
        <v>1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>
        <v>1</v>
      </c>
      <c r="R1029">
        <f t="shared" si="80"/>
        <v>1</v>
      </c>
      <c r="S1029">
        <f t="shared" si="81"/>
        <v>0</v>
      </c>
      <c r="T1029">
        <f t="shared" si="82"/>
        <v>1</v>
      </c>
      <c r="U1029">
        <f t="shared" si="83"/>
        <v>1</v>
      </c>
      <c r="V1029">
        <f t="shared" si="84"/>
        <v>1</v>
      </c>
    </row>
    <row r="1030" spans="1:22" x14ac:dyDescent="0.25">
      <c r="A1030">
        <v>1027</v>
      </c>
      <c r="B1030" t="s">
        <v>14</v>
      </c>
      <c r="C1030" t="s">
        <v>523</v>
      </c>
      <c r="D1030" s="4">
        <v>45698</v>
      </c>
      <c r="E1030" t="s">
        <v>116</v>
      </c>
      <c r="F1030" t="s">
        <v>75</v>
      </c>
      <c r="I1030" s="6">
        <v>1</v>
      </c>
      <c r="J1030" s="6">
        <v>0</v>
      </c>
      <c r="K1030" s="6">
        <v>1</v>
      </c>
      <c r="L1030" s="6">
        <v>1</v>
      </c>
      <c r="M1030" s="6">
        <v>1</v>
      </c>
      <c r="N1030" s="6">
        <v>0</v>
      </c>
      <c r="O1030" s="6">
        <v>1</v>
      </c>
      <c r="P1030" s="6">
        <v>0</v>
      </c>
      <c r="Q1030">
        <v>1</v>
      </c>
      <c r="R1030">
        <f t="shared" si="80"/>
        <v>0</v>
      </c>
      <c r="S1030">
        <f t="shared" si="81"/>
        <v>1</v>
      </c>
      <c r="T1030">
        <f t="shared" si="82"/>
        <v>5</v>
      </c>
      <c r="U1030">
        <f t="shared" si="83"/>
        <v>1</v>
      </c>
      <c r="V1030">
        <f t="shared" si="84"/>
        <v>0</v>
      </c>
    </row>
    <row r="1031" spans="1:22" x14ac:dyDescent="0.25">
      <c r="A1031">
        <v>1028</v>
      </c>
      <c r="B1031" t="s">
        <v>14</v>
      </c>
      <c r="C1031" t="s">
        <v>523</v>
      </c>
      <c r="D1031" s="4">
        <v>45698</v>
      </c>
      <c r="E1031" t="s">
        <v>677</v>
      </c>
      <c r="F1031" t="s">
        <v>75</v>
      </c>
      <c r="H1031" t="s">
        <v>655</v>
      </c>
      <c r="I1031" s="6">
        <v>1</v>
      </c>
      <c r="J1031" s="6">
        <v>0</v>
      </c>
      <c r="K1031" s="6">
        <v>0</v>
      </c>
      <c r="L1031" s="6">
        <v>1</v>
      </c>
      <c r="M1031" s="6">
        <v>0</v>
      </c>
      <c r="N1031" s="6">
        <v>0</v>
      </c>
      <c r="O1031" s="6">
        <v>0</v>
      </c>
      <c r="P1031" s="6">
        <v>0</v>
      </c>
      <c r="Q1031">
        <v>1</v>
      </c>
      <c r="R1031">
        <f t="shared" si="80"/>
        <v>0</v>
      </c>
      <c r="S1031">
        <f t="shared" si="81"/>
        <v>1</v>
      </c>
      <c r="T1031">
        <f t="shared" si="82"/>
        <v>2</v>
      </c>
      <c r="U1031">
        <f t="shared" si="83"/>
        <v>1</v>
      </c>
      <c r="V1031">
        <f t="shared" si="84"/>
        <v>0</v>
      </c>
    </row>
    <row r="1032" spans="1:22" x14ac:dyDescent="0.25">
      <c r="A1032">
        <v>1029</v>
      </c>
      <c r="B1032" t="s">
        <v>14</v>
      </c>
      <c r="C1032" t="s">
        <v>523</v>
      </c>
      <c r="D1032" s="4">
        <v>45699</v>
      </c>
      <c r="E1032" t="s">
        <v>678</v>
      </c>
      <c r="F1032" t="s">
        <v>75</v>
      </c>
      <c r="H1032" t="s">
        <v>652</v>
      </c>
      <c r="I1032" s="6">
        <v>0</v>
      </c>
      <c r="J1032" s="6">
        <v>0</v>
      </c>
      <c r="K1032" s="6">
        <v>0</v>
      </c>
      <c r="L1032" s="6">
        <v>0</v>
      </c>
      <c r="M1032" s="6">
        <v>1</v>
      </c>
      <c r="N1032" s="6">
        <v>1</v>
      </c>
      <c r="O1032" s="6">
        <v>0</v>
      </c>
      <c r="P1032" s="6">
        <v>0</v>
      </c>
      <c r="Q1032">
        <v>1</v>
      </c>
      <c r="R1032">
        <f t="shared" si="80"/>
        <v>0</v>
      </c>
      <c r="S1032">
        <f t="shared" si="81"/>
        <v>1</v>
      </c>
      <c r="T1032">
        <f t="shared" si="82"/>
        <v>2</v>
      </c>
      <c r="U1032">
        <f t="shared" si="83"/>
        <v>1</v>
      </c>
      <c r="V1032">
        <f t="shared" si="84"/>
        <v>0</v>
      </c>
    </row>
    <row r="1033" spans="1:22" x14ac:dyDescent="0.25">
      <c r="A1033">
        <v>1030</v>
      </c>
      <c r="B1033" t="s">
        <v>14</v>
      </c>
      <c r="C1033" t="s">
        <v>523</v>
      </c>
      <c r="D1033" s="4">
        <v>45700</v>
      </c>
      <c r="E1033" t="s">
        <v>679</v>
      </c>
      <c r="F1033" t="s">
        <v>413</v>
      </c>
      <c r="G1033">
        <v>52</v>
      </c>
      <c r="I1033" s="6">
        <v>1</v>
      </c>
      <c r="J1033" s="6">
        <v>0</v>
      </c>
      <c r="K1033" s="6">
        <v>1</v>
      </c>
      <c r="L1033" s="6">
        <v>0</v>
      </c>
      <c r="M1033" s="6">
        <v>1</v>
      </c>
      <c r="N1033" s="6">
        <v>0</v>
      </c>
      <c r="O1033" s="6">
        <v>1</v>
      </c>
      <c r="P1033" s="6">
        <v>0</v>
      </c>
      <c r="Q1033">
        <v>1</v>
      </c>
      <c r="R1033">
        <f t="shared" si="80"/>
        <v>1</v>
      </c>
      <c r="S1033">
        <f t="shared" si="81"/>
        <v>0</v>
      </c>
      <c r="T1033">
        <f t="shared" si="82"/>
        <v>4</v>
      </c>
      <c r="U1033">
        <f t="shared" si="83"/>
        <v>1</v>
      </c>
      <c r="V1033">
        <f t="shared" si="84"/>
        <v>1</v>
      </c>
    </row>
    <row r="1034" spans="1:22" x14ac:dyDescent="0.25">
      <c r="A1034">
        <v>1031</v>
      </c>
      <c r="B1034" t="s">
        <v>14</v>
      </c>
      <c r="C1034" t="s">
        <v>523</v>
      </c>
      <c r="D1034" s="4">
        <v>45700</v>
      </c>
      <c r="E1034" t="s">
        <v>680</v>
      </c>
      <c r="F1034" t="s">
        <v>75</v>
      </c>
      <c r="H1034" t="s">
        <v>646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1</v>
      </c>
      <c r="P1034" s="6">
        <v>0</v>
      </c>
      <c r="Q1034">
        <v>1</v>
      </c>
      <c r="R1034">
        <f t="shared" si="80"/>
        <v>0</v>
      </c>
      <c r="S1034">
        <f t="shared" si="81"/>
        <v>1</v>
      </c>
      <c r="T1034">
        <f t="shared" si="82"/>
        <v>1</v>
      </c>
      <c r="U1034">
        <f t="shared" si="83"/>
        <v>1</v>
      </c>
      <c r="V1034">
        <f t="shared" si="84"/>
        <v>0</v>
      </c>
    </row>
    <row r="1035" spans="1:22" x14ac:dyDescent="0.25">
      <c r="A1035">
        <v>1032</v>
      </c>
      <c r="B1035" t="s">
        <v>14</v>
      </c>
      <c r="C1035" t="s">
        <v>523</v>
      </c>
      <c r="D1035" s="4">
        <v>45701</v>
      </c>
      <c r="E1035" t="s">
        <v>126</v>
      </c>
      <c r="F1035" t="s">
        <v>75</v>
      </c>
      <c r="I1035" s="6">
        <v>1</v>
      </c>
      <c r="J1035" s="6">
        <v>0</v>
      </c>
      <c r="K1035" s="6">
        <v>0</v>
      </c>
      <c r="L1035" s="6">
        <v>1</v>
      </c>
      <c r="M1035" s="6">
        <v>0</v>
      </c>
      <c r="N1035" s="6">
        <v>0</v>
      </c>
      <c r="O1035" s="6">
        <v>0</v>
      </c>
      <c r="P1035" s="6">
        <v>1</v>
      </c>
      <c r="Q1035">
        <v>1</v>
      </c>
      <c r="R1035">
        <f t="shared" si="80"/>
        <v>0</v>
      </c>
      <c r="S1035">
        <f t="shared" si="81"/>
        <v>1</v>
      </c>
      <c r="T1035">
        <f t="shared" si="82"/>
        <v>3</v>
      </c>
      <c r="U1035">
        <f t="shared" si="83"/>
        <v>1</v>
      </c>
      <c r="V1035">
        <f t="shared" si="84"/>
        <v>0</v>
      </c>
    </row>
    <row r="1036" spans="1:22" x14ac:dyDescent="0.25">
      <c r="A1036">
        <v>1033</v>
      </c>
      <c r="B1036" t="s">
        <v>14</v>
      </c>
      <c r="C1036" t="s">
        <v>523</v>
      </c>
      <c r="D1036" s="4">
        <v>45701</v>
      </c>
      <c r="E1036" t="s">
        <v>127</v>
      </c>
      <c r="F1036" t="s">
        <v>413</v>
      </c>
      <c r="G1036">
        <v>53</v>
      </c>
      <c r="H1036" t="s">
        <v>681</v>
      </c>
      <c r="I1036" s="6">
        <v>0</v>
      </c>
      <c r="J1036" s="6">
        <v>0</v>
      </c>
      <c r="K1036" s="6">
        <v>0</v>
      </c>
      <c r="L1036" s="6">
        <v>0</v>
      </c>
      <c r="M1036" s="6">
        <v>1</v>
      </c>
      <c r="N1036" s="6">
        <v>1</v>
      </c>
      <c r="O1036" s="6">
        <v>0</v>
      </c>
      <c r="P1036" s="6">
        <v>0</v>
      </c>
      <c r="Q1036">
        <v>1</v>
      </c>
      <c r="R1036">
        <f t="shared" si="80"/>
        <v>1</v>
      </c>
      <c r="S1036">
        <f t="shared" si="81"/>
        <v>0</v>
      </c>
      <c r="T1036">
        <f t="shared" si="82"/>
        <v>2</v>
      </c>
      <c r="U1036">
        <f t="shared" si="83"/>
        <v>1</v>
      </c>
      <c r="V1036">
        <f t="shared" si="84"/>
        <v>1</v>
      </c>
    </row>
    <row r="1037" spans="1:22" x14ac:dyDescent="0.25">
      <c r="A1037">
        <v>1034</v>
      </c>
      <c r="B1037" t="s">
        <v>14</v>
      </c>
      <c r="C1037" t="s">
        <v>523</v>
      </c>
      <c r="D1037" s="4">
        <v>45702</v>
      </c>
      <c r="E1037" t="s">
        <v>682</v>
      </c>
      <c r="F1037" t="s">
        <v>75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>
        <v>1</v>
      </c>
      <c r="R1037">
        <f t="shared" si="80"/>
        <v>0</v>
      </c>
      <c r="S1037">
        <f t="shared" si="81"/>
        <v>1</v>
      </c>
      <c r="T1037">
        <f t="shared" si="82"/>
        <v>0</v>
      </c>
      <c r="U1037">
        <f t="shared" si="83"/>
        <v>0</v>
      </c>
      <c r="V1037">
        <f t="shared" si="84"/>
        <v>0</v>
      </c>
    </row>
    <row r="1038" spans="1:22" x14ac:dyDescent="0.25">
      <c r="A1038">
        <v>1035</v>
      </c>
      <c r="B1038" t="s">
        <v>14</v>
      </c>
      <c r="C1038" t="s">
        <v>523</v>
      </c>
      <c r="D1038" s="4">
        <v>45702</v>
      </c>
      <c r="E1038" t="s">
        <v>130</v>
      </c>
      <c r="F1038" t="s">
        <v>357</v>
      </c>
      <c r="H1038" t="s">
        <v>683</v>
      </c>
      <c r="I1038" s="6">
        <v>0</v>
      </c>
      <c r="J1038" s="6">
        <v>0</v>
      </c>
      <c r="K1038" s="6">
        <v>0</v>
      </c>
      <c r="L1038" s="6">
        <v>1</v>
      </c>
      <c r="M1038" s="6">
        <v>0</v>
      </c>
      <c r="N1038" s="6">
        <v>0</v>
      </c>
      <c r="O1038" s="6">
        <v>0</v>
      </c>
      <c r="P1038" s="6">
        <v>0</v>
      </c>
      <c r="Q1038">
        <v>1</v>
      </c>
      <c r="R1038">
        <f t="shared" si="80"/>
        <v>0</v>
      </c>
      <c r="S1038">
        <f t="shared" si="81"/>
        <v>0</v>
      </c>
      <c r="T1038">
        <f t="shared" si="82"/>
        <v>1</v>
      </c>
      <c r="U1038">
        <f t="shared" si="83"/>
        <v>1</v>
      </c>
      <c r="V1038">
        <f t="shared" si="84"/>
        <v>0</v>
      </c>
    </row>
    <row r="1039" spans="1:22" x14ac:dyDescent="0.25">
      <c r="A1039">
        <v>1036</v>
      </c>
      <c r="B1039" t="s">
        <v>14</v>
      </c>
      <c r="C1039" t="s">
        <v>523</v>
      </c>
      <c r="D1039" s="4">
        <v>45703</v>
      </c>
      <c r="E1039" t="s">
        <v>684</v>
      </c>
      <c r="F1039" t="s">
        <v>413</v>
      </c>
      <c r="G1039">
        <v>54</v>
      </c>
      <c r="H1039" t="s">
        <v>685</v>
      </c>
      <c r="I1039" s="6">
        <v>0</v>
      </c>
      <c r="J1039" s="6">
        <v>0</v>
      </c>
      <c r="K1039" s="6">
        <v>0</v>
      </c>
      <c r="L1039" s="6">
        <v>0</v>
      </c>
      <c r="M1039" s="6">
        <v>1</v>
      </c>
      <c r="N1039" s="6">
        <v>0</v>
      </c>
      <c r="O1039" s="6">
        <v>0</v>
      </c>
      <c r="P1039" s="6">
        <v>0</v>
      </c>
      <c r="Q1039">
        <v>1</v>
      </c>
      <c r="R1039">
        <f t="shared" si="80"/>
        <v>1</v>
      </c>
      <c r="S1039">
        <f t="shared" si="81"/>
        <v>0</v>
      </c>
      <c r="T1039">
        <f t="shared" si="82"/>
        <v>1</v>
      </c>
      <c r="U1039">
        <f t="shared" si="83"/>
        <v>1</v>
      </c>
      <c r="V1039">
        <f t="shared" si="84"/>
        <v>1</v>
      </c>
    </row>
    <row r="1040" spans="1:22" x14ac:dyDescent="0.25">
      <c r="A1040">
        <v>1037</v>
      </c>
      <c r="B1040" t="s">
        <v>14</v>
      </c>
      <c r="C1040" t="s">
        <v>523</v>
      </c>
      <c r="D1040" s="4">
        <v>45704</v>
      </c>
      <c r="E1040" t="s">
        <v>686</v>
      </c>
      <c r="F1040" t="s">
        <v>413</v>
      </c>
      <c r="G1040">
        <v>55</v>
      </c>
      <c r="H1040" t="s">
        <v>687</v>
      </c>
      <c r="I1040" s="6">
        <v>0</v>
      </c>
      <c r="J1040" s="6">
        <v>0</v>
      </c>
      <c r="K1040" s="6">
        <v>1</v>
      </c>
      <c r="L1040" s="6">
        <v>0</v>
      </c>
      <c r="M1040" s="6">
        <v>1</v>
      </c>
      <c r="N1040" s="6">
        <v>0</v>
      </c>
      <c r="O1040" s="6">
        <v>0</v>
      </c>
      <c r="P1040" s="6">
        <v>0</v>
      </c>
      <c r="Q1040">
        <v>1</v>
      </c>
      <c r="R1040">
        <f t="shared" si="80"/>
        <v>1</v>
      </c>
      <c r="S1040">
        <f t="shared" si="81"/>
        <v>0</v>
      </c>
      <c r="T1040">
        <f t="shared" si="82"/>
        <v>2</v>
      </c>
      <c r="U1040">
        <f t="shared" si="83"/>
        <v>1</v>
      </c>
      <c r="V1040">
        <f t="shared" si="84"/>
        <v>1</v>
      </c>
    </row>
    <row r="1041" spans="1:22" x14ac:dyDescent="0.25">
      <c r="A1041">
        <v>1038</v>
      </c>
      <c r="B1041" t="s">
        <v>14</v>
      </c>
      <c r="C1041" t="s">
        <v>523</v>
      </c>
      <c r="D1041" s="4">
        <v>45705</v>
      </c>
      <c r="E1041" t="s">
        <v>688</v>
      </c>
      <c r="F1041" t="s">
        <v>75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>
        <v>1</v>
      </c>
      <c r="R1041">
        <f t="shared" si="80"/>
        <v>0</v>
      </c>
      <c r="S1041">
        <f t="shared" si="81"/>
        <v>1</v>
      </c>
      <c r="T1041">
        <f t="shared" si="82"/>
        <v>0</v>
      </c>
      <c r="U1041">
        <f t="shared" si="83"/>
        <v>0</v>
      </c>
      <c r="V1041">
        <f t="shared" si="84"/>
        <v>0</v>
      </c>
    </row>
    <row r="1042" spans="1:22" x14ac:dyDescent="0.25">
      <c r="A1042">
        <v>1039</v>
      </c>
      <c r="B1042" t="s">
        <v>14</v>
      </c>
      <c r="C1042" t="s">
        <v>523</v>
      </c>
      <c r="D1042" s="4">
        <v>45706</v>
      </c>
      <c r="E1042" t="s">
        <v>689</v>
      </c>
      <c r="F1042" t="s">
        <v>357</v>
      </c>
      <c r="I1042" s="6">
        <v>1</v>
      </c>
      <c r="J1042" s="6">
        <v>0</v>
      </c>
      <c r="K1042" s="6">
        <v>1</v>
      </c>
      <c r="L1042" s="6">
        <v>1</v>
      </c>
      <c r="M1042" s="6">
        <v>0</v>
      </c>
      <c r="N1042" s="6">
        <v>0</v>
      </c>
      <c r="O1042" s="6">
        <v>0</v>
      </c>
      <c r="P1042" s="6">
        <v>0</v>
      </c>
      <c r="Q1042">
        <v>1</v>
      </c>
      <c r="R1042">
        <f t="shared" si="80"/>
        <v>0</v>
      </c>
      <c r="S1042">
        <f t="shared" si="81"/>
        <v>0</v>
      </c>
      <c r="T1042">
        <f t="shared" si="82"/>
        <v>3</v>
      </c>
      <c r="U1042">
        <f t="shared" si="83"/>
        <v>1</v>
      </c>
      <c r="V1042">
        <f t="shared" si="84"/>
        <v>0</v>
      </c>
    </row>
    <row r="1043" spans="1:22" x14ac:dyDescent="0.25">
      <c r="A1043">
        <v>1040</v>
      </c>
      <c r="B1043" t="s">
        <v>14</v>
      </c>
      <c r="C1043" t="s">
        <v>523</v>
      </c>
      <c r="D1043" s="4">
        <v>45706</v>
      </c>
      <c r="E1043" t="s">
        <v>141</v>
      </c>
      <c r="F1043" t="s">
        <v>75</v>
      </c>
      <c r="I1043" s="6">
        <v>0</v>
      </c>
      <c r="J1043" s="6">
        <v>0</v>
      </c>
      <c r="K1043" s="6">
        <v>0</v>
      </c>
      <c r="L1043" s="6">
        <v>0</v>
      </c>
      <c r="M1043" s="6">
        <v>1</v>
      </c>
      <c r="N1043" s="6">
        <v>1</v>
      </c>
      <c r="O1043" s="6">
        <v>0</v>
      </c>
      <c r="P1043" s="6">
        <v>0</v>
      </c>
      <c r="Q1043">
        <v>1</v>
      </c>
      <c r="R1043">
        <f t="shared" si="80"/>
        <v>0</v>
      </c>
      <c r="S1043">
        <f t="shared" si="81"/>
        <v>1</v>
      </c>
      <c r="T1043">
        <f t="shared" si="82"/>
        <v>2</v>
      </c>
      <c r="U1043">
        <f t="shared" si="83"/>
        <v>1</v>
      </c>
      <c r="V1043">
        <f t="shared" si="84"/>
        <v>0</v>
      </c>
    </row>
    <row r="1044" spans="1:22" x14ac:dyDescent="0.25">
      <c r="A1044">
        <v>1041</v>
      </c>
      <c r="B1044" t="s">
        <v>14</v>
      </c>
      <c r="C1044" t="s">
        <v>523</v>
      </c>
      <c r="D1044" s="4">
        <v>45706</v>
      </c>
      <c r="E1044" t="s">
        <v>690</v>
      </c>
      <c r="F1044" t="s">
        <v>75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1</v>
      </c>
      <c r="P1044" s="6">
        <v>0</v>
      </c>
      <c r="Q1044">
        <v>1</v>
      </c>
      <c r="R1044">
        <f t="shared" si="80"/>
        <v>0</v>
      </c>
      <c r="S1044">
        <f t="shared" si="81"/>
        <v>1</v>
      </c>
      <c r="T1044">
        <f t="shared" si="82"/>
        <v>1</v>
      </c>
      <c r="U1044">
        <f t="shared" si="83"/>
        <v>1</v>
      </c>
      <c r="V1044">
        <f t="shared" si="84"/>
        <v>0</v>
      </c>
    </row>
    <row r="1045" spans="1:22" x14ac:dyDescent="0.25">
      <c r="A1045">
        <v>1042</v>
      </c>
      <c r="B1045" t="s">
        <v>14</v>
      </c>
      <c r="C1045" t="s">
        <v>523</v>
      </c>
      <c r="D1045" s="4">
        <v>45706</v>
      </c>
      <c r="E1045" t="s">
        <v>691</v>
      </c>
      <c r="F1045" t="s">
        <v>413</v>
      </c>
      <c r="G1045">
        <v>56</v>
      </c>
      <c r="H1045" t="s">
        <v>692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1</v>
      </c>
      <c r="P1045" s="6">
        <v>0</v>
      </c>
      <c r="Q1045">
        <v>1</v>
      </c>
      <c r="R1045">
        <f t="shared" si="80"/>
        <v>1</v>
      </c>
      <c r="S1045">
        <f t="shared" si="81"/>
        <v>0</v>
      </c>
      <c r="T1045">
        <f t="shared" si="82"/>
        <v>1</v>
      </c>
      <c r="U1045">
        <f t="shared" si="83"/>
        <v>1</v>
      </c>
      <c r="V1045">
        <f t="shared" si="84"/>
        <v>1</v>
      </c>
    </row>
    <row r="1046" spans="1:22" x14ac:dyDescent="0.25">
      <c r="A1046">
        <v>1043</v>
      </c>
      <c r="B1046" t="s">
        <v>14</v>
      </c>
      <c r="C1046" t="s">
        <v>523</v>
      </c>
      <c r="D1046" s="4">
        <v>45707</v>
      </c>
      <c r="E1046" t="s">
        <v>693</v>
      </c>
      <c r="F1046" t="s">
        <v>413</v>
      </c>
      <c r="G1046">
        <v>57</v>
      </c>
      <c r="I1046" s="6">
        <v>1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>
        <v>1</v>
      </c>
      <c r="R1046">
        <f t="shared" si="80"/>
        <v>1</v>
      </c>
      <c r="S1046">
        <f t="shared" si="81"/>
        <v>0</v>
      </c>
      <c r="T1046">
        <f t="shared" si="82"/>
        <v>1</v>
      </c>
      <c r="U1046">
        <f t="shared" si="83"/>
        <v>1</v>
      </c>
      <c r="V1046">
        <f t="shared" si="84"/>
        <v>1</v>
      </c>
    </row>
    <row r="1047" spans="1:22" x14ac:dyDescent="0.25">
      <c r="A1047">
        <v>1044</v>
      </c>
      <c r="B1047" t="s">
        <v>14</v>
      </c>
      <c r="C1047" t="s">
        <v>523</v>
      </c>
      <c r="D1047" s="4">
        <v>45707</v>
      </c>
      <c r="E1047" t="s">
        <v>143</v>
      </c>
      <c r="F1047" t="s">
        <v>75</v>
      </c>
      <c r="H1047" t="s">
        <v>655</v>
      </c>
      <c r="I1047" s="6">
        <v>1</v>
      </c>
      <c r="J1047" s="6">
        <v>0</v>
      </c>
      <c r="K1047" s="6">
        <v>0</v>
      </c>
      <c r="L1047" s="6">
        <v>1</v>
      </c>
      <c r="M1047" s="6">
        <v>0</v>
      </c>
      <c r="N1047" s="6">
        <v>0</v>
      </c>
      <c r="O1047" s="6">
        <v>0</v>
      </c>
      <c r="P1047" s="6">
        <v>0</v>
      </c>
      <c r="Q1047">
        <v>1</v>
      </c>
      <c r="R1047">
        <f t="shared" si="80"/>
        <v>0</v>
      </c>
      <c r="S1047">
        <f t="shared" si="81"/>
        <v>1</v>
      </c>
      <c r="T1047">
        <f t="shared" si="82"/>
        <v>2</v>
      </c>
      <c r="U1047">
        <f t="shared" si="83"/>
        <v>1</v>
      </c>
      <c r="V1047">
        <f t="shared" si="84"/>
        <v>0</v>
      </c>
    </row>
    <row r="1048" spans="1:22" x14ac:dyDescent="0.25">
      <c r="A1048">
        <v>1045</v>
      </c>
      <c r="B1048" t="s">
        <v>14</v>
      </c>
      <c r="C1048" t="s">
        <v>523</v>
      </c>
      <c r="D1048" s="4">
        <v>45708</v>
      </c>
      <c r="E1048" t="s">
        <v>236</v>
      </c>
      <c r="F1048" t="s">
        <v>357</v>
      </c>
      <c r="I1048" s="6">
        <v>1</v>
      </c>
      <c r="J1048" s="6">
        <v>1</v>
      </c>
      <c r="K1048" s="6">
        <v>1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>
        <v>1</v>
      </c>
      <c r="R1048">
        <f t="shared" si="80"/>
        <v>0</v>
      </c>
      <c r="S1048">
        <f t="shared" si="81"/>
        <v>0</v>
      </c>
      <c r="T1048">
        <f t="shared" si="82"/>
        <v>3</v>
      </c>
      <c r="U1048">
        <f t="shared" si="83"/>
        <v>1</v>
      </c>
      <c r="V1048">
        <f t="shared" si="84"/>
        <v>0</v>
      </c>
    </row>
    <row r="1049" spans="1:22" x14ac:dyDescent="0.25">
      <c r="A1049">
        <v>1046</v>
      </c>
      <c r="B1049" t="s">
        <v>14</v>
      </c>
      <c r="C1049" t="s">
        <v>523</v>
      </c>
      <c r="D1049" s="4">
        <v>45708</v>
      </c>
      <c r="E1049" t="s">
        <v>144</v>
      </c>
      <c r="F1049" t="s">
        <v>75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>
        <v>1</v>
      </c>
      <c r="R1049">
        <f t="shared" si="80"/>
        <v>0</v>
      </c>
      <c r="S1049">
        <f t="shared" si="81"/>
        <v>1</v>
      </c>
      <c r="T1049">
        <f t="shared" si="82"/>
        <v>0</v>
      </c>
      <c r="U1049">
        <f t="shared" si="83"/>
        <v>0</v>
      </c>
      <c r="V1049">
        <f t="shared" si="84"/>
        <v>0</v>
      </c>
    </row>
    <row r="1050" spans="1:22" x14ac:dyDescent="0.25">
      <c r="A1050">
        <v>1047</v>
      </c>
      <c r="B1050" t="s">
        <v>14</v>
      </c>
      <c r="C1050" t="s">
        <v>523</v>
      </c>
      <c r="D1050" s="4">
        <v>45709</v>
      </c>
      <c r="E1050" t="s">
        <v>145</v>
      </c>
      <c r="F1050" t="s">
        <v>75</v>
      </c>
      <c r="I1050" s="6">
        <v>1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>
        <v>1</v>
      </c>
      <c r="R1050">
        <f t="shared" si="80"/>
        <v>0</v>
      </c>
      <c r="S1050">
        <f t="shared" si="81"/>
        <v>1</v>
      </c>
      <c r="T1050">
        <f t="shared" si="82"/>
        <v>1</v>
      </c>
      <c r="U1050">
        <f t="shared" si="83"/>
        <v>1</v>
      </c>
      <c r="V1050">
        <f t="shared" si="84"/>
        <v>0</v>
      </c>
    </row>
    <row r="1051" spans="1:22" x14ac:dyDescent="0.25">
      <c r="A1051">
        <v>1048</v>
      </c>
      <c r="B1051" t="s">
        <v>14</v>
      </c>
      <c r="C1051" t="s">
        <v>523</v>
      </c>
      <c r="D1051" s="4">
        <v>45709</v>
      </c>
      <c r="E1051" t="s">
        <v>694</v>
      </c>
      <c r="F1051" t="s">
        <v>75</v>
      </c>
      <c r="H1051" t="s">
        <v>695</v>
      </c>
      <c r="I1051" s="6">
        <v>0</v>
      </c>
      <c r="J1051" s="6">
        <v>0</v>
      </c>
      <c r="K1051" s="6">
        <v>0</v>
      </c>
      <c r="L1051" s="6">
        <v>0</v>
      </c>
      <c r="M1051" s="6">
        <v>1</v>
      </c>
      <c r="N1051" s="6">
        <v>1</v>
      </c>
      <c r="O1051" s="6">
        <v>0</v>
      </c>
      <c r="P1051" s="6">
        <v>0</v>
      </c>
      <c r="Q1051">
        <v>1</v>
      </c>
      <c r="R1051">
        <f t="shared" si="80"/>
        <v>0</v>
      </c>
      <c r="S1051">
        <f t="shared" si="81"/>
        <v>1</v>
      </c>
      <c r="T1051">
        <f t="shared" si="82"/>
        <v>2</v>
      </c>
      <c r="U1051">
        <f t="shared" si="83"/>
        <v>1</v>
      </c>
      <c r="V1051">
        <f t="shared" si="84"/>
        <v>0</v>
      </c>
    </row>
    <row r="1052" spans="1:22" x14ac:dyDescent="0.25">
      <c r="A1052">
        <v>1049</v>
      </c>
      <c r="B1052" t="s">
        <v>14</v>
      </c>
      <c r="C1052" t="s">
        <v>523</v>
      </c>
      <c r="D1052" s="4">
        <v>45709</v>
      </c>
      <c r="E1052" t="s">
        <v>696</v>
      </c>
      <c r="F1052" t="s">
        <v>75</v>
      </c>
      <c r="I1052" s="6">
        <v>1</v>
      </c>
      <c r="J1052" s="6">
        <v>0</v>
      </c>
      <c r="K1052" s="6">
        <v>1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>
        <v>1</v>
      </c>
      <c r="R1052">
        <f t="shared" si="80"/>
        <v>0</v>
      </c>
      <c r="S1052">
        <f t="shared" si="81"/>
        <v>1</v>
      </c>
      <c r="T1052">
        <f t="shared" si="82"/>
        <v>2</v>
      </c>
      <c r="U1052">
        <f t="shared" si="83"/>
        <v>1</v>
      </c>
      <c r="V1052">
        <f t="shared" si="84"/>
        <v>0</v>
      </c>
    </row>
    <row r="1053" spans="1:22" x14ac:dyDescent="0.25">
      <c r="A1053">
        <v>1050</v>
      </c>
      <c r="B1053" t="s">
        <v>14</v>
      </c>
      <c r="C1053" t="s">
        <v>523</v>
      </c>
      <c r="D1053" s="4">
        <v>45709</v>
      </c>
      <c r="E1053" t="s">
        <v>697</v>
      </c>
      <c r="F1053" t="s">
        <v>413</v>
      </c>
      <c r="G1053">
        <v>58</v>
      </c>
      <c r="H1053" t="s">
        <v>698</v>
      </c>
      <c r="I1053" s="6">
        <v>0</v>
      </c>
      <c r="J1053" s="6">
        <v>0</v>
      </c>
      <c r="K1053" s="6">
        <v>0</v>
      </c>
      <c r="L1053" s="6">
        <v>0</v>
      </c>
      <c r="M1053" s="6">
        <v>1</v>
      </c>
      <c r="N1053" s="6">
        <v>0</v>
      </c>
      <c r="O1053" s="6">
        <v>0</v>
      </c>
      <c r="P1053" s="6">
        <v>0</v>
      </c>
      <c r="Q1053">
        <v>1</v>
      </c>
      <c r="R1053">
        <f t="shared" si="80"/>
        <v>1</v>
      </c>
      <c r="S1053">
        <f t="shared" si="81"/>
        <v>0</v>
      </c>
      <c r="T1053">
        <f t="shared" si="82"/>
        <v>1</v>
      </c>
      <c r="U1053">
        <f t="shared" si="83"/>
        <v>1</v>
      </c>
      <c r="V1053">
        <f t="shared" si="84"/>
        <v>1</v>
      </c>
    </row>
    <row r="1054" spans="1:22" x14ac:dyDescent="0.25">
      <c r="A1054">
        <v>1051</v>
      </c>
      <c r="B1054" t="s">
        <v>14</v>
      </c>
      <c r="C1054" t="s">
        <v>523</v>
      </c>
      <c r="D1054" s="4">
        <v>45710</v>
      </c>
      <c r="E1054" t="s">
        <v>699</v>
      </c>
      <c r="F1054" t="s">
        <v>413</v>
      </c>
      <c r="G1054">
        <v>59</v>
      </c>
      <c r="H1054" t="s">
        <v>700</v>
      </c>
      <c r="I1054" s="6">
        <v>0</v>
      </c>
      <c r="J1054" s="6">
        <v>0</v>
      </c>
      <c r="K1054" s="6">
        <v>0</v>
      </c>
      <c r="L1054" s="6">
        <v>0</v>
      </c>
      <c r="M1054" s="6">
        <v>1</v>
      </c>
      <c r="N1054" s="6">
        <v>0</v>
      </c>
      <c r="O1054" s="6">
        <v>0</v>
      </c>
      <c r="P1054" s="6">
        <v>0</v>
      </c>
      <c r="Q1054">
        <v>1</v>
      </c>
      <c r="R1054">
        <f t="shared" si="80"/>
        <v>1</v>
      </c>
      <c r="S1054">
        <f t="shared" si="81"/>
        <v>0</v>
      </c>
      <c r="T1054">
        <f t="shared" si="82"/>
        <v>1</v>
      </c>
      <c r="U1054">
        <f t="shared" si="83"/>
        <v>1</v>
      </c>
      <c r="V1054">
        <f t="shared" si="84"/>
        <v>1</v>
      </c>
    </row>
    <row r="1055" spans="1:22" x14ac:dyDescent="0.25">
      <c r="A1055">
        <v>1052</v>
      </c>
      <c r="B1055" t="s">
        <v>14</v>
      </c>
      <c r="C1055" t="s">
        <v>523</v>
      </c>
      <c r="D1055" s="4">
        <v>45711</v>
      </c>
      <c r="E1055" t="s">
        <v>701</v>
      </c>
      <c r="F1055" t="s">
        <v>75</v>
      </c>
      <c r="I1055" s="6">
        <v>0</v>
      </c>
      <c r="J1055" s="6">
        <v>0</v>
      </c>
      <c r="K1055" s="6">
        <v>1</v>
      </c>
      <c r="L1055" s="6">
        <v>0</v>
      </c>
      <c r="M1055" s="6">
        <v>1</v>
      </c>
      <c r="N1055" s="6">
        <v>0</v>
      </c>
      <c r="O1055" s="6">
        <v>0</v>
      </c>
      <c r="P1055" s="6">
        <v>0</v>
      </c>
      <c r="Q1055">
        <v>1</v>
      </c>
      <c r="R1055">
        <f t="shared" si="80"/>
        <v>0</v>
      </c>
      <c r="S1055">
        <f t="shared" si="81"/>
        <v>1</v>
      </c>
      <c r="T1055">
        <f t="shared" si="82"/>
        <v>2</v>
      </c>
      <c r="U1055">
        <f t="shared" si="83"/>
        <v>1</v>
      </c>
      <c r="V1055">
        <f t="shared" si="84"/>
        <v>0</v>
      </c>
    </row>
    <row r="1056" spans="1:22" x14ac:dyDescent="0.25">
      <c r="A1056">
        <v>1053</v>
      </c>
      <c r="B1056" t="s">
        <v>14</v>
      </c>
      <c r="C1056" t="s">
        <v>523</v>
      </c>
      <c r="D1056" s="4">
        <v>45711</v>
      </c>
      <c r="E1056" t="s">
        <v>702</v>
      </c>
      <c r="F1056" t="s">
        <v>75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>
        <v>1</v>
      </c>
      <c r="R1056">
        <f t="shared" si="80"/>
        <v>0</v>
      </c>
      <c r="S1056">
        <f t="shared" si="81"/>
        <v>1</v>
      </c>
      <c r="T1056">
        <f t="shared" si="82"/>
        <v>0</v>
      </c>
      <c r="U1056">
        <f t="shared" si="83"/>
        <v>0</v>
      </c>
      <c r="V1056">
        <f t="shared" si="84"/>
        <v>0</v>
      </c>
    </row>
    <row r="1057" spans="1:22" x14ac:dyDescent="0.25">
      <c r="A1057">
        <v>1054</v>
      </c>
      <c r="B1057" t="s">
        <v>16</v>
      </c>
      <c r="C1057" t="s">
        <v>523</v>
      </c>
      <c r="D1057" s="4">
        <v>45602</v>
      </c>
      <c r="E1057" t="s">
        <v>538</v>
      </c>
      <c r="F1057" t="s">
        <v>75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>
        <v>1</v>
      </c>
      <c r="R1057">
        <f t="shared" si="80"/>
        <v>0</v>
      </c>
      <c r="S1057">
        <f t="shared" si="81"/>
        <v>1</v>
      </c>
      <c r="T1057">
        <f t="shared" si="82"/>
        <v>0</v>
      </c>
      <c r="U1057">
        <f t="shared" si="83"/>
        <v>0</v>
      </c>
      <c r="V1057">
        <f t="shared" si="84"/>
        <v>0</v>
      </c>
    </row>
    <row r="1058" spans="1:22" x14ac:dyDescent="0.25">
      <c r="A1058">
        <v>1055</v>
      </c>
      <c r="B1058" t="s">
        <v>16</v>
      </c>
      <c r="C1058" t="s">
        <v>523</v>
      </c>
      <c r="D1058" s="4">
        <v>45602</v>
      </c>
      <c r="E1058" t="s">
        <v>539</v>
      </c>
      <c r="F1058" t="s">
        <v>75</v>
      </c>
      <c r="H1058" t="s">
        <v>703</v>
      </c>
      <c r="I1058" s="6">
        <v>1</v>
      </c>
      <c r="J1058" s="6">
        <v>0</v>
      </c>
      <c r="K1058" s="6">
        <v>0</v>
      </c>
      <c r="L1058" s="6">
        <v>0</v>
      </c>
      <c r="M1058" s="6">
        <v>1</v>
      </c>
      <c r="N1058" s="6">
        <v>1</v>
      </c>
      <c r="O1058" s="6">
        <v>1</v>
      </c>
      <c r="P1058" s="6">
        <v>1</v>
      </c>
      <c r="Q1058">
        <v>1</v>
      </c>
      <c r="R1058">
        <f t="shared" si="80"/>
        <v>0</v>
      </c>
      <c r="S1058">
        <f t="shared" si="81"/>
        <v>1</v>
      </c>
      <c r="T1058">
        <f t="shared" si="82"/>
        <v>5</v>
      </c>
      <c r="U1058">
        <f t="shared" si="83"/>
        <v>1</v>
      </c>
      <c r="V1058">
        <f t="shared" si="84"/>
        <v>0</v>
      </c>
    </row>
    <row r="1059" spans="1:22" x14ac:dyDescent="0.25">
      <c r="A1059">
        <v>1056</v>
      </c>
      <c r="B1059" t="s">
        <v>16</v>
      </c>
      <c r="C1059" t="s">
        <v>523</v>
      </c>
      <c r="D1059" s="4">
        <v>45604</v>
      </c>
      <c r="E1059" t="s">
        <v>542</v>
      </c>
      <c r="F1059" t="s">
        <v>75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>
        <v>1</v>
      </c>
      <c r="R1059">
        <f t="shared" si="80"/>
        <v>0</v>
      </c>
      <c r="S1059">
        <f t="shared" si="81"/>
        <v>1</v>
      </c>
      <c r="T1059">
        <f t="shared" si="82"/>
        <v>0</v>
      </c>
      <c r="U1059">
        <f t="shared" si="83"/>
        <v>0</v>
      </c>
      <c r="V1059">
        <f t="shared" si="84"/>
        <v>0</v>
      </c>
    </row>
    <row r="1060" spans="1:22" x14ac:dyDescent="0.25">
      <c r="A1060">
        <v>1057</v>
      </c>
      <c r="B1060" t="s">
        <v>16</v>
      </c>
      <c r="C1060" t="s">
        <v>523</v>
      </c>
      <c r="D1060" s="4">
        <v>45607</v>
      </c>
      <c r="E1060" t="s">
        <v>543</v>
      </c>
      <c r="F1060" t="s">
        <v>75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>
        <v>1</v>
      </c>
      <c r="R1060">
        <f t="shared" si="80"/>
        <v>0</v>
      </c>
      <c r="S1060">
        <f t="shared" si="81"/>
        <v>1</v>
      </c>
      <c r="T1060">
        <f t="shared" si="82"/>
        <v>0</v>
      </c>
      <c r="U1060">
        <f t="shared" si="83"/>
        <v>0</v>
      </c>
      <c r="V1060">
        <f t="shared" si="84"/>
        <v>0</v>
      </c>
    </row>
    <row r="1061" spans="1:22" x14ac:dyDescent="0.25">
      <c r="A1061">
        <v>1058</v>
      </c>
      <c r="B1061" t="s">
        <v>16</v>
      </c>
      <c r="C1061" t="s">
        <v>523</v>
      </c>
      <c r="D1061" s="4">
        <v>45608</v>
      </c>
      <c r="E1061" t="s">
        <v>2800</v>
      </c>
      <c r="F1061" t="s">
        <v>75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>
        <v>1</v>
      </c>
      <c r="R1061">
        <f t="shared" si="80"/>
        <v>0</v>
      </c>
      <c r="S1061">
        <f t="shared" si="81"/>
        <v>1</v>
      </c>
      <c r="T1061">
        <f t="shared" si="82"/>
        <v>0</v>
      </c>
      <c r="U1061">
        <f t="shared" si="83"/>
        <v>0</v>
      </c>
      <c r="V1061">
        <f t="shared" si="84"/>
        <v>0</v>
      </c>
    </row>
    <row r="1062" spans="1:22" x14ac:dyDescent="0.25">
      <c r="A1062">
        <v>1059</v>
      </c>
      <c r="B1062" t="s">
        <v>16</v>
      </c>
      <c r="C1062" t="s">
        <v>523</v>
      </c>
      <c r="D1062" s="4">
        <v>45608</v>
      </c>
      <c r="E1062" t="s">
        <v>704</v>
      </c>
      <c r="F1062" t="s">
        <v>75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>
        <v>1</v>
      </c>
      <c r="R1062">
        <f t="shared" si="80"/>
        <v>0</v>
      </c>
      <c r="S1062">
        <f t="shared" si="81"/>
        <v>1</v>
      </c>
      <c r="T1062">
        <f t="shared" si="82"/>
        <v>0</v>
      </c>
      <c r="U1062">
        <f t="shared" si="83"/>
        <v>0</v>
      </c>
      <c r="V1062">
        <f t="shared" si="84"/>
        <v>0</v>
      </c>
    </row>
    <row r="1063" spans="1:22" x14ac:dyDescent="0.25">
      <c r="A1063">
        <v>1060</v>
      </c>
      <c r="B1063" t="s">
        <v>16</v>
      </c>
      <c r="C1063" t="s">
        <v>523</v>
      </c>
      <c r="D1063" s="4">
        <v>45609</v>
      </c>
      <c r="E1063" t="s">
        <v>2799</v>
      </c>
      <c r="F1063" t="s">
        <v>75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>
        <v>1</v>
      </c>
      <c r="R1063">
        <f t="shared" si="80"/>
        <v>0</v>
      </c>
      <c r="S1063">
        <f t="shared" si="81"/>
        <v>1</v>
      </c>
      <c r="T1063">
        <f t="shared" si="82"/>
        <v>0</v>
      </c>
      <c r="U1063">
        <f t="shared" si="83"/>
        <v>0</v>
      </c>
      <c r="V1063">
        <f t="shared" si="84"/>
        <v>0</v>
      </c>
    </row>
    <row r="1064" spans="1:22" x14ac:dyDescent="0.25">
      <c r="A1064">
        <v>1061</v>
      </c>
      <c r="B1064" t="s">
        <v>16</v>
      </c>
      <c r="C1064" t="s">
        <v>523</v>
      </c>
      <c r="D1064" s="4">
        <v>45610</v>
      </c>
      <c r="E1064" t="s">
        <v>544</v>
      </c>
      <c r="F1064" t="s">
        <v>75</v>
      </c>
      <c r="I1064" s="6">
        <v>1</v>
      </c>
      <c r="J1064" s="6">
        <v>0</v>
      </c>
      <c r="K1064" s="6">
        <v>0</v>
      </c>
      <c r="L1064" s="6">
        <v>0</v>
      </c>
      <c r="M1064" s="6">
        <v>1</v>
      </c>
      <c r="N1064" s="6">
        <v>1</v>
      </c>
      <c r="O1064" s="6">
        <v>0</v>
      </c>
      <c r="P1064" s="6">
        <v>0</v>
      </c>
      <c r="Q1064">
        <v>1</v>
      </c>
      <c r="R1064">
        <f t="shared" si="80"/>
        <v>0</v>
      </c>
      <c r="S1064">
        <f t="shared" si="81"/>
        <v>1</v>
      </c>
      <c r="T1064">
        <f t="shared" si="82"/>
        <v>3</v>
      </c>
      <c r="U1064">
        <f t="shared" si="83"/>
        <v>1</v>
      </c>
      <c r="V1064">
        <f t="shared" si="84"/>
        <v>0</v>
      </c>
    </row>
    <row r="1065" spans="1:22" x14ac:dyDescent="0.25">
      <c r="A1065">
        <v>1062</v>
      </c>
      <c r="B1065" t="s">
        <v>16</v>
      </c>
      <c r="C1065" t="s">
        <v>523</v>
      </c>
      <c r="D1065" s="4">
        <v>45612</v>
      </c>
      <c r="E1065" t="s">
        <v>545</v>
      </c>
      <c r="F1065" t="s">
        <v>75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>
        <v>1</v>
      </c>
      <c r="R1065">
        <f t="shared" si="80"/>
        <v>0</v>
      </c>
      <c r="S1065">
        <f t="shared" si="81"/>
        <v>1</v>
      </c>
      <c r="T1065">
        <f t="shared" si="82"/>
        <v>0</v>
      </c>
      <c r="U1065">
        <f t="shared" si="83"/>
        <v>0</v>
      </c>
      <c r="V1065">
        <f t="shared" si="84"/>
        <v>0</v>
      </c>
    </row>
    <row r="1066" spans="1:22" x14ac:dyDescent="0.25">
      <c r="A1066">
        <v>1063</v>
      </c>
      <c r="B1066" t="s">
        <v>16</v>
      </c>
      <c r="C1066" t="s">
        <v>523</v>
      </c>
      <c r="D1066" s="4">
        <v>45616</v>
      </c>
      <c r="E1066" t="s">
        <v>705</v>
      </c>
      <c r="F1066" t="s">
        <v>75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>
        <v>1</v>
      </c>
      <c r="R1066">
        <f t="shared" si="80"/>
        <v>0</v>
      </c>
      <c r="S1066">
        <f t="shared" si="81"/>
        <v>1</v>
      </c>
      <c r="T1066">
        <f t="shared" si="82"/>
        <v>0</v>
      </c>
      <c r="U1066">
        <f t="shared" si="83"/>
        <v>0</v>
      </c>
      <c r="V1066">
        <f t="shared" si="84"/>
        <v>0</v>
      </c>
    </row>
    <row r="1067" spans="1:22" x14ac:dyDescent="0.25">
      <c r="A1067">
        <v>1064</v>
      </c>
      <c r="B1067" t="s">
        <v>16</v>
      </c>
      <c r="C1067" t="s">
        <v>523</v>
      </c>
      <c r="D1067" s="4">
        <v>45622</v>
      </c>
      <c r="E1067" t="s">
        <v>706</v>
      </c>
      <c r="F1067" t="s">
        <v>75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>
        <v>1</v>
      </c>
      <c r="R1067">
        <f t="shared" si="80"/>
        <v>0</v>
      </c>
      <c r="S1067">
        <f t="shared" si="81"/>
        <v>1</v>
      </c>
      <c r="T1067">
        <f t="shared" si="82"/>
        <v>0</v>
      </c>
      <c r="U1067">
        <f t="shared" si="83"/>
        <v>0</v>
      </c>
      <c r="V1067">
        <f t="shared" si="84"/>
        <v>0</v>
      </c>
    </row>
    <row r="1068" spans="1:22" x14ac:dyDescent="0.25">
      <c r="A1068">
        <v>1065</v>
      </c>
      <c r="B1068" t="s">
        <v>16</v>
      </c>
      <c r="C1068" t="s">
        <v>523</v>
      </c>
      <c r="D1068" s="4">
        <v>45624</v>
      </c>
      <c r="E1068" t="s">
        <v>707</v>
      </c>
      <c r="F1068" t="s">
        <v>75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>
        <v>1</v>
      </c>
      <c r="R1068">
        <f t="shared" si="80"/>
        <v>0</v>
      </c>
      <c r="S1068">
        <f t="shared" si="81"/>
        <v>1</v>
      </c>
      <c r="T1068">
        <f t="shared" si="82"/>
        <v>0</v>
      </c>
      <c r="U1068">
        <f t="shared" si="83"/>
        <v>0</v>
      </c>
      <c r="V1068">
        <f t="shared" si="84"/>
        <v>0</v>
      </c>
    </row>
    <row r="1069" spans="1:22" x14ac:dyDescent="0.25">
      <c r="A1069">
        <v>1066</v>
      </c>
      <c r="B1069" t="s">
        <v>16</v>
      </c>
      <c r="C1069" t="s">
        <v>523</v>
      </c>
      <c r="D1069" s="4">
        <v>45625</v>
      </c>
      <c r="E1069" t="s">
        <v>564</v>
      </c>
      <c r="F1069" t="s">
        <v>75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>
        <v>1</v>
      </c>
      <c r="R1069">
        <f t="shared" si="80"/>
        <v>0</v>
      </c>
      <c r="S1069">
        <f t="shared" si="81"/>
        <v>1</v>
      </c>
      <c r="T1069">
        <f t="shared" si="82"/>
        <v>0</v>
      </c>
      <c r="U1069">
        <f t="shared" si="83"/>
        <v>0</v>
      </c>
      <c r="V1069">
        <f t="shared" si="84"/>
        <v>0</v>
      </c>
    </row>
    <row r="1070" spans="1:22" x14ac:dyDescent="0.25">
      <c r="A1070">
        <v>1067</v>
      </c>
      <c r="B1070" t="s">
        <v>16</v>
      </c>
      <c r="C1070" t="s">
        <v>523</v>
      </c>
      <c r="D1070" s="4">
        <v>45625</v>
      </c>
      <c r="E1070" t="s">
        <v>565</v>
      </c>
      <c r="F1070" t="s">
        <v>75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>
        <v>1</v>
      </c>
      <c r="R1070">
        <f t="shared" si="80"/>
        <v>0</v>
      </c>
      <c r="S1070">
        <f t="shared" si="81"/>
        <v>1</v>
      </c>
      <c r="T1070">
        <f t="shared" si="82"/>
        <v>0</v>
      </c>
      <c r="U1070">
        <f t="shared" si="83"/>
        <v>0</v>
      </c>
      <c r="V1070">
        <f t="shared" si="84"/>
        <v>0</v>
      </c>
    </row>
    <row r="1071" spans="1:22" x14ac:dyDescent="0.25">
      <c r="A1071">
        <v>1068</v>
      </c>
      <c r="B1071" t="s">
        <v>16</v>
      </c>
      <c r="C1071" t="s">
        <v>523</v>
      </c>
      <c r="D1071" s="4">
        <v>45625</v>
      </c>
      <c r="E1071" t="s">
        <v>708</v>
      </c>
      <c r="F1071" t="s">
        <v>75</v>
      </c>
      <c r="I1071" s="6">
        <v>1</v>
      </c>
      <c r="J1071" s="6">
        <v>1</v>
      </c>
      <c r="K1071" s="6">
        <v>1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>
        <v>1</v>
      </c>
      <c r="R1071">
        <f t="shared" si="80"/>
        <v>0</v>
      </c>
      <c r="S1071">
        <f t="shared" si="81"/>
        <v>1</v>
      </c>
      <c r="T1071">
        <f t="shared" si="82"/>
        <v>3</v>
      </c>
      <c r="U1071">
        <f t="shared" si="83"/>
        <v>1</v>
      </c>
      <c r="V1071">
        <f t="shared" si="84"/>
        <v>0</v>
      </c>
    </row>
    <row r="1072" spans="1:22" x14ac:dyDescent="0.25">
      <c r="A1072">
        <v>1069</v>
      </c>
      <c r="B1072" t="s">
        <v>16</v>
      </c>
      <c r="C1072" t="s">
        <v>523</v>
      </c>
      <c r="D1072" s="4">
        <v>45626</v>
      </c>
      <c r="E1072" t="s">
        <v>2798</v>
      </c>
      <c r="F1072" t="s">
        <v>75</v>
      </c>
      <c r="I1072" s="6">
        <v>0</v>
      </c>
      <c r="J1072" s="6">
        <v>0</v>
      </c>
      <c r="K1072" s="6">
        <v>0</v>
      </c>
      <c r="L1072" s="6">
        <v>0</v>
      </c>
      <c r="M1072" s="6">
        <v>1</v>
      </c>
      <c r="N1072" s="6">
        <v>1</v>
      </c>
      <c r="O1072" s="6">
        <v>0</v>
      </c>
      <c r="P1072" s="6">
        <v>0</v>
      </c>
      <c r="Q1072">
        <v>1</v>
      </c>
      <c r="R1072">
        <f t="shared" si="80"/>
        <v>0</v>
      </c>
      <c r="S1072">
        <f t="shared" si="81"/>
        <v>1</v>
      </c>
      <c r="T1072">
        <f t="shared" si="82"/>
        <v>2</v>
      </c>
      <c r="U1072">
        <f t="shared" si="83"/>
        <v>1</v>
      </c>
      <c r="V1072">
        <f t="shared" si="84"/>
        <v>0</v>
      </c>
    </row>
    <row r="1073" spans="1:22" x14ac:dyDescent="0.25">
      <c r="A1073">
        <v>1070</v>
      </c>
      <c r="B1073" t="s">
        <v>16</v>
      </c>
      <c r="C1073" t="s">
        <v>523</v>
      </c>
      <c r="D1073" s="4">
        <v>45626</v>
      </c>
      <c r="E1073" t="s">
        <v>2797</v>
      </c>
      <c r="F1073" t="s">
        <v>75</v>
      </c>
      <c r="I1073" s="6">
        <v>0</v>
      </c>
      <c r="J1073" s="6">
        <v>0</v>
      </c>
      <c r="K1073" s="6">
        <v>0</v>
      </c>
      <c r="L1073" s="6">
        <v>0</v>
      </c>
      <c r="M1073" s="6">
        <v>1</v>
      </c>
      <c r="N1073" s="6">
        <v>0</v>
      </c>
      <c r="O1073" s="6">
        <v>0</v>
      </c>
      <c r="P1073" s="6">
        <v>0</v>
      </c>
      <c r="Q1073">
        <v>1</v>
      </c>
      <c r="R1073">
        <f t="shared" si="80"/>
        <v>0</v>
      </c>
      <c r="S1073">
        <f t="shared" si="81"/>
        <v>1</v>
      </c>
      <c r="T1073">
        <f t="shared" si="82"/>
        <v>1</v>
      </c>
      <c r="U1073">
        <f t="shared" si="83"/>
        <v>1</v>
      </c>
      <c r="V1073">
        <f t="shared" si="84"/>
        <v>0</v>
      </c>
    </row>
    <row r="1074" spans="1:22" x14ac:dyDescent="0.25">
      <c r="A1074">
        <v>1071</v>
      </c>
      <c r="B1074" t="s">
        <v>16</v>
      </c>
      <c r="C1074" t="s">
        <v>523</v>
      </c>
      <c r="D1074" s="4">
        <v>45627</v>
      </c>
      <c r="E1074" t="s">
        <v>709</v>
      </c>
      <c r="F1074" t="s">
        <v>710</v>
      </c>
      <c r="G1074">
        <v>60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>
        <v>1</v>
      </c>
      <c r="R1074">
        <f t="shared" si="80"/>
        <v>0</v>
      </c>
      <c r="S1074">
        <f t="shared" si="81"/>
        <v>0</v>
      </c>
      <c r="T1074">
        <f t="shared" si="82"/>
        <v>0</v>
      </c>
      <c r="U1074">
        <f t="shared" si="83"/>
        <v>0</v>
      </c>
      <c r="V1074">
        <f t="shared" si="84"/>
        <v>0</v>
      </c>
    </row>
    <row r="1075" spans="1:22" x14ac:dyDescent="0.25">
      <c r="A1075">
        <v>1072</v>
      </c>
      <c r="B1075" t="s">
        <v>16</v>
      </c>
      <c r="C1075" t="s">
        <v>523</v>
      </c>
      <c r="D1075" s="4">
        <v>45627</v>
      </c>
      <c r="E1075" t="s">
        <v>2796</v>
      </c>
      <c r="F1075" t="s">
        <v>75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>
        <v>1</v>
      </c>
      <c r="R1075">
        <f t="shared" si="80"/>
        <v>0</v>
      </c>
      <c r="S1075">
        <f t="shared" si="81"/>
        <v>1</v>
      </c>
      <c r="T1075">
        <f t="shared" si="82"/>
        <v>0</v>
      </c>
      <c r="U1075">
        <f t="shared" si="83"/>
        <v>0</v>
      </c>
      <c r="V1075">
        <f t="shared" si="84"/>
        <v>0</v>
      </c>
    </row>
    <row r="1076" spans="1:22" x14ac:dyDescent="0.25">
      <c r="A1076">
        <v>1073</v>
      </c>
      <c r="B1076" t="s">
        <v>16</v>
      </c>
      <c r="C1076" t="s">
        <v>523</v>
      </c>
      <c r="D1076" s="4">
        <v>45628</v>
      </c>
      <c r="E1076" t="s">
        <v>566</v>
      </c>
      <c r="F1076" t="s">
        <v>710</v>
      </c>
      <c r="G1076">
        <v>61</v>
      </c>
      <c r="I1076" s="6">
        <v>0</v>
      </c>
      <c r="J1076" s="6">
        <v>0</v>
      </c>
      <c r="K1076" s="6">
        <v>0</v>
      </c>
      <c r="L1076" s="6">
        <v>1</v>
      </c>
      <c r="M1076" s="6">
        <v>0</v>
      </c>
      <c r="N1076" s="6">
        <v>0</v>
      </c>
      <c r="O1076" s="6">
        <v>1</v>
      </c>
      <c r="P1076" s="6">
        <v>0</v>
      </c>
      <c r="Q1076">
        <v>1</v>
      </c>
      <c r="R1076">
        <f t="shared" si="80"/>
        <v>0</v>
      </c>
      <c r="S1076">
        <f t="shared" si="81"/>
        <v>0</v>
      </c>
      <c r="T1076">
        <f t="shared" si="82"/>
        <v>2</v>
      </c>
      <c r="U1076">
        <f t="shared" si="83"/>
        <v>1</v>
      </c>
      <c r="V1076">
        <f t="shared" si="84"/>
        <v>0</v>
      </c>
    </row>
    <row r="1077" spans="1:22" x14ac:dyDescent="0.25">
      <c r="A1077">
        <v>1074</v>
      </c>
      <c r="B1077" t="s">
        <v>16</v>
      </c>
      <c r="C1077" t="s">
        <v>523</v>
      </c>
      <c r="D1077" s="4">
        <v>45629</v>
      </c>
      <c r="E1077" t="s">
        <v>567</v>
      </c>
      <c r="F1077" t="s">
        <v>710</v>
      </c>
      <c r="G1077">
        <v>62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>
        <v>1</v>
      </c>
      <c r="R1077">
        <f t="shared" si="80"/>
        <v>0</v>
      </c>
      <c r="S1077">
        <f t="shared" si="81"/>
        <v>0</v>
      </c>
      <c r="T1077">
        <f t="shared" si="82"/>
        <v>0</v>
      </c>
      <c r="U1077">
        <f t="shared" si="83"/>
        <v>0</v>
      </c>
      <c r="V1077">
        <f t="shared" si="84"/>
        <v>0</v>
      </c>
    </row>
    <row r="1078" spans="1:22" x14ac:dyDescent="0.25">
      <c r="A1078">
        <v>1075</v>
      </c>
      <c r="B1078" t="s">
        <v>16</v>
      </c>
      <c r="C1078" t="s">
        <v>523</v>
      </c>
      <c r="D1078" s="4">
        <v>45629</v>
      </c>
      <c r="E1078" t="s">
        <v>568</v>
      </c>
      <c r="F1078" t="s">
        <v>75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1</v>
      </c>
      <c r="Q1078">
        <v>1</v>
      </c>
      <c r="R1078">
        <f t="shared" si="80"/>
        <v>0</v>
      </c>
      <c r="S1078">
        <f t="shared" si="81"/>
        <v>1</v>
      </c>
      <c r="T1078">
        <f t="shared" si="82"/>
        <v>1</v>
      </c>
      <c r="U1078">
        <f t="shared" si="83"/>
        <v>1</v>
      </c>
      <c r="V1078">
        <f t="shared" si="84"/>
        <v>0</v>
      </c>
    </row>
    <row r="1079" spans="1:22" x14ac:dyDescent="0.25">
      <c r="A1079">
        <v>1076</v>
      </c>
      <c r="B1079" t="s">
        <v>16</v>
      </c>
      <c r="C1079" t="s">
        <v>523</v>
      </c>
      <c r="D1079" s="4">
        <v>45630</v>
      </c>
      <c r="E1079" t="s">
        <v>711</v>
      </c>
      <c r="F1079" t="s">
        <v>710</v>
      </c>
      <c r="G1079">
        <v>63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>
        <v>1</v>
      </c>
      <c r="R1079">
        <f t="shared" si="80"/>
        <v>0</v>
      </c>
      <c r="S1079">
        <f t="shared" si="81"/>
        <v>0</v>
      </c>
      <c r="T1079">
        <f t="shared" si="82"/>
        <v>0</v>
      </c>
      <c r="U1079">
        <f t="shared" si="83"/>
        <v>0</v>
      </c>
      <c r="V1079">
        <f t="shared" si="84"/>
        <v>0</v>
      </c>
    </row>
    <row r="1080" spans="1:22" x14ac:dyDescent="0.25">
      <c r="A1080">
        <v>1077</v>
      </c>
      <c r="B1080" t="s">
        <v>16</v>
      </c>
      <c r="C1080" t="s">
        <v>523</v>
      </c>
      <c r="D1080" s="4">
        <v>45631</v>
      </c>
      <c r="E1080" t="s">
        <v>712</v>
      </c>
      <c r="F1080" t="s">
        <v>710</v>
      </c>
      <c r="G1080">
        <v>64</v>
      </c>
      <c r="I1080" s="6">
        <v>0</v>
      </c>
      <c r="J1080" s="6">
        <v>0</v>
      </c>
      <c r="K1080" s="6">
        <v>0</v>
      </c>
      <c r="L1080" s="6">
        <v>0</v>
      </c>
      <c r="M1080" s="6">
        <v>1</v>
      </c>
      <c r="N1080" s="6">
        <v>0</v>
      </c>
      <c r="O1080" s="6">
        <v>0</v>
      </c>
      <c r="P1080" s="6">
        <v>0</v>
      </c>
      <c r="Q1080">
        <v>1</v>
      </c>
      <c r="R1080">
        <f t="shared" si="80"/>
        <v>0</v>
      </c>
      <c r="S1080">
        <f t="shared" si="81"/>
        <v>0</v>
      </c>
      <c r="T1080">
        <f t="shared" si="82"/>
        <v>1</v>
      </c>
      <c r="U1080">
        <f t="shared" si="83"/>
        <v>1</v>
      </c>
      <c r="V1080">
        <f t="shared" si="84"/>
        <v>0</v>
      </c>
    </row>
    <row r="1081" spans="1:22" x14ac:dyDescent="0.25">
      <c r="A1081">
        <v>1078</v>
      </c>
      <c r="B1081" t="s">
        <v>16</v>
      </c>
      <c r="C1081" t="s">
        <v>523</v>
      </c>
      <c r="D1081" s="4">
        <v>45631</v>
      </c>
      <c r="E1081" t="s">
        <v>2795</v>
      </c>
      <c r="F1081" t="s">
        <v>75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>
        <v>1</v>
      </c>
      <c r="R1081">
        <f t="shared" si="80"/>
        <v>0</v>
      </c>
      <c r="S1081">
        <f t="shared" si="81"/>
        <v>1</v>
      </c>
      <c r="T1081">
        <f t="shared" si="82"/>
        <v>0</v>
      </c>
      <c r="U1081">
        <f t="shared" si="83"/>
        <v>0</v>
      </c>
      <c r="V1081">
        <f t="shared" si="84"/>
        <v>0</v>
      </c>
    </row>
    <row r="1082" spans="1:22" x14ac:dyDescent="0.25">
      <c r="A1082">
        <v>1079</v>
      </c>
      <c r="B1082" t="s">
        <v>16</v>
      </c>
      <c r="C1082" t="s">
        <v>523</v>
      </c>
      <c r="D1082" s="4">
        <v>45631</v>
      </c>
      <c r="E1082" t="s">
        <v>713</v>
      </c>
      <c r="F1082" t="s">
        <v>75</v>
      </c>
      <c r="I1082" s="6">
        <v>0</v>
      </c>
      <c r="J1082" s="6">
        <v>0</v>
      </c>
      <c r="K1082" s="6">
        <v>0</v>
      </c>
      <c r="L1082" s="6">
        <v>0</v>
      </c>
      <c r="M1082" s="6">
        <v>1</v>
      </c>
      <c r="N1082" s="6">
        <v>0</v>
      </c>
      <c r="O1082" s="6">
        <v>0</v>
      </c>
      <c r="P1082" s="6">
        <v>0</v>
      </c>
      <c r="Q1082">
        <v>1</v>
      </c>
      <c r="R1082">
        <f t="shared" si="80"/>
        <v>0</v>
      </c>
      <c r="S1082">
        <f t="shared" si="81"/>
        <v>1</v>
      </c>
      <c r="T1082">
        <f t="shared" si="82"/>
        <v>1</v>
      </c>
      <c r="U1082">
        <f t="shared" si="83"/>
        <v>1</v>
      </c>
      <c r="V1082">
        <f t="shared" si="84"/>
        <v>0</v>
      </c>
    </row>
    <row r="1083" spans="1:22" x14ac:dyDescent="0.25">
      <c r="A1083">
        <v>1080</v>
      </c>
      <c r="B1083" t="s">
        <v>16</v>
      </c>
      <c r="C1083" t="s">
        <v>523</v>
      </c>
      <c r="D1083" s="4">
        <v>45632</v>
      </c>
      <c r="E1083" t="s">
        <v>714</v>
      </c>
      <c r="F1083" t="s">
        <v>710</v>
      </c>
      <c r="G1083">
        <v>65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>
        <v>1</v>
      </c>
      <c r="R1083">
        <f t="shared" si="80"/>
        <v>0</v>
      </c>
      <c r="S1083">
        <f t="shared" si="81"/>
        <v>0</v>
      </c>
      <c r="T1083">
        <f t="shared" si="82"/>
        <v>0</v>
      </c>
      <c r="U1083">
        <f t="shared" si="83"/>
        <v>0</v>
      </c>
      <c r="V1083">
        <f t="shared" si="84"/>
        <v>0</v>
      </c>
    </row>
    <row r="1084" spans="1:22" x14ac:dyDescent="0.25">
      <c r="A1084">
        <v>1081</v>
      </c>
      <c r="B1084" t="s">
        <v>16</v>
      </c>
      <c r="C1084" t="s">
        <v>523</v>
      </c>
      <c r="D1084" s="4">
        <v>45633</v>
      </c>
      <c r="E1084" t="s">
        <v>2794</v>
      </c>
      <c r="F1084" t="s">
        <v>75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>
        <v>1</v>
      </c>
      <c r="R1084">
        <f t="shared" si="80"/>
        <v>0</v>
      </c>
      <c r="S1084">
        <f t="shared" si="81"/>
        <v>1</v>
      </c>
      <c r="T1084">
        <f t="shared" si="82"/>
        <v>0</v>
      </c>
      <c r="U1084">
        <f t="shared" si="83"/>
        <v>0</v>
      </c>
      <c r="V1084">
        <f t="shared" si="84"/>
        <v>0</v>
      </c>
    </row>
    <row r="1085" spans="1:22" x14ac:dyDescent="0.25">
      <c r="A1085">
        <v>1082</v>
      </c>
      <c r="B1085" t="s">
        <v>16</v>
      </c>
      <c r="C1085" t="s">
        <v>523</v>
      </c>
      <c r="D1085" s="4">
        <v>45633</v>
      </c>
      <c r="E1085" t="s">
        <v>715</v>
      </c>
      <c r="F1085" t="s">
        <v>710</v>
      </c>
      <c r="G1085">
        <v>66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>
        <v>1</v>
      </c>
      <c r="R1085">
        <f t="shared" si="80"/>
        <v>0</v>
      </c>
      <c r="S1085">
        <f t="shared" si="81"/>
        <v>0</v>
      </c>
      <c r="T1085">
        <f t="shared" si="82"/>
        <v>0</v>
      </c>
      <c r="U1085">
        <f t="shared" si="83"/>
        <v>0</v>
      </c>
      <c r="V1085">
        <f t="shared" si="84"/>
        <v>0</v>
      </c>
    </row>
    <row r="1086" spans="1:22" x14ac:dyDescent="0.25">
      <c r="A1086">
        <v>1083</v>
      </c>
      <c r="B1086" t="s">
        <v>16</v>
      </c>
      <c r="C1086" t="s">
        <v>523</v>
      </c>
      <c r="D1086" s="4">
        <v>45633</v>
      </c>
      <c r="E1086" t="s">
        <v>716</v>
      </c>
      <c r="F1086" t="s">
        <v>75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>
        <v>1</v>
      </c>
      <c r="R1086">
        <f t="shared" si="80"/>
        <v>0</v>
      </c>
      <c r="S1086">
        <f t="shared" si="81"/>
        <v>1</v>
      </c>
      <c r="T1086">
        <f t="shared" si="82"/>
        <v>0</v>
      </c>
      <c r="U1086">
        <f t="shared" si="83"/>
        <v>0</v>
      </c>
      <c r="V1086">
        <f t="shared" si="84"/>
        <v>0</v>
      </c>
    </row>
    <row r="1087" spans="1:22" x14ac:dyDescent="0.25">
      <c r="A1087">
        <v>1084</v>
      </c>
      <c r="B1087" t="s">
        <v>16</v>
      </c>
      <c r="C1087" t="s">
        <v>523</v>
      </c>
      <c r="D1087" s="4">
        <v>45633</v>
      </c>
      <c r="E1087" t="s">
        <v>2793</v>
      </c>
      <c r="F1087" t="s">
        <v>75</v>
      </c>
      <c r="I1087" s="6">
        <v>1</v>
      </c>
      <c r="J1087" s="6">
        <v>0</v>
      </c>
      <c r="K1087" s="6">
        <v>1</v>
      </c>
      <c r="L1087" s="6">
        <v>0</v>
      </c>
      <c r="M1087" s="6">
        <v>1</v>
      </c>
      <c r="N1087" s="6">
        <v>0</v>
      </c>
      <c r="O1087" s="6">
        <v>0</v>
      </c>
      <c r="P1087" s="6">
        <v>0</v>
      </c>
      <c r="Q1087">
        <v>1</v>
      </c>
      <c r="R1087">
        <f t="shared" si="80"/>
        <v>0</v>
      </c>
      <c r="S1087">
        <f t="shared" si="81"/>
        <v>1</v>
      </c>
      <c r="T1087">
        <f t="shared" si="82"/>
        <v>3</v>
      </c>
      <c r="U1087">
        <f t="shared" si="83"/>
        <v>1</v>
      </c>
      <c r="V1087">
        <f t="shared" si="84"/>
        <v>0</v>
      </c>
    </row>
    <row r="1088" spans="1:22" x14ac:dyDescent="0.25">
      <c r="A1088">
        <v>1085</v>
      </c>
      <c r="B1088" t="s">
        <v>16</v>
      </c>
      <c r="C1088" t="s">
        <v>523</v>
      </c>
      <c r="D1088" s="4">
        <v>45633</v>
      </c>
      <c r="E1088" t="s">
        <v>717</v>
      </c>
      <c r="F1088" t="s">
        <v>75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>
        <v>1</v>
      </c>
      <c r="R1088">
        <f t="shared" si="80"/>
        <v>0</v>
      </c>
      <c r="S1088">
        <f t="shared" si="81"/>
        <v>1</v>
      </c>
      <c r="T1088">
        <f t="shared" si="82"/>
        <v>0</v>
      </c>
      <c r="U1088">
        <f t="shared" si="83"/>
        <v>0</v>
      </c>
      <c r="V1088">
        <f t="shared" si="84"/>
        <v>0</v>
      </c>
    </row>
    <row r="1089" spans="1:22" x14ac:dyDescent="0.25">
      <c r="A1089">
        <v>1086</v>
      </c>
      <c r="B1089" t="s">
        <v>16</v>
      </c>
      <c r="C1089" t="s">
        <v>523</v>
      </c>
      <c r="D1089" s="4">
        <v>45633</v>
      </c>
      <c r="E1089" t="s">
        <v>2792</v>
      </c>
      <c r="F1089" t="s">
        <v>75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>
        <v>1</v>
      </c>
      <c r="R1089">
        <f t="shared" si="80"/>
        <v>0</v>
      </c>
      <c r="S1089">
        <f t="shared" si="81"/>
        <v>1</v>
      </c>
      <c r="T1089">
        <f t="shared" si="82"/>
        <v>0</v>
      </c>
      <c r="U1089">
        <f t="shared" si="83"/>
        <v>0</v>
      </c>
      <c r="V1089">
        <f t="shared" si="84"/>
        <v>0</v>
      </c>
    </row>
    <row r="1090" spans="1:22" x14ac:dyDescent="0.25">
      <c r="A1090">
        <v>1087</v>
      </c>
      <c r="B1090" t="s">
        <v>16</v>
      </c>
      <c r="C1090" t="s">
        <v>523</v>
      </c>
      <c r="D1090" s="4">
        <v>45634</v>
      </c>
      <c r="E1090" t="s">
        <v>718</v>
      </c>
      <c r="F1090" t="s">
        <v>710</v>
      </c>
      <c r="G1090">
        <v>67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>
        <v>1</v>
      </c>
      <c r="R1090">
        <f t="shared" si="80"/>
        <v>0</v>
      </c>
      <c r="S1090">
        <f t="shared" si="81"/>
        <v>0</v>
      </c>
      <c r="T1090">
        <f t="shared" si="82"/>
        <v>0</v>
      </c>
      <c r="U1090">
        <f t="shared" si="83"/>
        <v>0</v>
      </c>
      <c r="V1090">
        <f t="shared" si="84"/>
        <v>0</v>
      </c>
    </row>
    <row r="1091" spans="1:22" x14ac:dyDescent="0.25">
      <c r="A1091">
        <v>1088</v>
      </c>
      <c r="B1091" t="s">
        <v>16</v>
      </c>
      <c r="C1091" t="s">
        <v>523</v>
      </c>
      <c r="D1091" s="4">
        <v>45634</v>
      </c>
      <c r="E1091" t="s">
        <v>2791</v>
      </c>
      <c r="F1091" t="s">
        <v>357</v>
      </c>
      <c r="I1091" s="6"/>
      <c r="J1091" s="6"/>
      <c r="K1091" s="6"/>
      <c r="L1091" s="6"/>
      <c r="M1091" s="6"/>
      <c r="N1091" s="6"/>
      <c r="O1091" s="6"/>
      <c r="P1091" s="6"/>
      <c r="Q1091">
        <v>0</v>
      </c>
      <c r="R1091">
        <f t="shared" ref="R1091:R1154" si="85">IF(AND(Q1091=1,F1091="ai_full"),1,0)</f>
        <v>0</v>
      </c>
      <c r="S1091">
        <f t="shared" ref="S1091:S1154" si="86">IF(AND(Q1091=1,F1091="conventional"),1,0)</f>
        <v>0</v>
      </c>
      <c r="T1091">
        <f t="shared" ref="T1091:T1154" si="87">SUM(I1091:P1091)</f>
        <v>0</v>
      </c>
      <c r="U1091">
        <f t="shared" ref="U1091:U1154" si="88">IF(T1091&gt;=1,1,0)</f>
        <v>0</v>
      </c>
      <c r="V1091">
        <f t="shared" ref="V1091:V1154" si="89">IF(F1091="ai_full",1,0)</f>
        <v>0</v>
      </c>
    </row>
    <row r="1092" spans="1:22" x14ac:dyDescent="0.25">
      <c r="A1092">
        <v>1089</v>
      </c>
      <c r="B1092" t="s">
        <v>16</v>
      </c>
      <c r="C1092" t="s">
        <v>523</v>
      </c>
      <c r="D1092" s="4">
        <v>45634</v>
      </c>
      <c r="E1092" t="s">
        <v>2790</v>
      </c>
      <c r="F1092" t="s">
        <v>75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>
        <v>1</v>
      </c>
      <c r="R1092">
        <f t="shared" si="85"/>
        <v>0</v>
      </c>
      <c r="S1092">
        <f t="shared" si="86"/>
        <v>1</v>
      </c>
      <c r="T1092">
        <f t="shared" si="87"/>
        <v>0</v>
      </c>
      <c r="U1092">
        <f t="shared" si="88"/>
        <v>0</v>
      </c>
      <c r="V1092">
        <f t="shared" si="89"/>
        <v>0</v>
      </c>
    </row>
    <row r="1093" spans="1:22" x14ac:dyDescent="0.25">
      <c r="A1093">
        <v>1090</v>
      </c>
      <c r="B1093" t="s">
        <v>16</v>
      </c>
      <c r="C1093" t="s">
        <v>523</v>
      </c>
      <c r="D1093" s="4">
        <v>45635</v>
      </c>
      <c r="E1093" t="s">
        <v>575</v>
      </c>
      <c r="F1093" t="s">
        <v>75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>
        <v>1</v>
      </c>
      <c r="R1093">
        <f t="shared" si="85"/>
        <v>0</v>
      </c>
      <c r="S1093">
        <f t="shared" si="86"/>
        <v>1</v>
      </c>
      <c r="T1093">
        <f t="shared" si="87"/>
        <v>0</v>
      </c>
      <c r="U1093">
        <f t="shared" si="88"/>
        <v>0</v>
      </c>
      <c r="V1093">
        <f t="shared" si="89"/>
        <v>0</v>
      </c>
    </row>
    <row r="1094" spans="1:22" x14ac:dyDescent="0.25">
      <c r="A1094">
        <v>1091</v>
      </c>
      <c r="B1094" t="s">
        <v>16</v>
      </c>
      <c r="C1094" t="s">
        <v>523</v>
      </c>
      <c r="D1094" s="4">
        <v>45635</v>
      </c>
      <c r="E1094" t="s">
        <v>576</v>
      </c>
      <c r="F1094" t="s">
        <v>710</v>
      </c>
      <c r="G1094">
        <v>68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>
        <v>1</v>
      </c>
      <c r="R1094">
        <f t="shared" si="85"/>
        <v>0</v>
      </c>
      <c r="S1094">
        <f t="shared" si="86"/>
        <v>0</v>
      </c>
      <c r="T1094">
        <f t="shared" si="87"/>
        <v>0</v>
      </c>
      <c r="U1094">
        <f t="shared" si="88"/>
        <v>0</v>
      </c>
      <c r="V1094">
        <f t="shared" si="89"/>
        <v>0</v>
      </c>
    </row>
    <row r="1095" spans="1:22" x14ac:dyDescent="0.25">
      <c r="A1095">
        <v>1092</v>
      </c>
      <c r="B1095" t="s">
        <v>16</v>
      </c>
      <c r="C1095" t="s">
        <v>523</v>
      </c>
      <c r="D1095" s="4">
        <v>45635</v>
      </c>
      <c r="E1095" t="s">
        <v>577</v>
      </c>
      <c r="F1095" t="s">
        <v>75</v>
      </c>
      <c r="I1095" s="6">
        <v>1</v>
      </c>
      <c r="J1095" s="6">
        <v>0</v>
      </c>
      <c r="K1095" s="6">
        <v>1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>
        <v>1</v>
      </c>
      <c r="R1095">
        <f t="shared" si="85"/>
        <v>0</v>
      </c>
      <c r="S1095">
        <f t="shared" si="86"/>
        <v>1</v>
      </c>
      <c r="T1095">
        <f t="shared" si="87"/>
        <v>2</v>
      </c>
      <c r="U1095">
        <f t="shared" si="88"/>
        <v>1</v>
      </c>
      <c r="V1095">
        <f t="shared" si="89"/>
        <v>0</v>
      </c>
    </row>
    <row r="1096" spans="1:22" x14ac:dyDescent="0.25">
      <c r="A1096">
        <v>1093</v>
      </c>
      <c r="B1096" t="s">
        <v>16</v>
      </c>
      <c r="C1096" t="s">
        <v>523</v>
      </c>
      <c r="D1096" s="4">
        <v>45636</v>
      </c>
      <c r="E1096" t="s">
        <v>719</v>
      </c>
      <c r="F1096" t="s">
        <v>75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1</v>
      </c>
      <c r="P1096" s="6">
        <v>0</v>
      </c>
      <c r="Q1096">
        <v>1</v>
      </c>
      <c r="R1096">
        <f t="shared" si="85"/>
        <v>0</v>
      </c>
      <c r="S1096">
        <f t="shared" si="86"/>
        <v>1</v>
      </c>
      <c r="T1096">
        <f t="shared" si="87"/>
        <v>1</v>
      </c>
      <c r="U1096">
        <f t="shared" si="88"/>
        <v>1</v>
      </c>
      <c r="V1096">
        <f t="shared" si="89"/>
        <v>0</v>
      </c>
    </row>
    <row r="1097" spans="1:22" x14ac:dyDescent="0.25">
      <c r="A1097">
        <v>1094</v>
      </c>
      <c r="B1097" t="s">
        <v>16</v>
      </c>
      <c r="C1097" t="s">
        <v>523</v>
      </c>
      <c r="D1097" s="4">
        <v>45636</v>
      </c>
      <c r="E1097" t="s">
        <v>720</v>
      </c>
      <c r="F1097" t="s">
        <v>75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>
        <v>1</v>
      </c>
      <c r="R1097">
        <f t="shared" si="85"/>
        <v>0</v>
      </c>
      <c r="S1097">
        <f t="shared" si="86"/>
        <v>1</v>
      </c>
      <c r="T1097">
        <f t="shared" si="87"/>
        <v>0</v>
      </c>
      <c r="U1097">
        <f t="shared" si="88"/>
        <v>0</v>
      </c>
      <c r="V1097">
        <f t="shared" si="89"/>
        <v>0</v>
      </c>
    </row>
    <row r="1098" spans="1:22" x14ac:dyDescent="0.25">
      <c r="A1098">
        <v>1095</v>
      </c>
      <c r="B1098" t="s">
        <v>16</v>
      </c>
      <c r="C1098" t="s">
        <v>523</v>
      </c>
      <c r="D1098" s="4">
        <v>45638</v>
      </c>
      <c r="E1098" t="s">
        <v>579</v>
      </c>
      <c r="F1098" t="s">
        <v>710</v>
      </c>
      <c r="G1098">
        <v>69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>
        <v>1</v>
      </c>
      <c r="R1098">
        <f t="shared" si="85"/>
        <v>0</v>
      </c>
      <c r="S1098">
        <f t="shared" si="86"/>
        <v>0</v>
      </c>
      <c r="T1098">
        <f t="shared" si="87"/>
        <v>0</v>
      </c>
      <c r="U1098">
        <f t="shared" si="88"/>
        <v>0</v>
      </c>
      <c r="V1098">
        <f t="shared" si="89"/>
        <v>0</v>
      </c>
    </row>
    <row r="1099" spans="1:22" x14ac:dyDescent="0.25">
      <c r="A1099">
        <v>1096</v>
      </c>
      <c r="B1099" t="s">
        <v>16</v>
      </c>
      <c r="C1099" t="s">
        <v>523</v>
      </c>
      <c r="D1099" s="4">
        <v>45638</v>
      </c>
      <c r="E1099" t="s">
        <v>580</v>
      </c>
      <c r="F1099" t="s">
        <v>710</v>
      </c>
      <c r="G1099">
        <v>70</v>
      </c>
      <c r="I1099" s="6">
        <v>0</v>
      </c>
      <c r="J1099" s="6">
        <v>0</v>
      </c>
      <c r="K1099" s="6">
        <v>0</v>
      </c>
      <c r="L1099" s="6">
        <v>0</v>
      </c>
      <c r="M1099" s="6">
        <v>1</v>
      </c>
      <c r="N1099" s="6">
        <v>1</v>
      </c>
      <c r="O1099" s="6">
        <v>0</v>
      </c>
      <c r="P1099" s="6">
        <v>0</v>
      </c>
      <c r="Q1099">
        <v>1</v>
      </c>
      <c r="R1099">
        <f t="shared" si="85"/>
        <v>0</v>
      </c>
      <c r="S1099">
        <f t="shared" si="86"/>
        <v>0</v>
      </c>
      <c r="T1099">
        <f t="shared" si="87"/>
        <v>2</v>
      </c>
      <c r="U1099">
        <f t="shared" si="88"/>
        <v>1</v>
      </c>
      <c r="V1099">
        <f t="shared" si="89"/>
        <v>0</v>
      </c>
    </row>
    <row r="1100" spans="1:22" x14ac:dyDescent="0.25">
      <c r="A1100">
        <v>1097</v>
      </c>
      <c r="B1100" t="s">
        <v>16</v>
      </c>
      <c r="C1100" t="s">
        <v>523</v>
      </c>
      <c r="D1100" s="4">
        <v>45638</v>
      </c>
      <c r="E1100" t="s">
        <v>2789</v>
      </c>
      <c r="F1100" t="s">
        <v>75</v>
      </c>
      <c r="I1100" s="6">
        <v>1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>
        <v>1</v>
      </c>
      <c r="R1100">
        <f t="shared" si="85"/>
        <v>0</v>
      </c>
      <c r="S1100">
        <f t="shared" si="86"/>
        <v>1</v>
      </c>
      <c r="T1100">
        <f t="shared" si="87"/>
        <v>1</v>
      </c>
      <c r="U1100">
        <f t="shared" si="88"/>
        <v>1</v>
      </c>
      <c r="V1100">
        <f t="shared" si="89"/>
        <v>0</v>
      </c>
    </row>
    <row r="1101" spans="1:22" x14ac:dyDescent="0.25">
      <c r="A1101">
        <v>1098</v>
      </c>
      <c r="B1101" t="s">
        <v>16</v>
      </c>
      <c r="C1101" t="s">
        <v>523</v>
      </c>
      <c r="D1101" s="4">
        <v>45638</v>
      </c>
      <c r="E1101" t="s">
        <v>721</v>
      </c>
      <c r="F1101" t="s">
        <v>75</v>
      </c>
      <c r="H1101" t="s">
        <v>722</v>
      </c>
      <c r="I1101" s="6">
        <v>1</v>
      </c>
      <c r="J1101" s="6">
        <v>0</v>
      </c>
      <c r="K1101" s="6">
        <v>1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>
        <v>1</v>
      </c>
      <c r="R1101">
        <f t="shared" si="85"/>
        <v>0</v>
      </c>
      <c r="S1101">
        <f t="shared" si="86"/>
        <v>1</v>
      </c>
      <c r="T1101">
        <f t="shared" si="87"/>
        <v>2</v>
      </c>
      <c r="U1101">
        <f t="shared" si="88"/>
        <v>1</v>
      </c>
      <c r="V1101">
        <f t="shared" si="89"/>
        <v>0</v>
      </c>
    </row>
    <row r="1102" spans="1:22" x14ac:dyDescent="0.25">
      <c r="A1102">
        <v>1099</v>
      </c>
      <c r="B1102" t="s">
        <v>16</v>
      </c>
      <c r="C1102" t="s">
        <v>523</v>
      </c>
      <c r="D1102" s="4">
        <v>45638</v>
      </c>
      <c r="E1102" t="s">
        <v>723</v>
      </c>
      <c r="F1102" t="s">
        <v>710</v>
      </c>
      <c r="G1102">
        <v>71</v>
      </c>
      <c r="I1102" s="6">
        <v>1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>
        <v>1</v>
      </c>
      <c r="R1102">
        <f t="shared" si="85"/>
        <v>0</v>
      </c>
      <c r="S1102">
        <f t="shared" si="86"/>
        <v>0</v>
      </c>
      <c r="T1102">
        <f t="shared" si="87"/>
        <v>1</v>
      </c>
      <c r="U1102">
        <f t="shared" si="88"/>
        <v>1</v>
      </c>
      <c r="V1102">
        <f t="shared" si="89"/>
        <v>0</v>
      </c>
    </row>
    <row r="1103" spans="1:22" x14ac:dyDescent="0.25">
      <c r="A1103">
        <v>1100</v>
      </c>
      <c r="B1103" t="s">
        <v>16</v>
      </c>
      <c r="C1103" t="s">
        <v>523</v>
      </c>
      <c r="D1103" s="4">
        <v>45638</v>
      </c>
      <c r="E1103" t="s">
        <v>2788</v>
      </c>
      <c r="F1103" t="s">
        <v>75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>
        <v>1</v>
      </c>
      <c r="R1103">
        <f t="shared" si="85"/>
        <v>0</v>
      </c>
      <c r="S1103">
        <f t="shared" si="86"/>
        <v>1</v>
      </c>
      <c r="T1103">
        <f t="shared" si="87"/>
        <v>0</v>
      </c>
      <c r="U1103">
        <f t="shared" si="88"/>
        <v>0</v>
      </c>
      <c r="V1103">
        <f t="shared" si="89"/>
        <v>0</v>
      </c>
    </row>
    <row r="1104" spans="1:22" x14ac:dyDescent="0.25">
      <c r="A1104">
        <v>1101</v>
      </c>
      <c r="B1104" t="s">
        <v>16</v>
      </c>
      <c r="C1104" t="s">
        <v>523</v>
      </c>
      <c r="D1104" s="4">
        <v>45639</v>
      </c>
      <c r="E1104" t="s">
        <v>581</v>
      </c>
      <c r="F1104" t="s">
        <v>710</v>
      </c>
      <c r="G1104">
        <v>72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>
        <v>1</v>
      </c>
      <c r="R1104">
        <f t="shared" si="85"/>
        <v>0</v>
      </c>
      <c r="S1104">
        <f t="shared" si="86"/>
        <v>0</v>
      </c>
      <c r="T1104">
        <f t="shared" si="87"/>
        <v>0</v>
      </c>
      <c r="U1104">
        <f t="shared" si="88"/>
        <v>0</v>
      </c>
      <c r="V1104">
        <f t="shared" si="89"/>
        <v>0</v>
      </c>
    </row>
    <row r="1105" spans="1:22" x14ac:dyDescent="0.25">
      <c r="A1105">
        <v>1102</v>
      </c>
      <c r="B1105" t="s">
        <v>16</v>
      </c>
      <c r="C1105" t="s">
        <v>523</v>
      </c>
      <c r="D1105" s="4">
        <v>45639</v>
      </c>
      <c r="E1105" t="s">
        <v>582</v>
      </c>
      <c r="F1105" t="s">
        <v>75</v>
      </c>
      <c r="I1105" s="6">
        <v>0</v>
      </c>
      <c r="J1105" s="6">
        <v>0</v>
      </c>
      <c r="K1105" s="6">
        <v>0</v>
      </c>
      <c r="L1105" s="6">
        <v>0</v>
      </c>
      <c r="M1105" s="6">
        <v>1</v>
      </c>
      <c r="N1105" s="6">
        <v>1</v>
      </c>
      <c r="O1105" s="6">
        <v>0</v>
      </c>
      <c r="P1105" s="6">
        <v>0</v>
      </c>
      <c r="Q1105">
        <v>1</v>
      </c>
      <c r="R1105">
        <f t="shared" si="85"/>
        <v>0</v>
      </c>
      <c r="S1105">
        <f t="shared" si="86"/>
        <v>1</v>
      </c>
      <c r="T1105">
        <f t="shared" si="87"/>
        <v>2</v>
      </c>
      <c r="U1105">
        <f t="shared" si="88"/>
        <v>1</v>
      </c>
      <c r="V1105">
        <f t="shared" si="89"/>
        <v>0</v>
      </c>
    </row>
    <row r="1106" spans="1:22" x14ac:dyDescent="0.25">
      <c r="A1106">
        <v>1103</v>
      </c>
      <c r="B1106" t="s">
        <v>16</v>
      </c>
      <c r="C1106" t="s">
        <v>523</v>
      </c>
      <c r="D1106" s="4">
        <v>45639</v>
      </c>
      <c r="E1106" t="s">
        <v>2787</v>
      </c>
      <c r="F1106" t="s">
        <v>75</v>
      </c>
      <c r="I1106" s="6">
        <v>0</v>
      </c>
      <c r="J1106" s="6">
        <v>0</v>
      </c>
      <c r="K1106" s="6">
        <v>0</v>
      </c>
      <c r="L1106" s="6">
        <v>1</v>
      </c>
      <c r="M1106" s="6">
        <v>0</v>
      </c>
      <c r="N1106" s="6">
        <v>0</v>
      </c>
      <c r="O1106" s="6">
        <v>0</v>
      </c>
      <c r="P1106" s="6">
        <v>0</v>
      </c>
      <c r="Q1106">
        <v>1</v>
      </c>
      <c r="R1106">
        <f t="shared" si="85"/>
        <v>0</v>
      </c>
      <c r="S1106">
        <f t="shared" si="86"/>
        <v>1</v>
      </c>
      <c r="T1106">
        <f t="shared" si="87"/>
        <v>1</v>
      </c>
      <c r="U1106">
        <f t="shared" si="88"/>
        <v>1</v>
      </c>
      <c r="V1106">
        <f t="shared" si="89"/>
        <v>0</v>
      </c>
    </row>
    <row r="1107" spans="1:22" x14ac:dyDescent="0.25">
      <c r="A1107">
        <v>1104</v>
      </c>
      <c r="B1107" t="s">
        <v>16</v>
      </c>
      <c r="C1107" t="s">
        <v>523</v>
      </c>
      <c r="D1107" s="4">
        <v>45640</v>
      </c>
      <c r="E1107" t="s">
        <v>724</v>
      </c>
      <c r="F1107" t="s">
        <v>75</v>
      </c>
      <c r="I1107" s="6">
        <v>1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>
        <v>1</v>
      </c>
      <c r="R1107">
        <f t="shared" si="85"/>
        <v>0</v>
      </c>
      <c r="S1107">
        <f t="shared" si="86"/>
        <v>1</v>
      </c>
      <c r="T1107">
        <f t="shared" si="87"/>
        <v>1</v>
      </c>
      <c r="U1107">
        <f t="shared" si="88"/>
        <v>1</v>
      </c>
      <c r="V1107">
        <f t="shared" si="89"/>
        <v>0</v>
      </c>
    </row>
    <row r="1108" spans="1:22" x14ac:dyDescent="0.25">
      <c r="A1108">
        <v>1105</v>
      </c>
      <c r="B1108" t="s">
        <v>16</v>
      </c>
      <c r="C1108" t="s">
        <v>523</v>
      </c>
      <c r="D1108" s="4">
        <v>45640</v>
      </c>
      <c r="E1108" t="s">
        <v>725</v>
      </c>
      <c r="F1108" t="s">
        <v>75</v>
      </c>
      <c r="H1108" t="s">
        <v>726</v>
      </c>
      <c r="I1108" s="6">
        <v>1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>
        <v>1</v>
      </c>
      <c r="R1108">
        <f t="shared" si="85"/>
        <v>0</v>
      </c>
      <c r="S1108">
        <f t="shared" si="86"/>
        <v>1</v>
      </c>
      <c r="T1108">
        <f t="shared" si="87"/>
        <v>1</v>
      </c>
      <c r="U1108">
        <f t="shared" si="88"/>
        <v>1</v>
      </c>
      <c r="V1108">
        <f t="shared" si="89"/>
        <v>0</v>
      </c>
    </row>
    <row r="1109" spans="1:22" x14ac:dyDescent="0.25">
      <c r="A1109">
        <v>1106</v>
      </c>
      <c r="B1109" t="s">
        <v>16</v>
      </c>
      <c r="C1109" t="s">
        <v>523</v>
      </c>
      <c r="D1109" s="4">
        <v>45641</v>
      </c>
      <c r="E1109" t="s">
        <v>727</v>
      </c>
      <c r="F1109" t="s">
        <v>75</v>
      </c>
      <c r="I1109" s="6">
        <v>1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>
        <v>1</v>
      </c>
      <c r="R1109">
        <f t="shared" si="85"/>
        <v>0</v>
      </c>
      <c r="S1109">
        <f t="shared" si="86"/>
        <v>1</v>
      </c>
      <c r="T1109">
        <f t="shared" si="87"/>
        <v>1</v>
      </c>
      <c r="U1109">
        <f t="shared" si="88"/>
        <v>1</v>
      </c>
      <c r="V1109">
        <f t="shared" si="89"/>
        <v>0</v>
      </c>
    </row>
    <row r="1110" spans="1:22" x14ac:dyDescent="0.25">
      <c r="A1110">
        <v>1107</v>
      </c>
      <c r="B1110" t="s">
        <v>16</v>
      </c>
      <c r="C1110" t="s">
        <v>523</v>
      </c>
      <c r="D1110" s="4">
        <v>45641</v>
      </c>
      <c r="E1110" t="s">
        <v>2786</v>
      </c>
      <c r="F1110" t="s">
        <v>75</v>
      </c>
      <c r="I1110" s="6">
        <v>0</v>
      </c>
      <c r="J1110" s="6">
        <v>0</v>
      </c>
      <c r="K1110" s="6">
        <v>0</v>
      </c>
      <c r="L1110" s="6">
        <v>1</v>
      </c>
      <c r="M1110" s="6">
        <v>0</v>
      </c>
      <c r="N1110" s="6">
        <v>0</v>
      </c>
      <c r="O1110" s="6">
        <v>0</v>
      </c>
      <c r="P1110" s="6">
        <v>0</v>
      </c>
      <c r="Q1110">
        <v>1</v>
      </c>
      <c r="R1110">
        <f t="shared" si="85"/>
        <v>0</v>
      </c>
      <c r="S1110">
        <f t="shared" si="86"/>
        <v>1</v>
      </c>
      <c r="T1110">
        <f t="shared" si="87"/>
        <v>1</v>
      </c>
      <c r="U1110">
        <f t="shared" si="88"/>
        <v>1</v>
      </c>
      <c r="V1110">
        <f t="shared" si="89"/>
        <v>0</v>
      </c>
    </row>
    <row r="1111" spans="1:22" x14ac:dyDescent="0.25">
      <c r="A1111">
        <v>1108</v>
      </c>
      <c r="B1111" t="s">
        <v>16</v>
      </c>
      <c r="C1111" t="s">
        <v>523</v>
      </c>
      <c r="D1111" s="4">
        <v>45642</v>
      </c>
      <c r="E1111" t="s">
        <v>728</v>
      </c>
      <c r="F1111" t="s">
        <v>75</v>
      </c>
      <c r="I1111" s="6">
        <v>0</v>
      </c>
      <c r="J1111" s="6">
        <v>0</v>
      </c>
      <c r="K1111" s="6">
        <v>0</v>
      </c>
      <c r="L1111" s="6">
        <v>0</v>
      </c>
      <c r="M1111" s="6">
        <v>1</v>
      </c>
      <c r="N1111" s="6">
        <v>1</v>
      </c>
      <c r="O1111" s="6">
        <v>0</v>
      </c>
      <c r="P1111" s="6">
        <v>0</v>
      </c>
      <c r="Q1111">
        <v>1</v>
      </c>
      <c r="R1111">
        <f t="shared" si="85"/>
        <v>0</v>
      </c>
      <c r="S1111">
        <f t="shared" si="86"/>
        <v>1</v>
      </c>
      <c r="T1111">
        <f t="shared" si="87"/>
        <v>2</v>
      </c>
      <c r="U1111">
        <f t="shared" si="88"/>
        <v>1</v>
      </c>
      <c r="V1111">
        <f t="shared" si="89"/>
        <v>0</v>
      </c>
    </row>
    <row r="1112" spans="1:22" x14ac:dyDescent="0.25">
      <c r="A1112">
        <v>1109</v>
      </c>
      <c r="B1112" t="s">
        <v>16</v>
      </c>
      <c r="C1112" t="s">
        <v>523</v>
      </c>
      <c r="D1112" s="4">
        <v>45642</v>
      </c>
      <c r="E1112" t="s">
        <v>2785</v>
      </c>
      <c r="F1112" t="s">
        <v>75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1</v>
      </c>
      <c r="Q1112">
        <v>1</v>
      </c>
      <c r="R1112">
        <f t="shared" si="85"/>
        <v>0</v>
      </c>
      <c r="S1112">
        <f t="shared" si="86"/>
        <v>1</v>
      </c>
      <c r="T1112">
        <f t="shared" si="87"/>
        <v>1</v>
      </c>
      <c r="U1112">
        <f t="shared" si="88"/>
        <v>1</v>
      </c>
      <c r="V1112">
        <f t="shared" si="89"/>
        <v>0</v>
      </c>
    </row>
    <row r="1113" spans="1:22" x14ac:dyDescent="0.25">
      <c r="A1113">
        <v>1110</v>
      </c>
      <c r="B1113" t="s">
        <v>16</v>
      </c>
      <c r="C1113" t="s">
        <v>523</v>
      </c>
      <c r="D1113" s="4">
        <v>45643</v>
      </c>
      <c r="E1113" t="s">
        <v>585</v>
      </c>
      <c r="F1113" t="s">
        <v>75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>
        <v>1</v>
      </c>
      <c r="R1113">
        <f t="shared" si="85"/>
        <v>0</v>
      </c>
      <c r="S1113">
        <f t="shared" si="86"/>
        <v>1</v>
      </c>
      <c r="T1113">
        <f t="shared" si="87"/>
        <v>2</v>
      </c>
      <c r="U1113">
        <f t="shared" si="88"/>
        <v>1</v>
      </c>
      <c r="V1113">
        <f t="shared" si="89"/>
        <v>0</v>
      </c>
    </row>
    <row r="1114" spans="1:22" x14ac:dyDescent="0.25">
      <c r="A1114">
        <v>1111</v>
      </c>
      <c r="B1114" t="s">
        <v>16</v>
      </c>
      <c r="C1114" t="s">
        <v>523</v>
      </c>
      <c r="D1114" s="4">
        <v>45643</v>
      </c>
      <c r="E1114" t="s">
        <v>586</v>
      </c>
      <c r="F1114" t="s">
        <v>75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1</v>
      </c>
      <c r="O1114" s="6">
        <v>0</v>
      </c>
      <c r="P1114" s="6">
        <v>0</v>
      </c>
      <c r="Q1114">
        <v>1</v>
      </c>
      <c r="R1114">
        <f t="shared" si="85"/>
        <v>0</v>
      </c>
      <c r="S1114">
        <f t="shared" si="86"/>
        <v>1</v>
      </c>
      <c r="T1114">
        <f t="shared" si="87"/>
        <v>1</v>
      </c>
      <c r="U1114">
        <f t="shared" si="88"/>
        <v>1</v>
      </c>
      <c r="V1114">
        <f t="shared" si="89"/>
        <v>0</v>
      </c>
    </row>
    <row r="1115" spans="1:22" x14ac:dyDescent="0.25">
      <c r="A1115">
        <v>1112</v>
      </c>
      <c r="B1115" t="s">
        <v>16</v>
      </c>
      <c r="C1115" t="s">
        <v>523</v>
      </c>
      <c r="D1115" s="4">
        <v>45644</v>
      </c>
      <c r="E1115" t="s">
        <v>587</v>
      </c>
      <c r="F1115" t="s">
        <v>75</v>
      </c>
      <c r="I1115" s="6">
        <v>1</v>
      </c>
      <c r="J1115" s="6">
        <v>1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>
        <v>1</v>
      </c>
      <c r="R1115">
        <f t="shared" si="85"/>
        <v>0</v>
      </c>
      <c r="S1115">
        <f t="shared" si="86"/>
        <v>1</v>
      </c>
      <c r="T1115">
        <f t="shared" si="87"/>
        <v>2</v>
      </c>
      <c r="U1115">
        <f t="shared" si="88"/>
        <v>1</v>
      </c>
      <c r="V1115">
        <f t="shared" si="89"/>
        <v>0</v>
      </c>
    </row>
    <row r="1116" spans="1:22" x14ac:dyDescent="0.25">
      <c r="A1116">
        <v>1113</v>
      </c>
      <c r="B1116" t="s">
        <v>16</v>
      </c>
      <c r="C1116" t="s">
        <v>523</v>
      </c>
      <c r="D1116" s="4">
        <v>45644</v>
      </c>
      <c r="E1116" t="s">
        <v>588</v>
      </c>
      <c r="F1116" t="s">
        <v>75</v>
      </c>
      <c r="I1116" s="6">
        <v>0</v>
      </c>
      <c r="J1116" s="6">
        <v>0</v>
      </c>
      <c r="K1116" s="6">
        <v>0</v>
      </c>
      <c r="L1116" s="6">
        <v>0</v>
      </c>
      <c r="M1116" s="6">
        <v>1</v>
      </c>
      <c r="N1116" s="6">
        <v>0</v>
      </c>
      <c r="O1116" s="6">
        <v>0</v>
      </c>
      <c r="P1116" s="6">
        <v>0</v>
      </c>
      <c r="Q1116">
        <v>1</v>
      </c>
      <c r="R1116">
        <f t="shared" si="85"/>
        <v>0</v>
      </c>
      <c r="S1116">
        <f t="shared" si="86"/>
        <v>1</v>
      </c>
      <c r="T1116">
        <f t="shared" si="87"/>
        <v>1</v>
      </c>
      <c r="U1116">
        <f t="shared" si="88"/>
        <v>1</v>
      </c>
      <c r="V1116">
        <f t="shared" si="89"/>
        <v>0</v>
      </c>
    </row>
    <row r="1117" spans="1:22" x14ac:dyDescent="0.25">
      <c r="A1117">
        <v>1114</v>
      </c>
      <c r="B1117" t="s">
        <v>16</v>
      </c>
      <c r="C1117" t="s">
        <v>523</v>
      </c>
      <c r="D1117" s="4">
        <v>45644</v>
      </c>
      <c r="E1117" t="s">
        <v>589</v>
      </c>
      <c r="F1117" t="s">
        <v>75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1</v>
      </c>
      <c r="Q1117">
        <v>1</v>
      </c>
      <c r="R1117">
        <f t="shared" si="85"/>
        <v>0</v>
      </c>
      <c r="S1117">
        <f t="shared" si="86"/>
        <v>1</v>
      </c>
      <c r="T1117">
        <f t="shared" si="87"/>
        <v>1</v>
      </c>
      <c r="U1117">
        <f t="shared" si="88"/>
        <v>1</v>
      </c>
      <c r="V1117">
        <f t="shared" si="89"/>
        <v>0</v>
      </c>
    </row>
    <row r="1118" spans="1:22" x14ac:dyDescent="0.25">
      <c r="A1118">
        <v>1115</v>
      </c>
      <c r="B1118" t="s">
        <v>16</v>
      </c>
      <c r="C1118" t="s">
        <v>523</v>
      </c>
      <c r="D1118" s="4">
        <v>45644</v>
      </c>
      <c r="E1118" t="s">
        <v>729</v>
      </c>
      <c r="F1118" t="s">
        <v>75</v>
      </c>
      <c r="H1118" t="s">
        <v>730</v>
      </c>
      <c r="I1118" s="6">
        <v>1</v>
      </c>
      <c r="J1118" s="6">
        <v>0</v>
      </c>
      <c r="K1118" s="6">
        <v>0</v>
      </c>
      <c r="L1118" s="6">
        <v>1</v>
      </c>
      <c r="M1118" s="6">
        <v>0</v>
      </c>
      <c r="N1118" s="6">
        <v>0</v>
      </c>
      <c r="O1118" s="6">
        <v>0</v>
      </c>
      <c r="P1118" s="6">
        <v>0</v>
      </c>
      <c r="Q1118">
        <v>1</v>
      </c>
      <c r="R1118">
        <f t="shared" si="85"/>
        <v>0</v>
      </c>
      <c r="S1118">
        <f t="shared" si="86"/>
        <v>1</v>
      </c>
      <c r="T1118">
        <f t="shared" si="87"/>
        <v>2</v>
      </c>
      <c r="U1118">
        <f t="shared" si="88"/>
        <v>1</v>
      </c>
      <c r="V1118">
        <f t="shared" si="89"/>
        <v>0</v>
      </c>
    </row>
    <row r="1119" spans="1:22" x14ac:dyDescent="0.25">
      <c r="A1119">
        <v>1116</v>
      </c>
      <c r="B1119" t="s">
        <v>16</v>
      </c>
      <c r="C1119" t="s">
        <v>523</v>
      </c>
      <c r="D1119" s="4">
        <v>45644</v>
      </c>
      <c r="E1119" t="s">
        <v>2784</v>
      </c>
      <c r="F1119" t="s">
        <v>75</v>
      </c>
      <c r="I1119" s="6">
        <v>1</v>
      </c>
      <c r="J1119" s="6">
        <v>0</v>
      </c>
      <c r="K1119" s="6">
        <v>0</v>
      </c>
      <c r="L1119" s="6">
        <v>0</v>
      </c>
      <c r="M1119" s="6">
        <v>1</v>
      </c>
      <c r="N1119" s="6">
        <v>1</v>
      </c>
      <c r="O1119" s="6">
        <v>0</v>
      </c>
      <c r="P1119" s="6">
        <v>0</v>
      </c>
      <c r="Q1119">
        <v>1</v>
      </c>
      <c r="R1119">
        <f t="shared" si="85"/>
        <v>0</v>
      </c>
      <c r="S1119">
        <f t="shared" si="86"/>
        <v>1</v>
      </c>
      <c r="T1119">
        <f t="shared" si="87"/>
        <v>3</v>
      </c>
      <c r="U1119">
        <f t="shared" si="88"/>
        <v>1</v>
      </c>
      <c r="V1119">
        <f t="shared" si="89"/>
        <v>0</v>
      </c>
    </row>
    <row r="1120" spans="1:22" x14ac:dyDescent="0.25">
      <c r="A1120">
        <v>1117</v>
      </c>
      <c r="B1120" t="s">
        <v>16</v>
      </c>
      <c r="C1120" t="s">
        <v>523</v>
      </c>
      <c r="D1120" s="4">
        <v>45644</v>
      </c>
      <c r="E1120" t="s">
        <v>731</v>
      </c>
      <c r="F1120" t="s">
        <v>75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>
        <v>1</v>
      </c>
      <c r="R1120">
        <f t="shared" si="85"/>
        <v>0</v>
      </c>
      <c r="S1120">
        <f t="shared" si="86"/>
        <v>1</v>
      </c>
      <c r="T1120">
        <f t="shared" si="87"/>
        <v>0</v>
      </c>
      <c r="U1120">
        <f t="shared" si="88"/>
        <v>0</v>
      </c>
      <c r="V1120">
        <f t="shared" si="89"/>
        <v>0</v>
      </c>
    </row>
    <row r="1121" spans="1:22" x14ac:dyDescent="0.25">
      <c r="A1121">
        <v>1118</v>
      </c>
      <c r="B1121" t="s">
        <v>16</v>
      </c>
      <c r="C1121" t="s">
        <v>523</v>
      </c>
      <c r="D1121" s="4">
        <v>45645</v>
      </c>
      <c r="E1121" t="s">
        <v>590</v>
      </c>
      <c r="F1121" t="s">
        <v>75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>
        <v>1</v>
      </c>
      <c r="R1121">
        <f t="shared" si="85"/>
        <v>0</v>
      </c>
      <c r="S1121">
        <f t="shared" si="86"/>
        <v>1</v>
      </c>
      <c r="T1121">
        <f t="shared" si="87"/>
        <v>0</v>
      </c>
      <c r="U1121">
        <f t="shared" si="88"/>
        <v>0</v>
      </c>
      <c r="V1121">
        <f t="shared" si="89"/>
        <v>0</v>
      </c>
    </row>
    <row r="1122" spans="1:22" x14ac:dyDescent="0.25">
      <c r="A1122">
        <v>1119</v>
      </c>
      <c r="B1122" t="s">
        <v>16</v>
      </c>
      <c r="C1122" t="s">
        <v>523</v>
      </c>
      <c r="D1122" s="4">
        <v>45645</v>
      </c>
      <c r="E1122" t="s">
        <v>591</v>
      </c>
      <c r="F1122" t="s">
        <v>75</v>
      </c>
      <c r="H1122" t="s">
        <v>732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1</v>
      </c>
      <c r="O1122" s="6">
        <v>0</v>
      </c>
      <c r="P1122" s="6">
        <v>0</v>
      </c>
      <c r="Q1122">
        <v>1</v>
      </c>
      <c r="R1122">
        <f t="shared" si="85"/>
        <v>0</v>
      </c>
      <c r="S1122">
        <f t="shared" si="86"/>
        <v>1</v>
      </c>
      <c r="T1122">
        <f t="shared" si="87"/>
        <v>1</v>
      </c>
      <c r="U1122">
        <f t="shared" si="88"/>
        <v>1</v>
      </c>
      <c r="V1122">
        <f t="shared" si="89"/>
        <v>0</v>
      </c>
    </row>
    <row r="1123" spans="1:22" x14ac:dyDescent="0.25">
      <c r="A1123">
        <v>1120</v>
      </c>
      <c r="B1123" t="s">
        <v>16</v>
      </c>
      <c r="C1123" t="s">
        <v>523</v>
      </c>
      <c r="D1123" s="4">
        <v>45645</v>
      </c>
      <c r="E1123" t="s">
        <v>592</v>
      </c>
      <c r="F1123" t="s">
        <v>75</v>
      </c>
      <c r="I1123" s="6">
        <v>0</v>
      </c>
      <c r="J1123" s="6">
        <v>0</v>
      </c>
      <c r="K1123" s="6">
        <v>0</v>
      </c>
      <c r="L1123" s="6">
        <v>0</v>
      </c>
      <c r="M1123" s="6">
        <v>1</v>
      </c>
      <c r="N1123" s="6">
        <v>1</v>
      </c>
      <c r="O1123" s="6">
        <v>0</v>
      </c>
      <c r="P1123" s="6">
        <v>1</v>
      </c>
      <c r="Q1123">
        <v>1</v>
      </c>
      <c r="R1123">
        <f t="shared" si="85"/>
        <v>0</v>
      </c>
      <c r="S1123">
        <f t="shared" si="86"/>
        <v>1</v>
      </c>
      <c r="T1123">
        <f t="shared" si="87"/>
        <v>3</v>
      </c>
      <c r="U1123">
        <f t="shared" si="88"/>
        <v>1</v>
      </c>
      <c r="V1123">
        <f t="shared" si="89"/>
        <v>0</v>
      </c>
    </row>
    <row r="1124" spans="1:22" x14ac:dyDescent="0.25">
      <c r="A1124">
        <v>1121</v>
      </c>
      <c r="B1124" t="s">
        <v>16</v>
      </c>
      <c r="C1124" t="s">
        <v>523</v>
      </c>
      <c r="D1124" s="4">
        <v>45645</v>
      </c>
      <c r="E1124" t="s">
        <v>593</v>
      </c>
      <c r="F1124" t="s">
        <v>75</v>
      </c>
      <c r="H1124" t="s">
        <v>733</v>
      </c>
      <c r="I1124" s="6">
        <v>0</v>
      </c>
      <c r="J1124" s="6">
        <v>0</v>
      </c>
      <c r="K1124" s="6">
        <v>0</v>
      </c>
      <c r="L1124" s="6">
        <v>0</v>
      </c>
      <c r="M1124" s="6">
        <v>1</v>
      </c>
      <c r="N1124" s="6">
        <v>0</v>
      </c>
      <c r="O1124" s="6">
        <v>0</v>
      </c>
      <c r="P1124" s="6">
        <v>0</v>
      </c>
      <c r="Q1124">
        <v>1</v>
      </c>
      <c r="R1124">
        <f t="shared" si="85"/>
        <v>0</v>
      </c>
      <c r="S1124">
        <f t="shared" si="86"/>
        <v>1</v>
      </c>
      <c r="T1124">
        <f t="shared" si="87"/>
        <v>1</v>
      </c>
      <c r="U1124">
        <f t="shared" si="88"/>
        <v>1</v>
      </c>
      <c r="V1124">
        <f t="shared" si="89"/>
        <v>0</v>
      </c>
    </row>
    <row r="1125" spans="1:22" x14ac:dyDescent="0.25">
      <c r="A1125">
        <v>1122</v>
      </c>
      <c r="B1125" t="s">
        <v>16</v>
      </c>
      <c r="C1125" t="s">
        <v>523</v>
      </c>
      <c r="D1125" s="4">
        <v>45645</v>
      </c>
      <c r="E1125" t="s">
        <v>734</v>
      </c>
      <c r="F1125" t="s">
        <v>75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>
        <v>1</v>
      </c>
      <c r="R1125">
        <f t="shared" si="85"/>
        <v>0</v>
      </c>
      <c r="S1125">
        <f t="shared" si="86"/>
        <v>1</v>
      </c>
      <c r="T1125">
        <f t="shared" si="87"/>
        <v>0</v>
      </c>
      <c r="U1125">
        <f t="shared" si="88"/>
        <v>0</v>
      </c>
      <c r="V1125">
        <f t="shared" si="89"/>
        <v>0</v>
      </c>
    </row>
    <row r="1126" spans="1:22" x14ac:dyDescent="0.25">
      <c r="A1126">
        <v>1123</v>
      </c>
      <c r="B1126" t="s">
        <v>16</v>
      </c>
      <c r="C1126" t="s">
        <v>523</v>
      </c>
      <c r="D1126" s="4">
        <v>45646</v>
      </c>
      <c r="E1126" t="s">
        <v>594</v>
      </c>
      <c r="F1126" t="s">
        <v>75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>
        <v>1</v>
      </c>
      <c r="R1126">
        <f t="shared" si="85"/>
        <v>0</v>
      </c>
      <c r="S1126">
        <f t="shared" si="86"/>
        <v>1</v>
      </c>
      <c r="T1126">
        <f t="shared" si="87"/>
        <v>0</v>
      </c>
      <c r="U1126">
        <f t="shared" si="88"/>
        <v>0</v>
      </c>
      <c r="V1126">
        <f t="shared" si="89"/>
        <v>0</v>
      </c>
    </row>
    <row r="1127" spans="1:22" x14ac:dyDescent="0.25">
      <c r="A1127">
        <v>1124</v>
      </c>
      <c r="B1127" t="s">
        <v>16</v>
      </c>
      <c r="C1127" t="s">
        <v>523</v>
      </c>
      <c r="D1127" s="4">
        <v>45646</v>
      </c>
      <c r="E1127" t="s">
        <v>595</v>
      </c>
      <c r="F1127" t="s">
        <v>75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>
        <v>1</v>
      </c>
      <c r="R1127">
        <f t="shared" si="85"/>
        <v>0</v>
      </c>
      <c r="S1127">
        <f t="shared" si="86"/>
        <v>1</v>
      </c>
      <c r="T1127">
        <f t="shared" si="87"/>
        <v>0</v>
      </c>
      <c r="U1127">
        <f t="shared" si="88"/>
        <v>0</v>
      </c>
      <c r="V1127">
        <f t="shared" si="89"/>
        <v>0</v>
      </c>
    </row>
    <row r="1128" spans="1:22" x14ac:dyDescent="0.25">
      <c r="A1128">
        <v>1125</v>
      </c>
      <c r="B1128" t="s">
        <v>16</v>
      </c>
      <c r="C1128" t="s">
        <v>523</v>
      </c>
      <c r="D1128" s="4">
        <v>45646</v>
      </c>
      <c r="E1128" t="s">
        <v>596</v>
      </c>
      <c r="F1128" t="s">
        <v>75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>
        <v>1</v>
      </c>
      <c r="R1128">
        <f t="shared" si="85"/>
        <v>0</v>
      </c>
      <c r="S1128">
        <f t="shared" si="86"/>
        <v>1</v>
      </c>
      <c r="T1128">
        <f t="shared" si="87"/>
        <v>0</v>
      </c>
      <c r="U1128">
        <f t="shared" si="88"/>
        <v>0</v>
      </c>
      <c r="V1128">
        <f t="shared" si="89"/>
        <v>0</v>
      </c>
    </row>
    <row r="1129" spans="1:22" x14ac:dyDescent="0.25">
      <c r="A1129">
        <v>1126</v>
      </c>
      <c r="B1129" t="s">
        <v>16</v>
      </c>
      <c r="C1129" t="s">
        <v>523</v>
      </c>
      <c r="D1129" s="4">
        <v>45646</v>
      </c>
      <c r="E1129" t="s">
        <v>2783</v>
      </c>
      <c r="F1129" t="s">
        <v>75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>
        <v>1</v>
      </c>
      <c r="R1129">
        <f t="shared" si="85"/>
        <v>0</v>
      </c>
      <c r="S1129">
        <f t="shared" si="86"/>
        <v>1</v>
      </c>
      <c r="T1129">
        <f t="shared" si="87"/>
        <v>0</v>
      </c>
      <c r="U1129">
        <f t="shared" si="88"/>
        <v>0</v>
      </c>
      <c r="V1129">
        <f t="shared" si="89"/>
        <v>0</v>
      </c>
    </row>
    <row r="1130" spans="1:22" x14ac:dyDescent="0.25">
      <c r="A1130">
        <v>1127</v>
      </c>
      <c r="B1130" t="s">
        <v>16</v>
      </c>
      <c r="C1130" t="s">
        <v>523</v>
      </c>
      <c r="D1130" s="4">
        <v>45646</v>
      </c>
      <c r="E1130" t="s">
        <v>2782</v>
      </c>
      <c r="F1130" t="s">
        <v>75</v>
      </c>
      <c r="I1130" s="6">
        <v>0</v>
      </c>
      <c r="J1130" s="6">
        <v>0</v>
      </c>
      <c r="K1130" s="6">
        <v>0</v>
      </c>
      <c r="L1130" s="6">
        <v>0</v>
      </c>
      <c r="M1130" s="6">
        <v>1</v>
      </c>
      <c r="N1130" s="6">
        <v>1</v>
      </c>
      <c r="O1130" s="6">
        <v>0</v>
      </c>
      <c r="P1130" s="6">
        <v>0</v>
      </c>
      <c r="Q1130">
        <v>1</v>
      </c>
      <c r="R1130">
        <f t="shared" si="85"/>
        <v>0</v>
      </c>
      <c r="S1130">
        <f t="shared" si="86"/>
        <v>1</v>
      </c>
      <c r="T1130">
        <f t="shared" si="87"/>
        <v>2</v>
      </c>
      <c r="U1130">
        <f t="shared" si="88"/>
        <v>1</v>
      </c>
      <c r="V1130">
        <f t="shared" si="89"/>
        <v>0</v>
      </c>
    </row>
    <row r="1131" spans="1:22" x14ac:dyDescent="0.25">
      <c r="A1131">
        <v>1128</v>
      </c>
      <c r="B1131" t="s">
        <v>16</v>
      </c>
      <c r="C1131" t="s">
        <v>523</v>
      </c>
      <c r="D1131" s="4">
        <v>45646</v>
      </c>
      <c r="E1131" t="s">
        <v>735</v>
      </c>
      <c r="F1131" t="s">
        <v>75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>
        <v>1</v>
      </c>
      <c r="R1131">
        <f t="shared" si="85"/>
        <v>0</v>
      </c>
      <c r="S1131">
        <f t="shared" si="86"/>
        <v>1</v>
      </c>
      <c r="T1131">
        <f t="shared" si="87"/>
        <v>0</v>
      </c>
      <c r="U1131">
        <f t="shared" si="88"/>
        <v>0</v>
      </c>
      <c r="V1131">
        <f t="shared" si="89"/>
        <v>0</v>
      </c>
    </row>
    <row r="1132" spans="1:22" x14ac:dyDescent="0.25">
      <c r="A1132">
        <v>1129</v>
      </c>
      <c r="B1132" t="s">
        <v>16</v>
      </c>
      <c r="C1132" t="s">
        <v>523</v>
      </c>
      <c r="D1132" s="4">
        <v>45646</v>
      </c>
      <c r="E1132" t="s">
        <v>2781</v>
      </c>
      <c r="F1132" t="s">
        <v>75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1</v>
      </c>
      <c r="P1132" s="6">
        <v>0</v>
      </c>
      <c r="Q1132">
        <v>1</v>
      </c>
      <c r="R1132">
        <f t="shared" si="85"/>
        <v>0</v>
      </c>
      <c r="S1132">
        <f t="shared" si="86"/>
        <v>1</v>
      </c>
      <c r="T1132">
        <f t="shared" si="87"/>
        <v>1</v>
      </c>
      <c r="U1132">
        <f t="shared" si="88"/>
        <v>1</v>
      </c>
      <c r="V1132">
        <f t="shared" si="89"/>
        <v>0</v>
      </c>
    </row>
    <row r="1133" spans="1:22" x14ac:dyDescent="0.25">
      <c r="A1133">
        <v>1130</v>
      </c>
      <c r="B1133" t="s">
        <v>16</v>
      </c>
      <c r="C1133" t="s">
        <v>523</v>
      </c>
      <c r="D1133" s="4">
        <v>45646</v>
      </c>
      <c r="E1133" t="s">
        <v>736</v>
      </c>
      <c r="F1133" t="s">
        <v>75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>
        <v>1</v>
      </c>
      <c r="R1133">
        <f t="shared" si="85"/>
        <v>0</v>
      </c>
      <c r="S1133">
        <f t="shared" si="86"/>
        <v>1</v>
      </c>
      <c r="T1133">
        <f t="shared" si="87"/>
        <v>0</v>
      </c>
      <c r="U1133">
        <f t="shared" si="88"/>
        <v>0</v>
      </c>
      <c r="V1133">
        <f t="shared" si="89"/>
        <v>0</v>
      </c>
    </row>
    <row r="1134" spans="1:22" x14ac:dyDescent="0.25">
      <c r="A1134">
        <v>1131</v>
      </c>
      <c r="B1134" t="s">
        <v>16</v>
      </c>
      <c r="C1134" t="s">
        <v>523</v>
      </c>
      <c r="D1134" s="4">
        <v>45646</v>
      </c>
      <c r="E1134" t="s">
        <v>737</v>
      </c>
      <c r="F1134" t="s">
        <v>75</v>
      </c>
      <c r="I1134" s="6">
        <v>0</v>
      </c>
      <c r="J1134" s="6">
        <v>0</v>
      </c>
      <c r="K1134" s="6">
        <v>1</v>
      </c>
      <c r="L1134" s="6">
        <v>0</v>
      </c>
      <c r="M1134" s="6">
        <v>1</v>
      </c>
      <c r="N1134" s="6">
        <v>0</v>
      </c>
      <c r="O1134" s="6">
        <v>0</v>
      </c>
      <c r="P1134" s="6">
        <v>0</v>
      </c>
      <c r="Q1134">
        <v>1</v>
      </c>
      <c r="R1134">
        <f t="shared" si="85"/>
        <v>0</v>
      </c>
      <c r="S1134">
        <f t="shared" si="86"/>
        <v>1</v>
      </c>
      <c r="T1134">
        <f t="shared" si="87"/>
        <v>2</v>
      </c>
      <c r="U1134">
        <f t="shared" si="88"/>
        <v>1</v>
      </c>
      <c r="V1134">
        <f t="shared" si="89"/>
        <v>0</v>
      </c>
    </row>
    <row r="1135" spans="1:22" x14ac:dyDescent="0.25">
      <c r="A1135">
        <v>1132</v>
      </c>
      <c r="B1135" t="s">
        <v>16</v>
      </c>
      <c r="C1135" t="s">
        <v>523</v>
      </c>
      <c r="D1135" s="4">
        <v>45647</v>
      </c>
      <c r="E1135" t="s">
        <v>738</v>
      </c>
      <c r="F1135" t="s">
        <v>75</v>
      </c>
      <c r="H1135" t="s">
        <v>618</v>
      </c>
      <c r="I1135" s="6">
        <v>1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>
        <v>1</v>
      </c>
      <c r="R1135">
        <f t="shared" si="85"/>
        <v>0</v>
      </c>
      <c r="S1135">
        <f t="shared" si="86"/>
        <v>1</v>
      </c>
      <c r="T1135">
        <f t="shared" si="87"/>
        <v>1</v>
      </c>
      <c r="U1135">
        <f t="shared" si="88"/>
        <v>1</v>
      </c>
      <c r="V1135">
        <f t="shared" si="89"/>
        <v>0</v>
      </c>
    </row>
    <row r="1136" spans="1:22" x14ac:dyDescent="0.25">
      <c r="A1136">
        <v>1133</v>
      </c>
      <c r="B1136" t="s">
        <v>16</v>
      </c>
      <c r="C1136" t="s">
        <v>523</v>
      </c>
      <c r="D1136" s="4">
        <v>45647</v>
      </c>
      <c r="E1136" t="s">
        <v>739</v>
      </c>
      <c r="F1136" t="s">
        <v>75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1</v>
      </c>
      <c r="Q1136">
        <v>1</v>
      </c>
      <c r="R1136">
        <f t="shared" si="85"/>
        <v>0</v>
      </c>
      <c r="S1136">
        <f t="shared" si="86"/>
        <v>1</v>
      </c>
      <c r="T1136">
        <f t="shared" si="87"/>
        <v>1</v>
      </c>
      <c r="U1136">
        <f t="shared" si="88"/>
        <v>1</v>
      </c>
      <c r="V1136">
        <f t="shared" si="89"/>
        <v>0</v>
      </c>
    </row>
    <row r="1137" spans="1:22" x14ac:dyDescent="0.25">
      <c r="A1137">
        <v>1134</v>
      </c>
      <c r="B1137" t="s">
        <v>16</v>
      </c>
      <c r="C1137" t="s">
        <v>523</v>
      </c>
      <c r="D1137" s="4">
        <v>45647</v>
      </c>
      <c r="E1137" t="s">
        <v>740</v>
      </c>
      <c r="F1137" t="s">
        <v>75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1</v>
      </c>
      <c r="Q1137">
        <v>1</v>
      </c>
      <c r="R1137">
        <f t="shared" si="85"/>
        <v>0</v>
      </c>
      <c r="S1137">
        <f t="shared" si="86"/>
        <v>1</v>
      </c>
      <c r="T1137">
        <f t="shared" si="87"/>
        <v>1</v>
      </c>
      <c r="U1137">
        <f t="shared" si="88"/>
        <v>1</v>
      </c>
      <c r="V1137">
        <f t="shared" si="89"/>
        <v>0</v>
      </c>
    </row>
    <row r="1138" spans="1:22" x14ac:dyDescent="0.25">
      <c r="A1138">
        <v>1135</v>
      </c>
      <c r="B1138" t="s">
        <v>16</v>
      </c>
      <c r="C1138" t="s">
        <v>523</v>
      </c>
      <c r="D1138" s="4">
        <v>45647</v>
      </c>
      <c r="E1138" t="s">
        <v>2780</v>
      </c>
      <c r="F1138" t="s">
        <v>75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1</v>
      </c>
      <c r="P1138" s="6">
        <v>0</v>
      </c>
      <c r="Q1138">
        <v>1</v>
      </c>
      <c r="R1138">
        <f t="shared" si="85"/>
        <v>0</v>
      </c>
      <c r="S1138">
        <f t="shared" si="86"/>
        <v>1</v>
      </c>
      <c r="T1138">
        <f t="shared" si="87"/>
        <v>1</v>
      </c>
      <c r="U1138">
        <f t="shared" si="88"/>
        <v>1</v>
      </c>
      <c r="V1138">
        <f t="shared" si="89"/>
        <v>0</v>
      </c>
    </row>
    <row r="1139" spans="1:22" x14ac:dyDescent="0.25">
      <c r="A1139">
        <v>1136</v>
      </c>
      <c r="B1139" t="s">
        <v>16</v>
      </c>
      <c r="C1139" t="s">
        <v>523</v>
      </c>
      <c r="D1139" s="4">
        <v>45648</v>
      </c>
      <c r="E1139" t="s">
        <v>598</v>
      </c>
      <c r="F1139" t="s">
        <v>75</v>
      </c>
      <c r="H1139" t="s">
        <v>599</v>
      </c>
      <c r="I1139" s="6">
        <v>0</v>
      </c>
      <c r="J1139" s="6">
        <v>0</v>
      </c>
      <c r="K1139" s="6">
        <v>0</v>
      </c>
      <c r="L1139" s="6">
        <v>0</v>
      </c>
      <c r="M1139" s="6">
        <v>1</v>
      </c>
      <c r="N1139" s="6">
        <v>1</v>
      </c>
      <c r="O1139" s="6">
        <v>0</v>
      </c>
      <c r="P1139" s="6">
        <v>0</v>
      </c>
      <c r="Q1139">
        <v>1</v>
      </c>
      <c r="R1139">
        <f t="shared" si="85"/>
        <v>0</v>
      </c>
      <c r="S1139">
        <f t="shared" si="86"/>
        <v>1</v>
      </c>
      <c r="T1139">
        <f t="shared" si="87"/>
        <v>2</v>
      </c>
      <c r="U1139">
        <f t="shared" si="88"/>
        <v>1</v>
      </c>
      <c r="V1139">
        <f t="shared" si="89"/>
        <v>0</v>
      </c>
    </row>
    <row r="1140" spans="1:22" x14ac:dyDescent="0.25">
      <c r="A1140">
        <v>1137</v>
      </c>
      <c r="B1140" t="s">
        <v>16</v>
      </c>
      <c r="C1140" t="s">
        <v>523</v>
      </c>
      <c r="D1140" s="4">
        <v>45648</v>
      </c>
      <c r="E1140" t="s">
        <v>600</v>
      </c>
      <c r="F1140" t="s">
        <v>75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>
        <v>1</v>
      </c>
      <c r="R1140">
        <f t="shared" si="85"/>
        <v>0</v>
      </c>
      <c r="S1140">
        <f t="shared" si="86"/>
        <v>1</v>
      </c>
      <c r="T1140">
        <f t="shared" si="87"/>
        <v>0</v>
      </c>
      <c r="U1140">
        <f t="shared" si="88"/>
        <v>0</v>
      </c>
      <c r="V1140">
        <f t="shared" si="89"/>
        <v>0</v>
      </c>
    </row>
    <row r="1141" spans="1:22" x14ac:dyDescent="0.25">
      <c r="A1141">
        <v>1138</v>
      </c>
      <c r="B1141" t="s">
        <v>16</v>
      </c>
      <c r="C1141" t="s">
        <v>523</v>
      </c>
      <c r="D1141" s="4">
        <v>45648</v>
      </c>
      <c r="E1141" t="s">
        <v>601</v>
      </c>
      <c r="F1141" t="s">
        <v>75</v>
      </c>
      <c r="H1141" t="s">
        <v>741</v>
      </c>
      <c r="I1141" s="6">
        <v>0</v>
      </c>
      <c r="J1141" s="6">
        <v>0</v>
      </c>
      <c r="K1141" s="6">
        <v>0</v>
      </c>
      <c r="L1141" s="6">
        <v>0</v>
      </c>
      <c r="M1141" s="6">
        <v>1</v>
      </c>
      <c r="N1141" s="6">
        <v>0</v>
      </c>
      <c r="O1141" s="6">
        <v>0</v>
      </c>
      <c r="P1141" s="6">
        <v>0</v>
      </c>
      <c r="Q1141">
        <v>1</v>
      </c>
      <c r="R1141">
        <f t="shared" si="85"/>
        <v>0</v>
      </c>
      <c r="S1141">
        <f t="shared" si="86"/>
        <v>1</v>
      </c>
      <c r="T1141">
        <f t="shared" si="87"/>
        <v>1</v>
      </c>
      <c r="U1141">
        <f t="shared" si="88"/>
        <v>1</v>
      </c>
      <c r="V1141">
        <f t="shared" si="89"/>
        <v>0</v>
      </c>
    </row>
    <row r="1142" spans="1:22" x14ac:dyDescent="0.25">
      <c r="A1142">
        <v>1139</v>
      </c>
      <c r="B1142" t="s">
        <v>16</v>
      </c>
      <c r="C1142" t="s">
        <v>523</v>
      </c>
      <c r="D1142" s="4">
        <v>45649</v>
      </c>
      <c r="E1142" t="s">
        <v>2779</v>
      </c>
      <c r="F1142" t="s">
        <v>75</v>
      </c>
      <c r="I1142" s="6">
        <v>0</v>
      </c>
      <c r="J1142" s="6">
        <v>0</v>
      </c>
      <c r="K1142" s="6">
        <v>0</v>
      </c>
      <c r="L1142" s="6">
        <v>0</v>
      </c>
      <c r="M1142" s="6">
        <v>1</v>
      </c>
      <c r="N1142" s="6">
        <v>0</v>
      </c>
      <c r="O1142" s="6">
        <v>0</v>
      </c>
      <c r="P1142" s="6">
        <v>0</v>
      </c>
      <c r="Q1142">
        <v>1</v>
      </c>
      <c r="R1142">
        <f t="shared" si="85"/>
        <v>0</v>
      </c>
      <c r="S1142">
        <f t="shared" si="86"/>
        <v>1</v>
      </c>
      <c r="T1142">
        <f t="shared" si="87"/>
        <v>1</v>
      </c>
      <c r="U1142">
        <f t="shared" si="88"/>
        <v>1</v>
      </c>
      <c r="V1142">
        <f t="shared" si="89"/>
        <v>0</v>
      </c>
    </row>
    <row r="1143" spans="1:22" x14ac:dyDescent="0.25">
      <c r="A1143">
        <v>1140</v>
      </c>
      <c r="B1143" t="s">
        <v>16</v>
      </c>
      <c r="C1143" t="s">
        <v>523</v>
      </c>
      <c r="D1143" s="4">
        <v>45649</v>
      </c>
      <c r="E1143" t="s">
        <v>742</v>
      </c>
      <c r="F1143" t="s">
        <v>75</v>
      </c>
      <c r="H1143" t="s">
        <v>743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1</v>
      </c>
      <c r="O1143" s="6">
        <v>0</v>
      </c>
      <c r="P1143" s="6">
        <v>0</v>
      </c>
      <c r="Q1143">
        <v>1</v>
      </c>
      <c r="R1143">
        <f t="shared" si="85"/>
        <v>0</v>
      </c>
      <c r="S1143">
        <f t="shared" si="86"/>
        <v>1</v>
      </c>
      <c r="T1143">
        <f t="shared" si="87"/>
        <v>1</v>
      </c>
      <c r="U1143">
        <f t="shared" si="88"/>
        <v>1</v>
      </c>
      <c r="V1143">
        <f t="shared" si="89"/>
        <v>0</v>
      </c>
    </row>
    <row r="1144" spans="1:22" x14ac:dyDescent="0.25">
      <c r="A1144">
        <v>1141</v>
      </c>
      <c r="B1144" t="s">
        <v>16</v>
      </c>
      <c r="C1144" t="s">
        <v>523</v>
      </c>
      <c r="D1144" s="4">
        <v>45650</v>
      </c>
      <c r="E1144" t="s">
        <v>2778</v>
      </c>
      <c r="F1144" t="s">
        <v>75</v>
      </c>
      <c r="I1144" s="6">
        <v>0</v>
      </c>
      <c r="J1144" s="6">
        <v>0</v>
      </c>
      <c r="K1144" s="6">
        <v>1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>
        <v>1</v>
      </c>
      <c r="R1144">
        <f t="shared" si="85"/>
        <v>0</v>
      </c>
      <c r="S1144">
        <f t="shared" si="86"/>
        <v>1</v>
      </c>
      <c r="T1144">
        <f t="shared" si="87"/>
        <v>1</v>
      </c>
      <c r="U1144">
        <f t="shared" si="88"/>
        <v>1</v>
      </c>
      <c r="V1144">
        <f t="shared" si="89"/>
        <v>0</v>
      </c>
    </row>
    <row r="1145" spans="1:22" x14ac:dyDescent="0.25">
      <c r="A1145">
        <v>1142</v>
      </c>
      <c r="B1145" t="s">
        <v>16</v>
      </c>
      <c r="C1145" t="s">
        <v>523</v>
      </c>
      <c r="D1145" s="4">
        <v>45650</v>
      </c>
      <c r="E1145" t="s">
        <v>2777</v>
      </c>
      <c r="F1145" t="s">
        <v>75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>
        <v>1</v>
      </c>
      <c r="R1145">
        <f t="shared" si="85"/>
        <v>0</v>
      </c>
      <c r="S1145">
        <f t="shared" si="86"/>
        <v>1</v>
      </c>
      <c r="T1145">
        <f t="shared" si="87"/>
        <v>0</v>
      </c>
      <c r="U1145">
        <f t="shared" si="88"/>
        <v>0</v>
      </c>
      <c r="V1145">
        <f t="shared" si="89"/>
        <v>0</v>
      </c>
    </row>
    <row r="1146" spans="1:22" x14ac:dyDescent="0.25">
      <c r="A1146">
        <v>1143</v>
      </c>
      <c r="B1146" t="s">
        <v>16</v>
      </c>
      <c r="C1146" t="s">
        <v>523</v>
      </c>
      <c r="D1146" s="4">
        <v>45650</v>
      </c>
      <c r="E1146" t="s">
        <v>744</v>
      </c>
      <c r="F1146" t="s">
        <v>75</v>
      </c>
      <c r="I1146" s="6">
        <v>0</v>
      </c>
      <c r="J1146" s="6">
        <v>0</v>
      </c>
      <c r="K1146" s="6">
        <v>1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>
        <v>1</v>
      </c>
      <c r="R1146">
        <f t="shared" si="85"/>
        <v>0</v>
      </c>
      <c r="S1146">
        <f t="shared" si="86"/>
        <v>1</v>
      </c>
      <c r="T1146">
        <f t="shared" si="87"/>
        <v>1</v>
      </c>
      <c r="U1146">
        <f t="shared" si="88"/>
        <v>1</v>
      </c>
      <c r="V1146">
        <f t="shared" si="89"/>
        <v>0</v>
      </c>
    </row>
    <row r="1147" spans="1:22" x14ac:dyDescent="0.25">
      <c r="A1147">
        <v>1144</v>
      </c>
      <c r="B1147" t="s">
        <v>16</v>
      </c>
      <c r="C1147" t="s">
        <v>523</v>
      </c>
      <c r="D1147" s="4">
        <v>45651</v>
      </c>
      <c r="E1147" t="s">
        <v>604</v>
      </c>
      <c r="F1147" t="s">
        <v>75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>
        <v>1</v>
      </c>
      <c r="R1147">
        <f t="shared" si="85"/>
        <v>0</v>
      </c>
      <c r="S1147">
        <f t="shared" si="86"/>
        <v>1</v>
      </c>
      <c r="T1147">
        <f t="shared" si="87"/>
        <v>0</v>
      </c>
      <c r="U1147">
        <f t="shared" si="88"/>
        <v>0</v>
      </c>
      <c r="V1147">
        <f t="shared" si="89"/>
        <v>0</v>
      </c>
    </row>
    <row r="1148" spans="1:22" x14ac:dyDescent="0.25">
      <c r="A1148">
        <v>1145</v>
      </c>
      <c r="B1148" t="s">
        <v>16</v>
      </c>
      <c r="C1148" t="s">
        <v>523</v>
      </c>
      <c r="D1148" s="4">
        <v>45653</v>
      </c>
      <c r="E1148" t="s">
        <v>1884</v>
      </c>
      <c r="F1148" t="s">
        <v>75</v>
      </c>
      <c r="I1148" s="6">
        <v>1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>
        <v>1</v>
      </c>
      <c r="R1148">
        <f t="shared" si="85"/>
        <v>0</v>
      </c>
      <c r="S1148">
        <f t="shared" si="86"/>
        <v>1</v>
      </c>
      <c r="T1148">
        <f t="shared" si="87"/>
        <v>1</v>
      </c>
      <c r="U1148">
        <f t="shared" si="88"/>
        <v>1</v>
      </c>
      <c r="V1148">
        <f t="shared" si="89"/>
        <v>0</v>
      </c>
    </row>
    <row r="1149" spans="1:22" x14ac:dyDescent="0.25">
      <c r="A1149">
        <v>1146</v>
      </c>
      <c r="B1149" t="s">
        <v>16</v>
      </c>
      <c r="C1149" t="s">
        <v>523</v>
      </c>
      <c r="D1149" s="4">
        <v>45655</v>
      </c>
      <c r="E1149" t="s">
        <v>2776</v>
      </c>
      <c r="F1149" t="s">
        <v>75</v>
      </c>
      <c r="I1149" s="6">
        <v>1</v>
      </c>
      <c r="J1149" s="6">
        <v>0</v>
      </c>
      <c r="K1149" s="6">
        <v>1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>
        <v>1</v>
      </c>
      <c r="R1149">
        <f t="shared" si="85"/>
        <v>0</v>
      </c>
      <c r="S1149">
        <f t="shared" si="86"/>
        <v>1</v>
      </c>
      <c r="T1149">
        <f t="shared" si="87"/>
        <v>2</v>
      </c>
      <c r="U1149">
        <f t="shared" si="88"/>
        <v>1</v>
      </c>
      <c r="V1149">
        <f t="shared" si="89"/>
        <v>0</v>
      </c>
    </row>
    <row r="1150" spans="1:22" x14ac:dyDescent="0.25">
      <c r="A1150">
        <v>1147</v>
      </c>
      <c r="B1150" t="s">
        <v>16</v>
      </c>
      <c r="C1150" t="s">
        <v>523</v>
      </c>
      <c r="D1150" s="4">
        <v>45655</v>
      </c>
      <c r="E1150" t="s">
        <v>2775</v>
      </c>
      <c r="F1150" t="s">
        <v>75</v>
      </c>
      <c r="I1150" s="6">
        <v>1</v>
      </c>
      <c r="J1150" s="6">
        <v>0</v>
      </c>
      <c r="K1150" s="6">
        <v>0</v>
      </c>
      <c r="L1150" s="6">
        <v>1</v>
      </c>
      <c r="M1150" s="6">
        <v>0</v>
      </c>
      <c r="N1150" s="6">
        <v>0</v>
      </c>
      <c r="O1150" s="6">
        <v>0</v>
      </c>
      <c r="P1150" s="6">
        <v>0</v>
      </c>
      <c r="Q1150">
        <v>1</v>
      </c>
      <c r="R1150">
        <f t="shared" si="85"/>
        <v>0</v>
      </c>
      <c r="S1150">
        <f t="shared" si="86"/>
        <v>1</v>
      </c>
      <c r="T1150">
        <f t="shared" si="87"/>
        <v>2</v>
      </c>
      <c r="U1150">
        <f t="shared" si="88"/>
        <v>1</v>
      </c>
      <c r="V1150">
        <f t="shared" si="89"/>
        <v>0</v>
      </c>
    </row>
    <row r="1151" spans="1:22" x14ac:dyDescent="0.25">
      <c r="A1151">
        <v>1148</v>
      </c>
      <c r="B1151" t="s">
        <v>16</v>
      </c>
      <c r="C1151" t="s">
        <v>523</v>
      </c>
      <c r="D1151" s="4">
        <v>45655</v>
      </c>
      <c r="E1151" t="s">
        <v>745</v>
      </c>
      <c r="F1151" t="s">
        <v>75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>
        <v>1</v>
      </c>
      <c r="R1151">
        <f t="shared" si="85"/>
        <v>0</v>
      </c>
      <c r="S1151">
        <f t="shared" si="86"/>
        <v>1</v>
      </c>
      <c r="T1151">
        <f t="shared" si="87"/>
        <v>0</v>
      </c>
      <c r="U1151">
        <f t="shared" si="88"/>
        <v>0</v>
      </c>
      <c r="V1151">
        <f t="shared" si="89"/>
        <v>0</v>
      </c>
    </row>
    <row r="1152" spans="1:22" x14ac:dyDescent="0.25">
      <c r="A1152">
        <v>1149</v>
      </c>
      <c r="B1152" t="s">
        <v>16</v>
      </c>
      <c r="C1152" t="s">
        <v>523</v>
      </c>
      <c r="D1152" s="4">
        <v>45655</v>
      </c>
      <c r="E1152" t="s">
        <v>746</v>
      </c>
      <c r="F1152" t="s">
        <v>75</v>
      </c>
      <c r="I1152" s="6">
        <v>0</v>
      </c>
      <c r="J1152" s="6">
        <v>0</v>
      </c>
      <c r="K1152" s="6">
        <v>0</v>
      </c>
      <c r="L1152" s="6">
        <v>0</v>
      </c>
      <c r="M1152" s="6">
        <v>1</v>
      </c>
      <c r="N1152" s="6">
        <v>0</v>
      </c>
      <c r="O1152" s="6">
        <v>0</v>
      </c>
      <c r="P1152" s="6">
        <v>0</v>
      </c>
      <c r="Q1152">
        <v>1</v>
      </c>
      <c r="R1152">
        <f t="shared" si="85"/>
        <v>0</v>
      </c>
      <c r="S1152">
        <f t="shared" si="86"/>
        <v>1</v>
      </c>
      <c r="T1152">
        <f t="shared" si="87"/>
        <v>1</v>
      </c>
      <c r="U1152">
        <f t="shared" si="88"/>
        <v>1</v>
      </c>
      <c r="V1152">
        <f t="shared" si="89"/>
        <v>0</v>
      </c>
    </row>
    <row r="1153" spans="1:22" x14ac:dyDescent="0.25">
      <c r="A1153">
        <v>1150</v>
      </c>
      <c r="B1153" t="s">
        <v>16</v>
      </c>
      <c r="C1153" t="s">
        <v>523</v>
      </c>
      <c r="D1153" s="4">
        <v>45656</v>
      </c>
      <c r="E1153" t="s">
        <v>609</v>
      </c>
      <c r="F1153" t="s">
        <v>75</v>
      </c>
      <c r="H1153" t="s">
        <v>747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1</v>
      </c>
      <c r="P1153" s="6">
        <v>0</v>
      </c>
      <c r="Q1153">
        <v>1</v>
      </c>
      <c r="R1153">
        <f t="shared" si="85"/>
        <v>0</v>
      </c>
      <c r="S1153">
        <f t="shared" si="86"/>
        <v>1</v>
      </c>
      <c r="T1153">
        <f t="shared" si="87"/>
        <v>1</v>
      </c>
      <c r="U1153">
        <f t="shared" si="88"/>
        <v>1</v>
      </c>
      <c r="V1153">
        <f t="shared" si="89"/>
        <v>0</v>
      </c>
    </row>
    <row r="1154" spans="1:22" x14ac:dyDescent="0.25">
      <c r="A1154">
        <v>1151</v>
      </c>
      <c r="B1154" t="s">
        <v>16</v>
      </c>
      <c r="C1154" t="s">
        <v>523</v>
      </c>
      <c r="D1154" s="4">
        <v>45656</v>
      </c>
      <c r="E1154" t="s">
        <v>610</v>
      </c>
      <c r="F1154" t="s">
        <v>75</v>
      </c>
      <c r="I1154" s="6">
        <v>0</v>
      </c>
      <c r="J1154" s="6">
        <v>0</v>
      </c>
      <c r="K1154" s="6">
        <v>0</v>
      </c>
      <c r="L1154" s="6">
        <v>1</v>
      </c>
      <c r="M1154" s="6">
        <v>1</v>
      </c>
      <c r="N1154" s="6">
        <v>0</v>
      </c>
      <c r="O1154" s="6">
        <v>0</v>
      </c>
      <c r="P1154" s="6">
        <v>0</v>
      </c>
      <c r="Q1154">
        <v>1</v>
      </c>
      <c r="R1154">
        <f t="shared" si="85"/>
        <v>0</v>
      </c>
      <c r="S1154">
        <f t="shared" si="86"/>
        <v>1</v>
      </c>
      <c r="T1154">
        <f t="shared" si="87"/>
        <v>2</v>
      </c>
      <c r="U1154">
        <f t="shared" si="88"/>
        <v>1</v>
      </c>
      <c r="V1154">
        <f t="shared" si="89"/>
        <v>0</v>
      </c>
    </row>
    <row r="1155" spans="1:22" x14ac:dyDescent="0.25">
      <c r="A1155">
        <v>1152</v>
      </c>
      <c r="B1155" t="s">
        <v>16</v>
      </c>
      <c r="C1155" t="s">
        <v>523</v>
      </c>
      <c r="D1155" s="4">
        <v>45656</v>
      </c>
      <c r="E1155" t="s">
        <v>2774</v>
      </c>
      <c r="F1155" t="s">
        <v>75</v>
      </c>
      <c r="I1155" s="6">
        <v>1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>
        <v>1</v>
      </c>
      <c r="R1155">
        <f t="shared" ref="R1155:R1218" si="90">IF(AND(Q1155=1,F1155="ai_full"),1,0)</f>
        <v>0</v>
      </c>
      <c r="S1155">
        <f t="shared" ref="S1155:S1218" si="91">IF(AND(Q1155=1,F1155="conventional"),1,0)</f>
        <v>1</v>
      </c>
      <c r="T1155">
        <f t="shared" ref="T1155:T1218" si="92">SUM(I1155:P1155)</f>
        <v>1</v>
      </c>
      <c r="U1155">
        <f t="shared" ref="U1155:U1218" si="93">IF(T1155&gt;=1,1,0)</f>
        <v>1</v>
      </c>
      <c r="V1155">
        <f t="shared" ref="V1155:V1218" si="94">IF(F1155="ai_full",1,0)</f>
        <v>0</v>
      </c>
    </row>
    <row r="1156" spans="1:22" x14ac:dyDescent="0.25">
      <c r="A1156">
        <v>1153</v>
      </c>
      <c r="B1156" t="s">
        <v>16</v>
      </c>
      <c r="C1156" t="s">
        <v>523</v>
      </c>
      <c r="D1156" s="4">
        <v>45657</v>
      </c>
      <c r="E1156" t="s">
        <v>748</v>
      </c>
      <c r="F1156" t="s">
        <v>75</v>
      </c>
      <c r="I1156" s="6">
        <v>0</v>
      </c>
      <c r="J1156" s="6">
        <v>0</v>
      </c>
      <c r="K1156" s="6">
        <v>1</v>
      </c>
      <c r="L1156" s="6">
        <v>1</v>
      </c>
      <c r="M1156" s="6">
        <v>1</v>
      </c>
      <c r="N1156" s="6">
        <v>0</v>
      </c>
      <c r="O1156" s="6">
        <v>0</v>
      </c>
      <c r="P1156" s="6">
        <v>0</v>
      </c>
      <c r="Q1156">
        <v>1</v>
      </c>
      <c r="R1156">
        <f t="shared" si="90"/>
        <v>0</v>
      </c>
      <c r="S1156">
        <f t="shared" si="91"/>
        <v>1</v>
      </c>
      <c r="T1156">
        <f t="shared" si="92"/>
        <v>3</v>
      </c>
      <c r="U1156">
        <f t="shared" si="93"/>
        <v>1</v>
      </c>
      <c r="V1156">
        <f t="shared" si="94"/>
        <v>0</v>
      </c>
    </row>
    <row r="1157" spans="1:22" x14ac:dyDescent="0.25">
      <c r="A1157">
        <v>1154</v>
      </c>
      <c r="B1157" t="s">
        <v>16</v>
      </c>
      <c r="C1157" t="s">
        <v>523</v>
      </c>
      <c r="D1157" s="4">
        <v>45657</v>
      </c>
      <c r="E1157" t="s">
        <v>749</v>
      </c>
      <c r="F1157" t="s">
        <v>75</v>
      </c>
      <c r="H1157" t="s">
        <v>750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1</v>
      </c>
      <c r="O1157" s="6">
        <v>0</v>
      </c>
      <c r="P1157" s="6">
        <v>0</v>
      </c>
      <c r="Q1157">
        <v>1</v>
      </c>
      <c r="R1157">
        <f t="shared" si="90"/>
        <v>0</v>
      </c>
      <c r="S1157">
        <f t="shared" si="91"/>
        <v>1</v>
      </c>
      <c r="T1157">
        <f t="shared" si="92"/>
        <v>1</v>
      </c>
      <c r="U1157">
        <f t="shared" si="93"/>
        <v>1</v>
      </c>
      <c r="V1157">
        <f t="shared" si="94"/>
        <v>0</v>
      </c>
    </row>
    <row r="1158" spans="1:22" x14ac:dyDescent="0.25">
      <c r="A1158">
        <v>1155</v>
      </c>
      <c r="B1158" t="s">
        <v>16</v>
      </c>
      <c r="C1158" t="s">
        <v>523</v>
      </c>
      <c r="D1158" s="4">
        <v>45657</v>
      </c>
      <c r="E1158" t="s">
        <v>751</v>
      </c>
      <c r="F1158" t="s">
        <v>75</v>
      </c>
      <c r="I1158" s="6">
        <v>1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>
        <v>1</v>
      </c>
      <c r="R1158">
        <f t="shared" si="90"/>
        <v>0</v>
      </c>
      <c r="S1158">
        <f t="shared" si="91"/>
        <v>1</v>
      </c>
      <c r="T1158">
        <f t="shared" si="92"/>
        <v>1</v>
      </c>
      <c r="U1158">
        <f t="shared" si="93"/>
        <v>1</v>
      </c>
      <c r="V1158">
        <f t="shared" si="94"/>
        <v>0</v>
      </c>
    </row>
    <row r="1159" spans="1:22" x14ac:dyDescent="0.25">
      <c r="A1159">
        <v>1156</v>
      </c>
      <c r="B1159" t="s">
        <v>16</v>
      </c>
      <c r="C1159" t="s">
        <v>523</v>
      </c>
      <c r="D1159" s="4">
        <v>45659</v>
      </c>
      <c r="E1159" t="s">
        <v>612</v>
      </c>
      <c r="F1159" t="s">
        <v>75</v>
      </c>
      <c r="I1159" s="6">
        <v>1</v>
      </c>
      <c r="J1159" s="6">
        <v>0</v>
      </c>
      <c r="K1159" s="6">
        <v>0</v>
      </c>
      <c r="L1159" s="6">
        <v>0</v>
      </c>
      <c r="M1159" s="6">
        <v>1</v>
      </c>
      <c r="N1159" s="6">
        <v>0</v>
      </c>
      <c r="O1159" s="6">
        <v>0</v>
      </c>
      <c r="P1159" s="6">
        <v>0</v>
      </c>
      <c r="Q1159">
        <v>1</v>
      </c>
      <c r="R1159">
        <f t="shared" si="90"/>
        <v>0</v>
      </c>
      <c r="S1159">
        <f t="shared" si="91"/>
        <v>1</v>
      </c>
      <c r="T1159">
        <f t="shared" si="92"/>
        <v>2</v>
      </c>
      <c r="U1159">
        <f t="shared" si="93"/>
        <v>1</v>
      </c>
      <c r="V1159">
        <f t="shared" si="94"/>
        <v>0</v>
      </c>
    </row>
    <row r="1160" spans="1:22" x14ac:dyDescent="0.25">
      <c r="A1160">
        <v>1157</v>
      </c>
      <c r="B1160" t="s">
        <v>16</v>
      </c>
      <c r="C1160" t="s">
        <v>523</v>
      </c>
      <c r="D1160" s="4">
        <v>45659</v>
      </c>
      <c r="E1160" t="s">
        <v>613</v>
      </c>
      <c r="F1160" t="s">
        <v>75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1</v>
      </c>
      <c r="O1160" s="6">
        <v>0</v>
      </c>
      <c r="P1160" s="6">
        <v>0</v>
      </c>
      <c r="Q1160">
        <v>1</v>
      </c>
      <c r="R1160">
        <f t="shared" si="90"/>
        <v>0</v>
      </c>
      <c r="S1160">
        <f t="shared" si="91"/>
        <v>1</v>
      </c>
      <c r="T1160">
        <f t="shared" si="92"/>
        <v>1</v>
      </c>
      <c r="U1160">
        <f t="shared" si="93"/>
        <v>1</v>
      </c>
      <c r="V1160">
        <f t="shared" si="94"/>
        <v>0</v>
      </c>
    </row>
    <row r="1161" spans="1:22" x14ac:dyDescent="0.25">
      <c r="A1161">
        <v>1158</v>
      </c>
      <c r="B1161" t="s">
        <v>16</v>
      </c>
      <c r="C1161" t="s">
        <v>523</v>
      </c>
      <c r="D1161" s="4">
        <v>45660</v>
      </c>
      <c r="E1161" t="s">
        <v>614</v>
      </c>
      <c r="F1161" t="s">
        <v>75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1</v>
      </c>
      <c r="O1161" s="6">
        <v>0</v>
      </c>
      <c r="P1161" s="6">
        <v>0</v>
      </c>
      <c r="Q1161">
        <v>1</v>
      </c>
      <c r="R1161">
        <f t="shared" si="90"/>
        <v>0</v>
      </c>
      <c r="S1161">
        <f t="shared" si="91"/>
        <v>1</v>
      </c>
      <c r="T1161">
        <f t="shared" si="92"/>
        <v>1</v>
      </c>
      <c r="U1161">
        <f t="shared" si="93"/>
        <v>1</v>
      </c>
      <c r="V1161">
        <f t="shared" si="94"/>
        <v>0</v>
      </c>
    </row>
    <row r="1162" spans="1:22" x14ac:dyDescent="0.25">
      <c r="A1162">
        <v>1159</v>
      </c>
      <c r="B1162" t="s">
        <v>16</v>
      </c>
      <c r="C1162" t="s">
        <v>523</v>
      </c>
      <c r="D1162" s="4">
        <v>45660</v>
      </c>
      <c r="E1162" t="s">
        <v>615</v>
      </c>
      <c r="F1162" t="s">
        <v>75</v>
      </c>
      <c r="H1162" t="s">
        <v>752</v>
      </c>
      <c r="I1162" s="6">
        <v>0</v>
      </c>
      <c r="J1162" s="6">
        <v>0</v>
      </c>
      <c r="K1162" s="6">
        <v>0</v>
      </c>
      <c r="L1162" s="6">
        <v>0</v>
      </c>
      <c r="M1162" s="6">
        <v>1</v>
      </c>
      <c r="N1162" s="6">
        <v>0</v>
      </c>
      <c r="O1162" s="6">
        <v>0</v>
      </c>
      <c r="P1162" s="6">
        <v>0</v>
      </c>
      <c r="Q1162">
        <v>1</v>
      </c>
      <c r="R1162">
        <f t="shared" si="90"/>
        <v>0</v>
      </c>
      <c r="S1162">
        <f t="shared" si="91"/>
        <v>1</v>
      </c>
      <c r="T1162">
        <f t="shared" si="92"/>
        <v>1</v>
      </c>
      <c r="U1162">
        <f t="shared" si="93"/>
        <v>1</v>
      </c>
      <c r="V1162">
        <f t="shared" si="94"/>
        <v>0</v>
      </c>
    </row>
    <row r="1163" spans="1:22" x14ac:dyDescent="0.25">
      <c r="A1163">
        <v>1160</v>
      </c>
      <c r="B1163" t="s">
        <v>16</v>
      </c>
      <c r="C1163" t="s">
        <v>523</v>
      </c>
      <c r="D1163" s="4">
        <v>45661</v>
      </c>
      <c r="E1163" t="s">
        <v>617</v>
      </c>
      <c r="F1163" t="s">
        <v>75</v>
      </c>
      <c r="I1163" s="6">
        <v>1</v>
      </c>
      <c r="J1163" s="6">
        <v>0</v>
      </c>
      <c r="K1163" s="6">
        <v>0</v>
      </c>
      <c r="L1163" s="6">
        <v>0</v>
      </c>
      <c r="M1163" s="6">
        <v>1</v>
      </c>
      <c r="N1163" s="6">
        <v>0</v>
      </c>
      <c r="O1163" s="6">
        <v>0</v>
      </c>
      <c r="P1163" s="6">
        <v>0</v>
      </c>
      <c r="Q1163">
        <v>1</v>
      </c>
      <c r="R1163">
        <f t="shared" si="90"/>
        <v>0</v>
      </c>
      <c r="S1163">
        <f t="shared" si="91"/>
        <v>1</v>
      </c>
      <c r="T1163">
        <f t="shared" si="92"/>
        <v>2</v>
      </c>
      <c r="U1163">
        <f t="shared" si="93"/>
        <v>1</v>
      </c>
      <c r="V1163">
        <f t="shared" si="94"/>
        <v>0</v>
      </c>
    </row>
    <row r="1164" spans="1:22" x14ac:dyDescent="0.25">
      <c r="A1164">
        <v>1161</v>
      </c>
      <c r="B1164" t="s">
        <v>16</v>
      </c>
      <c r="C1164" t="s">
        <v>523</v>
      </c>
      <c r="D1164" s="4">
        <v>45661</v>
      </c>
      <c r="E1164" t="s">
        <v>619</v>
      </c>
      <c r="F1164" t="s">
        <v>75</v>
      </c>
      <c r="H1164" t="s">
        <v>632</v>
      </c>
      <c r="I1164" s="6">
        <v>0</v>
      </c>
      <c r="J1164" s="6">
        <v>0</v>
      </c>
      <c r="K1164" s="6">
        <v>0</v>
      </c>
      <c r="L1164" s="6">
        <v>0</v>
      </c>
      <c r="M1164" s="6">
        <v>1</v>
      </c>
      <c r="N1164" s="6">
        <v>1</v>
      </c>
      <c r="O1164" s="6">
        <v>0</v>
      </c>
      <c r="P1164" s="6">
        <v>0</v>
      </c>
      <c r="Q1164">
        <v>1</v>
      </c>
      <c r="R1164">
        <f t="shared" si="90"/>
        <v>0</v>
      </c>
      <c r="S1164">
        <f t="shared" si="91"/>
        <v>1</v>
      </c>
      <c r="T1164">
        <f t="shared" si="92"/>
        <v>2</v>
      </c>
      <c r="U1164">
        <f t="shared" si="93"/>
        <v>1</v>
      </c>
      <c r="V1164">
        <f t="shared" si="94"/>
        <v>0</v>
      </c>
    </row>
    <row r="1165" spans="1:22" x14ac:dyDescent="0.25">
      <c r="A1165">
        <v>1162</v>
      </c>
      <c r="B1165" t="s">
        <v>16</v>
      </c>
      <c r="C1165" t="s">
        <v>523</v>
      </c>
      <c r="D1165" s="4">
        <v>45661</v>
      </c>
      <c r="E1165" t="s">
        <v>620</v>
      </c>
      <c r="F1165" t="s">
        <v>75</v>
      </c>
      <c r="I1165" s="6">
        <v>0</v>
      </c>
      <c r="J1165" s="6">
        <v>0</v>
      </c>
      <c r="K1165" s="6">
        <v>0</v>
      </c>
      <c r="L1165" s="6">
        <v>1</v>
      </c>
      <c r="M1165" s="6">
        <v>1</v>
      </c>
      <c r="N1165" s="6">
        <v>0</v>
      </c>
      <c r="O1165" s="6">
        <v>0</v>
      </c>
      <c r="P1165" s="6">
        <v>0</v>
      </c>
      <c r="Q1165">
        <v>1</v>
      </c>
      <c r="R1165">
        <f t="shared" si="90"/>
        <v>0</v>
      </c>
      <c r="S1165">
        <f t="shared" si="91"/>
        <v>1</v>
      </c>
      <c r="T1165">
        <f t="shared" si="92"/>
        <v>2</v>
      </c>
      <c r="U1165">
        <f t="shared" si="93"/>
        <v>1</v>
      </c>
      <c r="V1165">
        <f t="shared" si="94"/>
        <v>0</v>
      </c>
    </row>
    <row r="1166" spans="1:22" x14ac:dyDescent="0.25">
      <c r="A1166">
        <v>1163</v>
      </c>
      <c r="B1166" t="s">
        <v>16</v>
      </c>
      <c r="C1166" t="s">
        <v>523</v>
      </c>
      <c r="D1166" s="4">
        <v>45661</v>
      </c>
      <c r="E1166" t="s">
        <v>621</v>
      </c>
      <c r="F1166" t="s">
        <v>75</v>
      </c>
      <c r="H1166" t="s">
        <v>753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>
        <v>1</v>
      </c>
      <c r="R1166">
        <f t="shared" si="90"/>
        <v>0</v>
      </c>
      <c r="S1166">
        <f t="shared" si="91"/>
        <v>1</v>
      </c>
      <c r="T1166">
        <f t="shared" si="92"/>
        <v>0</v>
      </c>
      <c r="U1166">
        <f t="shared" si="93"/>
        <v>0</v>
      </c>
      <c r="V1166">
        <f t="shared" si="94"/>
        <v>0</v>
      </c>
    </row>
    <row r="1167" spans="1:22" x14ac:dyDescent="0.25">
      <c r="A1167">
        <v>1164</v>
      </c>
      <c r="B1167" t="s">
        <v>16</v>
      </c>
      <c r="C1167" t="s">
        <v>523</v>
      </c>
      <c r="D1167" s="4">
        <v>45661</v>
      </c>
      <c r="E1167" t="s">
        <v>2773</v>
      </c>
      <c r="F1167" t="s">
        <v>75</v>
      </c>
      <c r="I1167" s="6">
        <v>1</v>
      </c>
      <c r="J1167" s="6">
        <v>0</v>
      </c>
      <c r="K1167" s="6">
        <v>0</v>
      </c>
      <c r="L1167" s="6">
        <v>1</v>
      </c>
      <c r="M1167" s="6">
        <v>0</v>
      </c>
      <c r="N1167" s="6">
        <v>0</v>
      </c>
      <c r="O1167" s="6">
        <v>0</v>
      </c>
      <c r="P1167" s="6">
        <v>0</v>
      </c>
      <c r="Q1167">
        <v>1</v>
      </c>
      <c r="R1167">
        <f t="shared" si="90"/>
        <v>0</v>
      </c>
      <c r="S1167">
        <f t="shared" si="91"/>
        <v>1</v>
      </c>
      <c r="T1167">
        <f t="shared" si="92"/>
        <v>2</v>
      </c>
      <c r="U1167">
        <f t="shared" si="93"/>
        <v>1</v>
      </c>
      <c r="V1167">
        <f t="shared" si="94"/>
        <v>0</v>
      </c>
    </row>
    <row r="1168" spans="1:22" x14ac:dyDescent="0.25">
      <c r="A1168">
        <v>1165</v>
      </c>
      <c r="B1168" t="s">
        <v>16</v>
      </c>
      <c r="C1168" t="s">
        <v>523</v>
      </c>
      <c r="D1168" s="4">
        <v>45662</v>
      </c>
      <c r="E1168" t="s">
        <v>754</v>
      </c>
      <c r="F1168" t="s">
        <v>75</v>
      </c>
      <c r="I1168" s="6">
        <v>1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>
        <v>1</v>
      </c>
      <c r="R1168">
        <f t="shared" si="90"/>
        <v>0</v>
      </c>
      <c r="S1168">
        <f t="shared" si="91"/>
        <v>1</v>
      </c>
      <c r="T1168">
        <f t="shared" si="92"/>
        <v>1</v>
      </c>
      <c r="U1168">
        <f t="shared" si="93"/>
        <v>1</v>
      </c>
      <c r="V1168">
        <f t="shared" si="94"/>
        <v>0</v>
      </c>
    </row>
    <row r="1169" spans="1:22" x14ac:dyDescent="0.25">
      <c r="A1169">
        <v>1166</v>
      </c>
      <c r="B1169" t="s">
        <v>16</v>
      </c>
      <c r="C1169" t="s">
        <v>523</v>
      </c>
      <c r="D1169" s="4">
        <v>45662</v>
      </c>
      <c r="E1169" t="s">
        <v>755</v>
      </c>
      <c r="F1169" t="s">
        <v>75</v>
      </c>
      <c r="I1169" s="6">
        <v>0</v>
      </c>
      <c r="J1169" s="6">
        <v>0</v>
      </c>
      <c r="K1169" s="6">
        <v>0</v>
      </c>
      <c r="L1169" s="6">
        <v>0</v>
      </c>
      <c r="M1169" s="6">
        <v>1</v>
      </c>
      <c r="N1169" s="6">
        <v>0</v>
      </c>
      <c r="O1169" s="6">
        <v>0</v>
      </c>
      <c r="P1169" s="6">
        <v>0</v>
      </c>
      <c r="Q1169">
        <v>1</v>
      </c>
      <c r="R1169">
        <f t="shared" si="90"/>
        <v>0</v>
      </c>
      <c r="S1169">
        <f t="shared" si="91"/>
        <v>1</v>
      </c>
      <c r="T1169">
        <f t="shared" si="92"/>
        <v>1</v>
      </c>
      <c r="U1169">
        <f t="shared" si="93"/>
        <v>1</v>
      </c>
      <c r="V1169">
        <f t="shared" si="94"/>
        <v>0</v>
      </c>
    </row>
    <row r="1170" spans="1:22" x14ac:dyDescent="0.25">
      <c r="A1170">
        <v>1167</v>
      </c>
      <c r="B1170" t="s">
        <v>16</v>
      </c>
      <c r="C1170" t="s">
        <v>523</v>
      </c>
      <c r="D1170" s="4">
        <v>45662</v>
      </c>
      <c r="E1170" t="s">
        <v>2772</v>
      </c>
      <c r="F1170" t="s">
        <v>75</v>
      </c>
      <c r="I1170" s="6">
        <v>0</v>
      </c>
      <c r="J1170" s="6">
        <v>0</v>
      </c>
      <c r="K1170" s="6">
        <v>0</v>
      </c>
      <c r="L1170" s="6">
        <v>1</v>
      </c>
      <c r="M1170" s="6">
        <v>0</v>
      </c>
      <c r="N1170" s="6">
        <v>0</v>
      </c>
      <c r="O1170" s="6">
        <v>0</v>
      </c>
      <c r="P1170" s="6">
        <v>0</v>
      </c>
      <c r="Q1170">
        <v>1</v>
      </c>
      <c r="R1170">
        <f t="shared" si="90"/>
        <v>0</v>
      </c>
      <c r="S1170">
        <f t="shared" si="91"/>
        <v>1</v>
      </c>
      <c r="T1170">
        <f t="shared" si="92"/>
        <v>1</v>
      </c>
      <c r="U1170">
        <f t="shared" si="93"/>
        <v>1</v>
      </c>
      <c r="V1170">
        <f t="shared" si="94"/>
        <v>0</v>
      </c>
    </row>
    <row r="1171" spans="1:22" x14ac:dyDescent="0.25">
      <c r="A1171">
        <v>1168</v>
      </c>
      <c r="B1171" t="s">
        <v>16</v>
      </c>
      <c r="C1171" t="s">
        <v>523</v>
      </c>
      <c r="D1171" s="4">
        <v>45663</v>
      </c>
      <c r="E1171" t="s">
        <v>2771</v>
      </c>
      <c r="F1171" t="s">
        <v>75</v>
      </c>
      <c r="I1171" s="6">
        <v>0</v>
      </c>
      <c r="J1171" s="6">
        <v>0</v>
      </c>
      <c r="K1171" s="6">
        <v>0</v>
      </c>
      <c r="L1171" s="6">
        <v>0</v>
      </c>
      <c r="M1171" s="6">
        <v>1</v>
      </c>
      <c r="N1171" s="6">
        <v>0</v>
      </c>
      <c r="O1171" s="6">
        <v>0</v>
      </c>
      <c r="P1171" s="6">
        <v>0</v>
      </c>
      <c r="Q1171">
        <v>1</v>
      </c>
      <c r="R1171">
        <f t="shared" si="90"/>
        <v>0</v>
      </c>
      <c r="S1171">
        <f t="shared" si="91"/>
        <v>1</v>
      </c>
      <c r="T1171">
        <f t="shared" si="92"/>
        <v>1</v>
      </c>
      <c r="U1171">
        <f t="shared" si="93"/>
        <v>1</v>
      </c>
      <c r="V1171">
        <f t="shared" si="94"/>
        <v>0</v>
      </c>
    </row>
    <row r="1172" spans="1:22" x14ac:dyDescent="0.25">
      <c r="A1172">
        <v>1169</v>
      </c>
      <c r="B1172" t="s">
        <v>16</v>
      </c>
      <c r="C1172" t="s">
        <v>523</v>
      </c>
      <c r="D1172" s="4">
        <v>45663</v>
      </c>
      <c r="E1172" t="s">
        <v>756</v>
      </c>
      <c r="F1172" t="s">
        <v>413</v>
      </c>
      <c r="G1172">
        <v>73</v>
      </c>
      <c r="I1172" s="6">
        <v>1</v>
      </c>
      <c r="J1172" s="6">
        <v>0</v>
      </c>
      <c r="K1172" s="6">
        <v>1</v>
      </c>
      <c r="L1172" s="6">
        <v>1</v>
      </c>
      <c r="M1172" s="6">
        <v>0</v>
      </c>
      <c r="N1172" s="6">
        <v>0</v>
      </c>
      <c r="O1172" s="6">
        <v>0</v>
      </c>
      <c r="P1172" s="6">
        <v>0</v>
      </c>
      <c r="Q1172">
        <v>1</v>
      </c>
      <c r="R1172">
        <f t="shared" si="90"/>
        <v>1</v>
      </c>
      <c r="S1172">
        <f t="shared" si="91"/>
        <v>0</v>
      </c>
      <c r="T1172">
        <f t="shared" si="92"/>
        <v>3</v>
      </c>
      <c r="U1172">
        <f t="shared" si="93"/>
        <v>1</v>
      </c>
      <c r="V1172">
        <f t="shared" si="94"/>
        <v>1</v>
      </c>
    </row>
    <row r="1173" spans="1:22" x14ac:dyDescent="0.25">
      <c r="A1173">
        <v>1170</v>
      </c>
      <c r="B1173" t="s">
        <v>16</v>
      </c>
      <c r="C1173" t="s">
        <v>523</v>
      </c>
      <c r="D1173" s="4">
        <v>45663</v>
      </c>
      <c r="E1173" t="s">
        <v>2770</v>
      </c>
      <c r="F1173" t="s">
        <v>75</v>
      </c>
      <c r="I1173" s="6">
        <v>0</v>
      </c>
      <c r="J1173" s="6">
        <v>0</v>
      </c>
      <c r="K1173" s="6">
        <v>0</v>
      </c>
      <c r="L1173" s="6">
        <v>0</v>
      </c>
      <c r="M1173" s="6">
        <v>1</v>
      </c>
      <c r="N1173" s="6">
        <v>0</v>
      </c>
      <c r="O1173" s="6">
        <v>0</v>
      </c>
      <c r="P1173" s="6">
        <v>0</v>
      </c>
      <c r="Q1173">
        <v>1</v>
      </c>
      <c r="R1173">
        <f t="shared" si="90"/>
        <v>0</v>
      </c>
      <c r="S1173">
        <f t="shared" si="91"/>
        <v>1</v>
      </c>
      <c r="T1173">
        <f t="shared" si="92"/>
        <v>1</v>
      </c>
      <c r="U1173">
        <f t="shared" si="93"/>
        <v>1</v>
      </c>
      <c r="V1173">
        <f t="shared" si="94"/>
        <v>0</v>
      </c>
    </row>
    <row r="1174" spans="1:22" x14ac:dyDescent="0.25">
      <c r="A1174">
        <v>1171</v>
      </c>
      <c r="B1174" t="s">
        <v>16</v>
      </c>
      <c r="C1174" t="s">
        <v>523</v>
      </c>
      <c r="D1174" s="4">
        <v>45663</v>
      </c>
      <c r="E1174" t="s">
        <v>2769</v>
      </c>
      <c r="F1174" t="s">
        <v>75</v>
      </c>
      <c r="I1174" s="6">
        <v>0</v>
      </c>
      <c r="J1174" s="6">
        <v>0</v>
      </c>
      <c r="K1174" s="6">
        <v>0</v>
      </c>
      <c r="L1174" s="6">
        <v>0</v>
      </c>
      <c r="M1174" s="6">
        <v>1</v>
      </c>
      <c r="N1174" s="6">
        <v>1</v>
      </c>
      <c r="O1174" s="6">
        <v>0</v>
      </c>
      <c r="P1174" s="6">
        <v>0</v>
      </c>
      <c r="Q1174">
        <v>1</v>
      </c>
      <c r="R1174">
        <f t="shared" si="90"/>
        <v>0</v>
      </c>
      <c r="S1174">
        <f t="shared" si="91"/>
        <v>1</v>
      </c>
      <c r="T1174">
        <f t="shared" si="92"/>
        <v>2</v>
      </c>
      <c r="U1174">
        <f t="shared" si="93"/>
        <v>1</v>
      </c>
      <c r="V1174">
        <f t="shared" si="94"/>
        <v>0</v>
      </c>
    </row>
    <row r="1175" spans="1:22" x14ac:dyDescent="0.25">
      <c r="A1175">
        <v>1172</v>
      </c>
      <c r="B1175" t="s">
        <v>16</v>
      </c>
      <c r="C1175" t="s">
        <v>523</v>
      </c>
      <c r="D1175" s="4">
        <v>45664</v>
      </c>
      <c r="E1175" t="s">
        <v>757</v>
      </c>
      <c r="F1175" t="s">
        <v>75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>
        <v>1</v>
      </c>
      <c r="R1175">
        <f t="shared" si="90"/>
        <v>0</v>
      </c>
      <c r="S1175">
        <f t="shared" si="91"/>
        <v>1</v>
      </c>
      <c r="T1175">
        <f t="shared" si="92"/>
        <v>0</v>
      </c>
      <c r="U1175">
        <f t="shared" si="93"/>
        <v>0</v>
      </c>
      <c r="V1175">
        <f t="shared" si="94"/>
        <v>0</v>
      </c>
    </row>
    <row r="1176" spans="1:22" x14ac:dyDescent="0.25">
      <c r="A1176">
        <v>1173</v>
      </c>
      <c r="B1176" t="s">
        <v>16</v>
      </c>
      <c r="C1176" t="s">
        <v>523</v>
      </c>
      <c r="D1176" s="4">
        <v>45664</v>
      </c>
      <c r="E1176" t="s">
        <v>758</v>
      </c>
      <c r="F1176" t="s">
        <v>413</v>
      </c>
      <c r="G1176">
        <v>74</v>
      </c>
      <c r="I1176" s="6">
        <v>1</v>
      </c>
      <c r="J1176" s="6">
        <v>0</v>
      </c>
      <c r="K1176" s="6">
        <v>1</v>
      </c>
      <c r="L1176" s="6">
        <v>0</v>
      </c>
      <c r="M1176" s="6">
        <v>1</v>
      </c>
      <c r="N1176" s="6">
        <v>1</v>
      </c>
      <c r="O1176" s="6">
        <v>0</v>
      </c>
      <c r="P1176" s="6">
        <v>0</v>
      </c>
      <c r="Q1176">
        <v>1</v>
      </c>
      <c r="R1176">
        <f t="shared" si="90"/>
        <v>1</v>
      </c>
      <c r="S1176">
        <f t="shared" si="91"/>
        <v>0</v>
      </c>
      <c r="T1176">
        <f t="shared" si="92"/>
        <v>4</v>
      </c>
      <c r="U1176">
        <f t="shared" si="93"/>
        <v>1</v>
      </c>
      <c r="V1176">
        <f t="shared" si="94"/>
        <v>1</v>
      </c>
    </row>
    <row r="1177" spans="1:22" x14ac:dyDescent="0.25">
      <c r="A1177">
        <v>1174</v>
      </c>
      <c r="B1177" t="s">
        <v>16</v>
      </c>
      <c r="C1177" t="s">
        <v>523</v>
      </c>
      <c r="D1177" s="4">
        <v>45664</v>
      </c>
      <c r="E1177" t="s">
        <v>759</v>
      </c>
      <c r="F1177" t="s">
        <v>75</v>
      </c>
      <c r="H1177" t="s">
        <v>760</v>
      </c>
      <c r="I1177" s="6">
        <v>0</v>
      </c>
      <c r="J1177" s="6">
        <v>0</v>
      </c>
      <c r="K1177" s="6">
        <v>0</v>
      </c>
      <c r="L1177" s="6">
        <v>0</v>
      </c>
      <c r="M1177" s="6">
        <v>1</v>
      </c>
      <c r="N1177" s="6">
        <v>0</v>
      </c>
      <c r="O1177" s="6">
        <v>0</v>
      </c>
      <c r="P1177" s="6">
        <v>0</v>
      </c>
      <c r="Q1177">
        <v>1</v>
      </c>
      <c r="R1177">
        <f t="shared" si="90"/>
        <v>0</v>
      </c>
      <c r="S1177">
        <f t="shared" si="91"/>
        <v>1</v>
      </c>
      <c r="T1177">
        <f t="shared" si="92"/>
        <v>1</v>
      </c>
      <c r="U1177">
        <f t="shared" si="93"/>
        <v>1</v>
      </c>
      <c r="V1177">
        <f t="shared" si="94"/>
        <v>0</v>
      </c>
    </row>
    <row r="1178" spans="1:22" x14ac:dyDescent="0.25">
      <c r="A1178">
        <v>1175</v>
      </c>
      <c r="B1178" t="s">
        <v>16</v>
      </c>
      <c r="C1178" t="s">
        <v>523</v>
      </c>
      <c r="D1178" s="4">
        <v>45664</v>
      </c>
      <c r="E1178" t="s">
        <v>2768</v>
      </c>
      <c r="F1178" t="s">
        <v>75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1</v>
      </c>
      <c r="O1178" s="6">
        <v>0</v>
      </c>
      <c r="P1178" s="6">
        <v>0</v>
      </c>
      <c r="Q1178">
        <v>1</v>
      </c>
      <c r="R1178">
        <f t="shared" si="90"/>
        <v>0</v>
      </c>
      <c r="S1178">
        <f t="shared" si="91"/>
        <v>1</v>
      </c>
      <c r="T1178">
        <f t="shared" si="92"/>
        <v>1</v>
      </c>
      <c r="U1178">
        <f t="shared" si="93"/>
        <v>1</v>
      </c>
      <c r="V1178">
        <f t="shared" si="94"/>
        <v>0</v>
      </c>
    </row>
    <row r="1179" spans="1:22" x14ac:dyDescent="0.25">
      <c r="A1179">
        <v>1176</v>
      </c>
      <c r="B1179" t="s">
        <v>16</v>
      </c>
      <c r="C1179" t="s">
        <v>523</v>
      </c>
      <c r="D1179" s="4">
        <v>45665</v>
      </c>
      <c r="E1179" t="s">
        <v>761</v>
      </c>
      <c r="F1179" t="s">
        <v>75</v>
      </c>
      <c r="I1179" s="6">
        <v>1</v>
      </c>
      <c r="J1179" s="6">
        <v>0</v>
      </c>
      <c r="K1179" s="6">
        <v>0</v>
      </c>
      <c r="L1179" s="6">
        <v>0</v>
      </c>
      <c r="M1179" s="6">
        <v>1</v>
      </c>
      <c r="N1179" s="6">
        <v>0</v>
      </c>
      <c r="O1179" s="6">
        <v>0</v>
      </c>
      <c r="P1179" s="6">
        <v>0</v>
      </c>
      <c r="Q1179">
        <v>1</v>
      </c>
      <c r="R1179">
        <f t="shared" si="90"/>
        <v>0</v>
      </c>
      <c r="S1179">
        <f t="shared" si="91"/>
        <v>1</v>
      </c>
      <c r="T1179">
        <f t="shared" si="92"/>
        <v>2</v>
      </c>
      <c r="U1179">
        <f t="shared" si="93"/>
        <v>1</v>
      </c>
      <c r="V1179">
        <f t="shared" si="94"/>
        <v>0</v>
      </c>
    </row>
    <row r="1180" spans="1:22" x14ac:dyDescent="0.25">
      <c r="A1180">
        <v>1177</v>
      </c>
      <c r="B1180" t="s">
        <v>16</v>
      </c>
      <c r="C1180" t="s">
        <v>523</v>
      </c>
      <c r="D1180" s="4">
        <v>45665</v>
      </c>
      <c r="E1180" t="s">
        <v>762</v>
      </c>
      <c r="F1180" t="s">
        <v>75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>
        <v>1</v>
      </c>
      <c r="R1180">
        <f t="shared" si="90"/>
        <v>0</v>
      </c>
      <c r="S1180">
        <f t="shared" si="91"/>
        <v>1</v>
      </c>
      <c r="T1180">
        <f t="shared" si="92"/>
        <v>0</v>
      </c>
      <c r="U1180">
        <f t="shared" si="93"/>
        <v>0</v>
      </c>
      <c r="V1180">
        <f t="shared" si="94"/>
        <v>0</v>
      </c>
    </row>
    <row r="1181" spans="1:22" x14ac:dyDescent="0.25">
      <c r="A1181">
        <v>1178</v>
      </c>
      <c r="B1181" t="s">
        <v>16</v>
      </c>
      <c r="C1181" t="s">
        <v>523</v>
      </c>
      <c r="D1181" s="4">
        <v>45665</v>
      </c>
      <c r="E1181" t="s">
        <v>763</v>
      </c>
      <c r="F1181" t="s">
        <v>413</v>
      </c>
      <c r="G1181">
        <v>75</v>
      </c>
      <c r="H1181" t="s">
        <v>764</v>
      </c>
      <c r="I1181" s="6">
        <v>0</v>
      </c>
      <c r="J1181" s="6">
        <v>0</v>
      </c>
      <c r="K1181" s="6">
        <v>0</v>
      </c>
      <c r="L1181" s="6">
        <v>0</v>
      </c>
      <c r="M1181" s="6">
        <v>1</v>
      </c>
      <c r="N1181" s="6">
        <v>0</v>
      </c>
      <c r="O1181" s="6">
        <v>0</v>
      </c>
      <c r="P1181" s="6">
        <v>0</v>
      </c>
      <c r="Q1181">
        <v>1</v>
      </c>
      <c r="R1181">
        <f t="shared" si="90"/>
        <v>1</v>
      </c>
      <c r="S1181">
        <f t="shared" si="91"/>
        <v>0</v>
      </c>
      <c r="T1181">
        <f t="shared" si="92"/>
        <v>1</v>
      </c>
      <c r="U1181">
        <f t="shared" si="93"/>
        <v>1</v>
      </c>
      <c r="V1181">
        <f t="shared" si="94"/>
        <v>1</v>
      </c>
    </row>
    <row r="1182" spans="1:22" x14ac:dyDescent="0.25">
      <c r="A1182">
        <v>1179</v>
      </c>
      <c r="B1182" t="s">
        <v>16</v>
      </c>
      <c r="C1182" t="s">
        <v>523</v>
      </c>
      <c r="D1182" s="4">
        <v>45665</v>
      </c>
      <c r="E1182" t="s">
        <v>2767</v>
      </c>
      <c r="F1182" t="s">
        <v>75</v>
      </c>
      <c r="I1182" s="6">
        <v>0</v>
      </c>
      <c r="J1182" s="6">
        <v>0</v>
      </c>
      <c r="K1182" s="6">
        <v>0</v>
      </c>
      <c r="L1182" s="6">
        <v>0</v>
      </c>
      <c r="M1182" s="6">
        <v>1</v>
      </c>
      <c r="N1182" s="6">
        <v>1</v>
      </c>
      <c r="O1182" s="6">
        <v>0</v>
      </c>
      <c r="P1182" s="6">
        <v>0</v>
      </c>
      <c r="Q1182">
        <v>1</v>
      </c>
      <c r="R1182">
        <f t="shared" si="90"/>
        <v>0</v>
      </c>
      <c r="S1182">
        <f t="shared" si="91"/>
        <v>1</v>
      </c>
      <c r="T1182">
        <f t="shared" si="92"/>
        <v>2</v>
      </c>
      <c r="U1182">
        <f t="shared" si="93"/>
        <v>1</v>
      </c>
      <c r="V1182">
        <f t="shared" si="94"/>
        <v>0</v>
      </c>
    </row>
    <row r="1183" spans="1:22" x14ac:dyDescent="0.25">
      <c r="A1183">
        <v>1180</v>
      </c>
      <c r="B1183" t="s">
        <v>16</v>
      </c>
      <c r="C1183" t="s">
        <v>523</v>
      </c>
      <c r="D1183" s="4">
        <v>45665</v>
      </c>
      <c r="E1183" t="s">
        <v>2766</v>
      </c>
      <c r="F1183" t="s">
        <v>75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>
        <v>1</v>
      </c>
      <c r="R1183">
        <f t="shared" si="90"/>
        <v>0</v>
      </c>
      <c r="S1183">
        <f t="shared" si="91"/>
        <v>1</v>
      </c>
      <c r="T1183">
        <f t="shared" si="92"/>
        <v>0</v>
      </c>
      <c r="U1183">
        <f t="shared" si="93"/>
        <v>0</v>
      </c>
      <c r="V1183">
        <f t="shared" si="94"/>
        <v>0</v>
      </c>
    </row>
    <row r="1184" spans="1:22" x14ac:dyDescent="0.25">
      <c r="A1184">
        <v>1181</v>
      </c>
      <c r="B1184" t="s">
        <v>16</v>
      </c>
      <c r="C1184" t="s">
        <v>523</v>
      </c>
      <c r="D1184" s="4">
        <v>45666</v>
      </c>
      <c r="E1184" t="s">
        <v>765</v>
      </c>
      <c r="F1184" t="s">
        <v>413</v>
      </c>
      <c r="G1184">
        <v>76</v>
      </c>
      <c r="H1184" t="s">
        <v>766</v>
      </c>
      <c r="I1184" s="6">
        <v>0</v>
      </c>
      <c r="J1184" s="6">
        <v>0</v>
      </c>
      <c r="K1184" s="6">
        <v>0</v>
      </c>
      <c r="L1184" s="6">
        <v>0</v>
      </c>
      <c r="M1184" s="6">
        <v>1</v>
      </c>
      <c r="N1184" s="6">
        <v>0</v>
      </c>
      <c r="O1184" s="6">
        <v>0</v>
      </c>
      <c r="P1184" s="6">
        <v>0</v>
      </c>
      <c r="Q1184">
        <v>1</v>
      </c>
      <c r="R1184">
        <f t="shared" si="90"/>
        <v>1</v>
      </c>
      <c r="S1184">
        <f t="shared" si="91"/>
        <v>0</v>
      </c>
      <c r="T1184">
        <f t="shared" si="92"/>
        <v>1</v>
      </c>
      <c r="U1184">
        <f t="shared" si="93"/>
        <v>1</v>
      </c>
      <c r="V1184">
        <f t="shared" si="94"/>
        <v>1</v>
      </c>
    </row>
    <row r="1185" spans="1:22" x14ac:dyDescent="0.25">
      <c r="A1185">
        <v>1182</v>
      </c>
      <c r="B1185" t="s">
        <v>16</v>
      </c>
      <c r="C1185" t="s">
        <v>523</v>
      </c>
      <c r="D1185" s="4">
        <v>45666</v>
      </c>
      <c r="E1185" t="s">
        <v>2765</v>
      </c>
      <c r="F1185" t="s">
        <v>75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>
        <v>1</v>
      </c>
      <c r="R1185">
        <f t="shared" si="90"/>
        <v>0</v>
      </c>
      <c r="S1185">
        <f t="shared" si="91"/>
        <v>1</v>
      </c>
      <c r="T1185">
        <f t="shared" si="92"/>
        <v>0</v>
      </c>
      <c r="U1185">
        <f t="shared" si="93"/>
        <v>0</v>
      </c>
      <c r="V1185">
        <f t="shared" si="94"/>
        <v>0</v>
      </c>
    </row>
    <row r="1186" spans="1:22" x14ac:dyDescent="0.25">
      <c r="A1186">
        <v>1183</v>
      </c>
      <c r="B1186" t="s">
        <v>16</v>
      </c>
      <c r="C1186" t="s">
        <v>523</v>
      </c>
      <c r="D1186" s="4">
        <v>45667</v>
      </c>
      <c r="E1186" t="s">
        <v>2764</v>
      </c>
      <c r="F1186" t="s">
        <v>75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>
        <v>1</v>
      </c>
      <c r="R1186">
        <f t="shared" si="90"/>
        <v>0</v>
      </c>
      <c r="S1186">
        <f t="shared" si="91"/>
        <v>1</v>
      </c>
      <c r="T1186">
        <f t="shared" si="92"/>
        <v>0</v>
      </c>
      <c r="U1186">
        <f t="shared" si="93"/>
        <v>0</v>
      </c>
      <c r="V1186">
        <f t="shared" si="94"/>
        <v>0</v>
      </c>
    </row>
    <row r="1187" spans="1:22" x14ac:dyDescent="0.25">
      <c r="A1187">
        <v>1184</v>
      </c>
      <c r="B1187" t="s">
        <v>16</v>
      </c>
      <c r="C1187" t="s">
        <v>523</v>
      </c>
      <c r="D1187" s="4">
        <v>45667</v>
      </c>
      <c r="E1187" t="s">
        <v>767</v>
      </c>
      <c r="F1187" t="s">
        <v>75</v>
      </c>
      <c r="I1187" s="6"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>
        <v>1</v>
      </c>
      <c r="R1187">
        <f t="shared" si="90"/>
        <v>0</v>
      </c>
      <c r="S1187">
        <f t="shared" si="91"/>
        <v>1</v>
      </c>
      <c r="T1187">
        <f t="shared" si="92"/>
        <v>0</v>
      </c>
      <c r="U1187">
        <f t="shared" si="93"/>
        <v>0</v>
      </c>
      <c r="V1187">
        <f t="shared" si="94"/>
        <v>0</v>
      </c>
    </row>
    <row r="1188" spans="1:22" x14ac:dyDescent="0.25">
      <c r="A1188">
        <v>1185</v>
      </c>
      <c r="B1188" t="s">
        <v>16</v>
      </c>
      <c r="C1188" t="s">
        <v>523</v>
      </c>
      <c r="D1188" s="4">
        <v>45667</v>
      </c>
      <c r="E1188" t="s">
        <v>768</v>
      </c>
      <c r="F1188" t="s">
        <v>75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>
        <v>1</v>
      </c>
      <c r="R1188">
        <f t="shared" si="90"/>
        <v>0</v>
      </c>
      <c r="S1188">
        <f t="shared" si="91"/>
        <v>1</v>
      </c>
      <c r="T1188">
        <f t="shared" si="92"/>
        <v>0</v>
      </c>
      <c r="U1188">
        <f t="shared" si="93"/>
        <v>0</v>
      </c>
      <c r="V1188">
        <f t="shared" si="94"/>
        <v>0</v>
      </c>
    </row>
    <row r="1189" spans="1:22" x14ac:dyDescent="0.25">
      <c r="A1189">
        <v>1186</v>
      </c>
      <c r="B1189" t="s">
        <v>16</v>
      </c>
      <c r="C1189" t="s">
        <v>523</v>
      </c>
      <c r="D1189" s="4">
        <v>45667</v>
      </c>
      <c r="E1189" t="s">
        <v>769</v>
      </c>
      <c r="F1189" t="s">
        <v>357</v>
      </c>
      <c r="H1189" t="s">
        <v>683</v>
      </c>
      <c r="I1189" s="6">
        <v>0</v>
      </c>
      <c r="J1189" s="6">
        <v>0</v>
      </c>
      <c r="K1189" s="6">
        <v>0</v>
      </c>
      <c r="L1189" s="6">
        <v>1</v>
      </c>
      <c r="M1189" s="6">
        <v>0</v>
      </c>
      <c r="N1189" s="6">
        <v>0</v>
      </c>
      <c r="O1189" s="6">
        <v>0</v>
      </c>
      <c r="P1189" s="6">
        <v>0</v>
      </c>
      <c r="Q1189">
        <v>1</v>
      </c>
      <c r="R1189">
        <f t="shared" si="90"/>
        <v>0</v>
      </c>
      <c r="S1189">
        <f t="shared" si="91"/>
        <v>0</v>
      </c>
      <c r="T1189">
        <f t="shared" si="92"/>
        <v>1</v>
      </c>
      <c r="U1189">
        <f t="shared" si="93"/>
        <v>1</v>
      </c>
      <c r="V1189">
        <f t="shared" si="94"/>
        <v>0</v>
      </c>
    </row>
    <row r="1190" spans="1:22" x14ac:dyDescent="0.25">
      <c r="A1190">
        <v>1187</v>
      </c>
      <c r="B1190" t="s">
        <v>16</v>
      </c>
      <c r="C1190" t="s">
        <v>523</v>
      </c>
      <c r="D1190" s="4">
        <v>45667</v>
      </c>
      <c r="E1190" t="s">
        <v>2763</v>
      </c>
      <c r="F1190" t="s">
        <v>75</v>
      </c>
      <c r="I1190" s="6">
        <v>1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>
        <v>1</v>
      </c>
      <c r="R1190">
        <f t="shared" si="90"/>
        <v>0</v>
      </c>
      <c r="S1190">
        <f t="shared" si="91"/>
        <v>1</v>
      </c>
      <c r="T1190">
        <f t="shared" si="92"/>
        <v>1</v>
      </c>
      <c r="U1190">
        <f t="shared" si="93"/>
        <v>1</v>
      </c>
      <c r="V1190">
        <f t="shared" si="94"/>
        <v>0</v>
      </c>
    </row>
    <row r="1191" spans="1:22" x14ac:dyDescent="0.25">
      <c r="A1191">
        <v>1188</v>
      </c>
      <c r="B1191" t="s">
        <v>16</v>
      </c>
      <c r="C1191" t="s">
        <v>523</v>
      </c>
      <c r="D1191" s="4">
        <v>45668</v>
      </c>
      <c r="E1191" t="s">
        <v>628</v>
      </c>
      <c r="F1191" t="s">
        <v>75</v>
      </c>
      <c r="I1191" s="6">
        <v>1</v>
      </c>
      <c r="J1191" s="6">
        <v>0</v>
      </c>
      <c r="K1191" s="6">
        <v>1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>
        <v>1</v>
      </c>
      <c r="R1191">
        <f t="shared" si="90"/>
        <v>0</v>
      </c>
      <c r="S1191">
        <f t="shared" si="91"/>
        <v>1</v>
      </c>
      <c r="T1191">
        <f t="shared" si="92"/>
        <v>2</v>
      </c>
      <c r="U1191">
        <f t="shared" si="93"/>
        <v>1</v>
      </c>
      <c r="V1191">
        <f t="shared" si="94"/>
        <v>0</v>
      </c>
    </row>
    <row r="1192" spans="1:22" x14ac:dyDescent="0.25">
      <c r="A1192">
        <v>1189</v>
      </c>
      <c r="B1192" t="s">
        <v>16</v>
      </c>
      <c r="C1192" t="s">
        <v>523</v>
      </c>
      <c r="D1192" s="4">
        <v>45668</v>
      </c>
      <c r="E1192" t="s">
        <v>629</v>
      </c>
      <c r="F1192" t="s">
        <v>75</v>
      </c>
      <c r="I1192" s="6">
        <v>0</v>
      </c>
      <c r="J1192" s="6">
        <v>0</v>
      </c>
      <c r="K1192" s="6">
        <v>0</v>
      </c>
      <c r="L1192" s="6">
        <v>0</v>
      </c>
      <c r="M1192" s="6">
        <v>1</v>
      </c>
      <c r="N1192" s="6">
        <v>0</v>
      </c>
      <c r="O1192" s="6">
        <v>0</v>
      </c>
      <c r="P1192" s="6">
        <v>0</v>
      </c>
      <c r="Q1192">
        <v>1</v>
      </c>
      <c r="R1192">
        <f t="shared" si="90"/>
        <v>0</v>
      </c>
      <c r="S1192">
        <f t="shared" si="91"/>
        <v>1</v>
      </c>
      <c r="T1192">
        <f t="shared" si="92"/>
        <v>1</v>
      </c>
      <c r="U1192">
        <f t="shared" si="93"/>
        <v>1</v>
      </c>
      <c r="V1192">
        <f t="shared" si="94"/>
        <v>0</v>
      </c>
    </row>
    <row r="1193" spans="1:22" x14ac:dyDescent="0.25">
      <c r="A1193">
        <v>1190</v>
      </c>
      <c r="B1193" t="s">
        <v>16</v>
      </c>
      <c r="C1193" t="s">
        <v>523</v>
      </c>
      <c r="D1193" s="4">
        <v>45668</v>
      </c>
      <c r="E1193" t="s">
        <v>770</v>
      </c>
      <c r="F1193" t="s">
        <v>413</v>
      </c>
      <c r="G1193">
        <v>77</v>
      </c>
      <c r="H1193" t="s">
        <v>687</v>
      </c>
      <c r="I1193" s="6">
        <v>0</v>
      </c>
      <c r="J1193" s="6">
        <v>0</v>
      </c>
      <c r="K1193" s="6">
        <v>1</v>
      </c>
      <c r="L1193" s="6">
        <v>0</v>
      </c>
      <c r="M1193" s="6">
        <v>1</v>
      </c>
      <c r="N1193" s="6">
        <v>0</v>
      </c>
      <c r="O1193" s="6">
        <v>0</v>
      </c>
      <c r="P1193" s="6">
        <v>0</v>
      </c>
      <c r="Q1193">
        <v>1</v>
      </c>
      <c r="R1193">
        <f t="shared" si="90"/>
        <v>1</v>
      </c>
      <c r="S1193">
        <f t="shared" si="91"/>
        <v>0</v>
      </c>
      <c r="T1193">
        <f t="shared" si="92"/>
        <v>2</v>
      </c>
      <c r="U1193">
        <f t="shared" si="93"/>
        <v>1</v>
      </c>
      <c r="V1193">
        <f t="shared" si="94"/>
        <v>1</v>
      </c>
    </row>
    <row r="1194" spans="1:22" x14ac:dyDescent="0.25">
      <c r="A1194">
        <v>1191</v>
      </c>
      <c r="B1194" t="s">
        <v>16</v>
      </c>
      <c r="C1194" t="s">
        <v>523</v>
      </c>
      <c r="D1194" s="4">
        <v>45668</v>
      </c>
      <c r="E1194" t="s">
        <v>771</v>
      </c>
      <c r="F1194" t="s">
        <v>75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>
        <v>1</v>
      </c>
      <c r="R1194">
        <f t="shared" si="90"/>
        <v>0</v>
      </c>
      <c r="S1194">
        <f t="shared" si="91"/>
        <v>1</v>
      </c>
      <c r="T1194">
        <f t="shared" si="92"/>
        <v>0</v>
      </c>
      <c r="U1194">
        <f t="shared" si="93"/>
        <v>0</v>
      </c>
      <c r="V1194">
        <f t="shared" si="94"/>
        <v>0</v>
      </c>
    </row>
    <row r="1195" spans="1:22" x14ac:dyDescent="0.25">
      <c r="A1195">
        <v>1192</v>
      </c>
      <c r="B1195" t="s">
        <v>16</v>
      </c>
      <c r="C1195" t="s">
        <v>523</v>
      </c>
      <c r="D1195" s="4">
        <v>45668</v>
      </c>
      <c r="E1195" t="s">
        <v>772</v>
      </c>
      <c r="F1195" t="s">
        <v>75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>
        <v>1</v>
      </c>
      <c r="R1195">
        <f t="shared" si="90"/>
        <v>0</v>
      </c>
      <c r="S1195">
        <f t="shared" si="91"/>
        <v>1</v>
      </c>
      <c r="T1195">
        <f t="shared" si="92"/>
        <v>0</v>
      </c>
      <c r="U1195">
        <f t="shared" si="93"/>
        <v>0</v>
      </c>
      <c r="V1195">
        <f t="shared" si="94"/>
        <v>0</v>
      </c>
    </row>
    <row r="1196" spans="1:22" x14ac:dyDescent="0.25">
      <c r="A1196">
        <v>1193</v>
      </c>
      <c r="B1196" t="s">
        <v>16</v>
      </c>
      <c r="C1196" t="s">
        <v>523</v>
      </c>
      <c r="D1196" s="4">
        <v>45668</v>
      </c>
      <c r="E1196" t="s">
        <v>773</v>
      </c>
      <c r="F1196" t="s">
        <v>75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>
        <v>1</v>
      </c>
      <c r="R1196">
        <f t="shared" si="90"/>
        <v>0</v>
      </c>
      <c r="S1196">
        <f t="shared" si="91"/>
        <v>1</v>
      </c>
      <c r="T1196">
        <f t="shared" si="92"/>
        <v>0</v>
      </c>
      <c r="U1196">
        <f t="shared" si="93"/>
        <v>0</v>
      </c>
      <c r="V1196">
        <f t="shared" si="94"/>
        <v>0</v>
      </c>
    </row>
    <row r="1197" spans="1:22" x14ac:dyDescent="0.25">
      <c r="A1197">
        <v>1194</v>
      </c>
      <c r="B1197" t="s">
        <v>16</v>
      </c>
      <c r="C1197" t="s">
        <v>523</v>
      </c>
      <c r="D1197" s="4">
        <v>45669</v>
      </c>
      <c r="E1197" t="s">
        <v>630</v>
      </c>
      <c r="F1197" t="s">
        <v>75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>
        <v>1</v>
      </c>
      <c r="R1197">
        <f t="shared" si="90"/>
        <v>0</v>
      </c>
      <c r="S1197">
        <f t="shared" si="91"/>
        <v>1</v>
      </c>
      <c r="T1197">
        <f t="shared" si="92"/>
        <v>0</v>
      </c>
      <c r="U1197">
        <f t="shared" si="93"/>
        <v>0</v>
      </c>
      <c r="V1197">
        <f t="shared" si="94"/>
        <v>0</v>
      </c>
    </row>
    <row r="1198" spans="1:22" x14ac:dyDescent="0.25">
      <c r="A1198">
        <v>1195</v>
      </c>
      <c r="B1198" t="s">
        <v>16</v>
      </c>
      <c r="C1198" t="s">
        <v>523</v>
      </c>
      <c r="D1198" s="4">
        <v>45669</v>
      </c>
      <c r="E1198" t="s">
        <v>2762</v>
      </c>
      <c r="F1198" t="s">
        <v>75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>
        <v>1</v>
      </c>
      <c r="R1198">
        <f t="shared" si="90"/>
        <v>0</v>
      </c>
      <c r="S1198">
        <f t="shared" si="91"/>
        <v>1</v>
      </c>
      <c r="T1198">
        <f t="shared" si="92"/>
        <v>0</v>
      </c>
      <c r="U1198">
        <f t="shared" si="93"/>
        <v>0</v>
      </c>
      <c r="V1198">
        <f t="shared" si="94"/>
        <v>0</v>
      </c>
    </row>
    <row r="1199" spans="1:22" x14ac:dyDescent="0.25">
      <c r="A1199">
        <v>1196</v>
      </c>
      <c r="B1199" t="s">
        <v>16</v>
      </c>
      <c r="C1199" t="s">
        <v>523</v>
      </c>
      <c r="D1199" s="4">
        <v>45669</v>
      </c>
      <c r="E1199" t="s">
        <v>774</v>
      </c>
      <c r="F1199" t="s">
        <v>75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>
        <v>1</v>
      </c>
      <c r="R1199">
        <f t="shared" si="90"/>
        <v>0</v>
      </c>
      <c r="S1199">
        <f t="shared" si="91"/>
        <v>1</v>
      </c>
      <c r="T1199">
        <f t="shared" si="92"/>
        <v>0</v>
      </c>
      <c r="U1199">
        <f t="shared" si="93"/>
        <v>0</v>
      </c>
      <c r="V1199">
        <f t="shared" si="94"/>
        <v>0</v>
      </c>
    </row>
    <row r="1200" spans="1:22" x14ac:dyDescent="0.25">
      <c r="A1200">
        <v>1197</v>
      </c>
      <c r="B1200" t="s">
        <v>16</v>
      </c>
      <c r="C1200" t="s">
        <v>523</v>
      </c>
      <c r="D1200" s="4">
        <v>45669</v>
      </c>
      <c r="E1200" t="s">
        <v>631</v>
      </c>
      <c r="F1200" t="s">
        <v>75</v>
      </c>
      <c r="I1200" s="6">
        <v>0</v>
      </c>
      <c r="J1200" s="6">
        <v>0</v>
      </c>
      <c r="K1200" s="6">
        <v>1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>
        <v>1</v>
      </c>
      <c r="R1200">
        <f t="shared" si="90"/>
        <v>0</v>
      </c>
      <c r="S1200">
        <f t="shared" si="91"/>
        <v>1</v>
      </c>
      <c r="T1200">
        <f t="shared" si="92"/>
        <v>1</v>
      </c>
      <c r="U1200">
        <f t="shared" si="93"/>
        <v>1</v>
      </c>
      <c r="V1200">
        <f t="shared" si="94"/>
        <v>0</v>
      </c>
    </row>
    <row r="1201" spans="1:22" x14ac:dyDescent="0.25">
      <c r="A1201">
        <v>1198</v>
      </c>
      <c r="B1201" t="s">
        <v>16</v>
      </c>
      <c r="C1201" t="s">
        <v>523</v>
      </c>
      <c r="D1201" s="4">
        <v>45669</v>
      </c>
      <c r="E1201" t="s">
        <v>775</v>
      </c>
      <c r="F1201" t="s">
        <v>75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>
        <v>1</v>
      </c>
      <c r="R1201">
        <f t="shared" si="90"/>
        <v>0</v>
      </c>
      <c r="S1201">
        <f t="shared" si="91"/>
        <v>1</v>
      </c>
      <c r="T1201">
        <f t="shared" si="92"/>
        <v>0</v>
      </c>
      <c r="U1201">
        <f t="shared" si="93"/>
        <v>0</v>
      </c>
      <c r="V1201">
        <f t="shared" si="94"/>
        <v>0</v>
      </c>
    </row>
    <row r="1202" spans="1:22" x14ac:dyDescent="0.25">
      <c r="A1202">
        <v>1199</v>
      </c>
      <c r="B1202" t="s">
        <v>16</v>
      </c>
      <c r="C1202" t="s">
        <v>523</v>
      </c>
      <c r="D1202" s="4">
        <v>45669</v>
      </c>
      <c r="E1202" t="s">
        <v>776</v>
      </c>
      <c r="F1202" t="s">
        <v>75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>
        <v>1</v>
      </c>
      <c r="R1202">
        <f t="shared" si="90"/>
        <v>0</v>
      </c>
      <c r="S1202">
        <f t="shared" si="91"/>
        <v>1</v>
      </c>
      <c r="T1202">
        <f t="shared" si="92"/>
        <v>0</v>
      </c>
      <c r="U1202">
        <f t="shared" si="93"/>
        <v>0</v>
      </c>
      <c r="V1202">
        <f t="shared" si="94"/>
        <v>0</v>
      </c>
    </row>
    <row r="1203" spans="1:22" x14ac:dyDescent="0.25">
      <c r="A1203">
        <v>1200</v>
      </c>
      <c r="B1203" t="s">
        <v>16</v>
      </c>
      <c r="C1203" t="s">
        <v>523</v>
      </c>
      <c r="D1203" s="4">
        <v>45669</v>
      </c>
      <c r="E1203" t="s">
        <v>777</v>
      </c>
      <c r="F1203" t="s">
        <v>75</v>
      </c>
      <c r="I1203" s="6">
        <v>1</v>
      </c>
      <c r="J1203" s="6">
        <v>0</v>
      </c>
      <c r="K1203" s="6">
        <v>1</v>
      </c>
      <c r="L1203" s="6">
        <v>0</v>
      </c>
      <c r="M1203" s="6">
        <v>1</v>
      </c>
      <c r="N1203" s="6">
        <v>0</v>
      </c>
      <c r="O1203" s="6">
        <v>1</v>
      </c>
      <c r="P1203" s="6">
        <v>0</v>
      </c>
      <c r="Q1203">
        <v>1</v>
      </c>
      <c r="R1203">
        <f t="shared" si="90"/>
        <v>0</v>
      </c>
      <c r="S1203">
        <f t="shared" si="91"/>
        <v>1</v>
      </c>
      <c r="T1203">
        <f t="shared" si="92"/>
        <v>4</v>
      </c>
      <c r="U1203">
        <f t="shared" si="93"/>
        <v>1</v>
      </c>
      <c r="V1203">
        <f t="shared" si="94"/>
        <v>0</v>
      </c>
    </row>
    <row r="1204" spans="1:22" x14ac:dyDescent="0.25">
      <c r="A1204">
        <v>1201</v>
      </c>
      <c r="B1204" t="s">
        <v>16</v>
      </c>
      <c r="C1204" t="s">
        <v>523</v>
      </c>
      <c r="D1204" s="4">
        <v>45669</v>
      </c>
      <c r="E1204" t="s">
        <v>2761</v>
      </c>
      <c r="F1204" t="s">
        <v>75</v>
      </c>
      <c r="I1204" s="6">
        <v>0</v>
      </c>
      <c r="J1204" s="6">
        <v>0</v>
      </c>
      <c r="K1204" s="6">
        <v>0</v>
      </c>
      <c r="L1204" s="6">
        <v>1</v>
      </c>
      <c r="M1204" s="6">
        <v>0</v>
      </c>
      <c r="N1204" s="6">
        <v>0</v>
      </c>
      <c r="O1204" s="6">
        <v>0</v>
      </c>
      <c r="P1204" s="6">
        <v>0</v>
      </c>
      <c r="Q1204">
        <v>1</v>
      </c>
      <c r="R1204">
        <f t="shared" si="90"/>
        <v>0</v>
      </c>
      <c r="S1204">
        <f t="shared" si="91"/>
        <v>1</v>
      </c>
      <c r="T1204">
        <f t="shared" si="92"/>
        <v>1</v>
      </c>
      <c r="U1204">
        <f t="shared" si="93"/>
        <v>1</v>
      </c>
      <c r="V1204">
        <f t="shared" si="94"/>
        <v>0</v>
      </c>
    </row>
    <row r="1205" spans="1:22" x14ac:dyDescent="0.25">
      <c r="A1205">
        <v>1202</v>
      </c>
      <c r="B1205" t="s">
        <v>16</v>
      </c>
      <c r="C1205" t="s">
        <v>523</v>
      </c>
      <c r="D1205" s="4">
        <v>45669</v>
      </c>
      <c r="E1205" t="s">
        <v>2760</v>
      </c>
      <c r="F1205" t="s">
        <v>75</v>
      </c>
      <c r="I1205" s="6">
        <v>0</v>
      </c>
      <c r="J1205" s="6">
        <v>0</v>
      </c>
      <c r="K1205" s="6">
        <v>0</v>
      </c>
      <c r="L1205" s="6">
        <v>1</v>
      </c>
      <c r="M1205" s="6">
        <v>0</v>
      </c>
      <c r="N1205" s="6">
        <v>0</v>
      </c>
      <c r="O1205" s="6">
        <v>0</v>
      </c>
      <c r="P1205" s="6">
        <v>0</v>
      </c>
      <c r="Q1205">
        <v>1</v>
      </c>
      <c r="R1205">
        <f t="shared" si="90"/>
        <v>0</v>
      </c>
      <c r="S1205">
        <f t="shared" si="91"/>
        <v>1</v>
      </c>
      <c r="T1205">
        <f t="shared" si="92"/>
        <v>1</v>
      </c>
      <c r="U1205">
        <f t="shared" si="93"/>
        <v>1</v>
      </c>
      <c r="V1205">
        <f t="shared" si="94"/>
        <v>0</v>
      </c>
    </row>
    <row r="1206" spans="1:22" x14ac:dyDescent="0.25">
      <c r="A1206">
        <v>1203</v>
      </c>
      <c r="B1206" t="s">
        <v>16</v>
      </c>
      <c r="C1206" t="s">
        <v>523</v>
      </c>
      <c r="D1206" s="4">
        <v>45669</v>
      </c>
      <c r="E1206" t="s">
        <v>778</v>
      </c>
      <c r="F1206" t="s">
        <v>75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1</v>
      </c>
      <c r="O1206" s="6">
        <v>0</v>
      </c>
      <c r="P1206" s="6">
        <v>0</v>
      </c>
      <c r="Q1206">
        <v>1</v>
      </c>
      <c r="R1206">
        <f t="shared" si="90"/>
        <v>0</v>
      </c>
      <c r="S1206">
        <f t="shared" si="91"/>
        <v>1</v>
      </c>
      <c r="T1206">
        <f t="shared" si="92"/>
        <v>1</v>
      </c>
      <c r="U1206">
        <f t="shared" si="93"/>
        <v>1</v>
      </c>
      <c r="V1206">
        <f t="shared" si="94"/>
        <v>0</v>
      </c>
    </row>
    <row r="1207" spans="1:22" x14ac:dyDescent="0.25">
      <c r="A1207">
        <v>1204</v>
      </c>
      <c r="B1207" t="s">
        <v>16</v>
      </c>
      <c r="C1207" t="s">
        <v>523</v>
      </c>
      <c r="D1207" s="4">
        <v>45669</v>
      </c>
      <c r="E1207" t="s">
        <v>779</v>
      </c>
      <c r="F1207" t="s">
        <v>413</v>
      </c>
      <c r="G1207">
        <v>78</v>
      </c>
      <c r="H1207" t="s">
        <v>681</v>
      </c>
      <c r="I1207" s="6">
        <v>0</v>
      </c>
      <c r="J1207" s="6">
        <v>0</v>
      </c>
      <c r="K1207" s="6">
        <v>0</v>
      </c>
      <c r="L1207" s="6">
        <v>0</v>
      </c>
      <c r="M1207" s="6">
        <v>1</v>
      </c>
      <c r="N1207" s="6">
        <v>1</v>
      </c>
      <c r="O1207" s="6">
        <v>0</v>
      </c>
      <c r="P1207" s="6">
        <v>0</v>
      </c>
      <c r="Q1207">
        <v>1</v>
      </c>
      <c r="R1207">
        <f t="shared" si="90"/>
        <v>1</v>
      </c>
      <c r="S1207">
        <f t="shared" si="91"/>
        <v>0</v>
      </c>
      <c r="T1207">
        <f t="shared" si="92"/>
        <v>2</v>
      </c>
      <c r="U1207">
        <f t="shared" si="93"/>
        <v>1</v>
      </c>
      <c r="V1207">
        <f t="shared" si="94"/>
        <v>1</v>
      </c>
    </row>
    <row r="1208" spans="1:22" x14ac:dyDescent="0.25">
      <c r="A1208">
        <v>1205</v>
      </c>
      <c r="B1208" t="s">
        <v>16</v>
      </c>
      <c r="C1208" t="s">
        <v>523</v>
      </c>
      <c r="D1208" s="4">
        <v>45670</v>
      </c>
      <c r="E1208" t="s">
        <v>633</v>
      </c>
      <c r="F1208" t="s">
        <v>413</v>
      </c>
      <c r="G1208">
        <v>79</v>
      </c>
      <c r="H1208" t="s">
        <v>692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1</v>
      </c>
      <c r="P1208" s="6">
        <v>0</v>
      </c>
      <c r="Q1208">
        <v>1</v>
      </c>
      <c r="R1208">
        <f t="shared" si="90"/>
        <v>1</v>
      </c>
      <c r="S1208">
        <f t="shared" si="91"/>
        <v>0</v>
      </c>
      <c r="T1208">
        <f t="shared" si="92"/>
        <v>1</v>
      </c>
      <c r="U1208">
        <f t="shared" si="93"/>
        <v>1</v>
      </c>
      <c r="V1208">
        <f t="shared" si="94"/>
        <v>1</v>
      </c>
    </row>
    <row r="1209" spans="1:22" x14ac:dyDescent="0.25">
      <c r="A1209">
        <v>1206</v>
      </c>
      <c r="B1209" t="s">
        <v>16</v>
      </c>
      <c r="C1209" t="s">
        <v>523</v>
      </c>
      <c r="D1209" s="4">
        <v>45670</v>
      </c>
      <c r="E1209" t="s">
        <v>74</v>
      </c>
      <c r="F1209" t="s">
        <v>75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>
        <v>1</v>
      </c>
      <c r="R1209">
        <f t="shared" si="90"/>
        <v>0</v>
      </c>
      <c r="S1209">
        <f t="shared" si="91"/>
        <v>1</v>
      </c>
      <c r="T1209">
        <f t="shared" si="92"/>
        <v>0</v>
      </c>
      <c r="U1209">
        <f t="shared" si="93"/>
        <v>0</v>
      </c>
      <c r="V1209">
        <f t="shared" si="94"/>
        <v>0</v>
      </c>
    </row>
    <row r="1210" spans="1:22" x14ac:dyDescent="0.25">
      <c r="A1210">
        <v>1207</v>
      </c>
      <c r="B1210" t="s">
        <v>16</v>
      </c>
      <c r="C1210" t="s">
        <v>523</v>
      </c>
      <c r="D1210" s="4">
        <v>45670</v>
      </c>
      <c r="E1210" t="s">
        <v>780</v>
      </c>
      <c r="F1210" t="s">
        <v>75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>
        <v>1</v>
      </c>
      <c r="R1210">
        <f t="shared" si="90"/>
        <v>0</v>
      </c>
      <c r="S1210">
        <f t="shared" si="91"/>
        <v>1</v>
      </c>
      <c r="T1210">
        <f t="shared" si="92"/>
        <v>0</v>
      </c>
      <c r="U1210">
        <f t="shared" si="93"/>
        <v>0</v>
      </c>
      <c r="V1210">
        <f t="shared" si="94"/>
        <v>0</v>
      </c>
    </row>
    <row r="1211" spans="1:22" x14ac:dyDescent="0.25">
      <c r="A1211">
        <v>1208</v>
      </c>
      <c r="B1211" t="s">
        <v>16</v>
      </c>
      <c r="C1211" t="s">
        <v>523</v>
      </c>
      <c r="D1211" s="4">
        <v>45671</v>
      </c>
      <c r="E1211" t="s">
        <v>781</v>
      </c>
      <c r="F1211" t="s">
        <v>413</v>
      </c>
      <c r="G1211">
        <v>80</v>
      </c>
      <c r="H1211" t="s">
        <v>700</v>
      </c>
      <c r="I1211" s="6">
        <v>0</v>
      </c>
      <c r="J1211" s="6">
        <v>0</v>
      </c>
      <c r="K1211" s="6">
        <v>0</v>
      </c>
      <c r="L1211" s="6">
        <v>0</v>
      </c>
      <c r="M1211" s="6">
        <v>1</v>
      </c>
      <c r="N1211" s="6">
        <v>0</v>
      </c>
      <c r="O1211" s="6">
        <v>0</v>
      </c>
      <c r="P1211" s="6">
        <v>0</v>
      </c>
      <c r="Q1211">
        <v>1</v>
      </c>
      <c r="R1211">
        <f t="shared" si="90"/>
        <v>1</v>
      </c>
      <c r="S1211">
        <f t="shared" si="91"/>
        <v>0</v>
      </c>
      <c r="T1211">
        <f t="shared" si="92"/>
        <v>1</v>
      </c>
      <c r="U1211">
        <f t="shared" si="93"/>
        <v>1</v>
      </c>
      <c r="V1211">
        <f t="shared" si="94"/>
        <v>1</v>
      </c>
    </row>
    <row r="1212" spans="1:22" x14ac:dyDescent="0.25">
      <c r="A1212">
        <v>1209</v>
      </c>
      <c r="B1212" t="s">
        <v>16</v>
      </c>
      <c r="C1212" t="s">
        <v>523</v>
      </c>
      <c r="D1212" s="4">
        <v>45672</v>
      </c>
      <c r="E1212" t="s">
        <v>635</v>
      </c>
      <c r="F1212" t="s">
        <v>75</v>
      </c>
      <c r="I1212" s="6">
        <v>1</v>
      </c>
      <c r="J1212" s="6">
        <v>0</v>
      </c>
      <c r="K1212" s="6">
        <v>0</v>
      </c>
      <c r="L1212" s="6">
        <v>1</v>
      </c>
      <c r="M1212" s="6">
        <v>0</v>
      </c>
      <c r="N1212" s="6">
        <v>0</v>
      </c>
      <c r="O1212" s="6">
        <v>0</v>
      </c>
      <c r="P1212" s="6">
        <v>0</v>
      </c>
      <c r="Q1212">
        <v>1</v>
      </c>
      <c r="R1212">
        <f t="shared" si="90"/>
        <v>0</v>
      </c>
      <c r="S1212">
        <f t="shared" si="91"/>
        <v>1</v>
      </c>
      <c r="T1212">
        <f t="shared" si="92"/>
        <v>2</v>
      </c>
      <c r="U1212">
        <f t="shared" si="93"/>
        <v>1</v>
      </c>
      <c r="V1212">
        <f t="shared" si="94"/>
        <v>0</v>
      </c>
    </row>
    <row r="1213" spans="1:22" x14ac:dyDescent="0.25">
      <c r="A1213">
        <v>1210</v>
      </c>
      <c r="B1213" t="s">
        <v>16</v>
      </c>
      <c r="C1213" t="s">
        <v>523</v>
      </c>
      <c r="D1213" s="4">
        <v>45672</v>
      </c>
      <c r="E1213" t="s">
        <v>636</v>
      </c>
      <c r="F1213" t="s">
        <v>413</v>
      </c>
      <c r="G1213">
        <v>81</v>
      </c>
      <c r="H1213" t="s">
        <v>698</v>
      </c>
      <c r="I1213" s="6">
        <v>0</v>
      </c>
      <c r="J1213" s="6">
        <v>0</v>
      </c>
      <c r="K1213" s="6">
        <v>0</v>
      </c>
      <c r="L1213" s="6">
        <v>0</v>
      </c>
      <c r="M1213" s="6">
        <v>1</v>
      </c>
      <c r="N1213" s="6">
        <v>0</v>
      </c>
      <c r="O1213" s="6">
        <v>0</v>
      </c>
      <c r="P1213" s="6">
        <v>0</v>
      </c>
      <c r="Q1213">
        <v>1</v>
      </c>
      <c r="R1213">
        <f t="shared" si="90"/>
        <v>1</v>
      </c>
      <c r="S1213">
        <f t="shared" si="91"/>
        <v>0</v>
      </c>
      <c r="T1213">
        <f t="shared" si="92"/>
        <v>1</v>
      </c>
      <c r="U1213">
        <f t="shared" si="93"/>
        <v>1</v>
      </c>
      <c r="V1213">
        <f t="shared" si="94"/>
        <v>1</v>
      </c>
    </row>
    <row r="1214" spans="1:22" x14ac:dyDescent="0.25">
      <c r="A1214">
        <v>1211</v>
      </c>
      <c r="B1214" t="s">
        <v>16</v>
      </c>
      <c r="C1214" t="s">
        <v>523</v>
      </c>
      <c r="D1214" s="4">
        <v>45673</v>
      </c>
      <c r="E1214" t="s">
        <v>638</v>
      </c>
      <c r="F1214" t="s">
        <v>75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>
        <v>1</v>
      </c>
      <c r="R1214">
        <f t="shared" si="90"/>
        <v>0</v>
      </c>
      <c r="S1214">
        <f t="shared" si="91"/>
        <v>1</v>
      </c>
      <c r="T1214">
        <f t="shared" si="92"/>
        <v>0</v>
      </c>
      <c r="U1214">
        <f t="shared" si="93"/>
        <v>0</v>
      </c>
      <c r="V1214">
        <f t="shared" si="94"/>
        <v>0</v>
      </c>
    </row>
    <row r="1215" spans="1:22" x14ac:dyDescent="0.25">
      <c r="A1215">
        <v>1212</v>
      </c>
      <c r="B1215" t="s">
        <v>16</v>
      </c>
      <c r="C1215" t="s">
        <v>523</v>
      </c>
      <c r="D1215" s="4">
        <v>45673</v>
      </c>
      <c r="E1215" t="s">
        <v>639</v>
      </c>
      <c r="F1215" t="s">
        <v>413</v>
      </c>
      <c r="G1215">
        <v>82</v>
      </c>
      <c r="H1215" t="s">
        <v>782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1</v>
      </c>
      <c r="Q1215">
        <v>1</v>
      </c>
      <c r="R1215">
        <f t="shared" si="90"/>
        <v>1</v>
      </c>
      <c r="S1215">
        <f t="shared" si="91"/>
        <v>0</v>
      </c>
      <c r="T1215">
        <f t="shared" si="92"/>
        <v>1</v>
      </c>
      <c r="U1215">
        <f t="shared" si="93"/>
        <v>1</v>
      </c>
      <c r="V1215">
        <f t="shared" si="94"/>
        <v>1</v>
      </c>
    </row>
    <row r="1216" spans="1:22" x14ac:dyDescent="0.25">
      <c r="A1216">
        <v>1213</v>
      </c>
      <c r="B1216" t="s">
        <v>16</v>
      </c>
      <c r="C1216" t="s">
        <v>523</v>
      </c>
      <c r="D1216" s="4">
        <v>45673</v>
      </c>
      <c r="E1216" t="s">
        <v>640</v>
      </c>
      <c r="F1216" t="s">
        <v>75</v>
      </c>
      <c r="I1216" s="6">
        <v>0</v>
      </c>
      <c r="J1216" s="6">
        <v>0</v>
      </c>
      <c r="K1216" s="6">
        <v>0</v>
      </c>
      <c r="L1216" s="6">
        <v>0</v>
      </c>
      <c r="M1216" s="6">
        <v>1</v>
      </c>
      <c r="N1216" s="6">
        <v>1</v>
      </c>
      <c r="O1216" s="6">
        <v>0</v>
      </c>
      <c r="P1216" s="6">
        <v>0</v>
      </c>
      <c r="Q1216">
        <v>1</v>
      </c>
      <c r="R1216">
        <f t="shared" si="90"/>
        <v>0</v>
      </c>
      <c r="S1216">
        <f t="shared" si="91"/>
        <v>1</v>
      </c>
      <c r="T1216">
        <f t="shared" si="92"/>
        <v>2</v>
      </c>
      <c r="U1216">
        <f t="shared" si="93"/>
        <v>1</v>
      </c>
      <c r="V1216">
        <f t="shared" si="94"/>
        <v>0</v>
      </c>
    </row>
    <row r="1217" spans="1:22" x14ac:dyDescent="0.25">
      <c r="A1217">
        <v>1214</v>
      </c>
      <c r="B1217" t="s">
        <v>16</v>
      </c>
      <c r="C1217" t="s">
        <v>523</v>
      </c>
      <c r="D1217" s="4">
        <v>45673</v>
      </c>
      <c r="E1217" t="s">
        <v>79</v>
      </c>
      <c r="F1217" t="s">
        <v>75</v>
      </c>
      <c r="I1217" s="6">
        <v>0</v>
      </c>
      <c r="J1217" s="6">
        <v>0</v>
      </c>
      <c r="K1217" s="6">
        <v>1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>
        <v>1</v>
      </c>
      <c r="R1217">
        <f t="shared" si="90"/>
        <v>0</v>
      </c>
      <c r="S1217">
        <f t="shared" si="91"/>
        <v>1</v>
      </c>
      <c r="T1217">
        <f t="shared" si="92"/>
        <v>1</v>
      </c>
      <c r="U1217">
        <f t="shared" si="93"/>
        <v>1</v>
      </c>
      <c r="V1217">
        <f t="shared" si="94"/>
        <v>0</v>
      </c>
    </row>
    <row r="1218" spans="1:22" x14ac:dyDescent="0.25">
      <c r="A1218">
        <v>1215</v>
      </c>
      <c r="B1218" t="s">
        <v>16</v>
      </c>
      <c r="C1218" t="s">
        <v>523</v>
      </c>
      <c r="D1218" s="4">
        <v>45674</v>
      </c>
      <c r="E1218" t="s">
        <v>641</v>
      </c>
      <c r="F1218" t="s">
        <v>75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>
        <v>1</v>
      </c>
      <c r="R1218">
        <f t="shared" si="90"/>
        <v>0</v>
      </c>
      <c r="S1218">
        <f t="shared" si="91"/>
        <v>1</v>
      </c>
      <c r="T1218">
        <f t="shared" si="92"/>
        <v>0</v>
      </c>
      <c r="U1218">
        <f t="shared" si="93"/>
        <v>0</v>
      </c>
      <c r="V1218">
        <f t="shared" si="94"/>
        <v>0</v>
      </c>
    </row>
    <row r="1219" spans="1:22" x14ac:dyDescent="0.25">
      <c r="A1219">
        <v>1216</v>
      </c>
      <c r="B1219" t="s">
        <v>16</v>
      </c>
      <c r="C1219" t="s">
        <v>523</v>
      </c>
      <c r="D1219" s="4">
        <v>45674</v>
      </c>
      <c r="E1219" t="s">
        <v>642</v>
      </c>
      <c r="F1219" t="s">
        <v>75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>
        <v>1</v>
      </c>
      <c r="R1219">
        <f t="shared" ref="R1219:R1282" si="95">IF(AND(Q1219=1,F1219="ai_full"),1,0)</f>
        <v>0</v>
      </c>
      <c r="S1219">
        <f t="shared" ref="S1219:S1282" si="96">IF(AND(Q1219=1,F1219="conventional"),1,0)</f>
        <v>1</v>
      </c>
      <c r="T1219">
        <f t="shared" ref="T1219:T1282" si="97">SUM(I1219:P1219)</f>
        <v>0</v>
      </c>
      <c r="U1219">
        <f t="shared" ref="U1219:U1282" si="98">IF(T1219&gt;=1,1,0)</f>
        <v>0</v>
      </c>
      <c r="V1219">
        <f t="shared" ref="V1219:V1282" si="99">IF(F1219="ai_full",1,0)</f>
        <v>0</v>
      </c>
    </row>
    <row r="1220" spans="1:22" x14ac:dyDescent="0.25">
      <c r="A1220">
        <v>1217</v>
      </c>
      <c r="B1220" t="s">
        <v>16</v>
      </c>
      <c r="C1220" t="s">
        <v>523</v>
      </c>
      <c r="D1220" s="4">
        <v>45674</v>
      </c>
      <c r="E1220" t="s">
        <v>783</v>
      </c>
      <c r="F1220" t="s">
        <v>75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>
        <v>1</v>
      </c>
      <c r="R1220">
        <f t="shared" si="95"/>
        <v>0</v>
      </c>
      <c r="S1220">
        <f t="shared" si="96"/>
        <v>1</v>
      </c>
      <c r="T1220">
        <f t="shared" si="97"/>
        <v>0</v>
      </c>
      <c r="U1220">
        <f t="shared" si="98"/>
        <v>0</v>
      </c>
      <c r="V1220">
        <f t="shared" si="99"/>
        <v>0</v>
      </c>
    </row>
    <row r="1221" spans="1:22" x14ac:dyDescent="0.25">
      <c r="A1221">
        <v>1218</v>
      </c>
      <c r="B1221" t="s">
        <v>16</v>
      </c>
      <c r="C1221" t="s">
        <v>523</v>
      </c>
      <c r="D1221" s="4">
        <v>45674</v>
      </c>
      <c r="E1221" t="s">
        <v>784</v>
      </c>
      <c r="F1221" t="s">
        <v>75</v>
      </c>
      <c r="I1221" s="6">
        <v>0</v>
      </c>
      <c r="J1221" s="6">
        <v>0</v>
      </c>
      <c r="K1221" s="6">
        <v>0</v>
      </c>
      <c r="L1221" s="6">
        <v>0</v>
      </c>
      <c r="M1221" s="6">
        <v>1</v>
      </c>
      <c r="N1221" s="6">
        <v>0</v>
      </c>
      <c r="O1221" s="6">
        <v>0</v>
      </c>
      <c r="P1221" s="6">
        <v>0</v>
      </c>
      <c r="Q1221">
        <v>1</v>
      </c>
      <c r="R1221">
        <f t="shared" si="95"/>
        <v>0</v>
      </c>
      <c r="S1221">
        <f t="shared" si="96"/>
        <v>1</v>
      </c>
      <c r="T1221">
        <f t="shared" si="97"/>
        <v>1</v>
      </c>
      <c r="U1221">
        <f t="shared" si="98"/>
        <v>1</v>
      </c>
      <c r="V1221">
        <f t="shared" si="99"/>
        <v>0</v>
      </c>
    </row>
    <row r="1222" spans="1:22" x14ac:dyDescent="0.25">
      <c r="A1222">
        <v>1219</v>
      </c>
      <c r="B1222" t="s">
        <v>16</v>
      </c>
      <c r="C1222" t="s">
        <v>523</v>
      </c>
      <c r="D1222" s="4">
        <v>45674</v>
      </c>
      <c r="E1222" t="s">
        <v>785</v>
      </c>
      <c r="F1222" t="s">
        <v>413</v>
      </c>
      <c r="G1222">
        <v>83</v>
      </c>
      <c r="H1222" t="s">
        <v>685</v>
      </c>
      <c r="I1222" s="6">
        <v>0</v>
      </c>
      <c r="J1222" s="6">
        <v>0</v>
      </c>
      <c r="K1222" s="6">
        <v>0</v>
      </c>
      <c r="L1222" s="6">
        <v>0</v>
      </c>
      <c r="M1222" s="6">
        <v>1</v>
      </c>
      <c r="N1222" s="6">
        <v>0</v>
      </c>
      <c r="O1222" s="6">
        <v>0</v>
      </c>
      <c r="P1222" s="6">
        <v>0</v>
      </c>
      <c r="Q1222">
        <v>1</v>
      </c>
      <c r="R1222">
        <f t="shared" si="95"/>
        <v>1</v>
      </c>
      <c r="S1222">
        <f t="shared" si="96"/>
        <v>0</v>
      </c>
      <c r="T1222">
        <f t="shared" si="97"/>
        <v>1</v>
      </c>
      <c r="U1222">
        <f t="shared" si="98"/>
        <v>1</v>
      </c>
      <c r="V1222">
        <f t="shared" si="99"/>
        <v>1</v>
      </c>
    </row>
    <row r="1223" spans="1:22" x14ac:dyDescent="0.25">
      <c r="A1223">
        <v>1220</v>
      </c>
      <c r="B1223" t="s">
        <v>16</v>
      </c>
      <c r="C1223" t="s">
        <v>523</v>
      </c>
      <c r="D1223" s="4">
        <v>45674</v>
      </c>
      <c r="E1223" t="s">
        <v>2759</v>
      </c>
      <c r="F1223" t="s">
        <v>75</v>
      </c>
      <c r="I1223" s="6">
        <v>0</v>
      </c>
      <c r="J1223" s="6">
        <v>0</v>
      </c>
      <c r="K1223" s="6">
        <v>1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>
        <v>1</v>
      </c>
      <c r="R1223">
        <f t="shared" si="95"/>
        <v>0</v>
      </c>
      <c r="S1223">
        <f t="shared" si="96"/>
        <v>1</v>
      </c>
      <c r="T1223">
        <f t="shared" si="97"/>
        <v>1</v>
      </c>
      <c r="U1223">
        <f t="shared" si="98"/>
        <v>1</v>
      </c>
      <c r="V1223">
        <f t="shared" si="99"/>
        <v>0</v>
      </c>
    </row>
    <row r="1224" spans="1:22" x14ac:dyDescent="0.25">
      <c r="A1224">
        <v>1221</v>
      </c>
      <c r="B1224" t="s">
        <v>16</v>
      </c>
      <c r="C1224" t="s">
        <v>523</v>
      </c>
      <c r="D1224" s="4">
        <v>45675</v>
      </c>
      <c r="E1224" t="s">
        <v>786</v>
      </c>
      <c r="F1224" t="s">
        <v>75</v>
      </c>
      <c r="I1224" s="6">
        <v>0</v>
      </c>
      <c r="J1224" s="6">
        <v>0</v>
      </c>
      <c r="K1224" s="6">
        <v>0</v>
      </c>
      <c r="L1224" s="6">
        <v>0</v>
      </c>
      <c r="M1224" s="6">
        <v>1</v>
      </c>
      <c r="N1224" s="6">
        <v>0</v>
      </c>
      <c r="O1224" s="6">
        <v>1</v>
      </c>
      <c r="P1224" s="6">
        <v>0</v>
      </c>
      <c r="Q1224">
        <v>1</v>
      </c>
      <c r="R1224">
        <f t="shared" si="95"/>
        <v>0</v>
      </c>
      <c r="S1224">
        <f t="shared" si="96"/>
        <v>1</v>
      </c>
      <c r="T1224">
        <f t="shared" si="97"/>
        <v>2</v>
      </c>
      <c r="U1224">
        <f t="shared" si="98"/>
        <v>1</v>
      </c>
      <c r="V1224">
        <f t="shared" si="99"/>
        <v>0</v>
      </c>
    </row>
    <row r="1225" spans="1:22" x14ac:dyDescent="0.25">
      <c r="A1225">
        <v>1222</v>
      </c>
      <c r="B1225" t="s">
        <v>16</v>
      </c>
      <c r="C1225" t="s">
        <v>523</v>
      </c>
      <c r="D1225" s="4">
        <v>45675</v>
      </c>
      <c r="E1225" t="s">
        <v>81</v>
      </c>
      <c r="F1225" t="s">
        <v>75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>
        <v>1</v>
      </c>
      <c r="R1225">
        <f t="shared" si="95"/>
        <v>0</v>
      </c>
      <c r="S1225">
        <f t="shared" si="96"/>
        <v>1</v>
      </c>
      <c r="T1225">
        <f t="shared" si="97"/>
        <v>0</v>
      </c>
      <c r="U1225">
        <f t="shared" si="98"/>
        <v>0</v>
      </c>
      <c r="V1225">
        <f t="shared" si="99"/>
        <v>0</v>
      </c>
    </row>
    <row r="1226" spans="1:22" x14ac:dyDescent="0.25">
      <c r="A1226">
        <v>1223</v>
      </c>
      <c r="B1226" t="s">
        <v>16</v>
      </c>
      <c r="C1226" t="s">
        <v>523</v>
      </c>
      <c r="D1226" s="4">
        <v>45675</v>
      </c>
      <c r="E1226" t="s">
        <v>2758</v>
      </c>
      <c r="F1226" t="s">
        <v>75</v>
      </c>
      <c r="I1226" s="6">
        <v>1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>
        <v>1</v>
      </c>
      <c r="R1226">
        <f t="shared" si="95"/>
        <v>0</v>
      </c>
      <c r="S1226">
        <f t="shared" si="96"/>
        <v>1</v>
      </c>
      <c r="T1226">
        <f t="shared" si="97"/>
        <v>1</v>
      </c>
      <c r="U1226">
        <f t="shared" si="98"/>
        <v>1</v>
      </c>
      <c r="V1226">
        <f t="shared" si="99"/>
        <v>0</v>
      </c>
    </row>
    <row r="1227" spans="1:22" x14ac:dyDescent="0.25">
      <c r="A1227">
        <v>1224</v>
      </c>
      <c r="B1227" t="s">
        <v>16</v>
      </c>
      <c r="C1227" t="s">
        <v>523</v>
      </c>
      <c r="D1227" s="4">
        <v>45676</v>
      </c>
      <c r="E1227" t="s">
        <v>2757</v>
      </c>
      <c r="F1227" t="s">
        <v>75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>
        <v>1</v>
      </c>
      <c r="R1227">
        <f t="shared" si="95"/>
        <v>0</v>
      </c>
      <c r="S1227">
        <f t="shared" si="96"/>
        <v>1</v>
      </c>
      <c r="T1227">
        <f t="shared" si="97"/>
        <v>0</v>
      </c>
      <c r="U1227">
        <f t="shared" si="98"/>
        <v>0</v>
      </c>
      <c r="V1227">
        <f t="shared" si="99"/>
        <v>0</v>
      </c>
    </row>
    <row r="1228" spans="1:22" x14ac:dyDescent="0.25">
      <c r="A1228">
        <v>1225</v>
      </c>
      <c r="B1228" t="s">
        <v>16</v>
      </c>
      <c r="C1228" t="s">
        <v>523</v>
      </c>
      <c r="D1228" s="4">
        <v>45676</v>
      </c>
      <c r="E1228" t="s">
        <v>2756</v>
      </c>
      <c r="F1228" t="s">
        <v>75</v>
      </c>
      <c r="I1228" s="6">
        <v>0</v>
      </c>
      <c r="J1228" s="6">
        <v>0</v>
      </c>
      <c r="K1228" s="6">
        <v>1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>
        <v>1</v>
      </c>
      <c r="R1228">
        <f t="shared" si="95"/>
        <v>0</v>
      </c>
      <c r="S1228">
        <f t="shared" si="96"/>
        <v>1</v>
      </c>
      <c r="T1228">
        <f t="shared" si="97"/>
        <v>1</v>
      </c>
      <c r="U1228">
        <f t="shared" si="98"/>
        <v>1</v>
      </c>
      <c r="V1228">
        <f t="shared" si="99"/>
        <v>0</v>
      </c>
    </row>
    <row r="1229" spans="1:22" x14ac:dyDescent="0.25">
      <c r="A1229">
        <v>1226</v>
      </c>
      <c r="B1229" t="s">
        <v>16</v>
      </c>
      <c r="C1229" t="s">
        <v>523</v>
      </c>
      <c r="D1229" s="4">
        <v>45677</v>
      </c>
      <c r="E1229" t="s">
        <v>787</v>
      </c>
      <c r="F1229" t="s">
        <v>75</v>
      </c>
      <c r="I1229" s="6">
        <v>0</v>
      </c>
      <c r="J1229" s="6">
        <v>0</v>
      </c>
      <c r="K1229" s="6">
        <v>1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>
        <v>1</v>
      </c>
      <c r="R1229">
        <f t="shared" si="95"/>
        <v>0</v>
      </c>
      <c r="S1229">
        <f t="shared" si="96"/>
        <v>1</v>
      </c>
      <c r="T1229">
        <f t="shared" si="97"/>
        <v>1</v>
      </c>
      <c r="U1229">
        <f t="shared" si="98"/>
        <v>1</v>
      </c>
      <c r="V1229">
        <f t="shared" si="99"/>
        <v>0</v>
      </c>
    </row>
    <row r="1230" spans="1:22" x14ac:dyDescent="0.25">
      <c r="A1230">
        <v>1227</v>
      </c>
      <c r="B1230" t="s">
        <v>16</v>
      </c>
      <c r="C1230" t="s">
        <v>523</v>
      </c>
      <c r="D1230" s="4">
        <v>45678</v>
      </c>
      <c r="E1230" t="s">
        <v>645</v>
      </c>
      <c r="F1230" t="s">
        <v>75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>
        <v>1</v>
      </c>
      <c r="R1230">
        <f t="shared" si="95"/>
        <v>0</v>
      </c>
      <c r="S1230">
        <f t="shared" si="96"/>
        <v>1</v>
      </c>
      <c r="T1230">
        <f t="shared" si="97"/>
        <v>0</v>
      </c>
      <c r="U1230">
        <f t="shared" si="98"/>
        <v>0</v>
      </c>
      <c r="V1230">
        <f t="shared" si="99"/>
        <v>0</v>
      </c>
    </row>
    <row r="1231" spans="1:22" x14ac:dyDescent="0.25">
      <c r="A1231">
        <v>1228</v>
      </c>
      <c r="B1231" t="s">
        <v>16</v>
      </c>
      <c r="C1231" t="s">
        <v>523</v>
      </c>
      <c r="D1231" s="4">
        <v>45678</v>
      </c>
      <c r="E1231" t="s">
        <v>647</v>
      </c>
      <c r="F1231" t="s">
        <v>75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>
        <v>1</v>
      </c>
      <c r="R1231">
        <f t="shared" si="95"/>
        <v>0</v>
      </c>
      <c r="S1231">
        <f t="shared" si="96"/>
        <v>1</v>
      </c>
      <c r="T1231">
        <f t="shared" si="97"/>
        <v>0</v>
      </c>
      <c r="U1231">
        <f t="shared" si="98"/>
        <v>0</v>
      </c>
      <c r="V1231">
        <f t="shared" si="99"/>
        <v>0</v>
      </c>
    </row>
    <row r="1232" spans="1:22" x14ac:dyDescent="0.25">
      <c r="A1232">
        <v>1229</v>
      </c>
      <c r="B1232" t="s">
        <v>16</v>
      </c>
      <c r="C1232" t="s">
        <v>523</v>
      </c>
      <c r="D1232" s="4">
        <v>45678</v>
      </c>
      <c r="E1232" t="s">
        <v>648</v>
      </c>
      <c r="F1232" t="s">
        <v>75</v>
      </c>
      <c r="I1232" s="6">
        <v>1</v>
      </c>
      <c r="J1232" s="6">
        <v>0</v>
      </c>
      <c r="K1232" s="6">
        <v>1</v>
      </c>
      <c r="L1232" s="6">
        <v>0</v>
      </c>
      <c r="M1232" s="6">
        <v>0</v>
      </c>
      <c r="N1232" s="6">
        <v>0</v>
      </c>
      <c r="O1232" s="6">
        <v>1</v>
      </c>
      <c r="P1232" s="6">
        <v>0</v>
      </c>
      <c r="Q1232">
        <v>1</v>
      </c>
      <c r="R1232">
        <f t="shared" si="95"/>
        <v>0</v>
      </c>
      <c r="S1232">
        <f t="shared" si="96"/>
        <v>1</v>
      </c>
      <c r="T1232">
        <f t="shared" si="97"/>
        <v>3</v>
      </c>
      <c r="U1232">
        <f t="shared" si="98"/>
        <v>1</v>
      </c>
      <c r="V1232">
        <f t="shared" si="99"/>
        <v>0</v>
      </c>
    </row>
    <row r="1233" spans="1:22" x14ac:dyDescent="0.25">
      <c r="A1233">
        <v>1230</v>
      </c>
      <c r="B1233" t="s">
        <v>16</v>
      </c>
      <c r="C1233" t="s">
        <v>523</v>
      </c>
      <c r="D1233" s="4">
        <v>45679</v>
      </c>
      <c r="E1233" t="s">
        <v>649</v>
      </c>
      <c r="F1233" t="s">
        <v>75</v>
      </c>
      <c r="I1233" s="6">
        <v>1</v>
      </c>
      <c r="J1233" s="6">
        <v>0</v>
      </c>
      <c r="K1233" s="6">
        <v>0</v>
      </c>
      <c r="L1233" s="6">
        <v>0</v>
      </c>
      <c r="M1233" s="6">
        <v>0</v>
      </c>
      <c r="N1233" s="6">
        <v>1</v>
      </c>
      <c r="O1233" s="6">
        <v>1</v>
      </c>
      <c r="P1233" s="6">
        <v>0</v>
      </c>
      <c r="Q1233">
        <v>1</v>
      </c>
      <c r="R1233">
        <f t="shared" si="95"/>
        <v>0</v>
      </c>
      <c r="S1233">
        <f t="shared" si="96"/>
        <v>1</v>
      </c>
      <c r="T1233">
        <f t="shared" si="97"/>
        <v>3</v>
      </c>
      <c r="U1233">
        <f t="shared" si="98"/>
        <v>1</v>
      </c>
      <c r="V1233">
        <f t="shared" si="99"/>
        <v>0</v>
      </c>
    </row>
    <row r="1234" spans="1:22" x14ac:dyDescent="0.25">
      <c r="A1234">
        <v>1231</v>
      </c>
      <c r="B1234" t="s">
        <v>16</v>
      </c>
      <c r="C1234" t="s">
        <v>523</v>
      </c>
      <c r="D1234" s="4">
        <v>45679</v>
      </c>
      <c r="E1234" t="s">
        <v>651</v>
      </c>
      <c r="F1234" t="s">
        <v>75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>
        <v>1</v>
      </c>
      <c r="R1234">
        <f t="shared" si="95"/>
        <v>0</v>
      </c>
      <c r="S1234">
        <f t="shared" si="96"/>
        <v>1</v>
      </c>
      <c r="T1234">
        <f t="shared" si="97"/>
        <v>0</v>
      </c>
      <c r="U1234">
        <f t="shared" si="98"/>
        <v>0</v>
      </c>
      <c r="V1234">
        <f t="shared" si="99"/>
        <v>0</v>
      </c>
    </row>
    <row r="1235" spans="1:22" x14ac:dyDescent="0.25">
      <c r="A1235">
        <v>1232</v>
      </c>
      <c r="B1235" t="s">
        <v>16</v>
      </c>
      <c r="C1235" t="s">
        <v>523</v>
      </c>
      <c r="D1235" s="4">
        <v>45679</v>
      </c>
      <c r="E1235" t="s">
        <v>85</v>
      </c>
      <c r="F1235" t="s">
        <v>75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>
        <v>1</v>
      </c>
      <c r="R1235">
        <f t="shared" si="95"/>
        <v>0</v>
      </c>
      <c r="S1235">
        <f t="shared" si="96"/>
        <v>1</v>
      </c>
      <c r="T1235">
        <f t="shared" si="97"/>
        <v>0</v>
      </c>
      <c r="U1235">
        <f t="shared" si="98"/>
        <v>0</v>
      </c>
      <c r="V1235">
        <f t="shared" si="99"/>
        <v>0</v>
      </c>
    </row>
    <row r="1236" spans="1:22" x14ac:dyDescent="0.25">
      <c r="A1236">
        <v>1233</v>
      </c>
      <c r="B1236" t="s">
        <v>16</v>
      </c>
      <c r="C1236" t="s">
        <v>523</v>
      </c>
      <c r="D1236" s="4">
        <v>45680</v>
      </c>
      <c r="E1236" t="s">
        <v>86</v>
      </c>
      <c r="F1236" t="s">
        <v>75</v>
      </c>
      <c r="I1236" s="6">
        <v>1</v>
      </c>
      <c r="J1236" s="6">
        <v>0</v>
      </c>
      <c r="K1236" s="6">
        <v>1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>
        <v>1</v>
      </c>
      <c r="R1236">
        <f t="shared" si="95"/>
        <v>0</v>
      </c>
      <c r="S1236">
        <f t="shared" si="96"/>
        <v>1</v>
      </c>
      <c r="T1236">
        <f t="shared" si="97"/>
        <v>2</v>
      </c>
      <c r="U1236">
        <f t="shared" si="98"/>
        <v>1</v>
      </c>
      <c r="V1236">
        <f t="shared" si="99"/>
        <v>0</v>
      </c>
    </row>
    <row r="1237" spans="1:22" x14ac:dyDescent="0.25">
      <c r="A1237">
        <v>1234</v>
      </c>
      <c r="B1237" t="s">
        <v>16</v>
      </c>
      <c r="C1237" t="s">
        <v>523</v>
      </c>
      <c r="D1237" s="4">
        <v>45680</v>
      </c>
      <c r="E1237" t="s">
        <v>653</v>
      </c>
      <c r="F1237" t="s">
        <v>75</v>
      </c>
      <c r="I1237" s="6">
        <v>1</v>
      </c>
      <c r="J1237" s="6">
        <v>0</v>
      </c>
      <c r="K1237" s="6">
        <v>1</v>
      </c>
      <c r="L1237" s="6">
        <v>0</v>
      </c>
      <c r="M1237" s="6">
        <v>1</v>
      </c>
      <c r="N1237" s="6">
        <v>0</v>
      </c>
      <c r="O1237" s="6">
        <v>0</v>
      </c>
      <c r="P1237" s="6">
        <v>0</v>
      </c>
      <c r="Q1237">
        <v>1</v>
      </c>
      <c r="R1237">
        <f t="shared" si="95"/>
        <v>0</v>
      </c>
      <c r="S1237">
        <f t="shared" si="96"/>
        <v>1</v>
      </c>
      <c r="T1237">
        <f t="shared" si="97"/>
        <v>3</v>
      </c>
      <c r="U1237">
        <f t="shared" si="98"/>
        <v>1</v>
      </c>
      <c r="V1237">
        <f t="shared" si="99"/>
        <v>0</v>
      </c>
    </row>
    <row r="1238" spans="1:22" x14ac:dyDescent="0.25">
      <c r="A1238">
        <v>1235</v>
      </c>
      <c r="B1238" t="s">
        <v>16</v>
      </c>
      <c r="C1238" t="s">
        <v>523</v>
      </c>
      <c r="D1238" s="4">
        <v>45680</v>
      </c>
      <c r="E1238" t="s">
        <v>2755</v>
      </c>
      <c r="F1238" t="s">
        <v>75</v>
      </c>
      <c r="I1238" s="6">
        <v>0</v>
      </c>
      <c r="J1238" s="6">
        <v>0</v>
      </c>
      <c r="K1238" s="6">
        <v>0</v>
      </c>
      <c r="L1238" s="6">
        <v>0</v>
      </c>
      <c r="M1238" s="6">
        <v>1</v>
      </c>
      <c r="N1238" s="6">
        <v>0</v>
      </c>
      <c r="O1238" s="6">
        <v>1</v>
      </c>
      <c r="P1238" s="6">
        <v>0</v>
      </c>
      <c r="Q1238">
        <v>1</v>
      </c>
      <c r="R1238">
        <f t="shared" si="95"/>
        <v>0</v>
      </c>
      <c r="S1238">
        <f t="shared" si="96"/>
        <v>1</v>
      </c>
      <c r="T1238">
        <f t="shared" si="97"/>
        <v>2</v>
      </c>
      <c r="U1238">
        <f t="shared" si="98"/>
        <v>1</v>
      </c>
      <c r="V1238">
        <f t="shared" si="99"/>
        <v>0</v>
      </c>
    </row>
    <row r="1239" spans="1:22" x14ac:dyDescent="0.25">
      <c r="A1239">
        <v>1236</v>
      </c>
      <c r="B1239" t="s">
        <v>16</v>
      </c>
      <c r="C1239" t="s">
        <v>523</v>
      </c>
      <c r="D1239" s="4">
        <v>45681</v>
      </c>
      <c r="E1239" t="s">
        <v>87</v>
      </c>
      <c r="F1239" t="s">
        <v>75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1</v>
      </c>
      <c r="Q1239">
        <v>1</v>
      </c>
      <c r="R1239">
        <f t="shared" si="95"/>
        <v>0</v>
      </c>
      <c r="S1239">
        <f t="shared" si="96"/>
        <v>1</v>
      </c>
      <c r="T1239">
        <f t="shared" si="97"/>
        <v>1</v>
      </c>
      <c r="U1239">
        <f t="shared" si="98"/>
        <v>1</v>
      </c>
      <c r="V1239">
        <f t="shared" si="99"/>
        <v>0</v>
      </c>
    </row>
    <row r="1240" spans="1:22" x14ac:dyDescent="0.25">
      <c r="A1240">
        <v>1237</v>
      </c>
      <c r="B1240" t="s">
        <v>16</v>
      </c>
      <c r="C1240" t="s">
        <v>523</v>
      </c>
      <c r="D1240" s="4">
        <v>45681</v>
      </c>
      <c r="E1240" t="s">
        <v>2754</v>
      </c>
      <c r="F1240" t="s">
        <v>75</v>
      </c>
      <c r="I1240" s="6">
        <v>1</v>
      </c>
      <c r="J1240" s="6">
        <v>0</v>
      </c>
      <c r="K1240" s="6">
        <v>1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>
        <v>1</v>
      </c>
      <c r="R1240">
        <f t="shared" si="95"/>
        <v>0</v>
      </c>
      <c r="S1240">
        <f t="shared" si="96"/>
        <v>1</v>
      </c>
      <c r="T1240">
        <f t="shared" si="97"/>
        <v>2</v>
      </c>
      <c r="U1240">
        <f t="shared" si="98"/>
        <v>1</v>
      </c>
      <c r="V1240">
        <f t="shared" si="99"/>
        <v>0</v>
      </c>
    </row>
    <row r="1241" spans="1:22" x14ac:dyDescent="0.25">
      <c r="A1241">
        <v>1238</v>
      </c>
      <c r="B1241" t="s">
        <v>16</v>
      </c>
      <c r="C1241" t="s">
        <v>523</v>
      </c>
      <c r="D1241" s="4">
        <v>45681</v>
      </c>
      <c r="E1241" t="s">
        <v>788</v>
      </c>
      <c r="F1241" t="s">
        <v>75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1</v>
      </c>
      <c r="Q1241">
        <v>1</v>
      </c>
      <c r="R1241">
        <f t="shared" si="95"/>
        <v>0</v>
      </c>
      <c r="S1241">
        <f t="shared" si="96"/>
        <v>1</v>
      </c>
      <c r="T1241">
        <f t="shared" si="97"/>
        <v>1</v>
      </c>
      <c r="U1241">
        <f t="shared" si="98"/>
        <v>1</v>
      </c>
      <c r="V1241">
        <f t="shared" si="99"/>
        <v>0</v>
      </c>
    </row>
    <row r="1242" spans="1:22" x14ac:dyDescent="0.25">
      <c r="A1242">
        <v>1239</v>
      </c>
      <c r="B1242" t="s">
        <v>16</v>
      </c>
      <c r="C1242" t="s">
        <v>523</v>
      </c>
      <c r="D1242" s="4">
        <v>45681</v>
      </c>
      <c r="E1242" t="s">
        <v>2753</v>
      </c>
      <c r="F1242" t="s">
        <v>75</v>
      </c>
      <c r="I1242" s="6">
        <v>1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>
        <v>1</v>
      </c>
      <c r="R1242">
        <f t="shared" si="95"/>
        <v>0</v>
      </c>
      <c r="S1242">
        <f t="shared" si="96"/>
        <v>1</v>
      </c>
      <c r="T1242">
        <f t="shared" si="97"/>
        <v>1</v>
      </c>
      <c r="U1242">
        <f t="shared" si="98"/>
        <v>1</v>
      </c>
      <c r="V1242">
        <f t="shared" si="99"/>
        <v>0</v>
      </c>
    </row>
    <row r="1243" spans="1:22" x14ac:dyDescent="0.25">
      <c r="A1243">
        <v>1240</v>
      </c>
      <c r="B1243" t="s">
        <v>16</v>
      </c>
      <c r="C1243" t="s">
        <v>523</v>
      </c>
      <c r="D1243" s="4">
        <v>45682</v>
      </c>
      <c r="E1243" t="s">
        <v>2752</v>
      </c>
      <c r="F1243" t="s">
        <v>75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1</v>
      </c>
      <c r="P1243" s="6">
        <v>0</v>
      </c>
      <c r="Q1243">
        <v>1</v>
      </c>
      <c r="R1243">
        <f t="shared" si="95"/>
        <v>0</v>
      </c>
      <c r="S1243">
        <f t="shared" si="96"/>
        <v>1</v>
      </c>
      <c r="T1243">
        <f t="shared" si="97"/>
        <v>1</v>
      </c>
      <c r="U1243">
        <f t="shared" si="98"/>
        <v>1</v>
      </c>
      <c r="V1243">
        <f t="shared" si="99"/>
        <v>0</v>
      </c>
    </row>
    <row r="1244" spans="1:22" x14ac:dyDescent="0.25">
      <c r="A1244">
        <v>1241</v>
      </c>
      <c r="B1244" t="s">
        <v>16</v>
      </c>
      <c r="C1244" t="s">
        <v>523</v>
      </c>
      <c r="D1244" s="4">
        <v>45682</v>
      </c>
      <c r="E1244" t="s">
        <v>789</v>
      </c>
      <c r="F1244" t="s">
        <v>75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1</v>
      </c>
      <c r="P1244" s="6">
        <v>0</v>
      </c>
      <c r="Q1244">
        <v>1</v>
      </c>
      <c r="R1244">
        <f t="shared" si="95"/>
        <v>0</v>
      </c>
      <c r="S1244">
        <f t="shared" si="96"/>
        <v>1</v>
      </c>
      <c r="T1244">
        <f t="shared" si="97"/>
        <v>1</v>
      </c>
      <c r="U1244">
        <f t="shared" si="98"/>
        <v>1</v>
      </c>
      <c r="V1244">
        <f t="shared" si="99"/>
        <v>0</v>
      </c>
    </row>
    <row r="1245" spans="1:22" x14ac:dyDescent="0.25">
      <c r="A1245">
        <v>1242</v>
      </c>
      <c r="B1245" t="s">
        <v>16</v>
      </c>
      <c r="C1245" t="s">
        <v>523</v>
      </c>
      <c r="D1245" s="4">
        <v>45683</v>
      </c>
      <c r="E1245" t="s">
        <v>658</v>
      </c>
      <c r="F1245" t="s">
        <v>75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>
        <v>1</v>
      </c>
      <c r="R1245">
        <f t="shared" si="95"/>
        <v>0</v>
      </c>
      <c r="S1245">
        <f t="shared" si="96"/>
        <v>1</v>
      </c>
      <c r="T1245">
        <f t="shared" si="97"/>
        <v>0</v>
      </c>
      <c r="U1245">
        <f t="shared" si="98"/>
        <v>0</v>
      </c>
      <c r="V1245">
        <f t="shared" si="99"/>
        <v>0</v>
      </c>
    </row>
    <row r="1246" spans="1:22" x14ac:dyDescent="0.25">
      <c r="A1246">
        <v>1243</v>
      </c>
      <c r="B1246" t="s">
        <v>16</v>
      </c>
      <c r="C1246" t="s">
        <v>523</v>
      </c>
      <c r="D1246" s="4">
        <v>45683</v>
      </c>
      <c r="E1246" t="s">
        <v>88</v>
      </c>
      <c r="F1246" t="s">
        <v>75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>
        <v>1</v>
      </c>
      <c r="R1246">
        <f t="shared" si="95"/>
        <v>0</v>
      </c>
      <c r="S1246">
        <f t="shared" si="96"/>
        <v>1</v>
      </c>
      <c r="T1246">
        <f t="shared" si="97"/>
        <v>0</v>
      </c>
      <c r="U1246">
        <f t="shared" si="98"/>
        <v>0</v>
      </c>
      <c r="V1246">
        <f t="shared" si="99"/>
        <v>0</v>
      </c>
    </row>
    <row r="1247" spans="1:22" x14ac:dyDescent="0.25">
      <c r="A1247">
        <v>1244</v>
      </c>
      <c r="B1247" t="s">
        <v>16</v>
      </c>
      <c r="C1247" t="s">
        <v>523</v>
      </c>
      <c r="D1247" s="4">
        <v>45683</v>
      </c>
      <c r="E1247" t="s">
        <v>89</v>
      </c>
      <c r="F1247" t="s">
        <v>75</v>
      </c>
      <c r="I1247" s="6">
        <v>1</v>
      </c>
      <c r="J1247" s="6">
        <v>0</v>
      </c>
      <c r="K1247" s="6">
        <v>1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>
        <v>1</v>
      </c>
      <c r="R1247">
        <f t="shared" si="95"/>
        <v>0</v>
      </c>
      <c r="S1247">
        <f t="shared" si="96"/>
        <v>1</v>
      </c>
      <c r="T1247">
        <f t="shared" si="97"/>
        <v>2</v>
      </c>
      <c r="U1247">
        <f t="shared" si="98"/>
        <v>1</v>
      </c>
      <c r="V1247">
        <f t="shared" si="99"/>
        <v>0</v>
      </c>
    </row>
    <row r="1248" spans="1:22" x14ac:dyDescent="0.25">
      <c r="A1248">
        <v>1245</v>
      </c>
      <c r="B1248" t="s">
        <v>16</v>
      </c>
      <c r="C1248" t="s">
        <v>523</v>
      </c>
      <c r="D1248" s="4">
        <v>45683</v>
      </c>
      <c r="E1248" t="s">
        <v>790</v>
      </c>
      <c r="F1248" t="s">
        <v>75</v>
      </c>
      <c r="H1248" t="s">
        <v>791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>
        <v>1</v>
      </c>
      <c r="R1248">
        <f t="shared" si="95"/>
        <v>0</v>
      </c>
      <c r="S1248">
        <f t="shared" si="96"/>
        <v>1</v>
      </c>
      <c r="T1248">
        <f t="shared" si="97"/>
        <v>0</v>
      </c>
      <c r="U1248">
        <f t="shared" si="98"/>
        <v>0</v>
      </c>
      <c r="V1248">
        <f t="shared" si="99"/>
        <v>0</v>
      </c>
    </row>
    <row r="1249" spans="1:22" x14ac:dyDescent="0.25">
      <c r="A1249">
        <v>1246</v>
      </c>
      <c r="B1249" t="s">
        <v>16</v>
      </c>
      <c r="C1249" t="s">
        <v>523</v>
      </c>
      <c r="D1249" s="4">
        <v>45684</v>
      </c>
      <c r="E1249" t="s">
        <v>660</v>
      </c>
      <c r="F1249" t="s">
        <v>75</v>
      </c>
      <c r="I1249" s="6">
        <v>1</v>
      </c>
      <c r="J1249" s="6">
        <v>0</v>
      </c>
      <c r="K1249" s="6">
        <v>1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>
        <v>1</v>
      </c>
      <c r="R1249">
        <f t="shared" si="95"/>
        <v>0</v>
      </c>
      <c r="S1249">
        <f t="shared" si="96"/>
        <v>1</v>
      </c>
      <c r="T1249">
        <f t="shared" si="97"/>
        <v>2</v>
      </c>
      <c r="U1249">
        <f t="shared" si="98"/>
        <v>1</v>
      </c>
      <c r="V1249">
        <f t="shared" si="99"/>
        <v>0</v>
      </c>
    </row>
    <row r="1250" spans="1:22" x14ac:dyDescent="0.25">
      <c r="A1250">
        <v>1247</v>
      </c>
      <c r="B1250" t="s">
        <v>16</v>
      </c>
      <c r="C1250" t="s">
        <v>523</v>
      </c>
      <c r="D1250" s="4">
        <v>45684</v>
      </c>
      <c r="E1250" t="s">
        <v>662</v>
      </c>
      <c r="F1250" t="s">
        <v>75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1</v>
      </c>
      <c r="Q1250">
        <v>1</v>
      </c>
      <c r="R1250">
        <f t="shared" si="95"/>
        <v>0</v>
      </c>
      <c r="S1250">
        <f t="shared" si="96"/>
        <v>1</v>
      </c>
      <c r="T1250">
        <f t="shared" si="97"/>
        <v>1</v>
      </c>
      <c r="U1250">
        <f t="shared" si="98"/>
        <v>1</v>
      </c>
      <c r="V1250">
        <f t="shared" si="99"/>
        <v>0</v>
      </c>
    </row>
    <row r="1251" spans="1:22" x14ac:dyDescent="0.25">
      <c r="A1251">
        <v>1248</v>
      </c>
      <c r="B1251" t="s">
        <v>16</v>
      </c>
      <c r="C1251" t="s">
        <v>523</v>
      </c>
      <c r="D1251" s="4">
        <v>45685</v>
      </c>
      <c r="E1251" t="s">
        <v>663</v>
      </c>
      <c r="F1251" t="s">
        <v>75</v>
      </c>
      <c r="H1251" t="s">
        <v>791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>
        <v>1</v>
      </c>
      <c r="R1251">
        <f t="shared" si="95"/>
        <v>0</v>
      </c>
      <c r="S1251">
        <f t="shared" si="96"/>
        <v>1</v>
      </c>
      <c r="T1251">
        <f t="shared" si="97"/>
        <v>0</v>
      </c>
      <c r="U1251">
        <f t="shared" si="98"/>
        <v>0</v>
      </c>
      <c r="V1251">
        <f t="shared" si="99"/>
        <v>0</v>
      </c>
    </row>
    <row r="1252" spans="1:22" x14ac:dyDescent="0.25">
      <c r="A1252">
        <v>1249</v>
      </c>
      <c r="B1252" t="s">
        <v>16</v>
      </c>
      <c r="C1252" t="s">
        <v>523</v>
      </c>
      <c r="D1252" s="4">
        <v>45686</v>
      </c>
      <c r="E1252" t="s">
        <v>792</v>
      </c>
      <c r="F1252" t="s">
        <v>75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>
        <v>1</v>
      </c>
      <c r="R1252">
        <f t="shared" si="95"/>
        <v>0</v>
      </c>
      <c r="S1252">
        <f t="shared" si="96"/>
        <v>1</v>
      </c>
      <c r="T1252">
        <f t="shared" si="97"/>
        <v>0</v>
      </c>
      <c r="U1252">
        <f t="shared" si="98"/>
        <v>0</v>
      </c>
      <c r="V1252">
        <f t="shared" si="99"/>
        <v>0</v>
      </c>
    </row>
    <row r="1253" spans="1:22" x14ac:dyDescent="0.25">
      <c r="A1253">
        <v>1250</v>
      </c>
      <c r="B1253" t="s">
        <v>16</v>
      </c>
      <c r="C1253" t="s">
        <v>523</v>
      </c>
      <c r="D1253" s="4">
        <v>45686</v>
      </c>
      <c r="E1253" t="s">
        <v>793</v>
      </c>
      <c r="F1253" t="s">
        <v>75</v>
      </c>
      <c r="I1253" s="6">
        <v>1</v>
      </c>
      <c r="J1253" s="6">
        <v>0</v>
      </c>
      <c r="K1253" s="6">
        <v>1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>
        <v>1</v>
      </c>
      <c r="R1253">
        <f t="shared" si="95"/>
        <v>0</v>
      </c>
      <c r="S1253">
        <f t="shared" si="96"/>
        <v>1</v>
      </c>
      <c r="T1253">
        <f t="shared" si="97"/>
        <v>2</v>
      </c>
      <c r="U1253">
        <f t="shared" si="98"/>
        <v>1</v>
      </c>
      <c r="V1253">
        <f t="shared" si="99"/>
        <v>0</v>
      </c>
    </row>
    <row r="1254" spans="1:22" x14ac:dyDescent="0.25">
      <c r="A1254">
        <v>1251</v>
      </c>
      <c r="B1254" t="s">
        <v>16</v>
      </c>
      <c r="C1254" t="s">
        <v>523</v>
      </c>
      <c r="D1254" s="4">
        <v>45686</v>
      </c>
      <c r="E1254" t="s">
        <v>94</v>
      </c>
      <c r="F1254" t="s">
        <v>75</v>
      </c>
      <c r="I1254" s="6">
        <v>0</v>
      </c>
      <c r="J1254" s="6">
        <v>0</v>
      </c>
      <c r="K1254" s="6">
        <v>0</v>
      </c>
      <c r="L1254" s="6">
        <v>0</v>
      </c>
      <c r="M1254" s="6">
        <v>1</v>
      </c>
      <c r="N1254" s="6">
        <v>0</v>
      </c>
      <c r="O1254" s="6">
        <v>0</v>
      </c>
      <c r="P1254" s="6">
        <v>0</v>
      </c>
      <c r="Q1254">
        <v>1</v>
      </c>
      <c r="R1254">
        <f t="shared" si="95"/>
        <v>0</v>
      </c>
      <c r="S1254">
        <f t="shared" si="96"/>
        <v>1</v>
      </c>
      <c r="T1254">
        <f t="shared" si="97"/>
        <v>1</v>
      </c>
      <c r="U1254">
        <f t="shared" si="98"/>
        <v>1</v>
      </c>
      <c r="V1254">
        <f t="shared" si="99"/>
        <v>0</v>
      </c>
    </row>
    <row r="1255" spans="1:22" x14ac:dyDescent="0.25">
      <c r="A1255">
        <v>1252</v>
      </c>
      <c r="B1255" t="s">
        <v>16</v>
      </c>
      <c r="C1255" t="s">
        <v>523</v>
      </c>
      <c r="D1255" s="4">
        <v>45686</v>
      </c>
      <c r="E1255" t="s">
        <v>95</v>
      </c>
      <c r="F1255" t="s">
        <v>75</v>
      </c>
      <c r="I1255" s="6">
        <v>1</v>
      </c>
      <c r="J1255" s="6">
        <v>0</v>
      </c>
      <c r="K1255" s="6">
        <v>1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>
        <v>1</v>
      </c>
      <c r="R1255">
        <f t="shared" si="95"/>
        <v>0</v>
      </c>
      <c r="S1255">
        <f t="shared" si="96"/>
        <v>1</v>
      </c>
      <c r="T1255">
        <f t="shared" si="97"/>
        <v>2</v>
      </c>
      <c r="U1255">
        <f t="shared" si="98"/>
        <v>1</v>
      </c>
      <c r="V1255">
        <f t="shared" si="99"/>
        <v>0</v>
      </c>
    </row>
    <row r="1256" spans="1:22" x14ac:dyDescent="0.25">
      <c r="A1256">
        <v>1253</v>
      </c>
      <c r="B1256" t="s">
        <v>16</v>
      </c>
      <c r="C1256" t="s">
        <v>523</v>
      </c>
      <c r="D1256" s="4">
        <v>45686</v>
      </c>
      <c r="E1256" t="s">
        <v>794</v>
      </c>
      <c r="F1256" t="s">
        <v>75</v>
      </c>
      <c r="I1256" s="6">
        <v>0</v>
      </c>
      <c r="J1256" s="6">
        <v>0</v>
      </c>
      <c r="K1256" s="6">
        <v>1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>
        <v>1</v>
      </c>
      <c r="R1256">
        <f t="shared" si="95"/>
        <v>0</v>
      </c>
      <c r="S1256">
        <f t="shared" si="96"/>
        <v>1</v>
      </c>
      <c r="T1256">
        <f t="shared" si="97"/>
        <v>1</v>
      </c>
      <c r="U1256">
        <f t="shared" si="98"/>
        <v>1</v>
      </c>
      <c r="V1256">
        <f t="shared" si="99"/>
        <v>0</v>
      </c>
    </row>
    <row r="1257" spans="1:22" x14ac:dyDescent="0.25">
      <c r="A1257">
        <v>1254</v>
      </c>
      <c r="B1257" t="s">
        <v>16</v>
      </c>
      <c r="C1257" t="s">
        <v>523</v>
      </c>
      <c r="D1257" s="4">
        <v>45686</v>
      </c>
      <c r="E1257" t="s">
        <v>96</v>
      </c>
      <c r="F1257" t="s">
        <v>75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>
        <v>1</v>
      </c>
      <c r="R1257">
        <f t="shared" si="95"/>
        <v>0</v>
      </c>
      <c r="S1257">
        <f t="shared" si="96"/>
        <v>1</v>
      </c>
      <c r="T1257">
        <f t="shared" si="97"/>
        <v>0</v>
      </c>
      <c r="U1257">
        <f t="shared" si="98"/>
        <v>0</v>
      </c>
      <c r="V1257">
        <f t="shared" si="99"/>
        <v>0</v>
      </c>
    </row>
    <row r="1258" spans="1:22" x14ac:dyDescent="0.25">
      <c r="A1258">
        <v>1255</v>
      </c>
      <c r="B1258" t="s">
        <v>16</v>
      </c>
      <c r="C1258" t="s">
        <v>523</v>
      </c>
      <c r="D1258" s="4">
        <v>45687</v>
      </c>
      <c r="E1258" t="s">
        <v>2751</v>
      </c>
      <c r="F1258" t="s">
        <v>75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>
        <v>1</v>
      </c>
      <c r="R1258">
        <f t="shared" si="95"/>
        <v>0</v>
      </c>
      <c r="S1258">
        <f t="shared" si="96"/>
        <v>1</v>
      </c>
      <c r="T1258">
        <f t="shared" si="97"/>
        <v>0</v>
      </c>
      <c r="U1258">
        <f t="shared" si="98"/>
        <v>0</v>
      </c>
      <c r="V1258">
        <f t="shared" si="99"/>
        <v>0</v>
      </c>
    </row>
    <row r="1259" spans="1:22" x14ac:dyDescent="0.25">
      <c r="A1259">
        <v>1256</v>
      </c>
      <c r="B1259" t="s">
        <v>16</v>
      </c>
      <c r="C1259" t="s">
        <v>523</v>
      </c>
      <c r="D1259" s="4">
        <v>45687</v>
      </c>
      <c r="E1259" t="s">
        <v>795</v>
      </c>
      <c r="F1259" t="s">
        <v>75</v>
      </c>
      <c r="I1259" s="6">
        <v>1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>
        <v>1</v>
      </c>
      <c r="R1259">
        <f t="shared" si="95"/>
        <v>0</v>
      </c>
      <c r="S1259">
        <f t="shared" si="96"/>
        <v>1</v>
      </c>
      <c r="T1259">
        <f t="shared" si="97"/>
        <v>1</v>
      </c>
      <c r="U1259">
        <f t="shared" si="98"/>
        <v>1</v>
      </c>
      <c r="V1259">
        <f t="shared" si="99"/>
        <v>0</v>
      </c>
    </row>
    <row r="1260" spans="1:22" x14ac:dyDescent="0.25">
      <c r="A1260">
        <v>1257</v>
      </c>
      <c r="B1260" t="s">
        <v>16</v>
      </c>
      <c r="C1260" t="s">
        <v>523</v>
      </c>
      <c r="D1260" s="4">
        <v>45687</v>
      </c>
      <c r="E1260" t="s">
        <v>97</v>
      </c>
      <c r="F1260" t="s">
        <v>75</v>
      </c>
      <c r="I1260" s="6">
        <v>1</v>
      </c>
      <c r="J1260" s="6">
        <v>0</v>
      </c>
      <c r="K1260" s="6">
        <v>1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>
        <v>1</v>
      </c>
      <c r="R1260">
        <f t="shared" si="95"/>
        <v>0</v>
      </c>
      <c r="S1260">
        <f t="shared" si="96"/>
        <v>1</v>
      </c>
      <c r="T1260">
        <f t="shared" si="97"/>
        <v>2</v>
      </c>
      <c r="U1260">
        <f t="shared" si="98"/>
        <v>1</v>
      </c>
      <c r="V1260">
        <f t="shared" si="99"/>
        <v>0</v>
      </c>
    </row>
    <row r="1261" spans="1:22" x14ac:dyDescent="0.25">
      <c r="A1261">
        <v>1258</v>
      </c>
      <c r="B1261" t="s">
        <v>16</v>
      </c>
      <c r="C1261" t="s">
        <v>523</v>
      </c>
      <c r="D1261" s="4">
        <v>45687</v>
      </c>
      <c r="E1261" t="s">
        <v>98</v>
      </c>
      <c r="F1261" t="s">
        <v>75</v>
      </c>
      <c r="I1261" s="6">
        <v>0</v>
      </c>
      <c r="J1261" s="6">
        <v>0</v>
      </c>
      <c r="K1261" s="6">
        <v>0</v>
      </c>
      <c r="L1261" s="6">
        <v>0</v>
      </c>
      <c r="M1261" s="6">
        <v>1</v>
      </c>
      <c r="N1261" s="6">
        <v>0</v>
      </c>
      <c r="O1261" s="6">
        <v>0</v>
      </c>
      <c r="P1261" s="6">
        <v>0</v>
      </c>
      <c r="Q1261">
        <v>1</v>
      </c>
      <c r="R1261">
        <f t="shared" si="95"/>
        <v>0</v>
      </c>
      <c r="S1261">
        <f t="shared" si="96"/>
        <v>1</v>
      </c>
      <c r="T1261">
        <f t="shared" si="97"/>
        <v>1</v>
      </c>
      <c r="U1261">
        <f t="shared" si="98"/>
        <v>1</v>
      </c>
      <c r="V1261">
        <f t="shared" si="99"/>
        <v>0</v>
      </c>
    </row>
    <row r="1262" spans="1:22" x14ac:dyDescent="0.25">
      <c r="A1262">
        <v>1259</v>
      </c>
      <c r="B1262" t="s">
        <v>16</v>
      </c>
      <c r="C1262" t="s">
        <v>523</v>
      </c>
      <c r="D1262" s="4">
        <v>45688</v>
      </c>
      <c r="E1262" t="s">
        <v>99</v>
      </c>
      <c r="F1262" t="s">
        <v>75</v>
      </c>
      <c r="H1262" t="s">
        <v>796</v>
      </c>
      <c r="I1262" s="6">
        <v>1</v>
      </c>
      <c r="J1262" s="6">
        <v>0</v>
      </c>
      <c r="K1262" s="6">
        <v>1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>
        <v>1</v>
      </c>
      <c r="R1262">
        <f t="shared" si="95"/>
        <v>0</v>
      </c>
      <c r="S1262">
        <f t="shared" si="96"/>
        <v>1</v>
      </c>
      <c r="T1262">
        <f t="shared" si="97"/>
        <v>2</v>
      </c>
      <c r="U1262">
        <f t="shared" si="98"/>
        <v>1</v>
      </c>
      <c r="V1262">
        <f t="shared" si="99"/>
        <v>0</v>
      </c>
    </row>
    <row r="1263" spans="1:22" x14ac:dyDescent="0.25">
      <c r="A1263">
        <v>1260</v>
      </c>
      <c r="B1263" t="s">
        <v>16</v>
      </c>
      <c r="C1263" t="s">
        <v>523</v>
      </c>
      <c r="D1263" s="4">
        <v>45688</v>
      </c>
      <c r="E1263" t="s">
        <v>797</v>
      </c>
      <c r="F1263" t="s">
        <v>75</v>
      </c>
      <c r="I1263" s="6">
        <v>1</v>
      </c>
      <c r="J1263" s="6">
        <v>0</v>
      </c>
      <c r="K1263" s="6">
        <v>1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>
        <v>1</v>
      </c>
      <c r="R1263">
        <f t="shared" si="95"/>
        <v>0</v>
      </c>
      <c r="S1263">
        <f t="shared" si="96"/>
        <v>1</v>
      </c>
      <c r="T1263">
        <f t="shared" si="97"/>
        <v>2</v>
      </c>
      <c r="U1263">
        <f t="shared" si="98"/>
        <v>1</v>
      </c>
      <c r="V1263">
        <f t="shared" si="99"/>
        <v>0</v>
      </c>
    </row>
    <row r="1264" spans="1:22" x14ac:dyDescent="0.25">
      <c r="A1264">
        <v>1261</v>
      </c>
      <c r="B1264" t="s">
        <v>16</v>
      </c>
      <c r="C1264" t="s">
        <v>523</v>
      </c>
      <c r="D1264" s="4">
        <v>45688</v>
      </c>
      <c r="E1264" t="s">
        <v>798</v>
      </c>
      <c r="F1264" t="s">
        <v>75</v>
      </c>
      <c r="I1264" s="6">
        <v>1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>
        <v>1</v>
      </c>
      <c r="R1264">
        <f t="shared" si="95"/>
        <v>0</v>
      </c>
      <c r="S1264">
        <f t="shared" si="96"/>
        <v>1</v>
      </c>
      <c r="T1264">
        <f t="shared" si="97"/>
        <v>1</v>
      </c>
      <c r="U1264">
        <f t="shared" si="98"/>
        <v>1</v>
      </c>
      <c r="V1264">
        <f t="shared" si="99"/>
        <v>0</v>
      </c>
    </row>
    <row r="1265" spans="1:22" x14ac:dyDescent="0.25">
      <c r="A1265">
        <v>1262</v>
      </c>
      <c r="B1265" t="s">
        <v>16</v>
      </c>
      <c r="C1265" t="s">
        <v>523</v>
      </c>
      <c r="D1265" s="4">
        <v>45689</v>
      </c>
      <c r="E1265" t="s">
        <v>2750</v>
      </c>
      <c r="F1265" t="s">
        <v>75</v>
      </c>
      <c r="I1265" s="6">
        <v>1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>
        <v>1</v>
      </c>
      <c r="R1265">
        <f t="shared" si="95"/>
        <v>0</v>
      </c>
      <c r="S1265">
        <f t="shared" si="96"/>
        <v>1</v>
      </c>
      <c r="T1265">
        <f t="shared" si="97"/>
        <v>1</v>
      </c>
      <c r="U1265">
        <f t="shared" si="98"/>
        <v>1</v>
      </c>
      <c r="V1265">
        <f t="shared" si="99"/>
        <v>0</v>
      </c>
    </row>
    <row r="1266" spans="1:22" x14ac:dyDescent="0.25">
      <c r="A1266">
        <v>1263</v>
      </c>
      <c r="B1266" t="s">
        <v>16</v>
      </c>
      <c r="C1266" t="s">
        <v>523</v>
      </c>
      <c r="D1266" s="4">
        <v>45689</v>
      </c>
      <c r="E1266" t="s">
        <v>799</v>
      </c>
      <c r="F1266" t="s">
        <v>75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1</v>
      </c>
      <c r="Q1266">
        <v>1</v>
      </c>
      <c r="R1266">
        <f t="shared" si="95"/>
        <v>0</v>
      </c>
      <c r="S1266">
        <f t="shared" si="96"/>
        <v>1</v>
      </c>
      <c r="T1266">
        <f t="shared" si="97"/>
        <v>1</v>
      </c>
      <c r="U1266">
        <f t="shared" si="98"/>
        <v>1</v>
      </c>
      <c r="V1266">
        <f t="shared" si="99"/>
        <v>0</v>
      </c>
    </row>
    <row r="1267" spans="1:22" x14ac:dyDescent="0.25">
      <c r="A1267">
        <v>1264</v>
      </c>
      <c r="B1267" t="s">
        <v>16</v>
      </c>
      <c r="C1267" t="s">
        <v>523</v>
      </c>
      <c r="D1267" s="4">
        <v>45690</v>
      </c>
      <c r="E1267" t="s">
        <v>800</v>
      </c>
      <c r="F1267" t="s">
        <v>75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>
        <v>1</v>
      </c>
      <c r="R1267">
        <f t="shared" si="95"/>
        <v>0</v>
      </c>
      <c r="S1267">
        <f t="shared" si="96"/>
        <v>1</v>
      </c>
      <c r="T1267">
        <f t="shared" si="97"/>
        <v>0</v>
      </c>
      <c r="U1267">
        <f t="shared" si="98"/>
        <v>0</v>
      </c>
      <c r="V1267">
        <f t="shared" si="99"/>
        <v>0</v>
      </c>
    </row>
    <row r="1268" spans="1:22" x14ac:dyDescent="0.25">
      <c r="A1268">
        <v>1265</v>
      </c>
      <c r="B1268" t="s">
        <v>16</v>
      </c>
      <c r="C1268" t="s">
        <v>523</v>
      </c>
      <c r="D1268" s="4">
        <v>45690</v>
      </c>
      <c r="E1268" t="s">
        <v>2749</v>
      </c>
      <c r="F1268" t="s">
        <v>75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>
        <v>1</v>
      </c>
      <c r="R1268">
        <f t="shared" si="95"/>
        <v>0</v>
      </c>
      <c r="S1268">
        <f t="shared" si="96"/>
        <v>1</v>
      </c>
      <c r="T1268">
        <f t="shared" si="97"/>
        <v>0</v>
      </c>
      <c r="U1268">
        <f t="shared" si="98"/>
        <v>0</v>
      </c>
      <c r="V1268">
        <f t="shared" si="99"/>
        <v>0</v>
      </c>
    </row>
    <row r="1269" spans="1:22" x14ac:dyDescent="0.25">
      <c r="A1269">
        <v>1266</v>
      </c>
      <c r="B1269" t="s">
        <v>16</v>
      </c>
      <c r="C1269" t="s">
        <v>523</v>
      </c>
      <c r="D1269" s="4">
        <v>45690</v>
      </c>
      <c r="E1269" t="s">
        <v>801</v>
      </c>
      <c r="F1269" t="s">
        <v>75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>
        <v>1</v>
      </c>
      <c r="R1269">
        <f t="shared" si="95"/>
        <v>0</v>
      </c>
      <c r="S1269">
        <f t="shared" si="96"/>
        <v>1</v>
      </c>
      <c r="T1269">
        <f t="shared" si="97"/>
        <v>0</v>
      </c>
      <c r="U1269">
        <f t="shared" si="98"/>
        <v>0</v>
      </c>
      <c r="V1269">
        <f t="shared" si="99"/>
        <v>0</v>
      </c>
    </row>
    <row r="1270" spans="1:22" x14ac:dyDescent="0.25">
      <c r="A1270">
        <v>1267</v>
      </c>
      <c r="B1270" t="s">
        <v>16</v>
      </c>
      <c r="C1270" t="s">
        <v>523</v>
      </c>
      <c r="D1270" s="4">
        <v>45690</v>
      </c>
      <c r="E1270" t="s">
        <v>802</v>
      </c>
      <c r="F1270" t="s">
        <v>75</v>
      </c>
      <c r="I1270" s="6">
        <v>1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>
        <v>1</v>
      </c>
      <c r="R1270">
        <f t="shared" si="95"/>
        <v>0</v>
      </c>
      <c r="S1270">
        <f t="shared" si="96"/>
        <v>1</v>
      </c>
      <c r="T1270">
        <f t="shared" si="97"/>
        <v>1</v>
      </c>
      <c r="U1270">
        <f t="shared" si="98"/>
        <v>1</v>
      </c>
      <c r="V1270">
        <f t="shared" si="99"/>
        <v>0</v>
      </c>
    </row>
    <row r="1271" spans="1:22" x14ac:dyDescent="0.25">
      <c r="A1271">
        <v>1268</v>
      </c>
      <c r="B1271" t="s">
        <v>16</v>
      </c>
      <c r="C1271" t="s">
        <v>523</v>
      </c>
      <c r="D1271" s="4">
        <v>45690</v>
      </c>
      <c r="E1271" t="s">
        <v>2748</v>
      </c>
      <c r="F1271" t="s">
        <v>75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>
        <v>1</v>
      </c>
      <c r="R1271">
        <f t="shared" si="95"/>
        <v>0</v>
      </c>
      <c r="S1271">
        <f t="shared" si="96"/>
        <v>1</v>
      </c>
      <c r="T1271">
        <f t="shared" si="97"/>
        <v>0</v>
      </c>
      <c r="U1271">
        <f t="shared" si="98"/>
        <v>0</v>
      </c>
      <c r="V1271">
        <f t="shared" si="99"/>
        <v>0</v>
      </c>
    </row>
    <row r="1272" spans="1:22" x14ac:dyDescent="0.25">
      <c r="A1272">
        <v>1269</v>
      </c>
      <c r="B1272" t="s">
        <v>16</v>
      </c>
      <c r="C1272" t="s">
        <v>523</v>
      </c>
      <c r="D1272" s="4">
        <v>45691</v>
      </c>
      <c r="E1272" t="s">
        <v>103</v>
      </c>
      <c r="F1272" t="s">
        <v>75</v>
      </c>
      <c r="I1272" s="6">
        <v>1</v>
      </c>
      <c r="J1272" s="6">
        <v>0</v>
      </c>
      <c r="K1272" s="6">
        <v>1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>
        <v>1</v>
      </c>
      <c r="R1272">
        <f t="shared" si="95"/>
        <v>0</v>
      </c>
      <c r="S1272">
        <f t="shared" si="96"/>
        <v>1</v>
      </c>
      <c r="T1272">
        <f t="shared" si="97"/>
        <v>2</v>
      </c>
      <c r="U1272">
        <f t="shared" si="98"/>
        <v>1</v>
      </c>
      <c r="V1272">
        <f t="shared" si="99"/>
        <v>0</v>
      </c>
    </row>
    <row r="1273" spans="1:22" x14ac:dyDescent="0.25">
      <c r="A1273">
        <v>1270</v>
      </c>
      <c r="B1273" t="s">
        <v>16</v>
      </c>
      <c r="C1273" t="s">
        <v>523</v>
      </c>
      <c r="D1273" s="4">
        <v>45691</v>
      </c>
      <c r="E1273" t="s">
        <v>104</v>
      </c>
      <c r="F1273" t="s">
        <v>75</v>
      </c>
      <c r="I1273" s="6">
        <v>1</v>
      </c>
      <c r="J1273" s="6">
        <v>0</v>
      </c>
      <c r="K1273" s="6">
        <v>1</v>
      </c>
      <c r="L1273" s="6">
        <v>0</v>
      </c>
      <c r="M1273" s="6">
        <v>1</v>
      </c>
      <c r="N1273" s="6">
        <v>0</v>
      </c>
      <c r="O1273" s="6">
        <v>0</v>
      </c>
      <c r="P1273" s="6">
        <v>1</v>
      </c>
      <c r="Q1273">
        <v>1</v>
      </c>
      <c r="R1273">
        <f t="shared" si="95"/>
        <v>0</v>
      </c>
      <c r="S1273">
        <f t="shared" si="96"/>
        <v>1</v>
      </c>
      <c r="T1273">
        <f t="shared" si="97"/>
        <v>4</v>
      </c>
      <c r="U1273">
        <f t="shared" si="98"/>
        <v>1</v>
      </c>
      <c r="V1273">
        <f t="shared" si="99"/>
        <v>0</v>
      </c>
    </row>
    <row r="1274" spans="1:22" x14ac:dyDescent="0.25">
      <c r="A1274">
        <v>1271</v>
      </c>
      <c r="B1274" t="s">
        <v>16</v>
      </c>
      <c r="C1274" t="s">
        <v>523</v>
      </c>
      <c r="D1274" s="4">
        <v>45691</v>
      </c>
      <c r="E1274" t="s">
        <v>803</v>
      </c>
      <c r="F1274" t="s">
        <v>75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>
        <v>1</v>
      </c>
      <c r="R1274">
        <f t="shared" si="95"/>
        <v>0</v>
      </c>
      <c r="S1274">
        <f t="shared" si="96"/>
        <v>1</v>
      </c>
      <c r="T1274">
        <f t="shared" si="97"/>
        <v>0</v>
      </c>
      <c r="U1274">
        <f t="shared" si="98"/>
        <v>0</v>
      </c>
      <c r="V1274">
        <f t="shared" si="99"/>
        <v>0</v>
      </c>
    </row>
    <row r="1275" spans="1:22" x14ac:dyDescent="0.25">
      <c r="A1275">
        <v>1272</v>
      </c>
      <c r="B1275" t="s">
        <v>16</v>
      </c>
      <c r="C1275" t="s">
        <v>523</v>
      </c>
      <c r="D1275" s="4">
        <v>45691</v>
      </c>
      <c r="E1275" t="s">
        <v>804</v>
      </c>
      <c r="F1275" t="s">
        <v>75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>
        <v>1</v>
      </c>
      <c r="R1275">
        <f t="shared" si="95"/>
        <v>0</v>
      </c>
      <c r="S1275">
        <f t="shared" si="96"/>
        <v>1</v>
      </c>
      <c r="T1275">
        <f t="shared" si="97"/>
        <v>0</v>
      </c>
      <c r="U1275">
        <f t="shared" si="98"/>
        <v>0</v>
      </c>
      <c r="V1275">
        <f t="shared" si="99"/>
        <v>0</v>
      </c>
    </row>
    <row r="1276" spans="1:22" x14ac:dyDescent="0.25">
      <c r="A1276">
        <v>1273</v>
      </c>
      <c r="B1276" t="s">
        <v>16</v>
      </c>
      <c r="C1276" t="s">
        <v>523</v>
      </c>
      <c r="D1276" s="4">
        <v>45692</v>
      </c>
      <c r="E1276" t="s">
        <v>668</v>
      </c>
      <c r="F1276" t="s">
        <v>75</v>
      </c>
      <c r="I1276" s="6">
        <v>0</v>
      </c>
      <c r="J1276" s="6">
        <v>0</v>
      </c>
      <c r="K1276" s="6">
        <v>0</v>
      </c>
      <c r="L1276" s="6">
        <v>1</v>
      </c>
      <c r="M1276" s="6">
        <v>0</v>
      </c>
      <c r="N1276" s="6">
        <v>1</v>
      </c>
      <c r="O1276" s="6">
        <v>0</v>
      </c>
      <c r="P1276" s="6">
        <v>0</v>
      </c>
      <c r="Q1276">
        <v>1</v>
      </c>
      <c r="R1276">
        <f t="shared" si="95"/>
        <v>0</v>
      </c>
      <c r="S1276">
        <f t="shared" si="96"/>
        <v>1</v>
      </c>
      <c r="T1276">
        <f t="shared" si="97"/>
        <v>2</v>
      </c>
      <c r="U1276">
        <f t="shared" si="98"/>
        <v>1</v>
      </c>
      <c r="V1276">
        <f t="shared" si="99"/>
        <v>0</v>
      </c>
    </row>
    <row r="1277" spans="1:22" x14ac:dyDescent="0.25">
      <c r="A1277">
        <v>1274</v>
      </c>
      <c r="B1277" t="s">
        <v>16</v>
      </c>
      <c r="C1277" t="s">
        <v>523</v>
      </c>
      <c r="D1277" s="4">
        <v>45692</v>
      </c>
      <c r="E1277" t="s">
        <v>669</v>
      </c>
      <c r="F1277" t="s">
        <v>75</v>
      </c>
      <c r="I1277" s="6">
        <v>0</v>
      </c>
      <c r="J1277" s="6">
        <v>0</v>
      </c>
      <c r="K1277" s="6">
        <v>0</v>
      </c>
      <c r="L1277" s="6">
        <v>0</v>
      </c>
      <c r="M1277" s="6">
        <v>1</v>
      </c>
      <c r="N1277" s="6">
        <v>1</v>
      </c>
      <c r="O1277" s="6">
        <v>0</v>
      </c>
      <c r="P1277" s="6">
        <v>0</v>
      </c>
      <c r="Q1277">
        <v>1</v>
      </c>
      <c r="R1277">
        <f t="shared" si="95"/>
        <v>0</v>
      </c>
      <c r="S1277">
        <f t="shared" si="96"/>
        <v>1</v>
      </c>
      <c r="T1277">
        <f t="shared" si="97"/>
        <v>2</v>
      </c>
      <c r="U1277">
        <f t="shared" si="98"/>
        <v>1</v>
      </c>
      <c r="V1277">
        <f t="shared" si="99"/>
        <v>0</v>
      </c>
    </row>
    <row r="1278" spans="1:22" x14ac:dyDescent="0.25">
      <c r="A1278">
        <v>1275</v>
      </c>
      <c r="B1278" t="s">
        <v>16</v>
      </c>
      <c r="C1278" t="s">
        <v>523</v>
      </c>
      <c r="D1278" s="4">
        <v>45692</v>
      </c>
      <c r="E1278" t="s">
        <v>670</v>
      </c>
      <c r="F1278" t="s">
        <v>75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>
        <v>1</v>
      </c>
      <c r="R1278">
        <f t="shared" si="95"/>
        <v>0</v>
      </c>
      <c r="S1278">
        <f t="shared" si="96"/>
        <v>1</v>
      </c>
      <c r="T1278">
        <f t="shared" si="97"/>
        <v>0</v>
      </c>
      <c r="U1278">
        <f t="shared" si="98"/>
        <v>0</v>
      </c>
      <c r="V1278">
        <f t="shared" si="99"/>
        <v>0</v>
      </c>
    </row>
    <row r="1279" spans="1:22" x14ac:dyDescent="0.25">
      <c r="A1279">
        <v>1276</v>
      </c>
      <c r="B1279" t="s">
        <v>16</v>
      </c>
      <c r="C1279" t="s">
        <v>523</v>
      </c>
      <c r="D1279" s="4">
        <v>45693</v>
      </c>
      <c r="E1279" t="s">
        <v>805</v>
      </c>
      <c r="F1279" t="s">
        <v>75</v>
      </c>
      <c r="I1279" s="6">
        <v>0</v>
      </c>
      <c r="J1279" s="6">
        <v>0</v>
      </c>
      <c r="K1279" s="6">
        <v>0</v>
      </c>
      <c r="L1279" s="6">
        <v>0</v>
      </c>
      <c r="M1279" s="6">
        <v>1</v>
      </c>
      <c r="N1279" s="6">
        <v>1</v>
      </c>
      <c r="O1279" s="6">
        <v>0</v>
      </c>
      <c r="P1279" s="6">
        <v>0</v>
      </c>
      <c r="Q1279">
        <v>1</v>
      </c>
      <c r="R1279">
        <f t="shared" si="95"/>
        <v>0</v>
      </c>
      <c r="S1279">
        <f t="shared" si="96"/>
        <v>1</v>
      </c>
      <c r="T1279">
        <f t="shared" si="97"/>
        <v>2</v>
      </c>
      <c r="U1279">
        <f t="shared" si="98"/>
        <v>1</v>
      </c>
      <c r="V1279">
        <f t="shared" si="99"/>
        <v>0</v>
      </c>
    </row>
    <row r="1280" spans="1:22" x14ac:dyDescent="0.25">
      <c r="A1280">
        <v>1277</v>
      </c>
      <c r="B1280" t="s">
        <v>16</v>
      </c>
      <c r="C1280" t="s">
        <v>523</v>
      </c>
      <c r="D1280" s="4">
        <v>45693</v>
      </c>
      <c r="E1280" t="s">
        <v>2747</v>
      </c>
      <c r="F1280" t="s">
        <v>75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1</v>
      </c>
      <c r="Q1280">
        <v>1</v>
      </c>
      <c r="R1280">
        <f t="shared" si="95"/>
        <v>0</v>
      </c>
      <c r="S1280">
        <f t="shared" si="96"/>
        <v>1</v>
      </c>
      <c r="T1280">
        <f t="shared" si="97"/>
        <v>1</v>
      </c>
      <c r="U1280">
        <f t="shared" si="98"/>
        <v>1</v>
      </c>
      <c r="V1280">
        <f t="shared" si="99"/>
        <v>0</v>
      </c>
    </row>
    <row r="1281" spans="1:22" x14ac:dyDescent="0.25">
      <c r="A1281">
        <v>1278</v>
      </c>
      <c r="B1281" t="s">
        <v>16</v>
      </c>
      <c r="C1281" t="s">
        <v>523</v>
      </c>
      <c r="D1281" s="4">
        <v>45693</v>
      </c>
      <c r="E1281" t="s">
        <v>2746</v>
      </c>
      <c r="F1281" t="s">
        <v>75</v>
      </c>
      <c r="I1281" s="6">
        <v>0</v>
      </c>
      <c r="J1281" s="6">
        <v>0</v>
      </c>
      <c r="K1281" s="6">
        <v>1</v>
      </c>
      <c r="L1281" s="6">
        <v>0</v>
      </c>
      <c r="M1281" s="6">
        <v>1</v>
      </c>
      <c r="N1281" s="6">
        <v>0</v>
      </c>
      <c r="O1281" s="6">
        <v>1</v>
      </c>
      <c r="P1281" s="6">
        <v>0</v>
      </c>
      <c r="Q1281">
        <v>1</v>
      </c>
      <c r="R1281">
        <f t="shared" si="95"/>
        <v>0</v>
      </c>
      <c r="S1281">
        <f t="shared" si="96"/>
        <v>1</v>
      </c>
      <c r="T1281">
        <f t="shared" si="97"/>
        <v>3</v>
      </c>
      <c r="U1281">
        <f t="shared" si="98"/>
        <v>1</v>
      </c>
      <c r="V1281">
        <f t="shared" si="99"/>
        <v>0</v>
      </c>
    </row>
    <row r="1282" spans="1:22" x14ac:dyDescent="0.25">
      <c r="A1282">
        <v>1279</v>
      </c>
      <c r="B1282" t="s">
        <v>16</v>
      </c>
      <c r="C1282" t="s">
        <v>523</v>
      </c>
      <c r="D1282" s="4">
        <v>45694</v>
      </c>
      <c r="E1282" t="s">
        <v>106</v>
      </c>
      <c r="F1282" t="s">
        <v>75</v>
      </c>
      <c r="I1282" s="6">
        <v>0</v>
      </c>
      <c r="J1282" s="6">
        <v>0</v>
      </c>
      <c r="K1282" s="6">
        <v>0</v>
      </c>
      <c r="L1282" s="6">
        <v>0</v>
      </c>
      <c r="M1282" s="6">
        <v>1</v>
      </c>
      <c r="N1282" s="6">
        <v>0</v>
      </c>
      <c r="O1282" s="6">
        <v>1</v>
      </c>
      <c r="P1282" s="6">
        <v>0</v>
      </c>
      <c r="Q1282">
        <v>1</v>
      </c>
      <c r="R1282">
        <f t="shared" si="95"/>
        <v>0</v>
      </c>
      <c r="S1282">
        <f t="shared" si="96"/>
        <v>1</v>
      </c>
      <c r="T1282">
        <f t="shared" si="97"/>
        <v>2</v>
      </c>
      <c r="U1282">
        <f t="shared" si="98"/>
        <v>1</v>
      </c>
      <c r="V1282">
        <f t="shared" si="99"/>
        <v>0</v>
      </c>
    </row>
    <row r="1283" spans="1:22" x14ac:dyDescent="0.25">
      <c r="A1283">
        <v>1280</v>
      </c>
      <c r="B1283" t="s">
        <v>16</v>
      </c>
      <c r="C1283" t="s">
        <v>523</v>
      </c>
      <c r="D1283" s="4">
        <v>45694</v>
      </c>
      <c r="E1283" t="s">
        <v>110</v>
      </c>
      <c r="F1283" t="s">
        <v>75</v>
      </c>
      <c r="I1283" s="6">
        <v>1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>
        <v>1</v>
      </c>
      <c r="R1283">
        <f t="shared" ref="R1283:R1346" si="100">IF(AND(Q1283=1,F1283="ai_full"),1,0)</f>
        <v>0</v>
      </c>
      <c r="S1283">
        <f t="shared" ref="S1283:S1346" si="101">IF(AND(Q1283=1,F1283="conventional"),1,0)</f>
        <v>1</v>
      </c>
      <c r="T1283">
        <f t="shared" ref="T1283:T1346" si="102">SUM(I1283:P1283)</f>
        <v>1</v>
      </c>
      <c r="U1283">
        <f t="shared" ref="U1283:U1346" si="103">IF(T1283&gt;=1,1,0)</f>
        <v>1</v>
      </c>
      <c r="V1283">
        <f t="shared" ref="V1283:V1346" si="104">IF(F1283="ai_full",1,0)</f>
        <v>0</v>
      </c>
    </row>
    <row r="1284" spans="1:22" x14ac:dyDescent="0.25">
      <c r="A1284">
        <v>1281</v>
      </c>
      <c r="B1284" t="s">
        <v>16</v>
      </c>
      <c r="C1284" t="s">
        <v>523</v>
      </c>
      <c r="D1284" s="4">
        <v>45694</v>
      </c>
      <c r="E1284" t="s">
        <v>111</v>
      </c>
      <c r="F1284" t="s">
        <v>75</v>
      </c>
      <c r="I1284" s="6">
        <v>1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>
        <v>1</v>
      </c>
      <c r="R1284">
        <f t="shared" si="100"/>
        <v>0</v>
      </c>
      <c r="S1284">
        <f t="shared" si="101"/>
        <v>1</v>
      </c>
      <c r="T1284">
        <f t="shared" si="102"/>
        <v>1</v>
      </c>
      <c r="U1284">
        <f t="shared" si="103"/>
        <v>1</v>
      </c>
      <c r="V1284">
        <f t="shared" si="104"/>
        <v>0</v>
      </c>
    </row>
    <row r="1285" spans="1:22" x14ac:dyDescent="0.25">
      <c r="A1285">
        <v>1282</v>
      </c>
      <c r="B1285" t="s">
        <v>16</v>
      </c>
      <c r="C1285" t="s">
        <v>523</v>
      </c>
      <c r="D1285" s="4">
        <v>45694</v>
      </c>
      <c r="E1285" t="s">
        <v>112</v>
      </c>
      <c r="F1285" t="s">
        <v>413</v>
      </c>
      <c r="G1285">
        <v>84</v>
      </c>
      <c r="H1285" t="s">
        <v>806</v>
      </c>
      <c r="I1285" s="6">
        <v>0</v>
      </c>
      <c r="J1285" s="6">
        <v>0</v>
      </c>
      <c r="K1285" s="6">
        <v>0</v>
      </c>
      <c r="L1285" s="6">
        <v>0</v>
      </c>
      <c r="M1285" s="6">
        <v>1</v>
      </c>
      <c r="N1285" s="6">
        <v>0</v>
      </c>
      <c r="O1285" s="6">
        <v>1</v>
      </c>
      <c r="P1285" s="6">
        <v>0</v>
      </c>
      <c r="Q1285">
        <v>1</v>
      </c>
      <c r="R1285">
        <f t="shared" si="100"/>
        <v>1</v>
      </c>
      <c r="S1285">
        <f t="shared" si="101"/>
        <v>0</v>
      </c>
      <c r="T1285">
        <f t="shared" si="102"/>
        <v>2</v>
      </c>
      <c r="U1285">
        <f t="shared" si="103"/>
        <v>1</v>
      </c>
      <c r="V1285">
        <f t="shared" si="104"/>
        <v>1</v>
      </c>
    </row>
    <row r="1286" spans="1:22" x14ac:dyDescent="0.25">
      <c r="A1286">
        <v>1283</v>
      </c>
      <c r="B1286" t="s">
        <v>16</v>
      </c>
      <c r="C1286" t="s">
        <v>523</v>
      </c>
      <c r="D1286" s="4">
        <v>45695</v>
      </c>
      <c r="E1286" t="s">
        <v>672</v>
      </c>
      <c r="F1286" t="s">
        <v>75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1</v>
      </c>
      <c r="P1286" s="6">
        <v>0</v>
      </c>
      <c r="Q1286">
        <v>1</v>
      </c>
      <c r="R1286">
        <f t="shared" si="100"/>
        <v>0</v>
      </c>
      <c r="S1286">
        <f t="shared" si="101"/>
        <v>1</v>
      </c>
      <c r="T1286">
        <f t="shared" si="102"/>
        <v>1</v>
      </c>
      <c r="U1286">
        <f t="shared" si="103"/>
        <v>1</v>
      </c>
      <c r="V1286">
        <f t="shared" si="104"/>
        <v>0</v>
      </c>
    </row>
    <row r="1287" spans="1:22" x14ac:dyDescent="0.25">
      <c r="A1287">
        <v>1284</v>
      </c>
      <c r="B1287" t="s">
        <v>16</v>
      </c>
      <c r="C1287" t="s">
        <v>523</v>
      </c>
      <c r="D1287" s="4">
        <v>45695</v>
      </c>
      <c r="E1287" t="s">
        <v>673</v>
      </c>
      <c r="F1287" t="s">
        <v>75</v>
      </c>
      <c r="I1287" s="6">
        <v>0</v>
      </c>
      <c r="J1287" s="6">
        <v>0</v>
      </c>
      <c r="K1287" s="6">
        <v>0</v>
      </c>
      <c r="L1287" s="6">
        <v>0</v>
      </c>
      <c r="M1287" s="6">
        <v>1</v>
      </c>
      <c r="N1287" s="6">
        <v>1</v>
      </c>
      <c r="O1287" s="6">
        <v>0</v>
      </c>
      <c r="P1287" s="6">
        <v>0</v>
      </c>
      <c r="Q1287">
        <v>1</v>
      </c>
      <c r="R1287">
        <f t="shared" si="100"/>
        <v>0</v>
      </c>
      <c r="S1287">
        <f t="shared" si="101"/>
        <v>1</v>
      </c>
      <c r="T1287">
        <f t="shared" si="102"/>
        <v>2</v>
      </c>
      <c r="U1287">
        <f t="shared" si="103"/>
        <v>1</v>
      </c>
      <c r="V1287">
        <f t="shared" si="104"/>
        <v>0</v>
      </c>
    </row>
    <row r="1288" spans="1:22" x14ac:dyDescent="0.25">
      <c r="A1288">
        <v>1285</v>
      </c>
      <c r="B1288" t="s">
        <v>16</v>
      </c>
      <c r="C1288" t="s">
        <v>523</v>
      </c>
      <c r="D1288" s="4">
        <v>45695</v>
      </c>
      <c r="E1288" t="s">
        <v>674</v>
      </c>
      <c r="F1288" t="s">
        <v>75</v>
      </c>
      <c r="I1288" s="6">
        <v>0</v>
      </c>
      <c r="J1288" s="6">
        <v>0</v>
      </c>
      <c r="K1288" s="6">
        <v>0</v>
      </c>
      <c r="L1288" s="6">
        <v>0</v>
      </c>
      <c r="M1288" s="6">
        <v>1</v>
      </c>
      <c r="N1288" s="6">
        <v>1</v>
      </c>
      <c r="O1288" s="6">
        <v>0</v>
      </c>
      <c r="P1288" s="6">
        <v>0</v>
      </c>
      <c r="Q1288">
        <v>1</v>
      </c>
      <c r="R1288">
        <f t="shared" si="100"/>
        <v>0</v>
      </c>
      <c r="S1288">
        <f t="shared" si="101"/>
        <v>1</v>
      </c>
      <c r="T1288">
        <f t="shared" si="102"/>
        <v>2</v>
      </c>
      <c r="U1288">
        <f t="shared" si="103"/>
        <v>1</v>
      </c>
      <c r="V1288">
        <f t="shared" si="104"/>
        <v>0</v>
      </c>
    </row>
    <row r="1289" spans="1:22" x14ac:dyDescent="0.25">
      <c r="A1289">
        <v>1286</v>
      </c>
      <c r="B1289" t="s">
        <v>16</v>
      </c>
      <c r="C1289" t="s">
        <v>523</v>
      </c>
      <c r="D1289" s="4">
        <v>45696</v>
      </c>
      <c r="E1289" t="s">
        <v>807</v>
      </c>
      <c r="F1289" t="s">
        <v>75</v>
      </c>
      <c r="I1289" s="6">
        <v>0</v>
      </c>
      <c r="J1289" s="6">
        <v>0</v>
      </c>
      <c r="K1289" s="6">
        <v>0</v>
      </c>
      <c r="L1289" s="6">
        <v>1</v>
      </c>
      <c r="M1289" s="6">
        <v>0</v>
      </c>
      <c r="N1289" s="6">
        <v>1</v>
      </c>
      <c r="O1289" s="6">
        <v>0</v>
      </c>
      <c r="P1289" s="6">
        <v>0</v>
      </c>
      <c r="Q1289">
        <v>1</v>
      </c>
      <c r="R1289">
        <f t="shared" si="100"/>
        <v>0</v>
      </c>
      <c r="S1289">
        <f t="shared" si="101"/>
        <v>1</v>
      </c>
      <c r="T1289">
        <f t="shared" si="102"/>
        <v>2</v>
      </c>
      <c r="U1289">
        <f t="shared" si="103"/>
        <v>1</v>
      </c>
      <c r="V1289">
        <f t="shared" si="104"/>
        <v>0</v>
      </c>
    </row>
    <row r="1290" spans="1:22" x14ac:dyDescent="0.25">
      <c r="A1290">
        <v>1287</v>
      </c>
      <c r="B1290" t="s">
        <v>16</v>
      </c>
      <c r="C1290" t="s">
        <v>523</v>
      </c>
      <c r="D1290" s="4">
        <v>45696</v>
      </c>
      <c r="E1290" t="s">
        <v>2745</v>
      </c>
      <c r="F1290" t="s">
        <v>75</v>
      </c>
      <c r="I1290" s="6">
        <v>0</v>
      </c>
      <c r="J1290" s="6">
        <v>0</v>
      </c>
      <c r="K1290" s="6">
        <v>0</v>
      </c>
      <c r="L1290" s="6">
        <v>0</v>
      </c>
      <c r="M1290" s="6">
        <v>1</v>
      </c>
      <c r="N1290" s="6">
        <v>0</v>
      </c>
      <c r="O1290" s="6">
        <v>1</v>
      </c>
      <c r="P1290" s="6">
        <v>0</v>
      </c>
      <c r="Q1290">
        <v>1</v>
      </c>
      <c r="R1290">
        <f t="shared" si="100"/>
        <v>0</v>
      </c>
      <c r="S1290">
        <f t="shared" si="101"/>
        <v>1</v>
      </c>
      <c r="T1290">
        <f t="shared" si="102"/>
        <v>2</v>
      </c>
      <c r="U1290">
        <f t="shared" si="103"/>
        <v>1</v>
      </c>
      <c r="V1290">
        <f t="shared" si="104"/>
        <v>0</v>
      </c>
    </row>
    <row r="1291" spans="1:22" x14ac:dyDescent="0.25">
      <c r="A1291">
        <v>1288</v>
      </c>
      <c r="B1291" t="s">
        <v>16</v>
      </c>
      <c r="C1291" t="s">
        <v>523</v>
      </c>
      <c r="D1291" s="4">
        <v>45696</v>
      </c>
      <c r="E1291" t="s">
        <v>115</v>
      </c>
      <c r="F1291" t="s">
        <v>75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>
        <v>1</v>
      </c>
      <c r="R1291">
        <f t="shared" si="100"/>
        <v>0</v>
      </c>
      <c r="S1291">
        <f t="shared" si="101"/>
        <v>1</v>
      </c>
      <c r="T1291">
        <f t="shared" si="102"/>
        <v>0</v>
      </c>
      <c r="U1291">
        <f t="shared" si="103"/>
        <v>0</v>
      </c>
      <c r="V1291">
        <f t="shared" si="104"/>
        <v>0</v>
      </c>
    </row>
    <row r="1292" spans="1:22" x14ac:dyDescent="0.25">
      <c r="A1292">
        <v>1289</v>
      </c>
      <c r="B1292" t="s">
        <v>16</v>
      </c>
      <c r="C1292" t="s">
        <v>523</v>
      </c>
      <c r="D1292" s="4">
        <v>45697</v>
      </c>
      <c r="E1292" t="s">
        <v>2744</v>
      </c>
      <c r="F1292" t="s">
        <v>75</v>
      </c>
      <c r="I1292" s="6">
        <v>0</v>
      </c>
      <c r="J1292" s="6">
        <v>0</v>
      </c>
      <c r="K1292" s="6">
        <v>1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>
        <v>1</v>
      </c>
      <c r="R1292">
        <f t="shared" si="100"/>
        <v>0</v>
      </c>
      <c r="S1292">
        <f t="shared" si="101"/>
        <v>1</v>
      </c>
      <c r="T1292">
        <f t="shared" si="102"/>
        <v>1</v>
      </c>
      <c r="U1292">
        <f t="shared" si="103"/>
        <v>1</v>
      </c>
      <c r="V1292">
        <f t="shared" si="104"/>
        <v>0</v>
      </c>
    </row>
    <row r="1293" spans="1:22" x14ac:dyDescent="0.25">
      <c r="A1293">
        <v>1290</v>
      </c>
      <c r="B1293" t="s">
        <v>16</v>
      </c>
      <c r="C1293" t="s">
        <v>523</v>
      </c>
      <c r="D1293" s="4">
        <v>45697</v>
      </c>
      <c r="E1293" t="s">
        <v>2743</v>
      </c>
      <c r="F1293" t="s">
        <v>75</v>
      </c>
      <c r="I1293" s="6">
        <v>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>
        <v>1</v>
      </c>
      <c r="R1293">
        <f t="shared" si="100"/>
        <v>0</v>
      </c>
      <c r="S1293">
        <f t="shared" si="101"/>
        <v>1</v>
      </c>
      <c r="T1293">
        <f t="shared" si="102"/>
        <v>0</v>
      </c>
      <c r="U1293">
        <f t="shared" si="103"/>
        <v>0</v>
      </c>
      <c r="V1293">
        <f t="shared" si="104"/>
        <v>0</v>
      </c>
    </row>
    <row r="1294" spans="1:22" x14ac:dyDescent="0.25">
      <c r="A1294">
        <v>1291</v>
      </c>
      <c r="B1294" t="s">
        <v>16</v>
      </c>
      <c r="C1294" t="s">
        <v>523</v>
      </c>
      <c r="D1294" s="4">
        <v>45698</v>
      </c>
      <c r="E1294" t="s">
        <v>116</v>
      </c>
      <c r="F1294" t="s">
        <v>75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>
        <v>1</v>
      </c>
      <c r="R1294">
        <f t="shared" si="100"/>
        <v>0</v>
      </c>
      <c r="S1294">
        <f t="shared" si="101"/>
        <v>1</v>
      </c>
      <c r="T1294">
        <f t="shared" si="102"/>
        <v>0</v>
      </c>
      <c r="U1294">
        <f t="shared" si="103"/>
        <v>0</v>
      </c>
      <c r="V1294">
        <f t="shared" si="104"/>
        <v>0</v>
      </c>
    </row>
    <row r="1295" spans="1:22" x14ac:dyDescent="0.25">
      <c r="A1295">
        <v>1292</v>
      </c>
      <c r="B1295" t="s">
        <v>16</v>
      </c>
      <c r="C1295" t="s">
        <v>523</v>
      </c>
      <c r="D1295" s="4">
        <v>45698</v>
      </c>
      <c r="E1295" t="s">
        <v>677</v>
      </c>
      <c r="F1295" t="s">
        <v>75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>
        <v>1</v>
      </c>
      <c r="R1295">
        <f t="shared" si="100"/>
        <v>0</v>
      </c>
      <c r="S1295">
        <f t="shared" si="101"/>
        <v>1</v>
      </c>
      <c r="T1295">
        <f t="shared" si="102"/>
        <v>0</v>
      </c>
      <c r="U1295">
        <f t="shared" si="103"/>
        <v>0</v>
      </c>
      <c r="V1295">
        <f t="shared" si="104"/>
        <v>0</v>
      </c>
    </row>
    <row r="1296" spans="1:22" x14ac:dyDescent="0.25">
      <c r="A1296">
        <v>1293</v>
      </c>
      <c r="B1296" t="s">
        <v>16</v>
      </c>
      <c r="C1296" t="s">
        <v>523</v>
      </c>
      <c r="D1296" s="4">
        <v>45698</v>
      </c>
      <c r="E1296" t="s">
        <v>2742</v>
      </c>
      <c r="F1296" t="s">
        <v>75</v>
      </c>
      <c r="I1296" s="6">
        <v>1</v>
      </c>
      <c r="J1296" s="6">
        <v>0</v>
      </c>
      <c r="K1296" s="6">
        <v>0</v>
      </c>
      <c r="L1296" s="6">
        <v>0</v>
      </c>
      <c r="M1296" s="6">
        <v>1</v>
      </c>
      <c r="N1296" s="6">
        <v>0</v>
      </c>
      <c r="O1296" s="6">
        <v>0</v>
      </c>
      <c r="P1296" s="6">
        <v>0</v>
      </c>
      <c r="Q1296">
        <v>1</v>
      </c>
      <c r="R1296">
        <f t="shared" si="100"/>
        <v>0</v>
      </c>
      <c r="S1296">
        <f t="shared" si="101"/>
        <v>1</v>
      </c>
      <c r="T1296">
        <f t="shared" si="102"/>
        <v>2</v>
      </c>
      <c r="U1296">
        <f t="shared" si="103"/>
        <v>1</v>
      </c>
      <c r="V1296">
        <f t="shared" si="104"/>
        <v>0</v>
      </c>
    </row>
    <row r="1297" spans="1:22" x14ac:dyDescent="0.25">
      <c r="A1297">
        <v>1294</v>
      </c>
      <c r="B1297" t="s">
        <v>16</v>
      </c>
      <c r="C1297" t="s">
        <v>523</v>
      </c>
      <c r="D1297" s="4">
        <v>45698</v>
      </c>
      <c r="E1297" t="s">
        <v>808</v>
      </c>
      <c r="F1297" t="s">
        <v>75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>
        <v>1</v>
      </c>
      <c r="R1297">
        <f t="shared" si="100"/>
        <v>0</v>
      </c>
      <c r="S1297">
        <f t="shared" si="101"/>
        <v>1</v>
      </c>
      <c r="T1297">
        <f t="shared" si="102"/>
        <v>0</v>
      </c>
      <c r="U1297">
        <f t="shared" si="103"/>
        <v>0</v>
      </c>
      <c r="V1297">
        <f t="shared" si="104"/>
        <v>0</v>
      </c>
    </row>
    <row r="1298" spans="1:22" x14ac:dyDescent="0.25">
      <c r="A1298">
        <v>1295</v>
      </c>
      <c r="B1298" t="s">
        <v>16</v>
      </c>
      <c r="C1298" t="s">
        <v>523</v>
      </c>
      <c r="D1298" s="4">
        <v>45698</v>
      </c>
      <c r="E1298" t="s">
        <v>2741</v>
      </c>
      <c r="F1298" t="s">
        <v>75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>
        <v>1</v>
      </c>
      <c r="R1298">
        <f t="shared" si="100"/>
        <v>0</v>
      </c>
      <c r="S1298">
        <f t="shared" si="101"/>
        <v>1</v>
      </c>
      <c r="T1298">
        <f t="shared" si="102"/>
        <v>0</v>
      </c>
      <c r="U1298">
        <f t="shared" si="103"/>
        <v>0</v>
      </c>
      <c r="V1298">
        <f t="shared" si="104"/>
        <v>0</v>
      </c>
    </row>
    <row r="1299" spans="1:22" x14ac:dyDescent="0.25">
      <c r="A1299">
        <v>1296</v>
      </c>
      <c r="B1299" t="s">
        <v>16</v>
      </c>
      <c r="C1299" t="s">
        <v>523</v>
      </c>
      <c r="D1299" s="4">
        <v>45698</v>
      </c>
      <c r="E1299" t="s">
        <v>117</v>
      </c>
      <c r="F1299" t="s">
        <v>75</v>
      </c>
      <c r="I1299" s="6">
        <v>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>
        <v>1</v>
      </c>
      <c r="R1299">
        <f t="shared" si="100"/>
        <v>0</v>
      </c>
      <c r="S1299">
        <f t="shared" si="101"/>
        <v>1</v>
      </c>
      <c r="T1299">
        <f t="shared" si="102"/>
        <v>0</v>
      </c>
      <c r="U1299">
        <f t="shared" si="103"/>
        <v>0</v>
      </c>
      <c r="V1299">
        <f t="shared" si="104"/>
        <v>0</v>
      </c>
    </row>
    <row r="1300" spans="1:22" x14ac:dyDescent="0.25">
      <c r="A1300">
        <v>1297</v>
      </c>
      <c r="B1300" t="s">
        <v>16</v>
      </c>
      <c r="C1300" t="s">
        <v>523</v>
      </c>
      <c r="D1300" s="4">
        <v>45698</v>
      </c>
      <c r="E1300" t="s">
        <v>2740</v>
      </c>
      <c r="F1300" t="s">
        <v>75</v>
      </c>
      <c r="I1300" s="6">
        <v>1</v>
      </c>
      <c r="J1300" s="6">
        <v>0</v>
      </c>
      <c r="K1300" s="6">
        <v>1</v>
      </c>
      <c r="L1300" s="6">
        <v>1</v>
      </c>
      <c r="M1300" s="6">
        <v>1</v>
      </c>
      <c r="N1300" s="6">
        <v>0</v>
      </c>
      <c r="O1300" s="6">
        <v>0</v>
      </c>
      <c r="P1300" s="6">
        <v>0</v>
      </c>
      <c r="Q1300">
        <v>1</v>
      </c>
      <c r="R1300">
        <f t="shared" si="100"/>
        <v>0</v>
      </c>
      <c r="S1300">
        <f t="shared" si="101"/>
        <v>1</v>
      </c>
      <c r="T1300">
        <f t="shared" si="102"/>
        <v>4</v>
      </c>
      <c r="U1300">
        <f t="shared" si="103"/>
        <v>1</v>
      </c>
      <c r="V1300">
        <f t="shared" si="104"/>
        <v>0</v>
      </c>
    </row>
    <row r="1301" spans="1:22" x14ac:dyDescent="0.25">
      <c r="A1301">
        <v>1298</v>
      </c>
      <c r="B1301" t="s">
        <v>16</v>
      </c>
      <c r="C1301" t="s">
        <v>523</v>
      </c>
      <c r="D1301" s="4">
        <v>45699</v>
      </c>
      <c r="E1301" t="s">
        <v>809</v>
      </c>
      <c r="F1301" t="s">
        <v>75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>
        <v>1</v>
      </c>
      <c r="R1301">
        <f t="shared" si="100"/>
        <v>0</v>
      </c>
      <c r="S1301">
        <f t="shared" si="101"/>
        <v>1</v>
      </c>
      <c r="T1301">
        <f t="shared" si="102"/>
        <v>0</v>
      </c>
      <c r="U1301">
        <f t="shared" si="103"/>
        <v>0</v>
      </c>
      <c r="V1301">
        <f t="shared" si="104"/>
        <v>0</v>
      </c>
    </row>
    <row r="1302" spans="1:22" x14ac:dyDescent="0.25">
      <c r="A1302">
        <v>1299</v>
      </c>
      <c r="B1302" t="s">
        <v>16</v>
      </c>
      <c r="C1302" t="s">
        <v>523</v>
      </c>
      <c r="D1302" s="4">
        <v>45699</v>
      </c>
      <c r="E1302" t="s">
        <v>810</v>
      </c>
      <c r="F1302" t="s">
        <v>75</v>
      </c>
      <c r="I1302" s="6">
        <v>1</v>
      </c>
      <c r="J1302" s="6">
        <v>0</v>
      </c>
      <c r="K1302" s="6">
        <v>1</v>
      </c>
      <c r="L1302" s="6">
        <v>0</v>
      </c>
      <c r="M1302" s="6">
        <v>1</v>
      </c>
      <c r="N1302" s="6">
        <v>1</v>
      </c>
      <c r="O1302" s="6">
        <v>0</v>
      </c>
      <c r="P1302" s="6">
        <v>0</v>
      </c>
      <c r="Q1302">
        <v>1</v>
      </c>
      <c r="R1302">
        <f t="shared" si="100"/>
        <v>0</v>
      </c>
      <c r="S1302">
        <f t="shared" si="101"/>
        <v>1</v>
      </c>
      <c r="T1302">
        <f t="shared" si="102"/>
        <v>4</v>
      </c>
      <c r="U1302">
        <f t="shared" si="103"/>
        <v>1</v>
      </c>
      <c r="V1302">
        <f t="shared" si="104"/>
        <v>0</v>
      </c>
    </row>
    <row r="1303" spans="1:22" x14ac:dyDescent="0.25">
      <c r="A1303">
        <v>1300</v>
      </c>
      <c r="B1303" t="s">
        <v>16</v>
      </c>
      <c r="C1303" t="s">
        <v>523</v>
      </c>
      <c r="D1303" s="4">
        <v>45699</v>
      </c>
      <c r="E1303" t="s">
        <v>811</v>
      </c>
      <c r="F1303" t="s">
        <v>75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>
        <v>1</v>
      </c>
      <c r="R1303">
        <f t="shared" si="100"/>
        <v>0</v>
      </c>
      <c r="S1303">
        <f t="shared" si="101"/>
        <v>1</v>
      </c>
      <c r="T1303">
        <f t="shared" si="102"/>
        <v>0</v>
      </c>
      <c r="U1303">
        <f t="shared" si="103"/>
        <v>0</v>
      </c>
      <c r="V1303">
        <f t="shared" si="104"/>
        <v>0</v>
      </c>
    </row>
    <row r="1304" spans="1:22" x14ac:dyDescent="0.25">
      <c r="A1304">
        <v>1301</v>
      </c>
      <c r="B1304" t="s">
        <v>16</v>
      </c>
      <c r="C1304" t="s">
        <v>523</v>
      </c>
      <c r="D1304" s="4">
        <v>45699</v>
      </c>
      <c r="E1304" t="s">
        <v>812</v>
      </c>
      <c r="F1304" t="s">
        <v>75</v>
      </c>
      <c r="I1304" s="6">
        <v>0</v>
      </c>
      <c r="J1304" s="6">
        <v>0</v>
      </c>
      <c r="K1304" s="6">
        <v>0</v>
      </c>
      <c r="L1304" s="6">
        <v>1</v>
      </c>
      <c r="M1304" s="6">
        <v>0</v>
      </c>
      <c r="N1304" s="6">
        <v>0</v>
      </c>
      <c r="O1304" s="6">
        <v>0</v>
      </c>
      <c r="P1304" s="6">
        <v>0</v>
      </c>
      <c r="Q1304">
        <v>1</v>
      </c>
      <c r="R1304">
        <f t="shared" si="100"/>
        <v>0</v>
      </c>
      <c r="S1304">
        <f t="shared" si="101"/>
        <v>1</v>
      </c>
      <c r="T1304">
        <f t="shared" si="102"/>
        <v>1</v>
      </c>
      <c r="U1304">
        <f t="shared" si="103"/>
        <v>1</v>
      </c>
      <c r="V1304">
        <f t="shared" si="104"/>
        <v>0</v>
      </c>
    </row>
    <row r="1305" spans="1:22" x14ac:dyDescent="0.25">
      <c r="A1305">
        <v>1302</v>
      </c>
      <c r="B1305" t="s">
        <v>16</v>
      </c>
      <c r="C1305" t="s">
        <v>523</v>
      </c>
      <c r="D1305" s="4">
        <v>45699</v>
      </c>
      <c r="E1305" t="s">
        <v>119</v>
      </c>
      <c r="F1305" t="s">
        <v>75</v>
      </c>
      <c r="I1305" s="6">
        <v>1</v>
      </c>
      <c r="J1305" s="6">
        <v>0</v>
      </c>
      <c r="K1305" s="6">
        <v>1</v>
      </c>
      <c r="L1305" s="6">
        <v>0</v>
      </c>
      <c r="M1305" s="6">
        <v>1</v>
      </c>
      <c r="N1305" s="6">
        <v>0</v>
      </c>
      <c r="O1305" s="6">
        <v>0</v>
      </c>
      <c r="P1305" s="6">
        <v>0</v>
      </c>
      <c r="Q1305">
        <v>1</v>
      </c>
      <c r="R1305">
        <f t="shared" si="100"/>
        <v>0</v>
      </c>
      <c r="S1305">
        <f t="shared" si="101"/>
        <v>1</v>
      </c>
      <c r="T1305">
        <f t="shared" si="102"/>
        <v>3</v>
      </c>
      <c r="U1305">
        <f t="shared" si="103"/>
        <v>1</v>
      </c>
      <c r="V1305">
        <f t="shared" si="104"/>
        <v>0</v>
      </c>
    </row>
    <row r="1306" spans="1:22" x14ac:dyDescent="0.25">
      <c r="A1306">
        <v>1303</v>
      </c>
      <c r="B1306" t="s">
        <v>16</v>
      </c>
      <c r="C1306" t="s">
        <v>523</v>
      </c>
      <c r="D1306" s="4">
        <v>45699</v>
      </c>
      <c r="E1306" t="s">
        <v>813</v>
      </c>
      <c r="F1306" t="s">
        <v>75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>
        <v>1</v>
      </c>
      <c r="R1306">
        <f t="shared" si="100"/>
        <v>0</v>
      </c>
      <c r="S1306">
        <f t="shared" si="101"/>
        <v>1</v>
      </c>
      <c r="T1306">
        <f t="shared" si="102"/>
        <v>0</v>
      </c>
      <c r="U1306">
        <f t="shared" si="103"/>
        <v>0</v>
      </c>
      <c r="V1306">
        <f t="shared" si="104"/>
        <v>0</v>
      </c>
    </row>
    <row r="1307" spans="1:22" x14ac:dyDescent="0.25">
      <c r="A1307">
        <v>1304</v>
      </c>
      <c r="B1307" t="s">
        <v>16</v>
      </c>
      <c r="C1307" t="s">
        <v>523</v>
      </c>
      <c r="D1307" s="4">
        <v>45699</v>
      </c>
      <c r="E1307" t="s">
        <v>2739</v>
      </c>
      <c r="F1307" t="s">
        <v>75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>
        <v>1</v>
      </c>
      <c r="R1307">
        <f t="shared" si="100"/>
        <v>0</v>
      </c>
      <c r="S1307">
        <f t="shared" si="101"/>
        <v>1</v>
      </c>
      <c r="T1307">
        <f t="shared" si="102"/>
        <v>0</v>
      </c>
      <c r="U1307">
        <f t="shared" si="103"/>
        <v>0</v>
      </c>
      <c r="V1307">
        <f t="shared" si="104"/>
        <v>0</v>
      </c>
    </row>
    <row r="1308" spans="1:22" x14ac:dyDescent="0.25">
      <c r="A1308">
        <v>1305</v>
      </c>
      <c r="B1308" t="s">
        <v>16</v>
      </c>
      <c r="C1308" t="s">
        <v>523</v>
      </c>
      <c r="D1308" s="4">
        <v>45700</v>
      </c>
      <c r="E1308" t="s">
        <v>679</v>
      </c>
      <c r="F1308" t="s">
        <v>75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>
        <v>1</v>
      </c>
      <c r="R1308">
        <f t="shared" si="100"/>
        <v>0</v>
      </c>
      <c r="S1308">
        <f t="shared" si="101"/>
        <v>1</v>
      </c>
      <c r="T1308">
        <f t="shared" si="102"/>
        <v>0</v>
      </c>
      <c r="U1308">
        <f t="shared" si="103"/>
        <v>0</v>
      </c>
      <c r="V1308">
        <f t="shared" si="104"/>
        <v>0</v>
      </c>
    </row>
    <row r="1309" spans="1:22" x14ac:dyDescent="0.25">
      <c r="A1309">
        <v>1306</v>
      </c>
      <c r="B1309" t="s">
        <v>16</v>
      </c>
      <c r="C1309" t="s">
        <v>523</v>
      </c>
      <c r="D1309" s="4">
        <v>45700</v>
      </c>
      <c r="E1309" t="s">
        <v>680</v>
      </c>
      <c r="F1309" t="s">
        <v>75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>
        <v>1</v>
      </c>
      <c r="R1309">
        <f t="shared" si="100"/>
        <v>0</v>
      </c>
      <c r="S1309">
        <f t="shared" si="101"/>
        <v>1</v>
      </c>
      <c r="T1309">
        <f t="shared" si="102"/>
        <v>0</v>
      </c>
      <c r="U1309">
        <f t="shared" si="103"/>
        <v>0</v>
      </c>
      <c r="V1309">
        <f t="shared" si="104"/>
        <v>0</v>
      </c>
    </row>
    <row r="1310" spans="1:22" x14ac:dyDescent="0.25">
      <c r="A1310">
        <v>1307</v>
      </c>
      <c r="B1310" t="s">
        <v>16</v>
      </c>
      <c r="C1310" t="s">
        <v>523</v>
      </c>
      <c r="D1310" s="4">
        <v>45700</v>
      </c>
      <c r="E1310" t="s">
        <v>814</v>
      </c>
      <c r="F1310" t="s">
        <v>75</v>
      </c>
      <c r="I1310" s="6">
        <v>0</v>
      </c>
      <c r="J1310" s="6">
        <v>0</v>
      </c>
      <c r="K1310" s="6">
        <v>0</v>
      </c>
      <c r="L1310" s="6">
        <v>0</v>
      </c>
      <c r="M1310" s="6">
        <v>1</v>
      </c>
      <c r="N1310" s="6">
        <v>0</v>
      </c>
      <c r="O1310" s="6">
        <v>0</v>
      </c>
      <c r="P1310" s="6">
        <v>0</v>
      </c>
      <c r="Q1310">
        <v>1</v>
      </c>
      <c r="R1310">
        <f t="shared" si="100"/>
        <v>0</v>
      </c>
      <c r="S1310">
        <f t="shared" si="101"/>
        <v>1</v>
      </c>
      <c r="T1310">
        <f t="shared" si="102"/>
        <v>1</v>
      </c>
      <c r="U1310">
        <f t="shared" si="103"/>
        <v>1</v>
      </c>
      <c r="V1310">
        <f t="shared" si="104"/>
        <v>0</v>
      </c>
    </row>
    <row r="1311" spans="1:22" x14ac:dyDescent="0.25">
      <c r="A1311">
        <v>1308</v>
      </c>
      <c r="B1311" t="s">
        <v>16</v>
      </c>
      <c r="C1311" t="s">
        <v>523</v>
      </c>
      <c r="D1311" s="4">
        <v>45700</v>
      </c>
      <c r="E1311" t="s">
        <v>124</v>
      </c>
      <c r="F1311" t="s">
        <v>75</v>
      </c>
      <c r="I1311" s="6">
        <v>0</v>
      </c>
      <c r="J1311" s="6">
        <v>0</v>
      </c>
      <c r="K1311" s="6">
        <v>0</v>
      </c>
      <c r="L1311" s="6">
        <v>0</v>
      </c>
      <c r="M1311" s="6">
        <v>1</v>
      </c>
      <c r="N1311" s="6">
        <v>0</v>
      </c>
      <c r="O1311" s="6">
        <v>0</v>
      </c>
      <c r="P1311" s="6">
        <v>0</v>
      </c>
      <c r="Q1311">
        <v>1</v>
      </c>
      <c r="R1311">
        <f t="shared" si="100"/>
        <v>0</v>
      </c>
      <c r="S1311">
        <f t="shared" si="101"/>
        <v>1</v>
      </c>
      <c r="T1311">
        <f t="shared" si="102"/>
        <v>1</v>
      </c>
      <c r="U1311">
        <f t="shared" si="103"/>
        <v>1</v>
      </c>
      <c r="V1311">
        <f t="shared" si="104"/>
        <v>0</v>
      </c>
    </row>
    <row r="1312" spans="1:22" x14ac:dyDescent="0.25">
      <c r="A1312">
        <v>1309</v>
      </c>
      <c r="B1312" t="s">
        <v>16</v>
      </c>
      <c r="C1312" t="s">
        <v>523</v>
      </c>
      <c r="D1312" s="4">
        <v>45700</v>
      </c>
      <c r="E1312" t="s">
        <v>2738</v>
      </c>
      <c r="F1312" t="s">
        <v>75</v>
      </c>
      <c r="I1312" s="6">
        <v>1</v>
      </c>
      <c r="J1312" s="6">
        <v>0</v>
      </c>
      <c r="K1312" s="6">
        <v>1</v>
      </c>
      <c r="L1312" s="6">
        <v>1</v>
      </c>
      <c r="M1312" s="6">
        <v>1</v>
      </c>
      <c r="N1312" s="6">
        <v>0</v>
      </c>
      <c r="O1312" s="6">
        <v>0</v>
      </c>
      <c r="P1312" s="6">
        <v>0</v>
      </c>
      <c r="Q1312">
        <v>1</v>
      </c>
      <c r="R1312">
        <f t="shared" si="100"/>
        <v>0</v>
      </c>
      <c r="S1312">
        <f t="shared" si="101"/>
        <v>1</v>
      </c>
      <c r="T1312">
        <f t="shared" si="102"/>
        <v>4</v>
      </c>
      <c r="U1312">
        <f t="shared" si="103"/>
        <v>1</v>
      </c>
      <c r="V1312">
        <f t="shared" si="104"/>
        <v>0</v>
      </c>
    </row>
    <row r="1313" spans="1:22" x14ac:dyDescent="0.25">
      <c r="A1313">
        <v>1310</v>
      </c>
      <c r="B1313" t="s">
        <v>16</v>
      </c>
      <c r="C1313" t="s">
        <v>523</v>
      </c>
      <c r="D1313" s="4">
        <v>45700</v>
      </c>
      <c r="E1313" t="s">
        <v>815</v>
      </c>
      <c r="F1313" t="s">
        <v>75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>
        <v>1</v>
      </c>
      <c r="R1313">
        <f t="shared" si="100"/>
        <v>0</v>
      </c>
      <c r="S1313">
        <f t="shared" si="101"/>
        <v>1</v>
      </c>
      <c r="T1313">
        <f t="shared" si="102"/>
        <v>0</v>
      </c>
      <c r="U1313">
        <f t="shared" si="103"/>
        <v>0</v>
      </c>
      <c r="V1313">
        <f t="shared" si="104"/>
        <v>0</v>
      </c>
    </row>
    <row r="1314" spans="1:22" x14ac:dyDescent="0.25">
      <c r="A1314">
        <v>1311</v>
      </c>
      <c r="B1314" t="s">
        <v>16</v>
      </c>
      <c r="C1314" t="s">
        <v>523</v>
      </c>
      <c r="D1314" s="4">
        <v>45700</v>
      </c>
      <c r="E1314" t="s">
        <v>816</v>
      </c>
      <c r="F1314" t="s">
        <v>75</v>
      </c>
      <c r="I1314" s="6">
        <v>0</v>
      </c>
      <c r="J1314" s="6">
        <v>0</v>
      </c>
      <c r="K1314" s="6">
        <v>0</v>
      </c>
      <c r="L1314" s="6">
        <v>1</v>
      </c>
      <c r="M1314" s="6">
        <v>0</v>
      </c>
      <c r="N1314" s="6">
        <v>0</v>
      </c>
      <c r="O1314" s="6">
        <v>0</v>
      </c>
      <c r="P1314" s="6">
        <v>0</v>
      </c>
      <c r="Q1314">
        <v>1</v>
      </c>
      <c r="R1314">
        <f t="shared" si="100"/>
        <v>0</v>
      </c>
      <c r="S1314">
        <f t="shared" si="101"/>
        <v>1</v>
      </c>
      <c r="T1314">
        <f t="shared" si="102"/>
        <v>1</v>
      </c>
      <c r="U1314">
        <f t="shared" si="103"/>
        <v>1</v>
      </c>
      <c r="V1314">
        <f t="shared" si="104"/>
        <v>0</v>
      </c>
    </row>
    <row r="1315" spans="1:22" x14ac:dyDescent="0.25">
      <c r="A1315">
        <v>1312</v>
      </c>
      <c r="B1315" t="s">
        <v>16</v>
      </c>
      <c r="C1315" t="s">
        <v>523</v>
      </c>
      <c r="D1315" s="4">
        <v>45700</v>
      </c>
      <c r="E1315" t="s">
        <v>817</v>
      </c>
      <c r="F1315" t="s">
        <v>413</v>
      </c>
      <c r="G1315">
        <v>85</v>
      </c>
      <c r="I1315" s="6">
        <v>1</v>
      </c>
      <c r="J1315" s="6">
        <v>0</v>
      </c>
      <c r="K1315" s="6">
        <v>1</v>
      </c>
      <c r="L1315" s="6">
        <v>1</v>
      </c>
      <c r="M1315" s="6">
        <v>1</v>
      </c>
      <c r="N1315" s="6">
        <v>1</v>
      </c>
      <c r="O1315" s="6">
        <v>0</v>
      </c>
      <c r="P1315" s="6">
        <v>0</v>
      </c>
      <c r="Q1315">
        <v>1</v>
      </c>
      <c r="R1315">
        <f t="shared" si="100"/>
        <v>1</v>
      </c>
      <c r="S1315">
        <f t="shared" si="101"/>
        <v>0</v>
      </c>
      <c r="T1315">
        <f t="shared" si="102"/>
        <v>5</v>
      </c>
      <c r="U1315">
        <f t="shared" si="103"/>
        <v>1</v>
      </c>
      <c r="V1315">
        <f t="shared" si="104"/>
        <v>1</v>
      </c>
    </row>
    <row r="1316" spans="1:22" x14ac:dyDescent="0.25">
      <c r="A1316">
        <v>1313</v>
      </c>
      <c r="B1316" t="s">
        <v>16</v>
      </c>
      <c r="C1316" t="s">
        <v>523</v>
      </c>
      <c r="D1316" s="4">
        <v>45701</v>
      </c>
      <c r="E1316" t="s">
        <v>126</v>
      </c>
      <c r="F1316" t="s">
        <v>75</v>
      </c>
      <c r="I1316" s="6">
        <v>0</v>
      </c>
      <c r="J1316" s="6">
        <v>0</v>
      </c>
      <c r="K1316" s="6">
        <v>0</v>
      </c>
      <c r="L1316" s="6">
        <v>1</v>
      </c>
      <c r="M1316" s="6">
        <v>0</v>
      </c>
      <c r="N1316" s="6">
        <v>0</v>
      </c>
      <c r="O1316" s="6">
        <v>0</v>
      </c>
      <c r="P1316" s="6">
        <v>0</v>
      </c>
      <c r="Q1316">
        <v>1</v>
      </c>
      <c r="R1316">
        <f t="shared" si="100"/>
        <v>0</v>
      </c>
      <c r="S1316">
        <f t="shared" si="101"/>
        <v>1</v>
      </c>
      <c r="T1316">
        <f t="shared" si="102"/>
        <v>1</v>
      </c>
      <c r="U1316">
        <f t="shared" si="103"/>
        <v>1</v>
      </c>
      <c r="V1316">
        <f t="shared" si="104"/>
        <v>0</v>
      </c>
    </row>
    <row r="1317" spans="1:22" x14ac:dyDescent="0.25">
      <c r="A1317">
        <v>1314</v>
      </c>
      <c r="B1317" t="s">
        <v>16</v>
      </c>
      <c r="C1317" t="s">
        <v>523</v>
      </c>
      <c r="D1317" s="4">
        <v>45701</v>
      </c>
      <c r="E1317" t="s">
        <v>127</v>
      </c>
      <c r="F1317" t="s">
        <v>75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>
        <v>1</v>
      </c>
      <c r="R1317">
        <f t="shared" si="100"/>
        <v>0</v>
      </c>
      <c r="S1317">
        <f t="shared" si="101"/>
        <v>1</v>
      </c>
      <c r="T1317">
        <f t="shared" si="102"/>
        <v>0</v>
      </c>
      <c r="U1317">
        <f t="shared" si="103"/>
        <v>0</v>
      </c>
      <c r="V1317">
        <f t="shared" si="104"/>
        <v>0</v>
      </c>
    </row>
    <row r="1318" spans="1:22" x14ac:dyDescent="0.25">
      <c r="A1318">
        <v>1315</v>
      </c>
      <c r="B1318" t="s">
        <v>16</v>
      </c>
      <c r="C1318" t="s">
        <v>523</v>
      </c>
      <c r="D1318" s="4">
        <v>45701</v>
      </c>
      <c r="E1318" t="s">
        <v>2737</v>
      </c>
      <c r="F1318" t="s">
        <v>75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>
        <v>1</v>
      </c>
      <c r="R1318">
        <f t="shared" si="100"/>
        <v>0</v>
      </c>
      <c r="S1318">
        <f t="shared" si="101"/>
        <v>1</v>
      </c>
      <c r="T1318">
        <f t="shared" si="102"/>
        <v>0</v>
      </c>
      <c r="U1318">
        <f t="shared" si="103"/>
        <v>0</v>
      </c>
      <c r="V1318">
        <f t="shared" si="104"/>
        <v>0</v>
      </c>
    </row>
    <row r="1319" spans="1:22" x14ac:dyDescent="0.25">
      <c r="A1319">
        <v>1316</v>
      </c>
      <c r="B1319" t="s">
        <v>16</v>
      </c>
      <c r="C1319" t="s">
        <v>523</v>
      </c>
      <c r="D1319" s="4">
        <v>45701</v>
      </c>
      <c r="E1319" t="s">
        <v>128</v>
      </c>
      <c r="F1319" t="s">
        <v>75</v>
      </c>
      <c r="I1319" s="6">
        <v>0</v>
      </c>
      <c r="J1319" s="6">
        <v>0</v>
      </c>
      <c r="K1319" s="6">
        <v>0</v>
      </c>
      <c r="L1319" s="6">
        <v>0</v>
      </c>
      <c r="M1319" s="6">
        <v>1</v>
      </c>
      <c r="N1319" s="6">
        <v>0</v>
      </c>
      <c r="O1319" s="6">
        <v>0</v>
      </c>
      <c r="P1319" s="6">
        <v>0</v>
      </c>
      <c r="Q1319">
        <v>1</v>
      </c>
      <c r="R1319">
        <f t="shared" si="100"/>
        <v>0</v>
      </c>
      <c r="S1319">
        <f t="shared" si="101"/>
        <v>1</v>
      </c>
      <c r="T1319">
        <f t="shared" si="102"/>
        <v>1</v>
      </c>
      <c r="U1319">
        <f t="shared" si="103"/>
        <v>1</v>
      </c>
      <c r="V1319">
        <f t="shared" si="104"/>
        <v>0</v>
      </c>
    </row>
    <row r="1320" spans="1:22" x14ac:dyDescent="0.25">
      <c r="A1320">
        <v>1317</v>
      </c>
      <c r="B1320" t="s">
        <v>16</v>
      </c>
      <c r="C1320" t="s">
        <v>523</v>
      </c>
      <c r="D1320" s="4">
        <v>45701</v>
      </c>
      <c r="E1320" t="s">
        <v>129</v>
      </c>
      <c r="F1320" t="s">
        <v>75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>
        <v>1</v>
      </c>
      <c r="R1320">
        <f t="shared" si="100"/>
        <v>0</v>
      </c>
      <c r="S1320">
        <f t="shared" si="101"/>
        <v>1</v>
      </c>
      <c r="T1320">
        <f t="shared" si="102"/>
        <v>0</v>
      </c>
      <c r="U1320">
        <f t="shared" si="103"/>
        <v>0</v>
      </c>
      <c r="V1320">
        <f t="shared" si="104"/>
        <v>0</v>
      </c>
    </row>
    <row r="1321" spans="1:22" x14ac:dyDescent="0.25">
      <c r="A1321">
        <v>1318</v>
      </c>
      <c r="B1321" t="s">
        <v>16</v>
      </c>
      <c r="C1321" t="s">
        <v>523</v>
      </c>
      <c r="D1321" s="4">
        <v>45701</v>
      </c>
      <c r="E1321" t="s">
        <v>818</v>
      </c>
      <c r="F1321" t="s">
        <v>413</v>
      </c>
      <c r="G1321">
        <v>86</v>
      </c>
      <c r="I1321" s="6">
        <v>1</v>
      </c>
      <c r="J1321" s="6">
        <v>1</v>
      </c>
      <c r="K1321" s="6">
        <v>1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>
        <v>1</v>
      </c>
      <c r="R1321">
        <f t="shared" si="100"/>
        <v>1</v>
      </c>
      <c r="S1321">
        <f t="shared" si="101"/>
        <v>0</v>
      </c>
      <c r="T1321">
        <f t="shared" si="102"/>
        <v>3</v>
      </c>
      <c r="U1321">
        <f t="shared" si="103"/>
        <v>1</v>
      </c>
      <c r="V1321">
        <f t="shared" si="104"/>
        <v>1</v>
      </c>
    </row>
    <row r="1322" spans="1:22" x14ac:dyDescent="0.25">
      <c r="A1322">
        <v>1319</v>
      </c>
      <c r="B1322" t="s">
        <v>16</v>
      </c>
      <c r="C1322" t="s">
        <v>523</v>
      </c>
      <c r="D1322" s="4">
        <v>45702</v>
      </c>
      <c r="E1322" t="s">
        <v>682</v>
      </c>
      <c r="F1322" t="s">
        <v>75</v>
      </c>
      <c r="I1322" s="6">
        <v>1</v>
      </c>
      <c r="J1322" s="6">
        <v>0</v>
      </c>
      <c r="K1322" s="6">
        <v>1</v>
      </c>
      <c r="L1322" s="6">
        <v>1</v>
      </c>
      <c r="M1322" s="6">
        <v>0</v>
      </c>
      <c r="N1322" s="6">
        <v>0</v>
      </c>
      <c r="O1322" s="6">
        <v>0</v>
      </c>
      <c r="P1322" s="6">
        <v>0</v>
      </c>
      <c r="Q1322">
        <v>1</v>
      </c>
      <c r="R1322">
        <f t="shared" si="100"/>
        <v>0</v>
      </c>
      <c r="S1322">
        <f t="shared" si="101"/>
        <v>1</v>
      </c>
      <c r="T1322">
        <f t="shared" si="102"/>
        <v>3</v>
      </c>
      <c r="U1322">
        <f t="shared" si="103"/>
        <v>1</v>
      </c>
      <c r="V1322">
        <f t="shared" si="104"/>
        <v>0</v>
      </c>
    </row>
    <row r="1323" spans="1:22" x14ac:dyDescent="0.25">
      <c r="A1323">
        <v>1320</v>
      </c>
      <c r="B1323" t="s">
        <v>16</v>
      </c>
      <c r="C1323" t="s">
        <v>523</v>
      </c>
      <c r="D1323" s="4">
        <v>45702</v>
      </c>
      <c r="E1323" t="s">
        <v>130</v>
      </c>
      <c r="F1323" t="s">
        <v>75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>
        <v>1</v>
      </c>
      <c r="R1323">
        <f t="shared" si="100"/>
        <v>0</v>
      </c>
      <c r="S1323">
        <f t="shared" si="101"/>
        <v>1</v>
      </c>
      <c r="T1323">
        <f t="shared" si="102"/>
        <v>0</v>
      </c>
      <c r="U1323">
        <f t="shared" si="103"/>
        <v>0</v>
      </c>
      <c r="V1323">
        <f t="shared" si="104"/>
        <v>0</v>
      </c>
    </row>
    <row r="1324" spans="1:22" x14ac:dyDescent="0.25">
      <c r="A1324">
        <v>1321</v>
      </c>
      <c r="B1324" t="s">
        <v>16</v>
      </c>
      <c r="C1324" t="s">
        <v>523</v>
      </c>
      <c r="D1324" s="4">
        <v>45702</v>
      </c>
      <c r="E1324" t="s">
        <v>819</v>
      </c>
      <c r="F1324" t="s">
        <v>75</v>
      </c>
      <c r="I1324" s="6">
        <v>1</v>
      </c>
      <c r="J1324" s="6">
        <v>0</v>
      </c>
      <c r="K1324" s="6">
        <v>1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>
        <v>1</v>
      </c>
      <c r="R1324">
        <f t="shared" si="100"/>
        <v>0</v>
      </c>
      <c r="S1324">
        <f t="shared" si="101"/>
        <v>1</v>
      </c>
      <c r="T1324">
        <f t="shared" si="102"/>
        <v>2</v>
      </c>
      <c r="U1324">
        <f t="shared" si="103"/>
        <v>1</v>
      </c>
      <c r="V1324">
        <f t="shared" si="104"/>
        <v>0</v>
      </c>
    </row>
    <row r="1325" spans="1:22" x14ac:dyDescent="0.25">
      <c r="A1325">
        <v>1322</v>
      </c>
      <c r="B1325" t="s">
        <v>16</v>
      </c>
      <c r="C1325" t="s">
        <v>523</v>
      </c>
      <c r="D1325" s="4">
        <v>45703</v>
      </c>
      <c r="E1325" t="s">
        <v>134</v>
      </c>
      <c r="F1325" t="s">
        <v>75</v>
      </c>
      <c r="I1325" s="6">
        <v>1</v>
      </c>
      <c r="J1325" s="6">
        <v>0</v>
      </c>
      <c r="K1325" s="6">
        <v>1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>
        <v>1</v>
      </c>
      <c r="R1325">
        <f t="shared" si="100"/>
        <v>0</v>
      </c>
      <c r="S1325">
        <f t="shared" si="101"/>
        <v>1</v>
      </c>
      <c r="T1325">
        <f t="shared" si="102"/>
        <v>2</v>
      </c>
      <c r="U1325">
        <f t="shared" si="103"/>
        <v>1</v>
      </c>
      <c r="V1325">
        <f t="shared" si="104"/>
        <v>0</v>
      </c>
    </row>
    <row r="1326" spans="1:22" x14ac:dyDescent="0.25">
      <c r="A1326">
        <v>1323</v>
      </c>
      <c r="B1326" t="s">
        <v>16</v>
      </c>
      <c r="C1326" t="s">
        <v>523</v>
      </c>
      <c r="D1326" s="4">
        <v>45703</v>
      </c>
      <c r="E1326" t="s">
        <v>135</v>
      </c>
      <c r="F1326" t="s">
        <v>75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>
        <v>1</v>
      </c>
      <c r="R1326">
        <f t="shared" si="100"/>
        <v>0</v>
      </c>
      <c r="S1326">
        <f t="shared" si="101"/>
        <v>1</v>
      </c>
      <c r="T1326">
        <f t="shared" si="102"/>
        <v>0</v>
      </c>
      <c r="U1326">
        <f t="shared" si="103"/>
        <v>0</v>
      </c>
      <c r="V1326">
        <f t="shared" si="104"/>
        <v>0</v>
      </c>
    </row>
    <row r="1327" spans="1:22" x14ac:dyDescent="0.25">
      <c r="A1327">
        <v>1324</v>
      </c>
      <c r="B1327" t="s">
        <v>16</v>
      </c>
      <c r="C1327" t="s">
        <v>523</v>
      </c>
      <c r="D1327" s="4">
        <v>45703</v>
      </c>
      <c r="E1327" t="s">
        <v>820</v>
      </c>
      <c r="F1327" t="s">
        <v>75</v>
      </c>
      <c r="I1327" s="6">
        <v>0</v>
      </c>
      <c r="J1327" s="6">
        <v>0</v>
      </c>
      <c r="K1327" s="6">
        <v>0</v>
      </c>
      <c r="L1327" s="6">
        <v>1</v>
      </c>
      <c r="M1327" s="6">
        <v>1</v>
      </c>
      <c r="N1327" s="6">
        <v>0</v>
      </c>
      <c r="O1327" s="6">
        <v>0</v>
      </c>
      <c r="P1327" s="6">
        <v>1</v>
      </c>
      <c r="Q1327">
        <v>1</v>
      </c>
      <c r="R1327">
        <f t="shared" si="100"/>
        <v>0</v>
      </c>
      <c r="S1327">
        <f t="shared" si="101"/>
        <v>1</v>
      </c>
      <c r="T1327">
        <f t="shared" si="102"/>
        <v>3</v>
      </c>
      <c r="U1327">
        <f t="shared" si="103"/>
        <v>1</v>
      </c>
      <c r="V1327">
        <f t="shared" si="104"/>
        <v>0</v>
      </c>
    </row>
    <row r="1328" spans="1:22" x14ac:dyDescent="0.25">
      <c r="A1328">
        <v>1325</v>
      </c>
      <c r="B1328" t="s">
        <v>16</v>
      </c>
      <c r="C1328" t="s">
        <v>523</v>
      </c>
      <c r="D1328" s="4">
        <v>45703</v>
      </c>
      <c r="E1328" t="s">
        <v>136</v>
      </c>
      <c r="F1328" t="s">
        <v>75</v>
      </c>
      <c r="I1328" s="6">
        <v>0</v>
      </c>
      <c r="J1328" s="6">
        <v>0</v>
      </c>
      <c r="K1328" s="6">
        <v>0</v>
      </c>
      <c r="L1328" s="6">
        <v>1</v>
      </c>
      <c r="M1328" s="6">
        <v>0</v>
      </c>
      <c r="N1328" s="6">
        <v>0</v>
      </c>
      <c r="O1328" s="6">
        <v>0</v>
      </c>
      <c r="P1328" s="6">
        <v>0</v>
      </c>
      <c r="Q1328">
        <v>1</v>
      </c>
      <c r="R1328">
        <f t="shared" si="100"/>
        <v>0</v>
      </c>
      <c r="S1328">
        <f t="shared" si="101"/>
        <v>1</v>
      </c>
      <c r="T1328">
        <f t="shared" si="102"/>
        <v>1</v>
      </c>
      <c r="U1328">
        <f t="shared" si="103"/>
        <v>1</v>
      </c>
      <c r="V1328">
        <f t="shared" si="104"/>
        <v>0</v>
      </c>
    </row>
    <row r="1329" spans="1:22" x14ac:dyDescent="0.25">
      <c r="A1329">
        <v>1326</v>
      </c>
      <c r="B1329" t="s">
        <v>16</v>
      </c>
      <c r="C1329" t="s">
        <v>523</v>
      </c>
      <c r="D1329" s="4">
        <v>45704</v>
      </c>
      <c r="E1329" t="s">
        <v>137</v>
      </c>
      <c r="F1329" t="s">
        <v>75</v>
      </c>
      <c r="I1329" s="6">
        <v>0</v>
      </c>
      <c r="J1329" s="6">
        <v>0</v>
      </c>
      <c r="K1329" s="6">
        <v>1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>
        <v>1</v>
      </c>
      <c r="R1329">
        <f t="shared" si="100"/>
        <v>0</v>
      </c>
      <c r="S1329">
        <f t="shared" si="101"/>
        <v>1</v>
      </c>
      <c r="T1329">
        <f t="shared" si="102"/>
        <v>1</v>
      </c>
      <c r="U1329">
        <f t="shared" si="103"/>
        <v>1</v>
      </c>
      <c r="V1329">
        <f t="shared" si="104"/>
        <v>0</v>
      </c>
    </row>
    <row r="1330" spans="1:22" x14ac:dyDescent="0.25">
      <c r="A1330">
        <v>1327</v>
      </c>
      <c r="B1330" t="s">
        <v>16</v>
      </c>
      <c r="C1330" t="s">
        <v>523</v>
      </c>
      <c r="D1330" s="4">
        <v>45704</v>
      </c>
      <c r="E1330" t="s">
        <v>821</v>
      </c>
      <c r="F1330" t="s">
        <v>75</v>
      </c>
      <c r="I1330" s="6">
        <v>1</v>
      </c>
      <c r="J1330" s="6">
        <v>0</v>
      </c>
      <c r="K1330" s="6">
        <v>1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>
        <v>1</v>
      </c>
      <c r="R1330">
        <f t="shared" si="100"/>
        <v>0</v>
      </c>
      <c r="S1330">
        <f t="shared" si="101"/>
        <v>1</v>
      </c>
      <c r="T1330">
        <f t="shared" si="102"/>
        <v>2</v>
      </c>
      <c r="U1330">
        <f t="shared" si="103"/>
        <v>1</v>
      </c>
      <c r="V1330">
        <f t="shared" si="104"/>
        <v>0</v>
      </c>
    </row>
    <row r="1331" spans="1:22" x14ac:dyDescent="0.25">
      <c r="A1331">
        <v>1328</v>
      </c>
      <c r="B1331" t="s">
        <v>16</v>
      </c>
      <c r="C1331" t="s">
        <v>523</v>
      </c>
      <c r="D1331" s="4">
        <v>45704</v>
      </c>
      <c r="E1331" t="s">
        <v>2736</v>
      </c>
      <c r="F1331" t="s">
        <v>75</v>
      </c>
      <c r="I1331" s="6">
        <v>0</v>
      </c>
      <c r="J1331" s="6">
        <v>0</v>
      </c>
      <c r="K1331" s="6">
        <v>0</v>
      </c>
      <c r="L1331" s="6">
        <v>1</v>
      </c>
      <c r="M1331" s="6">
        <v>0</v>
      </c>
      <c r="N1331" s="6">
        <v>0</v>
      </c>
      <c r="O1331" s="6">
        <v>0</v>
      </c>
      <c r="P1331" s="6">
        <v>0</v>
      </c>
      <c r="Q1331">
        <v>1</v>
      </c>
      <c r="R1331">
        <f t="shared" si="100"/>
        <v>0</v>
      </c>
      <c r="S1331">
        <f t="shared" si="101"/>
        <v>1</v>
      </c>
      <c r="T1331">
        <f t="shared" si="102"/>
        <v>1</v>
      </c>
      <c r="U1331">
        <f t="shared" si="103"/>
        <v>1</v>
      </c>
      <c r="V1331">
        <f t="shared" si="104"/>
        <v>0</v>
      </c>
    </row>
    <row r="1332" spans="1:22" x14ac:dyDescent="0.25">
      <c r="A1332">
        <v>1329</v>
      </c>
      <c r="B1332" t="s">
        <v>16</v>
      </c>
      <c r="C1332" t="s">
        <v>523</v>
      </c>
      <c r="D1332" s="4">
        <v>45705</v>
      </c>
      <c r="E1332" t="s">
        <v>822</v>
      </c>
      <c r="F1332" t="s">
        <v>75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>
        <v>1</v>
      </c>
      <c r="R1332">
        <f t="shared" si="100"/>
        <v>0</v>
      </c>
      <c r="S1332">
        <f t="shared" si="101"/>
        <v>1</v>
      </c>
      <c r="T1332">
        <f t="shared" si="102"/>
        <v>0</v>
      </c>
      <c r="U1332">
        <f t="shared" si="103"/>
        <v>0</v>
      </c>
      <c r="V1332">
        <f t="shared" si="104"/>
        <v>0</v>
      </c>
    </row>
    <row r="1333" spans="1:22" x14ac:dyDescent="0.25">
      <c r="A1333">
        <v>1330</v>
      </c>
      <c r="B1333" t="s">
        <v>16</v>
      </c>
      <c r="C1333" t="s">
        <v>523</v>
      </c>
      <c r="D1333" s="4">
        <v>45705</v>
      </c>
      <c r="E1333" t="s">
        <v>823</v>
      </c>
      <c r="F1333" t="s">
        <v>75</v>
      </c>
      <c r="I1333" s="6">
        <v>1</v>
      </c>
      <c r="J1333" s="6">
        <v>0</v>
      </c>
      <c r="K1333" s="6">
        <v>1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>
        <v>1</v>
      </c>
      <c r="R1333">
        <f t="shared" si="100"/>
        <v>0</v>
      </c>
      <c r="S1333">
        <f t="shared" si="101"/>
        <v>1</v>
      </c>
      <c r="T1333">
        <f t="shared" si="102"/>
        <v>2</v>
      </c>
      <c r="U1333">
        <f t="shared" si="103"/>
        <v>1</v>
      </c>
      <c r="V1333">
        <f t="shared" si="104"/>
        <v>0</v>
      </c>
    </row>
    <row r="1334" spans="1:22" x14ac:dyDescent="0.25">
      <c r="A1334">
        <v>1331</v>
      </c>
      <c r="B1334" t="s">
        <v>16</v>
      </c>
      <c r="C1334" t="s">
        <v>523</v>
      </c>
      <c r="D1334" s="4">
        <v>45705</v>
      </c>
      <c r="E1334" t="s">
        <v>824</v>
      </c>
      <c r="F1334" t="s">
        <v>75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1</v>
      </c>
      <c r="O1334" s="6">
        <v>0</v>
      </c>
      <c r="P1334" s="6">
        <v>0</v>
      </c>
      <c r="Q1334">
        <v>1</v>
      </c>
      <c r="R1334">
        <f t="shared" si="100"/>
        <v>0</v>
      </c>
      <c r="S1334">
        <f t="shared" si="101"/>
        <v>1</v>
      </c>
      <c r="T1334">
        <f t="shared" si="102"/>
        <v>1</v>
      </c>
      <c r="U1334">
        <f t="shared" si="103"/>
        <v>1</v>
      </c>
      <c r="V1334">
        <f t="shared" si="104"/>
        <v>0</v>
      </c>
    </row>
    <row r="1335" spans="1:22" x14ac:dyDescent="0.25">
      <c r="A1335">
        <v>1332</v>
      </c>
      <c r="B1335" t="s">
        <v>16</v>
      </c>
      <c r="C1335" t="s">
        <v>523</v>
      </c>
      <c r="D1335" s="4">
        <v>45705</v>
      </c>
      <c r="E1335" t="s">
        <v>825</v>
      </c>
      <c r="F1335" t="s">
        <v>75</v>
      </c>
      <c r="I1335" s="6">
        <v>0</v>
      </c>
      <c r="J1335" s="6">
        <v>0</v>
      </c>
      <c r="K1335" s="6">
        <v>0</v>
      </c>
      <c r="L1335" s="6">
        <v>0</v>
      </c>
      <c r="M1335" s="6">
        <v>1</v>
      </c>
      <c r="N1335" s="6">
        <v>1</v>
      </c>
      <c r="O1335" s="6">
        <v>0</v>
      </c>
      <c r="P1335" s="6">
        <v>0</v>
      </c>
      <c r="Q1335">
        <v>1</v>
      </c>
      <c r="R1335">
        <f t="shared" si="100"/>
        <v>0</v>
      </c>
      <c r="S1335">
        <f t="shared" si="101"/>
        <v>1</v>
      </c>
      <c r="T1335">
        <f t="shared" si="102"/>
        <v>2</v>
      </c>
      <c r="U1335">
        <f t="shared" si="103"/>
        <v>1</v>
      </c>
      <c r="V1335">
        <f t="shared" si="104"/>
        <v>0</v>
      </c>
    </row>
    <row r="1336" spans="1:22" x14ac:dyDescent="0.25">
      <c r="A1336">
        <v>1333</v>
      </c>
      <c r="B1336" t="s">
        <v>16</v>
      </c>
      <c r="C1336" t="s">
        <v>523</v>
      </c>
      <c r="D1336" s="4">
        <v>45705</v>
      </c>
      <c r="E1336" t="s">
        <v>826</v>
      </c>
      <c r="F1336" t="s">
        <v>75</v>
      </c>
      <c r="I1336" s="6">
        <v>1</v>
      </c>
      <c r="J1336" s="6">
        <v>0</v>
      </c>
      <c r="K1336" s="6">
        <v>1</v>
      </c>
      <c r="L1336" s="6">
        <v>0</v>
      </c>
      <c r="M1336" s="6">
        <v>1</v>
      </c>
      <c r="N1336" s="6">
        <v>1</v>
      </c>
      <c r="O1336" s="6">
        <v>0</v>
      </c>
      <c r="P1336" s="6">
        <v>0</v>
      </c>
      <c r="Q1336">
        <v>1</v>
      </c>
      <c r="R1336">
        <f t="shared" si="100"/>
        <v>0</v>
      </c>
      <c r="S1336">
        <f t="shared" si="101"/>
        <v>1</v>
      </c>
      <c r="T1336">
        <f t="shared" si="102"/>
        <v>4</v>
      </c>
      <c r="U1336">
        <f t="shared" si="103"/>
        <v>1</v>
      </c>
      <c r="V1336">
        <f t="shared" si="104"/>
        <v>0</v>
      </c>
    </row>
    <row r="1337" spans="1:22" x14ac:dyDescent="0.25">
      <c r="A1337">
        <v>1334</v>
      </c>
      <c r="B1337" t="s">
        <v>16</v>
      </c>
      <c r="C1337" t="s">
        <v>523</v>
      </c>
      <c r="D1337" s="4">
        <v>45705</v>
      </c>
      <c r="E1337" t="s">
        <v>140</v>
      </c>
      <c r="F1337" t="s">
        <v>75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>
        <v>1</v>
      </c>
      <c r="R1337">
        <f t="shared" si="100"/>
        <v>0</v>
      </c>
      <c r="S1337">
        <f t="shared" si="101"/>
        <v>1</v>
      </c>
      <c r="T1337">
        <f t="shared" si="102"/>
        <v>0</v>
      </c>
      <c r="U1337">
        <f t="shared" si="103"/>
        <v>0</v>
      </c>
      <c r="V1337">
        <f t="shared" si="104"/>
        <v>0</v>
      </c>
    </row>
    <row r="1338" spans="1:22" x14ac:dyDescent="0.25">
      <c r="A1338">
        <v>1335</v>
      </c>
      <c r="B1338" t="s">
        <v>16</v>
      </c>
      <c r="C1338" t="s">
        <v>523</v>
      </c>
      <c r="D1338" s="4">
        <v>45705</v>
      </c>
      <c r="E1338" t="s">
        <v>827</v>
      </c>
      <c r="F1338" t="s">
        <v>75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>
        <v>1</v>
      </c>
      <c r="R1338">
        <f t="shared" si="100"/>
        <v>0</v>
      </c>
      <c r="S1338">
        <f t="shared" si="101"/>
        <v>1</v>
      </c>
      <c r="T1338">
        <f t="shared" si="102"/>
        <v>0</v>
      </c>
      <c r="U1338">
        <f t="shared" si="103"/>
        <v>0</v>
      </c>
      <c r="V1338">
        <f t="shared" si="104"/>
        <v>0</v>
      </c>
    </row>
    <row r="1339" spans="1:22" x14ac:dyDescent="0.25">
      <c r="A1339">
        <v>1336</v>
      </c>
      <c r="B1339" t="s">
        <v>16</v>
      </c>
      <c r="C1339" t="s">
        <v>523</v>
      </c>
      <c r="D1339" s="4">
        <v>45706</v>
      </c>
      <c r="E1339" t="s">
        <v>689</v>
      </c>
      <c r="F1339" t="s">
        <v>75</v>
      </c>
      <c r="I1339" s="6">
        <v>1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>
        <v>1</v>
      </c>
      <c r="R1339">
        <f t="shared" si="100"/>
        <v>0</v>
      </c>
      <c r="S1339">
        <f t="shared" si="101"/>
        <v>1</v>
      </c>
      <c r="T1339">
        <f t="shared" si="102"/>
        <v>1</v>
      </c>
      <c r="U1339">
        <f t="shared" si="103"/>
        <v>1</v>
      </c>
      <c r="V1339">
        <f t="shared" si="104"/>
        <v>0</v>
      </c>
    </row>
    <row r="1340" spans="1:22" x14ac:dyDescent="0.25">
      <c r="A1340">
        <v>1337</v>
      </c>
      <c r="B1340" t="s">
        <v>16</v>
      </c>
      <c r="C1340" t="s">
        <v>523</v>
      </c>
      <c r="D1340" s="4">
        <v>45706</v>
      </c>
      <c r="E1340" t="s">
        <v>141</v>
      </c>
      <c r="F1340" t="s">
        <v>75</v>
      </c>
      <c r="I1340" s="6">
        <v>0</v>
      </c>
      <c r="J1340" s="6">
        <v>0</v>
      </c>
      <c r="K1340" s="6">
        <v>0</v>
      </c>
      <c r="L1340" s="6">
        <v>1</v>
      </c>
      <c r="M1340" s="6">
        <v>0</v>
      </c>
      <c r="N1340" s="6">
        <v>0</v>
      </c>
      <c r="O1340" s="6">
        <v>0</v>
      </c>
      <c r="P1340" s="6">
        <v>0</v>
      </c>
      <c r="Q1340">
        <v>1</v>
      </c>
      <c r="R1340">
        <f t="shared" si="100"/>
        <v>0</v>
      </c>
      <c r="S1340">
        <f t="shared" si="101"/>
        <v>1</v>
      </c>
      <c r="T1340">
        <f t="shared" si="102"/>
        <v>1</v>
      </c>
      <c r="U1340">
        <f t="shared" si="103"/>
        <v>1</v>
      </c>
      <c r="V1340">
        <f t="shared" si="104"/>
        <v>0</v>
      </c>
    </row>
    <row r="1341" spans="1:22" x14ac:dyDescent="0.25">
      <c r="A1341">
        <v>1338</v>
      </c>
      <c r="B1341" t="s">
        <v>16</v>
      </c>
      <c r="C1341" t="s">
        <v>523</v>
      </c>
      <c r="D1341" s="4">
        <v>45706</v>
      </c>
      <c r="E1341" t="s">
        <v>690</v>
      </c>
      <c r="F1341" t="s">
        <v>75</v>
      </c>
      <c r="I1341" s="6">
        <v>1</v>
      </c>
      <c r="J1341" s="6">
        <v>0</v>
      </c>
      <c r="K1341" s="6">
        <v>1</v>
      </c>
      <c r="L1341" s="6">
        <v>0</v>
      </c>
      <c r="M1341" s="6">
        <v>0</v>
      </c>
      <c r="N1341" s="6">
        <v>0</v>
      </c>
      <c r="O1341" s="6">
        <v>1</v>
      </c>
      <c r="P1341" s="6">
        <v>0</v>
      </c>
      <c r="Q1341">
        <v>1</v>
      </c>
      <c r="R1341">
        <f t="shared" si="100"/>
        <v>0</v>
      </c>
      <c r="S1341">
        <f t="shared" si="101"/>
        <v>1</v>
      </c>
      <c r="T1341">
        <f t="shared" si="102"/>
        <v>3</v>
      </c>
      <c r="U1341">
        <f t="shared" si="103"/>
        <v>1</v>
      </c>
      <c r="V1341">
        <f t="shared" si="104"/>
        <v>0</v>
      </c>
    </row>
    <row r="1342" spans="1:22" x14ac:dyDescent="0.25">
      <c r="A1342">
        <v>1339</v>
      </c>
      <c r="B1342" t="s">
        <v>16</v>
      </c>
      <c r="C1342" t="s">
        <v>523</v>
      </c>
      <c r="D1342" s="4">
        <v>45706</v>
      </c>
      <c r="E1342" t="s">
        <v>691</v>
      </c>
      <c r="F1342" t="s">
        <v>75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>
        <v>1</v>
      </c>
      <c r="R1342">
        <f t="shared" si="100"/>
        <v>0</v>
      </c>
      <c r="S1342">
        <f t="shared" si="101"/>
        <v>1</v>
      </c>
      <c r="T1342">
        <f t="shared" si="102"/>
        <v>0</v>
      </c>
      <c r="U1342">
        <f t="shared" si="103"/>
        <v>0</v>
      </c>
      <c r="V1342">
        <f t="shared" si="104"/>
        <v>0</v>
      </c>
    </row>
    <row r="1343" spans="1:22" x14ac:dyDescent="0.25">
      <c r="A1343">
        <v>1340</v>
      </c>
      <c r="B1343" t="s">
        <v>16</v>
      </c>
      <c r="C1343" t="s">
        <v>523</v>
      </c>
      <c r="D1343" s="4">
        <v>45706</v>
      </c>
      <c r="E1343" t="s">
        <v>2735</v>
      </c>
      <c r="F1343" t="s">
        <v>75</v>
      </c>
      <c r="I1343" s="6">
        <v>0</v>
      </c>
      <c r="J1343" s="6">
        <v>0</v>
      </c>
      <c r="K1343" s="6">
        <v>0</v>
      </c>
      <c r="L1343" s="6">
        <v>0</v>
      </c>
      <c r="M1343" s="6">
        <v>1</v>
      </c>
      <c r="N1343" s="6">
        <v>0</v>
      </c>
      <c r="O1343" s="6">
        <v>0</v>
      </c>
      <c r="P1343" s="6">
        <v>0</v>
      </c>
      <c r="Q1343">
        <v>1</v>
      </c>
      <c r="R1343">
        <f t="shared" si="100"/>
        <v>0</v>
      </c>
      <c r="S1343">
        <f t="shared" si="101"/>
        <v>1</v>
      </c>
      <c r="T1343">
        <f t="shared" si="102"/>
        <v>1</v>
      </c>
      <c r="U1343">
        <f t="shared" si="103"/>
        <v>1</v>
      </c>
      <c r="V1343">
        <f t="shared" si="104"/>
        <v>0</v>
      </c>
    </row>
    <row r="1344" spans="1:22" x14ac:dyDescent="0.25">
      <c r="A1344">
        <v>1341</v>
      </c>
      <c r="B1344" t="s">
        <v>16</v>
      </c>
      <c r="C1344" t="s">
        <v>523</v>
      </c>
      <c r="D1344" s="4">
        <v>45707</v>
      </c>
      <c r="E1344" t="s">
        <v>693</v>
      </c>
      <c r="F1344" t="s">
        <v>75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>
        <v>1</v>
      </c>
      <c r="R1344">
        <f t="shared" si="100"/>
        <v>0</v>
      </c>
      <c r="S1344">
        <f t="shared" si="101"/>
        <v>1</v>
      </c>
      <c r="T1344">
        <f t="shared" si="102"/>
        <v>0</v>
      </c>
      <c r="U1344">
        <f t="shared" si="103"/>
        <v>0</v>
      </c>
      <c r="V1344">
        <f t="shared" si="104"/>
        <v>0</v>
      </c>
    </row>
    <row r="1345" spans="1:22" x14ac:dyDescent="0.25">
      <c r="A1345">
        <v>1342</v>
      </c>
      <c r="B1345" t="s">
        <v>16</v>
      </c>
      <c r="C1345" t="s">
        <v>523</v>
      </c>
      <c r="D1345" s="4">
        <v>45707</v>
      </c>
      <c r="E1345" t="s">
        <v>143</v>
      </c>
      <c r="F1345" t="s">
        <v>75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>
        <v>1</v>
      </c>
      <c r="R1345">
        <f t="shared" si="100"/>
        <v>0</v>
      </c>
      <c r="S1345">
        <f t="shared" si="101"/>
        <v>1</v>
      </c>
      <c r="T1345">
        <f t="shared" si="102"/>
        <v>0</v>
      </c>
      <c r="U1345">
        <f t="shared" si="103"/>
        <v>0</v>
      </c>
      <c r="V1345">
        <f t="shared" si="104"/>
        <v>0</v>
      </c>
    </row>
    <row r="1346" spans="1:22" x14ac:dyDescent="0.25">
      <c r="A1346">
        <v>1343</v>
      </c>
      <c r="B1346" t="s">
        <v>16</v>
      </c>
      <c r="C1346" t="s">
        <v>523</v>
      </c>
      <c r="D1346" s="4">
        <v>45707</v>
      </c>
      <c r="E1346" t="s">
        <v>828</v>
      </c>
      <c r="F1346" t="s">
        <v>75</v>
      </c>
      <c r="I1346" s="6">
        <v>1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>
        <v>1</v>
      </c>
      <c r="R1346">
        <f t="shared" si="100"/>
        <v>0</v>
      </c>
      <c r="S1346">
        <f t="shared" si="101"/>
        <v>1</v>
      </c>
      <c r="T1346">
        <f t="shared" si="102"/>
        <v>1</v>
      </c>
      <c r="U1346">
        <f t="shared" si="103"/>
        <v>1</v>
      </c>
      <c r="V1346">
        <f t="shared" si="104"/>
        <v>0</v>
      </c>
    </row>
    <row r="1347" spans="1:22" x14ac:dyDescent="0.25">
      <c r="A1347">
        <v>1344</v>
      </c>
      <c r="B1347" t="s">
        <v>16</v>
      </c>
      <c r="C1347" t="s">
        <v>523</v>
      </c>
      <c r="D1347" s="4">
        <v>45707</v>
      </c>
      <c r="E1347" t="s">
        <v>829</v>
      </c>
      <c r="F1347" t="s">
        <v>75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>
        <v>1</v>
      </c>
      <c r="R1347">
        <f t="shared" ref="R1347:R1410" si="105">IF(AND(Q1347=1,F1347="ai_full"),1,0)</f>
        <v>0</v>
      </c>
      <c r="S1347">
        <f t="shared" ref="S1347:S1410" si="106">IF(AND(Q1347=1,F1347="conventional"),1,0)</f>
        <v>1</v>
      </c>
      <c r="T1347">
        <f t="shared" ref="T1347:T1410" si="107">SUM(I1347:P1347)</f>
        <v>0</v>
      </c>
      <c r="U1347">
        <f t="shared" ref="U1347:U1410" si="108">IF(T1347&gt;=1,1,0)</f>
        <v>0</v>
      </c>
      <c r="V1347">
        <f t="shared" ref="V1347:V1410" si="109">IF(F1347="ai_full",1,0)</f>
        <v>0</v>
      </c>
    </row>
    <row r="1348" spans="1:22" x14ac:dyDescent="0.25">
      <c r="A1348">
        <v>1345</v>
      </c>
      <c r="B1348" t="s">
        <v>16</v>
      </c>
      <c r="C1348" t="s">
        <v>523</v>
      </c>
      <c r="D1348" s="4">
        <v>45707</v>
      </c>
      <c r="E1348" t="s">
        <v>2734</v>
      </c>
      <c r="F1348" t="s">
        <v>75</v>
      </c>
      <c r="I1348" s="6">
        <v>0</v>
      </c>
      <c r="J1348" s="6">
        <v>0</v>
      </c>
      <c r="K1348" s="6">
        <v>1</v>
      </c>
      <c r="L1348" s="6">
        <v>0</v>
      </c>
      <c r="M1348" s="6">
        <v>1</v>
      </c>
      <c r="N1348" s="6">
        <v>0</v>
      </c>
      <c r="O1348" s="6">
        <v>0</v>
      </c>
      <c r="P1348" s="6">
        <v>0</v>
      </c>
      <c r="Q1348">
        <v>1</v>
      </c>
      <c r="R1348">
        <f t="shared" si="105"/>
        <v>0</v>
      </c>
      <c r="S1348">
        <f t="shared" si="106"/>
        <v>1</v>
      </c>
      <c r="T1348">
        <f t="shared" si="107"/>
        <v>2</v>
      </c>
      <c r="U1348">
        <f t="shared" si="108"/>
        <v>1</v>
      </c>
      <c r="V1348">
        <f t="shared" si="109"/>
        <v>0</v>
      </c>
    </row>
    <row r="1349" spans="1:22" x14ac:dyDescent="0.25">
      <c r="A1349">
        <v>1346</v>
      </c>
      <c r="B1349" t="s">
        <v>16</v>
      </c>
      <c r="C1349" t="s">
        <v>523</v>
      </c>
      <c r="D1349" s="4">
        <v>45707</v>
      </c>
      <c r="E1349" t="s">
        <v>830</v>
      </c>
      <c r="F1349" t="s">
        <v>75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>
        <v>1</v>
      </c>
      <c r="R1349">
        <f t="shared" si="105"/>
        <v>0</v>
      </c>
      <c r="S1349">
        <f t="shared" si="106"/>
        <v>1</v>
      </c>
      <c r="T1349">
        <f t="shared" si="107"/>
        <v>0</v>
      </c>
      <c r="U1349">
        <f t="shared" si="108"/>
        <v>0</v>
      </c>
      <c r="V1349">
        <f t="shared" si="109"/>
        <v>0</v>
      </c>
    </row>
    <row r="1350" spans="1:22" x14ac:dyDescent="0.25">
      <c r="A1350">
        <v>1347</v>
      </c>
      <c r="B1350" t="s">
        <v>16</v>
      </c>
      <c r="C1350" t="s">
        <v>523</v>
      </c>
      <c r="D1350" s="4">
        <v>45708</v>
      </c>
      <c r="E1350" t="s">
        <v>236</v>
      </c>
      <c r="F1350" t="s">
        <v>75</v>
      </c>
      <c r="I1350" s="6">
        <v>0</v>
      </c>
      <c r="J1350" s="6">
        <v>0</v>
      </c>
      <c r="K1350" s="6">
        <v>0</v>
      </c>
      <c r="L1350" s="6">
        <v>0</v>
      </c>
      <c r="M1350" s="6">
        <v>1</v>
      </c>
      <c r="N1350" s="6">
        <v>0</v>
      </c>
      <c r="O1350" s="6">
        <v>1</v>
      </c>
      <c r="P1350" s="6">
        <v>0</v>
      </c>
      <c r="Q1350">
        <v>1</v>
      </c>
      <c r="R1350">
        <f t="shared" si="105"/>
        <v>0</v>
      </c>
      <c r="S1350">
        <f t="shared" si="106"/>
        <v>1</v>
      </c>
      <c r="T1350">
        <f t="shared" si="107"/>
        <v>2</v>
      </c>
      <c r="U1350">
        <f t="shared" si="108"/>
        <v>1</v>
      </c>
      <c r="V1350">
        <f t="shared" si="109"/>
        <v>0</v>
      </c>
    </row>
    <row r="1351" spans="1:22" x14ac:dyDescent="0.25">
      <c r="A1351">
        <v>1348</v>
      </c>
      <c r="B1351" t="s">
        <v>16</v>
      </c>
      <c r="C1351" t="s">
        <v>523</v>
      </c>
      <c r="D1351" s="4">
        <v>45708</v>
      </c>
      <c r="E1351" t="s">
        <v>144</v>
      </c>
      <c r="F1351" t="s">
        <v>75</v>
      </c>
      <c r="I1351" s="6">
        <v>1</v>
      </c>
      <c r="J1351" s="6">
        <v>0</v>
      </c>
      <c r="K1351" s="6">
        <v>1</v>
      </c>
      <c r="L1351" s="6">
        <v>0</v>
      </c>
      <c r="M1351" s="6">
        <v>1</v>
      </c>
      <c r="N1351" s="6">
        <v>1</v>
      </c>
      <c r="O1351" s="6">
        <v>1</v>
      </c>
      <c r="P1351" s="6">
        <v>1</v>
      </c>
      <c r="Q1351">
        <v>1</v>
      </c>
      <c r="R1351">
        <f t="shared" si="105"/>
        <v>0</v>
      </c>
      <c r="S1351">
        <f t="shared" si="106"/>
        <v>1</v>
      </c>
      <c r="T1351">
        <f t="shared" si="107"/>
        <v>6</v>
      </c>
      <c r="U1351">
        <f t="shared" si="108"/>
        <v>1</v>
      </c>
      <c r="V1351">
        <f t="shared" si="109"/>
        <v>0</v>
      </c>
    </row>
    <row r="1352" spans="1:22" x14ac:dyDescent="0.25">
      <c r="A1352">
        <v>1349</v>
      </c>
      <c r="B1352" t="s">
        <v>16</v>
      </c>
      <c r="C1352" t="s">
        <v>523</v>
      </c>
      <c r="D1352" s="4">
        <v>45708</v>
      </c>
      <c r="E1352" t="s">
        <v>831</v>
      </c>
      <c r="F1352" t="s">
        <v>75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>
        <v>1</v>
      </c>
      <c r="R1352">
        <f t="shared" si="105"/>
        <v>0</v>
      </c>
      <c r="S1352">
        <f t="shared" si="106"/>
        <v>1</v>
      </c>
      <c r="T1352">
        <f t="shared" si="107"/>
        <v>0</v>
      </c>
      <c r="U1352">
        <f t="shared" si="108"/>
        <v>0</v>
      </c>
      <c r="V1352">
        <f t="shared" si="109"/>
        <v>0</v>
      </c>
    </row>
    <row r="1353" spans="1:22" x14ac:dyDescent="0.25">
      <c r="A1353">
        <v>1350</v>
      </c>
      <c r="B1353" t="s">
        <v>16</v>
      </c>
      <c r="C1353" t="s">
        <v>523</v>
      </c>
      <c r="D1353" s="4">
        <v>45709</v>
      </c>
      <c r="E1353" t="s">
        <v>145</v>
      </c>
      <c r="F1353" t="s">
        <v>75</v>
      </c>
      <c r="I1353" s="6">
        <v>0</v>
      </c>
      <c r="J1353" s="6">
        <v>0</v>
      </c>
      <c r="K1353" s="6">
        <v>0</v>
      </c>
      <c r="L1353" s="6">
        <v>0</v>
      </c>
      <c r="M1353" s="6">
        <v>1</v>
      </c>
      <c r="N1353" s="6">
        <v>0</v>
      </c>
      <c r="O1353" s="6">
        <v>1</v>
      </c>
      <c r="P1353" s="6">
        <v>0</v>
      </c>
      <c r="Q1353">
        <v>1</v>
      </c>
      <c r="R1353">
        <f t="shared" si="105"/>
        <v>0</v>
      </c>
      <c r="S1353">
        <f t="shared" si="106"/>
        <v>1</v>
      </c>
      <c r="T1353">
        <f t="shared" si="107"/>
        <v>2</v>
      </c>
      <c r="U1353">
        <f t="shared" si="108"/>
        <v>1</v>
      </c>
      <c r="V1353">
        <f t="shared" si="109"/>
        <v>0</v>
      </c>
    </row>
    <row r="1354" spans="1:22" x14ac:dyDescent="0.25">
      <c r="A1354">
        <v>1351</v>
      </c>
      <c r="B1354" t="s">
        <v>16</v>
      </c>
      <c r="C1354" t="s">
        <v>523</v>
      </c>
      <c r="D1354" s="4">
        <v>45709</v>
      </c>
      <c r="E1354" t="s">
        <v>694</v>
      </c>
      <c r="F1354" t="s">
        <v>75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>
        <v>1</v>
      </c>
      <c r="R1354">
        <f t="shared" si="105"/>
        <v>0</v>
      </c>
      <c r="S1354">
        <f t="shared" si="106"/>
        <v>1</v>
      </c>
      <c r="T1354">
        <f t="shared" si="107"/>
        <v>0</v>
      </c>
      <c r="U1354">
        <f t="shared" si="108"/>
        <v>0</v>
      </c>
      <c r="V1354">
        <f t="shared" si="109"/>
        <v>0</v>
      </c>
    </row>
    <row r="1355" spans="1:22" x14ac:dyDescent="0.25">
      <c r="A1355">
        <v>1352</v>
      </c>
      <c r="B1355" t="s">
        <v>16</v>
      </c>
      <c r="C1355" t="s">
        <v>523</v>
      </c>
      <c r="D1355" s="4">
        <v>45709</v>
      </c>
      <c r="E1355" t="s">
        <v>696</v>
      </c>
      <c r="F1355" t="s">
        <v>75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1</v>
      </c>
      <c r="Q1355">
        <v>1</v>
      </c>
      <c r="R1355">
        <f t="shared" si="105"/>
        <v>0</v>
      </c>
      <c r="S1355">
        <f t="shared" si="106"/>
        <v>1</v>
      </c>
      <c r="T1355">
        <f t="shared" si="107"/>
        <v>1</v>
      </c>
      <c r="U1355">
        <f t="shared" si="108"/>
        <v>1</v>
      </c>
      <c r="V1355">
        <f t="shared" si="109"/>
        <v>0</v>
      </c>
    </row>
    <row r="1356" spans="1:22" x14ac:dyDescent="0.25">
      <c r="A1356">
        <v>1353</v>
      </c>
      <c r="B1356" t="s">
        <v>16</v>
      </c>
      <c r="C1356" t="s">
        <v>523</v>
      </c>
      <c r="D1356" s="4">
        <v>45709</v>
      </c>
      <c r="E1356" t="s">
        <v>697</v>
      </c>
      <c r="F1356" t="s">
        <v>75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1</v>
      </c>
      <c r="Q1356">
        <v>1</v>
      </c>
      <c r="R1356">
        <f t="shared" si="105"/>
        <v>0</v>
      </c>
      <c r="S1356">
        <f t="shared" si="106"/>
        <v>1</v>
      </c>
      <c r="T1356">
        <f t="shared" si="107"/>
        <v>1</v>
      </c>
      <c r="U1356">
        <f t="shared" si="108"/>
        <v>1</v>
      </c>
      <c r="V1356">
        <f t="shared" si="109"/>
        <v>0</v>
      </c>
    </row>
    <row r="1357" spans="1:22" x14ac:dyDescent="0.25">
      <c r="A1357">
        <v>1354</v>
      </c>
      <c r="B1357" t="s">
        <v>16</v>
      </c>
      <c r="C1357" t="s">
        <v>523</v>
      </c>
      <c r="D1357" s="4">
        <v>45709</v>
      </c>
      <c r="E1357" t="s">
        <v>2733</v>
      </c>
      <c r="F1357" t="s">
        <v>75</v>
      </c>
      <c r="I1357" s="6">
        <v>1</v>
      </c>
      <c r="J1357" s="6">
        <v>0</v>
      </c>
      <c r="K1357" s="6">
        <v>0</v>
      </c>
      <c r="L1357" s="6">
        <v>0</v>
      </c>
      <c r="M1357" s="6">
        <v>1</v>
      </c>
      <c r="N1357" s="6">
        <v>0</v>
      </c>
      <c r="O1357" s="6">
        <v>0</v>
      </c>
      <c r="P1357" s="6">
        <v>0</v>
      </c>
      <c r="Q1357">
        <v>1</v>
      </c>
      <c r="R1357">
        <f t="shared" si="105"/>
        <v>0</v>
      </c>
      <c r="S1357">
        <f t="shared" si="106"/>
        <v>1</v>
      </c>
      <c r="T1357">
        <f t="shared" si="107"/>
        <v>2</v>
      </c>
      <c r="U1357">
        <f t="shared" si="108"/>
        <v>1</v>
      </c>
      <c r="V1357">
        <f t="shared" si="109"/>
        <v>0</v>
      </c>
    </row>
    <row r="1358" spans="1:22" x14ac:dyDescent="0.25">
      <c r="A1358">
        <v>1355</v>
      </c>
      <c r="B1358" t="s">
        <v>16</v>
      </c>
      <c r="C1358" t="s">
        <v>523</v>
      </c>
      <c r="D1358" s="4">
        <v>45709</v>
      </c>
      <c r="E1358" t="s">
        <v>2732</v>
      </c>
      <c r="F1358" t="s">
        <v>75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1</v>
      </c>
      <c r="Q1358">
        <v>1</v>
      </c>
      <c r="R1358">
        <f t="shared" si="105"/>
        <v>0</v>
      </c>
      <c r="S1358">
        <f t="shared" si="106"/>
        <v>1</v>
      </c>
      <c r="T1358">
        <f t="shared" si="107"/>
        <v>1</v>
      </c>
      <c r="U1358">
        <f t="shared" si="108"/>
        <v>1</v>
      </c>
      <c r="V1358">
        <f t="shared" si="109"/>
        <v>0</v>
      </c>
    </row>
    <row r="1359" spans="1:22" x14ac:dyDescent="0.25">
      <c r="A1359">
        <v>1356</v>
      </c>
      <c r="B1359" t="s">
        <v>16</v>
      </c>
      <c r="C1359" t="s">
        <v>523</v>
      </c>
      <c r="D1359" s="4">
        <v>45709</v>
      </c>
      <c r="E1359" t="s">
        <v>832</v>
      </c>
      <c r="F1359" t="s">
        <v>413</v>
      </c>
      <c r="G1359">
        <v>87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>
        <v>1</v>
      </c>
      <c r="R1359">
        <f t="shared" si="105"/>
        <v>1</v>
      </c>
      <c r="S1359">
        <f t="shared" si="106"/>
        <v>0</v>
      </c>
      <c r="T1359">
        <f t="shared" si="107"/>
        <v>0</v>
      </c>
      <c r="U1359">
        <f t="shared" si="108"/>
        <v>0</v>
      </c>
      <c r="V1359">
        <f t="shared" si="109"/>
        <v>1</v>
      </c>
    </row>
    <row r="1360" spans="1:22" x14ac:dyDescent="0.25">
      <c r="A1360">
        <v>1357</v>
      </c>
      <c r="B1360" t="s">
        <v>16</v>
      </c>
      <c r="C1360" t="s">
        <v>523</v>
      </c>
      <c r="D1360" s="4">
        <v>45710</v>
      </c>
      <c r="E1360" t="s">
        <v>833</v>
      </c>
      <c r="F1360" t="s">
        <v>75</v>
      </c>
      <c r="I1360" s="6">
        <v>1</v>
      </c>
      <c r="J1360" s="6">
        <v>0</v>
      </c>
      <c r="K1360" s="6">
        <v>0</v>
      </c>
      <c r="L1360" s="6">
        <v>1</v>
      </c>
      <c r="M1360" s="6">
        <v>0</v>
      </c>
      <c r="N1360" s="6">
        <v>0</v>
      </c>
      <c r="O1360" s="6">
        <v>0</v>
      </c>
      <c r="P1360" s="6">
        <v>0</v>
      </c>
      <c r="Q1360">
        <v>1</v>
      </c>
      <c r="R1360">
        <f t="shared" si="105"/>
        <v>0</v>
      </c>
      <c r="S1360">
        <f t="shared" si="106"/>
        <v>1</v>
      </c>
      <c r="T1360">
        <f t="shared" si="107"/>
        <v>2</v>
      </c>
      <c r="U1360">
        <f t="shared" si="108"/>
        <v>1</v>
      </c>
      <c r="V1360">
        <f t="shared" si="109"/>
        <v>0</v>
      </c>
    </row>
    <row r="1361" spans="1:22" x14ac:dyDescent="0.25">
      <c r="A1361">
        <v>1358</v>
      </c>
      <c r="B1361" t="s">
        <v>16</v>
      </c>
      <c r="C1361" t="s">
        <v>523</v>
      </c>
      <c r="D1361" s="4">
        <v>45710</v>
      </c>
      <c r="E1361" t="s">
        <v>2731</v>
      </c>
      <c r="F1361" t="s">
        <v>75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1</v>
      </c>
      <c r="Q1361">
        <v>1</v>
      </c>
      <c r="R1361">
        <f t="shared" si="105"/>
        <v>0</v>
      </c>
      <c r="S1361">
        <f t="shared" si="106"/>
        <v>1</v>
      </c>
      <c r="T1361">
        <f t="shared" si="107"/>
        <v>1</v>
      </c>
      <c r="U1361">
        <f t="shared" si="108"/>
        <v>1</v>
      </c>
      <c r="V1361">
        <f t="shared" si="109"/>
        <v>0</v>
      </c>
    </row>
    <row r="1362" spans="1:22" x14ac:dyDescent="0.25">
      <c r="A1362">
        <v>1359</v>
      </c>
      <c r="B1362" t="s">
        <v>16</v>
      </c>
      <c r="C1362" t="s">
        <v>523</v>
      </c>
      <c r="D1362" s="4">
        <v>45710</v>
      </c>
      <c r="E1362" t="s">
        <v>834</v>
      </c>
      <c r="F1362" t="s">
        <v>75</v>
      </c>
      <c r="I1362" s="6">
        <v>0</v>
      </c>
      <c r="J1362" s="6">
        <v>0</v>
      </c>
      <c r="K1362" s="6">
        <v>1</v>
      </c>
      <c r="L1362" s="6">
        <v>1</v>
      </c>
      <c r="M1362" s="6">
        <v>1</v>
      </c>
      <c r="N1362" s="6">
        <v>0</v>
      </c>
      <c r="O1362" s="6">
        <v>0</v>
      </c>
      <c r="P1362" s="6">
        <v>0</v>
      </c>
      <c r="Q1362">
        <v>1</v>
      </c>
      <c r="R1362">
        <f t="shared" si="105"/>
        <v>0</v>
      </c>
      <c r="S1362">
        <f t="shared" si="106"/>
        <v>1</v>
      </c>
      <c r="T1362">
        <f t="shared" si="107"/>
        <v>3</v>
      </c>
      <c r="U1362">
        <f t="shared" si="108"/>
        <v>1</v>
      </c>
      <c r="V1362">
        <f t="shared" si="109"/>
        <v>0</v>
      </c>
    </row>
    <row r="1363" spans="1:22" x14ac:dyDescent="0.25">
      <c r="A1363">
        <v>1360</v>
      </c>
      <c r="B1363" t="s">
        <v>16</v>
      </c>
      <c r="C1363" t="s">
        <v>523</v>
      </c>
      <c r="D1363" s="4">
        <v>45711</v>
      </c>
      <c r="E1363" t="s">
        <v>701</v>
      </c>
      <c r="F1363" t="s">
        <v>75</v>
      </c>
      <c r="I1363" s="6">
        <v>0</v>
      </c>
      <c r="J1363" s="6">
        <v>0</v>
      </c>
      <c r="K1363" s="6">
        <v>1</v>
      </c>
      <c r="L1363" s="6">
        <v>1</v>
      </c>
      <c r="M1363" s="6">
        <v>0</v>
      </c>
      <c r="N1363" s="6">
        <v>0</v>
      </c>
      <c r="O1363" s="6">
        <v>0</v>
      </c>
      <c r="P1363" s="6">
        <v>0</v>
      </c>
      <c r="Q1363">
        <v>1</v>
      </c>
      <c r="R1363">
        <f t="shared" si="105"/>
        <v>0</v>
      </c>
      <c r="S1363">
        <f t="shared" si="106"/>
        <v>1</v>
      </c>
      <c r="T1363">
        <f t="shared" si="107"/>
        <v>2</v>
      </c>
      <c r="U1363">
        <f t="shared" si="108"/>
        <v>1</v>
      </c>
      <c r="V1363">
        <f t="shared" si="109"/>
        <v>0</v>
      </c>
    </row>
    <row r="1364" spans="1:22" x14ac:dyDescent="0.25">
      <c r="A1364">
        <v>1361</v>
      </c>
      <c r="B1364" t="s">
        <v>16</v>
      </c>
      <c r="C1364" t="s">
        <v>523</v>
      </c>
      <c r="D1364" s="4">
        <v>45711</v>
      </c>
      <c r="E1364" t="s">
        <v>702</v>
      </c>
      <c r="F1364" t="s">
        <v>75</v>
      </c>
      <c r="I1364" s="6">
        <v>1</v>
      </c>
      <c r="J1364" s="6">
        <v>0</v>
      </c>
      <c r="K1364" s="6">
        <v>1</v>
      </c>
      <c r="L1364" s="6">
        <v>0</v>
      </c>
      <c r="M1364" s="6">
        <v>1</v>
      </c>
      <c r="N1364" s="6">
        <v>0</v>
      </c>
      <c r="O1364" s="6">
        <v>0</v>
      </c>
      <c r="P1364" s="6">
        <v>0</v>
      </c>
      <c r="Q1364">
        <v>1</v>
      </c>
      <c r="R1364">
        <f t="shared" si="105"/>
        <v>0</v>
      </c>
      <c r="S1364">
        <f t="shared" si="106"/>
        <v>1</v>
      </c>
      <c r="T1364">
        <f t="shared" si="107"/>
        <v>3</v>
      </c>
      <c r="U1364">
        <f t="shared" si="108"/>
        <v>1</v>
      </c>
      <c r="V1364">
        <f t="shared" si="109"/>
        <v>0</v>
      </c>
    </row>
    <row r="1365" spans="1:22" x14ac:dyDescent="0.25">
      <c r="A1365">
        <v>1362</v>
      </c>
      <c r="B1365" t="s">
        <v>16</v>
      </c>
      <c r="C1365" t="s">
        <v>523</v>
      </c>
      <c r="D1365" s="4">
        <v>45711</v>
      </c>
      <c r="E1365" t="s">
        <v>2730</v>
      </c>
      <c r="F1365" t="s">
        <v>75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>
        <v>1</v>
      </c>
      <c r="R1365">
        <f t="shared" si="105"/>
        <v>0</v>
      </c>
      <c r="S1365">
        <f t="shared" si="106"/>
        <v>1</v>
      </c>
      <c r="T1365">
        <f t="shared" si="107"/>
        <v>0</v>
      </c>
      <c r="U1365">
        <f t="shared" si="108"/>
        <v>0</v>
      </c>
      <c r="V1365">
        <f t="shared" si="109"/>
        <v>0</v>
      </c>
    </row>
    <row r="1366" spans="1:22" x14ac:dyDescent="0.25">
      <c r="A1366">
        <v>1363</v>
      </c>
      <c r="B1366" t="s">
        <v>18</v>
      </c>
      <c r="C1366" t="s">
        <v>835</v>
      </c>
      <c r="D1366" s="4">
        <v>45330</v>
      </c>
      <c r="E1366" t="s">
        <v>836</v>
      </c>
      <c r="F1366" t="s">
        <v>75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>
        <v>1</v>
      </c>
      <c r="R1366">
        <f t="shared" si="105"/>
        <v>0</v>
      </c>
      <c r="S1366">
        <f t="shared" si="106"/>
        <v>1</v>
      </c>
      <c r="T1366">
        <f t="shared" si="107"/>
        <v>0</v>
      </c>
      <c r="U1366">
        <f t="shared" si="108"/>
        <v>0</v>
      </c>
      <c r="V1366">
        <f t="shared" si="109"/>
        <v>0</v>
      </c>
    </row>
    <row r="1367" spans="1:22" x14ac:dyDescent="0.25">
      <c r="A1367">
        <v>1364</v>
      </c>
      <c r="B1367" t="s">
        <v>18</v>
      </c>
      <c r="C1367" t="s">
        <v>835</v>
      </c>
      <c r="D1367" s="4">
        <v>45330</v>
      </c>
      <c r="E1367" t="s">
        <v>406</v>
      </c>
      <c r="F1367" t="s">
        <v>75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>
        <v>1</v>
      </c>
      <c r="R1367">
        <f t="shared" si="105"/>
        <v>0</v>
      </c>
      <c r="S1367">
        <f t="shared" si="106"/>
        <v>1</v>
      </c>
      <c r="T1367">
        <f t="shared" si="107"/>
        <v>0</v>
      </c>
      <c r="U1367">
        <f t="shared" si="108"/>
        <v>0</v>
      </c>
      <c r="V1367">
        <f t="shared" si="109"/>
        <v>0</v>
      </c>
    </row>
    <row r="1368" spans="1:22" x14ac:dyDescent="0.25">
      <c r="A1368">
        <v>1365</v>
      </c>
      <c r="B1368" t="s">
        <v>18</v>
      </c>
      <c r="C1368" t="s">
        <v>835</v>
      </c>
      <c r="D1368" s="4">
        <v>45331</v>
      </c>
      <c r="E1368" t="s">
        <v>408</v>
      </c>
      <c r="F1368" t="s">
        <v>75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1</v>
      </c>
      <c r="O1368" s="6">
        <v>0</v>
      </c>
      <c r="P1368" s="6">
        <v>0</v>
      </c>
      <c r="Q1368">
        <v>1</v>
      </c>
      <c r="R1368">
        <f t="shared" si="105"/>
        <v>0</v>
      </c>
      <c r="S1368">
        <f t="shared" si="106"/>
        <v>1</v>
      </c>
      <c r="T1368">
        <f t="shared" si="107"/>
        <v>1</v>
      </c>
      <c r="U1368">
        <f t="shared" si="108"/>
        <v>1</v>
      </c>
      <c r="V1368">
        <f t="shared" si="109"/>
        <v>0</v>
      </c>
    </row>
    <row r="1369" spans="1:22" x14ac:dyDescent="0.25">
      <c r="A1369">
        <v>1366</v>
      </c>
      <c r="B1369" t="s">
        <v>18</v>
      </c>
      <c r="C1369" t="s">
        <v>835</v>
      </c>
      <c r="D1369" s="4">
        <v>45333</v>
      </c>
      <c r="E1369" t="s">
        <v>410</v>
      </c>
      <c r="F1369" t="s">
        <v>75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>
        <v>1</v>
      </c>
      <c r="R1369">
        <f t="shared" si="105"/>
        <v>0</v>
      </c>
      <c r="S1369">
        <f t="shared" si="106"/>
        <v>1</v>
      </c>
      <c r="T1369">
        <f t="shared" si="107"/>
        <v>0</v>
      </c>
      <c r="U1369">
        <f t="shared" si="108"/>
        <v>0</v>
      </c>
      <c r="V1369">
        <f t="shared" si="109"/>
        <v>0</v>
      </c>
    </row>
    <row r="1370" spans="1:22" x14ac:dyDescent="0.25">
      <c r="A1370">
        <v>1367</v>
      </c>
      <c r="B1370" t="s">
        <v>18</v>
      </c>
      <c r="C1370" t="s">
        <v>835</v>
      </c>
      <c r="D1370" s="4">
        <v>45336</v>
      </c>
      <c r="E1370" t="s">
        <v>837</v>
      </c>
      <c r="F1370" t="s">
        <v>75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>
        <v>1</v>
      </c>
      <c r="R1370">
        <f t="shared" si="105"/>
        <v>0</v>
      </c>
      <c r="S1370">
        <f t="shared" si="106"/>
        <v>1</v>
      </c>
      <c r="T1370">
        <f t="shared" si="107"/>
        <v>0</v>
      </c>
      <c r="U1370">
        <f t="shared" si="108"/>
        <v>0</v>
      </c>
      <c r="V1370">
        <f t="shared" si="109"/>
        <v>0</v>
      </c>
    </row>
    <row r="1371" spans="1:22" x14ac:dyDescent="0.25">
      <c r="A1371">
        <v>1368</v>
      </c>
      <c r="B1371" t="s">
        <v>18</v>
      </c>
      <c r="C1371" t="s">
        <v>835</v>
      </c>
      <c r="D1371" s="4">
        <v>45337</v>
      </c>
      <c r="E1371" t="s">
        <v>838</v>
      </c>
      <c r="F1371" t="s">
        <v>75</v>
      </c>
      <c r="I1371" s="6">
        <v>0</v>
      </c>
      <c r="J1371" s="6">
        <v>0</v>
      </c>
      <c r="K1371" s="6">
        <v>1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>
        <v>1</v>
      </c>
      <c r="R1371">
        <f t="shared" si="105"/>
        <v>0</v>
      </c>
      <c r="S1371">
        <f t="shared" si="106"/>
        <v>1</v>
      </c>
      <c r="T1371">
        <f t="shared" si="107"/>
        <v>1</v>
      </c>
      <c r="U1371">
        <f t="shared" si="108"/>
        <v>1</v>
      </c>
      <c r="V1371">
        <f t="shared" si="109"/>
        <v>0</v>
      </c>
    </row>
    <row r="1372" spans="1:22" x14ac:dyDescent="0.25">
      <c r="A1372">
        <v>1369</v>
      </c>
      <c r="B1372" t="s">
        <v>18</v>
      </c>
      <c r="C1372" t="s">
        <v>835</v>
      </c>
      <c r="D1372" s="4">
        <v>45338</v>
      </c>
      <c r="E1372" t="s">
        <v>417</v>
      </c>
      <c r="F1372" t="s">
        <v>75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>
        <v>1</v>
      </c>
      <c r="R1372">
        <f t="shared" si="105"/>
        <v>0</v>
      </c>
      <c r="S1372">
        <f t="shared" si="106"/>
        <v>1</v>
      </c>
      <c r="T1372">
        <f t="shared" si="107"/>
        <v>0</v>
      </c>
      <c r="U1372">
        <f t="shared" si="108"/>
        <v>0</v>
      </c>
      <c r="V1372">
        <f t="shared" si="109"/>
        <v>0</v>
      </c>
    </row>
    <row r="1373" spans="1:22" x14ac:dyDescent="0.25">
      <c r="A1373">
        <v>1370</v>
      </c>
      <c r="B1373" t="s">
        <v>18</v>
      </c>
      <c r="C1373" t="s">
        <v>835</v>
      </c>
      <c r="D1373" s="4">
        <v>45343</v>
      </c>
      <c r="E1373" t="s">
        <v>909</v>
      </c>
      <c r="F1373" t="s">
        <v>75</v>
      </c>
      <c r="I1373" s="6">
        <v>0</v>
      </c>
      <c r="J1373" s="6">
        <v>0</v>
      </c>
      <c r="K1373" s="6">
        <v>0</v>
      </c>
      <c r="L1373" s="6">
        <v>0</v>
      </c>
      <c r="M1373" s="6">
        <v>1</v>
      </c>
      <c r="N1373" s="6">
        <v>1</v>
      </c>
      <c r="O1373" s="6">
        <v>0</v>
      </c>
      <c r="P1373" s="6">
        <v>0</v>
      </c>
      <c r="Q1373">
        <v>1</v>
      </c>
      <c r="R1373">
        <f t="shared" si="105"/>
        <v>0</v>
      </c>
      <c r="S1373">
        <f t="shared" si="106"/>
        <v>1</v>
      </c>
      <c r="T1373">
        <f t="shared" si="107"/>
        <v>2</v>
      </c>
      <c r="U1373">
        <f t="shared" si="108"/>
        <v>1</v>
      </c>
      <c r="V1373">
        <f t="shared" si="109"/>
        <v>0</v>
      </c>
    </row>
    <row r="1374" spans="1:22" x14ac:dyDescent="0.25">
      <c r="A1374">
        <v>1371</v>
      </c>
      <c r="B1374" t="s">
        <v>18</v>
      </c>
      <c r="C1374" t="s">
        <v>835</v>
      </c>
      <c r="D1374" s="4">
        <v>45348</v>
      </c>
      <c r="E1374" t="s">
        <v>839</v>
      </c>
      <c r="F1374" t="s">
        <v>75</v>
      </c>
      <c r="I1374" s="6">
        <v>0</v>
      </c>
      <c r="J1374" s="6">
        <v>0</v>
      </c>
      <c r="K1374" s="6">
        <v>1</v>
      </c>
      <c r="L1374" s="6">
        <v>0</v>
      </c>
      <c r="M1374" s="6">
        <v>1</v>
      </c>
      <c r="N1374" s="6">
        <v>0</v>
      </c>
      <c r="O1374" s="6">
        <v>0</v>
      </c>
      <c r="P1374" s="6">
        <v>0</v>
      </c>
      <c r="Q1374">
        <v>1</v>
      </c>
      <c r="R1374">
        <f t="shared" si="105"/>
        <v>0</v>
      </c>
      <c r="S1374">
        <f t="shared" si="106"/>
        <v>1</v>
      </c>
      <c r="T1374">
        <f t="shared" si="107"/>
        <v>2</v>
      </c>
      <c r="U1374">
        <f t="shared" si="108"/>
        <v>1</v>
      </c>
      <c r="V1374">
        <f t="shared" si="109"/>
        <v>0</v>
      </c>
    </row>
    <row r="1375" spans="1:22" x14ac:dyDescent="0.25">
      <c r="A1375">
        <v>1372</v>
      </c>
      <c r="B1375" t="s">
        <v>18</v>
      </c>
      <c r="C1375" t="s">
        <v>835</v>
      </c>
      <c r="D1375" s="4">
        <v>45349</v>
      </c>
      <c r="E1375" t="s">
        <v>253</v>
      </c>
      <c r="F1375" t="s">
        <v>75</v>
      </c>
      <c r="I1375" s="6">
        <v>1</v>
      </c>
      <c r="J1375" s="6">
        <v>0</v>
      </c>
      <c r="K1375" s="6">
        <v>1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>
        <v>1</v>
      </c>
      <c r="R1375">
        <f t="shared" si="105"/>
        <v>0</v>
      </c>
      <c r="S1375">
        <f t="shared" si="106"/>
        <v>1</v>
      </c>
      <c r="T1375">
        <f t="shared" si="107"/>
        <v>2</v>
      </c>
      <c r="U1375">
        <f t="shared" si="108"/>
        <v>1</v>
      </c>
      <c r="V1375">
        <f t="shared" si="109"/>
        <v>0</v>
      </c>
    </row>
    <row r="1376" spans="1:22" x14ac:dyDescent="0.25">
      <c r="A1376">
        <v>1373</v>
      </c>
      <c r="B1376" t="s">
        <v>18</v>
      </c>
      <c r="C1376" t="s">
        <v>835</v>
      </c>
      <c r="D1376" s="4">
        <v>45352</v>
      </c>
      <c r="E1376" t="s">
        <v>420</v>
      </c>
      <c r="F1376" t="s">
        <v>75</v>
      </c>
      <c r="I1376" s="6">
        <v>0</v>
      </c>
      <c r="J1376" s="6">
        <v>0</v>
      </c>
      <c r="K1376" s="6">
        <v>0</v>
      </c>
      <c r="L1376" s="6">
        <v>1</v>
      </c>
      <c r="M1376" s="6">
        <v>1</v>
      </c>
      <c r="N1376" s="6">
        <v>0</v>
      </c>
      <c r="O1376" s="6">
        <v>0</v>
      </c>
      <c r="P1376" s="6">
        <v>0</v>
      </c>
      <c r="Q1376">
        <v>1</v>
      </c>
      <c r="R1376">
        <f t="shared" si="105"/>
        <v>0</v>
      </c>
      <c r="S1376">
        <f t="shared" si="106"/>
        <v>1</v>
      </c>
      <c r="T1376">
        <f t="shared" si="107"/>
        <v>2</v>
      </c>
      <c r="U1376">
        <f t="shared" si="108"/>
        <v>1</v>
      </c>
      <c r="V1376">
        <f t="shared" si="109"/>
        <v>0</v>
      </c>
    </row>
    <row r="1377" spans="1:22" x14ac:dyDescent="0.25">
      <c r="A1377">
        <v>1374</v>
      </c>
      <c r="B1377" t="s">
        <v>18</v>
      </c>
      <c r="C1377" t="s">
        <v>835</v>
      </c>
      <c r="D1377" s="4">
        <v>45353</v>
      </c>
      <c r="E1377" t="s">
        <v>255</v>
      </c>
      <c r="F1377" t="s">
        <v>75</v>
      </c>
      <c r="I1377" s="6">
        <v>0</v>
      </c>
      <c r="J1377" s="6">
        <v>0</v>
      </c>
      <c r="K1377" s="6">
        <v>0</v>
      </c>
      <c r="L1377" s="6">
        <v>1</v>
      </c>
      <c r="M1377" s="6">
        <v>1</v>
      </c>
      <c r="N1377" s="6">
        <v>0</v>
      </c>
      <c r="O1377" s="6">
        <v>0</v>
      </c>
      <c r="P1377" s="6">
        <v>0</v>
      </c>
      <c r="Q1377">
        <v>1</v>
      </c>
      <c r="R1377">
        <f t="shared" si="105"/>
        <v>0</v>
      </c>
      <c r="S1377">
        <f t="shared" si="106"/>
        <v>1</v>
      </c>
      <c r="T1377">
        <f t="shared" si="107"/>
        <v>2</v>
      </c>
      <c r="U1377">
        <f t="shared" si="108"/>
        <v>1</v>
      </c>
      <c r="V1377">
        <f t="shared" si="109"/>
        <v>0</v>
      </c>
    </row>
    <row r="1378" spans="1:22" x14ac:dyDescent="0.25">
      <c r="A1378">
        <v>1375</v>
      </c>
      <c r="B1378" t="s">
        <v>18</v>
      </c>
      <c r="C1378" t="s">
        <v>835</v>
      </c>
      <c r="D1378" s="4">
        <v>45353</v>
      </c>
      <c r="E1378" t="s">
        <v>256</v>
      </c>
      <c r="F1378" t="s">
        <v>75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>
        <v>1</v>
      </c>
      <c r="R1378">
        <f t="shared" si="105"/>
        <v>0</v>
      </c>
      <c r="S1378">
        <f t="shared" si="106"/>
        <v>1</v>
      </c>
      <c r="T1378">
        <f t="shared" si="107"/>
        <v>0</v>
      </c>
      <c r="U1378">
        <f t="shared" si="108"/>
        <v>0</v>
      </c>
      <c r="V1378">
        <f t="shared" si="109"/>
        <v>0</v>
      </c>
    </row>
    <row r="1379" spans="1:22" x14ac:dyDescent="0.25">
      <c r="A1379">
        <v>1376</v>
      </c>
      <c r="B1379" t="s">
        <v>18</v>
      </c>
      <c r="C1379" t="s">
        <v>835</v>
      </c>
      <c r="D1379" s="4">
        <v>45354</v>
      </c>
      <c r="E1379" t="s">
        <v>421</v>
      </c>
      <c r="F1379" t="s">
        <v>75</v>
      </c>
      <c r="I1379" s="6">
        <v>1</v>
      </c>
      <c r="J1379" s="6">
        <v>0</v>
      </c>
      <c r="K1379" s="6">
        <v>1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>
        <v>1</v>
      </c>
      <c r="R1379">
        <f t="shared" si="105"/>
        <v>0</v>
      </c>
      <c r="S1379">
        <f t="shared" si="106"/>
        <v>1</v>
      </c>
      <c r="T1379">
        <f t="shared" si="107"/>
        <v>2</v>
      </c>
      <c r="U1379">
        <f t="shared" si="108"/>
        <v>1</v>
      </c>
      <c r="V1379">
        <f t="shared" si="109"/>
        <v>0</v>
      </c>
    </row>
    <row r="1380" spans="1:22" x14ac:dyDescent="0.25">
      <c r="A1380">
        <v>1377</v>
      </c>
      <c r="B1380" t="s">
        <v>18</v>
      </c>
      <c r="C1380" t="s">
        <v>835</v>
      </c>
      <c r="D1380" s="4">
        <v>45355</v>
      </c>
      <c r="E1380" t="s">
        <v>840</v>
      </c>
      <c r="F1380" t="s">
        <v>75</v>
      </c>
      <c r="I1380" s="6">
        <v>0</v>
      </c>
      <c r="J1380" s="6">
        <v>0</v>
      </c>
      <c r="K1380" s="6">
        <v>0</v>
      </c>
      <c r="L1380" s="6">
        <v>0</v>
      </c>
      <c r="M1380" s="6">
        <v>1</v>
      </c>
      <c r="N1380" s="6">
        <v>0</v>
      </c>
      <c r="O1380" s="6">
        <v>0</v>
      </c>
      <c r="P1380" s="6">
        <v>0</v>
      </c>
      <c r="Q1380">
        <v>1</v>
      </c>
      <c r="R1380">
        <f t="shared" si="105"/>
        <v>0</v>
      </c>
      <c r="S1380">
        <f t="shared" si="106"/>
        <v>1</v>
      </c>
      <c r="T1380">
        <f t="shared" si="107"/>
        <v>1</v>
      </c>
      <c r="U1380">
        <f t="shared" si="108"/>
        <v>1</v>
      </c>
      <c r="V1380">
        <f t="shared" si="109"/>
        <v>0</v>
      </c>
    </row>
    <row r="1381" spans="1:22" x14ac:dyDescent="0.25">
      <c r="A1381">
        <v>1378</v>
      </c>
      <c r="B1381" t="s">
        <v>18</v>
      </c>
      <c r="C1381" t="s">
        <v>835</v>
      </c>
      <c r="D1381" s="4">
        <v>45355</v>
      </c>
      <c r="E1381" t="s">
        <v>259</v>
      </c>
      <c r="F1381" t="s">
        <v>75</v>
      </c>
      <c r="I1381" s="6">
        <v>0</v>
      </c>
      <c r="J1381" s="6">
        <v>0</v>
      </c>
      <c r="K1381" s="6">
        <v>0</v>
      </c>
      <c r="L1381" s="6">
        <v>1</v>
      </c>
      <c r="M1381" s="6">
        <v>0</v>
      </c>
      <c r="N1381" s="6">
        <v>0</v>
      </c>
      <c r="O1381" s="6">
        <v>0</v>
      </c>
      <c r="P1381" s="6">
        <v>0</v>
      </c>
      <c r="Q1381">
        <v>1</v>
      </c>
      <c r="R1381">
        <f t="shared" si="105"/>
        <v>0</v>
      </c>
      <c r="S1381">
        <f t="shared" si="106"/>
        <v>1</v>
      </c>
      <c r="T1381">
        <f t="shared" si="107"/>
        <v>1</v>
      </c>
      <c r="U1381">
        <f t="shared" si="108"/>
        <v>1</v>
      </c>
      <c r="V1381">
        <f t="shared" si="109"/>
        <v>0</v>
      </c>
    </row>
    <row r="1382" spans="1:22" x14ac:dyDescent="0.25">
      <c r="A1382">
        <v>1379</v>
      </c>
      <c r="B1382" t="s">
        <v>18</v>
      </c>
      <c r="C1382" t="s">
        <v>835</v>
      </c>
      <c r="D1382" s="4">
        <v>45356</v>
      </c>
      <c r="E1382" t="s">
        <v>841</v>
      </c>
      <c r="F1382" t="s">
        <v>75</v>
      </c>
      <c r="I1382" s="6">
        <v>1</v>
      </c>
      <c r="J1382" s="6">
        <v>0</v>
      </c>
      <c r="K1382" s="6">
        <v>1</v>
      </c>
      <c r="L1382" s="6">
        <v>1</v>
      </c>
      <c r="M1382" s="6">
        <v>0</v>
      </c>
      <c r="N1382" s="6">
        <v>0</v>
      </c>
      <c r="O1382" s="6">
        <v>0</v>
      </c>
      <c r="P1382" s="6">
        <v>0</v>
      </c>
      <c r="Q1382">
        <v>1</v>
      </c>
      <c r="R1382">
        <f t="shared" si="105"/>
        <v>0</v>
      </c>
      <c r="S1382">
        <f t="shared" si="106"/>
        <v>1</v>
      </c>
      <c r="T1382">
        <f t="shared" si="107"/>
        <v>3</v>
      </c>
      <c r="U1382">
        <f t="shared" si="108"/>
        <v>1</v>
      </c>
      <c r="V1382">
        <f t="shared" si="109"/>
        <v>0</v>
      </c>
    </row>
    <row r="1383" spans="1:22" x14ac:dyDescent="0.25">
      <c r="A1383">
        <v>1380</v>
      </c>
      <c r="B1383" t="s">
        <v>18</v>
      </c>
      <c r="C1383" t="s">
        <v>835</v>
      </c>
      <c r="D1383" s="4">
        <v>45356</v>
      </c>
      <c r="E1383" t="s">
        <v>842</v>
      </c>
      <c r="F1383" t="s">
        <v>75</v>
      </c>
      <c r="I1383" s="6">
        <v>1</v>
      </c>
      <c r="J1383" s="6">
        <v>0</v>
      </c>
      <c r="K1383" s="6">
        <v>1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>
        <v>1</v>
      </c>
      <c r="R1383">
        <f t="shared" si="105"/>
        <v>0</v>
      </c>
      <c r="S1383">
        <f t="shared" si="106"/>
        <v>1</v>
      </c>
      <c r="T1383">
        <f t="shared" si="107"/>
        <v>2</v>
      </c>
      <c r="U1383">
        <f t="shared" si="108"/>
        <v>1</v>
      </c>
      <c r="V1383">
        <f t="shared" si="109"/>
        <v>0</v>
      </c>
    </row>
    <row r="1384" spans="1:22" x14ac:dyDescent="0.25">
      <c r="A1384">
        <v>1381</v>
      </c>
      <c r="B1384" t="s">
        <v>18</v>
      </c>
      <c r="C1384" t="s">
        <v>835</v>
      </c>
      <c r="D1384" s="4">
        <v>45357</v>
      </c>
      <c r="E1384" t="s">
        <v>260</v>
      </c>
      <c r="F1384" t="s">
        <v>75</v>
      </c>
      <c r="I1384" s="6">
        <v>0</v>
      </c>
      <c r="J1384" s="6">
        <v>0</v>
      </c>
      <c r="K1384" s="6">
        <v>0</v>
      </c>
      <c r="L1384" s="6">
        <v>1</v>
      </c>
      <c r="M1384" s="6">
        <v>0</v>
      </c>
      <c r="N1384" s="6">
        <v>0</v>
      </c>
      <c r="O1384" s="6">
        <v>0</v>
      </c>
      <c r="P1384" s="6">
        <v>0</v>
      </c>
      <c r="Q1384">
        <v>1</v>
      </c>
      <c r="R1384">
        <f t="shared" si="105"/>
        <v>0</v>
      </c>
      <c r="S1384">
        <f t="shared" si="106"/>
        <v>1</v>
      </c>
      <c r="T1384">
        <f t="shared" si="107"/>
        <v>1</v>
      </c>
      <c r="U1384">
        <f t="shared" si="108"/>
        <v>1</v>
      </c>
      <c r="V1384">
        <f t="shared" si="109"/>
        <v>0</v>
      </c>
    </row>
    <row r="1385" spans="1:22" x14ac:dyDescent="0.25">
      <c r="A1385">
        <v>1382</v>
      </c>
      <c r="B1385" t="s">
        <v>18</v>
      </c>
      <c r="C1385" t="s">
        <v>835</v>
      </c>
      <c r="D1385" s="4">
        <v>45357</v>
      </c>
      <c r="E1385" t="s">
        <v>422</v>
      </c>
      <c r="F1385" t="s">
        <v>75</v>
      </c>
      <c r="I1385" s="6">
        <v>0</v>
      </c>
      <c r="J1385" s="6">
        <v>0</v>
      </c>
      <c r="K1385" s="6">
        <v>1</v>
      </c>
      <c r="L1385" s="6">
        <v>0</v>
      </c>
      <c r="M1385" s="6">
        <v>0</v>
      </c>
      <c r="N1385" s="6">
        <v>1</v>
      </c>
      <c r="O1385" s="6">
        <v>0</v>
      </c>
      <c r="P1385" s="6">
        <v>0</v>
      </c>
      <c r="Q1385">
        <v>1</v>
      </c>
      <c r="R1385">
        <f t="shared" si="105"/>
        <v>0</v>
      </c>
      <c r="S1385">
        <f t="shared" si="106"/>
        <v>1</v>
      </c>
      <c r="T1385">
        <f t="shared" si="107"/>
        <v>2</v>
      </c>
      <c r="U1385">
        <f t="shared" si="108"/>
        <v>1</v>
      </c>
      <c r="V1385">
        <f t="shared" si="109"/>
        <v>0</v>
      </c>
    </row>
    <row r="1386" spans="1:22" x14ac:dyDescent="0.25">
      <c r="A1386">
        <v>1383</v>
      </c>
      <c r="B1386" t="s">
        <v>18</v>
      </c>
      <c r="C1386" t="s">
        <v>835</v>
      </c>
      <c r="D1386" s="4">
        <v>45358</v>
      </c>
      <c r="E1386" t="s">
        <v>843</v>
      </c>
      <c r="F1386" t="s">
        <v>75</v>
      </c>
      <c r="I1386" s="6">
        <v>0</v>
      </c>
      <c r="J1386" s="6">
        <v>0</v>
      </c>
      <c r="K1386" s="6">
        <v>0</v>
      </c>
      <c r="L1386" s="6">
        <v>1</v>
      </c>
      <c r="M1386" s="6">
        <v>1</v>
      </c>
      <c r="N1386" s="6">
        <v>0</v>
      </c>
      <c r="O1386" s="6">
        <v>0</v>
      </c>
      <c r="P1386" s="6">
        <v>0</v>
      </c>
      <c r="Q1386">
        <v>1</v>
      </c>
      <c r="R1386">
        <f t="shared" si="105"/>
        <v>0</v>
      </c>
      <c r="S1386">
        <f t="shared" si="106"/>
        <v>1</v>
      </c>
      <c r="T1386">
        <f t="shared" si="107"/>
        <v>2</v>
      </c>
      <c r="U1386">
        <f t="shared" si="108"/>
        <v>1</v>
      </c>
      <c r="V1386">
        <f t="shared" si="109"/>
        <v>0</v>
      </c>
    </row>
    <row r="1387" spans="1:22" x14ac:dyDescent="0.25">
      <c r="A1387">
        <v>1384</v>
      </c>
      <c r="B1387" t="s">
        <v>18</v>
      </c>
      <c r="C1387" t="s">
        <v>835</v>
      </c>
      <c r="D1387" s="4">
        <v>45359</v>
      </c>
      <c r="E1387" t="s">
        <v>844</v>
      </c>
      <c r="F1387" t="s">
        <v>75</v>
      </c>
      <c r="I1387" s="6">
        <v>0</v>
      </c>
      <c r="J1387" s="6">
        <v>0</v>
      </c>
      <c r="K1387" s="6">
        <v>0</v>
      </c>
      <c r="L1387" s="6">
        <v>1</v>
      </c>
      <c r="M1387" s="6">
        <v>1</v>
      </c>
      <c r="N1387" s="6">
        <v>0</v>
      </c>
      <c r="O1387" s="6">
        <v>0</v>
      </c>
      <c r="P1387" s="6">
        <v>0</v>
      </c>
      <c r="Q1387">
        <v>1</v>
      </c>
      <c r="R1387">
        <f t="shared" si="105"/>
        <v>0</v>
      </c>
      <c r="S1387">
        <f t="shared" si="106"/>
        <v>1</v>
      </c>
      <c r="T1387">
        <f t="shared" si="107"/>
        <v>2</v>
      </c>
      <c r="U1387">
        <f t="shared" si="108"/>
        <v>1</v>
      </c>
      <c r="V1387">
        <f t="shared" si="109"/>
        <v>0</v>
      </c>
    </row>
    <row r="1388" spans="1:22" x14ac:dyDescent="0.25">
      <c r="A1388">
        <v>1385</v>
      </c>
      <c r="B1388" t="s">
        <v>18</v>
      </c>
      <c r="C1388" t="s">
        <v>835</v>
      </c>
      <c r="D1388" s="4">
        <v>45359</v>
      </c>
      <c r="E1388" t="s">
        <v>845</v>
      </c>
      <c r="F1388" t="s">
        <v>413</v>
      </c>
      <c r="G1388">
        <v>88</v>
      </c>
      <c r="I1388" s="6">
        <v>0</v>
      </c>
      <c r="J1388" s="6">
        <v>1</v>
      </c>
      <c r="K1388" s="6">
        <v>1</v>
      </c>
      <c r="L1388" s="6">
        <v>0</v>
      </c>
      <c r="M1388" s="6">
        <v>0</v>
      </c>
      <c r="N1388" s="6">
        <v>0</v>
      </c>
      <c r="O1388" s="6">
        <v>1</v>
      </c>
      <c r="P1388" s="6">
        <v>0</v>
      </c>
      <c r="Q1388">
        <v>1</v>
      </c>
      <c r="R1388">
        <f t="shared" si="105"/>
        <v>1</v>
      </c>
      <c r="S1388">
        <f t="shared" si="106"/>
        <v>0</v>
      </c>
      <c r="T1388">
        <f t="shared" si="107"/>
        <v>3</v>
      </c>
      <c r="U1388">
        <f t="shared" si="108"/>
        <v>1</v>
      </c>
      <c r="V1388">
        <f t="shared" si="109"/>
        <v>1</v>
      </c>
    </row>
    <row r="1389" spans="1:22" x14ac:dyDescent="0.25">
      <c r="A1389">
        <v>1386</v>
      </c>
      <c r="B1389" t="s">
        <v>18</v>
      </c>
      <c r="C1389" t="s">
        <v>835</v>
      </c>
      <c r="D1389" s="4">
        <v>45360</v>
      </c>
      <c r="E1389" t="s">
        <v>424</v>
      </c>
      <c r="F1389" t="s">
        <v>75</v>
      </c>
      <c r="I1389" s="6"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1</v>
      </c>
      <c r="P1389" s="6">
        <v>0</v>
      </c>
      <c r="Q1389">
        <v>1</v>
      </c>
      <c r="R1389">
        <f t="shared" si="105"/>
        <v>0</v>
      </c>
      <c r="S1389">
        <f t="shared" si="106"/>
        <v>1</v>
      </c>
      <c r="T1389">
        <f t="shared" si="107"/>
        <v>1</v>
      </c>
      <c r="U1389">
        <f t="shared" si="108"/>
        <v>1</v>
      </c>
      <c r="V1389">
        <f t="shared" si="109"/>
        <v>0</v>
      </c>
    </row>
    <row r="1390" spans="1:22" x14ac:dyDescent="0.25">
      <c r="A1390">
        <v>1387</v>
      </c>
      <c r="B1390" t="s">
        <v>18</v>
      </c>
      <c r="C1390" t="s">
        <v>835</v>
      </c>
      <c r="D1390" s="4">
        <v>45361</v>
      </c>
      <c r="E1390" t="s">
        <v>263</v>
      </c>
      <c r="F1390" t="s">
        <v>75</v>
      </c>
      <c r="I1390" s="6">
        <v>0</v>
      </c>
      <c r="J1390" s="6">
        <v>0</v>
      </c>
      <c r="K1390" s="6">
        <v>0</v>
      </c>
      <c r="L1390" s="6">
        <v>1</v>
      </c>
      <c r="M1390" s="6">
        <v>1</v>
      </c>
      <c r="N1390" s="6">
        <v>0</v>
      </c>
      <c r="O1390" s="6">
        <v>0</v>
      </c>
      <c r="P1390" s="6">
        <v>0</v>
      </c>
      <c r="Q1390">
        <v>1</v>
      </c>
      <c r="R1390">
        <f t="shared" si="105"/>
        <v>0</v>
      </c>
      <c r="S1390">
        <f t="shared" si="106"/>
        <v>1</v>
      </c>
      <c r="T1390">
        <f t="shared" si="107"/>
        <v>2</v>
      </c>
      <c r="U1390">
        <f t="shared" si="108"/>
        <v>1</v>
      </c>
      <c r="V1390">
        <f t="shared" si="109"/>
        <v>0</v>
      </c>
    </row>
    <row r="1391" spans="1:22" x14ac:dyDescent="0.25">
      <c r="A1391">
        <v>1388</v>
      </c>
      <c r="B1391" t="s">
        <v>18</v>
      </c>
      <c r="C1391" t="s">
        <v>835</v>
      </c>
      <c r="D1391" s="4">
        <v>45361</v>
      </c>
      <c r="E1391" t="s">
        <v>264</v>
      </c>
      <c r="F1391" t="s">
        <v>75</v>
      </c>
      <c r="I1391" s="6">
        <v>0</v>
      </c>
      <c r="J1391" s="6">
        <v>0</v>
      </c>
      <c r="K1391" s="6">
        <v>0</v>
      </c>
      <c r="L1391" s="6">
        <v>0</v>
      </c>
      <c r="M1391" s="6">
        <v>1</v>
      </c>
      <c r="N1391" s="6">
        <v>0</v>
      </c>
      <c r="O1391" s="6">
        <v>0</v>
      </c>
      <c r="P1391" s="6">
        <v>0</v>
      </c>
      <c r="Q1391">
        <v>1</v>
      </c>
      <c r="R1391">
        <f t="shared" si="105"/>
        <v>0</v>
      </c>
      <c r="S1391">
        <f t="shared" si="106"/>
        <v>1</v>
      </c>
      <c r="T1391">
        <f t="shared" si="107"/>
        <v>1</v>
      </c>
      <c r="U1391">
        <f t="shared" si="108"/>
        <v>1</v>
      </c>
      <c r="V1391">
        <f t="shared" si="109"/>
        <v>0</v>
      </c>
    </row>
    <row r="1392" spans="1:22" x14ac:dyDescent="0.25">
      <c r="A1392">
        <v>1389</v>
      </c>
      <c r="B1392" t="s">
        <v>18</v>
      </c>
      <c r="C1392" t="s">
        <v>835</v>
      </c>
      <c r="D1392" s="4">
        <v>45362</v>
      </c>
      <c r="E1392" t="s">
        <v>846</v>
      </c>
      <c r="F1392" t="s">
        <v>75</v>
      </c>
      <c r="I1392" s="6">
        <v>0</v>
      </c>
      <c r="J1392" s="6">
        <v>0</v>
      </c>
      <c r="K1392" s="6">
        <v>0</v>
      </c>
      <c r="L1392" s="6">
        <v>1</v>
      </c>
      <c r="M1392" s="6">
        <v>1</v>
      </c>
      <c r="N1392" s="6">
        <v>0</v>
      </c>
      <c r="O1392" s="6">
        <v>0</v>
      </c>
      <c r="P1392" s="6">
        <v>0</v>
      </c>
      <c r="Q1392">
        <v>1</v>
      </c>
      <c r="R1392">
        <f t="shared" si="105"/>
        <v>0</v>
      </c>
      <c r="S1392">
        <f t="shared" si="106"/>
        <v>1</v>
      </c>
      <c r="T1392">
        <f t="shared" si="107"/>
        <v>2</v>
      </c>
      <c r="U1392">
        <f t="shared" si="108"/>
        <v>1</v>
      </c>
      <c r="V1392">
        <f t="shared" si="109"/>
        <v>0</v>
      </c>
    </row>
    <row r="1393" spans="1:22" x14ac:dyDescent="0.25">
      <c r="A1393">
        <v>1390</v>
      </c>
      <c r="B1393" t="s">
        <v>18</v>
      </c>
      <c r="C1393" t="s">
        <v>835</v>
      </c>
      <c r="D1393" s="4">
        <v>45363</v>
      </c>
      <c r="E1393" t="s">
        <v>847</v>
      </c>
      <c r="F1393" t="s">
        <v>75</v>
      </c>
      <c r="I1393" s="6">
        <v>0</v>
      </c>
      <c r="J1393" s="6">
        <v>0</v>
      </c>
      <c r="K1393" s="6">
        <v>0</v>
      </c>
      <c r="L1393" s="6">
        <v>1</v>
      </c>
      <c r="M1393" s="6">
        <v>1</v>
      </c>
      <c r="N1393" s="6">
        <v>0</v>
      </c>
      <c r="O1393" s="6">
        <v>0</v>
      </c>
      <c r="P1393" s="6">
        <v>0</v>
      </c>
      <c r="Q1393">
        <v>1</v>
      </c>
      <c r="R1393">
        <f t="shared" si="105"/>
        <v>0</v>
      </c>
      <c r="S1393">
        <f t="shared" si="106"/>
        <v>1</v>
      </c>
      <c r="T1393">
        <f t="shared" si="107"/>
        <v>2</v>
      </c>
      <c r="U1393">
        <f t="shared" si="108"/>
        <v>1</v>
      </c>
      <c r="V1393">
        <f t="shared" si="109"/>
        <v>0</v>
      </c>
    </row>
    <row r="1394" spans="1:22" x14ac:dyDescent="0.25">
      <c r="A1394">
        <v>1391</v>
      </c>
      <c r="B1394" t="s">
        <v>18</v>
      </c>
      <c r="C1394" t="s">
        <v>835</v>
      </c>
      <c r="D1394" s="4">
        <v>45363</v>
      </c>
      <c r="E1394" t="s">
        <v>848</v>
      </c>
      <c r="F1394" t="s">
        <v>75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>
        <v>1</v>
      </c>
      <c r="R1394">
        <f t="shared" si="105"/>
        <v>0</v>
      </c>
      <c r="S1394">
        <f t="shared" si="106"/>
        <v>1</v>
      </c>
      <c r="T1394">
        <f t="shared" si="107"/>
        <v>0</v>
      </c>
      <c r="U1394">
        <f t="shared" si="108"/>
        <v>0</v>
      </c>
      <c r="V1394">
        <f t="shared" si="109"/>
        <v>0</v>
      </c>
    </row>
    <row r="1395" spans="1:22" x14ac:dyDescent="0.25">
      <c r="A1395">
        <v>1392</v>
      </c>
      <c r="B1395" t="s">
        <v>18</v>
      </c>
      <c r="C1395" t="s">
        <v>835</v>
      </c>
      <c r="D1395" s="4">
        <v>45364</v>
      </c>
      <c r="E1395" t="s">
        <v>1127</v>
      </c>
      <c r="F1395" t="s">
        <v>75</v>
      </c>
      <c r="I1395" s="6">
        <v>0</v>
      </c>
      <c r="J1395" s="6">
        <v>0</v>
      </c>
      <c r="K1395" s="6">
        <v>0</v>
      </c>
      <c r="L1395" s="6">
        <v>1</v>
      </c>
      <c r="M1395" s="6">
        <v>1</v>
      </c>
      <c r="N1395" s="6">
        <v>0</v>
      </c>
      <c r="O1395" s="6">
        <v>0</v>
      </c>
      <c r="P1395" s="6">
        <v>0</v>
      </c>
      <c r="Q1395">
        <v>1</v>
      </c>
      <c r="R1395">
        <f t="shared" si="105"/>
        <v>0</v>
      </c>
      <c r="S1395">
        <f t="shared" si="106"/>
        <v>1</v>
      </c>
      <c r="T1395">
        <f t="shared" si="107"/>
        <v>2</v>
      </c>
      <c r="U1395">
        <f t="shared" si="108"/>
        <v>1</v>
      </c>
      <c r="V1395">
        <f t="shared" si="109"/>
        <v>0</v>
      </c>
    </row>
    <row r="1396" spans="1:22" x14ac:dyDescent="0.25">
      <c r="A1396">
        <v>1393</v>
      </c>
      <c r="B1396" t="s">
        <v>18</v>
      </c>
      <c r="C1396" t="s">
        <v>835</v>
      </c>
      <c r="D1396" s="4">
        <v>45364</v>
      </c>
      <c r="E1396" t="s">
        <v>849</v>
      </c>
      <c r="F1396" t="s">
        <v>75</v>
      </c>
      <c r="I1396" s="6">
        <v>1</v>
      </c>
      <c r="J1396" s="6">
        <v>0</v>
      </c>
      <c r="K1396" s="6">
        <v>1</v>
      </c>
      <c r="L1396" s="6">
        <v>0</v>
      </c>
      <c r="M1396" s="6">
        <v>1</v>
      </c>
      <c r="N1396" s="6">
        <v>0</v>
      </c>
      <c r="O1396" s="6">
        <v>0</v>
      </c>
      <c r="P1396" s="6">
        <v>0</v>
      </c>
      <c r="Q1396">
        <v>1</v>
      </c>
      <c r="R1396">
        <f t="shared" si="105"/>
        <v>0</v>
      </c>
      <c r="S1396">
        <f t="shared" si="106"/>
        <v>1</v>
      </c>
      <c r="T1396">
        <f t="shared" si="107"/>
        <v>3</v>
      </c>
      <c r="U1396">
        <f t="shared" si="108"/>
        <v>1</v>
      </c>
      <c r="V1396">
        <f t="shared" si="109"/>
        <v>0</v>
      </c>
    </row>
    <row r="1397" spans="1:22" x14ac:dyDescent="0.25">
      <c r="A1397">
        <v>1394</v>
      </c>
      <c r="B1397" t="s">
        <v>18</v>
      </c>
      <c r="C1397" t="s">
        <v>835</v>
      </c>
      <c r="D1397" s="4">
        <v>45364</v>
      </c>
      <c r="E1397" t="s">
        <v>850</v>
      </c>
      <c r="F1397" t="s">
        <v>75</v>
      </c>
      <c r="H1397" t="s">
        <v>851</v>
      </c>
      <c r="I1397" s="6">
        <v>1</v>
      </c>
      <c r="J1397" s="6">
        <v>1</v>
      </c>
      <c r="K1397" s="6">
        <v>1</v>
      </c>
      <c r="L1397" s="6">
        <v>0</v>
      </c>
      <c r="M1397" s="6">
        <v>1</v>
      </c>
      <c r="N1397" s="6">
        <v>0</v>
      </c>
      <c r="O1397" s="6">
        <v>0</v>
      </c>
      <c r="P1397" s="6">
        <v>0</v>
      </c>
      <c r="Q1397">
        <v>1</v>
      </c>
      <c r="R1397">
        <f t="shared" si="105"/>
        <v>0</v>
      </c>
      <c r="S1397">
        <f t="shared" si="106"/>
        <v>1</v>
      </c>
      <c r="T1397">
        <f t="shared" si="107"/>
        <v>4</v>
      </c>
      <c r="U1397">
        <f t="shared" si="108"/>
        <v>1</v>
      </c>
      <c r="V1397">
        <f t="shared" si="109"/>
        <v>0</v>
      </c>
    </row>
    <row r="1398" spans="1:22" x14ac:dyDescent="0.25">
      <c r="A1398">
        <v>1395</v>
      </c>
      <c r="B1398" t="s">
        <v>18</v>
      </c>
      <c r="C1398" t="s">
        <v>835</v>
      </c>
      <c r="D1398" s="4">
        <v>45365</v>
      </c>
      <c r="E1398" t="s">
        <v>852</v>
      </c>
      <c r="F1398" t="s">
        <v>75</v>
      </c>
      <c r="I1398" s="6">
        <v>0</v>
      </c>
      <c r="J1398" s="6">
        <v>0</v>
      </c>
      <c r="K1398" s="6">
        <v>0</v>
      </c>
      <c r="L1398" s="6">
        <v>1</v>
      </c>
      <c r="M1398" s="6">
        <v>0</v>
      </c>
      <c r="N1398" s="6">
        <v>0</v>
      </c>
      <c r="O1398" s="6">
        <v>0</v>
      </c>
      <c r="P1398" s="6">
        <v>1</v>
      </c>
      <c r="Q1398">
        <v>1</v>
      </c>
      <c r="R1398">
        <f t="shared" si="105"/>
        <v>0</v>
      </c>
      <c r="S1398">
        <f t="shared" si="106"/>
        <v>1</v>
      </c>
      <c r="T1398">
        <f t="shared" si="107"/>
        <v>2</v>
      </c>
      <c r="U1398">
        <f t="shared" si="108"/>
        <v>1</v>
      </c>
      <c r="V1398">
        <f t="shared" si="109"/>
        <v>0</v>
      </c>
    </row>
    <row r="1399" spans="1:22" x14ac:dyDescent="0.25">
      <c r="A1399">
        <v>1396</v>
      </c>
      <c r="B1399" t="s">
        <v>18</v>
      </c>
      <c r="C1399" t="s">
        <v>835</v>
      </c>
      <c r="D1399" s="4">
        <v>45366</v>
      </c>
      <c r="E1399" t="s">
        <v>1881</v>
      </c>
      <c r="F1399" t="s">
        <v>75</v>
      </c>
      <c r="I1399" s="6">
        <v>0</v>
      </c>
      <c r="J1399" s="6">
        <v>0</v>
      </c>
      <c r="K1399" s="6">
        <v>0</v>
      </c>
      <c r="L1399" s="6">
        <v>1</v>
      </c>
      <c r="M1399" s="6">
        <v>0</v>
      </c>
      <c r="N1399" s="6">
        <v>0</v>
      </c>
      <c r="O1399" s="6">
        <v>1</v>
      </c>
      <c r="P1399" s="6">
        <v>0</v>
      </c>
      <c r="Q1399">
        <v>1</v>
      </c>
      <c r="R1399">
        <f t="shared" si="105"/>
        <v>0</v>
      </c>
      <c r="S1399">
        <f t="shared" si="106"/>
        <v>1</v>
      </c>
      <c r="T1399">
        <f t="shared" si="107"/>
        <v>2</v>
      </c>
      <c r="U1399">
        <f t="shared" si="108"/>
        <v>1</v>
      </c>
      <c r="V1399">
        <f t="shared" si="109"/>
        <v>0</v>
      </c>
    </row>
    <row r="1400" spans="1:22" x14ac:dyDescent="0.25">
      <c r="A1400">
        <v>1397</v>
      </c>
      <c r="B1400" t="s">
        <v>18</v>
      </c>
      <c r="C1400" t="s">
        <v>835</v>
      </c>
      <c r="D1400" s="4">
        <v>45367</v>
      </c>
      <c r="E1400" t="s">
        <v>853</v>
      </c>
      <c r="F1400" t="s">
        <v>75</v>
      </c>
      <c r="I1400" s="6">
        <v>0</v>
      </c>
      <c r="J1400" s="6">
        <v>0</v>
      </c>
      <c r="K1400" s="6">
        <v>0</v>
      </c>
      <c r="L1400" s="6">
        <v>1</v>
      </c>
      <c r="M1400" s="6">
        <v>0</v>
      </c>
      <c r="N1400" s="6">
        <v>0</v>
      </c>
      <c r="O1400" s="6">
        <v>0</v>
      </c>
      <c r="P1400" s="6">
        <v>0</v>
      </c>
      <c r="Q1400">
        <v>1</v>
      </c>
      <c r="R1400">
        <f t="shared" si="105"/>
        <v>0</v>
      </c>
      <c r="S1400">
        <f t="shared" si="106"/>
        <v>1</v>
      </c>
      <c r="T1400">
        <f t="shared" si="107"/>
        <v>1</v>
      </c>
      <c r="U1400">
        <f t="shared" si="108"/>
        <v>1</v>
      </c>
      <c r="V1400">
        <f t="shared" si="109"/>
        <v>0</v>
      </c>
    </row>
    <row r="1401" spans="1:22" x14ac:dyDescent="0.25">
      <c r="A1401">
        <v>1398</v>
      </c>
      <c r="B1401" t="s">
        <v>18</v>
      </c>
      <c r="C1401" t="s">
        <v>835</v>
      </c>
      <c r="D1401" s="4">
        <v>45368</v>
      </c>
      <c r="E1401" t="s">
        <v>268</v>
      </c>
      <c r="F1401" t="s">
        <v>75</v>
      </c>
      <c r="I1401" s="6">
        <v>0</v>
      </c>
      <c r="J1401" s="6">
        <v>0</v>
      </c>
      <c r="K1401" s="6">
        <v>0</v>
      </c>
      <c r="L1401" s="6">
        <v>1</v>
      </c>
      <c r="M1401" s="6">
        <v>1</v>
      </c>
      <c r="N1401" s="6">
        <v>0</v>
      </c>
      <c r="O1401" s="6">
        <v>0</v>
      </c>
      <c r="P1401" s="6">
        <v>1</v>
      </c>
      <c r="Q1401">
        <v>1</v>
      </c>
      <c r="R1401">
        <f t="shared" si="105"/>
        <v>0</v>
      </c>
      <c r="S1401">
        <f t="shared" si="106"/>
        <v>1</v>
      </c>
      <c r="T1401">
        <f t="shared" si="107"/>
        <v>3</v>
      </c>
      <c r="U1401">
        <f t="shared" si="108"/>
        <v>1</v>
      </c>
      <c r="V1401">
        <f t="shared" si="109"/>
        <v>0</v>
      </c>
    </row>
    <row r="1402" spans="1:22" x14ac:dyDescent="0.25">
      <c r="A1402">
        <v>1399</v>
      </c>
      <c r="B1402" t="s">
        <v>18</v>
      </c>
      <c r="C1402" t="s">
        <v>835</v>
      </c>
      <c r="D1402" s="4">
        <v>45369</v>
      </c>
      <c r="E1402" t="s">
        <v>854</v>
      </c>
      <c r="F1402" t="s">
        <v>75</v>
      </c>
      <c r="I1402" s="6">
        <v>0</v>
      </c>
      <c r="J1402" s="6">
        <v>0</v>
      </c>
      <c r="K1402" s="6">
        <v>0</v>
      </c>
      <c r="L1402" s="6">
        <v>1</v>
      </c>
      <c r="M1402" s="6">
        <v>1</v>
      </c>
      <c r="N1402" s="6">
        <v>0</v>
      </c>
      <c r="O1402" s="6">
        <v>0</v>
      </c>
      <c r="P1402" s="6">
        <v>0</v>
      </c>
      <c r="Q1402">
        <v>1</v>
      </c>
      <c r="R1402">
        <f t="shared" si="105"/>
        <v>0</v>
      </c>
      <c r="S1402">
        <f t="shared" si="106"/>
        <v>1</v>
      </c>
      <c r="T1402">
        <f t="shared" si="107"/>
        <v>2</v>
      </c>
      <c r="U1402">
        <f t="shared" si="108"/>
        <v>1</v>
      </c>
      <c r="V1402">
        <f t="shared" si="109"/>
        <v>0</v>
      </c>
    </row>
    <row r="1403" spans="1:22" x14ac:dyDescent="0.25">
      <c r="A1403">
        <v>1400</v>
      </c>
      <c r="B1403" t="s">
        <v>18</v>
      </c>
      <c r="C1403" t="s">
        <v>835</v>
      </c>
      <c r="D1403" s="4">
        <v>45369</v>
      </c>
      <c r="E1403" t="s">
        <v>855</v>
      </c>
      <c r="F1403" t="s">
        <v>75</v>
      </c>
      <c r="I1403" s="6">
        <v>1</v>
      </c>
      <c r="J1403" s="6">
        <v>0</v>
      </c>
      <c r="K1403" s="6">
        <v>0</v>
      </c>
      <c r="L1403" s="6">
        <v>1</v>
      </c>
      <c r="M1403" s="6">
        <v>1</v>
      </c>
      <c r="N1403" s="6">
        <v>0</v>
      </c>
      <c r="O1403" s="6">
        <v>1</v>
      </c>
      <c r="P1403" s="6">
        <v>0</v>
      </c>
      <c r="Q1403">
        <v>1</v>
      </c>
      <c r="R1403">
        <f t="shared" si="105"/>
        <v>0</v>
      </c>
      <c r="S1403">
        <f t="shared" si="106"/>
        <v>1</v>
      </c>
      <c r="T1403">
        <f t="shared" si="107"/>
        <v>4</v>
      </c>
      <c r="U1403">
        <f t="shared" si="108"/>
        <v>1</v>
      </c>
      <c r="V1403">
        <f t="shared" si="109"/>
        <v>0</v>
      </c>
    </row>
    <row r="1404" spans="1:22" x14ac:dyDescent="0.25">
      <c r="A1404">
        <v>1401</v>
      </c>
      <c r="B1404" t="s">
        <v>18</v>
      </c>
      <c r="C1404" t="s">
        <v>835</v>
      </c>
      <c r="D1404" s="4">
        <v>45370</v>
      </c>
      <c r="E1404" t="s">
        <v>427</v>
      </c>
      <c r="F1404" t="s">
        <v>75</v>
      </c>
      <c r="I1404" s="6">
        <v>0</v>
      </c>
      <c r="J1404" s="6">
        <v>0</v>
      </c>
      <c r="K1404" s="6">
        <v>0</v>
      </c>
      <c r="L1404" s="6">
        <v>1</v>
      </c>
      <c r="M1404" s="6">
        <v>0</v>
      </c>
      <c r="N1404" s="6">
        <v>0</v>
      </c>
      <c r="O1404" s="6">
        <v>0</v>
      </c>
      <c r="P1404" s="6">
        <v>0</v>
      </c>
      <c r="Q1404">
        <v>1</v>
      </c>
      <c r="R1404">
        <f t="shared" si="105"/>
        <v>0</v>
      </c>
      <c r="S1404">
        <f t="shared" si="106"/>
        <v>1</v>
      </c>
      <c r="T1404">
        <f t="shared" si="107"/>
        <v>1</v>
      </c>
      <c r="U1404">
        <f t="shared" si="108"/>
        <v>1</v>
      </c>
      <c r="V1404">
        <f t="shared" si="109"/>
        <v>0</v>
      </c>
    </row>
    <row r="1405" spans="1:22" x14ac:dyDescent="0.25">
      <c r="A1405">
        <v>1402</v>
      </c>
      <c r="B1405" t="s">
        <v>18</v>
      </c>
      <c r="C1405" t="s">
        <v>835</v>
      </c>
      <c r="D1405" s="4">
        <v>45371</v>
      </c>
      <c r="E1405" t="s">
        <v>856</v>
      </c>
      <c r="F1405" t="s">
        <v>75</v>
      </c>
      <c r="I1405" s="6">
        <v>1</v>
      </c>
      <c r="J1405" s="6">
        <v>0</v>
      </c>
      <c r="K1405" s="6">
        <v>0</v>
      </c>
      <c r="L1405" s="6">
        <v>1</v>
      </c>
      <c r="M1405" s="6">
        <v>1</v>
      </c>
      <c r="N1405" s="6">
        <v>0</v>
      </c>
      <c r="O1405" s="6">
        <v>0</v>
      </c>
      <c r="P1405" s="6">
        <v>0</v>
      </c>
      <c r="Q1405">
        <v>1</v>
      </c>
      <c r="R1405">
        <f t="shared" si="105"/>
        <v>0</v>
      </c>
      <c r="S1405">
        <f t="shared" si="106"/>
        <v>1</v>
      </c>
      <c r="T1405">
        <f t="shared" si="107"/>
        <v>3</v>
      </c>
      <c r="U1405">
        <f t="shared" si="108"/>
        <v>1</v>
      </c>
      <c r="V1405">
        <f t="shared" si="109"/>
        <v>0</v>
      </c>
    </row>
    <row r="1406" spans="1:22" x14ac:dyDescent="0.25">
      <c r="A1406">
        <v>1403</v>
      </c>
      <c r="B1406" t="s">
        <v>18</v>
      </c>
      <c r="C1406" t="s">
        <v>835</v>
      </c>
      <c r="D1406" s="4">
        <v>45372</v>
      </c>
      <c r="E1406" t="s">
        <v>1878</v>
      </c>
      <c r="F1406" t="s">
        <v>75</v>
      </c>
      <c r="I1406" s="6">
        <v>0</v>
      </c>
      <c r="J1406" s="6">
        <v>0</v>
      </c>
      <c r="K1406" s="6">
        <v>0</v>
      </c>
      <c r="L1406" s="6">
        <v>1</v>
      </c>
      <c r="M1406" s="6">
        <v>1</v>
      </c>
      <c r="N1406" s="6">
        <v>0</v>
      </c>
      <c r="O1406" s="6">
        <v>0</v>
      </c>
      <c r="P1406" s="6">
        <v>0</v>
      </c>
      <c r="Q1406">
        <v>1</v>
      </c>
      <c r="R1406">
        <f t="shared" si="105"/>
        <v>0</v>
      </c>
      <c r="S1406">
        <f t="shared" si="106"/>
        <v>1</v>
      </c>
      <c r="T1406">
        <f t="shared" si="107"/>
        <v>2</v>
      </c>
      <c r="U1406">
        <f t="shared" si="108"/>
        <v>1</v>
      </c>
      <c r="V1406">
        <f t="shared" si="109"/>
        <v>0</v>
      </c>
    </row>
    <row r="1407" spans="1:22" x14ac:dyDescent="0.25">
      <c r="A1407">
        <v>1404</v>
      </c>
      <c r="B1407" t="s">
        <v>18</v>
      </c>
      <c r="C1407" t="s">
        <v>835</v>
      </c>
      <c r="D1407" s="4">
        <v>45373</v>
      </c>
      <c r="E1407" t="s">
        <v>857</v>
      </c>
      <c r="F1407" t="s">
        <v>75</v>
      </c>
      <c r="I1407" s="6">
        <v>0</v>
      </c>
      <c r="J1407" s="6">
        <v>0</v>
      </c>
      <c r="K1407" s="6">
        <v>0</v>
      </c>
      <c r="L1407" s="6">
        <v>1</v>
      </c>
      <c r="M1407" s="6">
        <v>0</v>
      </c>
      <c r="N1407" s="6">
        <v>0</v>
      </c>
      <c r="O1407" s="6">
        <v>0</v>
      </c>
      <c r="P1407" s="6">
        <v>0</v>
      </c>
      <c r="Q1407">
        <v>1</v>
      </c>
      <c r="R1407">
        <f t="shared" si="105"/>
        <v>0</v>
      </c>
      <c r="S1407">
        <f t="shared" si="106"/>
        <v>1</v>
      </c>
      <c r="T1407">
        <f t="shared" si="107"/>
        <v>1</v>
      </c>
      <c r="U1407">
        <f t="shared" si="108"/>
        <v>1</v>
      </c>
      <c r="V1407">
        <f t="shared" si="109"/>
        <v>0</v>
      </c>
    </row>
    <row r="1408" spans="1:22" x14ac:dyDescent="0.25">
      <c r="A1408">
        <v>1405</v>
      </c>
      <c r="B1408" t="s">
        <v>18</v>
      </c>
      <c r="C1408" t="s">
        <v>835</v>
      </c>
      <c r="D1408" s="4">
        <v>45374</v>
      </c>
      <c r="E1408" t="s">
        <v>858</v>
      </c>
      <c r="F1408" t="s">
        <v>75</v>
      </c>
      <c r="I1408" s="6">
        <v>0</v>
      </c>
      <c r="J1408" s="6">
        <v>0</v>
      </c>
      <c r="K1408" s="6">
        <v>0</v>
      </c>
      <c r="L1408" s="6">
        <v>1</v>
      </c>
      <c r="M1408" s="6">
        <v>0</v>
      </c>
      <c r="N1408" s="6">
        <v>1</v>
      </c>
      <c r="O1408" s="6">
        <v>0</v>
      </c>
      <c r="P1408" s="6">
        <v>0</v>
      </c>
      <c r="Q1408">
        <v>1</v>
      </c>
      <c r="R1408">
        <f t="shared" si="105"/>
        <v>0</v>
      </c>
      <c r="S1408">
        <f t="shared" si="106"/>
        <v>1</v>
      </c>
      <c r="T1408">
        <f t="shared" si="107"/>
        <v>2</v>
      </c>
      <c r="U1408">
        <f t="shared" si="108"/>
        <v>1</v>
      </c>
      <c r="V1408">
        <f t="shared" si="109"/>
        <v>0</v>
      </c>
    </row>
    <row r="1409" spans="1:22" x14ac:dyDescent="0.25">
      <c r="A1409">
        <v>1406</v>
      </c>
      <c r="B1409" t="s">
        <v>18</v>
      </c>
      <c r="C1409" t="s">
        <v>835</v>
      </c>
      <c r="D1409" s="4">
        <v>45375</v>
      </c>
      <c r="E1409" t="s">
        <v>859</v>
      </c>
      <c r="F1409" t="s">
        <v>75</v>
      </c>
      <c r="I1409" s="6">
        <v>0</v>
      </c>
      <c r="J1409" s="6">
        <v>0</v>
      </c>
      <c r="K1409" s="6">
        <v>0</v>
      </c>
      <c r="L1409" s="6">
        <v>1</v>
      </c>
      <c r="M1409" s="6">
        <v>0</v>
      </c>
      <c r="N1409" s="6">
        <v>0</v>
      </c>
      <c r="O1409" s="6">
        <v>0</v>
      </c>
      <c r="P1409" s="6">
        <v>0</v>
      </c>
      <c r="Q1409">
        <v>1</v>
      </c>
      <c r="R1409">
        <f t="shared" si="105"/>
        <v>0</v>
      </c>
      <c r="S1409">
        <f t="shared" si="106"/>
        <v>1</v>
      </c>
      <c r="T1409">
        <f t="shared" si="107"/>
        <v>1</v>
      </c>
      <c r="U1409">
        <f t="shared" si="108"/>
        <v>1</v>
      </c>
      <c r="V1409">
        <f t="shared" si="109"/>
        <v>0</v>
      </c>
    </row>
    <row r="1410" spans="1:22" x14ac:dyDescent="0.25">
      <c r="A1410">
        <v>1407</v>
      </c>
      <c r="B1410" t="s">
        <v>18</v>
      </c>
      <c r="C1410" t="s">
        <v>835</v>
      </c>
      <c r="D1410" s="4">
        <v>45375</v>
      </c>
      <c r="E1410" t="s">
        <v>860</v>
      </c>
      <c r="F1410" t="s">
        <v>75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>
        <v>1</v>
      </c>
      <c r="R1410">
        <f t="shared" si="105"/>
        <v>0</v>
      </c>
      <c r="S1410">
        <f t="shared" si="106"/>
        <v>1</v>
      </c>
      <c r="T1410">
        <f t="shared" si="107"/>
        <v>0</v>
      </c>
      <c r="U1410">
        <f t="shared" si="108"/>
        <v>0</v>
      </c>
      <c r="V1410">
        <f t="shared" si="109"/>
        <v>0</v>
      </c>
    </row>
    <row r="1411" spans="1:22" x14ac:dyDescent="0.25">
      <c r="A1411">
        <v>1408</v>
      </c>
      <c r="B1411" t="s">
        <v>18</v>
      </c>
      <c r="C1411" t="s">
        <v>835</v>
      </c>
      <c r="D1411" s="4">
        <v>45375</v>
      </c>
      <c r="E1411" t="s">
        <v>861</v>
      </c>
      <c r="F1411" t="s">
        <v>75</v>
      </c>
      <c r="I1411" s="6">
        <v>0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>
        <v>1</v>
      </c>
      <c r="R1411">
        <f t="shared" ref="R1411:R1474" si="110">IF(AND(Q1411=1,F1411="ai_full"),1,0)</f>
        <v>0</v>
      </c>
      <c r="S1411">
        <f t="shared" ref="S1411:S1474" si="111">IF(AND(Q1411=1,F1411="conventional"),1,0)</f>
        <v>1</v>
      </c>
      <c r="T1411">
        <f t="shared" ref="T1411:T1474" si="112">SUM(I1411:P1411)</f>
        <v>0</v>
      </c>
      <c r="U1411">
        <f t="shared" ref="U1411:U1474" si="113">IF(T1411&gt;=1,1,0)</f>
        <v>0</v>
      </c>
      <c r="V1411">
        <f t="shared" ref="V1411:V1474" si="114">IF(F1411="ai_full",1,0)</f>
        <v>0</v>
      </c>
    </row>
    <row r="1412" spans="1:22" x14ac:dyDescent="0.25">
      <c r="A1412">
        <v>1409</v>
      </c>
      <c r="B1412" t="s">
        <v>18</v>
      </c>
      <c r="C1412" t="s">
        <v>835</v>
      </c>
      <c r="D1412" s="4">
        <v>45376</v>
      </c>
      <c r="E1412" t="s">
        <v>434</v>
      </c>
      <c r="F1412" t="s">
        <v>75</v>
      </c>
      <c r="I1412" s="6">
        <v>0</v>
      </c>
      <c r="J1412" s="6">
        <v>0</v>
      </c>
      <c r="K1412" s="6">
        <v>0</v>
      </c>
      <c r="L1412" s="6">
        <v>1</v>
      </c>
      <c r="M1412" s="6">
        <v>1</v>
      </c>
      <c r="N1412" s="6">
        <v>0</v>
      </c>
      <c r="O1412" s="6">
        <v>0</v>
      </c>
      <c r="P1412" s="6">
        <v>0</v>
      </c>
      <c r="Q1412">
        <v>1</v>
      </c>
      <c r="R1412">
        <f t="shared" si="110"/>
        <v>0</v>
      </c>
      <c r="S1412">
        <f t="shared" si="111"/>
        <v>1</v>
      </c>
      <c r="T1412">
        <f t="shared" si="112"/>
        <v>2</v>
      </c>
      <c r="U1412">
        <f t="shared" si="113"/>
        <v>1</v>
      </c>
      <c r="V1412">
        <f t="shared" si="114"/>
        <v>0</v>
      </c>
    </row>
    <row r="1413" spans="1:22" x14ac:dyDescent="0.25">
      <c r="A1413">
        <v>1410</v>
      </c>
      <c r="B1413" t="s">
        <v>18</v>
      </c>
      <c r="C1413" t="s">
        <v>835</v>
      </c>
      <c r="D1413" s="4">
        <v>45376</v>
      </c>
      <c r="E1413" t="s">
        <v>435</v>
      </c>
      <c r="F1413" t="s">
        <v>75</v>
      </c>
      <c r="I1413" s="6">
        <v>1</v>
      </c>
      <c r="J1413" s="6">
        <v>0</v>
      </c>
      <c r="K1413" s="6">
        <v>1</v>
      </c>
      <c r="L1413" s="6">
        <v>1</v>
      </c>
      <c r="M1413" s="6">
        <v>1</v>
      </c>
      <c r="N1413" s="6">
        <v>0</v>
      </c>
      <c r="O1413" s="6">
        <v>0</v>
      </c>
      <c r="P1413" s="6">
        <v>0</v>
      </c>
      <c r="Q1413">
        <v>1</v>
      </c>
      <c r="R1413">
        <f t="shared" si="110"/>
        <v>0</v>
      </c>
      <c r="S1413">
        <f t="shared" si="111"/>
        <v>1</v>
      </c>
      <c r="T1413">
        <f t="shared" si="112"/>
        <v>4</v>
      </c>
      <c r="U1413">
        <f t="shared" si="113"/>
        <v>1</v>
      </c>
      <c r="V1413">
        <f t="shared" si="114"/>
        <v>0</v>
      </c>
    </row>
    <row r="1414" spans="1:22" x14ac:dyDescent="0.25">
      <c r="A1414">
        <v>1411</v>
      </c>
      <c r="B1414" t="s">
        <v>18</v>
      </c>
      <c r="C1414" t="s">
        <v>835</v>
      </c>
      <c r="D1414" s="4">
        <v>45377</v>
      </c>
      <c r="E1414" t="s">
        <v>862</v>
      </c>
      <c r="F1414" t="s">
        <v>75</v>
      </c>
      <c r="I1414" s="6">
        <v>1</v>
      </c>
      <c r="J1414" s="6">
        <v>0</v>
      </c>
      <c r="K1414" s="6">
        <v>0</v>
      </c>
      <c r="L1414" s="6">
        <v>1</v>
      </c>
      <c r="M1414" s="6">
        <v>0</v>
      </c>
      <c r="N1414" s="6">
        <v>0</v>
      </c>
      <c r="O1414" s="6">
        <v>0</v>
      </c>
      <c r="P1414" s="6">
        <v>0</v>
      </c>
      <c r="Q1414">
        <v>1</v>
      </c>
      <c r="R1414">
        <f t="shared" si="110"/>
        <v>0</v>
      </c>
      <c r="S1414">
        <f t="shared" si="111"/>
        <v>1</v>
      </c>
      <c r="T1414">
        <f t="shared" si="112"/>
        <v>2</v>
      </c>
      <c r="U1414">
        <f t="shared" si="113"/>
        <v>1</v>
      </c>
      <c r="V1414">
        <f t="shared" si="114"/>
        <v>0</v>
      </c>
    </row>
    <row r="1415" spans="1:22" x14ac:dyDescent="0.25">
      <c r="A1415">
        <v>1412</v>
      </c>
      <c r="B1415" t="s">
        <v>18</v>
      </c>
      <c r="C1415" t="s">
        <v>835</v>
      </c>
      <c r="D1415" s="4">
        <v>45378</v>
      </c>
      <c r="E1415" t="s">
        <v>438</v>
      </c>
      <c r="F1415" t="s">
        <v>75</v>
      </c>
      <c r="I1415" s="6">
        <v>0</v>
      </c>
      <c r="J1415" s="6">
        <v>0</v>
      </c>
      <c r="K1415" s="6">
        <v>0</v>
      </c>
      <c r="L1415" s="6">
        <v>1</v>
      </c>
      <c r="M1415" s="6">
        <v>0</v>
      </c>
      <c r="N1415" s="6">
        <v>1</v>
      </c>
      <c r="O1415" s="6">
        <v>0</v>
      </c>
      <c r="P1415" s="6">
        <v>0</v>
      </c>
      <c r="Q1415">
        <v>1</v>
      </c>
      <c r="R1415">
        <f t="shared" si="110"/>
        <v>0</v>
      </c>
      <c r="S1415">
        <f t="shared" si="111"/>
        <v>1</v>
      </c>
      <c r="T1415">
        <f t="shared" si="112"/>
        <v>2</v>
      </c>
      <c r="U1415">
        <f t="shared" si="113"/>
        <v>1</v>
      </c>
      <c r="V1415">
        <f t="shared" si="114"/>
        <v>0</v>
      </c>
    </row>
    <row r="1416" spans="1:22" x14ac:dyDescent="0.25">
      <c r="A1416">
        <v>1413</v>
      </c>
      <c r="B1416" t="s">
        <v>18</v>
      </c>
      <c r="C1416" t="s">
        <v>835</v>
      </c>
      <c r="D1416" s="4">
        <v>45378</v>
      </c>
      <c r="E1416" t="s">
        <v>439</v>
      </c>
      <c r="F1416" t="s">
        <v>75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>
        <v>1</v>
      </c>
      <c r="R1416">
        <f t="shared" si="110"/>
        <v>0</v>
      </c>
      <c r="S1416">
        <f t="shared" si="111"/>
        <v>1</v>
      </c>
      <c r="T1416">
        <f t="shared" si="112"/>
        <v>0</v>
      </c>
      <c r="U1416">
        <f t="shared" si="113"/>
        <v>0</v>
      </c>
      <c r="V1416">
        <f t="shared" si="114"/>
        <v>0</v>
      </c>
    </row>
    <row r="1417" spans="1:22" x14ac:dyDescent="0.25">
      <c r="A1417">
        <v>1414</v>
      </c>
      <c r="B1417" t="s">
        <v>18</v>
      </c>
      <c r="C1417" t="s">
        <v>835</v>
      </c>
      <c r="D1417" s="4">
        <v>45379</v>
      </c>
      <c r="E1417" t="s">
        <v>440</v>
      </c>
      <c r="F1417" t="s">
        <v>75</v>
      </c>
      <c r="I1417" s="6">
        <v>0</v>
      </c>
      <c r="J1417" s="6">
        <v>0</v>
      </c>
      <c r="K1417" s="6">
        <v>0</v>
      </c>
      <c r="L1417" s="6">
        <v>1</v>
      </c>
      <c r="M1417" s="6">
        <v>0</v>
      </c>
      <c r="N1417" s="6">
        <v>0</v>
      </c>
      <c r="O1417" s="6">
        <v>0</v>
      </c>
      <c r="P1417" s="6">
        <v>0</v>
      </c>
      <c r="Q1417">
        <v>1</v>
      </c>
      <c r="R1417">
        <f t="shared" si="110"/>
        <v>0</v>
      </c>
      <c r="S1417">
        <f t="shared" si="111"/>
        <v>1</v>
      </c>
      <c r="T1417">
        <f t="shared" si="112"/>
        <v>1</v>
      </c>
      <c r="U1417">
        <f t="shared" si="113"/>
        <v>1</v>
      </c>
      <c r="V1417">
        <f t="shared" si="114"/>
        <v>0</v>
      </c>
    </row>
    <row r="1418" spans="1:22" x14ac:dyDescent="0.25">
      <c r="A1418">
        <v>1415</v>
      </c>
      <c r="B1418" t="s">
        <v>18</v>
      </c>
      <c r="C1418" t="s">
        <v>835</v>
      </c>
      <c r="D1418" s="4">
        <v>45379</v>
      </c>
      <c r="E1418" t="s">
        <v>441</v>
      </c>
      <c r="F1418" t="s">
        <v>75</v>
      </c>
      <c r="I1418" s="6">
        <v>0</v>
      </c>
      <c r="J1418" s="6">
        <v>0</v>
      </c>
      <c r="K1418" s="6">
        <v>0</v>
      </c>
      <c r="L1418" s="6">
        <v>1</v>
      </c>
      <c r="M1418" s="6">
        <v>0</v>
      </c>
      <c r="N1418" s="6">
        <v>0</v>
      </c>
      <c r="O1418" s="6">
        <v>0</v>
      </c>
      <c r="P1418" s="6">
        <v>0</v>
      </c>
      <c r="Q1418">
        <v>1</v>
      </c>
      <c r="R1418">
        <f t="shared" si="110"/>
        <v>0</v>
      </c>
      <c r="S1418">
        <f t="shared" si="111"/>
        <v>1</v>
      </c>
      <c r="T1418">
        <f t="shared" si="112"/>
        <v>1</v>
      </c>
      <c r="U1418">
        <f t="shared" si="113"/>
        <v>1</v>
      </c>
      <c r="V1418">
        <f t="shared" si="114"/>
        <v>0</v>
      </c>
    </row>
    <row r="1419" spans="1:22" x14ac:dyDescent="0.25">
      <c r="A1419">
        <v>1416</v>
      </c>
      <c r="B1419" t="s">
        <v>18</v>
      </c>
      <c r="C1419" t="s">
        <v>835</v>
      </c>
      <c r="D1419" s="4">
        <v>45380</v>
      </c>
      <c r="E1419" t="s">
        <v>274</v>
      </c>
      <c r="F1419" t="s">
        <v>75</v>
      </c>
      <c r="I1419" s="6">
        <v>1</v>
      </c>
      <c r="J1419" s="6">
        <v>0</v>
      </c>
      <c r="K1419" s="6">
        <v>0</v>
      </c>
      <c r="L1419" s="6">
        <v>1</v>
      </c>
      <c r="M1419" s="6">
        <v>1</v>
      </c>
      <c r="N1419" s="6">
        <v>0</v>
      </c>
      <c r="O1419" s="6">
        <v>0</v>
      </c>
      <c r="P1419" s="6">
        <v>0</v>
      </c>
      <c r="Q1419">
        <v>1</v>
      </c>
      <c r="R1419">
        <f t="shared" si="110"/>
        <v>0</v>
      </c>
      <c r="S1419">
        <f t="shared" si="111"/>
        <v>1</v>
      </c>
      <c r="T1419">
        <f t="shared" si="112"/>
        <v>3</v>
      </c>
      <c r="U1419">
        <f t="shared" si="113"/>
        <v>1</v>
      </c>
      <c r="V1419">
        <f t="shared" si="114"/>
        <v>0</v>
      </c>
    </row>
    <row r="1420" spans="1:22" x14ac:dyDescent="0.25">
      <c r="A1420">
        <v>1417</v>
      </c>
      <c r="B1420" t="s">
        <v>18</v>
      </c>
      <c r="C1420" t="s">
        <v>835</v>
      </c>
      <c r="D1420" s="4">
        <v>45381</v>
      </c>
      <c r="E1420" t="s">
        <v>444</v>
      </c>
      <c r="F1420" t="s">
        <v>75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>
        <v>1</v>
      </c>
      <c r="R1420">
        <f t="shared" si="110"/>
        <v>0</v>
      </c>
      <c r="S1420">
        <f t="shared" si="111"/>
        <v>1</v>
      </c>
      <c r="T1420">
        <f t="shared" si="112"/>
        <v>0</v>
      </c>
      <c r="U1420">
        <f t="shared" si="113"/>
        <v>0</v>
      </c>
      <c r="V1420">
        <f t="shared" si="114"/>
        <v>0</v>
      </c>
    </row>
    <row r="1421" spans="1:22" x14ac:dyDescent="0.25">
      <c r="A1421">
        <v>1418</v>
      </c>
      <c r="B1421" t="s">
        <v>18</v>
      </c>
      <c r="C1421" t="s">
        <v>835</v>
      </c>
      <c r="D1421" s="4">
        <v>45381</v>
      </c>
      <c r="E1421" t="s">
        <v>1801</v>
      </c>
      <c r="F1421" t="s">
        <v>75</v>
      </c>
      <c r="I1421" s="6">
        <v>0</v>
      </c>
      <c r="J1421" s="6">
        <v>0</v>
      </c>
      <c r="K1421" s="6">
        <v>0</v>
      </c>
      <c r="L1421" s="6">
        <v>1</v>
      </c>
      <c r="M1421" s="6">
        <v>0</v>
      </c>
      <c r="N1421" s="6">
        <v>0</v>
      </c>
      <c r="O1421" s="6">
        <v>0</v>
      </c>
      <c r="P1421" s="6">
        <v>0</v>
      </c>
      <c r="Q1421">
        <v>1</v>
      </c>
      <c r="R1421">
        <f t="shared" si="110"/>
        <v>0</v>
      </c>
      <c r="S1421">
        <f t="shared" si="111"/>
        <v>1</v>
      </c>
      <c r="T1421">
        <f t="shared" si="112"/>
        <v>1</v>
      </c>
      <c r="U1421">
        <f t="shared" si="113"/>
        <v>1</v>
      </c>
      <c r="V1421">
        <f t="shared" si="114"/>
        <v>0</v>
      </c>
    </row>
    <row r="1422" spans="1:22" x14ac:dyDescent="0.25">
      <c r="A1422">
        <v>1419</v>
      </c>
      <c r="B1422" t="s">
        <v>18</v>
      </c>
      <c r="C1422" t="s">
        <v>835</v>
      </c>
      <c r="D1422" s="4">
        <v>45382</v>
      </c>
      <c r="E1422" t="s">
        <v>276</v>
      </c>
      <c r="F1422" t="s">
        <v>75</v>
      </c>
      <c r="I1422" s="6">
        <v>0</v>
      </c>
      <c r="J1422" s="6">
        <v>0</v>
      </c>
      <c r="K1422" s="6">
        <v>0</v>
      </c>
      <c r="L1422" s="6">
        <v>1</v>
      </c>
      <c r="M1422" s="6">
        <v>0</v>
      </c>
      <c r="N1422" s="6">
        <v>0</v>
      </c>
      <c r="O1422" s="6">
        <v>0</v>
      </c>
      <c r="P1422" s="6">
        <v>0</v>
      </c>
      <c r="Q1422">
        <v>1</v>
      </c>
      <c r="R1422">
        <f t="shared" si="110"/>
        <v>0</v>
      </c>
      <c r="S1422">
        <f t="shared" si="111"/>
        <v>1</v>
      </c>
      <c r="T1422">
        <f t="shared" si="112"/>
        <v>1</v>
      </c>
      <c r="U1422">
        <f t="shared" si="113"/>
        <v>1</v>
      </c>
      <c r="V1422">
        <f t="shared" si="114"/>
        <v>0</v>
      </c>
    </row>
    <row r="1423" spans="1:22" x14ac:dyDescent="0.25">
      <c r="A1423">
        <v>1420</v>
      </c>
      <c r="B1423" t="s">
        <v>18</v>
      </c>
      <c r="C1423" t="s">
        <v>835</v>
      </c>
      <c r="D1423" s="4">
        <v>45382</v>
      </c>
      <c r="E1423" t="s">
        <v>277</v>
      </c>
      <c r="F1423" t="s">
        <v>75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>
        <v>1</v>
      </c>
      <c r="R1423">
        <f t="shared" si="110"/>
        <v>0</v>
      </c>
      <c r="S1423">
        <f t="shared" si="111"/>
        <v>1</v>
      </c>
      <c r="T1423">
        <f t="shared" si="112"/>
        <v>0</v>
      </c>
      <c r="U1423">
        <f t="shared" si="113"/>
        <v>0</v>
      </c>
      <c r="V1423">
        <f t="shared" si="114"/>
        <v>0</v>
      </c>
    </row>
    <row r="1424" spans="1:22" x14ac:dyDescent="0.25">
      <c r="A1424">
        <v>1421</v>
      </c>
      <c r="B1424" t="s">
        <v>18</v>
      </c>
      <c r="C1424" t="s">
        <v>835</v>
      </c>
      <c r="D1424" s="4">
        <v>45383</v>
      </c>
      <c r="E1424" t="s">
        <v>279</v>
      </c>
      <c r="F1424" t="s">
        <v>75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>
        <v>1</v>
      </c>
      <c r="R1424">
        <f t="shared" si="110"/>
        <v>0</v>
      </c>
      <c r="S1424">
        <f t="shared" si="111"/>
        <v>1</v>
      </c>
      <c r="T1424">
        <f t="shared" si="112"/>
        <v>0</v>
      </c>
      <c r="U1424">
        <f t="shared" si="113"/>
        <v>0</v>
      </c>
      <c r="V1424">
        <f t="shared" si="114"/>
        <v>0</v>
      </c>
    </row>
    <row r="1425" spans="1:22" x14ac:dyDescent="0.25">
      <c r="A1425">
        <v>1422</v>
      </c>
      <c r="B1425" t="s">
        <v>18</v>
      </c>
      <c r="C1425" t="s">
        <v>835</v>
      </c>
      <c r="D1425" s="4">
        <v>45383</v>
      </c>
      <c r="E1425" t="s">
        <v>863</v>
      </c>
      <c r="F1425" t="s">
        <v>75</v>
      </c>
      <c r="I1425" s="6">
        <v>0</v>
      </c>
      <c r="J1425" s="6">
        <v>0</v>
      </c>
      <c r="K1425" s="6">
        <v>0</v>
      </c>
      <c r="L1425" s="6">
        <v>1</v>
      </c>
      <c r="M1425" s="6">
        <v>0</v>
      </c>
      <c r="N1425" s="6">
        <v>0</v>
      </c>
      <c r="O1425" s="6">
        <v>0</v>
      </c>
      <c r="P1425" s="6">
        <v>0</v>
      </c>
      <c r="Q1425">
        <v>1</v>
      </c>
      <c r="R1425">
        <f t="shared" si="110"/>
        <v>0</v>
      </c>
      <c r="S1425">
        <f t="shared" si="111"/>
        <v>1</v>
      </c>
      <c r="T1425">
        <f t="shared" si="112"/>
        <v>1</v>
      </c>
      <c r="U1425">
        <f t="shared" si="113"/>
        <v>1</v>
      </c>
      <c r="V1425">
        <f t="shared" si="114"/>
        <v>0</v>
      </c>
    </row>
    <row r="1426" spans="1:22" x14ac:dyDescent="0.25">
      <c r="A1426">
        <v>1423</v>
      </c>
      <c r="B1426" t="s">
        <v>18</v>
      </c>
      <c r="C1426" t="s">
        <v>835</v>
      </c>
      <c r="D1426" s="4">
        <v>45384</v>
      </c>
      <c r="E1426" t="s">
        <v>864</v>
      </c>
      <c r="F1426" t="s">
        <v>75</v>
      </c>
      <c r="I1426" s="6">
        <v>0</v>
      </c>
      <c r="J1426" s="6">
        <v>0</v>
      </c>
      <c r="K1426" s="6">
        <v>0</v>
      </c>
      <c r="L1426" s="6">
        <v>1</v>
      </c>
      <c r="M1426" s="6">
        <v>0</v>
      </c>
      <c r="N1426" s="6">
        <v>0</v>
      </c>
      <c r="O1426" s="6">
        <v>0</v>
      </c>
      <c r="P1426" s="6">
        <v>0</v>
      </c>
      <c r="Q1426">
        <v>1</v>
      </c>
      <c r="R1426">
        <f t="shared" si="110"/>
        <v>0</v>
      </c>
      <c r="S1426">
        <f t="shared" si="111"/>
        <v>1</v>
      </c>
      <c r="T1426">
        <f t="shared" si="112"/>
        <v>1</v>
      </c>
      <c r="U1426">
        <f t="shared" si="113"/>
        <v>1</v>
      </c>
      <c r="V1426">
        <f t="shared" si="114"/>
        <v>0</v>
      </c>
    </row>
    <row r="1427" spans="1:22" x14ac:dyDescent="0.25">
      <c r="A1427">
        <v>1424</v>
      </c>
      <c r="B1427" t="s">
        <v>18</v>
      </c>
      <c r="C1427" t="s">
        <v>835</v>
      </c>
      <c r="D1427" s="4">
        <v>45385</v>
      </c>
      <c r="E1427" t="s">
        <v>865</v>
      </c>
      <c r="F1427" t="s">
        <v>75</v>
      </c>
      <c r="I1427" s="6">
        <v>0</v>
      </c>
      <c r="J1427" s="6">
        <v>0</v>
      </c>
      <c r="K1427" s="6">
        <v>0</v>
      </c>
      <c r="L1427" s="6">
        <v>1</v>
      </c>
      <c r="M1427" s="6">
        <v>0</v>
      </c>
      <c r="N1427" s="6">
        <v>0</v>
      </c>
      <c r="O1427" s="6">
        <v>0</v>
      </c>
      <c r="P1427" s="6">
        <v>0</v>
      </c>
      <c r="Q1427">
        <v>1</v>
      </c>
      <c r="R1427">
        <f t="shared" si="110"/>
        <v>0</v>
      </c>
      <c r="S1427">
        <f t="shared" si="111"/>
        <v>1</v>
      </c>
      <c r="T1427">
        <f t="shared" si="112"/>
        <v>1</v>
      </c>
      <c r="U1427">
        <f t="shared" si="113"/>
        <v>1</v>
      </c>
      <c r="V1427">
        <f t="shared" si="114"/>
        <v>0</v>
      </c>
    </row>
    <row r="1428" spans="1:22" x14ac:dyDescent="0.25">
      <c r="A1428">
        <v>1425</v>
      </c>
      <c r="B1428" t="s">
        <v>18</v>
      </c>
      <c r="C1428" t="s">
        <v>835</v>
      </c>
      <c r="D1428" s="4">
        <v>45385</v>
      </c>
      <c r="E1428" t="s">
        <v>956</v>
      </c>
      <c r="F1428" t="s">
        <v>75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>
        <v>1</v>
      </c>
      <c r="R1428">
        <f t="shared" si="110"/>
        <v>0</v>
      </c>
      <c r="S1428">
        <f t="shared" si="111"/>
        <v>1</v>
      </c>
      <c r="T1428">
        <f t="shared" si="112"/>
        <v>0</v>
      </c>
      <c r="U1428">
        <f t="shared" si="113"/>
        <v>0</v>
      </c>
      <c r="V1428">
        <f t="shared" si="114"/>
        <v>0</v>
      </c>
    </row>
    <row r="1429" spans="1:22" x14ac:dyDescent="0.25">
      <c r="A1429">
        <v>1426</v>
      </c>
      <c r="B1429" t="s">
        <v>18</v>
      </c>
      <c r="C1429" t="s">
        <v>835</v>
      </c>
      <c r="D1429" s="4">
        <v>45386</v>
      </c>
      <c r="E1429" t="s">
        <v>281</v>
      </c>
      <c r="F1429" t="s">
        <v>75</v>
      </c>
      <c r="I1429" s="6">
        <v>0</v>
      </c>
      <c r="J1429" s="6">
        <v>0</v>
      </c>
      <c r="K1429" s="6">
        <v>0</v>
      </c>
      <c r="L1429" s="6">
        <v>1</v>
      </c>
      <c r="M1429" s="6">
        <v>0</v>
      </c>
      <c r="N1429" s="6">
        <v>0</v>
      </c>
      <c r="O1429" s="6">
        <v>1</v>
      </c>
      <c r="P1429" s="6">
        <v>0</v>
      </c>
      <c r="Q1429">
        <v>1</v>
      </c>
      <c r="R1429">
        <f t="shared" si="110"/>
        <v>0</v>
      </c>
      <c r="S1429">
        <f t="shared" si="111"/>
        <v>1</v>
      </c>
      <c r="T1429">
        <f t="shared" si="112"/>
        <v>2</v>
      </c>
      <c r="U1429">
        <f t="shared" si="113"/>
        <v>1</v>
      </c>
      <c r="V1429">
        <f t="shared" si="114"/>
        <v>0</v>
      </c>
    </row>
    <row r="1430" spans="1:22" x14ac:dyDescent="0.25">
      <c r="A1430">
        <v>1427</v>
      </c>
      <c r="B1430" t="s">
        <v>18</v>
      </c>
      <c r="C1430" t="s">
        <v>835</v>
      </c>
      <c r="D1430" s="4">
        <v>45386</v>
      </c>
      <c r="E1430" t="s">
        <v>282</v>
      </c>
      <c r="F1430" t="s">
        <v>75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1</v>
      </c>
      <c r="Q1430">
        <v>1</v>
      </c>
      <c r="R1430">
        <f t="shared" si="110"/>
        <v>0</v>
      </c>
      <c r="S1430">
        <f t="shared" si="111"/>
        <v>1</v>
      </c>
      <c r="T1430">
        <f t="shared" si="112"/>
        <v>1</v>
      </c>
      <c r="U1430">
        <f t="shared" si="113"/>
        <v>1</v>
      </c>
      <c r="V1430">
        <f t="shared" si="114"/>
        <v>0</v>
      </c>
    </row>
    <row r="1431" spans="1:22" x14ac:dyDescent="0.25">
      <c r="A1431">
        <v>1428</v>
      </c>
      <c r="B1431" t="s">
        <v>18</v>
      </c>
      <c r="C1431" t="s">
        <v>835</v>
      </c>
      <c r="D1431" s="4">
        <v>45387</v>
      </c>
      <c r="E1431" t="s">
        <v>1221</v>
      </c>
      <c r="F1431" t="s">
        <v>75</v>
      </c>
      <c r="I1431" s="6">
        <v>0</v>
      </c>
      <c r="J1431" s="6">
        <v>0</v>
      </c>
      <c r="K1431" s="6">
        <v>0</v>
      </c>
      <c r="L1431" s="6">
        <v>1</v>
      </c>
      <c r="M1431" s="6">
        <v>0</v>
      </c>
      <c r="N1431" s="6">
        <v>0</v>
      </c>
      <c r="O1431" s="6">
        <v>0</v>
      </c>
      <c r="P1431" s="6">
        <v>0</v>
      </c>
      <c r="Q1431">
        <v>1</v>
      </c>
      <c r="R1431">
        <f t="shared" si="110"/>
        <v>0</v>
      </c>
      <c r="S1431">
        <f t="shared" si="111"/>
        <v>1</v>
      </c>
      <c r="T1431">
        <f t="shared" si="112"/>
        <v>1</v>
      </c>
      <c r="U1431">
        <f t="shared" si="113"/>
        <v>1</v>
      </c>
      <c r="V1431">
        <f t="shared" si="114"/>
        <v>0</v>
      </c>
    </row>
    <row r="1432" spans="1:22" x14ac:dyDescent="0.25">
      <c r="A1432">
        <v>1429</v>
      </c>
      <c r="B1432" t="s">
        <v>18</v>
      </c>
      <c r="C1432" t="s">
        <v>835</v>
      </c>
      <c r="D1432" s="4">
        <v>45388</v>
      </c>
      <c r="E1432" t="s">
        <v>285</v>
      </c>
      <c r="F1432" t="s">
        <v>75</v>
      </c>
      <c r="I1432" s="6">
        <v>0</v>
      </c>
      <c r="J1432" s="6">
        <v>0</v>
      </c>
      <c r="K1432" s="6">
        <v>0</v>
      </c>
      <c r="L1432" s="6">
        <v>1</v>
      </c>
      <c r="M1432" s="6">
        <v>1</v>
      </c>
      <c r="N1432" s="6">
        <v>0</v>
      </c>
      <c r="O1432" s="6">
        <v>0</v>
      </c>
      <c r="P1432" s="6">
        <v>0</v>
      </c>
      <c r="Q1432">
        <v>1</v>
      </c>
      <c r="R1432">
        <f t="shared" si="110"/>
        <v>0</v>
      </c>
      <c r="S1432">
        <f t="shared" si="111"/>
        <v>1</v>
      </c>
      <c r="T1432">
        <f t="shared" si="112"/>
        <v>2</v>
      </c>
      <c r="U1432">
        <f t="shared" si="113"/>
        <v>1</v>
      </c>
      <c r="V1432">
        <f t="shared" si="114"/>
        <v>0</v>
      </c>
    </row>
    <row r="1433" spans="1:22" x14ac:dyDescent="0.25">
      <c r="A1433">
        <v>1430</v>
      </c>
      <c r="B1433" t="s">
        <v>18</v>
      </c>
      <c r="C1433" t="s">
        <v>835</v>
      </c>
      <c r="D1433" s="4">
        <v>45389</v>
      </c>
      <c r="E1433" t="s">
        <v>866</v>
      </c>
      <c r="F1433" t="s">
        <v>75</v>
      </c>
      <c r="I1433" s="6">
        <v>0</v>
      </c>
      <c r="J1433" s="6">
        <v>0</v>
      </c>
      <c r="K1433" s="6">
        <v>0</v>
      </c>
      <c r="L1433" s="6">
        <v>1</v>
      </c>
      <c r="M1433" s="6">
        <v>0</v>
      </c>
      <c r="N1433" s="6">
        <v>0</v>
      </c>
      <c r="O1433" s="6">
        <v>0</v>
      </c>
      <c r="P1433" s="6">
        <v>0</v>
      </c>
      <c r="Q1433">
        <v>1</v>
      </c>
      <c r="R1433">
        <f t="shared" si="110"/>
        <v>0</v>
      </c>
      <c r="S1433">
        <f t="shared" si="111"/>
        <v>1</v>
      </c>
      <c r="T1433">
        <f t="shared" si="112"/>
        <v>1</v>
      </c>
      <c r="U1433">
        <f t="shared" si="113"/>
        <v>1</v>
      </c>
      <c r="V1433">
        <f t="shared" si="114"/>
        <v>0</v>
      </c>
    </row>
    <row r="1434" spans="1:22" x14ac:dyDescent="0.25">
      <c r="A1434">
        <v>1431</v>
      </c>
      <c r="B1434" t="s">
        <v>18</v>
      </c>
      <c r="C1434" t="s">
        <v>835</v>
      </c>
      <c r="D1434" s="4">
        <v>45390</v>
      </c>
      <c r="E1434" t="s">
        <v>867</v>
      </c>
      <c r="F1434" t="s">
        <v>75</v>
      </c>
      <c r="I1434" s="6">
        <v>0</v>
      </c>
      <c r="J1434" s="6">
        <v>0</v>
      </c>
      <c r="K1434" s="6">
        <v>0</v>
      </c>
      <c r="L1434" s="6">
        <v>1</v>
      </c>
      <c r="M1434" s="6">
        <v>0</v>
      </c>
      <c r="N1434" s="6">
        <v>0</v>
      </c>
      <c r="O1434" s="6">
        <v>0</v>
      </c>
      <c r="P1434" s="6">
        <v>0</v>
      </c>
      <c r="Q1434">
        <v>1</v>
      </c>
      <c r="R1434">
        <f t="shared" si="110"/>
        <v>0</v>
      </c>
      <c r="S1434">
        <f t="shared" si="111"/>
        <v>1</v>
      </c>
      <c r="T1434">
        <f t="shared" si="112"/>
        <v>1</v>
      </c>
      <c r="U1434">
        <f t="shared" si="113"/>
        <v>1</v>
      </c>
      <c r="V1434">
        <f t="shared" si="114"/>
        <v>0</v>
      </c>
    </row>
    <row r="1435" spans="1:22" x14ac:dyDescent="0.25">
      <c r="A1435">
        <v>1432</v>
      </c>
      <c r="B1435" t="s">
        <v>18</v>
      </c>
      <c r="C1435" t="s">
        <v>835</v>
      </c>
      <c r="D1435" s="4">
        <v>45391</v>
      </c>
      <c r="E1435" t="s">
        <v>868</v>
      </c>
      <c r="F1435" t="s">
        <v>75</v>
      </c>
      <c r="I1435" s="6">
        <v>0</v>
      </c>
      <c r="J1435" s="6">
        <v>0</v>
      </c>
      <c r="K1435" s="6">
        <v>0</v>
      </c>
      <c r="L1435" s="6">
        <v>1</v>
      </c>
      <c r="M1435" s="6">
        <v>1</v>
      </c>
      <c r="N1435" s="6">
        <v>0</v>
      </c>
      <c r="O1435" s="6">
        <v>0</v>
      </c>
      <c r="P1435" s="6">
        <v>0</v>
      </c>
      <c r="Q1435">
        <v>1</v>
      </c>
      <c r="R1435">
        <f t="shared" si="110"/>
        <v>0</v>
      </c>
      <c r="S1435">
        <f t="shared" si="111"/>
        <v>1</v>
      </c>
      <c r="T1435">
        <f t="shared" si="112"/>
        <v>2</v>
      </c>
      <c r="U1435">
        <f t="shared" si="113"/>
        <v>1</v>
      </c>
      <c r="V1435">
        <f t="shared" si="114"/>
        <v>0</v>
      </c>
    </row>
    <row r="1436" spans="1:22" x14ac:dyDescent="0.25">
      <c r="A1436">
        <v>1433</v>
      </c>
      <c r="B1436" t="s">
        <v>18</v>
      </c>
      <c r="C1436" t="s">
        <v>835</v>
      </c>
      <c r="D1436" s="4">
        <v>45391</v>
      </c>
      <c r="E1436" t="s">
        <v>869</v>
      </c>
      <c r="F1436" t="s">
        <v>75</v>
      </c>
      <c r="I1436" s="6">
        <v>1</v>
      </c>
      <c r="J1436" s="6">
        <v>0</v>
      </c>
      <c r="K1436" s="6">
        <v>1</v>
      </c>
      <c r="L1436" s="6">
        <v>0</v>
      </c>
      <c r="M1436" s="6">
        <v>1</v>
      </c>
      <c r="N1436" s="6">
        <v>0</v>
      </c>
      <c r="O1436" s="6">
        <v>0</v>
      </c>
      <c r="P1436" s="6">
        <v>0</v>
      </c>
      <c r="Q1436">
        <v>1</v>
      </c>
      <c r="R1436">
        <f t="shared" si="110"/>
        <v>0</v>
      </c>
      <c r="S1436">
        <f t="shared" si="111"/>
        <v>1</v>
      </c>
      <c r="T1436">
        <f t="shared" si="112"/>
        <v>3</v>
      </c>
      <c r="U1436">
        <f t="shared" si="113"/>
        <v>1</v>
      </c>
      <c r="V1436">
        <f t="shared" si="114"/>
        <v>0</v>
      </c>
    </row>
    <row r="1437" spans="1:22" x14ac:dyDescent="0.25">
      <c r="A1437">
        <v>1434</v>
      </c>
      <c r="B1437" t="s">
        <v>18</v>
      </c>
      <c r="C1437" t="s">
        <v>835</v>
      </c>
      <c r="D1437" s="4">
        <v>45392</v>
      </c>
      <c r="E1437" t="s">
        <v>286</v>
      </c>
      <c r="F1437" t="s">
        <v>75</v>
      </c>
      <c r="I1437" s="6">
        <v>1</v>
      </c>
      <c r="J1437" s="6">
        <v>0</v>
      </c>
      <c r="K1437" s="6">
        <v>0</v>
      </c>
      <c r="L1437" s="6">
        <v>1</v>
      </c>
      <c r="M1437" s="6">
        <v>1</v>
      </c>
      <c r="N1437" s="6">
        <v>0</v>
      </c>
      <c r="O1437" s="6">
        <v>0</v>
      </c>
      <c r="P1437" s="6">
        <v>0</v>
      </c>
      <c r="Q1437">
        <v>1</v>
      </c>
      <c r="R1437">
        <f t="shared" si="110"/>
        <v>0</v>
      </c>
      <c r="S1437">
        <f t="shared" si="111"/>
        <v>1</v>
      </c>
      <c r="T1437">
        <f t="shared" si="112"/>
        <v>3</v>
      </c>
      <c r="U1437">
        <f t="shared" si="113"/>
        <v>1</v>
      </c>
      <c r="V1437">
        <f t="shared" si="114"/>
        <v>0</v>
      </c>
    </row>
    <row r="1438" spans="1:22" x14ac:dyDescent="0.25">
      <c r="A1438">
        <v>1435</v>
      </c>
      <c r="B1438" t="s">
        <v>18</v>
      </c>
      <c r="C1438" t="s">
        <v>835</v>
      </c>
      <c r="D1438" s="4">
        <v>45393</v>
      </c>
      <c r="E1438" t="s">
        <v>454</v>
      </c>
      <c r="F1438" t="s">
        <v>75</v>
      </c>
      <c r="I1438" s="6">
        <v>0</v>
      </c>
      <c r="J1438" s="6">
        <v>0</v>
      </c>
      <c r="K1438" s="6">
        <v>0</v>
      </c>
      <c r="L1438" s="6">
        <v>1</v>
      </c>
      <c r="M1438" s="6">
        <v>0</v>
      </c>
      <c r="N1438" s="6">
        <v>0</v>
      </c>
      <c r="O1438" s="6">
        <v>0</v>
      </c>
      <c r="P1438" s="6">
        <v>0</v>
      </c>
      <c r="Q1438">
        <v>1</v>
      </c>
      <c r="R1438">
        <f t="shared" si="110"/>
        <v>0</v>
      </c>
      <c r="S1438">
        <f t="shared" si="111"/>
        <v>1</v>
      </c>
      <c r="T1438">
        <f t="shared" si="112"/>
        <v>1</v>
      </c>
      <c r="U1438">
        <f t="shared" si="113"/>
        <v>1</v>
      </c>
      <c r="V1438">
        <f t="shared" si="114"/>
        <v>0</v>
      </c>
    </row>
    <row r="1439" spans="1:22" x14ac:dyDescent="0.25">
      <c r="A1439">
        <v>1436</v>
      </c>
      <c r="B1439" t="s">
        <v>18</v>
      </c>
      <c r="C1439" t="s">
        <v>835</v>
      </c>
      <c r="D1439" s="4">
        <v>45393</v>
      </c>
      <c r="E1439" t="s">
        <v>455</v>
      </c>
      <c r="F1439" t="s">
        <v>75</v>
      </c>
      <c r="I1439" s="6">
        <v>0</v>
      </c>
      <c r="J1439" s="6">
        <v>0</v>
      </c>
      <c r="K1439" s="6">
        <v>0</v>
      </c>
      <c r="L1439" s="6">
        <v>0</v>
      </c>
      <c r="M1439" s="6">
        <v>1</v>
      </c>
      <c r="N1439" s="6">
        <v>0</v>
      </c>
      <c r="O1439" s="6">
        <v>0</v>
      </c>
      <c r="P1439" s="6">
        <v>0</v>
      </c>
      <c r="Q1439">
        <v>1</v>
      </c>
      <c r="R1439">
        <f t="shared" si="110"/>
        <v>0</v>
      </c>
      <c r="S1439">
        <f t="shared" si="111"/>
        <v>1</v>
      </c>
      <c r="T1439">
        <f t="shared" si="112"/>
        <v>1</v>
      </c>
      <c r="U1439">
        <f t="shared" si="113"/>
        <v>1</v>
      </c>
      <c r="V1439">
        <f t="shared" si="114"/>
        <v>0</v>
      </c>
    </row>
    <row r="1440" spans="1:22" x14ac:dyDescent="0.25">
      <c r="A1440">
        <v>1437</v>
      </c>
      <c r="B1440" t="s">
        <v>18</v>
      </c>
      <c r="C1440" t="s">
        <v>835</v>
      </c>
      <c r="D1440" s="4">
        <v>45394</v>
      </c>
      <c r="E1440" t="s">
        <v>966</v>
      </c>
      <c r="F1440" t="s">
        <v>75</v>
      </c>
      <c r="I1440" s="6">
        <v>0</v>
      </c>
      <c r="J1440" s="6">
        <v>0</v>
      </c>
      <c r="K1440" s="6">
        <v>0</v>
      </c>
      <c r="L1440" s="6">
        <v>1</v>
      </c>
      <c r="M1440" s="6">
        <v>0</v>
      </c>
      <c r="N1440" s="6">
        <v>0</v>
      </c>
      <c r="O1440" s="6">
        <v>0</v>
      </c>
      <c r="P1440" s="6">
        <v>0</v>
      </c>
      <c r="Q1440">
        <v>1</v>
      </c>
      <c r="R1440">
        <f t="shared" si="110"/>
        <v>0</v>
      </c>
      <c r="S1440">
        <f t="shared" si="111"/>
        <v>1</v>
      </c>
      <c r="T1440">
        <f t="shared" si="112"/>
        <v>1</v>
      </c>
      <c r="U1440">
        <f t="shared" si="113"/>
        <v>1</v>
      </c>
      <c r="V1440">
        <f t="shared" si="114"/>
        <v>0</v>
      </c>
    </row>
    <row r="1441" spans="1:22" x14ac:dyDescent="0.25">
      <c r="A1441">
        <v>1438</v>
      </c>
      <c r="B1441" t="s">
        <v>18</v>
      </c>
      <c r="C1441" t="s">
        <v>835</v>
      </c>
      <c r="D1441" s="4">
        <v>45394</v>
      </c>
      <c r="E1441" t="s">
        <v>870</v>
      </c>
      <c r="F1441" t="s">
        <v>75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1</v>
      </c>
      <c r="Q1441">
        <v>1</v>
      </c>
      <c r="R1441">
        <f t="shared" si="110"/>
        <v>0</v>
      </c>
      <c r="S1441">
        <f t="shared" si="111"/>
        <v>1</v>
      </c>
      <c r="T1441">
        <f t="shared" si="112"/>
        <v>1</v>
      </c>
      <c r="U1441">
        <f t="shared" si="113"/>
        <v>1</v>
      </c>
      <c r="V1441">
        <f t="shared" si="114"/>
        <v>0</v>
      </c>
    </row>
    <row r="1442" spans="1:22" x14ac:dyDescent="0.25">
      <c r="A1442">
        <v>1439</v>
      </c>
      <c r="B1442" t="s">
        <v>18</v>
      </c>
      <c r="C1442" t="s">
        <v>835</v>
      </c>
      <c r="D1442" s="4">
        <v>45394</v>
      </c>
      <c r="E1442" t="s">
        <v>871</v>
      </c>
      <c r="F1442" t="s">
        <v>75</v>
      </c>
      <c r="I1442" s="6">
        <v>1</v>
      </c>
      <c r="J1442" s="6">
        <v>0</v>
      </c>
      <c r="K1442" s="6">
        <v>1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>
        <v>1</v>
      </c>
      <c r="R1442">
        <f t="shared" si="110"/>
        <v>0</v>
      </c>
      <c r="S1442">
        <f t="shared" si="111"/>
        <v>1</v>
      </c>
      <c r="T1442">
        <f t="shared" si="112"/>
        <v>2</v>
      </c>
      <c r="U1442">
        <f t="shared" si="113"/>
        <v>1</v>
      </c>
      <c r="V1442">
        <f t="shared" si="114"/>
        <v>0</v>
      </c>
    </row>
    <row r="1443" spans="1:22" x14ac:dyDescent="0.25">
      <c r="A1443">
        <v>1440</v>
      </c>
      <c r="B1443" t="s">
        <v>18</v>
      </c>
      <c r="C1443" t="s">
        <v>835</v>
      </c>
      <c r="D1443" s="4">
        <v>45395</v>
      </c>
      <c r="E1443" t="s">
        <v>872</v>
      </c>
      <c r="F1443" t="s">
        <v>75</v>
      </c>
      <c r="I1443" s="6">
        <v>0</v>
      </c>
      <c r="J1443" s="6">
        <v>0</v>
      </c>
      <c r="K1443" s="6">
        <v>0</v>
      </c>
      <c r="L1443" s="6">
        <v>1</v>
      </c>
      <c r="M1443" s="6">
        <v>1</v>
      </c>
      <c r="N1443" s="6">
        <v>0</v>
      </c>
      <c r="O1443" s="6">
        <v>0</v>
      </c>
      <c r="P1443" s="6">
        <v>0</v>
      </c>
      <c r="Q1443">
        <v>1</v>
      </c>
      <c r="R1443">
        <f t="shared" si="110"/>
        <v>0</v>
      </c>
      <c r="S1443">
        <f t="shared" si="111"/>
        <v>1</v>
      </c>
      <c r="T1443">
        <f t="shared" si="112"/>
        <v>2</v>
      </c>
      <c r="U1443">
        <f t="shared" si="113"/>
        <v>1</v>
      </c>
      <c r="V1443">
        <f t="shared" si="114"/>
        <v>0</v>
      </c>
    </row>
    <row r="1444" spans="1:22" x14ac:dyDescent="0.25">
      <c r="A1444">
        <v>1441</v>
      </c>
      <c r="B1444" t="s">
        <v>18</v>
      </c>
      <c r="C1444" t="s">
        <v>835</v>
      </c>
      <c r="D1444" s="4">
        <v>45395</v>
      </c>
      <c r="E1444" t="s">
        <v>873</v>
      </c>
      <c r="F1444" t="s">
        <v>75</v>
      </c>
      <c r="I1444" s="6">
        <v>1</v>
      </c>
      <c r="J1444" s="6">
        <v>1</v>
      </c>
      <c r="K1444" s="6">
        <v>0</v>
      </c>
      <c r="L1444" s="6">
        <v>1</v>
      </c>
      <c r="M1444" s="6">
        <v>0</v>
      </c>
      <c r="N1444" s="6">
        <v>0</v>
      </c>
      <c r="O1444" s="6">
        <v>0</v>
      </c>
      <c r="P1444" s="6">
        <v>0</v>
      </c>
      <c r="Q1444">
        <v>1</v>
      </c>
      <c r="R1444">
        <f t="shared" si="110"/>
        <v>0</v>
      </c>
      <c r="S1444">
        <f t="shared" si="111"/>
        <v>1</v>
      </c>
      <c r="T1444">
        <f t="shared" si="112"/>
        <v>3</v>
      </c>
      <c r="U1444">
        <f t="shared" si="113"/>
        <v>1</v>
      </c>
      <c r="V1444">
        <f t="shared" si="114"/>
        <v>0</v>
      </c>
    </row>
    <row r="1445" spans="1:22" x14ac:dyDescent="0.25">
      <c r="A1445">
        <v>1442</v>
      </c>
      <c r="B1445" t="s">
        <v>18</v>
      </c>
      <c r="C1445" t="s">
        <v>835</v>
      </c>
      <c r="D1445" s="4">
        <v>45396</v>
      </c>
      <c r="E1445" t="s">
        <v>874</v>
      </c>
      <c r="F1445" t="s">
        <v>75</v>
      </c>
      <c r="I1445" s="6">
        <v>0</v>
      </c>
      <c r="J1445" s="6">
        <v>0</v>
      </c>
      <c r="K1445" s="6">
        <v>0</v>
      </c>
      <c r="L1445" s="6">
        <v>1</v>
      </c>
      <c r="M1445" s="6">
        <v>0</v>
      </c>
      <c r="N1445" s="6">
        <v>0</v>
      </c>
      <c r="O1445" s="6">
        <v>1</v>
      </c>
      <c r="P1445" s="6">
        <v>0</v>
      </c>
      <c r="Q1445">
        <v>1</v>
      </c>
      <c r="R1445">
        <f t="shared" si="110"/>
        <v>0</v>
      </c>
      <c r="S1445">
        <f t="shared" si="111"/>
        <v>1</v>
      </c>
      <c r="T1445">
        <f t="shared" si="112"/>
        <v>2</v>
      </c>
      <c r="U1445">
        <f t="shared" si="113"/>
        <v>1</v>
      </c>
      <c r="V1445">
        <f t="shared" si="114"/>
        <v>0</v>
      </c>
    </row>
    <row r="1446" spans="1:22" x14ac:dyDescent="0.25">
      <c r="A1446">
        <v>1443</v>
      </c>
      <c r="B1446" t="s">
        <v>18</v>
      </c>
      <c r="C1446" t="s">
        <v>835</v>
      </c>
      <c r="D1446" s="4">
        <v>45396</v>
      </c>
      <c r="E1446" t="s">
        <v>875</v>
      </c>
      <c r="F1446" t="s">
        <v>75</v>
      </c>
      <c r="I1446" s="6">
        <v>0</v>
      </c>
      <c r="J1446" s="6">
        <v>1</v>
      </c>
      <c r="K1446" s="6">
        <v>0</v>
      </c>
      <c r="L1446" s="6">
        <v>1</v>
      </c>
      <c r="M1446" s="6">
        <v>0</v>
      </c>
      <c r="N1446" s="6">
        <v>0</v>
      </c>
      <c r="O1446" s="6">
        <v>0</v>
      </c>
      <c r="P1446" s="6">
        <v>0</v>
      </c>
      <c r="Q1446">
        <v>1</v>
      </c>
      <c r="R1446">
        <f t="shared" si="110"/>
        <v>0</v>
      </c>
      <c r="S1446">
        <f t="shared" si="111"/>
        <v>1</v>
      </c>
      <c r="T1446">
        <f t="shared" si="112"/>
        <v>2</v>
      </c>
      <c r="U1446">
        <f t="shared" si="113"/>
        <v>1</v>
      </c>
      <c r="V1446">
        <f t="shared" si="114"/>
        <v>0</v>
      </c>
    </row>
    <row r="1447" spans="1:22" x14ac:dyDescent="0.25">
      <c r="A1447">
        <v>1444</v>
      </c>
      <c r="B1447" t="s">
        <v>18</v>
      </c>
      <c r="C1447" t="s">
        <v>835</v>
      </c>
      <c r="D1447" s="4">
        <v>45397</v>
      </c>
      <c r="E1447" t="s">
        <v>289</v>
      </c>
      <c r="F1447" t="s">
        <v>75</v>
      </c>
      <c r="I1447" s="6">
        <v>0</v>
      </c>
      <c r="J1447" s="6">
        <v>0</v>
      </c>
      <c r="K1447" s="6">
        <v>0</v>
      </c>
      <c r="L1447" s="6">
        <v>1</v>
      </c>
      <c r="M1447" s="6">
        <v>0</v>
      </c>
      <c r="N1447" s="6">
        <v>0</v>
      </c>
      <c r="O1447" s="6">
        <v>0</v>
      </c>
      <c r="P1447" s="6">
        <v>0</v>
      </c>
      <c r="Q1447">
        <v>1</v>
      </c>
      <c r="R1447">
        <f t="shared" si="110"/>
        <v>0</v>
      </c>
      <c r="S1447">
        <f t="shared" si="111"/>
        <v>1</v>
      </c>
      <c r="T1447">
        <f t="shared" si="112"/>
        <v>1</v>
      </c>
      <c r="U1447">
        <f t="shared" si="113"/>
        <v>1</v>
      </c>
      <c r="V1447">
        <f t="shared" si="114"/>
        <v>0</v>
      </c>
    </row>
    <row r="1448" spans="1:22" x14ac:dyDescent="0.25">
      <c r="A1448">
        <v>1445</v>
      </c>
      <c r="B1448" t="s">
        <v>18</v>
      </c>
      <c r="C1448" t="s">
        <v>835</v>
      </c>
      <c r="D1448" s="4">
        <v>45398</v>
      </c>
      <c r="E1448" t="s">
        <v>290</v>
      </c>
      <c r="F1448" t="s">
        <v>75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>
        <v>1</v>
      </c>
      <c r="R1448">
        <f t="shared" si="110"/>
        <v>0</v>
      </c>
      <c r="S1448">
        <f t="shared" si="111"/>
        <v>1</v>
      </c>
      <c r="T1448">
        <f t="shared" si="112"/>
        <v>0</v>
      </c>
      <c r="U1448">
        <f t="shared" si="113"/>
        <v>0</v>
      </c>
      <c r="V1448">
        <f t="shared" si="114"/>
        <v>0</v>
      </c>
    </row>
    <row r="1449" spans="1:22" x14ac:dyDescent="0.25">
      <c r="A1449">
        <v>1446</v>
      </c>
      <c r="B1449" t="s">
        <v>18</v>
      </c>
      <c r="C1449" t="s">
        <v>835</v>
      </c>
      <c r="D1449" s="4">
        <v>45398</v>
      </c>
      <c r="E1449" t="s">
        <v>291</v>
      </c>
      <c r="F1449" t="s">
        <v>75</v>
      </c>
      <c r="I1449" s="6">
        <v>0</v>
      </c>
      <c r="J1449" s="6">
        <v>0</v>
      </c>
      <c r="K1449" s="6">
        <v>0</v>
      </c>
      <c r="L1449" s="6">
        <v>1</v>
      </c>
      <c r="M1449" s="6">
        <v>0</v>
      </c>
      <c r="N1449" s="6">
        <v>0</v>
      </c>
      <c r="O1449" s="6">
        <v>0</v>
      </c>
      <c r="P1449" s="6">
        <v>1</v>
      </c>
      <c r="Q1449">
        <v>1</v>
      </c>
      <c r="R1449">
        <f t="shared" si="110"/>
        <v>0</v>
      </c>
      <c r="S1449">
        <f t="shared" si="111"/>
        <v>1</v>
      </c>
      <c r="T1449">
        <f t="shared" si="112"/>
        <v>2</v>
      </c>
      <c r="U1449">
        <f t="shared" si="113"/>
        <v>1</v>
      </c>
      <c r="V1449">
        <f t="shared" si="114"/>
        <v>0</v>
      </c>
    </row>
    <row r="1450" spans="1:22" x14ac:dyDescent="0.25">
      <c r="A1450">
        <v>1447</v>
      </c>
      <c r="B1450" t="s">
        <v>18</v>
      </c>
      <c r="C1450" t="s">
        <v>835</v>
      </c>
      <c r="D1450" s="4">
        <v>45398</v>
      </c>
      <c r="E1450" t="s">
        <v>292</v>
      </c>
      <c r="F1450" t="s">
        <v>75</v>
      </c>
      <c r="I1450" s="6">
        <v>0</v>
      </c>
      <c r="J1450" s="6">
        <v>0</v>
      </c>
      <c r="K1450" s="6">
        <v>0</v>
      </c>
      <c r="L1450" s="6">
        <v>1</v>
      </c>
      <c r="M1450" s="6">
        <v>0</v>
      </c>
      <c r="N1450" s="6">
        <v>0</v>
      </c>
      <c r="O1450" s="6">
        <v>0</v>
      </c>
      <c r="P1450" s="6">
        <v>0</v>
      </c>
      <c r="Q1450">
        <v>1</v>
      </c>
      <c r="R1450">
        <f t="shared" si="110"/>
        <v>0</v>
      </c>
      <c r="S1450">
        <f t="shared" si="111"/>
        <v>1</v>
      </c>
      <c r="T1450">
        <f t="shared" si="112"/>
        <v>1</v>
      </c>
      <c r="U1450">
        <f t="shared" si="113"/>
        <v>1</v>
      </c>
      <c r="V1450">
        <f t="shared" si="114"/>
        <v>0</v>
      </c>
    </row>
    <row r="1451" spans="1:22" x14ac:dyDescent="0.25">
      <c r="A1451">
        <v>1448</v>
      </c>
      <c r="B1451" t="s">
        <v>18</v>
      </c>
      <c r="C1451" t="s">
        <v>835</v>
      </c>
      <c r="D1451" s="4">
        <v>45399</v>
      </c>
      <c r="E1451" t="s">
        <v>294</v>
      </c>
      <c r="F1451" t="s">
        <v>75</v>
      </c>
      <c r="I1451" s="6">
        <v>1</v>
      </c>
      <c r="J1451" s="6">
        <v>0</v>
      </c>
      <c r="K1451" s="6">
        <v>1</v>
      </c>
      <c r="L1451" s="6">
        <v>1</v>
      </c>
      <c r="M1451" s="6">
        <v>0</v>
      </c>
      <c r="N1451" s="6">
        <v>0</v>
      </c>
      <c r="O1451" s="6">
        <v>0</v>
      </c>
      <c r="P1451" s="6">
        <v>0</v>
      </c>
      <c r="Q1451">
        <v>1</v>
      </c>
      <c r="R1451">
        <f t="shared" si="110"/>
        <v>0</v>
      </c>
      <c r="S1451">
        <f t="shared" si="111"/>
        <v>1</v>
      </c>
      <c r="T1451">
        <f t="shared" si="112"/>
        <v>3</v>
      </c>
      <c r="U1451">
        <f t="shared" si="113"/>
        <v>1</v>
      </c>
      <c r="V1451">
        <f t="shared" si="114"/>
        <v>0</v>
      </c>
    </row>
    <row r="1452" spans="1:22" x14ac:dyDescent="0.25">
      <c r="A1452">
        <v>1449</v>
      </c>
      <c r="B1452" t="s">
        <v>18</v>
      </c>
      <c r="C1452" t="s">
        <v>835</v>
      </c>
      <c r="D1452" s="4">
        <v>45399</v>
      </c>
      <c r="E1452" t="s">
        <v>295</v>
      </c>
      <c r="F1452" t="s">
        <v>75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1</v>
      </c>
      <c r="Q1452">
        <v>1</v>
      </c>
      <c r="R1452">
        <f t="shared" si="110"/>
        <v>0</v>
      </c>
      <c r="S1452">
        <f t="shared" si="111"/>
        <v>1</v>
      </c>
      <c r="T1452">
        <f t="shared" si="112"/>
        <v>1</v>
      </c>
      <c r="U1452">
        <f t="shared" si="113"/>
        <v>1</v>
      </c>
      <c r="V1452">
        <f t="shared" si="114"/>
        <v>0</v>
      </c>
    </row>
    <row r="1453" spans="1:22" x14ac:dyDescent="0.25">
      <c r="A1453">
        <v>1450</v>
      </c>
      <c r="B1453" t="s">
        <v>18</v>
      </c>
      <c r="C1453" t="s">
        <v>835</v>
      </c>
      <c r="D1453" s="4">
        <v>45400</v>
      </c>
      <c r="E1453" t="s">
        <v>876</v>
      </c>
      <c r="F1453" t="s">
        <v>75</v>
      </c>
      <c r="I1453" s="6">
        <v>1</v>
      </c>
      <c r="J1453" s="6">
        <v>0</v>
      </c>
      <c r="K1453" s="6">
        <v>0</v>
      </c>
      <c r="L1453" s="6">
        <v>1</v>
      </c>
      <c r="M1453" s="6">
        <v>0</v>
      </c>
      <c r="N1453" s="6">
        <v>0</v>
      </c>
      <c r="O1453" s="6">
        <v>0</v>
      </c>
      <c r="P1453" s="6">
        <v>0</v>
      </c>
      <c r="Q1453">
        <v>1</v>
      </c>
      <c r="R1453">
        <f t="shared" si="110"/>
        <v>0</v>
      </c>
      <c r="S1453">
        <f t="shared" si="111"/>
        <v>1</v>
      </c>
      <c r="T1453">
        <f t="shared" si="112"/>
        <v>2</v>
      </c>
      <c r="U1453">
        <f t="shared" si="113"/>
        <v>1</v>
      </c>
      <c r="V1453">
        <f t="shared" si="114"/>
        <v>0</v>
      </c>
    </row>
    <row r="1454" spans="1:22" x14ac:dyDescent="0.25">
      <c r="A1454">
        <v>1451</v>
      </c>
      <c r="B1454" t="s">
        <v>18</v>
      </c>
      <c r="C1454" t="s">
        <v>835</v>
      </c>
      <c r="D1454" s="4">
        <v>45400</v>
      </c>
      <c r="E1454" t="s">
        <v>296</v>
      </c>
      <c r="F1454" t="s">
        <v>75</v>
      </c>
      <c r="I1454" s="6">
        <v>0</v>
      </c>
      <c r="J1454" s="6">
        <v>0</v>
      </c>
      <c r="K1454" s="6">
        <v>0</v>
      </c>
      <c r="L1454" s="6">
        <v>0</v>
      </c>
      <c r="M1454" s="6">
        <v>1</v>
      </c>
      <c r="N1454" s="6">
        <v>0</v>
      </c>
      <c r="O1454" s="6">
        <v>0</v>
      </c>
      <c r="P1454" s="6">
        <v>0</v>
      </c>
      <c r="Q1454">
        <v>1</v>
      </c>
      <c r="R1454">
        <f t="shared" si="110"/>
        <v>0</v>
      </c>
      <c r="S1454">
        <f t="shared" si="111"/>
        <v>1</v>
      </c>
      <c r="T1454">
        <f t="shared" si="112"/>
        <v>1</v>
      </c>
      <c r="U1454">
        <f t="shared" si="113"/>
        <v>1</v>
      </c>
      <c r="V1454">
        <f t="shared" si="114"/>
        <v>0</v>
      </c>
    </row>
    <row r="1455" spans="1:22" x14ac:dyDescent="0.25">
      <c r="A1455">
        <v>1452</v>
      </c>
      <c r="B1455" t="s">
        <v>18</v>
      </c>
      <c r="C1455" t="s">
        <v>835</v>
      </c>
      <c r="D1455" s="4">
        <v>45401</v>
      </c>
      <c r="E1455" t="s">
        <v>298</v>
      </c>
      <c r="F1455" t="s">
        <v>75</v>
      </c>
      <c r="I1455" s="6">
        <v>1</v>
      </c>
      <c r="J1455" s="6">
        <v>0</v>
      </c>
      <c r="K1455" s="6">
        <v>0</v>
      </c>
      <c r="L1455" s="6">
        <v>1</v>
      </c>
      <c r="M1455" s="6">
        <v>0</v>
      </c>
      <c r="N1455" s="6">
        <v>0</v>
      </c>
      <c r="O1455" s="6">
        <v>0</v>
      </c>
      <c r="P1455" s="6">
        <v>0</v>
      </c>
      <c r="Q1455">
        <v>1</v>
      </c>
      <c r="R1455">
        <f t="shared" si="110"/>
        <v>0</v>
      </c>
      <c r="S1455">
        <f t="shared" si="111"/>
        <v>1</v>
      </c>
      <c r="T1455">
        <f t="shared" si="112"/>
        <v>2</v>
      </c>
      <c r="U1455">
        <f t="shared" si="113"/>
        <v>1</v>
      </c>
      <c r="V1455">
        <f t="shared" si="114"/>
        <v>0</v>
      </c>
    </row>
    <row r="1456" spans="1:22" x14ac:dyDescent="0.25">
      <c r="A1456">
        <v>1453</v>
      </c>
      <c r="B1456" t="s">
        <v>18</v>
      </c>
      <c r="C1456" t="s">
        <v>835</v>
      </c>
      <c r="D1456" s="4">
        <v>45401</v>
      </c>
      <c r="E1456" t="s">
        <v>459</v>
      </c>
      <c r="F1456" t="s">
        <v>75</v>
      </c>
      <c r="I1456" s="6">
        <v>0</v>
      </c>
      <c r="J1456" s="6">
        <v>0</v>
      </c>
      <c r="K1456" s="6">
        <v>0</v>
      </c>
      <c r="L1456" s="6">
        <v>0</v>
      </c>
      <c r="M1456" s="6">
        <v>1</v>
      </c>
      <c r="N1456" s="6">
        <v>0</v>
      </c>
      <c r="O1456" s="6">
        <v>0</v>
      </c>
      <c r="P1456" s="6">
        <v>1</v>
      </c>
      <c r="Q1456">
        <v>1</v>
      </c>
      <c r="R1456">
        <f t="shared" si="110"/>
        <v>0</v>
      </c>
      <c r="S1456">
        <f t="shared" si="111"/>
        <v>1</v>
      </c>
      <c r="T1456">
        <f t="shared" si="112"/>
        <v>2</v>
      </c>
      <c r="U1456">
        <f t="shared" si="113"/>
        <v>1</v>
      </c>
      <c r="V1456">
        <f t="shared" si="114"/>
        <v>0</v>
      </c>
    </row>
    <row r="1457" spans="1:22" x14ac:dyDescent="0.25">
      <c r="A1457">
        <v>1454</v>
      </c>
      <c r="B1457" t="s">
        <v>18</v>
      </c>
      <c r="C1457" t="s">
        <v>835</v>
      </c>
      <c r="D1457" s="4">
        <v>45401</v>
      </c>
      <c r="E1457" t="s">
        <v>877</v>
      </c>
      <c r="F1457" t="s">
        <v>75</v>
      </c>
      <c r="I1457" s="6">
        <v>0</v>
      </c>
      <c r="J1457" s="6">
        <v>0</v>
      </c>
      <c r="K1457" s="6">
        <v>1</v>
      </c>
      <c r="L1457" s="6">
        <v>1</v>
      </c>
      <c r="M1457" s="6">
        <v>0</v>
      </c>
      <c r="N1457" s="6">
        <v>0</v>
      </c>
      <c r="O1457" s="6">
        <v>0</v>
      </c>
      <c r="P1457" s="6">
        <v>0</v>
      </c>
      <c r="Q1457">
        <v>1</v>
      </c>
      <c r="R1457">
        <f t="shared" si="110"/>
        <v>0</v>
      </c>
      <c r="S1457">
        <f t="shared" si="111"/>
        <v>1</v>
      </c>
      <c r="T1457">
        <f t="shared" si="112"/>
        <v>2</v>
      </c>
      <c r="U1457">
        <f t="shared" si="113"/>
        <v>1</v>
      </c>
      <c r="V1457">
        <f t="shared" si="114"/>
        <v>0</v>
      </c>
    </row>
    <row r="1458" spans="1:22" x14ac:dyDescent="0.25">
      <c r="A1458">
        <v>1455</v>
      </c>
      <c r="B1458" t="s">
        <v>18</v>
      </c>
      <c r="C1458" t="s">
        <v>835</v>
      </c>
      <c r="D1458" s="4">
        <v>45402</v>
      </c>
      <c r="E1458" t="s">
        <v>460</v>
      </c>
      <c r="F1458" t="s">
        <v>75</v>
      </c>
      <c r="I1458" s="6">
        <v>0</v>
      </c>
      <c r="J1458" s="6">
        <v>0</v>
      </c>
      <c r="K1458" s="6">
        <v>0</v>
      </c>
      <c r="L1458" s="6">
        <v>1</v>
      </c>
      <c r="M1458" s="6">
        <v>0</v>
      </c>
      <c r="N1458" s="6">
        <v>0</v>
      </c>
      <c r="O1458" s="6">
        <v>0</v>
      </c>
      <c r="P1458" s="6">
        <v>0</v>
      </c>
      <c r="Q1458">
        <v>1</v>
      </c>
      <c r="R1458">
        <f t="shared" si="110"/>
        <v>0</v>
      </c>
      <c r="S1458">
        <f t="shared" si="111"/>
        <v>1</v>
      </c>
      <c r="T1458">
        <f t="shared" si="112"/>
        <v>1</v>
      </c>
      <c r="U1458">
        <f t="shared" si="113"/>
        <v>1</v>
      </c>
      <c r="V1458">
        <f t="shared" si="114"/>
        <v>0</v>
      </c>
    </row>
    <row r="1459" spans="1:22" x14ac:dyDescent="0.25">
      <c r="A1459">
        <v>1456</v>
      </c>
      <c r="B1459" t="s">
        <v>18</v>
      </c>
      <c r="C1459" t="s">
        <v>835</v>
      </c>
      <c r="D1459" s="4">
        <v>45403</v>
      </c>
      <c r="E1459" t="s">
        <v>1225</v>
      </c>
      <c r="F1459" t="s">
        <v>75</v>
      </c>
      <c r="I1459" s="6">
        <v>0</v>
      </c>
      <c r="J1459" s="6">
        <v>0</v>
      </c>
      <c r="K1459" s="6">
        <v>0</v>
      </c>
      <c r="L1459" s="6">
        <v>1</v>
      </c>
      <c r="M1459" s="6">
        <v>0</v>
      </c>
      <c r="N1459" s="6">
        <v>0</v>
      </c>
      <c r="O1459" s="6">
        <v>0</v>
      </c>
      <c r="P1459" s="6">
        <v>0</v>
      </c>
      <c r="Q1459">
        <v>1</v>
      </c>
      <c r="R1459">
        <f t="shared" si="110"/>
        <v>0</v>
      </c>
      <c r="S1459">
        <f t="shared" si="111"/>
        <v>1</v>
      </c>
      <c r="T1459">
        <f t="shared" si="112"/>
        <v>1</v>
      </c>
      <c r="U1459">
        <f t="shared" si="113"/>
        <v>1</v>
      </c>
      <c r="V1459">
        <f t="shared" si="114"/>
        <v>0</v>
      </c>
    </row>
    <row r="1460" spans="1:22" x14ac:dyDescent="0.25">
      <c r="A1460">
        <v>1457</v>
      </c>
      <c r="B1460" t="s">
        <v>18</v>
      </c>
      <c r="C1460" t="s">
        <v>835</v>
      </c>
      <c r="D1460" s="4">
        <v>45404</v>
      </c>
      <c r="E1460" t="s">
        <v>1226</v>
      </c>
      <c r="F1460" t="s">
        <v>75</v>
      </c>
      <c r="I1460" s="6">
        <v>1</v>
      </c>
      <c r="J1460" s="6">
        <v>0</v>
      </c>
      <c r="K1460" s="6">
        <v>0</v>
      </c>
      <c r="L1460" s="6">
        <v>1</v>
      </c>
      <c r="M1460" s="6">
        <v>0</v>
      </c>
      <c r="N1460" s="6">
        <v>0</v>
      </c>
      <c r="O1460" s="6">
        <v>0</v>
      </c>
      <c r="P1460" s="6">
        <v>0</v>
      </c>
      <c r="Q1460">
        <v>1</v>
      </c>
      <c r="R1460">
        <f t="shared" si="110"/>
        <v>0</v>
      </c>
      <c r="S1460">
        <f t="shared" si="111"/>
        <v>1</v>
      </c>
      <c r="T1460">
        <f t="shared" si="112"/>
        <v>2</v>
      </c>
      <c r="U1460">
        <f t="shared" si="113"/>
        <v>1</v>
      </c>
      <c r="V1460">
        <f t="shared" si="114"/>
        <v>0</v>
      </c>
    </row>
    <row r="1461" spans="1:22" x14ac:dyDescent="0.25">
      <c r="A1461">
        <v>1458</v>
      </c>
      <c r="B1461" t="s">
        <v>18</v>
      </c>
      <c r="C1461" t="s">
        <v>835</v>
      </c>
      <c r="D1461" s="4">
        <v>45405</v>
      </c>
      <c r="E1461" t="s">
        <v>463</v>
      </c>
      <c r="F1461" t="s">
        <v>75</v>
      </c>
      <c r="I1461" s="6">
        <v>0</v>
      </c>
      <c r="J1461" s="6">
        <v>0</v>
      </c>
      <c r="K1461" s="6">
        <v>0</v>
      </c>
      <c r="L1461" s="6">
        <v>1</v>
      </c>
      <c r="M1461" s="6">
        <v>0</v>
      </c>
      <c r="N1461" s="6">
        <v>0</v>
      </c>
      <c r="O1461" s="6">
        <v>1</v>
      </c>
      <c r="P1461" s="6">
        <v>0</v>
      </c>
      <c r="Q1461">
        <v>1</v>
      </c>
      <c r="R1461">
        <f t="shared" si="110"/>
        <v>0</v>
      </c>
      <c r="S1461">
        <f t="shared" si="111"/>
        <v>1</v>
      </c>
      <c r="T1461">
        <f t="shared" si="112"/>
        <v>2</v>
      </c>
      <c r="U1461">
        <f t="shared" si="113"/>
        <v>1</v>
      </c>
      <c r="V1461">
        <f t="shared" si="114"/>
        <v>0</v>
      </c>
    </row>
    <row r="1462" spans="1:22" x14ac:dyDescent="0.25">
      <c r="A1462">
        <v>1459</v>
      </c>
      <c r="B1462" t="s">
        <v>18</v>
      </c>
      <c r="C1462" t="s">
        <v>835</v>
      </c>
      <c r="D1462" s="4">
        <v>45406</v>
      </c>
      <c r="E1462" t="s">
        <v>1227</v>
      </c>
      <c r="F1462" t="s">
        <v>75</v>
      </c>
      <c r="I1462" s="6">
        <v>1</v>
      </c>
      <c r="J1462" s="6">
        <v>0</v>
      </c>
      <c r="K1462" s="6">
        <v>0</v>
      </c>
      <c r="L1462" s="6">
        <v>1</v>
      </c>
      <c r="M1462" s="6">
        <v>0</v>
      </c>
      <c r="N1462" s="6">
        <v>0</v>
      </c>
      <c r="O1462" s="6">
        <v>0</v>
      </c>
      <c r="P1462" s="6">
        <v>0</v>
      </c>
      <c r="Q1462">
        <v>1</v>
      </c>
      <c r="R1462">
        <f t="shared" si="110"/>
        <v>0</v>
      </c>
      <c r="S1462">
        <f t="shared" si="111"/>
        <v>1</v>
      </c>
      <c r="T1462">
        <f t="shared" si="112"/>
        <v>2</v>
      </c>
      <c r="U1462">
        <f t="shared" si="113"/>
        <v>1</v>
      </c>
      <c r="V1462">
        <f t="shared" si="114"/>
        <v>0</v>
      </c>
    </row>
    <row r="1463" spans="1:22" x14ac:dyDescent="0.25">
      <c r="A1463">
        <v>1460</v>
      </c>
      <c r="B1463" t="s">
        <v>18</v>
      </c>
      <c r="C1463" t="s">
        <v>835</v>
      </c>
      <c r="D1463" s="4">
        <v>45407</v>
      </c>
      <c r="E1463" t="s">
        <v>304</v>
      </c>
      <c r="F1463" t="s">
        <v>75</v>
      </c>
      <c r="I1463" s="6">
        <v>0</v>
      </c>
      <c r="J1463" s="6">
        <v>0</v>
      </c>
      <c r="K1463" s="6">
        <v>0</v>
      </c>
      <c r="L1463" s="6">
        <v>1</v>
      </c>
      <c r="M1463" s="6">
        <v>1</v>
      </c>
      <c r="N1463" s="6">
        <v>0</v>
      </c>
      <c r="O1463" s="6">
        <v>0</v>
      </c>
      <c r="P1463" s="6">
        <v>1</v>
      </c>
      <c r="Q1463">
        <v>1</v>
      </c>
      <c r="R1463">
        <f t="shared" si="110"/>
        <v>0</v>
      </c>
      <c r="S1463">
        <f t="shared" si="111"/>
        <v>1</v>
      </c>
      <c r="T1463">
        <f t="shared" si="112"/>
        <v>3</v>
      </c>
      <c r="U1463">
        <f t="shared" si="113"/>
        <v>1</v>
      </c>
      <c r="V1463">
        <f t="shared" si="114"/>
        <v>0</v>
      </c>
    </row>
    <row r="1464" spans="1:22" x14ac:dyDescent="0.25">
      <c r="A1464">
        <v>1461</v>
      </c>
      <c r="B1464" t="s">
        <v>18</v>
      </c>
      <c r="C1464" t="s">
        <v>835</v>
      </c>
      <c r="D1464" s="4">
        <v>45407</v>
      </c>
      <c r="E1464" t="s">
        <v>464</v>
      </c>
      <c r="F1464" t="s">
        <v>75</v>
      </c>
      <c r="I1464" s="6">
        <v>0</v>
      </c>
      <c r="J1464" s="6">
        <v>0</v>
      </c>
      <c r="K1464" s="6">
        <v>0</v>
      </c>
      <c r="L1464" s="6">
        <v>1</v>
      </c>
      <c r="M1464" s="6">
        <v>0</v>
      </c>
      <c r="N1464" s="6">
        <v>0</v>
      </c>
      <c r="O1464" s="6">
        <v>0</v>
      </c>
      <c r="P1464" s="6">
        <v>0</v>
      </c>
      <c r="Q1464">
        <v>1</v>
      </c>
      <c r="R1464">
        <f t="shared" si="110"/>
        <v>0</v>
      </c>
      <c r="S1464">
        <f t="shared" si="111"/>
        <v>1</v>
      </c>
      <c r="T1464">
        <f t="shared" si="112"/>
        <v>1</v>
      </c>
      <c r="U1464">
        <f t="shared" si="113"/>
        <v>1</v>
      </c>
      <c r="V1464">
        <f t="shared" si="114"/>
        <v>0</v>
      </c>
    </row>
    <row r="1465" spans="1:22" x14ac:dyDescent="0.25">
      <c r="A1465">
        <v>1462</v>
      </c>
      <c r="B1465" t="s">
        <v>18</v>
      </c>
      <c r="C1465" t="s">
        <v>835</v>
      </c>
      <c r="D1465" s="4">
        <v>45408</v>
      </c>
      <c r="E1465" t="s">
        <v>305</v>
      </c>
      <c r="F1465" t="s">
        <v>357</v>
      </c>
      <c r="I1465" s="6">
        <v>0</v>
      </c>
      <c r="J1465" s="6">
        <v>0</v>
      </c>
      <c r="K1465" s="6">
        <v>0</v>
      </c>
      <c r="L1465" s="6">
        <v>1</v>
      </c>
      <c r="M1465" s="6">
        <v>0</v>
      </c>
      <c r="N1465" s="6">
        <v>0</v>
      </c>
      <c r="O1465" s="6">
        <v>0</v>
      </c>
      <c r="P1465" s="6">
        <v>0</v>
      </c>
      <c r="Q1465">
        <v>1</v>
      </c>
      <c r="R1465">
        <f t="shared" si="110"/>
        <v>0</v>
      </c>
      <c r="S1465">
        <f t="shared" si="111"/>
        <v>0</v>
      </c>
      <c r="T1465">
        <f t="shared" si="112"/>
        <v>1</v>
      </c>
      <c r="U1465">
        <f t="shared" si="113"/>
        <v>1</v>
      </c>
      <c r="V1465">
        <f t="shared" si="114"/>
        <v>0</v>
      </c>
    </row>
    <row r="1466" spans="1:22" x14ac:dyDescent="0.25">
      <c r="A1466">
        <v>1463</v>
      </c>
      <c r="B1466" t="s">
        <v>18</v>
      </c>
      <c r="C1466" t="s">
        <v>835</v>
      </c>
      <c r="D1466" s="4">
        <v>45408</v>
      </c>
      <c r="E1466" t="s">
        <v>306</v>
      </c>
      <c r="F1466" t="s">
        <v>75</v>
      </c>
      <c r="I1466" s="6">
        <v>0</v>
      </c>
      <c r="J1466" s="6">
        <v>0</v>
      </c>
      <c r="K1466" s="6">
        <v>0</v>
      </c>
      <c r="L1466" s="6">
        <v>1</v>
      </c>
      <c r="M1466" s="6">
        <v>0</v>
      </c>
      <c r="N1466" s="6">
        <v>0</v>
      </c>
      <c r="O1466" s="6">
        <v>0</v>
      </c>
      <c r="P1466" s="6">
        <v>0</v>
      </c>
      <c r="Q1466">
        <v>1</v>
      </c>
      <c r="R1466">
        <f t="shared" si="110"/>
        <v>0</v>
      </c>
      <c r="S1466">
        <f t="shared" si="111"/>
        <v>1</v>
      </c>
      <c r="T1466">
        <f t="shared" si="112"/>
        <v>1</v>
      </c>
      <c r="U1466">
        <f t="shared" si="113"/>
        <v>1</v>
      </c>
      <c r="V1466">
        <f t="shared" si="114"/>
        <v>0</v>
      </c>
    </row>
    <row r="1467" spans="1:22" x14ac:dyDescent="0.25">
      <c r="A1467">
        <v>1464</v>
      </c>
      <c r="B1467" t="s">
        <v>18</v>
      </c>
      <c r="C1467" t="s">
        <v>835</v>
      </c>
      <c r="D1467" s="4">
        <v>45408</v>
      </c>
      <c r="E1467" t="s">
        <v>307</v>
      </c>
      <c r="F1467" t="s">
        <v>413</v>
      </c>
      <c r="G1467">
        <v>89</v>
      </c>
      <c r="I1467" s="6">
        <v>0</v>
      </c>
      <c r="J1467" s="6">
        <v>1</v>
      </c>
      <c r="K1467" s="6">
        <v>0</v>
      </c>
      <c r="L1467" s="6">
        <v>1</v>
      </c>
      <c r="M1467" s="6">
        <v>0</v>
      </c>
      <c r="N1467" s="6">
        <v>0</v>
      </c>
      <c r="O1467" s="6">
        <v>0</v>
      </c>
      <c r="P1467" s="6">
        <v>0</v>
      </c>
      <c r="Q1467">
        <v>1</v>
      </c>
      <c r="R1467">
        <f t="shared" si="110"/>
        <v>1</v>
      </c>
      <c r="S1467">
        <f t="shared" si="111"/>
        <v>0</v>
      </c>
      <c r="T1467">
        <f t="shared" si="112"/>
        <v>2</v>
      </c>
      <c r="U1467">
        <f t="shared" si="113"/>
        <v>1</v>
      </c>
      <c r="V1467">
        <f t="shared" si="114"/>
        <v>1</v>
      </c>
    </row>
    <row r="1468" spans="1:22" x14ac:dyDescent="0.25">
      <c r="A1468">
        <v>1465</v>
      </c>
      <c r="B1468" t="s">
        <v>18</v>
      </c>
      <c r="C1468" t="s">
        <v>835</v>
      </c>
      <c r="D1468" s="4">
        <v>45409</v>
      </c>
      <c r="E1468" t="s">
        <v>878</v>
      </c>
      <c r="F1468" t="s">
        <v>75</v>
      </c>
      <c r="I1468" s="6">
        <v>0</v>
      </c>
      <c r="J1468" s="6">
        <v>0</v>
      </c>
      <c r="K1468" s="6">
        <v>0</v>
      </c>
      <c r="L1468" s="6">
        <v>1</v>
      </c>
      <c r="M1468" s="6">
        <v>0</v>
      </c>
      <c r="N1468" s="6">
        <v>0</v>
      </c>
      <c r="O1468" s="6">
        <v>0</v>
      </c>
      <c r="P1468" s="6">
        <v>0</v>
      </c>
      <c r="Q1468">
        <v>1</v>
      </c>
      <c r="R1468">
        <f t="shared" si="110"/>
        <v>0</v>
      </c>
      <c r="S1468">
        <f t="shared" si="111"/>
        <v>1</v>
      </c>
      <c r="T1468">
        <f t="shared" si="112"/>
        <v>1</v>
      </c>
      <c r="U1468">
        <f t="shared" si="113"/>
        <v>1</v>
      </c>
      <c r="V1468">
        <f t="shared" si="114"/>
        <v>0</v>
      </c>
    </row>
    <row r="1469" spans="1:22" x14ac:dyDescent="0.25">
      <c r="A1469">
        <v>1466</v>
      </c>
      <c r="B1469" t="s">
        <v>18</v>
      </c>
      <c r="C1469" t="s">
        <v>835</v>
      </c>
      <c r="D1469" s="4">
        <v>45410</v>
      </c>
      <c r="E1469" t="s">
        <v>879</v>
      </c>
      <c r="F1469" t="s">
        <v>75</v>
      </c>
      <c r="I1469" s="6">
        <v>0</v>
      </c>
      <c r="J1469" s="6">
        <v>0</v>
      </c>
      <c r="K1469" s="6">
        <v>0</v>
      </c>
      <c r="L1469" s="6">
        <v>1</v>
      </c>
      <c r="M1469" s="6">
        <v>0</v>
      </c>
      <c r="N1469" s="6">
        <v>0</v>
      </c>
      <c r="O1469" s="6">
        <v>0</v>
      </c>
      <c r="P1469" s="6">
        <v>0</v>
      </c>
      <c r="Q1469">
        <v>1</v>
      </c>
      <c r="R1469">
        <f t="shared" si="110"/>
        <v>0</v>
      </c>
      <c r="S1469">
        <f t="shared" si="111"/>
        <v>1</v>
      </c>
      <c r="T1469">
        <f t="shared" si="112"/>
        <v>1</v>
      </c>
      <c r="U1469">
        <f t="shared" si="113"/>
        <v>1</v>
      </c>
      <c r="V1469">
        <f t="shared" si="114"/>
        <v>0</v>
      </c>
    </row>
    <row r="1470" spans="1:22" x14ac:dyDescent="0.25">
      <c r="A1470">
        <v>1467</v>
      </c>
      <c r="B1470" t="s">
        <v>18</v>
      </c>
      <c r="C1470" t="s">
        <v>835</v>
      </c>
      <c r="D1470" s="4">
        <v>45411</v>
      </c>
      <c r="E1470" t="s">
        <v>312</v>
      </c>
      <c r="F1470" t="s">
        <v>75</v>
      </c>
      <c r="I1470" s="6">
        <v>0</v>
      </c>
      <c r="J1470" s="6">
        <v>0</v>
      </c>
      <c r="K1470" s="6">
        <v>0</v>
      </c>
      <c r="L1470" s="6">
        <v>1</v>
      </c>
      <c r="M1470" s="6">
        <v>0</v>
      </c>
      <c r="N1470" s="6">
        <v>0</v>
      </c>
      <c r="O1470" s="6">
        <v>0</v>
      </c>
      <c r="P1470" s="6">
        <v>0</v>
      </c>
      <c r="Q1470">
        <v>1</v>
      </c>
      <c r="R1470">
        <f t="shared" si="110"/>
        <v>0</v>
      </c>
      <c r="S1470">
        <f t="shared" si="111"/>
        <v>1</v>
      </c>
      <c r="T1470">
        <f t="shared" si="112"/>
        <v>1</v>
      </c>
      <c r="U1470">
        <f t="shared" si="113"/>
        <v>1</v>
      </c>
      <c r="V1470">
        <f t="shared" si="114"/>
        <v>0</v>
      </c>
    </row>
    <row r="1471" spans="1:22" x14ac:dyDescent="0.25">
      <c r="A1471">
        <v>1468</v>
      </c>
      <c r="B1471" t="s">
        <v>18</v>
      </c>
      <c r="C1471" t="s">
        <v>835</v>
      </c>
      <c r="D1471" s="4">
        <v>45412</v>
      </c>
      <c r="E1471" t="s">
        <v>1159</v>
      </c>
      <c r="F1471" t="s">
        <v>75</v>
      </c>
      <c r="I1471" s="6">
        <v>0</v>
      </c>
      <c r="J1471" s="6">
        <v>0</v>
      </c>
      <c r="K1471" s="6">
        <v>0</v>
      </c>
      <c r="L1471" s="6">
        <v>1</v>
      </c>
      <c r="M1471" s="6">
        <v>1</v>
      </c>
      <c r="N1471" s="6">
        <v>0</v>
      </c>
      <c r="O1471" s="6">
        <v>0</v>
      </c>
      <c r="P1471" s="6">
        <v>0</v>
      </c>
      <c r="Q1471">
        <v>1</v>
      </c>
      <c r="R1471">
        <f t="shared" si="110"/>
        <v>0</v>
      </c>
      <c r="S1471">
        <f t="shared" si="111"/>
        <v>1</v>
      </c>
      <c r="T1471">
        <f t="shared" si="112"/>
        <v>2</v>
      </c>
      <c r="U1471">
        <f t="shared" si="113"/>
        <v>1</v>
      </c>
      <c r="V1471">
        <f t="shared" si="114"/>
        <v>0</v>
      </c>
    </row>
    <row r="1472" spans="1:22" x14ac:dyDescent="0.25">
      <c r="A1472">
        <v>1469</v>
      </c>
      <c r="B1472" t="s">
        <v>18</v>
      </c>
      <c r="C1472" t="s">
        <v>835</v>
      </c>
      <c r="D1472" s="4">
        <v>45412</v>
      </c>
      <c r="E1472" t="s">
        <v>880</v>
      </c>
      <c r="F1472" t="s">
        <v>75</v>
      </c>
      <c r="I1472" s="6">
        <v>1</v>
      </c>
      <c r="J1472" s="6">
        <v>1</v>
      </c>
      <c r="K1472" s="6">
        <v>1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>
        <v>1</v>
      </c>
      <c r="R1472">
        <f t="shared" si="110"/>
        <v>0</v>
      </c>
      <c r="S1472">
        <f t="shared" si="111"/>
        <v>1</v>
      </c>
      <c r="T1472">
        <f t="shared" si="112"/>
        <v>3</v>
      </c>
      <c r="U1472">
        <f t="shared" si="113"/>
        <v>1</v>
      </c>
      <c r="V1472">
        <f t="shared" si="114"/>
        <v>0</v>
      </c>
    </row>
    <row r="1473" spans="1:22" x14ac:dyDescent="0.25">
      <c r="A1473">
        <v>1470</v>
      </c>
      <c r="B1473" t="s">
        <v>18</v>
      </c>
      <c r="C1473" t="s">
        <v>835</v>
      </c>
      <c r="D1473" s="4">
        <v>45413</v>
      </c>
      <c r="E1473" t="s">
        <v>467</v>
      </c>
      <c r="F1473" t="s">
        <v>75</v>
      </c>
      <c r="I1473" s="6">
        <v>0</v>
      </c>
      <c r="J1473" s="6">
        <v>0</v>
      </c>
      <c r="K1473" s="6">
        <v>0</v>
      </c>
      <c r="L1473" s="6">
        <v>1</v>
      </c>
      <c r="M1473" s="6">
        <v>1</v>
      </c>
      <c r="N1473" s="6">
        <v>0</v>
      </c>
      <c r="O1473" s="6">
        <v>0</v>
      </c>
      <c r="P1473" s="6">
        <v>0</v>
      </c>
      <c r="Q1473">
        <v>1</v>
      </c>
      <c r="R1473">
        <f t="shared" si="110"/>
        <v>0</v>
      </c>
      <c r="S1473">
        <f t="shared" si="111"/>
        <v>1</v>
      </c>
      <c r="T1473">
        <f t="shared" si="112"/>
        <v>2</v>
      </c>
      <c r="U1473">
        <f t="shared" si="113"/>
        <v>1</v>
      </c>
      <c r="V1473">
        <f t="shared" si="114"/>
        <v>0</v>
      </c>
    </row>
    <row r="1474" spans="1:22" x14ac:dyDescent="0.25">
      <c r="A1474">
        <v>1471</v>
      </c>
      <c r="B1474" t="s">
        <v>18</v>
      </c>
      <c r="C1474" t="s">
        <v>835</v>
      </c>
      <c r="D1474" s="4">
        <v>45413</v>
      </c>
      <c r="E1474" t="s">
        <v>468</v>
      </c>
      <c r="F1474" t="s">
        <v>413</v>
      </c>
      <c r="G1474">
        <v>90</v>
      </c>
      <c r="I1474" s="6">
        <v>0</v>
      </c>
      <c r="J1474" s="6">
        <v>0</v>
      </c>
      <c r="K1474" s="6">
        <v>0</v>
      </c>
      <c r="L1474" s="6">
        <v>1</v>
      </c>
      <c r="M1474" s="6">
        <v>1</v>
      </c>
      <c r="N1474" s="6">
        <v>0</v>
      </c>
      <c r="O1474" s="6">
        <v>1</v>
      </c>
      <c r="P1474" s="6">
        <v>0</v>
      </c>
      <c r="Q1474">
        <v>1</v>
      </c>
      <c r="R1474">
        <f t="shared" si="110"/>
        <v>1</v>
      </c>
      <c r="S1474">
        <f t="shared" si="111"/>
        <v>0</v>
      </c>
      <c r="T1474">
        <f t="shared" si="112"/>
        <v>3</v>
      </c>
      <c r="U1474">
        <f t="shared" si="113"/>
        <v>1</v>
      </c>
      <c r="V1474">
        <f t="shared" si="114"/>
        <v>1</v>
      </c>
    </row>
    <row r="1475" spans="1:22" x14ac:dyDescent="0.25">
      <c r="A1475">
        <v>1472</v>
      </c>
      <c r="B1475" t="s">
        <v>18</v>
      </c>
      <c r="C1475" t="s">
        <v>835</v>
      </c>
      <c r="D1475" s="4">
        <v>45414</v>
      </c>
      <c r="E1475" t="s">
        <v>881</v>
      </c>
      <c r="F1475" t="s">
        <v>413</v>
      </c>
      <c r="G1475">
        <v>91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>
        <v>1</v>
      </c>
      <c r="R1475">
        <f t="shared" ref="R1475:R1538" si="115">IF(AND(Q1475=1,F1475="ai_full"),1,0)</f>
        <v>1</v>
      </c>
      <c r="S1475">
        <f t="shared" ref="S1475:S1538" si="116">IF(AND(Q1475=1,F1475="conventional"),1,0)</f>
        <v>0</v>
      </c>
      <c r="T1475">
        <f t="shared" ref="T1475:T1538" si="117">SUM(I1475:P1475)</f>
        <v>0</v>
      </c>
      <c r="U1475">
        <f t="shared" ref="U1475:U1538" si="118">IF(T1475&gt;=1,1,0)</f>
        <v>0</v>
      </c>
      <c r="V1475">
        <f t="shared" ref="V1475:V1538" si="119">IF(F1475="ai_full",1,0)</f>
        <v>1</v>
      </c>
    </row>
    <row r="1476" spans="1:22" x14ac:dyDescent="0.25">
      <c r="A1476">
        <v>1473</v>
      </c>
      <c r="B1476" t="s">
        <v>18</v>
      </c>
      <c r="C1476" t="s">
        <v>835</v>
      </c>
      <c r="D1476" s="4">
        <v>45415</v>
      </c>
      <c r="E1476" t="s">
        <v>882</v>
      </c>
      <c r="F1476" t="s">
        <v>75</v>
      </c>
      <c r="I1476" s="6">
        <v>1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>
        <v>1</v>
      </c>
      <c r="R1476">
        <f t="shared" si="115"/>
        <v>0</v>
      </c>
      <c r="S1476">
        <f t="shared" si="116"/>
        <v>1</v>
      </c>
      <c r="T1476">
        <f t="shared" si="117"/>
        <v>1</v>
      </c>
      <c r="U1476">
        <f t="shared" si="118"/>
        <v>1</v>
      </c>
      <c r="V1476">
        <f t="shared" si="119"/>
        <v>0</v>
      </c>
    </row>
    <row r="1477" spans="1:22" x14ac:dyDescent="0.25">
      <c r="A1477">
        <v>1474</v>
      </c>
      <c r="B1477" t="s">
        <v>18</v>
      </c>
      <c r="C1477" t="s">
        <v>835</v>
      </c>
      <c r="D1477" s="4">
        <v>45415</v>
      </c>
      <c r="E1477" t="s">
        <v>883</v>
      </c>
      <c r="F1477" t="s">
        <v>75</v>
      </c>
      <c r="I1477" s="6">
        <v>1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>
        <v>1</v>
      </c>
      <c r="R1477">
        <f t="shared" si="115"/>
        <v>0</v>
      </c>
      <c r="S1477">
        <f t="shared" si="116"/>
        <v>1</v>
      </c>
      <c r="T1477">
        <f t="shared" si="117"/>
        <v>1</v>
      </c>
      <c r="U1477">
        <f t="shared" si="118"/>
        <v>1</v>
      </c>
      <c r="V1477">
        <f t="shared" si="119"/>
        <v>0</v>
      </c>
    </row>
    <row r="1478" spans="1:22" x14ac:dyDescent="0.25">
      <c r="A1478">
        <v>1475</v>
      </c>
      <c r="B1478" t="s">
        <v>18</v>
      </c>
      <c r="C1478" t="s">
        <v>835</v>
      </c>
      <c r="D1478" s="4">
        <v>45415</v>
      </c>
      <c r="E1478" t="s">
        <v>884</v>
      </c>
      <c r="F1478" t="s">
        <v>75</v>
      </c>
      <c r="I1478" s="6">
        <v>0</v>
      </c>
      <c r="J1478" s="6">
        <v>0</v>
      </c>
      <c r="K1478" s="6">
        <v>0</v>
      </c>
      <c r="L1478" s="6">
        <v>1</v>
      </c>
      <c r="M1478" s="6">
        <v>0</v>
      </c>
      <c r="N1478" s="6">
        <v>0</v>
      </c>
      <c r="O1478" s="6">
        <v>1</v>
      </c>
      <c r="P1478" s="6">
        <v>0</v>
      </c>
      <c r="Q1478">
        <v>1</v>
      </c>
      <c r="R1478">
        <f t="shared" si="115"/>
        <v>0</v>
      </c>
      <c r="S1478">
        <f t="shared" si="116"/>
        <v>1</v>
      </c>
      <c r="T1478">
        <f t="shared" si="117"/>
        <v>2</v>
      </c>
      <c r="U1478">
        <f t="shared" si="118"/>
        <v>1</v>
      </c>
      <c r="V1478">
        <f t="shared" si="119"/>
        <v>0</v>
      </c>
    </row>
    <row r="1479" spans="1:22" x14ac:dyDescent="0.25">
      <c r="A1479">
        <v>1476</v>
      </c>
      <c r="B1479" t="s">
        <v>18</v>
      </c>
      <c r="C1479" t="s">
        <v>835</v>
      </c>
      <c r="D1479" s="4">
        <v>45416</v>
      </c>
      <c r="E1479" t="s">
        <v>315</v>
      </c>
      <c r="F1479" t="s">
        <v>75</v>
      </c>
      <c r="I1479" s="6">
        <v>0</v>
      </c>
      <c r="J1479" s="6">
        <v>0</v>
      </c>
      <c r="K1479" s="6">
        <v>0</v>
      </c>
      <c r="L1479" s="6">
        <v>1</v>
      </c>
      <c r="M1479" s="6">
        <v>1</v>
      </c>
      <c r="N1479" s="6">
        <v>0</v>
      </c>
      <c r="O1479" s="6">
        <v>0</v>
      </c>
      <c r="P1479" s="6">
        <v>0</v>
      </c>
      <c r="Q1479">
        <v>1</v>
      </c>
      <c r="R1479">
        <f t="shared" si="115"/>
        <v>0</v>
      </c>
      <c r="S1479">
        <f t="shared" si="116"/>
        <v>1</v>
      </c>
      <c r="T1479">
        <f t="shared" si="117"/>
        <v>2</v>
      </c>
      <c r="U1479">
        <f t="shared" si="118"/>
        <v>1</v>
      </c>
      <c r="V1479">
        <f t="shared" si="119"/>
        <v>0</v>
      </c>
    </row>
    <row r="1480" spans="1:22" x14ac:dyDescent="0.25">
      <c r="A1480">
        <v>1477</v>
      </c>
      <c r="B1480" t="s">
        <v>18</v>
      </c>
      <c r="C1480" t="s">
        <v>835</v>
      </c>
      <c r="D1480" s="4">
        <v>45416</v>
      </c>
      <c r="E1480" t="s">
        <v>316</v>
      </c>
      <c r="F1480" t="s">
        <v>75</v>
      </c>
      <c r="I1480" s="6">
        <v>0</v>
      </c>
      <c r="J1480" s="6">
        <v>0</v>
      </c>
      <c r="K1480" s="6">
        <v>0</v>
      </c>
      <c r="L1480" s="6">
        <v>1</v>
      </c>
      <c r="M1480" s="6">
        <v>0</v>
      </c>
      <c r="N1480" s="6">
        <v>0</v>
      </c>
      <c r="O1480" s="6">
        <v>0</v>
      </c>
      <c r="P1480" s="6">
        <v>0</v>
      </c>
      <c r="Q1480">
        <v>1</v>
      </c>
      <c r="R1480">
        <f t="shared" si="115"/>
        <v>0</v>
      </c>
      <c r="S1480">
        <f t="shared" si="116"/>
        <v>1</v>
      </c>
      <c r="T1480">
        <f t="shared" si="117"/>
        <v>1</v>
      </c>
      <c r="U1480">
        <f t="shared" si="118"/>
        <v>1</v>
      </c>
      <c r="V1480">
        <f t="shared" si="119"/>
        <v>0</v>
      </c>
    </row>
    <row r="1481" spans="1:22" x14ac:dyDescent="0.25">
      <c r="A1481">
        <v>1478</v>
      </c>
      <c r="B1481" t="s">
        <v>18</v>
      </c>
      <c r="C1481" t="s">
        <v>835</v>
      </c>
      <c r="D1481" s="4">
        <v>45416</v>
      </c>
      <c r="E1481" t="s">
        <v>469</v>
      </c>
      <c r="F1481" t="s">
        <v>75</v>
      </c>
      <c r="I1481" s="6">
        <v>0</v>
      </c>
      <c r="J1481" s="6">
        <v>0</v>
      </c>
      <c r="K1481" s="6">
        <v>0</v>
      </c>
      <c r="L1481" s="6">
        <v>1</v>
      </c>
      <c r="M1481" s="6">
        <v>0</v>
      </c>
      <c r="N1481" s="6">
        <v>0</v>
      </c>
      <c r="O1481" s="6">
        <v>0</v>
      </c>
      <c r="P1481" s="6">
        <v>0</v>
      </c>
      <c r="Q1481">
        <v>1</v>
      </c>
      <c r="R1481">
        <f t="shared" si="115"/>
        <v>0</v>
      </c>
      <c r="S1481">
        <f t="shared" si="116"/>
        <v>1</v>
      </c>
      <c r="T1481">
        <f t="shared" si="117"/>
        <v>1</v>
      </c>
      <c r="U1481">
        <f t="shared" si="118"/>
        <v>1</v>
      </c>
      <c r="V1481">
        <f t="shared" si="119"/>
        <v>0</v>
      </c>
    </row>
    <row r="1482" spans="1:22" x14ac:dyDescent="0.25">
      <c r="A1482">
        <v>1479</v>
      </c>
      <c r="B1482" t="s">
        <v>18</v>
      </c>
      <c r="C1482" t="s">
        <v>835</v>
      </c>
      <c r="D1482" s="4">
        <v>45417</v>
      </c>
      <c r="E1482" t="s">
        <v>885</v>
      </c>
      <c r="F1482" t="s">
        <v>75</v>
      </c>
      <c r="I1482" s="6">
        <v>0</v>
      </c>
      <c r="J1482" s="6">
        <v>0</v>
      </c>
      <c r="K1482" s="6">
        <v>0</v>
      </c>
      <c r="L1482" s="6">
        <v>1</v>
      </c>
      <c r="M1482" s="6">
        <v>0</v>
      </c>
      <c r="N1482" s="6">
        <v>0</v>
      </c>
      <c r="O1482" s="6">
        <v>0</v>
      </c>
      <c r="P1482" s="6">
        <v>0</v>
      </c>
      <c r="Q1482">
        <v>1</v>
      </c>
      <c r="R1482">
        <f t="shared" si="115"/>
        <v>0</v>
      </c>
      <c r="S1482">
        <f t="shared" si="116"/>
        <v>1</v>
      </c>
      <c r="T1482">
        <f t="shared" si="117"/>
        <v>1</v>
      </c>
      <c r="U1482">
        <f t="shared" si="118"/>
        <v>1</v>
      </c>
      <c r="V1482">
        <f t="shared" si="119"/>
        <v>0</v>
      </c>
    </row>
    <row r="1483" spans="1:22" x14ac:dyDescent="0.25">
      <c r="A1483">
        <v>1480</v>
      </c>
      <c r="B1483" t="s">
        <v>18</v>
      </c>
      <c r="C1483" t="s">
        <v>835</v>
      </c>
      <c r="D1483" s="4">
        <v>45418</v>
      </c>
      <c r="E1483" t="s">
        <v>470</v>
      </c>
      <c r="F1483" t="s">
        <v>75</v>
      </c>
      <c r="I1483" s="6">
        <v>0</v>
      </c>
      <c r="J1483" s="6">
        <v>0</v>
      </c>
      <c r="K1483" s="6">
        <v>0</v>
      </c>
      <c r="L1483" s="6">
        <v>1</v>
      </c>
      <c r="M1483" s="6">
        <v>1</v>
      </c>
      <c r="N1483" s="6">
        <v>0</v>
      </c>
      <c r="O1483" s="6">
        <v>0</v>
      </c>
      <c r="P1483" s="6">
        <v>0</v>
      </c>
      <c r="Q1483">
        <v>1</v>
      </c>
      <c r="R1483">
        <f t="shared" si="115"/>
        <v>0</v>
      </c>
      <c r="S1483">
        <f t="shared" si="116"/>
        <v>1</v>
      </c>
      <c r="T1483">
        <f t="shared" si="117"/>
        <v>2</v>
      </c>
      <c r="U1483">
        <f t="shared" si="118"/>
        <v>1</v>
      </c>
      <c r="V1483">
        <f t="shared" si="119"/>
        <v>0</v>
      </c>
    </row>
    <row r="1484" spans="1:22" x14ac:dyDescent="0.25">
      <c r="A1484">
        <v>1481</v>
      </c>
      <c r="B1484" t="s">
        <v>18</v>
      </c>
      <c r="C1484" t="s">
        <v>835</v>
      </c>
      <c r="D1484" s="4">
        <v>45419</v>
      </c>
      <c r="E1484" t="s">
        <v>886</v>
      </c>
      <c r="F1484" t="s">
        <v>75</v>
      </c>
      <c r="I1484" s="6">
        <v>0</v>
      </c>
      <c r="J1484" s="6">
        <v>0</v>
      </c>
      <c r="K1484" s="6">
        <v>0</v>
      </c>
      <c r="L1484" s="6">
        <v>1</v>
      </c>
      <c r="M1484" s="6">
        <v>0</v>
      </c>
      <c r="N1484" s="6">
        <v>1</v>
      </c>
      <c r="O1484" s="6">
        <v>0</v>
      </c>
      <c r="P1484" s="6">
        <v>0</v>
      </c>
      <c r="Q1484">
        <v>1</v>
      </c>
      <c r="R1484">
        <f t="shared" si="115"/>
        <v>0</v>
      </c>
      <c r="S1484">
        <f t="shared" si="116"/>
        <v>1</v>
      </c>
      <c r="T1484">
        <f t="shared" si="117"/>
        <v>2</v>
      </c>
      <c r="U1484">
        <f t="shared" si="118"/>
        <v>1</v>
      </c>
      <c r="V1484">
        <f t="shared" si="119"/>
        <v>0</v>
      </c>
    </row>
    <row r="1485" spans="1:22" x14ac:dyDescent="0.25">
      <c r="A1485">
        <v>1482</v>
      </c>
      <c r="B1485" t="s">
        <v>18</v>
      </c>
      <c r="C1485" t="s">
        <v>835</v>
      </c>
      <c r="D1485" s="4">
        <v>45420</v>
      </c>
      <c r="E1485" t="s">
        <v>471</v>
      </c>
      <c r="F1485" t="s">
        <v>75</v>
      </c>
      <c r="I1485" s="6">
        <v>0</v>
      </c>
      <c r="J1485" s="6">
        <v>0</v>
      </c>
      <c r="K1485" s="6">
        <v>0</v>
      </c>
      <c r="L1485" s="6">
        <v>1</v>
      </c>
      <c r="M1485" s="6">
        <v>0</v>
      </c>
      <c r="N1485" s="6">
        <v>0</v>
      </c>
      <c r="O1485" s="6">
        <v>0</v>
      </c>
      <c r="P1485" s="6">
        <v>0</v>
      </c>
      <c r="Q1485">
        <v>1</v>
      </c>
      <c r="R1485">
        <f t="shared" si="115"/>
        <v>0</v>
      </c>
      <c r="S1485">
        <f t="shared" si="116"/>
        <v>1</v>
      </c>
      <c r="T1485">
        <f t="shared" si="117"/>
        <v>1</v>
      </c>
      <c r="U1485">
        <f t="shared" si="118"/>
        <v>1</v>
      </c>
      <c r="V1485">
        <f t="shared" si="119"/>
        <v>0</v>
      </c>
    </row>
    <row r="1486" spans="1:22" x14ac:dyDescent="0.25">
      <c r="A1486">
        <v>1483</v>
      </c>
      <c r="B1486" t="s">
        <v>18</v>
      </c>
      <c r="C1486" t="s">
        <v>835</v>
      </c>
      <c r="D1486" s="4">
        <v>45420</v>
      </c>
      <c r="E1486" t="s">
        <v>472</v>
      </c>
      <c r="F1486" t="s">
        <v>75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1</v>
      </c>
      <c r="Q1486">
        <v>1</v>
      </c>
      <c r="R1486">
        <f t="shared" si="115"/>
        <v>0</v>
      </c>
      <c r="S1486">
        <f t="shared" si="116"/>
        <v>1</v>
      </c>
      <c r="T1486">
        <f t="shared" si="117"/>
        <v>1</v>
      </c>
      <c r="U1486">
        <f t="shared" si="118"/>
        <v>1</v>
      </c>
      <c r="V1486">
        <f t="shared" si="119"/>
        <v>0</v>
      </c>
    </row>
    <row r="1487" spans="1:22" x14ac:dyDescent="0.25">
      <c r="A1487">
        <v>1484</v>
      </c>
      <c r="B1487" t="s">
        <v>18</v>
      </c>
      <c r="C1487" t="s">
        <v>835</v>
      </c>
      <c r="D1487" s="4">
        <v>45421</v>
      </c>
      <c r="E1487" t="s">
        <v>1231</v>
      </c>
      <c r="F1487" t="s">
        <v>75</v>
      </c>
      <c r="I1487" s="6">
        <v>0</v>
      </c>
      <c r="J1487" s="6">
        <v>0</v>
      </c>
      <c r="K1487" s="6">
        <v>0</v>
      </c>
      <c r="L1487" s="6">
        <v>1</v>
      </c>
      <c r="M1487" s="6">
        <v>0</v>
      </c>
      <c r="N1487" s="6">
        <v>0</v>
      </c>
      <c r="O1487" s="6">
        <v>0</v>
      </c>
      <c r="P1487" s="6">
        <v>0</v>
      </c>
      <c r="Q1487">
        <v>1</v>
      </c>
      <c r="R1487">
        <f t="shared" si="115"/>
        <v>0</v>
      </c>
      <c r="S1487">
        <f t="shared" si="116"/>
        <v>1</v>
      </c>
      <c r="T1487">
        <f t="shared" si="117"/>
        <v>1</v>
      </c>
      <c r="U1487">
        <f t="shared" si="118"/>
        <v>1</v>
      </c>
      <c r="V1487">
        <f t="shared" si="119"/>
        <v>0</v>
      </c>
    </row>
    <row r="1488" spans="1:22" x14ac:dyDescent="0.25">
      <c r="A1488">
        <v>1485</v>
      </c>
      <c r="B1488" t="s">
        <v>18</v>
      </c>
      <c r="C1488" t="s">
        <v>835</v>
      </c>
      <c r="D1488" s="4">
        <v>45422</v>
      </c>
      <c r="E1488" t="s">
        <v>474</v>
      </c>
      <c r="F1488" t="s">
        <v>75</v>
      </c>
      <c r="I1488" s="6">
        <v>0</v>
      </c>
      <c r="J1488" s="6">
        <v>0</v>
      </c>
      <c r="K1488" s="6">
        <v>0</v>
      </c>
      <c r="L1488" s="6">
        <v>1</v>
      </c>
      <c r="M1488" s="6">
        <v>0</v>
      </c>
      <c r="N1488" s="6">
        <v>0</v>
      </c>
      <c r="O1488" s="6">
        <v>0</v>
      </c>
      <c r="P1488" s="6">
        <v>0</v>
      </c>
      <c r="Q1488">
        <v>1</v>
      </c>
      <c r="R1488">
        <f t="shared" si="115"/>
        <v>0</v>
      </c>
      <c r="S1488">
        <f t="shared" si="116"/>
        <v>1</v>
      </c>
      <c r="T1488">
        <f t="shared" si="117"/>
        <v>1</v>
      </c>
      <c r="U1488">
        <f t="shared" si="118"/>
        <v>1</v>
      </c>
      <c r="V1488">
        <f t="shared" si="119"/>
        <v>0</v>
      </c>
    </row>
    <row r="1489" spans="1:22" x14ac:dyDescent="0.25">
      <c r="A1489">
        <v>1486</v>
      </c>
      <c r="B1489" t="s">
        <v>18</v>
      </c>
      <c r="C1489" t="s">
        <v>835</v>
      </c>
      <c r="D1489" s="4">
        <v>45423</v>
      </c>
      <c r="E1489" t="s">
        <v>887</v>
      </c>
      <c r="F1489" t="s">
        <v>75</v>
      </c>
      <c r="I1489" s="6">
        <v>0</v>
      </c>
      <c r="J1489" s="6">
        <v>0</v>
      </c>
      <c r="K1489" s="6">
        <v>0</v>
      </c>
      <c r="L1489" s="6">
        <v>1</v>
      </c>
      <c r="M1489" s="6">
        <v>0</v>
      </c>
      <c r="N1489" s="6">
        <v>0</v>
      </c>
      <c r="O1489" s="6">
        <v>0</v>
      </c>
      <c r="P1489" s="6">
        <v>1</v>
      </c>
      <c r="Q1489">
        <v>1</v>
      </c>
      <c r="R1489">
        <f t="shared" si="115"/>
        <v>0</v>
      </c>
      <c r="S1489">
        <f t="shared" si="116"/>
        <v>1</v>
      </c>
      <c r="T1489">
        <f t="shared" si="117"/>
        <v>2</v>
      </c>
      <c r="U1489">
        <f t="shared" si="118"/>
        <v>1</v>
      </c>
      <c r="V1489">
        <f t="shared" si="119"/>
        <v>0</v>
      </c>
    </row>
    <row r="1490" spans="1:22" x14ac:dyDescent="0.25">
      <c r="A1490">
        <v>1487</v>
      </c>
      <c r="B1490" t="s">
        <v>18</v>
      </c>
      <c r="C1490" t="s">
        <v>835</v>
      </c>
      <c r="D1490" s="4">
        <v>45424</v>
      </c>
      <c r="E1490" t="s">
        <v>475</v>
      </c>
      <c r="F1490" t="s">
        <v>75</v>
      </c>
      <c r="I1490" s="6">
        <v>0</v>
      </c>
      <c r="J1490" s="6">
        <v>0</v>
      </c>
      <c r="K1490" s="6">
        <v>0</v>
      </c>
      <c r="L1490" s="6">
        <v>1</v>
      </c>
      <c r="M1490" s="6">
        <v>0</v>
      </c>
      <c r="N1490" s="6">
        <v>1</v>
      </c>
      <c r="O1490" s="6">
        <v>0</v>
      </c>
      <c r="P1490" s="6">
        <v>0</v>
      </c>
      <c r="Q1490">
        <v>1</v>
      </c>
      <c r="R1490">
        <f t="shared" si="115"/>
        <v>0</v>
      </c>
      <c r="S1490">
        <f t="shared" si="116"/>
        <v>1</v>
      </c>
      <c r="T1490">
        <f t="shared" si="117"/>
        <v>2</v>
      </c>
      <c r="U1490">
        <f t="shared" si="118"/>
        <v>1</v>
      </c>
      <c r="V1490">
        <f t="shared" si="119"/>
        <v>0</v>
      </c>
    </row>
    <row r="1491" spans="1:22" x14ac:dyDescent="0.25">
      <c r="A1491">
        <v>1488</v>
      </c>
      <c r="B1491" t="s">
        <v>18</v>
      </c>
      <c r="C1491" t="s">
        <v>835</v>
      </c>
      <c r="D1491" s="4">
        <v>45424</v>
      </c>
      <c r="E1491" t="s">
        <v>476</v>
      </c>
      <c r="F1491" t="s">
        <v>75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>
        <v>1</v>
      </c>
      <c r="R1491">
        <f t="shared" si="115"/>
        <v>0</v>
      </c>
      <c r="S1491">
        <f t="shared" si="116"/>
        <v>1</v>
      </c>
      <c r="T1491">
        <f t="shared" si="117"/>
        <v>0</v>
      </c>
      <c r="U1491">
        <f t="shared" si="118"/>
        <v>0</v>
      </c>
      <c r="V1491">
        <f t="shared" si="119"/>
        <v>0</v>
      </c>
    </row>
    <row r="1492" spans="1:22" x14ac:dyDescent="0.25">
      <c r="A1492">
        <v>1489</v>
      </c>
      <c r="B1492" t="s">
        <v>18</v>
      </c>
      <c r="C1492" t="s">
        <v>835</v>
      </c>
      <c r="D1492" s="4">
        <v>45425</v>
      </c>
      <c r="E1492" t="s">
        <v>888</v>
      </c>
      <c r="F1492" t="s">
        <v>75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>
        <v>1</v>
      </c>
      <c r="R1492">
        <f t="shared" si="115"/>
        <v>0</v>
      </c>
      <c r="S1492">
        <f t="shared" si="116"/>
        <v>1</v>
      </c>
      <c r="T1492">
        <f t="shared" si="117"/>
        <v>0</v>
      </c>
      <c r="U1492">
        <f t="shared" si="118"/>
        <v>0</v>
      </c>
      <c r="V1492">
        <f t="shared" si="119"/>
        <v>0</v>
      </c>
    </row>
    <row r="1493" spans="1:22" x14ac:dyDescent="0.25">
      <c r="A1493">
        <v>1490</v>
      </c>
      <c r="B1493" t="s">
        <v>18</v>
      </c>
      <c r="C1493" t="s">
        <v>835</v>
      </c>
      <c r="D1493" s="4">
        <v>45426</v>
      </c>
      <c r="E1493" t="s">
        <v>889</v>
      </c>
      <c r="F1493" t="s">
        <v>75</v>
      </c>
      <c r="I1493" s="6">
        <v>0</v>
      </c>
      <c r="J1493" s="6">
        <v>0</v>
      </c>
      <c r="K1493" s="6">
        <v>0</v>
      </c>
      <c r="L1493" s="6">
        <v>1</v>
      </c>
      <c r="M1493" s="6">
        <v>1</v>
      </c>
      <c r="N1493" s="6">
        <v>0</v>
      </c>
      <c r="O1493" s="6">
        <v>0</v>
      </c>
      <c r="P1493" s="6">
        <v>0</v>
      </c>
      <c r="Q1493">
        <v>1</v>
      </c>
      <c r="R1493">
        <f t="shared" si="115"/>
        <v>0</v>
      </c>
      <c r="S1493">
        <f t="shared" si="116"/>
        <v>1</v>
      </c>
      <c r="T1493">
        <f t="shared" si="117"/>
        <v>2</v>
      </c>
      <c r="U1493">
        <f t="shared" si="118"/>
        <v>1</v>
      </c>
      <c r="V1493">
        <f t="shared" si="119"/>
        <v>0</v>
      </c>
    </row>
    <row r="1494" spans="1:22" x14ac:dyDescent="0.25">
      <c r="A1494">
        <v>1491</v>
      </c>
      <c r="B1494" t="s">
        <v>18</v>
      </c>
      <c r="C1494" t="s">
        <v>835</v>
      </c>
      <c r="D1494" s="4">
        <v>45427</v>
      </c>
      <c r="E1494" t="s">
        <v>336</v>
      </c>
      <c r="F1494" t="s">
        <v>75</v>
      </c>
      <c r="I1494" s="6">
        <v>0</v>
      </c>
      <c r="J1494" s="6">
        <v>0</v>
      </c>
      <c r="K1494" s="6">
        <v>0</v>
      </c>
      <c r="L1494" s="6">
        <v>1</v>
      </c>
      <c r="M1494" s="6">
        <v>0</v>
      </c>
      <c r="N1494" s="6">
        <v>0</v>
      </c>
      <c r="O1494" s="6">
        <v>0</v>
      </c>
      <c r="P1494" s="6">
        <v>0</v>
      </c>
      <c r="Q1494">
        <v>1</v>
      </c>
      <c r="R1494">
        <f t="shared" si="115"/>
        <v>0</v>
      </c>
      <c r="S1494">
        <f t="shared" si="116"/>
        <v>1</v>
      </c>
      <c r="T1494">
        <f t="shared" si="117"/>
        <v>1</v>
      </c>
      <c r="U1494">
        <f t="shared" si="118"/>
        <v>1</v>
      </c>
      <c r="V1494">
        <f t="shared" si="119"/>
        <v>0</v>
      </c>
    </row>
    <row r="1495" spans="1:22" x14ac:dyDescent="0.25">
      <c r="A1495">
        <v>1492</v>
      </c>
      <c r="B1495" t="s">
        <v>18</v>
      </c>
      <c r="C1495" t="s">
        <v>835</v>
      </c>
      <c r="D1495" s="4">
        <v>45427</v>
      </c>
      <c r="E1495" t="s">
        <v>337</v>
      </c>
      <c r="F1495" t="s">
        <v>75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1</v>
      </c>
      <c r="O1495" s="6">
        <v>0</v>
      </c>
      <c r="P1495" s="6">
        <v>0</v>
      </c>
      <c r="Q1495">
        <v>1</v>
      </c>
      <c r="R1495">
        <f t="shared" si="115"/>
        <v>0</v>
      </c>
      <c r="S1495">
        <f t="shared" si="116"/>
        <v>1</v>
      </c>
      <c r="T1495">
        <f t="shared" si="117"/>
        <v>1</v>
      </c>
      <c r="U1495">
        <f t="shared" si="118"/>
        <v>1</v>
      </c>
      <c r="V1495">
        <f t="shared" si="119"/>
        <v>0</v>
      </c>
    </row>
    <row r="1496" spans="1:22" x14ac:dyDescent="0.25">
      <c r="A1496">
        <v>1493</v>
      </c>
      <c r="B1496" t="s">
        <v>18</v>
      </c>
      <c r="C1496" t="s">
        <v>835</v>
      </c>
      <c r="D1496" s="4">
        <v>45428</v>
      </c>
      <c r="E1496" t="s">
        <v>341</v>
      </c>
      <c r="F1496" t="s">
        <v>75</v>
      </c>
      <c r="I1496" s="6">
        <v>0</v>
      </c>
      <c r="J1496" s="6">
        <v>0</v>
      </c>
      <c r="K1496" s="6">
        <v>0</v>
      </c>
      <c r="L1496" s="6">
        <v>1</v>
      </c>
      <c r="M1496" s="6">
        <v>0</v>
      </c>
      <c r="N1496" s="6">
        <v>0</v>
      </c>
      <c r="O1496" s="6">
        <v>0</v>
      </c>
      <c r="P1496" s="6">
        <v>0</v>
      </c>
      <c r="Q1496">
        <v>1</v>
      </c>
      <c r="R1496">
        <f t="shared" si="115"/>
        <v>0</v>
      </c>
      <c r="S1496">
        <f t="shared" si="116"/>
        <v>1</v>
      </c>
      <c r="T1496">
        <f t="shared" si="117"/>
        <v>1</v>
      </c>
      <c r="U1496">
        <f t="shared" si="118"/>
        <v>1</v>
      </c>
      <c r="V1496">
        <f t="shared" si="119"/>
        <v>0</v>
      </c>
    </row>
    <row r="1497" spans="1:22" x14ac:dyDescent="0.25">
      <c r="A1497">
        <v>1494</v>
      </c>
      <c r="B1497" t="s">
        <v>18</v>
      </c>
      <c r="C1497" t="s">
        <v>835</v>
      </c>
      <c r="D1497" s="4">
        <v>45428</v>
      </c>
      <c r="E1497" t="s">
        <v>342</v>
      </c>
      <c r="F1497" t="s">
        <v>75</v>
      </c>
      <c r="I1497" s="6"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>
        <v>1</v>
      </c>
      <c r="R1497">
        <f t="shared" si="115"/>
        <v>0</v>
      </c>
      <c r="S1497">
        <f t="shared" si="116"/>
        <v>1</v>
      </c>
      <c r="T1497">
        <f t="shared" si="117"/>
        <v>0</v>
      </c>
      <c r="U1497">
        <f t="shared" si="118"/>
        <v>0</v>
      </c>
      <c r="V1497">
        <f t="shared" si="119"/>
        <v>0</v>
      </c>
    </row>
    <row r="1498" spans="1:22" x14ac:dyDescent="0.25">
      <c r="A1498">
        <v>1495</v>
      </c>
      <c r="B1498" t="s">
        <v>18</v>
      </c>
      <c r="C1498" t="s">
        <v>835</v>
      </c>
      <c r="D1498" s="4">
        <v>45429</v>
      </c>
      <c r="E1498" t="s">
        <v>890</v>
      </c>
      <c r="F1498" t="s">
        <v>75</v>
      </c>
      <c r="I1498" s="6">
        <v>0</v>
      </c>
      <c r="J1498" s="6">
        <v>0</v>
      </c>
      <c r="K1498" s="6">
        <v>0</v>
      </c>
      <c r="L1498" s="6">
        <v>1</v>
      </c>
      <c r="M1498" s="6">
        <v>1</v>
      </c>
      <c r="N1498" s="6">
        <v>0</v>
      </c>
      <c r="O1498" s="6">
        <v>0</v>
      </c>
      <c r="P1498" s="6">
        <v>0</v>
      </c>
      <c r="Q1498">
        <v>1</v>
      </c>
      <c r="R1498">
        <f t="shared" si="115"/>
        <v>0</v>
      </c>
      <c r="S1498">
        <f t="shared" si="116"/>
        <v>1</v>
      </c>
      <c r="T1498">
        <f t="shared" si="117"/>
        <v>2</v>
      </c>
      <c r="U1498">
        <f t="shared" si="118"/>
        <v>1</v>
      </c>
      <c r="V1498">
        <f t="shared" si="119"/>
        <v>0</v>
      </c>
    </row>
    <row r="1499" spans="1:22" x14ac:dyDescent="0.25">
      <c r="A1499">
        <v>1496</v>
      </c>
      <c r="B1499" t="s">
        <v>18</v>
      </c>
      <c r="C1499" t="s">
        <v>835</v>
      </c>
      <c r="D1499" s="4">
        <v>45430</v>
      </c>
      <c r="E1499" t="s">
        <v>891</v>
      </c>
      <c r="F1499" t="s">
        <v>75</v>
      </c>
      <c r="I1499" s="6">
        <v>0</v>
      </c>
      <c r="J1499" s="6">
        <v>0</v>
      </c>
      <c r="K1499" s="6">
        <v>0</v>
      </c>
      <c r="L1499" s="6">
        <v>1</v>
      </c>
      <c r="M1499" s="6">
        <v>0</v>
      </c>
      <c r="N1499" s="6">
        <v>0</v>
      </c>
      <c r="O1499" s="6">
        <v>0</v>
      </c>
      <c r="P1499" s="6">
        <v>0</v>
      </c>
      <c r="Q1499">
        <v>1</v>
      </c>
      <c r="R1499">
        <f t="shared" si="115"/>
        <v>0</v>
      </c>
      <c r="S1499">
        <f t="shared" si="116"/>
        <v>1</v>
      </c>
      <c r="T1499">
        <f t="shared" si="117"/>
        <v>1</v>
      </c>
      <c r="U1499">
        <f t="shared" si="118"/>
        <v>1</v>
      </c>
      <c r="V1499">
        <f t="shared" si="119"/>
        <v>0</v>
      </c>
    </row>
    <row r="1500" spans="1:22" x14ac:dyDescent="0.25">
      <c r="A1500">
        <v>1497</v>
      </c>
      <c r="B1500" t="s">
        <v>18</v>
      </c>
      <c r="C1500" t="s">
        <v>835</v>
      </c>
      <c r="D1500" s="4">
        <v>45430</v>
      </c>
      <c r="E1500" t="s">
        <v>349</v>
      </c>
      <c r="F1500" t="s">
        <v>75</v>
      </c>
      <c r="I1500" s="6">
        <v>1</v>
      </c>
      <c r="J1500" s="6">
        <v>0</v>
      </c>
      <c r="K1500" s="6">
        <v>0</v>
      </c>
      <c r="L1500" s="6">
        <v>1</v>
      </c>
      <c r="M1500" s="6">
        <v>0</v>
      </c>
      <c r="N1500" s="6">
        <v>0</v>
      </c>
      <c r="O1500" s="6">
        <v>0</v>
      </c>
      <c r="P1500" s="6">
        <v>0</v>
      </c>
      <c r="Q1500">
        <v>1</v>
      </c>
      <c r="R1500">
        <f t="shared" si="115"/>
        <v>0</v>
      </c>
      <c r="S1500">
        <f t="shared" si="116"/>
        <v>1</v>
      </c>
      <c r="T1500">
        <f t="shared" si="117"/>
        <v>2</v>
      </c>
      <c r="U1500">
        <f t="shared" si="118"/>
        <v>1</v>
      </c>
      <c r="V1500">
        <f t="shared" si="119"/>
        <v>0</v>
      </c>
    </row>
    <row r="1501" spans="1:22" x14ac:dyDescent="0.25">
      <c r="A1501">
        <v>1498</v>
      </c>
      <c r="B1501" t="s">
        <v>18</v>
      </c>
      <c r="C1501" t="s">
        <v>835</v>
      </c>
      <c r="D1501" s="4">
        <v>45431</v>
      </c>
      <c r="E1501" t="s">
        <v>353</v>
      </c>
      <c r="F1501" t="s">
        <v>75</v>
      </c>
      <c r="I1501" s="6">
        <v>0</v>
      </c>
      <c r="J1501" s="6">
        <v>0</v>
      </c>
      <c r="K1501" s="6">
        <v>0</v>
      </c>
      <c r="L1501" s="6">
        <v>0</v>
      </c>
      <c r="M1501" s="6">
        <v>1</v>
      </c>
      <c r="N1501" s="6">
        <v>1</v>
      </c>
      <c r="O1501" s="6">
        <v>0</v>
      </c>
      <c r="P1501" s="6">
        <v>0</v>
      </c>
      <c r="Q1501">
        <v>1</v>
      </c>
      <c r="R1501">
        <f t="shared" si="115"/>
        <v>0</v>
      </c>
      <c r="S1501">
        <f t="shared" si="116"/>
        <v>1</v>
      </c>
      <c r="T1501">
        <f t="shared" si="117"/>
        <v>2</v>
      </c>
      <c r="U1501">
        <f t="shared" si="118"/>
        <v>1</v>
      </c>
      <c r="V1501">
        <f t="shared" si="119"/>
        <v>0</v>
      </c>
    </row>
    <row r="1502" spans="1:22" x14ac:dyDescent="0.25">
      <c r="A1502">
        <v>1499</v>
      </c>
      <c r="B1502" t="s">
        <v>18</v>
      </c>
      <c r="C1502" t="s">
        <v>835</v>
      </c>
      <c r="D1502" s="4">
        <v>45431</v>
      </c>
      <c r="E1502" t="s">
        <v>354</v>
      </c>
      <c r="F1502" t="s">
        <v>75</v>
      </c>
      <c r="I1502" s="6">
        <v>0</v>
      </c>
      <c r="J1502" s="6">
        <v>0</v>
      </c>
      <c r="K1502" s="6">
        <v>0</v>
      </c>
      <c r="L1502" s="6">
        <v>1</v>
      </c>
      <c r="M1502" s="6">
        <v>1</v>
      </c>
      <c r="N1502" s="6">
        <v>0</v>
      </c>
      <c r="O1502" s="6">
        <v>0</v>
      </c>
      <c r="P1502" s="6">
        <v>0</v>
      </c>
      <c r="Q1502">
        <v>1</v>
      </c>
      <c r="R1502">
        <f t="shared" si="115"/>
        <v>0</v>
      </c>
      <c r="S1502">
        <f t="shared" si="116"/>
        <v>1</v>
      </c>
      <c r="T1502">
        <f t="shared" si="117"/>
        <v>2</v>
      </c>
      <c r="U1502">
        <f t="shared" si="118"/>
        <v>1</v>
      </c>
      <c r="V1502">
        <f t="shared" si="119"/>
        <v>0</v>
      </c>
    </row>
    <row r="1503" spans="1:22" x14ac:dyDescent="0.25">
      <c r="A1503">
        <v>1500</v>
      </c>
      <c r="B1503" t="s">
        <v>18</v>
      </c>
      <c r="C1503" t="s">
        <v>835</v>
      </c>
      <c r="D1503" s="4">
        <v>45432</v>
      </c>
      <c r="E1503" t="s">
        <v>480</v>
      </c>
      <c r="F1503" t="s">
        <v>75</v>
      </c>
      <c r="I1503" s="6">
        <v>0</v>
      </c>
      <c r="J1503" s="6">
        <v>0</v>
      </c>
      <c r="K1503" s="6">
        <v>0</v>
      </c>
      <c r="L1503" s="6">
        <v>1</v>
      </c>
      <c r="M1503" s="6">
        <v>0</v>
      </c>
      <c r="N1503" s="6">
        <v>0</v>
      </c>
      <c r="O1503" s="6">
        <v>0</v>
      </c>
      <c r="P1503" s="6">
        <v>0</v>
      </c>
      <c r="Q1503">
        <v>1</v>
      </c>
      <c r="R1503">
        <f t="shared" si="115"/>
        <v>0</v>
      </c>
      <c r="S1503">
        <f t="shared" si="116"/>
        <v>1</v>
      </c>
      <c r="T1503">
        <f t="shared" si="117"/>
        <v>1</v>
      </c>
      <c r="U1503">
        <f t="shared" si="118"/>
        <v>1</v>
      </c>
      <c r="V1503">
        <f t="shared" si="119"/>
        <v>0</v>
      </c>
    </row>
    <row r="1504" spans="1:22" x14ac:dyDescent="0.25">
      <c r="A1504">
        <v>1501</v>
      </c>
      <c r="B1504" t="s">
        <v>18</v>
      </c>
      <c r="C1504" t="s">
        <v>835</v>
      </c>
      <c r="D1504" s="4">
        <v>45433</v>
      </c>
      <c r="E1504" t="s">
        <v>892</v>
      </c>
      <c r="F1504" t="s">
        <v>75</v>
      </c>
      <c r="I1504" s="6">
        <v>0</v>
      </c>
      <c r="J1504" s="6">
        <v>0</v>
      </c>
      <c r="K1504" s="6">
        <v>0</v>
      </c>
      <c r="L1504" s="6">
        <v>1</v>
      </c>
      <c r="M1504" s="6">
        <v>1</v>
      </c>
      <c r="N1504" s="6">
        <v>0</v>
      </c>
      <c r="O1504" s="6">
        <v>0</v>
      </c>
      <c r="P1504" s="6">
        <v>0</v>
      </c>
      <c r="Q1504">
        <v>1</v>
      </c>
      <c r="R1504">
        <f t="shared" si="115"/>
        <v>0</v>
      </c>
      <c r="S1504">
        <f t="shared" si="116"/>
        <v>1</v>
      </c>
      <c r="T1504">
        <f t="shared" si="117"/>
        <v>2</v>
      </c>
      <c r="U1504">
        <f t="shared" si="118"/>
        <v>1</v>
      </c>
      <c r="V1504">
        <f t="shared" si="119"/>
        <v>0</v>
      </c>
    </row>
    <row r="1505" spans="1:22" x14ac:dyDescent="0.25">
      <c r="A1505">
        <v>1502</v>
      </c>
      <c r="B1505" t="s">
        <v>18</v>
      </c>
      <c r="C1505" t="s">
        <v>835</v>
      </c>
      <c r="D1505" s="4">
        <v>45434</v>
      </c>
      <c r="E1505" t="s">
        <v>1011</v>
      </c>
      <c r="F1505" t="s">
        <v>75</v>
      </c>
      <c r="I1505" s="6">
        <v>0</v>
      </c>
      <c r="J1505" s="6">
        <v>0</v>
      </c>
      <c r="K1505" s="6">
        <v>0</v>
      </c>
      <c r="L1505" s="6">
        <v>1</v>
      </c>
      <c r="M1505" s="6">
        <v>0</v>
      </c>
      <c r="N1505" s="6">
        <v>1</v>
      </c>
      <c r="O1505" s="6">
        <v>0</v>
      </c>
      <c r="P1505" s="6">
        <v>0</v>
      </c>
      <c r="Q1505">
        <v>1</v>
      </c>
      <c r="R1505">
        <f t="shared" si="115"/>
        <v>0</v>
      </c>
      <c r="S1505">
        <f t="shared" si="116"/>
        <v>1</v>
      </c>
      <c r="T1505">
        <f t="shared" si="117"/>
        <v>2</v>
      </c>
      <c r="U1505">
        <f t="shared" si="118"/>
        <v>1</v>
      </c>
      <c r="V1505">
        <f t="shared" si="119"/>
        <v>0</v>
      </c>
    </row>
    <row r="1506" spans="1:22" x14ac:dyDescent="0.25">
      <c r="A1506">
        <v>1503</v>
      </c>
      <c r="B1506" t="s">
        <v>18</v>
      </c>
      <c r="C1506" t="s">
        <v>835</v>
      </c>
      <c r="D1506" s="4">
        <v>45434</v>
      </c>
      <c r="E1506" t="s">
        <v>358</v>
      </c>
      <c r="F1506" t="s">
        <v>75</v>
      </c>
      <c r="I1506" s="6"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>
        <v>1</v>
      </c>
      <c r="R1506">
        <f t="shared" si="115"/>
        <v>0</v>
      </c>
      <c r="S1506">
        <f t="shared" si="116"/>
        <v>1</v>
      </c>
      <c r="T1506">
        <f t="shared" si="117"/>
        <v>1</v>
      </c>
      <c r="U1506">
        <f t="shared" si="118"/>
        <v>1</v>
      </c>
      <c r="V1506">
        <f t="shared" si="119"/>
        <v>0</v>
      </c>
    </row>
    <row r="1507" spans="1:22" x14ac:dyDescent="0.25">
      <c r="A1507">
        <v>1504</v>
      </c>
      <c r="B1507" t="s">
        <v>18</v>
      </c>
      <c r="C1507" t="s">
        <v>835</v>
      </c>
      <c r="D1507" s="4">
        <v>45435</v>
      </c>
      <c r="E1507" t="s">
        <v>361</v>
      </c>
      <c r="F1507" t="s">
        <v>75</v>
      </c>
      <c r="I1507" s="6">
        <v>0</v>
      </c>
      <c r="J1507" s="6">
        <v>0</v>
      </c>
      <c r="K1507" s="6">
        <v>0</v>
      </c>
      <c r="L1507" s="6">
        <v>1</v>
      </c>
      <c r="M1507" s="6">
        <v>0</v>
      </c>
      <c r="N1507" s="6">
        <v>0</v>
      </c>
      <c r="O1507" s="6">
        <v>0</v>
      </c>
      <c r="P1507" s="6">
        <v>0</v>
      </c>
      <c r="Q1507">
        <v>1</v>
      </c>
      <c r="R1507">
        <f t="shared" si="115"/>
        <v>0</v>
      </c>
      <c r="S1507">
        <f t="shared" si="116"/>
        <v>1</v>
      </c>
      <c r="T1507">
        <f t="shared" si="117"/>
        <v>1</v>
      </c>
      <c r="U1507">
        <f t="shared" si="118"/>
        <v>1</v>
      </c>
      <c r="V1507">
        <f t="shared" si="119"/>
        <v>0</v>
      </c>
    </row>
    <row r="1508" spans="1:22" x14ac:dyDescent="0.25">
      <c r="A1508">
        <v>1505</v>
      </c>
      <c r="B1508" t="s">
        <v>18</v>
      </c>
      <c r="C1508" t="s">
        <v>835</v>
      </c>
      <c r="D1508" s="4">
        <v>45435</v>
      </c>
      <c r="E1508" t="s">
        <v>362</v>
      </c>
      <c r="F1508" t="s">
        <v>75</v>
      </c>
      <c r="I1508" s="6">
        <v>0</v>
      </c>
      <c r="J1508" s="6">
        <v>0</v>
      </c>
      <c r="K1508" s="6">
        <v>1</v>
      </c>
      <c r="L1508" s="6">
        <v>1</v>
      </c>
      <c r="M1508" s="6">
        <v>1</v>
      </c>
      <c r="N1508" s="6">
        <v>0</v>
      </c>
      <c r="O1508" s="6">
        <v>0</v>
      </c>
      <c r="P1508" s="6">
        <v>1</v>
      </c>
      <c r="Q1508">
        <v>1</v>
      </c>
      <c r="R1508">
        <f t="shared" si="115"/>
        <v>0</v>
      </c>
      <c r="S1508">
        <f t="shared" si="116"/>
        <v>1</v>
      </c>
      <c r="T1508">
        <f t="shared" si="117"/>
        <v>4</v>
      </c>
      <c r="U1508">
        <f t="shared" si="118"/>
        <v>1</v>
      </c>
      <c r="V1508">
        <f t="shared" si="119"/>
        <v>0</v>
      </c>
    </row>
    <row r="1509" spans="1:22" x14ac:dyDescent="0.25">
      <c r="A1509">
        <v>1506</v>
      </c>
      <c r="B1509" t="s">
        <v>18</v>
      </c>
      <c r="C1509" t="s">
        <v>835</v>
      </c>
      <c r="D1509" s="4">
        <v>45436</v>
      </c>
      <c r="E1509" t="s">
        <v>363</v>
      </c>
      <c r="F1509" t="s">
        <v>75</v>
      </c>
      <c r="I1509" s="6">
        <v>0</v>
      </c>
      <c r="J1509" s="6">
        <v>0</v>
      </c>
      <c r="K1509" s="6">
        <v>1</v>
      </c>
      <c r="L1509" s="6">
        <v>1</v>
      </c>
      <c r="M1509" s="6">
        <v>0</v>
      </c>
      <c r="N1509" s="6">
        <v>0</v>
      </c>
      <c r="O1509" s="6">
        <v>0</v>
      </c>
      <c r="P1509" s="6">
        <v>0</v>
      </c>
      <c r="Q1509">
        <v>1</v>
      </c>
      <c r="R1509">
        <f t="shared" si="115"/>
        <v>0</v>
      </c>
      <c r="S1509">
        <f t="shared" si="116"/>
        <v>1</v>
      </c>
      <c r="T1509">
        <f t="shared" si="117"/>
        <v>2</v>
      </c>
      <c r="U1509">
        <f t="shared" si="118"/>
        <v>1</v>
      </c>
      <c r="V1509">
        <f t="shared" si="119"/>
        <v>0</v>
      </c>
    </row>
    <row r="1510" spans="1:22" x14ac:dyDescent="0.25">
      <c r="A1510">
        <v>1507</v>
      </c>
      <c r="B1510" t="s">
        <v>18</v>
      </c>
      <c r="C1510" t="s">
        <v>835</v>
      </c>
      <c r="D1510" s="4">
        <v>45436</v>
      </c>
      <c r="E1510" t="s">
        <v>893</v>
      </c>
      <c r="F1510" t="s">
        <v>75</v>
      </c>
      <c r="I1510" s="6">
        <v>0</v>
      </c>
      <c r="J1510" s="6">
        <v>0</v>
      </c>
      <c r="K1510" s="6">
        <v>0</v>
      </c>
      <c r="L1510" s="6">
        <v>1</v>
      </c>
      <c r="M1510" s="6">
        <v>0</v>
      </c>
      <c r="N1510" s="6">
        <v>0</v>
      </c>
      <c r="O1510" s="6">
        <v>0</v>
      </c>
      <c r="P1510" s="6">
        <v>0</v>
      </c>
      <c r="Q1510">
        <v>1</v>
      </c>
      <c r="R1510">
        <f t="shared" si="115"/>
        <v>0</v>
      </c>
      <c r="S1510">
        <f t="shared" si="116"/>
        <v>1</v>
      </c>
      <c r="T1510">
        <f t="shared" si="117"/>
        <v>1</v>
      </c>
      <c r="U1510">
        <f t="shared" si="118"/>
        <v>1</v>
      </c>
      <c r="V1510">
        <f t="shared" si="119"/>
        <v>0</v>
      </c>
    </row>
    <row r="1511" spans="1:22" x14ac:dyDescent="0.25">
      <c r="A1511">
        <v>1508</v>
      </c>
      <c r="B1511" t="s">
        <v>18</v>
      </c>
      <c r="C1511" t="s">
        <v>835</v>
      </c>
      <c r="D1511" s="4">
        <v>45436</v>
      </c>
      <c r="E1511" t="s">
        <v>364</v>
      </c>
      <c r="F1511" t="s">
        <v>75</v>
      </c>
      <c r="I1511" s="6">
        <v>0</v>
      </c>
      <c r="J1511" s="6">
        <v>0</v>
      </c>
      <c r="K1511" s="6">
        <v>0</v>
      </c>
      <c r="L1511" s="6">
        <v>1</v>
      </c>
      <c r="M1511" s="6">
        <v>0</v>
      </c>
      <c r="N1511" s="6">
        <v>0</v>
      </c>
      <c r="O1511" s="6">
        <v>0</v>
      </c>
      <c r="P1511" s="6">
        <v>0</v>
      </c>
      <c r="Q1511">
        <v>1</v>
      </c>
      <c r="R1511">
        <f t="shared" si="115"/>
        <v>0</v>
      </c>
      <c r="S1511">
        <f t="shared" si="116"/>
        <v>1</v>
      </c>
      <c r="T1511">
        <f t="shared" si="117"/>
        <v>1</v>
      </c>
      <c r="U1511">
        <f t="shared" si="118"/>
        <v>1</v>
      </c>
      <c r="V1511">
        <f t="shared" si="119"/>
        <v>0</v>
      </c>
    </row>
    <row r="1512" spans="1:22" x14ac:dyDescent="0.25">
      <c r="A1512">
        <v>1509</v>
      </c>
      <c r="B1512" t="s">
        <v>18</v>
      </c>
      <c r="C1512" t="s">
        <v>835</v>
      </c>
      <c r="D1512" s="4">
        <v>45436</v>
      </c>
      <c r="E1512" t="s">
        <v>365</v>
      </c>
      <c r="F1512" t="s">
        <v>75</v>
      </c>
      <c r="I1512" s="6">
        <v>1</v>
      </c>
      <c r="J1512" s="6">
        <v>0</v>
      </c>
      <c r="K1512" s="6">
        <v>1</v>
      </c>
      <c r="L1512" s="6">
        <v>1</v>
      </c>
      <c r="M1512" s="6">
        <v>0</v>
      </c>
      <c r="N1512" s="6">
        <v>0</v>
      </c>
      <c r="O1512" s="6">
        <v>0</v>
      </c>
      <c r="P1512" s="6">
        <v>0</v>
      </c>
      <c r="Q1512">
        <v>1</v>
      </c>
      <c r="R1512">
        <f t="shared" si="115"/>
        <v>0</v>
      </c>
      <c r="S1512">
        <f t="shared" si="116"/>
        <v>1</v>
      </c>
      <c r="T1512">
        <f t="shared" si="117"/>
        <v>3</v>
      </c>
      <c r="U1512">
        <f t="shared" si="118"/>
        <v>1</v>
      </c>
      <c r="V1512">
        <f t="shared" si="119"/>
        <v>0</v>
      </c>
    </row>
    <row r="1513" spans="1:22" x14ac:dyDescent="0.25">
      <c r="A1513">
        <v>1510</v>
      </c>
      <c r="B1513" t="s">
        <v>18</v>
      </c>
      <c r="C1513" t="s">
        <v>835</v>
      </c>
      <c r="D1513" s="4">
        <v>45437</v>
      </c>
      <c r="E1513" t="s">
        <v>894</v>
      </c>
      <c r="F1513" t="s">
        <v>75</v>
      </c>
      <c r="I1513" s="6">
        <v>0</v>
      </c>
      <c r="J1513" s="6">
        <v>0</v>
      </c>
      <c r="K1513" s="6">
        <v>0</v>
      </c>
      <c r="L1513" s="6">
        <v>1</v>
      </c>
      <c r="M1513" s="6">
        <v>0</v>
      </c>
      <c r="N1513" s="6">
        <v>0</v>
      </c>
      <c r="O1513" s="6">
        <v>0</v>
      </c>
      <c r="P1513" s="6">
        <v>0</v>
      </c>
      <c r="Q1513">
        <v>1</v>
      </c>
      <c r="R1513">
        <f t="shared" si="115"/>
        <v>0</v>
      </c>
      <c r="S1513">
        <f t="shared" si="116"/>
        <v>1</v>
      </c>
      <c r="T1513">
        <f t="shared" si="117"/>
        <v>1</v>
      </c>
      <c r="U1513">
        <f t="shared" si="118"/>
        <v>1</v>
      </c>
      <c r="V1513">
        <f t="shared" si="119"/>
        <v>0</v>
      </c>
    </row>
    <row r="1514" spans="1:22" x14ac:dyDescent="0.25">
      <c r="A1514">
        <v>1511</v>
      </c>
      <c r="B1514" t="s">
        <v>18</v>
      </c>
      <c r="C1514" t="s">
        <v>835</v>
      </c>
      <c r="D1514" s="4">
        <v>45438</v>
      </c>
      <c r="E1514" t="s">
        <v>484</v>
      </c>
      <c r="F1514" t="s">
        <v>75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>
        <v>1</v>
      </c>
      <c r="R1514">
        <f t="shared" si="115"/>
        <v>0</v>
      </c>
      <c r="S1514">
        <f t="shared" si="116"/>
        <v>1</v>
      </c>
      <c r="T1514">
        <f t="shared" si="117"/>
        <v>0</v>
      </c>
      <c r="U1514">
        <f t="shared" si="118"/>
        <v>0</v>
      </c>
      <c r="V1514">
        <f t="shared" si="119"/>
        <v>0</v>
      </c>
    </row>
    <row r="1515" spans="1:22" x14ac:dyDescent="0.25">
      <c r="A1515">
        <v>1512</v>
      </c>
      <c r="B1515" t="s">
        <v>18</v>
      </c>
      <c r="C1515" t="s">
        <v>835</v>
      </c>
      <c r="D1515" s="4">
        <v>45438</v>
      </c>
      <c r="E1515" t="s">
        <v>369</v>
      </c>
      <c r="F1515" t="s">
        <v>75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>
        <v>1</v>
      </c>
      <c r="R1515">
        <f t="shared" si="115"/>
        <v>0</v>
      </c>
      <c r="S1515">
        <f t="shared" si="116"/>
        <v>1</v>
      </c>
      <c r="T1515">
        <f t="shared" si="117"/>
        <v>0</v>
      </c>
      <c r="U1515">
        <f t="shared" si="118"/>
        <v>0</v>
      </c>
      <c r="V1515">
        <f t="shared" si="119"/>
        <v>0</v>
      </c>
    </row>
    <row r="1516" spans="1:22" x14ac:dyDescent="0.25">
      <c r="A1516">
        <v>1513</v>
      </c>
      <c r="B1516" t="s">
        <v>18</v>
      </c>
      <c r="C1516" t="s">
        <v>835</v>
      </c>
      <c r="D1516" s="4">
        <v>45438</v>
      </c>
      <c r="E1516" t="s">
        <v>485</v>
      </c>
      <c r="F1516" t="s">
        <v>75</v>
      </c>
      <c r="I1516" s="6">
        <v>0</v>
      </c>
      <c r="J1516" s="6">
        <v>0</v>
      </c>
      <c r="K1516" s="6">
        <v>0</v>
      </c>
      <c r="L1516" s="6">
        <v>1</v>
      </c>
      <c r="M1516" s="6">
        <v>1</v>
      </c>
      <c r="N1516" s="6">
        <v>0</v>
      </c>
      <c r="O1516" s="6">
        <v>0</v>
      </c>
      <c r="P1516" s="6">
        <v>0</v>
      </c>
      <c r="Q1516">
        <v>1</v>
      </c>
      <c r="R1516">
        <f t="shared" si="115"/>
        <v>0</v>
      </c>
      <c r="S1516">
        <f t="shared" si="116"/>
        <v>1</v>
      </c>
      <c r="T1516">
        <f t="shared" si="117"/>
        <v>2</v>
      </c>
      <c r="U1516">
        <f t="shared" si="118"/>
        <v>1</v>
      </c>
      <c r="V1516">
        <f t="shared" si="119"/>
        <v>0</v>
      </c>
    </row>
    <row r="1517" spans="1:22" x14ac:dyDescent="0.25">
      <c r="A1517">
        <v>1514</v>
      </c>
      <c r="B1517" t="s">
        <v>18</v>
      </c>
      <c r="C1517" t="s">
        <v>835</v>
      </c>
      <c r="D1517" s="4">
        <v>45439</v>
      </c>
      <c r="E1517" t="s">
        <v>370</v>
      </c>
      <c r="F1517" t="s">
        <v>75</v>
      </c>
      <c r="I1517" s="6">
        <v>0</v>
      </c>
      <c r="J1517" s="6">
        <v>0</v>
      </c>
      <c r="K1517" s="6">
        <v>0</v>
      </c>
      <c r="L1517" s="6">
        <v>1</v>
      </c>
      <c r="M1517" s="6">
        <v>1</v>
      </c>
      <c r="N1517" s="6">
        <v>0</v>
      </c>
      <c r="O1517" s="6">
        <v>0</v>
      </c>
      <c r="P1517" s="6">
        <v>0</v>
      </c>
      <c r="Q1517">
        <v>1</v>
      </c>
      <c r="R1517">
        <f t="shared" si="115"/>
        <v>0</v>
      </c>
      <c r="S1517">
        <f t="shared" si="116"/>
        <v>1</v>
      </c>
      <c r="T1517">
        <f t="shared" si="117"/>
        <v>2</v>
      </c>
      <c r="U1517">
        <f t="shared" si="118"/>
        <v>1</v>
      </c>
      <c r="V1517">
        <f t="shared" si="119"/>
        <v>0</v>
      </c>
    </row>
    <row r="1518" spans="1:22" x14ac:dyDescent="0.25">
      <c r="A1518">
        <v>1515</v>
      </c>
      <c r="B1518" t="s">
        <v>18</v>
      </c>
      <c r="C1518" t="s">
        <v>835</v>
      </c>
      <c r="D1518" s="4">
        <v>45440</v>
      </c>
      <c r="E1518" t="s">
        <v>488</v>
      </c>
      <c r="F1518" t="s">
        <v>75</v>
      </c>
      <c r="I1518" s="6">
        <v>1</v>
      </c>
      <c r="J1518" s="6">
        <v>1</v>
      </c>
      <c r="K1518" s="6">
        <v>0</v>
      </c>
      <c r="L1518" s="6">
        <v>1</v>
      </c>
      <c r="M1518" s="6">
        <v>0</v>
      </c>
      <c r="N1518" s="6">
        <v>0</v>
      </c>
      <c r="O1518" s="6">
        <v>0</v>
      </c>
      <c r="P1518" s="6">
        <v>0</v>
      </c>
      <c r="Q1518">
        <v>1</v>
      </c>
      <c r="R1518">
        <f t="shared" si="115"/>
        <v>0</v>
      </c>
      <c r="S1518">
        <f t="shared" si="116"/>
        <v>1</v>
      </c>
      <c r="T1518">
        <f t="shared" si="117"/>
        <v>3</v>
      </c>
      <c r="U1518">
        <f t="shared" si="118"/>
        <v>1</v>
      </c>
      <c r="V1518">
        <f t="shared" si="119"/>
        <v>0</v>
      </c>
    </row>
    <row r="1519" spans="1:22" x14ac:dyDescent="0.25">
      <c r="A1519">
        <v>1516</v>
      </c>
      <c r="B1519" t="s">
        <v>18</v>
      </c>
      <c r="C1519" t="s">
        <v>835</v>
      </c>
      <c r="D1519" s="4">
        <v>45440</v>
      </c>
      <c r="E1519" t="s">
        <v>371</v>
      </c>
      <c r="F1519" t="s">
        <v>75</v>
      </c>
      <c r="I1519" s="6">
        <v>1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>
        <v>1</v>
      </c>
      <c r="R1519">
        <f t="shared" si="115"/>
        <v>0</v>
      </c>
      <c r="S1519">
        <f t="shared" si="116"/>
        <v>1</v>
      </c>
      <c r="T1519">
        <f t="shared" si="117"/>
        <v>1</v>
      </c>
      <c r="U1519">
        <f t="shared" si="118"/>
        <v>1</v>
      </c>
      <c r="V1519">
        <f t="shared" si="119"/>
        <v>0</v>
      </c>
    </row>
    <row r="1520" spans="1:22" x14ac:dyDescent="0.25">
      <c r="A1520">
        <v>1517</v>
      </c>
      <c r="B1520" t="s">
        <v>18</v>
      </c>
      <c r="C1520" t="s">
        <v>835</v>
      </c>
      <c r="D1520" s="4">
        <v>45440</v>
      </c>
      <c r="E1520" t="s">
        <v>895</v>
      </c>
      <c r="F1520" t="s">
        <v>75</v>
      </c>
      <c r="I1520" s="6">
        <v>1</v>
      </c>
      <c r="J1520" s="6">
        <v>0</v>
      </c>
      <c r="K1520" s="6">
        <v>0</v>
      </c>
      <c r="L1520" s="6">
        <v>1</v>
      </c>
      <c r="M1520" s="6">
        <v>0</v>
      </c>
      <c r="N1520" s="6">
        <v>0</v>
      </c>
      <c r="O1520" s="6">
        <v>0</v>
      </c>
      <c r="P1520" s="6">
        <v>0</v>
      </c>
      <c r="Q1520">
        <v>1</v>
      </c>
      <c r="R1520">
        <f t="shared" si="115"/>
        <v>0</v>
      </c>
      <c r="S1520">
        <f t="shared" si="116"/>
        <v>1</v>
      </c>
      <c r="T1520">
        <f t="shared" si="117"/>
        <v>2</v>
      </c>
      <c r="U1520">
        <f t="shared" si="118"/>
        <v>1</v>
      </c>
      <c r="V1520">
        <f t="shared" si="119"/>
        <v>0</v>
      </c>
    </row>
    <row r="1521" spans="1:22" x14ac:dyDescent="0.25">
      <c r="A1521">
        <v>1518</v>
      </c>
      <c r="B1521" t="s">
        <v>18</v>
      </c>
      <c r="C1521" t="s">
        <v>835</v>
      </c>
      <c r="D1521" s="4">
        <v>45441</v>
      </c>
      <c r="E1521" t="s">
        <v>1021</v>
      </c>
      <c r="F1521" t="s">
        <v>75</v>
      </c>
      <c r="I1521" s="6">
        <v>1</v>
      </c>
      <c r="J1521" s="6">
        <v>0</v>
      </c>
      <c r="K1521" s="6">
        <v>0</v>
      </c>
      <c r="L1521" s="6">
        <v>1</v>
      </c>
      <c r="M1521" s="6">
        <v>0</v>
      </c>
      <c r="N1521" s="6">
        <v>0</v>
      </c>
      <c r="O1521" s="6">
        <v>0</v>
      </c>
      <c r="P1521" s="6">
        <v>0</v>
      </c>
      <c r="Q1521">
        <v>1</v>
      </c>
      <c r="R1521">
        <f t="shared" si="115"/>
        <v>0</v>
      </c>
      <c r="S1521">
        <f t="shared" si="116"/>
        <v>1</v>
      </c>
      <c r="T1521">
        <f t="shared" si="117"/>
        <v>2</v>
      </c>
      <c r="U1521">
        <f t="shared" si="118"/>
        <v>1</v>
      </c>
      <c r="V1521">
        <f t="shared" si="119"/>
        <v>0</v>
      </c>
    </row>
    <row r="1522" spans="1:22" x14ac:dyDescent="0.25">
      <c r="A1522">
        <v>1519</v>
      </c>
      <c r="B1522" t="s">
        <v>18</v>
      </c>
      <c r="C1522" t="s">
        <v>835</v>
      </c>
      <c r="D1522" s="4">
        <v>45442</v>
      </c>
      <c r="E1522" t="s">
        <v>1099</v>
      </c>
      <c r="F1522" t="s">
        <v>75</v>
      </c>
      <c r="I1522" s="6">
        <v>0</v>
      </c>
      <c r="J1522" s="6">
        <v>0</v>
      </c>
      <c r="K1522" s="6">
        <v>0</v>
      </c>
      <c r="L1522" s="6">
        <v>1</v>
      </c>
      <c r="M1522" s="6">
        <v>0</v>
      </c>
      <c r="N1522" s="6">
        <v>0</v>
      </c>
      <c r="O1522" s="6">
        <v>0</v>
      </c>
      <c r="P1522" s="6">
        <v>0</v>
      </c>
      <c r="Q1522">
        <v>1</v>
      </c>
      <c r="R1522">
        <f t="shared" si="115"/>
        <v>0</v>
      </c>
      <c r="S1522">
        <f t="shared" si="116"/>
        <v>1</v>
      </c>
      <c r="T1522">
        <f t="shared" si="117"/>
        <v>1</v>
      </c>
      <c r="U1522">
        <f t="shared" si="118"/>
        <v>1</v>
      </c>
      <c r="V1522">
        <f t="shared" si="119"/>
        <v>0</v>
      </c>
    </row>
    <row r="1523" spans="1:22" x14ac:dyDescent="0.25">
      <c r="A1523">
        <v>1520</v>
      </c>
      <c r="B1523" t="s">
        <v>18</v>
      </c>
      <c r="C1523" t="s">
        <v>835</v>
      </c>
      <c r="D1523" s="4">
        <v>45442</v>
      </c>
      <c r="E1523" t="s">
        <v>490</v>
      </c>
      <c r="F1523" t="s">
        <v>75</v>
      </c>
      <c r="I1523" s="6">
        <v>0</v>
      </c>
      <c r="J1523" s="6">
        <v>0</v>
      </c>
      <c r="K1523" s="6">
        <v>0</v>
      </c>
      <c r="L1523" s="6">
        <v>0</v>
      </c>
      <c r="M1523" s="6">
        <v>1</v>
      </c>
      <c r="N1523" s="6">
        <v>1</v>
      </c>
      <c r="O1523" s="6">
        <v>0</v>
      </c>
      <c r="P1523" s="6">
        <v>0</v>
      </c>
      <c r="Q1523">
        <v>1</v>
      </c>
      <c r="R1523">
        <f t="shared" si="115"/>
        <v>0</v>
      </c>
      <c r="S1523">
        <f t="shared" si="116"/>
        <v>1</v>
      </c>
      <c r="T1523">
        <f t="shared" si="117"/>
        <v>2</v>
      </c>
      <c r="U1523">
        <f t="shared" si="118"/>
        <v>1</v>
      </c>
      <c r="V1523">
        <f t="shared" si="119"/>
        <v>0</v>
      </c>
    </row>
    <row r="1524" spans="1:22" x14ac:dyDescent="0.25">
      <c r="A1524">
        <v>1521</v>
      </c>
      <c r="B1524" t="s">
        <v>18</v>
      </c>
      <c r="C1524" t="s">
        <v>835</v>
      </c>
      <c r="D1524" s="4">
        <v>45442</v>
      </c>
      <c r="E1524" t="s">
        <v>1100</v>
      </c>
      <c r="F1524" t="s">
        <v>75</v>
      </c>
      <c r="I1524" s="6">
        <v>0</v>
      </c>
      <c r="J1524" s="6">
        <v>1</v>
      </c>
      <c r="K1524" s="6">
        <v>0</v>
      </c>
      <c r="L1524" s="6">
        <v>0</v>
      </c>
      <c r="M1524" s="6">
        <v>0</v>
      </c>
      <c r="N1524" s="6">
        <v>1</v>
      </c>
      <c r="O1524" s="6">
        <v>0</v>
      </c>
      <c r="P1524" s="6">
        <v>0</v>
      </c>
      <c r="Q1524">
        <v>1</v>
      </c>
      <c r="R1524">
        <f t="shared" si="115"/>
        <v>0</v>
      </c>
      <c r="S1524">
        <f t="shared" si="116"/>
        <v>1</v>
      </c>
      <c r="T1524">
        <f t="shared" si="117"/>
        <v>2</v>
      </c>
      <c r="U1524">
        <f t="shared" si="118"/>
        <v>1</v>
      </c>
      <c r="V1524">
        <f t="shared" si="119"/>
        <v>0</v>
      </c>
    </row>
    <row r="1525" spans="1:22" x14ac:dyDescent="0.25">
      <c r="A1525">
        <v>1522</v>
      </c>
      <c r="B1525" t="s">
        <v>18</v>
      </c>
      <c r="C1525" t="s">
        <v>835</v>
      </c>
      <c r="D1525" s="4">
        <v>45443</v>
      </c>
      <c r="E1525" t="s">
        <v>896</v>
      </c>
      <c r="F1525" t="s">
        <v>75</v>
      </c>
      <c r="I1525" s="6">
        <v>0</v>
      </c>
      <c r="J1525" s="6">
        <v>0</v>
      </c>
      <c r="K1525" s="6">
        <v>0</v>
      </c>
      <c r="L1525" s="6">
        <v>1</v>
      </c>
      <c r="M1525" s="6">
        <v>0</v>
      </c>
      <c r="N1525" s="6">
        <v>1</v>
      </c>
      <c r="O1525" s="6">
        <v>0</v>
      </c>
      <c r="P1525" s="6">
        <v>0</v>
      </c>
      <c r="Q1525">
        <v>1</v>
      </c>
      <c r="R1525">
        <f t="shared" si="115"/>
        <v>0</v>
      </c>
      <c r="S1525">
        <f t="shared" si="116"/>
        <v>1</v>
      </c>
      <c r="T1525">
        <f t="shared" si="117"/>
        <v>2</v>
      </c>
      <c r="U1525">
        <f t="shared" si="118"/>
        <v>1</v>
      </c>
      <c r="V1525">
        <f t="shared" si="119"/>
        <v>0</v>
      </c>
    </row>
    <row r="1526" spans="1:22" x14ac:dyDescent="0.25">
      <c r="A1526">
        <v>1523</v>
      </c>
      <c r="B1526" t="s">
        <v>18</v>
      </c>
      <c r="C1526" t="s">
        <v>835</v>
      </c>
      <c r="D1526" s="4">
        <v>45443</v>
      </c>
      <c r="E1526" t="s">
        <v>897</v>
      </c>
      <c r="F1526" t="s">
        <v>75</v>
      </c>
      <c r="I1526" s="6">
        <v>1</v>
      </c>
      <c r="J1526" s="6">
        <v>0</v>
      </c>
      <c r="K1526" s="6">
        <v>1</v>
      </c>
      <c r="L1526" s="6">
        <v>1</v>
      </c>
      <c r="M1526" s="6">
        <v>0</v>
      </c>
      <c r="N1526" s="6">
        <v>0</v>
      </c>
      <c r="O1526" s="6">
        <v>0</v>
      </c>
      <c r="P1526" s="6">
        <v>0</v>
      </c>
      <c r="Q1526">
        <v>1</v>
      </c>
      <c r="R1526">
        <f t="shared" si="115"/>
        <v>0</v>
      </c>
      <c r="S1526">
        <f t="shared" si="116"/>
        <v>1</v>
      </c>
      <c r="T1526">
        <f t="shared" si="117"/>
        <v>3</v>
      </c>
      <c r="U1526">
        <f t="shared" si="118"/>
        <v>1</v>
      </c>
      <c r="V1526">
        <f t="shared" si="119"/>
        <v>0</v>
      </c>
    </row>
    <row r="1527" spans="1:22" x14ac:dyDescent="0.25">
      <c r="A1527">
        <v>1524</v>
      </c>
      <c r="B1527" t="s">
        <v>18</v>
      </c>
      <c r="C1527" t="s">
        <v>835</v>
      </c>
      <c r="D1527" s="4">
        <v>45443</v>
      </c>
      <c r="E1527" t="s">
        <v>898</v>
      </c>
      <c r="F1527" t="s">
        <v>75</v>
      </c>
      <c r="I1527" s="6">
        <v>1</v>
      </c>
      <c r="J1527" s="6">
        <v>1</v>
      </c>
      <c r="K1527" s="6">
        <v>1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>
        <v>1</v>
      </c>
      <c r="R1527">
        <f t="shared" si="115"/>
        <v>0</v>
      </c>
      <c r="S1527">
        <f t="shared" si="116"/>
        <v>1</v>
      </c>
      <c r="T1527">
        <f t="shared" si="117"/>
        <v>3</v>
      </c>
      <c r="U1527">
        <f t="shared" si="118"/>
        <v>1</v>
      </c>
      <c r="V1527">
        <f t="shared" si="119"/>
        <v>0</v>
      </c>
    </row>
    <row r="1528" spans="1:22" x14ac:dyDescent="0.25">
      <c r="A1528">
        <v>1525</v>
      </c>
      <c r="B1528" t="s">
        <v>18</v>
      </c>
      <c r="C1528" t="s">
        <v>835</v>
      </c>
      <c r="D1528" s="4">
        <v>45444</v>
      </c>
      <c r="E1528" t="s">
        <v>376</v>
      </c>
      <c r="F1528" t="s">
        <v>75</v>
      </c>
      <c r="I1528" s="6">
        <v>0</v>
      </c>
      <c r="J1528" s="6">
        <v>0</v>
      </c>
      <c r="K1528" s="6">
        <v>0</v>
      </c>
      <c r="L1528" s="6">
        <v>1</v>
      </c>
      <c r="M1528" s="6">
        <v>0</v>
      </c>
      <c r="N1528" s="6">
        <v>0</v>
      </c>
      <c r="O1528" s="6">
        <v>0</v>
      </c>
      <c r="P1528" s="6">
        <v>0</v>
      </c>
      <c r="Q1528">
        <v>1</v>
      </c>
      <c r="R1528">
        <f t="shared" si="115"/>
        <v>0</v>
      </c>
      <c r="S1528">
        <f t="shared" si="116"/>
        <v>1</v>
      </c>
      <c r="T1528">
        <f t="shared" si="117"/>
        <v>1</v>
      </c>
      <c r="U1528">
        <f t="shared" si="118"/>
        <v>1</v>
      </c>
      <c r="V1528">
        <f t="shared" si="119"/>
        <v>0</v>
      </c>
    </row>
    <row r="1529" spans="1:22" x14ac:dyDescent="0.25">
      <c r="A1529">
        <v>1526</v>
      </c>
      <c r="B1529" t="s">
        <v>18</v>
      </c>
      <c r="C1529" t="s">
        <v>835</v>
      </c>
      <c r="D1529" s="4">
        <v>45444</v>
      </c>
      <c r="E1529" t="s">
        <v>899</v>
      </c>
      <c r="F1529" t="s">
        <v>75</v>
      </c>
      <c r="I1529" s="6">
        <v>0</v>
      </c>
      <c r="J1529" s="6">
        <v>0</v>
      </c>
      <c r="K1529" s="6">
        <v>0</v>
      </c>
      <c r="L1529" s="6">
        <v>1</v>
      </c>
      <c r="M1529" s="6">
        <v>1</v>
      </c>
      <c r="N1529" s="6">
        <v>0</v>
      </c>
      <c r="O1529" s="6">
        <v>0</v>
      </c>
      <c r="P1529" s="6">
        <v>0</v>
      </c>
      <c r="Q1529">
        <v>1</v>
      </c>
      <c r="R1529">
        <f t="shared" si="115"/>
        <v>0</v>
      </c>
      <c r="S1529">
        <f t="shared" si="116"/>
        <v>1</v>
      </c>
      <c r="T1529">
        <f t="shared" si="117"/>
        <v>2</v>
      </c>
      <c r="U1529">
        <f t="shared" si="118"/>
        <v>1</v>
      </c>
      <c r="V1529">
        <f t="shared" si="119"/>
        <v>0</v>
      </c>
    </row>
    <row r="1530" spans="1:22" x14ac:dyDescent="0.25">
      <c r="A1530">
        <v>1527</v>
      </c>
      <c r="B1530" t="s">
        <v>18</v>
      </c>
      <c r="C1530" t="s">
        <v>835</v>
      </c>
      <c r="D1530" s="4">
        <v>45444</v>
      </c>
      <c r="E1530" t="s">
        <v>377</v>
      </c>
      <c r="F1530" t="s">
        <v>75</v>
      </c>
      <c r="I1530" s="6">
        <v>1</v>
      </c>
      <c r="J1530" s="6">
        <v>0</v>
      </c>
      <c r="K1530" s="6">
        <v>0</v>
      </c>
      <c r="L1530" s="6">
        <v>1</v>
      </c>
      <c r="M1530" s="6">
        <v>0</v>
      </c>
      <c r="N1530" s="6">
        <v>0</v>
      </c>
      <c r="O1530" s="6">
        <v>0</v>
      </c>
      <c r="P1530" s="6">
        <v>0</v>
      </c>
      <c r="Q1530">
        <v>1</v>
      </c>
      <c r="R1530">
        <f t="shared" si="115"/>
        <v>0</v>
      </c>
      <c r="S1530">
        <f t="shared" si="116"/>
        <v>1</v>
      </c>
      <c r="T1530">
        <f t="shared" si="117"/>
        <v>2</v>
      </c>
      <c r="U1530">
        <f t="shared" si="118"/>
        <v>1</v>
      </c>
      <c r="V1530">
        <f t="shared" si="119"/>
        <v>0</v>
      </c>
    </row>
    <row r="1531" spans="1:22" x14ac:dyDescent="0.25">
      <c r="A1531">
        <v>1528</v>
      </c>
      <c r="B1531" t="s">
        <v>18</v>
      </c>
      <c r="C1531" t="s">
        <v>835</v>
      </c>
      <c r="D1531" s="4">
        <v>45444</v>
      </c>
      <c r="E1531" t="s">
        <v>378</v>
      </c>
      <c r="F1531" t="s">
        <v>75</v>
      </c>
      <c r="I1531" s="6">
        <v>0</v>
      </c>
      <c r="J1531" s="6">
        <v>0</v>
      </c>
      <c r="K1531" s="6">
        <v>0</v>
      </c>
      <c r="L1531" s="6">
        <v>0</v>
      </c>
      <c r="M1531" s="6">
        <v>1</v>
      </c>
      <c r="N1531" s="6">
        <v>1</v>
      </c>
      <c r="O1531" s="6">
        <v>0</v>
      </c>
      <c r="P1531" s="6">
        <v>0</v>
      </c>
      <c r="Q1531">
        <v>1</v>
      </c>
      <c r="R1531">
        <f t="shared" si="115"/>
        <v>0</v>
      </c>
      <c r="S1531">
        <f t="shared" si="116"/>
        <v>1</v>
      </c>
      <c r="T1531">
        <f t="shared" si="117"/>
        <v>2</v>
      </c>
      <c r="U1531">
        <f t="shared" si="118"/>
        <v>1</v>
      </c>
      <c r="V1531">
        <f t="shared" si="119"/>
        <v>0</v>
      </c>
    </row>
    <row r="1532" spans="1:22" x14ac:dyDescent="0.25">
      <c r="A1532">
        <v>1529</v>
      </c>
      <c r="B1532" t="s">
        <v>18</v>
      </c>
      <c r="C1532" t="s">
        <v>835</v>
      </c>
      <c r="D1532" s="4">
        <v>45445</v>
      </c>
      <c r="E1532" t="s">
        <v>380</v>
      </c>
      <c r="F1532" t="s">
        <v>75</v>
      </c>
      <c r="I1532" s="6">
        <v>0</v>
      </c>
      <c r="J1532" s="6">
        <v>0</v>
      </c>
      <c r="K1532" s="6">
        <v>0</v>
      </c>
      <c r="L1532" s="6">
        <v>1</v>
      </c>
      <c r="M1532" s="6">
        <v>0</v>
      </c>
      <c r="N1532" s="6">
        <v>0</v>
      </c>
      <c r="O1532" s="6">
        <v>0</v>
      </c>
      <c r="P1532" s="6">
        <v>0</v>
      </c>
      <c r="Q1532">
        <v>1</v>
      </c>
      <c r="R1532">
        <f t="shared" si="115"/>
        <v>0</v>
      </c>
      <c r="S1532">
        <f t="shared" si="116"/>
        <v>1</v>
      </c>
      <c r="T1532">
        <f t="shared" si="117"/>
        <v>1</v>
      </c>
      <c r="U1532">
        <f t="shared" si="118"/>
        <v>1</v>
      </c>
      <c r="V1532">
        <f t="shared" si="119"/>
        <v>0</v>
      </c>
    </row>
    <row r="1533" spans="1:22" x14ac:dyDescent="0.25">
      <c r="A1533">
        <v>1530</v>
      </c>
      <c r="B1533" t="s">
        <v>18</v>
      </c>
      <c r="C1533" t="s">
        <v>835</v>
      </c>
      <c r="D1533" s="4">
        <v>45445</v>
      </c>
      <c r="E1533" t="s">
        <v>381</v>
      </c>
      <c r="F1533" t="s">
        <v>75</v>
      </c>
      <c r="I1533" s="6">
        <v>0</v>
      </c>
      <c r="J1533" s="6">
        <v>0</v>
      </c>
      <c r="K1533" s="6">
        <v>0</v>
      </c>
      <c r="L1533" s="6">
        <v>1</v>
      </c>
      <c r="M1533" s="6">
        <v>0</v>
      </c>
      <c r="N1533" s="6">
        <v>0</v>
      </c>
      <c r="O1533" s="6">
        <v>0</v>
      </c>
      <c r="P1533" s="6">
        <v>0</v>
      </c>
      <c r="Q1533">
        <v>1</v>
      </c>
      <c r="R1533">
        <f t="shared" si="115"/>
        <v>0</v>
      </c>
      <c r="S1533">
        <f t="shared" si="116"/>
        <v>1</v>
      </c>
      <c r="T1533">
        <f t="shared" si="117"/>
        <v>1</v>
      </c>
      <c r="U1533">
        <f t="shared" si="118"/>
        <v>1</v>
      </c>
      <c r="V1533">
        <f t="shared" si="119"/>
        <v>0</v>
      </c>
    </row>
    <row r="1534" spans="1:22" x14ac:dyDescent="0.25">
      <c r="A1534">
        <v>1531</v>
      </c>
      <c r="B1534" t="s">
        <v>18</v>
      </c>
      <c r="C1534" t="s">
        <v>835</v>
      </c>
      <c r="D1534" s="4">
        <v>45445</v>
      </c>
      <c r="E1534" t="s">
        <v>382</v>
      </c>
      <c r="F1534" t="s">
        <v>75</v>
      </c>
      <c r="I1534" s="6">
        <v>0</v>
      </c>
      <c r="J1534" s="6">
        <v>0</v>
      </c>
      <c r="K1534" s="6">
        <v>0</v>
      </c>
      <c r="L1534" s="6">
        <v>1</v>
      </c>
      <c r="M1534" s="6">
        <v>1</v>
      </c>
      <c r="N1534" s="6">
        <v>1</v>
      </c>
      <c r="O1534" s="6">
        <v>0</v>
      </c>
      <c r="P1534" s="6">
        <v>0</v>
      </c>
      <c r="Q1534">
        <v>1</v>
      </c>
      <c r="R1534">
        <f t="shared" si="115"/>
        <v>0</v>
      </c>
      <c r="S1534">
        <f t="shared" si="116"/>
        <v>1</v>
      </c>
      <c r="T1534">
        <f t="shared" si="117"/>
        <v>3</v>
      </c>
      <c r="U1534">
        <f t="shared" si="118"/>
        <v>1</v>
      </c>
      <c r="V1534">
        <f t="shared" si="119"/>
        <v>0</v>
      </c>
    </row>
    <row r="1535" spans="1:22" x14ac:dyDescent="0.25">
      <c r="A1535">
        <v>1532</v>
      </c>
      <c r="B1535" t="s">
        <v>18</v>
      </c>
      <c r="C1535" t="s">
        <v>835</v>
      </c>
      <c r="D1535" s="4">
        <v>45446</v>
      </c>
      <c r="E1535" t="s">
        <v>383</v>
      </c>
      <c r="F1535" t="s">
        <v>75</v>
      </c>
      <c r="I1535" s="6">
        <v>0</v>
      </c>
      <c r="J1535" s="6">
        <v>0</v>
      </c>
      <c r="K1535" s="6">
        <v>0</v>
      </c>
      <c r="L1535" s="6">
        <v>1</v>
      </c>
      <c r="M1535" s="6">
        <v>0</v>
      </c>
      <c r="N1535" s="6">
        <v>0</v>
      </c>
      <c r="O1535" s="6">
        <v>0</v>
      </c>
      <c r="P1535" s="6">
        <v>0</v>
      </c>
      <c r="Q1535">
        <v>1</v>
      </c>
      <c r="R1535">
        <f t="shared" si="115"/>
        <v>0</v>
      </c>
      <c r="S1535">
        <f t="shared" si="116"/>
        <v>1</v>
      </c>
      <c r="T1535">
        <f t="shared" si="117"/>
        <v>1</v>
      </c>
      <c r="U1535">
        <f t="shared" si="118"/>
        <v>1</v>
      </c>
      <c r="V1535">
        <f t="shared" si="119"/>
        <v>0</v>
      </c>
    </row>
    <row r="1536" spans="1:22" x14ac:dyDescent="0.25">
      <c r="A1536">
        <v>1533</v>
      </c>
      <c r="B1536" t="s">
        <v>18</v>
      </c>
      <c r="C1536" t="s">
        <v>835</v>
      </c>
      <c r="D1536" s="4">
        <v>45446</v>
      </c>
      <c r="E1536" t="s">
        <v>384</v>
      </c>
      <c r="F1536" t="s">
        <v>75</v>
      </c>
      <c r="I1536" s="6">
        <v>0</v>
      </c>
      <c r="J1536" s="6">
        <v>0</v>
      </c>
      <c r="K1536" s="6">
        <v>0</v>
      </c>
      <c r="L1536" s="6">
        <v>1</v>
      </c>
      <c r="M1536" s="6">
        <v>0</v>
      </c>
      <c r="N1536" s="6">
        <v>0</v>
      </c>
      <c r="O1536" s="6">
        <v>0</v>
      </c>
      <c r="P1536" s="6">
        <v>0</v>
      </c>
      <c r="Q1536">
        <v>1</v>
      </c>
      <c r="R1536">
        <f t="shared" si="115"/>
        <v>0</v>
      </c>
      <c r="S1536">
        <f t="shared" si="116"/>
        <v>1</v>
      </c>
      <c r="T1536">
        <f t="shared" si="117"/>
        <v>1</v>
      </c>
      <c r="U1536">
        <f t="shared" si="118"/>
        <v>1</v>
      </c>
      <c r="V1536">
        <f t="shared" si="119"/>
        <v>0</v>
      </c>
    </row>
    <row r="1537" spans="1:22" x14ac:dyDescent="0.25">
      <c r="A1537">
        <v>1534</v>
      </c>
      <c r="B1537" t="s">
        <v>18</v>
      </c>
      <c r="C1537" t="s">
        <v>835</v>
      </c>
      <c r="D1537" s="4">
        <v>45446</v>
      </c>
      <c r="E1537" t="s">
        <v>385</v>
      </c>
      <c r="F1537" t="s">
        <v>75</v>
      </c>
      <c r="I1537" s="6">
        <v>0</v>
      </c>
      <c r="J1537" s="6">
        <v>0</v>
      </c>
      <c r="K1537" s="6">
        <v>0</v>
      </c>
      <c r="L1537" s="6">
        <v>1</v>
      </c>
      <c r="M1537" s="6">
        <v>0</v>
      </c>
      <c r="N1537" s="6">
        <v>0</v>
      </c>
      <c r="O1537" s="6">
        <v>0</v>
      </c>
      <c r="P1537" s="6">
        <v>0</v>
      </c>
      <c r="Q1537">
        <v>1</v>
      </c>
      <c r="R1537">
        <f t="shared" si="115"/>
        <v>0</v>
      </c>
      <c r="S1537">
        <f t="shared" si="116"/>
        <v>1</v>
      </c>
      <c r="T1537">
        <f t="shared" si="117"/>
        <v>1</v>
      </c>
      <c r="U1537">
        <f t="shared" si="118"/>
        <v>1</v>
      </c>
      <c r="V1537">
        <f t="shared" si="119"/>
        <v>0</v>
      </c>
    </row>
    <row r="1538" spans="1:22" x14ac:dyDescent="0.25">
      <c r="A1538">
        <v>1535</v>
      </c>
      <c r="B1538" t="s">
        <v>18</v>
      </c>
      <c r="C1538" t="s">
        <v>835</v>
      </c>
      <c r="D1538" s="4">
        <v>45446</v>
      </c>
      <c r="E1538" t="s">
        <v>386</v>
      </c>
      <c r="F1538" t="s">
        <v>75</v>
      </c>
      <c r="I1538" s="6">
        <v>1</v>
      </c>
      <c r="J1538" s="6">
        <v>0</v>
      </c>
      <c r="K1538" s="6">
        <v>0</v>
      </c>
      <c r="L1538" s="6">
        <v>1</v>
      </c>
      <c r="M1538" s="6">
        <v>0</v>
      </c>
      <c r="N1538" s="6">
        <v>0</v>
      </c>
      <c r="O1538" s="6">
        <v>0</v>
      </c>
      <c r="P1538" s="6">
        <v>0</v>
      </c>
      <c r="Q1538">
        <v>1</v>
      </c>
      <c r="R1538">
        <f t="shared" si="115"/>
        <v>0</v>
      </c>
      <c r="S1538">
        <f t="shared" si="116"/>
        <v>1</v>
      </c>
      <c r="T1538">
        <f t="shared" si="117"/>
        <v>2</v>
      </c>
      <c r="U1538">
        <f t="shared" si="118"/>
        <v>1</v>
      </c>
      <c r="V1538">
        <f t="shared" si="119"/>
        <v>0</v>
      </c>
    </row>
    <row r="1539" spans="1:22" x14ac:dyDescent="0.25">
      <c r="A1539">
        <v>1536</v>
      </c>
      <c r="B1539" t="s">
        <v>18</v>
      </c>
      <c r="C1539" t="s">
        <v>835</v>
      </c>
      <c r="D1539" s="4">
        <v>45447</v>
      </c>
      <c r="E1539" t="s">
        <v>387</v>
      </c>
      <c r="F1539" t="s">
        <v>75</v>
      </c>
      <c r="I1539" s="6">
        <v>0</v>
      </c>
      <c r="J1539" s="6">
        <v>0</v>
      </c>
      <c r="K1539" s="6">
        <v>0</v>
      </c>
      <c r="L1539" s="6">
        <v>1</v>
      </c>
      <c r="M1539" s="6">
        <v>1</v>
      </c>
      <c r="N1539" s="6">
        <v>0</v>
      </c>
      <c r="O1539" s="6">
        <v>0</v>
      </c>
      <c r="P1539" s="6">
        <v>0</v>
      </c>
      <c r="Q1539">
        <v>1</v>
      </c>
      <c r="R1539">
        <f t="shared" ref="R1539:R1602" si="120">IF(AND(Q1539=1,F1539="ai_full"),1,0)</f>
        <v>0</v>
      </c>
      <c r="S1539">
        <f t="shared" ref="S1539:S1602" si="121">IF(AND(Q1539=1,F1539="conventional"),1,0)</f>
        <v>1</v>
      </c>
      <c r="T1539">
        <f t="shared" ref="T1539:T1602" si="122">SUM(I1539:P1539)</f>
        <v>2</v>
      </c>
      <c r="U1539">
        <f t="shared" ref="U1539:U1602" si="123">IF(T1539&gt;=1,1,0)</f>
        <v>1</v>
      </c>
      <c r="V1539">
        <f t="shared" ref="V1539:V1602" si="124">IF(F1539="ai_full",1,0)</f>
        <v>0</v>
      </c>
    </row>
    <row r="1540" spans="1:22" x14ac:dyDescent="0.25">
      <c r="A1540">
        <v>1537</v>
      </c>
      <c r="B1540" t="s">
        <v>18</v>
      </c>
      <c r="C1540" t="s">
        <v>835</v>
      </c>
      <c r="D1540" s="4">
        <v>45447</v>
      </c>
      <c r="E1540" t="s">
        <v>494</v>
      </c>
      <c r="F1540" t="s">
        <v>75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>
        <v>1</v>
      </c>
      <c r="R1540">
        <f t="shared" si="120"/>
        <v>0</v>
      </c>
      <c r="S1540">
        <f t="shared" si="121"/>
        <v>1</v>
      </c>
      <c r="T1540">
        <f t="shared" si="122"/>
        <v>0</v>
      </c>
      <c r="U1540">
        <f t="shared" si="123"/>
        <v>0</v>
      </c>
      <c r="V1540">
        <f t="shared" si="124"/>
        <v>0</v>
      </c>
    </row>
    <row r="1541" spans="1:22" x14ac:dyDescent="0.25">
      <c r="A1541">
        <v>1538</v>
      </c>
      <c r="B1541" t="s">
        <v>18</v>
      </c>
      <c r="C1541" t="s">
        <v>835</v>
      </c>
      <c r="D1541" s="4">
        <v>45447</v>
      </c>
      <c r="E1541" t="s">
        <v>900</v>
      </c>
      <c r="F1541" t="s">
        <v>75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>
        <v>1</v>
      </c>
      <c r="R1541">
        <f t="shared" si="120"/>
        <v>0</v>
      </c>
      <c r="S1541">
        <f t="shared" si="121"/>
        <v>1</v>
      </c>
      <c r="T1541">
        <f t="shared" si="122"/>
        <v>0</v>
      </c>
      <c r="U1541">
        <f t="shared" si="123"/>
        <v>0</v>
      </c>
      <c r="V1541">
        <f t="shared" si="124"/>
        <v>0</v>
      </c>
    </row>
    <row r="1542" spans="1:22" x14ac:dyDescent="0.25">
      <c r="A1542">
        <v>1539</v>
      </c>
      <c r="B1542" t="s">
        <v>18</v>
      </c>
      <c r="C1542" t="s">
        <v>835</v>
      </c>
      <c r="D1542" s="4">
        <v>45447</v>
      </c>
      <c r="E1542" t="s">
        <v>1029</v>
      </c>
      <c r="F1542" t="s">
        <v>75</v>
      </c>
      <c r="I1542" s="6">
        <v>0</v>
      </c>
      <c r="J1542" s="6">
        <v>1</v>
      </c>
      <c r="K1542" s="6">
        <v>0</v>
      </c>
      <c r="L1542" s="6">
        <v>1</v>
      </c>
      <c r="M1542" s="6">
        <v>1</v>
      </c>
      <c r="N1542" s="6">
        <v>0</v>
      </c>
      <c r="O1542" s="6">
        <v>0</v>
      </c>
      <c r="P1542" s="6">
        <v>0</v>
      </c>
      <c r="Q1542">
        <v>1</v>
      </c>
      <c r="R1542">
        <f t="shared" si="120"/>
        <v>0</v>
      </c>
      <c r="S1542">
        <f t="shared" si="121"/>
        <v>1</v>
      </c>
      <c r="T1542">
        <f t="shared" si="122"/>
        <v>3</v>
      </c>
      <c r="U1542">
        <f t="shared" si="123"/>
        <v>1</v>
      </c>
      <c r="V1542">
        <f t="shared" si="124"/>
        <v>0</v>
      </c>
    </row>
    <row r="1543" spans="1:22" x14ac:dyDescent="0.25">
      <c r="A1543">
        <v>1540</v>
      </c>
      <c r="B1543" t="s">
        <v>18</v>
      </c>
      <c r="C1543" t="s">
        <v>835</v>
      </c>
      <c r="D1543" s="4">
        <v>45448</v>
      </c>
      <c r="E1543" t="s">
        <v>497</v>
      </c>
      <c r="F1543" t="s">
        <v>75</v>
      </c>
      <c r="I1543" s="6">
        <v>0</v>
      </c>
      <c r="J1543" s="6">
        <v>0</v>
      </c>
      <c r="K1543" s="6">
        <v>0</v>
      </c>
      <c r="L1543" s="6">
        <v>1</v>
      </c>
      <c r="M1543" s="6">
        <v>1</v>
      </c>
      <c r="N1543" s="6">
        <v>0</v>
      </c>
      <c r="O1543" s="6">
        <v>0</v>
      </c>
      <c r="P1543" s="6">
        <v>0</v>
      </c>
      <c r="Q1543">
        <v>1</v>
      </c>
      <c r="R1543">
        <f t="shared" si="120"/>
        <v>0</v>
      </c>
      <c r="S1543">
        <f t="shared" si="121"/>
        <v>1</v>
      </c>
      <c r="T1543">
        <f t="shared" si="122"/>
        <v>2</v>
      </c>
      <c r="U1543">
        <f t="shared" si="123"/>
        <v>1</v>
      </c>
      <c r="V1543">
        <f t="shared" si="124"/>
        <v>0</v>
      </c>
    </row>
    <row r="1544" spans="1:22" x14ac:dyDescent="0.25">
      <c r="A1544">
        <v>1541</v>
      </c>
      <c r="B1544" t="s">
        <v>18</v>
      </c>
      <c r="C1544" t="s">
        <v>835</v>
      </c>
      <c r="D1544" s="4">
        <v>45448</v>
      </c>
      <c r="E1544" t="s">
        <v>388</v>
      </c>
      <c r="F1544" t="s">
        <v>75</v>
      </c>
      <c r="I1544" s="6">
        <v>0</v>
      </c>
      <c r="J1544" s="6">
        <v>0</v>
      </c>
      <c r="K1544" s="6">
        <v>0</v>
      </c>
      <c r="L1544" s="6">
        <v>1</v>
      </c>
      <c r="M1544" s="6">
        <v>0</v>
      </c>
      <c r="N1544" s="6">
        <v>0</v>
      </c>
      <c r="O1544" s="6">
        <v>0</v>
      </c>
      <c r="P1544" s="6">
        <v>0</v>
      </c>
      <c r="Q1544">
        <v>1</v>
      </c>
      <c r="R1544">
        <f t="shared" si="120"/>
        <v>0</v>
      </c>
      <c r="S1544">
        <f t="shared" si="121"/>
        <v>1</v>
      </c>
      <c r="T1544">
        <f t="shared" si="122"/>
        <v>1</v>
      </c>
      <c r="U1544">
        <f t="shared" si="123"/>
        <v>1</v>
      </c>
      <c r="V1544">
        <f t="shared" si="124"/>
        <v>0</v>
      </c>
    </row>
    <row r="1545" spans="1:22" x14ac:dyDescent="0.25">
      <c r="A1545">
        <v>1542</v>
      </c>
      <c r="B1545" t="s">
        <v>18</v>
      </c>
      <c r="C1545" t="s">
        <v>835</v>
      </c>
      <c r="D1545" s="4">
        <v>45448</v>
      </c>
      <c r="E1545" t="s">
        <v>500</v>
      </c>
      <c r="F1545" t="s">
        <v>75</v>
      </c>
      <c r="I1545" s="6">
        <v>0</v>
      </c>
      <c r="J1545" s="6">
        <v>0</v>
      </c>
      <c r="K1545" s="6">
        <v>0</v>
      </c>
      <c r="L1545" s="6">
        <v>1</v>
      </c>
      <c r="M1545" s="6">
        <v>1</v>
      </c>
      <c r="N1545" s="6">
        <v>0</v>
      </c>
      <c r="O1545" s="6">
        <v>0</v>
      </c>
      <c r="P1545" s="6">
        <v>0</v>
      </c>
      <c r="Q1545">
        <v>1</v>
      </c>
      <c r="R1545">
        <f t="shared" si="120"/>
        <v>0</v>
      </c>
      <c r="S1545">
        <f t="shared" si="121"/>
        <v>1</v>
      </c>
      <c r="T1545">
        <f t="shared" si="122"/>
        <v>2</v>
      </c>
      <c r="U1545">
        <f t="shared" si="123"/>
        <v>1</v>
      </c>
      <c r="V1545">
        <f t="shared" si="124"/>
        <v>0</v>
      </c>
    </row>
    <row r="1546" spans="1:22" x14ac:dyDescent="0.25">
      <c r="A1546">
        <v>1543</v>
      </c>
      <c r="B1546" t="s">
        <v>18</v>
      </c>
      <c r="C1546" t="s">
        <v>835</v>
      </c>
      <c r="D1546" s="4">
        <v>45449</v>
      </c>
      <c r="E1546" t="s">
        <v>389</v>
      </c>
      <c r="F1546" t="s">
        <v>75</v>
      </c>
      <c r="I1546" s="6">
        <v>0</v>
      </c>
      <c r="J1546" s="6">
        <v>0</v>
      </c>
      <c r="K1546" s="6">
        <v>0</v>
      </c>
      <c r="L1546" s="6">
        <v>1</v>
      </c>
      <c r="M1546" s="6">
        <v>0</v>
      </c>
      <c r="N1546" s="6">
        <v>1</v>
      </c>
      <c r="O1546" s="6">
        <v>0</v>
      </c>
      <c r="P1546" s="6">
        <v>0</v>
      </c>
      <c r="Q1546">
        <v>1</v>
      </c>
      <c r="R1546">
        <f t="shared" si="120"/>
        <v>0</v>
      </c>
      <c r="S1546">
        <f t="shared" si="121"/>
        <v>1</v>
      </c>
      <c r="T1546">
        <f t="shared" si="122"/>
        <v>2</v>
      </c>
      <c r="U1546">
        <f t="shared" si="123"/>
        <v>1</v>
      </c>
      <c r="V1546">
        <f t="shared" si="124"/>
        <v>0</v>
      </c>
    </row>
    <row r="1547" spans="1:22" x14ac:dyDescent="0.25">
      <c r="A1547">
        <v>1544</v>
      </c>
      <c r="B1547" t="s">
        <v>18</v>
      </c>
      <c r="C1547" t="s">
        <v>835</v>
      </c>
      <c r="D1547" s="4">
        <v>45449</v>
      </c>
      <c r="E1547" t="s">
        <v>507</v>
      </c>
      <c r="F1547" t="s">
        <v>413</v>
      </c>
      <c r="G1547">
        <v>92</v>
      </c>
      <c r="I1547" s="6">
        <v>0</v>
      </c>
      <c r="J1547" s="6">
        <v>0</v>
      </c>
      <c r="K1547" s="6">
        <v>0</v>
      </c>
      <c r="L1547" s="6">
        <v>1</v>
      </c>
      <c r="M1547" s="6">
        <v>1</v>
      </c>
      <c r="N1547" s="6">
        <v>1</v>
      </c>
      <c r="O1547" s="6">
        <v>0</v>
      </c>
      <c r="P1547" s="6">
        <v>0</v>
      </c>
      <c r="Q1547">
        <v>1</v>
      </c>
      <c r="R1547">
        <f t="shared" si="120"/>
        <v>1</v>
      </c>
      <c r="S1547">
        <f t="shared" si="121"/>
        <v>0</v>
      </c>
      <c r="T1547">
        <f t="shared" si="122"/>
        <v>3</v>
      </c>
      <c r="U1547">
        <f t="shared" si="123"/>
        <v>1</v>
      </c>
      <c r="V1547">
        <f t="shared" si="124"/>
        <v>1</v>
      </c>
    </row>
    <row r="1548" spans="1:22" x14ac:dyDescent="0.25">
      <c r="A1548">
        <v>1545</v>
      </c>
      <c r="B1548" t="s">
        <v>18</v>
      </c>
      <c r="C1548" t="s">
        <v>835</v>
      </c>
      <c r="D1548" s="4">
        <v>45449</v>
      </c>
      <c r="E1548" t="s">
        <v>390</v>
      </c>
      <c r="F1548" t="s">
        <v>75</v>
      </c>
      <c r="I1548" s="6">
        <v>0</v>
      </c>
      <c r="J1548" s="6">
        <v>0</v>
      </c>
      <c r="K1548" s="6">
        <v>0</v>
      </c>
      <c r="L1548" s="6">
        <v>1</v>
      </c>
      <c r="M1548" s="6">
        <v>0</v>
      </c>
      <c r="N1548" s="6">
        <v>0</v>
      </c>
      <c r="O1548" s="6">
        <v>0</v>
      </c>
      <c r="P1548" s="6">
        <v>0</v>
      </c>
      <c r="Q1548">
        <v>1</v>
      </c>
      <c r="R1548">
        <f t="shared" si="120"/>
        <v>0</v>
      </c>
      <c r="S1548">
        <f t="shared" si="121"/>
        <v>1</v>
      </c>
      <c r="T1548">
        <f t="shared" si="122"/>
        <v>1</v>
      </c>
      <c r="U1548">
        <f t="shared" si="123"/>
        <v>1</v>
      </c>
      <c r="V1548">
        <f t="shared" si="124"/>
        <v>0</v>
      </c>
    </row>
    <row r="1549" spans="1:22" x14ac:dyDescent="0.25">
      <c r="A1549">
        <v>1546</v>
      </c>
      <c r="B1549" t="s">
        <v>18</v>
      </c>
      <c r="C1549" t="s">
        <v>835</v>
      </c>
      <c r="D1549" s="4">
        <v>45449</v>
      </c>
      <c r="E1549" t="s">
        <v>391</v>
      </c>
      <c r="F1549" t="s">
        <v>75</v>
      </c>
      <c r="I1549" s="6">
        <v>0</v>
      </c>
      <c r="J1549" s="6">
        <v>0</v>
      </c>
      <c r="K1549" s="6">
        <v>0</v>
      </c>
      <c r="L1549" s="6">
        <v>1</v>
      </c>
      <c r="M1549" s="6">
        <v>1</v>
      </c>
      <c r="N1549" s="6">
        <v>0</v>
      </c>
      <c r="O1549" s="6">
        <v>0</v>
      </c>
      <c r="P1549" s="6">
        <v>1</v>
      </c>
      <c r="Q1549">
        <v>1</v>
      </c>
      <c r="R1549">
        <f t="shared" si="120"/>
        <v>0</v>
      </c>
      <c r="S1549">
        <f t="shared" si="121"/>
        <v>1</v>
      </c>
      <c r="T1549">
        <f t="shared" si="122"/>
        <v>3</v>
      </c>
      <c r="U1549">
        <f t="shared" si="123"/>
        <v>1</v>
      </c>
      <c r="V1549">
        <f t="shared" si="124"/>
        <v>0</v>
      </c>
    </row>
    <row r="1550" spans="1:22" x14ac:dyDescent="0.25">
      <c r="A1550">
        <v>1547</v>
      </c>
      <c r="B1550" t="s">
        <v>18</v>
      </c>
      <c r="C1550" t="s">
        <v>835</v>
      </c>
      <c r="D1550" s="4">
        <v>45449</v>
      </c>
      <c r="E1550" t="s">
        <v>508</v>
      </c>
      <c r="F1550" t="s">
        <v>75</v>
      </c>
      <c r="I1550" s="6">
        <v>0</v>
      </c>
      <c r="J1550" s="6">
        <v>0</v>
      </c>
      <c r="K1550" s="6">
        <v>0</v>
      </c>
      <c r="L1550" s="6">
        <v>1</v>
      </c>
      <c r="M1550" s="6">
        <v>1</v>
      </c>
      <c r="N1550" s="6">
        <v>1</v>
      </c>
      <c r="O1550" s="6">
        <v>0</v>
      </c>
      <c r="P1550" s="6">
        <v>0</v>
      </c>
      <c r="Q1550">
        <v>1</v>
      </c>
      <c r="R1550">
        <f t="shared" si="120"/>
        <v>0</v>
      </c>
      <c r="S1550">
        <f t="shared" si="121"/>
        <v>1</v>
      </c>
      <c r="T1550">
        <f t="shared" si="122"/>
        <v>3</v>
      </c>
      <c r="U1550">
        <f t="shared" si="123"/>
        <v>1</v>
      </c>
      <c r="V1550">
        <f t="shared" si="124"/>
        <v>0</v>
      </c>
    </row>
    <row r="1551" spans="1:22" x14ac:dyDescent="0.25">
      <c r="A1551">
        <v>1548</v>
      </c>
      <c r="B1551" t="s">
        <v>18</v>
      </c>
      <c r="C1551" t="s">
        <v>835</v>
      </c>
      <c r="D1551" s="4">
        <v>45450</v>
      </c>
      <c r="E1551" t="s">
        <v>392</v>
      </c>
      <c r="F1551" t="s">
        <v>75</v>
      </c>
      <c r="I1551" s="6">
        <v>0</v>
      </c>
      <c r="J1551" s="6">
        <v>0</v>
      </c>
      <c r="K1551" s="6">
        <v>0</v>
      </c>
      <c r="L1551" s="6">
        <v>1</v>
      </c>
      <c r="M1551" s="6">
        <v>1</v>
      </c>
      <c r="N1551" s="6">
        <v>0</v>
      </c>
      <c r="O1551" s="6">
        <v>0</v>
      </c>
      <c r="P1551" s="6">
        <v>0</v>
      </c>
      <c r="Q1551">
        <v>1</v>
      </c>
      <c r="R1551">
        <f t="shared" si="120"/>
        <v>0</v>
      </c>
      <c r="S1551">
        <f t="shared" si="121"/>
        <v>1</v>
      </c>
      <c r="T1551">
        <f t="shared" si="122"/>
        <v>2</v>
      </c>
      <c r="U1551">
        <f t="shared" si="123"/>
        <v>1</v>
      </c>
      <c r="V1551">
        <f t="shared" si="124"/>
        <v>0</v>
      </c>
    </row>
    <row r="1552" spans="1:22" x14ac:dyDescent="0.25">
      <c r="A1552">
        <v>1549</v>
      </c>
      <c r="B1552" t="s">
        <v>18</v>
      </c>
      <c r="C1552" t="s">
        <v>835</v>
      </c>
      <c r="D1552" s="4">
        <v>45450</v>
      </c>
      <c r="E1552" t="s">
        <v>515</v>
      </c>
      <c r="F1552" t="s">
        <v>75</v>
      </c>
      <c r="I1552" s="6">
        <v>0</v>
      </c>
      <c r="J1552" s="6">
        <v>0</v>
      </c>
      <c r="K1552" s="6">
        <v>0</v>
      </c>
      <c r="L1552" s="6">
        <v>1</v>
      </c>
      <c r="M1552" s="6">
        <v>0</v>
      </c>
      <c r="N1552" s="6">
        <v>0</v>
      </c>
      <c r="O1552" s="6">
        <v>0</v>
      </c>
      <c r="P1552" s="6">
        <v>0</v>
      </c>
      <c r="Q1552">
        <v>1</v>
      </c>
      <c r="R1552">
        <f t="shared" si="120"/>
        <v>0</v>
      </c>
      <c r="S1552">
        <f t="shared" si="121"/>
        <v>1</v>
      </c>
      <c r="T1552">
        <f t="shared" si="122"/>
        <v>1</v>
      </c>
      <c r="U1552">
        <f t="shared" si="123"/>
        <v>1</v>
      </c>
      <c r="V1552">
        <f t="shared" si="124"/>
        <v>0</v>
      </c>
    </row>
    <row r="1553" spans="1:22" x14ac:dyDescent="0.25">
      <c r="A1553">
        <v>1550</v>
      </c>
      <c r="B1553" t="s">
        <v>18</v>
      </c>
      <c r="C1553" t="s">
        <v>835</v>
      </c>
      <c r="D1553" s="4">
        <v>45450</v>
      </c>
      <c r="E1553" t="s">
        <v>516</v>
      </c>
      <c r="F1553" t="s">
        <v>75</v>
      </c>
      <c r="I1553" s="6">
        <v>1</v>
      </c>
      <c r="J1553" s="6">
        <v>1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>
        <v>1</v>
      </c>
      <c r="R1553">
        <f t="shared" si="120"/>
        <v>0</v>
      </c>
      <c r="S1553">
        <f t="shared" si="121"/>
        <v>1</v>
      </c>
      <c r="T1553">
        <f t="shared" si="122"/>
        <v>2</v>
      </c>
      <c r="U1553">
        <f t="shared" si="123"/>
        <v>1</v>
      </c>
      <c r="V1553">
        <f t="shared" si="124"/>
        <v>0</v>
      </c>
    </row>
    <row r="1554" spans="1:22" x14ac:dyDescent="0.25">
      <c r="A1554">
        <v>1551</v>
      </c>
      <c r="B1554" t="s">
        <v>18</v>
      </c>
      <c r="C1554" t="s">
        <v>835</v>
      </c>
      <c r="D1554" s="4">
        <v>45450</v>
      </c>
      <c r="E1554" t="s">
        <v>517</v>
      </c>
      <c r="F1554" t="s">
        <v>75</v>
      </c>
      <c r="I1554" s="6">
        <v>0</v>
      </c>
      <c r="J1554" s="6">
        <v>0</v>
      </c>
      <c r="K1554" s="6">
        <v>0</v>
      </c>
      <c r="L1554" s="6">
        <v>1</v>
      </c>
      <c r="M1554" s="6">
        <v>0</v>
      </c>
      <c r="N1554" s="6">
        <v>0</v>
      </c>
      <c r="O1554" s="6">
        <v>0</v>
      </c>
      <c r="P1554" s="6">
        <v>0</v>
      </c>
      <c r="Q1554">
        <v>1</v>
      </c>
      <c r="R1554">
        <f t="shared" si="120"/>
        <v>0</v>
      </c>
      <c r="S1554">
        <f t="shared" si="121"/>
        <v>1</v>
      </c>
      <c r="T1554">
        <f t="shared" si="122"/>
        <v>1</v>
      </c>
      <c r="U1554">
        <f t="shared" si="123"/>
        <v>1</v>
      </c>
      <c r="V1554">
        <f t="shared" si="124"/>
        <v>0</v>
      </c>
    </row>
    <row r="1555" spans="1:22" x14ac:dyDescent="0.25">
      <c r="A1555">
        <v>1552</v>
      </c>
      <c r="B1555" t="s">
        <v>18</v>
      </c>
      <c r="C1555" t="s">
        <v>835</v>
      </c>
      <c r="D1555" s="4">
        <v>45450</v>
      </c>
      <c r="E1555" t="s">
        <v>518</v>
      </c>
      <c r="F1555" t="s">
        <v>75</v>
      </c>
      <c r="I1555" s="6">
        <v>0</v>
      </c>
      <c r="J1555" s="6">
        <v>0</v>
      </c>
      <c r="K1555" s="6">
        <v>0</v>
      </c>
      <c r="L1555" s="6">
        <v>1</v>
      </c>
      <c r="M1555" s="6">
        <v>0</v>
      </c>
      <c r="N1555" s="6">
        <v>1</v>
      </c>
      <c r="O1555" s="6">
        <v>0</v>
      </c>
      <c r="P1555" s="6">
        <v>0</v>
      </c>
      <c r="Q1555">
        <v>1</v>
      </c>
      <c r="R1555">
        <f t="shared" si="120"/>
        <v>0</v>
      </c>
      <c r="S1555">
        <f t="shared" si="121"/>
        <v>1</v>
      </c>
      <c r="T1555">
        <f t="shared" si="122"/>
        <v>2</v>
      </c>
      <c r="U1555">
        <f t="shared" si="123"/>
        <v>1</v>
      </c>
      <c r="V1555">
        <f t="shared" si="124"/>
        <v>0</v>
      </c>
    </row>
    <row r="1556" spans="1:22" x14ac:dyDescent="0.25">
      <c r="A1556">
        <v>1553</v>
      </c>
      <c r="B1556" t="s">
        <v>18</v>
      </c>
      <c r="C1556" t="s">
        <v>835</v>
      </c>
      <c r="D1556" s="4">
        <v>45450</v>
      </c>
      <c r="E1556" t="s">
        <v>519</v>
      </c>
      <c r="F1556" t="s">
        <v>75</v>
      </c>
      <c r="I1556" s="6">
        <v>1</v>
      </c>
      <c r="J1556" s="6">
        <v>0</v>
      </c>
      <c r="K1556" s="6">
        <v>0</v>
      </c>
      <c r="L1556" s="6">
        <v>1</v>
      </c>
      <c r="M1556" s="6">
        <v>1</v>
      </c>
      <c r="N1556" s="6">
        <v>1</v>
      </c>
      <c r="O1556" s="6">
        <v>1</v>
      </c>
      <c r="P1556" s="6">
        <v>0</v>
      </c>
      <c r="Q1556">
        <v>1</v>
      </c>
      <c r="R1556">
        <f t="shared" si="120"/>
        <v>0</v>
      </c>
      <c r="S1556">
        <f t="shared" si="121"/>
        <v>1</v>
      </c>
      <c r="T1556">
        <f t="shared" si="122"/>
        <v>5</v>
      </c>
      <c r="U1556">
        <f t="shared" si="123"/>
        <v>1</v>
      </c>
      <c r="V1556">
        <f t="shared" si="124"/>
        <v>0</v>
      </c>
    </row>
    <row r="1557" spans="1:22" x14ac:dyDescent="0.25">
      <c r="A1557">
        <v>1554</v>
      </c>
      <c r="B1557" t="s">
        <v>18</v>
      </c>
      <c r="C1557" t="s">
        <v>835</v>
      </c>
      <c r="D1557" s="4">
        <v>45451</v>
      </c>
      <c r="E1557" t="s">
        <v>393</v>
      </c>
      <c r="F1557" t="s">
        <v>75</v>
      </c>
      <c r="I1557" s="6">
        <v>1</v>
      </c>
      <c r="J1557" s="6">
        <v>0</v>
      </c>
      <c r="K1557" s="6">
        <v>0</v>
      </c>
      <c r="L1557" s="6">
        <v>1</v>
      </c>
      <c r="M1557" s="6">
        <v>0</v>
      </c>
      <c r="N1557" s="6">
        <v>0</v>
      </c>
      <c r="O1557" s="6">
        <v>0</v>
      </c>
      <c r="P1557" s="6">
        <v>0</v>
      </c>
      <c r="Q1557">
        <v>1</v>
      </c>
      <c r="R1557">
        <f t="shared" si="120"/>
        <v>0</v>
      </c>
      <c r="S1557">
        <f t="shared" si="121"/>
        <v>1</v>
      </c>
      <c r="T1557">
        <f t="shared" si="122"/>
        <v>2</v>
      </c>
      <c r="U1557">
        <f t="shared" si="123"/>
        <v>1</v>
      </c>
      <c r="V1557">
        <f t="shared" si="124"/>
        <v>0</v>
      </c>
    </row>
    <row r="1558" spans="1:22" x14ac:dyDescent="0.25">
      <c r="A1558">
        <v>1555</v>
      </c>
      <c r="B1558" t="s">
        <v>18</v>
      </c>
      <c r="C1558" t="s">
        <v>835</v>
      </c>
      <c r="D1558" s="4">
        <v>45451</v>
      </c>
      <c r="E1558" t="s">
        <v>394</v>
      </c>
      <c r="F1558" t="s">
        <v>75</v>
      </c>
      <c r="I1558" s="6">
        <v>0</v>
      </c>
      <c r="J1558" s="6">
        <v>0</v>
      </c>
      <c r="K1558" s="6">
        <v>0</v>
      </c>
      <c r="L1558" s="6">
        <v>1</v>
      </c>
      <c r="M1558" s="6">
        <v>1</v>
      </c>
      <c r="N1558" s="6">
        <v>0</v>
      </c>
      <c r="O1558" s="6">
        <v>0</v>
      </c>
      <c r="P1558" s="6">
        <v>0</v>
      </c>
      <c r="Q1558">
        <v>1</v>
      </c>
      <c r="R1558">
        <f t="shared" si="120"/>
        <v>0</v>
      </c>
      <c r="S1558">
        <f t="shared" si="121"/>
        <v>1</v>
      </c>
      <c r="T1558">
        <f t="shared" si="122"/>
        <v>2</v>
      </c>
      <c r="U1558">
        <f t="shared" si="123"/>
        <v>1</v>
      </c>
      <c r="V1558">
        <f t="shared" si="124"/>
        <v>0</v>
      </c>
    </row>
    <row r="1559" spans="1:22" x14ac:dyDescent="0.25">
      <c r="A1559">
        <v>1556</v>
      </c>
      <c r="B1559" t="s">
        <v>18</v>
      </c>
      <c r="C1559" t="s">
        <v>835</v>
      </c>
      <c r="D1559" s="4">
        <v>45451</v>
      </c>
      <c r="E1559" t="s">
        <v>395</v>
      </c>
      <c r="F1559" t="s">
        <v>75</v>
      </c>
      <c r="I1559" s="6">
        <v>0</v>
      </c>
      <c r="J1559" s="6">
        <v>1</v>
      </c>
      <c r="K1559" s="6">
        <v>0</v>
      </c>
      <c r="L1559" s="6">
        <v>0</v>
      </c>
      <c r="M1559" s="6">
        <v>0</v>
      </c>
      <c r="N1559" s="6">
        <v>1</v>
      </c>
      <c r="O1559" s="6">
        <v>0</v>
      </c>
      <c r="P1559" s="6">
        <v>0</v>
      </c>
      <c r="Q1559">
        <v>1</v>
      </c>
      <c r="R1559">
        <f t="shared" si="120"/>
        <v>0</v>
      </c>
      <c r="S1559">
        <f t="shared" si="121"/>
        <v>1</v>
      </c>
      <c r="T1559">
        <f t="shared" si="122"/>
        <v>2</v>
      </c>
      <c r="U1559">
        <f t="shared" si="123"/>
        <v>1</v>
      </c>
      <c r="V1559">
        <f t="shared" si="124"/>
        <v>0</v>
      </c>
    </row>
    <row r="1560" spans="1:22" x14ac:dyDescent="0.25">
      <c r="A1560">
        <v>1557</v>
      </c>
      <c r="B1560" t="s">
        <v>18</v>
      </c>
      <c r="C1560" t="s">
        <v>835</v>
      </c>
      <c r="D1560" s="4">
        <v>45451</v>
      </c>
      <c r="E1560" t="s">
        <v>396</v>
      </c>
      <c r="F1560" t="s">
        <v>75</v>
      </c>
      <c r="I1560" s="6">
        <v>0</v>
      </c>
      <c r="J1560" s="6">
        <v>0</v>
      </c>
      <c r="K1560" s="6">
        <v>0</v>
      </c>
      <c r="L1560" s="6">
        <v>1</v>
      </c>
      <c r="M1560" s="6">
        <v>1</v>
      </c>
      <c r="N1560" s="6">
        <v>0</v>
      </c>
      <c r="O1560" s="6">
        <v>0</v>
      </c>
      <c r="P1560" s="6">
        <v>0</v>
      </c>
      <c r="Q1560">
        <v>1</v>
      </c>
      <c r="R1560">
        <f t="shared" si="120"/>
        <v>0</v>
      </c>
      <c r="S1560">
        <f t="shared" si="121"/>
        <v>1</v>
      </c>
      <c r="T1560">
        <f t="shared" si="122"/>
        <v>2</v>
      </c>
      <c r="U1560">
        <f t="shared" si="123"/>
        <v>1</v>
      </c>
      <c r="V1560">
        <f t="shared" si="124"/>
        <v>0</v>
      </c>
    </row>
    <row r="1561" spans="1:22" x14ac:dyDescent="0.25">
      <c r="A1561">
        <v>1558</v>
      </c>
      <c r="B1561" t="s">
        <v>18</v>
      </c>
      <c r="C1561" t="s">
        <v>835</v>
      </c>
      <c r="D1561" s="4">
        <v>45451</v>
      </c>
      <c r="E1561" t="s">
        <v>521</v>
      </c>
      <c r="F1561" t="s">
        <v>75</v>
      </c>
      <c r="I1561" s="6">
        <v>0</v>
      </c>
      <c r="J1561" s="6">
        <v>0</v>
      </c>
      <c r="K1561" s="6">
        <v>0</v>
      </c>
      <c r="L1561" s="6">
        <v>1</v>
      </c>
      <c r="M1561" s="6">
        <v>0</v>
      </c>
      <c r="N1561" s="6">
        <v>0</v>
      </c>
      <c r="O1561" s="6">
        <v>0</v>
      </c>
      <c r="P1561" s="6">
        <v>0</v>
      </c>
      <c r="Q1561">
        <v>1</v>
      </c>
      <c r="R1561">
        <f t="shared" si="120"/>
        <v>0</v>
      </c>
      <c r="S1561">
        <f t="shared" si="121"/>
        <v>1</v>
      </c>
      <c r="T1561">
        <f t="shared" si="122"/>
        <v>1</v>
      </c>
      <c r="U1561">
        <f t="shared" si="123"/>
        <v>1</v>
      </c>
      <c r="V1561">
        <f t="shared" si="124"/>
        <v>0</v>
      </c>
    </row>
    <row r="1562" spans="1:22" x14ac:dyDescent="0.25">
      <c r="A1562">
        <v>1559</v>
      </c>
      <c r="B1562" t="s">
        <v>18</v>
      </c>
      <c r="C1562" t="s">
        <v>835</v>
      </c>
      <c r="D1562" s="4">
        <v>45451</v>
      </c>
      <c r="E1562" t="s">
        <v>397</v>
      </c>
      <c r="F1562" t="s">
        <v>75</v>
      </c>
      <c r="I1562" s="6">
        <v>1</v>
      </c>
      <c r="J1562" s="6">
        <v>1</v>
      </c>
      <c r="K1562" s="6">
        <v>0</v>
      </c>
      <c r="L1562" s="6">
        <v>1</v>
      </c>
      <c r="M1562" s="6">
        <v>1</v>
      </c>
      <c r="N1562" s="6">
        <v>0</v>
      </c>
      <c r="O1562" s="6">
        <v>1</v>
      </c>
      <c r="P1562" s="6">
        <v>0</v>
      </c>
      <c r="Q1562">
        <v>1</v>
      </c>
      <c r="R1562">
        <f t="shared" si="120"/>
        <v>0</v>
      </c>
      <c r="S1562">
        <f t="shared" si="121"/>
        <v>1</v>
      </c>
      <c r="T1562">
        <f t="shared" si="122"/>
        <v>5</v>
      </c>
      <c r="U1562">
        <f t="shared" si="123"/>
        <v>1</v>
      </c>
      <c r="V1562">
        <f t="shared" si="124"/>
        <v>0</v>
      </c>
    </row>
    <row r="1563" spans="1:22" x14ac:dyDescent="0.25">
      <c r="A1563">
        <v>1560</v>
      </c>
      <c r="B1563" t="s">
        <v>18</v>
      </c>
      <c r="C1563" t="s">
        <v>835</v>
      </c>
      <c r="D1563" s="4">
        <v>45451</v>
      </c>
      <c r="E1563" t="s">
        <v>901</v>
      </c>
      <c r="F1563" t="s">
        <v>75</v>
      </c>
      <c r="I1563" s="6">
        <v>0</v>
      </c>
      <c r="J1563" s="6">
        <v>0</v>
      </c>
      <c r="K1563" s="6">
        <v>0</v>
      </c>
      <c r="L1563" s="6">
        <v>1</v>
      </c>
      <c r="M1563" s="6">
        <v>0</v>
      </c>
      <c r="N1563" s="6">
        <v>0</v>
      </c>
      <c r="O1563" s="6">
        <v>0</v>
      </c>
      <c r="P1563" s="6">
        <v>0</v>
      </c>
      <c r="Q1563">
        <v>1</v>
      </c>
      <c r="R1563">
        <f t="shared" si="120"/>
        <v>0</v>
      </c>
      <c r="S1563">
        <f t="shared" si="121"/>
        <v>1</v>
      </c>
      <c r="T1563">
        <f t="shared" si="122"/>
        <v>1</v>
      </c>
      <c r="U1563">
        <f t="shared" si="123"/>
        <v>1</v>
      </c>
      <c r="V1563">
        <f t="shared" si="124"/>
        <v>0</v>
      </c>
    </row>
    <row r="1564" spans="1:22" x14ac:dyDescent="0.25">
      <c r="A1564">
        <v>1561</v>
      </c>
      <c r="B1564" t="s">
        <v>18</v>
      </c>
      <c r="C1564" t="s">
        <v>835</v>
      </c>
      <c r="D1564" s="4">
        <v>45452</v>
      </c>
      <c r="E1564" t="s">
        <v>398</v>
      </c>
      <c r="F1564" t="s">
        <v>75</v>
      </c>
      <c r="I1564" s="6">
        <v>0</v>
      </c>
      <c r="J1564" s="6">
        <v>0</v>
      </c>
      <c r="K1564" s="6">
        <v>0</v>
      </c>
      <c r="L1564" s="6">
        <v>0</v>
      </c>
      <c r="M1564" s="6">
        <v>1</v>
      </c>
      <c r="N1564" s="6">
        <v>1</v>
      </c>
      <c r="O1564" s="6">
        <v>0</v>
      </c>
      <c r="P1564" s="6">
        <v>0</v>
      </c>
      <c r="Q1564">
        <v>1</v>
      </c>
      <c r="R1564">
        <f t="shared" si="120"/>
        <v>0</v>
      </c>
      <c r="S1564">
        <f t="shared" si="121"/>
        <v>1</v>
      </c>
      <c r="T1564">
        <f t="shared" si="122"/>
        <v>2</v>
      </c>
      <c r="U1564">
        <f t="shared" si="123"/>
        <v>1</v>
      </c>
      <c r="V1564">
        <f t="shared" si="124"/>
        <v>0</v>
      </c>
    </row>
    <row r="1565" spans="1:22" x14ac:dyDescent="0.25">
      <c r="A1565">
        <v>1562</v>
      </c>
      <c r="B1565" t="s">
        <v>18</v>
      </c>
      <c r="C1565" t="s">
        <v>835</v>
      </c>
      <c r="D1565" s="4">
        <v>45452</v>
      </c>
      <c r="E1565" t="s">
        <v>399</v>
      </c>
      <c r="F1565" t="s">
        <v>75</v>
      </c>
      <c r="I1565" s="6">
        <v>0</v>
      </c>
      <c r="J1565" s="6">
        <v>0</v>
      </c>
      <c r="K1565" s="6">
        <v>0</v>
      </c>
      <c r="L1565" s="6">
        <v>1</v>
      </c>
      <c r="M1565" s="6">
        <v>0</v>
      </c>
      <c r="N1565" s="6">
        <v>0</v>
      </c>
      <c r="O1565" s="6">
        <v>0</v>
      </c>
      <c r="P1565" s="6">
        <v>0</v>
      </c>
      <c r="Q1565">
        <v>1</v>
      </c>
      <c r="R1565">
        <f t="shared" si="120"/>
        <v>0</v>
      </c>
      <c r="S1565">
        <f t="shared" si="121"/>
        <v>1</v>
      </c>
      <c r="T1565">
        <f t="shared" si="122"/>
        <v>1</v>
      </c>
      <c r="U1565">
        <f t="shared" si="123"/>
        <v>1</v>
      </c>
      <c r="V1565">
        <f t="shared" si="124"/>
        <v>0</v>
      </c>
    </row>
    <row r="1566" spans="1:22" x14ac:dyDescent="0.25">
      <c r="A1566">
        <v>1563</v>
      </c>
      <c r="B1566" t="s">
        <v>18</v>
      </c>
      <c r="C1566" t="s">
        <v>835</v>
      </c>
      <c r="D1566" s="4">
        <v>45452</v>
      </c>
      <c r="E1566" t="s">
        <v>902</v>
      </c>
      <c r="F1566" t="s">
        <v>75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>
        <v>1</v>
      </c>
      <c r="R1566">
        <f t="shared" si="120"/>
        <v>0</v>
      </c>
      <c r="S1566">
        <f t="shared" si="121"/>
        <v>1</v>
      </c>
      <c r="T1566">
        <f t="shared" si="122"/>
        <v>0</v>
      </c>
      <c r="U1566">
        <f t="shared" si="123"/>
        <v>0</v>
      </c>
      <c r="V1566">
        <f t="shared" si="124"/>
        <v>0</v>
      </c>
    </row>
    <row r="1567" spans="1:22" x14ac:dyDescent="0.25">
      <c r="A1567">
        <v>1564</v>
      </c>
      <c r="B1567" t="s">
        <v>18</v>
      </c>
      <c r="C1567" t="s">
        <v>835</v>
      </c>
      <c r="D1567" s="4">
        <v>45452</v>
      </c>
      <c r="E1567" t="s">
        <v>400</v>
      </c>
      <c r="F1567" t="s">
        <v>75</v>
      </c>
      <c r="I1567" s="6">
        <v>0</v>
      </c>
      <c r="J1567" s="6">
        <v>0</v>
      </c>
      <c r="K1567" s="6">
        <v>0</v>
      </c>
      <c r="L1567" s="6">
        <v>1</v>
      </c>
      <c r="M1567" s="6">
        <v>0</v>
      </c>
      <c r="N1567" s="6">
        <v>0</v>
      </c>
      <c r="O1567" s="6">
        <v>0</v>
      </c>
      <c r="P1567" s="6">
        <v>0</v>
      </c>
      <c r="Q1567">
        <v>1</v>
      </c>
      <c r="R1567">
        <f t="shared" si="120"/>
        <v>0</v>
      </c>
      <c r="S1567">
        <f t="shared" si="121"/>
        <v>1</v>
      </c>
      <c r="T1567">
        <f t="shared" si="122"/>
        <v>1</v>
      </c>
      <c r="U1567">
        <f t="shared" si="123"/>
        <v>1</v>
      </c>
      <c r="V1567">
        <f t="shared" si="124"/>
        <v>0</v>
      </c>
    </row>
    <row r="1568" spans="1:22" x14ac:dyDescent="0.25">
      <c r="A1568">
        <v>1565</v>
      </c>
      <c r="B1568" t="s">
        <v>20</v>
      </c>
      <c r="C1568" t="s">
        <v>835</v>
      </c>
      <c r="D1568" s="4">
        <v>45329</v>
      </c>
      <c r="E1568" t="s">
        <v>903</v>
      </c>
      <c r="F1568" t="s">
        <v>75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>
        <v>1</v>
      </c>
      <c r="R1568">
        <f t="shared" si="120"/>
        <v>0</v>
      </c>
      <c r="S1568">
        <f t="shared" si="121"/>
        <v>1</v>
      </c>
      <c r="T1568">
        <f t="shared" si="122"/>
        <v>0</v>
      </c>
      <c r="U1568">
        <f t="shared" si="123"/>
        <v>0</v>
      </c>
      <c r="V1568">
        <f t="shared" si="124"/>
        <v>0</v>
      </c>
    </row>
    <row r="1569" spans="1:22" x14ac:dyDescent="0.25">
      <c r="A1569">
        <v>1566</v>
      </c>
      <c r="B1569" t="s">
        <v>20</v>
      </c>
      <c r="C1569" t="s">
        <v>835</v>
      </c>
      <c r="D1569" s="4">
        <v>45330</v>
      </c>
      <c r="E1569" t="s">
        <v>1219</v>
      </c>
      <c r="F1569" t="s">
        <v>75</v>
      </c>
      <c r="I1569" s="6">
        <v>0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>
        <v>1</v>
      </c>
      <c r="R1569">
        <f t="shared" si="120"/>
        <v>0</v>
      </c>
      <c r="S1569">
        <f t="shared" si="121"/>
        <v>1</v>
      </c>
      <c r="T1569">
        <f t="shared" si="122"/>
        <v>0</v>
      </c>
      <c r="U1569">
        <f t="shared" si="123"/>
        <v>0</v>
      </c>
      <c r="V1569">
        <f t="shared" si="124"/>
        <v>0</v>
      </c>
    </row>
    <row r="1570" spans="1:22" x14ac:dyDescent="0.25">
      <c r="A1570">
        <v>1567</v>
      </c>
      <c r="B1570" t="s">
        <v>20</v>
      </c>
      <c r="C1570" t="s">
        <v>835</v>
      </c>
      <c r="D1570" s="4">
        <v>45331</v>
      </c>
      <c r="E1570" t="s">
        <v>408</v>
      </c>
      <c r="F1570" t="s">
        <v>75</v>
      </c>
      <c r="I1570" s="6">
        <v>0</v>
      </c>
      <c r="J1570" s="6">
        <v>0</v>
      </c>
      <c r="K1570" s="6">
        <v>0</v>
      </c>
      <c r="L1570" s="6">
        <v>0</v>
      </c>
      <c r="M1570" s="6">
        <v>1</v>
      </c>
      <c r="N1570" s="6">
        <v>0</v>
      </c>
      <c r="O1570" s="6">
        <v>1</v>
      </c>
      <c r="P1570" s="6">
        <v>0</v>
      </c>
      <c r="Q1570">
        <v>1</v>
      </c>
      <c r="R1570">
        <f t="shared" si="120"/>
        <v>0</v>
      </c>
      <c r="S1570">
        <f t="shared" si="121"/>
        <v>1</v>
      </c>
      <c r="T1570">
        <f t="shared" si="122"/>
        <v>2</v>
      </c>
      <c r="U1570">
        <f t="shared" si="123"/>
        <v>1</v>
      </c>
      <c r="V1570">
        <f t="shared" si="124"/>
        <v>0</v>
      </c>
    </row>
    <row r="1571" spans="1:22" x14ac:dyDescent="0.25">
      <c r="A1571">
        <v>1568</v>
      </c>
      <c r="B1571" t="s">
        <v>20</v>
      </c>
      <c r="C1571" t="s">
        <v>835</v>
      </c>
      <c r="D1571" s="4">
        <v>45333</v>
      </c>
      <c r="E1571" t="s">
        <v>904</v>
      </c>
      <c r="F1571" t="s">
        <v>75</v>
      </c>
      <c r="I1571" s="6"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>
        <v>1</v>
      </c>
      <c r="R1571">
        <f t="shared" si="120"/>
        <v>0</v>
      </c>
      <c r="S1571">
        <f t="shared" si="121"/>
        <v>1</v>
      </c>
      <c r="T1571">
        <f t="shared" si="122"/>
        <v>0</v>
      </c>
      <c r="U1571">
        <f t="shared" si="123"/>
        <v>0</v>
      </c>
      <c r="V1571">
        <f t="shared" si="124"/>
        <v>0</v>
      </c>
    </row>
    <row r="1572" spans="1:22" x14ac:dyDescent="0.25">
      <c r="A1572">
        <v>1569</v>
      </c>
      <c r="B1572" t="s">
        <v>20</v>
      </c>
      <c r="C1572" t="s">
        <v>835</v>
      </c>
      <c r="D1572" s="4">
        <v>45333</v>
      </c>
      <c r="E1572" t="s">
        <v>905</v>
      </c>
      <c r="F1572" t="s">
        <v>75</v>
      </c>
      <c r="I1572" s="6">
        <v>0</v>
      </c>
      <c r="J1572" s="6">
        <v>0</v>
      </c>
      <c r="K1572" s="6">
        <v>1</v>
      </c>
      <c r="L1572" s="6">
        <v>1</v>
      </c>
      <c r="M1572" s="6">
        <v>1</v>
      </c>
      <c r="N1572" s="6">
        <v>0</v>
      </c>
      <c r="O1572" s="6">
        <v>0</v>
      </c>
      <c r="P1572" s="6">
        <v>0</v>
      </c>
      <c r="Q1572">
        <v>1</v>
      </c>
      <c r="R1572">
        <f t="shared" si="120"/>
        <v>0</v>
      </c>
      <c r="S1572">
        <f t="shared" si="121"/>
        <v>1</v>
      </c>
      <c r="T1572">
        <f t="shared" si="122"/>
        <v>3</v>
      </c>
      <c r="U1572">
        <f t="shared" si="123"/>
        <v>1</v>
      </c>
      <c r="V1572">
        <f t="shared" si="124"/>
        <v>0</v>
      </c>
    </row>
    <row r="1573" spans="1:22" x14ac:dyDescent="0.25">
      <c r="A1573">
        <v>1570</v>
      </c>
      <c r="B1573" t="s">
        <v>20</v>
      </c>
      <c r="C1573" t="s">
        <v>835</v>
      </c>
      <c r="D1573" s="4">
        <v>45333</v>
      </c>
      <c r="E1573" t="s">
        <v>1505</v>
      </c>
      <c r="F1573" t="s">
        <v>75</v>
      </c>
      <c r="I1573" s="6">
        <v>0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>
        <v>1</v>
      </c>
      <c r="R1573">
        <f t="shared" si="120"/>
        <v>0</v>
      </c>
      <c r="S1573">
        <f t="shared" si="121"/>
        <v>1</v>
      </c>
      <c r="T1573">
        <f t="shared" si="122"/>
        <v>0</v>
      </c>
      <c r="U1573">
        <f t="shared" si="123"/>
        <v>0</v>
      </c>
      <c r="V1573">
        <f t="shared" si="124"/>
        <v>0</v>
      </c>
    </row>
    <row r="1574" spans="1:22" x14ac:dyDescent="0.25">
      <c r="A1574">
        <v>1571</v>
      </c>
      <c r="B1574" t="s">
        <v>20</v>
      </c>
      <c r="C1574" t="s">
        <v>835</v>
      </c>
      <c r="D1574" s="4">
        <v>45336</v>
      </c>
      <c r="E1574" t="s">
        <v>415</v>
      </c>
      <c r="F1574" t="s">
        <v>75</v>
      </c>
      <c r="I1574" s="6">
        <v>0</v>
      </c>
      <c r="J1574" s="6">
        <v>0</v>
      </c>
      <c r="K1574" s="6">
        <v>0</v>
      </c>
      <c r="L1574" s="6">
        <v>1</v>
      </c>
      <c r="M1574" s="6">
        <v>0</v>
      </c>
      <c r="N1574" s="6">
        <v>0</v>
      </c>
      <c r="O1574" s="6">
        <v>0</v>
      </c>
      <c r="P1574" s="6">
        <v>0</v>
      </c>
      <c r="Q1574">
        <v>1</v>
      </c>
      <c r="R1574">
        <f t="shared" si="120"/>
        <v>0</v>
      </c>
      <c r="S1574">
        <f t="shared" si="121"/>
        <v>1</v>
      </c>
      <c r="T1574">
        <f t="shared" si="122"/>
        <v>1</v>
      </c>
      <c r="U1574">
        <f t="shared" si="123"/>
        <v>1</v>
      </c>
      <c r="V1574">
        <f t="shared" si="124"/>
        <v>0</v>
      </c>
    </row>
    <row r="1575" spans="1:22" x14ac:dyDescent="0.25">
      <c r="A1575">
        <v>1572</v>
      </c>
      <c r="B1575" t="s">
        <v>20</v>
      </c>
      <c r="C1575" t="s">
        <v>835</v>
      </c>
      <c r="D1575" s="4">
        <v>45336</v>
      </c>
      <c r="E1575" t="s">
        <v>416</v>
      </c>
      <c r="F1575" t="s">
        <v>75</v>
      </c>
      <c r="H1575" t="s">
        <v>906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>
        <v>1</v>
      </c>
      <c r="R1575">
        <f t="shared" si="120"/>
        <v>0</v>
      </c>
      <c r="S1575">
        <f t="shared" si="121"/>
        <v>1</v>
      </c>
      <c r="T1575">
        <f t="shared" si="122"/>
        <v>0</v>
      </c>
      <c r="U1575">
        <f t="shared" si="123"/>
        <v>0</v>
      </c>
      <c r="V1575">
        <f t="shared" si="124"/>
        <v>0</v>
      </c>
    </row>
    <row r="1576" spans="1:22" x14ac:dyDescent="0.25">
      <c r="A1576">
        <v>1573</v>
      </c>
      <c r="B1576" t="s">
        <v>20</v>
      </c>
      <c r="C1576" t="s">
        <v>835</v>
      </c>
      <c r="D1576" s="4">
        <v>45338</v>
      </c>
      <c r="E1576" t="s">
        <v>1044</v>
      </c>
      <c r="F1576" t="s">
        <v>75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>
        <v>1</v>
      </c>
      <c r="R1576">
        <f t="shared" si="120"/>
        <v>0</v>
      </c>
      <c r="S1576">
        <f t="shared" si="121"/>
        <v>1</v>
      </c>
      <c r="T1576">
        <f t="shared" si="122"/>
        <v>0</v>
      </c>
      <c r="U1576">
        <f t="shared" si="123"/>
        <v>0</v>
      </c>
      <c r="V1576">
        <f t="shared" si="124"/>
        <v>0</v>
      </c>
    </row>
    <row r="1577" spans="1:22" x14ac:dyDescent="0.25">
      <c r="A1577">
        <v>1574</v>
      </c>
      <c r="B1577" t="s">
        <v>20</v>
      </c>
      <c r="C1577" t="s">
        <v>835</v>
      </c>
      <c r="D1577" s="4">
        <v>45338</v>
      </c>
      <c r="E1577" t="s">
        <v>1045</v>
      </c>
      <c r="F1577" t="s">
        <v>75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>
        <v>1</v>
      </c>
      <c r="R1577">
        <f t="shared" si="120"/>
        <v>0</v>
      </c>
      <c r="S1577">
        <f t="shared" si="121"/>
        <v>1</v>
      </c>
      <c r="T1577">
        <f t="shared" si="122"/>
        <v>0</v>
      </c>
      <c r="U1577">
        <f t="shared" si="123"/>
        <v>0</v>
      </c>
      <c r="V1577">
        <f t="shared" si="124"/>
        <v>0</v>
      </c>
    </row>
    <row r="1578" spans="1:22" x14ac:dyDescent="0.25">
      <c r="A1578">
        <v>1575</v>
      </c>
      <c r="B1578" t="s">
        <v>20</v>
      </c>
      <c r="C1578" t="s">
        <v>835</v>
      </c>
      <c r="D1578" s="4">
        <v>45338</v>
      </c>
      <c r="E1578" t="s">
        <v>907</v>
      </c>
      <c r="F1578" t="s">
        <v>75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>
        <v>1</v>
      </c>
      <c r="R1578">
        <f t="shared" si="120"/>
        <v>0</v>
      </c>
      <c r="S1578">
        <f t="shared" si="121"/>
        <v>1</v>
      </c>
      <c r="T1578">
        <f t="shared" si="122"/>
        <v>0</v>
      </c>
      <c r="U1578">
        <f t="shared" si="123"/>
        <v>0</v>
      </c>
      <c r="V1578">
        <f t="shared" si="124"/>
        <v>0</v>
      </c>
    </row>
    <row r="1579" spans="1:22" x14ac:dyDescent="0.25">
      <c r="A1579">
        <v>1576</v>
      </c>
      <c r="B1579" t="s">
        <v>20</v>
      </c>
      <c r="C1579" t="s">
        <v>835</v>
      </c>
      <c r="D1579" s="4">
        <v>45339</v>
      </c>
      <c r="E1579" t="s">
        <v>908</v>
      </c>
      <c r="F1579" t="s">
        <v>75</v>
      </c>
      <c r="I1579" s="6">
        <v>0</v>
      </c>
      <c r="J1579" s="6">
        <v>0</v>
      </c>
      <c r="K1579" s="6">
        <v>0</v>
      </c>
      <c r="L1579" s="6">
        <v>1</v>
      </c>
      <c r="M1579" s="6">
        <v>0</v>
      </c>
      <c r="N1579" s="6">
        <v>0</v>
      </c>
      <c r="O1579" s="6">
        <v>0</v>
      </c>
      <c r="P1579" s="6">
        <v>0</v>
      </c>
      <c r="Q1579">
        <v>1</v>
      </c>
      <c r="R1579">
        <f t="shared" si="120"/>
        <v>0</v>
      </c>
      <c r="S1579">
        <f t="shared" si="121"/>
        <v>1</v>
      </c>
      <c r="T1579">
        <f t="shared" si="122"/>
        <v>1</v>
      </c>
      <c r="U1579">
        <f t="shared" si="123"/>
        <v>1</v>
      </c>
      <c r="V1579">
        <f t="shared" si="124"/>
        <v>0</v>
      </c>
    </row>
    <row r="1580" spans="1:22" x14ac:dyDescent="0.25">
      <c r="A1580">
        <v>1577</v>
      </c>
      <c r="B1580" t="s">
        <v>20</v>
      </c>
      <c r="C1580" t="s">
        <v>835</v>
      </c>
      <c r="D1580" s="4">
        <v>45343</v>
      </c>
      <c r="E1580" t="s">
        <v>909</v>
      </c>
      <c r="F1580" t="s">
        <v>75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>
        <v>1</v>
      </c>
      <c r="R1580">
        <f t="shared" si="120"/>
        <v>0</v>
      </c>
      <c r="S1580">
        <f t="shared" si="121"/>
        <v>1</v>
      </c>
      <c r="T1580">
        <f t="shared" si="122"/>
        <v>0</v>
      </c>
      <c r="U1580">
        <f t="shared" si="123"/>
        <v>0</v>
      </c>
      <c r="V1580">
        <f t="shared" si="124"/>
        <v>0</v>
      </c>
    </row>
    <row r="1581" spans="1:22" x14ac:dyDescent="0.25">
      <c r="A1581">
        <v>1578</v>
      </c>
      <c r="B1581" t="s">
        <v>20</v>
      </c>
      <c r="C1581" t="s">
        <v>835</v>
      </c>
      <c r="D1581" s="4">
        <v>45344</v>
      </c>
      <c r="E1581" t="s">
        <v>419</v>
      </c>
      <c r="F1581" t="s">
        <v>75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>
        <v>1</v>
      </c>
      <c r="R1581">
        <f t="shared" si="120"/>
        <v>0</v>
      </c>
      <c r="S1581">
        <f t="shared" si="121"/>
        <v>1</v>
      </c>
      <c r="T1581">
        <f t="shared" si="122"/>
        <v>0</v>
      </c>
      <c r="U1581">
        <f t="shared" si="123"/>
        <v>0</v>
      </c>
      <c r="V1581">
        <f t="shared" si="124"/>
        <v>0</v>
      </c>
    </row>
    <row r="1582" spans="1:22" x14ac:dyDescent="0.25">
      <c r="A1582">
        <v>1579</v>
      </c>
      <c r="B1582" t="s">
        <v>20</v>
      </c>
      <c r="C1582" t="s">
        <v>835</v>
      </c>
      <c r="D1582" s="4">
        <v>45345</v>
      </c>
      <c r="E1582" t="s">
        <v>910</v>
      </c>
      <c r="F1582" t="s">
        <v>75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>
        <v>1</v>
      </c>
      <c r="R1582">
        <f t="shared" si="120"/>
        <v>0</v>
      </c>
      <c r="S1582">
        <f t="shared" si="121"/>
        <v>1</v>
      </c>
      <c r="T1582">
        <f t="shared" si="122"/>
        <v>0</v>
      </c>
      <c r="U1582">
        <f t="shared" si="123"/>
        <v>0</v>
      </c>
      <c r="V1582">
        <f t="shared" si="124"/>
        <v>0</v>
      </c>
    </row>
    <row r="1583" spans="1:22" x14ac:dyDescent="0.25">
      <c r="A1583">
        <v>1580</v>
      </c>
      <c r="B1583" t="s">
        <v>20</v>
      </c>
      <c r="C1583" t="s">
        <v>835</v>
      </c>
      <c r="D1583" s="4">
        <v>45346</v>
      </c>
      <c r="E1583" t="s">
        <v>911</v>
      </c>
      <c r="F1583" t="s">
        <v>75</v>
      </c>
      <c r="I1583" s="6">
        <v>0</v>
      </c>
      <c r="J1583" s="6">
        <v>0</v>
      </c>
      <c r="K1583" s="6">
        <v>0</v>
      </c>
      <c r="L1583" s="6">
        <v>1</v>
      </c>
      <c r="M1583" s="6">
        <v>1</v>
      </c>
      <c r="N1583" s="6">
        <v>0</v>
      </c>
      <c r="O1583" s="6">
        <v>0</v>
      </c>
      <c r="P1583" s="6">
        <v>1</v>
      </c>
      <c r="Q1583">
        <v>1</v>
      </c>
      <c r="R1583">
        <f t="shared" si="120"/>
        <v>0</v>
      </c>
      <c r="S1583">
        <f t="shared" si="121"/>
        <v>1</v>
      </c>
      <c r="T1583">
        <f t="shared" si="122"/>
        <v>3</v>
      </c>
      <c r="U1583">
        <f t="shared" si="123"/>
        <v>1</v>
      </c>
      <c r="V1583">
        <f t="shared" si="124"/>
        <v>0</v>
      </c>
    </row>
    <row r="1584" spans="1:22" x14ac:dyDescent="0.25">
      <c r="A1584">
        <v>1581</v>
      </c>
      <c r="B1584" t="s">
        <v>20</v>
      </c>
      <c r="C1584" t="s">
        <v>835</v>
      </c>
      <c r="D1584" s="4">
        <v>45347</v>
      </c>
      <c r="E1584" t="s">
        <v>252</v>
      </c>
      <c r="F1584" t="s">
        <v>75</v>
      </c>
      <c r="I1584" s="6">
        <v>0</v>
      </c>
      <c r="J1584" s="6">
        <v>0</v>
      </c>
      <c r="K1584" s="6">
        <v>0</v>
      </c>
      <c r="L1584" s="6">
        <v>1</v>
      </c>
      <c r="M1584" s="6">
        <v>0</v>
      </c>
      <c r="N1584" s="6">
        <v>0</v>
      </c>
      <c r="O1584" s="6">
        <v>0</v>
      </c>
      <c r="P1584" s="6">
        <v>0</v>
      </c>
      <c r="Q1584">
        <v>1</v>
      </c>
      <c r="R1584">
        <f t="shared" si="120"/>
        <v>0</v>
      </c>
      <c r="S1584">
        <f t="shared" si="121"/>
        <v>1</v>
      </c>
      <c r="T1584">
        <f t="shared" si="122"/>
        <v>1</v>
      </c>
      <c r="U1584">
        <f t="shared" si="123"/>
        <v>1</v>
      </c>
      <c r="V1584">
        <f t="shared" si="124"/>
        <v>0</v>
      </c>
    </row>
    <row r="1585" spans="1:22" x14ac:dyDescent="0.25">
      <c r="A1585">
        <v>1582</v>
      </c>
      <c r="B1585" t="s">
        <v>20</v>
      </c>
      <c r="C1585" t="s">
        <v>835</v>
      </c>
      <c r="D1585" s="4">
        <v>45348</v>
      </c>
      <c r="E1585" t="s">
        <v>1293</v>
      </c>
      <c r="F1585" t="s">
        <v>75</v>
      </c>
      <c r="I1585" s="6">
        <v>0</v>
      </c>
      <c r="J1585" s="6">
        <v>0</v>
      </c>
      <c r="K1585" s="6">
        <v>1</v>
      </c>
      <c r="L1585" s="6">
        <v>0</v>
      </c>
      <c r="M1585" s="6">
        <v>1</v>
      </c>
      <c r="N1585" s="6">
        <v>0</v>
      </c>
      <c r="O1585" s="6">
        <v>0</v>
      </c>
      <c r="P1585" s="6">
        <v>0</v>
      </c>
      <c r="Q1585">
        <v>1</v>
      </c>
      <c r="R1585">
        <f t="shared" si="120"/>
        <v>0</v>
      </c>
      <c r="S1585">
        <f t="shared" si="121"/>
        <v>1</v>
      </c>
      <c r="T1585">
        <f t="shared" si="122"/>
        <v>2</v>
      </c>
      <c r="U1585">
        <f t="shared" si="123"/>
        <v>1</v>
      </c>
      <c r="V1585">
        <f t="shared" si="124"/>
        <v>0</v>
      </c>
    </row>
    <row r="1586" spans="1:22" x14ac:dyDescent="0.25">
      <c r="A1586">
        <v>1583</v>
      </c>
      <c r="B1586" t="s">
        <v>20</v>
      </c>
      <c r="C1586" t="s">
        <v>835</v>
      </c>
      <c r="D1586" s="4">
        <v>45348</v>
      </c>
      <c r="E1586" t="s">
        <v>912</v>
      </c>
      <c r="F1586" t="s">
        <v>75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>
        <v>1</v>
      </c>
      <c r="R1586">
        <f t="shared" si="120"/>
        <v>0</v>
      </c>
      <c r="S1586">
        <f t="shared" si="121"/>
        <v>1</v>
      </c>
      <c r="T1586">
        <f t="shared" si="122"/>
        <v>0</v>
      </c>
      <c r="U1586">
        <f t="shared" si="123"/>
        <v>0</v>
      </c>
      <c r="V1586">
        <f t="shared" si="124"/>
        <v>0</v>
      </c>
    </row>
    <row r="1587" spans="1:22" x14ac:dyDescent="0.25">
      <c r="A1587">
        <v>1584</v>
      </c>
      <c r="B1587" t="s">
        <v>20</v>
      </c>
      <c r="C1587" t="s">
        <v>835</v>
      </c>
      <c r="D1587" s="4">
        <v>45351</v>
      </c>
      <c r="E1587" t="s">
        <v>913</v>
      </c>
      <c r="F1587" t="s">
        <v>75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>
        <v>1</v>
      </c>
      <c r="R1587">
        <f t="shared" si="120"/>
        <v>0</v>
      </c>
      <c r="S1587">
        <f t="shared" si="121"/>
        <v>1</v>
      </c>
      <c r="T1587">
        <f t="shared" si="122"/>
        <v>0</v>
      </c>
      <c r="U1587">
        <f t="shared" si="123"/>
        <v>0</v>
      </c>
      <c r="V1587">
        <f t="shared" si="124"/>
        <v>0</v>
      </c>
    </row>
    <row r="1588" spans="1:22" x14ac:dyDescent="0.25">
      <c r="A1588">
        <v>1585</v>
      </c>
      <c r="B1588" t="s">
        <v>20</v>
      </c>
      <c r="C1588" t="s">
        <v>835</v>
      </c>
      <c r="D1588" s="4">
        <v>45352</v>
      </c>
      <c r="E1588" t="s">
        <v>420</v>
      </c>
      <c r="F1588" t="s">
        <v>75</v>
      </c>
      <c r="H1588" t="s">
        <v>914</v>
      </c>
      <c r="I1588" s="6">
        <v>0</v>
      </c>
      <c r="J1588" s="6">
        <v>0</v>
      </c>
      <c r="K1588" s="6">
        <v>0</v>
      </c>
      <c r="L1588" s="6">
        <v>1</v>
      </c>
      <c r="M1588" s="6">
        <v>1</v>
      </c>
      <c r="N1588" s="6">
        <v>0</v>
      </c>
      <c r="O1588" s="6">
        <v>0</v>
      </c>
      <c r="P1588" s="6">
        <v>0</v>
      </c>
      <c r="Q1588">
        <v>1</v>
      </c>
      <c r="R1588">
        <f t="shared" si="120"/>
        <v>0</v>
      </c>
      <c r="S1588">
        <f t="shared" si="121"/>
        <v>1</v>
      </c>
      <c r="T1588">
        <f t="shared" si="122"/>
        <v>2</v>
      </c>
      <c r="U1588">
        <f t="shared" si="123"/>
        <v>1</v>
      </c>
      <c r="V1588">
        <f t="shared" si="124"/>
        <v>0</v>
      </c>
    </row>
    <row r="1589" spans="1:22" x14ac:dyDescent="0.25">
      <c r="A1589">
        <v>1586</v>
      </c>
      <c r="B1589" t="s">
        <v>20</v>
      </c>
      <c r="C1589" t="s">
        <v>835</v>
      </c>
      <c r="D1589" s="4">
        <v>45353</v>
      </c>
      <c r="E1589" t="s">
        <v>255</v>
      </c>
      <c r="F1589" t="s">
        <v>75</v>
      </c>
      <c r="I1589" s="6">
        <v>0</v>
      </c>
      <c r="J1589" s="6">
        <v>0</v>
      </c>
      <c r="K1589" s="6">
        <v>0</v>
      </c>
      <c r="L1589" s="6">
        <v>1</v>
      </c>
      <c r="M1589" s="6">
        <v>1</v>
      </c>
      <c r="N1589" s="6">
        <v>0</v>
      </c>
      <c r="O1589" s="6">
        <v>0</v>
      </c>
      <c r="P1589" s="6">
        <v>0</v>
      </c>
      <c r="Q1589">
        <v>1</v>
      </c>
      <c r="R1589">
        <f t="shared" si="120"/>
        <v>0</v>
      </c>
      <c r="S1589">
        <f t="shared" si="121"/>
        <v>1</v>
      </c>
      <c r="T1589">
        <f t="shared" si="122"/>
        <v>2</v>
      </c>
      <c r="U1589">
        <f t="shared" si="123"/>
        <v>1</v>
      </c>
      <c r="V1589">
        <f t="shared" si="124"/>
        <v>0</v>
      </c>
    </row>
    <row r="1590" spans="1:22" x14ac:dyDescent="0.25">
      <c r="A1590">
        <v>1587</v>
      </c>
      <c r="B1590" t="s">
        <v>20</v>
      </c>
      <c r="C1590" t="s">
        <v>835</v>
      </c>
      <c r="D1590" s="4">
        <v>45353</v>
      </c>
      <c r="E1590" t="s">
        <v>256</v>
      </c>
      <c r="F1590" t="s">
        <v>75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>
        <v>1</v>
      </c>
      <c r="R1590">
        <f t="shared" si="120"/>
        <v>0</v>
      </c>
      <c r="S1590">
        <f t="shared" si="121"/>
        <v>1</v>
      </c>
      <c r="T1590">
        <f t="shared" si="122"/>
        <v>0</v>
      </c>
      <c r="U1590">
        <f t="shared" si="123"/>
        <v>0</v>
      </c>
      <c r="V1590">
        <f t="shared" si="124"/>
        <v>0</v>
      </c>
    </row>
    <row r="1591" spans="1:22" x14ac:dyDescent="0.25">
      <c r="A1591">
        <v>1588</v>
      </c>
      <c r="B1591" t="s">
        <v>20</v>
      </c>
      <c r="C1591" t="s">
        <v>835</v>
      </c>
      <c r="D1591" s="4">
        <v>45354</v>
      </c>
      <c r="E1591" t="s">
        <v>915</v>
      </c>
      <c r="F1591" t="s">
        <v>75</v>
      </c>
      <c r="H1591" t="s">
        <v>916</v>
      </c>
      <c r="I1591" s="6">
        <v>1</v>
      </c>
      <c r="J1591" s="6">
        <v>0</v>
      </c>
      <c r="K1591" s="6">
        <v>1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>
        <v>1</v>
      </c>
      <c r="R1591">
        <f t="shared" si="120"/>
        <v>0</v>
      </c>
      <c r="S1591">
        <f t="shared" si="121"/>
        <v>1</v>
      </c>
      <c r="T1591">
        <f t="shared" si="122"/>
        <v>2</v>
      </c>
      <c r="U1591">
        <f t="shared" si="123"/>
        <v>1</v>
      </c>
      <c r="V1591">
        <f t="shared" si="124"/>
        <v>0</v>
      </c>
    </row>
    <row r="1592" spans="1:22" x14ac:dyDescent="0.25">
      <c r="A1592">
        <v>1589</v>
      </c>
      <c r="B1592" t="s">
        <v>20</v>
      </c>
      <c r="C1592" t="s">
        <v>835</v>
      </c>
      <c r="D1592" s="4">
        <v>45354</v>
      </c>
      <c r="E1592" t="s">
        <v>1307</v>
      </c>
      <c r="F1592" t="s">
        <v>75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>
        <v>1</v>
      </c>
      <c r="R1592">
        <f t="shared" si="120"/>
        <v>0</v>
      </c>
      <c r="S1592">
        <f t="shared" si="121"/>
        <v>1</v>
      </c>
      <c r="T1592">
        <f t="shared" si="122"/>
        <v>0</v>
      </c>
      <c r="U1592">
        <f t="shared" si="123"/>
        <v>0</v>
      </c>
      <c r="V1592">
        <f t="shared" si="124"/>
        <v>0</v>
      </c>
    </row>
    <row r="1593" spans="1:22" x14ac:dyDescent="0.25">
      <c r="A1593">
        <v>1590</v>
      </c>
      <c r="B1593" t="s">
        <v>20</v>
      </c>
      <c r="C1593" t="s">
        <v>835</v>
      </c>
      <c r="D1593" s="4">
        <v>45355</v>
      </c>
      <c r="E1593" t="s">
        <v>840</v>
      </c>
      <c r="F1593" t="s">
        <v>75</v>
      </c>
      <c r="I1593" s="6">
        <v>0</v>
      </c>
      <c r="J1593" s="6">
        <v>0</v>
      </c>
      <c r="K1593" s="6">
        <v>0</v>
      </c>
      <c r="L1593" s="6">
        <v>0</v>
      </c>
      <c r="M1593" s="6">
        <v>1</v>
      </c>
      <c r="N1593" s="6">
        <v>0</v>
      </c>
      <c r="O1593" s="6">
        <v>0</v>
      </c>
      <c r="P1593" s="6">
        <v>0</v>
      </c>
      <c r="Q1593">
        <v>1</v>
      </c>
      <c r="R1593">
        <f t="shared" si="120"/>
        <v>0</v>
      </c>
      <c r="S1593">
        <f t="shared" si="121"/>
        <v>1</v>
      </c>
      <c r="T1593">
        <f t="shared" si="122"/>
        <v>1</v>
      </c>
      <c r="U1593">
        <f t="shared" si="123"/>
        <v>1</v>
      </c>
      <c r="V1593">
        <f t="shared" si="124"/>
        <v>0</v>
      </c>
    </row>
    <row r="1594" spans="1:22" x14ac:dyDescent="0.25">
      <c r="A1594">
        <v>1591</v>
      </c>
      <c r="B1594" t="s">
        <v>20</v>
      </c>
      <c r="C1594" t="s">
        <v>835</v>
      </c>
      <c r="D1594" s="4">
        <v>45355</v>
      </c>
      <c r="E1594" t="s">
        <v>259</v>
      </c>
      <c r="F1594" t="s">
        <v>75</v>
      </c>
      <c r="I1594" s="6">
        <v>0</v>
      </c>
      <c r="J1594" s="6">
        <v>0</v>
      </c>
      <c r="K1594" s="6">
        <v>0</v>
      </c>
      <c r="L1594" s="6">
        <v>1</v>
      </c>
      <c r="M1594" s="6">
        <v>0</v>
      </c>
      <c r="N1594" s="6">
        <v>0</v>
      </c>
      <c r="O1594" s="6">
        <v>0</v>
      </c>
      <c r="P1594" s="6">
        <v>0</v>
      </c>
      <c r="Q1594">
        <v>1</v>
      </c>
      <c r="R1594">
        <f t="shared" si="120"/>
        <v>0</v>
      </c>
      <c r="S1594">
        <f t="shared" si="121"/>
        <v>1</v>
      </c>
      <c r="T1594">
        <f t="shared" si="122"/>
        <v>1</v>
      </c>
      <c r="U1594">
        <f t="shared" si="123"/>
        <v>1</v>
      </c>
      <c r="V1594">
        <f t="shared" si="124"/>
        <v>0</v>
      </c>
    </row>
    <row r="1595" spans="1:22" x14ac:dyDescent="0.25">
      <c r="A1595">
        <v>1592</v>
      </c>
      <c r="B1595" t="s">
        <v>20</v>
      </c>
      <c r="C1595" t="s">
        <v>835</v>
      </c>
      <c r="D1595" s="4">
        <v>45356</v>
      </c>
      <c r="E1595" t="s">
        <v>1879</v>
      </c>
      <c r="F1595" t="s">
        <v>75</v>
      </c>
      <c r="I1595" s="6">
        <v>1</v>
      </c>
      <c r="J1595" s="6">
        <v>0</v>
      </c>
      <c r="K1595" s="6">
        <v>1</v>
      </c>
      <c r="L1595" s="6">
        <v>1</v>
      </c>
      <c r="M1595" s="6">
        <v>0</v>
      </c>
      <c r="N1595" s="6">
        <v>0</v>
      </c>
      <c r="O1595" s="6">
        <v>0</v>
      </c>
      <c r="P1595" s="6">
        <v>0</v>
      </c>
      <c r="Q1595">
        <v>1</v>
      </c>
      <c r="R1595">
        <f t="shared" si="120"/>
        <v>0</v>
      </c>
      <c r="S1595">
        <f t="shared" si="121"/>
        <v>1</v>
      </c>
      <c r="T1595">
        <f t="shared" si="122"/>
        <v>3</v>
      </c>
      <c r="U1595">
        <f t="shared" si="123"/>
        <v>1</v>
      </c>
      <c r="V1595">
        <f t="shared" si="124"/>
        <v>0</v>
      </c>
    </row>
    <row r="1596" spans="1:22" x14ac:dyDescent="0.25">
      <c r="A1596">
        <v>1593</v>
      </c>
      <c r="B1596" t="s">
        <v>20</v>
      </c>
      <c r="C1596" t="s">
        <v>835</v>
      </c>
      <c r="D1596" s="4">
        <v>45357</v>
      </c>
      <c r="E1596" t="s">
        <v>260</v>
      </c>
      <c r="F1596" t="s">
        <v>75</v>
      </c>
      <c r="H1596" t="s">
        <v>917</v>
      </c>
      <c r="I1596" s="6">
        <v>0</v>
      </c>
      <c r="J1596" s="6">
        <v>0</v>
      </c>
      <c r="K1596" s="6">
        <v>0</v>
      </c>
      <c r="L1596" s="6">
        <v>1</v>
      </c>
      <c r="M1596" s="6">
        <v>0</v>
      </c>
      <c r="N1596" s="6">
        <v>0</v>
      </c>
      <c r="O1596" s="6">
        <v>0</v>
      </c>
      <c r="P1596" s="6">
        <v>0</v>
      </c>
      <c r="Q1596">
        <v>1</v>
      </c>
      <c r="R1596">
        <f t="shared" si="120"/>
        <v>0</v>
      </c>
      <c r="S1596">
        <f t="shared" si="121"/>
        <v>1</v>
      </c>
      <c r="T1596">
        <f t="shared" si="122"/>
        <v>1</v>
      </c>
      <c r="U1596">
        <f t="shared" si="123"/>
        <v>1</v>
      </c>
      <c r="V1596">
        <f t="shared" si="124"/>
        <v>0</v>
      </c>
    </row>
    <row r="1597" spans="1:22" x14ac:dyDescent="0.25">
      <c r="A1597">
        <v>1594</v>
      </c>
      <c r="B1597" t="s">
        <v>20</v>
      </c>
      <c r="C1597" t="s">
        <v>835</v>
      </c>
      <c r="D1597" s="4">
        <v>45357</v>
      </c>
      <c r="E1597" t="s">
        <v>422</v>
      </c>
      <c r="F1597" t="s">
        <v>75</v>
      </c>
      <c r="I1597" s="6">
        <v>1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>
        <v>1</v>
      </c>
      <c r="R1597">
        <f t="shared" si="120"/>
        <v>0</v>
      </c>
      <c r="S1597">
        <f t="shared" si="121"/>
        <v>1</v>
      </c>
      <c r="T1597">
        <f t="shared" si="122"/>
        <v>1</v>
      </c>
      <c r="U1597">
        <f t="shared" si="123"/>
        <v>1</v>
      </c>
      <c r="V1597">
        <f t="shared" si="124"/>
        <v>0</v>
      </c>
    </row>
    <row r="1598" spans="1:22" x14ac:dyDescent="0.25">
      <c r="A1598">
        <v>1595</v>
      </c>
      <c r="B1598" t="s">
        <v>20</v>
      </c>
      <c r="C1598" t="s">
        <v>835</v>
      </c>
      <c r="D1598" s="4">
        <v>45358</v>
      </c>
      <c r="E1598" t="s">
        <v>843</v>
      </c>
      <c r="F1598" t="s">
        <v>75</v>
      </c>
      <c r="H1598" t="s">
        <v>918</v>
      </c>
      <c r="I1598" s="6">
        <v>0</v>
      </c>
      <c r="J1598" s="6">
        <v>0</v>
      </c>
      <c r="K1598" s="6">
        <v>0</v>
      </c>
      <c r="L1598" s="6">
        <v>1</v>
      </c>
      <c r="M1598" s="6">
        <v>1</v>
      </c>
      <c r="N1598" s="6">
        <v>0</v>
      </c>
      <c r="O1598" s="6">
        <v>0</v>
      </c>
      <c r="P1598" s="6">
        <v>0</v>
      </c>
      <c r="Q1598">
        <v>1</v>
      </c>
      <c r="R1598">
        <f t="shared" si="120"/>
        <v>0</v>
      </c>
      <c r="S1598">
        <f t="shared" si="121"/>
        <v>1</v>
      </c>
      <c r="T1598">
        <f t="shared" si="122"/>
        <v>2</v>
      </c>
      <c r="U1598">
        <f t="shared" si="123"/>
        <v>1</v>
      </c>
      <c r="V1598">
        <f t="shared" si="124"/>
        <v>0</v>
      </c>
    </row>
    <row r="1599" spans="1:22" x14ac:dyDescent="0.25">
      <c r="A1599">
        <v>1596</v>
      </c>
      <c r="B1599" t="s">
        <v>20</v>
      </c>
      <c r="C1599" t="s">
        <v>835</v>
      </c>
      <c r="D1599" s="4">
        <v>45359</v>
      </c>
      <c r="E1599" t="s">
        <v>844</v>
      </c>
      <c r="F1599" t="s">
        <v>75</v>
      </c>
      <c r="I1599" s="6">
        <v>0</v>
      </c>
      <c r="J1599" s="6">
        <v>0</v>
      </c>
      <c r="K1599" s="6">
        <v>0</v>
      </c>
      <c r="L1599" s="6">
        <v>1</v>
      </c>
      <c r="M1599" s="6">
        <v>1</v>
      </c>
      <c r="N1599" s="6">
        <v>0</v>
      </c>
      <c r="O1599" s="6">
        <v>0</v>
      </c>
      <c r="P1599" s="6">
        <v>0</v>
      </c>
      <c r="Q1599">
        <v>1</v>
      </c>
      <c r="R1599">
        <f t="shared" si="120"/>
        <v>0</v>
      </c>
      <c r="S1599">
        <f t="shared" si="121"/>
        <v>1</v>
      </c>
      <c r="T1599">
        <f t="shared" si="122"/>
        <v>2</v>
      </c>
      <c r="U1599">
        <f t="shared" si="123"/>
        <v>1</v>
      </c>
      <c r="V1599">
        <f t="shared" si="124"/>
        <v>0</v>
      </c>
    </row>
    <row r="1600" spans="1:22" x14ac:dyDescent="0.25">
      <c r="A1600">
        <v>1597</v>
      </c>
      <c r="B1600" t="s">
        <v>20</v>
      </c>
      <c r="C1600" t="s">
        <v>835</v>
      </c>
      <c r="D1600" s="4">
        <v>45359</v>
      </c>
      <c r="E1600" t="s">
        <v>845</v>
      </c>
      <c r="F1600" t="s">
        <v>75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>
        <v>1</v>
      </c>
      <c r="R1600">
        <f t="shared" si="120"/>
        <v>0</v>
      </c>
      <c r="S1600">
        <f t="shared" si="121"/>
        <v>1</v>
      </c>
      <c r="T1600">
        <f t="shared" si="122"/>
        <v>0</v>
      </c>
      <c r="U1600">
        <f t="shared" si="123"/>
        <v>0</v>
      </c>
      <c r="V1600">
        <f t="shared" si="124"/>
        <v>0</v>
      </c>
    </row>
    <row r="1601" spans="1:22" x14ac:dyDescent="0.25">
      <c r="A1601">
        <v>1598</v>
      </c>
      <c r="B1601" t="s">
        <v>20</v>
      </c>
      <c r="C1601" t="s">
        <v>835</v>
      </c>
      <c r="D1601" s="4">
        <v>45360</v>
      </c>
      <c r="E1601" t="s">
        <v>424</v>
      </c>
      <c r="F1601" t="s">
        <v>75</v>
      </c>
      <c r="H1601" t="s">
        <v>919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1</v>
      </c>
      <c r="P1601" s="6">
        <v>0</v>
      </c>
      <c r="Q1601">
        <v>1</v>
      </c>
      <c r="R1601">
        <f t="shared" si="120"/>
        <v>0</v>
      </c>
      <c r="S1601">
        <f t="shared" si="121"/>
        <v>1</v>
      </c>
      <c r="T1601">
        <f t="shared" si="122"/>
        <v>1</v>
      </c>
      <c r="U1601">
        <f t="shared" si="123"/>
        <v>1</v>
      </c>
      <c r="V1601">
        <f t="shared" si="124"/>
        <v>0</v>
      </c>
    </row>
    <row r="1602" spans="1:22" x14ac:dyDescent="0.25">
      <c r="A1602">
        <v>1599</v>
      </c>
      <c r="B1602" t="s">
        <v>20</v>
      </c>
      <c r="C1602" t="s">
        <v>835</v>
      </c>
      <c r="D1602" s="4">
        <v>45361</v>
      </c>
      <c r="E1602" t="s">
        <v>920</v>
      </c>
      <c r="F1602" t="s">
        <v>75</v>
      </c>
      <c r="H1602" t="s">
        <v>921</v>
      </c>
      <c r="I1602" s="6">
        <v>0</v>
      </c>
      <c r="J1602" s="6">
        <v>0</v>
      </c>
      <c r="K1602" s="6">
        <v>0</v>
      </c>
      <c r="L1602" s="6">
        <v>1</v>
      </c>
      <c r="M1602" s="6">
        <v>1</v>
      </c>
      <c r="N1602" s="6">
        <v>0</v>
      </c>
      <c r="O1602" s="6">
        <v>0</v>
      </c>
      <c r="P1602" s="6">
        <v>0</v>
      </c>
      <c r="Q1602">
        <v>1</v>
      </c>
      <c r="R1602">
        <f t="shared" si="120"/>
        <v>0</v>
      </c>
      <c r="S1602">
        <f t="shared" si="121"/>
        <v>1</v>
      </c>
      <c r="T1602">
        <f t="shared" si="122"/>
        <v>2</v>
      </c>
      <c r="U1602">
        <f t="shared" si="123"/>
        <v>1</v>
      </c>
      <c r="V1602">
        <f t="shared" si="124"/>
        <v>0</v>
      </c>
    </row>
    <row r="1603" spans="1:22" x14ac:dyDescent="0.25">
      <c r="A1603">
        <v>1600</v>
      </c>
      <c r="B1603" t="s">
        <v>20</v>
      </c>
      <c r="C1603" t="s">
        <v>835</v>
      </c>
      <c r="D1603" s="4">
        <v>45362</v>
      </c>
      <c r="E1603" t="s">
        <v>846</v>
      </c>
      <c r="F1603" t="s">
        <v>75</v>
      </c>
      <c r="H1603" t="s">
        <v>922</v>
      </c>
      <c r="I1603" s="6">
        <v>0</v>
      </c>
      <c r="J1603" s="6">
        <v>0</v>
      </c>
      <c r="K1603" s="6">
        <v>0</v>
      </c>
      <c r="L1603" s="6">
        <v>1</v>
      </c>
      <c r="M1603" s="6">
        <v>1</v>
      </c>
      <c r="N1603" s="6">
        <v>0</v>
      </c>
      <c r="O1603" s="6">
        <v>0</v>
      </c>
      <c r="P1603" s="6">
        <v>0</v>
      </c>
      <c r="Q1603">
        <v>1</v>
      </c>
      <c r="R1603">
        <f t="shared" ref="R1603:R1666" si="125">IF(AND(Q1603=1,F1603="ai_full"),1,0)</f>
        <v>0</v>
      </c>
      <c r="S1603">
        <f t="shared" ref="S1603:S1666" si="126">IF(AND(Q1603=1,F1603="conventional"),1,0)</f>
        <v>1</v>
      </c>
      <c r="T1603">
        <f t="shared" ref="T1603:T1666" si="127">SUM(I1603:P1603)</f>
        <v>2</v>
      </c>
      <c r="U1603">
        <f t="shared" ref="U1603:U1666" si="128">IF(T1603&gt;=1,1,0)</f>
        <v>1</v>
      </c>
      <c r="V1603">
        <f t="shared" ref="V1603:V1666" si="129">IF(F1603="ai_full",1,0)</f>
        <v>0</v>
      </c>
    </row>
    <row r="1604" spans="1:22" x14ac:dyDescent="0.25">
      <c r="A1604">
        <v>1601</v>
      </c>
      <c r="B1604" t="s">
        <v>20</v>
      </c>
      <c r="C1604" t="s">
        <v>835</v>
      </c>
      <c r="D1604" s="4">
        <v>45363</v>
      </c>
      <c r="E1604" t="s">
        <v>847</v>
      </c>
      <c r="F1604" t="s">
        <v>75</v>
      </c>
      <c r="I1604" s="6">
        <v>0</v>
      </c>
      <c r="J1604" s="6">
        <v>0</v>
      </c>
      <c r="K1604" s="6">
        <v>0</v>
      </c>
      <c r="L1604" s="6">
        <v>1</v>
      </c>
      <c r="M1604" s="6">
        <v>1</v>
      </c>
      <c r="N1604" s="6">
        <v>0</v>
      </c>
      <c r="O1604" s="6">
        <v>0</v>
      </c>
      <c r="P1604" s="6">
        <v>0</v>
      </c>
      <c r="Q1604">
        <v>1</v>
      </c>
      <c r="R1604">
        <f t="shared" si="125"/>
        <v>0</v>
      </c>
      <c r="S1604">
        <f t="shared" si="126"/>
        <v>1</v>
      </c>
      <c r="T1604">
        <f t="shared" si="127"/>
        <v>2</v>
      </c>
      <c r="U1604">
        <f t="shared" si="128"/>
        <v>1</v>
      </c>
      <c r="V1604">
        <f t="shared" si="129"/>
        <v>0</v>
      </c>
    </row>
    <row r="1605" spans="1:22" x14ac:dyDescent="0.25">
      <c r="A1605">
        <v>1602</v>
      </c>
      <c r="B1605" t="s">
        <v>20</v>
      </c>
      <c r="C1605" t="s">
        <v>835</v>
      </c>
      <c r="D1605" s="4">
        <v>45363</v>
      </c>
      <c r="E1605" t="s">
        <v>848</v>
      </c>
      <c r="F1605" t="s">
        <v>75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>
        <v>1</v>
      </c>
      <c r="R1605">
        <f t="shared" si="125"/>
        <v>0</v>
      </c>
      <c r="S1605">
        <f t="shared" si="126"/>
        <v>1</v>
      </c>
      <c r="T1605">
        <f t="shared" si="127"/>
        <v>0</v>
      </c>
      <c r="U1605">
        <f t="shared" si="128"/>
        <v>0</v>
      </c>
      <c r="V1605">
        <f t="shared" si="129"/>
        <v>0</v>
      </c>
    </row>
    <row r="1606" spans="1:22" x14ac:dyDescent="0.25">
      <c r="A1606">
        <v>1603</v>
      </c>
      <c r="B1606" t="s">
        <v>20</v>
      </c>
      <c r="C1606" t="s">
        <v>835</v>
      </c>
      <c r="D1606" s="4">
        <v>45364</v>
      </c>
      <c r="E1606" t="s">
        <v>1127</v>
      </c>
      <c r="F1606" t="s">
        <v>75</v>
      </c>
      <c r="I1606" s="6">
        <v>0</v>
      </c>
      <c r="J1606" s="6">
        <v>0</v>
      </c>
      <c r="K1606" s="6">
        <v>0</v>
      </c>
      <c r="L1606" s="6">
        <v>1</v>
      </c>
      <c r="M1606" s="6">
        <v>1</v>
      </c>
      <c r="N1606" s="6">
        <v>0</v>
      </c>
      <c r="O1606" s="6">
        <v>0</v>
      </c>
      <c r="P1606" s="6">
        <v>0</v>
      </c>
      <c r="Q1606">
        <v>1</v>
      </c>
      <c r="R1606">
        <f t="shared" si="125"/>
        <v>0</v>
      </c>
      <c r="S1606">
        <f t="shared" si="126"/>
        <v>1</v>
      </c>
      <c r="T1606">
        <f t="shared" si="127"/>
        <v>2</v>
      </c>
      <c r="U1606">
        <f t="shared" si="128"/>
        <v>1</v>
      </c>
      <c r="V1606">
        <f t="shared" si="129"/>
        <v>0</v>
      </c>
    </row>
    <row r="1607" spans="1:22" x14ac:dyDescent="0.25">
      <c r="A1607">
        <v>1604</v>
      </c>
      <c r="B1607" t="s">
        <v>20</v>
      </c>
      <c r="C1607" t="s">
        <v>835</v>
      </c>
      <c r="D1607" s="4">
        <v>45364</v>
      </c>
      <c r="E1607" t="s">
        <v>849</v>
      </c>
      <c r="F1607" t="s">
        <v>75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>
        <v>1</v>
      </c>
      <c r="R1607">
        <f t="shared" si="125"/>
        <v>0</v>
      </c>
      <c r="S1607">
        <f t="shared" si="126"/>
        <v>1</v>
      </c>
      <c r="T1607">
        <f t="shared" si="127"/>
        <v>0</v>
      </c>
      <c r="U1607">
        <f t="shared" si="128"/>
        <v>0</v>
      </c>
      <c r="V1607">
        <f t="shared" si="129"/>
        <v>0</v>
      </c>
    </row>
    <row r="1608" spans="1:22" x14ac:dyDescent="0.25">
      <c r="A1608">
        <v>1605</v>
      </c>
      <c r="B1608" t="s">
        <v>20</v>
      </c>
      <c r="C1608" t="s">
        <v>835</v>
      </c>
      <c r="D1608" s="4">
        <v>45364</v>
      </c>
      <c r="E1608" t="s">
        <v>850</v>
      </c>
      <c r="F1608" t="s">
        <v>75</v>
      </c>
      <c r="H1608" t="s">
        <v>923</v>
      </c>
      <c r="I1608" s="6">
        <v>1</v>
      </c>
      <c r="J1608" s="6">
        <v>1</v>
      </c>
      <c r="K1608" s="6">
        <v>1</v>
      </c>
      <c r="L1608" s="6">
        <v>0</v>
      </c>
      <c r="M1608" s="6">
        <v>1</v>
      </c>
      <c r="N1608" s="6">
        <v>0</v>
      </c>
      <c r="O1608" s="6">
        <v>0</v>
      </c>
      <c r="P1608" s="6">
        <v>0</v>
      </c>
      <c r="Q1608">
        <v>1</v>
      </c>
      <c r="R1608">
        <f t="shared" si="125"/>
        <v>0</v>
      </c>
      <c r="S1608">
        <f t="shared" si="126"/>
        <v>1</v>
      </c>
      <c r="T1608">
        <f t="shared" si="127"/>
        <v>4</v>
      </c>
      <c r="U1608">
        <f t="shared" si="128"/>
        <v>1</v>
      </c>
      <c r="V1608">
        <f t="shared" si="129"/>
        <v>0</v>
      </c>
    </row>
    <row r="1609" spans="1:22" x14ac:dyDescent="0.25">
      <c r="A1609">
        <v>1606</v>
      </c>
      <c r="B1609" t="s">
        <v>20</v>
      </c>
      <c r="C1609" t="s">
        <v>835</v>
      </c>
      <c r="D1609" s="4">
        <v>45365</v>
      </c>
      <c r="E1609" t="s">
        <v>924</v>
      </c>
      <c r="F1609" t="s">
        <v>75</v>
      </c>
      <c r="H1609" t="s">
        <v>925</v>
      </c>
      <c r="I1609" s="6">
        <v>0</v>
      </c>
      <c r="J1609" s="6">
        <v>0</v>
      </c>
      <c r="K1609" s="6">
        <v>0</v>
      </c>
      <c r="L1609" s="6">
        <v>1</v>
      </c>
      <c r="M1609" s="6">
        <v>0</v>
      </c>
      <c r="N1609" s="6">
        <v>0</v>
      </c>
      <c r="O1609" s="6">
        <v>0</v>
      </c>
      <c r="P1609" s="6">
        <v>1</v>
      </c>
      <c r="Q1609">
        <v>1</v>
      </c>
      <c r="R1609">
        <f t="shared" si="125"/>
        <v>0</v>
      </c>
      <c r="S1609">
        <f t="shared" si="126"/>
        <v>1</v>
      </c>
      <c r="T1609">
        <f t="shared" si="127"/>
        <v>2</v>
      </c>
      <c r="U1609">
        <f t="shared" si="128"/>
        <v>1</v>
      </c>
      <c r="V1609">
        <f t="shared" si="129"/>
        <v>0</v>
      </c>
    </row>
    <row r="1610" spans="1:22" x14ac:dyDescent="0.25">
      <c r="A1610">
        <v>1607</v>
      </c>
      <c r="B1610" t="s">
        <v>20</v>
      </c>
      <c r="C1610" t="s">
        <v>835</v>
      </c>
      <c r="D1610" s="4">
        <v>45365</v>
      </c>
      <c r="E1610" t="s">
        <v>926</v>
      </c>
      <c r="F1610" t="s">
        <v>75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1</v>
      </c>
      <c r="Q1610">
        <v>1</v>
      </c>
      <c r="R1610">
        <f t="shared" si="125"/>
        <v>0</v>
      </c>
      <c r="S1610">
        <f t="shared" si="126"/>
        <v>1</v>
      </c>
      <c r="T1610">
        <f t="shared" si="127"/>
        <v>1</v>
      </c>
      <c r="U1610">
        <f t="shared" si="128"/>
        <v>1</v>
      </c>
      <c r="V1610">
        <f t="shared" si="129"/>
        <v>0</v>
      </c>
    </row>
    <row r="1611" spans="1:22" x14ac:dyDescent="0.25">
      <c r="A1611">
        <v>1608</v>
      </c>
      <c r="B1611" t="s">
        <v>20</v>
      </c>
      <c r="C1611" t="s">
        <v>835</v>
      </c>
      <c r="D1611" s="4">
        <v>45365</v>
      </c>
      <c r="E1611" t="s">
        <v>927</v>
      </c>
      <c r="F1611" t="s">
        <v>357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1</v>
      </c>
      <c r="Q1611">
        <v>1</v>
      </c>
      <c r="R1611">
        <f t="shared" si="125"/>
        <v>0</v>
      </c>
      <c r="S1611">
        <f t="shared" si="126"/>
        <v>0</v>
      </c>
      <c r="T1611">
        <f t="shared" si="127"/>
        <v>1</v>
      </c>
      <c r="U1611">
        <f t="shared" si="128"/>
        <v>1</v>
      </c>
      <c r="V1611">
        <f t="shared" si="129"/>
        <v>0</v>
      </c>
    </row>
    <row r="1612" spans="1:22" x14ac:dyDescent="0.25">
      <c r="A1612">
        <v>1609</v>
      </c>
      <c r="B1612" t="s">
        <v>20</v>
      </c>
      <c r="C1612" t="s">
        <v>835</v>
      </c>
      <c r="D1612" s="4">
        <v>45366</v>
      </c>
      <c r="E1612" t="s">
        <v>928</v>
      </c>
      <c r="F1612" t="s">
        <v>75</v>
      </c>
      <c r="H1612" t="s">
        <v>929</v>
      </c>
      <c r="I1612" s="6">
        <v>0</v>
      </c>
      <c r="J1612" s="6">
        <v>0</v>
      </c>
      <c r="K1612" s="6">
        <v>0</v>
      </c>
      <c r="L1612" s="6">
        <v>1</v>
      </c>
      <c r="M1612" s="6">
        <v>0</v>
      </c>
      <c r="N1612" s="6">
        <v>0</v>
      </c>
      <c r="O1612" s="6">
        <v>1</v>
      </c>
      <c r="P1612" s="6">
        <v>0</v>
      </c>
      <c r="Q1612">
        <v>1</v>
      </c>
      <c r="R1612">
        <f t="shared" si="125"/>
        <v>0</v>
      </c>
      <c r="S1612">
        <f t="shared" si="126"/>
        <v>1</v>
      </c>
      <c r="T1612">
        <f t="shared" si="127"/>
        <v>2</v>
      </c>
      <c r="U1612">
        <f t="shared" si="128"/>
        <v>1</v>
      </c>
      <c r="V1612">
        <f t="shared" si="129"/>
        <v>0</v>
      </c>
    </row>
    <row r="1613" spans="1:22" x14ac:dyDescent="0.25">
      <c r="A1613">
        <v>1610</v>
      </c>
      <c r="B1613" t="s">
        <v>20</v>
      </c>
      <c r="C1613" t="s">
        <v>835</v>
      </c>
      <c r="D1613" s="4">
        <v>45366</v>
      </c>
      <c r="E1613" t="s">
        <v>930</v>
      </c>
      <c r="F1613" t="s">
        <v>75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>
        <v>1</v>
      </c>
      <c r="R1613">
        <f t="shared" si="125"/>
        <v>0</v>
      </c>
      <c r="S1613">
        <f t="shared" si="126"/>
        <v>1</v>
      </c>
      <c r="T1613">
        <f t="shared" si="127"/>
        <v>0</v>
      </c>
      <c r="U1613">
        <f t="shared" si="128"/>
        <v>0</v>
      </c>
      <c r="V1613">
        <f t="shared" si="129"/>
        <v>0</v>
      </c>
    </row>
    <row r="1614" spans="1:22" x14ac:dyDescent="0.25">
      <c r="A1614">
        <v>1611</v>
      </c>
      <c r="B1614" t="s">
        <v>20</v>
      </c>
      <c r="C1614" t="s">
        <v>835</v>
      </c>
      <c r="D1614" s="4">
        <v>45367</v>
      </c>
      <c r="E1614" t="s">
        <v>425</v>
      </c>
      <c r="F1614" t="s">
        <v>75</v>
      </c>
      <c r="H1614" t="s">
        <v>931</v>
      </c>
      <c r="I1614" s="6">
        <v>0</v>
      </c>
      <c r="J1614" s="6">
        <v>0</v>
      </c>
      <c r="K1614" s="6">
        <v>0</v>
      </c>
      <c r="L1614" s="6">
        <v>1</v>
      </c>
      <c r="M1614" s="6">
        <v>0</v>
      </c>
      <c r="N1614" s="6">
        <v>0</v>
      </c>
      <c r="O1614" s="6">
        <v>0</v>
      </c>
      <c r="P1614" s="6">
        <v>0</v>
      </c>
      <c r="Q1614">
        <v>1</v>
      </c>
      <c r="R1614">
        <f t="shared" si="125"/>
        <v>0</v>
      </c>
      <c r="S1614">
        <f t="shared" si="126"/>
        <v>1</v>
      </c>
      <c r="T1614">
        <f t="shared" si="127"/>
        <v>1</v>
      </c>
      <c r="U1614">
        <f t="shared" si="128"/>
        <v>1</v>
      </c>
      <c r="V1614">
        <f t="shared" si="129"/>
        <v>0</v>
      </c>
    </row>
    <row r="1615" spans="1:22" x14ac:dyDescent="0.25">
      <c r="A1615">
        <v>1612</v>
      </c>
      <c r="B1615" t="s">
        <v>20</v>
      </c>
      <c r="C1615" t="s">
        <v>835</v>
      </c>
      <c r="D1615" s="4">
        <v>45367</v>
      </c>
      <c r="E1615" t="s">
        <v>426</v>
      </c>
      <c r="F1615" t="s">
        <v>75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>
        <v>1</v>
      </c>
      <c r="R1615">
        <f t="shared" si="125"/>
        <v>0</v>
      </c>
      <c r="S1615">
        <f t="shared" si="126"/>
        <v>1</v>
      </c>
      <c r="T1615">
        <f t="shared" si="127"/>
        <v>0</v>
      </c>
      <c r="U1615">
        <f t="shared" si="128"/>
        <v>0</v>
      </c>
      <c r="V1615">
        <f t="shared" si="129"/>
        <v>0</v>
      </c>
    </row>
    <row r="1616" spans="1:22" x14ac:dyDescent="0.25">
      <c r="A1616">
        <v>1613</v>
      </c>
      <c r="B1616" t="s">
        <v>20</v>
      </c>
      <c r="C1616" t="s">
        <v>835</v>
      </c>
      <c r="D1616" s="4">
        <v>45368</v>
      </c>
      <c r="E1616" t="s">
        <v>268</v>
      </c>
      <c r="F1616" t="s">
        <v>75</v>
      </c>
      <c r="H1616" t="s">
        <v>932</v>
      </c>
      <c r="I1616" s="6">
        <v>0</v>
      </c>
      <c r="J1616" s="6">
        <v>0</v>
      </c>
      <c r="K1616" s="6">
        <v>0</v>
      </c>
      <c r="L1616" s="6">
        <v>1</v>
      </c>
      <c r="M1616" s="6">
        <v>1</v>
      </c>
      <c r="N1616" s="6">
        <v>0</v>
      </c>
      <c r="O1616" s="6">
        <v>0</v>
      </c>
      <c r="P1616" s="6">
        <v>1</v>
      </c>
      <c r="Q1616">
        <v>1</v>
      </c>
      <c r="R1616">
        <f t="shared" si="125"/>
        <v>0</v>
      </c>
      <c r="S1616">
        <f t="shared" si="126"/>
        <v>1</v>
      </c>
      <c r="T1616">
        <f t="shared" si="127"/>
        <v>3</v>
      </c>
      <c r="U1616">
        <f t="shared" si="128"/>
        <v>1</v>
      </c>
      <c r="V1616">
        <f t="shared" si="129"/>
        <v>0</v>
      </c>
    </row>
    <row r="1617" spans="1:22" x14ac:dyDescent="0.25">
      <c r="A1617">
        <v>1614</v>
      </c>
      <c r="B1617" t="s">
        <v>20</v>
      </c>
      <c r="C1617" t="s">
        <v>835</v>
      </c>
      <c r="D1617" s="4">
        <v>45369</v>
      </c>
      <c r="E1617" t="s">
        <v>933</v>
      </c>
      <c r="F1617" t="s">
        <v>75</v>
      </c>
      <c r="H1617" t="s">
        <v>934</v>
      </c>
      <c r="I1617" s="6">
        <v>0</v>
      </c>
      <c r="J1617" s="6">
        <v>0</v>
      </c>
      <c r="K1617" s="6">
        <v>0</v>
      </c>
      <c r="L1617" s="6">
        <v>1</v>
      </c>
      <c r="M1617" s="6">
        <v>1</v>
      </c>
      <c r="N1617" s="6">
        <v>0</v>
      </c>
      <c r="O1617" s="6">
        <v>0</v>
      </c>
      <c r="P1617" s="6">
        <v>0</v>
      </c>
      <c r="Q1617">
        <v>1</v>
      </c>
      <c r="R1617">
        <f t="shared" si="125"/>
        <v>0</v>
      </c>
      <c r="S1617">
        <f t="shared" si="126"/>
        <v>1</v>
      </c>
      <c r="T1617">
        <f t="shared" si="127"/>
        <v>2</v>
      </c>
      <c r="U1617">
        <f t="shared" si="128"/>
        <v>1</v>
      </c>
      <c r="V1617">
        <f t="shared" si="129"/>
        <v>0</v>
      </c>
    </row>
    <row r="1618" spans="1:22" x14ac:dyDescent="0.25">
      <c r="A1618">
        <v>1615</v>
      </c>
      <c r="B1618" t="s">
        <v>20</v>
      </c>
      <c r="C1618" t="s">
        <v>835</v>
      </c>
      <c r="D1618" s="4">
        <v>45370</v>
      </c>
      <c r="E1618" t="s">
        <v>935</v>
      </c>
      <c r="F1618" t="s">
        <v>75</v>
      </c>
      <c r="H1618" t="s">
        <v>936</v>
      </c>
      <c r="I1618" s="6">
        <v>0</v>
      </c>
      <c r="J1618" s="6">
        <v>0</v>
      </c>
      <c r="K1618" s="6">
        <v>0</v>
      </c>
      <c r="L1618" s="6">
        <v>1</v>
      </c>
      <c r="M1618" s="6">
        <v>0</v>
      </c>
      <c r="N1618" s="6">
        <v>0</v>
      </c>
      <c r="O1618" s="6">
        <v>0</v>
      </c>
      <c r="P1618" s="6">
        <v>0</v>
      </c>
      <c r="Q1618">
        <v>1</v>
      </c>
      <c r="R1618">
        <f t="shared" si="125"/>
        <v>0</v>
      </c>
      <c r="S1618">
        <f t="shared" si="126"/>
        <v>1</v>
      </c>
      <c r="T1618">
        <f t="shared" si="127"/>
        <v>1</v>
      </c>
      <c r="U1618">
        <f t="shared" si="128"/>
        <v>1</v>
      </c>
      <c r="V1618">
        <f t="shared" si="129"/>
        <v>0</v>
      </c>
    </row>
    <row r="1619" spans="1:22" x14ac:dyDescent="0.25">
      <c r="A1619">
        <v>1616</v>
      </c>
      <c r="B1619" t="s">
        <v>20</v>
      </c>
      <c r="C1619" t="s">
        <v>835</v>
      </c>
      <c r="D1619" s="4">
        <v>45370</v>
      </c>
      <c r="E1619" t="s">
        <v>937</v>
      </c>
      <c r="F1619" t="s">
        <v>75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>
        <v>1</v>
      </c>
      <c r="R1619">
        <f t="shared" si="125"/>
        <v>0</v>
      </c>
      <c r="S1619">
        <f t="shared" si="126"/>
        <v>1</v>
      </c>
      <c r="T1619">
        <f t="shared" si="127"/>
        <v>0</v>
      </c>
      <c r="U1619">
        <f t="shared" si="128"/>
        <v>0</v>
      </c>
      <c r="V1619">
        <f t="shared" si="129"/>
        <v>0</v>
      </c>
    </row>
    <row r="1620" spans="1:22" x14ac:dyDescent="0.25">
      <c r="A1620">
        <v>1617</v>
      </c>
      <c r="B1620" t="s">
        <v>20</v>
      </c>
      <c r="C1620" t="s">
        <v>835</v>
      </c>
      <c r="D1620" s="4">
        <v>45371</v>
      </c>
      <c r="E1620" t="s">
        <v>1532</v>
      </c>
      <c r="F1620" t="s">
        <v>75</v>
      </c>
      <c r="I1620" s="6">
        <v>1</v>
      </c>
      <c r="J1620" s="6">
        <v>0</v>
      </c>
      <c r="K1620" s="6">
        <v>0</v>
      </c>
      <c r="L1620" s="6">
        <v>1</v>
      </c>
      <c r="M1620" s="6">
        <v>1</v>
      </c>
      <c r="N1620" s="6">
        <v>0</v>
      </c>
      <c r="O1620" s="6">
        <v>0</v>
      </c>
      <c r="P1620" s="6">
        <v>0</v>
      </c>
      <c r="Q1620">
        <v>1</v>
      </c>
      <c r="R1620">
        <f t="shared" si="125"/>
        <v>0</v>
      </c>
      <c r="S1620">
        <f t="shared" si="126"/>
        <v>1</v>
      </c>
      <c r="T1620">
        <f t="shared" si="127"/>
        <v>3</v>
      </c>
      <c r="U1620">
        <f t="shared" si="128"/>
        <v>1</v>
      </c>
      <c r="V1620">
        <f t="shared" si="129"/>
        <v>0</v>
      </c>
    </row>
    <row r="1621" spans="1:22" x14ac:dyDescent="0.25">
      <c r="A1621">
        <v>1618</v>
      </c>
      <c r="B1621" t="s">
        <v>20</v>
      </c>
      <c r="C1621" t="s">
        <v>835</v>
      </c>
      <c r="D1621" s="4">
        <v>45371</v>
      </c>
      <c r="E1621" t="s">
        <v>938</v>
      </c>
      <c r="F1621" t="s">
        <v>75</v>
      </c>
      <c r="I1621" s="6">
        <v>1</v>
      </c>
      <c r="J1621" s="6">
        <v>1</v>
      </c>
      <c r="K1621" s="6">
        <v>0</v>
      </c>
      <c r="L1621" s="6">
        <v>1</v>
      </c>
      <c r="M1621" s="6">
        <v>0</v>
      </c>
      <c r="N1621" s="6">
        <v>0</v>
      </c>
      <c r="O1621" s="6">
        <v>0</v>
      </c>
      <c r="P1621" s="6">
        <v>0</v>
      </c>
      <c r="Q1621">
        <v>1</v>
      </c>
      <c r="R1621">
        <f t="shared" si="125"/>
        <v>0</v>
      </c>
      <c r="S1621">
        <f t="shared" si="126"/>
        <v>1</v>
      </c>
      <c r="T1621">
        <f t="shared" si="127"/>
        <v>3</v>
      </c>
      <c r="U1621">
        <f t="shared" si="128"/>
        <v>1</v>
      </c>
      <c r="V1621">
        <f t="shared" si="129"/>
        <v>0</v>
      </c>
    </row>
    <row r="1622" spans="1:22" x14ac:dyDescent="0.25">
      <c r="A1622">
        <v>1619</v>
      </c>
      <c r="B1622" t="s">
        <v>20</v>
      </c>
      <c r="C1622" t="s">
        <v>835</v>
      </c>
      <c r="D1622" s="4">
        <v>45371</v>
      </c>
      <c r="E1622" t="s">
        <v>939</v>
      </c>
      <c r="F1622" t="s">
        <v>75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1</v>
      </c>
      <c r="P1622" s="6">
        <v>0</v>
      </c>
      <c r="Q1622">
        <v>1</v>
      </c>
      <c r="R1622">
        <f t="shared" si="125"/>
        <v>0</v>
      </c>
      <c r="S1622">
        <f t="shared" si="126"/>
        <v>1</v>
      </c>
      <c r="T1622">
        <f t="shared" si="127"/>
        <v>1</v>
      </c>
      <c r="U1622">
        <f t="shared" si="128"/>
        <v>1</v>
      </c>
      <c r="V1622">
        <f t="shared" si="129"/>
        <v>0</v>
      </c>
    </row>
    <row r="1623" spans="1:22" x14ac:dyDescent="0.25">
      <c r="A1623">
        <v>1620</v>
      </c>
      <c r="B1623" t="s">
        <v>20</v>
      </c>
      <c r="C1623" t="s">
        <v>835</v>
      </c>
      <c r="D1623" s="4">
        <v>45372</v>
      </c>
      <c r="E1623" t="s">
        <v>940</v>
      </c>
      <c r="F1623" t="s">
        <v>75</v>
      </c>
      <c r="H1623" t="s">
        <v>941</v>
      </c>
      <c r="I1623" s="6">
        <v>0</v>
      </c>
      <c r="J1623" s="6">
        <v>0</v>
      </c>
      <c r="K1623" s="6">
        <v>0</v>
      </c>
      <c r="L1623" s="6">
        <v>1</v>
      </c>
      <c r="M1623" s="6">
        <v>1</v>
      </c>
      <c r="N1623" s="6">
        <v>0</v>
      </c>
      <c r="O1623" s="6">
        <v>0</v>
      </c>
      <c r="P1623" s="6">
        <v>0</v>
      </c>
      <c r="Q1623">
        <v>1</v>
      </c>
      <c r="R1623">
        <f t="shared" si="125"/>
        <v>0</v>
      </c>
      <c r="S1623">
        <f t="shared" si="126"/>
        <v>1</v>
      </c>
      <c r="T1623">
        <f t="shared" si="127"/>
        <v>2</v>
      </c>
      <c r="U1623">
        <f t="shared" si="128"/>
        <v>1</v>
      </c>
      <c r="V1623">
        <f t="shared" si="129"/>
        <v>0</v>
      </c>
    </row>
    <row r="1624" spans="1:22" x14ac:dyDescent="0.25">
      <c r="A1624">
        <v>1621</v>
      </c>
      <c r="B1624" t="s">
        <v>20</v>
      </c>
      <c r="C1624" t="s">
        <v>835</v>
      </c>
      <c r="D1624" s="4">
        <v>45372</v>
      </c>
      <c r="E1624" t="s">
        <v>269</v>
      </c>
      <c r="F1624" t="s">
        <v>75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>
        <v>1</v>
      </c>
      <c r="R1624">
        <f t="shared" si="125"/>
        <v>0</v>
      </c>
      <c r="S1624">
        <f t="shared" si="126"/>
        <v>1</v>
      </c>
      <c r="T1624">
        <f t="shared" si="127"/>
        <v>0</v>
      </c>
      <c r="U1624">
        <f t="shared" si="128"/>
        <v>0</v>
      </c>
      <c r="V1624">
        <f t="shared" si="129"/>
        <v>0</v>
      </c>
    </row>
    <row r="1625" spans="1:22" x14ac:dyDescent="0.25">
      <c r="A1625">
        <v>1622</v>
      </c>
      <c r="B1625" t="s">
        <v>20</v>
      </c>
      <c r="C1625" t="s">
        <v>835</v>
      </c>
      <c r="D1625" s="4">
        <v>45373</v>
      </c>
      <c r="E1625" t="s">
        <v>857</v>
      </c>
      <c r="F1625" t="s">
        <v>75</v>
      </c>
      <c r="H1625" t="s">
        <v>942</v>
      </c>
      <c r="I1625" s="6">
        <v>0</v>
      </c>
      <c r="J1625" s="6">
        <v>0</v>
      </c>
      <c r="K1625" s="6">
        <v>0</v>
      </c>
      <c r="L1625" s="6">
        <v>1</v>
      </c>
      <c r="M1625" s="6">
        <v>0</v>
      </c>
      <c r="N1625" s="6">
        <v>0</v>
      </c>
      <c r="O1625" s="6">
        <v>0</v>
      </c>
      <c r="P1625" s="6">
        <v>0</v>
      </c>
      <c r="Q1625">
        <v>1</v>
      </c>
      <c r="R1625">
        <f t="shared" si="125"/>
        <v>0</v>
      </c>
      <c r="S1625">
        <f t="shared" si="126"/>
        <v>1</v>
      </c>
      <c r="T1625">
        <f t="shared" si="127"/>
        <v>1</v>
      </c>
      <c r="U1625">
        <f t="shared" si="128"/>
        <v>1</v>
      </c>
      <c r="V1625">
        <f t="shared" si="129"/>
        <v>0</v>
      </c>
    </row>
    <row r="1626" spans="1:22" x14ac:dyDescent="0.25">
      <c r="A1626">
        <v>1623</v>
      </c>
      <c r="B1626" t="s">
        <v>20</v>
      </c>
      <c r="C1626" t="s">
        <v>835</v>
      </c>
      <c r="D1626" s="4">
        <v>45374</v>
      </c>
      <c r="E1626" t="s">
        <v>858</v>
      </c>
      <c r="F1626" t="s">
        <v>75</v>
      </c>
      <c r="H1626" t="s">
        <v>943</v>
      </c>
      <c r="I1626" s="6">
        <v>0</v>
      </c>
      <c r="J1626" s="6">
        <v>0</v>
      </c>
      <c r="K1626" s="6">
        <v>0</v>
      </c>
      <c r="L1626" s="6">
        <v>1</v>
      </c>
      <c r="M1626" s="6">
        <v>0</v>
      </c>
      <c r="N1626" s="6">
        <v>1</v>
      </c>
      <c r="O1626" s="6">
        <v>0</v>
      </c>
      <c r="P1626" s="6">
        <v>0</v>
      </c>
      <c r="Q1626">
        <v>1</v>
      </c>
      <c r="R1626">
        <f t="shared" si="125"/>
        <v>0</v>
      </c>
      <c r="S1626">
        <f t="shared" si="126"/>
        <v>1</v>
      </c>
      <c r="T1626">
        <f t="shared" si="127"/>
        <v>2</v>
      </c>
      <c r="U1626">
        <f t="shared" si="128"/>
        <v>1</v>
      </c>
      <c r="V1626">
        <f t="shared" si="129"/>
        <v>0</v>
      </c>
    </row>
    <row r="1627" spans="1:22" x14ac:dyDescent="0.25">
      <c r="A1627">
        <v>1624</v>
      </c>
      <c r="B1627" t="s">
        <v>20</v>
      </c>
      <c r="C1627" t="s">
        <v>835</v>
      </c>
      <c r="D1627" s="4">
        <v>45375</v>
      </c>
      <c r="E1627" t="s">
        <v>859</v>
      </c>
      <c r="F1627" t="s">
        <v>75</v>
      </c>
      <c r="I1627" s="6">
        <v>0</v>
      </c>
      <c r="J1627" s="6">
        <v>0</v>
      </c>
      <c r="K1627" s="6">
        <v>0</v>
      </c>
      <c r="L1627" s="6">
        <v>1</v>
      </c>
      <c r="M1627" s="6">
        <v>0</v>
      </c>
      <c r="N1627" s="6">
        <v>0</v>
      </c>
      <c r="O1627" s="6">
        <v>0</v>
      </c>
      <c r="P1627" s="6">
        <v>0</v>
      </c>
      <c r="Q1627">
        <v>1</v>
      </c>
      <c r="R1627">
        <f t="shared" si="125"/>
        <v>0</v>
      </c>
      <c r="S1627">
        <f t="shared" si="126"/>
        <v>1</v>
      </c>
      <c r="T1627">
        <f t="shared" si="127"/>
        <v>1</v>
      </c>
      <c r="U1627">
        <f t="shared" si="128"/>
        <v>1</v>
      </c>
      <c r="V1627">
        <f t="shared" si="129"/>
        <v>0</v>
      </c>
    </row>
    <row r="1628" spans="1:22" x14ac:dyDescent="0.25">
      <c r="A1628">
        <v>1625</v>
      </c>
      <c r="B1628" t="s">
        <v>20</v>
      </c>
      <c r="C1628" t="s">
        <v>835</v>
      </c>
      <c r="D1628" s="4">
        <v>45375</v>
      </c>
      <c r="E1628" t="s">
        <v>860</v>
      </c>
      <c r="F1628" t="s">
        <v>75</v>
      </c>
      <c r="H1628" t="s">
        <v>944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>
        <v>1</v>
      </c>
      <c r="R1628">
        <f t="shared" si="125"/>
        <v>0</v>
      </c>
      <c r="S1628">
        <f t="shared" si="126"/>
        <v>1</v>
      </c>
      <c r="T1628">
        <f t="shared" si="127"/>
        <v>0</v>
      </c>
      <c r="U1628">
        <f t="shared" si="128"/>
        <v>0</v>
      </c>
      <c r="V1628">
        <f t="shared" si="129"/>
        <v>0</v>
      </c>
    </row>
    <row r="1629" spans="1:22" x14ac:dyDescent="0.25">
      <c r="A1629">
        <v>1626</v>
      </c>
      <c r="B1629" t="s">
        <v>20</v>
      </c>
      <c r="C1629" t="s">
        <v>835</v>
      </c>
      <c r="D1629" s="4">
        <v>45376</v>
      </c>
      <c r="E1629" t="s">
        <v>434</v>
      </c>
      <c r="F1629" t="s">
        <v>75</v>
      </c>
      <c r="I1629" s="6">
        <v>0</v>
      </c>
      <c r="J1629" s="6">
        <v>0</v>
      </c>
      <c r="K1629" s="6">
        <v>0</v>
      </c>
      <c r="L1629" s="6">
        <v>1</v>
      </c>
      <c r="M1629" s="6">
        <v>1</v>
      </c>
      <c r="N1629" s="6">
        <v>0</v>
      </c>
      <c r="O1629" s="6">
        <v>0</v>
      </c>
      <c r="P1629" s="6">
        <v>0</v>
      </c>
      <c r="Q1629">
        <v>1</v>
      </c>
      <c r="R1629">
        <f t="shared" si="125"/>
        <v>0</v>
      </c>
      <c r="S1629">
        <f t="shared" si="126"/>
        <v>1</v>
      </c>
      <c r="T1629">
        <f t="shared" si="127"/>
        <v>2</v>
      </c>
      <c r="U1629">
        <f t="shared" si="128"/>
        <v>1</v>
      </c>
      <c r="V1629">
        <f t="shared" si="129"/>
        <v>0</v>
      </c>
    </row>
    <row r="1630" spans="1:22" x14ac:dyDescent="0.25">
      <c r="A1630">
        <v>1627</v>
      </c>
      <c r="B1630" t="s">
        <v>20</v>
      </c>
      <c r="C1630" t="s">
        <v>835</v>
      </c>
      <c r="D1630" s="4">
        <v>45376</v>
      </c>
      <c r="E1630" t="s">
        <v>435</v>
      </c>
      <c r="F1630" t="s">
        <v>75</v>
      </c>
      <c r="H1630" t="s">
        <v>945</v>
      </c>
      <c r="I1630" s="6">
        <v>0</v>
      </c>
      <c r="J1630" s="6">
        <v>0</v>
      </c>
      <c r="K1630" s="6">
        <v>0</v>
      </c>
      <c r="L1630" s="6">
        <v>1</v>
      </c>
      <c r="M1630" s="6">
        <v>1</v>
      </c>
      <c r="N1630" s="6">
        <v>0</v>
      </c>
      <c r="O1630" s="6">
        <v>0</v>
      </c>
      <c r="P1630" s="6">
        <v>0</v>
      </c>
      <c r="Q1630">
        <v>1</v>
      </c>
      <c r="R1630">
        <f t="shared" si="125"/>
        <v>0</v>
      </c>
      <c r="S1630">
        <f t="shared" si="126"/>
        <v>1</v>
      </c>
      <c r="T1630">
        <f t="shared" si="127"/>
        <v>2</v>
      </c>
      <c r="U1630">
        <f t="shared" si="128"/>
        <v>1</v>
      </c>
      <c r="V1630">
        <f t="shared" si="129"/>
        <v>0</v>
      </c>
    </row>
    <row r="1631" spans="1:22" x14ac:dyDescent="0.25">
      <c r="A1631">
        <v>1628</v>
      </c>
      <c r="B1631" t="s">
        <v>20</v>
      </c>
      <c r="C1631" t="s">
        <v>835</v>
      </c>
      <c r="D1631" s="4">
        <v>45376</v>
      </c>
      <c r="E1631" t="s">
        <v>436</v>
      </c>
      <c r="F1631" t="s">
        <v>75</v>
      </c>
      <c r="I1631" s="6">
        <v>0</v>
      </c>
      <c r="J1631" s="6">
        <v>1</v>
      </c>
      <c r="K1631" s="6">
        <v>1</v>
      </c>
      <c r="L1631" s="6">
        <v>0</v>
      </c>
      <c r="M1631" s="6">
        <v>1</v>
      </c>
      <c r="N1631" s="6">
        <v>0</v>
      </c>
      <c r="O1631" s="6">
        <v>0</v>
      </c>
      <c r="P1631" s="6">
        <v>0</v>
      </c>
      <c r="Q1631">
        <v>1</v>
      </c>
      <c r="R1631">
        <f t="shared" si="125"/>
        <v>0</v>
      </c>
      <c r="S1631">
        <f t="shared" si="126"/>
        <v>1</v>
      </c>
      <c r="T1631">
        <f t="shared" si="127"/>
        <v>3</v>
      </c>
      <c r="U1631">
        <f t="shared" si="128"/>
        <v>1</v>
      </c>
      <c r="V1631">
        <f t="shared" si="129"/>
        <v>0</v>
      </c>
    </row>
    <row r="1632" spans="1:22" x14ac:dyDescent="0.25">
      <c r="A1632">
        <v>1629</v>
      </c>
      <c r="B1632" t="s">
        <v>20</v>
      </c>
      <c r="C1632" t="s">
        <v>835</v>
      </c>
      <c r="D1632" s="4">
        <v>45377</v>
      </c>
      <c r="E1632" t="s">
        <v>862</v>
      </c>
      <c r="F1632" t="s">
        <v>75</v>
      </c>
      <c r="I1632" s="6">
        <v>1</v>
      </c>
      <c r="J1632" s="6">
        <v>0</v>
      </c>
      <c r="K1632" s="6">
        <v>0</v>
      </c>
      <c r="L1632" s="6">
        <v>1</v>
      </c>
      <c r="M1632" s="6">
        <v>0</v>
      </c>
      <c r="N1632" s="6">
        <v>0</v>
      </c>
      <c r="O1632" s="6">
        <v>0</v>
      </c>
      <c r="P1632" s="6">
        <v>0</v>
      </c>
      <c r="Q1632">
        <v>1</v>
      </c>
      <c r="R1632">
        <f t="shared" si="125"/>
        <v>0</v>
      </c>
      <c r="S1632">
        <f t="shared" si="126"/>
        <v>1</v>
      </c>
      <c r="T1632">
        <f t="shared" si="127"/>
        <v>2</v>
      </c>
      <c r="U1632">
        <f t="shared" si="128"/>
        <v>1</v>
      </c>
      <c r="V1632">
        <f t="shared" si="129"/>
        <v>0</v>
      </c>
    </row>
    <row r="1633" spans="1:22" x14ac:dyDescent="0.25">
      <c r="A1633">
        <v>1630</v>
      </c>
      <c r="B1633" t="s">
        <v>20</v>
      </c>
      <c r="C1633" t="s">
        <v>835</v>
      </c>
      <c r="D1633" s="4">
        <v>45378</v>
      </c>
      <c r="E1633" t="s">
        <v>273</v>
      </c>
      <c r="F1633" t="s">
        <v>75</v>
      </c>
      <c r="H1633" t="s">
        <v>946</v>
      </c>
      <c r="I1633" s="6">
        <v>0</v>
      </c>
      <c r="J1633" s="6">
        <v>0</v>
      </c>
      <c r="K1633" s="6">
        <v>0</v>
      </c>
      <c r="L1633" s="6">
        <v>1</v>
      </c>
      <c r="M1633" s="6">
        <v>0</v>
      </c>
      <c r="N1633" s="6">
        <v>1</v>
      </c>
      <c r="O1633" s="6">
        <v>0</v>
      </c>
      <c r="P1633" s="6">
        <v>0</v>
      </c>
      <c r="Q1633">
        <v>1</v>
      </c>
      <c r="R1633">
        <f t="shared" si="125"/>
        <v>0</v>
      </c>
      <c r="S1633">
        <f t="shared" si="126"/>
        <v>1</v>
      </c>
      <c r="T1633">
        <f t="shared" si="127"/>
        <v>2</v>
      </c>
      <c r="U1633">
        <f t="shared" si="128"/>
        <v>1</v>
      </c>
      <c r="V1633">
        <f t="shared" si="129"/>
        <v>0</v>
      </c>
    </row>
    <row r="1634" spans="1:22" x14ac:dyDescent="0.25">
      <c r="A1634">
        <v>1631</v>
      </c>
      <c r="B1634" t="s">
        <v>20</v>
      </c>
      <c r="C1634" t="s">
        <v>835</v>
      </c>
      <c r="D1634" s="4">
        <v>45379</v>
      </c>
      <c r="E1634" t="s">
        <v>440</v>
      </c>
      <c r="F1634" t="s">
        <v>75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>
        <v>1</v>
      </c>
      <c r="R1634">
        <f t="shared" si="125"/>
        <v>0</v>
      </c>
      <c r="S1634">
        <f t="shared" si="126"/>
        <v>1</v>
      </c>
      <c r="T1634">
        <f t="shared" si="127"/>
        <v>0</v>
      </c>
      <c r="U1634">
        <f t="shared" si="128"/>
        <v>0</v>
      </c>
      <c r="V1634">
        <f t="shared" si="129"/>
        <v>0</v>
      </c>
    </row>
    <row r="1635" spans="1:22" x14ac:dyDescent="0.25">
      <c r="A1635">
        <v>1632</v>
      </c>
      <c r="B1635" t="s">
        <v>20</v>
      </c>
      <c r="C1635" t="s">
        <v>835</v>
      </c>
      <c r="D1635" s="4">
        <v>45379</v>
      </c>
      <c r="E1635" t="s">
        <v>441</v>
      </c>
      <c r="F1635" t="s">
        <v>75</v>
      </c>
      <c r="H1635" t="s">
        <v>947</v>
      </c>
      <c r="I1635" s="6">
        <v>0</v>
      </c>
      <c r="J1635" s="6">
        <v>0</v>
      </c>
      <c r="K1635" s="6">
        <v>0</v>
      </c>
      <c r="L1635" s="6">
        <v>1</v>
      </c>
      <c r="M1635" s="6">
        <v>0</v>
      </c>
      <c r="N1635" s="6">
        <v>0</v>
      </c>
      <c r="O1635" s="6">
        <v>0</v>
      </c>
      <c r="P1635" s="6">
        <v>0</v>
      </c>
      <c r="Q1635">
        <v>1</v>
      </c>
      <c r="R1635">
        <f t="shared" si="125"/>
        <v>0</v>
      </c>
      <c r="S1635">
        <f t="shared" si="126"/>
        <v>1</v>
      </c>
      <c r="T1635">
        <f t="shared" si="127"/>
        <v>1</v>
      </c>
      <c r="U1635">
        <f t="shared" si="128"/>
        <v>1</v>
      </c>
      <c r="V1635">
        <f t="shared" si="129"/>
        <v>0</v>
      </c>
    </row>
    <row r="1636" spans="1:22" x14ac:dyDescent="0.25">
      <c r="A1636">
        <v>1633</v>
      </c>
      <c r="B1636" t="s">
        <v>20</v>
      </c>
      <c r="C1636" t="s">
        <v>835</v>
      </c>
      <c r="D1636" s="4">
        <v>45380</v>
      </c>
      <c r="E1636" t="s">
        <v>948</v>
      </c>
      <c r="F1636" t="s">
        <v>75</v>
      </c>
      <c r="I1636" s="6"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>
        <v>1</v>
      </c>
      <c r="R1636">
        <f t="shared" si="125"/>
        <v>0</v>
      </c>
      <c r="S1636">
        <f t="shared" si="126"/>
        <v>1</v>
      </c>
      <c r="T1636">
        <f t="shared" si="127"/>
        <v>0</v>
      </c>
      <c r="U1636">
        <f t="shared" si="128"/>
        <v>0</v>
      </c>
      <c r="V1636">
        <f t="shared" si="129"/>
        <v>0</v>
      </c>
    </row>
    <row r="1637" spans="1:22" x14ac:dyDescent="0.25">
      <c r="A1637">
        <v>1634</v>
      </c>
      <c r="B1637" t="s">
        <v>20</v>
      </c>
      <c r="C1637" t="s">
        <v>835</v>
      </c>
      <c r="D1637" s="4">
        <v>45380</v>
      </c>
      <c r="E1637" t="s">
        <v>443</v>
      </c>
      <c r="F1637" t="s">
        <v>75</v>
      </c>
      <c r="H1637" t="s">
        <v>949</v>
      </c>
      <c r="I1637" s="6">
        <v>1</v>
      </c>
      <c r="J1637" s="6">
        <v>0</v>
      </c>
      <c r="K1637" s="6">
        <v>0</v>
      </c>
      <c r="L1637" s="6">
        <v>1</v>
      </c>
      <c r="M1637" s="6">
        <v>1</v>
      </c>
      <c r="N1637" s="6">
        <v>0</v>
      </c>
      <c r="O1637" s="6">
        <v>0</v>
      </c>
      <c r="P1637" s="6">
        <v>0</v>
      </c>
      <c r="Q1637">
        <v>1</v>
      </c>
      <c r="R1637">
        <f t="shared" si="125"/>
        <v>0</v>
      </c>
      <c r="S1637">
        <f t="shared" si="126"/>
        <v>1</v>
      </c>
      <c r="T1637">
        <f t="shared" si="127"/>
        <v>3</v>
      </c>
      <c r="U1637">
        <f t="shared" si="128"/>
        <v>1</v>
      </c>
      <c r="V1637">
        <f t="shared" si="129"/>
        <v>0</v>
      </c>
    </row>
    <row r="1638" spans="1:22" x14ac:dyDescent="0.25">
      <c r="A1638">
        <v>1635</v>
      </c>
      <c r="B1638" t="s">
        <v>20</v>
      </c>
      <c r="C1638" t="s">
        <v>835</v>
      </c>
      <c r="D1638" s="4">
        <v>45381</v>
      </c>
      <c r="E1638" t="s">
        <v>275</v>
      </c>
      <c r="F1638" t="s">
        <v>75</v>
      </c>
      <c r="I1638" s="6">
        <v>0</v>
      </c>
      <c r="J1638" s="6">
        <v>0</v>
      </c>
      <c r="K1638" s="6">
        <v>0</v>
      </c>
      <c r="L1638" s="6">
        <v>1</v>
      </c>
      <c r="M1638" s="6">
        <v>0</v>
      </c>
      <c r="N1638" s="6">
        <v>0</v>
      </c>
      <c r="O1638" s="6">
        <v>0</v>
      </c>
      <c r="P1638" s="6">
        <v>0</v>
      </c>
      <c r="Q1638">
        <v>1</v>
      </c>
      <c r="R1638">
        <f t="shared" si="125"/>
        <v>0</v>
      </c>
      <c r="S1638">
        <f t="shared" si="126"/>
        <v>1</v>
      </c>
      <c r="T1638">
        <f t="shared" si="127"/>
        <v>1</v>
      </c>
      <c r="U1638">
        <f t="shared" si="128"/>
        <v>1</v>
      </c>
      <c r="V1638">
        <f t="shared" si="129"/>
        <v>0</v>
      </c>
    </row>
    <row r="1639" spans="1:22" x14ac:dyDescent="0.25">
      <c r="A1639">
        <v>1636</v>
      </c>
      <c r="B1639" t="s">
        <v>20</v>
      </c>
      <c r="C1639" t="s">
        <v>835</v>
      </c>
      <c r="D1639" s="4">
        <v>45382</v>
      </c>
      <c r="E1639" t="s">
        <v>950</v>
      </c>
      <c r="F1639" t="s">
        <v>75</v>
      </c>
      <c r="H1639" t="s">
        <v>951</v>
      </c>
      <c r="I1639" s="6">
        <v>0</v>
      </c>
      <c r="J1639" s="6">
        <v>0</v>
      </c>
      <c r="K1639" s="6">
        <v>0</v>
      </c>
      <c r="L1639" s="6">
        <v>1</v>
      </c>
      <c r="M1639" s="6">
        <v>0</v>
      </c>
      <c r="N1639" s="6">
        <v>0</v>
      </c>
      <c r="O1639" s="6">
        <v>0</v>
      </c>
      <c r="P1639" s="6">
        <v>0</v>
      </c>
      <c r="Q1639">
        <v>1</v>
      </c>
      <c r="R1639">
        <f t="shared" si="125"/>
        <v>0</v>
      </c>
      <c r="S1639">
        <f t="shared" si="126"/>
        <v>1</v>
      </c>
      <c r="T1639">
        <f t="shared" si="127"/>
        <v>1</v>
      </c>
      <c r="U1639">
        <f t="shared" si="128"/>
        <v>1</v>
      </c>
      <c r="V1639">
        <f t="shared" si="129"/>
        <v>0</v>
      </c>
    </row>
    <row r="1640" spans="1:22" x14ac:dyDescent="0.25">
      <c r="A1640">
        <v>1637</v>
      </c>
      <c r="B1640" t="s">
        <v>20</v>
      </c>
      <c r="C1640" t="s">
        <v>835</v>
      </c>
      <c r="D1640" s="4">
        <v>45383</v>
      </c>
      <c r="E1640" t="s">
        <v>279</v>
      </c>
      <c r="F1640" t="s">
        <v>75</v>
      </c>
      <c r="I1640" s="6">
        <v>0</v>
      </c>
      <c r="J1640" s="6">
        <v>0</v>
      </c>
      <c r="K1640" s="6">
        <v>0</v>
      </c>
      <c r="L1640" s="6">
        <v>1</v>
      </c>
      <c r="M1640" s="6">
        <v>0</v>
      </c>
      <c r="N1640" s="6">
        <v>0</v>
      </c>
      <c r="O1640" s="6">
        <v>0</v>
      </c>
      <c r="P1640" s="6">
        <v>0</v>
      </c>
      <c r="Q1640">
        <v>1</v>
      </c>
      <c r="R1640">
        <f t="shared" si="125"/>
        <v>0</v>
      </c>
      <c r="S1640">
        <f t="shared" si="126"/>
        <v>1</v>
      </c>
      <c r="T1640">
        <f t="shared" si="127"/>
        <v>1</v>
      </c>
      <c r="U1640">
        <f t="shared" si="128"/>
        <v>1</v>
      </c>
      <c r="V1640">
        <f t="shared" si="129"/>
        <v>0</v>
      </c>
    </row>
    <row r="1641" spans="1:22" x14ac:dyDescent="0.25">
      <c r="A1641">
        <v>1638</v>
      </c>
      <c r="B1641" t="s">
        <v>20</v>
      </c>
      <c r="C1641" t="s">
        <v>835</v>
      </c>
      <c r="D1641" s="4">
        <v>45383</v>
      </c>
      <c r="E1641" t="s">
        <v>863</v>
      </c>
      <c r="F1641" t="s">
        <v>75</v>
      </c>
      <c r="H1641" t="s">
        <v>952</v>
      </c>
      <c r="I1641" s="6">
        <v>0</v>
      </c>
      <c r="J1641" s="6">
        <v>0</v>
      </c>
      <c r="K1641" s="6">
        <v>0</v>
      </c>
      <c r="L1641" s="6">
        <v>1</v>
      </c>
      <c r="M1641" s="6">
        <v>0</v>
      </c>
      <c r="N1641" s="6">
        <v>0</v>
      </c>
      <c r="O1641" s="6">
        <v>0</v>
      </c>
      <c r="P1641" s="6">
        <v>0</v>
      </c>
      <c r="Q1641">
        <v>1</v>
      </c>
      <c r="R1641">
        <f t="shared" si="125"/>
        <v>0</v>
      </c>
      <c r="S1641">
        <f t="shared" si="126"/>
        <v>1</v>
      </c>
      <c r="T1641">
        <f t="shared" si="127"/>
        <v>1</v>
      </c>
      <c r="U1641">
        <f t="shared" si="128"/>
        <v>1</v>
      </c>
      <c r="V1641">
        <f t="shared" si="129"/>
        <v>0</v>
      </c>
    </row>
    <row r="1642" spans="1:22" x14ac:dyDescent="0.25">
      <c r="A1642">
        <v>1639</v>
      </c>
      <c r="B1642" t="s">
        <v>20</v>
      </c>
      <c r="C1642" t="s">
        <v>835</v>
      </c>
      <c r="D1642" s="4">
        <v>45383</v>
      </c>
      <c r="E1642" t="s">
        <v>953</v>
      </c>
      <c r="F1642" t="s">
        <v>75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>
        <v>1</v>
      </c>
      <c r="R1642">
        <f t="shared" si="125"/>
        <v>0</v>
      </c>
      <c r="S1642">
        <f t="shared" si="126"/>
        <v>1</v>
      </c>
      <c r="T1642">
        <f t="shared" si="127"/>
        <v>0</v>
      </c>
      <c r="U1642">
        <f t="shared" si="128"/>
        <v>0</v>
      </c>
      <c r="V1642">
        <f t="shared" si="129"/>
        <v>0</v>
      </c>
    </row>
    <row r="1643" spans="1:22" x14ac:dyDescent="0.25">
      <c r="A1643">
        <v>1640</v>
      </c>
      <c r="B1643" t="s">
        <v>20</v>
      </c>
      <c r="C1643" t="s">
        <v>835</v>
      </c>
      <c r="D1643" s="4">
        <v>45384</v>
      </c>
      <c r="E1643" t="s">
        <v>446</v>
      </c>
      <c r="F1643" t="s">
        <v>75</v>
      </c>
      <c r="H1643" t="s">
        <v>954</v>
      </c>
      <c r="I1643" s="6">
        <v>0</v>
      </c>
      <c r="J1643" s="6">
        <v>0</v>
      </c>
      <c r="K1643" s="6">
        <v>0</v>
      </c>
      <c r="L1643" s="6">
        <v>1</v>
      </c>
      <c r="M1643" s="6">
        <v>0</v>
      </c>
      <c r="N1643" s="6">
        <v>0</v>
      </c>
      <c r="O1643" s="6">
        <v>0</v>
      </c>
      <c r="P1643" s="6">
        <v>0</v>
      </c>
      <c r="Q1643">
        <v>1</v>
      </c>
      <c r="R1643">
        <f t="shared" si="125"/>
        <v>0</v>
      </c>
      <c r="S1643">
        <f t="shared" si="126"/>
        <v>1</v>
      </c>
      <c r="T1643">
        <f t="shared" si="127"/>
        <v>1</v>
      </c>
      <c r="U1643">
        <f t="shared" si="128"/>
        <v>1</v>
      </c>
      <c r="V1643">
        <f t="shared" si="129"/>
        <v>0</v>
      </c>
    </row>
    <row r="1644" spans="1:22" x14ac:dyDescent="0.25">
      <c r="A1644">
        <v>1641</v>
      </c>
      <c r="B1644" t="s">
        <v>20</v>
      </c>
      <c r="C1644" t="s">
        <v>835</v>
      </c>
      <c r="D1644" s="4">
        <v>45384</v>
      </c>
      <c r="E1644" t="s">
        <v>447</v>
      </c>
      <c r="F1644" t="s">
        <v>75</v>
      </c>
      <c r="I1644" s="6">
        <v>0</v>
      </c>
      <c r="J1644" s="6">
        <v>0</v>
      </c>
      <c r="K1644" s="6"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>
        <v>1</v>
      </c>
      <c r="R1644">
        <f t="shared" si="125"/>
        <v>0</v>
      </c>
      <c r="S1644">
        <f t="shared" si="126"/>
        <v>1</v>
      </c>
      <c r="T1644">
        <f t="shared" si="127"/>
        <v>0</v>
      </c>
      <c r="U1644">
        <f t="shared" si="128"/>
        <v>0</v>
      </c>
      <c r="V1644">
        <f t="shared" si="129"/>
        <v>0</v>
      </c>
    </row>
    <row r="1645" spans="1:22" x14ac:dyDescent="0.25">
      <c r="A1645">
        <v>1642</v>
      </c>
      <c r="B1645" t="s">
        <v>20</v>
      </c>
      <c r="C1645" t="s">
        <v>835</v>
      </c>
      <c r="D1645" s="4">
        <v>45385</v>
      </c>
      <c r="E1645" t="s">
        <v>865</v>
      </c>
      <c r="F1645" t="s">
        <v>75</v>
      </c>
      <c r="H1645" t="s">
        <v>955</v>
      </c>
      <c r="I1645" s="6">
        <v>0</v>
      </c>
      <c r="J1645" s="6">
        <v>0</v>
      </c>
      <c r="K1645" s="6">
        <v>0</v>
      </c>
      <c r="L1645" s="6">
        <v>1</v>
      </c>
      <c r="M1645" s="6">
        <v>0</v>
      </c>
      <c r="N1645" s="6">
        <v>0</v>
      </c>
      <c r="O1645" s="6">
        <v>0</v>
      </c>
      <c r="P1645" s="6">
        <v>0</v>
      </c>
      <c r="Q1645">
        <v>1</v>
      </c>
      <c r="R1645">
        <f t="shared" si="125"/>
        <v>0</v>
      </c>
      <c r="S1645">
        <f t="shared" si="126"/>
        <v>1</v>
      </c>
      <c r="T1645">
        <f t="shared" si="127"/>
        <v>1</v>
      </c>
      <c r="U1645">
        <f t="shared" si="128"/>
        <v>1</v>
      </c>
      <c r="V1645">
        <f t="shared" si="129"/>
        <v>0</v>
      </c>
    </row>
    <row r="1646" spans="1:22" x14ac:dyDescent="0.25">
      <c r="A1646">
        <v>1643</v>
      </c>
      <c r="B1646" t="s">
        <v>20</v>
      </c>
      <c r="C1646" t="s">
        <v>835</v>
      </c>
      <c r="D1646" s="4">
        <v>45385</v>
      </c>
      <c r="E1646" t="s">
        <v>956</v>
      </c>
      <c r="F1646" t="s">
        <v>75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>
        <v>1</v>
      </c>
      <c r="R1646">
        <f t="shared" si="125"/>
        <v>0</v>
      </c>
      <c r="S1646">
        <f t="shared" si="126"/>
        <v>1</v>
      </c>
      <c r="T1646">
        <f t="shared" si="127"/>
        <v>0</v>
      </c>
      <c r="U1646">
        <f t="shared" si="128"/>
        <v>0</v>
      </c>
      <c r="V1646">
        <f t="shared" si="129"/>
        <v>0</v>
      </c>
    </row>
    <row r="1647" spans="1:22" x14ac:dyDescent="0.25">
      <c r="A1647">
        <v>1644</v>
      </c>
      <c r="B1647" t="s">
        <v>20</v>
      </c>
      <c r="C1647" t="s">
        <v>835</v>
      </c>
      <c r="D1647" s="4">
        <v>45386</v>
      </c>
      <c r="E1647" t="s">
        <v>281</v>
      </c>
      <c r="F1647" t="s">
        <v>75</v>
      </c>
      <c r="H1647" t="s">
        <v>957</v>
      </c>
      <c r="I1647" s="6">
        <v>0</v>
      </c>
      <c r="J1647" s="6">
        <v>0</v>
      </c>
      <c r="K1647" s="6">
        <v>0</v>
      </c>
      <c r="L1647" s="6">
        <v>1</v>
      </c>
      <c r="M1647" s="6">
        <v>0</v>
      </c>
      <c r="N1647" s="6">
        <v>0</v>
      </c>
      <c r="O1647" s="6">
        <v>1</v>
      </c>
      <c r="P1647" s="6">
        <v>0</v>
      </c>
      <c r="Q1647">
        <v>1</v>
      </c>
      <c r="R1647">
        <f t="shared" si="125"/>
        <v>0</v>
      </c>
      <c r="S1647">
        <f t="shared" si="126"/>
        <v>1</v>
      </c>
      <c r="T1647">
        <f t="shared" si="127"/>
        <v>2</v>
      </c>
      <c r="U1647">
        <f t="shared" si="128"/>
        <v>1</v>
      </c>
      <c r="V1647">
        <f t="shared" si="129"/>
        <v>0</v>
      </c>
    </row>
    <row r="1648" spans="1:22" x14ac:dyDescent="0.25">
      <c r="A1648">
        <v>1645</v>
      </c>
      <c r="B1648" t="s">
        <v>20</v>
      </c>
      <c r="C1648" t="s">
        <v>835</v>
      </c>
      <c r="D1648" s="4">
        <v>45386</v>
      </c>
      <c r="E1648" t="s">
        <v>282</v>
      </c>
      <c r="F1648" t="s">
        <v>75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>
        <v>1</v>
      </c>
      <c r="R1648">
        <f t="shared" si="125"/>
        <v>0</v>
      </c>
      <c r="S1648">
        <f t="shared" si="126"/>
        <v>1</v>
      </c>
      <c r="T1648">
        <f t="shared" si="127"/>
        <v>0</v>
      </c>
      <c r="U1648">
        <f t="shared" si="128"/>
        <v>0</v>
      </c>
      <c r="V1648">
        <f t="shared" si="129"/>
        <v>0</v>
      </c>
    </row>
    <row r="1649" spans="1:22" x14ac:dyDescent="0.25">
      <c r="A1649">
        <v>1646</v>
      </c>
      <c r="B1649" t="s">
        <v>20</v>
      </c>
      <c r="C1649" t="s">
        <v>835</v>
      </c>
      <c r="D1649" s="4">
        <v>45386</v>
      </c>
      <c r="E1649" t="s">
        <v>958</v>
      </c>
      <c r="F1649" t="s">
        <v>75</v>
      </c>
      <c r="H1649" t="s">
        <v>959</v>
      </c>
      <c r="I1649" s="6"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1</v>
      </c>
      <c r="Q1649">
        <v>1</v>
      </c>
      <c r="R1649">
        <f t="shared" si="125"/>
        <v>0</v>
      </c>
      <c r="S1649">
        <f t="shared" si="126"/>
        <v>1</v>
      </c>
      <c r="T1649">
        <f t="shared" si="127"/>
        <v>1</v>
      </c>
      <c r="U1649">
        <f t="shared" si="128"/>
        <v>1</v>
      </c>
      <c r="V1649">
        <f t="shared" si="129"/>
        <v>0</v>
      </c>
    </row>
    <row r="1650" spans="1:22" x14ac:dyDescent="0.25">
      <c r="A1650">
        <v>1647</v>
      </c>
      <c r="B1650" t="s">
        <v>20</v>
      </c>
      <c r="C1650" t="s">
        <v>835</v>
      </c>
      <c r="D1650" s="4">
        <v>45387</v>
      </c>
      <c r="E1650" t="s">
        <v>283</v>
      </c>
      <c r="F1650" t="s">
        <v>75</v>
      </c>
      <c r="I1650" s="6">
        <v>0</v>
      </c>
      <c r="J1650" s="6">
        <v>0</v>
      </c>
      <c r="K1650" s="6">
        <v>0</v>
      </c>
      <c r="L1650" s="6">
        <v>1</v>
      </c>
      <c r="M1650" s="6">
        <v>0</v>
      </c>
      <c r="N1650" s="6">
        <v>0</v>
      </c>
      <c r="O1650" s="6">
        <v>0</v>
      </c>
      <c r="P1650" s="6">
        <v>0</v>
      </c>
      <c r="Q1650">
        <v>1</v>
      </c>
      <c r="R1650">
        <f t="shared" si="125"/>
        <v>0</v>
      </c>
      <c r="S1650">
        <f t="shared" si="126"/>
        <v>1</v>
      </c>
      <c r="T1650">
        <f t="shared" si="127"/>
        <v>1</v>
      </c>
      <c r="U1650">
        <f t="shared" si="128"/>
        <v>1</v>
      </c>
      <c r="V1650">
        <f t="shared" si="129"/>
        <v>0</v>
      </c>
    </row>
    <row r="1651" spans="1:22" x14ac:dyDescent="0.25">
      <c r="A1651">
        <v>1648</v>
      </c>
      <c r="B1651" t="s">
        <v>20</v>
      </c>
      <c r="C1651" t="s">
        <v>835</v>
      </c>
      <c r="D1651" s="4">
        <v>45387</v>
      </c>
      <c r="E1651" t="s">
        <v>284</v>
      </c>
      <c r="F1651" t="s">
        <v>75</v>
      </c>
      <c r="I1651" s="6">
        <v>0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>
        <v>1</v>
      </c>
      <c r="R1651">
        <f t="shared" si="125"/>
        <v>0</v>
      </c>
      <c r="S1651">
        <f t="shared" si="126"/>
        <v>1</v>
      </c>
      <c r="T1651">
        <f t="shared" si="127"/>
        <v>0</v>
      </c>
      <c r="U1651">
        <f t="shared" si="128"/>
        <v>0</v>
      </c>
      <c r="V1651">
        <f t="shared" si="129"/>
        <v>0</v>
      </c>
    </row>
    <row r="1652" spans="1:22" x14ac:dyDescent="0.25">
      <c r="A1652">
        <v>1649</v>
      </c>
      <c r="B1652" t="s">
        <v>20</v>
      </c>
      <c r="C1652" t="s">
        <v>835</v>
      </c>
      <c r="D1652" s="4">
        <v>45388</v>
      </c>
      <c r="E1652" t="s">
        <v>285</v>
      </c>
      <c r="F1652" t="s">
        <v>75</v>
      </c>
      <c r="H1652" t="s">
        <v>960</v>
      </c>
      <c r="I1652" s="6">
        <v>0</v>
      </c>
      <c r="J1652" s="6">
        <v>0</v>
      </c>
      <c r="K1652" s="6">
        <v>0</v>
      </c>
      <c r="L1652" s="6">
        <v>1</v>
      </c>
      <c r="M1652" s="6">
        <v>1</v>
      </c>
      <c r="N1652" s="6">
        <v>0</v>
      </c>
      <c r="O1652" s="6">
        <v>0</v>
      </c>
      <c r="P1652" s="6">
        <v>0</v>
      </c>
      <c r="Q1652">
        <v>1</v>
      </c>
      <c r="R1652">
        <f t="shared" si="125"/>
        <v>0</v>
      </c>
      <c r="S1652">
        <f t="shared" si="126"/>
        <v>1</v>
      </c>
      <c r="T1652">
        <f t="shared" si="127"/>
        <v>2</v>
      </c>
      <c r="U1652">
        <f t="shared" si="128"/>
        <v>1</v>
      </c>
      <c r="V1652">
        <f t="shared" si="129"/>
        <v>0</v>
      </c>
    </row>
    <row r="1653" spans="1:22" x14ac:dyDescent="0.25">
      <c r="A1653">
        <v>1650</v>
      </c>
      <c r="B1653" t="s">
        <v>20</v>
      </c>
      <c r="C1653" t="s">
        <v>835</v>
      </c>
      <c r="D1653" s="4">
        <v>45389</v>
      </c>
      <c r="E1653" t="s">
        <v>866</v>
      </c>
      <c r="F1653" t="s">
        <v>75</v>
      </c>
      <c r="H1653" t="s">
        <v>961</v>
      </c>
      <c r="I1653" s="6">
        <v>0</v>
      </c>
      <c r="J1653" s="6">
        <v>0</v>
      </c>
      <c r="K1653" s="6">
        <v>0</v>
      </c>
      <c r="L1653" s="6">
        <v>1</v>
      </c>
      <c r="M1653" s="6">
        <v>0</v>
      </c>
      <c r="N1653" s="6">
        <v>0</v>
      </c>
      <c r="O1653" s="6">
        <v>0</v>
      </c>
      <c r="P1653" s="6">
        <v>0</v>
      </c>
      <c r="Q1653">
        <v>1</v>
      </c>
      <c r="R1653">
        <f t="shared" si="125"/>
        <v>0</v>
      </c>
      <c r="S1653">
        <f t="shared" si="126"/>
        <v>1</v>
      </c>
      <c r="T1653">
        <f t="shared" si="127"/>
        <v>1</v>
      </c>
      <c r="U1653">
        <f t="shared" si="128"/>
        <v>1</v>
      </c>
      <c r="V1653">
        <f t="shared" si="129"/>
        <v>0</v>
      </c>
    </row>
    <row r="1654" spans="1:22" x14ac:dyDescent="0.25">
      <c r="A1654">
        <v>1651</v>
      </c>
      <c r="B1654" t="s">
        <v>20</v>
      </c>
      <c r="C1654" t="s">
        <v>835</v>
      </c>
      <c r="D1654" s="4">
        <v>45390</v>
      </c>
      <c r="E1654" t="s">
        <v>867</v>
      </c>
      <c r="F1654" t="s">
        <v>75</v>
      </c>
      <c r="H1654" t="s">
        <v>962</v>
      </c>
      <c r="I1654" s="6">
        <v>0</v>
      </c>
      <c r="J1654" s="6">
        <v>0</v>
      </c>
      <c r="K1654" s="6">
        <v>0</v>
      </c>
      <c r="L1654" s="6">
        <v>1</v>
      </c>
      <c r="M1654" s="6">
        <v>0</v>
      </c>
      <c r="N1654" s="6">
        <v>0</v>
      </c>
      <c r="O1654" s="6">
        <v>0</v>
      </c>
      <c r="P1654" s="6">
        <v>0</v>
      </c>
      <c r="Q1654">
        <v>1</v>
      </c>
      <c r="R1654">
        <f t="shared" si="125"/>
        <v>0</v>
      </c>
      <c r="S1654">
        <f t="shared" si="126"/>
        <v>1</v>
      </c>
      <c r="T1654">
        <f t="shared" si="127"/>
        <v>1</v>
      </c>
      <c r="U1654">
        <f t="shared" si="128"/>
        <v>1</v>
      </c>
      <c r="V1654">
        <f t="shared" si="129"/>
        <v>0</v>
      </c>
    </row>
    <row r="1655" spans="1:22" x14ac:dyDescent="0.25">
      <c r="A1655">
        <v>1652</v>
      </c>
      <c r="B1655" t="s">
        <v>20</v>
      </c>
      <c r="C1655" t="s">
        <v>835</v>
      </c>
      <c r="D1655" s="4">
        <v>45391</v>
      </c>
      <c r="E1655" t="s">
        <v>451</v>
      </c>
      <c r="F1655" t="s">
        <v>75</v>
      </c>
      <c r="H1655" t="s">
        <v>963</v>
      </c>
      <c r="I1655" s="6">
        <v>0</v>
      </c>
      <c r="J1655" s="6">
        <v>0</v>
      </c>
      <c r="K1655" s="6">
        <v>0</v>
      </c>
      <c r="L1655" s="6">
        <v>1</v>
      </c>
      <c r="M1655" s="6">
        <v>1</v>
      </c>
      <c r="N1655" s="6">
        <v>0</v>
      </c>
      <c r="O1655" s="6">
        <v>0</v>
      </c>
      <c r="P1655" s="6">
        <v>0</v>
      </c>
      <c r="Q1655">
        <v>1</v>
      </c>
      <c r="R1655">
        <f t="shared" si="125"/>
        <v>0</v>
      </c>
      <c r="S1655">
        <f t="shared" si="126"/>
        <v>1</v>
      </c>
      <c r="T1655">
        <f t="shared" si="127"/>
        <v>2</v>
      </c>
      <c r="U1655">
        <f t="shared" si="128"/>
        <v>1</v>
      </c>
      <c r="V1655">
        <f t="shared" si="129"/>
        <v>0</v>
      </c>
    </row>
    <row r="1656" spans="1:22" x14ac:dyDescent="0.25">
      <c r="A1656">
        <v>1653</v>
      </c>
      <c r="B1656" t="s">
        <v>20</v>
      </c>
      <c r="C1656" t="s">
        <v>835</v>
      </c>
      <c r="D1656" s="4">
        <v>45392</v>
      </c>
      <c r="E1656" t="s">
        <v>286</v>
      </c>
      <c r="F1656" t="s">
        <v>75</v>
      </c>
      <c r="H1656" t="s">
        <v>964</v>
      </c>
      <c r="I1656" s="6">
        <v>1</v>
      </c>
      <c r="J1656" s="6">
        <v>0</v>
      </c>
      <c r="K1656" s="6">
        <v>0</v>
      </c>
      <c r="L1656" s="6">
        <v>1</v>
      </c>
      <c r="M1656" s="6">
        <v>1</v>
      </c>
      <c r="N1656" s="6">
        <v>0</v>
      </c>
      <c r="O1656" s="6">
        <v>0</v>
      </c>
      <c r="P1656" s="6">
        <v>0</v>
      </c>
      <c r="Q1656">
        <v>1</v>
      </c>
      <c r="R1656">
        <f t="shared" si="125"/>
        <v>0</v>
      </c>
      <c r="S1656">
        <f t="shared" si="126"/>
        <v>1</v>
      </c>
      <c r="T1656">
        <f t="shared" si="127"/>
        <v>3</v>
      </c>
      <c r="U1656">
        <f t="shared" si="128"/>
        <v>1</v>
      </c>
      <c r="V1656">
        <f t="shared" si="129"/>
        <v>0</v>
      </c>
    </row>
    <row r="1657" spans="1:22" x14ac:dyDescent="0.25">
      <c r="A1657">
        <v>1654</v>
      </c>
      <c r="B1657" t="s">
        <v>20</v>
      </c>
      <c r="C1657" t="s">
        <v>835</v>
      </c>
      <c r="D1657" s="4">
        <v>45393</v>
      </c>
      <c r="E1657" t="s">
        <v>454</v>
      </c>
      <c r="F1657" t="s">
        <v>75</v>
      </c>
      <c r="H1657" t="s">
        <v>965</v>
      </c>
      <c r="I1657" s="6">
        <v>0</v>
      </c>
      <c r="J1657" s="6">
        <v>0</v>
      </c>
      <c r="K1657" s="6">
        <v>0</v>
      </c>
      <c r="L1657" s="6">
        <v>1</v>
      </c>
      <c r="M1657" s="6">
        <v>0</v>
      </c>
      <c r="N1657" s="6">
        <v>0</v>
      </c>
      <c r="O1657" s="6">
        <v>0</v>
      </c>
      <c r="P1657" s="6">
        <v>0</v>
      </c>
      <c r="Q1657">
        <v>1</v>
      </c>
      <c r="R1657">
        <f t="shared" si="125"/>
        <v>0</v>
      </c>
      <c r="S1657">
        <f t="shared" si="126"/>
        <v>1</v>
      </c>
      <c r="T1657">
        <f t="shared" si="127"/>
        <v>1</v>
      </c>
      <c r="U1657">
        <f t="shared" si="128"/>
        <v>1</v>
      </c>
      <c r="V1657">
        <f t="shared" si="129"/>
        <v>0</v>
      </c>
    </row>
    <row r="1658" spans="1:22" x14ac:dyDescent="0.25">
      <c r="A1658">
        <v>1655</v>
      </c>
      <c r="B1658" t="s">
        <v>20</v>
      </c>
      <c r="C1658" t="s">
        <v>835</v>
      </c>
      <c r="D1658" s="4">
        <v>45393</v>
      </c>
      <c r="E1658" t="s">
        <v>455</v>
      </c>
      <c r="F1658" t="s">
        <v>75</v>
      </c>
      <c r="I1658" s="6">
        <v>0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>
        <v>1</v>
      </c>
      <c r="R1658">
        <f t="shared" si="125"/>
        <v>0</v>
      </c>
      <c r="S1658">
        <f t="shared" si="126"/>
        <v>1</v>
      </c>
      <c r="T1658">
        <f t="shared" si="127"/>
        <v>0</v>
      </c>
      <c r="U1658">
        <f t="shared" si="128"/>
        <v>0</v>
      </c>
      <c r="V1658">
        <f t="shared" si="129"/>
        <v>0</v>
      </c>
    </row>
    <row r="1659" spans="1:22" x14ac:dyDescent="0.25">
      <c r="A1659">
        <v>1656</v>
      </c>
      <c r="B1659" t="s">
        <v>20</v>
      </c>
      <c r="C1659" t="s">
        <v>835</v>
      </c>
      <c r="D1659" s="4">
        <v>45394</v>
      </c>
      <c r="E1659" t="s">
        <v>966</v>
      </c>
      <c r="F1659" t="s">
        <v>75</v>
      </c>
      <c r="H1659" t="s">
        <v>967</v>
      </c>
      <c r="I1659" s="6">
        <v>0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>
        <v>1</v>
      </c>
      <c r="R1659">
        <f t="shared" si="125"/>
        <v>0</v>
      </c>
      <c r="S1659">
        <f t="shared" si="126"/>
        <v>1</v>
      </c>
      <c r="T1659">
        <f t="shared" si="127"/>
        <v>0</v>
      </c>
      <c r="U1659">
        <f t="shared" si="128"/>
        <v>0</v>
      </c>
      <c r="V1659">
        <f t="shared" si="129"/>
        <v>0</v>
      </c>
    </row>
    <row r="1660" spans="1:22" x14ac:dyDescent="0.25">
      <c r="A1660">
        <v>1657</v>
      </c>
      <c r="B1660" t="s">
        <v>20</v>
      </c>
      <c r="C1660" t="s">
        <v>835</v>
      </c>
      <c r="D1660" s="4">
        <v>45394</v>
      </c>
      <c r="E1660" t="s">
        <v>870</v>
      </c>
      <c r="F1660" t="s">
        <v>75</v>
      </c>
      <c r="H1660" t="s">
        <v>968</v>
      </c>
      <c r="I1660" s="6">
        <v>0</v>
      </c>
      <c r="J1660" s="6">
        <v>0</v>
      </c>
      <c r="K1660" s="6">
        <v>0</v>
      </c>
      <c r="L1660" s="6">
        <v>1</v>
      </c>
      <c r="M1660" s="6">
        <v>0</v>
      </c>
      <c r="N1660" s="6">
        <v>0</v>
      </c>
      <c r="O1660" s="6">
        <v>0</v>
      </c>
      <c r="P1660" s="6">
        <v>0</v>
      </c>
      <c r="Q1660">
        <v>1</v>
      </c>
      <c r="R1660">
        <f t="shared" si="125"/>
        <v>0</v>
      </c>
      <c r="S1660">
        <f t="shared" si="126"/>
        <v>1</v>
      </c>
      <c r="T1660">
        <f t="shared" si="127"/>
        <v>1</v>
      </c>
      <c r="U1660">
        <f t="shared" si="128"/>
        <v>1</v>
      </c>
      <c r="V1660">
        <f t="shared" si="129"/>
        <v>0</v>
      </c>
    </row>
    <row r="1661" spans="1:22" x14ac:dyDescent="0.25">
      <c r="A1661">
        <v>1658</v>
      </c>
      <c r="B1661" t="s">
        <v>20</v>
      </c>
      <c r="C1661" t="s">
        <v>835</v>
      </c>
      <c r="D1661" s="4">
        <v>45395</v>
      </c>
      <c r="E1661" t="s">
        <v>872</v>
      </c>
      <c r="F1661" t="s">
        <v>75</v>
      </c>
      <c r="H1661" t="s">
        <v>969</v>
      </c>
      <c r="I1661" s="6">
        <v>0</v>
      </c>
      <c r="J1661" s="6">
        <v>0</v>
      </c>
      <c r="K1661" s="6">
        <v>0</v>
      </c>
      <c r="L1661" s="6">
        <v>1</v>
      </c>
      <c r="M1661" s="6">
        <v>1</v>
      </c>
      <c r="N1661" s="6">
        <v>0</v>
      </c>
      <c r="O1661" s="6">
        <v>0</v>
      </c>
      <c r="P1661" s="6">
        <v>0</v>
      </c>
      <c r="Q1661">
        <v>1</v>
      </c>
      <c r="R1661">
        <f t="shared" si="125"/>
        <v>0</v>
      </c>
      <c r="S1661">
        <f t="shared" si="126"/>
        <v>1</v>
      </c>
      <c r="T1661">
        <f t="shared" si="127"/>
        <v>2</v>
      </c>
      <c r="U1661">
        <f t="shared" si="128"/>
        <v>1</v>
      </c>
      <c r="V1661">
        <f t="shared" si="129"/>
        <v>0</v>
      </c>
    </row>
    <row r="1662" spans="1:22" x14ac:dyDescent="0.25">
      <c r="A1662">
        <v>1659</v>
      </c>
      <c r="B1662" t="s">
        <v>20</v>
      </c>
      <c r="C1662" t="s">
        <v>835</v>
      </c>
      <c r="D1662" s="4">
        <v>45395</v>
      </c>
      <c r="E1662" t="s">
        <v>873</v>
      </c>
      <c r="F1662" t="s">
        <v>75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>
        <v>1</v>
      </c>
      <c r="R1662">
        <f t="shared" si="125"/>
        <v>0</v>
      </c>
      <c r="S1662">
        <f t="shared" si="126"/>
        <v>1</v>
      </c>
      <c r="T1662">
        <f t="shared" si="127"/>
        <v>0</v>
      </c>
      <c r="U1662">
        <f t="shared" si="128"/>
        <v>0</v>
      </c>
      <c r="V1662">
        <f t="shared" si="129"/>
        <v>0</v>
      </c>
    </row>
    <row r="1663" spans="1:22" x14ac:dyDescent="0.25">
      <c r="A1663">
        <v>1660</v>
      </c>
      <c r="B1663" t="s">
        <v>20</v>
      </c>
      <c r="C1663" t="s">
        <v>835</v>
      </c>
      <c r="D1663" s="4">
        <v>45396</v>
      </c>
      <c r="E1663" t="s">
        <v>1224</v>
      </c>
      <c r="F1663" t="s">
        <v>75</v>
      </c>
      <c r="I1663" s="6">
        <v>0</v>
      </c>
      <c r="J1663" s="6">
        <v>0</v>
      </c>
      <c r="K1663" s="6">
        <v>0</v>
      </c>
      <c r="L1663" s="6">
        <v>1</v>
      </c>
      <c r="M1663" s="6">
        <v>0</v>
      </c>
      <c r="N1663" s="6">
        <v>0</v>
      </c>
      <c r="O1663" s="6">
        <v>1</v>
      </c>
      <c r="P1663" s="6">
        <v>0</v>
      </c>
      <c r="Q1663">
        <v>1</v>
      </c>
      <c r="R1663">
        <f t="shared" si="125"/>
        <v>0</v>
      </c>
      <c r="S1663">
        <f t="shared" si="126"/>
        <v>1</v>
      </c>
      <c r="T1663">
        <f t="shared" si="127"/>
        <v>2</v>
      </c>
      <c r="U1663">
        <f t="shared" si="128"/>
        <v>1</v>
      </c>
      <c r="V1663">
        <f t="shared" si="129"/>
        <v>0</v>
      </c>
    </row>
    <row r="1664" spans="1:22" x14ac:dyDescent="0.25">
      <c r="A1664">
        <v>1661</v>
      </c>
      <c r="B1664" t="s">
        <v>20</v>
      </c>
      <c r="C1664" t="s">
        <v>835</v>
      </c>
      <c r="D1664" s="4">
        <v>45397</v>
      </c>
      <c r="E1664" t="s">
        <v>289</v>
      </c>
      <c r="F1664" t="s">
        <v>75</v>
      </c>
      <c r="H1664" t="s">
        <v>970</v>
      </c>
      <c r="I1664" s="6">
        <v>0</v>
      </c>
      <c r="J1664" s="6">
        <v>0</v>
      </c>
      <c r="K1664" s="6">
        <v>0</v>
      </c>
      <c r="L1664" s="6">
        <v>1</v>
      </c>
      <c r="M1664" s="6">
        <v>0</v>
      </c>
      <c r="N1664" s="6">
        <v>0</v>
      </c>
      <c r="O1664" s="6">
        <v>0</v>
      </c>
      <c r="P1664" s="6">
        <v>0</v>
      </c>
      <c r="Q1664">
        <v>1</v>
      </c>
      <c r="R1664">
        <f t="shared" si="125"/>
        <v>0</v>
      </c>
      <c r="S1664">
        <f t="shared" si="126"/>
        <v>1</v>
      </c>
      <c r="T1664">
        <f t="shared" si="127"/>
        <v>1</v>
      </c>
      <c r="U1664">
        <f t="shared" si="128"/>
        <v>1</v>
      </c>
      <c r="V1664">
        <f t="shared" si="129"/>
        <v>0</v>
      </c>
    </row>
    <row r="1665" spans="1:22" x14ac:dyDescent="0.25">
      <c r="A1665">
        <v>1662</v>
      </c>
      <c r="B1665" t="s">
        <v>20</v>
      </c>
      <c r="C1665" t="s">
        <v>835</v>
      </c>
      <c r="D1665" s="4">
        <v>45398</v>
      </c>
      <c r="E1665" t="s">
        <v>456</v>
      </c>
      <c r="F1665" t="s">
        <v>75</v>
      </c>
      <c r="H1665" t="s">
        <v>971</v>
      </c>
      <c r="I1665" s="6">
        <v>0</v>
      </c>
      <c r="J1665" s="6">
        <v>0</v>
      </c>
      <c r="K1665" s="6">
        <v>0</v>
      </c>
      <c r="L1665" s="6">
        <v>1</v>
      </c>
      <c r="M1665" s="6">
        <v>0</v>
      </c>
      <c r="N1665" s="6">
        <v>0</v>
      </c>
      <c r="O1665" s="6">
        <v>0</v>
      </c>
      <c r="P1665" s="6">
        <v>1</v>
      </c>
      <c r="Q1665">
        <v>1</v>
      </c>
      <c r="R1665">
        <f t="shared" si="125"/>
        <v>0</v>
      </c>
      <c r="S1665">
        <f t="shared" si="126"/>
        <v>1</v>
      </c>
      <c r="T1665">
        <f t="shared" si="127"/>
        <v>2</v>
      </c>
      <c r="U1665">
        <f t="shared" si="128"/>
        <v>1</v>
      </c>
      <c r="V1665">
        <f t="shared" si="129"/>
        <v>0</v>
      </c>
    </row>
    <row r="1666" spans="1:22" x14ac:dyDescent="0.25">
      <c r="A1666">
        <v>1663</v>
      </c>
      <c r="B1666" t="s">
        <v>20</v>
      </c>
      <c r="C1666" t="s">
        <v>835</v>
      </c>
      <c r="D1666" s="4">
        <v>45399</v>
      </c>
      <c r="E1666" t="s">
        <v>457</v>
      </c>
      <c r="F1666" t="s">
        <v>75</v>
      </c>
      <c r="H1666" t="s">
        <v>972</v>
      </c>
      <c r="I1666" s="6">
        <v>1</v>
      </c>
      <c r="J1666" s="6">
        <v>0</v>
      </c>
      <c r="K1666" s="6">
        <v>1</v>
      </c>
      <c r="L1666" s="6">
        <v>1</v>
      </c>
      <c r="M1666" s="6">
        <v>0</v>
      </c>
      <c r="N1666" s="6">
        <v>0</v>
      </c>
      <c r="O1666" s="6">
        <v>0</v>
      </c>
      <c r="P1666" s="6">
        <v>0</v>
      </c>
      <c r="Q1666">
        <v>1</v>
      </c>
      <c r="R1666">
        <f t="shared" si="125"/>
        <v>0</v>
      </c>
      <c r="S1666">
        <f t="shared" si="126"/>
        <v>1</v>
      </c>
      <c r="T1666">
        <f t="shared" si="127"/>
        <v>3</v>
      </c>
      <c r="U1666">
        <f t="shared" si="128"/>
        <v>1</v>
      </c>
      <c r="V1666">
        <f t="shared" si="129"/>
        <v>0</v>
      </c>
    </row>
    <row r="1667" spans="1:22" x14ac:dyDescent="0.25">
      <c r="A1667">
        <v>1664</v>
      </c>
      <c r="B1667" t="s">
        <v>20</v>
      </c>
      <c r="C1667" t="s">
        <v>835</v>
      </c>
      <c r="D1667" s="4">
        <v>45400</v>
      </c>
      <c r="E1667" t="s">
        <v>876</v>
      </c>
      <c r="F1667" t="s">
        <v>75</v>
      </c>
      <c r="H1667" t="s">
        <v>973</v>
      </c>
      <c r="I1667" s="6">
        <v>1</v>
      </c>
      <c r="J1667" s="6">
        <v>0</v>
      </c>
      <c r="K1667" s="6">
        <v>0</v>
      </c>
      <c r="L1667" s="6">
        <v>1</v>
      </c>
      <c r="M1667" s="6">
        <v>0</v>
      </c>
      <c r="N1667" s="6">
        <v>0</v>
      </c>
      <c r="O1667" s="6">
        <v>0</v>
      </c>
      <c r="P1667" s="6">
        <v>0</v>
      </c>
      <c r="Q1667">
        <v>1</v>
      </c>
      <c r="R1667">
        <f t="shared" ref="R1667:R1730" si="130">IF(AND(Q1667=1,F1667="ai_full"),1,0)</f>
        <v>0</v>
      </c>
      <c r="S1667">
        <f t="shared" ref="S1667:S1730" si="131">IF(AND(Q1667=1,F1667="conventional"),1,0)</f>
        <v>1</v>
      </c>
      <c r="T1667">
        <f t="shared" ref="T1667:T1730" si="132">SUM(I1667:P1667)</f>
        <v>2</v>
      </c>
      <c r="U1667">
        <f t="shared" ref="U1667:U1730" si="133">IF(T1667&gt;=1,1,0)</f>
        <v>1</v>
      </c>
      <c r="V1667">
        <f t="shared" ref="V1667:V1730" si="134">IF(F1667="ai_full",1,0)</f>
        <v>0</v>
      </c>
    </row>
    <row r="1668" spans="1:22" x14ac:dyDescent="0.25">
      <c r="A1668">
        <v>1665</v>
      </c>
      <c r="B1668" t="s">
        <v>20</v>
      </c>
      <c r="C1668" t="s">
        <v>835</v>
      </c>
      <c r="D1668" s="4">
        <v>45400</v>
      </c>
      <c r="E1668" t="s">
        <v>296</v>
      </c>
      <c r="F1668" t="s">
        <v>75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>
        <v>1</v>
      </c>
      <c r="R1668">
        <f t="shared" si="130"/>
        <v>0</v>
      </c>
      <c r="S1668">
        <f t="shared" si="131"/>
        <v>1</v>
      </c>
      <c r="T1668">
        <f t="shared" si="132"/>
        <v>0</v>
      </c>
      <c r="U1668">
        <f t="shared" si="133"/>
        <v>0</v>
      </c>
      <c r="V1668">
        <f t="shared" si="134"/>
        <v>0</v>
      </c>
    </row>
    <row r="1669" spans="1:22" x14ac:dyDescent="0.25">
      <c r="A1669">
        <v>1666</v>
      </c>
      <c r="B1669" t="s">
        <v>20</v>
      </c>
      <c r="C1669" t="s">
        <v>835</v>
      </c>
      <c r="D1669" s="4">
        <v>45401</v>
      </c>
      <c r="E1669" t="s">
        <v>974</v>
      </c>
      <c r="F1669" t="s">
        <v>75</v>
      </c>
      <c r="H1669" t="s">
        <v>975</v>
      </c>
      <c r="I1669" s="6">
        <v>1</v>
      </c>
      <c r="J1669" s="6">
        <v>0</v>
      </c>
      <c r="K1669" s="6">
        <v>0</v>
      </c>
      <c r="L1669" s="6">
        <v>1</v>
      </c>
      <c r="M1669" s="6">
        <v>0</v>
      </c>
      <c r="N1669" s="6">
        <v>0</v>
      </c>
      <c r="O1669" s="6">
        <v>0</v>
      </c>
      <c r="P1669" s="6">
        <v>0</v>
      </c>
      <c r="Q1669">
        <v>1</v>
      </c>
      <c r="R1669">
        <f t="shared" si="130"/>
        <v>0</v>
      </c>
      <c r="S1669">
        <f t="shared" si="131"/>
        <v>1</v>
      </c>
      <c r="T1669">
        <f t="shared" si="132"/>
        <v>2</v>
      </c>
      <c r="U1669">
        <f t="shared" si="133"/>
        <v>1</v>
      </c>
      <c r="V1669">
        <f t="shared" si="134"/>
        <v>0</v>
      </c>
    </row>
    <row r="1670" spans="1:22" x14ac:dyDescent="0.25">
      <c r="A1670">
        <v>1667</v>
      </c>
      <c r="B1670" t="s">
        <v>20</v>
      </c>
      <c r="C1670" t="s">
        <v>835</v>
      </c>
      <c r="D1670" s="4">
        <v>45402</v>
      </c>
      <c r="E1670" t="s">
        <v>299</v>
      </c>
      <c r="F1670" t="s">
        <v>75</v>
      </c>
      <c r="H1670" t="s">
        <v>976</v>
      </c>
      <c r="I1670" s="6">
        <v>0</v>
      </c>
      <c r="J1670" s="6">
        <v>0</v>
      </c>
      <c r="K1670" s="6">
        <v>0</v>
      </c>
      <c r="L1670" s="6">
        <v>1</v>
      </c>
      <c r="M1670" s="6">
        <v>0</v>
      </c>
      <c r="N1670" s="6">
        <v>0</v>
      </c>
      <c r="O1670" s="6">
        <v>0</v>
      </c>
      <c r="P1670" s="6">
        <v>0</v>
      </c>
      <c r="Q1670">
        <v>1</v>
      </c>
      <c r="R1670">
        <f t="shared" si="130"/>
        <v>0</v>
      </c>
      <c r="S1670">
        <f t="shared" si="131"/>
        <v>1</v>
      </c>
      <c r="T1670">
        <f t="shared" si="132"/>
        <v>1</v>
      </c>
      <c r="U1670">
        <f t="shared" si="133"/>
        <v>1</v>
      </c>
      <c r="V1670">
        <f t="shared" si="134"/>
        <v>0</v>
      </c>
    </row>
    <row r="1671" spans="1:22" x14ac:dyDescent="0.25">
      <c r="A1671">
        <v>1668</v>
      </c>
      <c r="B1671" t="s">
        <v>20</v>
      </c>
      <c r="C1671" t="s">
        <v>835</v>
      </c>
      <c r="D1671" s="4">
        <v>45402</v>
      </c>
      <c r="E1671" t="s">
        <v>2032</v>
      </c>
      <c r="F1671" t="s">
        <v>75</v>
      </c>
      <c r="I1671" s="6">
        <v>1</v>
      </c>
      <c r="J1671" s="6">
        <v>1</v>
      </c>
      <c r="K1671" s="6">
        <v>0</v>
      </c>
      <c r="L1671" s="6">
        <v>1</v>
      </c>
      <c r="M1671" s="6">
        <v>0</v>
      </c>
      <c r="N1671" s="6">
        <v>0</v>
      </c>
      <c r="O1671" s="6">
        <v>0</v>
      </c>
      <c r="P1671" s="6">
        <v>0</v>
      </c>
      <c r="Q1671">
        <v>1</v>
      </c>
      <c r="R1671">
        <f t="shared" si="130"/>
        <v>0</v>
      </c>
      <c r="S1671">
        <f t="shared" si="131"/>
        <v>1</v>
      </c>
      <c r="T1671">
        <f t="shared" si="132"/>
        <v>3</v>
      </c>
      <c r="U1671">
        <f t="shared" si="133"/>
        <v>1</v>
      </c>
      <c r="V1671">
        <f t="shared" si="134"/>
        <v>0</v>
      </c>
    </row>
    <row r="1672" spans="1:22" x14ac:dyDescent="0.25">
      <c r="A1672">
        <v>1669</v>
      </c>
      <c r="B1672" t="s">
        <v>20</v>
      </c>
      <c r="C1672" t="s">
        <v>835</v>
      </c>
      <c r="D1672" s="4">
        <v>45403</v>
      </c>
      <c r="E1672" t="s">
        <v>1225</v>
      </c>
      <c r="F1672" t="s">
        <v>75</v>
      </c>
      <c r="I1672" s="6">
        <v>0</v>
      </c>
      <c r="J1672" s="6">
        <v>0</v>
      </c>
      <c r="K1672" s="6">
        <v>0</v>
      </c>
      <c r="L1672" s="6">
        <v>1</v>
      </c>
      <c r="M1672" s="6">
        <v>0</v>
      </c>
      <c r="N1672" s="6">
        <v>0</v>
      </c>
      <c r="O1672" s="6">
        <v>0</v>
      </c>
      <c r="P1672" s="6">
        <v>0</v>
      </c>
      <c r="Q1672">
        <v>1</v>
      </c>
      <c r="R1672">
        <f t="shared" si="130"/>
        <v>0</v>
      </c>
      <c r="S1672">
        <f t="shared" si="131"/>
        <v>1</v>
      </c>
      <c r="T1672">
        <f t="shared" si="132"/>
        <v>1</v>
      </c>
      <c r="U1672">
        <f t="shared" si="133"/>
        <v>1</v>
      </c>
      <c r="V1672">
        <f t="shared" si="134"/>
        <v>0</v>
      </c>
    </row>
    <row r="1673" spans="1:22" x14ac:dyDescent="0.25">
      <c r="A1673">
        <v>1670</v>
      </c>
      <c r="B1673" t="s">
        <v>20</v>
      </c>
      <c r="C1673" t="s">
        <v>835</v>
      </c>
      <c r="D1673" s="4">
        <v>45404</v>
      </c>
      <c r="E1673" t="s">
        <v>1226</v>
      </c>
      <c r="F1673" t="s">
        <v>75</v>
      </c>
      <c r="I1673" s="6">
        <v>1</v>
      </c>
      <c r="J1673" s="6">
        <v>0</v>
      </c>
      <c r="K1673" s="6">
        <v>0</v>
      </c>
      <c r="L1673" s="6">
        <v>1</v>
      </c>
      <c r="M1673" s="6">
        <v>0</v>
      </c>
      <c r="N1673" s="6">
        <v>0</v>
      </c>
      <c r="O1673" s="6">
        <v>0</v>
      </c>
      <c r="P1673" s="6">
        <v>0</v>
      </c>
      <c r="Q1673">
        <v>1</v>
      </c>
      <c r="R1673">
        <f t="shared" si="130"/>
        <v>0</v>
      </c>
      <c r="S1673">
        <f t="shared" si="131"/>
        <v>1</v>
      </c>
      <c r="T1673">
        <f t="shared" si="132"/>
        <v>2</v>
      </c>
      <c r="U1673">
        <f t="shared" si="133"/>
        <v>1</v>
      </c>
      <c r="V1673">
        <f t="shared" si="134"/>
        <v>0</v>
      </c>
    </row>
    <row r="1674" spans="1:22" x14ac:dyDescent="0.25">
      <c r="A1674">
        <v>1671</v>
      </c>
      <c r="B1674" t="s">
        <v>20</v>
      </c>
      <c r="C1674" t="s">
        <v>835</v>
      </c>
      <c r="D1674" s="4">
        <v>45405</v>
      </c>
      <c r="E1674" t="s">
        <v>463</v>
      </c>
      <c r="F1674" t="s">
        <v>75</v>
      </c>
      <c r="I1674" s="6">
        <v>0</v>
      </c>
      <c r="J1674" s="6">
        <v>0</v>
      </c>
      <c r="K1674" s="6">
        <v>0</v>
      </c>
      <c r="L1674" s="6">
        <v>1</v>
      </c>
      <c r="M1674" s="6">
        <v>0</v>
      </c>
      <c r="N1674" s="6">
        <v>0</v>
      </c>
      <c r="O1674" s="6">
        <v>1</v>
      </c>
      <c r="P1674" s="6">
        <v>0</v>
      </c>
      <c r="Q1674">
        <v>1</v>
      </c>
      <c r="R1674">
        <f t="shared" si="130"/>
        <v>0</v>
      </c>
      <c r="S1674">
        <f t="shared" si="131"/>
        <v>1</v>
      </c>
      <c r="T1674">
        <f t="shared" si="132"/>
        <v>2</v>
      </c>
      <c r="U1674">
        <f t="shared" si="133"/>
        <v>1</v>
      </c>
      <c r="V1674">
        <f t="shared" si="134"/>
        <v>0</v>
      </c>
    </row>
    <row r="1675" spans="1:22" x14ac:dyDescent="0.25">
      <c r="A1675">
        <v>1672</v>
      </c>
      <c r="B1675" t="s">
        <v>20</v>
      </c>
      <c r="C1675" t="s">
        <v>835</v>
      </c>
      <c r="D1675" s="4">
        <v>45406</v>
      </c>
      <c r="E1675" t="s">
        <v>977</v>
      </c>
      <c r="F1675" t="s">
        <v>75</v>
      </c>
      <c r="H1675" t="s">
        <v>978</v>
      </c>
      <c r="I1675" s="6">
        <v>1</v>
      </c>
      <c r="J1675" s="6">
        <v>0</v>
      </c>
      <c r="K1675" s="6">
        <v>0</v>
      </c>
      <c r="L1675" s="6">
        <v>1</v>
      </c>
      <c r="M1675" s="6">
        <v>0</v>
      </c>
      <c r="N1675" s="6">
        <v>0</v>
      </c>
      <c r="O1675" s="6">
        <v>0</v>
      </c>
      <c r="P1675" s="6">
        <v>0</v>
      </c>
      <c r="Q1675">
        <v>1</v>
      </c>
      <c r="R1675">
        <f t="shared" si="130"/>
        <v>0</v>
      </c>
      <c r="S1675">
        <f t="shared" si="131"/>
        <v>1</v>
      </c>
      <c r="T1675">
        <f t="shared" si="132"/>
        <v>2</v>
      </c>
      <c r="U1675">
        <f t="shared" si="133"/>
        <v>1</v>
      </c>
      <c r="V1675">
        <f t="shared" si="134"/>
        <v>0</v>
      </c>
    </row>
    <row r="1676" spans="1:22" x14ac:dyDescent="0.25">
      <c r="A1676">
        <v>1673</v>
      </c>
      <c r="B1676" t="s">
        <v>20</v>
      </c>
      <c r="C1676" t="s">
        <v>835</v>
      </c>
      <c r="D1676" s="4">
        <v>45406</v>
      </c>
      <c r="E1676" t="s">
        <v>979</v>
      </c>
      <c r="F1676" t="s">
        <v>75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>
        <v>1</v>
      </c>
      <c r="R1676">
        <f t="shared" si="130"/>
        <v>0</v>
      </c>
      <c r="S1676">
        <f t="shared" si="131"/>
        <v>1</v>
      </c>
      <c r="T1676">
        <f t="shared" si="132"/>
        <v>0</v>
      </c>
      <c r="U1676">
        <f t="shared" si="133"/>
        <v>0</v>
      </c>
      <c r="V1676">
        <f t="shared" si="134"/>
        <v>0</v>
      </c>
    </row>
    <row r="1677" spans="1:22" x14ac:dyDescent="0.25">
      <c r="A1677">
        <v>1674</v>
      </c>
      <c r="B1677" t="s">
        <v>20</v>
      </c>
      <c r="C1677" t="s">
        <v>835</v>
      </c>
      <c r="D1677" s="4">
        <v>45407</v>
      </c>
      <c r="E1677" t="s">
        <v>304</v>
      </c>
      <c r="F1677" t="s">
        <v>75</v>
      </c>
      <c r="H1677" t="s">
        <v>980</v>
      </c>
      <c r="I1677" s="6">
        <v>0</v>
      </c>
      <c r="J1677" s="6">
        <v>0</v>
      </c>
      <c r="K1677" s="6">
        <v>0</v>
      </c>
      <c r="L1677" s="6">
        <v>1</v>
      </c>
      <c r="M1677" s="6">
        <v>1</v>
      </c>
      <c r="N1677" s="6">
        <v>0</v>
      </c>
      <c r="O1677" s="6">
        <v>0</v>
      </c>
      <c r="P1677" s="6">
        <v>1</v>
      </c>
      <c r="Q1677">
        <v>1</v>
      </c>
      <c r="R1677">
        <f t="shared" si="130"/>
        <v>0</v>
      </c>
      <c r="S1677">
        <f t="shared" si="131"/>
        <v>1</v>
      </c>
      <c r="T1677">
        <f t="shared" si="132"/>
        <v>3</v>
      </c>
      <c r="U1677">
        <f t="shared" si="133"/>
        <v>1</v>
      </c>
      <c r="V1677">
        <f t="shared" si="134"/>
        <v>0</v>
      </c>
    </row>
    <row r="1678" spans="1:22" x14ac:dyDescent="0.25">
      <c r="A1678">
        <v>1675</v>
      </c>
      <c r="B1678" t="s">
        <v>20</v>
      </c>
      <c r="C1678" t="s">
        <v>835</v>
      </c>
      <c r="D1678" s="4">
        <v>45407</v>
      </c>
      <c r="E1678" t="s">
        <v>464</v>
      </c>
      <c r="F1678" t="s">
        <v>75</v>
      </c>
      <c r="I1678" s="6">
        <v>0</v>
      </c>
      <c r="J1678" s="6">
        <v>0</v>
      </c>
      <c r="K1678" s="6">
        <v>0</v>
      </c>
      <c r="L1678" s="6">
        <v>1</v>
      </c>
      <c r="M1678" s="6">
        <v>0</v>
      </c>
      <c r="N1678" s="6">
        <v>0</v>
      </c>
      <c r="O1678" s="6">
        <v>0</v>
      </c>
      <c r="P1678" s="6">
        <v>0</v>
      </c>
      <c r="Q1678">
        <v>1</v>
      </c>
      <c r="R1678">
        <f t="shared" si="130"/>
        <v>0</v>
      </c>
      <c r="S1678">
        <f t="shared" si="131"/>
        <v>1</v>
      </c>
      <c r="T1678">
        <f t="shared" si="132"/>
        <v>1</v>
      </c>
      <c r="U1678">
        <f t="shared" si="133"/>
        <v>1</v>
      </c>
      <c r="V1678">
        <f t="shared" si="134"/>
        <v>0</v>
      </c>
    </row>
    <row r="1679" spans="1:22" x14ac:dyDescent="0.25">
      <c r="A1679">
        <v>1676</v>
      </c>
      <c r="B1679" t="s">
        <v>20</v>
      </c>
      <c r="C1679" t="s">
        <v>835</v>
      </c>
      <c r="D1679" s="4">
        <v>45408</v>
      </c>
      <c r="E1679" t="s">
        <v>305</v>
      </c>
      <c r="F1679" t="s">
        <v>75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>
        <v>1</v>
      </c>
      <c r="R1679">
        <f t="shared" si="130"/>
        <v>0</v>
      </c>
      <c r="S1679">
        <f t="shared" si="131"/>
        <v>1</v>
      </c>
      <c r="T1679">
        <f t="shared" si="132"/>
        <v>0</v>
      </c>
      <c r="U1679">
        <f t="shared" si="133"/>
        <v>0</v>
      </c>
      <c r="V1679">
        <f t="shared" si="134"/>
        <v>0</v>
      </c>
    </row>
    <row r="1680" spans="1:22" x14ac:dyDescent="0.25">
      <c r="A1680">
        <v>1677</v>
      </c>
      <c r="B1680" t="s">
        <v>20</v>
      </c>
      <c r="C1680" t="s">
        <v>835</v>
      </c>
      <c r="D1680" s="4">
        <v>45408</v>
      </c>
      <c r="E1680" t="s">
        <v>306</v>
      </c>
      <c r="F1680" t="s">
        <v>75</v>
      </c>
      <c r="H1680" t="s">
        <v>981</v>
      </c>
      <c r="I1680" s="6">
        <v>0</v>
      </c>
      <c r="J1680" s="6">
        <v>0</v>
      </c>
      <c r="K1680" s="6">
        <v>0</v>
      </c>
      <c r="L1680" s="6">
        <v>1</v>
      </c>
      <c r="M1680" s="6">
        <v>0</v>
      </c>
      <c r="N1680" s="6">
        <v>0</v>
      </c>
      <c r="O1680" s="6">
        <v>0</v>
      </c>
      <c r="P1680" s="6">
        <v>0</v>
      </c>
      <c r="Q1680">
        <v>1</v>
      </c>
      <c r="R1680">
        <f t="shared" si="130"/>
        <v>0</v>
      </c>
      <c r="S1680">
        <f t="shared" si="131"/>
        <v>1</v>
      </c>
      <c r="T1680">
        <f t="shared" si="132"/>
        <v>1</v>
      </c>
      <c r="U1680">
        <f t="shared" si="133"/>
        <v>1</v>
      </c>
      <c r="V1680">
        <f t="shared" si="134"/>
        <v>0</v>
      </c>
    </row>
    <row r="1681" spans="1:22" x14ac:dyDescent="0.25">
      <c r="A1681">
        <v>1678</v>
      </c>
      <c r="B1681" t="s">
        <v>20</v>
      </c>
      <c r="C1681" t="s">
        <v>835</v>
      </c>
      <c r="D1681" s="4">
        <v>45408</v>
      </c>
      <c r="E1681" t="s">
        <v>307</v>
      </c>
      <c r="F1681" t="s">
        <v>413</v>
      </c>
      <c r="G1681">
        <v>93</v>
      </c>
      <c r="H1681" t="s">
        <v>982</v>
      </c>
      <c r="I1681" s="6">
        <v>0</v>
      </c>
      <c r="J1681" s="6">
        <v>1</v>
      </c>
      <c r="K1681" s="6">
        <v>0</v>
      </c>
      <c r="L1681" s="6">
        <v>1</v>
      </c>
      <c r="M1681" s="6">
        <v>0</v>
      </c>
      <c r="N1681" s="6">
        <v>0</v>
      </c>
      <c r="O1681" s="6">
        <v>0</v>
      </c>
      <c r="P1681" s="6">
        <v>0</v>
      </c>
      <c r="Q1681">
        <v>1</v>
      </c>
      <c r="R1681">
        <f t="shared" si="130"/>
        <v>1</v>
      </c>
      <c r="S1681">
        <f t="shared" si="131"/>
        <v>0</v>
      </c>
      <c r="T1681">
        <f t="shared" si="132"/>
        <v>2</v>
      </c>
      <c r="U1681">
        <f t="shared" si="133"/>
        <v>1</v>
      </c>
      <c r="V1681">
        <f t="shared" si="134"/>
        <v>1</v>
      </c>
    </row>
    <row r="1682" spans="1:22" x14ac:dyDescent="0.25">
      <c r="A1682">
        <v>1679</v>
      </c>
      <c r="B1682" t="s">
        <v>20</v>
      </c>
      <c r="C1682" t="s">
        <v>835</v>
      </c>
      <c r="D1682" s="4">
        <v>45409</v>
      </c>
      <c r="E1682" t="s">
        <v>878</v>
      </c>
      <c r="F1682" t="s">
        <v>75</v>
      </c>
      <c r="H1682" t="s">
        <v>983</v>
      </c>
      <c r="I1682" s="6">
        <v>0</v>
      </c>
      <c r="J1682" s="6">
        <v>0</v>
      </c>
      <c r="K1682" s="6">
        <v>0</v>
      </c>
      <c r="L1682" s="6">
        <v>1</v>
      </c>
      <c r="M1682" s="6">
        <v>0</v>
      </c>
      <c r="N1682" s="6">
        <v>0</v>
      </c>
      <c r="O1682" s="6">
        <v>0</v>
      </c>
      <c r="P1682" s="6">
        <v>0</v>
      </c>
      <c r="Q1682">
        <v>1</v>
      </c>
      <c r="R1682">
        <f t="shared" si="130"/>
        <v>0</v>
      </c>
      <c r="S1682">
        <f t="shared" si="131"/>
        <v>1</v>
      </c>
      <c r="T1682">
        <f t="shared" si="132"/>
        <v>1</v>
      </c>
      <c r="U1682">
        <f t="shared" si="133"/>
        <v>1</v>
      </c>
      <c r="V1682">
        <f t="shared" si="134"/>
        <v>0</v>
      </c>
    </row>
    <row r="1683" spans="1:22" x14ac:dyDescent="0.25">
      <c r="A1683">
        <v>1680</v>
      </c>
      <c r="B1683" t="s">
        <v>20</v>
      </c>
      <c r="C1683" t="s">
        <v>835</v>
      </c>
      <c r="D1683" s="4">
        <v>45410</v>
      </c>
      <c r="E1683" t="s">
        <v>465</v>
      </c>
      <c r="F1683" t="s">
        <v>75</v>
      </c>
      <c r="H1683" t="s">
        <v>984</v>
      </c>
      <c r="I1683" s="6">
        <v>0</v>
      </c>
      <c r="J1683" s="6">
        <v>0</v>
      </c>
      <c r="K1683" s="6">
        <v>0</v>
      </c>
      <c r="L1683" s="6">
        <v>1</v>
      </c>
      <c r="M1683" s="6">
        <v>0</v>
      </c>
      <c r="N1683" s="6">
        <v>0</v>
      </c>
      <c r="O1683" s="6">
        <v>0</v>
      </c>
      <c r="P1683" s="6">
        <v>0</v>
      </c>
      <c r="Q1683">
        <v>1</v>
      </c>
      <c r="R1683">
        <f t="shared" si="130"/>
        <v>0</v>
      </c>
      <c r="S1683">
        <f t="shared" si="131"/>
        <v>1</v>
      </c>
      <c r="T1683">
        <f t="shared" si="132"/>
        <v>1</v>
      </c>
      <c r="U1683">
        <f t="shared" si="133"/>
        <v>1</v>
      </c>
      <c r="V1683">
        <f t="shared" si="134"/>
        <v>0</v>
      </c>
    </row>
    <row r="1684" spans="1:22" x14ac:dyDescent="0.25">
      <c r="A1684">
        <v>1681</v>
      </c>
      <c r="B1684" t="s">
        <v>20</v>
      </c>
      <c r="C1684" t="s">
        <v>835</v>
      </c>
      <c r="D1684" s="4">
        <v>45410</v>
      </c>
      <c r="E1684" t="s">
        <v>466</v>
      </c>
      <c r="F1684" t="s">
        <v>75</v>
      </c>
      <c r="I1684" s="6">
        <v>1</v>
      </c>
      <c r="J1684" s="6">
        <v>1</v>
      </c>
      <c r="K1684" s="6">
        <v>1</v>
      </c>
      <c r="L1684" s="6">
        <v>1</v>
      </c>
      <c r="M1684" s="6">
        <v>0</v>
      </c>
      <c r="N1684" s="6">
        <v>0</v>
      </c>
      <c r="O1684" s="6">
        <v>0</v>
      </c>
      <c r="P1684" s="6">
        <v>0</v>
      </c>
      <c r="Q1684">
        <v>1</v>
      </c>
      <c r="R1684">
        <f t="shared" si="130"/>
        <v>0</v>
      </c>
      <c r="S1684">
        <f t="shared" si="131"/>
        <v>1</v>
      </c>
      <c r="T1684">
        <f t="shared" si="132"/>
        <v>4</v>
      </c>
      <c r="U1684">
        <f t="shared" si="133"/>
        <v>1</v>
      </c>
      <c r="V1684">
        <f t="shared" si="134"/>
        <v>0</v>
      </c>
    </row>
    <row r="1685" spans="1:22" x14ac:dyDescent="0.25">
      <c r="A1685">
        <v>1682</v>
      </c>
      <c r="B1685" t="s">
        <v>20</v>
      </c>
      <c r="C1685" t="s">
        <v>835</v>
      </c>
      <c r="D1685" s="4">
        <v>45410</v>
      </c>
      <c r="E1685" t="s">
        <v>985</v>
      </c>
      <c r="F1685" t="s">
        <v>75</v>
      </c>
      <c r="I1685" s="6">
        <v>0</v>
      </c>
      <c r="J1685" s="6">
        <v>1</v>
      </c>
      <c r="K1685" s="6">
        <v>0</v>
      </c>
      <c r="L1685" s="6">
        <v>1</v>
      </c>
      <c r="M1685" s="6">
        <v>0</v>
      </c>
      <c r="N1685" s="6">
        <v>0</v>
      </c>
      <c r="O1685" s="6">
        <v>1</v>
      </c>
      <c r="P1685" s="6">
        <v>0</v>
      </c>
      <c r="Q1685">
        <v>1</v>
      </c>
      <c r="R1685">
        <f t="shared" si="130"/>
        <v>0</v>
      </c>
      <c r="S1685">
        <f t="shared" si="131"/>
        <v>1</v>
      </c>
      <c r="T1685">
        <f t="shared" si="132"/>
        <v>3</v>
      </c>
      <c r="U1685">
        <f t="shared" si="133"/>
        <v>1</v>
      </c>
      <c r="V1685">
        <f t="shared" si="134"/>
        <v>0</v>
      </c>
    </row>
    <row r="1686" spans="1:22" x14ac:dyDescent="0.25">
      <c r="A1686">
        <v>1683</v>
      </c>
      <c r="B1686" t="s">
        <v>20</v>
      </c>
      <c r="C1686" t="s">
        <v>835</v>
      </c>
      <c r="D1686" s="4">
        <v>45411</v>
      </c>
      <c r="E1686" t="s">
        <v>1386</v>
      </c>
      <c r="F1686" t="s">
        <v>75</v>
      </c>
      <c r="I1686" s="6">
        <v>0</v>
      </c>
      <c r="J1686" s="6">
        <v>0</v>
      </c>
      <c r="K1686" s="6">
        <v>0</v>
      </c>
      <c r="L1686" s="6">
        <v>1</v>
      </c>
      <c r="M1686" s="6">
        <v>0</v>
      </c>
      <c r="N1686" s="6">
        <v>0</v>
      </c>
      <c r="O1686" s="6">
        <v>0</v>
      </c>
      <c r="P1686" s="6">
        <v>0</v>
      </c>
      <c r="Q1686">
        <v>1</v>
      </c>
      <c r="R1686">
        <f t="shared" si="130"/>
        <v>0</v>
      </c>
      <c r="S1686">
        <f t="shared" si="131"/>
        <v>1</v>
      </c>
      <c r="T1686">
        <f t="shared" si="132"/>
        <v>1</v>
      </c>
      <c r="U1686">
        <f t="shared" si="133"/>
        <v>1</v>
      </c>
      <c r="V1686">
        <f t="shared" si="134"/>
        <v>0</v>
      </c>
    </row>
    <row r="1687" spans="1:22" x14ac:dyDescent="0.25">
      <c r="A1687">
        <v>1684</v>
      </c>
      <c r="B1687" t="s">
        <v>20</v>
      </c>
      <c r="C1687" t="s">
        <v>835</v>
      </c>
      <c r="D1687" s="4">
        <v>45411</v>
      </c>
      <c r="E1687" t="s">
        <v>1075</v>
      </c>
      <c r="F1687" t="s">
        <v>75</v>
      </c>
      <c r="I1687" s="6">
        <v>1</v>
      </c>
      <c r="J1687" s="6">
        <v>0</v>
      </c>
      <c r="K1687" s="6">
        <v>0</v>
      </c>
      <c r="L1687" s="6">
        <v>1</v>
      </c>
      <c r="M1687" s="6">
        <v>0</v>
      </c>
      <c r="N1687" s="6">
        <v>0</v>
      </c>
      <c r="O1687" s="6">
        <v>0</v>
      </c>
      <c r="P1687" s="6">
        <v>0</v>
      </c>
      <c r="Q1687">
        <v>1</v>
      </c>
      <c r="R1687">
        <f t="shared" si="130"/>
        <v>0</v>
      </c>
      <c r="S1687">
        <f t="shared" si="131"/>
        <v>1</v>
      </c>
      <c r="T1687">
        <f t="shared" si="132"/>
        <v>2</v>
      </c>
      <c r="U1687">
        <f t="shared" si="133"/>
        <v>1</v>
      </c>
      <c r="V1687">
        <f t="shared" si="134"/>
        <v>0</v>
      </c>
    </row>
    <row r="1688" spans="1:22" x14ac:dyDescent="0.25">
      <c r="A1688">
        <v>1685</v>
      </c>
      <c r="B1688" t="s">
        <v>20</v>
      </c>
      <c r="C1688" t="s">
        <v>835</v>
      </c>
      <c r="D1688" s="4">
        <v>45412</v>
      </c>
      <c r="E1688" t="s">
        <v>986</v>
      </c>
      <c r="F1688" t="s">
        <v>75</v>
      </c>
      <c r="H1688" t="s">
        <v>987</v>
      </c>
      <c r="I1688" s="6">
        <v>0</v>
      </c>
      <c r="J1688" s="6">
        <v>0</v>
      </c>
      <c r="K1688" s="6">
        <v>0</v>
      </c>
      <c r="L1688" s="6">
        <v>1</v>
      </c>
      <c r="M1688" s="6">
        <v>1</v>
      </c>
      <c r="N1688" s="6">
        <v>0</v>
      </c>
      <c r="O1688" s="6">
        <v>0</v>
      </c>
      <c r="P1688" s="6">
        <v>0</v>
      </c>
      <c r="Q1688">
        <v>1</v>
      </c>
      <c r="R1688">
        <f t="shared" si="130"/>
        <v>0</v>
      </c>
      <c r="S1688">
        <f t="shared" si="131"/>
        <v>1</v>
      </c>
      <c r="T1688">
        <f t="shared" si="132"/>
        <v>2</v>
      </c>
      <c r="U1688">
        <f t="shared" si="133"/>
        <v>1</v>
      </c>
      <c r="V1688">
        <f t="shared" si="134"/>
        <v>0</v>
      </c>
    </row>
    <row r="1689" spans="1:22" x14ac:dyDescent="0.25">
      <c r="A1689">
        <v>1686</v>
      </c>
      <c r="B1689" t="s">
        <v>20</v>
      </c>
      <c r="C1689" t="s">
        <v>835</v>
      </c>
      <c r="D1689" s="4">
        <v>45413</v>
      </c>
      <c r="E1689" t="s">
        <v>467</v>
      </c>
      <c r="F1689" t="s">
        <v>75</v>
      </c>
      <c r="I1689" s="6">
        <v>0</v>
      </c>
      <c r="J1689" s="6">
        <v>0</v>
      </c>
      <c r="K1689" s="6">
        <v>0</v>
      </c>
      <c r="L1689" s="6">
        <v>1</v>
      </c>
      <c r="M1689" s="6">
        <v>1</v>
      </c>
      <c r="N1689" s="6">
        <v>0</v>
      </c>
      <c r="O1689" s="6">
        <v>0</v>
      </c>
      <c r="P1689" s="6">
        <v>0</v>
      </c>
      <c r="Q1689">
        <v>1</v>
      </c>
      <c r="R1689">
        <f t="shared" si="130"/>
        <v>0</v>
      </c>
      <c r="S1689">
        <f t="shared" si="131"/>
        <v>1</v>
      </c>
      <c r="T1689">
        <f t="shared" si="132"/>
        <v>2</v>
      </c>
      <c r="U1689">
        <f t="shared" si="133"/>
        <v>1</v>
      </c>
      <c r="V1689">
        <f t="shared" si="134"/>
        <v>0</v>
      </c>
    </row>
    <row r="1690" spans="1:22" x14ac:dyDescent="0.25">
      <c r="A1690">
        <v>1687</v>
      </c>
      <c r="B1690" t="s">
        <v>20</v>
      </c>
      <c r="C1690" t="s">
        <v>835</v>
      </c>
      <c r="D1690" s="4">
        <v>45413</v>
      </c>
      <c r="E1690" t="s">
        <v>468</v>
      </c>
      <c r="F1690" t="s">
        <v>75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>
        <v>1</v>
      </c>
      <c r="R1690">
        <f t="shared" si="130"/>
        <v>0</v>
      </c>
      <c r="S1690">
        <f t="shared" si="131"/>
        <v>1</v>
      </c>
      <c r="T1690">
        <f t="shared" si="132"/>
        <v>0</v>
      </c>
      <c r="U1690">
        <f t="shared" si="133"/>
        <v>0</v>
      </c>
      <c r="V1690">
        <f t="shared" si="134"/>
        <v>0</v>
      </c>
    </row>
    <row r="1691" spans="1:22" x14ac:dyDescent="0.25">
      <c r="A1691">
        <v>1688</v>
      </c>
      <c r="B1691" t="s">
        <v>20</v>
      </c>
      <c r="C1691" t="s">
        <v>835</v>
      </c>
      <c r="D1691" s="4">
        <v>45414</v>
      </c>
      <c r="E1691" t="s">
        <v>313</v>
      </c>
      <c r="F1691" t="s">
        <v>413</v>
      </c>
      <c r="G1691">
        <v>94</v>
      </c>
      <c r="H1691" t="s">
        <v>988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>
        <v>1</v>
      </c>
      <c r="R1691">
        <f t="shared" si="130"/>
        <v>1</v>
      </c>
      <c r="S1691">
        <f t="shared" si="131"/>
        <v>0</v>
      </c>
      <c r="T1691">
        <f t="shared" si="132"/>
        <v>0</v>
      </c>
      <c r="U1691">
        <f t="shared" si="133"/>
        <v>0</v>
      </c>
      <c r="V1691">
        <f t="shared" si="134"/>
        <v>1</v>
      </c>
    </row>
    <row r="1692" spans="1:22" x14ac:dyDescent="0.25">
      <c r="A1692">
        <v>1689</v>
      </c>
      <c r="B1692" t="s">
        <v>20</v>
      </c>
      <c r="C1692" t="s">
        <v>835</v>
      </c>
      <c r="D1692" s="4">
        <v>45414</v>
      </c>
      <c r="E1692" t="s">
        <v>314</v>
      </c>
      <c r="F1692" t="s">
        <v>75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>
        <v>1</v>
      </c>
      <c r="R1692">
        <f t="shared" si="130"/>
        <v>0</v>
      </c>
      <c r="S1692">
        <f t="shared" si="131"/>
        <v>1</v>
      </c>
      <c r="T1692">
        <f t="shared" si="132"/>
        <v>0</v>
      </c>
      <c r="U1692">
        <f t="shared" si="133"/>
        <v>0</v>
      </c>
      <c r="V1692">
        <f t="shared" si="134"/>
        <v>0</v>
      </c>
    </row>
    <row r="1693" spans="1:22" x14ac:dyDescent="0.25">
      <c r="A1693">
        <v>1690</v>
      </c>
      <c r="B1693" t="s">
        <v>20</v>
      </c>
      <c r="C1693" t="s">
        <v>835</v>
      </c>
      <c r="D1693" s="4">
        <v>45414</v>
      </c>
      <c r="E1693" t="s">
        <v>989</v>
      </c>
      <c r="F1693" t="s">
        <v>413</v>
      </c>
      <c r="G1693">
        <v>95</v>
      </c>
      <c r="H1693" t="s">
        <v>988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>
        <v>1</v>
      </c>
      <c r="R1693">
        <f t="shared" si="130"/>
        <v>1</v>
      </c>
      <c r="S1693">
        <f t="shared" si="131"/>
        <v>0</v>
      </c>
      <c r="T1693">
        <f t="shared" si="132"/>
        <v>0</v>
      </c>
      <c r="U1693">
        <f t="shared" si="133"/>
        <v>0</v>
      </c>
      <c r="V1693">
        <f t="shared" si="134"/>
        <v>1</v>
      </c>
    </row>
    <row r="1694" spans="1:22" x14ac:dyDescent="0.25">
      <c r="A1694">
        <v>1691</v>
      </c>
      <c r="B1694" t="s">
        <v>20</v>
      </c>
      <c r="C1694" t="s">
        <v>835</v>
      </c>
      <c r="D1694" s="4">
        <v>45414</v>
      </c>
      <c r="E1694" t="s">
        <v>990</v>
      </c>
      <c r="F1694" t="s">
        <v>413</v>
      </c>
      <c r="G1694">
        <v>96</v>
      </c>
      <c r="H1694" t="s">
        <v>988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>
        <v>1</v>
      </c>
      <c r="R1694">
        <f t="shared" si="130"/>
        <v>1</v>
      </c>
      <c r="S1694">
        <f t="shared" si="131"/>
        <v>0</v>
      </c>
      <c r="T1694">
        <f t="shared" si="132"/>
        <v>0</v>
      </c>
      <c r="U1694">
        <f t="shared" si="133"/>
        <v>0</v>
      </c>
      <c r="V1694">
        <f t="shared" si="134"/>
        <v>1</v>
      </c>
    </row>
    <row r="1695" spans="1:22" x14ac:dyDescent="0.25">
      <c r="A1695">
        <v>1692</v>
      </c>
      <c r="B1695" t="s">
        <v>20</v>
      </c>
      <c r="C1695" t="s">
        <v>835</v>
      </c>
      <c r="D1695" s="4">
        <v>45415</v>
      </c>
      <c r="E1695" t="s">
        <v>882</v>
      </c>
      <c r="F1695" t="s">
        <v>75</v>
      </c>
      <c r="H1695" t="s">
        <v>991</v>
      </c>
      <c r="I1695" s="6">
        <v>1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>
        <v>1</v>
      </c>
      <c r="R1695">
        <f t="shared" si="130"/>
        <v>0</v>
      </c>
      <c r="S1695">
        <f t="shared" si="131"/>
        <v>1</v>
      </c>
      <c r="T1695">
        <f t="shared" si="132"/>
        <v>1</v>
      </c>
      <c r="U1695">
        <f t="shared" si="133"/>
        <v>1</v>
      </c>
      <c r="V1695">
        <f t="shared" si="134"/>
        <v>0</v>
      </c>
    </row>
    <row r="1696" spans="1:22" x14ac:dyDescent="0.25">
      <c r="A1696">
        <v>1693</v>
      </c>
      <c r="B1696" t="s">
        <v>20</v>
      </c>
      <c r="C1696" t="s">
        <v>835</v>
      </c>
      <c r="D1696" s="4">
        <v>45415</v>
      </c>
      <c r="E1696" t="s">
        <v>883</v>
      </c>
      <c r="F1696" t="s">
        <v>75</v>
      </c>
      <c r="I1696" s="6">
        <v>1</v>
      </c>
      <c r="J1696" s="6">
        <v>1</v>
      </c>
      <c r="K1696" s="6">
        <v>1</v>
      </c>
      <c r="L1696" s="6">
        <v>1</v>
      </c>
      <c r="M1696" s="6">
        <v>0</v>
      </c>
      <c r="N1696" s="6">
        <v>0</v>
      </c>
      <c r="O1696" s="6">
        <v>0</v>
      </c>
      <c r="P1696" s="6">
        <v>0</v>
      </c>
      <c r="Q1696">
        <v>1</v>
      </c>
      <c r="R1696">
        <f t="shared" si="130"/>
        <v>0</v>
      </c>
      <c r="S1696">
        <f t="shared" si="131"/>
        <v>1</v>
      </c>
      <c r="T1696">
        <f t="shared" si="132"/>
        <v>4</v>
      </c>
      <c r="U1696">
        <f t="shared" si="133"/>
        <v>1</v>
      </c>
      <c r="V1696">
        <f t="shared" si="134"/>
        <v>0</v>
      </c>
    </row>
    <row r="1697" spans="1:22" x14ac:dyDescent="0.25">
      <c r="A1697">
        <v>1694</v>
      </c>
      <c r="B1697" t="s">
        <v>20</v>
      </c>
      <c r="C1697" t="s">
        <v>835</v>
      </c>
      <c r="D1697" s="4">
        <v>45415</v>
      </c>
      <c r="E1697" t="s">
        <v>884</v>
      </c>
      <c r="F1697" t="s">
        <v>75</v>
      </c>
      <c r="H1697" t="s">
        <v>992</v>
      </c>
      <c r="I1697" s="6">
        <v>0</v>
      </c>
      <c r="J1697" s="6">
        <v>0</v>
      </c>
      <c r="K1697" s="6">
        <v>0</v>
      </c>
      <c r="L1697" s="6">
        <v>1</v>
      </c>
      <c r="M1697" s="6">
        <v>0</v>
      </c>
      <c r="N1697" s="6">
        <v>0</v>
      </c>
      <c r="O1697" s="6">
        <v>1</v>
      </c>
      <c r="P1697" s="6">
        <v>0</v>
      </c>
      <c r="Q1697">
        <v>1</v>
      </c>
      <c r="R1697">
        <f t="shared" si="130"/>
        <v>0</v>
      </c>
      <c r="S1697">
        <f t="shared" si="131"/>
        <v>1</v>
      </c>
      <c r="T1697">
        <f t="shared" si="132"/>
        <v>2</v>
      </c>
      <c r="U1697">
        <f t="shared" si="133"/>
        <v>1</v>
      </c>
      <c r="V1697">
        <f t="shared" si="134"/>
        <v>0</v>
      </c>
    </row>
    <row r="1698" spans="1:22" x14ac:dyDescent="0.25">
      <c r="A1698">
        <v>1695</v>
      </c>
      <c r="B1698" t="s">
        <v>20</v>
      </c>
      <c r="C1698" t="s">
        <v>835</v>
      </c>
      <c r="D1698" s="4">
        <v>45416</v>
      </c>
      <c r="E1698" t="s">
        <v>315</v>
      </c>
      <c r="F1698" t="s">
        <v>75</v>
      </c>
      <c r="H1698" t="s">
        <v>993</v>
      </c>
      <c r="I1698" s="6">
        <v>0</v>
      </c>
      <c r="J1698" s="6">
        <v>0</v>
      </c>
      <c r="K1698" s="6">
        <v>0</v>
      </c>
      <c r="L1698" s="6">
        <v>1</v>
      </c>
      <c r="M1698" s="6">
        <v>1</v>
      </c>
      <c r="N1698" s="6">
        <v>0</v>
      </c>
      <c r="O1698" s="6">
        <v>0</v>
      </c>
      <c r="P1698" s="6">
        <v>0</v>
      </c>
      <c r="Q1698">
        <v>1</v>
      </c>
      <c r="R1698">
        <f t="shared" si="130"/>
        <v>0</v>
      </c>
      <c r="S1698">
        <f t="shared" si="131"/>
        <v>1</v>
      </c>
      <c r="T1698">
        <f t="shared" si="132"/>
        <v>2</v>
      </c>
      <c r="U1698">
        <f t="shared" si="133"/>
        <v>1</v>
      </c>
      <c r="V1698">
        <f t="shared" si="134"/>
        <v>0</v>
      </c>
    </row>
    <row r="1699" spans="1:22" x14ac:dyDescent="0.25">
      <c r="A1699">
        <v>1696</v>
      </c>
      <c r="B1699" t="s">
        <v>20</v>
      </c>
      <c r="C1699" t="s">
        <v>835</v>
      </c>
      <c r="D1699" s="4">
        <v>45416</v>
      </c>
      <c r="E1699" t="s">
        <v>316</v>
      </c>
      <c r="F1699" t="s">
        <v>75</v>
      </c>
      <c r="H1699" t="s">
        <v>994</v>
      </c>
      <c r="I1699" s="6">
        <v>0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>
        <v>1</v>
      </c>
      <c r="R1699">
        <f t="shared" si="130"/>
        <v>0</v>
      </c>
      <c r="S1699">
        <f t="shared" si="131"/>
        <v>1</v>
      </c>
      <c r="T1699">
        <f t="shared" si="132"/>
        <v>0</v>
      </c>
      <c r="U1699">
        <f t="shared" si="133"/>
        <v>0</v>
      </c>
      <c r="V1699">
        <f t="shared" si="134"/>
        <v>0</v>
      </c>
    </row>
    <row r="1700" spans="1:22" x14ac:dyDescent="0.25">
      <c r="A1700">
        <v>1697</v>
      </c>
      <c r="B1700" t="s">
        <v>20</v>
      </c>
      <c r="C1700" t="s">
        <v>835</v>
      </c>
      <c r="D1700" s="4">
        <v>45417</v>
      </c>
      <c r="E1700" t="s">
        <v>995</v>
      </c>
      <c r="F1700" t="s">
        <v>75</v>
      </c>
      <c r="I1700" s="6">
        <v>0</v>
      </c>
      <c r="J1700" s="6">
        <v>0</v>
      </c>
      <c r="K1700" s="6">
        <v>0</v>
      </c>
      <c r="L1700" s="6">
        <v>1</v>
      </c>
      <c r="M1700" s="6">
        <v>0</v>
      </c>
      <c r="N1700" s="6">
        <v>0</v>
      </c>
      <c r="O1700" s="6">
        <v>0</v>
      </c>
      <c r="P1700" s="6">
        <v>0</v>
      </c>
      <c r="Q1700">
        <v>1</v>
      </c>
      <c r="R1700">
        <f t="shared" si="130"/>
        <v>0</v>
      </c>
      <c r="S1700">
        <f t="shared" si="131"/>
        <v>1</v>
      </c>
      <c r="T1700">
        <f t="shared" si="132"/>
        <v>1</v>
      </c>
      <c r="U1700">
        <f t="shared" si="133"/>
        <v>1</v>
      </c>
      <c r="V1700">
        <f t="shared" si="134"/>
        <v>0</v>
      </c>
    </row>
    <row r="1701" spans="1:22" x14ac:dyDescent="0.25">
      <c r="A1701">
        <v>1698</v>
      </c>
      <c r="B1701" t="s">
        <v>20</v>
      </c>
      <c r="C1701" t="s">
        <v>835</v>
      </c>
      <c r="D1701" s="4">
        <v>45417</v>
      </c>
      <c r="E1701" t="s">
        <v>996</v>
      </c>
      <c r="F1701" t="s">
        <v>75</v>
      </c>
      <c r="H1701" t="s">
        <v>997</v>
      </c>
      <c r="I1701" s="6">
        <v>0</v>
      </c>
      <c r="J1701" s="6">
        <v>0</v>
      </c>
      <c r="K1701" s="6">
        <v>0</v>
      </c>
      <c r="L1701" s="6">
        <v>1</v>
      </c>
      <c r="M1701" s="6">
        <v>0</v>
      </c>
      <c r="N1701" s="6">
        <v>0</v>
      </c>
      <c r="O1701" s="6">
        <v>0</v>
      </c>
      <c r="P1701" s="6">
        <v>0</v>
      </c>
      <c r="Q1701">
        <v>1</v>
      </c>
      <c r="R1701">
        <f t="shared" si="130"/>
        <v>0</v>
      </c>
      <c r="S1701">
        <f t="shared" si="131"/>
        <v>1</v>
      </c>
      <c r="T1701">
        <f t="shared" si="132"/>
        <v>1</v>
      </c>
      <c r="U1701">
        <f t="shared" si="133"/>
        <v>1</v>
      </c>
      <c r="V1701">
        <f t="shared" si="134"/>
        <v>0</v>
      </c>
    </row>
    <row r="1702" spans="1:22" x14ac:dyDescent="0.25">
      <c r="A1702">
        <v>1699</v>
      </c>
      <c r="B1702" t="s">
        <v>20</v>
      </c>
      <c r="C1702" t="s">
        <v>835</v>
      </c>
      <c r="D1702" s="4">
        <v>45417</v>
      </c>
      <c r="E1702" t="s">
        <v>1079</v>
      </c>
      <c r="F1702" t="s">
        <v>75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>
        <v>1</v>
      </c>
      <c r="R1702">
        <f t="shared" si="130"/>
        <v>0</v>
      </c>
      <c r="S1702">
        <f t="shared" si="131"/>
        <v>1</v>
      </c>
      <c r="T1702">
        <f t="shared" si="132"/>
        <v>0</v>
      </c>
      <c r="U1702">
        <f t="shared" si="133"/>
        <v>0</v>
      </c>
      <c r="V1702">
        <f t="shared" si="134"/>
        <v>0</v>
      </c>
    </row>
    <row r="1703" spans="1:22" x14ac:dyDescent="0.25">
      <c r="A1703">
        <v>1700</v>
      </c>
      <c r="B1703" t="s">
        <v>20</v>
      </c>
      <c r="C1703" t="s">
        <v>835</v>
      </c>
      <c r="D1703" s="4">
        <v>45418</v>
      </c>
      <c r="E1703" t="s">
        <v>470</v>
      </c>
      <c r="F1703" t="s">
        <v>75</v>
      </c>
      <c r="H1703" t="s">
        <v>998</v>
      </c>
      <c r="I1703" s="6">
        <v>0</v>
      </c>
      <c r="J1703" s="6">
        <v>0</v>
      </c>
      <c r="K1703" s="6">
        <v>0</v>
      </c>
      <c r="L1703" s="6">
        <v>1</v>
      </c>
      <c r="M1703" s="6">
        <v>1</v>
      </c>
      <c r="N1703" s="6">
        <v>0</v>
      </c>
      <c r="O1703" s="6">
        <v>0</v>
      </c>
      <c r="P1703" s="6">
        <v>0</v>
      </c>
      <c r="Q1703">
        <v>1</v>
      </c>
      <c r="R1703">
        <f t="shared" si="130"/>
        <v>0</v>
      </c>
      <c r="S1703">
        <f t="shared" si="131"/>
        <v>1</v>
      </c>
      <c r="T1703">
        <f t="shared" si="132"/>
        <v>2</v>
      </c>
      <c r="U1703">
        <f t="shared" si="133"/>
        <v>1</v>
      </c>
      <c r="V1703">
        <f t="shared" si="134"/>
        <v>0</v>
      </c>
    </row>
    <row r="1704" spans="1:22" x14ac:dyDescent="0.25">
      <c r="A1704">
        <v>1701</v>
      </c>
      <c r="B1704" t="s">
        <v>20</v>
      </c>
      <c r="C1704" t="s">
        <v>835</v>
      </c>
      <c r="D1704" s="4">
        <v>45419</v>
      </c>
      <c r="E1704" t="s">
        <v>886</v>
      </c>
      <c r="F1704" t="s">
        <v>75</v>
      </c>
      <c r="H1704" t="s">
        <v>999</v>
      </c>
      <c r="I1704" s="6">
        <v>0</v>
      </c>
      <c r="J1704" s="6">
        <v>0</v>
      </c>
      <c r="K1704" s="6">
        <v>0</v>
      </c>
      <c r="L1704" s="6">
        <v>1</v>
      </c>
      <c r="M1704" s="6">
        <v>0</v>
      </c>
      <c r="N1704" s="6">
        <v>1</v>
      </c>
      <c r="O1704" s="6">
        <v>0</v>
      </c>
      <c r="P1704" s="6">
        <v>0</v>
      </c>
      <c r="Q1704">
        <v>1</v>
      </c>
      <c r="R1704">
        <f t="shared" si="130"/>
        <v>0</v>
      </c>
      <c r="S1704">
        <f t="shared" si="131"/>
        <v>1</v>
      </c>
      <c r="T1704">
        <f t="shared" si="132"/>
        <v>2</v>
      </c>
      <c r="U1704">
        <f t="shared" si="133"/>
        <v>1</v>
      </c>
      <c r="V1704">
        <f t="shared" si="134"/>
        <v>0</v>
      </c>
    </row>
    <row r="1705" spans="1:22" x14ac:dyDescent="0.25">
      <c r="A1705">
        <v>1702</v>
      </c>
      <c r="B1705" t="s">
        <v>20</v>
      </c>
      <c r="C1705" t="s">
        <v>835</v>
      </c>
      <c r="D1705" s="4">
        <v>45420</v>
      </c>
      <c r="E1705" t="s">
        <v>471</v>
      </c>
      <c r="F1705" t="s">
        <v>75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1</v>
      </c>
      <c r="O1705" s="6">
        <v>0</v>
      </c>
      <c r="P1705" s="6">
        <v>0</v>
      </c>
      <c r="Q1705">
        <v>1</v>
      </c>
      <c r="R1705">
        <f t="shared" si="130"/>
        <v>0</v>
      </c>
      <c r="S1705">
        <f t="shared" si="131"/>
        <v>1</v>
      </c>
      <c r="T1705">
        <f t="shared" si="132"/>
        <v>1</v>
      </c>
      <c r="U1705">
        <f t="shared" si="133"/>
        <v>1</v>
      </c>
      <c r="V1705">
        <f t="shared" si="134"/>
        <v>0</v>
      </c>
    </row>
    <row r="1706" spans="1:22" x14ac:dyDescent="0.25">
      <c r="A1706">
        <v>1703</v>
      </c>
      <c r="B1706" t="s">
        <v>20</v>
      </c>
      <c r="C1706" t="s">
        <v>835</v>
      </c>
      <c r="D1706" s="4">
        <v>45420</v>
      </c>
      <c r="E1706" t="s">
        <v>472</v>
      </c>
      <c r="F1706" t="s">
        <v>75</v>
      </c>
      <c r="H1706" t="s">
        <v>1000</v>
      </c>
      <c r="I1706" s="6">
        <v>0</v>
      </c>
      <c r="J1706" s="6">
        <v>0</v>
      </c>
      <c r="K1706" s="6">
        <v>0</v>
      </c>
      <c r="L1706" s="6">
        <v>1</v>
      </c>
      <c r="M1706" s="6">
        <v>0</v>
      </c>
      <c r="N1706" s="6">
        <v>0</v>
      </c>
      <c r="O1706" s="6">
        <v>0</v>
      </c>
      <c r="P1706" s="6">
        <v>0</v>
      </c>
      <c r="Q1706">
        <v>1</v>
      </c>
      <c r="R1706">
        <f t="shared" si="130"/>
        <v>0</v>
      </c>
      <c r="S1706">
        <f t="shared" si="131"/>
        <v>1</v>
      </c>
      <c r="T1706">
        <f t="shared" si="132"/>
        <v>1</v>
      </c>
      <c r="U1706">
        <f t="shared" si="133"/>
        <v>1</v>
      </c>
      <c r="V1706">
        <f t="shared" si="134"/>
        <v>0</v>
      </c>
    </row>
    <row r="1707" spans="1:22" x14ac:dyDescent="0.25">
      <c r="A1707">
        <v>1704</v>
      </c>
      <c r="B1707" t="s">
        <v>20</v>
      </c>
      <c r="C1707" t="s">
        <v>835</v>
      </c>
      <c r="D1707" s="4">
        <v>45421</v>
      </c>
      <c r="E1707" t="s">
        <v>1231</v>
      </c>
      <c r="F1707" t="s">
        <v>75</v>
      </c>
      <c r="I1707" s="6">
        <v>0</v>
      </c>
      <c r="J1707" s="6">
        <v>0</v>
      </c>
      <c r="K1707" s="6">
        <v>0</v>
      </c>
      <c r="L1707" s="6">
        <v>1</v>
      </c>
      <c r="M1707" s="6">
        <v>0</v>
      </c>
      <c r="N1707" s="6">
        <v>0</v>
      </c>
      <c r="O1707" s="6">
        <v>0</v>
      </c>
      <c r="P1707" s="6">
        <v>0</v>
      </c>
      <c r="Q1707">
        <v>1</v>
      </c>
      <c r="R1707">
        <f t="shared" si="130"/>
        <v>0</v>
      </c>
      <c r="S1707">
        <f t="shared" si="131"/>
        <v>1</v>
      </c>
      <c r="T1707">
        <f t="shared" si="132"/>
        <v>1</v>
      </c>
      <c r="U1707">
        <f t="shared" si="133"/>
        <v>1</v>
      </c>
      <c r="V1707">
        <f t="shared" si="134"/>
        <v>0</v>
      </c>
    </row>
    <row r="1708" spans="1:22" x14ac:dyDescent="0.25">
      <c r="A1708">
        <v>1705</v>
      </c>
      <c r="B1708" t="s">
        <v>20</v>
      </c>
      <c r="C1708" t="s">
        <v>835</v>
      </c>
      <c r="D1708" s="4">
        <v>45422</v>
      </c>
      <c r="E1708" t="s">
        <v>474</v>
      </c>
      <c r="F1708" t="s">
        <v>75</v>
      </c>
      <c r="I1708" s="6">
        <v>0</v>
      </c>
      <c r="J1708" s="6">
        <v>0</v>
      </c>
      <c r="K1708" s="6">
        <v>0</v>
      </c>
      <c r="L1708" s="6">
        <v>1</v>
      </c>
      <c r="M1708" s="6">
        <v>0</v>
      </c>
      <c r="N1708" s="6">
        <v>0</v>
      </c>
      <c r="O1708" s="6">
        <v>0</v>
      </c>
      <c r="P1708" s="6">
        <v>0</v>
      </c>
      <c r="Q1708">
        <v>1</v>
      </c>
      <c r="R1708">
        <f t="shared" si="130"/>
        <v>0</v>
      </c>
      <c r="S1708">
        <f t="shared" si="131"/>
        <v>1</v>
      </c>
      <c r="T1708">
        <f t="shared" si="132"/>
        <v>1</v>
      </c>
      <c r="U1708">
        <f t="shared" si="133"/>
        <v>1</v>
      </c>
      <c r="V1708">
        <f t="shared" si="134"/>
        <v>0</v>
      </c>
    </row>
    <row r="1709" spans="1:22" x14ac:dyDescent="0.25">
      <c r="A1709">
        <v>1706</v>
      </c>
      <c r="B1709" t="s">
        <v>20</v>
      </c>
      <c r="C1709" t="s">
        <v>835</v>
      </c>
      <c r="D1709" s="4">
        <v>45423</v>
      </c>
      <c r="E1709" t="s">
        <v>887</v>
      </c>
      <c r="F1709" t="s">
        <v>75</v>
      </c>
      <c r="H1709" t="s">
        <v>1001</v>
      </c>
      <c r="I1709" s="6">
        <v>0</v>
      </c>
      <c r="J1709" s="6">
        <v>0</v>
      </c>
      <c r="K1709" s="6">
        <v>0</v>
      </c>
      <c r="L1709" s="6">
        <v>1</v>
      </c>
      <c r="M1709" s="6">
        <v>0</v>
      </c>
      <c r="N1709" s="6">
        <v>0</v>
      </c>
      <c r="O1709" s="6">
        <v>0</v>
      </c>
      <c r="P1709" s="6">
        <v>1</v>
      </c>
      <c r="Q1709">
        <v>1</v>
      </c>
      <c r="R1709">
        <f t="shared" si="130"/>
        <v>0</v>
      </c>
      <c r="S1709">
        <f t="shared" si="131"/>
        <v>1</v>
      </c>
      <c r="T1709">
        <f t="shared" si="132"/>
        <v>2</v>
      </c>
      <c r="U1709">
        <f t="shared" si="133"/>
        <v>1</v>
      </c>
      <c r="V1709">
        <f t="shared" si="134"/>
        <v>0</v>
      </c>
    </row>
    <row r="1710" spans="1:22" x14ac:dyDescent="0.25">
      <c r="A1710">
        <v>1707</v>
      </c>
      <c r="B1710" t="s">
        <v>20</v>
      </c>
      <c r="C1710" t="s">
        <v>835</v>
      </c>
      <c r="D1710" s="4">
        <v>45424</v>
      </c>
      <c r="E1710" t="s">
        <v>1002</v>
      </c>
      <c r="F1710" t="s">
        <v>75</v>
      </c>
      <c r="H1710" t="s">
        <v>1003</v>
      </c>
      <c r="I1710" s="6">
        <v>0</v>
      </c>
      <c r="J1710" s="6">
        <v>0</v>
      </c>
      <c r="K1710" s="6">
        <v>0</v>
      </c>
      <c r="L1710" s="6">
        <v>1</v>
      </c>
      <c r="M1710" s="6">
        <v>0</v>
      </c>
      <c r="N1710" s="6">
        <v>1</v>
      </c>
      <c r="O1710" s="6">
        <v>0</v>
      </c>
      <c r="P1710" s="6">
        <v>0</v>
      </c>
      <c r="Q1710">
        <v>1</v>
      </c>
      <c r="R1710">
        <f t="shared" si="130"/>
        <v>0</v>
      </c>
      <c r="S1710">
        <f t="shared" si="131"/>
        <v>1</v>
      </c>
      <c r="T1710">
        <f t="shared" si="132"/>
        <v>2</v>
      </c>
      <c r="U1710">
        <f t="shared" si="133"/>
        <v>1</v>
      </c>
      <c r="V1710">
        <f t="shared" si="134"/>
        <v>0</v>
      </c>
    </row>
    <row r="1711" spans="1:22" x14ac:dyDescent="0.25">
      <c r="A1711">
        <v>1708</v>
      </c>
      <c r="B1711" t="s">
        <v>20</v>
      </c>
      <c r="C1711" t="s">
        <v>835</v>
      </c>
      <c r="D1711" s="4">
        <v>45425</v>
      </c>
      <c r="E1711" t="s">
        <v>333</v>
      </c>
      <c r="F1711" t="s">
        <v>75</v>
      </c>
      <c r="H1711" t="s">
        <v>1004</v>
      </c>
      <c r="I1711" s="6">
        <v>0</v>
      </c>
      <c r="J1711" s="6">
        <v>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>
        <v>1</v>
      </c>
      <c r="R1711">
        <f t="shared" si="130"/>
        <v>0</v>
      </c>
      <c r="S1711">
        <f t="shared" si="131"/>
        <v>1</v>
      </c>
      <c r="T1711">
        <f t="shared" si="132"/>
        <v>0</v>
      </c>
      <c r="U1711">
        <f t="shared" si="133"/>
        <v>0</v>
      </c>
      <c r="V1711">
        <f t="shared" si="134"/>
        <v>0</v>
      </c>
    </row>
    <row r="1712" spans="1:22" x14ac:dyDescent="0.25">
      <c r="A1712">
        <v>1709</v>
      </c>
      <c r="B1712" t="s">
        <v>20</v>
      </c>
      <c r="C1712" t="s">
        <v>835</v>
      </c>
      <c r="D1712" s="4">
        <v>45425</v>
      </c>
      <c r="E1712" t="s">
        <v>334</v>
      </c>
      <c r="F1712" t="s">
        <v>75</v>
      </c>
      <c r="I1712" s="6">
        <v>0</v>
      </c>
      <c r="J1712" s="6">
        <v>0</v>
      </c>
      <c r="K1712" s="6">
        <v>0</v>
      </c>
      <c r="L1712" s="6">
        <v>1</v>
      </c>
      <c r="M1712" s="6">
        <v>0</v>
      </c>
      <c r="N1712" s="6">
        <v>0</v>
      </c>
      <c r="O1712" s="6">
        <v>0</v>
      </c>
      <c r="P1712" s="6">
        <v>0</v>
      </c>
      <c r="Q1712">
        <v>1</v>
      </c>
      <c r="R1712">
        <f t="shared" si="130"/>
        <v>0</v>
      </c>
      <c r="S1712">
        <f t="shared" si="131"/>
        <v>1</v>
      </c>
      <c r="T1712">
        <f t="shared" si="132"/>
        <v>1</v>
      </c>
      <c r="U1712">
        <f t="shared" si="133"/>
        <v>1</v>
      </c>
      <c r="V1712">
        <f t="shared" si="134"/>
        <v>0</v>
      </c>
    </row>
    <row r="1713" spans="1:22" x14ac:dyDescent="0.25">
      <c r="A1713">
        <v>1710</v>
      </c>
      <c r="B1713" t="s">
        <v>20</v>
      </c>
      <c r="C1713" t="s">
        <v>835</v>
      </c>
      <c r="D1713" s="4">
        <v>45426</v>
      </c>
      <c r="E1713" t="s">
        <v>335</v>
      </c>
      <c r="F1713" t="s">
        <v>75</v>
      </c>
      <c r="H1713" t="s">
        <v>1005</v>
      </c>
      <c r="I1713" s="6">
        <v>0</v>
      </c>
      <c r="J1713" s="6">
        <v>0</v>
      </c>
      <c r="K1713" s="6">
        <v>0</v>
      </c>
      <c r="L1713" s="6">
        <v>1</v>
      </c>
      <c r="M1713" s="6">
        <v>1</v>
      </c>
      <c r="N1713" s="6">
        <v>0</v>
      </c>
      <c r="O1713" s="6">
        <v>0</v>
      </c>
      <c r="P1713" s="6">
        <v>0</v>
      </c>
      <c r="Q1713">
        <v>1</v>
      </c>
      <c r="R1713">
        <f t="shared" si="130"/>
        <v>0</v>
      </c>
      <c r="S1713">
        <f t="shared" si="131"/>
        <v>1</v>
      </c>
      <c r="T1713">
        <f t="shared" si="132"/>
        <v>2</v>
      </c>
      <c r="U1713">
        <f t="shared" si="133"/>
        <v>1</v>
      </c>
      <c r="V1713">
        <f t="shared" si="134"/>
        <v>0</v>
      </c>
    </row>
    <row r="1714" spans="1:22" x14ac:dyDescent="0.25">
      <c r="A1714">
        <v>1711</v>
      </c>
      <c r="B1714" t="s">
        <v>20</v>
      </c>
      <c r="C1714" t="s">
        <v>835</v>
      </c>
      <c r="D1714" s="4">
        <v>45426</v>
      </c>
      <c r="E1714" t="s">
        <v>1185</v>
      </c>
      <c r="F1714" t="s">
        <v>75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>
        <v>1</v>
      </c>
      <c r="R1714">
        <f t="shared" si="130"/>
        <v>0</v>
      </c>
      <c r="S1714">
        <f t="shared" si="131"/>
        <v>1</v>
      </c>
      <c r="T1714">
        <f t="shared" si="132"/>
        <v>0</v>
      </c>
      <c r="U1714">
        <f t="shared" si="133"/>
        <v>0</v>
      </c>
      <c r="V1714">
        <f t="shared" si="134"/>
        <v>0</v>
      </c>
    </row>
    <row r="1715" spans="1:22" x14ac:dyDescent="0.25">
      <c r="A1715">
        <v>1712</v>
      </c>
      <c r="B1715" t="s">
        <v>20</v>
      </c>
      <c r="C1715" t="s">
        <v>835</v>
      </c>
      <c r="D1715" s="4">
        <v>45427</v>
      </c>
      <c r="E1715" t="s">
        <v>1006</v>
      </c>
      <c r="F1715" t="s">
        <v>75</v>
      </c>
      <c r="H1715" t="s">
        <v>1007</v>
      </c>
      <c r="I1715" s="6">
        <v>0</v>
      </c>
      <c r="J1715" s="6">
        <v>0</v>
      </c>
      <c r="K1715" s="6">
        <v>0</v>
      </c>
      <c r="L1715" s="6">
        <v>1</v>
      </c>
      <c r="M1715" s="6">
        <v>0</v>
      </c>
      <c r="N1715" s="6">
        <v>0</v>
      </c>
      <c r="O1715" s="6">
        <v>0</v>
      </c>
      <c r="P1715" s="6">
        <v>0</v>
      </c>
      <c r="Q1715">
        <v>1</v>
      </c>
      <c r="R1715">
        <f t="shared" si="130"/>
        <v>0</v>
      </c>
      <c r="S1715">
        <f t="shared" si="131"/>
        <v>1</v>
      </c>
      <c r="T1715">
        <f t="shared" si="132"/>
        <v>1</v>
      </c>
      <c r="U1715">
        <f t="shared" si="133"/>
        <v>1</v>
      </c>
      <c r="V1715">
        <f t="shared" si="134"/>
        <v>0</v>
      </c>
    </row>
    <row r="1716" spans="1:22" x14ac:dyDescent="0.25">
      <c r="A1716">
        <v>1713</v>
      </c>
      <c r="B1716" t="s">
        <v>20</v>
      </c>
      <c r="C1716" t="s">
        <v>835</v>
      </c>
      <c r="D1716" s="4">
        <v>45428</v>
      </c>
      <c r="E1716" t="s">
        <v>341</v>
      </c>
      <c r="F1716" t="s">
        <v>75</v>
      </c>
      <c r="I1716" s="6">
        <v>0</v>
      </c>
      <c r="J1716" s="6">
        <v>0</v>
      </c>
      <c r="K1716" s="6">
        <v>0</v>
      </c>
      <c r="L1716" s="6">
        <v>1</v>
      </c>
      <c r="M1716" s="6">
        <v>0</v>
      </c>
      <c r="N1716" s="6">
        <v>0</v>
      </c>
      <c r="O1716" s="6">
        <v>0</v>
      </c>
      <c r="P1716" s="6">
        <v>0</v>
      </c>
      <c r="Q1716">
        <v>1</v>
      </c>
      <c r="R1716">
        <f t="shared" si="130"/>
        <v>0</v>
      </c>
      <c r="S1716">
        <f t="shared" si="131"/>
        <v>1</v>
      </c>
      <c r="T1716">
        <f t="shared" si="132"/>
        <v>1</v>
      </c>
      <c r="U1716">
        <f t="shared" si="133"/>
        <v>1</v>
      </c>
      <c r="V1716">
        <f t="shared" si="134"/>
        <v>0</v>
      </c>
    </row>
    <row r="1717" spans="1:22" x14ac:dyDescent="0.25">
      <c r="A1717">
        <v>1714</v>
      </c>
      <c r="B1717" t="s">
        <v>20</v>
      </c>
      <c r="C1717" t="s">
        <v>835</v>
      </c>
      <c r="D1717" s="4">
        <v>45428</v>
      </c>
      <c r="E1717" t="s">
        <v>342</v>
      </c>
      <c r="F1717" t="s">
        <v>75</v>
      </c>
      <c r="I1717" s="6">
        <v>0</v>
      </c>
      <c r="J1717" s="6">
        <v>0</v>
      </c>
      <c r="K1717" s="6">
        <v>0</v>
      </c>
      <c r="L1717" s="6">
        <v>1</v>
      </c>
      <c r="M1717" s="6">
        <v>0</v>
      </c>
      <c r="N1717" s="6">
        <v>0</v>
      </c>
      <c r="O1717" s="6">
        <v>0</v>
      </c>
      <c r="P1717" s="6">
        <v>0</v>
      </c>
      <c r="Q1717">
        <v>1</v>
      </c>
      <c r="R1717">
        <f t="shared" si="130"/>
        <v>0</v>
      </c>
      <c r="S1717">
        <f t="shared" si="131"/>
        <v>1</v>
      </c>
      <c r="T1717">
        <f t="shared" si="132"/>
        <v>1</v>
      </c>
      <c r="U1717">
        <f t="shared" si="133"/>
        <v>1</v>
      </c>
      <c r="V1717">
        <f t="shared" si="134"/>
        <v>0</v>
      </c>
    </row>
    <row r="1718" spans="1:22" x14ac:dyDescent="0.25">
      <c r="A1718">
        <v>1715</v>
      </c>
      <c r="B1718" t="s">
        <v>20</v>
      </c>
      <c r="C1718" t="s">
        <v>835</v>
      </c>
      <c r="D1718" s="4">
        <v>45428</v>
      </c>
      <c r="E1718" t="s">
        <v>343</v>
      </c>
      <c r="F1718" t="s">
        <v>75</v>
      </c>
      <c r="I1718" s="6">
        <v>0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>
        <v>1</v>
      </c>
      <c r="R1718">
        <f t="shared" si="130"/>
        <v>0</v>
      </c>
      <c r="S1718">
        <f t="shared" si="131"/>
        <v>1</v>
      </c>
      <c r="T1718">
        <f t="shared" si="132"/>
        <v>0</v>
      </c>
      <c r="U1718">
        <f t="shared" si="133"/>
        <v>0</v>
      </c>
      <c r="V1718">
        <f t="shared" si="134"/>
        <v>0</v>
      </c>
    </row>
    <row r="1719" spans="1:22" x14ac:dyDescent="0.25">
      <c r="A1719">
        <v>1716</v>
      </c>
      <c r="B1719" t="s">
        <v>20</v>
      </c>
      <c r="C1719" t="s">
        <v>835</v>
      </c>
      <c r="D1719" s="4">
        <v>45428</v>
      </c>
      <c r="E1719" t="s">
        <v>344</v>
      </c>
      <c r="F1719" t="s">
        <v>75</v>
      </c>
      <c r="I1719" s="6">
        <v>1</v>
      </c>
      <c r="J1719" s="6">
        <v>0</v>
      </c>
      <c r="K1719" s="6">
        <v>0</v>
      </c>
      <c r="L1719" s="6">
        <v>1</v>
      </c>
      <c r="M1719" s="6">
        <v>0</v>
      </c>
      <c r="N1719" s="6">
        <v>0</v>
      </c>
      <c r="O1719" s="6">
        <v>1</v>
      </c>
      <c r="P1719" s="6">
        <v>0</v>
      </c>
      <c r="Q1719">
        <v>1</v>
      </c>
      <c r="R1719">
        <f t="shared" si="130"/>
        <v>0</v>
      </c>
      <c r="S1719">
        <f t="shared" si="131"/>
        <v>1</v>
      </c>
      <c r="T1719">
        <f t="shared" si="132"/>
        <v>3</v>
      </c>
      <c r="U1719">
        <f t="shared" si="133"/>
        <v>1</v>
      </c>
      <c r="V1719">
        <f t="shared" si="134"/>
        <v>0</v>
      </c>
    </row>
    <row r="1720" spans="1:22" x14ac:dyDescent="0.25">
      <c r="A1720">
        <v>1717</v>
      </c>
      <c r="B1720" t="s">
        <v>20</v>
      </c>
      <c r="C1720" t="s">
        <v>835</v>
      </c>
      <c r="D1720" s="4">
        <v>45429</v>
      </c>
      <c r="E1720" t="s">
        <v>890</v>
      </c>
      <c r="F1720" t="s">
        <v>75</v>
      </c>
      <c r="I1720" s="6">
        <v>0</v>
      </c>
      <c r="J1720" s="6">
        <v>0</v>
      </c>
      <c r="K1720" s="6">
        <v>0</v>
      </c>
      <c r="L1720" s="6">
        <v>1</v>
      </c>
      <c r="M1720" s="6">
        <v>1</v>
      </c>
      <c r="N1720" s="6">
        <v>0</v>
      </c>
      <c r="O1720" s="6">
        <v>0</v>
      </c>
      <c r="P1720" s="6">
        <v>0</v>
      </c>
      <c r="Q1720">
        <v>1</v>
      </c>
      <c r="R1720">
        <f t="shared" si="130"/>
        <v>0</v>
      </c>
      <c r="S1720">
        <f t="shared" si="131"/>
        <v>1</v>
      </c>
      <c r="T1720">
        <f t="shared" si="132"/>
        <v>2</v>
      </c>
      <c r="U1720">
        <f t="shared" si="133"/>
        <v>1</v>
      </c>
      <c r="V1720">
        <f t="shared" si="134"/>
        <v>0</v>
      </c>
    </row>
    <row r="1721" spans="1:22" x14ac:dyDescent="0.25">
      <c r="A1721">
        <v>1718</v>
      </c>
      <c r="B1721" t="s">
        <v>20</v>
      </c>
      <c r="C1721" t="s">
        <v>835</v>
      </c>
      <c r="D1721" s="4">
        <v>45430</v>
      </c>
      <c r="E1721" t="s">
        <v>891</v>
      </c>
      <c r="F1721" t="s">
        <v>75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>
        <v>1</v>
      </c>
      <c r="R1721">
        <f t="shared" si="130"/>
        <v>0</v>
      </c>
      <c r="S1721">
        <f t="shared" si="131"/>
        <v>1</v>
      </c>
      <c r="T1721">
        <f t="shared" si="132"/>
        <v>0</v>
      </c>
      <c r="U1721">
        <f t="shared" si="133"/>
        <v>0</v>
      </c>
      <c r="V1721">
        <f t="shared" si="134"/>
        <v>0</v>
      </c>
    </row>
    <row r="1722" spans="1:22" x14ac:dyDescent="0.25">
      <c r="A1722">
        <v>1719</v>
      </c>
      <c r="B1722" t="s">
        <v>20</v>
      </c>
      <c r="C1722" t="s">
        <v>835</v>
      </c>
      <c r="D1722" s="4">
        <v>45430</v>
      </c>
      <c r="E1722" t="s">
        <v>349</v>
      </c>
      <c r="F1722" t="s">
        <v>75</v>
      </c>
      <c r="H1722" t="s">
        <v>1008</v>
      </c>
      <c r="I1722" s="6">
        <v>1</v>
      </c>
      <c r="J1722" s="6">
        <v>0</v>
      </c>
      <c r="K1722" s="6">
        <v>0</v>
      </c>
      <c r="L1722" s="6">
        <v>1</v>
      </c>
      <c r="M1722" s="6">
        <v>0</v>
      </c>
      <c r="N1722" s="6">
        <v>0</v>
      </c>
      <c r="O1722" s="6">
        <v>0</v>
      </c>
      <c r="P1722" s="6">
        <v>0</v>
      </c>
      <c r="Q1722">
        <v>1</v>
      </c>
      <c r="R1722">
        <f t="shared" si="130"/>
        <v>0</v>
      </c>
      <c r="S1722">
        <f t="shared" si="131"/>
        <v>1</v>
      </c>
      <c r="T1722">
        <f t="shared" si="132"/>
        <v>2</v>
      </c>
      <c r="U1722">
        <f t="shared" si="133"/>
        <v>1</v>
      </c>
      <c r="V1722">
        <f t="shared" si="134"/>
        <v>0</v>
      </c>
    </row>
    <row r="1723" spans="1:22" x14ac:dyDescent="0.25">
      <c r="A1723">
        <v>1720</v>
      </c>
      <c r="B1723" t="s">
        <v>20</v>
      </c>
      <c r="C1723" t="s">
        <v>835</v>
      </c>
      <c r="D1723" s="4">
        <v>45430</v>
      </c>
      <c r="E1723" t="s">
        <v>350</v>
      </c>
      <c r="F1723" t="s">
        <v>75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>
        <v>1</v>
      </c>
      <c r="R1723">
        <f t="shared" si="130"/>
        <v>0</v>
      </c>
      <c r="S1723">
        <f t="shared" si="131"/>
        <v>1</v>
      </c>
      <c r="T1723">
        <f t="shared" si="132"/>
        <v>0</v>
      </c>
      <c r="U1723">
        <f t="shared" si="133"/>
        <v>0</v>
      </c>
      <c r="V1723">
        <f t="shared" si="134"/>
        <v>0</v>
      </c>
    </row>
    <row r="1724" spans="1:22" x14ac:dyDescent="0.25">
      <c r="A1724">
        <v>1721</v>
      </c>
      <c r="B1724" t="s">
        <v>20</v>
      </c>
      <c r="C1724" t="s">
        <v>835</v>
      </c>
      <c r="D1724" s="4">
        <v>45430</v>
      </c>
      <c r="E1724" t="s">
        <v>351</v>
      </c>
      <c r="F1724" t="s">
        <v>75</v>
      </c>
      <c r="I1724" s="6">
        <v>0</v>
      </c>
      <c r="J1724" s="6">
        <v>0</v>
      </c>
      <c r="K1724" s="6">
        <v>0</v>
      </c>
      <c r="L1724" s="6">
        <v>0</v>
      </c>
      <c r="M1724" s="6">
        <v>1</v>
      </c>
      <c r="N1724" s="6">
        <v>1</v>
      </c>
      <c r="O1724" s="6">
        <v>0</v>
      </c>
      <c r="P1724" s="6">
        <v>0</v>
      </c>
      <c r="Q1724">
        <v>1</v>
      </c>
      <c r="R1724">
        <f t="shared" si="130"/>
        <v>0</v>
      </c>
      <c r="S1724">
        <f t="shared" si="131"/>
        <v>1</v>
      </c>
      <c r="T1724">
        <f t="shared" si="132"/>
        <v>2</v>
      </c>
      <c r="U1724">
        <f t="shared" si="133"/>
        <v>1</v>
      </c>
      <c r="V1724">
        <f t="shared" si="134"/>
        <v>0</v>
      </c>
    </row>
    <row r="1725" spans="1:22" x14ac:dyDescent="0.25">
      <c r="A1725">
        <v>1722</v>
      </c>
      <c r="B1725" t="s">
        <v>20</v>
      </c>
      <c r="C1725" t="s">
        <v>835</v>
      </c>
      <c r="D1725" s="4">
        <v>45431</v>
      </c>
      <c r="E1725" t="s">
        <v>353</v>
      </c>
      <c r="F1725" t="s">
        <v>75</v>
      </c>
      <c r="I1725" s="6">
        <v>0</v>
      </c>
      <c r="J1725" s="6">
        <v>0</v>
      </c>
      <c r="K1725" s="6">
        <v>0</v>
      </c>
      <c r="L1725" s="6">
        <v>0</v>
      </c>
      <c r="M1725" s="6">
        <v>1</v>
      </c>
      <c r="N1725" s="6">
        <v>1</v>
      </c>
      <c r="O1725" s="6">
        <v>0</v>
      </c>
      <c r="P1725" s="6">
        <v>0</v>
      </c>
      <c r="Q1725">
        <v>1</v>
      </c>
      <c r="R1725">
        <f t="shared" si="130"/>
        <v>0</v>
      </c>
      <c r="S1725">
        <f t="shared" si="131"/>
        <v>1</v>
      </c>
      <c r="T1725">
        <f t="shared" si="132"/>
        <v>2</v>
      </c>
      <c r="U1725">
        <f t="shared" si="133"/>
        <v>1</v>
      </c>
      <c r="V1725">
        <f t="shared" si="134"/>
        <v>0</v>
      </c>
    </row>
    <row r="1726" spans="1:22" x14ac:dyDescent="0.25">
      <c r="A1726">
        <v>1723</v>
      </c>
      <c r="B1726" t="s">
        <v>20</v>
      </c>
      <c r="C1726" t="s">
        <v>835</v>
      </c>
      <c r="D1726" s="4">
        <v>45431</v>
      </c>
      <c r="E1726" t="s">
        <v>354</v>
      </c>
      <c r="F1726" t="s">
        <v>75</v>
      </c>
      <c r="I1726" s="6">
        <v>0</v>
      </c>
      <c r="J1726" s="6">
        <v>0</v>
      </c>
      <c r="K1726" s="6">
        <v>0</v>
      </c>
      <c r="L1726" s="6">
        <v>1</v>
      </c>
      <c r="M1726" s="6">
        <v>1</v>
      </c>
      <c r="N1726" s="6">
        <v>0</v>
      </c>
      <c r="O1726" s="6">
        <v>0</v>
      </c>
      <c r="P1726" s="6">
        <v>0</v>
      </c>
      <c r="Q1726">
        <v>1</v>
      </c>
      <c r="R1726">
        <f t="shared" si="130"/>
        <v>0</v>
      </c>
      <c r="S1726">
        <f t="shared" si="131"/>
        <v>1</v>
      </c>
      <c r="T1726">
        <f t="shared" si="132"/>
        <v>2</v>
      </c>
      <c r="U1726">
        <f t="shared" si="133"/>
        <v>1</v>
      </c>
      <c r="V1726">
        <f t="shared" si="134"/>
        <v>0</v>
      </c>
    </row>
    <row r="1727" spans="1:22" x14ac:dyDescent="0.25">
      <c r="A1727">
        <v>1724</v>
      </c>
      <c r="B1727" t="s">
        <v>20</v>
      </c>
      <c r="C1727" t="s">
        <v>835</v>
      </c>
      <c r="D1727" s="4">
        <v>45432</v>
      </c>
      <c r="E1727" t="s">
        <v>480</v>
      </c>
      <c r="F1727" t="s">
        <v>75</v>
      </c>
      <c r="H1727" t="s">
        <v>1009</v>
      </c>
      <c r="I1727" s="6">
        <v>0</v>
      </c>
      <c r="J1727" s="6">
        <v>0</v>
      </c>
      <c r="K1727" s="6">
        <v>0</v>
      </c>
      <c r="L1727" s="6">
        <v>1</v>
      </c>
      <c r="M1727" s="6">
        <v>0</v>
      </c>
      <c r="N1727" s="6">
        <v>0</v>
      </c>
      <c r="O1727" s="6">
        <v>0</v>
      </c>
      <c r="P1727" s="6">
        <v>0</v>
      </c>
      <c r="Q1727">
        <v>1</v>
      </c>
      <c r="R1727">
        <f t="shared" si="130"/>
        <v>0</v>
      </c>
      <c r="S1727">
        <f t="shared" si="131"/>
        <v>1</v>
      </c>
      <c r="T1727">
        <f t="shared" si="132"/>
        <v>1</v>
      </c>
      <c r="U1727">
        <f t="shared" si="133"/>
        <v>1</v>
      </c>
      <c r="V1727">
        <f t="shared" si="134"/>
        <v>0</v>
      </c>
    </row>
    <row r="1728" spans="1:22" x14ac:dyDescent="0.25">
      <c r="A1728">
        <v>1725</v>
      </c>
      <c r="B1728" t="s">
        <v>20</v>
      </c>
      <c r="C1728" t="s">
        <v>835</v>
      </c>
      <c r="D1728" s="4">
        <v>45433</v>
      </c>
      <c r="E1728" t="s">
        <v>892</v>
      </c>
      <c r="F1728" t="s">
        <v>75</v>
      </c>
      <c r="H1728" t="s">
        <v>1010</v>
      </c>
      <c r="I1728" s="6">
        <v>0</v>
      </c>
      <c r="J1728" s="6">
        <v>0</v>
      </c>
      <c r="K1728" s="6">
        <v>0</v>
      </c>
      <c r="L1728" s="6">
        <v>1</v>
      </c>
      <c r="M1728" s="6">
        <v>1</v>
      </c>
      <c r="N1728" s="6">
        <v>0</v>
      </c>
      <c r="O1728" s="6">
        <v>0</v>
      </c>
      <c r="P1728" s="6">
        <v>0</v>
      </c>
      <c r="Q1728">
        <v>1</v>
      </c>
      <c r="R1728">
        <f t="shared" si="130"/>
        <v>0</v>
      </c>
      <c r="S1728">
        <f t="shared" si="131"/>
        <v>1</v>
      </c>
      <c r="T1728">
        <f t="shared" si="132"/>
        <v>2</v>
      </c>
      <c r="U1728">
        <f t="shared" si="133"/>
        <v>1</v>
      </c>
      <c r="V1728">
        <f t="shared" si="134"/>
        <v>0</v>
      </c>
    </row>
    <row r="1729" spans="1:22" x14ac:dyDescent="0.25">
      <c r="A1729">
        <v>1726</v>
      </c>
      <c r="B1729" t="s">
        <v>20</v>
      </c>
      <c r="C1729" t="s">
        <v>835</v>
      </c>
      <c r="D1729" s="4">
        <v>45434</v>
      </c>
      <c r="E1729" t="s">
        <v>1011</v>
      </c>
      <c r="F1729" t="s">
        <v>75</v>
      </c>
      <c r="H1729" t="s">
        <v>1012</v>
      </c>
      <c r="I1729" s="6">
        <v>0</v>
      </c>
      <c r="J1729" s="6">
        <v>0</v>
      </c>
      <c r="K1729" s="6">
        <v>0</v>
      </c>
      <c r="L1729" s="6">
        <v>1</v>
      </c>
      <c r="M1729" s="6">
        <v>0</v>
      </c>
      <c r="N1729" s="6">
        <v>1</v>
      </c>
      <c r="O1729" s="6">
        <v>0</v>
      </c>
      <c r="P1729" s="6">
        <v>0</v>
      </c>
      <c r="Q1729">
        <v>1</v>
      </c>
      <c r="R1729">
        <f t="shared" si="130"/>
        <v>0</v>
      </c>
      <c r="S1729">
        <f t="shared" si="131"/>
        <v>1</v>
      </c>
      <c r="T1729">
        <f t="shared" si="132"/>
        <v>2</v>
      </c>
      <c r="U1729">
        <f t="shared" si="133"/>
        <v>1</v>
      </c>
      <c r="V1729">
        <f t="shared" si="134"/>
        <v>0</v>
      </c>
    </row>
    <row r="1730" spans="1:22" x14ac:dyDescent="0.25">
      <c r="A1730">
        <v>1727</v>
      </c>
      <c r="B1730" t="s">
        <v>20</v>
      </c>
      <c r="C1730" t="s">
        <v>835</v>
      </c>
      <c r="D1730" s="4">
        <v>45434</v>
      </c>
      <c r="E1730" t="s">
        <v>358</v>
      </c>
      <c r="F1730" t="s">
        <v>75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>
        <v>1</v>
      </c>
      <c r="R1730">
        <f t="shared" si="130"/>
        <v>0</v>
      </c>
      <c r="S1730">
        <f t="shared" si="131"/>
        <v>1</v>
      </c>
      <c r="T1730">
        <f t="shared" si="132"/>
        <v>0</v>
      </c>
      <c r="U1730">
        <f t="shared" si="133"/>
        <v>0</v>
      </c>
      <c r="V1730">
        <f t="shared" si="134"/>
        <v>0</v>
      </c>
    </row>
    <row r="1731" spans="1:22" x14ac:dyDescent="0.25">
      <c r="A1731">
        <v>1728</v>
      </c>
      <c r="B1731" t="s">
        <v>20</v>
      </c>
      <c r="C1731" t="s">
        <v>835</v>
      </c>
      <c r="D1731" s="4">
        <v>45435</v>
      </c>
      <c r="E1731" t="s">
        <v>482</v>
      </c>
      <c r="F1731" t="s">
        <v>75</v>
      </c>
      <c r="H1731" t="s">
        <v>1013</v>
      </c>
      <c r="I1731" s="6">
        <v>0</v>
      </c>
      <c r="J1731" s="6">
        <v>0</v>
      </c>
      <c r="K1731" s="6">
        <v>0</v>
      </c>
      <c r="L1731" s="6">
        <v>1</v>
      </c>
      <c r="M1731" s="6">
        <v>0</v>
      </c>
      <c r="N1731" s="6">
        <v>0</v>
      </c>
      <c r="O1731" s="6">
        <v>0</v>
      </c>
      <c r="P1731" s="6">
        <v>0</v>
      </c>
      <c r="Q1731">
        <v>1</v>
      </c>
      <c r="R1731">
        <f t="shared" ref="R1731:R1794" si="135">IF(AND(Q1731=1,F1731="ai_full"),1,0)</f>
        <v>0</v>
      </c>
      <c r="S1731">
        <f t="shared" ref="S1731:S1794" si="136">IF(AND(Q1731=1,F1731="conventional"),1,0)</f>
        <v>1</v>
      </c>
      <c r="T1731">
        <f t="shared" ref="T1731:T1794" si="137">SUM(I1731:P1731)</f>
        <v>1</v>
      </c>
      <c r="U1731">
        <f t="shared" ref="U1731:U1794" si="138">IF(T1731&gt;=1,1,0)</f>
        <v>1</v>
      </c>
      <c r="V1731">
        <f t="shared" ref="V1731:V1794" si="139">IF(F1731="ai_full",1,0)</f>
        <v>0</v>
      </c>
    </row>
    <row r="1732" spans="1:22" x14ac:dyDescent="0.25">
      <c r="A1732">
        <v>1729</v>
      </c>
      <c r="B1732" t="s">
        <v>20</v>
      </c>
      <c r="C1732" t="s">
        <v>835</v>
      </c>
      <c r="D1732" s="4">
        <v>45436</v>
      </c>
      <c r="E1732" t="s">
        <v>363</v>
      </c>
      <c r="F1732" t="s">
        <v>75</v>
      </c>
      <c r="H1732" t="s">
        <v>1014</v>
      </c>
      <c r="I1732" s="6">
        <v>0</v>
      </c>
      <c r="J1732" s="6">
        <v>0</v>
      </c>
      <c r="K1732" s="6">
        <v>1</v>
      </c>
      <c r="L1732" s="6">
        <v>1</v>
      </c>
      <c r="M1732" s="6">
        <v>0</v>
      </c>
      <c r="N1732" s="6">
        <v>0</v>
      </c>
      <c r="O1732" s="6">
        <v>0</v>
      </c>
      <c r="P1732" s="6">
        <v>0</v>
      </c>
      <c r="Q1732">
        <v>1</v>
      </c>
      <c r="R1732">
        <f t="shared" si="135"/>
        <v>0</v>
      </c>
      <c r="S1732">
        <f t="shared" si="136"/>
        <v>1</v>
      </c>
      <c r="T1732">
        <f t="shared" si="137"/>
        <v>2</v>
      </c>
      <c r="U1732">
        <f t="shared" si="138"/>
        <v>1</v>
      </c>
      <c r="V1732">
        <f t="shared" si="139"/>
        <v>0</v>
      </c>
    </row>
    <row r="1733" spans="1:22" x14ac:dyDescent="0.25">
      <c r="A1733">
        <v>1730</v>
      </c>
      <c r="B1733" t="s">
        <v>20</v>
      </c>
      <c r="C1733" t="s">
        <v>835</v>
      </c>
      <c r="D1733" s="4">
        <v>45436</v>
      </c>
      <c r="E1733" t="s">
        <v>893</v>
      </c>
      <c r="F1733" t="s">
        <v>75</v>
      </c>
      <c r="I1733" s="6">
        <v>0</v>
      </c>
      <c r="J1733" s="6">
        <v>0</v>
      </c>
      <c r="K1733" s="6">
        <v>0</v>
      </c>
      <c r="L1733" s="6">
        <v>1</v>
      </c>
      <c r="M1733" s="6">
        <v>0</v>
      </c>
      <c r="N1733" s="6">
        <v>0</v>
      </c>
      <c r="O1733" s="6">
        <v>0</v>
      </c>
      <c r="P1733" s="6">
        <v>0</v>
      </c>
      <c r="Q1733">
        <v>1</v>
      </c>
      <c r="R1733">
        <f t="shared" si="135"/>
        <v>0</v>
      </c>
      <c r="S1733">
        <f t="shared" si="136"/>
        <v>1</v>
      </c>
      <c r="T1733">
        <f t="shared" si="137"/>
        <v>1</v>
      </c>
      <c r="U1733">
        <f t="shared" si="138"/>
        <v>1</v>
      </c>
      <c r="V1733">
        <f t="shared" si="139"/>
        <v>0</v>
      </c>
    </row>
    <row r="1734" spans="1:22" x14ac:dyDescent="0.25">
      <c r="A1734">
        <v>1731</v>
      </c>
      <c r="B1734" t="s">
        <v>20</v>
      </c>
      <c r="C1734" t="s">
        <v>835</v>
      </c>
      <c r="D1734" s="4">
        <v>45436</v>
      </c>
      <c r="E1734" t="s">
        <v>364</v>
      </c>
      <c r="F1734" t="s">
        <v>75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>
        <v>1</v>
      </c>
      <c r="R1734">
        <f t="shared" si="135"/>
        <v>0</v>
      </c>
      <c r="S1734">
        <f t="shared" si="136"/>
        <v>1</v>
      </c>
      <c r="T1734">
        <f t="shared" si="137"/>
        <v>0</v>
      </c>
      <c r="U1734">
        <f t="shared" si="138"/>
        <v>0</v>
      </c>
      <c r="V1734">
        <f t="shared" si="139"/>
        <v>0</v>
      </c>
    </row>
    <row r="1735" spans="1:22" x14ac:dyDescent="0.25">
      <c r="A1735">
        <v>1732</v>
      </c>
      <c r="B1735" t="s">
        <v>20</v>
      </c>
      <c r="C1735" t="s">
        <v>835</v>
      </c>
      <c r="D1735" s="4">
        <v>45437</v>
      </c>
      <c r="E1735" t="s">
        <v>1015</v>
      </c>
      <c r="F1735" t="s">
        <v>75</v>
      </c>
      <c r="H1735" t="s">
        <v>1016</v>
      </c>
      <c r="I1735" s="6">
        <v>0</v>
      </c>
      <c r="J1735" s="6">
        <v>0</v>
      </c>
      <c r="K1735" s="6">
        <v>0</v>
      </c>
      <c r="L1735" s="6">
        <v>1</v>
      </c>
      <c r="M1735" s="6">
        <v>0</v>
      </c>
      <c r="N1735" s="6">
        <v>0</v>
      </c>
      <c r="O1735" s="6">
        <v>0</v>
      </c>
      <c r="P1735" s="6">
        <v>0</v>
      </c>
      <c r="Q1735">
        <v>1</v>
      </c>
      <c r="R1735">
        <f t="shared" si="135"/>
        <v>0</v>
      </c>
      <c r="S1735">
        <f t="shared" si="136"/>
        <v>1</v>
      </c>
      <c r="T1735">
        <f t="shared" si="137"/>
        <v>1</v>
      </c>
      <c r="U1735">
        <f t="shared" si="138"/>
        <v>1</v>
      </c>
      <c r="V1735">
        <f t="shared" si="139"/>
        <v>0</v>
      </c>
    </row>
    <row r="1736" spans="1:22" x14ac:dyDescent="0.25">
      <c r="A1736">
        <v>1733</v>
      </c>
      <c r="B1736" t="s">
        <v>20</v>
      </c>
      <c r="C1736" t="s">
        <v>835</v>
      </c>
      <c r="D1736" s="4">
        <v>45437</v>
      </c>
      <c r="E1736" t="s">
        <v>1017</v>
      </c>
      <c r="F1736" t="s">
        <v>75</v>
      </c>
      <c r="I1736" s="6"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>
        <v>1</v>
      </c>
      <c r="R1736">
        <f t="shared" si="135"/>
        <v>0</v>
      </c>
      <c r="S1736">
        <f t="shared" si="136"/>
        <v>1</v>
      </c>
      <c r="T1736">
        <f t="shared" si="137"/>
        <v>0</v>
      </c>
      <c r="U1736">
        <f t="shared" si="138"/>
        <v>0</v>
      </c>
      <c r="V1736">
        <f t="shared" si="139"/>
        <v>0</v>
      </c>
    </row>
    <row r="1737" spans="1:22" x14ac:dyDescent="0.25">
      <c r="A1737">
        <v>1734</v>
      </c>
      <c r="B1737" t="s">
        <v>20</v>
      </c>
      <c r="C1737" t="s">
        <v>835</v>
      </c>
      <c r="D1737" s="4">
        <v>45438</v>
      </c>
      <c r="E1737" t="s">
        <v>484</v>
      </c>
      <c r="F1737" t="s">
        <v>75</v>
      </c>
      <c r="I1737" s="6">
        <v>0</v>
      </c>
      <c r="J1737" s="6">
        <v>0</v>
      </c>
      <c r="K1737" s="6">
        <v>0</v>
      </c>
      <c r="L1737" s="6">
        <v>1</v>
      </c>
      <c r="M1737" s="6">
        <v>0</v>
      </c>
      <c r="N1737" s="6">
        <v>0</v>
      </c>
      <c r="O1737" s="6">
        <v>0</v>
      </c>
      <c r="P1737" s="6">
        <v>0</v>
      </c>
      <c r="Q1737">
        <v>1</v>
      </c>
      <c r="R1737">
        <f t="shared" si="135"/>
        <v>0</v>
      </c>
      <c r="S1737">
        <f t="shared" si="136"/>
        <v>1</v>
      </c>
      <c r="T1737">
        <f t="shared" si="137"/>
        <v>1</v>
      </c>
      <c r="U1737">
        <f t="shared" si="138"/>
        <v>1</v>
      </c>
      <c r="V1737">
        <f t="shared" si="139"/>
        <v>0</v>
      </c>
    </row>
    <row r="1738" spans="1:22" x14ac:dyDescent="0.25">
      <c r="A1738">
        <v>1735</v>
      </c>
      <c r="B1738" t="s">
        <v>20</v>
      </c>
      <c r="C1738" t="s">
        <v>835</v>
      </c>
      <c r="D1738" s="4">
        <v>45438</v>
      </c>
      <c r="E1738" t="s">
        <v>369</v>
      </c>
      <c r="F1738" t="s">
        <v>75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>
        <v>1</v>
      </c>
      <c r="R1738">
        <f t="shared" si="135"/>
        <v>0</v>
      </c>
      <c r="S1738">
        <f t="shared" si="136"/>
        <v>1</v>
      </c>
      <c r="T1738">
        <f t="shared" si="137"/>
        <v>0</v>
      </c>
      <c r="U1738">
        <f t="shared" si="138"/>
        <v>0</v>
      </c>
      <c r="V1738">
        <f t="shared" si="139"/>
        <v>0</v>
      </c>
    </row>
    <row r="1739" spans="1:22" x14ac:dyDescent="0.25">
      <c r="A1739">
        <v>1736</v>
      </c>
      <c r="B1739" t="s">
        <v>20</v>
      </c>
      <c r="C1739" t="s">
        <v>835</v>
      </c>
      <c r="D1739" s="4">
        <v>45439</v>
      </c>
      <c r="E1739" t="s">
        <v>1018</v>
      </c>
      <c r="F1739" t="s">
        <v>75</v>
      </c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>
        <v>1</v>
      </c>
      <c r="R1739">
        <f t="shared" si="135"/>
        <v>0</v>
      </c>
      <c r="S1739">
        <f t="shared" si="136"/>
        <v>1</v>
      </c>
      <c r="T1739">
        <f t="shared" si="137"/>
        <v>0</v>
      </c>
      <c r="U1739">
        <f t="shared" si="138"/>
        <v>0</v>
      </c>
      <c r="V1739">
        <f t="shared" si="139"/>
        <v>0</v>
      </c>
    </row>
    <row r="1740" spans="1:22" x14ac:dyDescent="0.25">
      <c r="A1740">
        <v>1737</v>
      </c>
      <c r="B1740" t="s">
        <v>20</v>
      </c>
      <c r="C1740" t="s">
        <v>835</v>
      </c>
      <c r="D1740" s="4">
        <v>45439</v>
      </c>
      <c r="E1740" t="s">
        <v>1019</v>
      </c>
      <c r="F1740" t="s">
        <v>75</v>
      </c>
      <c r="H1740" t="s">
        <v>1020</v>
      </c>
      <c r="I1740" s="6">
        <v>0</v>
      </c>
      <c r="J1740" s="6">
        <v>0</v>
      </c>
      <c r="K1740" s="6">
        <v>0</v>
      </c>
      <c r="L1740" s="6">
        <v>1</v>
      </c>
      <c r="M1740" s="6">
        <v>1</v>
      </c>
      <c r="N1740" s="6">
        <v>0</v>
      </c>
      <c r="O1740" s="6">
        <v>0</v>
      </c>
      <c r="P1740" s="6">
        <v>0</v>
      </c>
      <c r="Q1740">
        <v>1</v>
      </c>
      <c r="R1740">
        <f t="shared" si="135"/>
        <v>0</v>
      </c>
      <c r="S1740">
        <f t="shared" si="136"/>
        <v>1</v>
      </c>
      <c r="T1740">
        <f t="shared" si="137"/>
        <v>2</v>
      </c>
      <c r="U1740">
        <f t="shared" si="138"/>
        <v>1</v>
      </c>
      <c r="V1740">
        <f t="shared" si="139"/>
        <v>0</v>
      </c>
    </row>
    <row r="1741" spans="1:22" x14ac:dyDescent="0.25">
      <c r="A1741">
        <v>1738</v>
      </c>
      <c r="B1741" t="s">
        <v>20</v>
      </c>
      <c r="C1741" t="s">
        <v>835</v>
      </c>
      <c r="D1741" s="4">
        <v>45440</v>
      </c>
      <c r="E1741" t="s">
        <v>488</v>
      </c>
      <c r="F1741" t="s">
        <v>75</v>
      </c>
      <c r="I1741" s="6">
        <v>1</v>
      </c>
      <c r="J1741" s="6">
        <v>1</v>
      </c>
      <c r="K1741" s="6">
        <v>0</v>
      </c>
      <c r="L1741" s="6">
        <v>1</v>
      </c>
      <c r="M1741" s="6">
        <v>0</v>
      </c>
      <c r="N1741" s="6">
        <v>0</v>
      </c>
      <c r="O1741" s="6">
        <v>0</v>
      </c>
      <c r="P1741" s="6">
        <v>0</v>
      </c>
      <c r="Q1741">
        <v>1</v>
      </c>
      <c r="R1741">
        <f t="shared" si="135"/>
        <v>0</v>
      </c>
      <c r="S1741">
        <f t="shared" si="136"/>
        <v>1</v>
      </c>
      <c r="T1741">
        <f t="shared" si="137"/>
        <v>3</v>
      </c>
      <c r="U1741">
        <f t="shared" si="138"/>
        <v>1</v>
      </c>
      <c r="V1741">
        <f t="shared" si="139"/>
        <v>0</v>
      </c>
    </row>
    <row r="1742" spans="1:22" x14ac:dyDescent="0.25">
      <c r="A1742">
        <v>1739</v>
      </c>
      <c r="B1742" t="s">
        <v>20</v>
      </c>
      <c r="C1742" t="s">
        <v>835</v>
      </c>
      <c r="D1742" s="4">
        <v>45440</v>
      </c>
      <c r="E1742" t="s">
        <v>371</v>
      </c>
      <c r="F1742" t="s">
        <v>75</v>
      </c>
      <c r="I1742" s="6">
        <v>1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>
        <v>1</v>
      </c>
      <c r="R1742">
        <f t="shared" si="135"/>
        <v>0</v>
      </c>
      <c r="S1742">
        <f t="shared" si="136"/>
        <v>1</v>
      </c>
      <c r="T1742">
        <f t="shared" si="137"/>
        <v>1</v>
      </c>
      <c r="U1742">
        <f t="shared" si="138"/>
        <v>1</v>
      </c>
      <c r="V1742">
        <f t="shared" si="139"/>
        <v>0</v>
      </c>
    </row>
    <row r="1743" spans="1:22" x14ac:dyDescent="0.25">
      <c r="A1743">
        <v>1740</v>
      </c>
      <c r="B1743" t="s">
        <v>20</v>
      </c>
      <c r="C1743" t="s">
        <v>835</v>
      </c>
      <c r="D1743" s="4">
        <v>45440</v>
      </c>
      <c r="E1743" t="s">
        <v>895</v>
      </c>
      <c r="F1743" t="s">
        <v>75</v>
      </c>
      <c r="I1743" s="6">
        <v>1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>
        <v>1</v>
      </c>
      <c r="R1743">
        <f t="shared" si="135"/>
        <v>0</v>
      </c>
      <c r="S1743">
        <f t="shared" si="136"/>
        <v>1</v>
      </c>
      <c r="T1743">
        <f t="shared" si="137"/>
        <v>1</v>
      </c>
      <c r="U1743">
        <f t="shared" si="138"/>
        <v>1</v>
      </c>
      <c r="V1743">
        <f t="shared" si="139"/>
        <v>0</v>
      </c>
    </row>
    <row r="1744" spans="1:22" x14ac:dyDescent="0.25">
      <c r="A1744">
        <v>1741</v>
      </c>
      <c r="B1744" t="s">
        <v>20</v>
      </c>
      <c r="C1744" t="s">
        <v>835</v>
      </c>
      <c r="D1744" s="4">
        <v>45440</v>
      </c>
      <c r="E1744" t="s">
        <v>372</v>
      </c>
      <c r="F1744" t="s">
        <v>75</v>
      </c>
      <c r="I1744" s="6">
        <v>1</v>
      </c>
      <c r="J1744" s="6">
        <v>0</v>
      </c>
      <c r="K1744" s="6">
        <v>1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>
        <v>1</v>
      </c>
      <c r="R1744">
        <f t="shared" si="135"/>
        <v>0</v>
      </c>
      <c r="S1744">
        <f t="shared" si="136"/>
        <v>1</v>
      </c>
      <c r="T1744">
        <f t="shared" si="137"/>
        <v>2</v>
      </c>
      <c r="U1744">
        <f t="shared" si="138"/>
        <v>1</v>
      </c>
      <c r="V1744">
        <f t="shared" si="139"/>
        <v>0</v>
      </c>
    </row>
    <row r="1745" spans="1:22" x14ac:dyDescent="0.25">
      <c r="A1745">
        <v>1742</v>
      </c>
      <c r="B1745" t="s">
        <v>20</v>
      </c>
      <c r="C1745" t="s">
        <v>835</v>
      </c>
      <c r="D1745" s="4">
        <v>45441</v>
      </c>
      <c r="E1745" t="s">
        <v>1021</v>
      </c>
      <c r="F1745" t="s">
        <v>75</v>
      </c>
      <c r="H1745" t="s">
        <v>1022</v>
      </c>
      <c r="I1745" s="6">
        <v>1</v>
      </c>
      <c r="J1745" s="6">
        <v>0</v>
      </c>
      <c r="K1745" s="6">
        <v>0</v>
      </c>
      <c r="L1745" s="6">
        <v>1</v>
      </c>
      <c r="M1745" s="6">
        <v>0</v>
      </c>
      <c r="N1745" s="6">
        <v>0</v>
      </c>
      <c r="O1745" s="6">
        <v>0</v>
      </c>
      <c r="P1745" s="6">
        <v>0</v>
      </c>
      <c r="Q1745">
        <v>1</v>
      </c>
      <c r="R1745">
        <f t="shared" si="135"/>
        <v>0</v>
      </c>
      <c r="S1745">
        <f t="shared" si="136"/>
        <v>1</v>
      </c>
      <c r="T1745">
        <f t="shared" si="137"/>
        <v>2</v>
      </c>
      <c r="U1745">
        <f t="shared" si="138"/>
        <v>1</v>
      </c>
      <c r="V1745">
        <f t="shared" si="139"/>
        <v>0</v>
      </c>
    </row>
    <row r="1746" spans="1:22" x14ac:dyDescent="0.25">
      <c r="A1746">
        <v>1743</v>
      </c>
      <c r="B1746" t="s">
        <v>20</v>
      </c>
      <c r="C1746" t="s">
        <v>835</v>
      </c>
      <c r="D1746" s="4">
        <v>45442</v>
      </c>
      <c r="E1746" t="s">
        <v>1099</v>
      </c>
      <c r="F1746" t="s">
        <v>75</v>
      </c>
      <c r="I1746" s="6">
        <v>0</v>
      </c>
      <c r="J1746" s="6">
        <v>0</v>
      </c>
      <c r="K1746" s="6">
        <v>0</v>
      </c>
      <c r="L1746" s="6">
        <v>1</v>
      </c>
      <c r="M1746" s="6">
        <v>0</v>
      </c>
      <c r="N1746" s="6">
        <v>0</v>
      </c>
      <c r="O1746" s="6">
        <v>0</v>
      </c>
      <c r="P1746" s="6">
        <v>0</v>
      </c>
      <c r="Q1746">
        <v>1</v>
      </c>
      <c r="R1746">
        <f t="shared" si="135"/>
        <v>0</v>
      </c>
      <c r="S1746">
        <f t="shared" si="136"/>
        <v>1</v>
      </c>
      <c r="T1746">
        <f t="shared" si="137"/>
        <v>1</v>
      </c>
      <c r="U1746">
        <f t="shared" si="138"/>
        <v>1</v>
      </c>
      <c r="V1746">
        <f t="shared" si="139"/>
        <v>0</v>
      </c>
    </row>
    <row r="1747" spans="1:22" x14ac:dyDescent="0.25">
      <c r="A1747">
        <v>1744</v>
      </c>
      <c r="B1747" t="s">
        <v>20</v>
      </c>
      <c r="C1747" t="s">
        <v>835</v>
      </c>
      <c r="D1747" s="4">
        <v>45442</v>
      </c>
      <c r="E1747" t="s">
        <v>490</v>
      </c>
      <c r="F1747" t="s">
        <v>75</v>
      </c>
      <c r="H1747" t="s">
        <v>1023</v>
      </c>
      <c r="I1747" s="6">
        <v>0</v>
      </c>
      <c r="J1747" s="6">
        <v>0</v>
      </c>
      <c r="K1747" s="6">
        <v>0</v>
      </c>
      <c r="L1747" s="6">
        <v>0</v>
      </c>
      <c r="M1747" s="6">
        <v>1</v>
      </c>
      <c r="N1747" s="6">
        <v>1</v>
      </c>
      <c r="O1747" s="6">
        <v>0</v>
      </c>
      <c r="P1747" s="6">
        <v>0</v>
      </c>
      <c r="Q1747">
        <v>1</v>
      </c>
      <c r="R1747">
        <f t="shared" si="135"/>
        <v>0</v>
      </c>
      <c r="S1747">
        <f t="shared" si="136"/>
        <v>1</v>
      </c>
      <c r="T1747">
        <f t="shared" si="137"/>
        <v>2</v>
      </c>
      <c r="U1747">
        <f t="shared" si="138"/>
        <v>1</v>
      </c>
      <c r="V1747">
        <f t="shared" si="139"/>
        <v>0</v>
      </c>
    </row>
    <row r="1748" spans="1:22" x14ac:dyDescent="0.25">
      <c r="A1748">
        <v>1745</v>
      </c>
      <c r="B1748" t="s">
        <v>20</v>
      </c>
      <c r="C1748" t="s">
        <v>835</v>
      </c>
      <c r="D1748" s="4">
        <v>45443</v>
      </c>
      <c r="E1748" t="s">
        <v>896</v>
      </c>
      <c r="F1748" t="s">
        <v>75</v>
      </c>
      <c r="I1748" s="6">
        <v>0</v>
      </c>
      <c r="J1748" s="6">
        <v>0</v>
      </c>
      <c r="K1748" s="6">
        <v>0</v>
      </c>
      <c r="L1748" s="6">
        <v>1</v>
      </c>
      <c r="M1748" s="6">
        <v>0</v>
      </c>
      <c r="N1748" s="6">
        <v>1</v>
      </c>
      <c r="O1748" s="6">
        <v>0</v>
      </c>
      <c r="P1748" s="6">
        <v>0</v>
      </c>
      <c r="Q1748">
        <v>1</v>
      </c>
      <c r="R1748">
        <f t="shared" si="135"/>
        <v>0</v>
      </c>
      <c r="S1748">
        <f t="shared" si="136"/>
        <v>1</v>
      </c>
      <c r="T1748">
        <f t="shared" si="137"/>
        <v>2</v>
      </c>
      <c r="U1748">
        <f t="shared" si="138"/>
        <v>1</v>
      </c>
      <c r="V1748">
        <f t="shared" si="139"/>
        <v>0</v>
      </c>
    </row>
    <row r="1749" spans="1:22" x14ac:dyDescent="0.25">
      <c r="A1749">
        <v>1746</v>
      </c>
      <c r="B1749" t="s">
        <v>20</v>
      </c>
      <c r="C1749" t="s">
        <v>835</v>
      </c>
      <c r="D1749" s="4">
        <v>45443</v>
      </c>
      <c r="E1749" t="s">
        <v>897</v>
      </c>
      <c r="F1749" t="s">
        <v>75</v>
      </c>
      <c r="H1749" t="s">
        <v>1024</v>
      </c>
      <c r="I1749" s="6">
        <v>1</v>
      </c>
      <c r="J1749" s="6">
        <v>0</v>
      </c>
      <c r="K1749" s="6">
        <v>1</v>
      </c>
      <c r="L1749" s="6">
        <v>1</v>
      </c>
      <c r="M1749" s="6">
        <v>0</v>
      </c>
      <c r="N1749" s="6">
        <v>0</v>
      </c>
      <c r="O1749" s="6">
        <v>0</v>
      </c>
      <c r="P1749" s="6">
        <v>0</v>
      </c>
      <c r="Q1749">
        <v>1</v>
      </c>
      <c r="R1749">
        <f t="shared" si="135"/>
        <v>0</v>
      </c>
      <c r="S1749">
        <f t="shared" si="136"/>
        <v>1</v>
      </c>
      <c r="T1749">
        <f t="shared" si="137"/>
        <v>3</v>
      </c>
      <c r="U1749">
        <f t="shared" si="138"/>
        <v>1</v>
      </c>
      <c r="V1749">
        <f t="shared" si="139"/>
        <v>0</v>
      </c>
    </row>
    <row r="1750" spans="1:22" x14ac:dyDescent="0.25">
      <c r="A1750">
        <v>1747</v>
      </c>
      <c r="B1750" t="s">
        <v>20</v>
      </c>
      <c r="C1750" t="s">
        <v>835</v>
      </c>
      <c r="D1750" s="4">
        <v>45443</v>
      </c>
      <c r="E1750" t="s">
        <v>898</v>
      </c>
      <c r="F1750" t="s">
        <v>75</v>
      </c>
      <c r="I1750" s="6">
        <v>0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>
        <v>1</v>
      </c>
      <c r="R1750">
        <f t="shared" si="135"/>
        <v>0</v>
      </c>
      <c r="S1750">
        <f t="shared" si="136"/>
        <v>1</v>
      </c>
      <c r="T1750">
        <f t="shared" si="137"/>
        <v>0</v>
      </c>
      <c r="U1750">
        <f t="shared" si="138"/>
        <v>0</v>
      </c>
      <c r="V1750">
        <f t="shared" si="139"/>
        <v>0</v>
      </c>
    </row>
    <row r="1751" spans="1:22" x14ac:dyDescent="0.25">
      <c r="A1751">
        <v>1748</v>
      </c>
      <c r="B1751" t="s">
        <v>20</v>
      </c>
      <c r="C1751" t="s">
        <v>835</v>
      </c>
      <c r="D1751" s="4">
        <v>45444</v>
      </c>
      <c r="E1751" t="s">
        <v>376</v>
      </c>
      <c r="F1751" t="s">
        <v>75</v>
      </c>
      <c r="H1751" t="s">
        <v>1025</v>
      </c>
      <c r="I1751" s="6">
        <v>0</v>
      </c>
      <c r="J1751" s="6">
        <v>0</v>
      </c>
      <c r="K1751" s="6">
        <v>0</v>
      </c>
      <c r="L1751" s="6">
        <v>1</v>
      </c>
      <c r="M1751" s="6">
        <v>0</v>
      </c>
      <c r="N1751" s="6">
        <v>0</v>
      </c>
      <c r="O1751" s="6">
        <v>0</v>
      </c>
      <c r="P1751" s="6">
        <v>0</v>
      </c>
      <c r="Q1751">
        <v>1</v>
      </c>
      <c r="R1751">
        <f t="shared" si="135"/>
        <v>0</v>
      </c>
      <c r="S1751">
        <f t="shared" si="136"/>
        <v>1</v>
      </c>
      <c r="T1751">
        <f t="shared" si="137"/>
        <v>1</v>
      </c>
      <c r="U1751">
        <f t="shared" si="138"/>
        <v>1</v>
      </c>
      <c r="V1751">
        <f t="shared" si="139"/>
        <v>0</v>
      </c>
    </row>
    <row r="1752" spans="1:22" x14ac:dyDescent="0.25">
      <c r="A1752">
        <v>1749</v>
      </c>
      <c r="B1752" t="s">
        <v>20</v>
      </c>
      <c r="C1752" t="s">
        <v>835</v>
      </c>
      <c r="D1752" s="4">
        <v>45444</v>
      </c>
      <c r="E1752" t="s">
        <v>899</v>
      </c>
      <c r="F1752" t="s">
        <v>75</v>
      </c>
      <c r="I1752" s="6">
        <v>0</v>
      </c>
      <c r="J1752" s="6">
        <v>0</v>
      </c>
      <c r="K1752" s="6">
        <v>0</v>
      </c>
      <c r="L1752" s="6">
        <v>1</v>
      </c>
      <c r="M1752" s="6">
        <v>0</v>
      </c>
      <c r="N1752" s="6">
        <v>0</v>
      </c>
      <c r="O1752" s="6">
        <v>0</v>
      </c>
      <c r="P1752" s="6">
        <v>0</v>
      </c>
      <c r="Q1752">
        <v>1</v>
      </c>
      <c r="R1752">
        <f t="shared" si="135"/>
        <v>0</v>
      </c>
      <c r="S1752">
        <f t="shared" si="136"/>
        <v>1</v>
      </c>
      <c r="T1752">
        <f t="shared" si="137"/>
        <v>1</v>
      </c>
      <c r="U1752">
        <f t="shared" si="138"/>
        <v>1</v>
      </c>
      <c r="V1752">
        <f t="shared" si="139"/>
        <v>0</v>
      </c>
    </row>
    <row r="1753" spans="1:22" x14ac:dyDescent="0.25">
      <c r="A1753">
        <v>1750</v>
      </c>
      <c r="B1753" t="s">
        <v>20</v>
      </c>
      <c r="C1753" t="s">
        <v>835</v>
      </c>
      <c r="D1753" s="4">
        <v>45444</v>
      </c>
      <c r="E1753" t="s">
        <v>377</v>
      </c>
      <c r="F1753" t="s">
        <v>75</v>
      </c>
      <c r="H1753" t="s">
        <v>1026</v>
      </c>
      <c r="I1753" s="6">
        <v>0</v>
      </c>
      <c r="J1753" s="6">
        <v>0</v>
      </c>
      <c r="K1753" s="6">
        <v>0</v>
      </c>
      <c r="L1753" s="6">
        <v>0</v>
      </c>
      <c r="M1753" s="6">
        <v>1</v>
      </c>
      <c r="N1753" s="6">
        <v>1</v>
      </c>
      <c r="O1753" s="6">
        <v>0</v>
      </c>
      <c r="P1753" s="6">
        <v>0</v>
      </c>
      <c r="Q1753">
        <v>1</v>
      </c>
      <c r="R1753">
        <f t="shared" si="135"/>
        <v>0</v>
      </c>
      <c r="S1753">
        <f t="shared" si="136"/>
        <v>1</v>
      </c>
      <c r="T1753">
        <f t="shared" si="137"/>
        <v>2</v>
      </c>
      <c r="U1753">
        <f t="shared" si="138"/>
        <v>1</v>
      </c>
      <c r="V1753">
        <f t="shared" si="139"/>
        <v>0</v>
      </c>
    </row>
    <row r="1754" spans="1:22" x14ac:dyDescent="0.25">
      <c r="A1754">
        <v>1751</v>
      </c>
      <c r="B1754" t="s">
        <v>20</v>
      </c>
      <c r="C1754" t="s">
        <v>835</v>
      </c>
      <c r="D1754" s="4">
        <v>45445</v>
      </c>
      <c r="E1754" t="s">
        <v>380</v>
      </c>
      <c r="F1754" t="s">
        <v>75</v>
      </c>
      <c r="I1754" s="6">
        <v>0</v>
      </c>
      <c r="J1754" s="6">
        <v>0</v>
      </c>
      <c r="K1754" s="6">
        <v>0</v>
      </c>
      <c r="L1754" s="6">
        <v>1</v>
      </c>
      <c r="M1754" s="6">
        <v>0</v>
      </c>
      <c r="N1754" s="6">
        <v>0</v>
      </c>
      <c r="O1754" s="6">
        <v>0</v>
      </c>
      <c r="P1754" s="6">
        <v>0</v>
      </c>
      <c r="Q1754">
        <v>1</v>
      </c>
      <c r="R1754">
        <f t="shared" si="135"/>
        <v>0</v>
      </c>
      <c r="S1754">
        <f t="shared" si="136"/>
        <v>1</v>
      </c>
      <c r="T1754">
        <f t="shared" si="137"/>
        <v>1</v>
      </c>
      <c r="U1754">
        <f t="shared" si="138"/>
        <v>1</v>
      </c>
      <c r="V1754">
        <f t="shared" si="139"/>
        <v>0</v>
      </c>
    </row>
    <row r="1755" spans="1:22" x14ac:dyDescent="0.25">
      <c r="A1755">
        <v>1752</v>
      </c>
      <c r="B1755" t="s">
        <v>20</v>
      </c>
      <c r="C1755" t="s">
        <v>835</v>
      </c>
      <c r="D1755" s="4">
        <v>45445</v>
      </c>
      <c r="E1755" t="s">
        <v>381</v>
      </c>
      <c r="F1755" t="s">
        <v>75</v>
      </c>
      <c r="I1755" s="6">
        <v>0</v>
      </c>
      <c r="J1755" s="6">
        <v>0</v>
      </c>
      <c r="K1755" s="6">
        <v>0</v>
      </c>
      <c r="L1755" s="6">
        <v>1</v>
      </c>
      <c r="M1755" s="6">
        <v>0</v>
      </c>
      <c r="N1755" s="6">
        <v>0</v>
      </c>
      <c r="O1755" s="6">
        <v>0</v>
      </c>
      <c r="P1755" s="6">
        <v>0</v>
      </c>
      <c r="Q1755">
        <v>1</v>
      </c>
      <c r="R1755">
        <f t="shared" si="135"/>
        <v>0</v>
      </c>
      <c r="S1755">
        <f t="shared" si="136"/>
        <v>1</v>
      </c>
      <c r="T1755">
        <f t="shared" si="137"/>
        <v>1</v>
      </c>
      <c r="U1755">
        <f t="shared" si="138"/>
        <v>1</v>
      </c>
      <c r="V1755">
        <f t="shared" si="139"/>
        <v>0</v>
      </c>
    </row>
    <row r="1756" spans="1:22" x14ac:dyDescent="0.25">
      <c r="A1756">
        <v>1753</v>
      </c>
      <c r="B1756" t="s">
        <v>20</v>
      </c>
      <c r="C1756" t="s">
        <v>835</v>
      </c>
      <c r="D1756" s="4">
        <v>45446</v>
      </c>
      <c r="E1756" t="s">
        <v>383</v>
      </c>
      <c r="F1756" t="s">
        <v>75</v>
      </c>
      <c r="H1756" t="s">
        <v>1027</v>
      </c>
      <c r="I1756" s="6">
        <v>0</v>
      </c>
      <c r="J1756" s="6">
        <v>0</v>
      </c>
      <c r="K1756" s="6">
        <v>0</v>
      </c>
      <c r="L1756" s="6">
        <v>1</v>
      </c>
      <c r="M1756" s="6">
        <v>0</v>
      </c>
      <c r="N1756" s="6">
        <v>0</v>
      </c>
      <c r="O1756" s="6">
        <v>0</v>
      </c>
      <c r="P1756" s="6">
        <v>0</v>
      </c>
      <c r="Q1756">
        <v>1</v>
      </c>
      <c r="R1756">
        <f t="shared" si="135"/>
        <v>0</v>
      </c>
      <c r="S1756">
        <f t="shared" si="136"/>
        <v>1</v>
      </c>
      <c r="T1756">
        <f t="shared" si="137"/>
        <v>1</v>
      </c>
      <c r="U1756">
        <f t="shared" si="138"/>
        <v>1</v>
      </c>
      <c r="V1756">
        <f t="shared" si="139"/>
        <v>0</v>
      </c>
    </row>
    <row r="1757" spans="1:22" x14ac:dyDescent="0.25">
      <c r="A1757">
        <v>1754</v>
      </c>
      <c r="B1757" t="s">
        <v>20</v>
      </c>
      <c r="C1757" t="s">
        <v>835</v>
      </c>
      <c r="D1757" s="4">
        <v>45446</v>
      </c>
      <c r="E1757" t="s">
        <v>384</v>
      </c>
      <c r="F1757" t="s">
        <v>75</v>
      </c>
      <c r="I1757" s="6">
        <v>0</v>
      </c>
      <c r="J1757" s="6">
        <v>0</v>
      </c>
      <c r="K1757" s="6">
        <v>0</v>
      </c>
      <c r="L1757" s="6">
        <v>1</v>
      </c>
      <c r="M1757" s="6">
        <v>1</v>
      </c>
      <c r="N1757" s="6">
        <v>0</v>
      </c>
      <c r="O1757" s="6">
        <v>0</v>
      </c>
      <c r="P1757" s="6">
        <v>1</v>
      </c>
      <c r="Q1757">
        <v>1</v>
      </c>
      <c r="R1757">
        <f t="shared" si="135"/>
        <v>0</v>
      </c>
      <c r="S1757">
        <f t="shared" si="136"/>
        <v>1</v>
      </c>
      <c r="T1757">
        <f t="shared" si="137"/>
        <v>3</v>
      </c>
      <c r="U1757">
        <f t="shared" si="138"/>
        <v>1</v>
      </c>
      <c r="V1757">
        <f t="shared" si="139"/>
        <v>0</v>
      </c>
    </row>
    <row r="1758" spans="1:22" x14ac:dyDescent="0.25">
      <c r="A1758">
        <v>1755</v>
      </c>
      <c r="B1758" t="s">
        <v>20</v>
      </c>
      <c r="C1758" t="s">
        <v>835</v>
      </c>
      <c r="D1758" s="4">
        <v>45446</v>
      </c>
      <c r="E1758" t="s">
        <v>385</v>
      </c>
      <c r="F1758" t="s">
        <v>75</v>
      </c>
      <c r="I1758" s="6">
        <v>0</v>
      </c>
      <c r="J1758" s="6">
        <v>0</v>
      </c>
      <c r="K1758" s="6">
        <v>0</v>
      </c>
      <c r="L1758" s="6">
        <v>1</v>
      </c>
      <c r="M1758" s="6">
        <v>1</v>
      </c>
      <c r="N1758" s="6">
        <v>0</v>
      </c>
      <c r="O1758" s="6">
        <v>0</v>
      </c>
      <c r="P1758" s="6">
        <v>0</v>
      </c>
      <c r="Q1758">
        <v>1</v>
      </c>
      <c r="R1758">
        <f t="shared" si="135"/>
        <v>0</v>
      </c>
      <c r="S1758">
        <f t="shared" si="136"/>
        <v>1</v>
      </c>
      <c r="T1758">
        <f t="shared" si="137"/>
        <v>2</v>
      </c>
      <c r="U1758">
        <f t="shared" si="138"/>
        <v>1</v>
      </c>
      <c r="V1758">
        <f t="shared" si="139"/>
        <v>0</v>
      </c>
    </row>
    <row r="1759" spans="1:22" x14ac:dyDescent="0.25">
      <c r="A1759">
        <v>1756</v>
      </c>
      <c r="B1759" t="s">
        <v>20</v>
      </c>
      <c r="C1759" t="s">
        <v>835</v>
      </c>
      <c r="D1759" s="4">
        <v>45447</v>
      </c>
      <c r="E1759" t="s">
        <v>387</v>
      </c>
      <c r="F1759" t="s">
        <v>75</v>
      </c>
      <c r="H1759" t="s">
        <v>1028</v>
      </c>
      <c r="I1759" s="6">
        <v>0</v>
      </c>
      <c r="J1759" s="6">
        <v>0</v>
      </c>
      <c r="K1759" s="6">
        <v>0</v>
      </c>
      <c r="L1759" s="6">
        <v>1</v>
      </c>
      <c r="M1759" s="6">
        <v>1</v>
      </c>
      <c r="N1759" s="6">
        <v>0</v>
      </c>
      <c r="O1759" s="6">
        <v>0</v>
      </c>
      <c r="P1759" s="6">
        <v>0</v>
      </c>
      <c r="Q1759">
        <v>1</v>
      </c>
      <c r="R1759">
        <f t="shared" si="135"/>
        <v>0</v>
      </c>
      <c r="S1759">
        <f t="shared" si="136"/>
        <v>1</v>
      </c>
      <c r="T1759">
        <f t="shared" si="137"/>
        <v>2</v>
      </c>
      <c r="U1759">
        <f t="shared" si="138"/>
        <v>1</v>
      </c>
      <c r="V1759">
        <f t="shared" si="139"/>
        <v>0</v>
      </c>
    </row>
    <row r="1760" spans="1:22" x14ac:dyDescent="0.25">
      <c r="A1760">
        <v>1757</v>
      </c>
      <c r="B1760" t="s">
        <v>20</v>
      </c>
      <c r="C1760" t="s">
        <v>835</v>
      </c>
      <c r="D1760" s="4">
        <v>45447</v>
      </c>
      <c r="E1760" t="s">
        <v>494</v>
      </c>
      <c r="F1760" t="s">
        <v>75</v>
      </c>
      <c r="H1760" t="s">
        <v>1028</v>
      </c>
      <c r="I1760" s="6">
        <v>0</v>
      </c>
      <c r="J1760" s="6">
        <v>0</v>
      </c>
      <c r="K1760" s="6">
        <v>0</v>
      </c>
      <c r="L1760" s="6">
        <v>1</v>
      </c>
      <c r="M1760" s="6">
        <v>1</v>
      </c>
      <c r="N1760" s="6">
        <v>0</v>
      </c>
      <c r="O1760" s="6">
        <v>0</v>
      </c>
      <c r="P1760" s="6">
        <v>0</v>
      </c>
      <c r="Q1760">
        <v>1</v>
      </c>
      <c r="R1760">
        <f t="shared" si="135"/>
        <v>0</v>
      </c>
      <c r="S1760">
        <f t="shared" si="136"/>
        <v>1</v>
      </c>
      <c r="T1760">
        <f t="shared" si="137"/>
        <v>2</v>
      </c>
      <c r="U1760">
        <f t="shared" si="138"/>
        <v>1</v>
      </c>
      <c r="V1760">
        <f t="shared" si="139"/>
        <v>0</v>
      </c>
    </row>
    <row r="1761" spans="1:22" x14ac:dyDescent="0.25">
      <c r="A1761">
        <v>1758</v>
      </c>
      <c r="B1761" t="s">
        <v>20</v>
      </c>
      <c r="C1761" t="s">
        <v>835</v>
      </c>
      <c r="D1761" s="4">
        <v>45447</v>
      </c>
      <c r="E1761" t="s">
        <v>900</v>
      </c>
      <c r="F1761" t="s">
        <v>413</v>
      </c>
      <c r="G1761">
        <v>97</v>
      </c>
      <c r="I1761" s="6">
        <v>0</v>
      </c>
      <c r="J1761" s="6">
        <v>0</v>
      </c>
      <c r="K1761" s="6">
        <v>0</v>
      </c>
      <c r="L1761" s="6">
        <v>1</v>
      </c>
      <c r="M1761" s="6">
        <v>1</v>
      </c>
      <c r="N1761" s="6">
        <v>0</v>
      </c>
      <c r="O1761" s="6">
        <v>0</v>
      </c>
      <c r="P1761" s="6">
        <v>0</v>
      </c>
      <c r="Q1761">
        <v>1</v>
      </c>
      <c r="R1761">
        <f t="shared" si="135"/>
        <v>1</v>
      </c>
      <c r="S1761">
        <f t="shared" si="136"/>
        <v>0</v>
      </c>
      <c r="T1761">
        <f t="shared" si="137"/>
        <v>2</v>
      </c>
      <c r="U1761">
        <f t="shared" si="138"/>
        <v>1</v>
      </c>
      <c r="V1761">
        <f t="shared" si="139"/>
        <v>1</v>
      </c>
    </row>
    <row r="1762" spans="1:22" x14ac:dyDescent="0.25">
      <c r="A1762">
        <v>1759</v>
      </c>
      <c r="B1762" t="s">
        <v>20</v>
      </c>
      <c r="C1762" t="s">
        <v>835</v>
      </c>
      <c r="D1762" s="4">
        <v>45447</v>
      </c>
      <c r="E1762" t="s">
        <v>1029</v>
      </c>
      <c r="F1762" t="s">
        <v>75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>
        <v>1</v>
      </c>
      <c r="R1762">
        <f t="shared" si="135"/>
        <v>0</v>
      </c>
      <c r="S1762">
        <f t="shared" si="136"/>
        <v>1</v>
      </c>
      <c r="T1762">
        <f t="shared" si="137"/>
        <v>0</v>
      </c>
      <c r="U1762">
        <f t="shared" si="138"/>
        <v>0</v>
      </c>
      <c r="V1762">
        <f t="shared" si="139"/>
        <v>0</v>
      </c>
    </row>
    <row r="1763" spans="1:22" x14ac:dyDescent="0.25">
      <c r="A1763">
        <v>1760</v>
      </c>
      <c r="B1763" t="s">
        <v>20</v>
      </c>
      <c r="C1763" t="s">
        <v>835</v>
      </c>
      <c r="D1763" s="4">
        <v>45448</v>
      </c>
      <c r="E1763" t="s">
        <v>497</v>
      </c>
      <c r="F1763" t="s">
        <v>75</v>
      </c>
      <c r="I1763" s="6">
        <v>0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>
        <v>1</v>
      </c>
      <c r="R1763">
        <f t="shared" si="135"/>
        <v>0</v>
      </c>
      <c r="S1763">
        <f t="shared" si="136"/>
        <v>1</v>
      </c>
      <c r="T1763">
        <f t="shared" si="137"/>
        <v>0</v>
      </c>
      <c r="U1763">
        <f t="shared" si="138"/>
        <v>0</v>
      </c>
      <c r="V1763">
        <f t="shared" si="139"/>
        <v>0</v>
      </c>
    </row>
    <row r="1764" spans="1:22" x14ac:dyDescent="0.25">
      <c r="A1764">
        <v>1761</v>
      </c>
      <c r="B1764" t="s">
        <v>20</v>
      </c>
      <c r="C1764" t="s">
        <v>835</v>
      </c>
      <c r="D1764" s="4">
        <v>45448</v>
      </c>
      <c r="E1764" t="s">
        <v>388</v>
      </c>
      <c r="F1764" t="s">
        <v>75</v>
      </c>
      <c r="I1764" s="6">
        <v>0</v>
      </c>
      <c r="J1764" s="6">
        <v>0</v>
      </c>
      <c r="K1764" s="6">
        <v>0</v>
      </c>
      <c r="L1764" s="6">
        <v>1</v>
      </c>
      <c r="M1764" s="6">
        <v>0</v>
      </c>
      <c r="N1764" s="6">
        <v>0</v>
      </c>
      <c r="O1764" s="6">
        <v>0</v>
      </c>
      <c r="P1764" s="6">
        <v>0</v>
      </c>
      <c r="Q1764">
        <v>1</v>
      </c>
      <c r="R1764">
        <f t="shared" si="135"/>
        <v>0</v>
      </c>
      <c r="S1764">
        <f t="shared" si="136"/>
        <v>1</v>
      </c>
      <c r="T1764">
        <f t="shared" si="137"/>
        <v>1</v>
      </c>
      <c r="U1764">
        <f t="shared" si="138"/>
        <v>1</v>
      </c>
      <c r="V1764">
        <f t="shared" si="139"/>
        <v>0</v>
      </c>
    </row>
    <row r="1765" spans="1:22" x14ac:dyDescent="0.25">
      <c r="A1765">
        <v>1762</v>
      </c>
      <c r="B1765" t="s">
        <v>20</v>
      </c>
      <c r="C1765" t="s">
        <v>835</v>
      </c>
      <c r="D1765" s="4">
        <v>45448</v>
      </c>
      <c r="E1765" t="s">
        <v>500</v>
      </c>
      <c r="F1765" t="s">
        <v>75</v>
      </c>
      <c r="I1765" s="6">
        <v>0</v>
      </c>
      <c r="J1765" s="6">
        <v>0</v>
      </c>
      <c r="K1765" s="6">
        <v>0</v>
      </c>
      <c r="L1765" s="6">
        <v>1</v>
      </c>
      <c r="M1765" s="6">
        <v>1</v>
      </c>
      <c r="N1765" s="6">
        <v>0</v>
      </c>
      <c r="O1765" s="6">
        <v>0</v>
      </c>
      <c r="P1765" s="6">
        <v>0</v>
      </c>
      <c r="Q1765">
        <v>1</v>
      </c>
      <c r="R1765">
        <f t="shared" si="135"/>
        <v>0</v>
      </c>
      <c r="S1765">
        <f t="shared" si="136"/>
        <v>1</v>
      </c>
      <c r="T1765">
        <f t="shared" si="137"/>
        <v>2</v>
      </c>
      <c r="U1765">
        <f t="shared" si="138"/>
        <v>1</v>
      </c>
      <c r="V1765">
        <f t="shared" si="139"/>
        <v>0</v>
      </c>
    </row>
    <row r="1766" spans="1:22" x14ac:dyDescent="0.25">
      <c r="A1766">
        <v>1763</v>
      </c>
      <c r="B1766" t="s">
        <v>20</v>
      </c>
      <c r="C1766" t="s">
        <v>835</v>
      </c>
      <c r="D1766" s="4">
        <v>45449</v>
      </c>
      <c r="E1766" t="s">
        <v>389</v>
      </c>
      <c r="F1766" t="s">
        <v>75</v>
      </c>
      <c r="H1766" t="s">
        <v>1030</v>
      </c>
      <c r="I1766" s="6">
        <v>0</v>
      </c>
      <c r="J1766" s="6">
        <v>0</v>
      </c>
      <c r="K1766" s="6">
        <v>0</v>
      </c>
      <c r="L1766" s="6">
        <v>1</v>
      </c>
      <c r="M1766" s="6">
        <v>0</v>
      </c>
      <c r="N1766" s="6">
        <v>1</v>
      </c>
      <c r="O1766" s="6">
        <v>0</v>
      </c>
      <c r="P1766" s="6">
        <v>0</v>
      </c>
      <c r="Q1766">
        <v>1</v>
      </c>
      <c r="R1766">
        <f t="shared" si="135"/>
        <v>0</v>
      </c>
      <c r="S1766">
        <f t="shared" si="136"/>
        <v>1</v>
      </c>
      <c r="T1766">
        <f t="shared" si="137"/>
        <v>2</v>
      </c>
      <c r="U1766">
        <f t="shared" si="138"/>
        <v>1</v>
      </c>
      <c r="V1766">
        <f t="shared" si="139"/>
        <v>0</v>
      </c>
    </row>
    <row r="1767" spans="1:22" x14ac:dyDescent="0.25">
      <c r="A1767">
        <v>1764</v>
      </c>
      <c r="B1767" t="s">
        <v>20</v>
      </c>
      <c r="C1767" t="s">
        <v>835</v>
      </c>
      <c r="D1767" s="4">
        <v>45449</v>
      </c>
      <c r="E1767" t="s">
        <v>507</v>
      </c>
      <c r="F1767" t="s">
        <v>75</v>
      </c>
      <c r="I1767" s="6">
        <v>0</v>
      </c>
      <c r="J1767" s="6">
        <v>0</v>
      </c>
      <c r="K1767" s="6">
        <v>0</v>
      </c>
      <c r="L1767" s="6">
        <v>1</v>
      </c>
      <c r="M1767" s="6">
        <v>1</v>
      </c>
      <c r="N1767" s="6">
        <v>1</v>
      </c>
      <c r="O1767" s="6">
        <v>0</v>
      </c>
      <c r="P1767" s="6">
        <v>0</v>
      </c>
      <c r="Q1767">
        <v>1</v>
      </c>
      <c r="R1767">
        <f t="shared" si="135"/>
        <v>0</v>
      </c>
      <c r="S1767">
        <f t="shared" si="136"/>
        <v>1</v>
      </c>
      <c r="T1767">
        <f t="shared" si="137"/>
        <v>3</v>
      </c>
      <c r="U1767">
        <f t="shared" si="138"/>
        <v>1</v>
      </c>
      <c r="V1767">
        <f t="shared" si="139"/>
        <v>0</v>
      </c>
    </row>
    <row r="1768" spans="1:22" x14ac:dyDescent="0.25">
      <c r="A1768">
        <v>1765</v>
      </c>
      <c r="B1768" t="s">
        <v>20</v>
      </c>
      <c r="C1768" t="s">
        <v>835</v>
      </c>
      <c r="D1768" s="4">
        <v>45449</v>
      </c>
      <c r="E1768" t="s">
        <v>390</v>
      </c>
      <c r="F1768" t="s">
        <v>75</v>
      </c>
      <c r="H1768" t="s">
        <v>1031</v>
      </c>
      <c r="I1768" s="6">
        <v>0</v>
      </c>
      <c r="J1768" s="6">
        <v>0</v>
      </c>
      <c r="K1768" s="6">
        <v>0</v>
      </c>
      <c r="L1768" s="6">
        <v>1</v>
      </c>
      <c r="M1768" s="6">
        <v>1</v>
      </c>
      <c r="N1768" s="6">
        <v>1</v>
      </c>
      <c r="O1768" s="6">
        <v>0</v>
      </c>
      <c r="P1768" s="6">
        <v>0</v>
      </c>
      <c r="Q1768">
        <v>1</v>
      </c>
      <c r="R1768">
        <f t="shared" si="135"/>
        <v>0</v>
      </c>
      <c r="S1768">
        <f t="shared" si="136"/>
        <v>1</v>
      </c>
      <c r="T1768">
        <f t="shared" si="137"/>
        <v>3</v>
      </c>
      <c r="U1768">
        <f t="shared" si="138"/>
        <v>1</v>
      </c>
      <c r="V1768">
        <f t="shared" si="139"/>
        <v>0</v>
      </c>
    </row>
    <row r="1769" spans="1:22" x14ac:dyDescent="0.25">
      <c r="A1769">
        <v>1766</v>
      </c>
      <c r="B1769" t="s">
        <v>20</v>
      </c>
      <c r="C1769" t="s">
        <v>835</v>
      </c>
      <c r="D1769" s="4">
        <v>45449</v>
      </c>
      <c r="E1769" t="s">
        <v>391</v>
      </c>
      <c r="F1769" t="s">
        <v>413</v>
      </c>
      <c r="G1769">
        <v>98</v>
      </c>
      <c r="I1769" s="6">
        <v>0</v>
      </c>
      <c r="J1769" s="6">
        <v>0</v>
      </c>
      <c r="K1769" s="6">
        <v>0</v>
      </c>
      <c r="L1769" s="6">
        <v>1</v>
      </c>
      <c r="M1769" s="6">
        <v>1</v>
      </c>
      <c r="N1769" s="6">
        <v>1</v>
      </c>
      <c r="O1769" s="6">
        <v>0</v>
      </c>
      <c r="P1769" s="6">
        <v>0</v>
      </c>
      <c r="Q1769">
        <v>1</v>
      </c>
      <c r="R1769">
        <f t="shared" si="135"/>
        <v>1</v>
      </c>
      <c r="S1769">
        <f t="shared" si="136"/>
        <v>0</v>
      </c>
      <c r="T1769">
        <f t="shared" si="137"/>
        <v>3</v>
      </c>
      <c r="U1769">
        <f t="shared" si="138"/>
        <v>1</v>
      </c>
      <c r="V1769">
        <f t="shared" si="139"/>
        <v>1</v>
      </c>
    </row>
    <row r="1770" spans="1:22" x14ac:dyDescent="0.25">
      <c r="A1770">
        <v>1767</v>
      </c>
      <c r="B1770" t="s">
        <v>20</v>
      </c>
      <c r="C1770" t="s">
        <v>835</v>
      </c>
      <c r="D1770" s="4">
        <v>45449</v>
      </c>
      <c r="E1770" t="s">
        <v>508</v>
      </c>
      <c r="F1770" t="s">
        <v>75</v>
      </c>
      <c r="I1770" s="6">
        <v>0</v>
      </c>
      <c r="J1770" s="6">
        <v>0</v>
      </c>
      <c r="K1770" s="6">
        <v>0</v>
      </c>
      <c r="L1770" s="6">
        <v>0</v>
      </c>
      <c r="M1770" s="6">
        <v>1</v>
      </c>
      <c r="N1770" s="6">
        <v>0</v>
      </c>
      <c r="O1770" s="6">
        <v>0</v>
      </c>
      <c r="P1770" s="6">
        <v>0</v>
      </c>
      <c r="Q1770">
        <v>1</v>
      </c>
      <c r="R1770">
        <f t="shared" si="135"/>
        <v>0</v>
      </c>
      <c r="S1770">
        <f t="shared" si="136"/>
        <v>1</v>
      </c>
      <c r="T1770">
        <f t="shared" si="137"/>
        <v>1</v>
      </c>
      <c r="U1770">
        <f t="shared" si="138"/>
        <v>1</v>
      </c>
      <c r="V1770">
        <f t="shared" si="139"/>
        <v>0</v>
      </c>
    </row>
    <row r="1771" spans="1:22" x14ac:dyDescent="0.25">
      <c r="A1771">
        <v>1768</v>
      </c>
      <c r="B1771" t="s">
        <v>20</v>
      </c>
      <c r="C1771" t="s">
        <v>835</v>
      </c>
      <c r="D1771" s="4">
        <v>45449</v>
      </c>
      <c r="E1771" t="s">
        <v>509</v>
      </c>
      <c r="F1771" t="s">
        <v>75</v>
      </c>
      <c r="I1771" s="6"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>
        <v>1</v>
      </c>
      <c r="R1771">
        <f t="shared" si="135"/>
        <v>0</v>
      </c>
      <c r="S1771">
        <f t="shared" si="136"/>
        <v>1</v>
      </c>
      <c r="T1771">
        <f t="shared" si="137"/>
        <v>0</v>
      </c>
      <c r="U1771">
        <f t="shared" si="138"/>
        <v>0</v>
      </c>
      <c r="V1771">
        <f t="shared" si="139"/>
        <v>0</v>
      </c>
    </row>
    <row r="1772" spans="1:22" x14ac:dyDescent="0.25">
      <c r="A1772">
        <v>1769</v>
      </c>
      <c r="B1772" t="s">
        <v>20</v>
      </c>
      <c r="C1772" t="s">
        <v>835</v>
      </c>
      <c r="D1772" s="4">
        <v>45450</v>
      </c>
      <c r="E1772" t="s">
        <v>392</v>
      </c>
      <c r="F1772" t="s">
        <v>75</v>
      </c>
      <c r="I1772" s="6">
        <v>0</v>
      </c>
      <c r="J1772" s="6">
        <v>0</v>
      </c>
      <c r="K1772" s="6">
        <v>0</v>
      </c>
      <c r="L1772" s="6">
        <v>1</v>
      </c>
      <c r="M1772" s="6">
        <v>1</v>
      </c>
      <c r="N1772" s="6">
        <v>0</v>
      </c>
      <c r="O1772" s="6">
        <v>0</v>
      </c>
      <c r="P1772" s="6">
        <v>0</v>
      </c>
      <c r="Q1772">
        <v>1</v>
      </c>
      <c r="R1772">
        <f t="shared" si="135"/>
        <v>0</v>
      </c>
      <c r="S1772">
        <f t="shared" si="136"/>
        <v>1</v>
      </c>
      <c r="T1772">
        <f t="shared" si="137"/>
        <v>2</v>
      </c>
      <c r="U1772">
        <f t="shared" si="138"/>
        <v>1</v>
      </c>
      <c r="V1772">
        <f t="shared" si="139"/>
        <v>0</v>
      </c>
    </row>
    <row r="1773" spans="1:22" x14ac:dyDescent="0.25">
      <c r="A1773">
        <v>1770</v>
      </c>
      <c r="B1773" t="s">
        <v>20</v>
      </c>
      <c r="C1773" t="s">
        <v>835</v>
      </c>
      <c r="D1773" s="4">
        <v>45450</v>
      </c>
      <c r="E1773" t="s">
        <v>515</v>
      </c>
      <c r="F1773" t="s">
        <v>75</v>
      </c>
      <c r="I1773" s="6">
        <v>0</v>
      </c>
      <c r="J1773" s="6">
        <v>0</v>
      </c>
      <c r="K1773" s="6">
        <v>0</v>
      </c>
      <c r="L1773" s="6">
        <v>0</v>
      </c>
      <c r="M1773" s="6">
        <v>1</v>
      </c>
      <c r="N1773" s="6">
        <v>1</v>
      </c>
      <c r="O1773" s="6">
        <v>0</v>
      </c>
      <c r="P1773" s="6">
        <v>0</v>
      </c>
      <c r="Q1773">
        <v>1</v>
      </c>
      <c r="R1773">
        <f t="shared" si="135"/>
        <v>0</v>
      </c>
      <c r="S1773">
        <f t="shared" si="136"/>
        <v>1</v>
      </c>
      <c r="T1773">
        <f t="shared" si="137"/>
        <v>2</v>
      </c>
      <c r="U1773">
        <f t="shared" si="138"/>
        <v>1</v>
      </c>
      <c r="V1773">
        <f t="shared" si="139"/>
        <v>0</v>
      </c>
    </row>
    <row r="1774" spans="1:22" x14ac:dyDescent="0.25">
      <c r="A1774">
        <v>1771</v>
      </c>
      <c r="B1774" t="s">
        <v>20</v>
      </c>
      <c r="C1774" t="s">
        <v>835</v>
      </c>
      <c r="D1774" s="4">
        <v>45450</v>
      </c>
      <c r="E1774" t="s">
        <v>516</v>
      </c>
      <c r="F1774" t="s">
        <v>75</v>
      </c>
      <c r="I1774" s="6">
        <v>0</v>
      </c>
      <c r="J1774" s="6">
        <v>1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>
        <v>1</v>
      </c>
      <c r="R1774">
        <f t="shared" si="135"/>
        <v>0</v>
      </c>
      <c r="S1774">
        <f t="shared" si="136"/>
        <v>1</v>
      </c>
      <c r="T1774">
        <f t="shared" si="137"/>
        <v>1</v>
      </c>
      <c r="U1774">
        <f t="shared" si="138"/>
        <v>1</v>
      </c>
      <c r="V1774">
        <f t="shared" si="139"/>
        <v>0</v>
      </c>
    </row>
    <row r="1775" spans="1:22" x14ac:dyDescent="0.25">
      <c r="A1775">
        <v>1772</v>
      </c>
      <c r="B1775" t="s">
        <v>20</v>
      </c>
      <c r="C1775" t="s">
        <v>835</v>
      </c>
      <c r="D1775" s="4">
        <v>45450</v>
      </c>
      <c r="E1775" t="s">
        <v>517</v>
      </c>
      <c r="F1775" t="s">
        <v>75</v>
      </c>
      <c r="H1775" t="s">
        <v>1032</v>
      </c>
      <c r="I1775" s="6">
        <v>0</v>
      </c>
      <c r="J1775" s="6">
        <v>0</v>
      </c>
      <c r="K1775" s="6">
        <v>0</v>
      </c>
      <c r="L1775" s="6">
        <v>1</v>
      </c>
      <c r="M1775" s="6">
        <v>0</v>
      </c>
      <c r="N1775" s="6">
        <v>0</v>
      </c>
      <c r="O1775" s="6">
        <v>0</v>
      </c>
      <c r="P1775" s="6">
        <v>0</v>
      </c>
      <c r="Q1775">
        <v>1</v>
      </c>
      <c r="R1775">
        <f t="shared" si="135"/>
        <v>0</v>
      </c>
      <c r="S1775">
        <f t="shared" si="136"/>
        <v>1</v>
      </c>
      <c r="T1775">
        <f t="shared" si="137"/>
        <v>1</v>
      </c>
      <c r="U1775">
        <f t="shared" si="138"/>
        <v>1</v>
      </c>
      <c r="V1775">
        <f t="shared" si="139"/>
        <v>0</v>
      </c>
    </row>
    <row r="1776" spans="1:22" x14ac:dyDescent="0.25">
      <c r="A1776">
        <v>1773</v>
      </c>
      <c r="B1776" t="s">
        <v>20</v>
      </c>
      <c r="C1776" t="s">
        <v>835</v>
      </c>
      <c r="D1776" s="4">
        <v>45450</v>
      </c>
      <c r="E1776" t="s">
        <v>518</v>
      </c>
      <c r="F1776" t="s">
        <v>75</v>
      </c>
      <c r="H1776" t="s">
        <v>1033</v>
      </c>
      <c r="I1776" s="6">
        <v>1</v>
      </c>
      <c r="J1776" s="6">
        <v>0</v>
      </c>
      <c r="K1776" s="6">
        <v>0</v>
      </c>
      <c r="L1776" s="6">
        <v>1</v>
      </c>
      <c r="M1776" s="6">
        <v>1</v>
      </c>
      <c r="N1776" s="6">
        <v>1</v>
      </c>
      <c r="O1776" s="6">
        <v>1</v>
      </c>
      <c r="P1776" s="6">
        <v>0</v>
      </c>
      <c r="Q1776">
        <v>1</v>
      </c>
      <c r="R1776">
        <f t="shared" si="135"/>
        <v>0</v>
      </c>
      <c r="S1776">
        <f t="shared" si="136"/>
        <v>1</v>
      </c>
      <c r="T1776">
        <f t="shared" si="137"/>
        <v>5</v>
      </c>
      <c r="U1776">
        <f t="shared" si="138"/>
        <v>1</v>
      </c>
      <c r="V1776">
        <f t="shared" si="139"/>
        <v>0</v>
      </c>
    </row>
    <row r="1777" spans="1:22" x14ac:dyDescent="0.25">
      <c r="A1777">
        <v>1774</v>
      </c>
      <c r="B1777" t="s">
        <v>20</v>
      </c>
      <c r="C1777" t="s">
        <v>835</v>
      </c>
      <c r="D1777" s="4">
        <v>45450</v>
      </c>
      <c r="E1777" t="s">
        <v>519</v>
      </c>
      <c r="F1777" t="s">
        <v>75</v>
      </c>
      <c r="H1777" t="s">
        <v>1034</v>
      </c>
      <c r="I1777" s="6">
        <v>1</v>
      </c>
      <c r="J1777" s="6">
        <v>1</v>
      </c>
      <c r="K1777" s="6">
        <v>0</v>
      </c>
      <c r="L1777" s="6">
        <v>1</v>
      </c>
      <c r="M1777" s="6">
        <v>1</v>
      </c>
      <c r="N1777" s="6">
        <v>0</v>
      </c>
      <c r="O1777" s="6">
        <v>1</v>
      </c>
      <c r="P1777" s="6">
        <v>0</v>
      </c>
      <c r="Q1777">
        <v>1</v>
      </c>
      <c r="R1777">
        <f t="shared" si="135"/>
        <v>0</v>
      </c>
      <c r="S1777">
        <f t="shared" si="136"/>
        <v>1</v>
      </c>
      <c r="T1777">
        <f t="shared" si="137"/>
        <v>5</v>
      </c>
      <c r="U1777">
        <f t="shared" si="138"/>
        <v>1</v>
      </c>
      <c r="V1777">
        <f t="shared" si="139"/>
        <v>0</v>
      </c>
    </row>
    <row r="1778" spans="1:22" x14ac:dyDescent="0.25">
      <c r="A1778">
        <v>1775</v>
      </c>
      <c r="B1778" t="s">
        <v>20</v>
      </c>
      <c r="C1778" t="s">
        <v>835</v>
      </c>
      <c r="D1778" s="4">
        <v>45451</v>
      </c>
      <c r="E1778" t="s">
        <v>393</v>
      </c>
      <c r="F1778" t="s">
        <v>75</v>
      </c>
      <c r="H1778" t="s">
        <v>1035</v>
      </c>
      <c r="I1778" s="6">
        <v>0</v>
      </c>
      <c r="J1778" s="6">
        <v>0</v>
      </c>
      <c r="K1778" s="6">
        <v>0</v>
      </c>
      <c r="L1778" s="6">
        <v>1</v>
      </c>
      <c r="M1778" s="6">
        <v>1</v>
      </c>
      <c r="N1778" s="6">
        <v>0</v>
      </c>
      <c r="O1778" s="6">
        <v>0</v>
      </c>
      <c r="P1778" s="6">
        <v>0</v>
      </c>
      <c r="Q1778">
        <v>1</v>
      </c>
      <c r="R1778">
        <f t="shared" si="135"/>
        <v>0</v>
      </c>
      <c r="S1778">
        <f t="shared" si="136"/>
        <v>1</v>
      </c>
      <c r="T1778">
        <f t="shared" si="137"/>
        <v>2</v>
      </c>
      <c r="U1778">
        <f t="shared" si="138"/>
        <v>1</v>
      </c>
      <c r="V1778">
        <f t="shared" si="139"/>
        <v>0</v>
      </c>
    </row>
    <row r="1779" spans="1:22" x14ac:dyDescent="0.25">
      <c r="A1779">
        <v>1776</v>
      </c>
      <c r="B1779" t="s">
        <v>20</v>
      </c>
      <c r="C1779" t="s">
        <v>835</v>
      </c>
      <c r="D1779" s="4">
        <v>45451</v>
      </c>
      <c r="E1779" t="s">
        <v>394</v>
      </c>
      <c r="F1779" t="s">
        <v>75</v>
      </c>
      <c r="I1779" s="6">
        <v>0</v>
      </c>
      <c r="J1779" s="6">
        <v>0</v>
      </c>
      <c r="K1779" s="6">
        <v>0</v>
      </c>
      <c r="L1779" s="6">
        <v>1</v>
      </c>
      <c r="M1779" s="6">
        <v>0</v>
      </c>
      <c r="N1779" s="6">
        <v>0</v>
      </c>
      <c r="O1779" s="6">
        <v>0</v>
      </c>
      <c r="P1779" s="6">
        <v>0</v>
      </c>
      <c r="Q1779">
        <v>1</v>
      </c>
      <c r="R1779">
        <f t="shared" si="135"/>
        <v>0</v>
      </c>
      <c r="S1779">
        <f t="shared" si="136"/>
        <v>1</v>
      </c>
      <c r="T1779">
        <f t="shared" si="137"/>
        <v>1</v>
      </c>
      <c r="U1779">
        <f t="shared" si="138"/>
        <v>1</v>
      </c>
      <c r="V1779">
        <f t="shared" si="139"/>
        <v>0</v>
      </c>
    </row>
    <row r="1780" spans="1:22" x14ac:dyDescent="0.25">
      <c r="A1780">
        <v>1777</v>
      </c>
      <c r="B1780" t="s">
        <v>20</v>
      </c>
      <c r="C1780" t="s">
        <v>835</v>
      </c>
      <c r="D1780" s="4">
        <v>45451</v>
      </c>
      <c r="E1780" t="s">
        <v>395</v>
      </c>
      <c r="F1780" t="s">
        <v>75</v>
      </c>
      <c r="I1780" s="6">
        <v>0</v>
      </c>
      <c r="J1780" s="6">
        <v>0</v>
      </c>
      <c r="K1780" s="6">
        <v>0</v>
      </c>
      <c r="L1780" s="6">
        <v>1</v>
      </c>
      <c r="M1780" s="6">
        <v>0</v>
      </c>
      <c r="N1780" s="6">
        <v>0</v>
      </c>
      <c r="O1780" s="6">
        <v>0</v>
      </c>
      <c r="P1780" s="6">
        <v>0</v>
      </c>
      <c r="Q1780">
        <v>1</v>
      </c>
      <c r="R1780">
        <f t="shared" si="135"/>
        <v>0</v>
      </c>
      <c r="S1780">
        <f t="shared" si="136"/>
        <v>1</v>
      </c>
      <c r="T1780">
        <f t="shared" si="137"/>
        <v>1</v>
      </c>
      <c r="U1780">
        <f t="shared" si="138"/>
        <v>1</v>
      </c>
      <c r="V1780">
        <f t="shared" si="139"/>
        <v>0</v>
      </c>
    </row>
    <row r="1781" spans="1:22" x14ac:dyDescent="0.25">
      <c r="A1781">
        <v>1778</v>
      </c>
      <c r="B1781" t="s">
        <v>20</v>
      </c>
      <c r="C1781" t="s">
        <v>835</v>
      </c>
      <c r="D1781" s="4">
        <v>45451</v>
      </c>
      <c r="E1781" t="s">
        <v>396</v>
      </c>
      <c r="F1781" t="s">
        <v>75</v>
      </c>
      <c r="H1781" t="s">
        <v>1036</v>
      </c>
      <c r="I1781" s="6">
        <v>0</v>
      </c>
      <c r="J1781" s="6">
        <v>0</v>
      </c>
      <c r="K1781" s="6">
        <v>0</v>
      </c>
      <c r="L1781" s="6">
        <v>1</v>
      </c>
      <c r="M1781" s="6">
        <v>0</v>
      </c>
      <c r="N1781" s="6">
        <v>0</v>
      </c>
      <c r="O1781" s="6">
        <v>0</v>
      </c>
      <c r="P1781" s="6">
        <v>0</v>
      </c>
      <c r="Q1781">
        <v>1</v>
      </c>
      <c r="R1781">
        <f t="shared" si="135"/>
        <v>0</v>
      </c>
      <c r="S1781">
        <f t="shared" si="136"/>
        <v>1</v>
      </c>
      <c r="T1781">
        <f t="shared" si="137"/>
        <v>1</v>
      </c>
      <c r="U1781">
        <f t="shared" si="138"/>
        <v>1</v>
      </c>
      <c r="V1781">
        <f t="shared" si="139"/>
        <v>0</v>
      </c>
    </row>
    <row r="1782" spans="1:22" x14ac:dyDescent="0.25">
      <c r="A1782">
        <v>1779</v>
      </c>
      <c r="B1782" t="s">
        <v>20</v>
      </c>
      <c r="C1782" t="s">
        <v>835</v>
      </c>
      <c r="D1782" s="4">
        <v>45452</v>
      </c>
      <c r="E1782" t="s">
        <v>398</v>
      </c>
      <c r="F1782" t="s">
        <v>75</v>
      </c>
      <c r="I1782" s="6">
        <v>0</v>
      </c>
      <c r="J1782" s="6">
        <v>0</v>
      </c>
      <c r="K1782" s="6">
        <v>0</v>
      </c>
      <c r="L1782" s="6">
        <v>0</v>
      </c>
      <c r="M1782" s="6">
        <v>1</v>
      </c>
      <c r="N1782" s="6">
        <v>1</v>
      </c>
      <c r="O1782" s="6">
        <v>0</v>
      </c>
      <c r="P1782" s="6">
        <v>0</v>
      </c>
      <c r="Q1782">
        <v>1</v>
      </c>
      <c r="R1782">
        <f t="shared" si="135"/>
        <v>0</v>
      </c>
      <c r="S1782">
        <f t="shared" si="136"/>
        <v>1</v>
      </c>
      <c r="T1782">
        <f t="shared" si="137"/>
        <v>2</v>
      </c>
      <c r="U1782">
        <f t="shared" si="138"/>
        <v>1</v>
      </c>
      <c r="V1782">
        <f t="shared" si="139"/>
        <v>0</v>
      </c>
    </row>
    <row r="1783" spans="1:22" x14ac:dyDescent="0.25">
      <c r="A1783">
        <v>1780</v>
      </c>
      <c r="B1783" t="s">
        <v>20</v>
      </c>
      <c r="C1783" t="s">
        <v>835</v>
      </c>
      <c r="D1783" s="4">
        <v>45452</v>
      </c>
      <c r="E1783" t="s">
        <v>399</v>
      </c>
      <c r="F1783" t="s">
        <v>75</v>
      </c>
      <c r="I1783" s="6">
        <v>0</v>
      </c>
      <c r="J1783" s="6">
        <v>0</v>
      </c>
      <c r="K1783" s="6">
        <v>0</v>
      </c>
      <c r="L1783" s="6">
        <v>1</v>
      </c>
      <c r="M1783" s="6">
        <v>1</v>
      </c>
      <c r="N1783" s="6">
        <v>1</v>
      </c>
      <c r="O1783" s="6">
        <v>0</v>
      </c>
      <c r="P1783" s="6">
        <v>1</v>
      </c>
      <c r="Q1783">
        <v>1</v>
      </c>
      <c r="R1783">
        <f t="shared" si="135"/>
        <v>0</v>
      </c>
      <c r="S1783">
        <f t="shared" si="136"/>
        <v>1</v>
      </c>
      <c r="T1783">
        <f t="shared" si="137"/>
        <v>4</v>
      </c>
      <c r="U1783">
        <f t="shared" si="138"/>
        <v>1</v>
      </c>
      <c r="V1783">
        <f t="shared" si="139"/>
        <v>0</v>
      </c>
    </row>
    <row r="1784" spans="1:22" x14ac:dyDescent="0.25">
      <c r="A1784">
        <v>1781</v>
      </c>
      <c r="B1784" t="s">
        <v>20</v>
      </c>
      <c r="C1784" t="s">
        <v>835</v>
      </c>
      <c r="D1784" s="4">
        <v>45452</v>
      </c>
      <c r="E1784" t="s">
        <v>902</v>
      </c>
      <c r="F1784" t="s">
        <v>75</v>
      </c>
      <c r="I1784" s="6">
        <v>0</v>
      </c>
      <c r="J1784" s="6">
        <v>0</v>
      </c>
      <c r="K1784" s="6">
        <v>0</v>
      </c>
      <c r="L1784" s="6">
        <v>0</v>
      </c>
      <c r="M1784" s="6">
        <v>0</v>
      </c>
      <c r="N1784" s="6">
        <v>1</v>
      </c>
      <c r="O1784" s="6">
        <v>0</v>
      </c>
      <c r="P1784" s="6">
        <v>0</v>
      </c>
      <c r="Q1784">
        <v>1</v>
      </c>
      <c r="R1784">
        <f t="shared" si="135"/>
        <v>0</v>
      </c>
      <c r="S1784">
        <f t="shared" si="136"/>
        <v>1</v>
      </c>
      <c r="T1784">
        <f t="shared" si="137"/>
        <v>1</v>
      </c>
      <c r="U1784">
        <f t="shared" si="138"/>
        <v>1</v>
      </c>
      <c r="V1784">
        <f t="shared" si="139"/>
        <v>0</v>
      </c>
    </row>
    <row r="1785" spans="1:22" x14ac:dyDescent="0.25">
      <c r="A1785">
        <v>1782</v>
      </c>
      <c r="B1785" t="s">
        <v>20</v>
      </c>
      <c r="C1785" t="s">
        <v>835</v>
      </c>
      <c r="D1785" s="4">
        <v>45452</v>
      </c>
      <c r="E1785" t="s">
        <v>400</v>
      </c>
      <c r="F1785" t="s">
        <v>75</v>
      </c>
      <c r="H1785" t="s">
        <v>1037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>
        <v>1</v>
      </c>
      <c r="R1785">
        <f t="shared" si="135"/>
        <v>0</v>
      </c>
      <c r="S1785">
        <f t="shared" si="136"/>
        <v>1</v>
      </c>
      <c r="T1785">
        <f t="shared" si="137"/>
        <v>0</v>
      </c>
      <c r="U1785">
        <f t="shared" si="138"/>
        <v>0</v>
      </c>
      <c r="V1785">
        <f t="shared" si="139"/>
        <v>0</v>
      </c>
    </row>
    <row r="1786" spans="1:22" x14ac:dyDescent="0.25">
      <c r="A1786">
        <v>1783</v>
      </c>
      <c r="B1786" t="s">
        <v>20</v>
      </c>
      <c r="C1786" t="s">
        <v>835</v>
      </c>
      <c r="D1786" s="4">
        <v>45452</v>
      </c>
      <c r="E1786" t="s">
        <v>2084</v>
      </c>
      <c r="F1786" t="s">
        <v>75</v>
      </c>
      <c r="I1786" s="6">
        <v>0</v>
      </c>
      <c r="J1786" s="6">
        <v>0</v>
      </c>
      <c r="K1786" s="6">
        <v>0</v>
      </c>
      <c r="L1786" s="6">
        <v>1</v>
      </c>
      <c r="M1786" s="6">
        <v>0</v>
      </c>
      <c r="N1786" s="6">
        <v>0</v>
      </c>
      <c r="O1786" s="6">
        <v>0</v>
      </c>
      <c r="P1786" s="6">
        <v>0</v>
      </c>
      <c r="Q1786">
        <v>1</v>
      </c>
      <c r="R1786">
        <f t="shared" si="135"/>
        <v>0</v>
      </c>
      <c r="S1786">
        <f t="shared" si="136"/>
        <v>1</v>
      </c>
      <c r="T1786">
        <f t="shared" si="137"/>
        <v>1</v>
      </c>
      <c r="U1786">
        <f t="shared" si="138"/>
        <v>1</v>
      </c>
      <c r="V1786">
        <f t="shared" si="139"/>
        <v>0</v>
      </c>
    </row>
    <row r="1787" spans="1:22" x14ac:dyDescent="0.25">
      <c r="A1787">
        <v>1784</v>
      </c>
      <c r="B1787" t="s">
        <v>24</v>
      </c>
      <c r="C1787" t="s">
        <v>1038</v>
      </c>
      <c r="D1787" s="4">
        <v>45329</v>
      </c>
      <c r="E1787" t="s">
        <v>903</v>
      </c>
      <c r="F1787" t="s">
        <v>75</v>
      </c>
      <c r="I1787" s="6">
        <v>0</v>
      </c>
      <c r="J1787" s="6">
        <v>0</v>
      </c>
      <c r="K1787" s="6">
        <v>0</v>
      </c>
      <c r="L1787" s="6">
        <v>1</v>
      </c>
      <c r="M1787" s="6">
        <v>1</v>
      </c>
      <c r="N1787" s="6">
        <v>1</v>
      </c>
      <c r="O1787" s="6">
        <v>0</v>
      </c>
      <c r="P1787" s="6">
        <v>0</v>
      </c>
      <c r="Q1787">
        <v>1</v>
      </c>
      <c r="R1787">
        <f t="shared" si="135"/>
        <v>0</v>
      </c>
      <c r="S1787">
        <f t="shared" si="136"/>
        <v>1</v>
      </c>
      <c r="T1787">
        <f t="shared" si="137"/>
        <v>3</v>
      </c>
      <c r="U1787">
        <f t="shared" si="138"/>
        <v>1</v>
      </c>
      <c r="V1787">
        <f t="shared" si="139"/>
        <v>0</v>
      </c>
    </row>
    <row r="1788" spans="1:22" x14ac:dyDescent="0.25">
      <c r="A1788">
        <v>1785</v>
      </c>
      <c r="B1788" t="s">
        <v>24</v>
      </c>
      <c r="C1788" t="s">
        <v>1038</v>
      </c>
      <c r="D1788" s="4">
        <v>45330</v>
      </c>
      <c r="E1788" t="s">
        <v>836</v>
      </c>
      <c r="F1788" t="s">
        <v>413</v>
      </c>
      <c r="G1788">
        <v>99</v>
      </c>
      <c r="I1788" s="6">
        <v>0</v>
      </c>
      <c r="J1788" s="6">
        <v>0</v>
      </c>
      <c r="K1788" s="6">
        <v>0</v>
      </c>
      <c r="L1788" s="6">
        <v>1</v>
      </c>
      <c r="M1788" s="6">
        <v>0</v>
      </c>
      <c r="N1788" s="6">
        <v>1</v>
      </c>
      <c r="O1788" s="6">
        <v>0</v>
      </c>
      <c r="P1788" s="6">
        <v>0</v>
      </c>
      <c r="Q1788">
        <v>1</v>
      </c>
      <c r="R1788">
        <f t="shared" si="135"/>
        <v>1</v>
      </c>
      <c r="S1788">
        <f t="shared" si="136"/>
        <v>0</v>
      </c>
      <c r="T1788">
        <f t="shared" si="137"/>
        <v>2</v>
      </c>
      <c r="U1788">
        <f t="shared" si="138"/>
        <v>1</v>
      </c>
      <c r="V1788">
        <f t="shared" si="139"/>
        <v>1</v>
      </c>
    </row>
    <row r="1789" spans="1:22" x14ac:dyDescent="0.25">
      <c r="A1789">
        <v>1786</v>
      </c>
      <c r="B1789" t="s">
        <v>24</v>
      </c>
      <c r="C1789" t="s">
        <v>1038</v>
      </c>
      <c r="D1789" s="4">
        <v>45330</v>
      </c>
      <c r="E1789" t="s">
        <v>406</v>
      </c>
      <c r="F1789" t="s">
        <v>75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>
        <v>1</v>
      </c>
      <c r="R1789">
        <f t="shared" si="135"/>
        <v>0</v>
      </c>
      <c r="S1789">
        <f t="shared" si="136"/>
        <v>1</v>
      </c>
      <c r="T1789">
        <f t="shared" si="137"/>
        <v>0</v>
      </c>
      <c r="U1789">
        <f t="shared" si="138"/>
        <v>0</v>
      </c>
      <c r="V1789">
        <f t="shared" si="139"/>
        <v>0</v>
      </c>
    </row>
    <row r="1790" spans="1:22" x14ac:dyDescent="0.25">
      <c r="A1790">
        <v>1787</v>
      </c>
      <c r="B1790" t="s">
        <v>24</v>
      </c>
      <c r="C1790" t="s">
        <v>1038</v>
      </c>
      <c r="D1790" s="4">
        <v>45330</v>
      </c>
      <c r="E1790" t="s">
        <v>407</v>
      </c>
      <c r="F1790" t="s">
        <v>75</v>
      </c>
      <c r="I1790" s="6">
        <v>0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>
        <v>1</v>
      </c>
      <c r="R1790">
        <f t="shared" si="135"/>
        <v>0</v>
      </c>
      <c r="S1790">
        <f t="shared" si="136"/>
        <v>1</v>
      </c>
      <c r="T1790">
        <f t="shared" si="137"/>
        <v>0</v>
      </c>
      <c r="U1790">
        <f t="shared" si="138"/>
        <v>0</v>
      </c>
      <c r="V1790">
        <f t="shared" si="139"/>
        <v>0</v>
      </c>
    </row>
    <row r="1791" spans="1:22" x14ac:dyDescent="0.25">
      <c r="A1791">
        <v>1788</v>
      </c>
      <c r="B1791" t="s">
        <v>24</v>
      </c>
      <c r="C1791" t="s">
        <v>1038</v>
      </c>
      <c r="D1791" s="4">
        <v>45331</v>
      </c>
      <c r="E1791" t="s">
        <v>1039</v>
      </c>
      <c r="F1791" t="s">
        <v>75</v>
      </c>
      <c r="I1791" s="6">
        <v>0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>
        <v>1</v>
      </c>
      <c r="R1791">
        <f t="shared" si="135"/>
        <v>0</v>
      </c>
      <c r="S1791">
        <f t="shared" si="136"/>
        <v>1</v>
      </c>
      <c r="T1791">
        <f t="shared" si="137"/>
        <v>0</v>
      </c>
      <c r="U1791">
        <f t="shared" si="138"/>
        <v>0</v>
      </c>
      <c r="V1791">
        <f t="shared" si="139"/>
        <v>0</v>
      </c>
    </row>
    <row r="1792" spans="1:22" x14ac:dyDescent="0.25">
      <c r="A1792">
        <v>1789</v>
      </c>
      <c r="B1792" t="s">
        <v>24</v>
      </c>
      <c r="C1792" t="s">
        <v>1038</v>
      </c>
      <c r="D1792" s="4">
        <v>45331</v>
      </c>
      <c r="E1792" t="s">
        <v>1105</v>
      </c>
      <c r="F1792" t="s">
        <v>75</v>
      </c>
      <c r="I1792" s="6"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>
        <v>1</v>
      </c>
      <c r="R1792">
        <f t="shared" si="135"/>
        <v>0</v>
      </c>
      <c r="S1792">
        <f t="shared" si="136"/>
        <v>1</v>
      </c>
      <c r="T1792">
        <f t="shared" si="137"/>
        <v>0</v>
      </c>
      <c r="U1792">
        <f t="shared" si="138"/>
        <v>0</v>
      </c>
      <c r="V1792">
        <f t="shared" si="139"/>
        <v>0</v>
      </c>
    </row>
    <row r="1793" spans="1:22" x14ac:dyDescent="0.25">
      <c r="A1793">
        <v>1790</v>
      </c>
      <c r="B1793" t="s">
        <v>24</v>
      </c>
      <c r="C1793" t="s">
        <v>1038</v>
      </c>
      <c r="D1793" s="4">
        <v>45332</v>
      </c>
      <c r="E1793" t="s">
        <v>1106</v>
      </c>
      <c r="F1793" t="s">
        <v>75</v>
      </c>
      <c r="I1793" s="6">
        <v>1</v>
      </c>
      <c r="J1793" s="6">
        <v>0</v>
      </c>
      <c r="K1793" s="6">
        <v>0</v>
      </c>
      <c r="L1793" s="6">
        <v>1</v>
      </c>
      <c r="M1793" s="6">
        <v>0</v>
      </c>
      <c r="N1793" s="6">
        <v>1</v>
      </c>
      <c r="O1793" s="6">
        <v>0</v>
      </c>
      <c r="P1793" s="6">
        <v>0</v>
      </c>
      <c r="Q1793">
        <v>1</v>
      </c>
      <c r="R1793">
        <f t="shared" si="135"/>
        <v>0</v>
      </c>
      <c r="S1793">
        <f t="shared" si="136"/>
        <v>1</v>
      </c>
      <c r="T1793">
        <f t="shared" si="137"/>
        <v>3</v>
      </c>
      <c r="U1793">
        <f t="shared" si="138"/>
        <v>1</v>
      </c>
      <c r="V1793">
        <f t="shared" si="139"/>
        <v>0</v>
      </c>
    </row>
    <row r="1794" spans="1:22" x14ac:dyDescent="0.25">
      <c r="A1794">
        <v>1791</v>
      </c>
      <c r="B1794" t="s">
        <v>24</v>
      </c>
      <c r="C1794" t="s">
        <v>1038</v>
      </c>
      <c r="D1794" s="4">
        <v>45332</v>
      </c>
      <c r="E1794" t="s">
        <v>1040</v>
      </c>
      <c r="F1794" t="s">
        <v>75</v>
      </c>
      <c r="I1794" s="6">
        <v>0</v>
      </c>
      <c r="J1794" s="6">
        <v>0</v>
      </c>
      <c r="K1794" s="6">
        <v>1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>
        <v>1</v>
      </c>
      <c r="R1794">
        <f t="shared" si="135"/>
        <v>0</v>
      </c>
      <c r="S1794">
        <f t="shared" si="136"/>
        <v>1</v>
      </c>
      <c r="T1794">
        <f t="shared" si="137"/>
        <v>1</v>
      </c>
      <c r="U1794">
        <f t="shared" si="138"/>
        <v>1</v>
      </c>
      <c r="V1794">
        <f t="shared" si="139"/>
        <v>0</v>
      </c>
    </row>
    <row r="1795" spans="1:22" x14ac:dyDescent="0.25">
      <c r="A1795">
        <v>1792</v>
      </c>
      <c r="B1795" t="s">
        <v>24</v>
      </c>
      <c r="C1795" t="s">
        <v>1038</v>
      </c>
      <c r="D1795" s="4">
        <v>45333</v>
      </c>
      <c r="E1795" t="s">
        <v>904</v>
      </c>
      <c r="F1795" t="s">
        <v>75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1</v>
      </c>
      <c r="O1795" s="6">
        <v>0</v>
      </c>
      <c r="P1795" s="6">
        <v>0</v>
      </c>
      <c r="Q1795">
        <v>1</v>
      </c>
      <c r="R1795">
        <f t="shared" ref="R1795:R1858" si="140">IF(AND(Q1795=1,F1795="ai_full"),1,0)</f>
        <v>0</v>
      </c>
      <c r="S1795">
        <f t="shared" ref="S1795:S1858" si="141">IF(AND(Q1795=1,F1795="conventional"),1,0)</f>
        <v>1</v>
      </c>
      <c r="T1795">
        <f t="shared" ref="T1795:T1858" si="142">SUM(I1795:P1795)</f>
        <v>1</v>
      </c>
      <c r="U1795">
        <f t="shared" ref="U1795:U1858" si="143">IF(T1795&gt;=1,1,0)</f>
        <v>1</v>
      </c>
      <c r="V1795">
        <f t="shared" ref="V1795:V1858" si="144">IF(F1795="ai_full",1,0)</f>
        <v>0</v>
      </c>
    </row>
    <row r="1796" spans="1:22" x14ac:dyDescent="0.25">
      <c r="A1796">
        <v>1793</v>
      </c>
      <c r="B1796" t="s">
        <v>24</v>
      </c>
      <c r="C1796" t="s">
        <v>1038</v>
      </c>
      <c r="D1796" s="4">
        <v>45333</v>
      </c>
      <c r="E1796" t="s">
        <v>905</v>
      </c>
      <c r="F1796" t="s">
        <v>75</v>
      </c>
      <c r="I1796" s="6">
        <v>0</v>
      </c>
      <c r="J1796" s="6">
        <v>0</v>
      </c>
      <c r="K1796" s="6">
        <v>1</v>
      </c>
      <c r="L1796" s="6">
        <v>1</v>
      </c>
      <c r="M1796" s="6">
        <v>1</v>
      </c>
      <c r="N1796" s="6">
        <v>1</v>
      </c>
      <c r="O1796" s="6">
        <v>1</v>
      </c>
      <c r="P1796" s="6">
        <v>0</v>
      </c>
      <c r="Q1796">
        <v>1</v>
      </c>
      <c r="R1796">
        <f t="shared" si="140"/>
        <v>0</v>
      </c>
      <c r="S1796">
        <f t="shared" si="141"/>
        <v>1</v>
      </c>
      <c r="T1796">
        <f t="shared" si="142"/>
        <v>5</v>
      </c>
      <c r="U1796">
        <f t="shared" si="143"/>
        <v>1</v>
      </c>
      <c r="V1796">
        <f t="shared" si="144"/>
        <v>0</v>
      </c>
    </row>
    <row r="1797" spans="1:22" x14ac:dyDescent="0.25">
      <c r="A1797">
        <v>1794</v>
      </c>
      <c r="B1797" t="s">
        <v>24</v>
      </c>
      <c r="C1797" t="s">
        <v>1038</v>
      </c>
      <c r="D1797" s="4">
        <v>45333</v>
      </c>
      <c r="E1797" t="s">
        <v>1505</v>
      </c>
      <c r="F1797" t="s">
        <v>75</v>
      </c>
      <c r="I1797" s="6">
        <v>0</v>
      </c>
      <c r="J1797" s="6">
        <v>0</v>
      </c>
      <c r="K1797" s="6">
        <v>0</v>
      </c>
      <c r="L1797" s="6">
        <v>1</v>
      </c>
      <c r="M1797" s="6">
        <v>0</v>
      </c>
      <c r="N1797" s="6">
        <v>0</v>
      </c>
      <c r="O1797" s="6">
        <v>0</v>
      </c>
      <c r="P1797" s="6">
        <v>0</v>
      </c>
      <c r="Q1797">
        <v>1</v>
      </c>
      <c r="R1797">
        <f t="shared" si="140"/>
        <v>0</v>
      </c>
      <c r="S1797">
        <f t="shared" si="141"/>
        <v>1</v>
      </c>
      <c r="T1797">
        <f t="shared" si="142"/>
        <v>1</v>
      </c>
      <c r="U1797">
        <f t="shared" si="143"/>
        <v>1</v>
      </c>
      <c r="V1797">
        <f t="shared" si="144"/>
        <v>0</v>
      </c>
    </row>
    <row r="1798" spans="1:22" x14ac:dyDescent="0.25">
      <c r="A1798">
        <v>1795</v>
      </c>
      <c r="B1798" t="s">
        <v>24</v>
      </c>
      <c r="C1798" t="s">
        <v>1038</v>
      </c>
      <c r="D1798" s="4">
        <v>45333</v>
      </c>
      <c r="E1798" t="s">
        <v>2292</v>
      </c>
      <c r="F1798" t="s">
        <v>75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1</v>
      </c>
      <c r="O1798" s="6">
        <v>0</v>
      </c>
      <c r="P1798" s="6">
        <v>0</v>
      </c>
      <c r="Q1798">
        <v>1</v>
      </c>
      <c r="R1798">
        <f t="shared" si="140"/>
        <v>0</v>
      </c>
      <c r="S1798">
        <f t="shared" si="141"/>
        <v>1</v>
      </c>
      <c r="T1798">
        <f t="shared" si="142"/>
        <v>1</v>
      </c>
      <c r="U1798">
        <f t="shared" si="143"/>
        <v>1</v>
      </c>
      <c r="V1798">
        <f t="shared" si="144"/>
        <v>0</v>
      </c>
    </row>
    <row r="1799" spans="1:22" x14ac:dyDescent="0.25">
      <c r="A1799">
        <v>1796</v>
      </c>
      <c r="B1799" t="s">
        <v>24</v>
      </c>
      <c r="C1799" t="s">
        <v>1038</v>
      </c>
      <c r="D1799" s="4">
        <v>45333</v>
      </c>
      <c r="E1799" t="s">
        <v>1041</v>
      </c>
      <c r="F1799" t="s">
        <v>75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>
        <v>1</v>
      </c>
      <c r="R1799">
        <f t="shared" si="140"/>
        <v>0</v>
      </c>
      <c r="S1799">
        <f t="shared" si="141"/>
        <v>1</v>
      </c>
      <c r="T1799">
        <f t="shared" si="142"/>
        <v>0</v>
      </c>
      <c r="U1799">
        <f t="shared" si="143"/>
        <v>0</v>
      </c>
      <c r="V1799">
        <f t="shared" si="144"/>
        <v>0</v>
      </c>
    </row>
    <row r="1800" spans="1:22" x14ac:dyDescent="0.25">
      <c r="A1800">
        <v>1797</v>
      </c>
      <c r="B1800" t="s">
        <v>24</v>
      </c>
      <c r="C1800" t="s">
        <v>1038</v>
      </c>
      <c r="D1800" s="4">
        <v>45333</v>
      </c>
      <c r="E1800" t="s">
        <v>1042</v>
      </c>
      <c r="F1800" t="s">
        <v>75</v>
      </c>
      <c r="I1800" s="6">
        <v>0</v>
      </c>
      <c r="J1800" s="6">
        <v>0</v>
      </c>
      <c r="K1800" s="6">
        <v>1</v>
      </c>
      <c r="L1800" s="6">
        <v>0</v>
      </c>
      <c r="M1800" s="6">
        <v>1</v>
      </c>
      <c r="N1800" s="6">
        <v>1</v>
      </c>
      <c r="O1800" s="6">
        <v>1</v>
      </c>
      <c r="P1800" s="6">
        <v>0</v>
      </c>
      <c r="Q1800">
        <v>1</v>
      </c>
      <c r="R1800">
        <f t="shared" si="140"/>
        <v>0</v>
      </c>
      <c r="S1800">
        <f t="shared" si="141"/>
        <v>1</v>
      </c>
      <c r="T1800">
        <f t="shared" si="142"/>
        <v>4</v>
      </c>
      <c r="U1800">
        <f t="shared" si="143"/>
        <v>1</v>
      </c>
      <c r="V1800">
        <f t="shared" si="144"/>
        <v>0</v>
      </c>
    </row>
    <row r="1801" spans="1:22" x14ac:dyDescent="0.25">
      <c r="A1801">
        <v>1798</v>
      </c>
      <c r="B1801" t="s">
        <v>24</v>
      </c>
      <c r="C1801" t="s">
        <v>1038</v>
      </c>
      <c r="D1801" s="4">
        <v>45334</v>
      </c>
      <c r="E1801" t="s">
        <v>2291</v>
      </c>
      <c r="F1801" t="s">
        <v>75</v>
      </c>
      <c r="I1801" s="6">
        <v>0</v>
      </c>
      <c r="J1801" s="6">
        <v>0</v>
      </c>
      <c r="K1801" s="6">
        <v>0</v>
      </c>
      <c r="L1801" s="6">
        <v>0</v>
      </c>
      <c r="M1801" s="6">
        <v>0</v>
      </c>
      <c r="N1801" s="6">
        <v>1</v>
      </c>
      <c r="O1801" s="6">
        <v>0</v>
      </c>
      <c r="P1801" s="6">
        <v>0</v>
      </c>
      <c r="Q1801">
        <v>1</v>
      </c>
      <c r="R1801">
        <f t="shared" si="140"/>
        <v>0</v>
      </c>
      <c r="S1801">
        <f t="shared" si="141"/>
        <v>1</v>
      </c>
      <c r="T1801">
        <f t="shared" si="142"/>
        <v>1</v>
      </c>
      <c r="U1801">
        <f t="shared" si="143"/>
        <v>1</v>
      </c>
      <c r="V1801">
        <f t="shared" si="144"/>
        <v>0</v>
      </c>
    </row>
    <row r="1802" spans="1:22" x14ac:dyDescent="0.25">
      <c r="A1802">
        <v>1799</v>
      </c>
      <c r="B1802" t="s">
        <v>24</v>
      </c>
      <c r="C1802" t="s">
        <v>1038</v>
      </c>
      <c r="D1802" s="4">
        <v>45334</v>
      </c>
      <c r="E1802" t="s">
        <v>2290</v>
      </c>
      <c r="F1802" t="s">
        <v>75</v>
      </c>
      <c r="I1802" s="6">
        <v>0</v>
      </c>
      <c r="J1802" s="6">
        <v>0</v>
      </c>
      <c r="K1802" s="6">
        <v>1</v>
      </c>
      <c r="L1802" s="6">
        <v>0</v>
      </c>
      <c r="M1802" s="6">
        <v>1</v>
      </c>
      <c r="N1802" s="6">
        <v>1</v>
      </c>
      <c r="O1802" s="6">
        <v>0</v>
      </c>
      <c r="P1802" s="6">
        <v>0</v>
      </c>
      <c r="Q1802">
        <v>1</v>
      </c>
      <c r="R1802">
        <f t="shared" si="140"/>
        <v>0</v>
      </c>
      <c r="S1802">
        <f t="shared" si="141"/>
        <v>1</v>
      </c>
      <c r="T1802">
        <f t="shared" si="142"/>
        <v>3</v>
      </c>
      <c r="U1802">
        <f t="shared" si="143"/>
        <v>1</v>
      </c>
      <c r="V1802">
        <f t="shared" si="144"/>
        <v>0</v>
      </c>
    </row>
    <row r="1803" spans="1:22" x14ac:dyDescent="0.25">
      <c r="A1803">
        <v>1800</v>
      </c>
      <c r="B1803" t="s">
        <v>24</v>
      </c>
      <c r="C1803" t="s">
        <v>1038</v>
      </c>
      <c r="D1803" s="4">
        <v>45334</v>
      </c>
      <c r="E1803" t="s">
        <v>1273</v>
      </c>
      <c r="F1803" t="s">
        <v>75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>
        <v>1</v>
      </c>
      <c r="R1803">
        <f t="shared" si="140"/>
        <v>0</v>
      </c>
      <c r="S1803">
        <f t="shared" si="141"/>
        <v>1</v>
      </c>
      <c r="T1803">
        <f t="shared" si="142"/>
        <v>0</v>
      </c>
      <c r="U1803">
        <f t="shared" si="143"/>
        <v>0</v>
      </c>
      <c r="V1803">
        <f t="shared" si="144"/>
        <v>0</v>
      </c>
    </row>
    <row r="1804" spans="1:22" x14ac:dyDescent="0.25">
      <c r="A1804">
        <v>1801</v>
      </c>
      <c r="B1804" t="s">
        <v>24</v>
      </c>
      <c r="C1804" t="s">
        <v>1038</v>
      </c>
      <c r="D1804" s="4">
        <v>45337</v>
      </c>
      <c r="E1804" t="s">
        <v>1110</v>
      </c>
      <c r="F1804" t="s">
        <v>75</v>
      </c>
      <c r="I1804" s="6">
        <v>0</v>
      </c>
      <c r="J1804" s="6">
        <v>0</v>
      </c>
      <c r="K1804" s="6">
        <v>0</v>
      </c>
      <c r="L1804" s="6">
        <v>0</v>
      </c>
      <c r="M1804" s="6">
        <v>1</v>
      </c>
      <c r="N1804" s="6">
        <v>1</v>
      </c>
      <c r="O1804" s="6">
        <v>0</v>
      </c>
      <c r="P1804" s="6">
        <v>0</v>
      </c>
      <c r="Q1804">
        <v>1</v>
      </c>
      <c r="R1804">
        <f t="shared" si="140"/>
        <v>0</v>
      </c>
      <c r="S1804">
        <f t="shared" si="141"/>
        <v>1</v>
      </c>
      <c r="T1804">
        <f t="shared" si="142"/>
        <v>2</v>
      </c>
      <c r="U1804">
        <f t="shared" si="143"/>
        <v>1</v>
      </c>
      <c r="V1804">
        <f t="shared" si="144"/>
        <v>0</v>
      </c>
    </row>
    <row r="1805" spans="1:22" x14ac:dyDescent="0.25">
      <c r="A1805">
        <v>1802</v>
      </c>
      <c r="B1805" t="s">
        <v>24</v>
      </c>
      <c r="C1805" t="s">
        <v>1038</v>
      </c>
      <c r="D1805" s="4">
        <v>45337</v>
      </c>
      <c r="E1805" t="s">
        <v>2284</v>
      </c>
      <c r="F1805" t="s">
        <v>75</v>
      </c>
      <c r="I1805" s="6">
        <v>0</v>
      </c>
      <c r="J1805" s="6">
        <v>0</v>
      </c>
      <c r="K1805" s="6">
        <v>1</v>
      </c>
      <c r="L1805" s="6">
        <v>0</v>
      </c>
      <c r="M1805" s="6">
        <v>1</v>
      </c>
      <c r="N1805" s="6">
        <v>1</v>
      </c>
      <c r="O1805" s="6">
        <v>1</v>
      </c>
      <c r="P1805" s="6">
        <v>0</v>
      </c>
      <c r="Q1805">
        <v>1</v>
      </c>
      <c r="R1805">
        <f t="shared" si="140"/>
        <v>0</v>
      </c>
      <c r="S1805">
        <f t="shared" si="141"/>
        <v>1</v>
      </c>
      <c r="T1805">
        <f t="shared" si="142"/>
        <v>4</v>
      </c>
      <c r="U1805">
        <f t="shared" si="143"/>
        <v>1</v>
      </c>
      <c r="V1805">
        <f t="shared" si="144"/>
        <v>0</v>
      </c>
    </row>
    <row r="1806" spans="1:22" x14ac:dyDescent="0.25">
      <c r="A1806">
        <v>1803</v>
      </c>
      <c r="B1806" t="s">
        <v>24</v>
      </c>
      <c r="C1806" t="s">
        <v>1038</v>
      </c>
      <c r="D1806" s="4">
        <v>45337</v>
      </c>
      <c r="E1806" t="s">
        <v>1043</v>
      </c>
      <c r="F1806" t="s">
        <v>75</v>
      </c>
      <c r="I1806" s="6">
        <v>0</v>
      </c>
      <c r="J1806" s="6">
        <v>0</v>
      </c>
      <c r="K1806" s="6">
        <v>0</v>
      </c>
      <c r="L1806" s="6">
        <v>1</v>
      </c>
      <c r="M1806" s="6">
        <v>0</v>
      </c>
      <c r="N1806" s="6">
        <v>0</v>
      </c>
      <c r="O1806" s="6">
        <v>0</v>
      </c>
      <c r="P1806" s="6">
        <v>0</v>
      </c>
      <c r="Q1806">
        <v>1</v>
      </c>
      <c r="R1806">
        <f t="shared" si="140"/>
        <v>0</v>
      </c>
      <c r="S1806">
        <f t="shared" si="141"/>
        <v>1</v>
      </c>
      <c r="T1806">
        <f t="shared" si="142"/>
        <v>1</v>
      </c>
      <c r="U1806">
        <f t="shared" si="143"/>
        <v>1</v>
      </c>
      <c r="V1806">
        <f t="shared" si="144"/>
        <v>0</v>
      </c>
    </row>
    <row r="1807" spans="1:22" x14ac:dyDescent="0.25">
      <c r="A1807">
        <v>1804</v>
      </c>
      <c r="B1807" t="s">
        <v>24</v>
      </c>
      <c r="C1807" t="s">
        <v>1038</v>
      </c>
      <c r="D1807" s="4">
        <v>45338</v>
      </c>
      <c r="E1807" t="s">
        <v>1044</v>
      </c>
      <c r="F1807" t="s">
        <v>75</v>
      </c>
      <c r="I1807" s="6">
        <v>0</v>
      </c>
      <c r="J1807" s="6">
        <v>0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>
        <v>1</v>
      </c>
      <c r="R1807">
        <f t="shared" si="140"/>
        <v>0</v>
      </c>
      <c r="S1807">
        <f t="shared" si="141"/>
        <v>1</v>
      </c>
      <c r="T1807">
        <f t="shared" si="142"/>
        <v>0</v>
      </c>
      <c r="U1807">
        <f t="shared" si="143"/>
        <v>0</v>
      </c>
      <c r="V1807">
        <f t="shared" si="144"/>
        <v>0</v>
      </c>
    </row>
    <row r="1808" spans="1:22" x14ac:dyDescent="0.25">
      <c r="A1808">
        <v>1805</v>
      </c>
      <c r="B1808" t="s">
        <v>24</v>
      </c>
      <c r="C1808" t="s">
        <v>1038</v>
      </c>
      <c r="D1808" s="4">
        <v>45338</v>
      </c>
      <c r="E1808" t="s">
        <v>1045</v>
      </c>
      <c r="F1808" t="s">
        <v>75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>
        <v>1</v>
      </c>
      <c r="R1808">
        <f t="shared" si="140"/>
        <v>0</v>
      </c>
      <c r="S1808">
        <f t="shared" si="141"/>
        <v>1</v>
      </c>
      <c r="T1808">
        <f t="shared" si="142"/>
        <v>0</v>
      </c>
      <c r="U1808">
        <f t="shared" si="143"/>
        <v>0</v>
      </c>
      <c r="V1808">
        <f t="shared" si="144"/>
        <v>0</v>
      </c>
    </row>
    <row r="1809" spans="1:22" x14ac:dyDescent="0.25">
      <c r="A1809">
        <v>1806</v>
      </c>
      <c r="B1809" t="s">
        <v>24</v>
      </c>
      <c r="C1809" t="s">
        <v>1038</v>
      </c>
      <c r="D1809" s="4">
        <v>45338</v>
      </c>
      <c r="E1809" t="s">
        <v>907</v>
      </c>
      <c r="F1809" t="s">
        <v>75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>
        <v>1</v>
      </c>
      <c r="R1809">
        <f t="shared" si="140"/>
        <v>0</v>
      </c>
      <c r="S1809">
        <f t="shared" si="141"/>
        <v>1</v>
      </c>
      <c r="T1809">
        <f t="shared" si="142"/>
        <v>0</v>
      </c>
      <c r="U1809">
        <f t="shared" si="143"/>
        <v>0</v>
      </c>
      <c r="V1809">
        <f t="shared" si="144"/>
        <v>0</v>
      </c>
    </row>
    <row r="1810" spans="1:22" x14ac:dyDescent="0.25">
      <c r="A1810">
        <v>1807</v>
      </c>
      <c r="B1810" t="s">
        <v>24</v>
      </c>
      <c r="C1810" t="s">
        <v>1038</v>
      </c>
      <c r="D1810" s="4">
        <v>45338</v>
      </c>
      <c r="E1810" t="s">
        <v>1046</v>
      </c>
      <c r="F1810" t="s">
        <v>75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>
        <v>1</v>
      </c>
      <c r="R1810">
        <f t="shared" si="140"/>
        <v>0</v>
      </c>
      <c r="S1810">
        <f t="shared" si="141"/>
        <v>1</v>
      </c>
      <c r="T1810">
        <f t="shared" si="142"/>
        <v>0</v>
      </c>
      <c r="U1810">
        <f t="shared" si="143"/>
        <v>0</v>
      </c>
      <c r="V1810">
        <f t="shared" si="144"/>
        <v>0</v>
      </c>
    </row>
    <row r="1811" spans="1:22" x14ac:dyDescent="0.25">
      <c r="A1811">
        <v>1808</v>
      </c>
      <c r="B1811" t="s">
        <v>24</v>
      </c>
      <c r="C1811" t="s">
        <v>1038</v>
      </c>
      <c r="D1811" s="4">
        <v>45340</v>
      </c>
      <c r="E1811" t="s">
        <v>1047</v>
      </c>
      <c r="F1811" t="s">
        <v>75</v>
      </c>
      <c r="I1811" s="6">
        <v>0</v>
      </c>
      <c r="J1811" s="6">
        <v>0</v>
      </c>
      <c r="K1811" s="6">
        <v>0</v>
      </c>
      <c r="L1811" s="6">
        <v>1</v>
      </c>
      <c r="M1811" s="6">
        <v>1</v>
      </c>
      <c r="N1811" s="6">
        <v>1</v>
      </c>
      <c r="O1811" s="6">
        <v>0</v>
      </c>
      <c r="P1811" s="6">
        <v>0</v>
      </c>
      <c r="Q1811">
        <v>1</v>
      </c>
      <c r="R1811">
        <f t="shared" si="140"/>
        <v>0</v>
      </c>
      <c r="S1811">
        <f t="shared" si="141"/>
        <v>1</v>
      </c>
      <c r="T1811">
        <f t="shared" si="142"/>
        <v>3</v>
      </c>
      <c r="U1811">
        <f t="shared" si="143"/>
        <v>1</v>
      </c>
      <c r="V1811">
        <f t="shared" si="144"/>
        <v>0</v>
      </c>
    </row>
    <row r="1812" spans="1:22" x14ac:dyDescent="0.25">
      <c r="A1812">
        <v>1809</v>
      </c>
      <c r="B1812" t="s">
        <v>24</v>
      </c>
      <c r="C1812" t="s">
        <v>1038</v>
      </c>
      <c r="D1812" s="4">
        <v>45341</v>
      </c>
      <c r="E1812" t="s">
        <v>1880</v>
      </c>
      <c r="F1812" t="s">
        <v>357</v>
      </c>
      <c r="I1812" s="6"/>
      <c r="J1812" s="6"/>
      <c r="K1812" s="6"/>
      <c r="L1812" s="6"/>
      <c r="M1812" s="6"/>
      <c r="N1812" s="6"/>
      <c r="O1812" s="6"/>
      <c r="P1812" s="6"/>
      <c r="Q1812">
        <v>0</v>
      </c>
      <c r="R1812">
        <f t="shared" si="140"/>
        <v>0</v>
      </c>
      <c r="S1812">
        <f t="shared" si="141"/>
        <v>0</v>
      </c>
      <c r="T1812">
        <f t="shared" si="142"/>
        <v>0</v>
      </c>
      <c r="U1812">
        <f t="shared" si="143"/>
        <v>0</v>
      </c>
      <c r="V1812">
        <f t="shared" si="144"/>
        <v>0</v>
      </c>
    </row>
    <row r="1813" spans="1:22" x14ac:dyDescent="0.25">
      <c r="A1813">
        <v>1810</v>
      </c>
      <c r="B1813" t="s">
        <v>24</v>
      </c>
      <c r="C1813" t="s">
        <v>1038</v>
      </c>
      <c r="D1813" s="4">
        <v>45342</v>
      </c>
      <c r="E1813" t="s">
        <v>418</v>
      </c>
      <c r="F1813" t="s">
        <v>75</v>
      </c>
      <c r="I1813" s="6">
        <v>0</v>
      </c>
      <c r="J1813" s="6">
        <v>0</v>
      </c>
      <c r="K1813" s="6">
        <v>0</v>
      </c>
      <c r="L1813" s="6">
        <v>0</v>
      </c>
      <c r="M1813" s="6">
        <v>1</v>
      </c>
      <c r="N1813" s="6">
        <v>0</v>
      </c>
      <c r="O1813" s="6">
        <v>0</v>
      </c>
      <c r="P1813" s="6">
        <v>0</v>
      </c>
      <c r="Q1813">
        <v>1</v>
      </c>
      <c r="R1813">
        <f t="shared" si="140"/>
        <v>0</v>
      </c>
      <c r="S1813">
        <f t="shared" si="141"/>
        <v>1</v>
      </c>
      <c r="T1813">
        <f t="shared" si="142"/>
        <v>1</v>
      </c>
      <c r="U1813">
        <f t="shared" si="143"/>
        <v>1</v>
      </c>
      <c r="V1813">
        <f t="shared" si="144"/>
        <v>0</v>
      </c>
    </row>
    <row r="1814" spans="1:22" x14ac:dyDescent="0.25">
      <c r="A1814">
        <v>1811</v>
      </c>
      <c r="B1814" t="s">
        <v>24</v>
      </c>
      <c r="C1814" t="s">
        <v>1038</v>
      </c>
      <c r="D1814" s="4">
        <v>45343</v>
      </c>
      <c r="E1814" t="s">
        <v>909</v>
      </c>
      <c r="F1814" t="s">
        <v>75</v>
      </c>
      <c r="I1814" s="6">
        <v>0</v>
      </c>
      <c r="J1814" s="6">
        <v>0</v>
      </c>
      <c r="K1814" s="6">
        <v>0</v>
      </c>
      <c r="L1814" s="6">
        <v>1</v>
      </c>
      <c r="M1814" s="6">
        <v>0</v>
      </c>
      <c r="N1814" s="6">
        <v>1</v>
      </c>
      <c r="O1814" s="6">
        <v>0</v>
      </c>
      <c r="P1814" s="6">
        <v>0</v>
      </c>
      <c r="Q1814">
        <v>1</v>
      </c>
      <c r="R1814">
        <f t="shared" si="140"/>
        <v>0</v>
      </c>
      <c r="S1814">
        <f t="shared" si="141"/>
        <v>1</v>
      </c>
      <c r="T1814">
        <f t="shared" si="142"/>
        <v>2</v>
      </c>
      <c r="U1814">
        <f t="shared" si="143"/>
        <v>1</v>
      </c>
      <c r="V1814">
        <f t="shared" si="144"/>
        <v>0</v>
      </c>
    </row>
    <row r="1815" spans="1:22" x14ac:dyDescent="0.25">
      <c r="A1815">
        <v>1812</v>
      </c>
      <c r="B1815" t="s">
        <v>24</v>
      </c>
      <c r="C1815" t="s">
        <v>1038</v>
      </c>
      <c r="D1815" s="4">
        <v>45344</v>
      </c>
      <c r="E1815" t="s">
        <v>1511</v>
      </c>
      <c r="F1815" t="s">
        <v>75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>
        <v>1</v>
      </c>
      <c r="R1815">
        <f t="shared" si="140"/>
        <v>0</v>
      </c>
      <c r="S1815">
        <f t="shared" si="141"/>
        <v>1</v>
      </c>
      <c r="T1815">
        <f t="shared" si="142"/>
        <v>0</v>
      </c>
      <c r="U1815">
        <f t="shared" si="143"/>
        <v>0</v>
      </c>
      <c r="V1815">
        <f t="shared" si="144"/>
        <v>0</v>
      </c>
    </row>
    <row r="1816" spans="1:22" x14ac:dyDescent="0.25">
      <c r="A1816">
        <v>1813</v>
      </c>
      <c r="B1816" t="s">
        <v>24</v>
      </c>
      <c r="C1816" t="s">
        <v>1038</v>
      </c>
      <c r="D1816" s="4">
        <v>45344</v>
      </c>
      <c r="E1816" t="s">
        <v>1048</v>
      </c>
      <c r="F1816" t="s">
        <v>75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>
        <v>1</v>
      </c>
      <c r="R1816">
        <f t="shared" si="140"/>
        <v>0</v>
      </c>
      <c r="S1816">
        <f t="shared" si="141"/>
        <v>1</v>
      </c>
      <c r="T1816">
        <f t="shared" si="142"/>
        <v>0</v>
      </c>
      <c r="U1816">
        <f t="shared" si="143"/>
        <v>0</v>
      </c>
      <c r="V1816">
        <f t="shared" si="144"/>
        <v>0</v>
      </c>
    </row>
    <row r="1817" spans="1:22" x14ac:dyDescent="0.25">
      <c r="A1817">
        <v>1814</v>
      </c>
      <c r="B1817" t="s">
        <v>24</v>
      </c>
      <c r="C1817" t="s">
        <v>1038</v>
      </c>
      <c r="D1817" s="4">
        <v>45345</v>
      </c>
      <c r="E1817" t="s">
        <v>1049</v>
      </c>
      <c r="F1817" t="s">
        <v>75</v>
      </c>
      <c r="I1817" s="6">
        <v>0</v>
      </c>
      <c r="J1817" s="6">
        <v>0</v>
      </c>
      <c r="K1817" s="6">
        <v>0</v>
      </c>
      <c r="L1817" s="6">
        <v>0</v>
      </c>
      <c r="M1817" s="6">
        <v>1</v>
      </c>
      <c r="N1817" s="6">
        <v>0</v>
      </c>
      <c r="O1817" s="6">
        <v>0</v>
      </c>
      <c r="P1817" s="6">
        <v>1</v>
      </c>
      <c r="Q1817">
        <v>1</v>
      </c>
      <c r="R1817">
        <f t="shared" si="140"/>
        <v>0</v>
      </c>
      <c r="S1817">
        <f t="shared" si="141"/>
        <v>1</v>
      </c>
      <c r="T1817">
        <f t="shared" si="142"/>
        <v>2</v>
      </c>
      <c r="U1817">
        <f t="shared" si="143"/>
        <v>1</v>
      </c>
      <c r="V1817">
        <f t="shared" si="144"/>
        <v>0</v>
      </c>
    </row>
    <row r="1818" spans="1:22" x14ac:dyDescent="0.25">
      <c r="A1818">
        <v>1815</v>
      </c>
      <c r="B1818" t="s">
        <v>24</v>
      </c>
      <c r="C1818" t="s">
        <v>1038</v>
      </c>
      <c r="D1818" s="4">
        <v>45345</v>
      </c>
      <c r="E1818" t="s">
        <v>2265</v>
      </c>
      <c r="F1818" t="s">
        <v>75</v>
      </c>
      <c r="I1818" s="6">
        <v>0</v>
      </c>
      <c r="J1818" s="6">
        <v>0</v>
      </c>
      <c r="K1818" s="6">
        <v>0</v>
      </c>
      <c r="L1818" s="6">
        <v>1</v>
      </c>
      <c r="M1818" s="6">
        <v>1</v>
      </c>
      <c r="N1818" s="6">
        <v>1</v>
      </c>
      <c r="O1818" s="6">
        <v>1</v>
      </c>
      <c r="P1818" s="6">
        <v>0</v>
      </c>
      <c r="Q1818">
        <v>1</v>
      </c>
      <c r="R1818">
        <f t="shared" si="140"/>
        <v>0</v>
      </c>
      <c r="S1818">
        <f t="shared" si="141"/>
        <v>1</v>
      </c>
      <c r="T1818">
        <f t="shared" si="142"/>
        <v>4</v>
      </c>
      <c r="U1818">
        <f t="shared" si="143"/>
        <v>1</v>
      </c>
      <c r="V1818">
        <f t="shared" si="144"/>
        <v>0</v>
      </c>
    </row>
    <row r="1819" spans="1:22" x14ac:dyDescent="0.25">
      <c r="A1819">
        <v>1816</v>
      </c>
      <c r="B1819" t="s">
        <v>24</v>
      </c>
      <c r="C1819" t="s">
        <v>1038</v>
      </c>
      <c r="D1819" s="4">
        <v>45346</v>
      </c>
      <c r="E1819" t="s">
        <v>1050</v>
      </c>
      <c r="F1819" t="s">
        <v>75</v>
      </c>
      <c r="I1819" s="6">
        <v>0</v>
      </c>
      <c r="J1819" s="6">
        <v>0</v>
      </c>
      <c r="K1819" s="6">
        <v>1</v>
      </c>
      <c r="L1819" s="6">
        <v>1</v>
      </c>
      <c r="M1819" s="6">
        <v>1</v>
      </c>
      <c r="N1819" s="6">
        <v>0</v>
      </c>
      <c r="O1819" s="6">
        <v>1</v>
      </c>
      <c r="P1819" s="6">
        <v>1</v>
      </c>
      <c r="Q1819">
        <v>1</v>
      </c>
      <c r="R1819">
        <f t="shared" si="140"/>
        <v>0</v>
      </c>
      <c r="S1819">
        <f t="shared" si="141"/>
        <v>1</v>
      </c>
      <c r="T1819">
        <f t="shared" si="142"/>
        <v>5</v>
      </c>
      <c r="U1819">
        <f t="shared" si="143"/>
        <v>1</v>
      </c>
      <c r="V1819">
        <f t="shared" si="144"/>
        <v>0</v>
      </c>
    </row>
    <row r="1820" spans="1:22" x14ac:dyDescent="0.25">
      <c r="A1820">
        <v>1817</v>
      </c>
      <c r="B1820" t="s">
        <v>24</v>
      </c>
      <c r="C1820" t="s">
        <v>1038</v>
      </c>
      <c r="D1820" s="4">
        <v>45346</v>
      </c>
      <c r="E1820" t="s">
        <v>1051</v>
      </c>
      <c r="F1820" t="s">
        <v>75</v>
      </c>
      <c r="I1820" s="6">
        <v>0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>
        <v>1</v>
      </c>
      <c r="R1820">
        <f t="shared" si="140"/>
        <v>0</v>
      </c>
      <c r="S1820">
        <f t="shared" si="141"/>
        <v>1</v>
      </c>
      <c r="T1820">
        <f t="shared" si="142"/>
        <v>0</v>
      </c>
      <c r="U1820">
        <f t="shared" si="143"/>
        <v>0</v>
      </c>
      <c r="V1820">
        <f t="shared" si="144"/>
        <v>0</v>
      </c>
    </row>
    <row r="1821" spans="1:22" x14ac:dyDescent="0.25">
      <c r="A1821">
        <v>1818</v>
      </c>
      <c r="B1821" t="s">
        <v>24</v>
      </c>
      <c r="C1821" t="s">
        <v>1038</v>
      </c>
      <c r="D1821" s="4">
        <v>45346</v>
      </c>
      <c r="E1821" t="s">
        <v>1513</v>
      </c>
      <c r="F1821" t="s">
        <v>75</v>
      </c>
      <c r="I1821" s="6">
        <v>0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>
        <v>1</v>
      </c>
      <c r="R1821">
        <f t="shared" si="140"/>
        <v>0</v>
      </c>
      <c r="S1821">
        <f t="shared" si="141"/>
        <v>1</v>
      </c>
      <c r="T1821">
        <f t="shared" si="142"/>
        <v>0</v>
      </c>
      <c r="U1821">
        <f t="shared" si="143"/>
        <v>0</v>
      </c>
      <c r="V1821">
        <f t="shared" si="144"/>
        <v>0</v>
      </c>
    </row>
    <row r="1822" spans="1:22" x14ac:dyDescent="0.25">
      <c r="A1822">
        <v>1819</v>
      </c>
      <c r="B1822" t="s">
        <v>24</v>
      </c>
      <c r="C1822" t="s">
        <v>1038</v>
      </c>
      <c r="D1822" s="4">
        <v>45347</v>
      </c>
      <c r="E1822" t="s">
        <v>252</v>
      </c>
      <c r="F1822" t="s">
        <v>75</v>
      </c>
      <c r="I1822" s="6">
        <v>0</v>
      </c>
      <c r="J1822" s="6">
        <v>0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>
        <v>1</v>
      </c>
      <c r="R1822">
        <f t="shared" si="140"/>
        <v>0</v>
      </c>
      <c r="S1822">
        <f t="shared" si="141"/>
        <v>1</v>
      </c>
      <c r="T1822">
        <f t="shared" si="142"/>
        <v>0</v>
      </c>
      <c r="U1822">
        <f t="shared" si="143"/>
        <v>0</v>
      </c>
      <c r="V1822">
        <f t="shared" si="144"/>
        <v>0</v>
      </c>
    </row>
    <row r="1823" spans="1:22" x14ac:dyDescent="0.25">
      <c r="A1823">
        <v>1820</v>
      </c>
      <c r="B1823" t="s">
        <v>24</v>
      </c>
      <c r="C1823" t="s">
        <v>1038</v>
      </c>
      <c r="D1823" s="4">
        <v>45348</v>
      </c>
      <c r="E1823" t="s">
        <v>1293</v>
      </c>
      <c r="F1823" t="s">
        <v>75</v>
      </c>
      <c r="I1823" s="6">
        <v>0</v>
      </c>
      <c r="J1823" s="6">
        <v>0</v>
      </c>
      <c r="K1823" s="6">
        <v>0</v>
      </c>
      <c r="L1823" s="6">
        <v>1</v>
      </c>
      <c r="M1823" s="6">
        <v>0</v>
      </c>
      <c r="N1823" s="6">
        <v>0</v>
      </c>
      <c r="O1823" s="6">
        <v>0</v>
      </c>
      <c r="P1823" s="6">
        <v>0</v>
      </c>
      <c r="Q1823">
        <v>1</v>
      </c>
      <c r="R1823">
        <f t="shared" si="140"/>
        <v>0</v>
      </c>
      <c r="S1823">
        <f t="shared" si="141"/>
        <v>1</v>
      </c>
      <c r="T1823">
        <f t="shared" si="142"/>
        <v>1</v>
      </c>
      <c r="U1823">
        <f t="shared" si="143"/>
        <v>1</v>
      </c>
      <c r="V1823">
        <f t="shared" si="144"/>
        <v>0</v>
      </c>
    </row>
    <row r="1824" spans="1:22" x14ac:dyDescent="0.25">
      <c r="A1824">
        <v>1821</v>
      </c>
      <c r="B1824" t="s">
        <v>24</v>
      </c>
      <c r="C1824" t="s">
        <v>1038</v>
      </c>
      <c r="D1824" s="4">
        <v>45348</v>
      </c>
      <c r="E1824" t="s">
        <v>912</v>
      </c>
      <c r="F1824" t="s">
        <v>75</v>
      </c>
      <c r="I1824" s="6">
        <v>0</v>
      </c>
      <c r="J1824" s="6">
        <v>0</v>
      </c>
      <c r="K1824" s="6">
        <v>0</v>
      </c>
      <c r="L1824" s="6">
        <v>1</v>
      </c>
      <c r="M1824" s="6">
        <v>0</v>
      </c>
      <c r="N1824" s="6">
        <v>1</v>
      </c>
      <c r="O1824" s="6">
        <v>0</v>
      </c>
      <c r="P1824" s="6">
        <v>0</v>
      </c>
      <c r="Q1824">
        <v>1</v>
      </c>
      <c r="R1824">
        <f t="shared" si="140"/>
        <v>0</v>
      </c>
      <c r="S1824">
        <f t="shared" si="141"/>
        <v>1</v>
      </c>
      <c r="T1824">
        <f t="shared" si="142"/>
        <v>2</v>
      </c>
      <c r="U1824">
        <f t="shared" si="143"/>
        <v>1</v>
      </c>
      <c r="V1824">
        <f t="shared" si="144"/>
        <v>0</v>
      </c>
    </row>
    <row r="1825" spans="1:22" x14ac:dyDescent="0.25">
      <c r="A1825">
        <v>1822</v>
      </c>
      <c r="B1825" t="s">
        <v>24</v>
      </c>
      <c r="C1825" t="s">
        <v>1038</v>
      </c>
      <c r="D1825" s="4">
        <v>45350</v>
      </c>
      <c r="E1825" t="s">
        <v>254</v>
      </c>
      <c r="F1825" t="s">
        <v>75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>
        <v>1</v>
      </c>
      <c r="R1825">
        <f t="shared" si="140"/>
        <v>0</v>
      </c>
      <c r="S1825">
        <f t="shared" si="141"/>
        <v>1</v>
      </c>
      <c r="T1825">
        <f t="shared" si="142"/>
        <v>0</v>
      </c>
      <c r="U1825">
        <f t="shared" si="143"/>
        <v>0</v>
      </c>
      <c r="V1825">
        <f t="shared" si="144"/>
        <v>0</v>
      </c>
    </row>
    <row r="1826" spans="1:22" x14ac:dyDescent="0.25">
      <c r="A1826">
        <v>1823</v>
      </c>
      <c r="B1826" t="s">
        <v>24</v>
      </c>
      <c r="C1826" t="s">
        <v>1038</v>
      </c>
      <c r="D1826" s="4">
        <v>45353</v>
      </c>
      <c r="E1826" t="s">
        <v>1052</v>
      </c>
      <c r="F1826" t="s">
        <v>75</v>
      </c>
      <c r="I1826" s="6">
        <v>1</v>
      </c>
      <c r="J1826" s="6">
        <v>0</v>
      </c>
      <c r="K1826" s="6">
        <v>1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>
        <v>1</v>
      </c>
      <c r="R1826">
        <f t="shared" si="140"/>
        <v>0</v>
      </c>
      <c r="S1826">
        <f t="shared" si="141"/>
        <v>1</v>
      </c>
      <c r="T1826">
        <f t="shared" si="142"/>
        <v>2</v>
      </c>
      <c r="U1826">
        <f t="shared" si="143"/>
        <v>1</v>
      </c>
      <c r="V1826">
        <f t="shared" si="144"/>
        <v>0</v>
      </c>
    </row>
    <row r="1827" spans="1:22" x14ac:dyDescent="0.25">
      <c r="A1827">
        <v>1824</v>
      </c>
      <c r="B1827" t="s">
        <v>24</v>
      </c>
      <c r="C1827" t="s">
        <v>1038</v>
      </c>
      <c r="D1827" s="4">
        <v>45356</v>
      </c>
      <c r="E1827" t="s">
        <v>841</v>
      </c>
      <c r="F1827" t="s">
        <v>75</v>
      </c>
      <c r="I1827" s="6">
        <v>1</v>
      </c>
      <c r="J1827" s="6">
        <v>0</v>
      </c>
      <c r="K1827" s="6">
        <v>1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>
        <v>1</v>
      </c>
      <c r="R1827">
        <f t="shared" si="140"/>
        <v>0</v>
      </c>
      <c r="S1827">
        <f t="shared" si="141"/>
        <v>1</v>
      </c>
      <c r="T1827">
        <f t="shared" si="142"/>
        <v>2</v>
      </c>
      <c r="U1827">
        <f t="shared" si="143"/>
        <v>1</v>
      </c>
      <c r="V1827">
        <f t="shared" si="144"/>
        <v>0</v>
      </c>
    </row>
    <row r="1828" spans="1:22" x14ac:dyDescent="0.25">
      <c r="A1828">
        <v>1825</v>
      </c>
      <c r="B1828" t="s">
        <v>24</v>
      </c>
      <c r="C1828" t="s">
        <v>1038</v>
      </c>
      <c r="D1828" s="4">
        <v>45356</v>
      </c>
      <c r="E1828" t="s">
        <v>842</v>
      </c>
      <c r="F1828" t="s">
        <v>75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>
        <v>1</v>
      </c>
      <c r="R1828">
        <f t="shared" si="140"/>
        <v>0</v>
      </c>
      <c r="S1828">
        <f t="shared" si="141"/>
        <v>1</v>
      </c>
      <c r="T1828">
        <f t="shared" si="142"/>
        <v>0</v>
      </c>
      <c r="U1828">
        <f t="shared" si="143"/>
        <v>0</v>
      </c>
      <c r="V1828">
        <f t="shared" si="144"/>
        <v>0</v>
      </c>
    </row>
    <row r="1829" spans="1:22" x14ac:dyDescent="0.25">
      <c r="A1829">
        <v>1826</v>
      </c>
      <c r="B1829" t="s">
        <v>24</v>
      </c>
      <c r="C1829" t="s">
        <v>1038</v>
      </c>
      <c r="D1829" s="4">
        <v>45357</v>
      </c>
      <c r="E1829" t="s">
        <v>260</v>
      </c>
      <c r="F1829" t="s">
        <v>75</v>
      </c>
      <c r="I1829" s="6">
        <v>0</v>
      </c>
      <c r="J1829" s="6">
        <v>0</v>
      </c>
      <c r="K1829" s="6">
        <v>0</v>
      </c>
      <c r="L1829" s="6">
        <v>1</v>
      </c>
      <c r="M1829" s="6">
        <v>0</v>
      </c>
      <c r="N1829" s="6">
        <v>0</v>
      </c>
      <c r="O1829" s="6">
        <v>0</v>
      </c>
      <c r="P1829" s="6">
        <v>0</v>
      </c>
      <c r="Q1829">
        <v>1</v>
      </c>
      <c r="R1829">
        <f t="shared" si="140"/>
        <v>0</v>
      </c>
      <c r="S1829">
        <f t="shared" si="141"/>
        <v>1</v>
      </c>
      <c r="T1829">
        <f t="shared" si="142"/>
        <v>1</v>
      </c>
      <c r="U1829">
        <f t="shared" si="143"/>
        <v>1</v>
      </c>
      <c r="V1829">
        <f t="shared" si="144"/>
        <v>0</v>
      </c>
    </row>
    <row r="1830" spans="1:22" x14ac:dyDescent="0.25">
      <c r="A1830">
        <v>1827</v>
      </c>
      <c r="B1830" t="s">
        <v>24</v>
      </c>
      <c r="C1830" t="s">
        <v>1038</v>
      </c>
      <c r="D1830" s="4">
        <v>45357</v>
      </c>
      <c r="E1830" t="s">
        <v>422</v>
      </c>
      <c r="F1830" t="s">
        <v>75</v>
      </c>
      <c r="H1830" t="s">
        <v>1053</v>
      </c>
      <c r="I1830" s="6">
        <v>0</v>
      </c>
      <c r="J1830" s="6">
        <v>0</v>
      </c>
      <c r="K1830" s="6">
        <v>0</v>
      </c>
      <c r="L1830" s="6">
        <v>1</v>
      </c>
      <c r="M1830" s="6">
        <v>0</v>
      </c>
      <c r="N1830" s="6">
        <v>0</v>
      </c>
      <c r="O1830" s="6">
        <v>0</v>
      </c>
      <c r="P1830" s="6">
        <v>0</v>
      </c>
      <c r="Q1830">
        <v>1</v>
      </c>
      <c r="R1830">
        <f t="shared" si="140"/>
        <v>0</v>
      </c>
      <c r="S1830">
        <f t="shared" si="141"/>
        <v>1</v>
      </c>
      <c r="T1830">
        <f t="shared" si="142"/>
        <v>1</v>
      </c>
      <c r="U1830">
        <f t="shared" si="143"/>
        <v>1</v>
      </c>
      <c r="V1830">
        <f t="shared" si="144"/>
        <v>0</v>
      </c>
    </row>
    <row r="1831" spans="1:22" x14ac:dyDescent="0.25">
      <c r="A1831">
        <v>1828</v>
      </c>
      <c r="B1831" t="s">
        <v>24</v>
      </c>
      <c r="C1831" t="s">
        <v>1038</v>
      </c>
      <c r="D1831" s="4">
        <v>45358</v>
      </c>
      <c r="E1831" t="s">
        <v>2228</v>
      </c>
      <c r="F1831" t="s">
        <v>75</v>
      </c>
      <c r="I1831" s="6">
        <v>0</v>
      </c>
      <c r="J1831" s="6">
        <v>0</v>
      </c>
      <c r="K1831" s="6">
        <v>0</v>
      </c>
      <c r="L1831" s="6">
        <v>0</v>
      </c>
      <c r="M1831" s="6">
        <v>0</v>
      </c>
      <c r="N1831" s="6">
        <v>1</v>
      </c>
      <c r="O1831" s="6">
        <v>0</v>
      </c>
      <c r="P1831" s="6">
        <v>0</v>
      </c>
      <c r="Q1831">
        <v>1</v>
      </c>
      <c r="R1831">
        <f t="shared" si="140"/>
        <v>0</v>
      </c>
      <c r="S1831">
        <f t="shared" si="141"/>
        <v>1</v>
      </c>
      <c r="T1831">
        <f t="shared" si="142"/>
        <v>1</v>
      </c>
      <c r="U1831">
        <f t="shared" si="143"/>
        <v>1</v>
      </c>
      <c r="V1831">
        <f t="shared" si="144"/>
        <v>0</v>
      </c>
    </row>
    <row r="1832" spans="1:22" x14ac:dyDescent="0.25">
      <c r="A1832">
        <v>1829</v>
      </c>
      <c r="B1832" t="s">
        <v>24</v>
      </c>
      <c r="C1832" t="s">
        <v>1038</v>
      </c>
      <c r="D1832" s="4">
        <v>45358</v>
      </c>
      <c r="E1832" t="s">
        <v>1317</v>
      </c>
      <c r="F1832" t="s">
        <v>75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>
        <v>1</v>
      </c>
      <c r="R1832">
        <f t="shared" si="140"/>
        <v>0</v>
      </c>
      <c r="S1832">
        <f t="shared" si="141"/>
        <v>1</v>
      </c>
      <c r="T1832">
        <f t="shared" si="142"/>
        <v>0</v>
      </c>
      <c r="U1832">
        <f t="shared" si="143"/>
        <v>0</v>
      </c>
      <c r="V1832">
        <f t="shared" si="144"/>
        <v>0</v>
      </c>
    </row>
    <row r="1833" spans="1:22" x14ac:dyDescent="0.25">
      <c r="A1833">
        <v>1830</v>
      </c>
      <c r="B1833" t="s">
        <v>24</v>
      </c>
      <c r="C1833" t="s">
        <v>1038</v>
      </c>
      <c r="D1833" s="4">
        <v>45358</v>
      </c>
      <c r="E1833" t="s">
        <v>1527</v>
      </c>
      <c r="F1833" t="s">
        <v>75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>
        <v>1</v>
      </c>
      <c r="R1833">
        <f t="shared" si="140"/>
        <v>0</v>
      </c>
      <c r="S1833">
        <f t="shared" si="141"/>
        <v>1</v>
      </c>
      <c r="T1833">
        <f t="shared" si="142"/>
        <v>0</v>
      </c>
      <c r="U1833">
        <f t="shared" si="143"/>
        <v>0</v>
      </c>
      <c r="V1833">
        <f t="shared" si="144"/>
        <v>0</v>
      </c>
    </row>
    <row r="1834" spans="1:22" x14ac:dyDescent="0.25">
      <c r="A1834">
        <v>1831</v>
      </c>
      <c r="B1834" t="s">
        <v>24</v>
      </c>
      <c r="C1834" t="s">
        <v>1038</v>
      </c>
      <c r="D1834" s="4">
        <v>45358</v>
      </c>
      <c r="E1834" t="s">
        <v>1467</v>
      </c>
      <c r="F1834" t="s">
        <v>75</v>
      </c>
      <c r="I1834" s="6">
        <v>0</v>
      </c>
      <c r="J1834" s="6">
        <v>0</v>
      </c>
      <c r="K1834" s="6">
        <v>0</v>
      </c>
      <c r="L1834" s="6">
        <v>0</v>
      </c>
      <c r="M1834" s="6">
        <v>0</v>
      </c>
      <c r="N1834" s="6">
        <v>0</v>
      </c>
      <c r="O1834" s="6">
        <v>1</v>
      </c>
      <c r="P1834" s="6">
        <v>0</v>
      </c>
      <c r="Q1834">
        <v>1</v>
      </c>
      <c r="R1834">
        <f t="shared" si="140"/>
        <v>0</v>
      </c>
      <c r="S1834">
        <f t="shared" si="141"/>
        <v>1</v>
      </c>
      <c r="T1834">
        <f t="shared" si="142"/>
        <v>1</v>
      </c>
      <c r="U1834">
        <f t="shared" si="143"/>
        <v>1</v>
      </c>
      <c r="V1834">
        <f t="shared" si="144"/>
        <v>0</v>
      </c>
    </row>
    <row r="1835" spans="1:22" x14ac:dyDescent="0.25">
      <c r="A1835">
        <v>1832</v>
      </c>
      <c r="B1835" t="s">
        <v>24</v>
      </c>
      <c r="C1835" t="s">
        <v>1038</v>
      </c>
      <c r="D1835" s="4">
        <v>45359</v>
      </c>
      <c r="E1835" t="s">
        <v>423</v>
      </c>
      <c r="F1835" t="s">
        <v>75</v>
      </c>
      <c r="I1835" s="6">
        <v>1</v>
      </c>
      <c r="J1835" s="6">
        <v>1</v>
      </c>
      <c r="K1835" s="6">
        <v>1</v>
      </c>
      <c r="L1835" s="6">
        <v>1</v>
      </c>
      <c r="M1835" s="6">
        <v>0</v>
      </c>
      <c r="N1835" s="6">
        <v>0</v>
      </c>
      <c r="O1835" s="6">
        <v>1</v>
      </c>
      <c r="P1835" s="6">
        <v>0</v>
      </c>
      <c r="Q1835">
        <v>1</v>
      </c>
      <c r="R1835">
        <f t="shared" si="140"/>
        <v>0</v>
      </c>
      <c r="S1835">
        <f t="shared" si="141"/>
        <v>1</v>
      </c>
      <c r="T1835">
        <f t="shared" si="142"/>
        <v>5</v>
      </c>
      <c r="U1835">
        <f t="shared" si="143"/>
        <v>1</v>
      </c>
      <c r="V1835">
        <f t="shared" si="144"/>
        <v>0</v>
      </c>
    </row>
    <row r="1836" spans="1:22" x14ac:dyDescent="0.25">
      <c r="A1836">
        <v>1833</v>
      </c>
      <c r="B1836" t="s">
        <v>24</v>
      </c>
      <c r="C1836" t="s">
        <v>1038</v>
      </c>
      <c r="D1836" s="4">
        <v>45360</v>
      </c>
      <c r="E1836" t="s">
        <v>1126</v>
      </c>
      <c r="F1836" t="s">
        <v>75</v>
      </c>
      <c r="I1836" s="6">
        <v>0</v>
      </c>
      <c r="J1836" s="6">
        <v>0</v>
      </c>
      <c r="K1836" s="6">
        <v>1</v>
      </c>
      <c r="L1836" s="6">
        <v>1</v>
      </c>
      <c r="M1836" s="6">
        <v>0</v>
      </c>
      <c r="N1836" s="6">
        <v>0</v>
      </c>
      <c r="O1836" s="6">
        <v>0</v>
      </c>
      <c r="P1836" s="6">
        <v>0</v>
      </c>
      <c r="Q1836">
        <v>1</v>
      </c>
      <c r="R1836">
        <f t="shared" si="140"/>
        <v>0</v>
      </c>
      <c r="S1836">
        <f t="shared" si="141"/>
        <v>1</v>
      </c>
      <c r="T1836">
        <f t="shared" si="142"/>
        <v>2</v>
      </c>
      <c r="U1836">
        <f t="shared" si="143"/>
        <v>1</v>
      </c>
      <c r="V1836">
        <f t="shared" si="144"/>
        <v>0</v>
      </c>
    </row>
    <row r="1837" spans="1:22" x14ac:dyDescent="0.25">
      <c r="A1837">
        <v>1834</v>
      </c>
      <c r="B1837" t="s">
        <v>24</v>
      </c>
      <c r="C1837" t="s">
        <v>1038</v>
      </c>
      <c r="D1837" s="4">
        <v>45360</v>
      </c>
      <c r="E1837" t="s">
        <v>261</v>
      </c>
      <c r="F1837" t="s">
        <v>75</v>
      </c>
      <c r="H1837" t="s">
        <v>1054</v>
      </c>
      <c r="I1837" s="6">
        <v>0</v>
      </c>
      <c r="J1837" s="6">
        <v>0</v>
      </c>
      <c r="K1837" s="6">
        <v>0</v>
      </c>
      <c r="L1837" s="6">
        <v>1</v>
      </c>
      <c r="M1837" s="6">
        <v>0</v>
      </c>
      <c r="N1837" s="6">
        <v>0</v>
      </c>
      <c r="O1837" s="6">
        <v>0</v>
      </c>
      <c r="P1837" s="6">
        <v>0</v>
      </c>
      <c r="Q1837">
        <v>1</v>
      </c>
      <c r="R1837">
        <f t="shared" si="140"/>
        <v>0</v>
      </c>
      <c r="S1837">
        <f t="shared" si="141"/>
        <v>1</v>
      </c>
      <c r="T1837">
        <f t="shared" si="142"/>
        <v>1</v>
      </c>
      <c r="U1837">
        <f t="shared" si="143"/>
        <v>1</v>
      </c>
      <c r="V1837">
        <f t="shared" si="144"/>
        <v>0</v>
      </c>
    </row>
    <row r="1838" spans="1:22" x14ac:dyDescent="0.25">
      <c r="A1838">
        <v>1835</v>
      </c>
      <c r="B1838" t="s">
        <v>24</v>
      </c>
      <c r="C1838" t="s">
        <v>1038</v>
      </c>
      <c r="D1838" s="4">
        <v>45361</v>
      </c>
      <c r="E1838" t="s">
        <v>920</v>
      </c>
      <c r="F1838" t="s">
        <v>75</v>
      </c>
      <c r="I1838" s="6">
        <v>0</v>
      </c>
      <c r="J1838" s="6">
        <v>0</v>
      </c>
      <c r="K1838" s="6">
        <v>0</v>
      </c>
      <c r="L1838" s="6">
        <v>1</v>
      </c>
      <c r="M1838" s="6">
        <v>0</v>
      </c>
      <c r="N1838" s="6">
        <v>0</v>
      </c>
      <c r="O1838" s="6">
        <v>0</v>
      </c>
      <c r="P1838" s="6">
        <v>0</v>
      </c>
      <c r="Q1838">
        <v>1</v>
      </c>
      <c r="R1838">
        <f t="shared" si="140"/>
        <v>0</v>
      </c>
      <c r="S1838">
        <f t="shared" si="141"/>
        <v>1</v>
      </c>
      <c r="T1838">
        <f t="shared" si="142"/>
        <v>1</v>
      </c>
      <c r="U1838">
        <f t="shared" si="143"/>
        <v>1</v>
      </c>
      <c r="V1838">
        <f t="shared" si="144"/>
        <v>0</v>
      </c>
    </row>
    <row r="1839" spans="1:22" x14ac:dyDescent="0.25">
      <c r="A1839">
        <v>1836</v>
      </c>
      <c r="B1839" t="s">
        <v>24</v>
      </c>
      <c r="C1839" t="s">
        <v>1038</v>
      </c>
      <c r="D1839" s="4">
        <v>45362</v>
      </c>
      <c r="E1839" t="s">
        <v>1318</v>
      </c>
      <c r="F1839" t="s">
        <v>75</v>
      </c>
      <c r="I1839" s="6">
        <v>0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>
        <v>1</v>
      </c>
      <c r="R1839">
        <f t="shared" si="140"/>
        <v>0</v>
      </c>
      <c r="S1839">
        <f t="shared" si="141"/>
        <v>1</v>
      </c>
      <c r="T1839">
        <f t="shared" si="142"/>
        <v>0</v>
      </c>
      <c r="U1839">
        <f t="shared" si="143"/>
        <v>0</v>
      </c>
      <c r="V1839">
        <f t="shared" si="144"/>
        <v>0</v>
      </c>
    </row>
    <row r="1840" spans="1:22" x14ac:dyDescent="0.25">
      <c r="A1840">
        <v>1837</v>
      </c>
      <c r="B1840" t="s">
        <v>24</v>
      </c>
      <c r="C1840" t="s">
        <v>1038</v>
      </c>
      <c r="D1840" s="4">
        <v>45362</v>
      </c>
      <c r="E1840" t="s">
        <v>266</v>
      </c>
      <c r="F1840" t="s">
        <v>75</v>
      </c>
      <c r="I1840" s="6">
        <v>0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>
        <v>1</v>
      </c>
      <c r="R1840">
        <f t="shared" si="140"/>
        <v>0</v>
      </c>
      <c r="S1840">
        <f t="shared" si="141"/>
        <v>1</v>
      </c>
      <c r="T1840">
        <f t="shared" si="142"/>
        <v>0</v>
      </c>
      <c r="U1840">
        <f t="shared" si="143"/>
        <v>0</v>
      </c>
      <c r="V1840">
        <f t="shared" si="144"/>
        <v>0</v>
      </c>
    </row>
    <row r="1841" spans="1:22" x14ac:dyDescent="0.25">
      <c r="A1841">
        <v>1838</v>
      </c>
      <c r="B1841" t="s">
        <v>24</v>
      </c>
      <c r="C1841" t="s">
        <v>1038</v>
      </c>
      <c r="D1841" s="4">
        <v>45363</v>
      </c>
      <c r="E1841" t="s">
        <v>267</v>
      </c>
      <c r="F1841" t="s">
        <v>75</v>
      </c>
      <c r="I1841" s="6">
        <v>0</v>
      </c>
      <c r="J1841" s="6">
        <v>0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>
        <v>1</v>
      </c>
      <c r="R1841">
        <f t="shared" si="140"/>
        <v>0</v>
      </c>
      <c r="S1841">
        <f t="shared" si="141"/>
        <v>1</v>
      </c>
      <c r="T1841">
        <f t="shared" si="142"/>
        <v>0</v>
      </c>
      <c r="U1841">
        <f t="shared" si="143"/>
        <v>0</v>
      </c>
      <c r="V1841">
        <f t="shared" si="144"/>
        <v>0</v>
      </c>
    </row>
    <row r="1842" spans="1:22" x14ac:dyDescent="0.25">
      <c r="A1842">
        <v>1839</v>
      </c>
      <c r="B1842" t="s">
        <v>24</v>
      </c>
      <c r="C1842" t="s">
        <v>1038</v>
      </c>
      <c r="D1842" s="4">
        <v>45364</v>
      </c>
      <c r="E1842" t="s">
        <v>1127</v>
      </c>
      <c r="F1842" t="s">
        <v>75</v>
      </c>
      <c r="I1842" s="6">
        <v>0</v>
      </c>
      <c r="J1842" s="6">
        <v>0</v>
      </c>
      <c r="K1842" s="6">
        <v>0</v>
      </c>
      <c r="L1842" s="6">
        <v>1</v>
      </c>
      <c r="M1842" s="6">
        <v>0</v>
      </c>
      <c r="N1842" s="6">
        <v>0</v>
      </c>
      <c r="O1842" s="6">
        <v>0</v>
      </c>
      <c r="P1842" s="6">
        <v>1</v>
      </c>
      <c r="Q1842">
        <v>1</v>
      </c>
      <c r="R1842">
        <f t="shared" si="140"/>
        <v>0</v>
      </c>
      <c r="S1842">
        <f t="shared" si="141"/>
        <v>1</v>
      </c>
      <c r="T1842">
        <f t="shared" si="142"/>
        <v>2</v>
      </c>
      <c r="U1842">
        <f t="shared" si="143"/>
        <v>1</v>
      </c>
      <c r="V1842">
        <f t="shared" si="144"/>
        <v>0</v>
      </c>
    </row>
    <row r="1843" spans="1:22" x14ac:dyDescent="0.25">
      <c r="A1843">
        <v>1840</v>
      </c>
      <c r="B1843" t="s">
        <v>24</v>
      </c>
      <c r="C1843" t="s">
        <v>1038</v>
      </c>
      <c r="D1843" s="4">
        <v>45364</v>
      </c>
      <c r="E1843" t="s">
        <v>849</v>
      </c>
      <c r="F1843" t="s">
        <v>75</v>
      </c>
      <c r="H1843" t="s">
        <v>1055</v>
      </c>
      <c r="I1843" s="6">
        <v>0</v>
      </c>
      <c r="J1843" s="6">
        <v>0</v>
      </c>
      <c r="K1843" s="6">
        <v>0</v>
      </c>
      <c r="L1843" s="6">
        <v>1</v>
      </c>
      <c r="M1843" s="6">
        <v>0</v>
      </c>
      <c r="N1843" s="6">
        <v>0</v>
      </c>
      <c r="O1843" s="6">
        <v>0</v>
      </c>
      <c r="P1843" s="6">
        <v>1</v>
      </c>
      <c r="Q1843">
        <v>1</v>
      </c>
      <c r="R1843">
        <f t="shared" si="140"/>
        <v>0</v>
      </c>
      <c r="S1843">
        <f t="shared" si="141"/>
        <v>1</v>
      </c>
      <c r="T1843">
        <f t="shared" si="142"/>
        <v>2</v>
      </c>
      <c r="U1843">
        <f t="shared" si="143"/>
        <v>1</v>
      </c>
      <c r="V1843">
        <f t="shared" si="144"/>
        <v>0</v>
      </c>
    </row>
    <row r="1844" spans="1:22" x14ac:dyDescent="0.25">
      <c r="A1844">
        <v>1841</v>
      </c>
      <c r="B1844" t="s">
        <v>24</v>
      </c>
      <c r="C1844" t="s">
        <v>1038</v>
      </c>
      <c r="D1844" s="4">
        <v>45364</v>
      </c>
      <c r="E1844" t="s">
        <v>850</v>
      </c>
      <c r="F1844" t="s">
        <v>75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>
        <v>1</v>
      </c>
      <c r="R1844">
        <f t="shared" si="140"/>
        <v>0</v>
      </c>
      <c r="S1844">
        <f t="shared" si="141"/>
        <v>1</v>
      </c>
      <c r="T1844">
        <f t="shared" si="142"/>
        <v>0</v>
      </c>
      <c r="U1844">
        <f t="shared" si="143"/>
        <v>0</v>
      </c>
      <c r="V1844">
        <f t="shared" si="144"/>
        <v>0</v>
      </c>
    </row>
    <row r="1845" spans="1:22" x14ac:dyDescent="0.25">
      <c r="A1845">
        <v>1842</v>
      </c>
      <c r="B1845" t="s">
        <v>24</v>
      </c>
      <c r="C1845" t="s">
        <v>1038</v>
      </c>
      <c r="D1845" s="4">
        <v>45365</v>
      </c>
      <c r="E1845" t="s">
        <v>852</v>
      </c>
      <c r="F1845" t="s">
        <v>75</v>
      </c>
      <c r="I1845" s="6">
        <v>1</v>
      </c>
      <c r="J1845" s="6">
        <v>0</v>
      </c>
      <c r="K1845" s="6">
        <v>1</v>
      </c>
      <c r="L1845" s="6">
        <v>1</v>
      </c>
      <c r="M1845" s="6">
        <v>1</v>
      </c>
      <c r="N1845" s="6">
        <v>1</v>
      </c>
      <c r="O1845" s="6">
        <v>0</v>
      </c>
      <c r="P1845" s="6">
        <v>1</v>
      </c>
      <c r="Q1845">
        <v>1</v>
      </c>
      <c r="R1845">
        <f t="shared" si="140"/>
        <v>0</v>
      </c>
      <c r="S1845">
        <f t="shared" si="141"/>
        <v>1</v>
      </c>
      <c r="T1845">
        <f t="shared" si="142"/>
        <v>6</v>
      </c>
      <c r="U1845">
        <f t="shared" si="143"/>
        <v>1</v>
      </c>
      <c r="V1845">
        <f t="shared" si="144"/>
        <v>0</v>
      </c>
    </row>
    <row r="1846" spans="1:22" x14ac:dyDescent="0.25">
      <c r="A1846">
        <v>1843</v>
      </c>
      <c r="B1846" t="s">
        <v>24</v>
      </c>
      <c r="C1846" t="s">
        <v>1038</v>
      </c>
      <c r="D1846" s="4">
        <v>45366</v>
      </c>
      <c r="E1846" t="s">
        <v>928</v>
      </c>
      <c r="F1846" t="s">
        <v>75</v>
      </c>
      <c r="I1846" s="6">
        <v>0</v>
      </c>
      <c r="J1846" s="6">
        <v>0</v>
      </c>
      <c r="K1846" s="6">
        <v>0</v>
      </c>
      <c r="L1846" s="6">
        <v>1</v>
      </c>
      <c r="M1846" s="6">
        <v>0</v>
      </c>
      <c r="N1846" s="6">
        <v>0</v>
      </c>
      <c r="O1846" s="6">
        <v>0</v>
      </c>
      <c r="P1846" s="6">
        <v>0</v>
      </c>
      <c r="Q1846">
        <v>1</v>
      </c>
      <c r="R1846">
        <f t="shared" si="140"/>
        <v>0</v>
      </c>
      <c r="S1846">
        <f t="shared" si="141"/>
        <v>1</v>
      </c>
      <c r="T1846">
        <f t="shared" si="142"/>
        <v>1</v>
      </c>
      <c r="U1846">
        <f t="shared" si="143"/>
        <v>1</v>
      </c>
      <c r="V1846">
        <f t="shared" si="144"/>
        <v>0</v>
      </c>
    </row>
    <row r="1847" spans="1:22" x14ac:dyDescent="0.25">
      <c r="A1847">
        <v>1844</v>
      </c>
      <c r="B1847" t="s">
        <v>24</v>
      </c>
      <c r="C1847" t="s">
        <v>1038</v>
      </c>
      <c r="D1847" s="4">
        <v>45366</v>
      </c>
      <c r="E1847" t="s">
        <v>930</v>
      </c>
      <c r="F1847" t="s">
        <v>75</v>
      </c>
      <c r="I1847" s="6">
        <v>0</v>
      </c>
      <c r="J1847" s="6">
        <v>0</v>
      </c>
      <c r="K1847" s="6">
        <v>0</v>
      </c>
      <c r="L1847" s="6">
        <v>1</v>
      </c>
      <c r="M1847" s="6">
        <v>0</v>
      </c>
      <c r="N1847" s="6">
        <v>0</v>
      </c>
      <c r="O1847" s="6">
        <v>0</v>
      </c>
      <c r="P1847" s="6">
        <v>0</v>
      </c>
      <c r="Q1847">
        <v>1</v>
      </c>
      <c r="R1847">
        <f t="shared" si="140"/>
        <v>0</v>
      </c>
      <c r="S1847">
        <f t="shared" si="141"/>
        <v>1</v>
      </c>
      <c r="T1847">
        <f t="shared" si="142"/>
        <v>1</v>
      </c>
      <c r="U1847">
        <f t="shared" si="143"/>
        <v>1</v>
      </c>
      <c r="V1847">
        <f t="shared" si="144"/>
        <v>0</v>
      </c>
    </row>
    <row r="1848" spans="1:22" x14ac:dyDescent="0.25">
      <c r="A1848">
        <v>1845</v>
      </c>
      <c r="B1848" t="s">
        <v>24</v>
      </c>
      <c r="C1848" t="s">
        <v>1038</v>
      </c>
      <c r="D1848" s="4">
        <v>45367</v>
      </c>
      <c r="E1848" t="s">
        <v>853</v>
      </c>
      <c r="F1848" t="s">
        <v>75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1</v>
      </c>
      <c r="O1848" s="6">
        <v>0</v>
      </c>
      <c r="P1848" s="6">
        <v>0</v>
      </c>
      <c r="Q1848">
        <v>1</v>
      </c>
      <c r="R1848">
        <f t="shared" si="140"/>
        <v>0</v>
      </c>
      <c r="S1848">
        <f t="shared" si="141"/>
        <v>1</v>
      </c>
      <c r="T1848">
        <f t="shared" si="142"/>
        <v>1</v>
      </c>
      <c r="U1848">
        <f t="shared" si="143"/>
        <v>1</v>
      </c>
      <c r="V1848">
        <f t="shared" si="144"/>
        <v>0</v>
      </c>
    </row>
    <row r="1849" spans="1:22" x14ac:dyDescent="0.25">
      <c r="A1849">
        <v>1846</v>
      </c>
      <c r="B1849" t="s">
        <v>24</v>
      </c>
      <c r="C1849" t="s">
        <v>1038</v>
      </c>
      <c r="D1849" s="4">
        <v>45368</v>
      </c>
      <c r="E1849" t="s">
        <v>268</v>
      </c>
      <c r="F1849" t="s">
        <v>75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>
        <v>1</v>
      </c>
      <c r="R1849">
        <f t="shared" si="140"/>
        <v>0</v>
      </c>
      <c r="S1849">
        <f t="shared" si="141"/>
        <v>1</v>
      </c>
      <c r="T1849">
        <f t="shared" si="142"/>
        <v>0</v>
      </c>
      <c r="U1849">
        <f t="shared" si="143"/>
        <v>0</v>
      </c>
      <c r="V1849">
        <f t="shared" si="144"/>
        <v>0</v>
      </c>
    </row>
    <row r="1850" spans="1:22" x14ac:dyDescent="0.25">
      <c r="A1850">
        <v>1847</v>
      </c>
      <c r="B1850" t="s">
        <v>24</v>
      </c>
      <c r="C1850" t="s">
        <v>1038</v>
      </c>
      <c r="D1850" s="4">
        <v>45370</v>
      </c>
      <c r="E1850" t="s">
        <v>935</v>
      </c>
      <c r="F1850" t="s">
        <v>75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>
        <v>1</v>
      </c>
      <c r="R1850">
        <f t="shared" si="140"/>
        <v>0</v>
      </c>
      <c r="S1850">
        <f t="shared" si="141"/>
        <v>1</v>
      </c>
      <c r="T1850">
        <f t="shared" si="142"/>
        <v>0</v>
      </c>
      <c r="U1850">
        <f t="shared" si="143"/>
        <v>0</v>
      </c>
      <c r="V1850">
        <f t="shared" si="144"/>
        <v>0</v>
      </c>
    </row>
    <row r="1851" spans="1:22" x14ac:dyDescent="0.25">
      <c r="A1851">
        <v>1848</v>
      </c>
      <c r="B1851" t="s">
        <v>24</v>
      </c>
      <c r="C1851" t="s">
        <v>1038</v>
      </c>
      <c r="D1851" s="4">
        <v>45370</v>
      </c>
      <c r="E1851" t="s">
        <v>937</v>
      </c>
      <c r="F1851" t="s">
        <v>75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1</v>
      </c>
      <c r="Q1851">
        <v>1</v>
      </c>
      <c r="R1851">
        <f t="shared" si="140"/>
        <v>0</v>
      </c>
      <c r="S1851">
        <f t="shared" si="141"/>
        <v>1</v>
      </c>
      <c r="T1851">
        <f t="shared" si="142"/>
        <v>1</v>
      </c>
      <c r="U1851">
        <f t="shared" si="143"/>
        <v>1</v>
      </c>
      <c r="V1851">
        <f t="shared" si="144"/>
        <v>0</v>
      </c>
    </row>
    <row r="1852" spans="1:22" x14ac:dyDescent="0.25">
      <c r="A1852">
        <v>1849</v>
      </c>
      <c r="B1852" t="s">
        <v>24</v>
      </c>
      <c r="C1852" t="s">
        <v>1038</v>
      </c>
      <c r="D1852" s="4">
        <v>45370</v>
      </c>
      <c r="E1852" t="s">
        <v>1056</v>
      </c>
      <c r="F1852" t="s">
        <v>75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>
        <v>1</v>
      </c>
      <c r="R1852">
        <f t="shared" si="140"/>
        <v>0</v>
      </c>
      <c r="S1852">
        <f t="shared" si="141"/>
        <v>1</v>
      </c>
      <c r="T1852">
        <f t="shared" si="142"/>
        <v>0</v>
      </c>
      <c r="U1852">
        <f t="shared" si="143"/>
        <v>0</v>
      </c>
      <c r="V1852">
        <f t="shared" si="144"/>
        <v>0</v>
      </c>
    </row>
    <row r="1853" spans="1:22" x14ac:dyDescent="0.25">
      <c r="A1853">
        <v>1850</v>
      </c>
      <c r="B1853" t="s">
        <v>24</v>
      </c>
      <c r="C1853" t="s">
        <v>1038</v>
      </c>
      <c r="D1853" s="4">
        <v>45371</v>
      </c>
      <c r="E1853" t="s">
        <v>856</v>
      </c>
      <c r="F1853" t="s">
        <v>357</v>
      </c>
      <c r="I1853" s="6">
        <v>0</v>
      </c>
      <c r="J1853" s="6">
        <v>0</v>
      </c>
      <c r="K1853" s="6">
        <v>0</v>
      </c>
      <c r="L1853" s="6">
        <v>1</v>
      </c>
      <c r="M1853" s="6">
        <v>0</v>
      </c>
      <c r="N1853" s="6">
        <v>0</v>
      </c>
      <c r="O1853" s="6">
        <v>0</v>
      </c>
      <c r="P1853" s="6">
        <v>0</v>
      </c>
      <c r="Q1853">
        <v>1</v>
      </c>
      <c r="R1853">
        <f t="shared" si="140"/>
        <v>0</v>
      </c>
      <c r="S1853">
        <f t="shared" si="141"/>
        <v>0</v>
      </c>
      <c r="T1853">
        <f t="shared" si="142"/>
        <v>1</v>
      </c>
      <c r="U1853">
        <f t="shared" si="143"/>
        <v>1</v>
      </c>
      <c r="V1853">
        <f t="shared" si="144"/>
        <v>0</v>
      </c>
    </row>
    <row r="1854" spans="1:22" x14ac:dyDescent="0.25">
      <c r="A1854">
        <v>1851</v>
      </c>
      <c r="B1854" t="s">
        <v>24</v>
      </c>
      <c r="C1854" t="s">
        <v>1038</v>
      </c>
      <c r="D1854" s="4">
        <v>45372</v>
      </c>
      <c r="E1854" t="s">
        <v>1878</v>
      </c>
      <c r="F1854" t="s">
        <v>75</v>
      </c>
      <c r="I1854" s="6">
        <v>0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>
        <v>1</v>
      </c>
      <c r="R1854">
        <f t="shared" si="140"/>
        <v>0</v>
      </c>
      <c r="S1854">
        <f t="shared" si="141"/>
        <v>1</v>
      </c>
      <c r="T1854">
        <f t="shared" si="142"/>
        <v>0</v>
      </c>
      <c r="U1854">
        <f t="shared" si="143"/>
        <v>0</v>
      </c>
      <c r="V1854">
        <f t="shared" si="144"/>
        <v>0</v>
      </c>
    </row>
    <row r="1855" spans="1:22" x14ac:dyDescent="0.25">
      <c r="A1855">
        <v>1852</v>
      </c>
      <c r="B1855" t="s">
        <v>24</v>
      </c>
      <c r="C1855" t="s">
        <v>1038</v>
      </c>
      <c r="D1855" s="4">
        <v>45374</v>
      </c>
      <c r="E1855" t="s">
        <v>858</v>
      </c>
      <c r="F1855" t="s">
        <v>75</v>
      </c>
      <c r="I1855" s="6">
        <v>0</v>
      </c>
      <c r="J1855" s="6">
        <v>0</v>
      </c>
      <c r="K1855" s="6">
        <v>0</v>
      </c>
      <c r="L1855" s="6">
        <v>1</v>
      </c>
      <c r="M1855" s="6">
        <v>0</v>
      </c>
      <c r="N1855" s="6">
        <v>0</v>
      </c>
      <c r="O1855" s="6">
        <v>0</v>
      </c>
      <c r="P1855" s="6">
        <v>0</v>
      </c>
      <c r="Q1855">
        <v>1</v>
      </c>
      <c r="R1855">
        <f t="shared" si="140"/>
        <v>0</v>
      </c>
      <c r="S1855">
        <f t="shared" si="141"/>
        <v>1</v>
      </c>
      <c r="T1855">
        <f t="shared" si="142"/>
        <v>1</v>
      </c>
      <c r="U1855">
        <f t="shared" si="143"/>
        <v>1</v>
      </c>
      <c r="V1855">
        <f t="shared" si="144"/>
        <v>0</v>
      </c>
    </row>
    <row r="1856" spans="1:22" x14ac:dyDescent="0.25">
      <c r="A1856">
        <v>1853</v>
      </c>
      <c r="B1856" t="s">
        <v>24</v>
      </c>
      <c r="C1856" t="s">
        <v>1038</v>
      </c>
      <c r="D1856" s="4">
        <v>45375</v>
      </c>
      <c r="E1856" t="s">
        <v>433</v>
      </c>
      <c r="F1856" t="s">
        <v>75</v>
      </c>
      <c r="I1856" s="6">
        <v>1</v>
      </c>
      <c r="J1856" s="6">
        <v>0</v>
      </c>
      <c r="K1856" s="6">
        <v>0</v>
      </c>
      <c r="L1856" s="6">
        <v>1</v>
      </c>
      <c r="M1856" s="6">
        <v>0</v>
      </c>
      <c r="N1856" s="6">
        <v>0</v>
      </c>
      <c r="O1856" s="6">
        <v>0</v>
      </c>
      <c r="P1856" s="6">
        <v>0</v>
      </c>
      <c r="Q1856">
        <v>1</v>
      </c>
      <c r="R1856">
        <f t="shared" si="140"/>
        <v>0</v>
      </c>
      <c r="S1856">
        <f t="shared" si="141"/>
        <v>1</v>
      </c>
      <c r="T1856">
        <f t="shared" si="142"/>
        <v>2</v>
      </c>
      <c r="U1856">
        <f t="shared" si="143"/>
        <v>1</v>
      </c>
      <c r="V1856">
        <f t="shared" si="144"/>
        <v>0</v>
      </c>
    </row>
    <row r="1857" spans="1:22" x14ac:dyDescent="0.25">
      <c r="A1857">
        <v>1854</v>
      </c>
      <c r="B1857" t="s">
        <v>24</v>
      </c>
      <c r="C1857" t="s">
        <v>1038</v>
      </c>
      <c r="D1857" s="4">
        <v>45376</v>
      </c>
      <c r="E1857" t="s">
        <v>272</v>
      </c>
      <c r="F1857" t="s">
        <v>75</v>
      </c>
      <c r="I1857" s="6">
        <v>0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>
        <v>1</v>
      </c>
      <c r="R1857">
        <f t="shared" si="140"/>
        <v>0</v>
      </c>
      <c r="S1857">
        <f t="shared" si="141"/>
        <v>1</v>
      </c>
      <c r="T1857">
        <f t="shared" si="142"/>
        <v>0</v>
      </c>
      <c r="U1857">
        <f t="shared" si="143"/>
        <v>0</v>
      </c>
      <c r="V1857">
        <f t="shared" si="144"/>
        <v>0</v>
      </c>
    </row>
    <row r="1858" spans="1:22" x14ac:dyDescent="0.25">
      <c r="A1858">
        <v>1855</v>
      </c>
      <c r="B1858" t="s">
        <v>24</v>
      </c>
      <c r="C1858" t="s">
        <v>1038</v>
      </c>
      <c r="D1858" s="4">
        <v>45382</v>
      </c>
      <c r="E1858" t="s">
        <v>950</v>
      </c>
      <c r="F1858" t="s">
        <v>75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>
        <v>1</v>
      </c>
      <c r="R1858">
        <f t="shared" si="140"/>
        <v>0</v>
      </c>
      <c r="S1858">
        <f t="shared" si="141"/>
        <v>1</v>
      </c>
      <c r="T1858">
        <f t="shared" si="142"/>
        <v>0</v>
      </c>
      <c r="U1858">
        <f t="shared" si="143"/>
        <v>0</v>
      </c>
      <c r="V1858">
        <f t="shared" si="144"/>
        <v>0</v>
      </c>
    </row>
    <row r="1859" spans="1:22" x14ac:dyDescent="0.25">
      <c r="A1859">
        <v>1856</v>
      </c>
      <c r="B1859" t="s">
        <v>24</v>
      </c>
      <c r="C1859" t="s">
        <v>1038</v>
      </c>
      <c r="D1859" s="4">
        <v>45385</v>
      </c>
      <c r="E1859" t="s">
        <v>865</v>
      </c>
      <c r="F1859" t="s">
        <v>75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>
        <v>1</v>
      </c>
      <c r="R1859">
        <f t="shared" ref="R1859:R1922" si="145">IF(AND(Q1859=1,F1859="ai_full"),1,0)</f>
        <v>0</v>
      </c>
      <c r="S1859">
        <f t="shared" ref="S1859:S1922" si="146">IF(AND(Q1859=1,F1859="conventional"),1,0)</f>
        <v>1</v>
      </c>
      <c r="T1859">
        <f t="shared" ref="T1859:T1922" si="147">SUM(I1859:P1859)</f>
        <v>0</v>
      </c>
      <c r="U1859">
        <f t="shared" ref="U1859:U1922" si="148">IF(T1859&gt;=1,1,0)</f>
        <v>0</v>
      </c>
      <c r="V1859">
        <f t="shared" ref="V1859:V1922" si="149">IF(F1859="ai_full",1,0)</f>
        <v>0</v>
      </c>
    </row>
    <row r="1860" spans="1:22" x14ac:dyDescent="0.25">
      <c r="A1860">
        <v>1857</v>
      </c>
      <c r="B1860" t="s">
        <v>24</v>
      </c>
      <c r="C1860" t="s">
        <v>1038</v>
      </c>
      <c r="D1860" s="4">
        <v>45385</v>
      </c>
      <c r="E1860" t="s">
        <v>956</v>
      </c>
      <c r="F1860" t="s">
        <v>75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>
        <v>1</v>
      </c>
      <c r="R1860">
        <f t="shared" si="145"/>
        <v>0</v>
      </c>
      <c r="S1860">
        <f t="shared" si="146"/>
        <v>1</v>
      </c>
      <c r="T1860">
        <f t="shared" si="147"/>
        <v>0</v>
      </c>
      <c r="U1860">
        <f t="shared" si="148"/>
        <v>0</v>
      </c>
      <c r="V1860">
        <f t="shared" si="149"/>
        <v>0</v>
      </c>
    </row>
    <row r="1861" spans="1:22" x14ac:dyDescent="0.25">
      <c r="A1861">
        <v>1858</v>
      </c>
      <c r="B1861" t="s">
        <v>24</v>
      </c>
      <c r="C1861" t="s">
        <v>1038</v>
      </c>
      <c r="D1861" s="4">
        <v>45385</v>
      </c>
      <c r="E1861" t="s">
        <v>2037</v>
      </c>
      <c r="F1861" t="s">
        <v>75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>
        <v>1</v>
      </c>
      <c r="R1861">
        <f t="shared" si="145"/>
        <v>0</v>
      </c>
      <c r="S1861">
        <f t="shared" si="146"/>
        <v>1</v>
      </c>
      <c r="T1861">
        <f t="shared" si="147"/>
        <v>0</v>
      </c>
      <c r="U1861">
        <f t="shared" si="148"/>
        <v>0</v>
      </c>
      <c r="V1861">
        <f t="shared" si="149"/>
        <v>0</v>
      </c>
    </row>
    <row r="1862" spans="1:22" x14ac:dyDescent="0.25">
      <c r="A1862">
        <v>1859</v>
      </c>
      <c r="B1862" t="s">
        <v>24</v>
      </c>
      <c r="C1862" t="s">
        <v>1038</v>
      </c>
      <c r="D1862" s="4">
        <v>45386</v>
      </c>
      <c r="E1862" t="s">
        <v>281</v>
      </c>
      <c r="F1862" t="s">
        <v>75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>
        <v>1</v>
      </c>
      <c r="R1862">
        <f t="shared" si="145"/>
        <v>0</v>
      </c>
      <c r="S1862">
        <f t="shared" si="146"/>
        <v>1</v>
      </c>
      <c r="T1862">
        <f t="shared" si="147"/>
        <v>0</v>
      </c>
      <c r="U1862">
        <f t="shared" si="148"/>
        <v>0</v>
      </c>
      <c r="V1862">
        <f t="shared" si="149"/>
        <v>0</v>
      </c>
    </row>
    <row r="1863" spans="1:22" x14ac:dyDescent="0.25">
      <c r="A1863">
        <v>1860</v>
      </c>
      <c r="B1863" t="s">
        <v>24</v>
      </c>
      <c r="C1863" t="s">
        <v>1038</v>
      </c>
      <c r="D1863" s="4">
        <v>45386</v>
      </c>
      <c r="E1863" t="s">
        <v>282</v>
      </c>
      <c r="F1863" t="s">
        <v>75</v>
      </c>
      <c r="I1863" s="6">
        <v>0</v>
      </c>
      <c r="J1863" s="6">
        <v>0</v>
      </c>
      <c r="K1863" s="6">
        <v>0</v>
      </c>
      <c r="L1863" s="6">
        <v>1</v>
      </c>
      <c r="M1863" s="6">
        <v>0</v>
      </c>
      <c r="N1863" s="6">
        <v>0</v>
      </c>
      <c r="O1863" s="6">
        <v>0</v>
      </c>
      <c r="P1863" s="6">
        <v>0</v>
      </c>
      <c r="Q1863">
        <v>1</v>
      </c>
      <c r="R1863">
        <f t="shared" si="145"/>
        <v>0</v>
      </c>
      <c r="S1863">
        <f t="shared" si="146"/>
        <v>1</v>
      </c>
      <c r="T1863">
        <f t="shared" si="147"/>
        <v>1</v>
      </c>
      <c r="U1863">
        <f t="shared" si="148"/>
        <v>1</v>
      </c>
      <c r="V1863">
        <f t="shared" si="149"/>
        <v>0</v>
      </c>
    </row>
    <row r="1864" spans="1:22" x14ac:dyDescent="0.25">
      <c r="A1864">
        <v>1861</v>
      </c>
      <c r="B1864" t="s">
        <v>24</v>
      </c>
      <c r="C1864" t="s">
        <v>1038</v>
      </c>
      <c r="D1864" s="4">
        <v>45387</v>
      </c>
      <c r="E1864" t="s">
        <v>1221</v>
      </c>
      <c r="F1864" t="s">
        <v>75</v>
      </c>
      <c r="I1864" s="6">
        <v>0</v>
      </c>
      <c r="J1864" s="6">
        <v>0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>
        <v>1</v>
      </c>
      <c r="R1864">
        <f t="shared" si="145"/>
        <v>0</v>
      </c>
      <c r="S1864">
        <f t="shared" si="146"/>
        <v>1</v>
      </c>
      <c r="T1864">
        <f t="shared" si="147"/>
        <v>0</v>
      </c>
      <c r="U1864">
        <f t="shared" si="148"/>
        <v>0</v>
      </c>
      <c r="V1864">
        <f t="shared" si="149"/>
        <v>0</v>
      </c>
    </row>
    <row r="1865" spans="1:22" x14ac:dyDescent="0.25">
      <c r="A1865">
        <v>1862</v>
      </c>
      <c r="B1865" t="s">
        <v>24</v>
      </c>
      <c r="C1865" t="s">
        <v>1038</v>
      </c>
      <c r="D1865" s="4">
        <v>45388</v>
      </c>
      <c r="E1865" t="s">
        <v>1057</v>
      </c>
      <c r="F1865" t="s">
        <v>75</v>
      </c>
      <c r="I1865" s="6">
        <v>1</v>
      </c>
      <c r="J1865" s="6">
        <v>0</v>
      </c>
      <c r="K1865" s="6">
        <v>1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>
        <v>1</v>
      </c>
      <c r="R1865">
        <f t="shared" si="145"/>
        <v>0</v>
      </c>
      <c r="S1865">
        <f t="shared" si="146"/>
        <v>1</v>
      </c>
      <c r="T1865">
        <f t="shared" si="147"/>
        <v>2</v>
      </c>
      <c r="U1865">
        <f t="shared" si="148"/>
        <v>1</v>
      </c>
      <c r="V1865">
        <f t="shared" si="149"/>
        <v>0</v>
      </c>
    </row>
    <row r="1866" spans="1:22" x14ac:dyDescent="0.25">
      <c r="A1866">
        <v>1863</v>
      </c>
      <c r="B1866" t="s">
        <v>24</v>
      </c>
      <c r="C1866" t="s">
        <v>1038</v>
      </c>
      <c r="D1866" s="4">
        <v>45388</v>
      </c>
      <c r="E1866" t="s">
        <v>1222</v>
      </c>
      <c r="F1866" t="s">
        <v>75</v>
      </c>
      <c r="I1866" s="6">
        <v>1</v>
      </c>
      <c r="J1866" s="6">
        <v>0</v>
      </c>
      <c r="K1866" s="6">
        <v>1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>
        <v>1</v>
      </c>
      <c r="R1866">
        <f t="shared" si="145"/>
        <v>0</v>
      </c>
      <c r="S1866">
        <f t="shared" si="146"/>
        <v>1</v>
      </c>
      <c r="T1866">
        <f t="shared" si="147"/>
        <v>2</v>
      </c>
      <c r="U1866">
        <f t="shared" si="148"/>
        <v>1</v>
      </c>
      <c r="V1866">
        <f t="shared" si="149"/>
        <v>0</v>
      </c>
    </row>
    <row r="1867" spans="1:22" x14ac:dyDescent="0.25">
      <c r="A1867">
        <v>1864</v>
      </c>
      <c r="B1867" t="s">
        <v>24</v>
      </c>
      <c r="C1867" t="s">
        <v>1038</v>
      </c>
      <c r="D1867" s="4">
        <v>45388</v>
      </c>
      <c r="E1867" t="s">
        <v>1058</v>
      </c>
      <c r="F1867" t="s">
        <v>75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>
        <v>1</v>
      </c>
      <c r="R1867">
        <f t="shared" si="145"/>
        <v>0</v>
      </c>
      <c r="S1867">
        <f t="shared" si="146"/>
        <v>1</v>
      </c>
      <c r="T1867">
        <f t="shared" si="147"/>
        <v>0</v>
      </c>
      <c r="U1867">
        <f t="shared" si="148"/>
        <v>0</v>
      </c>
      <c r="V1867">
        <f t="shared" si="149"/>
        <v>0</v>
      </c>
    </row>
    <row r="1868" spans="1:22" x14ac:dyDescent="0.25">
      <c r="A1868">
        <v>1865</v>
      </c>
      <c r="B1868" t="s">
        <v>24</v>
      </c>
      <c r="C1868" t="s">
        <v>1038</v>
      </c>
      <c r="D1868" s="4">
        <v>45389</v>
      </c>
      <c r="E1868" t="s">
        <v>450</v>
      </c>
      <c r="F1868" t="s">
        <v>75</v>
      </c>
      <c r="I1868" s="6">
        <v>0</v>
      </c>
      <c r="J1868" s="6">
        <v>0</v>
      </c>
      <c r="K1868" s="6">
        <v>0</v>
      </c>
      <c r="L1868" s="6">
        <v>1</v>
      </c>
      <c r="M1868" s="6">
        <v>0</v>
      </c>
      <c r="N1868" s="6">
        <v>0</v>
      </c>
      <c r="O1868" s="6">
        <v>0</v>
      </c>
      <c r="P1868" s="6">
        <v>0</v>
      </c>
      <c r="Q1868">
        <v>1</v>
      </c>
      <c r="R1868">
        <f t="shared" si="145"/>
        <v>0</v>
      </c>
      <c r="S1868">
        <f t="shared" si="146"/>
        <v>1</v>
      </c>
      <c r="T1868">
        <f t="shared" si="147"/>
        <v>1</v>
      </c>
      <c r="U1868">
        <f t="shared" si="148"/>
        <v>1</v>
      </c>
      <c r="V1868">
        <f t="shared" si="149"/>
        <v>0</v>
      </c>
    </row>
    <row r="1869" spans="1:22" x14ac:dyDescent="0.25">
      <c r="A1869">
        <v>1866</v>
      </c>
      <c r="B1869" t="s">
        <v>24</v>
      </c>
      <c r="C1869" t="s">
        <v>1038</v>
      </c>
      <c r="D1869" s="4">
        <v>45389</v>
      </c>
      <c r="E1869" t="s">
        <v>1223</v>
      </c>
      <c r="F1869" t="s">
        <v>75</v>
      </c>
      <c r="I1869" s="6">
        <v>0</v>
      </c>
      <c r="J1869" s="6">
        <v>0</v>
      </c>
      <c r="K1869" s="6">
        <v>0</v>
      </c>
      <c r="L1869" s="6">
        <v>1</v>
      </c>
      <c r="M1869" s="6">
        <v>0</v>
      </c>
      <c r="N1869" s="6">
        <v>0</v>
      </c>
      <c r="O1869" s="6">
        <v>0</v>
      </c>
      <c r="P1869" s="6">
        <v>0</v>
      </c>
      <c r="Q1869">
        <v>1</v>
      </c>
      <c r="R1869">
        <f t="shared" si="145"/>
        <v>0</v>
      </c>
      <c r="S1869">
        <f t="shared" si="146"/>
        <v>1</v>
      </c>
      <c r="T1869">
        <f t="shared" si="147"/>
        <v>1</v>
      </c>
      <c r="U1869">
        <f t="shared" si="148"/>
        <v>1</v>
      </c>
      <c r="V1869">
        <f t="shared" si="149"/>
        <v>0</v>
      </c>
    </row>
    <row r="1870" spans="1:22" x14ac:dyDescent="0.25">
      <c r="A1870">
        <v>1867</v>
      </c>
      <c r="B1870" t="s">
        <v>24</v>
      </c>
      <c r="C1870" t="s">
        <v>1038</v>
      </c>
      <c r="D1870" s="4">
        <v>45389</v>
      </c>
      <c r="E1870" t="s">
        <v>1059</v>
      </c>
      <c r="F1870" t="s">
        <v>75</v>
      </c>
      <c r="I1870" s="6">
        <v>1</v>
      </c>
      <c r="J1870" s="6">
        <v>0</v>
      </c>
      <c r="K1870" s="6">
        <v>1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>
        <v>1</v>
      </c>
      <c r="R1870">
        <f t="shared" si="145"/>
        <v>0</v>
      </c>
      <c r="S1870">
        <f t="shared" si="146"/>
        <v>1</v>
      </c>
      <c r="T1870">
        <f t="shared" si="147"/>
        <v>2</v>
      </c>
      <c r="U1870">
        <f t="shared" si="148"/>
        <v>1</v>
      </c>
      <c r="V1870">
        <f t="shared" si="149"/>
        <v>0</v>
      </c>
    </row>
    <row r="1871" spans="1:22" x14ac:dyDescent="0.25">
      <c r="A1871">
        <v>1868</v>
      </c>
      <c r="B1871" t="s">
        <v>24</v>
      </c>
      <c r="C1871" t="s">
        <v>1038</v>
      </c>
      <c r="D1871" s="4">
        <v>45389</v>
      </c>
      <c r="E1871" t="s">
        <v>2165</v>
      </c>
      <c r="F1871" t="s">
        <v>75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>
        <v>1</v>
      </c>
      <c r="R1871">
        <f t="shared" si="145"/>
        <v>0</v>
      </c>
      <c r="S1871">
        <f t="shared" si="146"/>
        <v>1</v>
      </c>
      <c r="T1871">
        <f t="shared" si="147"/>
        <v>0</v>
      </c>
      <c r="U1871">
        <f t="shared" si="148"/>
        <v>0</v>
      </c>
      <c r="V1871">
        <f t="shared" si="149"/>
        <v>0</v>
      </c>
    </row>
    <row r="1872" spans="1:22" x14ac:dyDescent="0.25">
      <c r="A1872">
        <v>1869</v>
      </c>
      <c r="B1872" t="s">
        <v>24</v>
      </c>
      <c r="C1872" t="s">
        <v>1038</v>
      </c>
      <c r="D1872" s="4">
        <v>45390</v>
      </c>
      <c r="E1872" t="s">
        <v>1477</v>
      </c>
      <c r="F1872" t="s">
        <v>75</v>
      </c>
      <c r="I1872" s="6">
        <v>0</v>
      </c>
      <c r="J1872" s="6">
        <v>0</v>
      </c>
      <c r="K1872" s="6">
        <v>1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>
        <v>1</v>
      </c>
      <c r="R1872">
        <f t="shared" si="145"/>
        <v>0</v>
      </c>
      <c r="S1872">
        <f t="shared" si="146"/>
        <v>1</v>
      </c>
      <c r="T1872">
        <f t="shared" si="147"/>
        <v>1</v>
      </c>
      <c r="U1872">
        <f t="shared" si="148"/>
        <v>1</v>
      </c>
      <c r="V1872">
        <f t="shared" si="149"/>
        <v>0</v>
      </c>
    </row>
    <row r="1873" spans="1:22" x14ac:dyDescent="0.25">
      <c r="A1873">
        <v>1870</v>
      </c>
      <c r="B1873" t="s">
        <v>24</v>
      </c>
      <c r="C1873" t="s">
        <v>1038</v>
      </c>
      <c r="D1873" s="4">
        <v>45390</v>
      </c>
      <c r="E1873" t="s">
        <v>1060</v>
      </c>
      <c r="F1873" t="s">
        <v>357</v>
      </c>
      <c r="I1873" s="6">
        <v>0</v>
      </c>
      <c r="J1873" s="6">
        <v>0</v>
      </c>
      <c r="K1873" s="6">
        <v>0</v>
      </c>
      <c r="L1873" s="6">
        <v>0</v>
      </c>
      <c r="M1873" s="6">
        <v>1</v>
      </c>
      <c r="N1873" s="6">
        <v>0</v>
      </c>
      <c r="O1873" s="6">
        <v>0</v>
      </c>
      <c r="P1873" s="6">
        <v>0</v>
      </c>
      <c r="Q1873">
        <v>1</v>
      </c>
      <c r="R1873">
        <f t="shared" si="145"/>
        <v>0</v>
      </c>
      <c r="S1873">
        <f t="shared" si="146"/>
        <v>0</v>
      </c>
      <c r="T1873">
        <f t="shared" si="147"/>
        <v>1</v>
      </c>
      <c r="U1873">
        <f t="shared" si="148"/>
        <v>1</v>
      </c>
      <c r="V1873">
        <f t="shared" si="149"/>
        <v>0</v>
      </c>
    </row>
    <row r="1874" spans="1:22" x14ac:dyDescent="0.25">
      <c r="A1874">
        <v>1871</v>
      </c>
      <c r="B1874" t="s">
        <v>24</v>
      </c>
      <c r="C1874" t="s">
        <v>1038</v>
      </c>
      <c r="D1874" s="4">
        <v>45391</v>
      </c>
      <c r="E1874" t="s">
        <v>868</v>
      </c>
      <c r="F1874" t="s">
        <v>75</v>
      </c>
      <c r="I1874" s="6">
        <v>0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>
        <v>1</v>
      </c>
      <c r="R1874">
        <f t="shared" si="145"/>
        <v>0</v>
      </c>
      <c r="S1874">
        <f t="shared" si="146"/>
        <v>1</v>
      </c>
      <c r="T1874">
        <f t="shared" si="147"/>
        <v>0</v>
      </c>
      <c r="U1874">
        <f t="shared" si="148"/>
        <v>0</v>
      </c>
      <c r="V1874">
        <f t="shared" si="149"/>
        <v>0</v>
      </c>
    </row>
    <row r="1875" spans="1:22" x14ac:dyDescent="0.25">
      <c r="A1875">
        <v>1872</v>
      </c>
      <c r="B1875" t="s">
        <v>24</v>
      </c>
      <c r="C1875" t="s">
        <v>1038</v>
      </c>
      <c r="D1875" s="4">
        <v>45391</v>
      </c>
      <c r="E1875" t="s">
        <v>869</v>
      </c>
      <c r="F1875" t="s">
        <v>413</v>
      </c>
      <c r="G1875">
        <v>287</v>
      </c>
      <c r="I1875" s="6">
        <v>1</v>
      </c>
      <c r="J1875" s="6">
        <v>0</v>
      </c>
      <c r="K1875" s="6">
        <v>0</v>
      </c>
      <c r="L1875" s="6">
        <v>0</v>
      </c>
      <c r="M1875" s="6">
        <v>0</v>
      </c>
      <c r="N1875" s="6">
        <v>0</v>
      </c>
      <c r="O1875" s="6">
        <v>0</v>
      </c>
      <c r="P1875" s="6">
        <v>0</v>
      </c>
      <c r="Q1875">
        <v>1</v>
      </c>
      <c r="R1875">
        <f t="shared" si="145"/>
        <v>1</v>
      </c>
      <c r="S1875">
        <f t="shared" si="146"/>
        <v>0</v>
      </c>
      <c r="T1875">
        <f t="shared" si="147"/>
        <v>1</v>
      </c>
      <c r="U1875">
        <f t="shared" si="148"/>
        <v>1</v>
      </c>
      <c r="V1875">
        <f t="shared" si="149"/>
        <v>1</v>
      </c>
    </row>
    <row r="1876" spans="1:22" x14ac:dyDescent="0.25">
      <c r="A1876">
        <v>1873</v>
      </c>
      <c r="B1876" t="s">
        <v>24</v>
      </c>
      <c r="C1876" t="s">
        <v>1038</v>
      </c>
      <c r="D1876" s="4">
        <v>45392</v>
      </c>
      <c r="E1876" t="s">
        <v>452</v>
      </c>
      <c r="F1876" t="s">
        <v>75</v>
      </c>
      <c r="I1876" s="6">
        <v>0</v>
      </c>
      <c r="J1876" s="6">
        <v>0</v>
      </c>
      <c r="K1876" s="6">
        <v>0</v>
      </c>
      <c r="L1876" s="6">
        <v>1</v>
      </c>
      <c r="M1876" s="6">
        <v>0</v>
      </c>
      <c r="N1876" s="6">
        <v>0</v>
      </c>
      <c r="O1876" s="6">
        <v>0</v>
      </c>
      <c r="P1876" s="6">
        <v>1</v>
      </c>
      <c r="Q1876">
        <v>1</v>
      </c>
      <c r="R1876">
        <f t="shared" si="145"/>
        <v>0</v>
      </c>
      <c r="S1876">
        <f t="shared" si="146"/>
        <v>1</v>
      </c>
      <c r="T1876">
        <f t="shared" si="147"/>
        <v>2</v>
      </c>
      <c r="U1876">
        <f t="shared" si="148"/>
        <v>1</v>
      </c>
      <c r="V1876">
        <f t="shared" si="149"/>
        <v>0</v>
      </c>
    </row>
    <row r="1877" spans="1:22" x14ac:dyDescent="0.25">
      <c r="A1877">
        <v>1874</v>
      </c>
      <c r="B1877" t="s">
        <v>24</v>
      </c>
      <c r="C1877" t="s">
        <v>1038</v>
      </c>
      <c r="D1877" s="4">
        <v>45392</v>
      </c>
      <c r="E1877" t="s">
        <v>453</v>
      </c>
      <c r="F1877" t="s">
        <v>75</v>
      </c>
      <c r="I1877" s="6">
        <v>1</v>
      </c>
      <c r="J1877" s="6">
        <v>1</v>
      </c>
      <c r="K1877" s="6">
        <v>1</v>
      </c>
      <c r="L1877" s="6">
        <v>1</v>
      </c>
      <c r="M1877" s="6">
        <v>0</v>
      </c>
      <c r="N1877" s="6">
        <v>0</v>
      </c>
      <c r="O1877" s="6">
        <v>0</v>
      </c>
      <c r="P1877" s="6">
        <v>1</v>
      </c>
      <c r="Q1877">
        <v>1</v>
      </c>
      <c r="R1877">
        <f t="shared" si="145"/>
        <v>0</v>
      </c>
      <c r="S1877">
        <f t="shared" si="146"/>
        <v>1</v>
      </c>
      <c r="T1877">
        <f t="shared" si="147"/>
        <v>5</v>
      </c>
      <c r="U1877">
        <f t="shared" si="148"/>
        <v>1</v>
      </c>
      <c r="V1877">
        <f t="shared" si="149"/>
        <v>0</v>
      </c>
    </row>
    <row r="1878" spans="1:22" x14ac:dyDescent="0.25">
      <c r="A1878">
        <v>1875</v>
      </c>
      <c r="B1878" t="s">
        <v>24</v>
      </c>
      <c r="C1878" t="s">
        <v>1038</v>
      </c>
      <c r="D1878" s="4">
        <v>45392</v>
      </c>
      <c r="E1878" t="s">
        <v>1061</v>
      </c>
      <c r="F1878" t="s">
        <v>75</v>
      </c>
      <c r="I1878" s="6">
        <v>0</v>
      </c>
      <c r="J1878" s="6">
        <v>0</v>
      </c>
      <c r="K1878" s="6">
        <v>0</v>
      </c>
      <c r="L1878" s="6">
        <v>1</v>
      </c>
      <c r="M1878" s="6">
        <v>0</v>
      </c>
      <c r="N1878" s="6">
        <v>0</v>
      </c>
      <c r="O1878" s="6">
        <v>0</v>
      </c>
      <c r="P1878" s="6">
        <v>0</v>
      </c>
      <c r="Q1878">
        <v>1</v>
      </c>
      <c r="R1878">
        <f t="shared" si="145"/>
        <v>0</v>
      </c>
      <c r="S1878">
        <f t="shared" si="146"/>
        <v>1</v>
      </c>
      <c r="T1878">
        <f t="shared" si="147"/>
        <v>1</v>
      </c>
      <c r="U1878">
        <f t="shared" si="148"/>
        <v>1</v>
      </c>
      <c r="V1878">
        <f t="shared" si="149"/>
        <v>0</v>
      </c>
    </row>
    <row r="1879" spans="1:22" x14ac:dyDescent="0.25">
      <c r="A1879">
        <v>1876</v>
      </c>
      <c r="B1879" t="s">
        <v>24</v>
      </c>
      <c r="C1879" t="s">
        <v>1038</v>
      </c>
      <c r="D1879" s="4">
        <v>45392</v>
      </c>
      <c r="E1879" t="s">
        <v>1062</v>
      </c>
      <c r="F1879" t="s">
        <v>75</v>
      </c>
      <c r="I1879" s="6">
        <v>0</v>
      </c>
      <c r="J1879" s="6">
        <v>0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>
        <v>1</v>
      </c>
      <c r="R1879">
        <f t="shared" si="145"/>
        <v>0</v>
      </c>
      <c r="S1879">
        <f t="shared" si="146"/>
        <v>1</v>
      </c>
      <c r="T1879">
        <f t="shared" si="147"/>
        <v>0</v>
      </c>
      <c r="U1879">
        <f t="shared" si="148"/>
        <v>0</v>
      </c>
      <c r="V1879">
        <f t="shared" si="149"/>
        <v>0</v>
      </c>
    </row>
    <row r="1880" spans="1:22" x14ac:dyDescent="0.25">
      <c r="A1880">
        <v>1877</v>
      </c>
      <c r="B1880" t="s">
        <v>24</v>
      </c>
      <c r="C1880" t="s">
        <v>1038</v>
      </c>
      <c r="D1880" s="4">
        <v>45392</v>
      </c>
      <c r="E1880" t="s">
        <v>1364</v>
      </c>
      <c r="F1880" t="s">
        <v>75</v>
      </c>
      <c r="I1880" s="6">
        <v>0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>
        <v>1</v>
      </c>
      <c r="R1880">
        <f t="shared" si="145"/>
        <v>0</v>
      </c>
      <c r="S1880">
        <f t="shared" si="146"/>
        <v>1</v>
      </c>
      <c r="T1880">
        <f t="shared" si="147"/>
        <v>0</v>
      </c>
      <c r="U1880">
        <f t="shared" si="148"/>
        <v>0</v>
      </c>
      <c r="V1880">
        <f t="shared" si="149"/>
        <v>0</v>
      </c>
    </row>
    <row r="1881" spans="1:22" x14ac:dyDescent="0.25">
      <c r="A1881">
        <v>1878</v>
      </c>
      <c r="B1881" t="s">
        <v>24</v>
      </c>
      <c r="C1881" t="s">
        <v>1038</v>
      </c>
      <c r="D1881" s="4">
        <v>45392</v>
      </c>
      <c r="E1881" t="s">
        <v>1143</v>
      </c>
      <c r="F1881" t="s">
        <v>75</v>
      </c>
      <c r="I1881" s="6">
        <v>0</v>
      </c>
      <c r="J1881" s="6">
        <v>0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>
        <v>1</v>
      </c>
      <c r="R1881">
        <f t="shared" si="145"/>
        <v>0</v>
      </c>
      <c r="S1881">
        <f t="shared" si="146"/>
        <v>1</v>
      </c>
      <c r="T1881">
        <f t="shared" si="147"/>
        <v>0</v>
      </c>
      <c r="U1881">
        <f t="shared" si="148"/>
        <v>0</v>
      </c>
      <c r="V1881">
        <f t="shared" si="149"/>
        <v>0</v>
      </c>
    </row>
    <row r="1882" spans="1:22" x14ac:dyDescent="0.25">
      <c r="A1882">
        <v>1879</v>
      </c>
      <c r="B1882" t="s">
        <v>24</v>
      </c>
      <c r="C1882" t="s">
        <v>1038</v>
      </c>
      <c r="D1882" s="4">
        <v>45393</v>
      </c>
      <c r="E1882" t="s">
        <v>454</v>
      </c>
      <c r="F1882" t="s">
        <v>75</v>
      </c>
      <c r="I1882" s="6">
        <v>0</v>
      </c>
      <c r="J1882" s="6">
        <v>0</v>
      </c>
      <c r="K1882" s="6">
        <v>0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>
        <v>1</v>
      </c>
      <c r="R1882">
        <f t="shared" si="145"/>
        <v>0</v>
      </c>
      <c r="S1882">
        <f t="shared" si="146"/>
        <v>1</v>
      </c>
      <c r="T1882">
        <f t="shared" si="147"/>
        <v>0</v>
      </c>
      <c r="U1882">
        <f t="shared" si="148"/>
        <v>0</v>
      </c>
      <c r="V1882">
        <f t="shared" si="149"/>
        <v>0</v>
      </c>
    </row>
    <row r="1883" spans="1:22" x14ac:dyDescent="0.25">
      <c r="A1883">
        <v>1880</v>
      </c>
      <c r="B1883" t="s">
        <v>24</v>
      </c>
      <c r="C1883" t="s">
        <v>1038</v>
      </c>
      <c r="D1883" s="4">
        <v>45393</v>
      </c>
      <c r="E1883" t="s">
        <v>455</v>
      </c>
      <c r="F1883" t="s">
        <v>75</v>
      </c>
      <c r="I1883" s="6">
        <v>0</v>
      </c>
      <c r="J1883" s="6">
        <v>0</v>
      </c>
      <c r="K1883" s="6">
        <v>1</v>
      </c>
      <c r="L1883" s="6">
        <v>1</v>
      </c>
      <c r="M1883" s="6">
        <v>0</v>
      </c>
      <c r="N1883" s="6">
        <v>0</v>
      </c>
      <c r="O1883" s="6">
        <v>0</v>
      </c>
      <c r="P1883" s="6">
        <v>0</v>
      </c>
      <c r="Q1883">
        <v>1</v>
      </c>
      <c r="R1883">
        <f t="shared" si="145"/>
        <v>0</v>
      </c>
      <c r="S1883">
        <f t="shared" si="146"/>
        <v>1</v>
      </c>
      <c r="T1883">
        <f t="shared" si="147"/>
        <v>2</v>
      </c>
      <c r="U1883">
        <f t="shared" si="148"/>
        <v>1</v>
      </c>
      <c r="V1883">
        <f t="shared" si="149"/>
        <v>0</v>
      </c>
    </row>
    <row r="1884" spans="1:22" x14ac:dyDescent="0.25">
      <c r="A1884">
        <v>1881</v>
      </c>
      <c r="B1884" t="s">
        <v>24</v>
      </c>
      <c r="C1884" t="s">
        <v>1038</v>
      </c>
      <c r="D1884" s="4">
        <v>45393</v>
      </c>
      <c r="E1884" t="s">
        <v>1063</v>
      </c>
      <c r="F1884" t="s">
        <v>75</v>
      </c>
      <c r="I1884" s="6">
        <v>0</v>
      </c>
      <c r="J1884" s="6">
        <v>0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>
        <v>1</v>
      </c>
      <c r="R1884">
        <f t="shared" si="145"/>
        <v>0</v>
      </c>
      <c r="S1884">
        <f t="shared" si="146"/>
        <v>1</v>
      </c>
      <c r="T1884">
        <f t="shared" si="147"/>
        <v>0</v>
      </c>
      <c r="U1884">
        <f t="shared" si="148"/>
        <v>0</v>
      </c>
      <c r="V1884">
        <f t="shared" si="149"/>
        <v>0</v>
      </c>
    </row>
    <row r="1885" spans="1:22" x14ac:dyDescent="0.25">
      <c r="A1885">
        <v>1882</v>
      </c>
      <c r="B1885" t="s">
        <v>24</v>
      </c>
      <c r="C1885" t="s">
        <v>1038</v>
      </c>
      <c r="D1885" s="4">
        <v>45394</v>
      </c>
      <c r="E1885" t="s">
        <v>966</v>
      </c>
      <c r="F1885" t="s">
        <v>75</v>
      </c>
      <c r="I1885" s="6">
        <v>1</v>
      </c>
      <c r="J1885" s="6">
        <v>0</v>
      </c>
      <c r="K1885" s="6">
        <v>1</v>
      </c>
      <c r="L1885" s="6">
        <v>1</v>
      </c>
      <c r="M1885" s="6">
        <v>0</v>
      </c>
      <c r="N1885" s="6">
        <v>1</v>
      </c>
      <c r="O1885" s="6">
        <v>1</v>
      </c>
      <c r="P1885" s="6">
        <v>0</v>
      </c>
      <c r="Q1885">
        <v>1</v>
      </c>
      <c r="R1885">
        <f t="shared" si="145"/>
        <v>0</v>
      </c>
      <c r="S1885">
        <f t="shared" si="146"/>
        <v>1</v>
      </c>
      <c r="T1885">
        <f t="shared" si="147"/>
        <v>5</v>
      </c>
      <c r="U1885">
        <f t="shared" si="148"/>
        <v>1</v>
      </c>
      <c r="V1885">
        <f t="shared" si="149"/>
        <v>0</v>
      </c>
    </row>
    <row r="1886" spans="1:22" x14ac:dyDescent="0.25">
      <c r="A1886">
        <v>1883</v>
      </c>
      <c r="B1886" t="s">
        <v>24</v>
      </c>
      <c r="C1886" t="s">
        <v>1038</v>
      </c>
      <c r="D1886" s="4">
        <v>45394</v>
      </c>
      <c r="E1886" t="s">
        <v>870</v>
      </c>
      <c r="F1886" t="s">
        <v>75</v>
      </c>
      <c r="I1886" s="6">
        <v>0</v>
      </c>
      <c r="J1886" s="6">
        <v>0</v>
      </c>
      <c r="K1886" s="6">
        <v>0</v>
      </c>
      <c r="L1886" s="6">
        <v>1</v>
      </c>
      <c r="M1886" s="6">
        <v>0</v>
      </c>
      <c r="N1886" s="6">
        <v>0</v>
      </c>
      <c r="O1886" s="6">
        <v>0</v>
      </c>
      <c r="P1886" s="6">
        <v>0</v>
      </c>
      <c r="Q1886">
        <v>1</v>
      </c>
      <c r="R1886">
        <f t="shared" si="145"/>
        <v>0</v>
      </c>
      <c r="S1886">
        <f t="shared" si="146"/>
        <v>1</v>
      </c>
      <c r="T1886">
        <f t="shared" si="147"/>
        <v>1</v>
      </c>
      <c r="U1886">
        <f t="shared" si="148"/>
        <v>1</v>
      </c>
      <c r="V1886">
        <f t="shared" si="149"/>
        <v>0</v>
      </c>
    </row>
    <row r="1887" spans="1:22" x14ac:dyDescent="0.25">
      <c r="A1887">
        <v>1884</v>
      </c>
      <c r="B1887" t="s">
        <v>24</v>
      </c>
      <c r="C1887" t="s">
        <v>1038</v>
      </c>
      <c r="D1887" s="4">
        <v>45394</v>
      </c>
      <c r="E1887" t="s">
        <v>871</v>
      </c>
      <c r="F1887" t="s">
        <v>75</v>
      </c>
      <c r="H1887" t="s">
        <v>1064</v>
      </c>
      <c r="I1887" s="6">
        <v>0</v>
      </c>
      <c r="J1887" s="6">
        <v>0</v>
      </c>
      <c r="K1887" s="6">
        <v>0</v>
      </c>
      <c r="L1887" s="6">
        <v>1</v>
      </c>
      <c r="M1887" s="6">
        <v>0</v>
      </c>
      <c r="N1887" s="6">
        <v>0</v>
      </c>
      <c r="O1887" s="6">
        <v>0</v>
      </c>
      <c r="P1887" s="6">
        <v>0</v>
      </c>
      <c r="Q1887">
        <v>1</v>
      </c>
      <c r="R1887">
        <f t="shared" si="145"/>
        <v>0</v>
      </c>
      <c r="S1887">
        <f t="shared" si="146"/>
        <v>1</v>
      </c>
      <c r="T1887">
        <f t="shared" si="147"/>
        <v>1</v>
      </c>
      <c r="U1887">
        <f t="shared" si="148"/>
        <v>1</v>
      </c>
      <c r="V1887">
        <f t="shared" si="149"/>
        <v>0</v>
      </c>
    </row>
    <row r="1888" spans="1:22" x14ac:dyDescent="0.25">
      <c r="A1888">
        <v>1885</v>
      </c>
      <c r="B1888" t="s">
        <v>24</v>
      </c>
      <c r="C1888" t="s">
        <v>1038</v>
      </c>
      <c r="D1888" s="4">
        <v>45394</v>
      </c>
      <c r="E1888" t="s">
        <v>1065</v>
      </c>
      <c r="F1888" t="s">
        <v>75</v>
      </c>
      <c r="I1888" s="6">
        <v>0</v>
      </c>
      <c r="J1888" s="6">
        <v>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>
        <v>1</v>
      </c>
      <c r="R1888">
        <f t="shared" si="145"/>
        <v>0</v>
      </c>
      <c r="S1888">
        <f t="shared" si="146"/>
        <v>1</v>
      </c>
      <c r="T1888">
        <f t="shared" si="147"/>
        <v>0</v>
      </c>
      <c r="U1888">
        <f t="shared" si="148"/>
        <v>0</v>
      </c>
      <c r="V1888">
        <f t="shared" si="149"/>
        <v>0</v>
      </c>
    </row>
    <row r="1889" spans="1:22" x14ac:dyDescent="0.25">
      <c r="A1889">
        <v>1886</v>
      </c>
      <c r="B1889" t="s">
        <v>24</v>
      </c>
      <c r="C1889" t="s">
        <v>1038</v>
      </c>
      <c r="D1889" s="4">
        <v>45394</v>
      </c>
      <c r="E1889" t="s">
        <v>1366</v>
      </c>
      <c r="F1889" t="s">
        <v>75</v>
      </c>
      <c r="I1889" s="6">
        <v>1</v>
      </c>
      <c r="J1889" s="6">
        <v>1</v>
      </c>
      <c r="K1889" s="6">
        <v>1</v>
      </c>
      <c r="L1889" s="6">
        <v>0</v>
      </c>
      <c r="M1889" s="6">
        <v>1</v>
      </c>
      <c r="N1889" s="6">
        <v>0</v>
      </c>
      <c r="O1889" s="6">
        <v>0</v>
      </c>
      <c r="P1889" s="6">
        <v>0</v>
      </c>
      <c r="Q1889">
        <v>1</v>
      </c>
      <c r="R1889">
        <f t="shared" si="145"/>
        <v>0</v>
      </c>
      <c r="S1889">
        <f t="shared" si="146"/>
        <v>1</v>
      </c>
      <c r="T1889">
        <f t="shared" si="147"/>
        <v>4</v>
      </c>
      <c r="U1889">
        <f t="shared" si="148"/>
        <v>1</v>
      </c>
      <c r="V1889">
        <f t="shared" si="149"/>
        <v>0</v>
      </c>
    </row>
    <row r="1890" spans="1:22" x14ac:dyDescent="0.25">
      <c r="A1890">
        <v>1887</v>
      </c>
      <c r="B1890" t="s">
        <v>24</v>
      </c>
      <c r="C1890" t="s">
        <v>1038</v>
      </c>
      <c r="D1890" s="4">
        <v>45394</v>
      </c>
      <c r="E1890" t="s">
        <v>1066</v>
      </c>
      <c r="F1890" t="s">
        <v>75</v>
      </c>
      <c r="I1890" s="6">
        <v>0</v>
      </c>
      <c r="J1890" s="6">
        <v>0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>
        <v>1</v>
      </c>
      <c r="R1890">
        <f t="shared" si="145"/>
        <v>0</v>
      </c>
      <c r="S1890">
        <f t="shared" si="146"/>
        <v>1</v>
      </c>
      <c r="T1890">
        <f t="shared" si="147"/>
        <v>0</v>
      </c>
      <c r="U1890">
        <f t="shared" si="148"/>
        <v>0</v>
      </c>
      <c r="V1890">
        <f t="shared" si="149"/>
        <v>0</v>
      </c>
    </row>
    <row r="1891" spans="1:22" x14ac:dyDescent="0.25">
      <c r="A1891">
        <v>1888</v>
      </c>
      <c r="B1891" t="s">
        <v>24</v>
      </c>
      <c r="C1891" t="s">
        <v>1038</v>
      </c>
      <c r="D1891" s="4">
        <v>45395</v>
      </c>
      <c r="E1891" t="s">
        <v>872</v>
      </c>
      <c r="F1891" t="s">
        <v>75</v>
      </c>
      <c r="I1891" s="6">
        <v>0</v>
      </c>
      <c r="J1891" s="6">
        <v>0</v>
      </c>
      <c r="K1891" s="6">
        <v>0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>
        <v>1</v>
      </c>
      <c r="R1891">
        <f t="shared" si="145"/>
        <v>0</v>
      </c>
      <c r="S1891">
        <f t="shared" si="146"/>
        <v>1</v>
      </c>
      <c r="T1891">
        <f t="shared" si="147"/>
        <v>0</v>
      </c>
      <c r="U1891">
        <f t="shared" si="148"/>
        <v>0</v>
      </c>
      <c r="V1891">
        <f t="shared" si="149"/>
        <v>0</v>
      </c>
    </row>
    <row r="1892" spans="1:22" x14ac:dyDescent="0.25">
      <c r="A1892">
        <v>1889</v>
      </c>
      <c r="B1892" t="s">
        <v>24</v>
      </c>
      <c r="C1892" t="s">
        <v>1038</v>
      </c>
      <c r="D1892" s="4">
        <v>45395</v>
      </c>
      <c r="E1892" t="s">
        <v>873</v>
      </c>
      <c r="F1892" t="s">
        <v>75</v>
      </c>
      <c r="I1892" s="6">
        <v>0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>
        <v>1</v>
      </c>
      <c r="R1892">
        <f t="shared" si="145"/>
        <v>0</v>
      </c>
      <c r="S1892">
        <f t="shared" si="146"/>
        <v>1</v>
      </c>
      <c r="T1892">
        <f t="shared" si="147"/>
        <v>0</v>
      </c>
      <c r="U1892">
        <f t="shared" si="148"/>
        <v>0</v>
      </c>
      <c r="V1892">
        <f t="shared" si="149"/>
        <v>0</v>
      </c>
    </row>
    <row r="1893" spans="1:22" x14ac:dyDescent="0.25">
      <c r="A1893">
        <v>1890</v>
      </c>
      <c r="B1893" t="s">
        <v>24</v>
      </c>
      <c r="C1893" t="s">
        <v>1038</v>
      </c>
      <c r="D1893" s="4">
        <v>45395</v>
      </c>
      <c r="E1893" t="s">
        <v>2160</v>
      </c>
      <c r="F1893" t="s">
        <v>75</v>
      </c>
      <c r="I1893" s="6">
        <v>1</v>
      </c>
      <c r="J1893" s="6">
        <v>0</v>
      </c>
      <c r="K1893" s="6">
        <v>1</v>
      </c>
      <c r="L1893" s="6">
        <v>0</v>
      </c>
      <c r="M1893" s="6">
        <v>1</v>
      </c>
      <c r="N1893" s="6">
        <v>0</v>
      </c>
      <c r="O1893" s="6">
        <v>0</v>
      </c>
      <c r="P1893" s="6">
        <v>0</v>
      </c>
      <c r="Q1893">
        <v>1</v>
      </c>
      <c r="R1893">
        <f t="shared" si="145"/>
        <v>0</v>
      </c>
      <c r="S1893">
        <f t="shared" si="146"/>
        <v>1</v>
      </c>
      <c r="T1893">
        <f t="shared" si="147"/>
        <v>3</v>
      </c>
      <c r="U1893">
        <f t="shared" si="148"/>
        <v>1</v>
      </c>
      <c r="V1893">
        <f t="shared" si="149"/>
        <v>0</v>
      </c>
    </row>
    <row r="1894" spans="1:22" x14ac:dyDescent="0.25">
      <c r="A1894">
        <v>1891</v>
      </c>
      <c r="B1894" t="s">
        <v>24</v>
      </c>
      <c r="C1894" t="s">
        <v>1038</v>
      </c>
      <c r="D1894" s="4">
        <v>45395</v>
      </c>
      <c r="E1894" t="s">
        <v>1067</v>
      </c>
      <c r="F1894" t="s">
        <v>75</v>
      </c>
      <c r="I1894" s="6">
        <v>0</v>
      </c>
      <c r="J1894" s="6">
        <v>0</v>
      </c>
      <c r="K1894" s="6">
        <v>1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>
        <v>1</v>
      </c>
      <c r="R1894">
        <f t="shared" si="145"/>
        <v>0</v>
      </c>
      <c r="S1894">
        <f t="shared" si="146"/>
        <v>1</v>
      </c>
      <c r="T1894">
        <f t="shared" si="147"/>
        <v>1</v>
      </c>
      <c r="U1894">
        <f t="shared" si="148"/>
        <v>1</v>
      </c>
      <c r="V1894">
        <f t="shared" si="149"/>
        <v>0</v>
      </c>
    </row>
    <row r="1895" spans="1:22" x14ac:dyDescent="0.25">
      <c r="A1895">
        <v>1892</v>
      </c>
      <c r="B1895" t="s">
        <v>24</v>
      </c>
      <c r="C1895" t="s">
        <v>1038</v>
      </c>
      <c r="D1895" s="4">
        <v>45395</v>
      </c>
      <c r="E1895" t="s">
        <v>2443</v>
      </c>
      <c r="F1895" t="s">
        <v>75</v>
      </c>
      <c r="I1895" s="6">
        <v>0</v>
      </c>
      <c r="J1895" s="6">
        <v>0</v>
      </c>
      <c r="K1895" s="6">
        <v>1</v>
      </c>
      <c r="L1895" s="6">
        <v>1</v>
      </c>
      <c r="M1895" s="6">
        <v>0</v>
      </c>
      <c r="N1895" s="6">
        <v>0</v>
      </c>
      <c r="O1895" s="6">
        <v>0</v>
      </c>
      <c r="P1895" s="6">
        <v>0</v>
      </c>
      <c r="Q1895">
        <v>1</v>
      </c>
      <c r="R1895">
        <f t="shared" si="145"/>
        <v>0</v>
      </c>
      <c r="S1895">
        <f t="shared" si="146"/>
        <v>1</v>
      </c>
      <c r="T1895">
        <f t="shared" si="147"/>
        <v>2</v>
      </c>
      <c r="U1895">
        <f t="shared" si="148"/>
        <v>1</v>
      </c>
      <c r="V1895">
        <f t="shared" si="149"/>
        <v>0</v>
      </c>
    </row>
    <row r="1896" spans="1:22" x14ac:dyDescent="0.25">
      <c r="A1896">
        <v>1893</v>
      </c>
      <c r="B1896" t="s">
        <v>24</v>
      </c>
      <c r="C1896" t="s">
        <v>1038</v>
      </c>
      <c r="D1896" s="4">
        <v>45396</v>
      </c>
      <c r="E1896" t="s">
        <v>874</v>
      </c>
      <c r="F1896" t="s">
        <v>75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>
        <v>1</v>
      </c>
      <c r="R1896">
        <f t="shared" si="145"/>
        <v>0</v>
      </c>
      <c r="S1896">
        <f t="shared" si="146"/>
        <v>1</v>
      </c>
      <c r="T1896">
        <f t="shared" si="147"/>
        <v>0</v>
      </c>
      <c r="U1896">
        <f t="shared" si="148"/>
        <v>0</v>
      </c>
      <c r="V1896">
        <f t="shared" si="149"/>
        <v>0</v>
      </c>
    </row>
    <row r="1897" spans="1:22" x14ac:dyDescent="0.25">
      <c r="A1897">
        <v>1894</v>
      </c>
      <c r="B1897" t="s">
        <v>24</v>
      </c>
      <c r="C1897" t="s">
        <v>1038</v>
      </c>
      <c r="D1897" s="4">
        <v>45396</v>
      </c>
      <c r="E1897" t="s">
        <v>875</v>
      </c>
      <c r="F1897" t="s">
        <v>75</v>
      </c>
      <c r="I1897" s="6">
        <v>1</v>
      </c>
      <c r="J1897" s="6">
        <v>0</v>
      </c>
      <c r="K1897" s="6">
        <v>1</v>
      </c>
      <c r="L1897" s="6">
        <v>1</v>
      </c>
      <c r="M1897" s="6">
        <v>0</v>
      </c>
      <c r="N1897" s="6">
        <v>1</v>
      </c>
      <c r="O1897" s="6">
        <v>0</v>
      </c>
      <c r="P1897" s="6">
        <v>0</v>
      </c>
      <c r="Q1897">
        <v>1</v>
      </c>
      <c r="R1897">
        <f t="shared" si="145"/>
        <v>0</v>
      </c>
      <c r="S1897">
        <f t="shared" si="146"/>
        <v>1</v>
      </c>
      <c r="T1897">
        <f t="shared" si="147"/>
        <v>4</v>
      </c>
      <c r="U1897">
        <f t="shared" si="148"/>
        <v>1</v>
      </c>
      <c r="V1897">
        <f t="shared" si="149"/>
        <v>0</v>
      </c>
    </row>
    <row r="1898" spans="1:22" x14ac:dyDescent="0.25">
      <c r="A1898">
        <v>1895</v>
      </c>
      <c r="B1898" t="s">
        <v>24</v>
      </c>
      <c r="C1898" t="s">
        <v>1038</v>
      </c>
      <c r="D1898" s="4">
        <v>45396</v>
      </c>
      <c r="E1898" t="s">
        <v>2159</v>
      </c>
      <c r="F1898" t="s">
        <v>75</v>
      </c>
      <c r="I1898" s="6">
        <v>1</v>
      </c>
      <c r="J1898" s="6">
        <v>0</v>
      </c>
      <c r="K1898" s="6">
        <v>1</v>
      </c>
      <c r="L1898" s="6">
        <v>0</v>
      </c>
      <c r="M1898" s="6">
        <v>0</v>
      </c>
      <c r="N1898" s="6">
        <v>0</v>
      </c>
      <c r="O1898" s="6">
        <v>0</v>
      </c>
      <c r="P1898" s="6">
        <v>0</v>
      </c>
      <c r="Q1898">
        <v>1</v>
      </c>
      <c r="R1898">
        <f t="shared" si="145"/>
        <v>0</v>
      </c>
      <c r="S1898">
        <f t="shared" si="146"/>
        <v>1</v>
      </c>
      <c r="T1898">
        <f t="shared" si="147"/>
        <v>2</v>
      </c>
      <c r="U1898">
        <f t="shared" si="148"/>
        <v>1</v>
      </c>
      <c r="V1898">
        <f t="shared" si="149"/>
        <v>0</v>
      </c>
    </row>
    <row r="1899" spans="1:22" x14ac:dyDescent="0.25">
      <c r="A1899">
        <v>1896</v>
      </c>
      <c r="B1899" t="s">
        <v>24</v>
      </c>
      <c r="C1899" t="s">
        <v>1038</v>
      </c>
      <c r="D1899" s="4">
        <v>45397</v>
      </c>
      <c r="E1899" t="s">
        <v>1068</v>
      </c>
      <c r="F1899" t="s">
        <v>75</v>
      </c>
      <c r="I1899" s="6">
        <v>0</v>
      </c>
      <c r="J1899" s="6">
        <v>0</v>
      </c>
      <c r="K1899" s="6">
        <v>1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>
        <v>1</v>
      </c>
      <c r="R1899">
        <f t="shared" si="145"/>
        <v>0</v>
      </c>
      <c r="S1899">
        <f t="shared" si="146"/>
        <v>1</v>
      </c>
      <c r="T1899">
        <f t="shared" si="147"/>
        <v>1</v>
      </c>
      <c r="U1899">
        <f t="shared" si="148"/>
        <v>1</v>
      </c>
      <c r="V1899">
        <f t="shared" si="149"/>
        <v>0</v>
      </c>
    </row>
    <row r="1900" spans="1:22" x14ac:dyDescent="0.25">
      <c r="A1900">
        <v>1897</v>
      </c>
      <c r="B1900" t="s">
        <v>24</v>
      </c>
      <c r="C1900" t="s">
        <v>1038</v>
      </c>
      <c r="D1900" s="4">
        <v>45397</v>
      </c>
      <c r="E1900" t="s">
        <v>1069</v>
      </c>
      <c r="F1900" t="s">
        <v>75</v>
      </c>
      <c r="I1900" s="6">
        <v>0</v>
      </c>
      <c r="J1900" s="6">
        <v>0</v>
      </c>
      <c r="K1900" s="6">
        <v>0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>
        <v>1</v>
      </c>
      <c r="R1900">
        <f t="shared" si="145"/>
        <v>0</v>
      </c>
      <c r="S1900">
        <f t="shared" si="146"/>
        <v>1</v>
      </c>
      <c r="T1900">
        <f t="shared" si="147"/>
        <v>0</v>
      </c>
      <c r="U1900">
        <f t="shared" si="148"/>
        <v>0</v>
      </c>
      <c r="V1900">
        <f t="shared" si="149"/>
        <v>0</v>
      </c>
    </row>
    <row r="1901" spans="1:22" x14ac:dyDescent="0.25">
      <c r="A1901">
        <v>1898</v>
      </c>
      <c r="B1901" t="s">
        <v>24</v>
      </c>
      <c r="C1901" t="s">
        <v>1038</v>
      </c>
      <c r="D1901" s="4">
        <v>45398</v>
      </c>
      <c r="E1901" t="s">
        <v>456</v>
      </c>
      <c r="F1901" t="s">
        <v>75</v>
      </c>
      <c r="I1901" s="6">
        <v>0</v>
      </c>
      <c r="J1901" s="6">
        <v>0</v>
      </c>
      <c r="K1901" s="6">
        <v>0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>
        <v>1</v>
      </c>
      <c r="R1901">
        <f t="shared" si="145"/>
        <v>0</v>
      </c>
      <c r="S1901">
        <f t="shared" si="146"/>
        <v>1</v>
      </c>
      <c r="T1901">
        <f t="shared" si="147"/>
        <v>0</v>
      </c>
      <c r="U1901">
        <f t="shared" si="148"/>
        <v>0</v>
      </c>
      <c r="V1901">
        <f t="shared" si="149"/>
        <v>0</v>
      </c>
    </row>
    <row r="1902" spans="1:22" x14ac:dyDescent="0.25">
      <c r="A1902">
        <v>1899</v>
      </c>
      <c r="B1902" t="s">
        <v>24</v>
      </c>
      <c r="C1902" t="s">
        <v>1038</v>
      </c>
      <c r="D1902" s="4">
        <v>45399</v>
      </c>
      <c r="E1902" t="s">
        <v>294</v>
      </c>
      <c r="F1902" t="s">
        <v>75</v>
      </c>
      <c r="I1902" s="6">
        <v>0</v>
      </c>
      <c r="J1902" s="6">
        <v>0</v>
      </c>
      <c r="K1902" s="6">
        <v>1</v>
      </c>
      <c r="L1902" s="6">
        <v>0</v>
      </c>
      <c r="M1902" s="6">
        <v>0</v>
      </c>
      <c r="N1902" s="6">
        <v>0</v>
      </c>
      <c r="O1902" s="6">
        <v>0</v>
      </c>
      <c r="P1902" s="6">
        <v>0</v>
      </c>
      <c r="Q1902">
        <v>1</v>
      </c>
      <c r="R1902">
        <f t="shared" si="145"/>
        <v>0</v>
      </c>
      <c r="S1902">
        <f t="shared" si="146"/>
        <v>1</v>
      </c>
      <c r="T1902">
        <f t="shared" si="147"/>
        <v>1</v>
      </c>
      <c r="U1902">
        <f t="shared" si="148"/>
        <v>1</v>
      </c>
      <c r="V1902">
        <f t="shared" si="149"/>
        <v>0</v>
      </c>
    </row>
    <row r="1903" spans="1:22" x14ac:dyDescent="0.25">
      <c r="A1903">
        <v>1900</v>
      </c>
      <c r="B1903" t="s">
        <v>24</v>
      </c>
      <c r="C1903" t="s">
        <v>1038</v>
      </c>
      <c r="D1903" s="4">
        <v>45399</v>
      </c>
      <c r="E1903" t="s">
        <v>295</v>
      </c>
      <c r="F1903" t="s">
        <v>75</v>
      </c>
      <c r="I1903" s="6">
        <v>1</v>
      </c>
      <c r="J1903" s="6">
        <v>0</v>
      </c>
      <c r="K1903" s="6">
        <v>1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>
        <v>1</v>
      </c>
      <c r="R1903">
        <f t="shared" si="145"/>
        <v>0</v>
      </c>
      <c r="S1903">
        <f t="shared" si="146"/>
        <v>1</v>
      </c>
      <c r="T1903">
        <f t="shared" si="147"/>
        <v>2</v>
      </c>
      <c r="U1903">
        <f t="shared" si="148"/>
        <v>1</v>
      </c>
      <c r="V1903">
        <f t="shared" si="149"/>
        <v>0</v>
      </c>
    </row>
    <row r="1904" spans="1:22" x14ac:dyDescent="0.25">
      <c r="A1904">
        <v>1901</v>
      </c>
      <c r="B1904" t="s">
        <v>24</v>
      </c>
      <c r="C1904" t="s">
        <v>1038</v>
      </c>
      <c r="D1904" s="4">
        <v>45400</v>
      </c>
      <c r="E1904" t="s">
        <v>876</v>
      </c>
      <c r="F1904" t="s">
        <v>75</v>
      </c>
      <c r="I1904" s="6">
        <v>1</v>
      </c>
      <c r="J1904" s="6">
        <v>0</v>
      </c>
      <c r="K1904" s="6">
        <v>1</v>
      </c>
      <c r="L1904" s="6">
        <v>0</v>
      </c>
      <c r="M1904" s="6">
        <v>1</v>
      </c>
      <c r="N1904" s="6">
        <v>0</v>
      </c>
      <c r="O1904" s="6">
        <v>0</v>
      </c>
      <c r="P1904" s="6">
        <v>0</v>
      </c>
      <c r="Q1904">
        <v>1</v>
      </c>
      <c r="R1904">
        <f t="shared" si="145"/>
        <v>0</v>
      </c>
      <c r="S1904">
        <f t="shared" si="146"/>
        <v>1</v>
      </c>
      <c r="T1904">
        <f t="shared" si="147"/>
        <v>3</v>
      </c>
      <c r="U1904">
        <f t="shared" si="148"/>
        <v>1</v>
      </c>
      <c r="V1904">
        <f t="shared" si="149"/>
        <v>0</v>
      </c>
    </row>
    <row r="1905" spans="1:22" x14ac:dyDescent="0.25">
      <c r="A1905">
        <v>1902</v>
      </c>
      <c r="B1905" t="s">
        <v>24</v>
      </c>
      <c r="C1905" t="s">
        <v>1038</v>
      </c>
      <c r="D1905" s="4">
        <v>45400</v>
      </c>
      <c r="E1905" t="s">
        <v>296</v>
      </c>
      <c r="F1905" t="s">
        <v>75</v>
      </c>
      <c r="I1905" s="6">
        <v>1</v>
      </c>
      <c r="J1905" s="6">
        <v>0</v>
      </c>
      <c r="K1905" s="6">
        <v>1</v>
      </c>
      <c r="L1905" s="6">
        <v>0</v>
      </c>
      <c r="M1905" s="6">
        <v>1</v>
      </c>
      <c r="N1905" s="6">
        <v>1</v>
      </c>
      <c r="O1905" s="6">
        <v>0</v>
      </c>
      <c r="P1905" s="6">
        <v>0</v>
      </c>
      <c r="Q1905">
        <v>1</v>
      </c>
      <c r="R1905">
        <f t="shared" si="145"/>
        <v>0</v>
      </c>
      <c r="S1905">
        <f t="shared" si="146"/>
        <v>1</v>
      </c>
      <c r="T1905">
        <f t="shared" si="147"/>
        <v>4</v>
      </c>
      <c r="U1905">
        <f t="shared" si="148"/>
        <v>1</v>
      </c>
      <c r="V1905">
        <f t="shared" si="149"/>
        <v>0</v>
      </c>
    </row>
    <row r="1906" spans="1:22" x14ac:dyDescent="0.25">
      <c r="A1906">
        <v>1903</v>
      </c>
      <c r="B1906" t="s">
        <v>24</v>
      </c>
      <c r="C1906" t="s">
        <v>1038</v>
      </c>
      <c r="D1906" s="4">
        <v>45400</v>
      </c>
      <c r="E1906" t="s">
        <v>297</v>
      </c>
      <c r="F1906" t="s">
        <v>75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>
        <v>1</v>
      </c>
      <c r="R1906">
        <f t="shared" si="145"/>
        <v>0</v>
      </c>
      <c r="S1906">
        <f t="shared" si="146"/>
        <v>1</v>
      </c>
      <c r="T1906">
        <f t="shared" si="147"/>
        <v>0</v>
      </c>
      <c r="U1906">
        <f t="shared" si="148"/>
        <v>0</v>
      </c>
      <c r="V1906">
        <f t="shared" si="149"/>
        <v>0</v>
      </c>
    </row>
    <row r="1907" spans="1:22" x14ac:dyDescent="0.25">
      <c r="A1907">
        <v>1904</v>
      </c>
      <c r="B1907" t="s">
        <v>24</v>
      </c>
      <c r="C1907" t="s">
        <v>1038</v>
      </c>
      <c r="D1907" s="4">
        <v>45400</v>
      </c>
      <c r="E1907" t="s">
        <v>1070</v>
      </c>
      <c r="F1907" t="s">
        <v>75</v>
      </c>
      <c r="H1907" t="s">
        <v>1071</v>
      </c>
      <c r="I1907" s="6">
        <v>0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>
        <v>1</v>
      </c>
      <c r="R1907">
        <f t="shared" si="145"/>
        <v>0</v>
      </c>
      <c r="S1907">
        <f t="shared" si="146"/>
        <v>1</v>
      </c>
      <c r="T1907">
        <f t="shared" si="147"/>
        <v>0</v>
      </c>
      <c r="U1907">
        <f t="shared" si="148"/>
        <v>0</v>
      </c>
      <c r="V1907">
        <f t="shared" si="149"/>
        <v>0</v>
      </c>
    </row>
    <row r="1908" spans="1:22" x14ac:dyDescent="0.25">
      <c r="A1908">
        <v>1905</v>
      </c>
      <c r="B1908" t="s">
        <v>24</v>
      </c>
      <c r="C1908" t="s">
        <v>1038</v>
      </c>
      <c r="D1908" s="4">
        <v>45400</v>
      </c>
      <c r="E1908" t="s">
        <v>1550</v>
      </c>
      <c r="F1908" t="s">
        <v>75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>
        <v>1</v>
      </c>
      <c r="R1908">
        <f t="shared" si="145"/>
        <v>0</v>
      </c>
      <c r="S1908">
        <f t="shared" si="146"/>
        <v>1</v>
      </c>
      <c r="T1908">
        <f t="shared" si="147"/>
        <v>0</v>
      </c>
      <c r="U1908">
        <f t="shared" si="148"/>
        <v>0</v>
      </c>
      <c r="V1908">
        <f t="shared" si="149"/>
        <v>0</v>
      </c>
    </row>
    <row r="1909" spans="1:22" x14ac:dyDescent="0.25">
      <c r="A1909">
        <v>1906</v>
      </c>
      <c r="B1909" t="s">
        <v>24</v>
      </c>
      <c r="C1909" t="s">
        <v>1038</v>
      </c>
      <c r="D1909" s="4">
        <v>45401</v>
      </c>
      <c r="E1909" t="s">
        <v>298</v>
      </c>
      <c r="F1909" t="s">
        <v>75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>
        <v>1</v>
      </c>
      <c r="R1909">
        <f t="shared" si="145"/>
        <v>0</v>
      </c>
      <c r="S1909">
        <f t="shared" si="146"/>
        <v>1</v>
      </c>
      <c r="T1909">
        <f t="shared" si="147"/>
        <v>0</v>
      </c>
      <c r="U1909">
        <f t="shared" si="148"/>
        <v>0</v>
      </c>
      <c r="V1909">
        <f t="shared" si="149"/>
        <v>0</v>
      </c>
    </row>
    <row r="1910" spans="1:22" x14ac:dyDescent="0.25">
      <c r="A1910">
        <v>1907</v>
      </c>
      <c r="B1910" t="s">
        <v>24</v>
      </c>
      <c r="C1910" t="s">
        <v>1038</v>
      </c>
      <c r="D1910" s="4">
        <v>45401</v>
      </c>
      <c r="E1910" t="s">
        <v>459</v>
      </c>
      <c r="F1910" t="s">
        <v>75</v>
      </c>
      <c r="I1910" s="6">
        <v>0</v>
      </c>
      <c r="J1910" s="6">
        <v>0</v>
      </c>
      <c r="K1910" s="6">
        <v>0</v>
      </c>
      <c r="L1910" s="6">
        <v>1</v>
      </c>
      <c r="M1910" s="6">
        <v>0</v>
      </c>
      <c r="N1910" s="6">
        <v>0</v>
      </c>
      <c r="O1910" s="6">
        <v>0</v>
      </c>
      <c r="P1910" s="6">
        <v>0</v>
      </c>
      <c r="Q1910">
        <v>1</v>
      </c>
      <c r="R1910">
        <f t="shared" si="145"/>
        <v>0</v>
      </c>
      <c r="S1910">
        <f t="shared" si="146"/>
        <v>1</v>
      </c>
      <c r="T1910">
        <f t="shared" si="147"/>
        <v>1</v>
      </c>
      <c r="U1910">
        <f t="shared" si="148"/>
        <v>1</v>
      </c>
      <c r="V1910">
        <f t="shared" si="149"/>
        <v>0</v>
      </c>
    </row>
    <row r="1911" spans="1:22" x14ac:dyDescent="0.25">
      <c r="A1911">
        <v>1908</v>
      </c>
      <c r="B1911" t="s">
        <v>24</v>
      </c>
      <c r="C1911" t="s">
        <v>1038</v>
      </c>
      <c r="D1911" s="4">
        <v>45401</v>
      </c>
      <c r="E1911" t="s">
        <v>877</v>
      </c>
      <c r="F1911" t="s">
        <v>75</v>
      </c>
      <c r="I1911" s="6">
        <v>0</v>
      </c>
      <c r="J1911" s="6">
        <v>0</v>
      </c>
      <c r="K1911" s="6">
        <v>0</v>
      </c>
      <c r="L1911" s="6">
        <v>1</v>
      </c>
      <c r="M1911" s="6">
        <v>0</v>
      </c>
      <c r="N1911" s="6">
        <v>0</v>
      </c>
      <c r="O1911" s="6">
        <v>0</v>
      </c>
      <c r="P1911" s="6">
        <v>0</v>
      </c>
      <c r="Q1911">
        <v>1</v>
      </c>
      <c r="R1911">
        <f t="shared" si="145"/>
        <v>0</v>
      </c>
      <c r="S1911">
        <f t="shared" si="146"/>
        <v>1</v>
      </c>
      <c r="T1911">
        <f t="shared" si="147"/>
        <v>1</v>
      </c>
      <c r="U1911">
        <f t="shared" si="148"/>
        <v>1</v>
      </c>
      <c r="V1911">
        <f t="shared" si="149"/>
        <v>0</v>
      </c>
    </row>
    <row r="1912" spans="1:22" x14ac:dyDescent="0.25">
      <c r="A1912">
        <v>1909</v>
      </c>
      <c r="B1912" t="s">
        <v>24</v>
      </c>
      <c r="C1912" t="s">
        <v>1038</v>
      </c>
      <c r="D1912" s="4">
        <v>45401</v>
      </c>
      <c r="E1912" t="s">
        <v>1479</v>
      </c>
      <c r="F1912" t="s">
        <v>75</v>
      </c>
      <c r="I1912" s="6">
        <v>0</v>
      </c>
      <c r="J1912" s="6">
        <v>0</v>
      </c>
      <c r="K1912" s="6">
        <v>1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>
        <v>1</v>
      </c>
      <c r="R1912">
        <f t="shared" si="145"/>
        <v>0</v>
      </c>
      <c r="S1912">
        <f t="shared" si="146"/>
        <v>1</v>
      </c>
      <c r="T1912">
        <f t="shared" si="147"/>
        <v>1</v>
      </c>
      <c r="U1912">
        <f t="shared" si="148"/>
        <v>1</v>
      </c>
      <c r="V1912">
        <f t="shared" si="149"/>
        <v>0</v>
      </c>
    </row>
    <row r="1913" spans="1:22" x14ac:dyDescent="0.25">
      <c r="A1913">
        <v>1910</v>
      </c>
      <c r="B1913" t="s">
        <v>24</v>
      </c>
      <c r="C1913" t="s">
        <v>1038</v>
      </c>
      <c r="D1913" s="4">
        <v>45402</v>
      </c>
      <c r="E1913" t="s">
        <v>460</v>
      </c>
      <c r="F1913" t="s">
        <v>75</v>
      </c>
      <c r="I1913" s="6">
        <v>0</v>
      </c>
      <c r="J1913" s="6">
        <v>0</v>
      </c>
      <c r="K1913" s="6">
        <v>0</v>
      </c>
      <c r="L1913" s="6">
        <v>1</v>
      </c>
      <c r="M1913" s="6">
        <v>0</v>
      </c>
      <c r="N1913" s="6">
        <v>0</v>
      </c>
      <c r="O1913" s="6">
        <v>1</v>
      </c>
      <c r="P1913" s="6">
        <v>0</v>
      </c>
      <c r="Q1913">
        <v>1</v>
      </c>
      <c r="R1913">
        <f t="shared" si="145"/>
        <v>0</v>
      </c>
      <c r="S1913">
        <f t="shared" si="146"/>
        <v>1</v>
      </c>
      <c r="T1913">
        <f t="shared" si="147"/>
        <v>2</v>
      </c>
      <c r="U1913">
        <f t="shared" si="148"/>
        <v>1</v>
      </c>
      <c r="V1913">
        <f t="shared" si="149"/>
        <v>0</v>
      </c>
    </row>
    <row r="1914" spans="1:22" x14ac:dyDescent="0.25">
      <c r="A1914">
        <v>1911</v>
      </c>
      <c r="B1914" t="s">
        <v>24</v>
      </c>
      <c r="C1914" t="s">
        <v>1038</v>
      </c>
      <c r="D1914" s="4">
        <v>45404</v>
      </c>
      <c r="E1914" t="s">
        <v>301</v>
      </c>
      <c r="F1914" t="s">
        <v>75</v>
      </c>
      <c r="I1914" s="6">
        <v>0</v>
      </c>
      <c r="J1914" s="6">
        <v>0</v>
      </c>
      <c r="K1914" s="6">
        <v>0</v>
      </c>
      <c r="L1914" s="6">
        <v>1</v>
      </c>
      <c r="M1914" s="6">
        <v>0</v>
      </c>
      <c r="N1914" s="6">
        <v>0</v>
      </c>
      <c r="O1914" s="6">
        <v>0</v>
      </c>
      <c r="P1914" s="6">
        <v>0</v>
      </c>
      <c r="Q1914">
        <v>1</v>
      </c>
      <c r="R1914">
        <f t="shared" si="145"/>
        <v>0</v>
      </c>
      <c r="S1914">
        <f t="shared" si="146"/>
        <v>1</v>
      </c>
      <c r="T1914">
        <f t="shared" si="147"/>
        <v>1</v>
      </c>
      <c r="U1914">
        <f t="shared" si="148"/>
        <v>1</v>
      </c>
      <c r="V1914">
        <f t="shared" si="149"/>
        <v>0</v>
      </c>
    </row>
    <row r="1915" spans="1:22" x14ac:dyDescent="0.25">
      <c r="A1915">
        <v>1912</v>
      </c>
      <c r="B1915" t="s">
        <v>24</v>
      </c>
      <c r="C1915" t="s">
        <v>1038</v>
      </c>
      <c r="D1915" s="4">
        <v>45404</v>
      </c>
      <c r="E1915" t="s">
        <v>302</v>
      </c>
      <c r="F1915" t="s">
        <v>75</v>
      </c>
      <c r="I1915" s="6">
        <v>0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>
        <v>1</v>
      </c>
      <c r="R1915">
        <f t="shared" si="145"/>
        <v>0</v>
      </c>
      <c r="S1915">
        <f t="shared" si="146"/>
        <v>1</v>
      </c>
      <c r="T1915">
        <f t="shared" si="147"/>
        <v>0</v>
      </c>
      <c r="U1915">
        <f t="shared" si="148"/>
        <v>0</v>
      </c>
      <c r="V1915">
        <f t="shared" si="149"/>
        <v>0</v>
      </c>
    </row>
    <row r="1916" spans="1:22" x14ac:dyDescent="0.25">
      <c r="A1916">
        <v>1913</v>
      </c>
      <c r="B1916" t="s">
        <v>24</v>
      </c>
      <c r="C1916" t="s">
        <v>1038</v>
      </c>
      <c r="D1916" s="4">
        <v>45405</v>
      </c>
      <c r="E1916" t="s">
        <v>303</v>
      </c>
      <c r="F1916" t="s">
        <v>75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>
        <v>1</v>
      </c>
      <c r="R1916">
        <f t="shared" si="145"/>
        <v>0</v>
      </c>
      <c r="S1916">
        <f t="shared" si="146"/>
        <v>1</v>
      </c>
      <c r="T1916">
        <f t="shared" si="147"/>
        <v>0</v>
      </c>
      <c r="U1916">
        <f t="shared" si="148"/>
        <v>0</v>
      </c>
      <c r="V1916">
        <f t="shared" si="149"/>
        <v>0</v>
      </c>
    </row>
    <row r="1917" spans="1:22" x14ac:dyDescent="0.25">
      <c r="A1917">
        <v>1914</v>
      </c>
      <c r="B1917" t="s">
        <v>24</v>
      </c>
      <c r="C1917" t="s">
        <v>1038</v>
      </c>
      <c r="D1917" s="4">
        <v>45405</v>
      </c>
      <c r="E1917" t="s">
        <v>1072</v>
      </c>
      <c r="F1917" t="s">
        <v>75</v>
      </c>
      <c r="I1917" s="6">
        <v>0</v>
      </c>
      <c r="J1917" s="6">
        <v>0</v>
      </c>
      <c r="K1917" s="6">
        <v>1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>
        <v>1</v>
      </c>
      <c r="R1917">
        <f t="shared" si="145"/>
        <v>0</v>
      </c>
      <c r="S1917">
        <f t="shared" si="146"/>
        <v>1</v>
      </c>
      <c r="T1917">
        <f t="shared" si="147"/>
        <v>1</v>
      </c>
      <c r="U1917">
        <f t="shared" si="148"/>
        <v>1</v>
      </c>
      <c r="V1917">
        <f t="shared" si="149"/>
        <v>0</v>
      </c>
    </row>
    <row r="1918" spans="1:22" x14ac:dyDescent="0.25">
      <c r="A1918">
        <v>1915</v>
      </c>
      <c r="B1918" t="s">
        <v>24</v>
      </c>
      <c r="C1918" t="s">
        <v>1038</v>
      </c>
      <c r="D1918" s="4">
        <v>45406</v>
      </c>
      <c r="E1918" t="s">
        <v>977</v>
      </c>
      <c r="F1918" t="s">
        <v>75</v>
      </c>
      <c r="I1918" s="6">
        <v>1</v>
      </c>
      <c r="J1918" s="6">
        <v>0</v>
      </c>
      <c r="K1918" s="6">
        <v>1</v>
      </c>
      <c r="L1918" s="6">
        <v>0</v>
      </c>
      <c r="M1918" s="6">
        <v>0</v>
      </c>
      <c r="N1918" s="6">
        <v>0</v>
      </c>
      <c r="O1918" s="6">
        <v>0</v>
      </c>
      <c r="P1918" s="6">
        <v>1</v>
      </c>
      <c r="Q1918">
        <v>1</v>
      </c>
      <c r="R1918">
        <f t="shared" si="145"/>
        <v>0</v>
      </c>
      <c r="S1918">
        <f t="shared" si="146"/>
        <v>1</v>
      </c>
      <c r="T1918">
        <f t="shared" si="147"/>
        <v>3</v>
      </c>
      <c r="U1918">
        <f t="shared" si="148"/>
        <v>1</v>
      </c>
      <c r="V1918">
        <f t="shared" si="149"/>
        <v>0</v>
      </c>
    </row>
    <row r="1919" spans="1:22" x14ac:dyDescent="0.25">
      <c r="A1919">
        <v>1916</v>
      </c>
      <c r="B1919" t="s">
        <v>24</v>
      </c>
      <c r="C1919" t="s">
        <v>1038</v>
      </c>
      <c r="D1919" s="4">
        <v>45406</v>
      </c>
      <c r="E1919" t="s">
        <v>979</v>
      </c>
      <c r="F1919" t="s">
        <v>357</v>
      </c>
      <c r="I1919" s="6">
        <v>0</v>
      </c>
      <c r="J1919" s="6">
        <v>0</v>
      </c>
      <c r="K1919" s="6">
        <v>0</v>
      </c>
      <c r="L1919" s="6">
        <v>1</v>
      </c>
      <c r="M1919" s="6">
        <v>0</v>
      </c>
      <c r="N1919" s="6">
        <v>0</v>
      </c>
      <c r="O1919" s="6">
        <v>0</v>
      </c>
      <c r="P1919" s="6">
        <v>0</v>
      </c>
      <c r="Q1919">
        <v>1</v>
      </c>
      <c r="R1919">
        <f t="shared" si="145"/>
        <v>0</v>
      </c>
      <c r="S1919">
        <f t="shared" si="146"/>
        <v>0</v>
      </c>
      <c r="T1919">
        <f t="shared" si="147"/>
        <v>1</v>
      </c>
      <c r="U1919">
        <f t="shared" si="148"/>
        <v>1</v>
      </c>
      <c r="V1919">
        <f t="shared" si="149"/>
        <v>0</v>
      </c>
    </row>
    <row r="1920" spans="1:22" x14ac:dyDescent="0.25">
      <c r="A1920">
        <v>1917</v>
      </c>
      <c r="B1920" t="s">
        <v>24</v>
      </c>
      <c r="C1920" t="s">
        <v>1038</v>
      </c>
      <c r="D1920" s="4">
        <v>45406</v>
      </c>
      <c r="E1920" t="s">
        <v>2150</v>
      </c>
      <c r="F1920" t="s">
        <v>75</v>
      </c>
      <c r="I1920" s="6">
        <v>0</v>
      </c>
      <c r="J1920" s="6">
        <v>0</v>
      </c>
      <c r="K1920" s="6">
        <v>0</v>
      </c>
      <c r="L1920" s="6">
        <v>1</v>
      </c>
      <c r="M1920" s="6">
        <v>0</v>
      </c>
      <c r="N1920" s="6">
        <v>0</v>
      </c>
      <c r="O1920" s="6">
        <v>0</v>
      </c>
      <c r="P1920" s="6">
        <v>0</v>
      </c>
      <c r="Q1920">
        <v>1</v>
      </c>
      <c r="R1920">
        <f t="shared" si="145"/>
        <v>0</v>
      </c>
      <c r="S1920">
        <f t="shared" si="146"/>
        <v>1</v>
      </c>
      <c r="T1920">
        <f t="shared" si="147"/>
        <v>1</v>
      </c>
      <c r="U1920">
        <f t="shared" si="148"/>
        <v>1</v>
      </c>
      <c r="V1920">
        <f t="shared" si="149"/>
        <v>0</v>
      </c>
    </row>
    <row r="1921" spans="1:22" x14ac:dyDescent="0.25">
      <c r="A1921">
        <v>1918</v>
      </c>
      <c r="B1921" t="s">
        <v>24</v>
      </c>
      <c r="C1921" t="s">
        <v>1038</v>
      </c>
      <c r="D1921" s="4">
        <v>45406</v>
      </c>
      <c r="E1921" t="s">
        <v>1073</v>
      </c>
      <c r="F1921" t="s">
        <v>75</v>
      </c>
      <c r="I1921" s="6">
        <v>0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>
        <v>1</v>
      </c>
      <c r="R1921">
        <f t="shared" si="145"/>
        <v>0</v>
      </c>
      <c r="S1921">
        <f t="shared" si="146"/>
        <v>1</v>
      </c>
      <c r="T1921">
        <f t="shared" si="147"/>
        <v>0</v>
      </c>
      <c r="U1921">
        <f t="shared" si="148"/>
        <v>0</v>
      </c>
      <c r="V1921">
        <f t="shared" si="149"/>
        <v>0</v>
      </c>
    </row>
    <row r="1922" spans="1:22" x14ac:dyDescent="0.25">
      <c r="A1922">
        <v>1919</v>
      </c>
      <c r="B1922" t="s">
        <v>24</v>
      </c>
      <c r="C1922" t="s">
        <v>1038</v>
      </c>
      <c r="D1922" s="4">
        <v>45407</v>
      </c>
      <c r="E1922" t="s">
        <v>304</v>
      </c>
      <c r="F1922" t="s">
        <v>75</v>
      </c>
      <c r="I1922" s="6">
        <v>1</v>
      </c>
      <c r="J1922" s="6">
        <v>0</v>
      </c>
      <c r="K1922" s="6">
        <v>1</v>
      </c>
      <c r="L1922" s="6">
        <v>1</v>
      </c>
      <c r="M1922" s="6">
        <v>1</v>
      </c>
      <c r="N1922" s="6">
        <v>0</v>
      </c>
      <c r="O1922" s="6">
        <v>1</v>
      </c>
      <c r="P1922" s="6">
        <v>0</v>
      </c>
      <c r="Q1922">
        <v>1</v>
      </c>
      <c r="R1922">
        <f t="shared" si="145"/>
        <v>0</v>
      </c>
      <c r="S1922">
        <f t="shared" si="146"/>
        <v>1</v>
      </c>
      <c r="T1922">
        <f t="shared" si="147"/>
        <v>5</v>
      </c>
      <c r="U1922">
        <f t="shared" si="148"/>
        <v>1</v>
      </c>
      <c r="V1922">
        <f t="shared" si="149"/>
        <v>0</v>
      </c>
    </row>
    <row r="1923" spans="1:22" x14ac:dyDescent="0.25">
      <c r="A1923">
        <v>1920</v>
      </c>
      <c r="B1923" t="s">
        <v>24</v>
      </c>
      <c r="C1923" t="s">
        <v>1038</v>
      </c>
      <c r="D1923" s="4">
        <v>45407</v>
      </c>
      <c r="E1923" t="s">
        <v>464</v>
      </c>
      <c r="F1923" t="s">
        <v>75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>
        <v>1</v>
      </c>
      <c r="R1923">
        <f t="shared" ref="R1923:R1986" si="150">IF(AND(Q1923=1,F1923="ai_full"),1,0)</f>
        <v>0</v>
      </c>
      <c r="S1923">
        <f t="shared" ref="S1923:S1986" si="151">IF(AND(Q1923=1,F1923="conventional"),1,0)</f>
        <v>1</v>
      </c>
      <c r="T1923">
        <f t="shared" ref="T1923:T1986" si="152">SUM(I1923:P1923)</f>
        <v>0</v>
      </c>
      <c r="U1923">
        <f t="shared" ref="U1923:U1986" si="153">IF(T1923&gt;=1,1,0)</f>
        <v>0</v>
      </c>
      <c r="V1923">
        <f t="shared" ref="V1923:V1986" si="154">IF(F1923="ai_full",1,0)</f>
        <v>0</v>
      </c>
    </row>
    <row r="1924" spans="1:22" x14ac:dyDescent="0.25">
      <c r="A1924">
        <v>1921</v>
      </c>
      <c r="B1924" t="s">
        <v>24</v>
      </c>
      <c r="C1924" t="s">
        <v>1038</v>
      </c>
      <c r="D1924" s="4">
        <v>45408</v>
      </c>
      <c r="E1924" t="s">
        <v>305</v>
      </c>
      <c r="F1924" t="s">
        <v>75</v>
      </c>
      <c r="I1924" s="6">
        <v>0</v>
      </c>
      <c r="J1924" s="6">
        <v>0</v>
      </c>
      <c r="K1924" s="6">
        <v>0</v>
      </c>
      <c r="L1924" s="6">
        <v>1</v>
      </c>
      <c r="M1924" s="6">
        <v>0</v>
      </c>
      <c r="N1924" s="6">
        <v>0</v>
      </c>
      <c r="O1924" s="6">
        <v>0</v>
      </c>
      <c r="P1924" s="6">
        <v>0</v>
      </c>
      <c r="Q1924">
        <v>1</v>
      </c>
      <c r="R1924">
        <f t="shared" si="150"/>
        <v>0</v>
      </c>
      <c r="S1924">
        <f t="shared" si="151"/>
        <v>1</v>
      </c>
      <c r="T1924">
        <f t="shared" si="152"/>
        <v>1</v>
      </c>
      <c r="U1924">
        <f t="shared" si="153"/>
        <v>1</v>
      </c>
      <c r="V1924">
        <f t="shared" si="154"/>
        <v>0</v>
      </c>
    </row>
    <row r="1925" spans="1:22" x14ac:dyDescent="0.25">
      <c r="A1925">
        <v>1922</v>
      </c>
      <c r="B1925" t="s">
        <v>24</v>
      </c>
      <c r="C1925" t="s">
        <v>1038</v>
      </c>
      <c r="D1925" s="4">
        <v>45408</v>
      </c>
      <c r="E1925" t="s">
        <v>306</v>
      </c>
      <c r="F1925" t="s">
        <v>75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>
        <v>1</v>
      </c>
      <c r="R1925">
        <f t="shared" si="150"/>
        <v>0</v>
      </c>
      <c r="S1925">
        <f t="shared" si="151"/>
        <v>1</v>
      </c>
      <c r="T1925">
        <f t="shared" si="152"/>
        <v>0</v>
      </c>
      <c r="U1925">
        <f t="shared" si="153"/>
        <v>0</v>
      </c>
      <c r="V1925">
        <f t="shared" si="154"/>
        <v>0</v>
      </c>
    </row>
    <row r="1926" spans="1:22" x14ac:dyDescent="0.25">
      <c r="A1926">
        <v>1923</v>
      </c>
      <c r="B1926" t="s">
        <v>24</v>
      </c>
      <c r="C1926" t="s">
        <v>1038</v>
      </c>
      <c r="D1926" s="4">
        <v>45408</v>
      </c>
      <c r="E1926" t="s">
        <v>307</v>
      </c>
      <c r="F1926" t="s">
        <v>75</v>
      </c>
      <c r="I1926" s="6">
        <v>1</v>
      </c>
      <c r="J1926" s="6">
        <v>0</v>
      </c>
      <c r="K1926" s="6">
        <v>1</v>
      </c>
      <c r="L1926" s="6">
        <v>0</v>
      </c>
      <c r="M1926" s="6">
        <v>0</v>
      </c>
      <c r="N1926" s="6">
        <v>1</v>
      </c>
      <c r="O1926" s="6">
        <v>0</v>
      </c>
      <c r="P1926" s="6">
        <v>0</v>
      </c>
      <c r="Q1926">
        <v>1</v>
      </c>
      <c r="R1926">
        <f t="shared" si="150"/>
        <v>0</v>
      </c>
      <c r="S1926">
        <f t="shared" si="151"/>
        <v>1</v>
      </c>
      <c r="T1926">
        <f t="shared" si="152"/>
        <v>3</v>
      </c>
      <c r="U1926">
        <f t="shared" si="153"/>
        <v>1</v>
      </c>
      <c r="V1926">
        <f t="shared" si="154"/>
        <v>0</v>
      </c>
    </row>
    <row r="1927" spans="1:22" x14ac:dyDescent="0.25">
      <c r="A1927">
        <v>1924</v>
      </c>
      <c r="B1927" t="s">
        <v>24</v>
      </c>
      <c r="C1927" t="s">
        <v>1038</v>
      </c>
      <c r="D1927" s="4">
        <v>45408</v>
      </c>
      <c r="E1927" t="s">
        <v>2028</v>
      </c>
      <c r="F1927" t="s">
        <v>75</v>
      </c>
      <c r="I1927" s="6">
        <v>0</v>
      </c>
      <c r="J1927" s="6">
        <v>0</v>
      </c>
      <c r="K1927" s="6">
        <v>0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>
        <v>1</v>
      </c>
      <c r="R1927">
        <f t="shared" si="150"/>
        <v>0</v>
      </c>
      <c r="S1927">
        <f t="shared" si="151"/>
        <v>1</v>
      </c>
      <c r="T1927">
        <f t="shared" si="152"/>
        <v>0</v>
      </c>
      <c r="U1927">
        <f t="shared" si="153"/>
        <v>0</v>
      </c>
      <c r="V1927">
        <f t="shared" si="154"/>
        <v>0</v>
      </c>
    </row>
    <row r="1928" spans="1:22" x14ac:dyDescent="0.25">
      <c r="A1928">
        <v>1925</v>
      </c>
      <c r="B1928" t="s">
        <v>24</v>
      </c>
      <c r="C1928" t="s">
        <v>1038</v>
      </c>
      <c r="D1928" s="4">
        <v>45409</v>
      </c>
      <c r="E1928" t="s">
        <v>878</v>
      </c>
      <c r="F1928" t="s">
        <v>75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>
        <v>1</v>
      </c>
      <c r="R1928">
        <f t="shared" si="150"/>
        <v>0</v>
      </c>
      <c r="S1928">
        <f t="shared" si="151"/>
        <v>1</v>
      </c>
      <c r="T1928">
        <f t="shared" si="152"/>
        <v>0</v>
      </c>
      <c r="U1928">
        <f t="shared" si="153"/>
        <v>0</v>
      </c>
      <c r="V1928">
        <f t="shared" si="154"/>
        <v>0</v>
      </c>
    </row>
    <row r="1929" spans="1:22" x14ac:dyDescent="0.25">
      <c r="A1929">
        <v>1926</v>
      </c>
      <c r="B1929" t="s">
        <v>24</v>
      </c>
      <c r="C1929" t="s">
        <v>1038</v>
      </c>
      <c r="D1929" s="4">
        <v>45410</v>
      </c>
      <c r="E1929" t="s">
        <v>465</v>
      </c>
      <c r="F1929" t="s">
        <v>75</v>
      </c>
      <c r="I1929" s="6">
        <v>1</v>
      </c>
      <c r="J1929" s="6">
        <v>0</v>
      </c>
      <c r="K1929" s="6">
        <v>0</v>
      </c>
      <c r="L1929" s="6">
        <v>1</v>
      </c>
      <c r="M1929" s="6">
        <v>0</v>
      </c>
      <c r="N1929" s="6">
        <v>0</v>
      </c>
      <c r="O1929" s="6">
        <v>0</v>
      </c>
      <c r="P1929" s="6">
        <v>0</v>
      </c>
      <c r="Q1929">
        <v>1</v>
      </c>
      <c r="R1929">
        <f t="shared" si="150"/>
        <v>0</v>
      </c>
      <c r="S1929">
        <f t="shared" si="151"/>
        <v>1</v>
      </c>
      <c r="T1929">
        <f t="shared" si="152"/>
        <v>2</v>
      </c>
      <c r="U1929">
        <f t="shared" si="153"/>
        <v>1</v>
      </c>
      <c r="V1929">
        <f t="shared" si="154"/>
        <v>0</v>
      </c>
    </row>
    <row r="1930" spans="1:22" x14ac:dyDescent="0.25">
      <c r="A1930">
        <v>1927</v>
      </c>
      <c r="B1930" t="s">
        <v>24</v>
      </c>
      <c r="C1930" t="s">
        <v>1038</v>
      </c>
      <c r="D1930" s="4">
        <v>45410</v>
      </c>
      <c r="E1930" t="s">
        <v>466</v>
      </c>
      <c r="F1930" t="s">
        <v>75</v>
      </c>
      <c r="I1930" s="6">
        <v>1</v>
      </c>
      <c r="J1930" s="6">
        <v>0</v>
      </c>
      <c r="K1930" s="6">
        <v>1</v>
      </c>
      <c r="L1930" s="6">
        <v>1</v>
      </c>
      <c r="M1930" s="6">
        <v>0</v>
      </c>
      <c r="N1930" s="6">
        <v>1</v>
      </c>
      <c r="O1930" s="6">
        <v>0</v>
      </c>
      <c r="P1930" s="6">
        <v>0</v>
      </c>
      <c r="Q1930">
        <v>1</v>
      </c>
      <c r="R1930">
        <f t="shared" si="150"/>
        <v>0</v>
      </c>
      <c r="S1930">
        <f t="shared" si="151"/>
        <v>1</v>
      </c>
      <c r="T1930">
        <f t="shared" si="152"/>
        <v>4</v>
      </c>
      <c r="U1930">
        <f t="shared" si="153"/>
        <v>1</v>
      </c>
      <c r="V1930">
        <f t="shared" si="154"/>
        <v>0</v>
      </c>
    </row>
    <row r="1931" spans="1:22" x14ac:dyDescent="0.25">
      <c r="A1931">
        <v>1928</v>
      </c>
      <c r="B1931" t="s">
        <v>24</v>
      </c>
      <c r="C1931" t="s">
        <v>1038</v>
      </c>
      <c r="D1931" s="4">
        <v>45410</v>
      </c>
      <c r="E1931" t="s">
        <v>985</v>
      </c>
      <c r="F1931" t="s">
        <v>75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>
        <v>1</v>
      </c>
      <c r="R1931">
        <f t="shared" si="150"/>
        <v>0</v>
      </c>
      <c r="S1931">
        <f t="shared" si="151"/>
        <v>1</v>
      </c>
      <c r="T1931">
        <f t="shared" si="152"/>
        <v>0</v>
      </c>
      <c r="U1931">
        <f t="shared" si="153"/>
        <v>0</v>
      </c>
      <c r="V1931">
        <f t="shared" si="154"/>
        <v>0</v>
      </c>
    </row>
    <row r="1932" spans="1:22" x14ac:dyDescent="0.25">
      <c r="A1932">
        <v>1929</v>
      </c>
      <c r="B1932" t="s">
        <v>24</v>
      </c>
      <c r="C1932" t="s">
        <v>1038</v>
      </c>
      <c r="D1932" s="4">
        <v>45410</v>
      </c>
      <c r="E1932" t="s">
        <v>1074</v>
      </c>
      <c r="F1932" t="s">
        <v>75</v>
      </c>
      <c r="I1932" s="6">
        <v>1</v>
      </c>
      <c r="J1932" s="6">
        <v>0</v>
      </c>
      <c r="K1932" s="6">
        <v>1</v>
      </c>
      <c r="L1932" s="6">
        <v>0</v>
      </c>
      <c r="M1932" s="6">
        <v>0</v>
      </c>
      <c r="N1932" s="6">
        <v>0</v>
      </c>
      <c r="O1932" s="6">
        <v>0</v>
      </c>
      <c r="P1932" s="6">
        <v>0</v>
      </c>
      <c r="Q1932">
        <v>1</v>
      </c>
      <c r="R1932">
        <f t="shared" si="150"/>
        <v>0</v>
      </c>
      <c r="S1932">
        <f t="shared" si="151"/>
        <v>1</v>
      </c>
      <c r="T1932">
        <f t="shared" si="152"/>
        <v>2</v>
      </c>
      <c r="U1932">
        <f t="shared" si="153"/>
        <v>1</v>
      </c>
      <c r="V1932">
        <f t="shared" si="154"/>
        <v>0</v>
      </c>
    </row>
    <row r="1933" spans="1:22" x14ac:dyDescent="0.25">
      <c r="A1933">
        <v>1930</v>
      </c>
      <c r="B1933" t="s">
        <v>24</v>
      </c>
      <c r="C1933" t="s">
        <v>1038</v>
      </c>
      <c r="D1933" s="4">
        <v>45411</v>
      </c>
      <c r="E1933" t="s">
        <v>1386</v>
      </c>
      <c r="F1933" t="s">
        <v>75</v>
      </c>
      <c r="I1933" s="6">
        <v>1</v>
      </c>
      <c r="J1933" s="6">
        <v>0</v>
      </c>
      <c r="K1933" s="6">
        <v>1</v>
      </c>
      <c r="L1933" s="6">
        <v>1</v>
      </c>
      <c r="M1933" s="6">
        <v>1</v>
      </c>
      <c r="N1933" s="6">
        <v>0</v>
      </c>
      <c r="O1933" s="6">
        <v>0</v>
      </c>
      <c r="P1933" s="6">
        <v>0</v>
      </c>
      <c r="Q1933">
        <v>1</v>
      </c>
      <c r="R1933">
        <f t="shared" si="150"/>
        <v>0</v>
      </c>
      <c r="S1933">
        <f t="shared" si="151"/>
        <v>1</v>
      </c>
      <c r="T1933">
        <f t="shared" si="152"/>
        <v>4</v>
      </c>
      <c r="U1933">
        <f t="shared" si="153"/>
        <v>1</v>
      </c>
      <c r="V1933">
        <f t="shared" si="154"/>
        <v>0</v>
      </c>
    </row>
    <row r="1934" spans="1:22" x14ac:dyDescent="0.25">
      <c r="A1934">
        <v>1931</v>
      </c>
      <c r="B1934" t="s">
        <v>24</v>
      </c>
      <c r="C1934" t="s">
        <v>1038</v>
      </c>
      <c r="D1934" s="4">
        <v>45411</v>
      </c>
      <c r="E1934" t="s">
        <v>1075</v>
      </c>
      <c r="F1934" t="s">
        <v>75</v>
      </c>
      <c r="I1934" s="6">
        <v>0</v>
      </c>
      <c r="J1934" s="6">
        <v>0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>
        <v>1</v>
      </c>
      <c r="R1934">
        <f t="shared" si="150"/>
        <v>0</v>
      </c>
      <c r="S1934">
        <f t="shared" si="151"/>
        <v>1</v>
      </c>
      <c r="T1934">
        <f t="shared" si="152"/>
        <v>0</v>
      </c>
      <c r="U1934">
        <f t="shared" si="153"/>
        <v>0</v>
      </c>
      <c r="V1934">
        <f t="shared" si="154"/>
        <v>0</v>
      </c>
    </row>
    <row r="1935" spans="1:22" x14ac:dyDescent="0.25">
      <c r="A1935">
        <v>1932</v>
      </c>
      <c r="B1935" t="s">
        <v>24</v>
      </c>
      <c r="C1935" t="s">
        <v>1038</v>
      </c>
      <c r="D1935" s="4">
        <v>45411</v>
      </c>
      <c r="E1935" t="s">
        <v>1076</v>
      </c>
      <c r="F1935" t="s">
        <v>75</v>
      </c>
      <c r="I1935" s="6">
        <v>0</v>
      </c>
      <c r="J1935" s="6">
        <v>0</v>
      </c>
      <c r="K1935" s="6">
        <v>0</v>
      </c>
      <c r="L1935" s="6">
        <v>0</v>
      </c>
      <c r="M1935" s="6">
        <v>0</v>
      </c>
      <c r="N1935" s="6">
        <v>0</v>
      </c>
      <c r="O1935" s="6">
        <v>0</v>
      </c>
      <c r="P1935" s="6">
        <v>0</v>
      </c>
      <c r="Q1935">
        <v>1</v>
      </c>
      <c r="R1935">
        <f t="shared" si="150"/>
        <v>0</v>
      </c>
      <c r="S1935">
        <f t="shared" si="151"/>
        <v>1</v>
      </c>
      <c r="T1935">
        <f t="shared" si="152"/>
        <v>0</v>
      </c>
      <c r="U1935">
        <f t="shared" si="153"/>
        <v>0</v>
      </c>
      <c r="V1935">
        <f t="shared" si="154"/>
        <v>0</v>
      </c>
    </row>
    <row r="1936" spans="1:22" x14ac:dyDescent="0.25">
      <c r="A1936">
        <v>1933</v>
      </c>
      <c r="B1936" t="s">
        <v>24</v>
      </c>
      <c r="C1936" t="s">
        <v>1038</v>
      </c>
      <c r="D1936" s="4">
        <v>45411</v>
      </c>
      <c r="E1936" t="s">
        <v>1158</v>
      </c>
      <c r="F1936" t="s">
        <v>75</v>
      </c>
      <c r="I1936" s="6">
        <v>0</v>
      </c>
      <c r="J1936" s="6">
        <v>0</v>
      </c>
      <c r="K1936" s="6">
        <v>0</v>
      </c>
      <c r="L1936" s="6">
        <v>0</v>
      </c>
      <c r="M1936" s="6">
        <v>0</v>
      </c>
      <c r="N1936" s="6">
        <v>0</v>
      </c>
      <c r="O1936" s="6">
        <v>0</v>
      </c>
      <c r="P1936" s="6">
        <v>0</v>
      </c>
      <c r="Q1936">
        <v>1</v>
      </c>
      <c r="R1936">
        <f t="shared" si="150"/>
        <v>0</v>
      </c>
      <c r="S1936">
        <f t="shared" si="151"/>
        <v>1</v>
      </c>
      <c r="T1936">
        <f t="shared" si="152"/>
        <v>0</v>
      </c>
      <c r="U1936">
        <f t="shared" si="153"/>
        <v>0</v>
      </c>
      <c r="V1936">
        <f t="shared" si="154"/>
        <v>0</v>
      </c>
    </row>
    <row r="1937" spans="1:22" x14ac:dyDescent="0.25">
      <c r="A1937">
        <v>1934</v>
      </c>
      <c r="B1937" t="s">
        <v>24</v>
      </c>
      <c r="C1937" t="s">
        <v>1038</v>
      </c>
      <c r="D1937" s="4">
        <v>45411</v>
      </c>
      <c r="E1937" t="s">
        <v>1077</v>
      </c>
      <c r="F1937" t="s">
        <v>75</v>
      </c>
      <c r="I1937" s="6">
        <v>0</v>
      </c>
      <c r="J1937" s="6">
        <v>0</v>
      </c>
      <c r="K1937" s="6">
        <v>0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>
        <v>1</v>
      </c>
      <c r="R1937">
        <f t="shared" si="150"/>
        <v>0</v>
      </c>
      <c r="S1937">
        <f t="shared" si="151"/>
        <v>1</v>
      </c>
      <c r="T1937">
        <f t="shared" si="152"/>
        <v>0</v>
      </c>
      <c r="U1937">
        <f t="shared" si="153"/>
        <v>0</v>
      </c>
      <c r="V1937">
        <f t="shared" si="154"/>
        <v>0</v>
      </c>
    </row>
    <row r="1938" spans="1:22" x14ac:dyDescent="0.25">
      <c r="A1938">
        <v>1935</v>
      </c>
      <c r="B1938" t="s">
        <v>24</v>
      </c>
      <c r="C1938" t="s">
        <v>1038</v>
      </c>
      <c r="D1938" s="4">
        <v>45411</v>
      </c>
      <c r="E1938" t="s">
        <v>1481</v>
      </c>
      <c r="F1938" t="s">
        <v>75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>
        <v>1</v>
      </c>
      <c r="R1938">
        <f t="shared" si="150"/>
        <v>0</v>
      </c>
      <c r="S1938">
        <f t="shared" si="151"/>
        <v>1</v>
      </c>
      <c r="T1938">
        <f t="shared" si="152"/>
        <v>0</v>
      </c>
      <c r="U1938">
        <f t="shared" si="153"/>
        <v>0</v>
      </c>
      <c r="V1938">
        <f t="shared" si="154"/>
        <v>0</v>
      </c>
    </row>
    <row r="1939" spans="1:22" x14ac:dyDescent="0.25">
      <c r="A1939">
        <v>1936</v>
      </c>
      <c r="B1939" t="s">
        <v>24</v>
      </c>
      <c r="C1939" t="s">
        <v>1038</v>
      </c>
      <c r="D1939" s="4">
        <v>45412</v>
      </c>
      <c r="E1939" t="s">
        <v>986</v>
      </c>
      <c r="F1939" t="s">
        <v>75</v>
      </c>
      <c r="I1939" s="6">
        <v>0</v>
      </c>
      <c r="J1939" s="6">
        <v>0</v>
      </c>
      <c r="K1939" s="6">
        <v>0</v>
      </c>
      <c r="L1939" s="6">
        <v>1</v>
      </c>
      <c r="M1939" s="6">
        <v>0</v>
      </c>
      <c r="N1939" s="6">
        <v>0</v>
      </c>
      <c r="O1939" s="6">
        <v>0</v>
      </c>
      <c r="P1939" s="6">
        <v>0</v>
      </c>
      <c r="Q1939">
        <v>1</v>
      </c>
      <c r="R1939">
        <f t="shared" si="150"/>
        <v>0</v>
      </c>
      <c r="S1939">
        <f t="shared" si="151"/>
        <v>1</v>
      </c>
      <c r="T1939">
        <f t="shared" si="152"/>
        <v>1</v>
      </c>
      <c r="U1939">
        <f t="shared" si="153"/>
        <v>1</v>
      </c>
      <c r="V1939">
        <f t="shared" si="154"/>
        <v>0</v>
      </c>
    </row>
    <row r="1940" spans="1:22" x14ac:dyDescent="0.25">
      <c r="A1940">
        <v>1937</v>
      </c>
      <c r="B1940" t="s">
        <v>24</v>
      </c>
      <c r="C1940" t="s">
        <v>1038</v>
      </c>
      <c r="D1940" s="4">
        <v>45413</v>
      </c>
      <c r="E1940" t="s">
        <v>1876</v>
      </c>
      <c r="F1940" t="s">
        <v>75</v>
      </c>
      <c r="I1940" s="6">
        <v>0</v>
      </c>
      <c r="J1940" s="6">
        <v>0</v>
      </c>
      <c r="K1940" s="6">
        <v>0</v>
      </c>
      <c r="L1940" s="6">
        <v>1</v>
      </c>
      <c r="M1940" s="6">
        <v>1</v>
      </c>
      <c r="N1940" s="6">
        <v>0</v>
      </c>
      <c r="O1940" s="6">
        <v>0</v>
      </c>
      <c r="P1940" s="6">
        <v>0</v>
      </c>
      <c r="Q1940">
        <v>1</v>
      </c>
      <c r="R1940">
        <f t="shared" si="150"/>
        <v>0</v>
      </c>
      <c r="S1940">
        <f t="shared" si="151"/>
        <v>1</v>
      </c>
      <c r="T1940">
        <f t="shared" si="152"/>
        <v>2</v>
      </c>
      <c r="U1940">
        <f t="shared" si="153"/>
        <v>1</v>
      </c>
      <c r="V1940">
        <f t="shared" si="154"/>
        <v>0</v>
      </c>
    </row>
    <row r="1941" spans="1:22" x14ac:dyDescent="0.25">
      <c r="A1941">
        <v>1938</v>
      </c>
      <c r="B1941" t="s">
        <v>24</v>
      </c>
      <c r="C1941" t="s">
        <v>1038</v>
      </c>
      <c r="D1941" s="4">
        <v>45414</v>
      </c>
      <c r="E1941" t="s">
        <v>881</v>
      </c>
      <c r="F1941" t="s">
        <v>75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>
        <v>1</v>
      </c>
      <c r="R1941">
        <f t="shared" si="150"/>
        <v>0</v>
      </c>
      <c r="S1941">
        <f t="shared" si="151"/>
        <v>1</v>
      </c>
      <c r="T1941">
        <f t="shared" si="152"/>
        <v>0</v>
      </c>
      <c r="U1941">
        <f t="shared" si="153"/>
        <v>0</v>
      </c>
      <c r="V1941">
        <f t="shared" si="154"/>
        <v>0</v>
      </c>
    </row>
    <row r="1942" spans="1:22" x14ac:dyDescent="0.25">
      <c r="A1942">
        <v>1939</v>
      </c>
      <c r="B1942" t="s">
        <v>24</v>
      </c>
      <c r="C1942" t="s">
        <v>1038</v>
      </c>
      <c r="D1942" s="4">
        <v>45415</v>
      </c>
      <c r="E1942" t="s">
        <v>882</v>
      </c>
      <c r="F1942" t="s">
        <v>75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>
        <v>1</v>
      </c>
      <c r="R1942">
        <f t="shared" si="150"/>
        <v>0</v>
      </c>
      <c r="S1942">
        <f t="shared" si="151"/>
        <v>1</v>
      </c>
      <c r="T1942">
        <f t="shared" si="152"/>
        <v>0</v>
      </c>
      <c r="U1942">
        <f t="shared" si="153"/>
        <v>0</v>
      </c>
      <c r="V1942">
        <f t="shared" si="154"/>
        <v>0</v>
      </c>
    </row>
    <row r="1943" spans="1:22" x14ac:dyDescent="0.25">
      <c r="A1943">
        <v>1940</v>
      </c>
      <c r="B1943" t="s">
        <v>24</v>
      </c>
      <c r="C1943" t="s">
        <v>1038</v>
      </c>
      <c r="D1943" s="4">
        <v>45415</v>
      </c>
      <c r="E1943" t="s">
        <v>883</v>
      </c>
      <c r="F1943" t="s">
        <v>75</v>
      </c>
      <c r="I1943" s="6">
        <v>0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>
        <v>1</v>
      </c>
      <c r="R1943">
        <f t="shared" si="150"/>
        <v>0</v>
      </c>
      <c r="S1943">
        <f t="shared" si="151"/>
        <v>1</v>
      </c>
      <c r="T1943">
        <f t="shared" si="152"/>
        <v>0</v>
      </c>
      <c r="U1943">
        <f t="shared" si="153"/>
        <v>0</v>
      </c>
      <c r="V1943">
        <f t="shared" si="154"/>
        <v>0</v>
      </c>
    </row>
    <row r="1944" spans="1:22" x14ac:dyDescent="0.25">
      <c r="A1944">
        <v>1941</v>
      </c>
      <c r="B1944" t="s">
        <v>24</v>
      </c>
      <c r="C1944" t="s">
        <v>1038</v>
      </c>
      <c r="D1944" s="4">
        <v>45415</v>
      </c>
      <c r="E1944" t="s">
        <v>884</v>
      </c>
      <c r="F1944" t="s">
        <v>75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>
        <v>1</v>
      </c>
      <c r="R1944">
        <f t="shared" si="150"/>
        <v>0</v>
      </c>
      <c r="S1944">
        <f t="shared" si="151"/>
        <v>1</v>
      </c>
      <c r="T1944">
        <f t="shared" si="152"/>
        <v>0</v>
      </c>
      <c r="U1944">
        <f t="shared" si="153"/>
        <v>0</v>
      </c>
      <c r="V1944">
        <f t="shared" si="154"/>
        <v>0</v>
      </c>
    </row>
    <row r="1945" spans="1:22" x14ac:dyDescent="0.25">
      <c r="A1945">
        <v>1942</v>
      </c>
      <c r="B1945" t="s">
        <v>24</v>
      </c>
      <c r="C1945" t="s">
        <v>1038</v>
      </c>
      <c r="D1945" s="4">
        <v>45415</v>
      </c>
      <c r="E1945" t="s">
        <v>1166</v>
      </c>
      <c r="F1945" t="s">
        <v>75</v>
      </c>
      <c r="I1945" s="6">
        <v>1</v>
      </c>
      <c r="J1945" s="6">
        <v>1</v>
      </c>
      <c r="K1945" s="6">
        <v>1</v>
      </c>
      <c r="L1945" s="6">
        <v>0</v>
      </c>
      <c r="M1945" s="6">
        <v>1</v>
      </c>
      <c r="N1945" s="6">
        <v>0</v>
      </c>
      <c r="O1945" s="6">
        <v>0</v>
      </c>
      <c r="P1945" s="6">
        <v>0</v>
      </c>
      <c r="Q1945">
        <v>1</v>
      </c>
      <c r="R1945">
        <f t="shared" si="150"/>
        <v>0</v>
      </c>
      <c r="S1945">
        <f t="shared" si="151"/>
        <v>1</v>
      </c>
      <c r="T1945">
        <f t="shared" si="152"/>
        <v>4</v>
      </c>
      <c r="U1945">
        <f t="shared" si="153"/>
        <v>1</v>
      </c>
      <c r="V1945">
        <f t="shared" si="154"/>
        <v>0</v>
      </c>
    </row>
    <row r="1946" spans="1:22" x14ac:dyDescent="0.25">
      <c r="A1946">
        <v>1943</v>
      </c>
      <c r="B1946" t="s">
        <v>24</v>
      </c>
      <c r="C1946" t="s">
        <v>1038</v>
      </c>
      <c r="D1946" s="4">
        <v>45416</v>
      </c>
      <c r="E1946" t="s">
        <v>315</v>
      </c>
      <c r="F1946" t="s">
        <v>75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>
        <v>1</v>
      </c>
      <c r="R1946">
        <f t="shared" si="150"/>
        <v>0</v>
      </c>
      <c r="S1946">
        <f t="shared" si="151"/>
        <v>1</v>
      </c>
      <c r="T1946">
        <f t="shared" si="152"/>
        <v>0</v>
      </c>
      <c r="U1946">
        <f t="shared" si="153"/>
        <v>0</v>
      </c>
      <c r="V1946">
        <f t="shared" si="154"/>
        <v>0</v>
      </c>
    </row>
    <row r="1947" spans="1:22" x14ac:dyDescent="0.25">
      <c r="A1947">
        <v>1944</v>
      </c>
      <c r="B1947" t="s">
        <v>24</v>
      </c>
      <c r="C1947" t="s">
        <v>1038</v>
      </c>
      <c r="D1947" s="4">
        <v>45416</v>
      </c>
      <c r="E1947" t="s">
        <v>316</v>
      </c>
      <c r="F1947" t="s">
        <v>75</v>
      </c>
      <c r="I1947" s="6">
        <v>0</v>
      </c>
      <c r="J1947" s="6">
        <v>0</v>
      </c>
      <c r="K1947" s="6">
        <v>0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>
        <v>1</v>
      </c>
      <c r="R1947">
        <f t="shared" si="150"/>
        <v>0</v>
      </c>
      <c r="S1947">
        <f t="shared" si="151"/>
        <v>1</v>
      </c>
      <c r="T1947">
        <f t="shared" si="152"/>
        <v>0</v>
      </c>
      <c r="U1947">
        <f t="shared" si="153"/>
        <v>0</v>
      </c>
      <c r="V1947">
        <f t="shared" si="154"/>
        <v>0</v>
      </c>
    </row>
    <row r="1948" spans="1:22" x14ac:dyDescent="0.25">
      <c r="A1948">
        <v>1945</v>
      </c>
      <c r="B1948" t="s">
        <v>24</v>
      </c>
      <c r="C1948" t="s">
        <v>1038</v>
      </c>
      <c r="D1948" s="4">
        <v>45416</v>
      </c>
      <c r="E1948" t="s">
        <v>469</v>
      </c>
      <c r="F1948" t="s">
        <v>75</v>
      </c>
      <c r="I1948" s="6">
        <v>0</v>
      </c>
      <c r="J1948" s="6">
        <v>0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>
        <v>1</v>
      </c>
      <c r="R1948">
        <f t="shared" si="150"/>
        <v>0</v>
      </c>
      <c r="S1948">
        <f t="shared" si="151"/>
        <v>1</v>
      </c>
      <c r="T1948">
        <f t="shared" si="152"/>
        <v>0</v>
      </c>
      <c r="U1948">
        <f t="shared" si="153"/>
        <v>0</v>
      </c>
      <c r="V1948">
        <f t="shared" si="154"/>
        <v>0</v>
      </c>
    </row>
    <row r="1949" spans="1:22" x14ac:dyDescent="0.25">
      <c r="A1949">
        <v>1946</v>
      </c>
      <c r="B1949" t="s">
        <v>24</v>
      </c>
      <c r="C1949" t="s">
        <v>1038</v>
      </c>
      <c r="D1949" s="4">
        <v>45416</v>
      </c>
      <c r="E1949" t="s">
        <v>2140</v>
      </c>
      <c r="F1949" t="s">
        <v>75</v>
      </c>
      <c r="I1949" s="6">
        <v>1</v>
      </c>
      <c r="J1949" s="6">
        <v>0</v>
      </c>
      <c r="K1949" s="6">
        <v>0</v>
      </c>
      <c r="L1949" s="6">
        <v>1</v>
      </c>
      <c r="M1949" s="6">
        <v>0</v>
      </c>
      <c r="N1949" s="6">
        <v>0</v>
      </c>
      <c r="O1949" s="6">
        <v>0</v>
      </c>
      <c r="P1949" s="6">
        <v>0</v>
      </c>
      <c r="Q1949">
        <v>1</v>
      </c>
      <c r="R1949">
        <f t="shared" si="150"/>
        <v>0</v>
      </c>
      <c r="S1949">
        <f t="shared" si="151"/>
        <v>1</v>
      </c>
      <c r="T1949">
        <f t="shared" si="152"/>
        <v>2</v>
      </c>
      <c r="U1949">
        <f t="shared" si="153"/>
        <v>1</v>
      </c>
      <c r="V1949">
        <f t="shared" si="154"/>
        <v>0</v>
      </c>
    </row>
    <row r="1950" spans="1:22" x14ac:dyDescent="0.25">
      <c r="A1950">
        <v>1947</v>
      </c>
      <c r="B1950" t="s">
        <v>24</v>
      </c>
      <c r="C1950" t="s">
        <v>1038</v>
      </c>
      <c r="D1950" s="4">
        <v>45416</v>
      </c>
      <c r="E1950" t="s">
        <v>2139</v>
      </c>
      <c r="F1950" t="s">
        <v>75</v>
      </c>
      <c r="I1950" s="6">
        <v>1</v>
      </c>
      <c r="J1950" s="6">
        <v>0</v>
      </c>
      <c r="K1950" s="6">
        <v>0</v>
      </c>
      <c r="L1950" s="6">
        <v>1</v>
      </c>
      <c r="M1950" s="6">
        <v>0</v>
      </c>
      <c r="N1950" s="6">
        <v>0</v>
      </c>
      <c r="O1950" s="6">
        <v>0</v>
      </c>
      <c r="P1950" s="6">
        <v>0</v>
      </c>
      <c r="Q1950">
        <v>1</v>
      </c>
      <c r="R1950">
        <f t="shared" si="150"/>
        <v>0</v>
      </c>
      <c r="S1950">
        <f t="shared" si="151"/>
        <v>1</v>
      </c>
      <c r="T1950">
        <f t="shared" si="152"/>
        <v>2</v>
      </c>
      <c r="U1950">
        <f t="shared" si="153"/>
        <v>1</v>
      </c>
      <c r="V1950">
        <f t="shared" si="154"/>
        <v>0</v>
      </c>
    </row>
    <row r="1951" spans="1:22" x14ac:dyDescent="0.25">
      <c r="A1951">
        <v>1948</v>
      </c>
      <c r="B1951" t="s">
        <v>24</v>
      </c>
      <c r="C1951" t="s">
        <v>1038</v>
      </c>
      <c r="D1951" s="4">
        <v>45416</v>
      </c>
      <c r="E1951" t="s">
        <v>1078</v>
      </c>
      <c r="F1951" t="s">
        <v>75</v>
      </c>
      <c r="I1951" s="6">
        <v>1</v>
      </c>
      <c r="J1951" s="6">
        <v>0</v>
      </c>
      <c r="K1951" s="6">
        <v>0</v>
      </c>
      <c r="L1951" s="6">
        <v>0</v>
      </c>
      <c r="M1951" s="6">
        <v>1</v>
      </c>
      <c r="N1951" s="6">
        <v>0</v>
      </c>
      <c r="O1951" s="6">
        <v>0</v>
      </c>
      <c r="P1951" s="6">
        <v>0</v>
      </c>
      <c r="Q1951">
        <v>1</v>
      </c>
      <c r="R1951">
        <f t="shared" si="150"/>
        <v>0</v>
      </c>
      <c r="S1951">
        <f t="shared" si="151"/>
        <v>1</v>
      </c>
      <c r="T1951">
        <f t="shared" si="152"/>
        <v>2</v>
      </c>
      <c r="U1951">
        <f t="shared" si="153"/>
        <v>1</v>
      </c>
      <c r="V1951">
        <f t="shared" si="154"/>
        <v>0</v>
      </c>
    </row>
    <row r="1952" spans="1:22" x14ac:dyDescent="0.25">
      <c r="A1952">
        <v>1949</v>
      </c>
      <c r="B1952" t="s">
        <v>24</v>
      </c>
      <c r="C1952" t="s">
        <v>1038</v>
      </c>
      <c r="D1952" s="4">
        <v>45417</v>
      </c>
      <c r="E1952" t="s">
        <v>995</v>
      </c>
      <c r="F1952" t="s">
        <v>75</v>
      </c>
      <c r="I1952" s="6">
        <v>0</v>
      </c>
      <c r="J1952" s="6">
        <v>0</v>
      </c>
      <c r="K1952" s="6">
        <v>0</v>
      </c>
      <c r="L1952" s="6">
        <v>1</v>
      </c>
      <c r="M1952" s="6">
        <v>0</v>
      </c>
      <c r="N1952" s="6">
        <v>0</v>
      </c>
      <c r="O1952" s="6">
        <v>0</v>
      </c>
      <c r="P1952" s="6">
        <v>0</v>
      </c>
      <c r="Q1952">
        <v>1</v>
      </c>
      <c r="R1952">
        <f t="shared" si="150"/>
        <v>0</v>
      </c>
      <c r="S1952">
        <f t="shared" si="151"/>
        <v>1</v>
      </c>
      <c r="T1952">
        <f t="shared" si="152"/>
        <v>1</v>
      </c>
      <c r="U1952">
        <f t="shared" si="153"/>
        <v>1</v>
      </c>
      <c r="V1952">
        <f t="shared" si="154"/>
        <v>0</v>
      </c>
    </row>
    <row r="1953" spans="1:22" x14ac:dyDescent="0.25">
      <c r="A1953">
        <v>1950</v>
      </c>
      <c r="B1953" t="s">
        <v>24</v>
      </c>
      <c r="C1953" t="s">
        <v>1038</v>
      </c>
      <c r="D1953" s="4">
        <v>45417</v>
      </c>
      <c r="E1953" t="s">
        <v>996</v>
      </c>
      <c r="F1953" t="s">
        <v>75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>
        <v>1</v>
      </c>
      <c r="R1953">
        <f t="shared" si="150"/>
        <v>0</v>
      </c>
      <c r="S1953">
        <f t="shared" si="151"/>
        <v>1</v>
      </c>
      <c r="T1953">
        <f t="shared" si="152"/>
        <v>0</v>
      </c>
      <c r="U1953">
        <f t="shared" si="153"/>
        <v>0</v>
      </c>
      <c r="V1953">
        <f t="shared" si="154"/>
        <v>0</v>
      </c>
    </row>
    <row r="1954" spans="1:22" x14ac:dyDescent="0.25">
      <c r="A1954">
        <v>1951</v>
      </c>
      <c r="B1954" t="s">
        <v>24</v>
      </c>
      <c r="C1954" t="s">
        <v>1038</v>
      </c>
      <c r="D1954" s="4">
        <v>45417</v>
      </c>
      <c r="E1954" t="s">
        <v>1079</v>
      </c>
      <c r="F1954" t="s">
        <v>75</v>
      </c>
      <c r="I1954" s="6">
        <v>0</v>
      </c>
      <c r="J1954" s="6">
        <v>0</v>
      </c>
      <c r="K1954" s="6">
        <v>0</v>
      </c>
      <c r="L1954" s="6">
        <v>1</v>
      </c>
      <c r="M1954" s="6">
        <v>0</v>
      </c>
      <c r="N1954" s="6">
        <v>0</v>
      </c>
      <c r="O1954" s="6">
        <v>0</v>
      </c>
      <c r="P1954" s="6">
        <v>0</v>
      </c>
      <c r="Q1954">
        <v>1</v>
      </c>
      <c r="R1954">
        <f t="shared" si="150"/>
        <v>0</v>
      </c>
      <c r="S1954">
        <f t="shared" si="151"/>
        <v>1</v>
      </c>
      <c r="T1954">
        <f t="shared" si="152"/>
        <v>1</v>
      </c>
      <c r="U1954">
        <f t="shared" si="153"/>
        <v>1</v>
      </c>
      <c r="V1954">
        <f t="shared" si="154"/>
        <v>0</v>
      </c>
    </row>
    <row r="1955" spans="1:22" x14ac:dyDescent="0.25">
      <c r="A1955">
        <v>1952</v>
      </c>
      <c r="B1955" t="s">
        <v>24</v>
      </c>
      <c r="C1955" t="s">
        <v>1038</v>
      </c>
      <c r="D1955" s="4">
        <v>45417</v>
      </c>
      <c r="E1955" t="s">
        <v>1555</v>
      </c>
      <c r="F1955" t="s">
        <v>75</v>
      </c>
      <c r="I1955" s="6">
        <v>0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>
        <v>1</v>
      </c>
      <c r="R1955">
        <f t="shared" si="150"/>
        <v>0</v>
      </c>
      <c r="S1955">
        <f t="shared" si="151"/>
        <v>1</v>
      </c>
      <c r="T1955">
        <f t="shared" si="152"/>
        <v>0</v>
      </c>
      <c r="U1955">
        <f t="shared" si="153"/>
        <v>0</v>
      </c>
      <c r="V1955">
        <f t="shared" si="154"/>
        <v>0</v>
      </c>
    </row>
    <row r="1956" spans="1:22" x14ac:dyDescent="0.25">
      <c r="A1956">
        <v>1953</v>
      </c>
      <c r="B1956" t="s">
        <v>24</v>
      </c>
      <c r="C1956" t="s">
        <v>1038</v>
      </c>
      <c r="D1956" s="4">
        <v>45418</v>
      </c>
      <c r="E1956" t="s">
        <v>317</v>
      </c>
      <c r="F1956" t="s">
        <v>75</v>
      </c>
      <c r="I1956" s="6">
        <v>1</v>
      </c>
      <c r="J1956" s="6">
        <v>0</v>
      </c>
      <c r="K1956" s="6">
        <v>1</v>
      </c>
      <c r="L1956" s="6">
        <v>0</v>
      </c>
      <c r="M1956" s="6">
        <v>1</v>
      </c>
      <c r="N1956" s="6">
        <v>0</v>
      </c>
      <c r="O1956" s="6">
        <v>0</v>
      </c>
      <c r="P1956" s="6">
        <v>0</v>
      </c>
      <c r="Q1956">
        <v>1</v>
      </c>
      <c r="R1956">
        <f t="shared" si="150"/>
        <v>0</v>
      </c>
      <c r="S1956">
        <f t="shared" si="151"/>
        <v>1</v>
      </c>
      <c r="T1956">
        <f t="shared" si="152"/>
        <v>3</v>
      </c>
      <c r="U1956">
        <f t="shared" si="153"/>
        <v>1</v>
      </c>
      <c r="V1956">
        <f t="shared" si="154"/>
        <v>0</v>
      </c>
    </row>
    <row r="1957" spans="1:22" x14ac:dyDescent="0.25">
      <c r="A1957">
        <v>1954</v>
      </c>
      <c r="B1957" t="s">
        <v>24</v>
      </c>
      <c r="C1957" t="s">
        <v>1038</v>
      </c>
      <c r="D1957" s="4">
        <v>45418</v>
      </c>
      <c r="E1957" t="s">
        <v>318</v>
      </c>
      <c r="F1957" t="s">
        <v>75</v>
      </c>
      <c r="I1957" s="6">
        <v>1</v>
      </c>
      <c r="J1957" s="6">
        <v>1</v>
      </c>
      <c r="K1957" s="6">
        <v>1</v>
      </c>
      <c r="L1957" s="6">
        <v>1</v>
      </c>
      <c r="M1957" s="6">
        <v>0</v>
      </c>
      <c r="N1957" s="6">
        <v>0</v>
      </c>
      <c r="O1957" s="6">
        <v>1</v>
      </c>
      <c r="P1957" s="6">
        <v>0</v>
      </c>
      <c r="Q1957">
        <v>1</v>
      </c>
      <c r="R1957">
        <f t="shared" si="150"/>
        <v>0</v>
      </c>
      <c r="S1957">
        <f t="shared" si="151"/>
        <v>1</v>
      </c>
      <c r="T1957">
        <f t="shared" si="152"/>
        <v>5</v>
      </c>
      <c r="U1957">
        <f t="shared" si="153"/>
        <v>1</v>
      </c>
      <c r="V1957">
        <f t="shared" si="154"/>
        <v>0</v>
      </c>
    </row>
    <row r="1958" spans="1:22" x14ac:dyDescent="0.25">
      <c r="A1958">
        <v>1955</v>
      </c>
      <c r="B1958" t="s">
        <v>24</v>
      </c>
      <c r="C1958" t="s">
        <v>1038</v>
      </c>
      <c r="D1958" s="4">
        <v>45418</v>
      </c>
      <c r="E1958" t="s">
        <v>319</v>
      </c>
      <c r="F1958" t="s">
        <v>75</v>
      </c>
      <c r="I1958" s="6">
        <v>0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>
        <v>1</v>
      </c>
      <c r="R1958">
        <f t="shared" si="150"/>
        <v>0</v>
      </c>
      <c r="S1958">
        <f t="shared" si="151"/>
        <v>1</v>
      </c>
      <c r="T1958">
        <f t="shared" si="152"/>
        <v>0</v>
      </c>
      <c r="U1958">
        <f t="shared" si="153"/>
        <v>0</v>
      </c>
      <c r="V1958">
        <f t="shared" si="154"/>
        <v>0</v>
      </c>
    </row>
    <row r="1959" spans="1:22" x14ac:dyDescent="0.25">
      <c r="A1959">
        <v>1956</v>
      </c>
      <c r="B1959" t="s">
        <v>24</v>
      </c>
      <c r="C1959" t="s">
        <v>1038</v>
      </c>
      <c r="D1959" s="4">
        <v>45419</v>
      </c>
      <c r="E1959" t="s">
        <v>1080</v>
      </c>
      <c r="F1959" t="s">
        <v>75</v>
      </c>
      <c r="I1959" s="6">
        <v>0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>
        <v>1</v>
      </c>
      <c r="R1959">
        <f t="shared" si="150"/>
        <v>0</v>
      </c>
      <c r="S1959">
        <f t="shared" si="151"/>
        <v>1</v>
      </c>
      <c r="T1959">
        <f t="shared" si="152"/>
        <v>0</v>
      </c>
      <c r="U1959">
        <f t="shared" si="153"/>
        <v>0</v>
      </c>
      <c r="V1959">
        <f t="shared" si="154"/>
        <v>0</v>
      </c>
    </row>
    <row r="1960" spans="1:22" x14ac:dyDescent="0.25">
      <c r="A1960">
        <v>1957</v>
      </c>
      <c r="B1960" t="s">
        <v>24</v>
      </c>
      <c r="C1960" t="s">
        <v>1038</v>
      </c>
      <c r="D1960" s="4">
        <v>45419</v>
      </c>
      <c r="E1960" t="s">
        <v>320</v>
      </c>
      <c r="F1960" t="s">
        <v>75</v>
      </c>
      <c r="I1960" s="6">
        <v>0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>
        <v>1</v>
      </c>
      <c r="R1960">
        <f t="shared" si="150"/>
        <v>0</v>
      </c>
      <c r="S1960">
        <f t="shared" si="151"/>
        <v>1</v>
      </c>
      <c r="T1960">
        <f t="shared" si="152"/>
        <v>0</v>
      </c>
      <c r="U1960">
        <f t="shared" si="153"/>
        <v>0</v>
      </c>
      <c r="V1960">
        <f t="shared" si="154"/>
        <v>0</v>
      </c>
    </row>
    <row r="1961" spans="1:22" x14ac:dyDescent="0.25">
      <c r="A1961">
        <v>1958</v>
      </c>
      <c r="B1961" t="s">
        <v>24</v>
      </c>
      <c r="C1961" t="s">
        <v>1038</v>
      </c>
      <c r="D1961" s="4">
        <v>45419</v>
      </c>
      <c r="E1961" t="s">
        <v>1081</v>
      </c>
      <c r="F1961" t="s">
        <v>75</v>
      </c>
      <c r="I1961" s="6">
        <v>1</v>
      </c>
      <c r="J1961" s="6">
        <v>0</v>
      </c>
      <c r="K1961" s="6">
        <v>1</v>
      </c>
      <c r="L1961" s="6">
        <v>0</v>
      </c>
      <c r="M1961" s="6">
        <v>1</v>
      </c>
      <c r="N1961" s="6">
        <v>0</v>
      </c>
      <c r="O1961" s="6">
        <v>0</v>
      </c>
      <c r="P1961" s="6">
        <v>0</v>
      </c>
      <c r="Q1961">
        <v>1</v>
      </c>
      <c r="R1961">
        <f t="shared" si="150"/>
        <v>0</v>
      </c>
      <c r="S1961">
        <f t="shared" si="151"/>
        <v>1</v>
      </c>
      <c r="T1961">
        <f t="shared" si="152"/>
        <v>3</v>
      </c>
      <c r="U1961">
        <f t="shared" si="153"/>
        <v>1</v>
      </c>
      <c r="V1961">
        <f t="shared" si="154"/>
        <v>0</v>
      </c>
    </row>
    <row r="1962" spans="1:22" x14ac:dyDescent="0.25">
      <c r="A1962">
        <v>1959</v>
      </c>
      <c r="B1962" t="s">
        <v>24</v>
      </c>
      <c r="C1962" t="s">
        <v>1038</v>
      </c>
      <c r="D1962" s="4">
        <v>45419</v>
      </c>
      <c r="E1962" t="s">
        <v>1482</v>
      </c>
      <c r="F1962" t="s">
        <v>75</v>
      </c>
      <c r="I1962" s="6">
        <v>0</v>
      </c>
      <c r="J1962" s="6">
        <v>0</v>
      </c>
      <c r="K1962" s="6">
        <v>1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>
        <v>1</v>
      </c>
      <c r="R1962">
        <f t="shared" si="150"/>
        <v>0</v>
      </c>
      <c r="S1962">
        <f t="shared" si="151"/>
        <v>1</v>
      </c>
      <c r="T1962">
        <f t="shared" si="152"/>
        <v>1</v>
      </c>
      <c r="U1962">
        <f t="shared" si="153"/>
        <v>1</v>
      </c>
      <c r="V1962">
        <f t="shared" si="154"/>
        <v>0</v>
      </c>
    </row>
    <row r="1963" spans="1:22" x14ac:dyDescent="0.25">
      <c r="A1963">
        <v>1960</v>
      </c>
      <c r="B1963" t="s">
        <v>24</v>
      </c>
      <c r="C1963" t="s">
        <v>1038</v>
      </c>
      <c r="D1963" s="4">
        <v>45420</v>
      </c>
      <c r="E1963" t="s">
        <v>471</v>
      </c>
      <c r="F1963" t="s">
        <v>75</v>
      </c>
      <c r="I1963" s="6">
        <v>1</v>
      </c>
      <c r="J1963" s="6">
        <v>0</v>
      </c>
      <c r="K1963" s="6">
        <v>1</v>
      </c>
      <c r="L1963" s="6">
        <v>1</v>
      </c>
      <c r="M1963" s="6">
        <v>1</v>
      </c>
      <c r="N1963" s="6">
        <v>0</v>
      </c>
      <c r="O1963" s="6">
        <v>0</v>
      </c>
      <c r="P1963" s="6">
        <v>0</v>
      </c>
      <c r="Q1963">
        <v>1</v>
      </c>
      <c r="R1963">
        <f t="shared" si="150"/>
        <v>0</v>
      </c>
      <c r="S1963">
        <f t="shared" si="151"/>
        <v>1</v>
      </c>
      <c r="T1963">
        <f t="shared" si="152"/>
        <v>4</v>
      </c>
      <c r="U1963">
        <f t="shared" si="153"/>
        <v>1</v>
      </c>
      <c r="V1963">
        <f t="shared" si="154"/>
        <v>0</v>
      </c>
    </row>
    <row r="1964" spans="1:22" x14ac:dyDescent="0.25">
      <c r="A1964">
        <v>1961</v>
      </c>
      <c r="B1964" t="s">
        <v>24</v>
      </c>
      <c r="C1964" t="s">
        <v>1038</v>
      </c>
      <c r="D1964" s="4">
        <v>45420</v>
      </c>
      <c r="E1964" t="s">
        <v>472</v>
      </c>
      <c r="F1964" t="s">
        <v>75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>
        <v>1</v>
      </c>
      <c r="R1964">
        <f t="shared" si="150"/>
        <v>0</v>
      </c>
      <c r="S1964">
        <f t="shared" si="151"/>
        <v>1</v>
      </c>
      <c r="T1964">
        <f t="shared" si="152"/>
        <v>0</v>
      </c>
      <c r="U1964">
        <f t="shared" si="153"/>
        <v>0</v>
      </c>
      <c r="V1964">
        <f t="shared" si="154"/>
        <v>0</v>
      </c>
    </row>
    <row r="1965" spans="1:22" x14ac:dyDescent="0.25">
      <c r="A1965">
        <v>1962</v>
      </c>
      <c r="B1965" t="s">
        <v>24</v>
      </c>
      <c r="C1965" t="s">
        <v>1038</v>
      </c>
      <c r="D1965" s="4">
        <v>45420</v>
      </c>
      <c r="E1965" t="s">
        <v>473</v>
      </c>
      <c r="F1965" t="s">
        <v>75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>
        <v>1</v>
      </c>
      <c r="R1965">
        <f t="shared" si="150"/>
        <v>0</v>
      </c>
      <c r="S1965">
        <f t="shared" si="151"/>
        <v>1</v>
      </c>
      <c r="T1965">
        <f t="shared" si="152"/>
        <v>0</v>
      </c>
      <c r="U1965">
        <f t="shared" si="153"/>
        <v>0</v>
      </c>
      <c r="V1965">
        <f t="shared" si="154"/>
        <v>0</v>
      </c>
    </row>
    <row r="1966" spans="1:22" x14ac:dyDescent="0.25">
      <c r="A1966">
        <v>1963</v>
      </c>
      <c r="B1966" t="s">
        <v>24</v>
      </c>
      <c r="C1966" t="s">
        <v>1038</v>
      </c>
      <c r="D1966" s="4">
        <v>45420</v>
      </c>
      <c r="E1966" t="s">
        <v>1082</v>
      </c>
      <c r="F1966" t="s">
        <v>75</v>
      </c>
      <c r="I1966" s="6">
        <v>1</v>
      </c>
      <c r="J1966" s="6">
        <v>1</v>
      </c>
      <c r="K1966" s="6">
        <v>1</v>
      </c>
      <c r="L1966" s="6">
        <v>1</v>
      </c>
      <c r="M1966" s="6">
        <v>0</v>
      </c>
      <c r="N1966" s="6">
        <v>0</v>
      </c>
      <c r="O1966" s="6">
        <v>1</v>
      </c>
      <c r="P1966" s="6">
        <v>0</v>
      </c>
      <c r="Q1966">
        <v>1</v>
      </c>
      <c r="R1966">
        <f t="shared" si="150"/>
        <v>0</v>
      </c>
      <c r="S1966">
        <f t="shared" si="151"/>
        <v>1</v>
      </c>
      <c r="T1966">
        <f t="shared" si="152"/>
        <v>5</v>
      </c>
      <c r="U1966">
        <f t="shared" si="153"/>
        <v>1</v>
      </c>
      <c r="V1966">
        <f t="shared" si="154"/>
        <v>0</v>
      </c>
    </row>
    <row r="1967" spans="1:22" x14ac:dyDescent="0.25">
      <c r="A1967">
        <v>1964</v>
      </c>
      <c r="B1967" t="s">
        <v>24</v>
      </c>
      <c r="C1967" t="s">
        <v>1038</v>
      </c>
      <c r="D1967" s="4">
        <v>45420</v>
      </c>
      <c r="E1967" t="s">
        <v>2136</v>
      </c>
      <c r="F1967" t="s">
        <v>75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>
        <v>1</v>
      </c>
      <c r="R1967">
        <f t="shared" si="150"/>
        <v>0</v>
      </c>
      <c r="S1967">
        <f t="shared" si="151"/>
        <v>1</v>
      </c>
      <c r="T1967">
        <f t="shared" si="152"/>
        <v>0</v>
      </c>
      <c r="U1967">
        <f t="shared" si="153"/>
        <v>0</v>
      </c>
      <c r="V1967">
        <f t="shared" si="154"/>
        <v>0</v>
      </c>
    </row>
    <row r="1968" spans="1:22" x14ac:dyDescent="0.25">
      <c r="A1968">
        <v>1965</v>
      </c>
      <c r="B1968" t="s">
        <v>24</v>
      </c>
      <c r="C1968" t="s">
        <v>1038</v>
      </c>
      <c r="D1968" s="4">
        <v>45420</v>
      </c>
      <c r="E1968" t="s">
        <v>1083</v>
      </c>
      <c r="F1968" t="s">
        <v>75</v>
      </c>
      <c r="I1968" s="6">
        <v>0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>
        <v>1</v>
      </c>
      <c r="R1968">
        <f t="shared" si="150"/>
        <v>0</v>
      </c>
      <c r="S1968">
        <f t="shared" si="151"/>
        <v>1</v>
      </c>
      <c r="T1968">
        <f t="shared" si="152"/>
        <v>0</v>
      </c>
      <c r="U1968">
        <f t="shared" si="153"/>
        <v>0</v>
      </c>
      <c r="V1968">
        <f t="shared" si="154"/>
        <v>0</v>
      </c>
    </row>
    <row r="1969" spans="1:22" x14ac:dyDescent="0.25">
      <c r="A1969">
        <v>1966</v>
      </c>
      <c r="B1969" t="s">
        <v>24</v>
      </c>
      <c r="C1969" t="s">
        <v>1038</v>
      </c>
      <c r="D1969" s="4">
        <v>45420</v>
      </c>
      <c r="E1969" t="s">
        <v>2702</v>
      </c>
      <c r="F1969" t="s">
        <v>75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>
        <v>1</v>
      </c>
      <c r="R1969">
        <f t="shared" si="150"/>
        <v>0</v>
      </c>
      <c r="S1969">
        <f t="shared" si="151"/>
        <v>1</v>
      </c>
      <c r="T1969">
        <f t="shared" si="152"/>
        <v>0</v>
      </c>
      <c r="U1969">
        <f t="shared" si="153"/>
        <v>0</v>
      </c>
      <c r="V1969">
        <f t="shared" si="154"/>
        <v>0</v>
      </c>
    </row>
    <row r="1970" spans="1:22" x14ac:dyDescent="0.25">
      <c r="A1970">
        <v>1967</v>
      </c>
      <c r="B1970" t="s">
        <v>24</v>
      </c>
      <c r="C1970" t="s">
        <v>1038</v>
      </c>
      <c r="D1970" s="4">
        <v>45420</v>
      </c>
      <c r="E1970" t="s">
        <v>2701</v>
      </c>
      <c r="F1970" t="s">
        <v>75</v>
      </c>
      <c r="I1970" s="6">
        <v>1</v>
      </c>
      <c r="J1970" s="6">
        <v>0</v>
      </c>
      <c r="K1970" s="6">
        <v>1</v>
      </c>
      <c r="L1970" s="6">
        <v>1</v>
      </c>
      <c r="M1970" s="6">
        <v>0</v>
      </c>
      <c r="N1970" s="6">
        <v>1</v>
      </c>
      <c r="O1970" s="6">
        <v>1</v>
      </c>
      <c r="P1970" s="6">
        <v>1</v>
      </c>
      <c r="Q1970">
        <v>1</v>
      </c>
      <c r="R1970">
        <f t="shared" si="150"/>
        <v>0</v>
      </c>
      <c r="S1970">
        <f t="shared" si="151"/>
        <v>1</v>
      </c>
      <c r="T1970">
        <f t="shared" si="152"/>
        <v>6</v>
      </c>
      <c r="U1970">
        <f t="shared" si="153"/>
        <v>1</v>
      </c>
      <c r="V1970">
        <f t="shared" si="154"/>
        <v>0</v>
      </c>
    </row>
    <row r="1971" spans="1:22" x14ac:dyDescent="0.25">
      <c r="A1971">
        <v>1968</v>
      </c>
      <c r="B1971" t="s">
        <v>24</v>
      </c>
      <c r="C1971" t="s">
        <v>1038</v>
      </c>
      <c r="D1971" s="4">
        <v>45420</v>
      </c>
      <c r="E1971" t="s">
        <v>1084</v>
      </c>
      <c r="F1971" t="s">
        <v>75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>
        <v>1</v>
      </c>
      <c r="R1971">
        <f t="shared" si="150"/>
        <v>0</v>
      </c>
      <c r="S1971">
        <f t="shared" si="151"/>
        <v>1</v>
      </c>
      <c r="T1971">
        <f t="shared" si="152"/>
        <v>0</v>
      </c>
      <c r="U1971">
        <f t="shared" si="153"/>
        <v>0</v>
      </c>
      <c r="V1971">
        <f t="shared" si="154"/>
        <v>0</v>
      </c>
    </row>
    <row r="1972" spans="1:22" x14ac:dyDescent="0.25">
      <c r="A1972">
        <v>1969</v>
      </c>
      <c r="B1972" t="s">
        <v>24</v>
      </c>
      <c r="C1972" t="s">
        <v>1038</v>
      </c>
      <c r="D1972" s="4">
        <v>45421</v>
      </c>
      <c r="E1972" t="s">
        <v>321</v>
      </c>
      <c r="F1972" t="s">
        <v>75</v>
      </c>
      <c r="I1972" s="6">
        <v>1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>
        <v>1</v>
      </c>
      <c r="R1972">
        <f t="shared" si="150"/>
        <v>0</v>
      </c>
      <c r="S1972">
        <f t="shared" si="151"/>
        <v>1</v>
      </c>
      <c r="T1972">
        <f t="shared" si="152"/>
        <v>1</v>
      </c>
      <c r="U1972">
        <f t="shared" si="153"/>
        <v>1</v>
      </c>
      <c r="V1972">
        <f t="shared" si="154"/>
        <v>0</v>
      </c>
    </row>
    <row r="1973" spans="1:22" x14ac:dyDescent="0.25">
      <c r="A1973">
        <v>1970</v>
      </c>
      <c r="B1973" t="s">
        <v>24</v>
      </c>
      <c r="C1973" t="s">
        <v>1038</v>
      </c>
      <c r="D1973" s="4">
        <v>45421</v>
      </c>
      <c r="E1973" t="s">
        <v>322</v>
      </c>
      <c r="F1973" t="s">
        <v>75</v>
      </c>
      <c r="I1973" s="6">
        <v>0</v>
      </c>
      <c r="J1973" s="6">
        <v>0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>
        <v>1</v>
      </c>
      <c r="R1973">
        <f t="shared" si="150"/>
        <v>0</v>
      </c>
      <c r="S1973">
        <f t="shared" si="151"/>
        <v>1</v>
      </c>
      <c r="T1973">
        <f t="shared" si="152"/>
        <v>0</v>
      </c>
      <c r="U1973">
        <f t="shared" si="153"/>
        <v>0</v>
      </c>
      <c r="V1973">
        <f t="shared" si="154"/>
        <v>0</v>
      </c>
    </row>
    <row r="1974" spans="1:22" x14ac:dyDescent="0.25">
      <c r="A1974">
        <v>1971</v>
      </c>
      <c r="B1974" t="s">
        <v>24</v>
      </c>
      <c r="C1974" t="s">
        <v>1038</v>
      </c>
      <c r="D1974" s="4">
        <v>45421</v>
      </c>
      <c r="E1974" t="s">
        <v>323</v>
      </c>
      <c r="F1974" t="s">
        <v>75</v>
      </c>
      <c r="I1974" s="6">
        <v>0</v>
      </c>
      <c r="J1974" s="6">
        <v>0</v>
      </c>
      <c r="K1974" s="6">
        <v>1</v>
      </c>
      <c r="L1974" s="6">
        <v>0</v>
      </c>
      <c r="M1974" s="6">
        <v>1</v>
      </c>
      <c r="N1974" s="6">
        <v>0</v>
      </c>
      <c r="O1974" s="6">
        <v>0</v>
      </c>
      <c r="P1974" s="6">
        <v>0</v>
      </c>
      <c r="Q1974">
        <v>1</v>
      </c>
      <c r="R1974">
        <f t="shared" si="150"/>
        <v>0</v>
      </c>
      <c r="S1974">
        <f t="shared" si="151"/>
        <v>1</v>
      </c>
      <c r="T1974">
        <f t="shared" si="152"/>
        <v>2</v>
      </c>
      <c r="U1974">
        <f t="shared" si="153"/>
        <v>1</v>
      </c>
      <c r="V1974">
        <f t="shared" si="154"/>
        <v>0</v>
      </c>
    </row>
    <row r="1975" spans="1:22" x14ac:dyDescent="0.25">
      <c r="A1975">
        <v>1972</v>
      </c>
      <c r="B1975" t="s">
        <v>24</v>
      </c>
      <c r="C1975" t="s">
        <v>1038</v>
      </c>
      <c r="D1975" s="4">
        <v>45421</v>
      </c>
      <c r="E1975" t="s">
        <v>324</v>
      </c>
      <c r="F1975" t="s">
        <v>75</v>
      </c>
      <c r="I1975" s="6">
        <v>1</v>
      </c>
      <c r="J1975" s="6">
        <v>1</v>
      </c>
      <c r="K1975" s="6">
        <v>1</v>
      </c>
      <c r="L1975" s="6">
        <v>0</v>
      </c>
      <c r="M1975" s="6">
        <v>0</v>
      </c>
      <c r="N1975" s="6">
        <v>0</v>
      </c>
      <c r="O1975" s="6">
        <v>1</v>
      </c>
      <c r="P1975" s="6">
        <v>0</v>
      </c>
      <c r="Q1975">
        <v>1</v>
      </c>
      <c r="R1975">
        <f t="shared" si="150"/>
        <v>0</v>
      </c>
      <c r="S1975">
        <f t="shared" si="151"/>
        <v>1</v>
      </c>
      <c r="T1975">
        <f t="shared" si="152"/>
        <v>4</v>
      </c>
      <c r="U1975">
        <f t="shared" si="153"/>
        <v>1</v>
      </c>
      <c r="V1975">
        <f t="shared" si="154"/>
        <v>0</v>
      </c>
    </row>
    <row r="1976" spans="1:22" x14ac:dyDescent="0.25">
      <c r="A1976">
        <v>1973</v>
      </c>
      <c r="B1976" t="s">
        <v>24</v>
      </c>
      <c r="C1976" t="s">
        <v>1038</v>
      </c>
      <c r="D1976" s="4">
        <v>45421</v>
      </c>
      <c r="E1976" t="s">
        <v>325</v>
      </c>
      <c r="F1976" t="s">
        <v>75</v>
      </c>
      <c r="I1976" s="6">
        <v>0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>
        <v>1</v>
      </c>
      <c r="R1976">
        <f t="shared" si="150"/>
        <v>0</v>
      </c>
      <c r="S1976">
        <f t="shared" si="151"/>
        <v>1</v>
      </c>
      <c r="T1976">
        <f t="shared" si="152"/>
        <v>0</v>
      </c>
      <c r="U1976">
        <f t="shared" si="153"/>
        <v>0</v>
      </c>
      <c r="V1976">
        <f t="shared" si="154"/>
        <v>0</v>
      </c>
    </row>
    <row r="1977" spans="1:22" x14ac:dyDescent="0.25">
      <c r="A1977">
        <v>1974</v>
      </c>
      <c r="B1977" t="s">
        <v>24</v>
      </c>
      <c r="C1977" t="s">
        <v>1038</v>
      </c>
      <c r="D1977" s="4">
        <v>45421</v>
      </c>
      <c r="E1977" t="s">
        <v>1085</v>
      </c>
      <c r="F1977" t="s">
        <v>75</v>
      </c>
      <c r="I1977" s="6">
        <v>1</v>
      </c>
      <c r="J1977" s="6">
        <v>0</v>
      </c>
      <c r="K1977" s="6">
        <v>1</v>
      </c>
      <c r="L1977" s="6">
        <v>1</v>
      </c>
      <c r="M1977" s="6">
        <v>0</v>
      </c>
      <c r="N1977" s="6">
        <v>0</v>
      </c>
      <c r="O1977" s="6">
        <v>0</v>
      </c>
      <c r="P1977" s="6">
        <v>0</v>
      </c>
      <c r="Q1977">
        <v>1</v>
      </c>
      <c r="R1977">
        <f t="shared" si="150"/>
        <v>0</v>
      </c>
      <c r="S1977">
        <f t="shared" si="151"/>
        <v>1</v>
      </c>
      <c r="T1977">
        <f t="shared" si="152"/>
        <v>3</v>
      </c>
      <c r="U1977">
        <f t="shared" si="153"/>
        <v>1</v>
      </c>
      <c r="V1977">
        <f t="shared" si="154"/>
        <v>0</v>
      </c>
    </row>
    <row r="1978" spans="1:22" x14ac:dyDescent="0.25">
      <c r="A1978">
        <v>1975</v>
      </c>
      <c r="B1978" t="s">
        <v>24</v>
      </c>
      <c r="C1978" t="s">
        <v>1038</v>
      </c>
      <c r="D1978" s="4">
        <v>45421</v>
      </c>
      <c r="E1978" t="s">
        <v>1086</v>
      </c>
      <c r="F1978" t="s">
        <v>75</v>
      </c>
      <c r="I1978" s="6">
        <v>0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>
        <v>1</v>
      </c>
      <c r="R1978">
        <f t="shared" si="150"/>
        <v>0</v>
      </c>
      <c r="S1978">
        <f t="shared" si="151"/>
        <v>1</v>
      </c>
      <c r="T1978">
        <f t="shared" si="152"/>
        <v>0</v>
      </c>
      <c r="U1978">
        <f t="shared" si="153"/>
        <v>0</v>
      </c>
      <c r="V1978">
        <f t="shared" si="154"/>
        <v>0</v>
      </c>
    </row>
    <row r="1979" spans="1:22" x14ac:dyDescent="0.25">
      <c r="A1979">
        <v>1976</v>
      </c>
      <c r="B1979" t="s">
        <v>24</v>
      </c>
      <c r="C1979" t="s">
        <v>1038</v>
      </c>
      <c r="D1979" s="4">
        <v>45422</v>
      </c>
      <c r="E1979" t="s">
        <v>1087</v>
      </c>
      <c r="F1979" t="s">
        <v>75</v>
      </c>
      <c r="I1979" s="6">
        <v>0</v>
      </c>
      <c r="J1979" s="6">
        <v>1</v>
      </c>
      <c r="K1979" s="6">
        <v>0</v>
      </c>
      <c r="L1979" s="6">
        <v>1</v>
      </c>
      <c r="M1979" s="6">
        <v>0</v>
      </c>
      <c r="N1979" s="6">
        <v>0</v>
      </c>
      <c r="O1979" s="6">
        <v>1</v>
      </c>
      <c r="P1979" s="6">
        <v>0</v>
      </c>
      <c r="Q1979">
        <v>1</v>
      </c>
      <c r="R1979">
        <f t="shared" si="150"/>
        <v>0</v>
      </c>
      <c r="S1979">
        <f t="shared" si="151"/>
        <v>1</v>
      </c>
      <c r="T1979">
        <f t="shared" si="152"/>
        <v>3</v>
      </c>
      <c r="U1979">
        <f t="shared" si="153"/>
        <v>1</v>
      </c>
      <c r="V1979">
        <f t="shared" si="154"/>
        <v>0</v>
      </c>
    </row>
    <row r="1980" spans="1:22" x14ac:dyDescent="0.25">
      <c r="A1980">
        <v>1977</v>
      </c>
      <c r="B1980" t="s">
        <v>24</v>
      </c>
      <c r="C1980" t="s">
        <v>1038</v>
      </c>
      <c r="D1980" s="4">
        <v>45422</v>
      </c>
      <c r="E1980" t="s">
        <v>1088</v>
      </c>
      <c r="F1980" t="s">
        <v>75</v>
      </c>
      <c r="I1980" s="6">
        <v>1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>
        <v>1</v>
      </c>
      <c r="R1980">
        <f t="shared" si="150"/>
        <v>0</v>
      </c>
      <c r="S1980">
        <f t="shared" si="151"/>
        <v>1</v>
      </c>
      <c r="T1980">
        <f t="shared" si="152"/>
        <v>1</v>
      </c>
      <c r="U1980">
        <f t="shared" si="153"/>
        <v>1</v>
      </c>
      <c r="V1980">
        <f t="shared" si="154"/>
        <v>0</v>
      </c>
    </row>
    <row r="1981" spans="1:22" x14ac:dyDescent="0.25">
      <c r="A1981">
        <v>1978</v>
      </c>
      <c r="B1981" t="s">
        <v>24</v>
      </c>
      <c r="C1981" t="s">
        <v>1038</v>
      </c>
      <c r="D1981" s="4">
        <v>45422</v>
      </c>
      <c r="E1981" t="s">
        <v>1089</v>
      </c>
      <c r="F1981" t="s">
        <v>413</v>
      </c>
      <c r="G1981">
        <v>100</v>
      </c>
      <c r="I1981" s="6">
        <v>0</v>
      </c>
      <c r="J1981" s="6">
        <v>1</v>
      </c>
      <c r="K1981" s="6">
        <v>0</v>
      </c>
      <c r="L1981" s="6">
        <v>1</v>
      </c>
      <c r="M1981" s="6">
        <v>0</v>
      </c>
      <c r="N1981" s="6">
        <v>0</v>
      </c>
      <c r="O1981" s="6">
        <v>1</v>
      </c>
      <c r="P1981" s="6">
        <v>0</v>
      </c>
      <c r="Q1981">
        <v>1</v>
      </c>
      <c r="R1981">
        <f t="shared" si="150"/>
        <v>1</v>
      </c>
      <c r="S1981">
        <f t="shared" si="151"/>
        <v>0</v>
      </c>
      <c r="T1981">
        <f t="shared" si="152"/>
        <v>3</v>
      </c>
      <c r="U1981">
        <f t="shared" si="153"/>
        <v>1</v>
      </c>
      <c r="V1981">
        <f t="shared" si="154"/>
        <v>1</v>
      </c>
    </row>
    <row r="1982" spans="1:22" x14ac:dyDescent="0.25">
      <c r="A1982">
        <v>1979</v>
      </c>
      <c r="B1982" t="s">
        <v>24</v>
      </c>
      <c r="C1982" t="s">
        <v>1038</v>
      </c>
      <c r="D1982" s="4">
        <v>45422</v>
      </c>
      <c r="E1982" t="s">
        <v>1183</v>
      </c>
      <c r="F1982" t="s">
        <v>75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>
        <v>1</v>
      </c>
      <c r="R1982">
        <f t="shared" si="150"/>
        <v>0</v>
      </c>
      <c r="S1982">
        <f t="shared" si="151"/>
        <v>1</v>
      </c>
      <c r="T1982">
        <f t="shared" si="152"/>
        <v>0</v>
      </c>
      <c r="U1982">
        <f t="shared" si="153"/>
        <v>0</v>
      </c>
      <c r="V1982">
        <f t="shared" si="154"/>
        <v>0</v>
      </c>
    </row>
    <row r="1983" spans="1:22" x14ac:dyDescent="0.25">
      <c r="A1983">
        <v>1980</v>
      </c>
      <c r="B1983" t="s">
        <v>24</v>
      </c>
      <c r="C1983" t="s">
        <v>1038</v>
      </c>
      <c r="D1983" s="4">
        <v>45422</v>
      </c>
      <c r="E1983" t="s">
        <v>326</v>
      </c>
      <c r="F1983" t="s">
        <v>75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>
        <v>1</v>
      </c>
      <c r="R1983">
        <f t="shared" si="150"/>
        <v>0</v>
      </c>
      <c r="S1983">
        <f t="shared" si="151"/>
        <v>1</v>
      </c>
      <c r="T1983">
        <f t="shared" si="152"/>
        <v>0</v>
      </c>
      <c r="U1983">
        <f t="shared" si="153"/>
        <v>0</v>
      </c>
      <c r="V1983">
        <f t="shared" si="154"/>
        <v>0</v>
      </c>
    </row>
    <row r="1984" spans="1:22" x14ac:dyDescent="0.25">
      <c r="A1984">
        <v>1981</v>
      </c>
      <c r="B1984" t="s">
        <v>24</v>
      </c>
      <c r="C1984" t="s">
        <v>1038</v>
      </c>
      <c r="D1984" s="4">
        <v>45422</v>
      </c>
      <c r="E1984" t="s">
        <v>327</v>
      </c>
      <c r="F1984" t="s">
        <v>75</v>
      </c>
      <c r="I1984" s="6">
        <v>0</v>
      </c>
      <c r="J1984" s="6">
        <v>0</v>
      </c>
      <c r="K1984" s="6">
        <v>0</v>
      </c>
      <c r="L1984" s="6">
        <v>1</v>
      </c>
      <c r="M1984" s="6">
        <v>0</v>
      </c>
      <c r="N1984" s="6">
        <v>0</v>
      </c>
      <c r="O1984" s="6">
        <v>0</v>
      </c>
      <c r="P1984" s="6">
        <v>0</v>
      </c>
      <c r="Q1984">
        <v>1</v>
      </c>
      <c r="R1984">
        <f t="shared" si="150"/>
        <v>0</v>
      </c>
      <c r="S1984">
        <f t="shared" si="151"/>
        <v>1</v>
      </c>
      <c r="T1984">
        <f t="shared" si="152"/>
        <v>1</v>
      </c>
      <c r="U1984">
        <f t="shared" si="153"/>
        <v>1</v>
      </c>
      <c r="V1984">
        <f t="shared" si="154"/>
        <v>0</v>
      </c>
    </row>
    <row r="1985" spans="1:22" x14ac:dyDescent="0.25">
      <c r="A1985">
        <v>1982</v>
      </c>
      <c r="B1985" t="s">
        <v>24</v>
      </c>
      <c r="C1985" t="s">
        <v>1038</v>
      </c>
      <c r="D1985" s="4">
        <v>45422</v>
      </c>
      <c r="E1985" t="s">
        <v>328</v>
      </c>
      <c r="F1985" t="s">
        <v>75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>
        <v>1</v>
      </c>
      <c r="R1985">
        <f t="shared" si="150"/>
        <v>0</v>
      </c>
      <c r="S1985">
        <f t="shared" si="151"/>
        <v>1</v>
      </c>
      <c r="T1985">
        <f t="shared" si="152"/>
        <v>0</v>
      </c>
      <c r="U1985">
        <f t="shared" si="153"/>
        <v>0</v>
      </c>
      <c r="V1985">
        <f t="shared" si="154"/>
        <v>0</v>
      </c>
    </row>
    <row r="1986" spans="1:22" x14ac:dyDescent="0.25">
      <c r="A1986">
        <v>1983</v>
      </c>
      <c r="B1986" t="s">
        <v>24</v>
      </c>
      <c r="C1986" t="s">
        <v>1038</v>
      </c>
      <c r="D1986" s="4">
        <v>45422</v>
      </c>
      <c r="E1986" t="s">
        <v>1405</v>
      </c>
      <c r="F1986" t="s">
        <v>75</v>
      </c>
      <c r="I1986" s="6">
        <v>0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>
        <v>1</v>
      </c>
      <c r="R1986">
        <f t="shared" si="150"/>
        <v>0</v>
      </c>
      <c r="S1986">
        <f t="shared" si="151"/>
        <v>1</v>
      </c>
      <c r="T1986">
        <f t="shared" si="152"/>
        <v>0</v>
      </c>
      <c r="U1986">
        <f t="shared" si="153"/>
        <v>0</v>
      </c>
      <c r="V1986">
        <f t="shared" si="154"/>
        <v>0</v>
      </c>
    </row>
    <row r="1987" spans="1:22" x14ac:dyDescent="0.25">
      <c r="A1987">
        <v>1984</v>
      </c>
      <c r="B1987" t="s">
        <v>24</v>
      </c>
      <c r="C1987" t="s">
        <v>1038</v>
      </c>
      <c r="D1987" s="4">
        <v>45425</v>
      </c>
      <c r="E1987" t="s">
        <v>333</v>
      </c>
      <c r="F1987" t="s">
        <v>75</v>
      </c>
      <c r="I1987" s="6">
        <v>1</v>
      </c>
      <c r="J1987" s="6">
        <v>0</v>
      </c>
      <c r="K1987" s="6">
        <v>0</v>
      </c>
      <c r="L1987" s="6">
        <v>1</v>
      </c>
      <c r="M1987" s="6">
        <v>1</v>
      </c>
      <c r="N1987" s="6">
        <v>1</v>
      </c>
      <c r="O1987" s="6">
        <v>1</v>
      </c>
      <c r="P1987" s="6">
        <v>0</v>
      </c>
      <c r="Q1987">
        <v>1</v>
      </c>
      <c r="R1987">
        <f t="shared" ref="R1987:R2050" si="155">IF(AND(Q1987=1,F1987="ai_full"),1,0)</f>
        <v>0</v>
      </c>
      <c r="S1987">
        <f t="shared" ref="S1987:S2050" si="156">IF(AND(Q1987=1,F1987="conventional"),1,0)</f>
        <v>1</v>
      </c>
      <c r="T1987">
        <f t="shared" ref="T1987:T2050" si="157">SUM(I1987:P1987)</f>
        <v>5</v>
      </c>
      <c r="U1987">
        <f t="shared" ref="U1987:U2050" si="158">IF(T1987&gt;=1,1,0)</f>
        <v>1</v>
      </c>
      <c r="V1987">
        <f t="shared" ref="V1987:V2050" si="159">IF(F1987="ai_full",1,0)</f>
        <v>0</v>
      </c>
    </row>
    <row r="1988" spans="1:22" x14ac:dyDescent="0.25">
      <c r="A1988">
        <v>1985</v>
      </c>
      <c r="B1988" t="s">
        <v>24</v>
      </c>
      <c r="C1988" t="s">
        <v>1038</v>
      </c>
      <c r="D1988" s="4">
        <v>45425</v>
      </c>
      <c r="E1988" t="s">
        <v>334</v>
      </c>
      <c r="F1988" t="s">
        <v>75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>
        <v>1</v>
      </c>
      <c r="R1988">
        <f t="shared" si="155"/>
        <v>0</v>
      </c>
      <c r="S1988">
        <f t="shared" si="156"/>
        <v>1</v>
      </c>
      <c r="T1988">
        <f t="shared" si="157"/>
        <v>0</v>
      </c>
      <c r="U1988">
        <f t="shared" si="158"/>
        <v>0</v>
      </c>
      <c r="V1988">
        <f t="shared" si="159"/>
        <v>0</v>
      </c>
    </row>
    <row r="1989" spans="1:22" x14ac:dyDescent="0.25">
      <c r="A1989">
        <v>1986</v>
      </c>
      <c r="B1989" t="s">
        <v>24</v>
      </c>
      <c r="C1989" t="s">
        <v>1038</v>
      </c>
      <c r="D1989" s="4">
        <v>45425</v>
      </c>
      <c r="E1989" t="s">
        <v>1090</v>
      </c>
      <c r="F1989" t="s">
        <v>75</v>
      </c>
      <c r="I1989" s="6">
        <v>0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1</v>
      </c>
      <c r="P1989" s="6">
        <v>0</v>
      </c>
      <c r="Q1989">
        <v>1</v>
      </c>
      <c r="R1989">
        <f t="shared" si="155"/>
        <v>0</v>
      </c>
      <c r="S1989">
        <f t="shared" si="156"/>
        <v>1</v>
      </c>
      <c r="T1989">
        <f t="shared" si="157"/>
        <v>1</v>
      </c>
      <c r="U1989">
        <f t="shared" si="158"/>
        <v>1</v>
      </c>
      <c r="V1989">
        <f t="shared" si="159"/>
        <v>0</v>
      </c>
    </row>
    <row r="1990" spans="1:22" x14ac:dyDescent="0.25">
      <c r="A1990">
        <v>1987</v>
      </c>
      <c r="B1990" t="s">
        <v>24</v>
      </c>
      <c r="C1990" t="s">
        <v>1038</v>
      </c>
      <c r="D1990" s="4">
        <v>45426</v>
      </c>
      <c r="E1990" t="s">
        <v>889</v>
      </c>
      <c r="F1990" t="s">
        <v>75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>
        <v>1</v>
      </c>
      <c r="R1990">
        <f t="shared" si="155"/>
        <v>0</v>
      </c>
      <c r="S1990">
        <f t="shared" si="156"/>
        <v>1</v>
      </c>
      <c r="T1990">
        <f t="shared" si="157"/>
        <v>0</v>
      </c>
      <c r="U1990">
        <f t="shared" si="158"/>
        <v>0</v>
      </c>
      <c r="V1990">
        <f t="shared" si="159"/>
        <v>0</v>
      </c>
    </row>
    <row r="1991" spans="1:22" x14ac:dyDescent="0.25">
      <c r="A1991">
        <v>1988</v>
      </c>
      <c r="B1991" t="s">
        <v>24</v>
      </c>
      <c r="C1991" t="s">
        <v>1038</v>
      </c>
      <c r="D1991" s="4">
        <v>45427</v>
      </c>
      <c r="E1991" t="s">
        <v>1006</v>
      </c>
      <c r="F1991" t="s">
        <v>75</v>
      </c>
      <c r="I1991" s="6">
        <v>0</v>
      </c>
      <c r="J1991" s="6">
        <v>0</v>
      </c>
      <c r="K1991" s="6">
        <v>0</v>
      </c>
      <c r="L1991" s="6">
        <v>1</v>
      </c>
      <c r="M1991" s="6">
        <v>0</v>
      </c>
      <c r="N1991" s="6">
        <v>0</v>
      </c>
      <c r="O1991" s="6">
        <v>0</v>
      </c>
      <c r="P1991" s="6">
        <v>0</v>
      </c>
      <c r="Q1991">
        <v>1</v>
      </c>
      <c r="R1991">
        <f t="shared" si="155"/>
        <v>0</v>
      </c>
      <c r="S1991">
        <f t="shared" si="156"/>
        <v>1</v>
      </c>
      <c r="T1991">
        <f t="shared" si="157"/>
        <v>1</v>
      </c>
      <c r="U1991">
        <f t="shared" si="158"/>
        <v>1</v>
      </c>
      <c r="V1991">
        <f t="shared" si="159"/>
        <v>0</v>
      </c>
    </row>
    <row r="1992" spans="1:22" x14ac:dyDescent="0.25">
      <c r="A1992">
        <v>1989</v>
      </c>
      <c r="B1992" t="s">
        <v>24</v>
      </c>
      <c r="C1992" t="s">
        <v>1038</v>
      </c>
      <c r="D1992" s="4">
        <v>45429</v>
      </c>
      <c r="E1992" t="s">
        <v>890</v>
      </c>
      <c r="F1992" t="s">
        <v>75</v>
      </c>
      <c r="I1992" s="6">
        <v>0</v>
      </c>
      <c r="J1992" s="6">
        <v>0</v>
      </c>
      <c r="K1992" s="6">
        <v>0</v>
      </c>
      <c r="L1992" s="6">
        <v>1</v>
      </c>
      <c r="M1992" s="6">
        <v>0</v>
      </c>
      <c r="N1992" s="6">
        <v>0</v>
      </c>
      <c r="O1992" s="6">
        <v>0</v>
      </c>
      <c r="P1992" s="6">
        <v>0</v>
      </c>
      <c r="Q1992">
        <v>1</v>
      </c>
      <c r="R1992">
        <f t="shared" si="155"/>
        <v>0</v>
      </c>
      <c r="S1992">
        <f t="shared" si="156"/>
        <v>1</v>
      </c>
      <c r="T1992">
        <f t="shared" si="157"/>
        <v>1</v>
      </c>
      <c r="U1992">
        <f t="shared" si="158"/>
        <v>1</v>
      </c>
      <c r="V1992">
        <f t="shared" si="159"/>
        <v>0</v>
      </c>
    </row>
    <row r="1993" spans="1:22" x14ac:dyDescent="0.25">
      <c r="A1993">
        <v>1990</v>
      </c>
      <c r="B1993" t="s">
        <v>24</v>
      </c>
      <c r="C1993" t="s">
        <v>1038</v>
      </c>
      <c r="D1993" s="4">
        <v>45430</v>
      </c>
      <c r="E1993" t="s">
        <v>891</v>
      </c>
      <c r="F1993" t="s">
        <v>75</v>
      </c>
      <c r="I1993" s="6">
        <v>0</v>
      </c>
      <c r="J1993" s="6">
        <v>0</v>
      </c>
      <c r="K1993" s="6">
        <v>0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>
        <v>1</v>
      </c>
      <c r="R1993">
        <f t="shared" si="155"/>
        <v>0</v>
      </c>
      <c r="S1993">
        <f t="shared" si="156"/>
        <v>1</v>
      </c>
      <c r="T1993">
        <f t="shared" si="157"/>
        <v>0</v>
      </c>
      <c r="U1993">
        <f t="shared" si="158"/>
        <v>0</v>
      </c>
      <c r="V1993">
        <f t="shared" si="159"/>
        <v>0</v>
      </c>
    </row>
    <row r="1994" spans="1:22" x14ac:dyDescent="0.25">
      <c r="A1994">
        <v>1991</v>
      </c>
      <c r="B1994" t="s">
        <v>24</v>
      </c>
      <c r="C1994" t="s">
        <v>1038</v>
      </c>
      <c r="D1994" s="4">
        <v>45430</v>
      </c>
      <c r="E1994" t="s">
        <v>349</v>
      </c>
      <c r="F1994" t="s">
        <v>75</v>
      </c>
      <c r="I1994" s="6">
        <v>0</v>
      </c>
      <c r="J1994" s="6">
        <v>0</v>
      </c>
      <c r="K1994" s="6">
        <v>0</v>
      </c>
      <c r="L1994" s="6">
        <v>0</v>
      </c>
      <c r="M1994" s="6">
        <v>0</v>
      </c>
      <c r="N1994" s="6">
        <v>0</v>
      </c>
      <c r="O1994" s="6">
        <v>0</v>
      </c>
      <c r="P1994" s="6">
        <v>0</v>
      </c>
      <c r="Q1994">
        <v>1</v>
      </c>
      <c r="R1994">
        <f t="shared" si="155"/>
        <v>0</v>
      </c>
      <c r="S1994">
        <f t="shared" si="156"/>
        <v>1</v>
      </c>
      <c r="T1994">
        <f t="shared" si="157"/>
        <v>0</v>
      </c>
      <c r="U1994">
        <f t="shared" si="158"/>
        <v>0</v>
      </c>
      <c r="V1994">
        <f t="shared" si="159"/>
        <v>0</v>
      </c>
    </row>
    <row r="1995" spans="1:22" x14ac:dyDescent="0.25">
      <c r="A1995">
        <v>1992</v>
      </c>
      <c r="B1995" t="s">
        <v>24</v>
      </c>
      <c r="C1995" t="s">
        <v>1038</v>
      </c>
      <c r="D1995" s="4">
        <v>45430</v>
      </c>
      <c r="E1995" t="s">
        <v>350</v>
      </c>
      <c r="F1995" t="s">
        <v>75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>
        <v>1</v>
      </c>
      <c r="R1995">
        <f t="shared" si="155"/>
        <v>0</v>
      </c>
      <c r="S1995">
        <f t="shared" si="156"/>
        <v>1</v>
      </c>
      <c r="T1995">
        <f t="shared" si="157"/>
        <v>0</v>
      </c>
      <c r="U1995">
        <f t="shared" si="158"/>
        <v>0</v>
      </c>
      <c r="V1995">
        <f t="shared" si="159"/>
        <v>0</v>
      </c>
    </row>
    <row r="1996" spans="1:22" x14ac:dyDescent="0.25">
      <c r="A1996">
        <v>1993</v>
      </c>
      <c r="B1996" t="s">
        <v>24</v>
      </c>
      <c r="C1996" t="s">
        <v>1038</v>
      </c>
      <c r="D1996" s="4">
        <v>45430</v>
      </c>
      <c r="E1996" t="s">
        <v>351</v>
      </c>
      <c r="F1996" t="s">
        <v>75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>
        <v>1</v>
      </c>
      <c r="R1996">
        <f t="shared" si="155"/>
        <v>0</v>
      </c>
      <c r="S1996">
        <f t="shared" si="156"/>
        <v>1</v>
      </c>
      <c r="T1996">
        <f t="shared" si="157"/>
        <v>0</v>
      </c>
      <c r="U1996">
        <f t="shared" si="158"/>
        <v>0</v>
      </c>
      <c r="V1996">
        <f t="shared" si="159"/>
        <v>0</v>
      </c>
    </row>
    <row r="1997" spans="1:22" x14ac:dyDescent="0.25">
      <c r="A1997">
        <v>1994</v>
      </c>
      <c r="B1997" t="s">
        <v>24</v>
      </c>
      <c r="C1997" t="s">
        <v>1038</v>
      </c>
      <c r="D1997" s="4">
        <v>45431</v>
      </c>
      <c r="E1997" t="s">
        <v>353</v>
      </c>
      <c r="F1997" t="s">
        <v>75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>
        <v>1</v>
      </c>
      <c r="R1997">
        <f t="shared" si="155"/>
        <v>0</v>
      </c>
      <c r="S1997">
        <f t="shared" si="156"/>
        <v>1</v>
      </c>
      <c r="T1997">
        <f t="shared" si="157"/>
        <v>0</v>
      </c>
      <c r="U1997">
        <f t="shared" si="158"/>
        <v>0</v>
      </c>
      <c r="V1997">
        <f t="shared" si="159"/>
        <v>0</v>
      </c>
    </row>
    <row r="1998" spans="1:22" x14ac:dyDescent="0.25">
      <c r="A1998">
        <v>1995</v>
      </c>
      <c r="B1998" t="s">
        <v>24</v>
      </c>
      <c r="C1998" t="s">
        <v>1038</v>
      </c>
      <c r="D1998" s="4">
        <v>45431</v>
      </c>
      <c r="E1998" t="s">
        <v>354</v>
      </c>
      <c r="F1998" t="s">
        <v>75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>
        <v>1</v>
      </c>
      <c r="R1998">
        <f t="shared" si="155"/>
        <v>0</v>
      </c>
      <c r="S1998">
        <f t="shared" si="156"/>
        <v>1</v>
      </c>
      <c r="T1998">
        <f t="shared" si="157"/>
        <v>0</v>
      </c>
      <c r="U1998">
        <f t="shared" si="158"/>
        <v>0</v>
      </c>
      <c r="V1998">
        <f t="shared" si="159"/>
        <v>0</v>
      </c>
    </row>
    <row r="1999" spans="1:22" x14ac:dyDescent="0.25">
      <c r="A1999">
        <v>1996</v>
      </c>
      <c r="B1999" t="s">
        <v>24</v>
      </c>
      <c r="C1999" t="s">
        <v>1038</v>
      </c>
      <c r="D1999" s="4">
        <v>45431</v>
      </c>
      <c r="E1999" t="s">
        <v>1091</v>
      </c>
      <c r="F1999" t="s">
        <v>75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>
        <v>1</v>
      </c>
      <c r="R1999">
        <f t="shared" si="155"/>
        <v>0</v>
      </c>
      <c r="S1999">
        <f t="shared" si="156"/>
        <v>1</v>
      </c>
      <c r="T1999">
        <f t="shared" si="157"/>
        <v>0</v>
      </c>
      <c r="U1999">
        <f t="shared" si="158"/>
        <v>0</v>
      </c>
      <c r="V1999">
        <f t="shared" si="159"/>
        <v>0</v>
      </c>
    </row>
    <row r="2000" spans="1:22" x14ac:dyDescent="0.25">
      <c r="A2000">
        <v>1997</v>
      </c>
      <c r="B2000" t="s">
        <v>24</v>
      </c>
      <c r="C2000" t="s">
        <v>1038</v>
      </c>
      <c r="D2000" s="4">
        <v>45431</v>
      </c>
      <c r="E2000" t="s">
        <v>1092</v>
      </c>
      <c r="F2000" t="s">
        <v>75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>
        <v>1</v>
      </c>
      <c r="R2000">
        <f t="shared" si="155"/>
        <v>0</v>
      </c>
      <c r="S2000">
        <f t="shared" si="156"/>
        <v>1</v>
      </c>
      <c r="T2000">
        <f t="shared" si="157"/>
        <v>0</v>
      </c>
      <c r="U2000">
        <f t="shared" si="158"/>
        <v>0</v>
      </c>
      <c r="V2000">
        <f t="shared" si="159"/>
        <v>0</v>
      </c>
    </row>
    <row r="2001" spans="1:22" x14ac:dyDescent="0.25">
      <c r="A2001">
        <v>1998</v>
      </c>
      <c r="B2001" t="s">
        <v>24</v>
      </c>
      <c r="C2001" t="s">
        <v>1038</v>
      </c>
      <c r="D2001" s="4">
        <v>45431</v>
      </c>
      <c r="E2001" t="s">
        <v>355</v>
      </c>
      <c r="F2001" t="s">
        <v>75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>
        <v>1</v>
      </c>
      <c r="R2001">
        <f t="shared" si="155"/>
        <v>0</v>
      </c>
      <c r="S2001">
        <f t="shared" si="156"/>
        <v>1</v>
      </c>
      <c r="T2001">
        <f t="shared" si="157"/>
        <v>0</v>
      </c>
      <c r="U2001">
        <f t="shared" si="158"/>
        <v>0</v>
      </c>
      <c r="V2001">
        <f t="shared" si="159"/>
        <v>0</v>
      </c>
    </row>
    <row r="2002" spans="1:22" x14ac:dyDescent="0.25">
      <c r="A2002">
        <v>1999</v>
      </c>
      <c r="B2002" t="s">
        <v>24</v>
      </c>
      <c r="C2002" t="s">
        <v>1038</v>
      </c>
      <c r="D2002" s="4">
        <v>45432</v>
      </c>
      <c r="E2002" t="s">
        <v>1484</v>
      </c>
      <c r="F2002" t="s">
        <v>75</v>
      </c>
      <c r="I2002" s="6">
        <v>1</v>
      </c>
      <c r="J2002" s="6">
        <v>0</v>
      </c>
      <c r="K2002" s="6">
        <v>0</v>
      </c>
      <c r="L2002" s="6">
        <v>1</v>
      </c>
      <c r="M2002" s="6">
        <v>1</v>
      </c>
      <c r="N2002" s="6">
        <v>0</v>
      </c>
      <c r="O2002" s="6">
        <v>1</v>
      </c>
      <c r="P2002" s="6">
        <v>0</v>
      </c>
      <c r="Q2002">
        <v>1</v>
      </c>
      <c r="R2002">
        <f t="shared" si="155"/>
        <v>0</v>
      </c>
      <c r="S2002">
        <f t="shared" si="156"/>
        <v>1</v>
      </c>
      <c r="T2002">
        <f t="shared" si="157"/>
        <v>4</v>
      </c>
      <c r="U2002">
        <f t="shared" si="158"/>
        <v>1</v>
      </c>
      <c r="V2002">
        <f t="shared" si="159"/>
        <v>0</v>
      </c>
    </row>
    <row r="2003" spans="1:22" x14ac:dyDescent="0.25">
      <c r="A2003">
        <v>2000</v>
      </c>
      <c r="B2003" t="s">
        <v>24</v>
      </c>
      <c r="C2003" t="s">
        <v>1038</v>
      </c>
      <c r="D2003" s="4">
        <v>45432</v>
      </c>
      <c r="E2003" t="s">
        <v>356</v>
      </c>
      <c r="F2003" t="s">
        <v>75</v>
      </c>
      <c r="I2003" s="6">
        <v>0</v>
      </c>
      <c r="J2003" s="6">
        <v>0</v>
      </c>
      <c r="K2003" s="6">
        <v>0</v>
      </c>
      <c r="L2003" s="6">
        <v>1</v>
      </c>
      <c r="M2003" s="6">
        <v>0</v>
      </c>
      <c r="N2003" s="6">
        <v>0</v>
      </c>
      <c r="O2003" s="6">
        <v>0</v>
      </c>
      <c r="P2003" s="6">
        <v>1</v>
      </c>
      <c r="Q2003">
        <v>1</v>
      </c>
      <c r="R2003">
        <f t="shared" si="155"/>
        <v>0</v>
      </c>
      <c r="S2003">
        <f t="shared" si="156"/>
        <v>1</v>
      </c>
      <c r="T2003">
        <f t="shared" si="157"/>
        <v>2</v>
      </c>
      <c r="U2003">
        <f t="shared" si="158"/>
        <v>1</v>
      </c>
      <c r="V2003">
        <f t="shared" si="159"/>
        <v>0</v>
      </c>
    </row>
    <row r="2004" spans="1:22" x14ac:dyDescent="0.25">
      <c r="A2004">
        <v>2001</v>
      </c>
      <c r="B2004" t="s">
        <v>24</v>
      </c>
      <c r="C2004" t="s">
        <v>1038</v>
      </c>
      <c r="D2004" s="4">
        <v>45432</v>
      </c>
      <c r="E2004" t="s">
        <v>1093</v>
      </c>
      <c r="F2004" t="s">
        <v>75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>
        <v>1</v>
      </c>
      <c r="R2004">
        <f t="shared" si="155"/>
        <v>0</v>
      </c>
      <c r="S2004">
        <f t="shared" si="156"/>
        <v>1</v>
      </c>
      <c r="T2004">
        <f t="shared" si="157"/>
        <v>0</v>
      </c>
      <c r="U2004">
        <f t="shared" si="158"/>
        <v>0</v>
      </c>
      <c r="V2004">
        <f t="shared" si="159"/>
        <v>0</v>
      </c>
    </row>
    <row r="2005" spans="1:22" x14ac:dyDescent="0.25">
      <c r="A2005">
        <v>2002</v>
      </c>
      <c r="B2005" t="s">
        <v>24</v>
      </c>
      <c r="C2005" t="s">
        <v>1038</v>
      </c>
      <c r="D2005" s="4">
        <v>45432</v>
      </c>
      <c r="E2005" t="s">
        <v>1094</v>
      </c>
      <c r="F2005" t="s">
        <v>75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>
        <v>1</v>
      </c>
      <c r="R2005">
        <f t="shared" si="155"/>
        <v>0</v>
      </c>
      <c r="S2005">
        <f t="shared" si="156"/>
        <v>1</v>
      </c>
      <c r="T2005">
        <f t="shared" si="157"/>
        <v>0</v>
      </c>
      <c r="U2005">
        <f t="shared" si="158"/>
        <v>0</v>
      </c>
      <c r="V2005">
        <f t="shared" si="159"/>
        <v>0</v>
      </c>
    </row>
    <row r="2006" spans="1:22" x14ac:dyDescent="0.25">
      <c r="A2006">
        <v>2003</v>
      </c>
      <c r="B2006" t="s">
        <v>24</v>
      </c>
      <c r="C2006" t="s">
        <v>1038</v>
      </c>
      <c r="D2006" s="4">
        <v>45432</v>
      </c>
      <c r="E2006" t="s">
        <v>2118</v>
      </c>
      <c r="F2006" t="s">
        <v>75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>
        <v>1</v>
      </c>
      <c r="R2006">
        <f t="shared" si="155"/>
        <v>0</v>
      </c>
      <c r="S2006">
        <f t="shared" si="156"/>
        <v>1</v>
      </c>
      <c r="T2006">
        <f t="shared" si="157"/>
        <v>0</v>
      </c>
      <c r="U2006">
        <f t="shared" si="158"/>
        <v>0</v>
      </c>
      <c r="V2006">
        <f t="shared" si="159"/>
        <v>0</v>
      </c>
    </row>
    <row r="2007" spans="1:22" x14ac:dyDescent="0.25">
      <c r="A2007">
        <v>2004</v>
      </c>
      <c r="B2007" t="s">
        <v>24</v>
      </c>
      <c r="C2007" t="s">
        <v>1038</v>
      </c>
      <c r="D2007" s="4">
        <v>45433</v>
      </c>
      <c r="E2007" t="s">
        <v>1234</v>
      </c>
      <c r="F2007" t="s">
        <v>75</v>
      </c>
      <c r="I2007" s="6">
        <v>0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>
        <v>1</v>
      </c>
      <c r="R2007">
        <f t="shared" si="155"/>
        <v>0</v>
      </c>
      <c r="S2007">
        <f t="shared" si="156"/>
        <v>1</v>
      </c>
      <c r="T2007">
        <f t="shared" si="157"/>
        <v>0</v>
      </c>
      <c r="U2007">
        <f t="shared" si="158"/>
        <v>0</v>
      </c>
      <c r="V2007">
        <f t="shared" si="159"/>
        <v>0</v>
      </c>
    </row>
    <row r="2008" spans="1:22" x14ac:dyDescent="0.25">
      <c r="A2008">
        <v>2005</v>
      </c>
      <c r="B2008" t="s">
        <v>24</v>
      </c>
      <c r="C2008" t="s">
        <v>1038</v>
      </c>
      <c r="D2008" s="4">
        <v>45433</v>
      </c>
      <c r="E2008" t="s">
        <v>1095</v>
      </c>
      <c r="F2008" t="s">
        <v>75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>
        <v>1</v>
      </c>
      <c r="R2008">
        <f t="shared" si="155"/>
        <v>0</v>
      </c>
      <c r="S2008">
        <f t="shared" si="156"/>
        <v>1</v>
      </c>
      <c r="T2008">
        <f t="shared" si="157"/>
        <v>0</v>
      </c>
      <c r="U2008">
        <f t="shared" si="158"/>
        <v>0</v>
      </c>
      <c r="V2008">
        <f t="shared" si="159"/>
        <v>0</v>
      </c>
    </row>
    <row r="2009" spans="1:22" x14ac:dyDescent="0.25">
      <c r="A2009">
        <v>2006</v>
      </c>
      <c r="B2009" t="s">
        <v>24</v>
      </c>
      <c r="C2009" t="s">
        <v>1038</v>
      </c>
      <c r="D2009" s="4">
        <v>45433</v>
      </c>
      <c r="E2009" t="s">
        <v>1485</v>
      </c>
      <c r="F2009" t="s">
        <v>75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>
        <v>1</v>
      </c>
      <c r="R2009">
        <f t="shared" si="155"/>
        <v>0</v>
      </c>
      <c r="S2009">
        <f t="shared" si="156"/>
        <v>1</v>
      </c>
      <c r="T2009">
        <f t="shared" si="157"/>
        <v>0</v>
      </c>
      <c r="U2009">
        <f t="shared" si="158"/>
        <v>0</v>
      </c>
      <c r="V2009">
        <f t="shared" si="159"/>
        <v>0</v>
      </c>
    </row>
    <row r="2010" spans="1:22" x14ac:dyDescent="0.25">
      <c r="A2010">
        <v>2007</v>
      </c>
      <c r="B2010" t="s">
        <v>24</v>
      </c>
      <c r="C2010" t="s">
        <v>1038</v>
      </c>
      <c r="D2010" s="4">
        <v>45433</v>
      </c>
      <c r="E2010" t="s">
        <v>1096</v>
      </c>
      <c r="F2010" t="s">
        <v>75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>
        <v>1</v>
      </c>
      <c r="R2010">
        <f t="shared" si="155"/>
        <v>0</v>
      </c>
      <c r="S2010">
        <f t="shared" si="156"/>
        <v>1</v>
      </c>
      <c r="T2010">
        <f t="shared" si="157"/>
        <v>0</v>
      </c>
      <c r="U2010">
        <f t="shared" si="158"/>
        <v>0</v>
      </c>
      <c r="V2010">
        <f t="shared" si="159"/>
        <v>0</v>
      </c>
    </row>
    <row r="2011" spans="1:22" x14ac:dyDescent="0.25">
      <c r="A2011">
        <v>2008</v>
      </c>
      <c r="B2011" t="s">
        <v>24</v>
      </c>
      <c r="C2011" t="s">
        <v>1038</v>
      </c>
      <c r="D2011" s="4">
        <v>45433</v>
      </c>
      <c r="E2011" t="s">
        <v>1097</v>
      </c>
      <c r="F2011" t="s">
        <v>75</v>
      </c>
      <c r="I2011" s="6">
        <v>0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0</v>
      </c>
      <c r="P2011" s="6">
        <v>1</v>
      </c>
      <c r="Q2011">
        <v>1</v>
      </c>
      <c r="R2011">
        <f t="shared" si="155"/>
        <v>0</v>
      </c>
      <c r="S2011">
        <f t="shared" si="156"/>
        <v>1</v>
      </c>
      <c r="T2011">
        <f t="shared" si="157"/>
        <v>1</v>
      </c>
      <c r="U2011">
        <f t="shared" si="158"/>
        <v>1</v>
      </c>
      <c r="V2011">
        <f t="shared" si="159"/>
        <v>0</v>
      </c>
    </row>
    <row r="2012" spans="1:22" x14ac:dyDescent="0.25">
      <c r="A2012">
        <v>2009</v>
      </c>
      <c r="B2012" t="s">
        <v>24</v>
      </c>
      <c r="C2012" t="s">
        <v>1038</v>
      </c>
      <c r="D2012" s="4">
        <v>45434</v>
      </c>
      <c r="E2012" t="s">
        <v>1011</v>
      </c>
      <c r="F2012" t="s">
        <v>75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1</v>
      </c>
      <c r="Q2012">
        <v>1</v>
      </c>
      <c r="R2012">
        <f t="shared" si="155"/>
        <v>0</v>
      </c>
      <c r="S2012">
        <f t="shared" si="156"/>
        <v>1</v>
      </c>
      <c r="T2012">
        <f t="shared" si="157"/>
        <v>1</v>
      </c>
      <c r="U2012">
        <f t="shared" si="158"/>
        <v>1</v>
      </c>
      <c r="V2012">
        <f t="shared" si="159"/>
        <v>0</v>
      </c>
    </row>
    <row r="2013" spans="1:22" x14ac:dyDescent="0.25">
      <c r="A2013">
        <v>2010</v>
      </c>
      <c r="B2013" t="s">
        <v>24</v>
      </c>
      <c r="C2013" t="s">
        <v>1038</v>
      </c>
      <c r="D2013" s="4">
        <v>45434</v>
      </c>
      <c r="E2013" t="s">
        <v>358</v>
      </c>
      <c r="F2013" t="s">
        <v>75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1</v>
      </c>
      <c r="Q2013">
        <v>1</v>
      </c>
      <c r="R2013">
        <f t="shared" si="155"/>
        <v>0</v>
      </c>
      <c r="S2013">
        <f t="shared" si="156"/>
        <v>1</v>
      </c>
      <c r="T2013">
        <f t="shared" si="157"/>
        <v>1</v>
      </c>
      <c r="U2013">
        <f t="shared" si="158"/>
        <v>1</v>
      </c>
      <c r="V2013">
        <f t="shared" si="159"/>
        <v>0</v>
      </c>
    </row>
    <row r="2014" spans="1:22" x14ac:dyDescent="0.25">
      <c r="A2014">
        <v>2011</v>
      </c>
      <c r="B2014" t="s">
        <v>24</v>
      </c>
      <c r="C2014" t="s">
        <v>1038</v>
      </c>
      <c r="D2014" s="4">
        <v>45434</v>
      </c>
      <c r="E2014" t="s">
        <v>359</v>
      </c>
      <c r="F2014" t="s">
        <v>75</v>
      </c>
      <c r="I2014" s="6">
        <v>0</v>
      </c>
      <c r="J2014" s="6">
        <v>0</v>
      </c>
      <c r="K2014" s="6">
        <v>0</v>
      </c>
      <c r="L2014" s="6">
        <v>1</v>
      </c>
      <c r="M2014" s="6">
        <v>0</v>
      </c>
      <c r="N2014" s="6">
        <v>0</v>
      </c>
      <c r="O2014" s="6">
        <v>0</v>
      </c>
      <c r="P2014" s="6">
        <v>0</v>
      </c>
      <c r="Q2014">
        <v>1</v>
      </c>
      <c r="R2014">
        <f t="shared" si="155"/>
        <v>0</v>
      </c>
      <c r="S2014">
        <f t="shared" si="156"/>
        <v>1</v>
      </c>
      <c r="T2014">
        <f t="shared" si="157"/>
        <v>1</v>
      </c>
      <c r="U2014">
        <f t="shared" si="158"/>
        <v>1</v>
      </c>
      <c r="V2014">
        <f t="shared" si="159"/>
        <v>0</v>
      </c>
    </row>
    <row r="2015" spans="1:22" x14ac:dyDescent="0.25">
      <c r="A2015">
        <v>2012</v>
      </c>
      <c r="B2015" t="s">
        <v>24</v>
      </c>
      <c r="C2015" t="s">
        <v>1038</v>
      </c>
      <c r="D2015" s="4">
        <v>45434</v>
      </c>
      <c r="E2015" t="s">
        <v>1411</v>
      </c>
      <c r="F2015" t="s">
        <v>75</v>
      </c>
      <c r="I2015" s="6">
        <v>0</v>
      </c>
      <c r="J2015" s="6">
        <v>0</v>
      </c>
      <c r="K2015" s="6">
        <v>0</v>
      </c>
      <c r="L2015" s="6">
        <v>1</v>
      </c>
      <c r="M2015" s="6">
        <v>1</v>
      </c>
      <c r="N2015" s="6">
        <v>1</v>
      </c>
      <c r="O2015" s="6">
        <v>0</v>
      </c>
      <c r="P2015" s="6">
        <v>0</v>
      </c>
      <c r="Q2015">
        <v>1</v>
      </c>
      <c r="R2015">
        <f t="shared" si="155"/>
        <v>0</v>
      </c>
      <c r="S2015">
        <f t="shared" si="156"/>
        <v>1</v>
      </c>
      <c r="T2015">
        <f t="shared" si="157"/>
        <v>3</v>
      </c>
      <c r="U2015">
        <f t="shared" si="158"/>
        <v>1</v>
      </c>
      <c r="V2015">
        <f t="shared" si="159"/>
        <v>0</v>
      </c>
    </row>
    <row r="2016" spans="1:22" x14ac:dyDescent="0.25">
      <c r="A2016">
        <v>2013</v>
      </c>
      <c r="B2016" t="s">
        <v>24</v>
      </c>
      <c r="C2016" t="s">
        <v>1038</v>
      </c>
      <c r="D2016" s="4">
        <v>45435</v>
      </c>
      <c r="E2016" t="s">
        <v>482</v>
      </c>
      <c r="F2016" t="s">
        <v>75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>
        <v>1</v>
      </c>
      <c r="R2016">
        <f t="shared" si="155"/>
        <v>0</v>
      </c>
      <c r="S2016">
        <f t="shared" si="156"/>
        <v>1</v>
      </c>
      <c r="T2016">
        <f t="shared" si="157"/>
        <v>0</v>
      </c>
      <c r="U2016">
        <f t="shared" si="158"/>
        <v>0</v>
      </c>
      <c r="V2016">
        <f t="shared" si="159"/>
        <v>0</v>
      </c>
    </row>
    <row r="2017" spans="1:22" x14ac:dyDescent="0.25">
      <c r="A2017">
        <v>2014</v>
      </c>
      <c r="B2017" t="s">
        <v>24</v>
      </c>
      <c r="C2017" t="s">
        <v>1038</v>
      </c>
      <c r="D2017" s="4">
        <v>45436</v>
      </c>
      <c r="E2017" t="s">
        <v>363</v>
      </c>
      <c r="F2017" t="s">
        <v>75</v>
      </c>
      <c r="I2017" s="6">
        <v>1</v>
      </c>
      <c r="J2017" s="6">
        <v>0</v>
      </c>
      <c r="K2017" s="6">
        <v>1</v>
      </c>
      <c r="L2017" s="6">
        <v>1</v>
      </c>
      <c r="M2017" s="6">
        <v>0</v>
      </c>
      <c r="N2017" s="6">
        <v>1</v>
      </c>
      <c r="O2017" s="6">
        <v>0</v>
      </c>
      <c r="P2017" s="6">
        <v>0</v>
      </c>
      <c r="Q2017">
        <v>1</v>
      </c>
      <c r="R2017">
        <f t="shared" si="155"/>
        <v>0</v>
      </c>
      <c r="S2017">
        <f t="shared" si="156"/>
        <v>1</v>
      </c>
      <c r="T2017">
        <f t="shared" si="157"/>
        <v>4</v>
      </c>
      <c r="U2017">
        <f t="shared" si="158"/>
        <v>1</v>
      </c>
      <c r="V2017">
        <f t="shared" si="159"/>
        <v>0</v>
      </c>
    </row>
    <row r="2018" spans="1:22" x14ac:dyDescent="0.25">
      <c r="A2018">
        <v>2015</v>
      </c>
      <c r="B2018" t="s">
        <v>24</v>
      </c>
      <c r="C2018" t="s">
        <v>1038</v>
      </c>
      <c r="D2018" s="4">
        <v>45436</v>
      </c>
      <c r="E2018" t="s">
        <v>893</v>
      </c>
      <c r="F2018" t="s">
        <v>75</v>
      </c>
      <c r="I2018" s="6">
        <v>0</v>
      </c>
      <c r="J2018" s="6">
        <v>0</v>
      </c>
      <c r="K2018" s="6">
        <v>0</v>
      </c>
      <c r="L2018" s="6">
        <v>1</v>
      </c>
      <c r="M2018" s="6">
        <v>0</v>
      </c>
      <c r="N2018" s="6">
        <v>1</v>
      </c>
      <c r="O2018" s="6">
        <v>0</v>
      </c>
      <c r="P2018" s="6">
        <v>0</v>
      </c>
      <c r="Q2018">
        <v>1</v>
      </c>
      <c r="R2018">
        <f t="shared" si="155"/>
        <v>0</v>
      </c>
      <c r="S2018">
        <f t="shared" si="156"/>
        <v>1</v>
      </c>
      <c r="T2018">
        <f t="shared" si="157"/>
        <v>2</v>
      </c>
      <c r="U2018">
        <f t="shared" si="158"/>
        <v>1</v>
      </c>
      <c r="V2018">
        <f t="shared" si="159"/>
        <v>0</v>
      </c>
    </row>
    <row r="2019" spans="1:22" x14ac:dyDescent="0.25">
      <c r="A2019">
        <v>2016</v>
      </c>
      <c r="B2019" t="s">
        <v>24</v>
      </c>
      <c r="C2019" t="s">
        <v>1038</v>
      </c>
      <c r="D2019" s="4">
        <v>45436</v>
      </c>
      <c r="E2019" t="s">
        <v>364</v>
      </c>
      <c r="F2019" t="s">
        <v>75</v>
      </c>
      <c r="I2019" s="6">
        <v>1</v>
      </c>
      <c r="J2019" s="6">
        <v>0</v>
      </c>
      <c r="K2019" s="6">
        <v>0</v>
      </c>
      <c r="L2019" s="6">
        <v>1</v>
      </c>
      <c r="M2019" s="6">
        <v>0</v>
      </c>
      <c r="N2019" s="6">
        <v>0</v>
      </c>
      <c r="O2019" s="6">
        <v>0</v>
      </c>
      <c r="P2019" s="6">
        <v>1</v>
      </c>
      <c r="Q2019">
        <v>1</v>
      </c>
      <c r="R2019">
        <f t="shared" si="155"/>
        <v>0</v>
      </c>
      <c r="S2019">
        <f t="shared" si="156"/>
        <v>1</v>
      </c>
      <c r="T2019">
        <f t="shared" si="157"/>
        <v>3</v>
      </c>
      <c r="U2019">
        <f t="shared" si="158"/>
        <v>1</v>
      </c>
      <c r="V2019">
        <f t="shared" si="159"/>
        <v>0</v>
      </c>
    </row>
    <row r="2020" spans="1:22" x14ac:dyDescent="0.25">
      <c r="A2020">
        <v>2017</v>
      </c>
      <c r="B2020" t="s">
        <v>24</v>
      </c>
      <c r="C2020" t="s">
        <v>1038</v>
      </c>
      <c r="D2020" s="4">
        <v>45436</v>
      </c>
      <c r="E2020" t="s">
        <v>365</v>
      </c>
      <c r="F2020" t="s">
        <v>75</v>
      </c>
      <c r="I2020" s="6">
        <v>0</v>
      </c>
      <c r="J2020" s="6">
        <v>0</v>
      </c>
      <c r="K2020" s="6">
        <v>0</v>
      </c>
      <c r="L2020" s="6">
        <v>1</v>
      </c>
      <c r="M2020" s="6">
        <v>1</v>
      </c>
      <c r="N2020" s="6">
        <v>1</v>
      </c>
      <c r="O2020" s="6">
        <v>0</v>
      </c>
      <c r="P2020" s="6">
        <v>0</v>
      </c>
      <c r="Q2020">
        <v>1</v>
      </c>
      <c r="R2020">
        <f t="shared" si="155"/>
        <v>0</v>
      </c>
      <c r="S2020">
        <f t="shared" si="156"/>
        <v>1</v>
      </c>
      <c r="T2020">
        <f t="shared" si="157"/>
        <v>3</v>
      </c>
      <c r="U2020">
        <f t="shared" si="158"/>
        <v>1</v>
      </c>
      <c r="V2020">
        <f t="shared" si="159"/>
        <v>0</v>
      </c>
    </row>
    <row r="2021" spans="1:22" x14ac:dyDescent="0.25">
      <c r="A2021">
        <v>2018</v>
      </c>
      <c r="B2021" t="s">
        <v>24</v>
      </c>
      <c r="C2021" t="s">
        <v>1038</v>
      </c>
      <c r="D2021" s="4">
        <v>45436</v>
      </c>
      <c r="E2021" t="s">
        <v>366</v>
      </c>
      <c r="F2021" t="s">
        <v>75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>
        <v>1</v>
      </c>
      <c r="R2021">
        <f t="shared" si="155"/>
        <v>0</v>
      </c>
      <c r="S2021">
        <f t="shared" si="156"/>
        <v>1</v>
      </c>
      <c r="T2021">
        <f t="shared" si="157"/>
        <v>0</v>
      </c>
      <c r="U2021">
        <f t="shared" si="158"/>
        <v>0</v>
      </c>
      <c r="V2021">
        <f t="shared" si="159"/>
        <v>0</v>
      </c>
    </row>
    <row r="2022" spans="1:22" x14ac:dyDescent="0.25">
      <c r="A2022">
        <v>2019</v>
      </c>
      <c r="B2022" t="s">
        <v>24</v>
      </c>
      <c r="C2022" t="s">
        <v>1038</v>
      </c>
      <c r="D2022" s="4">
        <v>45437</v>
      </c>
      <c r="E2022" t="s">
        <v>1015</v>
      </c>
      <c r="F2022" t="s">
        <v>75</v>
      </c>
      <c r="I2022" s="6">
        <v>1</v>
      </c>
      <c r="J2022" s="6">
        <v>0</v>
      </c>
      <c r="K2022" s="6">
        <v>1</v>
      </c>
      <c r="L2022" s="6">
        <v>1</v>
      </c>
      <c r="M2022" s="6">
        <v>1</v>
      </c>
      <c r="N2022" s="6">
        <v>0</v>
      </c>
      <c r="O2022" s="6">
        <v>1</v>
      </c>
      <c r="P2022" s="6">
        <v>1</v>
      </c>
      <c r="Q2022">
        <v>1</v>
      </c>
      <c r="R2022">
        <f t="shared" si="155"/>
        <v>0</v>
      </c>
      <c r="S2022">
        <f t="shared" si="156"/>
        <v>1</v>
      </c>
      <c r="T2022">
        <f t="shared" si="157"/>
        <v>6</v>
      </c>
      <c r="U2022">
        <f t="shared" si="158"/>
        <v>1</v>
      </c>
      <c r="V2022">
        <f t="shared" si="159"/>
        <v>0</v>
      </c>
    </row>
    <row r="2023" spans="1:22" x14ac:dyDescent="0.25">
      <c r="A2023">
        <v>2020</v>
      </c>
      <c r="B2023" t="s">
        <v>24</v>
      </c>
      <c r="C2023" t="s">
        <v>1038</v>
      </c>
      <c r="D2023" s="4">
        <v>45437</v>
      </c>
      <c r="E2023" t="s">
        <v>1017</v>
      </c>
      <c r="F2023" t="s">
        <v>357</v>
      </c>
      <c r="I2023" s="6"/>
      <c r="J2023" s="6"/>
      <c r="K2023" s="6"/>
      <c r="L2023" s="6"/>
      <c r="M2023" s="6"/>
      <c r="N2023" s="6"/>
      <c r="O2023" s="6"/>
      <c r="P2023" s="6"/>
      <c r="Q2023">
        <v>0</v>
      </c>
      <c r="R2023">
        <f t="shared" si="155"/>
        <v>0</v>
      </c>
      <c r="S2023">
        <f t="shared" si="156"/>
        <v>0</v>
      </c>
      <c r="T2023">
        <f t="shared" si="157"/>
        <v>0</v>
      </c>
      <c r="U2023">
        <f t="shared" si="158"/>
        <v>0</v>
      </c>
      <c r="V2023">
        <f t="shared" si="159"/>
        <v>0</v>
      </c>
    </row>
    <row r="2024" spans="1:22" x14ac:dyDescent="0.25">
      <c r="A2024">
        <v>2021</v>
      </c>
      <c r="B2024" t="s">
        <v>24</v>
      </c>
      <c r="C2024" t="s">
        <v>1038</v>
      </c>
      <c r="D2024" s="4">
        <v>45437</v>
      </c>
      <c r="E2024" t="s">
        <v>1098</v>
      </c>
      <c r="F2024" t="s">
        <v>75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1</v>
      </c>
      <c r="Q2024">
        <v>1</v>
      </c>
      <c r="R2024">
        <f t="shared" si="155"/>
        <v>0</v>
      </c>
      <c r="S2024">
        <f t="shared" si="156"/>
        <v>1</v>
      </c>
      <c r="T2024">
        <f t="shared" si="157"/>
        <v>1</v>
      </c>
      <c r="U2024">
        <f t="shared" si="158"/>
        <v>1</v>
      </c>
      <c r="V2024">
        <f t="shared" si="159"/>
        <v>0</v>
      </c>
    </row>
    <row r="2025" spans="1:22" x14ac:dyDescent="0.25">
      <c r="A2025">
        <v>2022</v>
      </c>
      <c r="B2025" t="s">
        <v>24</v>
      </c>
      <c r="C2025" t="s">
        <v>1038</v>
      </c>
      <c r="D2025" s="4">
        <v>45438</v>
      </c>
      <c r="E2025" t="s">
        <v>484</v>
      </c>
      <c r="F2025" t="s">
        <v>75</v>
      </c>
      <c r="I2025" s="6">
        <v>1</v>
      </c>
      <c r="J2025" s="6">
        <v>0</v>
      </c>
      <c r="K2025" s="6">
        <v>0</v>
      </c>
      <c r="L2025" s="6">
        <v>1</v>
      </c>
      <c r="M2025" s="6">
        <v>0</v>
      </c>
      <c r="N2025" s="6">
        <v>1</v>
      </c>
      <c r="O2025" s="6">
        <v>0</v>
      </c>
      <c r="P2025" s="6">
        <v>1</v>
      </c>
      <c r="Q2025">
        <v>1</v>
      </c>
      <c r="R2025">
        <f t="shared" si="155"/>
        <v>0</v>
      </c>
      <c r="S2025">
        <f t="shared" si="156"/>
        <v>1</v>
      </c>
      <c r="T2025">
        <f t="shared" si="157"/>
        <v>4</v>
      </c>
      <c r="U2025">
        <f t="shared" si="158"/>
        <v>1</v>
      </c>
      <c r="V2025">
        <f t="shared" si="159"/>
        <v>0</v>
      </c>
    </row>
    <row r="2026" spans="1:22" x14ac:dyDescent="0.25">
      <c r="A2026">
        <v>2023</v>
      </c>
      <c r="B2026" t="s">
        <v>24</v>
      </c>
      <c r="C2026" t="s">
        <v>1038</v>
      </c>
      <c r="D2026" s="4">
        <v>45438</v>
      </c>
      <c r="E2026" t="s">
        <v>369</v>
      </c>
      <c r="F2026" t="s">
        <v>75</v>
      </c>
      <c r="I2026" s="6">
        <v>0</v>
      </c>
      <c r="J2026" s="6">
        <v>0</v>
      </c>
      <c r="K2026" s="6">
        <v>0</v>
      </c>
      <c r="L2026" s="6">
        <v>1</v>
      </c>
      <c r="M2026" s="6">
        <v>0</v>
      </c>
      <c r="N2026" s="6">
        <v>1</v>
      </c>
      <c r="O2026" s="6">
        <v>0</v>
      </c>
      <c r="P2026" s="6">
        <v>0</v>
      </c>
      <c r="Q2026">
        <v>1</v>
      </c>
      <c r="R2026">
        <f t="shared" si="155"/>
        <v>0</v>
      </c>
      <c r="S2026">
        <f t="shared" si="156"/>
        <v>1</v>
      </c>
      <c r="T2026">
        <f t="shared" si="157"/>
        <v>2</v>
      </c>
      <c r="U2026">
        <f t="shared" si="158"/>
        <v>1</v>
      </c>
      <c r="V2026">
        <f t="shared" si="159"/>
        <v>0</v>
      </c>
    </row>
    <row r="2027" spans="1:22" x14ac:dyDescent="0.25">
      <c r="A2027">
        <v>2024</v>
      </c>
      <c r="B2027" t="s">
        <v>24</v>
      </c>
      <c r="C2027" t="s">
        <v>1038</v>
      </c>
      <c r="D2027" s="4">
        <v>45438</v>
      </c>
      <c r="E2027" t="s">
        <v>485</v>
      </c>
      <c r="F2027" t="s">
        <v>75</v>
      </c>
      <c r="I2027" s="6">
        <v>1</v>
      </c>
      <c r="J2027" s="6">
        <v>0</v>
      </c>
      <c r="K2027" s="6">
        <v>1</v>
      </c>
      <c r="L2027" s="6">
        <v>1</v>
      </c>
      <c r="M2027" s="6">
        <v>1</v>
      </c>
      <c r="N2027" s="6">
        <v>1</v>
      </c>
      <c r="O2027" s="6">
        <v>1</v>
      </c>
      <c r="P2027" s="6">
        <v>0</v>
      </c>
      <c r="Q2027">
        <v>1</v>
      </c>
      <c r="R2027">
        <f t="shared" si="155"/>
        <v>0</v>
      </c>
      <c r="S2027">
        <f t="shared" si="156"/>
        <v>1</v>
      </c>
      <c r="T2027">
        <f t="shared" si="157"/>
        <v>6</v>
      </c>
      <c r="U2027">
        <f t="shared" si="158"/>
        <v>1</v>
      </c>
      <c r="V2027">
        <f t="shared" si="159"/>
        <v>0</v>
      </c>
    </row>
    <row r="2028" spans="1:22" x14ac:dyDescent="0.25">
      <c r="A2028">
        <v>2025</v>
      </c>
      <c r="B2028" t="s">
        <v>24</v>
      </c>
      <c r="C2028" t="s">
        <v>1038</v>
      </c>
      <c r="D2028" s="4">
        <v>45439</v>
      </c>
      <c r="E2028" t="s">
        <v>1018</v>
      </c>
      <c r="F2028" t="s">
        <v>75</v>
      </c>
      <c r="I2028" s="6">
        <v>0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>
        <v>1</v>
      </c>
      <c r="R2028">
        <f t="shared" si="155"/>
        <v>0</v>
      </c>
      <c r="S2028">
        <f t="shared" si="156"/>
        <v>1</v>
      </c>
      <c r="T2028">
        <f t="shared" si="157"/>
        <v>0</v>
      </c>
      <c r="U2028">
        <f t="shared" si="158"/>
        <v>0</v>
      </c>
      <c r="V2028">
        <f t="shared" si="159"/>
        <v>0</v>
      </c>
    </row>
    <row r="2029" spans="1:22" x14ac:dyDescent="0.25">
      <c r="A2029">
        <v>2026</v>
      </c>
      <c r="B2029" t="s">
        <v>24</v>
      </c>
      <c r="C2029" t="s">
        <v>1038</v>
      </c>
      <c r="D2029" s="4">
        <v>45439</v>
      </c>
      <c r="E2029" t="s">
        <v>1019</v>
      </c>
      <c r="F2029" t="s">
        <v>75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>
        <v>1</v>
      </c>
      <c r="R2029">
        <f t="shared" si="155"/>
        <v>0</v>
      </c>
      <c r="S2029">
        <f t="shared" si="156"/>
        <v>1</v>
      </c>
      <c r="T2029">
        <f t="shared" si="157"/>
        <v>0</v>
      </c>
      <c r="U2029">
        <f t="shared" si="158"/>
        <v>0</v>
      </c>
      <c r="V2029">
        <f t="shared" si="159"/>
        <v>0</v>
      </c>
    </row>
    <row r="2030" spans="1:22" x14ac:dyDescent="0.25">
      <c r="A2030">
        <v>2027</v>
      </c>
      <c r="B2030" t="s">
        <v>24</v>
      </c>
      <c r="C2030" t="s">
        <v>1038</v>
      </c>
      <c r="D2030" s="4">
        <v>45439</v>
      </c>
      <c r="E2030" t="s">
        <v>1198</v>
      </c>
      <c r="F2030" t="s">
        <v>75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>
        <v>1</v>
      </c>
      <c r="R2030">
        <f t="shared" si="155"/>
        <v>0</v>
      </c>
      <c r="S2030">
        <f t="shared" si="156"/>
        <v>1</v>
      </c>
      <c r="T2030">
        <f t="shared" si="157"/>
        <v>0</v>
      </c>
      <c r="U2030">
        <f t="shared" si="158"/>
        <v>0</v>
      </c>
      <c r="V2030">
        <f t="shared" si="159"/>
        <v>0</v>
      </c>
    </row>
    <row r="2031" spans="1:22" x14ac:dyDescent="0.25">
      <c r="A2031">
        <v>2028</v>
      </c>
      <c r="B2031" t="s">
        <v>24</v>
      </c>
      <c r="C2031" t="s">
        <v>1038</v>
      </c>
      <c r="D2031" s="4">
        <v>45440</v>
      </c>
      <c r="E2031" t="s">
        <v>488</v>
      </c>
      <c r="F2031" t="s">
        <v>75</v>
      </c>
      <c r="I2031" s="6">
        <v>1</v>
      </c>
      <c r="J2031" s="6">
        <v>0</v>
      </c>
      <c r="K2031" s="6">
        <v>1</v>
      </c>
      <c r="L2031" s="6">
        <v>1</v>
      </c>
      <c r="M2031" s="6">
        <v>1</v>
      </c>
      <c r="N2031" s="6">
        <v>1</v>
      </c>
      <c r="O2031" s="6">
        <v>1</v>
      </c>
      <c r="P2031" s="6">
        <v>0</v>
      </c>
      <c r="Q2031">
        <v>1</v>
      </c>
      <c r="R2031">
        <f t="shared" si="155"/>
        <v>0</v>
      </c>
      <c r="S2031">
        <f t="shared" si="156"/>
        <v>1</v>
      </c>
      <c r="T2031">
        <f t="shared" si="157"/>
        <v>6</v>
      </c>
      <c r="U2031">
        <f t="shared" si="158"/>
        <v>1</v>
      </c>
      <c r="V2031">
        <f t="shared" si="159"/>
        <v>0</v>
      </c>
    </row>
    <row r="2032" spans="1:22" x14ac:dyDescent="0.25">
      <c r="A2032">
        <v>2029</v>
      </c>
      <c r="B2032" t="s">
        <v>24</v>
      </c>
      <c r="C2032" t="s">
        <v>1038</v>
      </c>
      <c r="D2032" s="4">
        <v>45440</v>
      </c>
      <c r="E2032" t="s">
        <v>371</v>
      </c>
      <c r="F2032" t="s">
        <v>357</v>
      </c>
      <c r="I2032" s="6"/>
      <c r="J2032" s="6"/>
      <c r="K2032" s="6"/>
      <c r="L2032" s="6"/>
      <c r="M2032" s="6"/>
      <c r="N2032" s="6"/>
      <c r="O2032" s="6"/>
      <c r="P2032" s="6"/>
      <c r="Q2032">
        <v>0</v>
      </c>
      <c r="R2032">
        <f t="shared" si="155"/>
        <v>0</v>
      </c>
      <c r="S2032">
        <f t="shared" si="156"/>
        <v>0</v>
      </c>
      <c r="T2032">
        <f t="shared" si="157"/>
        <v>0</v>
      </c>
      <c r="U2032">
        <f t="shared" si="158"/>
        <v>0</v>
      </c>
      <c r="V2032">
        <f t="shared" si="159"/>
        <v>0</v>
      </c>
    </row>
    <row r="2033" spans="1:22" x14ac:dyDescent="0.25">
      <c r="A2033">
        <v>2030</v>
      </c>
      <c r="B2033" t="s">
        <v>24</v>
      </c>
      <c r="C2033" t="s">
        <v>1038</v>
      </c>
      <c r="D2033" s="4">
        <v>45440</v>
      </c>
      <c r="E2033" t="s">
        <v>895</v>
      </c>
      <c r="F2033" t="s">
        <v>75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>
        <v>1</v>
      </c>
      <c r="Q2033">
        <v>1</v>
      </c>
      <c r="R2033">
        <f t="shared" si="155"/>
        <v>0</v>
      </c>
      <c r="S2033">
        <f t="shared" si="156"/>
        <v>1</v>
      </c>
      <c r="T2033">
        <f t="shared" si="157"/>
        <v>1</v>
      </c>
      <c r="U2033">
        <f t="shared" si="158"/>
        <v>1</v>
      </c>
      <c r="V2033">
        <f t="shared" si="159"/>
        <v>0</v>
      </c>
    </row>
    <row r="2034" spans="1:22" x14ac:dyDescent="0.25">
      <c r="A2034">
        <v>2031</v>
      </c>
      <c r="B2034" t="s">
        <v>24</v>
      </c>
      <c r="C2034" t="s">
        <v>1038</v>
      </c>
      <c r="D2034" s="4">
        <v>45442</v>
      </c>
      <c r="E2034" t="s">
        <v>1099</v>
      </c>
      <c r="F2034" t="s">
        <v>75</v>
      </c>
      <c r="I2034" s="6">
        <v>0</v>
      </c>
      <c r="J2034" s="6">
        <v>0</v>
      </c>
      <c r="K2034" s="6">
        <v>0</v>
      </c>
      <c r="L2034" s="6">
        <v>1</v>
      </c>
      <c r="M2034" s="6">
        <v>0</v>
      </c>
      <c r="N2034" s="6">
        <v>0</v>
      </c>
      <c r="O2034" s="6">
        <v>0</v>
      </c>
      <c r="P2034" s="6">
        <v>1</v>
      </c>
      <c r="Q2034">
        <v>1</v>
      </c>
      <c r="R2034">
        <f t="shared" si="155"/>
        <v>0</v>
      </c>
      <c r="S2034">
        <f t="shared" si="156"/>
        <v>1</v>
      </c>
      <c r="T2034">
        <f t="shared" si="157"/>
        <v>2</v>
      </c>
      <c r="U2034">
        <f t="shared" si="158"/>
        <v>1</v>
      </c>
      <c r="V2034">
        <f t="shared" si="159"/>
        <v>0</v>
      </c>
    </row>
    <row r="2035" spans="1:22" x14ac:dyDescent="0.25">
      <c r="A2035">
        <v>2032</v>
      </c>
      <c r="B2035" t="s">
        <v>24</v>
      </c>
      <c r="C2035" t="s">
        <v>1038</v>
      </c>
      <c r="D2035" s="4">
        <v>45442</v>
      </c>
      <c r="E2035" t="s">
        <v>490</v>
      </c>
      <c r="F2035" t="s">
        <v>75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>
        <v>1</v>
      </c>
      <c r="R2035">
        <f t="shared" si="155"/>
        <v>0</v>
      </c>
      <c r="S2035">
        <f t="shared" si="156"/>
        <v>1</v>
      </c>
      <c r="T2035">
        <f t="shared" si="157"/>
        <v>0</v>
      </c>
      <c r="U2035">
        <f t="shared" si="158"/>
        <v>0</v>
      </c>
      <c r="V2035">
        <f t="shared" si="159"/>
        <v>0</v>
      </c>
    </row>
    <row r="2036" spans="1:22" x14ac:dyDescent="0.25">
      <c r="A2036">
        <v>2033</v>
      </c>
      <c r="B2036" t="s">
        <v>24</v>
      </c>
      <c r="C2036" t="s">
        <v>1038</v>
      </c>
      <c r="D2036" s="4">
        <v>45442</v>
      </c>
      <c r="E2036" t="s">
        <v>1100</v>
      </c>
      <c r="F2036" t="s">
        <v>75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>
        <v>1</v>
      </c>
      <c r="R2036">
        <f t="shared" si="155"/>
        <v>0</v>
      </c>
      <c r="S2036">
        <f t="shared" si="156"/>
        <v>1</v>
      </c>
      <c r="T2036">
        <f t="shared" si="157"/>
        <v>0</v>
      </c>
      <c r="U2036">
        <f t="shared" si="158"/>
        <v>0</v>
      </c>
      <c r="V2036">
        <f t="shared" si="159"/>
        <v>0</v>
      </c>
    </row>
    <row r="2037" spans="1:22" x14ac:dyDescent="0.25">
      <c r="A2037">
        <v>2034</v>
      </c>
      <c r="B2037" t="s">
        <v>24</v>
      </c>
      <c r="C2037" t="s">
        <v>1038</v>
      </c>
      <c r="D2037" s="4">
        <v>45442</v>
      </c>
      <c r="E2037" t="s">
        <v>1101</v>
      </c>
      <c r="F2037" t="s">
        <v>75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>
        <v>1</v>
      </c>
      <c r="R2037">
        <f t="shared" si="155"/>
        <v>0</v>
      </c>
      <c r="S2037">
        <f t="shared" si="156"/>
        <v>1</v>
      </c>
      <c r="T2037">
        <f t="shared" si="157"/>
        <v>0</v>
      </c>
      <c r="U2037">
        <f t="shared" si="158"/>
        <v>0</v>
      </c>
      <c r="V2037">
        <f t="shared" si="159"/>
        <v>0</v>
      </c>
    </row>
    <row r="2038" spans="1:22" x14ac:dyDescent="0.25">
      <c r="A2038">
        <v>2035</v>
      </c>
      <c r="B2038" t="s">
        <v>24</v>
      </c>
      <c r="C2038" t="s">
        <v>1038</v>
      </c>
      <c r="D2038" s="4">
        <v>45442</v>
      </c>
      <c r="E2038" t="s">
        <v>1490</v>
      </c>
      <c r="F2038" t="s">
        <v>75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>
        <v>1</v>
      </c>
      <c r="R2038">
        <f t="shared" si="155"/>
        <v>0</v>
      </c>
      <c r="S2038">
        <f t="shared" si="156"/>
        <v>1</v>
      </c>
      <c r="T2038">
        <f t="shared" si="157"/>
        <v>0</v>
      </c>
      <c r="U2038">
        <f t="shared" si="158"/>
        <v>0</v>
      </c>
      <c r="V2038">
        <f t="shared" si="159"/>
        <v>0</v>
      </c>
    </row>
    <row r="2039" spans="1:22" x14ac:dyDescent="0.25">
      <c r="A2039">
        <v>2036</v>
      </c>
      <c r="B2039" t="s">
        <v>24</v>
      </c>
      <c r="C2039" t="s">
        <v>1038</v>
      </c>
      <c r="D2039" s="4">
        <v>45442</v>
      </c>
      <c r="E2039" t="s">
        <v>1204</v>
      </c>
      <c r="F2039" t="s">
        <v>75</v>
      </c>
      <c r="I2039" s="6">
        <v>0</v>
      </c>
      <c r="J2039" s="6">
        <v>0</v>
      </c>
      <c r="K2039" s="6">
        <v>0</v>
      </c>
      <c r="L2039" s="6">
        <v>1</v>
      </c>
      <c r="M2039" s="6">
        <v>0</v>
      </c>
      <c r="N2039" s="6">
        <v>0</v>
      </c>
      <c r="O2039" s="6">
        <v>0</v>
      </c>
      <c r="P2039" s="6">
        <v>0</v>
      </c>
      <c r="Q2039">
        <v>1</v>
      </c>
      <c r="R2039">
        <f t="shared" si="155"/>
        <v>0</v>
      </c>
      <c r="S2039">
        <f t="shared" si="156"/>
        <v>1</v>
      </c>
      <c r="T2039">
        <f t="shared" si="157"/>
        <v>1</v>
      </c>
      <c r="U2039">
        <f t="shared" si="158"/>
        <v>1</v>
      </c>
      <c r="V2039">
        <f t="shared" si="159"/>
        <v>0</v>
      </c>
    </row>
    <row r="2040" spans="1:22" x14ac:dyDescent="0.25">
      <c r="A2040">
        <v>2037</v>
      </c>
      <c r="B2040" t="s">
        <v>24</v>
      </c>
      <c r="C2040" t="s">
        <v>1038</v>
      </c>
      <c r="D2040" s="4">
        <v>45443</v>
      </c>
      <c r="E2040" t="s">
        <v>896</v>
      </c>
      <c r="F2040" t="s">
        <v>75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>
        <v>1</v>
      </c>
      <c r="R2040">
        <f t="shared" si="155"/>
        <v>0</v>
      </c>
      <c r="S2040">
        <f t="shared" si="156"/>
        <v>1</v>
      </c>
      <c r="T2040">
        <f t="shared" si="157"/>
        <v>0</v>
      </c>
      <c r="U2040">
        <f t="shared" si="158"/>
        <v>0</v>
      </c>
      <c r="V2040">
        <f t="shared" si="159"/>
        <v>0</v>
      </c>
    </row>
    <row r="2041" spans="1:22" x14ac:dyDescent="0.25">
      <c r="A2041">
        <v>2038</v>
      </c>
      <c r="B2041" t="s">
        <v>24</v>
      </c>
      <c r="C2041" t="s">
        <v>1038</v>
      </c>
      <c r="D2041" s="4">
        <v>45443</v>
      </c>
      <c r="E2041" t="s">
        <v>897</v>
      </c>
      <c r="F2041" t="s">
        <v>75</v>
      </c>
      <c r="I2041" s="6">
        <v>1</v>
      </c>
      <c r="J2041" s="6">
        <v>1</v>
      </c>
      <c r="K2041" s="6">
        <v>1</v>
      </c>
      <c r="L2041" s="6">
        <v>0</v>
      </c>
      <c r="M2041" s="6">
        <v>0</v>
      </c>
      <c r="N2041" s="6">
        <v>0</v>
      </c>
      <c r="O2041" s="6">
        <v>0</v>
      </c>
      <c r="P2041" s="6">
        <v>1</v>
      </c>
      <c r="Q2041">
        <v>1</v>
      </c>
      <c r="R2041">
        <f t="shared" si="155"/>
        <v>0</v>
      </c>
      <c r="S2041">
        <f t="shared" si="156"/>
        <v>1</v>
      </c>
      <c r="T2041">
        <f t="shared" si="157"/>
        <v>4</v>
      </c>
      <c r="U2041">
        <f t="shared" si="158"/>
        <v>1</v>
      </c>
      <c r="V2041">
        <f t="shared" si="159"/>
        <v>0</v>
      </c>
    </row>
    <row r="2042" spans="1:22" x14ac:dyDescent="0.25">
      <c r="A2042">
        <v>2039</v>
      </c>
      <c r="B2042" t="s">
        <v>24</v>
      </c>
      <c r="C2042" t="s">
        <v>1038</v>
      </c>
      <c r="D2042" s="4">
        <v>45443</v>
      </c>
      <c r="E2042" t="s">
        <v>898</v>
      </c>
      <c r="F2042" t="s">
        <v>75</v>
      </c>
      <c r="I2042" s="6">
        <v>0</v>
      </c>
      <c r="J2042" s="6">
        <v>0</v>
      </c>
      <c r="K2042" s="6">
        <v>1</v>
      </c>
      <c r="L2042" s="6">
        <v>1</v>
      </c>
      <c r="M2042" s="6">
        <v>1</v>
      </c>
      <c r="N2042" s="6">
        <v>0</v>
      </c>
      <c r="O2042" s="6">
        <v>0</v>
      </c>
      <c r="P2042" s="6">
        <v>0</v>
      </c>
      <c r="Q2042">
        <v>1</v>
      </c>
      <c r="R2042">
        <f t="shared" si="155"/>
        <v>0</v>
      </c>
      <c r="S2042">
        <f t="shared" si="156"/>
        <v>1</v>
      </c>
      <c r="T2042">
        <f t="shared" si="157"/>
        <v>3</v>
      </c>
      <c r="U2042">
        <f t="shared" si="158"/>
        <v>1</v>
      </c>
      <c r="V2042">
        <f t="shared" si="159"/>
        <v>0</v>
      </c>
    </row>
    <row r="2043" spans="1:22" x14ac:dyDescent="0.25">
      <c r="A2043">
        <v>2040</v>
      </c>
      <c r="B2043" t="s">
        <v>24</v>
      </c>
      <c r="C2043" t="s">
        <v>1038</v>
      </c>
      <c r="D2043" s="4">
        <v>45444</v>
      </c>
      <c r="E2043" t="s">
        <v>376</v>
      </c>
      <c r="F2043" t="s">
        <v>75</v>
      </c>
      <c r="I2043" s="6">
        <v>1</v>
      </c>
      <c r="J2043" s="6">
        <v>0</v>
      </c>
      <c r="K2043" s="6">
        <v>1</v>
      </c>
      <c r="L2043" s="6">
        <v>1</v>
      </c>
      <c r="M2043" s="6">
        <v>1</v>
      </c>
      <c r="N2043" s="6">
        <v>1</v>
      </c>
      <c r="O2043" s="6">
        <v>0</v>
      </c>
      <c r="P2043" s="6">
        <v>1</v>
      </c>
      <c r="Q2043">
        <v>1</v>
      </c>
      <c r="R2043">
        <f t="shared" si="155"/>
        <v>0</v>
      </c>
      <c r="S2043">
        <f t="shared" si="156"/>
        <v>1</v>
      </c>
      <c r="T2043">
        <f t="shared" si="157"/>
        <v>6</v>
      </c>
      <c r="U2043">
        <f t="shared" si="158"/>
        <v>1</v>
      </c>
      <c r="V2043">
        <f t="shared" si="159"/>
        <v>0</v>
      </c>
    </row>
    <row r="2044" spans="1:22" x14ac:dyDescent="0.25">
      <c r="A2044">
        <v>2041</v>
      </c>
      <c r="B2044" t="s">
        <v>24</v>
      </c>
      <c r="C2044" t="s">
        <v>1038</v>
      </c>
      <c r="D2044" s="4">
        <v>45444</v>
      </c>
      <c r="E2044" t="s">
        <v>899</v>
      </c>
      <c r="F2044" t="s">
        <v>75</v>
      </c>
      <c r="I2044" s="6">
        <v>1</v>
      </c>
      <c r="J2044" s="6">
        <v>0</v>
      </c>
      <c r="K2044" s="6">
        <v>1</v>
      </c>
      <c r="L2044" s="6">
        <v>1</v>
      </c>
      <c r="M2044" s="6">
        <v>1</v>
      </c>
      <c r="N2044" s="6">
        <v>1</v>
      </c>
      <c r="O2044" s="6">
        <v>0</v>
      </c>
      <c r="P2044" s="6">
        <v>0</v>
      </c>
      <c r="Q2044">
        <v>1</v>
      </c>
      <c r="R2044">
        <f t="shared" si="155"/>
        <v>0</v>
      </c>
      <c r="S2044">
        <f t="shared" si="156"/>
        <v>1</v>
      </c>
      <c r="T2044">
        <f t="shared" si="157"/>
        <v>5</v>
      </c>
      <c r="U2044">
        <f t="shared" si="158"/>
        <v>1</v>
      </c>
      <c r="V2044">
        <f t="shared" si="159"/>
        <v>0</v>
      </c>
    </row>
    <row r="2045" spans="1:22" x14ac:dyDescent="0.25">
      <c r="A2045">
        <v>2042</v>
      </c>
      <c r="B2045" t="s">
        <v>24</v>
      </c>
      <c r="C2045" t="s">
        <v>1038</v>
      </c>
      <c r="D2045" s="4">
        <v>45444</v>
      </c>
      <c r="E2045" t="s">
        <v>377</v>
      </c>
      <c r="F2045" t="s">
        <v>75</v>
      </c>
      <c r="I2045" s="6">
        <v>0</v>
      </c>
      <c r="J2045" s="6">
        <v>0</v>
      </c>
      <c r="K2045" s="6">
        <v>1</v>
      </c>
      <c r="L2045" s="6">
        <v>1</v>
      </c>
      <c r="M2045" s="6">
        <v>0</v>
      </c>
      <c r="N2045" s="6">
        <v>0</v>
      </c>
      <c r="O2045" s="6">
        <v>0</v>
      </c>
      <c r="P2045" s="6">
        <v>0</v>
      </c>
      <c r="Q2045">
        <v>1</v>
      </c>
      <c r="R2045">
        <f t="shared" si="155"/>
        <v>0</v>
      </c>
      <c r="S2045">
        <f t="shared" si="156"/>
        <v>1</v>
      </c>
      <c r="T2045">
        <f t="shared" si="157"/>
        <v>2</v>
      </c>
      <c r="U2045">
        <f t="shared" si="158"/>
        <v>1</v>
      </c>
      <c r="V2045">
        <f t="shared" si="159"/>
        <v>0</v>
      </c>
    </row>
    <row r="2046" spans="1:22" x14ac:dyDescent="0.25">
      <c r="A2046">
        <v>2043</v>
      </c>
      <c r="B2046" t="s">
        <v>24</v>
      </c>
      <c r="C2046" t="s">
        <v>1038</v>
      </c>
      <c r="D2046" s="4">
        <v>45445</v>
      </c>
      <c r="E2046" t="s">
        <v>380</v>
      </c>
      <c r="F2046" t="s">
        <v>75</v>
      </c>
      <c r="I2046" s="6">
        <v>1</v>
      </c>
      <c r="J2046" s="6">
        <v>0</v>
      </c>
      <c r="K2046" s="6">
        <v>0</v>
      </c>
      <c r="L2046" s="6">
        <v>1</v>
      </c>
      <c r="M2046" s="6">
        <v>1</v>
      </c>
      <c r="N2046" s="6">
        <v>0</v>
      </c>
      <c r="O2046" s="6">
        <v>0</v>
      </c>
      <c r="P2046" s="6">
        <v>0</v>
      </c>
      <c r="Q2046">
        <v>1</v>
      </c>
      <c r="R2046">
        <f t="shared" si="155"/>
        <v>0</v>
      </c>
      <c r="S2046">
        <f t="shared" si="156"/>
        <v>1</v>
      </c>
      <c r="T2046">
        <f t="shared" si="157"/>
        <v>3</v>
      </c>
      <c r="U2046">
        <f t="shared" si="158"/>
        <v>1</v>
      </c>
      <c r="V2046">
        <f t="shared" si="159"/>
        <v>0</v>
      </c>
    </row>
    <row r="2047" spans="1:22" x14ac:dyDescent="0.25">
      <c r="A2047">
        <v>2044</v>
      </c>
      <c r="B2047" t="s">
        <v>24</v>
      </c>
      <c r="C2047" t="s">
        <v>1038</v>
      </c>
      <c r="D2047" s="4">
        <v>45445</v>
      </c>
      <c r="E2047" t="s">
        <v>381</v>
      </c>
      <c r="F2047" t="s">
        <v>75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>
        <v>1</v>
      </c>
      <c r="R2047">
        <f t="shared" si="155"/>
        <v>0</v>
      </c>
      <c r="S2047">
        <f t="shared" si="156"/>
        <v>1</v>
      </c>
      <c r="T2047">
        <f t="shared" si="157"/>
        <v>0</v>
      </c>
      <c r="U2047">
        <f t="shared" si="158"/>
        <v>0</v>
      </c>
      <c r="V2047">
        <f t="shared" si="159"/>
        <v>0</v>
      </c>
    </row>
    <row r="2048" spans="1:22" x14ac:dyDescent="0.25">
      <c r="A2048">
        <v>2045</v>
      </c>
      <c r="B2048" t="s">
        <v>24</v>
      </c>
      <c r="C2048" t="s">
        <v>1038</v>
      </c>
      <c r="D2048" s="4">
        <v>45445</v>
      </c>
      <c r="E2048" t="s">
        <v>382</v>
      </c>
      <c r="F2048" t="s">
        <v>75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>
        <v>1</v>
      </c>
      <c r="R2048">
        <f t="shared" si="155"/>
        <v>0</v>
      </c>
      <c r="S2048">
        <f t="shared" si="156"/>
        <v>1</v>
      </c>
      <c r="T2048">
        <f t="shared" si="157"/>
        <v>0</v>
      </c>
      <c r="U2048">
        <f t="shared" si="158"/>
        <v>0</v>
      </c>
      <c r="V2048">
        <f t="shared" si="159"/>
        <v>0</v>
      </c>
    </row>
    <row r="2049" spans="1:22" x14ac:dyDescent="0.25">
      <c r="A2049">
        <v>2046</v>
      </c>
      <c r="B2049" t="s">
        <v>24</v>
      </c>
      <c r="C2049" t="s">
        <v>1038</v>
      </c>
      <c r="D2049" s="4">
        <v>45445</v>
      </c>
      <c r="E2049" t="s">
        <v>2093</v>
      </c>
      <c r="F2049" t="s">
        <v>75</v>
      </c>
      <c r="I2049" s="6">
        <v>1</v>
      </c>
      <c r="J2049" s="6">
        <v>1</v>
      </c>
      <c r="K2049" s="6">
        <v>1</v>
      </c>
      <c r="L2049" s="6">
        <v>0</v>
      </c>
      <c r="M2049" s="6">
        <v>0</v>
      </c>
      <c r="N2049" s="6">
        <v>1</v>
      </c>
      <c r="O2049" s="6">
        <v>0</v>
      </c>
      <c r="P2049" s="6">
        <v>1</v>
      </c>
      <c r="Q2049">
        <v>1</v>
      </c>
      <c r="R2049">
        <f t="shared" si="155"/>
        <v>0</v>
      </c>
      <c r="S2049">
        <f t="shared" si="156"/>
        <v>1</v>
      </c>
      <c r="T2049">
        <f t="shared" si="157"/>
        <v>5</v>
      </c>
      <c r="U2049">
        <f t="shared" si="158"/>
        <v>1</v>
      </c>
      <c r="V2049">
        <f t="shared" si="159"/>
        <v>0</v>
      </c>
    </row>
    <row r="2050" spans="1:22" x14ac:dyDescent="0.25">
      <c r="A2050">
        <v>2047</v>
      </c>
      <c r="B2050" t="s">
        <v>24</v>
      </c>
      <c r="C2050" t="s">
        <v>1038</v>
      </c>
      <c r="D2050" s="4">
        <v>45445</v>
      </c>
      <c r="E2050" t="s">
        <v>1102</v>
      </c>
      <c r="F2050" t="s">
        <v>75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>
        <v>1</v>
      </c>
      <c r="R2050">
        <f t="shared" si="155"/>
        <v>0</v>
      </c>
      <c r="S2050">
        <f t="shared" si="156"/>
        <v>1</v>
      </c>
      <c r="T2050">
        <f t="shared" si="157"/>
        <v>0</v>
      </c>
      <c r="U2050">
        <f t="shared" si="158"/>
        <v>0</v>
      </c>
      <c r="V2050">
        <f t="shared" si="159"/>
        <v>0</v>
      </c>
    </row>
    <row r="2051" spans="1:22" x14ac:dyDescent="0.25">
      <c r="A2051">
        <v>2048</v>
      </c>
      <c r="B2051" t="s">
        <v>24</v>
      </c>
      <c r="C2051" t="s">
        <v>1038</v>
      </c>
      <c r="D2051" s="4">
        <v>45445</v>
      </c>
      <c r="E2051" t="s">
        <v>1103</v>
      </c>
      <c r="F2051" t="s">
        <v>75</v>
      </c>
      <c r="I2051" s="6">
        <v>1</v>
      </c>
      <c r="J2051" s="6">
        <v>1</v>
      </c>
      <c r="K2051" s="6">
        <v>1</v>
      </c>
      <c r="L2051" s="6">
        <v>1</v>
      </c>
      <c r="M2051" s="6">
        <v>1</v>
      </c>
      <c r="N2051" s="6">
        <v>1</v>
      </c>
      <c r="O2051" s="6">
        <v>1</v>
      </c>
      <c r="P2051" s="6">
        <v>0</v>
      </c>
      <c r="Q2051">
        <v>1</v>
      </c>
      <c r="R2051">
        <f t="shared" ref="R2051:R2114" si="160">IF(AND(Q2051=1,F2051="ai_full"),1,0)</f>
        <v>0</v>
      </c>
      <c r="S2051">
        <f t="shared" ref="S2051:S2114" si="161">IF(AND(Q2051=1,F2051="conventional"),1,0)</f>
        <v>1</v>
      </c>
      <c r="T2051">
        <f t="shared" ref="T2051:T2114" si="162">SUM(I2051:P2051)</f>
        <v>7</v>
      </c>
      <c r="U2051">
        <f t="shared" ref="U2051:U2114" si="163">IF(T2051&gt;=1,1,0)</f>
        <v>1</v>
      </c>
      <c r="V2051">
        <f t="shared" ref="V2051:V2114" si="164">IF(F2051="ai_full",1,0)</f>
        <v>0</v>
      </c>
    </row>
    <row r="2052" spans="1:22" x14ac:dyDescent="0.25">
      <c r="A2052">
        <v>2049</v>
      </c>
      <c r="B2052" t="s">
        <v>24</v>
      </c>
      <c r="C2052" t="s">
        <v>1038</v>
      </c>
      <c r="D2052" s="4">
        <v>45446</v>
      </c>
      <c r="E2052" t="s">
        <v>383</v>
      </c>
      <c r="F2052" t="s">
        <v>75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>
        <v>1</v>
      </c>
      <c r="R2052">
        <f t="shared" si="160"/>
        <v>0</v>
      </c>
      <c r="S2052">
        <f t="shared" si="161"/>
        <v>1</v>
      </c>
      <c r="T2052">
        <f t="shared" si="162"/>
        <v>0</v>
      </c>
      <c r="U2052">
        <f t="shared" si="163"/>
        <v>0</v>
      </c>
      <c r="V2052">
        <f t="shared" si="164"/>
        <v>0</v>
      </c>
    </row>
    <row r="2053" spans="1:22" x14ac:dyDescent="0.25">
      <c r="A2053">
        <v>2050</v>
      </c>
      <c r="B2053" t="s">
        <v>24</v>
      </c>
      <c r="C2053" t="s">
        <v>1038</v>
      </c>
      <c r="D2053" s="4">
        <v>45446</v>
      </c>
      <c r="E2053" t="s">
        <v>384</v>
      </c>
      <c r="F2053" t="s">
        <v>75</v>
      </c>
      <c r="I2053" s="6">
        <v>1</v>
      </c>
      <c r="J2053" s="6">
        <v>0</v>
      </c>
      <c r="K2053" s="6">
        <v>1</v>
      </c>
      <c r="L2053" s="6">
        <v>1</v>
      </c>
      <c r="M2053" s="6">
        <v>1</v>
      </c>
      <c r="N2053" s="6">
        <v>1</v>
      </c>
      <c r="O2053" s="6">
        <v>1</v>
      </c>
      <c r="P2053" s="6">
        <v>0</v>
      </c>
      <c r="Q2053">
        <v>1</v>
      </c>
      <c r="R2053">
        <f t="shared" si="160"/>
        <v>0</v>
      </c>
      <c r="S2053">
        <f t="shared" si="161"/>
        <v>1</v>
      </c>
      <c r="T2053">
        <f t="shared" si="162"/>
        <v>6</v>
      </c>
      <c r="U2053">
        <f t="shared" si="163"/>
        <v>1</v>
      </c>
      <c r="V2053">
        <f t="shared" si="164"/>
        <v>0</v>
      </c>
    </row>
    <row r="2054" spans="1:22" x14ac:dyDescent="0.25">
      <c r="A2054">
        <v>2051</v>
      </c>
      <c r="B2054" t="s">
        <v>24</v>
      </c>
      <c r="C2054" t="s">
        <v>1038</v>
      </c>
      <c r="D2054" s="4">
        <v>45446</v>
      </c>
      <c r="E2054" t="s">
        <v>385</v>
      </c>
      <c r="F2054" t="s">
        <v>75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>
        <v>1</v>
      </c>
      <c r="R2054">
        <f t="shared" si="160"/>
        <v>0</v>
      </c>
      <c r="S2054">
        <f t="shared" si="161"/>
        <v>1</v>
      </c>
      <c r="T2054">
        <f t="shared" si="162"/>
        <v>0</v>
      </c>
      <c r="U2054">
        <f t="shared" si="163"/>
        <v>0</v>
      </c>
      <c r="V2054">
        <f t="shared" si="164"/>
        <v>0</v>
      </c>
    </row>
    <row r="2055" spans="1:22" x14ac:dyDescent="0.25">
      <c r="A2055">
        <v>2052</v>
      </c>
      <c r="B2055" t="s">
        <v>24</v>
      </c>
      <c r="C2055" t="s">
        <v>1038</v>
      </c>
      <c r="D2055" s="4">
        <v>45447</v>
      </c>
      <c r="E2055" t="s">
        <v>387</v>
      </c>
      <c r="F2055" t="s">
        <v>75</v>
      </c>
      <c r="I2055" s="6">
        <v>1</v>
      </c>
      <c r="J2055" s="6">
        <v>0</v>
      </c>
      <c r="K2055" s="6">
        <v>1</v>
      </c>
      <c r="L2055" s="6">
        <v>1</v>
      </c>
      <c r="M2055" s="6">
        <v>1</v>
      </c>
      <c r="N2055" s="6">
        <v>1</v>
      </c>
      <c r="O2055" s="6">
        <v>0</v>
      </c>
      <c r="P2055" s="6">
        <v>0</v>
      </c>
      <c r="Q2055">
        <v>1</v>
      </c>
      <c r="R2055">
        <f t="shared" si="160"/>
        <v>0</v>
      </c>
      <c r="S2055">
        <f t="shared" si="161"/>
        <v>1</v>
      </c>
      <c r="T2055">
        <f t="shared" si="162"/>
        <v>5</v>
      </c>
      <c r="U2055">
        <f t="shared" si="163"/>
        <v>1</v>
      </c>
      <c r="V2055">
        <f t="shared" si="164"/>
        <v>0</v>
      </c>
    </row>
    <row r="2056" spans="1:22" x14ac:dyDescent="0.25">
      <c r="A2056">
        <v>2053</v>
      </c>
      <c r="B2056" t="s">
        <v>24</v>
      </c>
      <c r="C2056" t="s">
        <v>1038</v>
      </c>
      <c r="D2056" s="4">
        <v>45447</v>
      </c>
      <c r="E2056" t="s">
        <v>494</v>
      </c>
      <c r="F2056" t="s">
        <v>75</v>
      </c>
      <c r="I2056" s="6">
        <v>1</v>
      </c>
      <c r="J2056" s="6">
        <v>0</v>
      </c>
      <c r="K2056" s="6">
        <v>0</v>
      </c>
      <c r="L2056" s="6">
        <v>1</v>
      </c>
      <c r="M2056" s="6">
        <v>0</v>
      </c>
      <c r="N2056" s="6">
        <v>1</v>
      </c>
      <c r="O2056" s="6">
        <v>0</v>
      </c>
      <c r="P2056" s="6">
        <v>0</v>
      </c>
      <c r="Q2056">
        <v>1</v>
      </c>
      <c r="R2056">
        <f t="shared" si="160"/>
        <v>0</v>
      </c>
      <c r="S2056">
        <f t="shared" si="161"/>
        <v>1</v>
      </c>
      <c r="T2056">
        <f t="shared" si="162"/>
        <v>3</v>
      </c>
      <c r="U2056">
        <f t="shared" si="163"/>
        <v>1</v>
      </c>
      <c r="V2056">
        <f t="shared" si="164"/>
        <v>0</v>
      </c>
    </row>
    <row r="2057" spans="1:22" x14ac:dyDescent="0.25">
      <c r="A2057">
        <v>2054</v>
      </c>
      <c r="B2057" t="s">
        <v>24</v>
      </c>
      <c r="C2057" t="s">
        <v>1038</v>
      </c>
      <c r="D2057" s="4">
        <v>45447</v>
      </c>
      <c r="E2057" t="s">
        <v>900</v>
      </c>
      <c r="F2057" t="s">
        <v>75</v>
      </c>
      <c r="I2057" s="6">
        <v>0</v>
      </c>
      <c r="J2057" s="6">
        <v>0</v>
      </c>
      <c r="K2057" s="6">
        <v>0</v>
      </c>
      <c r="L2057" s="6">
        <v>1</v>
      </c>
      <c r="M2057" s="6">
        <v>0</v>
      </c>
      <c r="N2057" s="6">
        <v>0</v>
      </c>
      <c r="O2057" s="6">
        <v>0</v>
      </c>
      <c r="P2057" s="6">
        <v>0</v>
      </c>
      <c r="Q2057">
        <v>1</v>
      </c>
      <c r="R2057">
        <f t="shared" si="160"/>
        <v>0</v>
      </c>
      <c r="S2057">
        <f t="shared" si="161"/>
        <v>1</v>
      </c>
      <c r="T2057">
        <f t="shared" si="162"/>
        <v>1</v>
      </c>
      <c r="U2057">
        <f t="shared" si="163"/>
        <v>1</v>
      </c>
      <c r="V2057">
        <f t="shared" si="164"/>
        <v>0</v>
      </c>
    </row>
    <row r="2058" spans="1:22" x14ac:dyDescent="0.25">
      <c r="A2058">
        <v>2055</v>
      </c>
      <c r="B2058" t="s">
        <v>24</v>
      </c>
      <c r="C2058" t="s">
        <v>1038</v>
      </c>
      <c r="D2058" s="4">
        <v>45447</v>
      </c>
      <c r="E2058" t="s">
        <v>1029</v>
      </c>
      <c r="F2058" t="s">
        <v>75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>
        <v>1</v>
      </c>
      <c r="R2058">
        <f t="shared" si="160"/>
        <v>0</v>
      </c>
      <c r="S2058">
        <f t="shared" si="161"/>
        <v>1</v>
      </c>
      <c r="T2058">
        <f t="shared" si="162"/>
        <v>0</v>
      </c>
      <c r="U2058">
        <f t="shared" si="163"/>
        <v>0</v>
      </c>
      <c r="V2058">
        <f t="shared" si="164"/>
        <v>0</v>
      </c>
    </row>
    <row r="2059" spans="1:22" x14ac:dyDescent="0.25">
      <c r="A2059">
        <v>2056</v>
      </c>
      <c r="B2059" t="s">
        <v>24</v>
      </c>
      <c r="C2059" t="s">
        <v>1038</v>
      </c>
      <c r="D2059" s="4">
        <v>45448</v>
      </c>
      <c r="E2059" t="s">
        <v>497</v>
      </c>
      <c r="F2059" t="s">
        <v>75</v>
      </c>
      <c r="I2059" s="6">
        <v>0</v>
      </c>
      <c r="J2059" s="6">
        <v>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>
        <v>1</v>
      </c>
      <c r="R2059">
        <f t="shared" si="160"/>
        <v>0</v>
      </c>
      <c r="S2059">
        <f t="shared" si="161"/>
        <v>1</v>
      </c>
      <c r="T2059">
        <f t="shared" si="162"/>
        <v>0</v>
      </c>
      <c r="U2059">
        <f t="shared" si="163"/>
        <v>0</v>
      </c>
      <c r="V2059">
        <f t="shared" si="164"/>
        <v>0</v>
      </c>
    </row>
    <row r="2060" spans="1:22" x14ac:dyDescent="0.25">
      <c r="A2060">
        <v>2057</v>
      </c>
      <c r="B2060" t="s">
        <v>24</v>
      </c>
      <c r="C2060" t="s">
        <v>1038</v>
      </c>
      <c r="D2060" s="4">
        <v>45448</v>
      </c>
      <c r="E2060" t="s">
        <v>388</v>
      </c>
      <c r="F2060" t="s">
        <v>75</v>
      </c>
      <c r="I2060" s="6">
        <v>1</v>
      </c>
      <c r="J2060" s="6">
        <v>0</v>
      </c>
      <c r="K2060" s="6">
        <v>0</v>
      </c>
      <c r="L2060" s="6">
        <v>1</v>
      </c>
      <c r="M2060" s="6">
        <v>1</v>
      </c>
      <c r="N2060" s="6">
        <v>1</v>
      </c>
      <c r="O2060" s="6">
        <v>0</v>
      </c>
      <c r="P2060" s="6">
        <v>0</v>
      </c>
      <c r="Q2060">
        <v>1</v>
      </c>
      <c r="R2060">
        <f t="shared" si="160"/>
        <v>0</v>
      </c>
      <c r="S2060">
        <f t="shared" si="161"/>
        <v>1</v>
      </c>
      <c r="T2060">
        <f t="shared" si="162"/>
        <v>4</v>
      </c>
      <c r="U2060">
        <f t="shared" si="163"/>
        <v>1</v>
      </c>
      <c r="V2060">
        <f t="shared" si="164"/>
        <v>0</v>
      </c>
    </row>
    <row r="2061" spans="1:22" x14ac:dyDescent="0.25">
      <c r="A2061">
        <v>2058</v>
      </c>
      <c r="B2061" t="s">
        <v>24</v>
      </c>
      <c r="C2061" t="s">
        <v>1038</v>
      </c>
      <c r="D2061" s="4">
        <v>45448</v>
      </c>
      <c r="E2061" t="s">
        <v>500</v>
      </c>
      <c r="F2061" t="s">
        <v>75</v>
      </c>
      <c r="I2061" s="6">
        <v>1</v>
      </c>
      <c r="J2061" s="6">
        <v>0</v>
      </c>
      <c r="K2061" s="6">
        <v>1</v>
      </c>
      <c r="L2061" s="6">
        <v>1</v>
      </c>
      <c r="M2061" s="6">
        <v>1</v>
      </c>
      <c r="N2061" s="6">
        <v>1</v>
      </c>
      <c r="O2061" s="6">
        <v>0</v>
      </c>
      <c r="P2061" s="6">
        <v>0</v>
      </c>
      <c r="Q2061">
        <v>1</v>
      </c>
      <c r="R2061">
        <f t="shared" si="160"/>
        <v>0</v>
      </c>
      <c r="S2061">
        <f t="shared" si="161"/>
        <v>1</v>
      </c>
      <c r="T2061">
        <f t="shared" si="162"/>
        <v>5</v>
      </c>
      <c r="U2061">
        <f t="shared" si="163"/>
        <v>1</v>
      </c>
      <c r="V2061">
        <f t="shared" si="164"/>
        <v>0</v>
      </c>
    </row>
    <row r="2062" spans="1:22" x14ac:dyDescent="0.25">
      <c r="A2062">
        <v>2059</v>
      </c>
      <c r="B2062" t="s">
        <v>24</v>
      </c>
      <c r="C2062" t="s">
        <v>1038</v>
      </c>
      <c r="D2062" s="4">
        <v>45448</v>
      </c>
      <c r="E2062" t="s">
        <v>501</v>
      </c>
      <c r="F2062" t="s">
        <v>75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>
        <v>1</v>
      </c>
      <c r="R2062">
        <f t="shared" si="160"/>
        <v>0</v>
      </c>
      <c r="S2062">
        <f t="shared" si="161"/>
        <v>1</v>
      </c>
      <c r="T2062">
        <f t="shared" si="162"/>
        <v>0</v>
      </c>
      <c r="U2062">
        <f t="shared" si="163"/>
        <v>0</v>
      </c>
      <c r="V2062">
        <f t="shared" si="164"/>
        <v>0</v>
      </c>
    </row>
    <row r="2063" spans="1:22" x14ac:dyDescent="0.25">
      <c r="A2063">
        <v>2060</v>
      </c>
      <c r="B2063" t="s">
        <v>24</v>
      </c>
      <c r="C2063" t="s">
        <v>1038</v>
      </c>
      <c r="D2063" s="4">
        <v>45449</v>
      </c>
      <c r="E2063" t="s">
        <v>389</v>
      </c>
      <c r="F2063" t="s">
        <v>75</v>
      </c>
      <c r="I2063" s="6">
        <v>0</v>
      </c>
      <c r="J2063" s="6">
        <v>0</v>
      </c>
      <c r="K2063" s="6">
        <v>0</v>
      </c>
      <c r="L2063" s="6">
        <v>1</v>
      </c>
      <c r="M2063" s="6">
        <v>0</v>
      </c>
      <c r="N2063" s="6">
        <v>0</v>
      </c>
      <c r="O2063" s="6">
        <v>0</v>
      </c>
      <c r="P2063" s="6">
        <v>0</v>
      </c>
      <c r="Q2063">
        <v>1</v>
      </c>
      <c r="R2063">
        <f t="shared" si="160"/>
        <v>0</v>
      </c>
      <c r="S2063">
        <f t="shared" si="161"/>
        <v>1</v>
      </c>
      <c r="T2063">
        <f t="shared" si="162"/>
        <v>1</v>
      </c>
      <c r="U2063">
        <f t="shared" si="163"/>
        <v>1</v>
      </c>
      <c r="V2063">
        <f t="shared" si="164"/>
        <v>0</v>
      </c>
    </row>
    <row r="2064" spans="1:22" x14ac:dyDescent="0.25">
      <c r="A2064">
        <v>2061</v>
      </c>
      <c r="B2064" t="s">
        <v>24</v>
      </c>
      <c r="C2064" t="s">
        <v>1038</v>
      </c>
      <c r="D2064" s="4">
        <v>45449</v>
      </c>
      <c r="E2064" t="s">
        <v>507</v>
      </c>
      <c r="F2064" t="s">
        <v>413</v>
      </c>
      <c r="G2064">
        <v>101</v>
      </c>
      <c r="I2064" s="6">
        <v>1</v>
      </c>
      <c r="J2064" s="6">
        <v>0</v>
      </c>
      <c r="K2064" s="6">
        <v>0</v>
      </c>
      <c r="L2064" s="6">
        <v>1</v>
      </c>
      <c r="M2064" s="6">
        <v>0</v>
      </c>
      <c r="N2064" s="6">
        <v>1</v>
      </c>
      <c r="O2064" s="6">
        <v>0</v>
      </c>
      <c r="P2064" s="6">
        <v>0</v>
      </c>
      <c r="Q2064">
        <v>1</v>
      </c>
      <c r="R2064">
        <f t="shared" si="160"/>
        <v>1</v>
      </c>
      <c r="S2064">
        <f t="shared" si="161"/>
        <v>0</v>
      </c>
      <c r="T2064">
        <f t="shared" si="162"/>
        <v>3</v>
      </c>
      <c r="U2064">
        <f t="shared" si="163"/>
        <v>1</v>
      </c>
      <c r="V2064">
        <f t="shared" si="164"/>
        <v>1</v>
      </c>
    </row>
    <row r="2065" spans="1:22" x14ac:dyDescent="0.25">
      <c r="A2065">
        <v>2062</v>
      </c>
      <c r="B2065" t="s">
        <v>24</v>
      </c>
      <c r="C2065" t="s">
        <v>1038</v>
      </c>
      <c r="D2065" s="4">
        <v>45449</v>
      </c>
      <c r="E2065" t="s">
        <v>390</v>
      </c>
      <c r="F2065" t="s">
        <v>75</v>
      </c>
      <c r="I2065" s="6">
        <v>0</v>
      </c>
      <c r="J2065" s="6">
        <v>0</v>
      </c>
      <c r="K2065" s="6">
        <v>0</v>
      </c>
      <c r="L2065" s="6">
        <v>1</v>
      </c>
      <c r="M2065" s="6">
        <v>0</v>
      </c>
      <c r="N2065" s="6">
        <v>0</v>
      </c>
      <c r="O2065" s="6">
        <v>0</v>
      </c>
      <c r="P2065" s="6">
        <v>1</v>
      </c>
      <c r="Q2065">
        <v>1</v>
      </c>
      <c r="R2065">
        <f t="shared" si="160"/>
        <v>0</v>
      </c>
      <c r="S2065">
        <f t="shared" si="161"/>
        <v>1</v>
      </c>
      <c r="T2065">
        <f t="shared" si="162"/>
        <v>2</v>
      </c>
      <c r="U2065">
        <f t="shared" si="163"/>
        <v>1</v>
      </c>
      <c r="V2065">
        <f t="shared" si="164"/>
        <v>0</v>
      </c>
    </row>
    <row r="2066" spans="1:22" x14ac:dyDescent="0.25">
      <c r="A2066">
        <v>2063</v>
      </c>
      <c r="B2066" t="s">
        <v>24</v>
      </c>
      <c r="C2066" t="s">
        <v>1038</v>
      </c>
      <c r="D2066" s="4">
        <v>45449</v>
      </c>
      <c r="E2066" t="s">
        <v>391</v>
      </c>
      <c r="F2066" t="s">
        <v>75</v>
      </c>
      <c r="I2066" s="6">
        <v>1</v>
      </c>
      <c r="J2066" s="6">
        <v>1</v>
      </c>
      <c r="K2066" s="6">
        <v>1</v>
      </c>
      <c r="L2066" s="6">
        <v>0</v>
      </c>
      <c r="M2066" s="6">
        <v>0</v>
      </c>
      <c r="N2066" s="6">
        <v>1</v>
      </c>
      <c r="O2066" s="6">
        <v>0</v>
      </c>
      <c r="P2066" s="6">
        <v>0</v>
      </c>
      <c r="Q2066">
        <v>1</v>
      </c>
      <c r="R2066">
        <f t="shared" si="160"/>
        <v>0</v>
      </c>
      <c r="S2066">
        <f t="shared" si="161"/>
        <v>1</v>
      </c>
      <c r="T2066">
        <f t="shared" si="162"/>
        <v>4</v>
      </c>
      <c r="U2066">
        <f t="shared" si="163"/>
        <v>1</v>
      </c>
      <c r="V2066">
        <f t="shared" si="164"/>
        <v>0</v>
      </c>
    </row>
    <row r="2067" spans="1:22" x14ac:dyDescent="0.25">
      <c r="A2067">
        <v>2064</v>
      </c>
      <c r="B2067" t="s">
        <v>24</v>
      </c>
      <c r="C2067" t="s">
        <v>1038</v>
      </c>
      <c r="D2067" s="4">
        <v>45449</v>
      </c>
      <c r="E2067" t="s">
        <v>508</v>
      </c>
      <c r="F2067" t="s">
        <v>75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>
        <v>1</v>
      </c>
      <c r="R2067">
        <f t="shared" si="160"/>
        <v>0</v>
      </c>
      <c r="S2067">
        <f t="shared" si="161"/>
        <v>1</v>
      </c>
      <c r="T2067">
        <f t="shared" si="162"/>
        <v>0</v>
      </c>
      <c r="U2067">
        <f t="shared" si="163"/>
        <v>0</v>
      </c>
      <c r="V2067">
        <f t="shared" si="164"/>
        <v>0</v>
      </c>
    </row>
    <row r="2068" spans="1:22" x14ac:dyDescent="0.25">
      <c r="A2068">
        <v>2065</v>
      </c>
      <c r="B2068" t="s">
        <v>24</v>
      </c>
      <c r="C2068" t="s">
        <v>1038</v>
      </c>
      <c r="D2068" s="4">
        <v>45450</v>
      </c>
      <c r="E2068" t="s">
        <v>392</v>
      </c>
      <c r="F2068" t="s">
        <v>75</v>
      </c>
      <c r="I2068" s="6">
        <v>1</v>
      </c>
      <c r="J2068" s="6">
        <v>1</v>
      </c>
      <c r="K2068" s="6">
        <v>0</v>
      </c>
      <c r="L2068" s="6">
        <v>1</v>
      </c>
      <c r="M2068" s="6">
        <v>1</v>
      </c>
      <c r="N2068" s="6">
        <v>1</v>
      </c>
      <c r="O2068" s="6">
        <v>1</v>
      </c>
      <c r="P2068" s="6">
        <v>0</v>
      </c>
      <c r="Q2068">
        <v>1</v>
      </c>
      <c r="R2068">
        <f t="shared" si="160"/>
        <v>0</v>
      </c>
      <c r="S2068">
        <f t="shared" si="161"/>
        <v>1</v>
      </c>
      <c r="T2068">
        <f t="shared" si="162"/>
        <v>6</v>
      </c>
      <c r="U2068">
        <f t="shared" si="163"/>
        <v>1</v>
      </c>
      <c r="V2068">
        <f t="shared" si="164"/>
        <v>0</v>
      </c>
    </row>
    <row r="2069" spans="1:22" x14ac:dyDescent="0.25">
      <c r="A2069">
        <v>2066</v>
      </c>
      <c r="B2069" t="s">
        <v>24</v>
      </c>
      <c r="C2069" t="s">
        <v>1038</v>
      </c>
      <c r="D2069" s="4">
        <v>45450</v>
      </c>
      <c r="E2069" t="s">
        <v>515</v>
      </c>
      <c r="F2069" t="s">
        <v>75</v>
      </c>
      <c r="I2069" s="6">
        <v>1</v>
      </c>
      <c r="J2069" s="6">
        <v>0</v>
      </c>
      <c r="K2069" s="6">
        <v>1</v>
      </c>
      <c r="L2069" s="6">
        <v>1</v>
      </c>
      <c r="M2069" s="6">
        <v>0</v>
      </c>
      <c r="N2069" s="6">
        <v>1</v>
      </c>
      <c r="O2069" s="6">
        <v>0</v>
      </c>
      <c r="P2069" s="6">
        <v>0</v>
      </c>
      <c r="Q2069">
        <v>1</v>
      </c>
      <c r="R2069">
        <f t="shared" si="160"/>
        <v>0</v>
      </c>
      <c r="S2069">
        <f t="shared" si="161"/>
        <v>1</v>
      </c>
      <c r="T2069">
        <f t="shared" si="162"/>
        <v>4</v>
      </c>
      <c r="U2069">
        <f t="shared" si="163"/>
        <v>1</v>
      </c>
      <c r="V2069">
        <f t="shared" si="164"/>
        <v>0</v>
      </c>
    </row>
    <row r="2070" spans="1:22" x14ac:dyDescent="0.25">
      <c r="A2070">
        <v>2067</v>
      </c>
      <c r="B2070" t="s">
        <v>24</v>
      </c>
      <c r="C2070" t="s">
        <v>1038</v>
      </c>
      <c r="D2070" s="4">
        <v>45450</v>
      </c>
      <c r="E2070" t="s">
        <v>516</v>
      </c>
      <c r="F2070" t="s">
        <v>75</v>
      </c>
      <c r="I2070" s="6">
        <v>0</v>
      </c>
      <c r="J2070" s="6">
        <v>0</v>
      </c>
      <c r="K2070" s="6">
        <v>1</v>
      </c>
      <c r="L2070" s="6">
        <v>1</v>
      </c>
      <c r="M2070" s="6">
        <v>0</v>
      </c>
      <c r="N2070" s="6">
        <v>1</v>
      </c>
      <c r="O2070" s="6">
        <v>0</v>
      </c>
      <c r="P2070" s="6">
        <v>0</v>
      </c>
      <c r="Q2070">
        <v>1</v>
      </c>
      <c r="R2070">
        <f t="shared" si="160"/>
        <v>0</v>
      </c>
      <c r="S2070">
        <f t="shared" si="161"/>
        <v>1</v>
      </c>
      <c r="T2070">
        <f t="shared" si="162"/>
        <v>3</v>
      </c>
      <c r="U2070">
        <f t="shared" si="163"/>
        <v>1</v>
      </c>
      <c r="V2070">
        <f t="shared" si="164"/>
        <v>0</v>
      </c>
    </row>
    <row r="2071" spans="1:22" x14ac:dyDescent="0.25">
      <c r="A2071">
        <v>2068</v>
      </c>
      <c r="B2071" t="s">
        <v>24</v>
      </c>
      <c r="C2071" t="s">
        <v>1038</v>
      </c>
      <c r="D2071" s="4">
        <v>45450</v>
      </c>
      <c r="E2071" t="s">
        <v>517</v>
      </c>
      <c r="F2071" t="s">
        <v>75</v>
      </c>
      <c r="I2071" s="6">
        <v>0</v>
      </c>
      <c r="J2071" s="6">
        <v>1</v>
      </c>
      <c r="K2071" s="6">
        <v>1</v>
      </c>
      <c r="L2071" s="6">
        <v>1</v>
      </c>
      <c r="M2071" s="6">
        <v>1</v>
      </c>
      <c r="N2071" s="6">
        <v>1</v>
      </c>
      <c r="O2071" s="6">
        <v>0</v>
      </c>
      <c r="P2071" s="6">
        <v>0</v>
      </c>
      <c r="Q2071">
        <v>1</v>
      </c>
      <c r="R2071">
        <f t="shared" si="160"/>
        <v>0</v>
      </c>
      <c r="S2071">
        <f t="shared" si="161"/>
        <v>1</v>
      </c>
      <c r="T2071">
        <f t="shared" si="162"/>
        <v>5</v>
      </c>
      <c r="U2071">
        <f t="shared" si="163"/>
        <v>1</v>
      </c>
      <c r="V2071">
        <f t="shared" si="164"/>
        <v>0</v>
      </c>
    </row>
    <row r="2072" spans="1:22" x14ac:dyDescent="0.25">
      <c r="A2072">
        <v>2069</v>
      </c>
      <c r="B2072" t="s">
        <v>24</v>
      </c>
      <c r="C2072" t="s">
        <v>1038</v>
      </c>
      <c r="D2072" s="4">
        <v>45452</v>
      </c>
      <c r="E2072" t="s">
        <v>398</v>
      </c>
      <c r="F2072" t="s">
        <v>75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>
        <v>1</v>
      </c>
      <c r="R2072">
        <f t="shared" si="160"/>
        <v>0</v>
      </c>
      <c r="S2072">
        <f t="shared" si="161"/>
        <v>1</v>
      </c>
      <c r="T2072">
        <f t="shared" si="162"/>
        <v>0</v>
      </c>
      <c r="U2072">
        <f t="shared" si="163"/>
        <v>0</v>
      </c>
      <c r="V2072">
        <f t="shared" si="164"/>
        <v>0</v>
      </c>
    </row>
    <row r="2073" spans="1:22" x14ac:dyDescent="0.25">
      <c r="A2073">
        <v>2070</v>
      </c>
      <c r="B2073" t="s">
        <v>24</v>
      </c>
      <c r="C2073" t="s">
        <v>1038</v>
      </c>
      <c r="D2073" s="4">
        <v>45452</v>
      </c>
      <c r="E2073" t="s">
        <v>399</v>
      </c>
      <c r="F2073" t="s">
        <v>75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>
        <v>1</v>
      </c>
      <c r="R2073">
        <f t="shared" si="160"/>
        <v>0</v>
      </c>
      <c r="S2073">
        <f t="shared" si="161"/>
        <v>1</v>
      </c>
      <c r="T2073">
        <f t="shared" si="162"/>
        <v>0</v>
      </c>
      <c r="U2073">
        <f t="shared" si="163"/>
        <v>0</v>
      </c>
      <c r="V2073">
        <f t="shared" si="164"/>
        <v>0</v>
      </c>
    </row>
    <row r="2074" spans="1:22" x14ac:dyDescent="0.25">
      <c r="A2074">
        <v>2071</v>
      </c>
      <c r="B2074" t="s">
        <v>24</v>
      </c>
      <c r="C2074" t="s">
        <v>1038</v>
      </c>
      <c r="D2074" s="4">
        <v>45452</v>
      </c>
      <c r="E2074" t="s">
        <v>902</v>
      </c>
      <c r="F2074" t="s">
        <v>75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>
        <v>1</v>
      </c>
      <c r="R2074">
        <f t="shared" si="160"/>
        <v>0</v>
      </c>
      <c r="S2074">
        <f t="shared" si="161"/>
        <v>1</v>
      </c>
      <c r="T2074">
        <f t="shared" si="162"/>
        <v>0</v>
      </c>
      <c r="U2074">
        <f t="shared" si="163"/>
        <v>0</v>
      </c>
      <c r="V2074">
        <f t="shared" si="164"/>
        <v>0</v>
      </c>
    </row>
    <row r="2075" spans="1:22" x14ac:dyDescent="0.25">
      <c r="A2075">
        <v>2072</v>
      </c>
      <c r="B2075" t="s">
        <v>22</v>
      </c>
      <c r="C2075" t="s">
        <v>1038</v>
      </c>
      <c r="D2075" s="4">
        <v>45329</v>
      </c>
      <c r="E2075" t="s">
        <v>403</v>
      </c>
      <c r="F2075" t="s">
        <v>75</v>
      </c>
      <c r="I2075" s="6"/>
      <c r="J2075" s="6"/>
      <c r="K2075" s="6"/>
      <c r="L2075" s="6"/>
      <c r="M2075" s="6"/>
      <c r="N2075" s="6"/>
      <c r="O2075" s="6"/>
      <c r="P2075" s="6"/>
      <c r="Q2075">
        <v>0</v>
      </c>
      <c r="R2075">
        <f t="shared" si="160"/>
        <v>0</v>
      </c>
      <c r="S2075">
        <f t="shared" si="161"/>
        <v>0</v>
      </c>
      <c r="T2075">
        <f t="shared" si="162"/>
        <v>0</v>
      </c>
      <c r="U2075">
        <f t="shared" si="163"/>
        <v>0</v>
      </c>
      <c r="V2075">
        <f t="shared" si="164"/>
        <v>0</v>
      </c>
    </row>
    <row r="2076" spans="1:22" x14ac:dyDescent="0.25">
      <c r="A2076">
        <v>2073</v>
      </c>
      <c r="B2076" t="s">
        <v>22</v>
      </c>
      <c r="C2076" t="s">
        <v>1038</v>
      </c>
      <c r="D2076" s="4">
        <v>45329</v>
      </c>
      <c r="E2076" t="s">
        <v>404</v>
      </c>
      <c r="F2076" t="s">
        <v>75</v>
      </c>
      <c r="I2076" s="6"/>
      <c r="J2076" s="6"/>
      <c r="K2076" s="6"/>
      <c r="L2076" s="6"/>
      <c r="M2076" s="6"/>
      <c r="N2076" s="6"/>
      <c r="O2076" s="6"/>
      <c r="P2076" s="6"/>
      <c r="Q2076">
        <v>0</v>
      </c>
      <c r="R2076">
        <f t="shared" si="160"/>
        <v>0</v>
      </c>
      <c r="S2076">
        <f t="shared" si="161"/>
        <v>0</v>
      </c>
      <c r="T2076">
        <f t="shared" si="162"/>
        <v>0</v>
      </c>
      <c r="U2076">
        <f t="shared" si="163"/>
        <v>0</v>
      </c>
      <c r="V2076">
        <f t="shared" si="164"/>
        <v>0</v>
      </c>
    </row>
    <row r="2077" spans="1:22" x14ac:dyDescent="0.25">
      <c r="A2077">
        <v>2074</v>
      </c>
      <c r="B2077" t="s">
        <v>22</v>
      </c>
      <c r="C2077" t="s">
        <v>1038</v>
      </c>
      <c r="D2077" s="4">
        <v>45329</v>
      </c>
      <c r="E2077" t="s">
        <v>405</v>
      </c>
      <c r="F2077" t="s">
        <v>75</v>
      </c>
      <c r="I2077" s="6">
        <v>0</v>
      </c>
      <c r="J2077" s="6">
        <v>0</v>
      </c>
      <c r="K2077" s="6">
        <v>0</v>
      </c>
      <c r="L2077" s="6">
        <v>1</v>
      </c>
      <c r="M2077" s="6">
        <v>0</v>
      </c>
      <c r="N2077" s="6">
        <v>1</v>
      </c>
      <c r="O2077" s="6">
        <v>0</v>
      </c>
      <c r="P2077" s="6">
        <v>0</v>
      </c>
      <c r="Q2077">
        <v>1</v>
      </c>
      <c r="R2077">
        <f t="shared" si="160"/>
        <v>0</v>
      </c>
      <c r="S2077">
        <f t="shared" si="161"/>
        <v>1</v>
      </c>
      <c r="T2077">
        <f t="shared" si="162"/>
        <v>2</v>
      </c>
      <c r="U2077">
        <f t="shared" si="163"/>
        <v>1</v>
      </c>
      <c r="V2077">
        <f t="shared" si="164"/>
        <v>0</v>
      </c>
    </row>
    <row r="2078" spans="1:22" x14ac:dyDescent="0.25">
      <c r="A2078">
        <v>2075</v>
      </c>
      <c r="B2078" t="s">
        <v>22</v>
      </c>
      <c r="C2078" t="s">
        <v>1038</v>
      </c>
      <c r="D2078" s="4">
        <v>45329</v>
      </c>
      <c r="E2078" t="s">
        <v>1501</v>
      </c>
      <c r="F2078" t="s">
        <v>75</v>
      </c>
      <c r="I2078" s="6"/>
      <c r="J2078" s="6"/>
      <c r="K2078" s="6"/>
      <c r="L2078" s="6"/>
      <c r="M2078" s="6"/>
      <c r="N2078" s="6"/>
      <c r="O2078" s="6"/>
      <c r="P2078" s="6"/>
      <c r="Q2078">
        <v>0</v>
      </c>
      <c r="R2078">
        <f t="shared" si="160"/>
        <v>0</v>
      </c>
      <c r="S2078">
        <f t="shared" si="161"/>
        <v>0</v>
      </c>
      <c r="T2078">
        <f t="shared" si="162"/>
        <v>0</v>
      </c>
      <c r="U2078">
        <f t="shared" si="163"/>
        <v>0</v>
      </c>
      <c r="V2078">
        <f t="shared" si="164"/>
        <v>0</v>
      </c>
    </row>
    <row r="2079" spans="1:22" x14ac:dyDescent="0.25">
      <c r="A2079">
        <v>2076</v>
      </c>
      <c r="B2079" t="s">
        <v>22</v>
      </c>
      <c r="C2079" t="s">
        <v>1038</v>
      </c>
      <c r="D2079" s="4">
        <v>45329</v>
      </c>
      <c r="E2079" t="s">
        <v>1456</v>
      </c>
      <c r="F2079" t="s">
        <v>75</v>
      </c>
      <c r="I2079" s="6"/>
      <c r="J2079" s="6"/>
      <c r="K2079" s="6"/>
      <c r="L2079" s="6"/>
      <c r="M2079" s="6"/>
      <c r="N2079" s="6"/>
      <c r="O2079" s="6"/>
      <c r="P2079" s="6"/>
      <c r="Q2079">
        <v>0</v>
      </c>
      <c r="R2079">
        <f t="shared" si="160"/>
        <v>0</v>
      </c>
      <c r="S2079">
        <f t="shared" si="161"/>
        <v>0</v>
      </c>
      <c r="T2079">
        <f t="shared" si="162"/>
        <v>0</v>
      </c>
      <c r="U2079">
        <f t="shared" si="163"/>
        <v>0</v>
      </c>
      <c r="V2079">
        <f t="shared" si="164"/>
        <v>0</v>
      </c>
    </row>
    <row r="2080" spans="1:22" x14ac:dyDescent="0.25">
      <c r="A2080">
        <v>2077</v>
      </c>
      <c r="B2080" t="s">
        <v>22</v>
      </c>
      <c r="C2080" t="s">
        <v>1038</v>
      </c>
      <c r="D2080" s="4">
        <v>45329</v>
      </c>
      <c r="E2080" t="s">
        <v>2303</v>
      </c>
      <c r="F2080" t="s">
        <v>75</v>
      </c>
      <c r="I2080" s="6">
        <v>0</v>
      </c>
      <c r="J2080" s="6">
        <v>0</v>
      </c>
      <c r="K2080" s="6">
        <v>0</v>
      </c>
      <c r="L2080" s="6">
        <v>1</v>
      </c>
      <c r="M2080" s="6">
        <v>1</v>
      </c>
      <c r="N2080" s="6">
        <v>1</v>
      </c>
      <c r="O2080" s="6">
        <v>0</v>
      </c>
      <c r="P2080" s="6">
        <v>0</v>
      </c>
      <c r="Q2080">
        <v>1</v>
      </c>
      <c r="R2080">
        <f t="shared" si="160"/>
        <v>0</v>
      </c>
      <c r="S2080">
        <f t="shared" si="161"/>
        <v>1</v>
      </c>
      <c r="T2080">
        <f t="shared" si="162"/>
        <v>3</v>
      </c>
      <c r="U2080">
        <f t="shared" si="163"/>
        <v>1</v>
      </c>
      <c r="V2080">
        <f t="shared" si="164"/>
        <v>0</v>
      </c>
    </row>
    <row r="2081" spans="1:22" x14ac:dyDescent="0.25">
      <c r="A2081">
        <v>2078</v>
      </c>
      <c r="B2081" t="s">
        <v>22</v>
      </c>
      <c r="C2081" t="s">
        <v>1038</v>
      </c>
      <c r="D2081" s="4">
        <v>45329</v>
      </c>
      <c r="E2081" t="s">
        <v>2672</v>
      </c>
      <c r="F2081" t="s">
        <v>75</v>
      </c>
      <c r="I2081" s="6"/>
      <c r="J2081" s="6"/>
      <c r="K2081" s="6"/>
      <c r="L2081" s="6"/>
      <c r="M2081" s="6"/>
      <c r="N2081" s="6"/>
      <c r="O2081" s="6"/>
      <c r="P2081" s="6"/>
      <c r="Q2081">
        <v>0</v>
      </c>
      <c r="R2081">
        <f t="shared" si="160"/>
        <v>0</v>
      </c>
      <c r="S2081">
        <f t="shared" si="161"/>
        <v>0</v>
      </c>
      <c r="T2081">
        <f t="shared" si="162"/>
        <v>0</v>
      </c>
      <c r="U2081">
        <f t="shared" si="163"/>
        <v>0</v>
      </c>
      <c r="V2081">
        <f t="shared" si="164"/>
        <v>0</v>
      </c>
    </row>
    <row r="2082" spans="1:22" x14ac:dyDescent="0.25">
      <c r="A2082">
        <v>2079</v>
      </c>
      <c r="B2082" t="s">
        <v>22</v>
      </c>
      <c r="C2082" t="s">
        <v>1038</v>
      </c>
      <c r="D2082" s="4">
        <v>45329</v>
      </c>
      <c r="E2082" t="s">
        <v>1104</v>
      </c>
      <c r="F2082" t="s">
        <v>75</v>
      </c>
      <c r="I2082" s="6">
        <v>0</v>
      </c>
      <c r="J2082" s="6">
        <v>0</v>
      </c>
      <c r="K2082" s="6">
        <v>0</v>
      </c>
      <c r="L2082" s="6">
        <v>1</v>
      </c>
      <c r="M2082" s="6">
        <v>1</v>
      </c>
      <c r="N2082" s="6">
        <v>1</v>
      </c>
      <c r="O2082" s="6">
        <v>0</v>
      </c>
      <c r="P2082" s="6">
        <v>0</v>
      </c>
      <c r="Q2082">
        <v>1</v>
      </c>
      <c r="R2082">
        <f t="shared" si="160"/>
        <v>0</v>
      </c>
      <c r="S2082">
        <f t="shared" si="161"/>
        <v>1</v>
      </c>
      <c r="T2082">
        <f t="shared" si="162"/>
        <v>3</v>
      </c>
      <c r="U2082">
        <f t="shared" si="163"/>
        <v>1</v>
      </c>
      <c r="V2082">
        <f t="shared" si="164"/>
        <v>0</v>
      </c>
    </row>
    <row r="2083" spans="1:22" x14ac:dyDescent="0.25">
      <c r="A2083">
        <v>2080</v>
      </c>
      <c r="B2083" t="s">
        <v>22</v>
      </c>
      <c r="C2083" t="s">
        <v>1038</v>
      </c>
      <c r="D2083" s="4">
        <v>45330</v>
      </c>
      <c r="E2083" t="s">
        <v>836</v>
      </c>
      <c r="F2083" t="s">
        <v>75</v>
      </c>
      <c r="I2083" s="6"/>
      <c r="J2083" s="6"/>
      <c r="K2083" s="6"/>
      <c r="L2083" s="6"/>
      <c r="M2083" s="6"/>
      <c r="N2083" s="6"/>
      <c r="O2083" s="6"/>
      <c r="P2083" s="6"/>
      <c r="Q2083">
        <v>0</v>
      </c>
      <c r="R2083">
        <f t="shared" si="160"/>
        <v>0</v>
      </c>
      <c r="S2083">
        <f t="shared" si="161"/>
        <v>0</v>
      </c>
      <c r="T2083">
        <f t="shared" si="162"/>
        <v>0</v>
      </c>
      <c r="U2083">
        <f t="shared" si="163"/>
        <v>0</v>
      </c>
      <c r="V2083">
        <f t="shared" si="164"/>
        <v>0</v>
      </c>
    </row>
    <row r="2084" spans="1:22" x14ac:dyDescent="0.25">
      <c r="A2084">
        <v>2081</v>
      </c>
      <c r="B2084" t="s">
        <v>22</v>
      </c>
      <c r="C2084" t="s">
        <v>1038</v>
      </c>
      <c r="D2084" s="4">
        <v>45330</v>
      </c>
      <c r="E2084" t="s">
        <v>406</v>
      </c>
      <c r="F2084" t="s">
        <v>75</v>
      </c>
      <c r="I2084" s="6"/>
      <c r="J2084" s="6"/>
      <c r="K2084" s="6"/>
      <c r="L2084" s="6"/>
      <c r="M2084" s="6"/>
      <c r="N2084" s="6"/>
      <c r="O2084" s="6"/>
      <c r="P2084" s="6"/>
      <c r="Q2084">
        <v>0</v>
      </c>
      <c r="R2084">
        <f t="shared" si="160"/>
        <v>0</v>
      </c>
      <c r="S2084">
        <f t="shared" si="161"/>
        <v>0</v>
      </c>
      <c r="T2084">
        <f t="shared" si="162"/>
        <v>0</v>
      </c>
      <c r="U2084">
        <f t="shared" si="163"/>
        <v>0</v>
      </c>
      <c r="V2084">
        <f t="shared" si="164"/>
        <v>0</v>
      </c>
    </row>
    <row r="2085" spans="1:22" x14ac:dyDescent="0.25">
      <c r="A2085">
        <v>2082</v>
      </c>
      <c r="B2085" t="s">
        <v>22</v>
      </c>
      <c r="C2085" t="s">
        <v>1038</v>
      </c>
      <c r="D2085" s="4">
        <v>45330</v>
      </c>
      <c r="E2085" t="s">
        <v>407</v>
      </c>
      <c r="F2085" t="s">
        <v>75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>
        <v>1</v>
      </c>
      <c r="R2085">
        <f t="shared" si="160"/>
        <v>0</v>
      </c>
      <c r="S2085">
        <f t="shared" si="161"/>
        <v>1</v>
      </c>
      <c r="T2085">
        <f t="shared" si="162"/>
        <v>0</v>
      </c>
      <c r="U2085">
        <f t="shared" si="163"/>
        <v>0</v>
      </c>
      <c r="V2085">
        <f t="shared" si="164"/>
        <v>0</v>
      </c>
    </row>
    <row r="2086" spans="1:22" x14ac:dyDescent="0.25">
      <c r="A2086">
        <v>2083</v>
      </c>
      <c r="B2086" t="s">
        <v>22</v>
      </c>
      <c r="C2086" t="s">
        <v>1038</v>
      </c>
      <c r="D2086" s="4">
        <v>45330</v>
      </c>
      <c r="E2086" t="s">
        <v>2302</v>
      </c>
      <c r="F2086" t="s">
        <v>75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1</v>
      </c>
      <c r="O2086" s="6">
        <v>0</v>
      </c>
      <c r="P2086" s="6">
        <v>0</v>
      </c>
      <c r="Q2086">
        <v>1</v>
      </c>
      <c r="R2086">
        <f t="shared" si="160"/>
        <v>0</v>
      </c>
      <c r="S2086">
        <f t="shared" si="161"/>
        <v>1</v>
      </c>
      <c r="T2086">
        <f t="shared" si="162"/>
        <v>1</v>
      </c>
      <c r="U2086">
        <f t="shared" si="163"/>
        <v>1</v>
      </c>
      <c r="V2086">
        <f t="shared" si="164"/>
        <v>0</v>
      </c>
    </row>
    <row r="2087" spans="1:22" x14ac:dyDescent="0.25">
      <c r="A2087">
        <v>2084</v>
      </c>
      <c r="B2087" t="s">
        <v>22</v>
      </c>
      <c r="C2087" t="s">
        <v>1038</v>
      </c>
      <c r="D2087" s="4">
        <v>45330</v>
      </c>
      <c r="E2087" t="s">
        <v>2301</v>
      </c>
      <c r="F2087" t="s">
        <v>75</v>
      </c>
      <c r="I2087" s="6"/>
      <c r="J2087" s="6"/>
      <c r="K2087" s="6"/>
      <c r="L2087" s="6"/>
      <c r="M2087" s="6"/>
      <c r="N2087" s="6"/>
      <c r="O2087" s="6"/>
      <c r="P2087" s="6"/>
      <c r="Q2087">
        <v>0</v>
      </c>
      <c r="R2087">
        <f t="shared" si="160"/>
        <v>0</v>
      </c>
      <c r="S2087">
        <f t="shared" si="161"/>
        <v>0</v>
      </c>
      <c r="T2087">
        <f t="shared" si="162"/>
        <v>0</v>
      </c>
      <c r="U2087">
        <f t="shared" si="163"/>
        <v>0</v>
      </c>
      <c r="V2087">
        <f t="shared" si="164"/>
        <v>0</v>
      </c>
    </row>
    <row r="2088" spans="1:22" x14ac:dyDescent="0.25">
      <c r="A2088">
        <v>2085</v>
      </c>
      <c r="B2088" t="s">
        <v>22</v>
      </c>
      <c r="C2088" t="s">
        <v>1038</v>
      </c>
      <c r="D2088" s="4">
        <v>45330</v>
      </c>
      <c r="E2088" t="s">
        <v>1502</v>
      </c>
      <c r="F2088" t="s">
        <v>75</v>
      </c>
      <c r="I2088" s="6">
        <v>1</v>
      </c>
      <c r="J2088" s="6">
        <v>0</v>
      </c>
      <c r="K2088" s="6">
        <v>1</v>
      </c>
      <c r="L2088" s="6">
        <v>1</v>
      </c>
      <c r="M2088" s="6">
        <v>0</v>
      </c>
      <c r="N2088" s="6">
        <v>0</v>
      </c>
      <c r="O2088" s="6">
        <v>1</v>
      </c>
      <c r="P2088" s="6">
        <v>0</v>
      </c>
      <c r="Q2088">
        <v>1</v>
      </c>
      <c r="R2088">
        <f t="shared" si="160"/>
        <v>0</v>
      </c>
      <c r="S2088">
        <f t="shared" si="161"/>
        <v>1</v>
      </c>
      <c r="T2088">
        <f t="shared" si="162"/>
        <v>4</v>
      </c>
      <c r="U2088">
        <f t="shared" si="163"/>
        <v>1</v>
      </c>
      <c r="V2088">
        <f t="shared" si="164"/>
        <v>0</v>
      </c>
    </row>
    <row r="2089" spans="1:22" x14ac:dyDescent="0.25">
      <c r="A2089">
        <v>2086</v>
      </c>
      <c r="B2089" t="s">
        <v>22</v>
      </c>
      <c r="C2089" t="s">
        <v>1038</v>
      </c>
      <c r="D2089" s="4">
        <v>45331</v>
      </c>
      <c r="E2089" t="s">
        <v>1039</v>
      </c>
      <c r="F2089" t="s">
        <v>75</v>
      </c>
      <c r="I2089" s="6"/>
      <c r="J2089" s="6"/>
      <c r="K2089" s="6"/>
      <c r="L2089" s="6"/>
      <c r="M2089" s="6"/>
      <c r="N2089" s="6"/>
      <c r="O2089" s="6"/>
      <c r="P2089" s="6"/>
      <c r="Q2089">
        <v>0</v>
      </c>
      <c r="R2089">
        <f t="shared" si="160"/>
        <v>0</v>
      </c>
      <c r="S2089">
        <f t="shared" si="161"/>
        <v>0</v>
      </c>
      <c r="T2089">
        <f t="shared" si="162"/>
        <v>0</v>
      </c>
      <c r="U2089">
        <f t="shared" si="163"/>
        <v>0</v>
      </c>
      <c r="V2089">
        <f t="shared" si="164"/>
        <v>0</v>
      </c>
    </row>
    <row r="2090" spans="1:22" x14ac:dyDescent="0.25">
      <c r="A2090">
        <v>2087</v>
      </c>
      <c r="B2090" t="s">
        <v>22</v>
      </c>
      <c r="C2090" t="s">
        <v>1038</v>
      </c>
      <c r="D2090" s="4">
        <v>45331</v>
      </c>
      <c r="E2090" t="s">
        <v>1105</v>
      </c>
      <c r="F2090" t="s">
        <v>75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6">
        <v>1</v>
      </c>
      <c r="O2090" s="6">
        <v>1</v>
      </c>
      <c r="P2090" s="6">
        <v>0</v>
      </c>
      <c r="Q2090">
        <v>1</v>
      </c>
      <c r="R2090">
        <f t="shared" si="160"/>
        <v>0</v>
      </c>
      <c r="S2090">
        <f t="shared" si="161"/>
        <v>1</v>
      </c>
      <c r="T2090">
        <f t="shared" si="162"/>
        <v>2</v>
      </c>
      <c r="U2090">
        <f t="shared" si="163"/>
        <v>1</v>
      </c>
      <c r="V2090">
        <f t="shared" si="164"/>
        <v>0</v>
      </c>
    </row>
    <row r="2091" spans="1:22" x14ac:dyDescent="0.25">
      <c r="A2091">
        <v>2088</v>
      </c>
      <c r="B2091" t="s">
        <v>22</v>
      </c>
      <c r="C2091" t="s">
        <v>1038</v>
      </c>
      <c r="D2091" s="4">
        <v>45331</v>
      </c>
      <c r="E2091" t="s">
        <v>2300</v>
      </c>
      <c r="F2091" t="s">
        <v>75</v>
      </c>
      <c r="I2091" s="6"/>
      <c r="J2091" s="6"/>
      <c r="K2091" s="6"/>
      <c r="L2091" s="6"/>
      <c r="M2091" s="6"/>
      <c r="N2091" s="6"/>
      <c r="O2091" s="6"/>
      <c r="P2091" s="6"/>
      <c r="Q2091">
        <v>0</v>
      </c>
      <c r="R2091">
        <f t="shared" si="160"/>
        <v>0</v>
      </c>
      <c r="S2091">
        <f t="shared" si="161"/>
        <v>0</v>
      </c>
      <c r="T2091">
        <f t="shared" si="162"/>
        <v>0</v>
      </c>
      <c r="U2091">
        <f t="shared" si="163"/>
        <v>0</v>
      </c>
      <c r="V2091">
        <f t="shared" si="164"/>
        <v>0</v>
      </c>
    </row>
    <row r="2092" spans="1:22" x14ac:dyDescent="0.25">
      <c r="A2092">
        <v>2089</v>
      </c>
      <c r="B2092" t="s">
        <v>22</v>
      </c>
      <c r="C2092" t="s">
        <v>1038</v>
      </c>
      <c r="D2092" s="4">
        <v>45331</v>
      </c>
      <c r="E2092" t="s">
        <v>2299</v>
      </c>
      <c r="F2092" t="s">
        <v>75</v>
      </c>
      <c r="I2092" s="6"/>
      <c r="J2092" s="6"/>
      <c r="K2092" s="6"/>
      <c r="L2092" s="6"/>
      <c r="M2092" s="6"/>
      <c r="N2092" s="6"/>
      <c r="O2092" s="6"/>
      <c r="P2092" s="6"/>
      <c r="Q2092">
        <v>0</v>
      </c>
      <c r="R2092">
        <f t="shared" si="160"/>
        <v>0</v>
      </c>
      <c r="S2092">
        <f t="shared" si="161"/>
        <v>0</v>
      </c>
      <c r="T2092">
        <f t="shared" si="162"/>
        <v>0</v>
      </c>
      <c r="U2092">
        <f t="shared" si="163"/>
        <v>0</v>
      </c>
      <c r="V2092">
        <f t="shared" si="164"/>
        <v>0</v>
      </c>
    </row>
    <row r="2093" spans="1:22" x14ac:dyDescent="0.25">
      <c r="A2093">
        <v>2090</v>
      </c>
      <c r="B2093" t="s">
        <v>22</v>
      </c>
      <c r="C2093" t="s">
        <v>1038</v>
      </c>
      <c r="D2093" s="4">
        <v>45332</v>
      </c>
      <c r="E2093" t="s">
        <v>1106</v>
      </c>
      <c r="F2093" t="s">
        <v>75</v>
      </c>
      <c r="I2093" s="6">
        <v>0</v>
      </c>
      <c r="J2093" s="6">
        <v>0</v>
      </c>
      <c r="K2093" s="6">
        <v>1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>
        <v>1</v>
      </c>
      <c r="R2093">
        <f t="shared" si="160"/>
        <v>0</v>
      </c>
      <c r="S2093">
        <f t="shared" si="161"/>
        <v>1</v>
      </c>
      <c r="T2093">
        <f t="shared" si="162"/>
        <v>1</v>
      </c>
      <c r="U2093">
        <f t="shared" si="163"/>
        <v>1</v>
      </c>
      <c r="V2093">
        <f t="shared" si="164"/>
        <v>0</v>
      </c>
    </row>
    <row r="2094" spans="1:22" x14ac:dyDescent="0.25">
      <c r="A2094">
        <v>2091</v>
      </c>
      <c r="B2094" t="s">
        <v>22</v>
      </c>
      <c r="C2094" t="s">
        <v>1038</v>
      </c>
      <c r="D2094" s="4">
        <v>45332</v>
      </c>
      <c r="E2094" t="s">
        <v>1040</v>
      </c>
      <c r="F2094" t="s">
        <v>75</v>
      </c>
      <c r="I2094" s="6"/>
      <c r="J2094" s="6"/>
      <c r="K2094" s="6"/>
      <c r="L2094" s="6"/>
      <c r="M2094" s="6"/>
      <c r="N2094" s="6"/>
      <c r="O2094" s="6"/>
      <c r="P2094" s="6"/>
      <c r="Q2094">
        <v>0</v>
      </c>
      <c r="R2094">
        <f t="shared" si="160"/>
        <v>0</v>
      </c>
      <c r="S2094">
        <f t="shared" si="161"/>
        <v>0</v>
      </c>
      <c r="T2094">
        <f t="shared" si="162"/>
        <v>0</v>
      </c>
      <c r="U2094">
        <f t="shared" si="163"/>
        <v>0</v>
      </c>
      <c r="V2094">
        <f t="shared" si="164"/>
        <v>0</v>
      </c>
    </row>
    <row r="2095" spans="1:22" x14ac:dyDescent="0.25">
      <c r="A2095">
        <v>2092</v>
      </c>
      <c r="B2095" t="s">
        <v>22</v>
      </c>
      <c r="C2095" t="s">
        <v>1038</v>
      </c>
      <c r="D2095" s="4">
        <v>45332</v>
      </c>
      <c r="E2095" t="s">
        <v>2295</v>
      </c>
      <c r="F2095" t="s">
        <v>75</v>
      </c>
      <c r="I2095" s="6"/>
      <c r="J2095" s="6"/>
      <c r="K2095" s="6"/>
      <c r="L2095" s="6"/>
      <c r="M2095" s="6"/>
      <c r="N2095" s="6"/>
      <c r="O2095" s="6"/>
      <c r="P2095" s="6"/>
      <c r="Q2095">
        <v>0</v>
      </c>
      <c r="R2095">
        <f t="shared" si="160"/>
        <v>0</v>
      </c>
      <c r="S2095">
        <f t="shared" si="161"/>
        <v>0</v>
      </c>
      <c r="T2095">
        <f t="shared" si="162"/>
        <v>0</v>
      </c>
      <c r="U2095">
        <f t="shared" si="163"/>
        <v>0</v>
      </c>
      <c r="V2095">
        <f t="shared" si="164"/>
        <v>0</v>
      </c>
    </row>
    <row r="2096" spans="1:22" x14ac:dyDescent="0.25">
      <c r="A2096">
        <v>2093</v>
      </c>
      <c r="B2096" t="s">
        <v>22</v>
      </c>
      <c r="C2096" t="s">
        <v>1038</v>
      </c>
      <c r="D2096" s="4">
        <v>45332</v>
      </c>
      <c r="E2096" t="s">
        <v>1504</v>
      </c>
      <c r="F2096" t="s">
        <v>75</v>
      </c>
      <c r="I2096" s="6"/>
      <c r="J2096" s="6"/>
      <c r="K2096" s="6"/>
      <c r="L2096" s="6"/>
      <c r="M2096" s="6"/>
      <c r="N2096" s="6"/>
      <c r="O2096" s="6"/>
      <c r="P2096" s="6"/>
      <c r="Q2096">
        <v>0</v>
      </c>
      <c r="R2096">
        <f t="shared" si="160"/>
        <v>0</v>
      </c>
      <c r="S2096">
        <f t="shared" si="161"/>
        <v>0</v>
      </c>
      <c r="T2096">
        <f t="shared" si="162"/>
        <v>0</v>
      </c>
      <c r="U2096">
        <f t="shared" si="163"/>
        <v>0</v>
      </c>
      <c r="V2096">
        <f t="shared" si="164"/>
        <v>0</v>
      </c>
    </row>
    <row r="2097" spans="1:22" x14ac:dyDescent="0.25">
      <c r="A2097">
        <v>2094</v>
      </c>
      <c r="B2097" t="s">
        <v>22</v>
      </c>
      <c r="C2097" t="s">
        <v>1038</v>
      </c>
      <c r="D2097" s="4">
        <v>45332</v>
      </c>
      <c r="E2097" t="s">
        <v>2294</v>
      </c>
      <c r="F2097" t="s">
        <v>75</v>
      </c>
      <c r="I2097" s="6"/>
      <c r="J2097" s="6"/>
      <c r="K2097" s="6"/>
      <c r="L2097" s="6"/>
      <c r="M2097" s="6"/>
      <c r="N2097" s="6"/>
      <c r="O2097" s="6"/>
      <c r="P2097" s="6"/>
      <c r="Q2097">
        <v>0</v>
      </c>
      <c r="R2097">
        <f t="shared" si="160"/>
        <v>0</v>
      </c>
      <c r="S2097">
        <f t="shared" si="161"/>
        <v>0</v>
      </c>
      <c r="T2097">
        <f t="shared" si="162"/>
        <v>0</v>
      </c>
      <c r="U2097">
        <f t="shared" si="163"/>
        <v>0</v>
      </c>
      <c r="V2097">
        <f t="shared" si="164"/>
        <v>0</v>
      </c>
    </row>
    <row r="2098" spans="1:22" x14ac:dyDescent="0.25">
      <c r="A2098">
        <v>2095</v>
      </c>
      <c r="B2098" t="s">
        <v>22</v>
      </c>
      <c r="C2098" t="s">
        <v>1038</v>
      </c>
      <c r="D2098" s="4">
        <v>45332</v>
      </c>
      <c r="E2098" t="s">
        <v>2293</v>
      </c>
      <c r="F2098" t="s">
        <v>75</v>
      </c>
      <c r="I2098" s="6">
        <v>0</v>
      </c>
      <c r="J2098" s="6">
        <v>0</v>
      </c>
      <c r="K2098" s="6">
        <v>1</v>
      </c>
      <c r="L2098" s="6">
        <v>0</v>
      </c>
      <c r="M2098" s="6">
        <v>1</v>
      </c>
      <c r="N2098" s="6">
        <v>0</v>
      </c>
      <c r="O2098" s="6">
        <v>0</v>
      </c>
      <c r="P2098" s="6">
        <v>0</v>
      </c>
      <c r="Q2098">
        <v>1</v>
      </c>
      <c r="R2098">
        <f t="shared" si="160"/>
        <v>0</v>
      </c>
      <c r="S2098">
        <f t="shared" si="161"/>
        <v>1</v>
      </c>
      <c r="T2098">
        <f t="shared" si="162"/>
        <v>2</v>
      </c>
      <c r="U2098">
        <f t="shared" si="163"/>
        <v>1</v>
      </c>
      <c r="V2098">
        <f t="shared" si="164"/>
        <v>0</v>
      </c>
    </row>
    <row r="2099" spans="1:22" x14ac:dyDescent="0.25">
      <c r="A2099">
        <v>2096</v>
      </c>
      <c r="B2099" t="s">
        <v>22</v>
      </c>
      <c r="C2099" t="s">
        <v>1038</v>
      </c>
      <c r="D2099" s="4">
        <v>45333</v>
      </c>
      <c r="E2099" t="s">
        <v>904</v>
      </c>
      <c r="F2099" t="s">
        <v>75</v>
      </c>
      <c r="I2099" s="6"/>
      <c r="J2099" s="6"/>
      <c r="K2099" s="6"/>
      <c r="L2099" s="6"/>
      <c r="M2099" s="6"/>
      <c r="N2099" s="6"/>
      <c r="O2099" s="6"/>
      <c r="P2099" s="6"/>
      <c r="Q2099">
        <v>0</v>
      </c>
      <c r="R2099">
        <f t="shared" si="160"/>
        <v>0</v>
      </c>
      <c r="S2099">
        <f t="shared" si="161"/>
        <v>0</v>
      </c>
      <c r="T2099">
        <f t="shared" si="162"/>
        <v>0</v>
      </c>
      <c r="U2099">
        <f t="shared" si="163"/>
        <v>0</v>
      </c>
      <c r="V2099">
        <f t="shared" si="164"/>
        <v>0</v>
      </c>
    </row>
    <row r="2100" spans="1:22" x14ac:dyDescent="0.25">
      <c r="A2100">
        <v>2097</v>
      </c>
      <c r="B2100" t="s">
        <v>22</v>
      </c>
      <c r="C2100" t="s">
        <v>1038</v>
      </c>
      <c r="D2100" s="4">
        <v>45333</v>
      </c>
      <c r="E2100" t="s">
        <v>905</v>
      </c>
      <c r="F2100" t="s">
        <v>75</v>
      </c>
      <c r="I2100" s="6"/>
      <c r="J2100" s="6"/>
      <c r="K2100" s="6"/>
      <c r="L2100" s="6"/>
      <c r="M2100" s="6"/>
      <c r="N2100" s="6"/>
      <c r="O2100" s="6"/>
      <c r="P2100" s="6"/>
      <c r="Q2100">
        <v>0</v>
      </c>
      <c r="R2100">
        <f t="shared" si="160"/>
        <v>0</v>
      </c>
      <c r="S2100">
        <f t="shared" si="161"/>
        <v>0</v>
      </c>
      <c r="T2100">
        <f t="shared" si="162"/>
        <v>0</v>
      </c>
      <c r="U2100">
        <f t="shared" si="163"/>
        <v>0</v>
      </c>
      <c r="V2100">
        <f t="shared" si="164"/>
        <v>0</v>
      </c>
    </row>
    <row r="2101" spans="1:22" x14ac:dyDescent="0.25">
      <c r="A2101">
        <v>2098</v>
      </c>
      <c r="B2101" t="s">
        <v>22</v>
      </c>
      <c r="C2101" t="s">
        <v>1038</v>
      </c>
      <c r="D2101" s="4">
        <v>45334</v>
      </c>
      <c r="E2101" t="s">
        <v>2291</v>
      </c>
      <c r="F2101" t="s">
        <v>75</v>
      </c>
      <c r="I2101" s="6"/>
      <c r="J2101" s="6"/>
      <c r="K2101" s="6"/>
      <c r="L2101" s="6"/>
      <c r="M2101" s="6"/>
      <c r="N2101" s="6"/>
      <c r="O2101" s="6"/>
      <c r="P2101" s="6"/>
      <c r="Q2101">
        <v>0</v>
      </c>
      <c r="R2101">
        <f t="shared" si="160"/>
        <v>0</v>
      </c>
      <c r="S2101">
        <f t="shared" si="161"/>
        <v>0</v>
      </c>
      <c r="T2101">
        <f t="shared" si="162"/>
        <v>0</v>
      </c>
      <c r="U2101">
        <f t="shared" si="163"/>
        <v>0</v>
      </c>
      <c r="V2101">
        <f t="shared" si="164"/>
        <v>0</v>
      </c>
    </row>
    <row r="2102" spans="1:22" x14ac:dyDescent="0.25">
      <c r="A2102">
        <v>2099</v>
      </c>
      <c r="B2102" t="s">
        <v>22</v>
      </c>
      <c r="C2102" t="s">
        <v>1038</v>
      </c>
      <c r="D2102" s="4">
        <v>45334</v>
      </c>
      <c r="E2102" t="s">
        <v>2290</v>
      </c>
      <c r="F2102" t="s">
        <v>75</v>
      </c>
      <c r="I2102" s="6">
        <v>0</v>
      </c>
      <c r="J2102" s="6">
        <v>0</v>
      </c>
      <c r="K2102" s="6">
        <v>0</v>
      </c>
      <c r="L2102" s="6">
        <v>1</v>
      </c>
      <c r="M2102" s="6">
        <v>0</v>
      </c>
      <c r="N2102" s="6">
        <v>1</v>
      </c>
      <c r="O2102" s="6">
        <v>0</v>
      </c>
      <c r="P2102" s="6">
        <v>0</v>
      </c>
      <c r="Q2102">
        <v>1</v>
      </c>
      <c r="R2102">
        <f t="shared" si="160"/>
        <v>0</v>
      </c>
      <c r="S2102">
        <f t="shared" si="161"/>
        <v>1</v>
      </c>
      <c r="T2102">
        <f t="shared" si="162"/>
        <v>2</v>
      </c>
      <c r="U2102">
        <f t="shared" si="163"/>
        <v>1</v>
      </c>
      <c r="V2102">
        <f t="shared" si="164"/>
        <v>0</v>
      </c>
    </row>
    <row r="2103" spans="1:22" x14ac:dyDescent="0.25">
      <c r="A2103">
        <v>2100</v>
      </c>
      <c r="B2103" t="s">
        <v>22</v>
      </c>
      <c r="C2103" t="s">
        <v>1038</v>
      </c>
      <c r="D2103" s="4">
        <v>45334</v>
      </c>
      <c r="E2103" t="s">
        <v>1273</v>
      </c>
      <c r="F2103" t="s">
        <v>75</v>
      </c>
      <c r="I2103" s="6">
        <v>0</v>
      </c>
      <c r="J2103" s="6">
        <v>0</v>
      </c>
      <c r="K2103" s="6">
        <v>0</v>
      </c>
      <c r="L2103" s="6">
        <v>1</v>
      </c>
      <c r="M2103" s="6">
        <v>1</v>
      </c>
      <c r="N2103" s="6">
        <v>1</v>
      </c>
      <c r="O2103" s="6">
        <v>1</v>
      </c>
      <c r="P2103" s="6">
        <v>0</v>
      </c>
      <c r="Q2103">
        <v>1</v>
      </c>
      <c r="R2103">
        <f t="shared" si="160"/>
        <v>0</v>
      </c>
      <c r="S2103">
        <f t="shared" si="161"/>
        <v>1</v>
      </c>
      <c r="T2103">
        <f t="shared" si="162"/>
        <v>4</v>
      </c>
      <c r="U2103">
        <f t="shared" si="163"/>
        <v>1</v>
      </c>
      <c r="V2103">
        <f t="shared" si="164"/>
        <v>0</v>
      </c>
    </row>
    <row r="2104" spans="1:22" x14ac:dyDescent="0.25">
      <c r="A2104">
        <v>2101</v>
      </c>
      <c r="B2104" t="s">
        <v>22</v>
      </c>
      <c r="C2104" t="s">
        <v>1038</v>
      </c>
      <c r="D2104" s="4">
        <v>45334</v>
      </c>
      <c r="E2104" t="s">
        <v>2289</v>
      </c>
      <c r="F2104" t="s">
        <v>75</v>
      </c>
      <c r="I2104" s="6"/>
      <c r="J2104" s="6"/>
      <c r="K2104" s="6"/>
      <c r="L2104" s="6"/>
      <c r="M2104" s="6"/>
      <c r="N2104" s="6"/>
      <c r="O2104" s="6"/>
      <c r="P2104" s="6"/>
      <c r="Q2104">
        <v>0</v>
      </c>
      <c r="R2104">
        <f t="shared" si="160"/>
        <v>0</v>
      </c>
      <c r="S2104">
        <f t="shared" si="161"/>
        <v>0</v>
      </c>
      <c r="T2104">
        <f t="shared" si="162"/>
        <v>0</v>
      </c>
      <c r="U2104">
        <f t="shared" si="163"/>
        <v>0</v>
      </c>
      <c r="V2104">
        <f t="shared" si="164"/>
        <v>0</v>
      </c>
    </row>
    <row r="2105" spans="1:22" x14ac:dyDescent="0.25">
      <c r="A2105">
        <v>2102</v>
      </c>
      <c r="B2105" t="s">
        <v>22</v>
      </c>
      <c r="C2105" t="s">
        <v>1038</v>
      </c>
      <c r="D2105" s="4">
        <v>45334</v>
      </c>
      <c r="E2105" t="s">
        <v>1274</v>
      </c>
      <c r="F2105" t="s">
        <v>75</v>
      </c>
      <c r="I2105" s="6"/>
      <c r="J2105" s="6"/>
      <c r="K2105" s="6"/>
      <c r="L2105" s="6"/>
      <c r="M2105" s="6"/>
      <c r="N2105" s="6"/>
      <c r="O2105" s="6"/>
      <c r="P2105" s="6"/>
      <c r="Q2105">
        <v>0</v>
      </c>
      <c r="R2105">
        <f t="shared" si="160"/>
        <v>0</v>
      </c>
      <c r="S2105">
        <f t="shared" si="161"/>
        <v>0</v>
      </c>
      <c r="T2105">
        <f t="shared" si="162"/>
        <v>0</v>
      </c>
      <c r="U2105">
        <f t="shared" si="163"/>
        <v>0</v>
      </c>
      <c r="V2105">
        <f t="shared" si="164"/>
        <v>0</v>
      </c>
    </row>
    <row r="2106" spans="1:22" x14ac:dyDescent="0.25">
      <c r="A2106">
        <v>2103</v>
      </c>
      <c r="B2106" t="s">
        <v>22</v>
      </c>
      <c r="C2106" t="s">
        <v>1038</v>
      </c>
      <c r="D2106" s="4">
        <v>45335</v>
      </c>
      <c r="E2106" t="s">
        <v>411</v>
      </c>
      <c r="F2106" t="s">
        <v>75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>
        <v>1</v>
      </c>
      <c r="R2106">
        <f t="shared" si="160"/>
        <v>0</v>
      </c>
      <c r="S2106">
        <f t="shared" si="161"/>
        <v>1</v>
      </c>
      <c r="T2106">
        <f t="shared" si="162"/>
        <v>0</v>
      </c>
      <c r="U2106">
        <f t="shared" si="163"/>
        <v>0</v>
      </c>
      <c r="V2106">
        <f t="shared" si="164"/>
        <v>0</v>
      </c>
    </row>
    <row r="2107" spans="1:22" x14ac:dyDescent="0.25">
      <c r="A2107">
        <v>2104</v>
      </c>
      <c r="B2107" t="s">
        <v>22</v>
      </c>
      <c r="C2107" t="s">
        <v>1038</v>
      </c>
      <c r="D2107" s="4">
        <v>45335</v>
      </c>
      <c r="E2107" t="s">
        <v>412</v>
      </c>
      <c r="F2107" t="s">
        <v>75</v>
      </c>
      <c r="I2107" s="6"/>
      <c r="J2107" s="6"/>
      <c r="K2107" s="6"/>
      <c r="L2107" s="6"/>
      <c r="M2107" s="6"/>
      <c r="N2107" s="6"/>
      <c r="O2107" s="6"/>
      <c r="P2107" s="6"/>
      <c r="Q2107">
        <v>0</v>
      </c>
      <c r="R2107">
        <f t="shared" si="160"/>
        <v>0</v>
      </c>
      <c r="S2107">
        <f t="shared" si="161"/>
        <v>0</v>
      </c>
      <c r="T2107">
        <f t="shared" si="162"/>
        <v>0</v>
      </c>
      <c r="U2107">
        <f t="shared" si="163"/>
        <v>0</v>
      </c>
      <c r="V2107">
        <f t="shared" si="164"/>
        <v>0</v>
      </c>
    </row>
    <row r="2108" spans="1:22" x14ac:dyDescent="0.25">
      <c r="A2108">
        <v>2105</v>
      </c>
      <c r="B2108" t="s">
        <v>22</v>
      </c>
      <c r="C2108" t="s">
        <v>1038</v>
      </c>
      <c r="D2108" s="4">
        <v>45335</v>
      </c>
      <c r="E2108" t="s">
        <v>414</v>
      </c>
      <c r="F2108" t="s">
        <v>75</v>
      </c>
      <c r="I2108" s="6">
        <v>0</v>
      </c>
      <c r="J2108" s="6">
        <v>0</v>
      </c>
      <c r="K2108" s="6">
        <v>0</v>
      </c>
      <c r="L2108" s="6">
        <v>1</v>
      </c>
      <c r="M2108" s="6">
        <v>0</v>
      </c>
      <c r="N2108" s="6">
        <v>1</v>
      </c>
      <c r="O2108" s="6">
        <v>0</v>
      </c>
      <c r="P2108" s="6">
        <v>0</v>
      </c>
      <c r="Q2108">
        <v>1</v>
      </c>
      <c r="R2108">
        <f t="shared" si="160"/>
        <v>0</v>
      </c>
      <c r="S2108">
        <f t="shared" si="161"/>
        <v>1</v>
      </c>
      <c r="T2108">
        <f t="shared" si="162"/>
        <v>2</v>
      </c>
      <c r="U2108">
        <f t="shared" si="163"/>
        <v>1</v>
      </c>
      <c r="V2108">
        <f t="shared" si="164"/>
        <v>0</v>
      </c>
    </row>
    <row r="2109" spans="1:22" x14ac:dyDescent="0.25">
      <c r="A2109">
        <v>2106</v>
      </c>
      <c r="B2109" t="s">
        <v>22</v>
      </c>
      <c r="C2109" t="s">
        <v>1038</v>
      </c>
      <c r="D2109" s="4">
        <v>45335</v>
      </c>
      <c r="E2109" t="s">
        <v>2288</v>
      </c>
      <c r="F2109" t="s">
        <v>75</v>
      </c>
      <c r="I2109" s="6"/>
      <c r="J2109" s="6"/>
      <c r="K2109" s="6"/>
      <c r="L2109" s="6"/>
      <c r="M2109" s="6"/>
      <c r="N2109" s="6"/>
      <c r="O2109" s="6"/>
      <c r="P2109" s="6"/>
      <c r="Q2109">
        <v>0</v>
      </c>
      <c r="R2109">
        <f t="shared" si="160"/>
        <v>0</v>
      </c>
      <c r="S2109">
        <f t="shared" si="161"/>
        <v>0</v>
      </c>
      <c r="T2109">
        <f t="shared" si="162"/>
        <v>0</v>
      </c>
      <c r="U2109">
        <f t="shared" si="163"/>
        <v>0</v>
      </c>
      <c r="V2109">
        <f t="shared" si="164"/>
        <v>0</v>
      </c>
    </row>
    <row r="2110" spans="1:22" x14ac:dyDescent="0.25">
      <c r="A2110">
        <v>2107</v>
      </c>
      <c r="B2110" t="s">
        <v>22</v>
      </c>
      <c r="C2110" t="s">
        <v>1038</v>
      </c>
      <c r="D2110" s="4">
        <v>45335</v>
      </c>
      <c r="E2110" t="s">
        <v>2287</v>
      </c>
      <c r="F2110" t="s">
        <v>75</v>
      </c>
      <c r="I2110" s="6"/>
      <c r="J2110" s="6"/>
      <c r="K2110" s="6"/>
      <c r="L2110" s="6"/>
      <c r="M2110" s="6"/>
      <c r="N2110" s="6"/>
      <c r="O2110" s="6"/>
      <c r="P2110" s="6"/>
      <c r="Q2110">
        <v>0</v>
      </c>
      <c r="R2110">
        <f t="shared" si="160"/>
        <v>0</v>
      </c>
      <c r="S2110">
        <f t="shared" si="161"/>
        <v>0</v>
      </c>
      <c r="T2110">
        <f t="shared" si="162"/>
        <v>0</v>
      </c>
      <c r="U2110">
        <f t="shared" si="163"/>
        <v>0</v>
      </c>
      <c r="V2110">
        <f t="shared" si="164"/>
        <v>0</v>
      </c>
    </row>
    <row r="2111" spans="1:22" x14ac:dyDescent="0.25">
      <c r="A2111">
        <v>2108</v>
      </c>
      <c r="B2111" t="s">
        <v>22</v>
      </c>
      <c r="C2111" t="s">
        <v>1038</v>
      </c>
      <c r="D2111" s="4">
        <v>45335</v>
      </c>
      <c r="E2111" t="s">
        <v>1107</v>
      </c>
      <c r="F2111" t="s">
        <v>75</v>
      </c>
      <c r="I2111" s="6">
        <v>1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>
        <v>1</v>
      </c>
      <c r="R2111">
        <f t="shared" si="160"/>
        <v>0</v>
      </c>
      <c r="S2111">
        <f t="shared" si="161"/>
        <v>1</v>
      </c>
      <c r="T2111">
        <f t="shared" si="162"/>
        <v>1</v>
      </c>
      <c r="U2111">
        <f t="shared" si="163"/>
        <v>1</v>
      </c>
      <c r="V2111">
        <f t="shared" si="164"/>
        <v>0</v>
      </c>
    </row>
    <row r="2112" spans="1:22" x14ac:dyDescent="0.25">
      <c r="A2112">
        <v>2109</v>
      </c>
      <c r="B2112" t="s">
        <v>22</v>
      </c>
      <c r="C2112" t="s">
        <v>1038</v>
      </c>
      <c r="D2112" s="4">
        <v>45336</v>
      </c>
      <c r="E2112" t="s">
        <v>415</v>
      </c>
      <c r="F2112" t="s">
        <v>75</v>
      </c>
      <c r="I2112" s="6">
        <v>1</v>
      </c>
      <c r="J2112" s="6">
        <v>0</v>
      </c>
      <c r="K2112" s="6">
        <v>1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>
        <v>1</v>
      </c>
      <c r="R2112">
        <f t="shared" si="160"/>
        <v>0</v>
      </c>
      <c r="S2112">
        <f t="shared" si="161"/>
        <v>1</v>
      </c>
      <c r="T2112">
        <f t="shared" si="162"/>
        <v>2</v>
      </c>
      <c r="U2112">
        <f t="shared" si="163"/>
        <v>1</v>
      </c>
      <c r="V2112">
        <f t="shared" si="164"/>
        <v>0</v>
      </c>
    </row>
    <row r="2113" spans="1:22" x14ac:dyDescent="0.25">
      <c r="A2113">
        <v>2110</v>
      </c>
      <c r="B2113" t="s">
        <v>22</v>
      </c>
      <c r="C2113" t="s">
        <v>1038</v>
      </c>
      <c r="D2113" s="4">
        <v>45336</v>
      </c>
      <c r="E2113" t="s">
        <v>416</v>
      </c>
      <c r="F2113" t="s">
        <v>75</v>
      </c>
      <c r="I2113" s="6"/>
      <c r="J2113" s="6"/>
      <c r="K2113" s="6"/>
      <c r="L2113" s="6"/>
      <c r="M2113" s="6"/>
      <c r="N2113" s="6"/>
      <c r="O2113" s="6"/>
      <c r="P2113" s="6"/>
      <c r="Q2113">
        <v>0</v>
      </c>
      <c r="R2113">
        <f t="shared" si="160"/>
        <v>0</v>
      </c>
      <c r="S2113">
        <f t="shared" si="161"/>
        <v>0</v>
      </c>
      <c r="T2113">
        <f t="shared" si="162"/>
        <v>0</v>
      </c>
      <c r="U2113">
        <f t="shared" si="163"/>
        <v>0</v>
      </c>
      <c r="V2113">
        <f t="shared" si="164"/>
        <v>0</v>
      </c>
    </row>
    <row r="2114" spans="1:22" x14ac:dyDescent="0.25">
      <c r="A2114">
        <v>2111</v>
      </c>
      <c r="B2114" t="s">
        <v>22</v>
      </c>
      <c r="C2114" t="s">
        <v>1038</v>
      </c>
      <c r="D2114" s="4">
        <v>45336</v>
      </c>
      <c r="E2114" t="s">
        <v>2286</v>
      </c>
      <c r="F2114" t="s">
        <v>75</v>
      </c>
      <c r="I2114" s="6"/>
      <c r="J2114" s="6"/>
      <c r="K2114" s="6"/>
      <c r="L2114" s="6"/>
      <c r="M2114" s="6"/>
      <c r="N2114" s="6"/>
      <c r="O2114" s="6"/>
      <c r="P2114" s="6"/>
      <c r="Q2114">
        <v>0</v>
      </c>
      <c r="R2114">
        <f t="shared" si="160"/>
        <v>0</v>
      </c>
      <c r="S2114">
        <f t="shared" si="161"/>
        <v>0</v>
      </c>
      <c r="T2114">
        <f t="shared" si="162"/>
        <v>0</v>
      </c>
      <c r="U2114">
        <f t="shared" si="163"/>
        <v>0</v>
      </c>
      <c r="V2114">
        <f t="shared" si="164"/>
        <v>0</v>
      </c>
    </row>
    <row r="2115" spans="1:22" x14ac:dyDescent="0.25">
      <c r="A2115">
        <v>2112</v>
      </c>
      <c r="B2115" t="s">
        <v>22</v>
      </c>
      <c r="C2115" t="s">
        <v>1038</v>
      </c>
      <c r="D2115" s="4">
        <v>45336</v>
      </c>
      <c r="E2115" t="s">
        <v>1108</v>
      </c>
      <c r="F2115" t="s">
        <v>75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>
        <v>1</v>
      </c>
      <c r="R2115">
        <f t="shared" ref="R2115:R2178" si="165">IF(AND(Q2115=1,F2115="ai_full"),1,0)</f>
        <v>0</v>
      </c>
      <c r="S2115">
        <f t="shared" ref="S2115:S2178" si="166">IF(AND(Q2115=1,F2115="conventional"),1,0)</f>
        <v>1</v>
      </c>
      <c r="T2115">
        <f t="shared" ref="T2115:T2178" si="167">SUM(I2115:P2115)</f>
        <v>0</v>
      </c>
      <c r="U2115">
        <f t="shared" ref="U2115:U2178" si="168">IF(T2115&gt;=1,1,0)</f>
        <v>0</v>
      </c>
      <c r="V2115">
        <f t="shared" ref="V2115:V2178" si="169">IF(F2115="ai_full",1,0)</f>
        <v>0</v>
      </c>
    </row>
    <row r="2116" spans="1:22" x14ac:dyDescent="0.25">
      <c r="A2116">
        <v>2113</v>
      </c>
      <c r="B2116" t="s">
        <v>22</v>
      </c>
      <c r="C2116" t="s">
        <v>1038</v>
      </c>
      <c r="D2116" s="4">
        <v>45336</v>
      </c>
      <c r="E2116" t="s">
        <v>1109</v>
      </c>
      <c r="F2116" t="s">
        <v>75</v>
      </c>
      <c r="I2116" s="6">
        <v>0</v>
      </c>
      <c r="J2116" s="6">
        <v>0</v>
      </c>
      <c r="K2116" s="6">
        <v>0</v>
      </c>
      <c r="L2116" s="6">
        <v>1</v>
      </c>
      <c r="M2116" s="6">
        <v>0</v>
      </c>
      <c r="N2116" s="6">
        <v>1</v>
      </c>
      <c r="O2116" s="6">
        <v>0</v>
      </c>
      <c r="P2116" s="6">
        <v>0</v>
      </c>
      <c r="Q2116">
        <v>1</v>
      </c>
      <c r="R2116">
        <f t="shared" si="165"/>
        <v>0</v>
      </c>
      <c r="S2116">
        <f t="shared" si="166"/>
        <v>1</v>
      </c>
      <c r="T2116">
        <f t="shared" si="167"/>
        <v>2</v>
      </c>
      <c r="U2116">
        <f t="shared" si="168"/>
        <v>1</v>
      </c>
      <c r="V2116">
        <f t="shared" si="169"/>
        <v>0</v>
      </c>
    </row>
    <row r="2117" spans="1:22" x14ac:dyDescent="0.25">
      <c r="A2117">
        <v>2114</v>
      </c>
      <c r="B2117" t="s">
        <v>22</v>
      </c>
      <c r="C2117" t="s">
        <v>1038</v>
      </c>
      <c r="D2117" s="4">
        <v>45336</v>
      </c>
      <c r="E2117" t="s">
        <v>2285</v>
      </c>
      <c r="F2117" t="s">
        <v>75</v>
      </c>
      <c r="I2117" s="6"/>
      <c r="J2117" s="6"/>
      <c r="K2117" s="6"/>
      <c r="L2117" s="6"/>
      <c r="M2117" s="6"/>
      <c r="N2117" s="6"/>
      <c r="O2117" s="6"/>
      <c r="P2117" s="6"/>
      <c r="Q2117">
        <v>0</v>
      </c>
      <c r="R2117">
        <f t="shared" si="165"/>
        <v>0</v>
      </c>
      <c r="S2117">
        <f t="shared" si="166"/>
        <v>0</v>
      </c>
      <c r="T2117">
        <f t="shared" si="167"/>
        <v>0</v>
      </c>
      <c r="U2117">
        <f t="shared" si="168"/>
        <v>0</v>
      </c>
      <c r="V2117">
        <f t="shared" si="169"/>
        <v>0</v>
      </c>
    </row>
    <row r="2118" spans="1:22" x14ac:dyDescent="0.25">
      <c r="A2118">
        <v>2115</v>
      </c>
      <c r="B2118" t="s">
        <v>22</v>
      </c>
      <c r="C2118" t="s">
        <v>1038</v>
      </c>
      <c r="D2118" s="4">
        <v>45337</v>
      </c>
      <c r="E2118" t="s">
        <v>1110</v>
      </c>
      <c r="F2118" t="s">
        <v>75</v>
      </c>
      <c r="I2118" s="6">
        <v>0</v>
      </c>
      <c r="J2118" s="6">
        <v>0</v>
      </c>
      <c r="K2118" s="6">
        <v>0</v>
      </c>
      <c r="L2118" s="6">
        <v>1</v>
      </c>
      <c r="M2118" s="6">
        <v>0</v>
      </c>
      <c r="N2118" s="6">
        <v>0</v>
      </c>
      <c r="O2118" s="6">
        <v>1</v>
      </c>
      <c r="P2118" s="6">
        <v>0</v>
      </c>
      <c r="Q2118">
        <v>1</v>
      </c>
      <c r="R2118">
        <f t="shared" si="165"/>
        <v>0</v>
      </c>
      <c r="S2118">
        <f t="shared" si="166"/>
        <v>1</v>
      </c>
      <c r="T2118">
        <f t="shared" si="167"/>
        <v>2</v>
      </c>
      <c r="U2118">
        <f t="shared" si="168"/>
        <v>1</v>
      </c>
      <c r="V2118">
        <f t="shared" si="169"/>
        <v>0</v>
      </c>
    </row>
    <row r="2119" spans="1:22" x14ac:dyDescent="0.25">
      <c r="A2119">
        <v>2116</v>
      </c>
      <c r="B2119" t="s">
        <v>22</v>
      </c>
      <c r="C2119" t="s">
        <v>1038</v>
      </c>
      <c r="D2119" s="4">
        <v>45337</v>
      </c>
      <c r="E2119" t="s">
        <v>2284</v>
      </c>
      <c r="F2119" t="s">
        <v>75</v>
      </c>
      <c r="I2119" s="6"/>
      <c r="J2119" s="6"/>
      <c r="K2119" s="6"/>
      <c r="L2119" s="6"/>
      <c r="M2119" s="6"/>
      <c r="N2119" s="6"/>
      <c r="O2119" s="6"/>
      <c r="P2119" s="6"/>
      <c r="Q2119">
        <v>0</v>
      </c>
      <c r="R2119">
        <f t="shared" si="165"/>
        <v>0</v>
      </c>
      <c r="S2119">
        <f t="shared" si="166"/>
        <v>0</v>
      </c>
      <c r="T2119">
        <f t="shared" si="167"/>
        <v>0</v>
      </c>
      <c r="U2119">
        <f t="shared" si="168"/>
        <v>0</v>
      </c>
      <c r="V2119">
        <f t="shared" si="169"/>
        <v>0</v>
      </c>
    </row>
    <row r="2120" spans="1:22" x14ac:dyDescent="0.25">
      <c r="A2120">
        <v>2117</v>
      </c>
      <c r="B2120" t="s">
        <v>22</v>
      </c>
      <c r="C2120" t="s">
        <v>1038</v>
      </c>
      <c r="D2120" s="4">
        <v>45337</v>
      </c>
      <c r="E2120" t="s">
        <v>1043</v>
      </c>
      <c r="F2120" t="s">
        <v>75</v>
      </c>
      <c r="I2120" s="6">
        <v>0</v>
      </c>
      <c r="J2120" s="6">
        <v>0</v>
      </c>
      <c r="K2120" s="6">
        <v>1</v>
      </c>
      <c r="L2120" s="6">
        <v>1</v>
      </c>
      <c r="M2120" s="6">
        <v>1</v>
      </c>
      <c r="N2120" s="6">
        <v>1</v>
      </c>
      <c r="O2120" s="6">
        <v>0</v>
      </c>
      <c r="P2120" s="6">
        <v>0</v>
      </c>
      <c r="Q2120">
        <v>1</v>
      </c>
      <c r="R2120">
        <f t="shared" si="165"/>
        <v>0</v>
      </c>
      <c r="S2120">
        <f t="shared" si="166"/>
        <v>1</v>
      </c>
      <c r="T2120">
        <f t="shared" si="167"/>
        <v>4</v>
      </c>
      <c r="U2120">
        <f t="shared" si="168"/>
        <v>1</v>
      </c>
      <c r="V2120">
        <f t="shared" si="169"/>
        <v>0</v>
      </c>
    </row>
    <row r="2121" spans="1:22" x14ac:dyDescent="0.25">
      <c r="A2121">
        <v>2118</v>
      </c>
      <c r="B2121" t="s">
        <v>22</v>
      </c>
      <c r="C2121" t="s">
        <v>1038</v>
      </c>
      <c r="D2121" s="4">
        <v>45337</v>
      </c>
      <c r="E2121" t="s">
        <v>1457</v>
      </c>
      <c r="F2121" t="s">
        <v>75</v>
      </c>
      <c r="I2121" s="6"/>
      <c r="J2121" s="6"/>
      <c r="K2121" s="6"/>
      <c r="L2121" s="6"/>
      <c r="M2121" s="6"/>
      <c r="N2121" s="6"/>
      <c r="O2121" s="6"/>
      <c r="P2121" s="6"/>
      <c r="Q2121">
        <v>0</v>
      </c>
      <c r="R2121">
        <f t="shared" si="165"/>
        <v>0</v>
      </c>
      <c r="S2121">
        <f t="shared" si="166"/>
        <v>0</v>
      </c>
      <c r="T2121">
        <f t="shared" si="167"/>
        <v>0</v>
      </c>
      <c r="U2121">
        <f t="shared" si="168"/>
        <v>0</v>
      </c>
      <c r="V2121">
        <f t="shared" si="169"/>
        <v>0</v>
      </c>
    </row>
    <row r="2122" spans="1:22" x14ac:dyDescent="0.25">
      <c r="A2122">
        <v>2119</v>
      </c>
      <c r="B2122" t="s">
        <v>22</v>
      </c>
      <c r="C2122" t="s">
        <v>1038</v>
      </c>
      <c r="D2122" s="4">
        <v>45337</v>
      </c>
      <c r="E2122" t="s">
        <v>1111</v>
      </c>
      <c r="F2122" t="s">
        <v>75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>
        <v>1</v>
      </c>
      <c r="R2122">
        <f t="shared" si="165"/>
        <v>0</v>
      </c>
      <c r="S2122">
        <f t="shared" si="166"/>
        <v>1</v>
      </c>
      <c r="T2122">
        <f t="shared" si="167"/>
        <v>0</v>
      </c>
      <c r="U2122">
        <f t="shared" si="168"/>
        <v>0</v>
      </c>
      <c r="V2122">
        <f t="shared" si="169"/>
        <v>0</v>
      </c>
    </row>
    <row r="2123" spans="1:22" x14ac:dyDescent="0.25">
      <c r="A2123">
        <v>2120</v>
      </c>
      <c r="B2123" t="s">
        <v>22</v>
      </c>
      <c r="C2123" t="s">
        <v>1038</v>
      </c>
      <c r="D2123" s="4">
        <v>45337</v>
      </c>
      <c r="E2123" t="s">
        <v>2283</v>
      </c>
      <c r="F2123" t="s">
        <v>75</v>
      </c>
      <c r="I2123" s="6"/>
      <c r="J2123" s="6"/>
      <c r="K2123" s="6"/>
      <c r="L2123" s="6"/>
      <c r="M2123" s="6"/>
      <c r="N2123" s="6"/>
      <c r="O2123" s="6"/>
      <c r="P2123" s="6"/>
      <c r="Q2123">
        <v>0</v>
      </c>
      <c r="R2123">
        <f t="shared" si="165"/>
        <v>0</v>
      </c>
      <c r="S2123">
        <f t="shared" si="166"/>
        <v>0</v>
      </c>
      <c r="T2123">
        <f t="shared" si="167"/>
        <v>0</v>
      </c>
      <c r="U2123">
        <f t="shared" si="168"/>
        <v>0</v>
      </c>
      <c r="V2123">
        <f t="shared" si="169"/>
        <v>0</v>
      </c>
    </row>
    <row r="2124" spans="1:22" x14ac:dyDescent="0.25">
      <c r="A2124">
        <v>2121</v>
      </c>
      <c r="B2124" t="s">
        <v>22</v>
      </c>
      <c r="C2124" t="s">
        <v>1038</v>
      </c>
      <c r="D2124" s="4">
        <v>45337</v>
      </c>
      <c r="E2124" t="s">
        <v>2662</v>
      </c>
      <c r="F2124" t="s">
        <v>75</v>
      </c>
      <c r="I2124" s="6">
        <v>0</v>
      </c>
      <c r="J2124" s="6">
        <v>0</v>
      </c>
      <c r="K2124" s="6">
        <v>0</v>
      </c>
      <c r="L2124" s="6">
        <v>1</v>
      </c>
      <c r="M2124" s="6">
        <v>0</v>
      </c>
      <c r="N2124" s="6">
        <v>0</v>
      </c>
      <c r="O2124" s="6">
        <v>1</v>
      </c>
      <c r="P2124" s="6">
        <v>0</v>
      </c>
      <c r="Q2124">
        <v>1</v>
      </c>
      <c r="R2124">
        <f t="shared" si="165"/>
        <v>0</v>
      </c>
      <c r="S2124">
        <f t="shared" si="166"/>
        <v>1</v>
      </c>
      <c r="T2124">
        <f t="shared" si="167"/>
        <v>2</v>
      </c>
      <c r="U2124">
        <f t="shared" si="168"/>
        <v>1</v>
      </c>
      <c r="V2124">
        <f t="shared" si="169"/>
        <v>0</v>
      </c>
    </row>
    <row r="2125" spans="1:22" x14ac:dyDescent="0.25">
      <c r="A2125">
        <v>2122</v>
      </c>
      <c r="B2125" t="s">
        <v>22</v>
      </c>
      <c r="C2125" t="s">
        <v>1038</v>
      </c>
      <c r="D2125" s="4">
        <v>45338</v>
      </c>
      <c r="E2125" t="s">
        <v>1044</v>
      </c>
      <c r="F2125" t="s">
        <v>75</v>
      </c>
      <c r="I2125" s="6"/>
      <c r="J2125" s="6"/>
      <c r="K2125" s="6"/>
      <c r="L2125" s="6"/>
      <c r="M2125" s="6"/>
      <c r="N2125" s="6"/>
      <c r="O2125" s="6"/>
      <c r="P2125" s="6"/>
      <c r="Q2125">
        <v>0</v>
      </c>
      <c r="R2125">
        <f t="shared" si="165"/>
        <v>0</v>
      </c>
      <c r="S2125">
        <f t="shared" si="166"/>
        <v>0</v>
      </c>
      <c r="T2125">
        <f t="shared" si="167"/>
        <v>0</v>
      </c>
      <c r="U2125">
        <f t="shared" si="168"/>
        <v>0</v>
      </c>
      <c r="V2125">
        <f t="shared" si="169"/>
        <v>0</v>
      </c>
    </row>
    <row r="2126" spans="1:22" x14ac:dyDescent="0.25">
      <c r="A2126">
        <v>2123</v>
      </c>
      <c r="B2126" t="s">
        <v>22</v>
      </c>
      <c r="C2126" t="s">
        <v>1038</v>
      </c>
      <c r="D2126" s="4">
        <v>45338</v>
      </c>
      <c r="E2126" t="s">
        <v>1045</v>
      </c>
      <c r="F2126" t="s">
        <v>75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>
        <v>1</v>
      </c>
      <c r="R2126">
        <f t="shared" si="165"/>
        <v>0</v>
      </c>
      <c r="S2126">
        <f t="shared" si="166"/>
        <v>1</v>
      </c>
      <c r="T2126">
        <f t="shared" si="167"/>
        <v>0</v>
      </c>
      <c r="U2126">
        <f t="shared" si="168"/>
        <v>0</v>
      </c>
      <c r="V2126">
        <f t="shared" si="169"/>
        <v>0</v>
      </c>
    </row>
    <row r="2127" spans="1:22" x14ac:dyDescent="0.25">
      <c r="A2127">
        <v>2124</v>
      </c>
      <c r="B2127" t="s">
        <v>22</v>
      </c>
      <c r="C2127" t="s">
        <v>1038</v>
      </c>
      <c r="D2127" s="4">
        <v>45338</v>
      </c>
      <c r="E2127" t="s">
        <v>907</v>
      </c>
      <c r="F2127" t="s">
        <v>75</v>
      </c>
      <c r="I2127" s="6"/>
      <c r="J2127" s="6"/>
      <c r="K2127" s="6"/>
      <c r="L2127" s="6"/>
      <c r="M2127" s="6"/>
      <c r="N2127" s="6"/>
      <c r="O2127" s="6"/>
      <c r="P2127" s="6"/>
      <c r="Q2127">
        <v>0</v>
      </c>
      <c r="R2127">
        <f t="shared" si="165"/>
        <v>0</v>
      </c>
      <c r="S2127">
        <f t="shared" si="166"/>
        <v>0</v>
      </c>
      <c r="T2127">
        <f t="shared" si="167"/>
        <v>0</v>
      </c>
      <c r="U2127">
        <f t="shared" si="168"/>
        <v>0</v>
      </c>
      <c r="V2127">
        <f t="shared" si="169"/>
        <v>0</v>
      </c>
    </row>
    <row r="2128" spans="1:22" x14ac:dyDescent="0.25">
      <c r="A2128">
        <v>2125</v>
      </c>
      <c r="B2128" t="s">
        <v>22</v>
      </c>
      <c r="C2128" t="s">
        <v>1038</v>
      </c>
      <c r="D2128" s="4">
        <v>45338</v>
      </c>
      <c r="E2128" t="s">
        <v>1046</v>
      </c>
      <c r="F2128" t="s">
        <v>75</v>
      </c>
      <c r="I2128" s="6">
        <v>0</v>
      </c>
      <c r="J2128" s="6">
        <v>0</v>
      </c>
      <c r="K2128" s="6">
        <v>1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>
        <v>1</v>
      </c>
      <c r="R2128">
        <f t="shared" si="165"/>
        <v>0</v>
      </c>
      <c r="S2128">
        <f t="shared" si="166"/>
        <v>1</v>
      </c>
      <c r="T2128">
        <f t="shared" si="167"/>
        <v>1</v>
      </c>
      <c r="U2128">
        <f t="shared" si="168"/>
        <v>1</v>
      </c>
      <c r="V2128">
        <f t="shared" si="169"/>
        <v>0</v>
      </c>
    </row>
    <row r="2129" spans="1:22" x14ac:dyDescent="0.25">
      <c r="A2129">
        <v>2126</v>
      </c>
      <c r="B2129" t="s">
        <v>22</v>
      </c>
      <c r="C2129" t="s">
        <v>1038</v>
      </c>
      <c r="D2129" s="4">
        <v>45338</v>
      </c>
      <c r="E2129" t="s">
        <v>1112</v>
      </c>
      <c r="F2129" t="s">
        <v>75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>
        <v>1</v>
      </c>
      <c r="R2129">
        <f t="shared" si="165"/>
        <v>0</v>
      </c>
      <c r="S2129">
        <f t="shared" si="166"/>
        <v>1</v>
      </c>
      <c r="T2129">
        <f t="shared" si="167"/>
        <v>0</v>
      </c>
      <c r="U2129">
        <f t="shared" si="168"/>
        <v>0</v>
      </c>
      <c r="V2129">
        <f t="shared" si="169"/>
        <v>0</v>
      </c>
    </row>
    <row r="2130" spans="1:22" x14ac:dyDescent="0.25">
      <c r="A2130">
        <v>2127</v>
      </c>
      <c r="B2130" t="s">
        <v>22</v>
      </c>
      <c r="C2130" t="s">
        <v>1038</v>
      </c>
      <c r="D2130" s="4">
        <v>45338</v>
      </c>
      <c r="E2130" t="s">
        <v>1507</v>
      </c>
      <c r="F2130" t="s">
        <v>75</v>
      </c>
      <c r="I2130" s="6"/>
      <c r="J2130" s="6"/>
      <c r="K2130" s="6"/>
      <c r="L2130" s="6"/>
      <c r="M2130" s="6"/>
      <c r="N2130" s="6"/>
      <c r="O2130" s="6"/>
      <c r="P2130" s="6"/>
      <c r="Q2130">
        <v>0</v>
      </c>
      <c r="R2130">
        <f t="shared" si="165"/>
        <v>0</v>
      </c>
      <c r="S2130">
        <f t="shared" si="166"/>
        <v>0</v>
      </c>
      <c r="T2130">
        <f t="shared" si="167"/>
        <v>0</v>
      </c>
      <c r="U2130">
        <f t="shared" si="168"/>
        <v>0</v>
      </c>
      <c r="V2130">
        <f t="shared" si="169"/>
        <v>0</v>
      </c>
    </row>
    <row r="2131" spans="1:22" x14ac:dyDescent="0.25">
      <c r="A2131">
        <v>2128</v>
      </c>
      <c r="B2131" t="s">
        <v>22</v>
      </c>
      <c r="C2131" t="s">
        <v>1038</v>
      </c>
      <c r="D2131" s="4">
        <v>45340</v>
      </c>
      <c r="E2131" t="s">
        <v>1280</v>
      </c>
      <c r="F2131" t="s">
        <v>75</v>
      </c>
      <c r="I2131" s="6"/>
      <c r="J2131" s="6"/>
      <c r="K2131" s="6"/>
      <c r="L2131" s="6"/>
      <c r="M2131" s="6"/>
      <c r="N2131" s="6"/>
      <c r="O2131" s="6"/>
      <c r="P2131" s="6"/>
      <c r="Q2131">
        <v>0</v>
      </c>
      <c r="R2131">
        <f t="shared" si="165"/>
        <v>0</v>
      </c>
      <c r="S2131">
        <f t="shared" si="166"/>
        <v>0</v>
      </c>
      <c r="T2131">
        <f t="shared" si="167"/>
        <v>0</v>
      </c>
      <c r="U2131">
        <f t="shared" si="168"/>
        <v>0</v>
      </c>
      <c r="V2131">
        <f t="shared" si="169"/>
        <v>0</v>
      </c>
    </row>
    <row r="2132" spans="1:22" x14ac:dyDescent="0.25">
      <c r="A2132">
        <v>2129</v>
      </c>
      <c r="B2132" t="s">
        <v>22</v>
      </c>
      <c r="C2132" t="s">
        <v>1038</v>
      </c>
      <c r="D2132" s="4">
        <v>45340</v>
      </c>
      <c r="E2132" t="s">
        <v>1113</v>
      </c>
      <c r="F2132" t="s">
        <v>75</v>
      </c>
      <c r="I2132" s="6">
        <v>0</v>
      </c>
      <c r="J2132" s="6">
        <v>0</v>
      </c>
      <c r="K2132" s="6">
        <v>0</v>
      </c>
      <c r="L2132" s="6">
        <v>1</v>
      </c>
      <c r="M2132" s="6">
        <v>0</v>
      </c>
      <c r="N2132" s="6">
        <v>1</v>
      </c>
      <c r="O2132" s="6">
        <v>0</v>
      </c>
      <c r="P2132" s="6">
        <v>0</v>
      </c>
      <c r="Q2132">
        <v>1</v>
      </c>
      <c r="R2132">
        <f t="shared" si="165"/>
        <v>0</v>
      </c>
      <c r="S2132">
        <f t="shared" si="166"/>
        <v>1</v>
      </c>
      <c r="T2132">
        <f t="shared" si="167"/>
        <v>2</v>
      </c>
      <c r="U2132">
        <f t="shared" si="168"/>
        <v>1</v>
      </c>
      <c r="V2132">
        <f t="shared" si="169"/>
        <v>0</v>
      </c>
    </row>
    <row r="2133" spans="1:22" x14ac:dyDescent="0.25">
      <c r="A2133">
        <v>2130</v>
      </c>
      <c r="B2133" t="s">
        <v>22</v>
      </c>
      <c r="C2133" t="s">
        <v>1038</v>
      </c>
      <c r="D2133" s="4">
        <v>45341</v>
      </c>
      <c r="E2133" t="s">
        <v>1880</v>
      </c>
      <c r="F2133" t="s">
        <v>357</v>
      </c>
      <c r="I2133" s="6">
        <v>1</v>
      </c>
      <c r="J2133" s="6">
        <v>0</v>
      </c>
      <c r="K2133" s="6">
        <v>1</v>
      </c>
      <c r="L2133" s="6">
        <v>0</v>
      </c>
      <c r="M2133" s="6">
        <v>0</v>
      </c>
      <c r="N2133" s="6">
        <v>0</v>
      </c>
      <c r="O2133" s="6">
        <v>1</v>
      </c>
      <c r="P2133" s="6">
        <v>0</v>
      </c>
      <c r="Q2133">
        <v>1</v>
      </c>
      <c r="R2133">
        <f t="shared" si="165"/>
        <v>0</v>
      </c>
      <c r="S2133">
        <f t="shared" si="166"/>
        <v>0</v>
      </c>
      <c r="T2133">
        <f t="shared" si="167"/>
        <v>3</v>
      </c>
      <c r="U2133">
        <f t="shared" si="168"/>
        <v>1</v>
      </c>
      <c r="V2133">
        <f t="shared" si="169"/>
        <v>0</v>
      </c>
    </row>
    <row r="2134" spans="1:22" x14ac:dyDescent="0.25">
      <c r="A2134">
        <v>2131</v>
      </c>
      <c r="B2134" t="s">
        <v>22</v>
      </c>
      <c r="C2134" t="s">
        <v>1038</v>
      </c>
      <c r="D2134" s="4">
        <v>45342</v>
      </c>
      <c r="E2134" t="s">
        <v>1509</v>
      </c>
      <c r="F2134" t="s">
        <v>75</v>
      </c>
      <c r="I2134" s="6"/>
      <c r="J2134" s="6"/>
      <c r="K2134" s="6"/>
      <c r="L2134" s="6"/>
      <c r="M2134" s="6"/>
      <c r="N2134" s="6"/>
      <c r="O2134" s="6"/>
      <c r="P2134" s="6"/>
      <c r="Q2134">
        <v>0</v>
      </c>
      <c r="R2134">
        <f t="shared" si="165"/>
        <v>0</v>
      </c>
      <c r="S2134">
        <f t="shared" si="166"/>
        <v>0</v>
      </c>
      <c r="T2134">
        <f t="shared" si="167"/>
        <v>0</v>
      </c>
      <c r="U2134">
        <f t="shared" si="168"/>
        <v>0</v>
      </c>
      <c r="V2134">
        <f t="shared" si="169"/>
        <v>0</v>
      </c>
    </row>
    <row r="2135" spans="1:22" x14ac:dyDescent="0.25">
      <c r="A2135">
        <v>2132</v>
      </c>
      <c r="B2135" t="s">
        <v>22</v>
      </c>
      <c r="C2135" t="s">
        <v>1038</v>
      </c>
      <c r="D2135" s="4">
        <v>45342</v>
      </c>
      <c r="E2135" t="s">
        <v>1460</v>
      </c>
      <c r="F2135" t="s">
        <v>75</v>
      </c>
      <c r="I2135" s="6"/>
      <c r="J2135" s="6"/>
      <c r="K2135" s="6"/>
      <c r="L2135" s="6"/>
      <c r="M2135" s="6"/>
      <c r="N2135" s="6"/>
      <c r="O2135" s="6"/>
      <c r="P2135" s="6"/>
      <c r="Q2135">
        <v>0</v>
      </c>
      <c r="R2135">
        <f t="shared" si="165"/>
        <v>0</v>
      </c>
      <c r="S2135">
        <f t="shared" si="166"/>
        <v>0</v>
      </c>
      <c r="T2135">
        <f t="shared" si="167"/>
        <v>0</v>
      </c>
      <c r="U2135">
        <f t="shared" si="168"/>
        <v>0</v>
      </c>
      <c r="V2135">
        <f t="shared" si="169"/>
        <v>0</v>
      </c>
    </row>
    <row r="2136" spans="1:22" x14ac:dyDescent="0.25">
      <c r="A2136">
        <v>2133</v>
      </c>
      <c r="B2136" t="s">
        <v>22</v>
      </c>
      <c r="C2136" t="s">
        <v>1038</v>
      </c>
      <c r="D2136" s="4">
        <v>45342</v>
      </c>
      <c r="E2136" t="s">
        <v>1114</v>
      </c>
      <c r="F2136" t="s">
        <v>75</v>
      </c>
      <c r="I2136" s="6">
        <v>0</v>
      </c>
      <c r="J2136" s="6">
        <v>0</v>
      </c>
      <c r="K2136" s="6">
        <v>0</v>
      </c>
      <c r="L2136" s="6">
        <v>0</v>
      </c>
      <c r="M2136" s="6">
        <v>1</v>
      </c>
      <c r="N2136" s="6">
        <v>0</v>
      </c>
      <c r="O2136" s="6">
        <v>0</v>
      </c>
      <c r="P2136" s="6">
        <v>0</v>
      </c>
      <c r="Q2136">
        <v>1</v>
      </c>
      <c r="R2136">
        <f t="shared" si="165"/>
        <v>0</v>
      </c>
      <c r="S2136">
        <f t="shared" si="166"/>
        <v>1</v>
      </c>
      <c r="T2136">
        <f t="shared" si="167"/>
        <v>1</v>
      </c>
      <c r="U2136">
        <f t="shared" si="168"/>
        <v>1</v>
      </c>
      <c r="V2136">
        <f t="shared" si="169"/>
        <v>0</v>
      </c>
    </row>
    <row r="2137" spans="1:22" x14ac:dyDescent="0.25">
      <c r="A2137">
        <v>2134</v>
      </c>
      <c r="B2137" t="s">
        <v>22</v>
      </c>
      <c r="C2137" t="s">
        <v>1038</v>
      </c>
      <c r="D2137" s="4">
        <v>45342</v>
      </c>
      <c r="E2137" t="s">
        <v>1115</v>
      </c>
      <c r="F2137" t="s">
        <v>75</v>
      </c>
      <c r="I2137" s="6">
        <v>0</v>
      </c>
      <c r="J2137" s="6">
        <v>0</v>
      </c>
      <c r="K2137" s="6">
        <v>1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>
        <v>1</v>
      </c>
      <c r="R2137">
        <f t="shared" si="165"/>
        <v>0</v>
      </c>
      <c r="S2137">
        <f t="shared" si="166"/>
        <v>1</v>
      </c>
      <c r="T2137">
        <f t="shared" si="167"/>
        <v>1</v>
      </c>
      <c r="U2137">
        <f t="shared" si="168"/>
        <v>1</v>
      </c>
      <c r="V2137">
        <f t="shared" si="169"/>
        <v>0</v>
      </c>
    </row>
    <row r="2138" spans="1:22" x14ac:dyDescent="0.25">
      <c r="A2138">
        <v>2135</v>
      </c>
      <c r="B2138" t="s">
        <v>22</v>
      </c>
      <c r="C2138" t="s">
        <v>1038</v>
      </c>
      <c r="D2138" s="4">
        <v>45342</v>
      </c>
      <c r="E2138" t="s">
        <v>1510</v>
      </c>
      <c r="F2138" t="s">
        <v>75</v>
      </c>
      <c r="I2138" s="6"/>
      <c r="J2138" s="6"/>
      <c r="K2138" s="6"/>
      <c r="L2138" s="6"/>
      <c r="M2138" s="6"/>
      <c r="N2138" s="6"/>
      <c r="O2138" s="6"/>
      <c r="P2138" s="6"/>
      <c r="Q2138">
        <v>0</v>
      </c>
      <c r="R2138">
        <f t="shared" si="165"/>
        <v>0</v>
      </c>
      <c r="S2138">
        <f t="shared" si="166"/>
        <v>0</v>
      </c>
      <c r="T2138">
        <f t="shared" si="167"/>
        <v>0</v>
      </c>
      <c r="U2138">
        <f t="shared" si="168"/>
        <v>0</v>
      </c>
      <c r="V2138">
        <f t="shared" si="169"/>
        <v>0</v>
      </c>
    </row>
    <row r="2139" spans="1:22" x14ac:dyDescent="0.25">
      <c r="A2139">
        <v>2136</v>
      </c>
      <c r="B2139" t="s">
        <v>22</v>
      </c>
      <c r="C2139" t="s">
        <v>1038</v>
      </c>
      <c r="D2139" s="4">
        <v>45342</v>
      </c>
      <c r="E2139" t="s">
        <v>1116</v>
      </c>
      <c r="F2139" t="s">
        <v>75</v>
      </c>
      <c r="I2139" s="6">
        <v>1</v>
      </c>
      <c r="J2139" s="6">
        <v>0</v>
      </c>
      <c r="K2139" s="6">
        <v>1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>
        <v>1</v>
      </c>
      <c r="R2139">
        <f t="shared" si="165"/>
        <v>0</v>
      </c>
      <c r="S2139">
        <f t="shared" si="166"/>
        <v>1</v>
      </c>
      <c r="T2139">
        <f t="shared" si="167"/>
        <v>2</v>
      </c>
      <c r="U2139">
        <f t="shared" si="168"/>
        <v>1</v>
      </c>
      <c r="V2139">
        <f t="shared" si="169"/>
        <v>0</v>
      </c>
    </row>
    <row r="2140" spans="1:22" x14ac:dyDescent="0.25">
      <c r="A2140">
        <v>2137</v>
      </c>
      <c r="B2140" t="s">
        <v>22</v>
      </c>
      <c r="C2140" t="s">
        <v>1038</v>
      </c>
      <c r="D2140" s="4">
        <v>45342</v>
      </c>
      <c r="E2140" t="s">
        <v>2272</v>
      </c>
      <c r="F2140" t="s">
        <v>75</v>
      </c>
      <c r="I2140" s="6">
        <v>1</v>
      </c>
      <c r="J2140" s="6">
        <v>0</v>
      </c>
      <c r="K2140" s="6">
        <v>1</v>
      </c>
      <c r="L2140" s="6">
        <v>0</v>
      </c>
      <c r="M2140" s="6">
        <v>1</v>
      </c>
      <c r="N2140" s="6">
        <v>0</v>
      </c>
      <c r="O2140" s="6">
        <v>0</v>
      </c>
      <c r="P2140" s="6">
        <v>0</v>
      </c>
      <c r="Q2140">
        <v>1</v>
      </c>
      <c r="R2140">
        <f t="shared" si="165"/>
        <v>0</v>
      </c>
      <c r="S2140">
        <f t="shared" si="166"/>
        <v>1</v>
      </c>
      <c r="T2140">
        <f t="shared" si="167"/>
        <v>3</v>
      </c>
      <c r="U2140">
        <f t="shared" si="168"/>
        <v>1</v>
      </c>
      <c r="V2140">
        <f t="shared" si="169"/>
        <v>0</v>
      </c>
    </row>
    <row r="2141" spans="1:22" x14ac:dyDescent="0.25">
      <c r="A2141">
        <v>2138</v>
      </c>
      <c r="B2141" t="s">
        <v>22</v>
      </c>
      <c r="C2141" t="s">
        <v>1038</v>
      </c>
      <c r="D2141" s="4">
        <v>45343</v>
      </c>
      <c r="E2141" t="s">
        <v>1117</v>
      </c>
      <c r="F2141" t="s">
        <v>75</v>
      </c>
      <c r="I2141" s="6">
        <v>1</v>
      </c>
      <c r="J2141" s="6">
        <v>0</v>
      </c>
      <c r="K2141" s="6">
        <v>1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>
        <v>1</v>
      </c>
      <c r="R2141">
        <f t="shared" si="165"/>
        <v>0</v>
      </c>
      <c r="S2141">
        <f t="shared" si="166"/>
        <v>1</v>
      </c>
      <c r="T2141">
        <f t="shared" si="167"/>
        <v>2</v>
      </c>
      <c r="U2141">
        <f t="shared" si="168"/>
        <v>1</v>
      </c>
      <c r="V2141">
        <f t="shared" si="169"/>
        <v>0</v>
      </c>
    </row>
    <row r="2142" spans="1:22" x14ac:dyDescent="0.25">
      <c r="A2142">
        <v>2139</v>
      </c>
      <c r="B2142" t="s">
        <v>22</v>
      </c>
      <c r="C2142" t="s">
        <v>1038</v>
      </c>
      <c r="D2142" s="4">
        <v>45343</v>
      </c>
      <c r="E2142" t="s">
        <v>1461</v>
      </c>
      <c r="F2142" t="s">
        <v>75</v>
      </c>
      <c r="I2142" s="6"/>
      <c r="J2142" s="6"/>
      <c r="K2142" s="6"/>
      <c r="L2142" s="6"/>
      <c r="M2142" s="6"/>
      <c r="N2142" s="6"/>
      <c r="O2142" s="6"/>
      <c r="P2142" s="6"/>
      <c r="Q2142">
        <v>0</v>
      </c>
      <c r="R2142">
        <f t="shared" si="165"/>
        <v>0</v>
      </c>
      <c r="S2142">
        <f t="shared" si="166"/>
        <v>0</v>
      </c>
      <c r="T2142">
        <f t="shared" si="167"/>
        <v>0</v>
      </c>
      <c r="U2142">
        <f t="shared" si="168"/>
        <v>0</v>
      </c>
      <c r="V2142">
        <f t="shared" si="169"/>
        <v>0</v>
      </c>
    </row>
    <row r="2143" spans="1:22" x14ac:dyDescent="0.25">
      <c r="A2143">
        <v>2140</v>
      </c>
      <c r="B2143" t="s">
        <v>22</v>
      </c>
      <c r="C2143" t="s">
        <v>1038</v>
      </c>
      <c r="D2143" s="4">
        <v>45343</v>
      </c>
      <c r="E2143" t="s">
        <v>2271</v>
      </c>
      <c r="F2143" t="s">
        <v>75</v>
      </c>
      <c r="I2143" s="6"/>
      <c r="J2143" s="6"/>
      <c r="K2143" s="6"/>
      <c r="L2143" s="6"/>
      <c r="M2143" s="6"/>
      <c r="N2143" s="6"/>
      <c r="O2143" s="6"/>
      <c r="P2143" s="6"/>
      <c r="Q2143">
        <v>0</v>
      </c>
      <c r="R2143">
        <f t="shared" si="165"/>
        <v>0</v>
      </c>
      <c r="S2143">
        <f t="shared" si="166"/>
        <v>0</v>
      </c>
      <c r="T2143">
        <f t="shared" si="167"/>
        <v>0</v>
      </c>
      <c r="U2143">
        <f t="shared" si="168"/>
        <v>0</v>
      </c>
      <c r="V2143">
        <f t="shared" si="169"/>
        <v>0</v>
      </c>
    </row>
    <row r="2144" spans="1:22" x14ac:dyDescent="0.25">
      <c r="A2144">
        <v>2141</v>
      </c>
      <c r="B2144" t="s">
        <v>22</v>
      </c>
      <c r="C2144" t="s">
        <v>1038</v>
      </c>
      <c r="D2144" s="4">
        <v>45343</v>
      </c>
      <c r="E2144" t="s">
        <v>2270</v>
      </c>
      <c r="F2144" t="s">
        <v>75</v>
      </c>
      <c r="I2144" s="6"/>
      <c r="J2144" s="6"/>
      <c r="K2144" s="6"/>
      <c r="L2144" s="6"/>
      <c r="M2144" s="6"/>
      <c r="N2144" s="6"/>
      <c r="O2144" s="6"/>
      <c r="P2144" s="6"/>
      <c r="Q2144">
        <v>0</v>
      </c>
      <c r="R2144">
        <f t="shared" si="165"/>
        <v>0</v>
      </c>
      <c r="S2144">
        <f t="shared" si="166"/>
        <v>0</v>
      </c>
      <c r="T2144">
        <f t="shared" si="167"/>
        <v>0</v>
      </c>
      <c r="U2144">
        <f t="shared" si="168"/>
        <v>0</v>
      </c>
      <c r="V2144">
        <f t="shared" si="169"/>
        <v>0</v>
      </c>
    </row>
    <row r="2145" spans="1:22" x14ac:dyDescent="0.25">
      <c r="A2145">
        <v>2142</v>
      </c>
      <c r="B2145" t="s">
        <v>22</v>
      </c>
      <c r="C2145" t="s">
        <v>1038</v>
      </c>
      <c r="D2145" s="4">
        <v>45343</v>
      </c>
      <c r="E2145" t="s">
        <v>2269</v>
      </c>
      <c r="F2145" t="s">
        <v>75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1</v>
      </c>
      <c r="O2145" s="6">
        <v>0</v>
      </c>
      <c r="P2145" s="6">
        <v>0</v>
      </c>
      <c r="Q2145">
        <v>1</v>
      </c>
      <c r="R2145">
        <f t="shared" si="165"/>
        <v>0</v>
      </c>
      <c r="S2145">
        <f t="shared" si="166"/>
        <v>1</v>
      </c>
      <c r="T2145">
        <f t="shared" si="167"/>
        <v>1</v>
      </c>
      <c r="U2145">
        <f t="shared" si="168"/>
        <v>1</v>
      </c>
      <c r="V2145">
        <f t="shared" si="169"/>
        <v>0</v>
      </c>
    </row>
    <row r="2146" spans="1:22" x14ac:dyDescent="0.25">
      <c r="A2146">
        <v>2143</v>
      </c>
      <c r="B2146" t="s">
        <v>22</v>
      </c>
      <c r="C2146" t="s">
        <v>1038</v>
      </c>
      <c r="D2146" s="4">
        <v>45344</v>
      </c>
      <c r="E2146" t="s">
        <v>1511</v>
      </c>
      <c r="F2146" t="s">
        <v>75</v>
      </c>
      <c r="I2146" s="6"/>
      <c r="J2146" s="6"/>
      <c r="K2146" s="6"/>
      <c r="L2146" s="6"/>
      <c r="M2146" s="6"/>
      <c r="N2146" s="6"/>
      <c r="O2146" s="6"/>
      <c r="P2146" s="6"/>
      <c r="Q2146">
        <v>0</v>
      </c>
      <c r="R2146">
        <f t="shared" si="165"/>
        <v>0</v>
      </c>
      <c r="S2146">
        <f t="shared" si="166"/>
        <v>0</v>
      </c>
      <c r="T2146">
        <f t="shared" si="167"/>
        <v>0</v>
      </c>
      <c r="U2146">
        <f t="shared" si="168"/>
        <v>0</v>
      </c>
      <c r="V2146">
        <f t="shared" si="169"/>
        <v>0</v>
      </c>
    </row>
    <row r="2147" spans="1:22" x14ac:dyDescent="0.25">
      <c r="A2147">
        <v>2144</v>
      </c>
      <c r="B2147" t="s">
        <v>22</v>
      </c>
      <c r="C2147" t="s">
        <v>1038</v>
      </c>
      <c r="D2147" s="4">
        <v>45344</v>
      </c>
      <c r="E2147" t="s">
        <v>1048</v>
      </c>
      <c r="F2147" t="s">
        <v>75</v>
      </c>
      <c r="I2147" s="6">
        <v>1</v>
      </c>
      <c r="J2147" s="6">
        <v>0</v>
      </c>
      <c r="K2147" s="6">
        <v>1</v>
      </c>
      <c r="L2147" s="6">
        <v>1</v>
      </c>
      <c r="M2147" s="6">
        <v>1</v>
      </c>
      <c r="N2147" s="6">
        <v>0</v>
      </c>
      <c r="O2147" s="6">
        <v>0</v>
      </c>
      <c r="P2147" s="6">
        <v>0</v>
      </c>
      <c r="Q2147">
        <v>1</v>
      </c>
      <c r="R2147">
        <f t="shared" si="165"/>
        <v>0</v>
      </c>
      <c r="S2147">
        <f t="shared" si="166"/>
        <v>1</v>
      </c>
      <c r="T2147">
        <f t="shared" si="167"/>
        <v>4</v>
      </c>
      <c r="U2147">
        <f t="shared" si="168"/>
        <v>1</v>
      </c>
      <c r="V2147">
        <f t="shared" si="169"/>
        <v>0</v>
      </c>
    </row>
    <row r="2148" spans="1:22" x14ac:dyDescent="0.25">
      <c r="A2148">
        <v>2145</v>
      </c>
      <c r="B2148" t="s">
        <v>22</v>
      </c>
      <c r="C2148" t="s">
        <v>1038</v>
      </c>
      <c r="D2148" s="4">
        <v>45344</v>
      </c>
      <c r="E2148" t="s">
        <v>1285</v>
      </c>
      <c r="F2148" t="s">
        <v>75</v>
      </c>
      <c r="I2148" s="6"/>
      <c r="J2148" s="6"/>
      <c r="K2148" s="6"/>
      <c r="L2148" s="6"/>
      <c r="M2148" s="6"/>
      <c r="N2148" s="6"/>
      <c r="O2148" s="6"/>
      <c r="P2148" s="6"/>
      <c r="Q2148">
        <v>0</v>
      </c>
      <c r="R2148">
        <f t="shared" si="165"/>
        <v>0</v>
      </c>
      <c r="S2148">
        <f t="shared" si="166"/>
        <v>0</v>
      </c>
      <c r="T2148">
        <f t="shared" si="167"/>
        <v>0</v>
      </c>
      <c r="U2148">
        <f t="shared" si="168"/>
        <v>0</v>
      </c>
      <c r="V2148">
        <f t="shared" si="169"/>
        <v>0</v>
      </c>
    </row>
    <row r="2149" spans="1:22" x14ac:dyDescent="0.25">
      <c r="A2149">
        <v>2146</v>
      </c>
      <c r="B2149" t="s">
        <v>22</v>
      </c>
      <c r="C2149" t="s">
        <v>1038</v>
      </c>
      <c r="D2149" s="4">
        <v>45345</v>
      </c>
      <c r="E2149" t="s">
        <v>1049</v>
      </c>
      <c r="F2149" t="s">
        <v>75</v>
      </c>
      <c r="I2149" s="6">
        <v>0</v>
      </c>
      <c r="J2149" s="6">
        <v>0</v>
      </c>
      <c r="K2149" s="6">
        <v>1</v>
      </c>
      <c r="L2149" s="6">
        <v>0</v>
      </c>
      <c r="M2149" s="6">
        <v>1</v>
      </c>
      <c r="N2149" s="6">
        <v>1</v>
      </c>
      <c r="O2149" s="6">
        <v>0</v>
      </c>
      <c r="P2149" s="6">
        <v>0</v>
      </c>
      <c r="Q2149">
        <v>1</v>
      </c>
      <c r="R2149">
        <f t="shared" si="165"/>
        <v>0</v>
      </c>
      <c r="S2149">
        <f t="shared" si="166"/>
        <v>1</v>
      </c>
      <c r="T2149">
        <f t="shared" si="167"/>
        <v>3</v>
      </c>
      <c r="U2149">
        <f t="shared" si="168"/>
        <v>1</v>
      </c>
      <c r="V2149">
        <f t="shared" si="169"/>
        <v>0</v>
      </c>
    </row>
    <row r="2150" spans="1:22" x14ac:dyDescent="0.25">
      <c r="A2150">
        <v>2147</v>
      </c>
      <c r="B2150" t="s">
        <v>22</v>
      </c>
      <c r="C2150" t="s">
        <v>1038</v>
      </c>
      <c r="D2150" s="4">
        <v>45345</v>
      </c>
      <c r="E2150" t="s">
        <v>2265</v>
      </c>
      <c r="F2150" t="s">
        <v>75</v>
      </c>
      <c r="I2150" s="6"/>
      <c r="J2150" s="6"/>
      <c r="K2150" s="6"/>
      <c r="L2150" s="6"/>
      <c r="M2150" s="6"/>
      <c r="N2150" s="6"/>
      <c r="O2150" s="6"/>
      <c r="P2150" s="6"/>
      <c r="Q2150">
        <v>0</v>
      </c>
      <c r="R2150">
        <f t="shared" si="165"/>
        <v>0</v>
      </c>
      <c r="S2150">
        <f t="shared" si="166"/>
        <v>0</v>
      </c>
      <c r="T2150">
        <f t="shared" si="167"/>
        <v>0</v>
      </c>
      <c r="U2150">
        <f t="shared" si="168"/>
        <v>0</v>
      </c>
      <c r="V2150">
        <f t="shared" si="169"/>
        <v>0</v>
      </c>
    </row>
    <row r="2151" spans="1:22" x14ac:dyDescent="0.25">
      <c r="A2151">
        <v>2148</v>
      </c>
      <c r="B2151" t="s">
        <v>22</v>
      </c>
      <c r="C2151" t="s">
        <v>1038</v>
      </c>
      <c r="D2151" s="4">
        <v>45345</v>
      </c>
      <c r="E2151" t="s">
        <v>1463</v>
      </c>
      <c r="F2151" t="s">
        <v>75</v>
      </c>
      <c r="I2151" s="6"/>
      <c r="J2151" s="6"/>
      <c r="K2151" s="6"/>
      <c r="L2151" s="6"/>
      <c r="M2151" s="6"/>
      <c r="N2151" s="6"/>
      <c r="O2151" s="6"/>
      <c r="P2151" s="6"/>
      <c r="Q2151">
        <v>0</v>
      </c>
      <c r="R2151">
        <f t="shared" si="165"/>
        <v>0</v>
      </c>
      <c r="S2151">
        <f t="shared" si="166"/>
        <v>0</v>
      </c>
      <c r="T2151">
        <f t="shared" si="167"/>
        <v>0</v>
      </c>
      <c r="U2151">
        <f t="shared" si="168"/>
        <v>0</v>
      </c>
      <c r="V2151">
        <f t="shared" si="169"/>
        <v>0</v>
      </c>
    </row>
    <row r="2152" spans="1:22" x14ac:dyDescent="0.25">
      <c r="A2152">
        <v>2149</v>
      </c>
      <c r="B2152" t="s">
        <v>22</v>
      </c>
      <c r="C2152" t="s">
        <v>1038</v>
      </c>
      <c r="D2152" s="4">
        <v>45345</v>
      </c>
      <c r="E2152" t="s">
        <v>1464</v>
      </c>
      <c r="F2152" t="s">
        <v>75</v>
      </c>
      <c r="I2152" s="6"/>
      <c r="J2152" s="6"/>
      <c r="K2152" s="6"/>
      <c r="L2152" s="6"/>
      <c r="M2152" s="6"/>
      <c r="N2152" s="6"/>
      <c r="O2152" s="6"/>
      <c r="P2152" s="6"/>
      <c r="Q2152">
        <v>0</v>
      </c>
      <c r="R2152">
        <f t="shared" si="165"/>
        <v>0</v>
      </c>
      <c r="S2152">
        <f t="shared" si="166"/>
        <v>0</v>
      </c>
      <c r="T2152">
        <f t="shared" si="167"/>
        <v>0</v>
      </c>
      <c r="U2152">
        <f t="shared" si="168"/>
        <v>0</v>
      </c>
      <c r="V2152">
        <f t="shared" si="169"/>
        <v>0</v>
      </c>
    </row>
    <row r="2153" spans="1:22" x14ac:dyDescent="0.25">
      <c r="A2153">
        <v>2150</v>
      </c>
      <c r="B2153" t="s">
        <v>22</v>
      </c>
      <c r="C2153" t="s">
        <v>1038</v>
      </c>
      <c r="D2153" s="4">
        <v>45346</v>
      </c>
      <c r="E2153" t="s">
        <v>1050</v>
      </c>
      <c r="F2153" t="s">
        <v>75</v>
      </c>
      <c r="I2153" s="6">
        <v>0</v>
      </c>
      <c r="J2153" s="6">
        <v>0</v>
      </c>
      <c r="K2153" s="6">
        <v>0</v>
      </c>
      <c r="L2153" s="6">
        <v>1</v>
      </c>
      <c r="M2153" s="6">
        <v>0</v>
      </c>
      <c r="N2153" s="6">
        <v>0</v>
      </c>
      <c r="O2153" s="6">
        <v>0</v>
      </c>
      <c r="P2153" s="6">
        <v>0</v>
      </c>
      <c r="Q2153">
        <v>1</v>
      </c>
      <c r="R2153">
        <f t="shared" si="165"/>
        <v>0</v>
      </c>
      <c r="S2153">
        <f t="shared" si="166"/>
        <v>1</v>
      </c>
      <c r="T2153">
        <f t="shared" si="167"/>
        <v>1</v>
      </c>
      <c r="U2153">
        <f t="shared" si="168"/>
        <v>1</v>
      </c>
      <c r="V2153">
        <f t="shared" si="169"/>
        <v>0</v>
      </c>
    </row>
    <row r="2154" spans="1:22" x14ac:dyDescent="0.25">
      <c r="A2154">
        <v>2151</v>
      </c>
      <c r="B2154" t="s">
        <v>22</v>
      </c>
      <c r="C2154" t="s">
        <v>1038</v>
      </c>
      <c r="D2154" s="4">
        <v>45346</v>
      </c>
      <c r="E2154" t="s">
        <v>1051</v>
      </c>
      <c r="F2154" t="s">
        <v>75</v>
      </c>
      <c r="I2154" s="6"/>
      <c r="J2154" s="6"/>
      <c r="K2154" s="6"/>
      <c r="L2154" s="6"/>
      <c r="M2154" s="6"/>
      <c r="N2154" s="6"/>
      <c r="O2154" s="6"/>
      <c r="P2154" s="6"/>
      <c r="Q2154">
        <v>0</v>
      </c>
      <c r="R2154">
        <f t="shared" si="165"/>
        <v>0</v>
      </c>
      <c r="S2154">
        <f t="shared" si="166"/>
        <v>0</v>
      </c>
      <c r="T2154">
        <f t="shared" si="167"/>
        <v>0</v>
      </c>
      <c r="U2154">
        <f t="shared" si="168"/>
        <v>0</v>
      </c>
      <c r="V2154">
        <f t="shared" si="169"/>
        <v>0</v>
      </c>
    </row>
    <row r="2155" spans="1:22" x14ac:dyDescent="0.25">
      <c r="A2155">
        <v>2152</v>
      </c>
      <c r="B2155" t="s">
        <v>22</v>
      </c>
      <c r="C2155" t="s">
        <v>1038</v>
      </c>
      <c r="D2155" s="4">
        <v>45346</v>
      </c>
      <c r="E2155" t="s">
        <v>1513</v>
      </c>
      <c r="F2155" t="s">
        <v>75</v>
      </c>
      <c r="I2155" s="6"/>
      <c r="J2155" s="6"/>
      <c r="K2155" s="6"/>
      <c r="L2155" s="6"/>
      <c r="M2155" s="6"/>
      <c r="N2155" s="6"/>
      <c r="O2155" s="6"/>
      <c r="P2155" s="6"/>
      <c r="Q2155">
        <v>0</v>
      </c>
      <c r="R2155">
        <f t="shared" si="165"/>
        <v>0</v>
      </c>
      <c r="S2155">
        <f t="shared" si="166"/>
        <v>0</v>
      </c>
      <c r="T2155">
        <f t="shared" si="167"/>
        <v>0</v>
      </c>
      <c r="U2155">
        <f t="shared" si="168"/>
        <v>0</v>
      </c>
      <c r="V2155">
        <f t="shared" si="169"/>
        <v>0</v>
      </c>
    </row>
    <row r="2156" spans="1:22" x14ac:dyDescent="0.25">
      <c r="A2156">
        <v>2153</v>
      </c>
      <c r="B2156" t="s">
        <v>22</v>
      </c>
      <c r="C2156" t="s">
        <v>1038</v>
      </c>
      <c r="D2156" s="4">
        <v>45346</v>
      </c>
      <c r="E2156" t="s">
        <v>1118</v>
      </c>
      <c r="F2156" t="s">
        <v>75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>
        <v>1</v>
      </c>
      <c r="R2156">
        <f t="shared" si="165"/>
        <v>0</v>
      </c>
      <c r="S2156">
        <f t="shared" si="166"/>
        <v>1</v>
      </c>
      <c r="T2156">
        <f t="shared" si="167"/>
        <v>0</v>
      </c>
      <c r="U2156">
        <f t="shared" si="168"/>
        <v>0</v>
      </c>
      <c r="V2156">
        <f t="shared" si="169"/>
        <v>0</v>
      </c>
    </row>
    <row r="2157" spans="1:22" x14ac:dyDescent="0.25">
      <c r="A2157">
        <v>2154</v>
      </c>
      <c r="B2157" t="s">
        <v>22</v>
      </c>
      <c r="C2157" t="s">
        <v>1038</v>
      </c>
      <c r="D2157" s="4">
        <v>45347</v>
      </c>
      <c r="E2157" t="s">
        <v>1514</v>
      </c>
      <c r="F2157" t="s">
        <v>75</v>
      </c>
      <c r="I2157" s="6"/>
      <c r="J2157" s="6"/>
      <c r="K2157" s="6"/>
      <c r="L2157" s="6"/>
      <c r="M2157" s="6"/>
      <c r="N2157" s="6"/>
      <c r="O2157" s="6"/>
      <c r="P2157" s="6"/>
      <c r="Q2157">
        <v>0</v>
      </c>
      <c r="R2157">
        <f t="shared" si="165"/>
        <v>0</v>
      </c>
      <c r="S2157">
        <f t="shared" si="166"/>
        <v>0</v>
      </c>
      <c r="T2157">
        <f t="shared" si="167"/>
        <v>0</v>
      </c>
      <c r="U2157">
        <f t="shared" si="168"/>
        <v>0</v>
      </c>
      <c r="V2157">
        <f t="shared" si="169"/>
        <v>0</v>
      </c>
    </row>
    <row r="2158" spans="1:22" x14ac:dyDescent="0.25">
      <c r="A2158">
        <v>2155</v>
      </c>
      <c r="B2158" t="s">
        <v>22</v>
      </c>
      <c r="C2158" t="s">
        <v>1038</v>
      </c>
      <c r="D2158" s="4">
        <v>45347</v>
      </c>
      <c r="E2158" t="s">
        <v>2262</v>
      </c>
      <c r="F2158" t="s">
        <v>75</v>
      </c>
      <c r="I2158" s="6">
        <v>1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>
        <v>1</v>
      </c>
      <c r="R2158">
        <f t="shared" si="165"/>
        <v>0</v>
      </c>
      <c r="S2158">
        <f t="shared" si="166"/>
        <v>1</v>
      </c>
      <c r="T2158">
        <f t="shared" si="167"/>
        <v>1</v>
      </c>
      <c r="U2158">
        <f t="shared" si="168"/>
        <v>1</v>
      </c>
      <c r="V2158">
        <f t="shared" si="169"/>
        <v>0</v>
      </c>
    </row>
    <row r="2159" spans="1:22" x14ac:dyDescent="0.25">
      <c r="A2159">
        <v>2156</v>
      </c>
      <c r="B2159" t="s">
        <v>22</v>
      </c>
      <c r="C2159" t="s">
        <v>1038</v>
      </c>
      <c r="D2159" s="4">
        <v>45348</v>
      </c>
      <c r="E2159" t="s">
        <v>839</v>
      </c>
      <c r="F2159" t="s">
        <v>413</v>
      </c>
      <c r="G2159">
        <v>102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>
        <v>1</v>
      </c>
      <c r="R2159">
        <f t="shared" si="165"/>
        <v>1</v>
      </c>
      <c r="S2159">
        <f t="shared" si="166"/>
        <v>0</v>
      </c>
      <c r="T2159">
        <f t="shared" si="167"/>
        <v>0</v>
      </c>
      <c r="U2159">
        <f t="shared" si="168"/>
        <v>0</v>
      </c>
      <c r="V2159">
        <f t="shared" si="169"/>
        <v>1</v>
      </c>
    </row>
    <row r="2160" spans="1:22" x14ac:dyDescent="0.25">
      <c r="A2160">
        <v>2157</v>
      </c>
      <c r="B2160" t="s">
        <v>22</v>
      </c>
      <c r="C2160" t="s">
        <v>1038</v>
      </c>
      <c r="D2160" s="4">
        <v>45349</v>
      </c>
      <c r="E2160" t="s">
        <v>1515</v>
      </c>
      <c r="F2160" t="s">
        <v>75</v>
      </c>
      <c r="I2160" s="6">
        <v>0</v>
      </c>
      <c r="J2160" s="6">
        <v>0</v>
      </c>
      <c r="K2160" s="6">
        <v>1</v>
      </c>
      <c r="L2160" s="6">
        <v>1</v>
      </c>
      <c r="M2160" s="6">
        <v>0</v>
      </c>
      <c r="N2160" s="6">
        <v>0</v>
      </c>
      <c r="O2160" s="6">
        <v>1</v>
      </c>
      <c r="P2160" s="6">
        <v>0</v>
      </c>
      <c r="Q2160">
        <v>1</v>
      </c>
      <c r="R2160">
        <f t="shared" si="165"/>
        <v>0</v>
      </c>
      <c r="S2160">
        <f t="shared" si="166"/>
        <v>1</v>
      </c>
      <c r="T2160">
        <f t="shared" si="167"/>
        <v>3</v>
      </c>
      <c r="U2160">
        <f t="shared" si="168"/>
        <v>1</v>
      </c>
      <c r="V2160">
        <f t="shared" si="169"/>
        <v>0</v>
      </c>
    </row>
    <row r="2161" spans="1:22" x14ac:dyDescent="0.25">
      <c r="A2161">
        <v>2158</v>
      </c>
      <c r="B2161" t="s">
        <v>22</v>
      </c>
      <c r="C2161" t="s">
        <v>1038</v>
      </c>
      <c r="D2161" s="4">
        <v>45349</v>
      </c>
      <c r="E2161" t="s">
        <v>1465</v>
      </c>
      <c r="F2161" t="s">
        <v>75</v>
      </c>
      <c r="I2161" s="6">
        <v>0</v>
      </c>
      <c r="J2161" s="6">
        <v>0</v>
      </c>
      <c r="K2161" s="6">
        <v>0</v>
      </c>
      <c r="L2161" s="6">
        <v>1</v>
      </c>
      <c r="M2161" s="6">
        <v>0</v>
      </c>
      <c r="N2161" s="6">
        <v>0</v>
      </c>
      <c r="O2161" s="6">
        <v>0</v>
      </c>
      <c r="P2161" s="6">
        <v>0</v>
      </c>
      <c r="Q2161">
        <v>1</v>
      </c>
      <c r="R2161">
        <f t="shared" si="165"/>
        <v>0</v>
      </c>
      <c r="S2161">
        <f t="shared" si="166"/>
        <v>1</v>
      </c>
      <c r="T2161">
        <f t="shared" si="167"/>
        <v>1</v>
      </c>
      <c r="U2161">
        <f t="shared" si="168"/>
        <v>1</v>
      </c>
      <c r="V2161">
        <f t="shared" si="169"/>
        <v>0</v>
      </c>
    </row>
    <row r="2162" spans="1:22" x14ac:dyDescent="0.25">
      <c r="A2162">
        <v>2159</v>
      </c>
      <c r="B2162" t="s">
        <v>22</v>
      </c>
      <c r="C2162" t="s">
        <v>1038</v>
      </c>
      <c r="D2162" s="4">
        <v>45349</v>
      </c>
      <c r="E2162" t="s">
        <v>2258</v>
      </c>
      <c r="F2162" t="s">
        <v>75</v>
      </c>
      <c r="I2162" s="6"/>
      <c r="J2162" s="6"/>
      <c r="K2162" s="6"/>
      <c r="L2162" s="6"/>
      <c r="M2162" s="6"/>
      <c r="N2162" s="6"/>
      <c r="O2162" s="6"/>
      <c r="P2162" s="6"/>
      <c r="Q2162">
        <v>0</v>
      </c>
      <c r="R2162">
        <f t="shared" si="165"/>
        <v>0</v>
      </c>
      <c r="S2162">
        <f t="shared" si="166"/>
        <v>0</v>
      </c>
      <c r="T2162">
        <f t="shared" si="167"/>
        <v>0</v>
      </c>
      <c r="U2162">
        <f t="shared" si="168"/>
        <v>0</v>
      </c>
      <c r="V2162">
        <f t="shared" si="169"/>
        <v>0</v>
      </c>
    </row>
    <row r="2163" spans="1:22" x14ac:dyDescent="0.25">
      <c r="A2163">
        <v>2160</v>
      </c>
      <c r="B2163" t="s">
        <v>22</v>
      </c>
      <c r="C2163" t="s">
        <v>1038</v>
      </c>
      <c r="D2163" s="4">
        <v>45349</v>
      </c>
      <c r="E2163" t="s">
        <v>2257</v>
      </c>
      <c r="F2163" t="s">
        <v>75</v>
      </c>
      <c r="I2163" s="6">
        <v>1</v>
      </c>
      <c r="J2163" s="6">
        <v>0</v>
      </c>
      <c r="K2163" s="6">
        <v>0</v>
      </c>
      <c r="L2163" s="6">
        <v>1</v>
      </c>
      <c r="M2163" s="6">
        <v>0</v>
      </c>
      <c r="N2163" s="6">
        <v>0</v>
      </c>
      <c r="O2163" s="6">
        <v>0</v>
      </c>
      <c r="P2163" s="6">
        <v>0</v>
      </c>
      <c r="Q2163">
        <v>1</v>
      </c>
      <c r="R2163">
        <f t="shared" si="165"/>
        <v>0</v>
      </c>
      <c r="S2163">
        <f t="shared" si="166"/>
        <v>1</v>
      </c>
      <c r="T2163">
        <f t="shared" si="167"/>
        <v>2</v>
      </c>
      <c r="U2163">
        <f t="shared" si="168"/>
        <v>1</v>
      </c>
      <c r="V2163">
        <f t="shared" si="169"/>
        <v>0</v>
      </c>
    </row>
    <row r="2164" spans="1:22" x14ac:dyDescent="0.25">
      <c r="A2164">
        <v>2161</v>
      </c>
      <c r="B2164" t="s">
        <v>22</v>
      </c>
      <c r="C2164" t="s">
        <v>1038</v>
      </c>
      <c r="D2164" s="4">
        <v>45350</v>
      </c>
      <c r="E2164" t="s">
        <v>1119</v>
      </c>
      <c r="F2164" t="s">
        <v>75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>
        <v>1</v>
      </c>
      <c r="R2164">
        <f t="shared" si="165"/>
        <v>0</v>
      </c>
      <c r="S2164">
        <f t="shared" si="166"/>
        <v>1</v>
      </c>
      <c r="T2164">
        <f t="shared" si="167"/>
        <v>0</v>
      </c>
      <c r="U2164">
        <f t="shared" si="168"/>
        <v>0</v>
      </c>
      <c r="V2164">
        <f t="shared" si="169"/>
        <v>0</v>
      </c>
    </row>
    <row r="2165" spans="1:22" x14ac:dyDescent="0.25">
      <c r="A2165">
        <v>2162</v>
      </c>
      <c r="B2165" t="s">
        <v>22</v>
      </c>
      <c r="C2165" t="s">
        <v>1038</v>
      </c>
      <c r="D2165" s="4">
        <v>45350</v>
      </c>
      <c r="E2165" t="s">
        <v>1466</v>
      </c>
      <c r="F2165" t="s">
        <v>75</v>
      </c>
      <c r="I2165" s="6"/>
      <c r="J2165" s="6"/>
      <c r="K2165" s="6"/>
      <c r="L2165" s="6"/>
      <c r="M2165" s="6"/>
      <c r="N2165" s="6"/>
      <c r="O2165" s="6"/>
      <c r="P2165" s="6"/>
      <c r="Q2165">
        <v>0</v>
      </c>
      <c r="R2165">
        <f t="shared" si="165"/>
        <v>0</v>
      </c>
      <c r="S2165">
        <f t="shared" si="166"/>
        <v>0</v>
      </c>
      <c r="T2165">
        <f t="shared" si="167"/>
        <v>0</v>
      </c>
      <c r="U2165">
        <f t="shared" si="168"/>
        <v>0</v>
      </c>
      <c r="V2165">
        <f t="shared" si="169"/>
        <v>0</v>
      </c>
    </row>
    <row r="2166" spans="1:22" x14ac:dyDescent="0.25">
      <c r="A2166">
        <v>2163</v>
      </c>
      <c r="B2166" t="s">
        <v>22</v>
      </c>
      <c r="C2166" t="s">
        <v>1038</v>
      </c>
      <c r="D2166" s="4">
        <v>45350</v>
      </c>
      <c r="E2166" t="s">
        <v>1120</v>
      </c>
      <c r="F2166" t="s">
        <v>75</v>
      </c>
      <c r="I2166" s="6">
        <v>0</v>
      </c>
      <c r="J2166" s="6">
        <v>0</v>
      </c>
      <c r="K2166" s="6">
        <v>0</v>
      </c>
      <c r="L2166" s="6">
        <v>1</v>
      </c>
      <c r="M2166" s="6">
        <v>0</v>
      </c>
      <c r="N2166" s="6">
        <v>1</v>
      </c>
      <c r="O2166" s="6">
        <v>0</v>
      </c>
      <c r="P2166" s="6">
        <v>1</v>
      </c>
      <c r="Q2166">
        <v>1</v>
      </c>
      <c r="R2166">
        <f t="shared" si="165"/>
        <v>0</v>
      </c>
      <c r="S2166">
        <f t="shared" si="166"/>
        <v>1</v>
      </c>
      <c r="T2166">
        <f t="shared" si="167"/>
        <v>3</v>
      </c>
      <c r="U2166">
        <f t="shared" si="168"/>
        <v>1</v>
      </c>
      <c r="V2166">
        <f t="shared" si="169"/>
        <v>0</v>
      </c>
    </row>
    <row r="2167" spans="1:22" x14ac:dyDescent="0.25">
      <c r="A2167">
        <v>2164</v>
      </c>
      <c r="B2167" t="s">
        <v>22</v>
      </c>
      <c r="C2167" t="s">
        <v>1038</v>
      </c>
      <c r="D2167" s="4">
        <v>45350</v>
      </c>
      <c r="E2167" t="s">
        <v>2254</v>
      </c>
      <c r="F2167" t="s">
        <v>75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>
        <v>1</v>
      </c>
      <c r="R2167">
        <f t="shared" si="165"/>
        <v>0</v>
      </c>
      <c r="S2167">
        <f t="shared" si="166"/>
        <v>1</v>
      </c>
      <c r="T2167">
        <f t="shared" si="167"/>
        <v>0</v>
      </c>
      <c r="U2167">
        <f t="shared" si="168"/>
        <v>0</v>
      </c>
      <c r="V2167">
        <f t="shared" si="169"/>
        <v>0</v>
      </c>
    </row>
    <row r="2168" spans="1:22" x14ac:dyDescent="0.25">
      <c r="A2168">
        <v>2165</v>
      </c>
      <c r="B2168" t="s">
        <v>22</v>
      </c>
      <c r="C2168" t="s">
        <v>1038</v>
      </c>
      <c r="D2168" s="4">
        <v>45350</v>
      </c>
      <c r="E2168" t="s">
        <v>2253</v>
      </c>
      <c r="F2168" t="s">
        <v>75</v>
      </c>
      <c r="I2168" s="6"/>
      <c r="J2168" s="6"/>
      <c r="K2168" s="6"/>
      <c r="L2168" s="6"/>
      <c r="M2168" s="6"/>
      <c r="N2168" s="6"/>
      <c r="O2168" s="6"/>
      <c r="P2168" s="6"/>
      <c r="Q2168">
        <v>0</v>
      </c>
      <c r="R2168">
        <f t="shared" si="165"/>
        <v>0</v>
      </c>
      <c r="S2168">
        <f t="shared" si="166"/>
        <v>0</v>
      </c>
      <c r="T2168">
        <f t="shared" si="167"/>
        <v>0</v>
      </c>
      <c r="U2168">
        <f t="shared" si="168"/>
        <v>0</v>
      </c>
      <c r="V2168">
        <f t="shared" si="169"/>
        <v>0</v>
      </c>
    </row>
    <row r="2169" spans="1:22" x14ac:dyDescent="0.25">
      <c r="A2169">
        <v>2166</v>
      </c>
      <c r="B2169" t="s">
        <v>22</v>
      </c>
      <c r="C2169" t="s">
        <v>1038</v>
      </c>
      <c r="D2169" s="4">
        <v>45351</v>
      </c>
      <c r="E2169" t="s">
        <v>1121</v>
      </c>
      <c r="F2169" t="s">
        <v>413</v>
      </c>
      <c r="G2169">
        <v>103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>
        <v>1</v>
      </c>
      <c r="R2169">
        <f t="shared" si="165"/>
        <v>1</v>
      </c>
      <c r="S2169">
        <f t="shared" si="166"/>
        <v>0</v>
      </c>
      <c r="T2169">
        <f t="shared" si="167"/>
        <v>0</v>
      </c>
      <c r="U2169">
        <f t="shared" si="168"/>
        <v>0</v>
      </c>
      <c r="V2169">
        <f t="shared" si="169"/>
        <v>1</v>
      </c>
    </row>
    <row r="2170" spans="1:22" x14ac:dyDescent="0.25">
      <c r="A2170">
        <v>2167</v>
      </c>
      <c r="B2170" t="s">
        <v>22</v>
      </c>
      <c r="C2170" t="s">
        <v>1038</v>
      </c>
      <c r="D2170" s="4">
        <v>45351</v>
      </c>
      <c r="E2170" t="s">
        <v>1122</v>
      </c>
      <c r="F2170" t="s">
        <v>413</v>
      </c>
      <c r="G2170">
        <v>104</v>
      </c>
      <c r="I2170" s="6">
        <v>1</v>
      </c>
      <c r="J2170" s="6">
        <v>0</v>
      </c>
      <c r="K2170" s="6">
        <v>0</v>
      </c>
      <c r="L2170" s="6">
        <v>0</v>
      </c>
      <c r="M2170" s="6">
        <v>1</v>
      </c>
      <c r="N2170" s="6">
        <v>0</v>
      </c>
      <c r="O2170" s="6">
        <v>0</v>
      </c>
      <c r="P2170" s="6">
        <v>0</v>
      </c>
      <c r="Q2170">
        <v>1</v>
      </c>
      <c r="R2170">
        <f t="shared" si="165"/>
        <v>1</v>
      </c>
      <c r="S2170">
        <f t="shared" si="166"/>
        <v>0</v>
      </c>
      <c r="T2170">
        <f t="shared" si="167"/>
        <v>2</v>
      </c>
      <c r="U2170">
        <f t="shared" si="168"/>
        <v>1</v>
      </c>
      <c r="V2170">
        <f t="shared" si="169"/>
        <v>1</v>
      </c>
    </row>
    <row r="2171" spans="1:22" x14ac:dyDescent="0.25">
      <c r="A2171">
        <v>2168</v>
      </c>
      <c r="B2171" t="s">
        <v>22</v>
      </c>
      <c r="C2171" t="s">
        <v>1038</v>
      </c>
      <c r="D2171" s="4">
        <v>45351</v>
      </c>
      <c r="E2171" t="s">
        <v>1301</v>
      </c>
      <c r="F2171" t="s">
        <v>75</v>
      </c>
      <c r="I2171" s="6"/>
      <c r="J2171" s="6"/>
      <c r="K2171" s="6"/>
      <c r="L2171" s="6"/>
      <c r="M2171" s="6"/>
      <c r="N2171" s="6"/>
      <c r="O2171" s="6"/>
      <c r="P2171" s="6"/>
      <c r="Q2171">
        <v>0</v>
      </c>
      <c r="R2171">
        <f t="shared" si="165"/>
        <v>0</v>
      </c>
      <c r="S2171">
        <f t="shared" si="166"/>
        <v>0</v>
      </c>
      <c r="T2171">
        <f t="shared" si="167"/>
        <v>0</v>
      </c>
      <c r="U2171">
        <f t="shared" si="168"/>
        <v>0</v>
      </c>
      <c r="V2171">
        <f t="shared" si="169"/>
        <v>0</v>
      </c>
    </row>
    <row r="2172" spans="1:22" x14ac:dyDescent="0.25">
      <c r="A2172">
        <v>2169</v>
      </c>
      <c r="B2172" t="s">
        <v>22</v>
      </c>
      <c r="C2172" t="s">
        <v>1038</v>
      </c>
      <c r="D2172" s="4">
        <v>45351</v>
      </c>
      <c r="E2172" t="s">
        <v>2251</v>
      </c>
      <c r="F2172" t="s">
        <v>75</v>
      </c>
      <c r="I2172" s="6"/>
      <c r="J2172" s="6"/>
      <c r="K2172" s="6"/>
      <c r="L2172" s="6"/>
      <c r="M2172" s="6"/>
      <c r="N2172" s="6"/>
      <c r="O2172" s="6"/>
      <c r="P2172" s="6"/>
      <c r="Q2172">
        <v>0</v>
      </c>
      <c r="R2172">
        <f t="shared" si="165"/>
        <v>0</v>
      </c>
      <c r="S2172">
        <f t="shared" si="166"/>
        <v>0</v>
      </c>
      <c r="T2172">
        <f t="shared" si="167"/>
        <v>0</v>
      </c>
      <c r="U2172">
        <f t="shared" si="168"/>
        <v>0</v>
      </c>
      <c r="V2172">
        <f t="shared" si="169"/>
        <v>0</v>
      </c>
    </row>
    <row r="2173" spans="1:22" x14ac:dyDescent="0.25">
      <c r="A2173">
        <v>2170</v>
      </c>
      <c r="B2173" t="s">
        <v>22</v>
      </c>
      <c r="C2173" t="s">
        <v>1038</v>
      </c>
      <c r="D2173" s="4">
        <v>45351</v>
      </c>
      <c r="E2173" t="s">
        <v>2250</v>
      </c>
      <c r="F2173" t="s">
        <v>75</v>
      </c>
      <c r="I2173" s="6"/>
      <c r="J2173" s="6"/>
      <c r="K2173" s="6"/>
      <c r="L2173" s="6"/>
      <c r="M2173" s="6"/>
      <c r="N2173" s="6"/>
      <c r="O2173" s="6"/>
      <c r="P2173" s="6"/>
      <c r="Q2173">
        <v>0</v>
      </c>
      <c r="R2173">
        <f t="shared" si="165"/>
        <v>0</v>
      </c>
      <c r="S2173">
        <f t="shared" si="166"/>
        <v>0</v>
      </c>
      <c r="T2173">
        <f t="shared" si="167"/>
        <v>0</v>
      </c>
      <c r="U2173">
        <f t="shared" si="168"/>
        <v>0</v>
      </c>
      <c r="V2173">
        <f t="shared" si="169"/>
        <v>0</v>
      </c>
    </row>
    <row r="2174" spans="1:22" x14ac:dyDescent="0.25">
      <c r="A2174">
        <v>2171</v>
      </c>
      <c r="B2174" t="s">
        <v>22</v>
      </c>
      <c r="C2174" t="s">
        <v>1038</v>
      </c>
      <c r="D2174" s="4">
        <v>45352</v>
      </c>
      <c r="E2174" t="s">
        <v>1303</v>
      </c>
      <c r="F2174" t="s">
        <v>75</v>
      </c>
      <c r="I2174" s="6"/>
      <c r="J2174" s="6"/>
      <c r="K2174" s="6"/>
      <c r="L2174" s="6"/>
      <c r="M2174" s="6"/>
      <c r="N2174" s="6"/>
      <c r="O2174" s="6"/>
      <c r="P2174" s="6"/>
      <c r="Q2174">
        <v>0</v>
      </c>
      <c r="R2174">
        <f t="shared" si="165"/>
        <v>0</v>
      </c>
      <c r="S2174">
        <f t="shared" si="166"/>
        <v>0</v>
      </c>
      <c r="T2174">
        <f t="shared" si="167"/>
        <v>0</v>
      </c>
      <c r="U2174">
        <f t="shared" si="168"/>
        <v>0</v>
      </c>
      <c r="V2174">
        <f t="shared" si="169"/>
        <v>0</v>
      </c>
    </row>
    <row r="2175" spans="1:22" x14ac:dyDescent="0.25">
      <c r="A2175">
        <v>2172</v>
      </c>
      <c r="B2175" t="s">
        <v>22</v>
      </c>
      <c r="C2175" t="s">
        <v>1038</v>
      </c>
      <c r="D2175" s="4">
        <v>45352</v>
      </c>
      <c r="E2175" t="s">
        <v>1518</v>
      </c>
      <c r="F2175" t="s">
        <v>75</v>
      </c>
      <c r="I2175" s="6">
        <v>1</v>
      </c>
      <c r="J2175" s="6">
        <v>0</v>
      </c>
      <c r="K2175" s="6">
        <v>1</v>
      </c>
      <c r="L2175" s="6">
        <v>0</v>
      </c>
      <c r="M2175" s="6">
        <v>1</v>
      </c>
      <c r="N2175" s="6">
        <v>0</v>
      </c>
      <c r="O2175" s="6">
        <v>0</v>
      </c>
      <c r="P2175" s="6">
        <v>0</v>
      </c>
      <c r="Q2175">
        <v>1</v>
      </c>
      <c r="R2175">
        <f t="shared" si="165"/>
        <v>0</v>
      </c>
      <c r="S2175">
        <f t="shared" si="166"/>
        <v>1</v>
      </c>
      <c r="T2175">
        <f t="shared" si="167"/>
        <v>3</v>
      </c>
      <c r="U2175">
        <f t="shared" si="168"/>
        <v>1</v>
      </c>
      <c r="V2175">
        <f t="shared" si="169"/>
        <v>0</v>
      </c>
    </row>
    <row r="2176" spans="1:22" x14ac:dyDescent="0.25">
      <c r="A2176">
        <v>2173</v>
      </c>
      <c r="B2176" t="s">
        <v>22</v>
      </c>
      <c r="C2176" t="s">
        <v>1038</v>
      </c>
      <c r="D2176" s="4">
        <v>45353</v>
      </c>
      <c r="E2176" t="s">
        <v>255</v>
      </c>
      <c r="F2176" t="s">
        <v>75</v>
      </c>
      <c r="I2176" s="6">
        <v>0</v>
      </c>
      <c r="J2176" s="6">
        <v>0</v>
      </c>
      <c r="K2176" s="6">
        <v>0</v>
      </c>
      <c r="L2176" s="6">
        <v>0</v>
      </c>
      <c r="M2176" s="6">
        <v>0</v>
      </c>
      <c r="N2176" s="6">
        <v>0</v>
      </c>
      <c r="O2176" s="6">
        <v>1</v>
      </c>
      <c r="P2176" s="6">
        <v>0</v>
      </c>
      <c r="Q2176">
        <v>1</v>
      </c>
      <c r="R2176">
        <f t="shared" si="165"/>
        <v>0</v>
      </c>
      <c r="S2176">
        <f t="shared" si="166"/>
        <v>1</v>
      </c>
      <c r="T2176">
        <f t="shared" si="167"/>
        <v>1</v>
      </c>
      <c r="U2176">
        <f t="shared" si="168"/>
        <v>1</v>
      </c>
      <c r="V2176">
        <f t="shared" si="169"/>
        <v>0</v>
      </c>
    </row>
    <row r="2177" spans="1:22" x14ac:dyDescent="0.25">
      <c r="A2177">
        <v>2174</v>
      </c>
      <c r="B2177" t="s">
        <v>22</v>
      </c>
      <c r="C2177" t="s">
        <v>1038</v>
      </c>
      <c r="D2177" s="4">
        <v>45353</v>
      </c>
      <c r="E2177" t="s">
        <v>256</v>
      </c>
      <c r="F2177" t="s">
        <v>75</v>
      </c>
      <c r="I2177" s="6"/>
      <c r="J2177" s="6"/>
      <c r="K2177" s="6"/>
      <c r="L2177" s="6"/>
      <c r="M2177" s="6"/>
      <c r="N2177" s="6"/>
      <c r="O2177" s="6"/>
      <c r="P2177" s="6"/>
      <c r="Q2177">
        <v>0</v>
      </c>
      <c r="R2177">
        <f t="shared" si="165"/>
        <v>0</v>
      </c>
      <c r="S2177">
        <f t="shared" si="166"/>
        <v>0</v>
      </c>
      <c r="T2177">
        <f t="shared" si="167"/>
        <v>0</v>
      </c>
      <c r="U2177">
        <f t="shared" si="168"/>
        <v>0</v>
      </c>
      <c r="V2177">
        <f t="shared" si="169"/>
        <v>0</v>
      </c>
    </row>
    <row r="2178" spans="1:22" x14ac:dyDescent="0.25">
      <c r="A2178">
        <v>2175</v>
      </c>
      <c r="B2178" t="s">
        <v>22</v>
      </c>
      <c r="C2178" t="s">
        <v>1038</v>
      </c>
      <c r="D2178" s="4">
        <v>45354</v>
      </c>
      <c r="E2178" t="s">
        <v>915</v>
      </c>
      <c r="F2178" t="s">
        <v>75</v>
      </c>
      <c r="I2178" s="6"/>
      <c r="J2178" s="6"/>
      <c r="K2178" s="6"/>
      <c r="L2178" s="6"/>
      <c r="M2178" s="6"/>
      <c r="N2178" s="6"/>
      <c r="O2178" s="6"/>
      <c r="P2178" s="6"/>
      <c r="Q2178">
        <v>0</v>
      </c>
      <c r="R2178">
        <f t="shared" si="165"/>
        <v>0</v>
      </c>
      <c r="S2178">
        <f t="shared" si="166"/>
        <v>0</v>
      </c>
      <c r="T2178">
        <f t="shared" si="167"/>
        <v>0</v>
      </c>
      <c r="U2178">
        <f t="shared" si="168"/>
        <v>0</v>
      </c>
      <c r="V2178">
        <f t="shared" si="169"/>
        <v>0</v>
      </c>
    </row>
    <row r="2179" spans="1:22" x14ac:dyDescent="0.25">
      <c r="A2179">
        <v>2176</v>
      </c>
      <c r="B2179" t="s">
        <v>22</v>
      </c>
      <c r="C2179" t="s">
        <v>1038</v>
      </c>
      <c r="D2179" s="4">
        <v>45354</v>
      </c>
      <c r="E2179" t="s">
        <v>1307</v>
      </c>
      <c r="F2179" t="s">
        <v>75</v>
      </c>
      <c r="I2179" s="6"/>
      <c r="J2179" s="6"/>
      <c r="K2179" s="6"/>
      <c r="L2179" s="6"/>
      <c r="M2179" s="6"/>
      <c r="N2179" s="6"/>
      <c r="O2179" s="6"/>
      <c r="P2179" s="6"/>
      <c r="Q2179">
        <v>0</v>
      </c>
      <c r="R2179">
        <f t="shared" ref="R2179:R2242" si="170">IF(AND(Q2179=1,F2179="ai_full"),1,0)</f>
        <v>0</v>
      </c>
      <c r="S2179">
        <f t="shared" ref="S2179:S2242" si="171">IF(AND(Q2179=1,F2179="conventional"),1,0)</f>
        <v>0</v>
      </c>
      <c r="T2179">
        <f t="shared" ref="T2179:T2242" si="172">SUM(I2179:P2179)</f>
        <v>0</v>
      </c>
      <c r="U2179">
        <f t="shared" ref="U2179:U2242" si="173">IF(T2179&gt;=1,1,0)</f>
        <v>0</v>
      </c>
      <c r="V2179">
        <f t="shared" ref="V2179:V2242" si="174">IF(F2179="ai_full",1,0)</f>
        <v>0</v>
      </c>
    </row>
    <row r="2180" spans="1:22" x14ac:dyDescent="0.25">
      <c r="A2180">
        <v>2177</v>
      </c>
      <c r="B2180" t="s">
        <v>22</v>
      </c>
      <c r="C2180" t="s">
        <v>1038</v>
      </c>
      <c r="D2180" s="4">
        <v>45354</v>
      </c>
      <c r="E2180" t="s">
        <v>2244</v>
      </c>
      <c r="F2180" t="s">
        <v>75</v>
      </c>
      <c r="I2180" s="6"/>
      <c r="J2180" s="6"/>
      <c r="K2180" s="6"/>
      <c r="L2180" s="6"/>
      <c r="M2180" s="6"/>
      <c r="N2180" s="6"/>
      <c r="O2180" s="6"/>
      <c r="P2180" s="6"/>
      <c r="Q2180">
        <v>0</v>
      </c>
      <c r="R2180">
        <f t="shared" si="170"/>
        <v>0</v>
      </c>
      <c r="S2180">
        <f t="shared" si="171"/>
        <v>0</v>
      </c>
      <c r="T2180">
        <f t="shared" si="172"/>
        <v>0</v>
      </c>
      <c r="U2180">
        <f t="shared" si="173"/>
        <v>0</v>
      </c>
      <c r="V2180">
        <f t="shared" si="174"/>
        <v>0</v>
      </c>
    </row>
    <row r="2181" spans="1:22" x14ac:dyDescent="0.25">
      <c r="A2181">
        <v>2178</v>
      </c>
      <c r="B2181" t="s">
        <v>22</v>
      </c>
      <c r="C2181" t="s">
        <v>1038</v>
      </c>
      <c r="D2181" s="4">
        <v>45355</v>
      </c>
      <c r="E2181" t="s">
        <v>840</v>
      </c>
      <c r="F2181" t="s">
        <v>75</v>
      </c>
      <c r="I2181" s="6"/>
      <c r="J2181" s="6"/>
      <c r="K2181" s="6"/>
      <c r="L2181" s="6"/>
      <c r="M2181" s="6"/>
      <c r="N2181" s="6"/>
      <c r="O2181" s="6"/>
      <c r="P2181" s="6"/>
      <c r="Q2181">
        <v>0</v>
      </c>
      <c r="R2181">
        <f t="shared" si="170"/>
        <v>0</v>
      </c>
      <c r="S2181">
        <f t="shared" si="171"/>
        <v>0</v>
      </c>
      <c r="T2181">
        <f t="shared" si="172"/>
        <v>0</v>
      </c>
      <c r="U2181">
        <f t="shared" si="173"/>
        <v>0</v>
      </c>
      <c r="V2181">
        <f t="shared" si="174"/>
        <v>0</v>
      </c>
    </row>
    <row r="2182" spans="1:22" x14ac:dyDescent="0.25">
      <c r="A2182">
        <v>2179</v>
      </c>
      <c r="B2182" t="s">
        <v>22</v>
      </c>
      <c r="C2182" t="s">
        <v>1038</v>
      </c>
      <c r="D2182" s="4">
        <v>45355</v>
      </c>
      <c r="E2182" t="s">
        <v>259</v>
      </c>
      <c r="F2182" t="s">
        <v>75</v>
      </c>
      <c r="I2182" s="6"/>
      <c r="J2182" s="6"/>
      <c r="K2182" s="6"/>
      <c r="L2182" s="6"/>
      <c r="M2182" s="6"/>
      <c r="N2182" s="6"/>
      <c r="O2182" s="6"/>
      <c r="P2182" s="6"/>
      <c r="Q2182">
        <v>0</v>
      </c>
      <c r="R2182">
        <f t="shared" si="170"/>
        <v>0</v>
      </c>
      <c r="S2182">
        <f t="shared" si="171"/>
        <v>0</v>
      </c>
      <c r="T2182">
        <f t="shared" si="172"/>
        <v>0</v>
      </c>
      <c r="U2182">
        <f t="shared" si="173"/>
        <v>0</v>
      </c>
      <c r="V2182">
        <f t="shared" si="174"/>
        <v>0</v>
      </c>
    </row>
    <row r="2183" spans="1:22" x14ac:dyDescent="0.25">
      <c r="A2183">
        <v>2180</v>
      </c>
      <c r="B2183" t="s">
        <v>22</v>
      </c>
      <c r="C2183" t="s">
        <v>1038</v>
      </c>
      <c r="D2183" s="4">
        <v>45356</v>
      </c>
      <c r="E2183" t="s">
        <v>841</v>
      </c>
      <c r="F2183" t="s">
        <v>357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>
        <v>1</v>
      </c>
      <c r="R2183">
        <f t="shared" si="170"/>
        <v>0</v>
      </c>
      <c r="S2183">
        <f t="shared" si="171"/>
        <v>0</v>
      </c>
      <c r="T2183">
        <f t="shared" si="172"/>
        <v>0</v>
      </c>
      <c r="U2183">
        <f t="shared" si="173"/>
        <v>0</v>
      </c>
      <c r="V2183">
        <f t="shared" si="174"/>
        <v>0</v>
      </c>
    </row>
    <row r="2184" spans="1:22" x14ac:dyDescent="0.25">
      <c r="A2184">
        <v>2181</v>
      </c>
      <c r="B2184" t="s">
        <v>22</v>
      </c>
      <c r="C2184" t="s">
        <v>1038</v>
      </c>
      <c r="D2184" s="4">
        <v>45356</v>
      </c>
      <c r="E2184" t="s">
        <v>842</v>
      </c>
      <c r="F2184" t="s">
        <v>75</v>
      </c>
      <c r="I2184" s="6">
        <v>1</v>
      </c>
      <c r="J2184" s="6">
        <v>0</v>
      </c>
      <c r="K2184" s="6">
        <v>1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>
        <v>1</v>
      </c>
      <c r="R2184">
        <f t="shared" si="170"/>
        <v>0</v>
      </c>
      <c r="S2184">
        <f t="shared" si="171"/>
        <v>1</v>
      </c>
      <c r="T2184">
        <f t="shared" si="172"/>
        <v>2</v>
      </c>
      <c r="U2184">
        <f t="shared" si="173"/>
        <v>1</v>
      </c>
      <c r="V2184">
        <f t="shared" si="174"/>
        <v>0</v>
      </c>
    </row>
    <row r="2185" spans="1:22" x14ac:dyDescent="0.25">
      <c r="A2185">
        <v>2182</v>
      </c>
      <c r="B2185" t="s">
        <v>22</v>
      </c>
      <c r="C2185" t="s">
        <v>1038</v>
      </c>
      <c r="D2185" s="4">
        <v>45356</v>
      </c>
      <c r="E2185" t="s">
        <v>2235</v>
      </c>
      <c r="F2185" t="s">
        <v>75</v>
      </c>
      <c r="I2185" s="6">
        <v>0</v>
      </c>
      <c r="J2185" s="6">
        <v>0</v>
      </c>
      <c r="K2185" s="6">
        <v>0</v>
      </c>
      <c r="L2185" s="6">
        <v>1</v>
      </c>
      <c r="M2185" s="6">
        <v>0</v>
      </c>
      <c r="N2185" s="6">
        <v>1</v>
      </c>
      <c r="O2185" s="6">
        <v>0</v>
      </c>
      <c r="P2185" s="6">
        <v>0</v>
      </c>
      <c r="Q2185">
        <v>1</v>
      </c>
      <c r="R2185">
        <f t="shared" si="170"/>
        <v>0</v>
      </c>
      <c r="S2185">
        <f t="shared" si="171"/>
        <v>1</v>
      </c>
      <c r="T2185">
        <f t="shared" si="172"/>
        <v>2</v>
      </c>
      <c r="U2185">
        <f t="shared" si="173"/>
        <v>1</v>
      </c>
      <c r="V2185">
        <f t="shared" si="174"/>
        <v>0</v>
      </c>
    </row>
    <row r="2186" spans="1:22" x14ac:dyDescent="0.25">
      <c r="A2186">
        <v>2183</v>
      </c>
      <c r="B2186" t="s">
        <v>22</v>
      </c>
      <c r="C2186" t="s">
        <v>1038</v>
      </c>
      <c r="D2186" s="4">
        <v>45357</v>
      </c>
      <c r="E2186" t="s">
        <v>260</v>
      </c>
      <c r="F2186" t="s">
        <v>75</v>
      </c>
      <c r="I2186" s="6"/>
      <c r="J2186" s="6"/>
      <c r="K2186" s="6"/>
      <c r="L2186" s="6"/>
      <c r="M2186" s="6"/>
      <c r="N2186" s="6"/>
      <c r="O2186" s="6"/>
      <c r="P2186" s="6"/>
      <c r="Q2186">
        <v>0</v>
      </c>
      <c r="R2186">
        <f t="shared" si="170"/>
        <v>0</v>
      </c>
      <c r="S2186">
        <f t="shared" si="171"/>
        <v>0</v>
      </c>
      <c r="T2186">
        <f t="shared" si="172"/>
        <v>0</v>
      </c>
      <c r="U2186">
        <f t="shared" si="173"/>
        <v>0</v>
      </c>
      <c r="V2186">
        <f t="shared" si="174"/>
        <v>0</v>
      </c>
    </row>
    <row r="2187" spans="1:22" x14ac:dyDescent="0.25">
      <c r="A2187">
        <v>2184</v>
      </c>
      <c r="B2187" t="s">
        <v>22</v>
      </c>
      <c r="C2187" t="s">
        <v>1038</v>
      </c>
      <c r="D2187" s="4">
        <v>45357</v>
      </c>
      <c r="E2187" t="s">
        <v>422</v>
      </c>
      <c r="F2187" t="s">
        <v>75</v>
      </c>
      <c r="I2187" s="6"/>
      <c r="J2187" s="6"/>
      <c r="K2187" s="6"/>
      <c r="L2187" s="6"/>
      <c r="M2187" s="6"/>
      <c r="N2187" s="6"/>
      <c r="O2187" s="6"/>
      <c r="P2187" s="6"/>
      <c r="Q2187">
        <v>0</v>
      </c>
      <c r="R2187">
        <f t="shared" si="170"/>
        <v>0</v>
      </c>
      <c r="S2187">
        <f t="shared" si="171"/>
        <v>0</v>
      </c>
      <c r="T2187">
        <f t="shared" si="172"/>
        <v>0</v>
      </c>
      <c r="U2187">
        <f t="shared" si="173"/>
        <v>0</v>
      </c>
      <c r="V2187">
        <f t="shared" si="174"/>
        <v>0</v>
      </c>
    </row>
    <row r="2188" spans="1:22" x14ac:dyDescent="0.25">
      <c r="A2188">
        <v>2185</v>
      </c>
      <c r="B2188" t="s">
        <v>22</v>
      </c>
      <c r="C2188" t="s">
        <v>1038</v>
      </c>
      <c r="D2188" s="4">
        <v>45357</v>
      </c>
      <c r="E2188" t="s">
        <v>2230</v>
      </c>
      <c r="F2188" t="s">
        <v>357</v>
      </c>
      <c r="I2188" s="6"/>
      <c r="J2188" s="6"/>
      <c r="K2188" s="6"/>
      <c r="L2188" s="6"/>
      <c r="M2188" s="6"/>
      <c r="N2188" s="6"/>
      <c r="O2188" s="6"/>
      <c r="P2188" s="6"/>
      <c r="Q2188">
        <v>0</v>
      </c>
      <c r="R2188">
        <f t="shared" si="170"/>
        <v>0</v>
      </c>
      <c r="S2188">
        <f t="shared" si="171"/>
        <v>0</v>
      </c>
      <c r="T2188">
        <f t="shared" si="172"/>
        <v>0</v>
      </c>
      <c r="U2188">
        <f t="shared" si="173"/>
        <v>0</v>
      </c>
      <c r="V2188">
        <f t="shared" si="174"/>
        <v>0</v>
      </c>
    </row>
    <row r="2189" spans="1:22" x14ac:dyDescent="0.25">
      <c r="A2189">
        <v>2186</v>
      </c>
      <c r="B2189" t="s">
        <v>22</v>
      </c>
      <c r="C2189" t="s">
        <v>1038</v>
      </c>
      <c r="D2189" s="4">
        <v>45357</v>
      </c>
      <c r="E2189" t="s">
        <v>1123</v>
      </c>
      <c r="F2189" t="s">
        <v>75</v>
      </c>
      <c r="I2189" s="6">
        <v>0</v>
      </c>
      <c r="J2189" s="6">
        <v>0</v>
      </c>
      <c r="K2189" s="6">
        <v>0</v>
      </c>
      <c r="L2189" s="6">
        <v>0</v>
      </c>
      <c r="M2189" s="6">
        <v>1</v>
      </c>
      <c r="N2189" s="6">
        <v>1</v>
      </c>
      <c r="O2189" s="6">
        <v>0</v>
      </c>
      <c r="P2189" s="6">
        <v>1</v>
      </c>
      <c r="Q2189">
        <v>1</v>
      </c>
      <c r="R2189">
        <f t="shared" si="170"/>
        <v>0</v>
      </c>
      <c r="S2189">
        <f t="shared" si="171"/>
        <v>1</v>
      </c>
      <c r="T2189">
        <f t="shared" si="172"/>
        <v>3</v>
      </c>
      <c r="U2189">
        <f t="shared" si="173"/>
        <v>1</v>
      </c>
      <c r="V2189">
        <f t="shared" si="174"/>
        <v>0</v>
      </c>
    </row>
    <row r="2190" spans="1:22" x14ac:dyDescent="0.25">
      <c r="A2190">
        <v>2187</v>
      </c>
      <c r="B2190" t="s">
        <v>22</v>
      </c>
      <c r="C2190" t="s">
        <v>1038</v>
      </c>
      <c r="D2190" s="4">
        <v>45357</v>
      </c>
      <c r="E2190" t="s">
        <v>1526</v>
      </c>
      <c r="F2190" t="s">
        <v>75</v>
      </c>
      <c r="I2190" s="6"/>
      <c r="J2190" s="6"/>
      <c r="K2190" s="6"/>
      <c r="L2190" s="6"/>
      <c r="M2190" s="6"/>
      <c r="N2190" s="6"/>
      <c r="O2190" s="6"/>
      <c r="P2190" s="6"/>
      <c r="Q2190">
        <v>0</v>
      </c>
      <c r="R2190">
        <f t="shared" si="170"/>
        <v>0</v>
      </c>
      <c r="S2190">
        <f t="shared" si="171"/>
        <v>0</v>
      </c>
      <c r="T2190">
        <f t="shared" si="172"/>
        <v>0</v>
      </c>
      <c r="U2190">
        <f t="shared" si="173"/>
        <v>0</v>
      </c>
      <c r="V2190">
        <f t="shared" si="174"/>
        <v>0</v>
      </c>
    </row>
    <row r="2191" spans="1:22" x14ac:dyDescent="0.25">
      <c r="A2191">
        <v>2188</v>
      </c>
      <c r="B2191" t="s">
        <v>22</v>
      </c>
      <c r="C2191" t="s">
        <v>1038</v>
      </c>
      <c r="D2191" s="4">
        <v>45358</v>
      </c>
      <c r="E2191" t="s">
        <v>2228</v>
      </c>
      <c r="F2191" t="s">
        <v>75</v>
      </c>
      <c r="I2191" s="6"/>
      <c r="J2191" s="6"/>
      <c r="K2191" s="6"/>
      <c r="L2191" s="6"/>
      <c r="M2191" s="6"/>
      <c r="N2191" s="6"/>
      <c r="O2191" s="6"/>
      <c r="P2191" s="6"/>
      <c r="Q2191">
        <v>0</v>
      </c>
      <c r="R2191">
        <f t="shared" si="170"/>
        <v>0</v>
      </c>
      <c r="S2191">
        <f t="shared" si="171"/>
        <v>0</v>
      </c>
      <c r="T2191">
        <f t="shared" si="172"/>
        <v>0</v>
      </c>
      <c r="U2191">
        <f t="shared" si="173"/>
        <v>0</v>
      </c>
      <c r="V2191">
        <f t="shared" si="174"/>
        <v>0</v>
      </c>
    </row>
    <row r="2192" spans="1:22" x14ac:dyDescent="0.25">
      <c r="A2192">
        <v>2189</v>
      </c>
      <c r="B2192" t="s">
        <v>22</v>
      </c>
      <c r="C2192" t="s">
        <v>1038</v>
      </c>
      <c r="D2192" s="4">
        <v>45358</v>
      </c>
      <c r="E2192" t="s">
        <v>1317</v>
      </c>
      <c r="F2192" t="s">
        <v>75</v>
      </c>
      <c r="I2192" s="6"/>
      <c r="J2192" s="6"/>
      <c r="K2192" s="6"/>
      <c r="L2192" s="6"/>
      <c r="M2192" s="6"/>
      <c r="N2192" s="6"/>
      <c r="O2192" s="6"/>
      <c r="P2192" s="6"/>
      <c r="Q2192">
        <v>0</v>
      </c>
      <c r="R2192">
        <f t="shared" si="170"/>
        <v>0</v>
      </c>
      <c r="S2192">
        <f t="shared" si="171"/>
        <v>0</v>
      </c>
      <c r="T2192">
        <f t="shared" si="172"/>
        <v>0</v>
      </c>
      <c r="U2192">
        <f t="shared" si="173"/>
        <v>0</v>
      </c>
      <c r="V2192">
        <f t="shared" si="174"/>
        <v>0</v>
      </c>
    </row>
    <row r="2193" spans="1:22" x14ac:dyDescent="0.25">
      <c r="A2193">
        <v>2190</v>
      </c>
      <c r="B2193" t="s">
        <v>22</v>
      </c>
      <c r="C2193" t="s">
        <v>1038</v>
      </c>
      <c r="D2193" s="4">
        <v>45358</v>
      </c>
      <c r="E2193" t="s">
        <v>1527</v>
      </c>
      <c r="F2193" t="s">
        <v>75</v>
      </c>
      <c r="I2193" s="6"/>
      <c r="J2193" s="6"/>
      <c r="K2193" s="6"/>
      <c r="L2193" s="6"/>
      <c r="M2193" s="6"/>
      <c r="N2193" s="6"/>
      <c r="O2193" s="6"/>
      <c r="P2193" s="6"/>
      <c r="Q2193">
        <v>0</v>
      </c>
      <c r="R2193">
        <f t="shared" si="170"/>
        <v>0</v>
      </c>
      <c r="S2193">
        <f t="shared" si="171"/>
        <v>0</v>
      </c>
      <c r="T2193">
        <f t="shared" si="172"/>
        <v>0</v>
      </c>
      <c r="U2193">
        <f t="shared" si="173"/>
        <v>0</v>
      </c>
      <c r="V2193">
        <f t="shared" si="174"/>
        <v>0</v>
      </c>
    </row>
    <row r="2194" spans="1:22" x14ac:dyDescent="0.25">
      <c r="A2194">
        <v>2191</v>
      </c>
      <c r="B2194" t="s">
        <v>22</v>
      </c>
      <c r="C2194" t="s">
        <v>1038</v>
      </c>
      <c r="D2194" s="4">
        <v>45358</v>
      </c>
      <c r="E2194" t="s">
        <v>1467</v>
      </c>
      <c r="F2194" t="s">
        <v>75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1</v>
      </c>
      <c r="P2194" s="6">
        <v>0</v>
      </c>
      <c r="Q2194">
        <v>1</v>
      </c>
      <c r="R2194">
        <f t="shared" si="170"/>
        <v>0</v>
      </c>
      <c r="S2194">
        <f t="shared" si="171"/>
        <v>1</v>
      </c>
      <c r="T2194">
        <f t="shared" si="172"/>
        <v>1</v>
      </c>
      <c r="U2194">
        <f t="shared" si="173"/>
        <v>1</v>
      </c>
      <c r="V2194">
        <f t="shared" si="174"/>
        <v>0</v>
      </c>
    </row>
    <row r="2195" spans="1:22" x14ac:dyDescent="0.25">
      <c r="A2195">
        <v>2192</v>
      </c>
      <c r="B2195" t="s">
        <v>22</v>
      </c>
      <c r="C2195" t="s">
        <v>1038</v>
      </c>
      <c r="D2195" s="4">
        <v>45358</v>
      </c>
      <c r="E2195" t="s">
        <v>2227</v>
      </c>
      <c r="F2195" t="s">
        <v>75</v>
      </c>
      <c r="I2195" s="6">
        <v>0</v>
      </c>
      <c r="J2195" s="6">
        <v>0</v>
      </c>
      <c r="K2195" s="6">
        <v>0</v>
      </c>
      <c r="L2195" s="6">
        <v>1</v>
      </c>
      <c r="M2195" s="6">
        <v>0</v>
      </c>
      <c r="N2195" s="6">
        <v>0</v>
      </c>
      <c r="O2195" s="6">
        <v>0</v>
      </c>
      <c r="P2195" s="6">
        <v>0</v>
      </c>
      <c r="Q2195">
        <v>1</v>
      </c>
      <c r="R2195">
        <f t="shared" si="170"/>
        <v>0</v>
      </c>
      <c r="S2195">
        <f t="shared" si="171"/>
        <v>1</v>
      </c>
      <c r="T2195">
        <f t="shared" si="172"/>
        <v>1</v>
      </c>
      <c r="U2195">
        <f t="shared" si="173"/>
        <v>1</v>
      </c>
      <c r="V2195">
        <f t="shared" si="174"/>
        <v>0</v>
      </c>
    </row>
    <row r="2196" spans="1:22" x14ac:dyDescent="0.25">
      <c r="A2196">
        <v>2193</v>
      </c>
      <c r="B2196" t="s">
        <v>22</v>
      </c>
      <c r="C2196" t="s">
        <v>1038</v>
      </c>
      <c r="D2196" s="4">
        <v>45358</v>
      </c>
      <c r="E2196" t="s">
        <v>1468</v>
      </c>
      <c r="F2196" t="s">
        <v>75</v>
      </c>
      <c r="I2196" s="6"/>
      <c r="J2196" s="6"/>
      <c r="K2196" s="6"/>
      <c r="L2196" s="6"/>
      <c r="M2196" s="6"/>
      <c r="N2196" s="6"/>
      <c r="O2196" s="6"/>
      <c r="P2196" s="6"/>
      <c r="Q2196">
        <v>0</v>
      </c>
      <c r="R2196">
        <f t="shared" si="170"/>
        <v>0</v>
      </c>
      <c r="S2196">
        <f t="shared" si="171"/>
        <v>0</v>
      </c>
      <c r="T2196">
        <f t="shared" si="172"/>
        <v>0</v>
      </c>
      <c r="U2196">
        <f t="shared" si="173"/>
        <v>0</v>
      </c>
      <c r="V2196">
        <f t="shared" si="174"/>
        <v>0</v>
      </c>
    </row>
    <row r="2197" spans="1:22" x14ac:dyDescent="0.25">
      <c r="A2197">
        <v>2194</v>
      </c>
      <c r="B2197" t="s">
        <v>22</v>
      </c>
      <c r="C2197" t="s">
        <v>1038</v>
      </c>
      <c r="D2197" s="4">
        <v>45359</v>
      </c>
      <c r="E2197" t="s">
        <v>844</v>
      </c>
      <c r="F2197" t="s">
        <v>75</v>
      </c>
      <c r="I2197" s="6"/>
      <c r="J2197" s="6"/>
      <c r="K2197" s="6"/>
      <c r="L2197" s="6"/>
      <c r="M2197" s="6"/>
      <c r="N2197" s="6"/>
      <c r="O2197" s="6"/>
      <c r="P2197" s="6"/>
      <c r="Q2197">
        <v>0</v>
      </c>
      <c r="R2197">
        <f t="shared" si="170"/>
        <v>0</v>
      </c>
      <c r="S2197">
        <f t="shared" si="171"/>
        <v>0</v>
      </c>
      <c r="T2197">
        <f t="shared" si="172"/>
        <v>0</v>
      </c>
      <c r="U2197">
        <f t="shared" si="173"/>
        <v>0</v>
      </c>
      <c r="V2197">
        <f t="shared" si="174"/>
        <v>0</v>
      </c>
    </row>
    <row r="2198" spans="1:22" x14ac:dyDescent="0.25">
      <c r="A2198">
        <v>2195</v>
      </c>
      <c r="B2198" t="s">
        <v>22</v>
      </c>
      <c r="C2198" t="s">
        <v>1038</v>
      </c>
      <c r="D2198" s="4">
        <v>45359</v>
      </c>
      <c r="E2198" t="s">
        <v>845</v>
      </c>
      <c r="F2198" t="s">
        <v>75</v>
      </c>
      <c r="I2198" s="6"/>
      <c r="J2198" s="6"/>
      <c r="K2198" s="6"/>
      <c r="L2198" s="6"/>
      <c r="M2198" s="6"/>
      <c r="N2198" s="6"/>
      <c r="O2198" s="6"/>
      <c r="P2198" s="6"/>
      <c r="Q2198">
        <v>0</v>
      </c>
      <c r="R2198">
        <f t="shared" si="170"/>
        <v>0</v>
      </c>
      <c r="S2198">
        <f t="shared" si="171"/>
        <v>0</v>
      </c>
      <c r="T2198">
        <f t="shared" si="172"/>
        <v>0</v>
      </c>
      <c r="U2198">
        <f t="shared" si="173"/>
        <v>0</v>
      </c>
      <c r="V2198">
        <f t="shared" si="174"/>
        <v>0</v>
      </c>
    </row>
    <row r="2199" spans="1:22" x14ac:dyDescent="0.25">
      <c r="A2199">
        <v>2196</v>
      </c>
      <c r="B2199" t="s">
        <v>22</v>
      </c>
      <c r="C2199" t="s">
        <v>1038</v>
      </c>
      <c r="D2199" s="4">
        <v>45359</v>
      </c>
      <c r="E2199" t="s">
        <v>2225</v>
      </c>
      <c r="F2199" t="s">
        <v>75</v>
      </c>
      <c r="I2199" s="6"/>
      <c r="J2199" s="6"/>
      <c r="K2199" s="6"/>
      <c r="L2199" s="6"/>
      <c r="M2199" s="6"/>
      <c r="N2199" s="6"/>
      <c r="O2199" s="6"/>
      <c r="P2199" s="6"/>
      <c r="Q2199">
        <v>0</v>
      </c>
      <c r="R2199">
        <f t="shared" si="170"/>
        <v>0</v>
      </c>
      <c r="S2199">
        <f t="shared" si="171"/>
        <v>0</v>
      </c>
      <c r="T2199">
        <f t="shared" si="172"/>
        <v>0</v>
      </c>
      <c r="U2199">
        <f t="shared" si="173"/>
        <v>0</v>
      </c>
      <c r="V2199">
        <f t="shared" si="174"/>
        <v>0</v>
      </c>
    </row>
    <row r="2200" spans="1:22" x14ac:dyDescent="0.25">
      <c r="A2200">
        <v>2197</v>
      </c>
      <c r="B2200" t="s">
        <v>22</v>
      </c>
      <c r="C2200" t="s">
        <v>1038</v>
      </c>
      <c r="D2200" s="4">
        <v>45359</v>
      </c>
      <c r="E2200" t="s">
        <v>1124</v>
      </c>
      <c r="F2200" t="s">
        <v>75</v>
      </c>
      <c r="I2200" s="6">
        <v>0</v>
      </c>
      <c r="J2200" s="6">
        <v>0</v>
      </c>
      <c r="K2200" s="6">
        <v>0</v>
      </c>
      <c r="L2200" s="6">
        <v>1</v>
      </c>
      <c r="M2200" s="6">
        <v>0</v>
      </c>
      <c r="N2200" s="6">
        <v>0</v>
      </c>
      <c r="O2200" s="6">
        <v>0</v>
      </c>
      <c r="P2200" s="6">
        <v>0</v>
      </c>
      <c r="Q2200">
        <v>1</v>
      </c>
      <c r="R2200">
        <f t="shared" si="170"/>
        <v>0</v>
      </c>
      <c r="S2200">
        <f t="shared" si="171"/>
        <v>1</v>
      </c>
      <c r="T2200">
        <f t="shared" si="172"/>
        <v>1</v>
      </c>
      <c r="U2200">
        <f t="shared" si="173"/>
        <v>1</v>
      </c>
      <c r="V2200">
        <f t="shared" si="174"/>
        <v>0</v>
      </c>
    </row>
    <row r="2201" spans="1:22" x14ac:dyDescent="0.25">
      <c r="A2201">
        <v>2198</v>
      </c>
      <c r="B2201" t="s">
        <v>22</v>
      </c>
      <c r="C2201" t="s">
        <v>1038</v>
      </c>
      <c r="D2201" s="4">
        <v>45359</v>
      </c>
      <c r="E2201" t="s">
        <v>2224</v>
      </c>
      <c r="F2201" t="s">
        <v>75</v>
      </c>
      <c r="I2201" s="6"/>
      <c r="J2201" s="6"/>
      <c r="K2201" s="6"/>
      <c r="L2201" s="6"/>
      <c r="M2201" s="6"/>
      <c r="N2201" s="6"/>
      <c r="O2201" s="6"/>
      <c r="P2201" s="6"/>
      <c r="Q2201">
        <v>0</v>
      </c>
      <c r="R2201">
        <f t="shared" si="170"/>
        <v>0</v>
      </c>
      <c r="S2201">
        <f t="shared" si="171"/>
        <v>0</v>
      </c>
      <c r="T2201">
        <f t="shared" si="172"/>
        <v>0</v>
      </c>
      <c r="U2201">
        <f t="shared" si="173"/>
        <v>0</v>
      </c>
      <c r="V2201">
        <f t="shared" si="174"/>
        <v>0</v>
      </c>
    </row>
    <row r="2202" spans="1:22" x14ac:dyDescent="0.25">
      <c r="A2202">
        <v>2199</v>
      </c>
      <c r="B2202" t="s">
        <v>22</v>
      </c>
      <c r="C2202" t="s">
        <v>1038</v>
      </c>
      <c r="D2202" s="4">
        <v>45359</v>
      </c>
      <c r="E2202" t="s">
        <v>1125</v>
      </c>
      <c r="F2202" t="s">
        <v>75</v>
      </c>
      <c r="I2202" s="6">
        <v>0</v>
      </c>
      <c r="J2202" s="6">
        <v>0</v>
      </c>
      <c r="K2202" s="6">
        <v>0</v>
      </c>
      <c r="L2202" s="6">
        <v>1</v>
      </c>
      <c r="M2202" s="6">
        <v>0</v>
      </c>
      <c r="N2202" s="6">
        <v>1</v>
      </c>
      <c r="O2202" s="6">
        <v>0</v>
      </c>
      <c r="P2202" s="6">
        <v>0</v>
      </c>
      <c r="Q2202">
        <v>1</v>
      </c>
      <c r="R2202">
        <f t="shared" si="170"/>
        <v>0</v>
      </c>
      <c r="S2202">
        <f t="shared" si="171"/>
        <v>1</v>
      </c>
      <c r="T2202">
        <f t="shared" si="172"/>
        <v>2</v>
      </c>
      <c r="U2202">
        <f t="shared" si="173"/>
        <v>1</v>
      </c>
      <c r="V2202">
        <f t="shared" si="174"/>
        <v>0</v>
      </c>
    </row>
    <row r="2203" spans="1:22" x14ac:dyDescent="0.25">
      <c r="A2203">
        <v>2200</v>
      </c>
      <c r="B2203" t="s">
        <v>22</v>
      </c>
      <c r="C2203" t="s">
        <v>1038</v>
      </c>
      <c r="D2203" s="4">
        <v>45360</v>
      </c>
      <c r="E2203" t="s">
        <v>1126</v>
      </c>
      <c r="F2203" t="s">
        <v>75</v>
      </c>
      <c r="I2203" s="6">
        <v>0</v>
      </c>
      <c r="J2203" s="6">
        <v>0</v>
      </c>
      <c r="K2203" s="6">
        <v>1</v>
      </c>
      <c r="L2203" s="6">
        <v>1</v>
      </c>
      <c r="M2203" s="6">
        <v>0</v>
      </c>
      <c r="N2203" s="6">
        <v>0</v>
      </c>
      <c r="O2203" s="6">
        <v>0</v>
      </c>
      <c r="P2203" s="6">
        <v>0</v>
      </c>
      <c r="Q2203">
        <v>1</v>
      </c>
      <c r="R2203">
        <f t="shared" si="170"/>
        <v>0</v>
      </c>
      <c r="S2203">
        <f t="shared" si="171"/>
        <v>1</v>
      </c>
      <c r="T2203">
        <f t="shared" si="172"/>
        <v>2</v>
      </c>
      <c r="U2203">
        <f t="shared" si="173"/>
        <v>1</v>
      </c>
      <c r="V2203">
        <f t="shared" si="174"/>
        <v>0</v>
      </c>
    </row>
    <row r="2204" spans="1:22" x14ac:dyDescent="0.25">
      <c r="A2204">
        <v>2201</v>
      </c>
      <c r="B2204" t="s">
        <v>22</v>
      </c>
      <c r="C2204" t="s">
        <v>1038</v>
      </c>
      <c r="D2204" s="4">
        <v>45360</v>
      </c>
      <c r="E2204" t="s">
        <v>261</v>
      </c>
      <c r="F2204" t="s">
        <v>75</v>
      </c>
      <c r="I2204" s="6"/>
      <c r="J2204" s="6"/>
      <c r="K2204" s="6"/>
      <c r="L2204" s="6"/>
      <c r="M2204" s="6"/>
      <c r="N2204" s="6"/>
      <c r="O2204" s="6"/>
      <c r="P2204" s="6"/>
      <c r="Q2204">
        <v>0</v>
      </c>
      <c r="R2204">
        <f t="shared" si="170"/>
        <v>0</v>
      </c>
      <c r="S2204">
        <f t="shared" si="171"/>
        <v>0</v>
      </c>
      <c r="T2204">
        <f t="shared" si="172"/>
        <v>0</v>
      </c>
      <c r="U2204">
        <f t="shared" si="173"/>
        <v>0</v>
      </c>
      <c r="V2204">
        <f t="shared" si="174"/>
        <v>0</v>
      </c>
    </row>
    <row r="2205" spans="1:22" x14ac:dyDescent="0.25">
      <c r="A2205">
        <v>2202</v>
      </c>
      <c r="B2205" t="s">
        <v>22</v>
      </c>
      <c r="C2205" t="s">
        <v>1038</v>
      </c>
      <c r="D2205" s="4">
        <v>45360</v>
      </c>
      <c r="E2205" t="s">
        <v>262</v>
      </c>
      <c r="F2205" t="s">
        <v>75</v>
      </c>
      <c r="I2205" s="6">
        <v>0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>
        <v>1</v>
      </c>
      <c r="R2205">
        <f t="shared" si="170"/>
        <v>0</v>
      </c>
      <c r="S2205">
        <f t="shared" si="171"/>
        <v>1</v>
      </c>
      <c r="T2205">
        <f t="shared" si="172"/>
        <v>0</v>
      </c>
      <c r="U2205">
        <f t="shared" si="173"/>
        <v>0</v>
      </c>
      <c r="V2205">
        <f t="shared" si="174"/>
        <v>0</v>
      </c>
    </row>
    <row r="2206" spans="1:22" x14ac:dyDescent="0.25">
      <c r="A2206">
        <v>2203</v>
      </c>
      <c r="B2206" t="s">
        <v>22</v>
      </c>
      <c r="C2206" t="s">
        <v>1038</v>
      </c>
      <c r="D2206" s="4">
        <v>45361</v>
      </c>
      <c r="E2206" t="s">
        <v>263</v>
      </c>
      <c r="F2206" t="s">
        <v>75</v>
      </c>
      <c r="I2206" s="6">
        <v>0</v>
      </c>
      <c r="J2206" s="6">
        <v>0</v>
      </c>
      <c r="K2206" s="6">
        <v>0</v>
      </c>
      <c r="L2206" s="6">
        <v>1</v>
      </c>
      <c r="M2206" s="6">
        <v>0</v>
      </c>
      <c r="N2206" s="6">
        <v>0</v>
      </c>
      <c r="O2206" s="6">
        <v>0</v>
      </c>
      <c r="P2206" s="6">
        <v>0</v>
      </c>
      <c r="Q2206">
        <v>1</v>
      </c>
      <c r="R2206">
        <f t="shared" si="170"/>
        <v>0</v>
      </c>
      <c r="S2206">
        <f t="shared" si="171"/>
        <v>1</v>
      </c>
      <c r="T2206">
        <f t="shared" si="172"/>
        <v>1</v>
      </c>
      <c r="U2206">
        <f t="shared" si="173"/>
        <v>1</v>
      </c>
      <c r="V2206">
        <f t="shared" si="174"/>
        <v>0</v>
      </c>
    </row>
    <row r="2207" spans="1:22" x14ac:dyDescent="0.25">
      <c r="A2207">
        <v>2204</v>
      </c>
      <c r="B2207" t="s">
        <v>22</v>
      </c>
      <c r="C2207" t="s">
        <v>1038</v>
      </c>
      <c r="D2207" s="4">
        <v>45361</v>
      </c>
      <c r="E2207" t="s">
        <v>264</v>
      </c>
      <c r="F2207" t="s">
        <v>75</v>
      </c>
      <c r="I2207" s="6"/>
      <c r="J2207" s="6"/>
      <c r="K2207" s="6"/>
      <c r="L2207" s="6"/>
      <c r="M2207" s="6"/>
      <c r="N2207" s="6"/>
      <c r="O2207" s="6"/>
      <c r="P2207" s="6"/>
      <c r="Q2207">
        <v>0</v>
      </c>
      <c r="R2207">
        <f t="shared" si="170"/>
        <v>0</v>
      </c>
      <c r="S2207">
        <f t="shared" si="171"/>
        <v>0</v>
      </c>
      <c r="T2207">
        <f t="shared" si="172"/>
        <v>0</v>
      </c>
      <c r="U2207">
        <f t="shared" si="173"/>
        <v>0</v>
      </c>
      <c r="V2207">
        <f t="shared" si="174"/>
        <v>0</v>
      </c>
    </row>
    <row r="2208" spans="1:22" x14ac:dyDescent="0.25">
      <c r="A2208">
        <v>2205</v>
      </c>
      <c r="B2208" t="s">
        <v>22</v>
      </c>
      <c r="C2208" t="s">
        <v>1038</v>
      </c>
      <c r="D2208" s="4">
        <v>45361</v>
      </c>
      <c r="E2208" t="s">
        <v>265</v>
      </c>
      <c r="F2208" t="s">
        <v>75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>
        <v>1</v>
      </c>
      <c r="R2208">
        <f t="shared" si="170"/>
        <v>0</v>
      </c>
      <c r="S2208">
        <f t="shared" si="171"/>
        <v>1</v>
      </c>
      <c r="T2208">
        <f t="shared" si="172"/>
        <v>0</v>
      </c>
      <c r="U2208">
        <f t="shared" si="173"/>
        <v>0</v>
      </c>
      <c r="V2208">
        <f t="shared" si="174"/>
        <v>0</v>
      </c>
    </row>
    <row r="2209" spans="1:22" x14ac:dyDescent="0.25">
      <c r="A2209">
        <v>2206</v>
      </c>
      <c r="B2209" t="s">
        <v>22</v>
      </c>
      <c r="C2209" t="s">
        <v>1038</v>
      </c>
      <c r="D2209" s="4">
        <v>45362</v>
      </c>
      <c r="E2209" t="s">
        <v>846</v>
      </c>
      <c r="F2209" t="s">
        <v>75</v>
      </c>
      <c r="I2209" s="6">
        <v>0</v>
      </c>
      <c r="J2209" s="6">
        <v>0</v>
      </c>
      <c r="K2209" s="6">
        <v>0</v>
      </c>
      <c r="L2209" s="6">
        <v>0</v>
      </c>
      <c r="M2209" s="6">
        <v>1</v>
      </c>
      <c r="N2209" s="6">
        <v>1</v>
      </c>
      <c r="O2209" s="6">
        <v>0</v>
      </c>
      <c r="P2209" s="6">
        <v>0</v>
      </c>
      <c r="Q2209">
        <v>1</v>
      </c>
      <c r="R2209">
        <f t="shared" si="170"/>
        <v>0</v>
      </c>
      <c r="S2209">
        <f t="shared" si="171"/>
        <v>1</v>
      </c>
      <c r="T2209">
        <f t="shared" si="172"/>
        <v>2</v>
      </c>
      <c r="U2209">
        <f t="shared" si="173"/>
        <v>1</v>
      </c>
      <c r="V2209">
        <f t="shared" si="174"/>
        <v>0</v>
      </c>
    </row>
    <row r="2210" spans="1:22" x14ac:dyDescent="0.25">
      <c r="A2210">
        <v>2207</v>
      </c>
      <c r="B2210" t="s">
        <v>22</v>
      </c>
      <c r="C2210" t="s">
        <v>1038</v>
      </c>
      <c r="D2210" s="4">
        <v>45363</v>
      </c>
      <c r="E2210" t="s">
        <v>847</v>
      </c>
      <c r="F2210" t="s">
        <v>75</v>
      </c>
      <c r="I2210" s="6"/>
      <c r="J2210" s="6"/>
      <c r="K2210" s="6"/>
      <c r="L2210" s="6"/>
      <c r="M2210" s="6"/>
      <c r="N2210" s="6"/>
      <c r="O2210" s="6"/>
      <c r="P2210" s="6"/>
      <c r="Q2210">
        <v>0</v>
      </c>
      <c r="R2210">
        <f t="shared" si="170"/>
        <v>0</v>
      </c>
      <c r="S2210">
        <f t="shared" si="171"/>
        <v>0</v>
      </c>
      <c r="T2210">
        <f t="shared" si="172"/>
        <v>0</v>
      </c>
      <c r="U2210">
        <f t="shared" si="173"/>
        <v>0</v>
      </c>
      <c r="V2210">
        <f t="shared" si="174"/>
        <v>0</v>
      </c>
    </row>
    <row r="2211" spans="1:22" x14ac:dyDescent="0.25">
      <c r="A2211">
        <v>2208</v>
      </c>
      <c r="B2211" t="s">
        <v>22</v>
      </c>
      <c r="C2211" t="s">
        <v>1038</v>
      </c>
      <c r="D2211" s="4">
        <v>45363</v>
      </c>
      <c r="E2211" t="s">
        <v>848</v>
      </c>
      <c r="F2211" t="s">
        <v>75</v>
      </c>
      <c r="I2211" s="6"/>
      <c r="J2211" s="6"/>
      <c r="K2211" s="6"/>
      <c r="L2211" s="6"/>
      <c r="M2211" s="6"/>
      <c r="N2211" s="6"/>
      <c r="O2211" s="6"/>
      <c r="P2211" s="6"/>
      <c r="Q2211">
        <v>0</v>
      </c>
      <c r="R2211">
        <f t="shared" si="170"/>
        <v>0</v>
      </c>
      <c r="S2211">
        <f t="shared" si="171"/>
        <v>0</v>
      </c>
      <c r="T2211">
        <f t="shared" si="172"/>
        <v>0</v>
      </c>
      <c r="U2211">
        <f t="shared" si="173"/>
        <v>0</v>
      </c>
      <c r="V2211">
        <f t="shared" si="174"/>
        <v>0</v>
      </c>
    </row>
    <row r="2212" spans="1:22" x14ac:dyDescent="0.25">
      <c r="A2212">
        <v>2209</v>
      </c>
      <c r="B2212" t="s">
        <v>22</v>
      </c>
      <c r="C2212" t="s">
        <v>1038</v>
      </c>
      <c r="D2212" s="4">
        <v>45364</v>
      </c>
      <c r="E2212" t="s">
        <v>1127</v>
      </c>
      <c r="F2212" t="s">
        <v>75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>
        <v>1</v>
      </c>
      <c r="R2212">
        <f t="shared" si="170"/>
        <v>0</v>
      </c>
      <c r="S2212">
        <f t="shared" si="171"/>
        <v>1</v>
      </c>
      <c r="T2212">
        <f t="shared" si="172"/>
        <v>0</v>
      </c>
      <c r="U2212">
        <f t="shared" si="173"/>
        <v>0</v>
      </c>
      <c r="V2212">
        <f t="shared" si="174"/>
        <v>0</v>
      </c>
    </row>
    <row r="2213" spans="1:22" x14ac:dyDescent="0.25">
      <c r="A2213">
        <v>2210</v>
      </c>
      <c r="B2213" t="s">
        <v>22</v>
      </c>
      <c r="C2213" t="s">
        <v>1038</v>
      </c>
      <c r="D2213" s="4">
        <v>45364</v>
      </c>
      <c r="E2213" t="s">
        <v>849</v>
      </c>
      <c r="F2213" t="s">
        <v>75</v>
      </c>
      <c r="I2213" s="6">
        <v>0</v>
      </c>
      <c r="J2213" s="6">
        <v>0</v>
      </c>
      <c r="K2213" s="6">
        <v>1</v>
      </c>
      <c r="L2213" s="6">
        <v>1</v>
      </c>
      <c r="M2213" s="6">
        <v>0</v>
      </c>
      <c r="N2213" s="6">
        <v>0</v>
      </c>
      <c r="O2213" s="6">
        <v>0</v>
      </c>
      <c r="P2213" s="6">
        <v>1</v>
      </c>
      <c r="Q2213">
        <v>1</v>
      </c>
      <c r="R2213">
        <f t="shared" si="170"/>
        <v>0</v>
      </c>
      <c r="S2213">
        <f t="shared" si="171"/>
        <v>1</v>
      </c>
      <c r="T2213">
        <f t="shared" si="172"/>
        <v>3</v>
      </c>
      <c r="U2213">
        <f t="shared" si="173"/>
        <v>1</v>
      </c>
      <c r="V2213">
        <f t="shared" si="174"/>
        <v>0</v>
      </c>
    </row>
    <row r="2214" spans="1:22" x14ac:dyDescent="0.25">
      <c r="A2214">
        <v>2211</v>
      </c>
      <c r="B2214" t="s">
        <v>22</v>
      </c>
      <c r="C2214" t="s">
        <v>1038</v>
      </c>
      <c r="D2214" s="4">
        <v>45364</v>
      </c>
      <c r="E2214" t="s">
        <v>850</v>
      </c>
      <c r="F2214" t="s">
        <v>75</v>
      </c>
      <c r="I2214" s="6"/>
      <c r="J2214" s="6"/>
      <c r="K2214" s="6"/>
      <c r="L2214" s="6"/>
      <c r="M2214" s="6"/>
      <c r="N2214" s="6"/>
      <c r="O2214" s="6"/>
      <c r="P2214" s="6"/>
      <c r="Q2214">
        <v>0</v>
      </c>
      <c r="R2214">
        <f t="shared" si="170"/>
        <v>0</v>
      </c>
      <c r="S2214">
        <f t="shared" si="171"/>
        <v>0</v>
      </c>
      <c r="T2214">
        <f t="shared" si="172"/>
        <v>0</v>
      </c>
      <c r="U2214">
        <f t="shared" si="173"/>
        <v>0</v>
      </c>
      <c r="V2214">
        <f t="shared" si="174"/>
        <v>0</v>
      </c>
    </row>
    <row r="2215" spans="1:22" x14ac:dyDescent="0.25">
      <c r="A2215">
        <v>2212</v>
      </c>
      <c r="B2215" t="s">
        <v>22</v>
      </c>
      <c r="C2215" t="s">
        <v>1038</v>
      </c>
      <c r="D2215" s="4">
        <v>45364</v>
      </c>
      <c r="E2215" t="s">
        <v>2217</v>
      </c>
      <c r="F2215" t="s">
        <v>75</v>
      </c>
      <c r="I2215" s="6">
        <v>0</v>
      </c>
      <c r="J2215" s="6">
        <v>0</v>
      </c>
      <c r="K2215" s="6">
        <v>0</v>
      </c>
      <c r="L2215" s="6">
        <v>1</v>
      </c>
      <c r="M2215" s="6">
        <v>0</v>
      </c>
      <c r="N2215" s="6">
        <v>0</v>
      </c>
      <c r="O2215" s="6">
        <v>0</v>
      </c>
      <c r="P2215" s="6">
        <v>0</v>
      </c>
      <c r="Q2215">
        <v>1</v>
      </c>
      <c r="R2215">
        <f t="shared" si="170"/>
        <v>0</v>
      </c>
      <c r="S2215">
        <f t="shared" si="171"/>
        <v>1</v>
      </c>
      <c r="T2215">
        <f t="shared" si="172"/>
        <v>1</v>
      </c>
      <c r="U2215">
        <f t="shared" si="173"/>
        <v>1</v>
      </c>
      <c r="V2215">
        <f t="shared" si="174"/>
        <v>0</v>
      </c>
    </row>
    <row r="2216" spans="1:22" x14ac:dyDescent="0.25">
      <c r="A2216">
        <v>2213</v>
      </c>
      <c r="B2216" t="s">
        <v>22</v>
      </c>
      <c r="C2216" t="s">
        <v>1038</v>
      </c>
      <c r="D2216" s="4">
        <v>45364</v>
      </c>
      <c r="E2216" t="s">
        <v>2216</v>
      </c>
      <c r="F2216" t="s">
        <v>75</v>
      </c>
      <c r="I2216" s="6">
        <v>0</v>
      </c>
      <c r="J2216" s="6">
        <v>0</v>
      </c>
      <c r="K2216" s="6">
        <v>1</v>
      </c>
      <c r="L2216" s="6">
        <v>1</v>
      </c>
      <c r="M2216" s="6">
        <v>0</v>
      </c>
      <c r="N2216" s="6">
        <v>0</v>
      </c>
      <c r="O2216" s="6">
        <v>0</v>
      </c>
      <c r="P2216" s="6">
        <v>1</v>
      </c>
      <c r="Q2216">
        <v>1</v>
      </c>
      <c r="R2216">
        <f t="shared" si="170"/>
        <v>0</v>
      </c>
      <c r="S2216">
        <f t="shared" si="171"/>
        <v>1</v>
      </c>
      <c r="T2216">
        <f t="shared" si="172"/>
        <v>3</v>
      </c>
      <c r="U2216">
        <f t="shared" si="173"/>
        <v>1</v>
      </c>
      <c r="V2216">
        <f t="shared" si="174"/>
        <v>0</v>
      </c>
    </row>
    <row r="2217" spans="1:22" x14ac:dyDescent="0.25">
      <c r="A2217">
        <v>2214</v>
      </c>
      <c r="B2217" t="s">
        <v>22</v>
      </c>
      <c r="C2217" t="s">
        <v>1038</v>
      </c>
      <c r="D2217" s="4">
        <v>45364</v>
      </c>
      <c r="E2217" t="s">
        <v>1324</v>
      </c>
      <c r="F2217" t="s">
        <v>75</v>
      </c>
      <c r="I2217" s="6"/>
      <c r="J2217" s="6"/>
      <c r="K2217" s="6"/>
      <c r="L2217" s="6"/>
      <c r="M2217" s="6"/>
      <c r="N2217" s="6"/>
      <c r="O2217" s="6"/>
      <c r="P2217" s="6"/>
      <c r="Q2217">
        <v>0</v>
      </c>
      <c r="R2217">
        <f t="shared" si="170"/>
        <v>0</v>
      </c>
      <c r="S2217">
        <f t="shared" si="171"/>
        <v>0</v>
      </c>
      <c r="T2217">
        <f t="shared" si="172"/>
        <v>0</v>
      </c>
      <c r="U2217">
        <f t="shared" si="173"/>
        <v>0</v>
      </c>
      <c r="V2217">
        <f t="shared" si="174"/>
        <v>0</v>
      </c>
    </row>
    <row r="2218" spans="1:22" x14ac:dyDescent="0.25">
      <c r="A2218">
        <v>2215</v>
      </c>
      <c r="B2218" t="s">
        <v>22</v>
      </c>
      <c r="C2218" t="s">
        <v>1038</v>
      </c>
      <c r="D2218" s="4">
        <v>45364</v>
      </c>
      <c r="E2218" t="s">
        <v>2542</v>
      </c>
      <c r="F2218" t="s">
        <v>75</v>
      </c>
      <c r="I2218" s="6"/>
      <c r="J2218" s="6"/>
      <c r="K2218" s="6"/>
      <c r="L2218" s="6"/>
      <c r="M2218" s="6"/>
      <c r="N2218" s="6"/>
      <c r="O2218" s="6"/>
      <c r="P2218" s="6"/>
      <c r="Q2218">
        <v>0</v>
      </c>
      <c r="R2218">
        <f t="shared" si="170"/>
        <v>0</v>
      </c>
      <c r="S2218">
        <f t="shared" si="171"/>
        <v>0</v>
      </c>
      <c r="T2218">
        <f t="shared" si="172"/>
        <v>0</v>
      </c>
      <c r="U2218">
        <f t="shared" si="173"/>
        <v>0</v>
      </c>
      <c r="V2218">
        <f t="shared" si="174"/>
        <v>0</v>
      </c>
    </row>
    <row r="2219" spans="1:22" x14ac:dyDescent="0.25">
      <c r="A2219">
        <v>2216</v>
      </c>
      <c r="B2219" t="s">
        <v>22</v>
      </c>
      <c r="C2219" t="s">
        <v>1038</v>
      </c>
      <c r="D2219" s="4">
        <v>45364</v>
      </c>
      <c r="E2219" t="s">
        <v>2729</v>
      </c>
      <c r="F2219" t="s">
        <v>75</v>
      </c>
      <c r="I2219" s="6">
        <v>1</v>
      </c>
      <c r="J2219" s="6">
        <v>0</v>
      </c>
      <c r="K2219" s="6">
        <v>1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>
        <v>1</v>
      </c>
      <c r="R2219">
        <f t="shared" si="170"/>
        <v>0</v>
      </c>
      <c r="S2219">
        <f t="shared" si="171"/>
        <v>1</v>
      </c>
      <c r="T2219">
        <f t="shared" si="172"/>
        <v>2</v>
      </c>
      <c r="U2219">
        <f t="shared" si="173"/>
        <v>1</v>
      </c>
      <c r="V2219">
        <f t="shared" si="174"/>
        <v>0</v>
      </c>
    </row>
    <row r="2220" spans="1:22" x14ac:dyDescent="0.25">
      <c r="A2220">
        <v>2217</v>
      </c>
      <c r="B2220" t="s">
        <v>22</v>
      </c>
      <c r="C2220" t="s">
        <v>1038</v>
      </c>
      <c r="D2220" s="4">
        <v>45365</v>
      </c>
      <c r="E2220" t="s">
        <v>924</v>
      </c>
      <c r="F2220" t="s">
        <v>75</v>
      </c>
      <c r="I2220" s="6">
        <v>1</v>
      </c>
      <c r="J2220" s="6">
        <v>0</v>
      </c>
      <c r="K2220" s="6">
        <v>1</v>
      </c>
      <c r="L2220" s="6">
        <v>0</v>
      </c>
      <c r="M2220" s="6">
        <v>0</v>
      </c>
      <c r="N2220" s="6">
        <v>0</v>
      </c>
      <c r="O2220" s="6">
        <v>1</v>
      </c>
      <c r="P2220" s="6">
        <v>0</v>
      </c>
      <c r="Q2220">
        <v>1</v>
      </c>
      <c r="R2220">
        <f t="shared" si="170"/>
        <v>0</v>
      </c>
      <c r="S2220">
        <f t="shared" si="171"/>
        <v>1</v>
      </c>
      <c r="T2220">
        <f t="shared" si="172"/>
        <v>3</v>
      </c>
      <c r="U2220">
        <f t="shared" si="173"/>
        <v>1</v>
      </c>
      <c r="V2220">
        <f t="shared" si="174"/>
        <v>0</v>
      </c>
    </row>
    <row r="2221" spans="1:22" x14ac:dyDescent="0.25">
      <c r="A2221">
        <v>2218</v>
      </c>
      <c r="B2221" t="s">
        <v>22</v>
      </c>
      <c r="C2221" t="s">
        <v>1038</v>
      </c>
      <c r="D2221" s="4">
        <v>45365</v>
      </c>
      <c r="E2221" t="s">
        <v>926</v>
      </c>
      <c r="F2221" t="s">
        <v>75</v>
      </c>
      <c r="I2221" s="6">
        <v>0</v>
      </c>
      <c r="J2221" s="6">
        <v>0</v>
      </c>
      <c r="K2221" s="6">
        <v>0</v>
      </c>
      <c r="L2221" s="6">
        <v>1</v>
      </c>
      <c r="M2221" s="6">
        <v>0</v>
      </c>
      <c r="N2221" s="6">
        <v>0</v>
      </c>
      <c r="O2221" s="6">
        <v>0</v>
      </c>
      <c r="P2221" s="6">
        <v>1</v>
      </c>
      <c r="Q2221">
        <v>1</v>
      </c>
      <c r="R2221">
        <f t="shared" si="170"/>
        <v>0</v>
      </c>
      <c r="S2221">
        <f t="shared" si="171"/>
        <v>1</v>
      </c>
      <c r="T2221">
        <f t="shared" si="172"/>
        <v>2</v>
      </c>
      <c r="U2221">
        <f t="shared" si="173"/>
        <v>1</v>
      </c>
      <c r="V2221">
        <f t="shared" si="174"/>
        <v>0</v>
      </c>
    </row>
    <row r="2222" spans="1:22" x14ac:dyDescent="0.25">
      <c r="A2222">
        <v>2219</v>
      </c>
      <c r="B2222" t="s">
        <v>22</v>
      </c>
      <c r="C2222" t="s">
        <v>1038</v>
      </c>
      <c r="D2222" s="4">
        <v>45365</v>
      </c>
      <c r="E2222" t="s">
        <v>927</v>
      </c>
      <c r="F2222" t="s">
        <v>75</v>
      </c>
      <c r="I2222" s="6"/>
      <c r="J2222" s="6"/>
      <c r="K2222" s="6"/>
      <c r="L2222" s="6"/>
      <c r="M2222" s="6"/>
      <c r="N2222" s="6"/>
      <c r="O2222" s="6"/>
      <c r="P2222" s="6"/>
      <c r="Q2222">
        <v>0</v>
      </c>
      <c r="R2222">
        <f t="shared" si="170"/>
        <v>0</v>
      </c>
      <c r="S2222">
        <f t="shared" si="171"/>
        <v>0</v>
      </c>
      <c r="T2222">
        <f t="shared" si="172"/>
        <v>0</v>
      </c>
      <c r="U2222">
        <f t="shared" si="173"/>
        <v>0</v>
      </c>
      <c r="V2222">
        <f t="shared" si="174"/>
        <v>0</v>
      </c>
    </row>
    <row r="2223" spans="1:22" x14ac:dyDescent="0.25">
      <c r="A2223">
        <v>2220</v>
      </c>
      <c r="B2223" t="s">
        <v>22</v>
      </c>
      <c r="C2223" t="s">
        <v>1038</v>
      </c>
      <c r="D2223" s="4">
        <v>45365</v>
      </c>
      <c r="E2223" t="s">
        <v>1326</v>
      </c>
      <c r="F2223" t="s">
        <v>75</v>
      </c>
      <c r="I2223" s="6">
        <v>0</v>
      </c>
      <c r="J2223" s="6">
        <v>0</v>
      </c>
      <c r="K2223" s="6">
        <v>0</v>
      </c>
      <c r="L2223" s="6">
        <v>1</v>
      </c>
      <c r="M2223" s="6">
        <v>0</v>
      </c>
      <c r="N2223" s="6">
        <v>0</v>
      </c>
      <c r="O2223" s="6">
        <v>0</v>
      </c>
      <c r="P2223" s="6">
        <v>0</v>
      </c>
      <c r="Q2223">
        <v>1</v>
      </c>
      <c r="R2223">
        <f t="shared" si="170"/>
        <v>0</v>
      </c>
      <c r="S2223">
        <f t="shared" si="171"/>
        <v>1</v>
      </c>
      <c r="T2223">
        <f t="shared" si="172"/>
        <v>1</v>
      </c>
      <c r="U2223">
        <f t="shared" si="173"/>
        <v>1</v>
      </c>
      <c r="V2223">
        <f t="shared" si="174"/>
        <v>0</v>
      </c>
    </row>
    <row r="2224" spans="1:22" x14ac:dyDescent="0.25">
      <c r="A2224">
        <v>2221</v>
      </c>
      <c r="B2224" t="s">
        <v>22</v>
      </c>
      <c r="C2224" t="s">
        <v>1038</v>
      </c>
      <c r="D2224" s="4">
        <v>45365</v>
      </c>
      <c r="E2224" t="s">
        <v>2215</v>
      </c>
      <c r="F2224" t="s">
        <v>75</v>
      </c>
      <c r="I2224" s="6">
        <v>0</v>
      </c>
      <c r="J2224" s="6">
        <v>0</v>
      </c>
      <c r="K2224" s="6">
        <v>0</v>
      </c>
      <c r="L2224" s="6">
        <v>1</v>
      </c>
      <c r="M2224" s="6">
        <v>0</v>
      </c>
      <c r="N2224" s="6">
        <v>0</v>
      </c>
      <c r="O2224" s="6">
        <v>0</v>
      </c>
      <c r="P2224" s="6">
        <v>0</v>
      </c>
      <c r="Q2224">
        <v>1</v>
      </c>
      <c r="R2224">
        <f t="shared" si="170"/>
        <v>0</v>
      </c>
      <c r="S2224">
        <f t="shared" si="171"/>
        <v>1</v>
      </c>
      <c r="T2224">
        <f t="shared" si="172"/>
        <v>1</v>
      </c>
      <c r="U2224">
        <f t="shared" si="173"/>
        <v>1</v>
      </c>
      <c r="V2224">
        <f t="shared" si="174"/>
        <v>0</v>
      </c>
    </row>
    <row r="2225" spans="1:22" x14ac:dyDescent="0.25">
      <c r="A2225">
        <v>2222</v>
      </c>
      <c r="B2225" t="s">
        <v>22</v>
      </c>
      <c r="C2225" t="s">
        <v>1038</v>
      </c>
      <c r="D2225" s="4">
        <v>45365</v>
      </c>
      <c r="E2225" t="s">
        <v>1327</v>
      </c>
      <c r="F2225" t="s">
        <v>75</v>
      </c>
      <c r="I2225" s="6"/>
      <c r="J2225" s="6"/>
      <c r="K2225" s="6"/>
      <c r="L2225" s="6"/>
      <c r="M2225" s="6"/>
      <c r="N2225" s="6"/>
      <c r="O2225" s="6"/>
      <c r="P2225" s="6"/>
      <c r="Q2225">
        <v>0</v>
      </c>
      <c r="R2225">
        <f t="shared" si="170"/>
        <v>0</v>
      </c>
      <c r="S2225">
        <f t="shared" si="171"/>
        <v>0</v>
      </c>
      <c r="T2225">
        <f t="shared" si="172"/>
        <v>0</v>
      </c>
      <c r="U2225">
        <f t="shared" si="173"/>
        <v>0</v>
      </c>
      <c r="V2225">
        <f t="shared" si="174"/>
        <v>0</v>
      </c>
    </row>
    <row r="2226" spans="1:22" x14ac:dyDescent="0.25">
      <c r="A2226">
        <v>2223</v>
      </c>
      <c r="B2226" t="s">
        <v>22</v>
      </c>
      <c r="C2226" t="s">
        <v>1038</v>
      </c>
      <c r="D2226" s="4">
        <v>45366</v>
      </c>
      <c r="E2226" t="s">
        <v>928</v>
      </c>
      <c r="F2226" t="s">
        <v>75</v>
      </c>
      <c r="I2226" s="6">
        <v>0</v>
      </c>
      <c r="J2226" s="6">
        <v>0</v>
      </c>
      <c r="K2226" s="6">
        <v>0</v>
      </c>
      <c r="L2226" s="6">
        <v>1</v>
      </c>
      <c r="M2226" s="6">
        <v>0</v>
      </c>
      <c r="N2226" s="6">
        <v>0</v>
      </c>
      <c r="O2226" s="6">
        <v>0</v>
      </c>
      <c r="P2226" s="6">
        <v>0</v>
      </c>
      <c r="Q2226">
        <v>1</v>
      </c>
      <c r="R2226">
        <f t="shared" si="170"/>
        <v>0</v>
      </c>
      <c r="S2226">
        <f t="shared" si="171"/>
        <v>1</v>
      </c>
      <c r="T2226">
        <f t="shared" si="172"/>
        <v>1</v>
      </c>
      <c r="U2226">
        <f t="shared" si="173"/>
        <v>1</v>
      </c>
      <c r="V2226">
        <f t="shared" si="174"/>
        <v>0</v>
      </c>
    </row>
    <row r="2227" spans="1:22" x14ac:dyDescent="0.25">
      <c r="A2227">
        <v>2224</v>
      </c>
      <c r="B2227" t="s">
        <v>22</v>
      </c>
      <c r="C2227" t="s">
        <v>1038</v>
      </c>
      <c r="D2227" s="4">
        <v>45366</v>
      </c>
      <c r="E2227" t="s">
        <v>930</v>
      </c>
      <c r="F2227" t="s">
        <v>75</v>
      </c>
      <c r="I2227" s="6">
        <v>1</v>
      </c>
      <c r="J2227" s="6">
        <v>1</v>
      </c>
      <c r="K2227" s="6">
        <v>0</v>
      </c>
      <c r="L2227" s="6">
        <v>1</v>
      </c>
      <c r="M2227" s="6">
        <v>0</v>
      </c>
      <c r="N2227" s="6">
        <v>0</v>
      </c>
      <c r="O2227" s="6">
        <v>0</v>
      </c>
      <c r="P2227" s="6">
        <v>0</v>
      </c>
      <c r="Q2227">
        <v>1</v>
      </c>
      <c r="R2227">
        <f t="shared" si="170"/>
        <v>0</v>
      </c>
      <c r="S2227">
        <f t="shared" si="171"/>
        <v>1</v>
      </c>
      <c r="T2227">
        <f t="shared" si="172"/>
        <v>3</v>
      </c>
      <c r="U2227">
        <f t="shared" si="173"/>
        <v>1</v>
      </c>
      <c r="V2227">
        <f t="shared" si="174"/>
        <v>0</v>
      </c>
    </row>
    <row r="2228" spans="1:22" x14ac:dyDescent="0.25">
      <c r="A2228">
        <v>2225</v>
      </c>
      <c r="B2228" t="s">
        <v>22</v>
      </c>
      <c r="C2228" t="s">
        <v>1038</v>
      </c>
      <c r="D2228" s="4">
        <v>45366</v>
      </c>
      <c r="E2228" t="s">
        <v>1128</v>
      </c>
      <c r="F2228" t="s">
        <v>75</v>
      </c>
      <c r="I2228" s="6">
        <v>0</v>
      </c>
      <c r="J2228" s="6">
        <v>0</v>
      </c>
      <c r="K2228" s="6">
        <v>0</v>
      </c>
      <c r="L2228" s="6">
        <v>1</v>
      </c>
      <c r="M2228" s="6">
        <v>0</v>
      </c>
      <c r="N2228" s="6">
        <v>0</v>
      </c>
      <c r="O2228" s="6">
        <v>0</v>
      </c>
      <c r="P2228" s="6">
        <v>0</v>
      </c>
      <c r="Q2228">
        <v>1</v>
      </c>
      <c r="R2228">
        <f t="shared" si="170"/>
        <v>0</v>
      </c>
      <c r="S2228">
        <f t="shared" si="171"/>
        <v>1</v>
      </c>
      <c r="T2228">
        <f t="shared" si="172"/>
        <v>1</v>
      </c>
      <c r="U2228">
        <f t="shared" si="173"/>
        <v>1</v>
      </c>
      <c r="V2228">
        <f t="shared" si="174"/>
        <v>0</v>
      </c>
    </row>
    <row r="2229" spans="1:22" x14ac:dyDescent="0.25">
      <c r="A2229">
        <v>2226</v>
      </c>
      <c r="B2229" t="s">
        <v>22</v>
      </c>
      <c r="C2229" t="s">
        <v>1038</v>
      </c>
      <c r="D2229" s="4">
        <v>45367</v>
      </c>
      <c r="E2229" t="s">
        <v>853</v>
      </c>
      <c r="F2229" t="s">
        <v>75</v>
      </c>
      <c r="I2229" s="6">
        <v>0</v>
      </c>
      <c r="J2229" s="6">
        <v>0</v>
      </c>
      <c r="K2229" s="6">
        <v>0</v>
      </c>
      <c r="L2229" s="6">
        <v>1</v>
      </c>
      <c r="M2229" s="6">
        <v>0</v>
      </c>
      <c r="N2229" s="6">
        <v>0</v>
      </c>
      <c r="O2229" s="6">
        <v>0</v>
      </c>
      <c r="P2229" s="6">
        <v>0</v>
      </c>
      <c r="Q2229">
        <v>1</v>
      </c>
      <c r="R2229">
        <f t="shared" si="170"/>
        <v>0</v>
      </c>
      <c r="S2229">
        <f t="shared" si="171"/>
        <v>1</v>
      </c>
      <c r="T2229">
        <f t="shared" si="172"/>
        <v>1</v>
      </c>
      <c r="U2229">
        <f t="shared" si="173"/>
        <v>1</v>
      </c>
      <c r="V2229">
        <f t="shared" si="174"/>
        <v>0</v>
      </c>
    </row>
    <row r="2230" spans="1:22" x14ac:dyDescent="0.25">
      <c r="A2230">
        <v>2227</v>
      </c>
      <c r="B2230" t="s">
        <v>22</v>
      </c>
      <c r="C2230" t="s">
        <v>1038</v>
      </c>
      <c r="D2230" s="4">
        <v>45368</v>
      </c>
      <c r="E2230" t="s">
        <v>1794</v>
      </c>
      <c r="F2230" t="s">
        <v>75</v>
      </c>
      <c r="I2230" s="6"/>
      <c r="J2230" s="6"/>
      <c r="K2230" s="6"/>
      <c r="L2230" s="6"/>
      <c r="M2230" s="6"/>
      <c r="N2230" s="6"/>
      <c r="O2230" s="6"/>
      <c r="P2230" s="6"/>
      <c r="Q2230">
        <v>0</v>
      </c>
      <c r="R2230">
        <f t="shared" si="170"/>
        <v>0</v>
      </c>
      <c r="S2230">
        <f t="shared" si="171"/>
        <v>0</v>
      </c>
      <c r="T2230">
        <f t="shared" si="172"/>
        <v>0</v>
      </c>
      <c r="U2230">
        <f t="shared" si="173"/>
        <v>0</v>
      </c>
      <c r="V2230">
        <f t="shared" si="174"/>
        <v>0</v>
      </c>
    </row>
    <row r="2231" spans="1:22" x14ac:dyDescent="0.25">
      <c r="A2231">
        <v>2228</v>
      </c>
      <c r="B2231" t="s">
        <v>22</v>
      </c>
      <c r="C2231" t="s">
        <v>1038</v>
      </c>
      <c r="D2231" s="4">
        <v>45368</v>
      </c>
      <c r="E2231" t="s">
        <v>2043</v>
      </c>
      <c r="F2231" t="s">
        <v>75</v>
      </c>
      <c r="I2231" s="6"/>
      <c r="J2231" s="6"/>
      <c r="K2231" s="6"/>
      <c r="L2231" s="6"/>
      <c r="M2231" s="6"/>
      <c r="N2231" s="6"/>
      <c r="O2231" s="6"/>
      <c r="P2231" s="6"/>
      <c r="Q2231">
        <v>0</v>
      </c>
      <c r="R2231">
        <f t="shared" si="170"/>
        <v>0</v>
      </c>
      <c r="S2231">
        <f t="shared" si="171"/>
        <v>0</v>
      </c>
      <c r="T2231">
        <f t="shared" si="172"/>
        <v>0</v>
      </c>
      <c r="U2231">
        <f t="shared" si="173"/>
        <v>0</v>
      </c>
      <c r="V2231">
        <f t="shared" si="174"/>
        <v>0</v>
      </c>
    </row>
    <row r="2232" spans="1:22" x14ac:dyDescent="0.25">
      <c r="A2232">
        <v>2229</v>
      </c>
      <c r="B2232" t="s">
        <v>22</v>
      </c>
      <c r="C2232" t="s">
        <v>1038</v>
      </c>
      <c r="D2232" s="4">
        <v>45369</v>
      </c>
      <c r="E2232" t="s">
        <v>854</v>
      </c>
      <c r="F2232" t="s">
        <v>75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>
        <v>1</v>
      </c>
      <c r="R2232">
        <f t="shared" si="170"/>
        <v>0</v>
      </c>
      <c r="S2232">
        <f t="shared" si="171"/>
        <v>1</v>
      </c>
      <c r="T2232">
        <f t="shared" si="172"/>
        <v>0</v>
      </c>
      <c r="U2232">
        <f t="shared" si="173"/>
        <v>0</v>
      </c>
      <c r="V2232">
        <f t="shared" si="174"/>
        <v>0</v>
      </c>
    </row>
    <row r="2233" spans="1:22" x14ac:dyDescent="0.25">
      <c r="A2233">
        <v>2230</v>
      </c>
      <c r="B2233" t="s">
        <v>22</v>
      </c>
      <c r="C2233" t="s">
        <v>1038</v>
      </c>
      <c r="D2233" s="4">
        <v>45369</v>
      </c>
      <c r="E2233" t="s">
        <v>855</v>
      </c>
      <c r="F2233" t="s">
        <v>75</v>
      </c>
      <c r="I2233" s="6">
        <v>1</v>
      </c>
      <c r="J2233" s="6">
        <v>0</v>
      </c>
      <c r="K2233" s="6">
        <v>1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>
        <v>1</v>
      </c>
      <c r="R2233">
        <f t="shared" si="170"/>
        <v>0</v>
      </c>
      <c r="S2233">
        <f t="shared" si="171"/>
        <v>1</v>
      </c>
      <c r="T2233">
        <f t="shared" si="172"/>
        <v>2</v>
      </c>
      <c r="U2233">
        <f t="shared" si="173"/>
        <v>1</v>
      </c>
      <c r="V2233">
        <f t="shared" si="174"/>
        <v>0</v>
      </c>
    </row>
    <row r="2234" spans="1:22" x14ac:dyDescent="0.25">
      <c r="A2234">
        <v>2231</v>
      </c>
      <c r="B2234" t="s">
        <v>22</v>
      </c>
      <c r="C2234" t="s">
        <v>1038</v>
      </c>
      <c r="D2234" s="4">
        <v>45369</v>
      </c>
      <c r="E2234" t="s">
        <v>1330</v>
      </c>
      <c r="F2234" t="s">
        <v>75</v>
      </c>
      <c r="I2234" s="6"/>
      <c r="J2234" s="6"/>
      <c r="K2234" s="6"/>
      <c r="L2234" s="6"/>
      <c r="M2234" s="6"/>
      <c r="N2234" s="6"/>
      <c r="O2234" s="6"/>
      <c r="P2234" s="6"/>
      <c r="Q2234">
        <v>0</v>
      </c>
      <c r="R2234">
        <f t="shared" si="170"/>
        <v>0</v>
      </c>
      <c r="S2234">
        <f t="shared" si="171"/>
        <v>0</v>
      </c>
      <c r="T2234">
        <f t="shared" si="172"/>
        <v>0</v>
      </c>
      <c r="U2234">
        <f t="shared" si="173"/>
        <v>0</v>
      </c>
      <c r="V2234">
        <f t="shared" si="174"/>
        <v>0</v>
      </c>
    </row>
    <row r="2235" spans="1:22" x14ac:dyDescent="0.25">
      <c r="A2235">
        <v>2232</v>
      </c>
      <c r="B2235" t="s">
        <v>22</v>
      </c>
      <c r="C2235" t="s">
        <v>1038</v>
      </c>
      <c r="D2235" s="4">
        <v>45369</v>
      </c>
      <c r="E2235" t="s">
        <v>1331</v>
      </c>
      <c r="F2235" t="s">
        <v>75</v>
      </c>
      <c r="I2235" s="6">
        <v>1</v>
      </c>
      <c r="J2235" s="6">
        <v>0</v>
      </c>
      <c r="K2235" s="6">
        <v>0</v>
      </c>
      <c r="L2235" s="6">
        <v>1</v>
      </c>
      <c r="M2235" s="6">
        <v>0</v>
      </c>
      <c r="N2235" s="6">
        <v>1</v>
      </c>
      <c r="O2235" s="6">
        <v>0</v>
      </c>
      <c r="P2235" s="6">
        <v>1</v>
      </c>
      <c r="Q2235">
        <v>1</v>
      </c>
      <c r="R2235">
        <f t="shared" si="170"/>
        <v>0</v>
      </c>
      <c r="S2235">
        <f t="shared" si="171"/>
        <v>1</v>
      </c>
      <c r="T2235">
        <f t="shared" si="172"/>
        <v>4</v>
      </c>
      <c r="U2235">
        <f t="shared" si="173"/>
        <v>1</v>
      </c>
      <c r="V2235">
        <f t="shared" si="174"/>
        <v>0</v>
      </c>
    </row>
    <row r="2236" spans="1:22" x14ac:dyDescent="0.25">
      <c r="A2236">
        <v>2233</v>
      </c>
      <c r="B2236" t="s">
        <v>22</v>
      </c>
      <c r="C2236" t="s">
        <v>1038</v>
      </c>
      <c r="D2236" s="4">
        <v>45369</v>
      </c>
      <c r="E2236" t="s">
        <v>1129</v>
      </c>
      <c r="F2236" t="s">
        <v>75</v>
      </c>
      <c r="I2236" s="6">
        <v>1</v>
      </c>
      <c r="J2236" s="6">
        <v>1</v>
      </c>
      <c r="K2236" s="6">
        <v>1</v>
      </c>
      <c r="L2236" s="6">
        <v>1</v>
      </c>
      <c r="M2236" s="6">
        <v>0</v>
      </c>
      <c r="N2236" s="6">
        <v>0</v>
      </c>
      <c r="O2236" s="6">
        <v>1</v>
      </c>
      <c r="P2236" s="6">
        <v>0</v>
      </c>
      <c r="Q2236">
        <v>1</v>
      </c>
      <c r="R2236">
        <f t="shared" si="170"/>
        <v>0</v>
      </c>
      <c r="S2236">
        <f t="shared" si="171"/>
        <v>1</v>
      </c>
      <c r="T2236">
        <f t="shared" si="172"/>
        <v>5</v>
      </c>
      <c r="U2236">
        <f t="shared" si="173"/>
        <v>1</v>
      </c>
      <c r="V2236">
        <f t="shared" si="174"/>
        <v>0</v>
      </c>
    </row>
    <row r="2237" spans="1:22" x14ac:dyDescent="0.25">
      <c r="A2237">
        <v>2234</v>
      </c>
      <c r="B2237" t="s">
        <v>22</v>
      </c>
      <c r="C2237" t="s">
        <v>1038</v>
      </c>
      <c r="D2237" s="4">
        <v>45369</v>
      </c>
      <c r="E2237" t="s">
        <v>2207</v>
      </c>
      <c r="F2237" t="s">
        <v>75</v>
      </c>
      <c r="I2237" s="6">
        <v>0</v>
      </c>
      <c r="J2237" s="6">
        <v>0</v>
      </c>
      <c r="K2237" s="6">
        <v>1</v>
      </c>
      <c r="L2237" s="6">
        <v>1</v>
      </c>
      <c r="M2237" s="6">
        <v>0</v>
      </c>
      <c r="N2237" s="6">
        <v>0</v>
      </c>
      <c r="O2237" s="6">
        <v>0</v>
      </c>
      <c r="P2237" s="6">
        <v>0</v>
      </c>
      <c r="Q2237">
        <v>1</v>
      </c>
      <c r="R2237">
        <f t="shared" si="170"/>
        <v>0</v>
      </c>
      <c r="S2237">
        <f t="shared" si="171"/>
        <v>1</v>
      </c>
      <c r="T2237">
        <f t="shared" si="172"/>
        <v>2</v>
      </c>
      <c r="U2237">
        <f t="shared" si="173"/>
        <v>1</v>
      </c>
      <c r="V2237">
        <f t="shared" si="174"/>
        <v>0</v>
      </c>
    </row>
    <row r="2238" spans="1:22" x14ac:dyDescent="0.25">
      <c r="A2238">
        <v>2235</v>
      </c>
      <c r="B2238" t="s">
        <v>22</v>
      </c>
      <c r="C2238" t="s">
        <v>1038</v>
      </c>
      <c r="D2238" s="4">
        <v>45369</v>
      </c>
      <c r="E2238" t="s">
        <v>1332</v>
      </c>
      <c r="F2238" t="s">
        <v>75</v>
      </c>
      <c r="I2238" s="6"/>
      <c r="J2238" s="6"/>
      <c r="K2238" s="6"/>
      <c r="L2238" s="6"/>
      <c r="M2238" s="6"/>
      <c r="N2238" s="6"/>
      <c r="O2238" s="6"/>
      <c r="P2238" s="6"/>
      <c r="Q2238">
        <v>0</v>
      </c>
      <c r="R2238">
        <f t="shared" si="170"/>
        <v>0</v>
      </c>
      <c r="S2238">
        <f t="shared" si="171"/>
        <v>0</v>
      </c>
      <c r="T2238">
        <f t="shared" si="172"/>
        <v>0</v>
      </c>
      <c r="U2238">
        <f t="shared" si="173"/>
        <v>0</v>
      </c>
      <c r="V2238">
        <f t="shared" si="174"/>
        <v>0</v>
      </c>
    </row>
    <row r="2239" spans="1:22" x14ac:dyDescent="0.25">
      <c r="A2239">
        <v>2236</v>
      </c>
      <c r="B2239" t="s">
        <v>22</v>
      </c>
      <c r="C2239" t="s">
        <v>1038</v>
      </c>
      <c r="D2239" s="4">
        <v>45370</v>
      </c>
      <c r="E2239" t="s">
        <v>935</v>
      </c>
      <c r="F2239" t="s">
        <v>75</v>
      </c>
      <c r="I2239" s="6">
        <v>0</v>
      </c>
      <c r="J2239" s="6">
        <v>0</v>
      </c>
      <c r="K2239" s="6">
        <v>0</v>
      </c>
      <c r="L2239" s="6">
        <v>0</v>
      </c>
      <c r="M2239" s="6">
        <v>0</v>
      </c>
      <c r="N2239" s="6">
        <v>1</v>
      </c>
      <c r="O2239" s="6">
        <v>0</v>
      </c>
      <c r="P2239" s="6">
        <v>0</v>
      </c>
      <c r="Q2239">
        <v>1</v>
      </c>
      <c r="R2239">
        <f t="shared" si="170"/>
        <v>0</v>
      </c>
      <c r="S2239">
        <f t="shared" si="171"/>
        <v>1</v>
      </c>
      <c r="T2239">
        <f t="shared" si="172"/>
        <v>1</v>
      </c>
      <c r="U2239">
        <f t="shared" si="173"/>
        <v>1</v>
      </c>
      <c r="V2239">
        <f t="shared" si="174"/>
        <v>0</v>
      </c>
    </row>
    <row r="2240" spans="1:22" x14ac:dyDescent="0.25">
      <c r="A2240">
        <v>2237</v>
      </c>
      <c r="B2240" t="s">
        <v>22</v>
      </c>
      <c r="C2240" t="s">
        <v>1038</v>
      </c>
      <c r="D2240" s="4">
        <v>45370</v>
      </c>
      <c r="E2240" t="s">
        <v>937</v>
      </c>
      <c r="F2240" t="s">
        <v>75</v>
      </c>
      <c r="I2240" s="6">
        <v>0</v>
      </c>
      <c r="J2240" s="6">
        <v>0</v>
      </c>
      <c r="K2240" s="6">
        <v>0</v>
      </c>
      <c r="L2240" s="6">
        <v>0</v>
      </c>
      <c r="M2240" s="6">
        <v>0</v>
      </c>
      <c r="N2240" s="6">
        <v>0</v>
      </c>
      <c r="O2240" s="6">
        <v>1</v>
      </c>
      <c r="P2240" s="6">
        <v>0</v>
      </c>
      <c r="Q2240">
        <v>1</v>
      </c>
      <c r="R2240">
        <f t="shared" si="170"/>
        <v>0</v>
      </c>
      <c r="S2240">
        <f t="shared" si="171"/>
        <v>1</v>
      </c>
      <c r="T2240">
        <f t="shared" si="172"/>
        <v>1</v>
      </c>
      <c r="U2240">
        <f t="shared" si="173"/>
        <v>1</v>
      </c>
      <c r="V2240">
        <f t="shared" si="174"/>
        <v>0</v>
      </c>
    </row>
    <row r="2241" spans="1:22" x14ac:dyDescent="0.25">
      <c r="A2241">
        <v>2238</v>
      </c>
      <c r="B2241" t="s">
        <v>22</v>
      </c>
      <c r="C2241" t="s">
        <v>1038</v>
      </c>
      <c r="D2241" s="4">
        <v>45370</v>
      </c>
      <c r="E2241" t="s">
        <v>1056</v>
      </c>
      <c r="F2241" t="s">
        <v>75</v>
      </c>
      <c r="I2241" s="6">
        <v>0</v>
      </c>
      <c r="J2241" s="6">
        <v>0</v>
      </c>
      <c r="K2241" s="6">
        <v>0</v>
      </c>
      <c r="L2241" s="6">
        <v>0</v>
      </c>
      <c r="M2241" s="6">
        <v>0</v>
      </c>
      <c r="N2241" s="6">
        <v>0</v>
      </c>
      <c r="O2241" s="6">
        <v>0</v>
      </c>
      <c r="P2241" s="6">
        <v>0</v>
      </c>
      <c r="Q2241">
        <v>1</v>
      </c>
      <c r="R2241">
        <f t="shared" si="170"/>
        <v>0</v>
      </c>
      <c r="S2241">
        <f t="shared" si="171"/>
        <v>1</v>
      </c>
      <c r="T2241">
        <f t="shared" si="172"/>
        <v>0</v>
      </c>
      <c r="U2241">
        <f t="shared" si="173"/>
        <v>0</v>
      </c>
      <c r="V2241">
        <f t="shared" si="174"/>
        <v>0</v>
      </c>
    </row>
    <row r="2242" spans="1:22" x14ac:dyDescent="0.25">
      <c r="A2242">
        <v>2239</v>
      </c>
      <c r="B2242" t="s">
        <v>22</v>
      </c>
      <c r="C2242" t="s">
        <v>1038</v>
      </c>
      <c r="D2242" s="4">
        <v>45370</v>
      </c>
      <c r="E2242" t="s">
        <v>1795</v>
      </c>
      <c r="F2242" t="s">
        <v>75</v>
      </c>
      <c r="I2242" s="6"/>
      <c r="J2242" s="6"/>
      <c r="K2242" s="6"/>
      <c r="L2242" s="6"/>
      <c r="M2242" s="6"/>
      <c r="N2242" s="6"/>
      <c r="O2242" s="6"/>
      <c r="P2242" s="6"/>
      <c r="Q2242">
        <v>0</v>
      </c>
      <c r="R2242">
        <f t="shared" si="170"/>
        <v>0</v>
      </c>
      <c r="S2242">
        <f t="shared" si="171"/>
        <v>0</v>
      </c>
      <c r="T2242">
        <f t="shared" si="172"/>
        <v>0</v>
      </c>
      <c r="U2242">
        <f t="shared" si="173"/>
        <v>0</v>
      </c>
      <c r="V2242">
        <f t="shared" si="174"/>
        <v>0</v>
      </c>
    </row>
    <row r="2243" spans="1:22" x14ac:dyDescent="0.25">
      <c r="A2243">
        <v>2240</v>
      </c>
      <c r="B2243" t="s">
        <v>22</v>
      </c>
      <c r="C2243" t="s">
        <v>1038</v>
      </c>
      <c r="D2243" s="4">
        <v>45371</v>
      </c>
      <c r="E2243" t="s">
        <v>1532</v>
      </c>
      <c r="F2243" t="s">
        <v>75</v>
      </c>
      <c r="I2243" s="6"/>
      <c r="J2243" s="6"/>
      <c r="K2243" s="6"/>
      <c r="L2243" s="6"/>
      <c r="M2243" s="6"/>
      <c r="N2243" s="6"/>
      <c r="O2243" s="6"/>
      <c r="P2243" s="6"/>
      <c r="Q2243">
        <v>0</v>
      </c>
      <c r="R2243">
        <f t="shared" ref="R2243:R2306" si="175">IF(AND(Q2243=1,F2243="ai_full"),1,0)</f>
        <v>0</v>
      </c>
      <c r="S2243">
        <f t="shared" ref="S2243:S2306" si="176">IF(AND(Q2243=1,F2243="conventional"),1,0)</f>
        <v>0</v>
      </c>
      <c r="T2243">
        <f t="shared" ref="T2243:T2306" si="177">SUM(I2243:P2243)</f>
        <v>0</v>
      </c>
      <c r="U2243">
        <f t="shared" ref="U2243:U2306" si="178">IF(T2243&gt;=1,1,0)</f>
        <v>0</v>
      </c>
      <c r="V2243">
        <f t="shared" ref="V2243:V2306" si="179">IF(F2243="ai_full",1,0)</f>
        <v>0</v>
      </c>
    </row>
    <row r="2244" spans="1:22" x14ac:dyDescent="0.25">
      <c r="A2244">
        <v>2241</v>
      </c>
      <c r="B2244" t="s">
        <v>22</v>
      </c>
      <c r="C2244" t="s">
        <v>1038</v>
      </c>
      <c r="D2244" s="4">
        <v>45371</v>
      </c>
      <c r="E2244" t="s">
        <v>938</v>
      </c>
      <c r="F2244" t="s">
        <v>75</v>
      </c>
      <c r="I2244" s="6">
        <v>0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>
        <v>1</v>
      </c>
      <c r="R2244">
        <f t="shared" si="175"/>
        <v>0</v>
      </c>
      <c r="S2244">
        <f t="shared" si="176"/>
        <v>1</v>
      </c>
      <c r="T2244">
        <f t="shared" si="177"/>
        <v>0</v>
      </c>
      <c r="U2244">
        <f t="shared" si="178"/>
        <v>0</v>
      </c>
      <c r="V2244">
        <f t="shared" si="179"/>
        <v>0</v>
      </c>
    </row>
    <row r="2245" spans="1:22" x14ac:dyDescent="0.25">
      <c r="A2245">
        <v>2242</v>
      </c>
      <c r="B2245" t="s">
        <v>22</v>
      </c>
      <c r="C2245" t="s">
        <v>1038</v>
      </c>
      <c r="D2245" s="4">
        <v>45371</v>
      </c>
      <c r="E2245" t="s">
        <v>939</v>
      </c>
      <c r="F2245" t="s">
        <v>75</v>
      </c>
      <c r="I2245" s="6"/>
      <c r="J2245" s="6"/>
      <c r="K2245" s="6"/>
      <c r="L2245" s="6"/>
      <c r="M2245" s="6"/>
      <c r="N2245" s="6"/>
      <c r="O2245" s="6"/>
      <c r="P2245" s="6"/>
      <c r="Q2245">
        <v>0</v>
      </c>
      <c r="R2245">
        <f t="shared" si="175"/>
        <v>0</v>
      </c>
      <c r="S2245">
        <f t="shared" si="176"/>
        <v>0</v>
      </c>
      <c r="T2245">
        <f t="shared" si="177"/>
        <v>0</v>
      </c>
      <c r="U2245">
        <f t="shared" si="178"/>
        <v>0</v>
      </c>
      <c r="V2245">
        <f t="shared" si="179"/>
        <v>0</v>
      </c>
    </row>
    <row r="2246" spans="1:22" x14ac:dyDescent="0.25">
      <c r="A2246">
        <v>2243</v>
      </c>
      <c r="B2246" t="s">
        <v>22</v>
      </c>
      <c r="C2246" t="s">
        <v>1038</v>
      </c>
      <c r="D2246" s="4">
        <v>45372</v>
      </c>
      <c r="E2246" t="s">
        <v>940</v>
      </c>
      <c r="F2246" t="s">
        <v>75</v>
      </c>
      <c r="I2246" s="6"/>
      <c r="J2246" s="6"/>
      <c r="K2246" s="6"/>
      <c r="L2246" s="6"/>
      <c r="M2246" s="6"/>
      <c r="N2246" s="6"/>
      <c r="O2246" s="6"/>
      <c r="P2246" s="6"/>
      <c r="Q2246">
        <v>0</v>
      </c>
      <c r="R2246">
        <f t="shared" si="175"/>
        <v>0</v>
      </c>
      <c r="S2246">
        <f t="shared" si="176"/>
        <v>0</v>
      </c>
      <c r="T2246">
        <f t="shared" si="177"/>
        <v>0</v>
      </c>
      <c r="U2246">
        <f t="shared" si="178"/>
        <v>0</v>
      </c>
      <c r="V2246">
        <f t="shared" si="179"/>
        <v>0</v>
      </c>
    </row>
    <row r="2247" spans="1:22" x14ac:dyDescent="0.25">
      <c r="A2247">
        <v>2244</v>
      </c>
      <c r="B2247" t="s">
        <v>22</v>
      </c>
      <c r="C2247" t="s">
        <v>1038</v>
      </c>
      <c r="D2247" s="4">
        <v>45372</v>
      </c>
      <c r="E2247" t="s">
        <v>269</v>
      </c>
      <c r="F2247" t="s">
        <v>75</v>
      </c>
      <c r="I2247" s="6"/>
      <c r="J2247" s="6"/>
      <c r="K2247" s="6"/>
      <c r="L2247" s="6"/>
      <c r="M2247" s="6"/>
      <c r="N2247" s="6"/>
      <c r="O2247" s="6"/>
      <c r="P2247" s="6"/>
      <c r="Q2247">
        <v>0</v>
      </c>
      <c r="R2247">
        <f t="shared" si="175"/>
        <v>0</v>
      </c>
      <c r="S2247">
        <f t="shared" si="176"/>
        <v>0</v>
      </c>
      <c r="T2247">
        <f t="shared" si="177"/>
        <v>0</v>
      </c>
      <c r="U2247">
        <f t="shared" si="178"/>
        <v>0</v>
      </c>
      <c r="V2247">
        <f t="shared" si="179"/>
        <v>0</v>
      </c>
    </row>
    <row r="2248" spans="1:22" x14ac:dyDescent="0.25">
      <c r="A2248">
        <v>2245</v>
      </c>
      <c r="B2248" t="s">
        <v>22</v>
      </c>
      <c r="C2248" t="s">
        <v>1038</v>
      </c>
      <c r="D2248" s="4">
        <v>45372</v>
      </c>
      <c r="E2248" t="s">
        <v>1471</v>
      </c>
      <c r="F2248" t="s">
        <v>75</v>
      </c>
      <c r="I2248" s="6"/>
      <c r="J2248" s="6"/>
      <c r="K2248" s="6"/>
      <c r="L2248" s="6"/>
      <c r="M2248" s="6"/>
      <c r="N2248" s="6"/>
      <c r="O2248" s="6"/>
      <c r="P2248" s="6"/>
      <c r="Q2248">
        <v>0</v>
      </c>
      <c r="R2248">
        <f t="shared" si="175"/>
        <v>0</v>
      </c>
      <c r="S2248">
        <f t="shared" si="176"/>
        <v>0</v>
      </c>
      <c r="T2248">
        <f t="shared" si="177"/>
        <v>0</v>
      </c>
      <c r="U2248">
        <f t="shared" si="178"/>
        <v>0</v>
      </c>
      <c r="V2248">
        <f t="shared" si="179"/>
        <v>0</v>
      </c>
    </row>
    <row r="2249" spans="1:22" x14ac:dyDescent="0.25">
      <c r="A2249">
        <v>2246</v>
      </c>
      <c r="B2249" t="s">
        <v>22</v>
      </c>
      <c r="C2249" t="s">
        <v>1038</v>
      </c>
      <c r="D2249" s="4">
        <v>45373</v>
      </c>
      <c r="E2249" t="s">
        <v>428</v>
      </c>
      <c r="F2249" t="s">
        <v>75</v>
      </c>
      <c r="I2249" s="6">
        <v>1</v>
      </c>
      <c r="J2249" s="6">
        <v>0</v>
      </c>
      <c r="K2249" s="6">
        <v>0</v>
      </c>
      <c r="L2249" s="6">
        <v>0</v>
      </c>
      <c r="M2249" s="6">
        <v>1</v>
      </c>
      <c r="N2249" s="6">
        <v>0</v>
      </c>
      <c r="O2249" s="6">
        <v>0</v>
      </c>
      <c r="P2249" s="6">
        <v>0</v>
      </c>
      <c r="Q2249">
        <v>1</v>
      </c>
      <c r="R2249">
        <f t="shared" si="175"/>
        <v>0</v>
      </c>
      <c r="S2249">
        <f t="shared" si="176"/>
        <v>1</v>
      </c>
      <c r="T2249">
        <f t="shared" si="177"/>
        <v>2</v>
      </c>
      <c r="U2249">
        <f t="shared" si="178"/>
        <v>1</v>
      </c>
      <c r="V2249">
        <f t="shared" si="179"/>
        <v>0</v>
      </c>
    </row>
    <row r="2250" spans="1:22" x14ac:dyDescent="0.25">
      <c r="A2250">
        <v>2247</v>
      </c>
      <c r="B2250" t="s">
        <v>22</v>
      </c>
      <c r="C2250" t="s">
        <v>1038</v>
      </c>
      <c r="D2250" s="4">
        <v>45373</v>
      </c>
      <c r="E2250" t="s">
        <v>429</v>
      </c>
      <c r="F2250" t="s">
        <v>75</v>
      </c>
      <c r="I2250" s="6"/>
      <c r="J2250" s="6"/>
      <c r="K2250" s="6"/>
      <c r="L2250" s="6"/>
      <c r="M2250" s="6"/>
      <c r="N2250" s="6"/>
      <c r="O2250" s="6"/>
      <c r="P2250" s="6"/>
      <c r="Q2250">
        <v>0</v>
      </c>
      <c r="R2250">
        <f t="shared" si="175"/>
        <v>0</v>
      </c>
      <c r="S2250">
        <f t="shared" si="176"/>
        <v>0</v>
      </c>
      <c r="T2250">
        <f t="shared" si="177"/>
        <v>0</v>
      </c>
      <c r="U2250">
        <f t="shared" si="178"/>
        <v>0</v>
      </c>
      <c r="V2250">
        <f t="shared" si="179"/>
        <v>0</v>
      </c>
    </row>
    <row r="2251" spans="1:22" x14ac:dyDescent="0.25">
      <c r="A2251">
        <v>2248</v>
      </c>
      <c r="B2251" t="s">
        <v>22</v>
      </c>
      <c r="C2251" t="s">
        <v>1038</v>
      </c>
      <c r="D2251" s="4">
        <v>45374</v>
      </c>
      <c r="E2251" t="s">
        <v>858</v>
      </c>
      <c r="F2251" t="s">
        <v>75</v>
      </c>
      <c r="I2251" s="6"/>
      <c r="J2251" s="6"/>
      <c r="K2251" s="6"/>
      <c r="L2251" s="6"/>
      <c r="M2251" s="6"/>
      <c r="N2251" s="6"/>
      <c r="O2251" s="6"/>
      <c r="P2251" s="6"/>
      <c r="Q2251">
        <v>0</v>
      </c>
      <c r="R2251">
        <f t="shared" si="175"/>
        <v>0</v>
      </c>
      <c r="S2251">
        <f t="shared" si="176"/>
        <v>0</v>
      </c>
      <c r="T2251">
        <f t="shared" si="177"/>
        <v>0</v>
      </c>
      <c r="U2251">
        <f t="shared" si="178"/>
        <v>0</v>
      </c>
      <c r="V2251">
        <f t="shared" si="179"/>
        <v>0</v>
      </c>
    </row>
    <row r="2252" spans="1:22" x14ac:dyDescent="0.25">
      <c r="A2252">
        <v>2249</v>
      </c>
      <c r="B2252" t="s">
        <v>22</v>
      </c>
      <c r="C2252" t="s">
        <v>1038</v>
      </c>
      <c r="D2252" s="4">
        <v>45375</v>
      </c>
      <c r="E2252" t="s">
        <v>859</v>
      </c>
      <c r="F2252" t="s">
        <v>75</v>
      </c>
      <c r="I2252" s="6"/>
      <c r="J2252" s="6"/>
      <c r="K2252" s="6"/>
      <c r="L2252" s="6"/>
      <c r="M2252" s="6"/>
      <c r="N2252" s="6"/>
      <c r="O2252" s="6"/>
      <c r="P2252" s="6"/>
      <c r="Q2252">
        <v>0</v>
      </c>
      <c r="R2252">
        <f t="shared" si="175"/>
        <v>0</v>
      </c>
      <c r="S2252">
        <f t="shared" si="176"/>
        <v>0</v>
      </c>
      <c r="T2252">
        <f t="shared" si="177"/>
        <v>0</v>
      </c>
      <c r="U2252">
        <f t="shared" si="178"/>
        <v>0</v>
      </c>
      <c r="V2252">
        <f t="shared" si="179"/>
        <v>0</v>
      </c>
    </row>
    <row r="2253" spans="1:22" x14ac:dyDescent="0.25">
      <c r="A2253">
        <v>2250</v>
      </c>
      <c r="B2253" t="s">
        <v>22</v>
      </c>
      <c r="C2253" t="s">
        <v>1038</v>
      </c>
      <c r="D2253" s="4">
        <v>45375</v>
      </c>
      <c r="E2253" t="s">
        <v>860</v>
      </c>
      <c r="F2253" t="s">
        <v>75</v>
      </c>
      <c r="I2253" s="6">
        <v>0</v>
      </c>
      <c r="J2253" s="6">
        <v>0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6">
        <v>0</v>
      </c>
      <c r="Q2253">
        <v>1</v>
      </c>
      <c r="R2253">
        <f t="shared" si="175"/>
        <v>0</v>
      </c>
      <c r="S2253">
        <f t="shared" si="176"/>
        <v>1</v>
      </c>
      <c r="T2253">
        <f t="shared" si="177"/>
        <v>0</v>
      </c>
      <c r="U2253">
        <f t="shared" si="178"/>
        <v>0</v>
      </c>
      <c r="V2253">
        <f t="shared" si="179"/>
        <v>0</v>
      </c>
    </row>
    <row r="2254" spans="1:22" x14ac:dyDescent="0.25">
      <c r="A2254">
        <v>2251</v>
      </c>
      <c r="B2254" t="s">
        <v>22</v>
      </c>
      <c r="C2254" t="s">
        <v>1038</v>
      </c>
      <c r="D2254" s="4">
        <v>45375</v>
      </c>
      <c r="E2254" t="s">
        <v>861</v>
      </c>
      <c r="F2254" t="s">
        <v>75</v>
      </c>
      <c r="I2254" s="6"/>
      <c r="J2254" s="6"/>
      <c r="K2254" s="6"/>
      <c r="L2254" s="6"/>
      <c r="M2254" s="6"/>
      <c r="N2254" s="6"/>
      <c r="O2254" s="6"/>
      <c r="P2254" s="6"/>
      <c r="Q2254">
        <v>0</v>
      </c>
      <c r="R2254">
        <f t="shared" si="175"/>
        <v>0</v>
      </c>
      <c r="S2254">
        <f t="shared" si="176"/>
        <v>0</v>
      </c>
      <c r="T2254">
        <f t="shared" si="177"/>
        <v>0</v>
      </c>
      <c r="U2254">
        <f t="shared" si="178"/>
        <v>0</v>
      </c>
      <c r="V2254">
        <f t="shared" si="179"/>
        <v>0</v>
      </c>
    </row>
    <row r="2255" spans="1:22" x14ac:dyDescent="0.25">
      <c r="A2255">
        <v>2252</v>
      </c>
      <c r="B2255" t="s">
        <v>22</v>
      </c>
      <c r="C2255" t="s">
        <v>1038</v>
      </c>
      <c r="D2255" s="4">
        <v>45376</v>
      </c>
      <c r="E2255" t="s">
        <v>434</v>
      </c>
      <c r="F2255" t="s">
        <v>75</v>
      </c>
      <c r="I2255" s="6"/>
      <c r="J2255" s="6"/>
      <c r="K2255" s="6"/>
      <c r="L2255" s="6"/>
      <c r="M2255" s="6"/>
      <c r="N2255" s="6"/>
      <c r="O2255" s="6"/>
      <c r="P2255" s="6"/>
      <c r="Q2255">
        <v>0</v>
      </c>
      <c r="R2255">
        <f t="shared" si="175"/>
        <v>0</v>
      </c>
      <c r="S2255">
        <f t="shared" si="176"/>
        <v>0</v>
      </c>
      <c r="T2255">
        <f t="shared" si="177"/>
        <v>0</v>
      </c>
      <c r="U2255">
        <f t="shared" si="178"/>
        <v>0</v>
      </c>
      <c r="V2255">
        <f t="shared" si="179"/>
        <v>0</v>
      </c>
    </row>
    <row r="2256" spans="1:22" x14ac:dyDescent="0.25">
      <c r="A2256">
        <v>2253</v>
      </c>
      <c r="B2256" t="s">
        <v>22</v>
      </c>
      <c r="C2256" t="s">
        <v>1038</v>
      </c>
      <c r="D2256" s="4">
        <v>45376</v>
      </c>
      <c r="E2256" t="s">
        <v>435</v>
      </c>
      <c r="F2256" t="s">
        <v>75</v>
      </c>
      <c r="I2256" s="6"/>
      <c r="J2256" s="6"/>
      <c r="K2256" s="6"/>
      <c r="L2256" s="6"/>
      <c r="M2256" s="6"/>
      <c r="N2256" s="6"/>
      <c r="O2256" s="6"/>
      <c r="P2256" s="6"/>
      <c r="Q2256">
        <v>0</v>
      </c>
      <c r="R2256">
        <f t="shared" si="175"/>
        <v>0</v>
      </c>
      <c r="S2256">
        <f t="shared" si="176"/>
        <v>0</v>
      </c>
      <c r="T2256">
        <f t="shared" si="177"/>
        <v>0</v>
      </c>
      <c r="U2256">
        <f t="shared" si="178"/>
        <v>0</v>
      </c>
      <c r="V2256">
        <f t="shared" si="179"/>
        <v>0</v>
      </c>
    </row>
    <row r="2257" spans="1:22" x14ac:dyDescent="0.25">
      <c r="A2257">
        <v>2254</v>
      </c>
      <c r="B2257" t="s">
        <v>22</v>
      </c>
      <c r="C2257" t="s">
        <v>1038</v>
      </c>
      <c r="D2257" s="4">
        <v>45376</v>
      </c>
      <c r="E2257" t="s">
        <v>436</v>
      </c>
      <c r="F2257" t="s">
        <v>75</v>
      </c>
      <c r="I2257" s="6">
        <v>0</v>
      </c>
      <c r="J2257" s="6">
        <v>0</v>
      </c>
      <c r="K2257" s="6">
        <v>0</v>
      </c>
      <c r="L2257" s="6">
        <v>0</v>
      </c>
      <c r="M2257" s="6">
        <v>1</v>
      </c>
      <c r="N2257" s="6">
        <v>0</v>
      </c>
      <c r="O2257" s="6">
        <v>1</v>
      </c>
      <c r="P2257" s="6">
        <v>0</v>
      </c>
      <c r="Q2257">
        <v>1</v>
      </c>
      <c r="R2257">
        <f t="shared" si="175"/>
        <v>0</v>
      </c>
      <c r="S2257">
        <f t="shared" si="176"/>
        <v>1</v>
      </c>
      <c r="T2257">
        <f t="shared" si="177"/>
        <v>2</v>
      </c>
      <c r="U2257">
        <f t="shared" si="178"/>
        <v>1</v>
      </c>
      <c r="V2257">
        <f t="shared" si="179"/>
        <v>0</v>
      </c>
    </row>
    <row r="2258" spans="1:22" x14ac:dyDescent="0.25">
      <c r="A2258">
        <v>2255</v>
      </c>
      <c r="B2258" t="s">
        <v>22</v>
      </c>
      <c r="C2258" t="s">
        <v>1038</v>
      </c>
      <c r="D2258" s="4">
        <v>45377</v>
      </c>
      <c r="E2258" t="s">
        <v>437</v>
      </c>
      <c r="F2258" t="s">
        <v>75</v>
      </c>
      <c r="I2258" s="6"/>
      <c r="J2258" s="6"/>
      <c r="K2258" s="6"/>
      <c r="L2258" s="6"/>
      <c r="M2258" s="6"/>
      <c r="N2258" s="6"/>
      <c r="O2258" s="6"/>
      <c r="P2258" s="6"/>
      <c r="Q2258">
        <v>0</v>
      </c>
      <c r="R2258">
        <f t="shared" si="175"/>
        <v>0</v>
      </c>
      <c r="S2258">
        <f t="shared" si="176"/>
        <v>0</v>
      </c>
      <c r="T2258">
        <f t="shared" si="177"/>
        <v>0</v>
      </c>
      <c r="U2258">
        <f t="shared" si="178"/>
        <v>0</v>
      </c>
      <c r="V2258">
        <f t="shared" si="179"/>
        <v>0</v>
      </c>
    </row>
    <row r="2259" spans="1:22" x14ac:dyDescent="0.25">
      <c r="A2259">
        <v>2256</v>
      </c>
      <c r="B2259" t="s">
        <v>22</v>
      </c>
      <c r="C2259" t="s">
        <v>1038</v>
      </c>
      <c r="D2259" s="4">
        <v>45377</v>
      </c>
      <c r="E2259" t="s">
        <v>1534</v>
      </c>
      <c r="F2259" t="s">
        <v>75</v>
      </c>
      <c r="I2259" s="6">
        <v>1</v>
      </c>
      <c r="J2259" s="6">
        <v>0</v>
      </c>
      <c r="K2259" s="6">
        <v>0</v>
      </c>
      <c r="L2259" s="6">
        <v>0</v>
      </c>
      <c r="M2259" s="6">
        <v>1</v>
      </c>
      <c r="N2259" s="6">
        <v>0</v>
      </c>
      <c r="O2259" s="6">
        <v>0</v>
      </c>
      <c r="P2259" s="6">
        <v>0</v>
      </c>
      <c r="Q2259">
        <v>1</v>
      </c>
      <c r="R2259">
        <f t="shared" si="175"/>
        <v>0</v>
      </c>
      <c r="S2259">
        <f t="shared" si="176"/>
        <v>1</v>
      </c>
      <c r="T2259">
        <f t="shared" si="177"/>
        <v>2</v>
      </c>
      <c r="U2259">
        <f t="shared" si="178"/>
        <v>1</v>
      </c>
      <c r="V2259">
        <f t="shared" si="179"/>
        <v>0</v>
      </c>
    </row>
    <row r="2260" spans="1:22" x14ac:dyDescent="0.25">
      <c r="A2260">
        <v>2257</v>
      </c>
      <c r="B2260" t="s">
        <v>22</v>
      </c>
      <c r="C2260" t="s">
        <v>1038</v>
      </c>
      <c r="D2260" s="4">
        <v>45377</v>
      </c>
      <c r="E2260" t="s">
        <v>2194</v>
      </c>
      <c r="F2260" t="s">
        <v>75</v>
      </c>
      <c r="I2260" s="6"/>
      <c r="J2260" s="6"/>
      <c r="K2260" s="6"/>
      <c r="L2260" s="6"/>
      <c r="M2260" s="6"/>
      <c r="N2260" s="6"/>
      <c r="O2260" s="6"/>
      <c r="P2260" s="6"/>
      <c r="Q2260">
        <v>0</v>
      </c>
      <c r="R2260">
        <f t="shared" si="175"/>
        <v>0</v>
      </c>
      <c r="S2260">
        <f t="shared" si="176"/>
        <v>0</v>
      </c>
      <c r="T2260">
        <f t="shared" si="177"/>
        <v>0</v>
      </c>
      <c r="U2260">
        <f t="shared" si="178"/>
        <v>0</v>
      </c>
      <c r="V2260">
        <f t="shared" si="179"/>
        <v>0</v>
      </c>
    </row>
    <row r="2261" spans="1:22" x14ac:dyDescent="0.25">
      <c r="A2261">
        <v>2258</v>
      </c>
      <c r="B2261" t="s">
        <v>22</v>
      </c>
      <c r="C2261" t="s">
        <v>1038</v>
      </c>
      <c r="D2261" s="4">
        <v>45378</v>
      </c>
      <c r="E2261" t="s">
        <v>273</v>
      </c>
      <c r="F2261" t="s">
        <v>75</v>
      </c>
      <c r="I2261" s="6"/>
      <c r="J2261" s="6"/>
      <c r="K2261" s="6"/>
      <c r="L2261" s="6"/>
      <c r="M2261" s="6"/>
      <c r="N2261" s="6"/>
      <c r="O2261" s="6"/>
      <c r="P2261" s="6"/>
      <c r="Q2261">
        <v>0</v>
      </c>
      <c r="R2261">
        <f t="shared" si="175"/>
        <v>0</v>
      </c>
      <c r="S2261">
        <f t="shared" si="176"/>
        <v>0</v>
      </c>
      <c r="T2261">
        <f t="shared" si="177"/>
        <v>0</v>
      </c>
      <c r="U2261">
        <f t="shared" si="178"/>
        <v>0</v>
      </c>
      <c r="V2261">
        <f t="shared" si="179"/>
        <v>0</v>
      </c>
    </row>
    <row r="2262" spans="1:22" x14ac:dyDescent="0.25">
      <c r="A2262">
        <v>2259</v>
      </c>
      <c r="B2262" t="s">
        <v>22</v>
      </c>
      <c r="C2262" t="s">
        <v>1038</v>
      </c>
      <c r="D2262" s="4">
        <v>45379</v>
      </c>
      <c r="E2262" t="s">
        <v>1757</v>
      </c>
      <c r="F2262" t="s">
        <v>75</v>
      </c>
      <c r="I2262" s="6"/>
      <c r="J2262" s="6"/>
      <c r="K2262" s="6"/>
      <c r="L2262" s="6"/>
      <c r="M2262" s="6"/>
      <c r="N2262" s="6"/>
      <c r="O2262" s="6"/>
      <c r="P2262" s="6"/>
      <c r="Q2262">
        <v>0</v>
      </c>
      <c r="R2262">
        <f t="shared" si="175"/>
        <v>0</v>
      </c>
      <c r="S2262">
        <f t="shared" si="176"/>
        <v>0</v>
      </c>
      <c r="T2262">
        <f t="shared" si="177"/>
        <v>0</v>
      </c>
      <c r="U2262">
        <f t="shared" si="178"/>
        <v>0</v>
      </c>
      <c r="V2262">
        <f t="shared" si="179"/>
        <v>0</v>
      </c>
    </row>
    <row r="2263" spans="1:22" x14ac:dyDescent="0.25">
      <c r="A2263">
        <v>2260</v>
      </c>
      <c r="B2263" t="s">
        <v>22</v>
      </c>
      <c r="C2263" t="s">
        <v>1038</v>
      </c>
      <c r="D2263" s="4">
        <v>45380</v>
      </c>
      <c r="E2263" t="s">
        <v>274</v>
      </c>
      <c r="F2263" t="s">
        <v>75</v>
      </c>
      <c r="I2263" s="6"/>
      <c r="J2263" s="6"/>
      <c r="K2263" s="6"/>
      <c r="L2263" s="6"/>
      <c r="M2263" s="6"/>
      <c r="N2263" s="6"/>
      <c r="O2263" s="6"/>
      <c r="P2263" s="6"/>
      <c r="Q2263">
        <v>0</v>
      </c>
      <c r="R2263">
        <f t="shared" si="175"/>
        <v>0</v>
      </c>
      <c r="S2263">
        <f t="shared" si="176"/>
        <v>0</v>
      </c>
      <c r="T2263">
        <f t="shared" si="177"/>
        <v>0</v>
      </c>
      <c r="U2263">
        <f t="shared" si="178"/>
        <v>0</v>
      </c>
      <c r="V2263">
        <f t="shared" si="179"/>
        <v>0</v>
      </c>
    </row>
    <row r="2264" spans="1:22" x14ac:dyDescent="0.25">
      <c r="A2264">
        <v>2261</v>
      </c>
      <c r="B2264" t="s">
        <v>22</v>
      </c>
      <c r="C2264" t="s">
        <v>1038</v>
      </c>
      <c r="D2264" s="4">
        <v>45384</v>
      </c>
      <c r="E2264" t="s">
        <v>446</v>
      </c>
      <c r="F2264" t="s">
        <v>75</v>
      </c>
      <c r="I2264" s="6"/>
      <c r="J2264" s="6"/>
      <c r="K2264" s="6"/>
      <c r="L2264" s="6"/>
      <c r="M2264" s="6"/>
      <c r="N2264" s="6"/>
      <c r="O2264" s="6"/>
      <c r="P2264" s="6"/>
      <c r="Q2264">
        <v>0</v>
      </c>
      <c r="R2264">
        <f t="shared" si="175"/>
        <v>0</v>
      </c>
      <c r="S2264">
        <f t="shared" si="176"/>
        <v>0</v>
      </c>
      <c r="T2264">
        <f t="shared" si="177"/>
        <v>0</v>
      </c>
      <c r="U2264">
        <f t="shared" si="178"/>
        <v>0</v>
      </c>
      <c r="V2264">
        <f t="shared" si="179"/>
        <v>0</v>
      </c>
    </row>
    <row r="2265" spans="1:22" x14ac:dyDescent="0.25">
      <c r="A2265">
        <v>2262</v>
      </c>
      <c r="B2265" t="s">
        <v>22</v>
      </c>
      <c r="C2265" t="s">
        <v>1038</v>
      </c>
      <c r="D2265" s="4">
        <v>45384</v>
      </c>
      <c r="E2265" t="s">
        <v>447</v>
      </c>
      <c r="F2265" t="s">
        <v>75</v>
      </c>
      <c r="I2265" s="6"/>
      <c r="J2265" s="6"/>
      <c r="K2265" s="6"/>
      <c r="L2265" s="6"/>
      <c r="M2265" s="6"/>
      <c r="N2265" s="6"/>
      <c r="O2265" s="6"/>
      <c r="P2265" s="6"/>
      <c r="Q2265">
        <v>0</v>
      </c>
      <c r="R2265">
        <f t="shared" si="175"/>
        <v>0</v>
      </c>
      <c r="S2265">
        <f t="shared" si="176"/>
        <v>0</v>
      </c>
      <c r="T2265">
        <f t="shared" si="177"/>
        <v>0</v>
      </c>
      <c r="U2265">
        <f t="shared" si="178"/>
        <v>0</v>
      </c>
      <c r="V2265">
        <f t="shared" si="179"/>
        <v>0</v>
      </c>
    </row>
    <row r="2266" spans="1:22" x14ac:dyDescent="0.25">
      <c r="A2266">
        <v>2263</v>
      </c>
      <c r="B2266" t="s">
        <v>22</v>
      </c>
      <c r="C2266" t="s">
        <v>1038</v>
      </c>
      <c r="D2266" s="4">
        <v>45384</v>
      </c>
      <c r="E2266" t="s">
        <v>2038</v>
      </c>
      <c r="F2266" t="s">
        <v>75</v>
      </c>
      <c r="I2266" s="6"/>
      <c r="J2266" s="6"/>
      <c r="K2266" s="6"/>
      <c r="L2266" s="6"/>
      <c r="M2266" s="6"/>
      <c r="N2266" s="6"/>
      <c r="O2266" s="6"/>
      <c r="P2266" s="6"/>
      <c r="Q2266">
        <v>0</v>
      </c>
      <c r="R2266">
        <f t="shared" si="175"/>
        <v>0</v>
      </c>
      <c r="S2266">
        <f t="shared" si="176"/>
        <v>0</v>
      </c>
      <c r="T2266">
        <f t="shared" si="177"/>
        <v>0</v>
      </c>
      <c r="U2266">
        <f t="shared" si="178"/>
        <v>0</v>
      </c>
      <c r="V2266">
        <f t="shared" si="179"/>
        <v>0</v>
      </c>
    </row>
    <row r="2267" spans="1:22" x14ac:dyDescent="0.25">
      <c r="A2267">
        <v>2264</v>
      </c>
      <c r="B2267" t="s">
        <v>22</v>
      </c>
      <c r="C2267" t="s">
        <v>1038</v>
      </c>
      <c r="D2267" s="4">
        <v>45385</v>
      </c>
      <c r="E2267" t="s">
        <v>865</v>
      </c>
      <c r="F2267" t="s">
        <v>75</v>
      </c>
      <c r="I2267" s="6"/>
      <c r="J2267" s="6"/>
      <c r="K2267" s="6"/>
      <c r="L2267" s="6"/>
      <c r="M2267" s="6"/>
      <c r="N2267" s="6"/>
      <c r="O2267" s="6"/>
      <c r="P2267" s="6"/>
      <c r="Q2267">
        <v>0</v>
      </c>
      <c r="R2267">
        <f t="shared" si="175"/>
        <v>0</v>
      </c>
      <c r="S2267">
        <f t="shared" si="176"/>
        <v>0</v>
      </c>
      <c r="T2267">
        <f t="shared" si="177"/>
        <v>0</v>
      </c>
      <c r="U2267">
        <f t="shared" si="178"/>
        <v>0</v>
      </c>
      <c r="V2267">
        <f t="shared" si="179"/>
        <v>0</v>
      </c>
    </row>
    <row r="2268" spans="1:22" x14ac:dyDescent="0.25">
      <c r="A2268">
        <v>2265</v>
      </c>
      <c r="B2268" t="s">
        <v>22</v>
      </c>
      <c r="C2268" t="s">
        <v>1038</v>
      </c>
      <c r="D2268" s="4">
        <v>45385</v>
      </c>
      <c r="E2268" t="s">
        <v>956</v>
      </c>
      <c r="F2268" t="s">
        <v>75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1</v>
      </c>
      <c r="O2268" s="6">
        <v>0</v>
      </c>
      <c r="P2268" s="6">
        <v>0</v>
      </c>
      <c r="Q2268">
        <v>1</v>
      </c>
      <c r="R2268">
        <f t="shared" si="175"/>
        <v>0</v>
      </c>
      <c r="S2268">
        <f t="shared" si="176"/>
        <v>1</v>
      </c>
      <c r="T2268">
        <f t="shared" si="177"/>
        <v>1</v>
      </c>
      <c r="U2268">
        <f t="shared" si="178"/>
        <v>1</v>
      </c>
      <c r="V2268">
        <f t="shared" si="179"/>
        <v>0</v>
      </c>
    </row>
    <row r="2269" spans="1:22" x14ac:dyDescent="0.25">
      <c r="A2269">
        <v>2266</v>
      </c>
      <c r="B2269" t="s">
        <v>22</v>
      </c>
      <c r="C2269" t="s">
        <v>1038</v>
      </c>
      <c r="D2269" s="4">
        <v>45385</v>
      </c>
      <c r="E2269" t="s">
        <v>2037</v>
      </c>
      <c r="F2269" t="s">
        <v>75</v>
      </c>
      <c r="I2269" s="6">
        <v>0</v>
      </c>
      <c r="J2269" s="6">
        <v>0</v>
      </c>
      <c r="K2269" s="6">
        <v>1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>
        <v>1</v>
      </c>
      <c r="R2269">
        <f t="shared" si="175"/>
        <v>0</v>
      </c>
      <c r="S2269">
        <f t="shared" si="176"/>
        <v>1</v>
      </c>
      <c r="T2269">
        <f t="shared" si="177"/>
        <v>1</v>
      </c>
      <c r="U2269">
        <f t="shared" si="178"/>
        <v>1</v>
      </c>
      <c r="V2269">
        <f t="shared" si="179"/>
        <v>0</v>
      </c>
    </row>
    <row r="2270" spans="1:22" x14ac:dyDescent="0.25">
      <c r="A2270">
        <v>2267</v>
      </c>
      <c r="B2270" t="s">
        <v>22</v>
      </c>
      <c r="C2270" t="s">
        <v>1038</v>
      </c>
      <c r="D2270" s="4">
        <v>45386</v>
      </c>
      <c r="E2270" t="s">
        <v>281</v>
      </c>
      <c r="F2270" t="s">
        <v>75</v>
      </c>
      <c r="I2270" s="6"/>
      <c r="J2270" s="6"/>
      <c r="K2270" s="6"/>
      <c r="L2270" s="6"/>
      <c r="M2270" s="6"/>
      <c r="N2270" s="6"/>
      <c r="O2270" s="6"/>
      <c r="P2270" s="6"/>
      <c r="Q2270">
        <v>0</v>
      </c>
      <c r="R2270">
        <f t="shared" si="175"/>
        <v>0</v>
      </c>
      <c r="S2270">
        <f t="shared" si="176"/>
        <v>0</v>
      </c>
      <c r="T2270">
        <f t="shared" si="177"/>
        <v>0</v>
      </c>
      <c r="U2270">
        <f t="shared" si="178"/>
        <v>0</v>
      </c>
      <c r="V2270">
        <f t="shared" si="179"/>
        <v>0</v>
      </c>
    </row>
    <row r="2271" spans="1:22" x14ac:dyDescent="0.25">
      <c r="A2271">
        <v>2268</v>
      </c>
      <c r="B2271" t="s">
        <v>22</v>
      </c>
      <c r="C2271" t="s">
        <v>1038</v>
      </c>
      <c r="D2271" s="4">
        <v>45386</v>
      </c>
      <c r="E2271" t="s">
        <v>282</v>
      </c>
      <c r="F2271" t="s">
        <v>75</v>
      </c>
      <c r="H2271" t="s">
        <v>1130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>
        <v>1</v>
      </c>
      <c r="R2271">
        <f t="shared" si="175"/>
        <v>0</v>
      </c>
      <c r="S2271">
        <f t="shared" si="176"/>
        <v>1</v>
      </c>
      <c r="T2271">
        <f t="shared" si="177"/>
        <v>0</v>
      </c>
      <c r="U2271">
        <f t="shared" si="178"/>
        <v>0</v>
      </c>
      <c r="V2271">
        <f t="shared" si="179"/>
        <v>0</v>
      </c>
    </row>
    <row r="2272" spans="1:22" x14ac:dyDescent="0.25">
      <c r="A2272">
        <v>2269</v>
      </c>
      <c r="B2272" t="s">
        <v>22</v>
      </c>
      <c r="C2272" t="s">
        <v>1038</v>
      </c>
      <c r="D2272" s="4">
        <v>45386</v>
      </c>
      <c r="E2272" t="s">
        <v>958</v>
      </c>
      <c r="F2272" t="s">
        <v>75</v>
      </c>
      <c r="I2272" s="6"/>
      <c r="J2272" s="6"/>
      <c r="K2272" s="6"/>
      <c r="L2272" s="6"/>
      <c r="M2272" s="6"/>
      <c r="N2272" s="6"/>
      <c r="O2272" s="6"/>
      <c r="P2272" s="6"/>
      <c r="Q2272">
        <v>0</v>
      </c>
      <c r="R2272">
        <f t="shared" si="175"/>
        <v>0</v>
      </c>
      <c r="S2272">
        <f t="shared" si="176"/>
        <v>0</v>
      </c>
      <c r="T2272">
        <f t="shared" si="177"/>
        <v>0</v>
      </c>
      <c r="U2272">
        <f t="shared" si="178"/>
        <v>0</v>
      </c>
      <c r="V2272">
        <f t="shared" si="179"/>
        <v>0</v>
      </c>
    </row>
    <row r="2273" spans="1:22" x14ac:dyDescent="0.25">
      <c r="A2273">
        <v>2270</v>
      </c>
      <c r="B2273" t="s">
        <v>22</v>
      </c>
      <c r="C2273" t="s">
        <v>1038</v>
      </c>
      <c r="D2273" s="4">
        <v>45386</v>
      </c>
      <c r="E2273" t="s">
        <v>1545</v>
      </c>
      <c r="F2273" t="s">
        <v>75</v>
      </c>
      <c r="I2273" s="6"/>
      <c r="J2273" s="6"/>
      <c r="K2273" s="6"/>
      <c r="L2273" s="6"/>
      <c r="M2273" s="6"/>
      <c r="N2273" s="6"/>
      <c r="O2273" s="6"/>
      <c r="P2273" s="6"/>
      <c r="Q2273">
        <v>0</v>
      </c>
      <c r="R2273">
        <f t="shared" si="175"/>
        <v>0</v>
      </c>
      <c r="S2273">
        <f t="shared" si="176"/>
        <v>0</v>
      </c>
      <c r="T2273">
        <f t="shared" si="177"/>
        <v>0</v>
      </c>
      <c r="U2273">
        <f t="shared" si="178"/>
        <v>0</v>
      </c>
      <c r="V2273">
        <f t="shared" si="179"/>
        <v>0</v>
      </c>
    </row>
    <row r="2274" spans="1:22" x14ac:dyDescent="0.25">
      <c r="A2274">
        <v>2271</v>
      </c>
      <c r="B2274" t="s">
        <v>22</v>
      </c>
      <c r="C2274" t="s">
        <v>1038</v>
      </c>
      <c r="D2274" s="4">
        <v>45386</v>
      </c>
      <c r="E2274" t="s">
        <v>2169</v>
      </c>
      <c r="F2274" t="s">
        <v>75</v>
      </c>
      <c r="I2274" s="6"/>
      <c r="J2274" s="6"/>
      <c r="K2274" s="6"/>
      <c r="L2274" s="6"/>
      <c r="M2274" s="6"/>
      <c r="N2274" s="6"/>
      <c r="O2274" s="6"/>
      <c r="P2274" s="6"/>
      <c r="Q2274">
        <v>0</v>
      </c>
      <c r="R2274">
        <f t="shared" si="175"/>
        <v>0</v>
      </c>
      <c r="S2274">
        <f t="shared" si="176"/>
        <v>0</v>
      </c>
      <c r="T2274">
        <f t="shared" si="177"/>
        <v>0</v>
      </c>
      <c r="U2274">
        <f t="shared" si="178"/>
        <v>0</v>
      </c>
      <c r="V2274">
        <f t="shared" si="179"/>
        <v>0</v>
      </c>
    </row>
    <row r="2275" spans="1:22" x14ac:dyDescent="0.25">
      <c r="A2275">
        <v>2272</v>
      </c>
      <c r="B2275" t="s">
        <v>22</v>
      </c>
      <c r="C2275" t="s">
        <v>1038</v>
      </c>
      <c r="D2275" s="4">
        <v>45386</v>
      </c>
      <c r="E2275" t="s">
        <v>1131</v>
      </c>
      <c r="F2275" t="s">
        <v>75</v>
      </c>
      <c r="I2275" s="6">
        <v>0</v>
      </c>
      <c r="J2275" s="6">
        <v>0</v>
      </c>
      <c r="K2275" s="6">
        <v>1</v>
      </c>
      <c r="L2275" s="6">
        <v>1</v>
      </c>
      <c r="M2275" s="6">
        <v>0</v>
      </c>
      <c r="N2275" s="6">
        <v>0</v>
      </c>
      <c r="O2275" s="6">
        <v>0</v>
      </c>
      <c r="P2275" s="6">
        <v>0</v>
      </c>
      <c r="Q2275">
        <v>1</v>
      </c>
      <c r="R2275">
        <f t="shared" si="175"/>
        <v>0</v>
      </c>
      <c r="S2275">
        <f t="shared" si="176"/>
        <v>1</v>
      </c>
      <c r="T2275">
        <f t="shared" si="177"/>
        <v>2</v>
      </c>
      <c r="U2275">
        <f t="shared" si="178"/>
        <v>1</v>
      </c>
      <c r="V2275">
        <f t="shared" si="179"/>
        <v>0</v>
      </c>
    </row>
    <row r="2276" spans="1:22" x14ac:dyDescent="0.25">
      <c r="A2276">
        <v>2273</v>
      </c>
      <c r="B2276" t="s">
        <v>22</v>
      </c>
      <c r="C2276" t="s">
        <v>1038</v>
      </c>
      <c r="D2276" s="4">
        <v>45387</v>
      </c>
      <c r="E2276" t="s">
        <v>283</v>
      </c>
      <c r="F2276" t="s">
        <v>75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>
        <v>1</v>
      </c>
      <c r="R2276">
        <f t="shared" si="175"/>
        <v>0</v>
      </c>
      <c r="S2276">
        <f t="shared" si="176"/>
        <v>1</v>
      </c>
      <c r="T2276">
        <f t="shared" si="177"/>
        <v>0</v>
      </c>
      <c r="U2276">
        <f t="shared" si="178"/>
        <v>0</v>
      </c>
      <c r="V2276">
        <f t="shared" si="179"/>
        <v>0</v>
      </c>
    </row>
    <row r="2277" spans="1:22" x14ac:dyDescent="0.25">
      <c r="A2277">
        <v>2274</v>
      </c>
      <c r="B2277" t="s">
        <v>22</v>
      </c>
      <c r="C2277" t="s">
        <v>1038</v>
      </c>
      <c r="D2277" s="4">
        <v>45387</v>
      </c>
      <c r="E2277" t="s">
        <v>284</v>
      </c>
      <c r="F2277" t="s">
        <v>75</v>
      </c>
      <c r="I2277" s="6"/>
      <c r="J2277" s="6"/>
      <c r="K2277" s="6"/>
      <c r="L2277" s="6"/>
      <c r="M2277" s="6"/>
      <c r="N2277" s="6"/>
      <c r="O2277" s="6"/>
      <c r="P2277" s="6"/>
      <c r="Q2277">
        <v>0</v>
      </c>
      <c r="R2277">
        <f t="shared" si="175"/>
        <v>0</v>
      </c>
      <c r="S2277">
        <f t="shared" si="176"/>
        <v>0</v>
      </c>
      <c r="T2277">
        <f t="shared" si="177"/>
        <v>0</v>
      </c>
      <c r="U2277">
        <f t="shared" si="178"/>
        <v>0</v>
      </c>
      <c r="V2277">
        <f t="shared" si="179"/>
        <v>0</v>
      </c>
    </row>
    <row r="2278" spans="1:22" x14ac:dyDescent="0.25">
      <c r="A2278">
        <v>2275</v>
      </c>
      <c r="B2278" t="s">
        <v>22</v>
      </c>
      <c r="C2278" t="s">
        <v>1038</v>
      </c>
      <c r="D2278" s="4">
        <v>45387</v>
      </c>
      <c r="E2278" t="s">
        <v>449</v>
      </c>
      <c r="F2278" t="s">
        <v>75</v>
      </c>
      <c r="I2278" s="6"/>
      <c r="J2278" s="6"/>
      <c r="K2278" s="6"/>
      <c r="L2278" s="6"/>
      <c r="M2278" s="6"/>
      <c r="N2278" s="6"/>
      <c r="O2278" s="6"/>
      <c r="P2278" s="6"/>
      <c r="Q2278">
        <v>0</v>
      </c>
      <c r="R2278">
        <f t="shared" si="175"/>
        <v>0</v>
      </c>
      <c r="S2278">
        <f t="shared" si="176"/>
        <v>0</v>
      </c>
      <c r="T2278">
        <f t="shared" si="177"/>
        <v>0</v>
      </c>
      <c r="U2278">
        <f t="shared" si="178"/>
        <v>0</v>
      </c>
      <c r="V2278">
        <f t="shared" si="179"/>
        <v>0</v>
      </c>
    </row>
    <row r="2279" spans="1:22" x14ac:dyDescent="0.25">
      <c r="A2279">
        <v>2276</v>
      </c>
      <c r="B2279" t="s">
        <v>22</v>
      </c>
      <c r="C2279" t="s">
        <v>1038</v>
      </c>
      <c r="D2279" s="4">
        <v>45387</v>
      </c>
      <c r="E2279" t="s">
        <v>1475</v>
      </c>
      <c r="F2279" t="s">
        <v>75</v>
      </c>
      <c r="I2279" s="6"/>
      <c r="J2279" s="6"/>
      <c r="K2279" s="6"/>
      <c r="L2279" s="6"/>
      <c r="M2279" s="6"/>
      <c r="N2279" s="6"/>
      <c r="O2279" s="6"/>
      <c r="P2279" s="6"/>
      <c r="Q2279">
        <v>0</v>
      </c>
      <c r="R2279">
        <f t="shared" si="175"/>
        <v>0</v>
      </c>
      <c r="S2279">
        <f t="shared" si="176"/>
        <v>0</v>
      </c>
      <c r="T2279">
        <f t="shared" si="177"/>
        <v>0</v>
      </c>
      <c r="U2279">
        <f t="shared" si="178"/>
        <v>0</v>
      </c>
      <c r="V2279">
        <f t="shared" si="179"/>
        <v>0</v>
      </c>
    </row>
    <row r="2280" spans="1:22" x14ac:dyDescent="0.25">
      <c r="A2280">
        <v>2277</v>
      </c>
      <c r="B2280" t="s">
        <v>22</v>
      </c>
      <c r="C2280" t="s">
        <v>1038</v>
      </c>
      <c r="D2280" s="4">
        <v>45387</v>
      </c>
      <c r="E2280" t="s">
        <v>1546</v>
      </c>
      <c r="F2280" t="s">
        <v>75</v>
      </c>
      <c r="I2280" s="6">
        <v>0</v>
      </c>
      <c r="J2280" s="6">
        <v>0</v>
      </c>
      <c r="K2280" s="6">
        <v>0</v>
      </c>
      <c r="L2280" s="6">
        <v>1</v>
      </c>
      <c r="M2280" s="6">
        <v>0</v>
      </c>
      <c r="N2280" s="6">
        <v>0</v>
      </c>
      <c r="O2280" s="6">
        <v>0</v>
      </c>
      <c r="P2280" s="6">
        <v>0</v>
      </c>
      <c r="Q2280">
        <v>1</v>
      </c>
      <c r="R2280">
        <f t="shared" si="175"/>
        <v>0</v>
      </c>
      <c r="S2280">
        <f t="shared" si="176"/>
        <v>1</v>
      </c>
      <c r="T2280">
        <f t="shared" si="177"/>
        <v>1</v>
      </c>
      <c r="U2280">
        <f t="shared" si="178"/>
        <v>1</v>
      </c>
      <c r="V2280">
        <f t="shared" si="179"/>
        <v>0</v>
      </c>
    </row>
    <row r="2281" spans="1:22" x14ac:dyDescent="0.25">
      <c r="A2281">
        <v>2278</v>
      </c>
      <c r="B2281" t="s">
        <v>22</v>
      </c>
      <c r="C2281" t="s">
        <v>1038</v>
      </c>
      <c r="D2281" s="4">
        <v>45387</v>
      </c>
      <c r="E2281" t="s">
        <v>1356</v>
      </c>
      <c r="F2281" t="s">
        <v>75</v>
      </c>
      <c r="I2281" s="6"/>
      <c r="J2281" s="6"/>
      <c r="K2281" s="6"/>
      <c r="L2281" s="6"/>
      <c r="M2281" s="6"/>
      <c r="N2281" s="6"/>
      <c r="O2281" s="6"/>
      <c r="P2281" s="6"/>
      <c r="Q2281">
        <v>0</v>
      </c>
      <c r="R2281">
        <f t="shared" si="175"/>
        <v>0</v>
      </c>
      <c r="S2281">
        <f t="shared" si="176"/>
        <v>0</v>
      </c>
      <c r="T2281">
        <f t="shared" si="177"/>
        <v>0</v>
      </c>
      <c r="U2281">
        <f t="shared" si="178"/>
        <v>0</v>
      </c>
      <c r="V2281">
        <f t="shared" si="179"/>
        <v>0</v>
      </c>
    </row>
    <row r="2282" spans="1:22" x14ac:dyDescent="0.25">
      <c r="A2282">
        <v>2279</v>
      </c>
      <c r="B2282" t="s">
        <v>22</v>
      </c>
      <c r="C2282" t="s">
        <v>1038</v>
      </c>
      <c r="D2282" s="4">
        <v>45388</v>
      </c>
      <c r="E2282" t="s">
        <v>1057</v>
      </c>
      <c r="F2282" t="s">
        <v>75</v>
      </c>
      <c r="I2282" s="6"/>
      <c r="J2282" s="6"/>
      <c r="K2282" s="6"/>
      <c r="L2282" s="6"/>
      <c r="M2282" s="6"/>
      <c r="N2282" s="6"/>
      <c r="O2282" s="6"/>
      <c r="P2282" s="6"/>
      <c r="Q2282">
        <v>0</v>
      </c>
      <c r="R2282">
        <f t="shared" si="175"/>
        <v>0</v>
      </c>
      <c r="S2282">
        <f t="shared" si="176"/>
        <v>0</v>
      </c>
      <c r="T2282">
        <f t="shared" si="177"/>
        <v>0</v>
      </c>
      <c r="U2282">
        <f t="shared" si="178"/>
        <v>0</v>
      </c>
      <c r="V2282">
        <f t="shared" si="179"/>
        <v>0</v>
      </c>
    </row>
    <row r="2283" spans="1:22" x14ac:dyDescent="0.25">
      <c r="A2283">
        <v>2280</v>
      </c>
      <c r="B2283" t="s">
        <v>22</v>
      </c>
      <c r="C2283" t="s">
        <v>1038</v>
      </c>
      <c r="D2283" s="4">
        <v>45388</v>
      </c>
      <c r="E2283" t="s">
        <v>1222</v>
      </c>
      <c r="F2283" t="s">
        <v>75</v>
      </c>
      <c r="I2283" s="6"/>
      <c r="J2283" s="6"/>
      <c r="K2283" s="6"/>
      <c r="L2283" s="6"/>
      <c r="M2283" s="6"/>
      <c r="N2283" s="6"/>
      <c r="O2283" s="6"/>
      <c r="P2283" s="6"/>
      <c r="Q2283">
        <v>0</v>
      </c>
      <c r="R2283">
        <f t="shared" si="175"/>
        <v>0</v>
      </c>
      <c r="S2283">
        <f t="shared" si="176"/>
        <v>0</v>
      </c>
      <c r="T2283">
        <f t="shared" si="177"/>
        <v>0</v>
      </c>
      <c r="U2283">
        <f t="shared" si="178"/>
        <v>0</v>
      </c>
      <c r="V2283">
        <f t="shared" si="179"/>
        <v>0</v>
      </c>
    </row>
    <row r="2284" spans="1:22" x14ac:dyDescent="0.25">
      <c r="A2284">
        <v>2281</v>
      </c>
      <c r="B2284" t="s">
        <v>22</v>
      </c>
      <c r="C2284" t="s">
        <v>1038</v>
      </c>
      <c r="D2284" s="4">
        <v>45388</v>
      </c>
      <c r="E2284" t="s">
        <v>1058</v>
      </c>
      <c r="F2284" t="s">
        <v>75</v>
      </c>
      <c r="I2284" s="6">
        <v>0</v>
      </c>
      <c r="J2284" s="6">
        <v>0</v>
      </c>
      <c r="K2284" s="6">
        <v>0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>
        <v>1</v>
      </c>
      <c r="R2284">
        <f t="shared" si="175"/>
        <v>0</v>
      </c>
      <c r="S2284">
        <f t="shared" si="176"/>
        <v>1</v>
      </c>
      <c r="T2284">
        <f t="shared" si="177"/>
        <v>0</v>
      </c>
      <c r="U2284">
        <f t="shared" si="178"/>
        <v>0</v>
      </c>
      <c r="V2284">
        <f t="shared" si="179"/>
        <v>0</v>
      </c>
    </row>
    <row r="2285" spans="1:22" x14ac:dyDescent="0.25">
      <c r="A2285">
        <v>2282</v>
      </c>
      <c r="B2285" t="s">
        <v>22</v>
      </c>
      <c r="C2285" t="s">
        <v>1038</v>
      </c>
      <c r="D2285" s="4">
        <v>45388</v>
      </c>
      <c r="E2285" t="s">
        <v>2167</v>
      </c>
      <c r="F2285" t="s">
        <v>75</v>
      </c>
      <c r="I2285" s="6">
        <v>0</v>
      </c>
      <c r="J2285" s="6">
        <v>0</v>
      </c>
      <c r="K2285" s="6">
        <v>0</v>
      </c>
      <c r="L2285" s="6">
        <v>1</v>
      </c>
      <c r="M2285" s="6">
        <v>1</v>
      </c>
      <c r="N2285" s="6">
        <v>0</v>
      </c>
      <c r="O2285" s="6">
        <v>0</v>
      </c>
      <c r="P2285" s="6">
        <v>0</v>
      </c>
      <c r="Q2285">
        <v>1</v>
      </c>
      <c r="R2285">
        <f t="shared" si="175"/>
        <v>0</v>
      </c>
      <c r="S2285">
        <f t="shared" si="176"/>
        <v>1</v>
      </c>
      <c r="T2285">
        <f t="shared" si="177"/>
        <v>2</v>
      </c>
      <c r="U2285">
        <f t="shared" si="178"/>
        <v>1</v>
      </c>
      <c r="V2285">
        <f t="shared" si="179"/>
        <v>0</v>
      </c>
    </row>
    <row r="2286" spans="1:22" x14ac:dyDescent="0.25">
      <c r="A2286">
        <v>2283</v>
      </c>
      <c r="B2286" t="s">
        <v>22</v>
      </c>
      <c r="C2286" t="s">
        <v>1038</v>
      </c>
      <c r="D2286" s="4">
        <v>45388</v>
      </c>
      <c r="E2286" t="s">
        <v>1132</v>
      </c>
      <c r="F2286" t="s">
        <v>75</v>
      </c>
      <c r="I2286" s="6">
        <v>1</v>
      </c>
      <c r="J2286" s="6">
        <v>0</v>
      </c>
      <c r="K2286" s="6">
        <v>0</v>
      </c>
      <c r="L2286" s="6">
        <v>0</v>
      </c>
      <c r="M2286" s="6">
        <v>0</v>
      </c>
      <c r="N2286" s="6">
        <v>0</v>
      </c>
      <c r="O2286" s="6">
        <v>0</v>
      </c>
      <c r="P2286" s="6">
        <v>1</v>
      </c>
      <c r="Q2286">
        <v>1</v>
      </c>
      <c r="R2286">
        <f t="shared" si="175"/>
        <v>0</v>
      </c>
      <c r="S2286">
        <f t="shared" si="176"/>
        <v>1</v>
      </c>
      <c r="T2286">
        <f t="shared" si="177"/>
        <v>2</v>
      </c>
      <c r="U2286">
        <f t="shared" si="178"/>
        <v>1</v>
      </c>
      <c r="V2286">
        <f t="shared" si="179"/>
        <v>0</v>
      </c>
    </row>
    <row r="2287" spans="1:22" x14ac:dyDescent="0.25">
      <c r="A2287">
        <v>2284</v>
      </c>
      <c r="B2287" t="s">
        <v>22</v>
      </c>
      <c r="C2287" t="s">
        <v>1038</v>
      </c>
      <c r="D2287" s="4">
        <v>45388</v>
      </c>
      <c r="E2287" t="s">
        <v>1476</v>
      </c>
      <c r="F2287" t="s">
        <v>75</v>
      </c>
      <c r="I2287" s="6"/>
      <c r="J2287" s="6"/>
      <c r="K2287" s="6"/>
      <c r="L2287" s="6"/>
      <c r="M2287" s="6"/>
      <c r="N2287" s="6"/>
      <c r="O2287" s="6"/>
      <c r="P2287" s="6"/>
      <c r="Q2287">
        <v>0</v>
      </c>
      <c r="R2287">
        <f t="shared" si="175"/>
        <v>0</v>
      </c>
      <c r="S2287">
        <f t="shared" si="176"/>
        <v>0</v>
      </c>
      <c r="T2287">
        <f t="shared" si="177"/>
        <v>0</v>
      </c>
      <c r="U2287">
        <f t="shared" si="178"/>
        <v>0</v>
      </c>
      <c r="V2287">
        <f t="shared" si="179"/>
        <v>0</v>
      </c>
    </row>
    <row r="2288" spans="1:22" x14ac:dyDescent="0.25">
      <c r="A2288">
        <v>2285</v>
      </c>
      <c r="B2288" t="s">
        <v>22</v>
      </c>
      <c r="C2288" t="s">
        <v>1038</v>
      </c>
      <c r="D2288" s="4">
        <v>45388</v>
      </c>
      <c r="E2288" t="s">
        <v>2166</v>
      </c>
      <c r="F2288" t="s">
        <v>75</v>
      </c>
      <c r="I2288" s="6"/>
      <c r="J2288" s="6"/>
      <c r="K2288" s="6"/>
      <c r="L2288" s="6"/>
      <c r="M2288" s="6"/>
      <c r="N2288" s="6"/>
      <c r="O2288" s="6"/>
      <c r="P2288" s="6"/>
      <c r="Q2288">
        <v>0</v>
      </c>
      <c r="R2288">
        <f t="shared" si="175"/>
        <v>0</v>
      </c>
      <c r="S2288">
        <f t="shared" si="176"/>
        <v>0</v>
      </c>
      <c r="T2288">
        <f t="shared" si="177"/>
        <v>0</v>
      </c>
      <c r="U2288">
        <f t="shared" si="178"/>
        <v>0</v>
      </c>
      <c r="V2288">
        <f t="shared" si="179"/>
        <v>0</v>
      </c>
    </row>
    <row r="2289" spans="1:22" x14ac:dyDescent="0.25">
      <c r="A2289">
        <v>2286</v>
      </c>
      <c r="B2289" t="s">
        <v>22</v>
      </c>
      <c r="C2289" t="s">
        <v>1038</v>
      </c>
      <c r="D2289" s="4">
        <v>45388</v>
      </c>
      <c r="E2289" t="s">
        <v>1133</v>
      </c>
      <c r="F2289" t="s">
        <v>75</v>
      </c>
      <c r="I2289" s="6">
        <v>0</v>
      </c>
      <c r="J2289" s="6">
        <v>0</v>
      </c>
      <c r="K2289" s="6">
        <v>0</v>
      </c>
      <c r="L2289" s="6">
        <v>1</v>
      </c>
      <c r="M2289" s="6">
        <v>0</v>
      </c>
      <c r="N2289" s="6">
        <v>0</v>
      </c>
      <c r="O2289" s="6">
        <v>0</v>
      </c>
      <c r="P2289" s="6">
        <v>0</v>
      </c>
      <c r="Q2289">
        <v>1</v>
      </c>
      <c r="R2289">
        <f t="shared" si="175"/>
        <v>0</v>
      </c>
      <c r="S2289">
        <f t="shared" si="176"/>
        <v>1</v>
      </c>
      <c r="T2289">
        <f t="shared" si="177"/>
        <v>1</v>
      </c>
      <c r="U2289">
        <f t="shared" si="178"/>
        <v>1</v>
      </c>
      <c r="V2289">
        <f t="shared" si="179"/>
        <v>0</v>
      </c>
    </row>
    <row r="2290" spans="1:22" x14ac:dyDescent="0.25">
      <c r="A2290">
        <v>2287</v>
      </c>
      <c r="B2290" t="s">
        <v>22</v>
      </c>
      <c r="C2290" t="s">
        <v>1038</v>
      </c>
      <c r="D2290" s="4">
        <v>45389</v>
      </c>
      <c r="E2290" t="s">
        <v>450</v>
      </c>
      <c r="F2290" t="s">
        <v>75</v>
      </c>
      <c r="I2290" s="6"/>
      <c r="J2290" s="6"/>
      <c r="K2290" s="6"/>
      <c r="L2290" s="6"/>
      <c r="M2290" s="6"/>
      <c r="N2290" s="6"/>
      <c r="O2290" s="6"/>
      <c r="P2290" s="6"/>
      <c r="Q2290">
        <v>0</v>
      </c>
      <c r="R2290">
        <f t="shared" si="175"/>
        <v>0</v>
      </c>
      <c r="S2290">
        <f t="shared" si="176"/>
        <v>0</v>
      </c>
      <c r="T2290">
        <f t="shared" si="177"/>
        <v>0</v>
      </c>
      <c r="U2290">
        <f t="shared" si="178"/>
        <v>0</v>
      </c>
      <c r="V2290">
        <f t="shared" si="179"/>
        <v>0</v>
      </c>
    </row>
    <row r="2291" spans="1:22" x14ac:dyDescent="0.25">
      <c r="A2291">
        <v>2288</v>
      </c>
      <c r="B2291" t="s">
        <v>22</v>
      </c>
      <c r="C2291" t="s">
        <v>1038</v>
      </c>
      <c r="D2291" s="4">
        <v>45389</v>
      </c>
      <c r="E2291" t="s">
        <v>1223</v>
      </c>
      <c r="F2291" t="s">
        <v>75</v>
      </c>
      <c r="I2291" s="6"/>
      <c r="J2291" s="6"/>
      <c r="K2291" s="6"/>
      <c r="L2291" s="6"/>
      <c r="M2291" s="6"/>
      <c r="N2291" s="6"/>
      <c r="O2291" s="6"/>
      <c r="P2291" s="6"/>
      <c r="Q2291">
        <v>0</v>
      </c>
      <c r="R2291">
        <f t="shared" si="175"/>
        <v>0</v>
      </c>
      <c r="S2291">
        <f t="shared" si="176"/>
        <v>0</v>
      </c>
      <c r="T2291">
        <f t="shared" si="177"/>
        <v>0</v>
      </c>
      <c r="U2291">
        <f t="shared" si="178"/>
        <v>0</v>
      </c>
      <c r="V2291">
        <f t="shared" si="179"/>
        <v>0</v>
      </c>
    </row>
    <row r="2292" spans="1:22" x14ac:dyDescent="0.25">
      <c r="A2292">
        <v>2289</v>
      </c>
      <c r="B2292" t="s">
        <v>22</v>
      </c>
      <c r="C2292" t="s">
        <v>1038</v>
      </c>
      <c r="D2292" s="4">
        <v>45389</v>
      </c>
      <c r="E2292" t="s">
        <v>1059</v>
      </c>
      <c r="F2292" t="s">
        <v>75</v>
      </c>
      <c r="I2292" s="6"/>
      <c r="J2292" s="6"/>
      <c r="K2292" s="6"/>
      <c r="L2292" s="6"/>
      <c r="M2292" s="6"/>
      <c r="N2292" s="6"/>
      <c r="O2292" s="6"/>
      <c r="P2292" s="6"/>
      <c r="Q2292">
        <v>0</v>
      </c>
      <c r="R2292">
        <f t="shared" si="175"/>
        <v>0</v>
      </c>
      <c r="S2292">
        <f t="shared" si="176"/>
        <v>0</v>
      </c>
      <c r="T2292">
        <f t="shared" si="177"/>
        <v>0</v>
      </c>
      <c r="U2292">
        <f t="shared" si="178"/>
        <v>0</v>
      </c>
      <c r="V2292">
        <f t="shared" si="179"/>
        <v>0</v>
      </c>
    </row>
    <row r="2293" spans="1:22" x14ac:dyDescent="0.25">
      <c r="A2293">
        <v>2290</v>
      </c>
      <c r="B2293" t="s">
        <v>22</v>
      </c>
      <c r="C2293" t="s">
        <v>1038</v>
      </c>
      <c r="D2293" s="4">
        <v>45389</v>
      </c>
      <c r="E2293" t="s">
        <v>2165</v>
      </c>
      <c r="F2293" t="s">
        <v>75</v>
      </c>
      <c r="I2293" s="6">
        <v>1</v>
      </c>
      <c r="J2293" s="6">
        <v>0</v>
      </c>
      <c r="K2293" s="6">
        <v>0</v>
      </c>
      <c r="L2293" s="6">
        <v>1</v>
      </c>
      <c r="M2293" s="6">
        <v>1</v>
      </c>
      <c r="N2293" s="6">
        <v>0</v>
      </c>
      <c r="O2293" s="6">
        <v>0</v>
      </c>
      <c r="P2293" s="6">
        <v>0</v>
      </c>
      <c r="Q2293">
        <v>1</v>
      </c>
      <c r="R2293">
        <f t="shared" si="175"/>
        <v>0</v>
      </c>
      <c r="S2293">
        <f t="shared" si="176"/>
        <v>1</v>
      </c>
      <c r="T2293">
        <f t="shared" si="177"/>
        <v>3</v>
      </c>
      <c r="U2293">
        <f t="shared" si="178"/>
        <v>1</v>
      </c>
      <c r="V2293">
        <f t="shared" si="179"/>
        <v>0</v>
      </c>
    </row>
    <row r="2294" spans="1:22" x14ac:dyDescent="0.25">
      <c r="A2294">
        <v>2291</v>
      </c>
      <c r="B2294" t="s">
        <v>22</v>
      </c>
      <c r="C2294" t="s">
        <v>1038</v>
      </c>
      <c r="D2294" s="4">
        <v>45390</v>
      </c>
      <c r="E2294" t="s">
        <v>1477</v>
      </c>
      <c r="F2294" t="s">
        <v>75</v>
      </c>
      <c r="I2294" s="6"/>
      <c r="J2294" s="6"/>
      <c r="K2294" s="6"/>
      <c r="L2294" s="6"/>
      <c r="M2294" s="6"/>
      <c r="N2294" s="6"/>
      <c r="O2294" s="6"/>
      <c r="P2294" s="6"/>
      <c r="Q2294">
        <v>0</v>
      </c>
      <c r="R2294">
        <f t="shared" si="175"/>
        <v>0</v>
      </c>
      <c r="S2294">
        <f t="shared" si="176"/>
        <v>0</v>
      </c>
      <c r="T2294">
        <f t="shared" si="177"/>
        <v>0</v>
      </c>
      <c r="U2294">
        <f t="shared" si="178"/>
        <v>0</v>
      </c>
      <c r="V2294">
        <f t="shared" si="179"/>
        <v>0</v>
      </c>
    </row>
    <row r="2295" spans="1:22" x14ac:dyDescent="0.25">
      <c r="A2295">
        <v>2292</v>
      </c>
      <c r="B2295" t="s">
        <v>22</v>
      </c>
      <c r="C2295" t="s">
        <v>1038</v>
      </c>
      <c r="D2295" s="4">
        <v>45390</v>
      </c>
      <c r="E2295" t="s">
        <v>1060</v>
      </c>
      <c r="F2295" t="s">
        <v>413</v>
      </c>
      <c r="G2295">
        <v>105</v>
      </c>
      <c r="I2295" s="6">
        <v>1</v>
      </c>
      <c r="J2295" s="6">
        <v>0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>
        <v>1</v>
      </c>
      <c r="R2295">
        <f t="shared" si="175"/>
        <v>1</v>
      </c>
      <c r="S2295">
        <f t="shared" si="176"/>
        <v>0</v>
      </c>
      <c r="T2295">
        <f t="shared" si="177"/>
        <v>1</v>
      </c>
      <c r="U2295">
        <f t="shared" si="178"/>
        <v>1</v>
      </c>
      <c r="V2295">
        <f t="shared" si="179"/>
        <v>1</v>
      </c>
    </row>
    <row r="2296" spans="1:22" x14ac:dyDescent="0.25">
      <c r="A2296">
        <v>2293</v>
      </c>
      <c r="B2296" t="s">
        <v>22</v>
      </c>
      <c r="C2296" t="s">
        <v>1038</v>
      </c>
      <c r="D2296" s="4">
        <v>45390</v>
      </c>
      <c r="E2296" t="s">
        <v>1803</v>
      </c>
      <c r="F2296" t="s">
        <v>75</v>
      </c>
      <c r="I2296" s="6">
        <v>1</v>
      </c>
      <c r="J2296" s="6">
        <v>1</v>
      </c>
      <c r="K2296" s="6">
        <v>1</v>
      </c>
      <c r="L2296" s="6">
        <v>1</v>
      </c>
      <c r="M2296" s="6">
        <v>1</v>
      </c>
      <c r="N2296" s="6">
        <v>0</v>
      </c>
      <c r="O2296" s="6">
        <v>1</v>
      </c>
      <c r="P2296" s="6">
        <v>0</v>
      </c>
      <c r="Q2296">
        <v>1</v>
      </c>
      <c r="R2296">
        <f t="shared" si="175"/>
        <v>0</v>
      </c>
      <c r="S2296">
        <f t="shared" si="176"/>
        <v>1</v>
      </c>
      <c r="T2296">
        <f t="shared" si="177"/>
        <v>6</v>
      </c>
      <c r="U2296">
        <f t="shared" si="178"/>
        <v>1</v>
      </c>
      <c r="V2296">
        <f t="shared" si="179"/>
        <v>0</v>
      </c>
    </row>
    <row r="2297" spans="1:22" x14ac:dyDescent="0.25">
      <c r="A2297">
        <v>2294</v>
      </c>
      <c r="B2297" t="s">
        <v>22</v>
      </c>
      <c r="C2297" t="s">
        <v>1038</v>
      </c>
      <c r="D2297" s="4">
        <v>45390</v>
      </c>
      <c r="E2297" t="s">
        <v>2036</v>
      </c>
      <c r="F2297" t="s">
        <v>357</v>
      </c>
      <c r="I2297" s="6"/>
      <c r="J2297" s="6"/>
      <c r="K2297" s="6"/>
      <c r="L2297" s="6"/>
      <c r="M2297" s="6"/>
      <c r="N2297" s="6"/>
      <c r="O2297" s="6"/>
      <c r="P2297" s="6"/>
      <c r="Q2297">
        <v>0</v>
      </c>
      <c r="R2297">
        <f t="shared" si="175"/>
        <v>0</v>
      </c>
      <c r="S2297">
        <f t="shared" si="176"/>
        <v>0</v>
      </c>
      <c r="T2297">
        <f t="shared" si="177"/>
        <v>0</v>
      </c>
      <c r="U2297">
        <f t="shared" si="178"/>
        <v>0</v>
      </c>
      <c r="V2297">
        <f t="shared" si="179"/>
        <v>0</v>
      </c>
    </row>
    <row r="2298" spans="1:22" x14ac:dyDescent="0.25">
      <c r="A2298">
        <v>2295</v>
      </c>
      <c r="B2298" t="s">
        <v>22</v>
      </c>
      <c r="C2298" t="s">
        <v>1038</v>
      </c>
      <c r="D2298" s="4">
        <v>45391</v>
      </c>
      <c r="E2298" t="s">
        <v>868</v>
      </c>
      <c r="F2298" t="s">
        <v>357</v>
      </c>
      <c r="I2298" s="6"/>
      <c r="J2298" s="6"/>
      <c r="K2298" s="6"/>
      <c r="L2298" s="6"/>
      <c r="M2298" s="6"/>
      <c r="N2298" s="6"/>
      <c r="O2298" s="6"/>
      <c r="P2298" s="6"/>
      <c r="Q2298">
        <v>0</v>
      </c>
      <c r="R2298">
        <f t="shared" si="175"/>
        <v>0</v>
      </c>
      <c r="S2298">
        <f t="shared" si="176"/>
        <v>0</v>
      </c>
      <c r="T2298">
        <f t="shared" si="177"/>
        <v>0</v>
      </c>
      <c r="U2298">
        <f t="shared" si="178"/>
        <v>0</v>
      </c>
      <c r="V2298">
        <f t="shared" si="179"/>
        <v>0</v>
      </c>
    </row>
    <row r="2299" spans="1:22" x14ac:dyDescent="0.25">
      <c r="A2299">
        <v>2296</v>
      </c>
      <c r="B2299" t="s">
        <v>22</v>
      </c>
      <c r="C2299" t="s">
        <v>1038</v>
      </c>
      <c r="D2299" s="4">
        <v>45391</v>
      </c>
      <c r="E2299" t="s">
        <v>1134</v>
      </c>
      <c r="F2299" t="s">
        <v>413</v>
      </c>
      <c r="G2299">
        <v>106</v>
      </c>
      <c r="I2299" s="6">
        <v>1</v>
      </c>
      <c r="J2299" s="6">
        <v>0</v>
      </c>
      <c r="K2299" s="6">
        <v>1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>
        <v>1</v>
      </c>
      <c r="R2299">
        <f t="shared" si="175"/>
        <v>1</v>
      </c>
      <c r="S2299">
        <f t="shared" si="176"/>
        <v>0</v>
      </c>
      <c r="T2299">
        <f t="shared" si="177"/>
        <v>2</v>
      </c>
      <c r="U2299">
        <f t="shared" si="178"/>
        <v>1</v>
      </c>
      <c r="V2299">
        <f t="shared" si="179"/>
        <v>1</v>
      </c>
    </row>
    <row r="2300" spans="1:22" x14ac:dyDescent="0.25">
      <c r="A2300">
        <v>2297</v>
      </c>
      <c r="B2300" t="s">
        <v>22</v>
      </c>
      <c r="C2300" t="s">
        <v>1038</v>
      </c>
      <c r="D2300" s="4">
        <v>45391</v>
      </c>
      <c r="E2300" t="s">
        <v>1135</v>
      </c>
      <c r="F2300" t="s">
        <v>413</v>
      </c>
      <c r="G2300">
        <v>286</v>
      </c>
      <c r="I2300" s="6">
        <v>1</v>
      </c>
      <c r="J2300" s="6">
        <v>0</v>
      </c>
      <c r="K2300" s="6">
        <v>1</v>
      </c>
      <c r="L2300" s="6">
        <v>1</v>
      </c>
      <c r="M2300" s="6">
        <v>1</v>
      </c>
      <c r="N2300" s="6">
        <v>0</v>
      </c>
      <c r="O2300" s="6">
        <v>0</v>
      </c>
      <c r="P2300" s="6">
        <v>0</v>
      </c>
      <c r="Q2300">
        <v>1</v>
      </c>
      <c r="R2300">
        <f t="shared" si="175"/>
        <v>1</v>
      </c>
      <c r="S2300">
        <f t="shared" si="176"/>
        <v>0</v>
      </c>
      <c r="T2300">
        <f t="shared" si="177"/>
        <v>4</v>
      </c>
      <c r="U2300">
        <f t="shared" si="178"/>
        <v>1</v>
      </c>
      <c r="V2300">
        <f t="shared" si="179"/>
        <v>1</v>
      </c>
    </row>
    <row r="2301" spans="1:22" x14ac:dyDescent="0.25">
      <c r="A2301">
        <v>2298</v>
      </c>
      <c r="B2301" t="s">
        <v>22</v>
      </c>
      <c r="C2301" t="s">
        <v>1038</v>
      </c>
      <c r="D2301" s="4">
        <v>45391</v>
      </c>
      <c r="E2301" t="s">
        <v>869</v>
      </c>
      <c r="F2301" t="s">
        <v>413</v>
      </c>
      <c r="G2301">
        <v>288</v>
      </c>
      <c r="I2301" s="6">
        <v>1</v>
      </c>
      <c r="J2301" s="6">
        <v>0</v>
      </c>
      <c r="K2301" s="6">
        <v>1</v>
      </c>
      <c r="L2301" s="6">
        <v>0</v>
      </c>
      <c r="M2301" s="6">
        <v>0</v>
      </c>
      <c r="N2301" s="6">
        <v>0</v>
      </c>
      <c r="O2301" s="6">
        <v>0</v>
      </c>
      <c r="P2301" s="6">
        <v>0</v>
      </c>
      <c r="Q2301">
        <v>1</v>
      </c>
      <c r="R2301">
        <f t="shared" si="175"/>
        <v>1</v>
      </c>
      <c r="S2301">
        <f t="shared" si="176"/>
        <v>0</v>
      </c>
      <c r="T2301">
        <f t="shared" si="177"/>
        <v>2</v>
      </c>
      <c r="U2301">
        <f t="shared" si="178"/>
        <v>1</v>
      </c>
      <c r="V2301">
        <f t="shared" si="179"/>
        <v>1</v>
      </c>
    </row>
    <row r="2302" spans="1:22" x14ac:dyDescent="0.25">
      <c r="A2302">
        <v>2299</v>
      </c>
      <c r="B2302" t="s">
        <v>22</v>
      </c>
      <c r="C2302" t="s">
        <v>1038</v>
      </c>
      <c r="D2302" s="4">
        <v>45391</v>
      </c>
      <c r="E2302" t="s">
        <v>1363</v>
      </c>
      <c r="F2302" t="s">
        <v>75</v>
      </c>
      <c r="I2302" s="6"/>
      <c r="J2302" s="6"/>
      <c r="K2302" s="6"/>
      <c r="L2302" s="6"/>
      <c r="M2302" s="6"/>
      <c r="N2302" s="6"/>
      <c r="O2302" s="6"/>
      <c r="P2302" s="6"/>
      <c r="Q2302">
        <v>0</v>
      </c>
      <c r="R2302">
        <f t="shared" si="175"/>
        <v>0</v>
      </c>
      <c r="S2302">
        <f t="shared" si="176"/>
        <v>0</v>
      </c>
      <c r="T2302">
        <f t="shared" si="177"/>
        <v>0</v>
      </c>
      <c r="U2302">
        <f t="shared" si="178"/>
        <v>0</v>
      </c>
      <c r="V2302">
        <f t="shared" si="179"/>
        <v>0</v>
      </c>
    </row>
    <row r="2303" spans="1:22" x14ac:dyDescent="0.25">
      <c r="A2303">
        <v>2300</v>
      </c>
      <c r="B2303" t="s">
        <v>22</v>
      </c>
      <c r="C2303" t="s">
        <v>1038</v>
      </c>
      <c r="D2303" s="4">
        <v>45391</v>
      </c>
      <c r="E2303" t="s">
        <v>1136</v>
      </c>
      <c r="F2303" t="s">
        <v>413</v>
      </c>
      <c r="G2303">
        <v>107</v>
      </c>
      <c r="H2303" t="s">
        <v>1137</v>
      </c>
      <c r="I2303" s="6">
        <v>1</v>
      </c>
      <c r="J2303" s="6">
        <v>0</v>
      </c>
      <c r="K2303" s="6">
        <v>1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>
        <v>1</v>
      </c>
      <c r="R2303">
        <f t="shared" si="175"/>
        <v>1</v>
      </c>
      <c r="S2303">
        <f t="shared" si="176"/>
        <v>0</v>
      </c>
      <c r="T2303">
        <f t="shared" si="177"/>
        <v>2</v>
      </c>
      <c r="U2303">
        <f t="shared" si="178"/>
        <v>1</v>
      </c>
      <c r="V2303">
        <f t="shared" si="179"/>
        <v>1</v>
      </c>
    </row>
    <row r="2304" spans="1:22" x14ac:dyDescent="0.25">
      <c r="A2304">
        <v>2301</v>
      </c>
      <c r="B2304" t="s">
        <v>22</v>
      </c>
      <c r="C2304" t="s">
        <v>1038</v>
      </c>
      <c r="D2304" s="4">
        <v>45391</v>
      </c>
      <c r="E2304" t="s">
        <v>1138</v>
      </c>
      <c r="F2304" t="s">
        <v>413</v>
      </c>
      <c r="G2304">
        <v>108</v>
      </c>
      <c r="I2304" s="6">
        <v>1</v>
      </c>
      <c r="J2304" s="6">
        <v>0</v>
      </c>
      <c r="K2304" s="6">
        <v>1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>
        <v>1</v>
      </c>
      <c r="R2304">
        <f t="shared" si="175"/>
        <v>1</v>
      </c>
      <c r="S2304">
        <f t="shared" si="176"/>
        <v>0</v>
      </c>
      <c r="T2304">
        <f t="shared" si="177"/>
        <v>2</v>
      </c>
      <c r="U2304">
        <f t="shared" si="178"/>
        <v>1</v>
      </c>
      <c r="V2304">
        <f t="shared" si="179"/>
        <v>1</v>
      </c>
    </row>
    <row r="2305" spans="1:22" x14ac:dyDescent="0.25">
      <c r="A2305">
        <v>2302</v>
      </c>
      <c r="B2305" t="s">
        <v>22</v>
      </c>
      <c r="C2305" t="s">
        <v>1038</v>
      </c>
      <c r="D2305" s="4">
        <v>45391</v>
      </c>
      <c r="E2305" t="s">
        <v>1139</v>
      </c>
      <c r="F2305" t="s">
        <v>413</v>
      </c>
      <c r="G2305">
        <v>109</v>
      </c>
      <c r="I2305" s="6">
        <v>1</v>
      </c>
      <c r="J2305" s="6">
        <v>0</v>
      </c>
      <c r="K2305" s="6">
        <v>1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>
        <v>1</v>
      </c>
      <c r="R2305">
        <f t="shared" si="175"/>
        <v>1</v>
      </c>
      <c r="S2305">
        <f t="shared" si="176"/>
        <v>0</v>
      </c>
      <c r="T2305">
        <f t="shared" si="177"/>
        <v>2</v>
      </c>
      <c r="U2305">
        <f t="shared" si="178"/>
        <v>1</v>
      </c>
      <c r="V2305">
        <f t="shared" si="179"/>
        <v>1</v>
      </c>
    </row>
    <row r="2306" spans="1:22" x14ac:dyDescent="0.25">
      <c r="A2306">
        <v>2303</v>
      </c>
      <c r="B2306" t="s">
        <v>22</v>
      </c>
      <c r="C2306" t="s">
        <v>1038</v>
      </c>
      <c r="D2306" s="4">
        <v>45391</v>
      </c>
      <c r="E2306" t="s">
        <v>1140</v>
      </c>
      <c r="F2306" t="s">
        <v>413</v>
      </c>
      <c r="G2306">
        <v>110</v>
      </c>
      <c r="I2306" s="6">
        <v>1</v>
      </c>
      <c r="J2306" s="6">
        <v>0</v>
      </c>
      <c r="K2306" s="6">
        <v>1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>
        <v>1</v>
      </c>
      <c r="R2306">
        <f t="shared" si="175"/>
        <v>1</v>
      </c>
      <c r="S2306">
        <f t="shared" si="176"/>
        <v>0</v>
      </c>
      <c r="T2306">
        <f t="shared" si="177"/>
        <v>2</v>
      </c>
      <c r="U2306">
        <f t="shared" si="178"/>
        <v>1</v>
      </c>
      <c r="V2306">
        <f t="shared" si="179"/>
        <v>1</v>
      </c>
    </row>
    <row r="2307" spans="1:22" x14ac:dyDescent="0.25">
      <c r="A2307">
        <v>2304</v>
      </c>
      <c r="B2307" t="s">
        <v>22</v>
      </c>
      <c r="C2307" t="s">
        <v>1038</v>
      </c>
      <c r="D2307" s="4">
        <v>45391</v>
      </c>
      <c r="E2307" t="s">
        <v>1141</v>
      </c>
      <c r="F2307" t="s">
        <v>75</v>
      </c>
      <c r="I2307" s="6">
        <v>1</v>
      </c>
      <c r="J2307" s="6">
        <v>0</v>
      </c>
      <c r="K2307" s="6">
        <v>1</v>
      </c>
      <c r="L2307" s="6">
        <v>1</v>
      </c>
      <c r="M2307" s="6">
        <v>1</v>
      </c>
      <c r="N2307" s="6">
        <v>0</v>
      </c>
      <c r="O2307" s="6">
        <v>0</v>
      </c>
      <c r="P2307" s="6">
        <v>0</v>
      </c>
      <c r="Q2307">
        <v>1</v>
      </c>
      <c r="R2307">
        <f t="shared" ref="R2307:R2370" si="180">IF(AND(Q2307=1,F2307="ai_full"),1,0)</f>
        <v>0</v>
      </c>
      <c r="S2307">
        <f t="shared" ref="S2307:S2370" si="181">IF(AND(Q2307=1,F2307="conventional"),1,0)</f>
        <v>1</v>
      </c>
      <c r="T2307">
        <f t="shared" ref="T2307:T2370" si="182">SUM(I2307:P2307)</f>
        <v>4</v>
      </c>
      <c r="U2307">
        <f t="shared" ref="U2307:U2370" si="183">IF(T2307&gt;=1,1,0)</f>
        <v>1</v>
      </c>
      <c r="V2307">
        <f t="shared" ref="V2307:V2370" si="184">IF(F2307="ai_full",1,0)</f>
        <v>0</v>
      </c>
    </row>
    <row r="2308" spans="1:22" x14ac:dyDescent="0.25">
      <c r="A2308">
        <v>2305</v>
      </c>
      <c r="B2308" t="s">
        <v>22</v>
      </c>
      <c r="C2308" t="s">
        <v>1038</v>
      </c>
      <c r="D2308" s="4">
        <v>45391</v>
      </c>
      <c r="E2308" t="s">
        <v>1142</v>
      </c>
      <c r="F2308" t="s">
        <v>413</v>
      </c>
      <c r="G2308">
        <v>111</v>
      </c>
      <c r="I2308" s="6">
        <v>1</v>
      </c>
      <c r="J2308" s="6">
        <v>0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>
        <v>1</v>
      </c>
      <c r="R2308">
        <f t="shared" si="180"/>
        <v>1</v>
      </c>
      <c r="S2308">
        <f t="shared" si="181"/>
        <v>0</v>
      </c>
      <c r="T2308">
        <f t="shared" si="182"/>
        <v>1</v>
      </c>
      <c r="U2308">
        <f t="shared" si="183"/>
        <v>1</v>
      </c>
      <c r="V2308">
        <f t="shared" si="184"/>
        <v>1</v>
      </c>
    </row>
    <row r="2309" spans="1:22" x14ac:dyDescent="0.25">
      <c r="A2309">
        <v>2306</v>
      </c>
      <c r="B2309" t="s">
        <v>22</v>
      </c>
      <c r="C2309" t="s">
        <v>1038</v>
      </c>
      <c r="D2309" s="4">
        <v>45392</v>
      </c>
      <c r="E2309" t="s">
        <v>452</v>
      </c>
      <c r="F2309" t="s">
        <v>75</v>
      </c>
      <c r="I2309" s="6"/>
      <c r="J2309" s="6"/>
      <c r="K2309" s="6"/>
      <c r="L2309" s="6"/>
      <c r="M2309" s="6"/>
      <c r="N2309" s="6"/>
      <c r="O2309" s="6"/>
      <c r="P2309" s="6"/>
      <c r="Q2309">
        <v>0</v>
      </c>
      <c r="R2309">
        <f t="shared" si="180"/>
        <v>0</v>
      </c>
      <c r="S2309">
        <f t="shared" si="181"/>
        <v>0</v>
      </c>
      <c r="T2309">
        <f t="shared" si="182"/>
        <v>0</v>
      </c>
      <c r="U2309">
        <f t="shared" si="183"/>
        <v>0</v>
      </c>
      <c r="V2309">
        <f t="shared" si="184"/>
        <v>0</v>
      </c>
    </row>
    <row r="2310" spans="1:22" x14ac:dyDescent="0.25">
      <c r="A2310">
        <v>2307</v>
      </c>
      <c r="B2310" t="s">
        <v>22</v>
      </c>
      <c r="C2310" t="s">
        <v>1038</v>
      </c>
      <c r="D2310" s="4">
        <v>45392</v>
      </c>
      <c r="E2310" t="s">
        <v>2453</v>
      </c>
      <c r="F2310" t="s">
        <v>75</v>
      </c>
      <c r="I2310" s="6"/>
      <c r="J2310" s="6"/>
      <c r="K2310" s="6"/>
      <c r="L2310" s="6"/>
      <c r="M2310" s="6"/>
      <c r="N2310" s="6"/>
      <c r="O2310" s="6"/>
      <c r="P2310" s="6"/>
      <c r="Q2310">
        <v>0</v>
      </c>
      <c r="R2310">
        <f t="shared" si="180"/>
        <v>0</v>
      </c>
      <c r="S2310">
        <f t="shared" si="181"/>
        <v>0</v>
      </c>
      <c r="T2310">
        <f t="shared" si="182"/>
        <v>0</v>
      </c>
      <c r="U2310">
        <f t="shared" si="183"/>
        <v>0</v>
      </c>
      <c r="V2310">
        <f t="shared" si="184"/>
        <v>0</v>
      </c>
    </row>
    <row r="2311" spans="1:22" x14ac:dyDescent="0.25">
      <c r="A2311">
        <v>2308</v>
      </c>
      <c r="B2311" t="s">
        <v>22</v>
      </c>
      <c r="C2311" t="s">
        <v>1038</v>
      </c>
      <c r="D2311" s="4">
        <v>45392</v>
      </c>
      <c r="E2311" t="s">
        <v>2452</v>
      </c>
      <c r="F2311" t="s">
        <v>75</v>
      </c>
      <c r="I2311" s="6">
        <v>1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>
        <v>1</v>
      </c>
      <c r="R2311">
        <f t="shared" si="180"/>
        <v>0</v>
      </c>
      <c r="S2311">
        <f t="shared" si="181"/>
        <v>1</v>
      </c>
      <c r="T2311">
        <f t="shared" si="182"/>
        <v>1</v>
      </c>
      <c r="U2311">
        <f t="shared" si="183"/>
        <v>1</v>
      </c>
      <c r="V2311">
        <f t="shared" si="184"/>
        <v>0</v>
      </c>
    </row>
    <row r="2312" spans="1:22" x14ac:dyDescent="0.25">
      <c r="A2312">
        <v>2309</v>
      </c>
      <c r="B2312" t="s">
        <v>22</v>
      </c>
      <c r="C2312" t="s">
        <v>1038</v>
      </c>
      <c r="D2312" s="4">
        <v>45392</v>
      </c>
      <c r="E2312" t="s">
        <v>453</v>
      </c>
      <c r="F2312" t="s">
        <v>75</v>
      </c>
      <c r="I2312" s="6">
        <v>0</v>
      </c>
      <c r="J2312" s="6">
        <v>0</v>
      </c>
      <c r="K2312" s="6">
        <v>0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>
        <v>1</v>
      </c>
      <c r="R2312">
        <f t="shared" si="180"/>
        <v>0</v>
      </c>
      <c r="S2312">
        <f t="shared" si="181"/>
        <v>1</v>
      </c>
      <c r="T2312">
        <f t="shared" si="182"/>
        <v>0</v>
      </c>
      <c r="U2312">
        <f t="shared" si="183"/>
        <v>0</v>
      </c>
      <c r="V2312">
        <f t="shared" si="184"/>
        <v>0</v>
      </c>
    </row>
    <row r="2313" spans="1:22" x14ac:dyDescent="0.25">
      <c r="A2313">
        <v>2310</v>
      </c>
      <c r="B2313" t="s">
        <v>22</v>
      </c>
      <c r="C2313" t="s">
        <v>1038</v>
      </c>
      <c r="D2313" s="4">
        <v>45392</v>
      </c>
      <c r="E2313" t="s">
        <v>1061</v>
      </c>
      <c r="F2313" t="s">
        <v>75</v>
      </c>
      <c r="I2313" s="6"/>
      <c r="J2313" s="6"/>
      <c r="K2313" s="6"/>
      <c r="L2313" s="6"/>
      <c r="M2313" s="6"/>
      <c r="N2313" s="6"/>
      <c r="O2313" s="6"/>
      <c r="P2313" s="6"/>
      <c r="Q2313">
        <v>0</v>
      </c>
      <c r="R2313">
        <f t="shared" si="180"/>
        <v>0</v>
      </c>
      <c r="S2313">
        <f t="shared" si="181"/>
        <v>0</v>
      </c>
      <c r="T2313">
        <f t="shared" si="182"/>
        <v>0</v>
      </c>
      <c r="U2313">
        <f t="shared" si="183"/>
        <v>0</v>
      </c>
      <c r="V2313">
        <f t="shared" si="184"/>
        <v>0</v>
      </c>
    </row>
    <row r="2314" spans="1:22" x14ac:dyDescent="0.25">
      <c r="A2314">
        <v>2311</v>
      </c>
      <c r="B2314" t="s">
        <v>22</v>
      </c>
      <c r="C2314" t="s">
        <v>1038</v>
      </c>
      <c r="D2314" s="4">
        <v>45392</v>
      </c>
      <c r="E2314" t="s">
        <v>1062</v>
      </c>
      <c r="F2314" t="s">
        <v>75</v>
      </c>
      <c r="I2314" s="6">
        <v>0</v>
      </c>
      <c r="J2314" s="6">
        <v>0</v>
      </c>
      <c r="K2314" s="6">
        <v>0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>
        <v>1</v>
      </c>
      <c r="R2314">
        <f t="shared" si="180"/>
        <v>0</v>
      </c>
      <c r="S2314">
        <f t="shared" si="181"/>
        <v>1</v>
      </c>
      <c r="T2314">
        <f t="shared" si="182"/>
        <v>0</v>
      </c>
      <c r="U2314">
        <f t="shared" si="183"/>
        <v>0</v>
      </c>
      <c r="V2314">
        <f t="shared" si="184"/>
        <v>0</v>
      </c>
    </row>
    <row r="2315" spans="1:22" x14ac:dyDescent="0.25">
      <c r="A2315">
        <v>2312</v>
      </c>
      <c r="B2315" t="s">
        <v>22</v>
      </c>
      <c r="C2315" t="s">
        <v>1038</v>
      </c>
      <c r="D2315" s="4">
        <v>45392</v>
      </c>
      <c r="E2315" t="s">
        <v>1364</v>
      </c>
      <c r="F2315" t="s">
        <v>75</v>
      </c>
      <c r="I2315" s="6"/>
      <c r="J2315" s="6"/>
      <c r="K2315" s="6"/>
      <c r="L2315" s="6"/>
      <c r="M2315" s="6"/>
      <c r="N2315" s="6"/>
      <c r="O2315" s="6"/>
      <c r="P2315" s="6"/>
      <c r="Q2315">
        <v>0</v>
      </c>
      <c r="R2315">
        <f t="shared" si="180"/>
        <v>0</v>
      </c>
      <c r="S2315">
        <f t="shared" si="181"/>
        <v>0</v>
      </c>
      <c r="T2315">
        <f t="shared" si="182"/>
        <v>0</v>
      </c>
      <c r="U2315">
        <f t="shared" si="183"/>
        <v>0</v>
      </c>
      <c r="V2315">
        <f t="shared" si="184"/>
        <v>0</v>
      </c>
    </row>
    <row r="2316" spans="1:22" x14ac:dyDescent="0.25">
      <c r="A2316">
        <v>2313</v>
      </c>
      <c r="B2316" t="s">
        <v>22</v>
      </c>
      <c r="C2316" t="s">
        <v>1038</v>
      </c>
      <c r="D2316" s="4">
        <v>45392</v>
      </c>
      <c r="E2316" t="s">
        <v>1143</v>
      </c>
      <c r="F2316" t="s">
        <v>75</v>
      </c>
      <c r="I2316" s="6">
        <v>0</v>
      </c>
      <c r="J2316" s="6">
        <v>0</v>
      </c>
      <c r="K2316" s="6">
        <v>0</v>
      </c>
      <c r="L2316" s="6">
        <v>1</v>
      </c>
      <c r="M2316" s="6">
        <v>0</v>
      </c>
      <c r="N2316" s="6">
        <v>0</v>
      </c>
      <c r="O2316" s="6">
        <v>0</v>
      </c>
      <c r="P2316" s="6">
        <v>0</v>
      </c>
      <c r="Q2316">
        <v>1</v>
      </c>
      <c r="R2316">
        <f t="shared" si="180"/>
        <v>0</v>
      </c>
      <c r="S2316">
        <f t="shared" si="181"/>
        <v>1</v>
      </c>
      <c r="T2316">
        <f t="shared" si="182"/>
        <v>1</v>
      </c>
      <c r="U2316">
        <f t="shared" si="183"/>
        <v>1</v>
      </c>
      <c r="V2316">
        <f t="shared" si="184"/>
        <v>0</v>
      </c>
    </row>
    <row r="2317" spans="1:22" x14ac:dyDescent="0.25">
      <c r="A2317">
        <v>2314</v>
      </c>
      <c r="B2317" t="s">
        <v>22</v>
      </c>
      <c r="C2317" t="s">
        <v>1038</v>
      </c>
      <c r="D2317" s="4">
        <v>45392</v>
      </c>
      <c r="E2317" t="s">
        <v>1144</v>
      </c>
      <c r="F2317" t="s">
        <v>75</v>
      </c>
      <c r="I2317" s="6">
        <v>0</v>
      </c>
      <c r="J2317" s="6">
        <v>1</v>
      </c>
      <c r="K2317" s="6">
        <v>1</v>
      </c>
      <c r="L2317" s="6">
        <v>1</v>
      </c>
      <c r="M2317" s="6">
        <v>0</v>
      </c>
      <c r="N2317" s="6">
        <v>0</v>
      </c>
      <c r="O2317" s="6">
        <v>0</v>
      </c>
      <c r="P2317" s="6">
        <v>0</v>
      </c>
      <c r="Q2317">
        <v>1</v>
      </c>
      <c r="R2317">
        <f t="shared" si="180"/>
        <v>0</v>
      </c>
      <c r="S2317">
        <f t="shared" si="181"/>
        <v>1</v>
      </c>
      <c r="T2317">
        <f t="shared" si="182"/>
        <v>3</v>
      </c>
      <c r="U2317">
        <f t="shared" si="183"/>
        <v>1</v>
      </c>
      <c r="V2317">
        <f t="shared" si="184"/>
        <v>0</v>
      </c>
    </row>
    <row r="2318" spans="1:22" x14ac:dyDescent="0.25">
      <c r="A2318">
        <v>2315</v>
      </c>
      <c r="B2318" t="s">
        <v>22</v>
      </c>
      <c r="C2318" t="s">
        <v>1038</v>
      </c>
      <c r="D2318" s="4">
        <v>45392</v>
      </c>
      <c r="E2318" t="s">
        <v>1145</v>
      </c>
      <c r="F2318" t="s">
        <v>413</v>
      </c>
      <c r="G2318">
        <v>112</v>
      </c>
      <c r="I2318" s="6">
        <v>1</v>
      </c>
      <c r="J2318" s="6">
        <v>0</v>
      </c>
      <c r="K2318" s="6">
        <v>1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>
        <v>1</v>
      </c>
      <c r="R2318">
        <f t="shared" si="180"/>
        <v>1</v>
      </c>
      <c r="S2318">
        <f t="shared" si="181"/>
        <v>0</v>
      </c>
      <c r="T2318">
        <f t="shared" si="182"/>
        <v>2</v>
      </c>
      <c r="U2318">
        <f t="shared" si="183"/>
        <v>1</v>
      </c>
      <c r="V2318">
        <f t="shared" si="184"/>
        <v>1</v>
      </c>
    </row>
    <row r="2319" spans="1:22" x14ac:dyDescent="0.25">
      <c r="A2319">
        <v>2316</v>
      </c>
      <c r="B2319" t="s">
        <v>22</v>
      </c>
      <c r="C2319" t="s">
        <v>1038</v>
      </c>
      <c r="D2319" s="4">
        <v>45392</v>
      </c>
      <c r="E2319" t="s">
        <v>1146</v>
      </c>
      <c r="F2319" t="s">
        <v>75</v>
      </c>
      <c r="I2319" s="6">
        <v>1</v>
      </c>
      <c r="J2319" s="6">
        <v>0</v>
      </c>
      <c r="K2319" s="6">
        <v>1</v>
      </c>
      <c r="L2319" s="6">
        <v>0</v>
      </c>
      <c r="M2319" s="6">
        <v>1</v>
      </c>
      <c r="N2319" s="6">
        <v>0</v>
      </c>
      <c r="O2319" s="6">
        <v>0</v>
      </c>
      <c r="P2319" s="6">
        <v>0</v>
      </c>
      <c r="Q2319">
        <v>1</v>
      </c>
      <c r="R2319">
        <f t="shared" si="180"/>
        <v>0</v>
      </c>
      <c r="S2319">
        <f t="shared" si="181"/>
        <v>1</v>
      </c>
      <c r="T2319">
        <f t="shared" si="182"/>
        <v>3</v>
      </c>
      <c r="U2319">
        <f t="shared" si="183"/>
        <v>1</v>
      </c>
      <c r="V2319">
        <f t="shared" si="184"/>
        <v>0</v>
      </c>
    </row>
    <row r="2320" spans="1:22" x14ac:dyDescent="0.25">
      <c r="A2320">
        <v>2317</v>
      </c>
      <c r="B2320" t="s">
        <v>22</v>
      </c>
      <c r="C2320" t="s">
        <v>1038</v>
      </c>
      <c r="D2320" s="4">
        <v>45393</v>
      </c>
      <c r="E2320" t="s">
        <v>454</v>
      </c>
      <c r="F2320" t="s">
        <v>75</v>
      </c>
      <c r="I2320" s="6"/>
      <c r="J2320" s="6"/>
      <c r="K2320" s="6"/>
      <c r="L2320" s="6"/>
      <c r="M2320" s="6"/>
      <c r="N2320" s="6"/>
      <c r="O2320" s="6"/>
      <c r="P2320" s="6"/>
      <c r="Q2320">
        <v>0</v>
      </c>
      <c r="R2320">
        <f t="shared" si="180"/>
        <v>0</v>
      </c>
      <c r="S2320">
        <f t="shared" si="181"/>
        <v>0</v>
      </c>
      <c r="T2320">
        <f t="shared" si="182"/>
        <v>0</v>
      </c>
      <c r="U2320">
        <f t="shared" si="183"/>
        <v>0</v>
      </c>
      <c r="V2320">
        <f t="shared" si="184"/>
        <v>0</v>
      </c>
    </row>
    <row r="2321" spans="1:22" x14ac:dyDescent="0.25">
      <c r="A2321">
        <v>2318</v>
      </c>
      <c r="B2321" t="s">
        <v>22</v>
      </c>
      <c r="C2321" t="s">
        <v>1038</v>
      </c>
      <c r="D2321" s="4">
        <v>45393</v>
      </c>
      <c r="E2321" t="s">
        <v>1147</v>
      </c>
      <c r="F2321" t="s">
        <v>75</v>
      </c>
      <c r="I2321" s="6">
        <v>0</v>
      </c>
      <c r="J2321" s="6">
        <v>0</v>
      </c>
      <c r="K2321" s="6">
        <v>0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>
        <v>1</v>
      </c>
      <c r="R2321">
        <f t="shared" si="180"/>
        <v>0</v>
      </c>
      <c r="S2321">
        <f t="shared" si="181"/>
        <v>1</v>
      </c>
      <c r="T2321">
        <f t="shared" si="182"/>
        <v>0</v>
      </c>
      <c r="U2321">
        <f t="shared" si="183"/>
        <v>0</v>
      </c>
      <c r="V2321">
        <f t="shared" si="184"/>
        <v>0</v>
      </c>
    </row>
    <row r="2322" spans="1:22" x14ac:dyDescent="0.25">
      <c r="A2322">
        <v>2319</v>
      </c>
      <c r="B2322" t="s">
        <v>22</v>
      </c>
      <c r="C2322" t="s">
        <v>1038</v>
      </c>
      <c r="D2322" s="4">
        <v>45393</v>
      </c>
      <c r="E2322" t="s">
        <v>455</v>
      </c>
      <c r="F2322" t="s">
        <v>75</v>
      </c>
      <c r="I2322" s="6"/>
      <c r="J2322" s="6"/>
      <c r="K2322" s="6"/>
      <c r="L2322" s="6"/>
      <c r="M2322" s="6"/>
      <c r="N2322" s="6"/>
      <c r="O2322" s="6"/>
      <c r="P2322" s="6"/>
      <c r="Q2322">
        <v>0</v>
      </c>
      <c r="R2322">
        <f t="shared" si="180"/>
        <v>0</v>
      </c>
      <c r="S2322">
        <f t="shared" si="181"/>
        <v>0</v>
      </c>
      <c r="T2322">
        <f t="shared" si="182"/>
        <v>0</v>
      </c>
      <c r="U2322">
        <f t="shared" si="183"/>
        <v>0</v>
      </c>
      <c r="V2322">
        <f t="shared" si="184"/>
        <v>0</v>
      </c>
    </row>
    <row r="2323" spans="1:22" x14ac:dyDescent="0.25">
      <c r="A2323">
        <v>2320</v>
      </c>
      <c r="B2323" t="s">
        <v>22</v>
      </c>
      <c r="C2323" t="s">
        <v>1038</v>
      </c>
      <c r="D2323" s="4">
        <v>45393</v>
      </c>
      <c r="E2323" t="s">
        <v>1063</v>
      </c>
      <c r="F2323" t="s">
        <v>75</v>
      </c>
      <c r="I2323" s="6"/>
      <c r="J2323" s="6"/>
      <c r="K2323" s="6"/>
      <c r="L2323" s="6"/>
      <c r="M2323" s="6"/>
      <c r="N2323" s="6"/>
      <c r="O2323" s="6"/>
      <c r="P2323" s="6"/>
      <c r="Q2323">
        <v>0</v>
      </c>
      <c r="R2323">
        <f t="shared" si="180"/>
        <v>0</v>
      </c>
      <c r="S2323">
        <f t="shared" si="181"/>
        <v>0</v>
      </c>
      <c r="T2323">
        <f t="shared" si="182"/>
        <v>0</v>
      </c>
      <c r="U2323">
        <f t="shared" si="183"/>
        <v>0</v>
      </c>
      <c r="V2323">
        <f t="shared" si="184"/>
        <v>0</v>
      </c>
    </row>
    <row r="2324" spans="1:22" x14ac:dyDescent="0.25">
      <c r="A2324">
        <v>2321</v>
      </c>
      <c r="B2324" t="s">
        <v>22</v>
      </c>
      <c r="C2324" t="s">
        <v>1038</v>
      </c>
      <c r="D2324" s="4">
        <v>45393</v>
      </c>
      <c r="E2324" t="s">
        <v>1148</v>
      </c>
      <c r="F2324" t="s">
        <v>413</v>
      </c>
      <c r="G2324">
        <v>113</v>
      </c>
      <c r="I2324" s="6">
        <v>1</v>
      </c>
      <c r="J2324" s="6">
        <v>1</v>
      </c>
      <c r="K2324" s="6">
        <v>1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>
        <v>1</v>
      </c>
      <c r="R2324">
        <f t="shared" si="180"/>
        <v>1</v>
      </c>
      <c r="S2324">
        <f t="shared" si="181"/>
        <v>0</v>
      </c>
      <c r="T2324">
        <f t="shared" si="182"/>
        <v>3</v>
      </c>
      <c r="U2324">
        <f t="shared" si="183"/>
        <v>1</v>
      </c>
      <c r="V2324">
        <f t="shared" si="184"/>
        <v>1</v>
      </c>
    </row>
    <row r="2325" spans="1:22" x14ac:dyDescent="0.25">
      <c r="A2325">
        <v>2322</v>
      </c>
      <c r="B2325" t="s">
        <v>22</v>
      </c>
      <c r="C2325" t="s">
        <v>1038</v>
      </c>
      <c r="D2325" s="4">
        <v>45393</v>
      </c>
      <c r="E2325" t="s">
        <v>1149</v>
      </c>
      <c r="F2325" t="s">
        <v>75</v>
      </c>
      <c r="I2325" s="6">
        <v>0</v>
      </c>
      <c r="J2325" s="6">
        <v>0</v>
      </c>
      <c r="K2325" s="6">
        <v>1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>
        <v>1</v>
      </c>
      <c r="R2325">
        <f t="shared" si="180"/>
        <v>0</v>
      </c>
      <c r="S2325">
        <f t="shared" si="181"/>
        <v>1</v>
      </c>
      <c r="T2325">
        <f t="shared" si="182"/>
        <v>1</v>
      </c>
      <c r="U2325">
        <f t="shared" si="183"/>
        <v>1</v>
      </c>
      <c r="V2325">
        <f t="shared" si="184"/>
        <v>0</v>
      </c>
    </row>
    <row r="2326" spans="1:22" x14ac:dyDescent="0.25">
      <c r="A2326">
        <v>2323</v>
      </c>
      <c r="B2326" t="s">
        <v>22</v>
      </c>
      <c r="C2326" t="s">
        <v>1038</v>
      </c>
      <c r="D2326" s="4">
        <v>45393</v>
      </c>
      <c r="E2326" t="s">
        <v>1150</v>
      </c>
      <c r="F2326" t="s">
        <v>75</v>
      </c>
      <c r="I2326" s="6">
        <v>0</v>
      </c>
      <c r="J2326" s="6">
        <v>0</v>
      </c>
      <c r="K2326" s="6">
        <v>0</v>
      </c>
      <c r="L2326" s="6">
        <v>0</v>
      </c>
      <c r="M2326" s="6">
        <v>1</v>
      </c>
      <c r="N2326" s="6">
        <v>0</v>
      </c>
      <c r="O2326" s="6">
        <v>0</v>
      </c>
      <c r="P2326" s="6">
        <v>0</v>
      </c>
      <c r="Q2326">
        <v>1</v>
      </c>
      <c r="R2326">
        <f t="shared" si="180"/>
        <v>0</v>
      </c>
      <c r="S2326">
        <f t="shared" si="181"/>
        <v>1</v>
      </c>
      <c r="T2326">
        <f t="shared" si="182"/>
        <v>1</v>
      </c>
      <c r="U2326">
        <f t="shared" si="183"/>
        <v>1</v>
      </c>
      <c r="V2326">
        <f t="shared" si="184"/>
        <v>0</v>
      </c>
    </row>
    <row r="2327" spans="1:22" x14ac:dyDescent="0.25">
      <c r="A2327">
        <v>2324</v>
      </c>
      <c r="B2327" t="s">
        <v>22</v>
      </c>
      <c r="C2327" t="s">
        <v>1038</v>
      </c>
      <c r="D2327" s="4">
        <v>45393</v>
      </c>
      <c r="E2327" t="s">
        <v>1365</v>
      </c>
      <c r="F2327" t="s">
        <v>75</v>
      </c>
      <c r="I2327" s="6"/>
      <c r="J2327" s="6"/>
      <c r="K2327" s="6"/>
      <c r="L2327" s="6"/>
      <c r="M2327" s="6"/>
      <c r="N2327" s="6"/>
      <c r="O2327" s="6"/>
      <c r="P2327" s="6"/>
      <c r="Q2327">
        <v>0</v>
      </c>
      <c r="R2327">
        <f t="shared" si="180"/>
        <v>0</v>
      </c>
      <c r="S2327">
        <f t="shared" si="181"/>
        <v>0</v>
      </c>
      <c r="T2327">
        <f t="shared" si="182"/>
        <v>0</v>
      </c>
      <c r="U2327">
        <f t="shared" si="183"/>
        <v>0</v>
      </c>
      <c r="V2327">
        <f t="shared" si="184"/>
        <v>0</v>
      </c>
    </row>
    <row r="2328" spans="1:22" x14ac:dyDescent="0.25">
      <c r="A2328">
        <v>2325</v>
      </c>
      <c r="B2328" t="s">
        <v>22</v>
      </c>
      <c r="C2328" t="s">
        <v>1038</v>
      </c>
      <c r="D2328" s="4">
        <v>45393</v>
      </c>
      <c r="E2328" t="s">
        <v>1151</v>
      </c>
      <c r="F2328" t="s">
        <v>75</v>
      </c>
      <c r="I2328" s="6">
        <v>0</v>
      </c>
      <c r="J2328" s="6">
        <v>0</v>
      </c>
      <c r="K2328" s="6">
        <v>1</v>
      </c>
      <c r="L2328" s="6">
        <v>1</v>
      </c>
      <c r="M2328" s="6">
        <v>0</v>
      </c>
      <c r="N2328" s="6">
        <v>0</v>
      </c>
      <c r="O2328" s="6">
        <v>0</v>
      </c>
      <c r="P2328" s="6">
        <v>0</v>
      </c>
      <c r="Q2328">
        <v>1</v>
      </c>
      <c r="R2328">
        <f t="shared" si="180"/>
        <v>0</v>
      </c>
      <c r="S2328">
        <f t="shared" si="181"/>
        <v>1</v>
      </c>
      <c r="T2328">
        <f t="shared" si="182"/>
        <v>2</v>
      </c>
      <c r="U2328">
        <f t="shared" si="183"/>
        <v>1</v>
      </c>
      <c r="V2328">
        <f t="shared" si="184"/>
        <v>0</v>
      </c>
    </row>
    <row r="2329" spans="1:22" x14ac:dyDescent="0.25">
      <c r="A2329">
        <v>2326</v>
      </c>
      <c r="B2329" t="s">
        <v>22</v>
      </c>
      <c r="C2329" t="s">
        <v>1038</v>
      </c>
      <c r="D2329" s="4">
        <v>45393</v>
      </c>
      <c r="E2329" t="s">
        <v>2448</v>
      </c>
      <c r="F2329" t="s">
        <v>75</v>
      </c>
      <c r="I2329" s="6"/>
      <c r="J2329" s="6"/>
      <c r="K2329" s="6"/>
      <c r="L2329" s="6"/>
      <c r="M2329" s="6"/>
      <c r="N2329" s="6"/>
      <c r="O2329" s="6"/>
      <c r="P2329" s="6"/>
      <c r="Q2329">
        <v>0</v>
      </c>
      <c r="R2329">
        <f t="shared" si="180"/>
        <v>0</v>
      </c>
      <c r="S2329">
        <f t="shared" si="181"/>
        <v>0</v>
      </c>
      <c r="T2329">
        <f t="shared" si="182"/>
        <v>0</v>
      </c>
      <c r="U2329">
        <f t="shared" si="183"/>
        <v>0</v>
      </c>
      <c r="V2329">
        <f t="shared" si="184"/>
        <v>0</v>
      </c>
    </row>
    <row r="2330" spans="1:22" x14ac:dyDescent="0.25">
      <c r="A2330">
        <v>2327</v>
      </c>
      <c r="B2330" t="s">
        <v>22</v>
      </c>
      <c r="C2330" t="s">
        <v>1038</v>
      </c>
      <c r="D2330" s="4">
        <v>45394</v>
      </c>
      <c r="E2330" t="s">
        <v>966</v>
      </c>
      <c r="F2330" t="s">
        <v>75</v>
      </c>
      <c r="I2330" s="6"/>
      <c r="J2330" s="6"/>
      <c r="K2330" s="6"/>
      <c r="L2330" s="6"/>
      <c r="M2330" s="6"/>
      <c r="N2330" s="6"/>
      <c r="O2330" s="6"/>
      <c r="P2330" s="6"/>
      <c r="Q2330">
        <v>0</v>
      </c>
      <c r="R2330">
        <f t="shared" si="180"/>
        <v>0</v>
      </c>
      <c r="S2330">
        <f t="shared" si="181"/>
        <v>0</v>
      </c>
      <c r="T2330">
        <f t="shared" si="182"/>
        <v>0</v>
      </c>
      <c r="U2330">
        <f t="shared" si="183"/>
        <v>0</v>
      </c>
      <c r="V2330">
        <f t="shared" si="184"/>
        <v>0</v>
      </c>
    </row>
    <row r="2331" spans="1:22" x14ac:dyDescent="0.25">
      <c r="A2331">
        <v>2328</v>
      </c>
      <c r="B2331" t="s">
        <v>22</v>
      </c>
      <c r="C2331" t="s">
        <v>1038</v>
      </c>
      <c r="D2331" s="4">
        <v>45394</v>
      </c>
      <c r="E2331" t="s">
        <v>870</v>
      </c>
      <c r="F2331" t="s">
        <v>75</v>
      </c>
      <c r="I2331" s="6"/>
      <c r="J2331" s="6"/>
      <c r="K2331" s="6"/>
      <c r="L2331" s="6"/>
      <c r="M2331" s="6"/>
      <c r="N2331" s="6"/>
      <c r="O2331" s="6"/>
      <c r="P2331" s="6"/>
      <c r="Q2331">
        <v>0</v>
      </c>
      <c r="R2331">
        <f t="shared" si="180"/>
        <v>0</v>
      </c>
      <c r="S2331">
        <f t="shared" si="181"/>
        <v>0</v>
      </c>
      <c r="T2331">
        <f t="shared" si="182"/>
        <v>0</v>
      </c>
      <c r="U2331">
        <f t="shared" si="183"/>
        <v>0</v>
      </c>
      <c r="V2331">
        <f t="shared" si="184"/>
        <v>0</v>
      </c>
    </row>
    <row r="2332" spans="1:22" x14ac:dyDescent="0.25">
      <c r="A2332">
        <v>2329</v>
      </c>
      <c r="B2332" t="s">
        <v>22</v>
      </c>
      <c r="C2332" t="s">
        <v>1038</v>
      </c>
      <c r="D2332" s="4">
        <v>45394</v>
      </c>
      <c r="E2332" t="s">
        <v>871</v>
      </c>
      <c r="F2332" t="s">
        <v>75</v>
      </c>
      <c r="I2332" s="6">
        <v>0</v>
      </c>
      <c r="J2332" s="6">
        <v>1</v>
      </c>
      <c r="K2332" s="6">
        <v>0</v>
      </c>
      <c r="L2332" s="6">
        <v>1</v>
      </c>
      <c r="M2332" s="6">
        <v>1</v>
      </c>
      <c r="N2332" s="6">
        <v>0</v>
      </c>
      <c r="O2332" s="6">
        <v>0</v>
      </c>
      <c r="P2332" s="6">
        <v>0</v>
      </c>
      <c r="Q2332">
        <v>1</v>
      </c>
      <c r="R2332">
        <f t="shared" si="180"/>
        <v>0</v>
      </c>
      <c r="S2332">
        <f t="shared" si="181"/>
        <v>1</v>
      </c>
      <c r="T2332">
        <f t="shared" si="182"/>
        <v>3</v>
      </c>
      <c r="U2332">
        <f t="shared" si="183"/>
        <v>1</v>
      </c>
      <c r="V2332">
        <f t="shared" si="184"/>
        <v>0</v>
      </c>
    </row>
    <row r="2333" spans="1:22" x14ac:dyDescent="0.25">
      <c r="A2333">
        <v>2330</v>
      </c>
      <c r="B2333" t="s">
        <v>22</v>
      </c>
      <c r="C2333" t="s">
        <v>1038</v>
      </c>
      <c r="D2333" s="4">
        <v>45394</v>
      </c>
      <c r="E2333" t="s">
        <v>1065</v>
      </c>
      <c r="F2333" t="s">
        <v>75</v>
      </c>
      <c r="I2333" s="6">
        <v>1</v>
      </c>
      <c r="J2333" s="6">
        <v>0</v>
      </c>
      <c r="K2333" s="6">
        <v>0</v>
      </c>
      <c r="L2333" s="6">
        <v>1</v>
      </c>
      <c r="M2333" s="6">
        <v>1</v>
      </c>
      <c r="N2333" s="6">
        <v>0</v>
      </c>
      <c r="O2333" s="6">
        <v>0</v>
      </c>
      <c r="P2333" s="6">
        <v>0</v>
      </c>
      <c r="Q2333">
        <v>1</v>
      </c>
      <c r="R2333">
        <f t="shared" si="180"/>
        <v>0</v>
      </c>
      <c r="S2333">
        <f t="shared" si="181"/>
        <v>1</v>
      </c>
      <c r="T2333">
        <f t="shared" si="182"/>
        <v>3</v>
      </c>
      <c r="U2333">
        <f t="shared" si="183"/>
        <v>1</v>
      </c>
      <c r="V2333">
        <f t="shared" si="184"/>
        <v>0</v>
      </c>
    </row>
    <row r="2334" spans="1:22" x14ac:dyDescent="0.25">
      <c r="A2334">
        <v>2331</v>
      </c>
      <c r="B2334" t="s">
        <v>22</v>
      </c>
      <c r="C2334" t="s">
        <v>1038</v>
      </c>
      <c r="D2334" s="4">
        <v>45394</v>
      </c>
      <c r="E2334" t="s">
        <v>1366</v>
      </c>
      <c r="F2334" t="s">
        <v>75</v>
      </c>
      <c r="I2334" s="6"/>
      <c r="J2334" s="6"/>
      <c r="K2334" s="6"/>
      <c r="L2334" s="6"/>
      <c r="M2334" s="6"/>
      <c r="N2334" s="6"/>
      <c r="O2334" s="6"/>
      <c r="P2334" s="6"/>
      <c r="Q2334">
        <v>0</v>
      </c>
      <c r="R2334">
        <f t="shared" si="180"/>
        <v>0</v>
      </c>
      <c r="S2334">
        <f t="shared" si="181"/>
        <v>0</v>
      </c>
      <c r="T2334">
        <f t="shared" si="182"/>
        <v>0</v>
      </c>
      <c r="U2334">
        <f t="shared" si="183"/>
        <v>0</v>
      </c>
      <c r="V2334">
        <f t="shared" si="184"/>
        <v>0</v>
      </c>
    </row>
    <row r="2335" spans="1:22" x14ac:dyDescent="0.25">
      <c r="A2335">
        <v>2332</v>
      </c>
      <c r="B2335" t="s">
        <v>22</v>
      </c>
      <c r="C2335" t="s">
        <v>1038</v>
      </c>
      <c r="D2335" s="4">
        <v>45394</v>
      </c>
      <c r="E2335" t="s">
        <v>1066</v>
      </c>
      <c r="F2335" t="s">
        <v>75</v>
      </c>
      <c r="I2335" s="6"/>
      <c r="J2335" s="6"/>
      <c r="K2335" s="6"/>
      <c r="L2335" s="6"/>
      <c r="M2335" s="6"/>
      <c r="N2335" s="6"/>
      <c r="O2335" s="6"/>
      <c r="P2335" s="6"/>
      <c r="Q2335">
        <v>0</v>
      </c>
      <c r="R2335">
        <f t="shared" si="180"/>
        <v>0</v>
      </c>
      <c r="S2335">
        <f t="shared" si="181"/>
        <v>0</v>
      </c>
      <c r="T2335">
        <f t="shared" si="182"/>
        <v>0</v>
      </c>
      <c r="U2335">
        <f t="shared" si="183"/>
        <v>0</v>
      </c>
      <c r="V2335">
        <f t="shared" si="184"/>
        <v>0</v>
      </c>
    </row>
    <row r="2336" spans="1:22" x14ac:dyDescent="0.25">
      <c r="A2336">
        <v>2333</v>
      </c>
      <c r="B2336" t="s">
        <v>22</v>
      </c>
      <c r="C2336" t="s">
        <v>1038</v>
      </c>
      <c r="D2336" s="4">
        <v>45394</v>
      </c>
      <c r="E2336" t="s">
        <v>1548</v>
      </c>
      <c r="F2336" t="s">
        <v>75</v>
      </c>
      <c r="I2336" s="6"/>
      <c r="J2336" s="6"/>
      <c r="K2336" s="6"/>
      <c r="L2336" s="6"/>
      <c r="M2336" s="6"/>
      <c r="N2336" s="6"/>
      <c r="O2336" s="6"/>
      <c r="P2336" s="6"/>
      <c r="Q2336">
        <v>0</v>
      </c>
      <c r="R2336">
        <f t="shared" si="180"/>
        <v>0</v>
      </c>
      <c r="S2336">
        <f t="shared" si="181"/>
        <v>0</v>
      </c>
      <c r="T2336">
        <f t="shared" si="182"/>
        <v>0</v>
      </c>
      <c r="U2336">
        <f t="shared" si="183"/>
        <v>0</v>
      </c>
      <c r="V2336">
        <f t="shared" si="184"/>
        <v>0</v>
      </c>
    </row>
    <row r="2337" spans="1:22" x14ac:dyDescent="0.25">
      <c r="A2337">
        <v>2334</v>
      </c>
      <c r="B2337" t="s">
        <v>22</v>
      </c>
      <c r="C2337" t="s">
        <v>1038</v>
      </c>
      <c r="D2337" s="4">
        <v>45394</v>
      </c>
      <c r="E2337" t="s">
        <v>2161</v>
      </c>
      <c r="F2337" t="s">
        <v>75</v>
      </c>
      <c r="I2337" s="6">
        <v>0</v>
      </c>
      <c r="J2337" s="6">
        <v>0</v>
      </c>
      <c r="K2337" s="6">
        <v>1</v>
      </c>
      <c r="L2337" s="6">
        <v>0</v>
      </c>
      <c r="M2337" s="6">
        <v>1</v>
      </c>
      <c r="N2337" s="6">
        <v>0</v>
      </c>
      <c r="O2337" s="6">
        <v>0</v>
      </c>
      <c r="P2337" s="6">
        <v>0</v>
      </c>
      <c r="Q2337">
        <v>1</v>
      </c>
      <c r="R2337">
        <f t="shared" si="180"/>
        <v>0</v>
      </c>
      <c r="S2337">
        <f t="shared" si="181"/>
        <v>1</v>
      </c>
      <c r="T2337">
        <f t="shared" si="182"/>
        <v>2</v>
      </c>
      <c r="U2337">
        <f t="shared" si="183"/>
        <v>1</v>
      </c>
      <c r="V2337">
        <f t="shared" si="184"/>
        <v>0</v>
      </c>
    </row>
    <row r="2338" spans="1:22" x14ac:dyDescent="0.25">
      <c r="A2338">
        <v>2335</v>
      </c>
      <c r="B2338" t="s">
        <v>22</v>
      </c>
      <c r="C2338" t="s">
        <v>1038</v>
      </c>
      <c r="D2338" s="4">
        <v>45395</v>
      </c>
      <c r="E2338" t="s">
        <v>872</v>
      </c>
      <c r="F2338" t="s">
        <v>75</v>
      </c>
      <c r="I2338" s="6"/>
      <c r="J2338" s="6"/>
      <c r="K2338" s="6"/>
      <c r="L2338" s="6"/>
      <c r="M2338" s="6"/>
      <c r="N2338" s="6"/>
      <c r="O2338" s="6"/>
      <c r="P2338" s="6"/>
      <c r="Q2338">
        <v>0</v>
      </c>
      <c r="R2338">
        <f t="shared" si="180"/>
        <v>0</v>
      </c>
      <c r="S2338">
        <f t="shared" si="181"/>
        <v>0</v>
      </c>
      <c r="T2338">
        <f t="shared" si="182"/>
        <v>0</v>
      </c>
      <c r="U2338">
        <f t="shared" si="183"/>
        <v>0</v>
      </c>
      <c r="V2338">
        <f t="shared" si="184"/>
        <v>0</v>
      </c>
    </row>
    <row r="2339" spans="1:22" x14ac:dyDescent="0.25">
      <c r="A2339">
        <v>2336</v>
      </c>
      <c r="B2339" t="s">
        <v>22</v>
      </c>
      <c r="C2339" t="s">
        <v>1038</v>
      </c>
      <c r="D2339" s="4">
        <v>45395</v>
      </c>
      <c r="E2339" t="s">
        <v>873</v>
      </c>
      <c r="F2339" t="s">
        <v>75</v>
      </c>
      <c r="I2339" s="6"/>
      <c r="J2339" s="6"/>
      <c r="K2339" s="6"/>
      <c r="L2339" s="6"/>
      <c r="M2339" s="6"/>
      <c r="N2339" s="6"/>
      <c r="O2339" s="6"/>
      <c r="P2339" s="6"/>
      <c r="Q2339">
        <v>0</v>
      </c>
      <c r="R2339">
        <f t="shared" si="180"/>
        <v>0</v>
      </c>
      <c r="S2339">
        <f t="shared" si="181"/>
        <v>0</v>
      </c>
      <c r="T2339">
        <f t="shared" si="182"/>
        <v>0</v>
      </c>
      <c r="U2339">
        <f t="shared" si="183"/>
        <v>0</v>
      </c>
      <c r="V2339">
        <f t="shared" si="184"/>
        <v>0</v>
      </c>
    </row>
    <row r="2340" spans="1:22" x14ac:dyDescent="0.25">
      <c r="A2340">
        <v>2337</v>
      </c>
      <c r="B2340" t="s">
        <v>22</v>
      </c>
      <c r="C2340" t="s">
        <v>1038</v>
      </c>
      <c r="D2340" s="4">
        <v>45395</v>
      </c>
      <c r="E2340" t="s">
        <v>2160</v>
      </c>
      <c r="F2340" t="s">
        <v>75</v>
      </c>
      <c r="I2340" s="6"/>
      <c r="J2340" s="6"/>
      <c r="K2340" s="6"/>
      <c r="L2340" s="6"/>
      <c r="M2340" s="6"/>
      <c r="N2340" s="6"/>
      <c r="O2340" s="6"/>
      <c r="P2340" s="6"/>
      <c r="Q2340">
        <v>0</v>
      </c>
      <c r="R2340">
        <f t="shared" si="180"/>
        <v>0</v>
      </c>
      <c r="S2340">
        <f t="shared" si="181"/>
        <v>0</v>
      </c>
      <c r="T2340">
        <f t="shared" si="182"/>
        <v>0</v>
      </c>
      <c r="U2340">
        <f t="shared" si="183"/>
        <v>0</v>
      </c>
      <c r="V2340">
        <f t="shared" si="184"/>
        <v>0</v>
      </c>
    </row>
    <row r="2341" spans="1:22" x14ac:dyDescent="0.25">
      <c r="A2341">
        <v>2338</v>
      </c>
      <c r="B2341" t="s">
        <v>22</v>
      </c>
      <c r="C2341" t="s">
        <v>1038</v>
      </c>
      <c r="D2341" s="4">
        <v>45395</v>
      </c>
      <c r="E2341" t="s">
        <v>1067</v>
      </c>
      <c r="F2341" t="s">
        <v>75</v>
      </c>
      <c r="I2341" s="6"/>
      <c r="J2341" s="6"/>
      <c r="K2341" s="6"/>
      <c r="L2341" s="6"/>
      <c r="M2341" s="6"/>
      <c r="N2341" s="6"/>
      <c r="O2341" s="6"/>
      <c r="P2341" s="6"/>
      <c r="Q2341">
        <v>0</v>
      </c>
      <c r="R2341">
        <f t="shared" si="180"/>
        <v>0</v>
      </c>
      <c r="S2341">
        <f t="shared" si="181"/>
        <v>0</v>
      </c>
      <c r="T2341">
        <f t="shared" si="182"/>
        <v>0</v>
      </c>
      <c r="U2341">
        <f t="shared" si="183"/>
        <v>0</v>
      </c>
      <c r="V2341">
        <f t="shared" si="184"/>
        <v>0</v>
      </c>
    </row>
    <row r="2342" spans="1:22" x14ac:dyDescent="0.25">
      <c r="A2342">
        <v>2339</v>
      </c>
      <c r="B2342" t="s">
        <v>22</v>
      </c>
      <c r="C2342" t="s">
        <v>1038</v>
      </c>
      <c r="D2342" s="4">
        <v>45395</v>
      </c>
      <c r="E2342" t="s">
        <v>2443</v>
      </c>
      <c r="F2342" t="s">
        <v>75</v>
      </c>
      <c r="I2342" s="6"/>
      <c r="J2342" s="6"/>
      <c r="K2342" s="6"/>
      <c r="L2342" s="6"/>
      <c r="M2342" s="6"/>
      <c r="N2342" s="6"/>
      <c r="O2342" s="6"/>
      <c r="P2342" s="6"/>
      <c r="Q2342">
        <v>0</v>
      </c>
      <c r="R2342">
        <f t="shared" si="180"/>
        <v>0</v>
      </c>
      <c r="S2342">
        <f t="shared" si="181"/>
        <v>0</v>
      </c>
      <c r="T2342">
        <f t="shared" si="182"/>
        <v>0</v>
      </c>
      <c r="U2342">
        <f t="shared" si="183"/>
        <v>0</v>
      </c>
      <c r="V2342">
        <f t="shared" si="184"/>
        <v>0</v>
      </c>
    </row>
    <row r="2343" spans="1:22" x14ac:dyDescent="0.25">
      <c r="A2343">
        <v>2340</v>
      </c>
      <c r="B2343" t="s">
        <v>22</v>
      </c>
      <c r="C2343" t="s">
        <v>1038</v>
      </c>
      <c r="D2343" s="4">
        <v>45395</v>
      </c>
      <c r="E2343" t="s">
        <v>2442</v>
      </c>
      <c r="F2343" t="s">
        <v>75</v>
      </c>
      <c r="I2343" s="6">
        <v>0</v>
      </c>
      <c r="J2343" s="6">
        <v>0</v>
      </c>
      <c r="K2343" s="6">
        <v>1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>
        <v>1</v>
      </c>
      <c r="R2343">
        <f t="shared" si="180"/>
        <v>0</v>
      </c>
      <c r="S2343">
        <f t="shared" si="181"/>
        <v>1</v>
      </c>
      <c r="T2343">
        <f t="shared" si="182"/>
        <v>1</v>
      </c>
      <c r="U2343">
        <f t="shared" si="183"/>
        <v>1</v>
      </c>
      <c r="V2343">
        <f t="shared" si="184"/>
        <v>0</v>
      </c>
    </row>
    <row r="2344" spans="1:22" x14ac:dyDescent="0.25">
      <c r="A2344">
        <v>2341</v>
      </c>
      <c r="B2344" t="s">
        <v>22</v>
      </c>
      <c r="C2344" t="s">
        <v>1038</v>
      </c>
      <c r="D2344" s="4">
        <v>45396</v>
      </c>
      <c r="E2344" t="s">
        <v>874</v>
      </c>
      <c r="F2344" t="s">
        <v>75</v>
      </c>
      <c r="I2344" s="6">
        <v>0</v>
      </c>
      <c r="J2344" s="6">
        <v>0</v>
      </c>
      <c r="K2344" s="6">
        <v>0</v>
      </c>
      <c r="L2344" s="6">
        <v>1</v>
      </c>
      <c r="M2344" s="6">
        <v>0</v>
      </c>
      <c r="N2344" s="6">
        <v>0</v>
      </c>
      <c r="O2344" s="6">
        <v>0</v>
      </c>
      <c r="P2344" s="6">
        <v>0</v>
      </c>
      <c r="Q2344">
        <v>1</v>
      </c>
      <c r="R2344">
        <f t="shared" si="180"/>
        <v>0</v>
      </c>
      <c r="S2344">
        <f t="shared" si="181"/>
        <v>1</v>
      </c>
      <c r="T2344">
        <f t="shared" si="182"/>
        <v>1</v>
      </c>
      <c r="U2344">
        <f t="shared" si="183"/>
        <v>1</v>
      </c>
      <c r="V2344">
        <f t="shared" si="184"/>
        <v>0</v>
      </c>
    </row>
    <row r="2345" spans="1:22" x14ac:dyDescent="0.25">
      <c r="A2345">
        <v>2342</v>
      </c>
      <c r="B2345" t="s">
        <v>22</v>
      </c>
      <c r="C2345" t="s">
        <v>1038</v>
      </c>
      <c r="D2345" s="4">
        <v>45396</v>
      </c>
      <c r="E2345" t="s">
        <v>875</v>
      </c>
      <c r="F2345" t="s">
        <v>75</v>
      </c>
      <c r="I2345" s="6">
        <v>0</v>
      </c>
      <c r="J2345" s="6">
        <v>0</v>
      </c>
      <c r="K2345" s="6">
        <v>0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>
        <v>1</v>
      </c>
      <c r="R2345">
        <f t="shared" si="180"/>
        <v>0</v>
      </c>
      <c r="S2345">
        <f t="shared" si="181"/>
        <v>1</v>
      </c>
      <c r="T2345">
        <f t="shared" si="182"/>
        <v>0</v>
      </c>
      <c r="U2345">
        <f t="shared" si="183"/>
        <v>0</v>
      </c>
      <c r="V2345">
        <f t="shared" si="184"/>
        <v>0</v>
      </c>
    </row>
    <row r="2346" spans="1:22" x14ac:dyDescent="0.25">
      <c r="A2346">
        <v>2343</v>
      </c>
      <c r="B2346" t="s">
        <v>22</v>
      </c>
      <c r="C2346" t="s">
        <v>1038</v>
      </c>
      <c r="D2346" s="4">
        <v>45396</v>
      </c>
      <c r="E2346" t="s">
        <v>2159</v>
      </c>
      <c r="F2346" t="s">
        <v>75</v>
      </c>
      <c r="I2346" s="6"/>
      <c r="J2346" s="6"/>
      <c r="K2346" s="6"/>
      <c r="L2346" s="6"/>
      <c r="M2346" s="6"/>
      <c r="N2346" s="6"/>
      <c r="O2346" s="6"/>
      <c r="P2346" s="6"/>
      <c r="Q2346">
        <v>0</v>
      </c>
      <c r="R2346">
        <f t="shared" si="180"/>
        <v>0</v>
      </c>
      <c r="S2346">
        <f t="shared" si="181"/>
        <v>0</v>
      </c>
      <c r="T2346">
        <f t="shared" si="182"/>
        <v>0</v>
      </c>
      <c r="U2346">
        <f t="shared" si="183"/>
        <v>0</v>
      </c>
      <c r="V2346">
        <f t="shared" si="184"/>
        <v>0</v>
      </c>
    </row>
    <row r="2347" spans="1:22" x14ac:dyDescent="0.25">
      <c r="A2347">
        <v>2344</v>
      </c>
      <c r="B2347" t="s">
        <v>22</v>
      </c>
      <c r="C2347" t="s">
        <v>1038</v>
      </c>
      <c r="D2347" s="4">
        <v>45396</v>
      </c>
      <c r="E2347" t="s">
        <v>2158</v>
      </c>
      <c r="F2347" t="s">
        <v>75</v>
      </c>
      <c r="I2347" s="6">
        <v>0</v>
      </c>
      <c r="J2347" s="6">
        <v>0</v>
      </c>
      <c r="K2347" s="6">
        <v>0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>
        <v>1</v>
      </c>
      <c r="R2347">
        <f t="shared" si="180"/>
        <v>0</v>
      </c>
      <c r="S2347">
        <f t="shared" si="181"/>
        <v>1</v>
      </c>
      <c r="T2347">
        <f t="shared" si="182"/>
        <v>0</v>
      </c>
      <c r="U2347">
        <f t="shared" si="183"/>
        <v>0</v>
      </c>
      <c r="V2347">
        <f t="shared" si="184"/>
        <v>0</v>
      </c>
    </row>
    <row r="2348" spans="1:22" x14ac:dyDescent="0.25">
      <c r="A2348">
        <v>2345</v>
      </c>
      <c r="B2348" t="s">
        <v>22</v>
      </c>
      <c r="C2348" t="s">
        <v>1038</v>
      </c>
      <c r="D2348" s="4">
        <v>45396</v>
      </c>
      <c r="E2348" t="s">
        <v>1152</v>
      </c>
      <c r="F2348" t="s">
        <v>413</v>
      </c>
      <c r="G2348">
        <v>114</v>
      </c>
      <c r="I2348" s="6">
        <v>1</v>
      </c>
      <c r="J2348" s="6">
        <v>0</v>
      </c>
      <c r="K2348" s="6">
        <v>1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>
        <v>1</v>
      </c>
      <c r="R2348">
        <f t="shared" si="180"/>
        <v>1</v>
      </c>
      <c r="S2348">
        <f t="shared" si="181"/>
        <v>0</v>
      </c>
      <c r="T2348">
        <f t="shared" si="182"/>
        <v>2</v>
      </c>
      <c r="U2348">
        <f t="shared" si="183"/>
        <v>1</v>
      </c>
      <c r="V2348">
        <f t="shared" si="184"/>
        <v>1</v>
      </c>
    </row>
    <row r="2349" spans="1:22" x14ac:dyDescent="0.25">
      <c r="A2349">
        <v>2346</v>
      </c>
      <c r="B2349" t="s">
        <v>22</v>
      </c>
      <c r="C2349" t="s">
        <v>1038</v>
      </c>
      <c r="D2349" s="4">
        <v>45397</v>
      </c>
      <c r="E2349" t="s">
        <v>1068</v>
      </c>
      <c r="F2349" t="s">
        <v>75</v>
      </c>
      <c r="I2349" s="6">
        <v>0</v>
      </c>
      <c r="J2349" s="6">
        <v>0</v>
      </c>
      <c r="K2349" s="6">
        <v>0</v>
      </c>
      <c r="L2349" s="6">
        <v>1</v>
      </c>
      <c r="M2349" s="6">
        <v>0</v>
      </c>
      <c r="N2349" s="6">
        <v>0</v>
      </c>
      <c r="O2349" s="6">
        <v>0</v>
      </c>
      <c r="P2349" s="6">
        <v>0</v>
      </c>
      <c r="Q2349">
        <v>1</v>
      </c>
      <c r="R2349">
        <f t="shared" si="180"/>
        <v>0</v>
      </c>
      <c r="S2349">
        <f t="shared" si="181"/>
        <v>1</v>
      </c>
      <c r="T2349">
        <f t="shared" si="182"/>
        <v>1</v>
      </c>
      <c r="U2349">
        <f t="shared" si="183"/>
        <v>1</v>
      </c>
      <c r="V2349">
        <f t="shared" si="184"/>
        <v>0</v>
      </c>
    </row>
    <row r="2350" spans="1:22" x14ac:dyDescent="0.25">
      <c r="A2350">
        <v>2347</v>
      </c>
      <c r="B2350" t="s">
        <v>22</v>
      </c>
      <c r="C2350" t="s">
        <v>1038</v>
      </c>
      <c r="D2350" s="4">
        <v>45397</v>
      </c>
      <c r="E2350" t="s">
        <v>1069</v>
      </c>
      <c r="F2350" t="s">
        <v>75</v>
      </c>
      <c r="I2350" s="6"/>
      <c r="J2350" s="6"/>
      <c r="K2350" s="6"/>
      <c r="L2350" s="6"/>
      <c r="M2350" s="6"/>
      <c r="N2350" s="6"/>
      <c r="O2350" s="6"/>
      <c r="P2350" s="6"/>
      <c r="Q2350">
        <v>0</v>
      </c>
      <c r="R2350">
        <f t="shared" si="180"/>
        <v>0</v>
      </c>
      <c r="S2350">
        <f t="shared" si="181"/>
        <v>0</v>
      </c>
      <c r="T2350">
        <f t="shared" si="182"/>
        <v>0</v>
      </c>
      <c r="U2350">
        <f t="shared" si="183"/>
        <v>0</v>
      </c>
      <c r="V2350">
        <f t="shared" si="184"/>
        <v>0</v>
      </c>
    </row>
    <row r="2351" spans="1:22" x14ac:dyDescent="0.25">
      <c r="A2351">
        <v>2348</v>
      </c>
      <c r="B2351" t="s">
        <v>22</v>
      </c>
      <c r="C2351" t="s">
        <v>1038</v>
      </c>
      <c r="D2351" s="4">
        <v>45397</v>
      </c>
      <c r="E2351" t="s">
        <v>2033</v>
      </c>
      <c r="F2351" t="s">
        <v>75</v>
      </c>
      <c r="I2351" s="6"/>
      <c r="J2351" s="6"/>
      <c r="K2351" s="6"/>
      <c r="L2351" s="6"/>
      <c r="M2351" s="6"/>
      <c r="N2351" s="6"/>
      <c r="O2351" s="6"/>
      <c r="P2351" s="6"/>
      <c r="Q2351">
        <v>0</v>
      </c>
      <c r="R2351">
        <f t="shared" si="180"/>
        <v>0</v>
      </c>
      <c r="S2351">
        <f t="shared" si="181"/>
        <v>0</v>
      </c>
      <c r="T2351">
        <f t="shared" si="182"/>
        <v>0</v>
      </c>
      <c r="U2351">
        <f t="shared" si="183"/>
        <v>0</v>
      </c>
      <c r="V2351">
        <f t="shared" si="184"/>
        <v>0</v>
      </c>
    </row>
    <row r="2352" spans="1:22" x14ac:dyDescent="0.25">
      <c r="A2352">
        <v>2349</v>
      </c>
      <c r="B2352" t="s">
        <v>22</v>
      </c>
      <c r="C2352" t="s">
        <v>1038</v>
      </c>
      <c r="D2352" s="4">
        <v>45397</v>
      </c>
      <c r="E2352" t="s">
        <v>1805</v>
      </c>
      <c r="F2352" t="s">
        <v>75</v>
      </c>
      <c r="I2352" s="6">
        <v>0</v>
      </c>
      <c r="J2352" s="6">
        <v>0</v>
      </c>
      <c r="K2352" s="6">
        <v>0</v>
      </c>
      <c r="L2352" s="6">
        <v>1</v>
      </c>
      <c r="M2352" s="6">
        <v>0</v>
      </c>
      <c r="N2352" s="6">
        <v>0</v>
      </c>
      <c r="O2352" s="6">
        <v>0</v>
      </c>
      <c r="P2352" s="6">
        <v>0</v>
      </c>
      <c r="Q2352">
        <v>1</v>
      </c>
      <c r="R2352">
        <f t="shared" si="180"/>
        <v>0</v>
      </c>
      <c r="S2352">
        <f t="shared" si="181"/>
        <v>1</v>
      </c>
      <c r="T2352">
        <f t="shared" si="182"/>
        <v>1</v>
      </c>
      <c r="U2352">
        <f t="shared" si="183"/>
        <v>1</v>
      </c>
      <c r="V2352">
        <f t="shared" si="184"/>
        <v>0</v>
      </c>
    </row>
    <row r="2353" spans="1:22" x14ac:dyDescent="0.25">
      <c r="A2353">
        <v>2350</v>
      </c>
      <c r="B2353" t="s">
        <v>22</v>
      </c>
      <c r="C2353" t="s">
        <v>1038</v>
      </c>
      <c r="D2353" s="4">
        <v>45397</v>
      </c>
      <c r="E2353" t="s">
        <v>1371</v>
      </c>
      <c r="F2353" t="s">
        <v>75</v>
      </c>
      <c r="I2353" s="6"/>
      <c r="J2353" s="6"/>
      <c r="K2353" s="6"/>
      <c r="L2353" s="6"/>
      <c r="M2353" s="6"/>
      <c r="N2353" s="6"/>
      <c r="O2353" s="6"/>
      <c r="P2353" s="6"/>
      <c r="Q2353">
        <v>0</v>
      </c>
      <c r="R2353">
        <f t="shared" si="180"/>
        <v>0</v>
      </c>
      <c r="S2353">
        <f t="shared" si="181"/>
        <v>0</v>
      </c>
      <c r="T2353">
        <f t="shared" si="182"/>
        <v>0</v>
      </c>
      <c r="U2353">
        <f t="shared" si="183"/>
        <v>0</v>
      </c>
      <c r="V2353">
        <f t="shared" si="184"/>
        <v>0</v>
      </c>
    </row>
    <row r="2354" spans="1:22" x14ac:dyDescent="0.25">
      <c r="A2354">
        <v>2351</v>
      </c>
      <c r="B2354" t="s">
        <v>22</v>
      </c>
      <c r="C2354" t="s">
        <v>1038</v>
      </c>
      <c r="D2354" s="4">
        <v>45397</v>
      </c>
      <c r="E2354" t="s">
        <v>2156</v>
      </c>
      <c r="F2354" t="s">
        <v>75</v>
      </c>
      <c r="I2354" s="6"/>
      <c r="J2354" s="6"/>
      <c r="K2354" s="6"/>
      <c r="L2354" s="6"/>
      <c r="M2354" s="6"/>
      <c r="N2354" s="6"/>
      <c r="O2354" s="6"/>
      <c r="P2354" s="6"/>
      <c r="Q2354">
        <v>0</v>
      </c>
      <c r="R2354">
        <f t="shared" si="180"/>
        <v>0</v>
      </c>
      <c r="S2354">
        <f t="shared" si="181"/>
        <v>0</v>
      </c>
      <c r="T2354">
        <f t="shared" si="182"/>
        <v>0</v>
      </c>
      <c r="U2354">
        <f t="shared" si="183"/>
        <v>0</v>
      </c>
      <c r="V2354">
        <f t="shared" si="184"/>
        <v>0</v>
      </c>
    </row>
    <row r="2355" spans="1:22" x14ac:dyDescent="0.25">
      <c r="A2355">
        <v>2352</v>
      </c>
      <c r="B2355" t="s">
        <v>22</v>
      </c>
      <c r="C2355" t="s">
        <v>1038</v>
      </c>
      <c r="D2355" s="4">
        <v>45397</v>
      </c>
      <c r="E2355" t="s">
        <v>2438</v>
      </c>
      <c r="F2355" t="s">
        <v>75</v>
      </c>
      <c r="I2355" s="6"/>
      <c r="J2355" s="6"/>
      <c r="K2355" s="6"/>
      <c r="L2355" s="6"/>
      <c r="M2355" s="6"/>
      <c r="N2355" s="6"/>
      <c r="O2355" s="6"/>
      <c r="P2355" s="6"/>
      <c r="Q2355">
        <v>0</v>
      </c>
      <c r="R2355">
        <f t="shared" si="180"/>
        <v>0</v>
      </c>
      <c r="S2355">
        <f t="shared" si="181"/>
        <v>0</v>
      </c>
      <c r="T2355">
        <f t="shared" si="182"/>
        <v>0</v>
      </c>
      <c r="U2355">
        <f t="shared" si="183"/>
        <v>0</v>
      </c>
      <c r="V2355">
        <f t="shared" si="184"/>
        <v>0</v>
      </c>
    </row>
    <row r="2356" spans="1:22" x14ac:dyDescent="0.25">
      <c r="A2356">
        <v>2353</v>
      </c>
      <c r="B2356" t="s">
        <v>22</v>
      </c>
      <c r="C2356" t="s">
        <v>1038</v>
      </c>
      <c r="D2356" s="4">
        <v>45398</v>
      </c>
      <c r="E2356" t="s">
        <v>290</v>
      </c>
      <c r="F2356" t="s">
        <v>75</v>
      </c>
      <c r="I2356" s="6">
        <v>1</v>
      </c>
      <c r="J2356" s="6">
        <v>0</v>
      </c>
      <c r="K2356" s="6">
        <v>1</v>
      </c>
      <c r="L2356" s="6">
        <v>1</v>
      </c>
      <c r="M2356" s="6">
        <v>1</v>
      </c>
      <c r="N2356" s="6">
        <v>1</v>
      </c>
      <c r="O2356" s="6">
        <v>1</v>
      </c>
      <c r="P2356" s="6">
        <v>0</v>
      </c>
      <c r="Q2356">
        <v>1</v>
      </c>
      <c r="R2356">
        <f t="shared" si="180"/>
        <v>0</v>
      </c>
      <c r="S2356">
        <f t="shared" si="181"/>
        <v>1</v>
      </c>
      <c r="T2356">
        <f t="shared" si="182"/>
        <v>6</v>
      </c>
      <c r="U2356">
        <f t="shared" si="183"/>
        <v>1</v>
      </c>
      <c r="V2356">
        <f t="shared" si="184"/>
        <v>0</v>
      </c>
    </row>
    <row r="2357" spans="1:22" x14ac:dyDescent="0.25">
      <c r="A2357">
        <v>2354</v>
      </c>
      <c r="B2357" t="s">
        <v>22</v>
      </c>
      <c r="C2357" t="s">
        <v>1038</v>
      </c>
      <c r="D2357" s="4">
        <v>45398</v>
      </c>
      <c r="E2357" t="s">
        <v>291</v>
      </c>
      <c r="F2357" t="s">
        <v>75</v>
      </c>
      <c r="I2357" s="6"/>
      <c r="J2357" s="6"/>
      <c r="K2357" s="6"/>
      <c r="L2357" s="6"/>
      <c r="M2357" s="6"/>
      <c r="N2357" s="6"/>
      <c r="O2357" s="6"/>
      <c r="P2357" s="6"/>
      <c r="Q2357">
        <v>0</v>
      </c>
      <c r="R2357">
        <f t="shared" si="180"/>
        <v>0</v>
      </c>
      <c r="S2357">
        <f t="shared" si="181"/>
        <v>0</v>
      </c>
      <c r="T2357">
        <f t="shared" si="182"/>
        <v>0</v>
      </c>
      <c r="U2357">
        <f t="shared" si="183"/>
        <v>0</v>
      </c>
      <c r="V2357">
        <f t="shared" si="184"/>
        <v>0</v>
      </c>
    </row>
    <row r="2358" spans="1:22" x14ac:dyDescent="0.25">
      <c r="A2358">
        <v>2355</v>
      </c>
      <c r="B2358" t="s">
        <v>22</v>
      </c>
      <c r="C2358" t="s">
        <v>1038</v>
      </c>
      <c r="D2358" s="4">
        <v>45398</v>
      </c>
      <c r="E2358" t="s">
        <v>292</v>
      </c>
      <c r="F2358" t="s">
        <v>75</v>
      </c>
      <c r="I2358" s="6">
        <v>0</v>
      </c>
      <c r="J2358" s="6">
        <v>0</v>
      </c>
      <c r="K2358" s="6">
        <v>0</v>
      </c>
      <c r="L2358" s="6">
        <v>1</v>
      </c>
      <c r="M2358" s="6">
        <v>0</v>
      </c>
      <c r="N2358" s="6">
        <v>0</v>
      </c>
      <c r="O2358" s="6">
        <v>0</v>
      </c>
      <c r="P2358" s="6">
        <v>0</v>
      </c>
      <c r="Q2358">
        <v>1</v>
      </c>
      <c r="R2358">
        <f t="shared" si="180"/>
        <v>0</v>
      </c>
      <c r="S2358">
        <f t="shared" si="181"/>
        <v>1</v>
      </c>
      <c r="T2358">
        <f t="shared" si="182"/>
        <v>1</v>
      </c>
      <c r="U2358">
        <f t="shared" si="183"/>
        <v>1</v>
      </c>
      <c r="V2358">
        <f t="shared" si="184"/>
        <v>0</v>
      </c>
    </row>
    <row r="2359" spans="1:22" x14ac:dyDescent="0.25">
      <c r="A2359">
        <v>2356</v>
      </c>
      <c r="B2359" t="s">
        <v>22</v>
      </c>
      <c r="C2359" t="s">
        <v>1038</v>
      </c>
      <c r="D2359" s="4">
        <v>45398</v>
      </c>
      <c r="E2359" t="s">
        <v>293</v>
      </c>
      <c r="F2359" t="s">
        <v>75</v>
      </c>
      <c r="I2359" s="6">
        <v>0</v>
      </c>
      <c r="J2359" s="6">
        <v>0</v>
      </c>
      <c r="K2359" s="6">
        <v>1</v>
      </c>
      <c r="L2359" s="6">
        <v>1</v>
      </c>
      <c r="M2359" s="6">
        <v>1</v>
      </c>
      <c r="N2359" s="6">
        <v>0</v>
      </c>
      <c r="O2359" s="6">
        <v>0</v>
      </c>
      <c r="P2359" s="6">
        <v>0</v>
      </c>
      <c r="Q2359">
        <v>1</v>
      </c>
      <c r="R2359">
        <f t="shared" si="180"/>
        <v>0</v>
      </c>
      <c r="S2359">
        <f t="shared" si="181"/>
        <v>1</v>
      </c>
      <c r="T2359">
        <f t="shared" si="182"/>
        <v>3</v>
      </c>
      <c r="U2359">
        <f t="shared" si="183"/>
        <v>1</v>
      </c>
      <c r="V2359">
        <f t="shared" si="184"/>
        <v>0</v>
      </c>
    </row>
    <row r="2360" spans="1:22" x14ac:dyDescent="0.25">
      <c r="A2360">
        <v>2357</v>
      </c>
      <c r="B2360" t="s">
        <v>22</v>
      </c>
      <c r="C2360" t="s">
        <v>1038</v>
      </c>
      <c r="D2360" s="4">
        <v>45399</v>
      </c>
      <c r="E2360" t="s">
        <v>457</v>
      </c>
      <c r="F2360" t="s">
        <v>75</v>
      </c>
      <c r="I2360" s="6"/>
      <c r="J2360" s="6"/>
      <c r="K2360" s="6"/>
      <c r="L2360" s="6"/>
      <c r="M2360" s="6"/>
      <c r="N2360" s="6"/>
      <c r="O2360" s="6"/>
      <c r="P2360" s="6"/>
      <c r="Q2360">
        <v>0</v>
      </c>
      <c r="R2360">
        <f t="shared" si="180"/>
        <v>0</v>
      </c>
      <c r="S2360">
        <f t="shared" si="181"/>
        <v>0</v>
      </c>
      <c r="T2360">
        <f t="shared" si="182"/>
        <v>0</v>
      </c>
      <c r="U2360">
        <f t="shared" si="183"/>
        <v>0</v>
      </c>
      <c r="V2360">
        <f t="shared" si="184"/>
        <v>0</v>
      </c>
    </row>
    <row r="2361" spans="1:22" x14ac:dyDescent="0.25">
      <c r="A2361">
        <v>2358</v>
      </c>
      <c r="B2361" t="s">
        <v>22</v>
      </c>
      <c r="C2361" t="s">
        <v>1038</v>
      </c>
      <c r="D2361" s="4">
        <v>45400</v>
      </c>
      <c r="E2361" t="s">
        <v>876</v>
      </c>
      <c r="F2361" t="s">
        <v>75</v>
      </c>
      <c r="I2361" s="6"/>
      <c r="J2361" s="6"/>
      <c r="K2361" s="6"/>
      <c r="L2361" s="6"/>
      <c r="M2361" s="6"/>
      <c r="N2361" s="6"/>
      <c r="O2361" s="6"/>
      <c r="P2361" s="6"/>
      <c r="Q2361">
        <v>0</v>
      </c>
      <c r="R2361">
        <f t="shared" si="180"/>
        <v>0</v>
      </c>
      <c r="S2361">
        <f t="shared" si="181"/>
        <v>0</v>
      </c>
      <c r="T2361">
        <f t="shared" si="182"/>
        <v>0</v>
      </c>
      <c r="U2361">
        <f t="shared" si="183"/>
        <v>0</v>
      </c>
      <c r="V2361">
        <f t="shared" si="184"/>
        <v>0</v>
      </c>
    </row>
    <row r="2362" spans="1:22" x14ac:dyDescent="0.25">
      <c r="A2362">
        <v>2359</v>
      </c>
      <c r="B2362" t="s">
        <v>22</v>
      </c>
      <c r="C2362" t="s">
        <v>1038</v>
      </c>
      <c r="D2362" s="4">
        <v>45400</v>
      </c>
      <c r="E2362" t="s">
        <v>296</v>
      </c>
      <c r="F2362" t="s">
        <v>75</v>
      </c>
      <c r="I2362" s="6"/>
      <c r="J2362" s="6"/>
      <c r="K2362" s="6"/>
      <c r="L2362" s="6"/>
      <c r="M2362" s="6"/>
      <c r="N2362" s="6"/>
      <c r="O2362" s="6"/>
      <c r="P2362" s="6"/>
      <c r="Q2362">
        <v>0</v>
      </c>
      <c r="R2362">
        <f t="shared" si="180"/>
        <v>0</v>
      </c>
      <c r="S2362">
        <f t="shared" si="181"/>
        <v>0</v>
      </c>
      <c r="T2362">
        <f t="shared" si="182"/>
        <v>0</v>
      </c>
      <c r="U2362">
        <f t="shared" si="183"/>
        <v>0</v>
      </c>
      <c r="V2362">
        <f t="shared" si="184"/>
        <v>0</v>
      </c>
    </row>
    <row r="2363" spans="1:22" x14ac:dyDescent="0.25">
      <c r="A2363">
        <v>2360</v>
      </c>
      <c r="B2363" t="s">
        <v>22</v>
      </c>
      <c r="C2363" t="s">
        <v>1038</v>
      </c>
      <c r="D2363" s="4">
        <v>45400</v>
      </c>
      <c r="E2363" t="s">
        <v>297</v>
      </c>
      <c r="F2363" t="s">
        <v>75</v>
      </c>
      <c r="I2363" s="6">
        <v>1</v>
      </c>
      <c r="J2363" s="6">
        <v>0</v>
      </c>
      <c r="K2363" s="6">
        <v>1</v>
      </c>
      <c r="L2363" s="6">
        <v>0</v>
      </c>
      <c r="M2363" s="6">
        <v>0</v>
      </c>
      <c r="N2363" s="6">
        <v>0</v>
      </c>
      <c r="O2363" s="6">
        <v>0</v>
      </c>
      <c r="P2363" s="6">
        <v>0</v>
      </c>
      <c r="Q2363">
        <v>1</v>
      </c>
      <c r="R2363">
        <f t="shared" si="180"/>
        <v>0</v>
      </c>
      <c r="S2363">
        <f t="shared" si="181"/>
        <v>1</v>
      </c>
      <c r="T2363">
        <f t="shared" si="182"/>
        <v>2</v>
      </c>
      <c r="U2363">
        <f t="shared" si="183"/>
        <v>1</v>
      </c>
      <c r="V2363">
        <f t="shared" si="184"/>
        <v>0</v>
      </c>
    </row>
    <row r="2364" spans="1:22" x14ac:dyDescent="0.25">
      <c r="A2364">
        <v>2361</v>
      </c>
      <c r="B2364" t="s">
        <v>22</v>
      </c>
      <c r="C2364" t="s">
        <v>1038</v>
      </c>
      <c r="D2364" s="4">
        <v>45400</v>
      </c>
      <c r="E2364" t="s">
        <v>1070</v>
      </c>
      <c r="F2364" t="s">
        <v>75</v>
      </c>
      <c r="I2364" s="6"/>
      <c r="J2364" s="6"/>
      <c r="K2364" s="6"/>
      <c r="L2364" s="6"/>
      <c r="M2364" s="6"/>
      <c r="N2364" s="6"/>
      <c r="O2364" s="6"/>
      <c r="P2364" s="6"/>
      <c r="Q2364">
        <v>0</v>
      </c>
      <c r="R2364">
        <f t="shared" si="180"/>
        <v>0</v>
      </c>
      <c r="S2364">
        <f t="shared" si="181"/>
        <v>0</v>
      </c>
      <c r="T2364">
        <f t="shared" si="182"/>
        <v>0</v>
      </c>
      <c r="U2364">
        <f t="shared" si="183"/>
        <v>0</v>
      </c>
      <c r="V2364">
        <f t="shared" si="184"/>
        <v>0</v>
      </c>
    </row>
    <row r="2365" spans="1:22" x14ac:dyDescent="0.25">
      <c r="A2365">
        <v>2362</v>
      </c>
      <c r="B2365" t="s">
        <v>22</v>
      </c>
      <c r="C2365" t="s">
        <v>1038</v>
      </c>
      <c r="D2365" s="4">
        <v>45400</v>
      </c>
      <c r="E2365" t="s">
        <v>1550</v>
      </c>
      <c r="F2365" t="s">
        <v>75</v>
      </c>
      <c r="I2365" s="6"/>
      <c r="J2365" s="6"/>
      <c r="K2365" s="6"/>
      <c r="L2365" s="6"/>
      <c r="M2365" s="6"/>
      <c r="N2365" s="6"/>
      <c r="O2365" s="6"/>
      <c r="P2365" s="6"/>
      <c r="Q2365">
        <v>0</v>
      </c>
      <c r="R2365">
        <f t="shared" si="180"/>
        <v>0</v>
      </c>
      <c r="S2365">
        <f t="shared" si="181"/>
        <v>0</v>
      </c>
      <c r="T2365">
        <f t="shared" si="182"/>
        <v>0</v>
      </c>
      <c r="U2365">
        <f t="shared" si="183"/>
        <v>0</v>
      </c>
      <c r="V2365">
        <f t="shared" si="184"/>
        <v>0</v>
      </c>
    </row>
    <row r="2366" spans="1:22" x14ac:dyDescent="0.25">
      <c r="A2366">
        <v>2363</v>
      </c>
      <c r="B2366" t="s">
        <v>22</v>
      </c>
      <c r="C2366" t="s">
        <v>1038</v>
      </c>
      <c r="D2366" s="4">
        <v>45401</v>
      </c>
      <c r="E2366" t="s">
        <v>298</v>
      </c>
      <c r="F2366" t="s">
        <v>75</v>
      </c>
      <c r="I2366" s="6"/>
      <c r="J2366" s="6"/>
      <c r="K2366" s="6"/>
      <c r="L2366" s="6"/>
      <c r="M2366" s="6"/>
      <c r="N2366" s="6"/>
      <c r="O2366" s="6"/>
      <c r="P2366" s="6"/>
      <c r="Q2366">
        <v>0</v>
      </c>
      <c r="R2366">
        <f t="shared" si="180"/>
        <v>0</v>
      </c>
      <c r="S2366">
        <f t="shared" si="181"/>
        <v>0</v>
      </c>
      <c r="T2366">
        <f t="shared" si="182"/>
        <v>0</v>
      </c>
      <c r="U2366">
        <f t="shared" si="183"/>
        <v>0</v>
      </c>
      <c r="V2366">
        <f t="shared" si="184"/>
        <v>0</v>
      </c>
    </row>
    <row r="2367" spans="1:22" x14ac:dyDescent="0.25">
      <c r="A2367">
        <v>2364</v>
      </c>
      <c r="B2367" t="s">
        <v>22</v>
      </c>
      <c r="C2367" t="s">
        <v>1038</v>
      </c>
      <c r="D2367" s="4">
        <v>45401</v>
      </c>
      <c r="E2367" t="s">
        <v>459</v>
      </c>
      <c r="F2367" t="s">
        <v>75</v>
      </c>
      <c r="I2367" s="6">
        <v>0</v>
      </c>
      <c r="J2367" s="6">
        <v>0</v>
      </c>
      <c r="K2367" s="6">
        <v>0</v>
      </c>
      <c r="L2367" s="6">
        <v>1</v>
      </c>
      <c r="M2367" s="6">
        <v>0</v>
      </c>
      <c r="N2367" s="6">
        <v>0</v>
      </c>
      <c r="O2367" s="6">
        <v>0</v>
      </c>
      <c r="P2367" s="6">
        <v>0</v>
      </c>
      <c r="Q2367">
        <v>1</v>
      </c>
      <c r="R2367">
        <f t="shared" si="180"/>
        <v>0</v>
      </c>
      <c r="S2367">
        <f t="shared" si="181"/>
        <v>1</v>
      </c>
      <c r="T2367">
        <f t="shared" si="182"/>
        <v>1</v>
      </c>
      <c r="U2367">
        <f t="shared" si="183"/>
        <v>1</v>
      </c>
      <c r="V2367">
        <f t="shared" si="184"/>
        <v>0</v>
      </c>
    </row>
    <row r="2368" spans="1:22" x14ac:dyDescent="0.25">
      <c r="A2368">
        <v>2365</v>
      </c>
      <c r="B2368" t="s">
        <v>22</v>
      </c>
      <c r="C2368" t="s">
        <v>1038</v>
      </c>
      <c r="D2368" s="4">
        <v>45401</v>
      </c>
      <c r="E2368" t="s">
        <v>877</v>
      </c>
      <c r="F2368" t="s">
        <v>75</v>
      </c>
      <c r="I2368" s="6">
        <v>0</v>
      </c>
      <c r="J2368" s="6">
        <v>0</v>
      </c>
      <c r="K2368" s="6">
        <v>0</v>
      </c>
      <c r="L2368" s="6">
        <v>1</v>
      </c>
      <c r="M2368" s="6">
        <v>0</v>
      </c>
      <c r="N2368" s="6">
        <v>0</v>
      </c>
      <c r="O2368" s="6">
        <v>0</v>
      </c>
      <c r="P2368" s="6">
        <v>0</v>
      </c>
      <c r="Q2368">
        <v>1</v>
      </c>
      <c r="R2368">
        <f t="shared" si="180"/>
        <v>0</v>
      </c>
      <c r="S2368">
        <f t="shared" si="181"/>
        <v>1</v>
      </c>
      <c r="T2368">
        <f t="shared" si="182"/>
        <v>1</v>
      </c>
      <c r="U2368">
        <f t="shared" si="183"/>
        <v>1</v>
      </c>
      <c r="V2368">
        <f t="shared" si="184"/>
        <v>0</v>
      </c>
    </row>
    <row r="2369" spans="1:22" x14ac:dyDescent="0.25">
      <c r="A2369">
        <v>2366</v>
      </c>
      <c r="B2369" t="s">
        <v>22</v>
      </c>
      <c r="C2369" t="s">
        <v>1038</v>
      </c>
      <c r="D2369" s="4">
        <v>45401</v>
      </c>
      <c r="E2369" t="s">
        <v>1479</v>
      </c>
      <c r="F2369" t="s">
        <v>75</v>
      </c>
      <c r="I2369" s="6">
        <v>1</v>
      </c>
      <c r="J2369" s="6">
        <v>0</v>
      </c>
      <c r="K2369" s="6">
        <v>1</v>
      </c>
      <c r="L2369" s="6">
        <v>1</v>
      </c>
      <c r="M2369" s="6">
        <v>1</v>
      </c>
      <c r="N2369" s="6">
        <v>0</v>
      </c>
      <c r="O2369" s="6">
        <v>0</v>
      </c>
      <c r="P2369" s="6">
        <v>0</v>
      </c>
      <c r="Q2369">
        <v>1</v>
      </c>
      <c r="R2369">
        <f t="shared" si="180"/>
        <v>0</v>
      </c>
      <c r="S2369">
        <f t="shared" si="181"/>
        <v>1</v>
      </c>
      <c r="T2369">
        <f t="shared" si="182"/>
        <v>4</v>
      </c>
      <c r="U2369">
        <f t="shared" si="183"/>
        <v>1</v>
      </c>
      <c r="V2369">
        <f t="shared" si="184"/>
        <v>0</v>
      </c>
    </row>
    <row r="2370" spans="1:22" x14ac:dyDescent="0.25">
      <c r="A2370">
        <v>2367</v>
      </c>
      <c r="B2370" t="s">
        <v>22</v>
      </c>
      <c r="C2370" t="s">
        <v>1038</v>
      </c>
      <c r="D2370" s="4">
        <v>45401</v>
      </c>
      <c r="E2370" t="s">
        <v>1153</v>
      </c>
      <c r="F2370" t="s">
        <v>75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>
        <v>1</v>
      </c>
      <c r="R2370">
        <f t="shared" si="180"/>
        <v>0</v>
      </c>
      <c r="S2370">
        <f t="shared" si="181"/>
        <v>1</v>
      </c>
      <c r="T2370">
        <f t="shared" si="182"/>
        <v>0</v>
      </c>
      <c r="U2370">
        <f t="shared" si="183"/>
        <v>0</v>
      </c>
      <c r="V2370">
        <f t="shared" si="184"/>
        <v>0</v>
      </c>
    </row>
    <row r="2371" spans="1:22" x14ac:dyDescent="0.25">
      <c r="A2371">
        <v>2368</v>
      </c>
      <c r="B2371" t="s">
        <v>22</v>
      </c>
      <c r="C2371" t="s">
        <v>1038</v>
      </c>
      <c r="D2371" s="4">
        <v>45401</v>
      </c>
      <c r="E2371" t="s">
        <v>2152</v>
      </c>
      <c r="F2371" t="s">
        <v>75</v>
      </c>
      <c r="I2371" s="6">
        <v>0</v>
      </c>
      <c r="J2371" s="6">
        <v>0</v>
      </c>
      <c r="K2371" s="6">
        <v>1</v>
      </c>
      <c r="L2371" s="6">
        <v>0</v>
      </c>
      <c r="M2371" s="6">
        <v>1</v>
      </c>
      <c r="N2371" s="6">
        <v>0</v>
      </c>
      <c r="O2371" s="6">
        <v>0</v>
      </c>
      <c r="P2371" s="6">
        <v>0</v>
      </c>
      <c r="Q2371">
        <v>1</v>
      </c>
      <c r="R2371">
        <f t="shared" ref="R2371:R2434" si="185">IF(AND(Q2371=1,F2371="ai_full"),1,0)</f>
        <v>0</v>
      </c>
      <c r="S2371">
        <f t="shared" ref="S2371:S2434" si="186">IF(AND(Q2371=1,F2371="conventional"),1,0)</f>
        <v>1</v>
      </c>
      <c r="T2371">
        <f t="shared" ref="T2371:T2434" si="187">SUM(I2371:P2371)</f>
        <v>2</v>
      </c>
      <c r="U2371">
        <f t="shared" ref="U2371:U2434" si="188">IF(T2371&gt;=1,1,0)</f>
        <v>1</v>
      </c>
      <c r="V2371">
        <f t="shared" ref="V2371:V2434" si="189">IF(F2371="ai_full",1,0)</f>
        <v>0</v>
      </c>
    </row>
    <row r="2372" spans="1:22" x14ac:dyDescent="0.25">
      <c r="A2372">
        <v>2369</v>
      </c>
      <c r="B2372" t="s">
        <v>22</v>
      </c>
      <c r="C2372" t="s">
        <v>1038</v>
      </c>
      <c r="D2372" s="4">
        <v>45401</v>
      </c>
      <c r="E2372" t="s">
        <v>1154</v>
      </c>
      <c r="F2372" t="s">
        <v>75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1</v>
      </c>
      <c r="P2372" s="6">
        <v>0</v>
      </c>
      <c r="Q2372">
        <v>1</v>
      </c>
      <c r="R2372">
        <f t="shared" si="185"/>
        <v>0</v>
      </c>
      <c r="S2372">
        <f t="shared" si="186"/>
        <v>1</v>
      </c>
      <c r="T2372">
        <f t="shared" si="187"/>
        <v>1</v>
      </c>
      <c r="U2372">
        <f t="shared" si="188"/>
        <v>1</v>
      </c>
      <c r="V2372">
        <f t="shared" si="189"/>
        <v>0</v>
      </c>
    </row>
    <row r="2373" spans="1:22" x14ac:dyDescent="0.25">
      <c r="A2373">
        <v>2370</v>
      </c>
      <c r="B2373" t="s">
        <v>22</v>
      </c>
      <c r="C2373" t="s">
        <v>1038</v>
      </c>
      <c r="D2373" s="4">
        <v>45401</v>
      </c>
      <c r="E2373" t="s">
        <v>2429</v>
      </c>
      <c r="F2373" t="s">
        <v>75</v>
      </c>
      <c r="I2373" s="6"/>
      <c r="J2373" s="6"/>
      <c r="K2373" s="6"/>
      <c r="L2373" s="6"/>
      <c r="M2373" s="6"/>
      <c r="N2373" s="6"/>
      <c r="O2373" s="6"/>
      <c r="P2373" s="6"/>
      <c r="Q2373">
        <v>0</v>
      </c>
      <c r="R2373">
        <f t="shared" si="185"/>
        <v>0</v>
      </c>
      <c r="S2373">
        <f t="shared" si="186"/>
        <v>0</v>
      </c>
      <c r="T2373">
        <f t="shared" si="187"/>
        <v>0</v>
      </c>
      <c r="U2373">
        <f t="shared" si="188"/>
        <v>0</v>
      </c>
      <c r="V2373">
        <f t="shared" si="189"/>
        <v>0</v>
      </c>
    </row>
    <row r="2374" spans="1:22" x14ac:dyDescent="0.25">
      <c r="A2374">
        <v>2371</v>
      </c>
      <c r="B2374" t="s">
        <v>22</v>
      </c>
      <c r="C2374" t="s">
        <v>1038</v>
      </c>
      <c r="D2374" s="4">
        <v>45401</v>
      </c>
      <c r="E2374" t="s">
        <v>1376</v>
      </c>
      <c r="F2374" t="s">
        <v>75</v>
      </c>
      <c r="I2374" s="6"/>
      <c r="J2374" s="6"/>
      <c r="K2374" s="6"/>
      <c r="L2374" s="6"/>
      <c r="M2374" s="6"/>
      <c r="N2374" s="6"/>
      <c r="O2374" s="6"/>
      <c r="P2374" s="6"/>
      <c r="Q2374">
        <v>0</v>
      </c>
      <c r="R2374">
        <f t="shared" si="185"/>
        <v>0</v>
      </c>
      <c r="S2374">
        <f t="shared" si="186"/>
        <v>0</v>
      </c>
      <c r="T2374">
        <f t="shared" si="187"/>
        <v>0</v>
      </c>
      <c r="U2374">
        <f t="shared" si="188"/>
        <v>0</v>
      </c>
      <c r="V2374">
        <f t="shared" si="189"/>
        <v>0</v>
      </c>
    </row>
    <row r="2375" spans="1:22" x14ac:dyDescent="0.25">
      <c r="A2375">
        <v>2372</v>
      </c>
      <c r="B2375" t="s">
        <v>22</v>
      </c>
      <c r="C2375" t="s">
        <v>1038</v>
      </c>
      <c r="D2375" s="4">
        <v>45403</v>
      </c>
      <c r="E2375" t="s">
        <v>300</v>
      </c>
      <c r="F2375" t="s">
        <v>75</v>
      </c>
      <c r="I2375" s="6">
        <v>0</v>
      </c>
      <c r="J2375" s="6">
        <v>0</v>
      </c>
      <c r="K2375" s="6">
        <v>0</v>
      </c>
      <c r="L2375" s="6">
        <v>1</v>
      </c>
      <c r="M2375" s="6">
        <v>0</v>
      </c>
      <c r="N2375" s="6">
        <v>0</v>
      </c>
      <c r="O2375" s="6">
        <v>0</v>
      </c>
      <c r="P2375" s="6">
        <v>0</v>
      </c>
      <c r="Q2375">
        <v>1</v>
      </c>
      <c r="R2375">
        <f t="shared" si="185"/>
        <v>0</v>
      </c>
      <c r="S2375">
        <f t="shared" si="186"/>
        <v>1</v>
      </c>
      <c r="T2375">
        <f t="shared" si="187"/>
        <v>1</v>
      </c>
      <c r="U2375">
        <f t="shared" si="188"/>
        <v>1</v>
      </c>
      <c r="V2375">
        <f t="shared" si="189"/>
        <v>0</v>
      </c>
    </row>
    <row r="2376" spans="1:22" x14ac:dyDescent="0.25">
      <c r="A2376">
        <v>2373</v>
      </c>
      <c r="B2376" t="s">
        <v>22</v>
      </c>
      <c r="C2376" t="s">
        <v>1038</v>
      </c>
      <c r="D2376" s="4">
        <v>45403</v>
      </c>
      <c r="E2376" t="s">
        <v>461</v>
      </c>
      <c r="F2376" t="s">
        <v>75</v>
      </c>
      <c r="I2376" s="6"/>
      <c r="J2376" s="6"/>
      <c r="K2376" s="6"/>
      <c r="L2376" s="6"/>
      <c r="M2376" s="6"/>
      <c r="N2376" s="6"/>
      <c r="O2376" s="6"/>
      <c r="P2376" s="6"/>
      <c r="Q2376">
        <v>0</v>
      </c>
      <c r="R2376">
        <f t="shared" si="185"/>
        <v>0</v>
      </c>
      <c r="S2376">
        <f t="shared" si="186"/>
        <v>0</v>
      </c>
      <c r="T2376">
        <f t="shared" si="187"/>
        <v>0</v>
      </c>
      <c r="U2376">
        <f t="shared" si="188"/>
        <v>0</v>
      </c>
      <c r="V2376">
        <f t="shared" si="189"/>
        <v>0</v>
      </c>
    </row>
    <row r="2377" spans="1:22" x14ac:dyDescent="0.25">
      <c r="A2377">
        <v>2374</v>
      </c>
      <c r="B2377" t="s">
        <v>22</v>
      </c>
      <c r="C2377" t="s">
        <v>1038</v>
      </c>
      <c r="D2377" s="4">
        <v>45403</v>
      </c>
      <c r="E2377" t="s">
        <v>462</v>
      </c>
      <c r="F2377" t="s">
        <v>75</v>
      </c>
      <c r="I2377" s="6"/>
      <c r="J2377" s="6"/>
      <c r="K2377" s="6"/>
      <c r="L2377" s="6"/>
      <c r="M2377" s="6"/>
      <c r="N2377" s="6"/>
      <c r="O2377" s="6"/>
      <c r="P2377" s="6"/>
      <c r="Q2377">
        <v>0</v>
      </c>
      <c r="R2377">
        <f t="shared" si="185"/>
        <v>0</v>
      </c>
      <c r="S2377">
        <f t="shared" si="186"/>
        <v>0</v>
      </c>
      <c r="T2377">
        <f t="shared" si="187"/>
        <v>0</v>
      </c>
      <c r="U2377">
        <f t="shared" si="188"/>
        <v>0</v>
      </c>
      <c r="V2377">
        <f t="shared" si="189"/>
        <v>0</v>
      </c>
    </row>
    <row r="2378" spans="1:22" x14ac:dyDescent="0.25">
      <c r="A2378">
        <v>2375</v>
      </c>
      <c r="B2378" t="s">
        <v>22</v>
      </c>
      <c r="C2378" t="s">
        <v>1038</v>
      </c>
      <c r="D2378" s="4">
        <v>45403</v>
      </c>
      <c r="E2378" t="s">
        <v>1810</v>
      </c>
      <c r="F2378" t="s">
        <v>75</v>
      </c>
      <c r="I2378" s="6"/>
      <c r="J2378" s="6"/>
      <c r="K2378" s="6"/>
      <c r="L2378" s="6"/>
      <c r="M2378" s="6"/>
      <c r="N2378" s="6"/>
      <c r="O2378" s="6"/>
      <c r="P2378" s="6"/>
      <c r="Q2378">
        <v>0</v>
      </c>
      <c r="R2378">
        <f t="shared" si="185"/>
        <v>0</v>
      </c>
      <c r="S2378">
        <f t="shared" si="186"/>
        <v>0</v>
      </c>
      <c r="T2378">
        <f t="shared" si="187"/>
        <v>0</v>
      </c>
      <c r="U2378">
        <f t="shared" si="188"/>
        <v>0</v>
      </c>
      <c r="V2378">
        <f t="shared" si="189"/>
        <v>0</v>
      </c>
    </row>
    <row r="2379" spans="1:22" x14ac:dyDescent="0.25">
      <c r="A2379">
        <v>2376</v>
      </c>
      <c r="B2379" t="s">
        <v>22</v>
      </c>
      <c r="C2379" t="s">
        <v>1038</v>
      </c>
      <c r="D2379" s="4">
        <v>45404</v>
      </c>
      <c r="E2379" t="s">
        <v>301</v>
      </c>
      <c r="F2379" t="s">
        <v>75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>
        <v>1</v>
      </c>
      <c r="R2379">
        <f t="shared" si="185"/>
        <v>0</v>
      </c>
      <c r="S2379">
        <f t="shared" si="186"/>
        <v>1</v>
      </c>
      <c r="T2379">
        <f t="shared" si="187"/>
        <v>0</v>
      </c>
      <c r="U2379">
        <f t="shared" si="188"/>
        <v>0</v>
      </c>
      <c r="V2379">
        <f t="shared" si="189"/>
        <v>0</v>
      </c>
    </row>
    <row r="2380" spans="1:22" x14ac:dyDescent="0.25">
      <c r="A2380">
        <v>2377</v>
      </c>
      <c r="B2380" t="s">
        <v>22</v>
      </c>
      <c r="C2380" t="s">
        <v>1038</v>
      </c>
      <c r="D2380" s="4">
        <v>45404</v>
      </c>
      <c r="E2380" t="s">
        <v>302</v>
      </c>
      <c r="F2380" t="s">
        <v>75</v>
      </c>
      <c r="I2380" s="6">
        <v>0</v>
      </c>
      <c r="J2380" s="6">
        <v>0</v>
      </c>
      <c r="K2380" s="6">
        <v>0</v>
      </c>
      <c r="L2380" s="6">
        <v>1</v>
      </c>
      <c r="M2380" s="6">
        <v>0</v>
      </c>
      <c r="N2380" s="6">
        <v>0</v>
      </c>
      <c r="O2380" s="6">
        <v>0</v>
      </c>
      <c r="P2380" s="6">
        <v>0</v>
      </c>
      <c r="Q2380">
        <v>1</v>
      </c>
      <c r="R2380">
        <f t="shared" si="185"/>
        <v>0</v>
      </c>
      <c r="S2380">
        <f t="shared" si="186"/>
        <v>1</v>
      </c>
      <c r="T2380">
        <f t="shared" si="187"/>
        <v>1</v>
      </c>
      <c r="U2380">
        <f t="shared" si="188"/>
        <v>1</v>
      </c>
      <c r="V2380">
        <f t="shared" si="189"/>
        <v>0</v>
      </c>
    </row>
    <row r="2381" spans="1:22" x14ac:dyDescent="0.25">
      <c r="A2381">
        <v>2378</v>
      </c>
      <c r="B2381" t="s">
        <v>22</v>
      </c>
      <c r="C2381" t="s">
        <v>1038</v>
      </c>
      <c r="D2381" s="4">
        <v>45404</v>
      </c>
      <c r="E2381" t="s">
        <v>2031</v>
      </c>
      <c r="F2381" t="s">
        <v>75</v>
      </c>
      <c r="I2381" s="6">
        <v>0</v>
      </c>
      <c r="J2381" s="6">
        <v>1</v>
      </c>
      <c r="K2381" s="6">
        <v>0</v>
      </c>
      <c r="L2381" s="6">
        <v>1</v>
      </c>
      <c r="M2381" s="6">
        <v>0</v>
      </c>
      <c r="N2381" s="6">
        <v>0</v>
      </c>
      <c r="O2381" s="6">
        <v>0</v>
      </c>
      <c r="P2381" s="6">
        <v>0</v>
      </c>
      <c r="Q2381">
        <v>1</v>
      </c>
      <c r="R2381">
        <f t="shared" si="185"/>
        <v>0</v>
      </c>
      <c r="S2381">
        <f t="shared" si="186"/>
        <v>1</v>
      </c>
      <c r="T2381">
        <f t="shared" si="187"/>
        <v>2</v>
      </c>
      <c r="U2381">
        <f t="shared" si="188"/>
        <v>1</v>
      </c>
      <c r="V2381">
        <f t="shared" si="189"/>
        <v>0</v>
      </c>
    </row>
    <row r="2382" spans="1:22" x14ac:dyDescent="0.25">
      <c r="A2382">
        <v>2379</v>
      </c>
      <c r="B2382" t="s">
        <v>22</v>
      </c>
      <c r="C2382" t="s">
        <v>1038</v>
      </c>
      <c r="D2382" s="4">
        <v>45404</v>
      </c>
      <c r="E2382" t="s">
        <v>1155</v>
      </c>
      <c r="F2382" t="s">
        <v>75</v>
      </c>
      <c r="I2382" s="6">
        <v>0</v>
      </c>
      <c r="J2382" s="6">
        <v>0</v>
      </c>
      <c r="K2382" s="6">
        <v>0</v>
      </c>
      <c r="L2382" s="6">
        <v>0</v>
      </c>
      <c r="M2382" s="6">
        <v>1</v>
      </c>
      <c r="N2382" s="6">
        <v>0</v>
      </c>
      <c r="O2382" s="6">
        <v>0</v>
      </c>
      <c r="P2382" s="6">
        <v>0</v>
      </c>
      <c r="Q2382">
        <v>1</v>
      </c>
      <c r="R2382">
        <f t="shared" si="185"/>
        <v>0</v>
      </c>
      <c r="S2382">
        <f t="shared" si="186"/>
        <v>1</v>
      </c>
      <c r="T2382">
        <f t="shared" si="187"/>
        <v>1</v>
      </c>
      <c r="U2382">
        <f t="shared" si="188"/>
        <v>1</v>
      </c>
      <c r="V2382">
        <f t="shared" si="189"/>
        <v>0</v>
      </c>
    </row>
    <row r="2383" spans="1:22" x14ac:dyDescent="0.25">
      <c r="A2383">
        <v>2380</v>
      </c>
      <c r="B2383" t="s">
        <v>22</v>
      </c>
      <c r="C2383" t="s">
        <v>1038</v>
      </c>
      <c r="D2383" s="4">
        <v>45404</v>
      </c>
      <c r="E2383" t="s">
        <v>1156</v>
      </c>
      <c r="F2383" t="s">
        <v>75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>
        <v>1</v>
      </c>
      <c r="R2383">
        <f t="shared" si="185"/>
        <v>0</v>
      </c>
      <c r="S2383">
        <f t="shared" si="186"/>
        <v>1</v>
      </c>
      <c r="T2383">
        <f t="shared" si="187"/>
        <v>0</v>
      </c>
      <c r="U2383">
        <f t="shared" si="188"/>
        <v>0</v>
      </c>
      <c r="V2383">
        <f t="shared" si="189"/>
        <v>0</v>
      </c>
    </row>
    <row r="2384" spans="1:22" x14ac:dyDescent="0.25">
      <c r="A2384">
        <v>2381</v>
      </c>
      <c r="B2384" t="s">
        <v>22</v>
      </c>
      <c r="C2384" t="s">
        <v>1038</v>
      </c>
      <c r="D2384" s="4">
        <v>45404</v>
      </c>
      <c r="E2384" t="s">
        <v>2428</v>
      </c>
      <c r="F2384" t="s">
        <v>75</v>
      </c>
      <c r="I2384" s="6"/>
      <c r="J2384" s="6"/>
      <c r="K2384" s="6"/>
      <c r="L2384" s="6"/>
      <c r="M2384" s="6"/>
      <c r="N2384" s="6"/>
      <c r="O2384" s="6"/>
      <c r="P2384" s="6"/>
      <c r="Q2384">
        <v>0</v>
      </c>
      <c r="R2384">
        <f t="shared" si="185"/>
        <v>0</v>
      </c>
      <c r="S2384">
        <f t="shared" si="186"/>
        <v>0</v>
      </c>
      <c r="T2384">
        <f t="shared" si="187"/>
        <v>0</v>
      </c>
      <c r="U2384">
        <f t="shared" si="188"/>
        <v>0</v>
      </c>
      <c r="V2384">
        <f t="shared" si="189"/>
        <v>0</v>
      </c>
    </row>
    <row r="2385" spans="1:22" x14ac:dyDescent="0.25">
      <c r="A2385">
        <v>2382</v>
      </c>
      <c r="B2385" t="s">
        <v>22</v>
      </c>
      <c r="C2385" t="s">
        <v>1038</v>
      </c>
      <c r="D2385" s="4">
        <v>45405</v>
      </c>
      <c r="E2385" t="s">
        <v>303</v>
      </c>
      <c r="F2385" t="s">
        <v>75</v>
      </c>
      <c r="I2385" s="6">
        <v>0</v>
      </c>
      <c r="J2385" s="6">
        <v>0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>
        <v>1</v>
      </c>
      <c r="R2385">
        <f t="shared" si="185"/>
        <v>0</v>
      </c>
      <c r="S2385">
        <f t="shared" si="186"/>
        <v>1</v>
      </c>
      <c r="T2385">
        <f t="shared" si="187"/>
        <v>0</v>
      </c>
      <c r="U2385">
        <f t="shared" si="188"/>
        <v>0</v>
      </c>
      <c r="V2385">
        <f t="shared" si="189"/>
        <v>0</v>
      </c>
    </row>
    <row r="2386" spans="1:22" x14ac:dyDescent="0.25">
      <c r="A2386">
        <v>2383</v>
      </c>
      <c r="B2386" t="s">
        <v>22</v>
      </c>
      <c r="C2386" t="s">
        <v>1038</v>
      </c>
      <c r="D2386" s="4">
        <v>45405</v>
      </c>
      <c r="E2386" t="s">
        <v>1072</v>
      </c>
      <c r="F2386" t="s">
        <v>75</v>
      </c>
      <c r="I2386" s="6"/>
      <c r="J2386" s="6"/>
      <c r="K2386" s="6"/>
      <c r="L2386" s="6"/>
      <c r="M2386" s="6"/>
      <c r="N2386" s="6"/>
      <c r="O2386" s="6"/>
      <c r="P2386" s="6"/>
      <c r="Q2386">
        <v>0</v>
      </c>
      <c r="R2386">
        <f t="shared" si="185"/>
        <v>0</v>
      </c>
      <c r="S2386">
        <f t="shared" si="186"/>
        <v>0</v>
      </c>
      <c r="T2386">
        <f t="shared" si="187"/>
        <v>0</v>
      </c>
      <c r="U2386">
        <f t="shared" si="188"/>
        <v>0</v>
      </c>
      <c r="V2386">
        <f t="shared" si="189"/>
        <v>0</v>
      </c>
    </row>
    <row r="2387" spans="1:22" x14ac:dyDescent="0.25">
      <c r="A2387">
        <v>2384</v>
      </c>
      <c r="B2387" t="s">
        <v>22</v>
      </c>
      <c r="C2387" t="s">
        <v>1038</v>
      </c>
      <c r="D2387" s="4">
        <v>45405</v>
      </c>
      <c r="E2387" t="s">
        <v>1157</v>
      </c>
      <c r="F2387" t="s">
        <v>75</v>
      </c>
      <c r="I2387" s="6">
        <v>0</v>
      </c>
      <c r="J2387" s="6">
        <v>0</v>
      </c>
      <c r="K2387" s="6">
        <v>0</v>
      </c>
      <c r="L2387" s="6">
        <v>1</v>
      </c>
      <c r="M2387" s="6">
        <v>0</v>
      </c>
      <c r="N2387" s="6">
        <v>0</v>
      </c>
      <c r="O2387" s="6">
        <v>0</v>
      </c>
      <c r="P2387" s="6">
        <v>0</v>
      </c>
      <c r="Q2387">
        <v>1</v>
      </c>
      <c r="R2387">
        <f t="shared" si="185"/>
        <v>0</v>
      </c>
      <c r="S2387">
        <f t="shared" si="186"/>
        <v>1</v>
      </c>
      <c r="T2387">
        <f t="shared" si="187"/>
        <v>1</v>
      </c>
      <c r="U2387">
        <f t="shared" si="188"/>
        <v>1</v>
      </c>
      <c r="V2387">
        <f t="shared" si="189"/>
        <v>0</v>
      </c>
    </row>
    <row r="2388" spans="1:22" x14ac:dyDescent="0.25">
      <c r="A2388">
        <v>2385</v>
      </c>
      <c r="B2388" t="s">
        <v>22</v>
      </c>
      <c r="C2388" t="s">
        <v>1038</v>
      </c>
      <c r="D2388" s="4">
        <v>45405</v>
      </c>
      <c r="E2388" t="s">
        <v>1379</v>
      </c>
      <c r="F2388" t="s">
        <v>75</v>
      </c>
      <c r="I2388" s="6"/>
      <c r="J2388" s="6"/>
      <c r="K2388" s="6"/>
      <c r="L2388" s="6"/>
      <c r="M2388" s="6"/>
      <c r="N2388" s="6"/>
      <c r="O2388" s="6"/>
      <c r="P2388" s="6"/>
      <c r="Q2388">
        <v>0</v>
      </c>
      <c r="R2388">
        <f t="shared" si="185"/>
        <v>0</v>
      </c>
      <c r="S2388">
        <f t="shared" si="186"/>
        <v>0</v>
      </c>
      <c r="T2388">
        <f t="shared" si="187"/>
        <v>0</v>
      </c>
      <c r="U2388">
        <f t="shared" si="188"/>
        <v>0</v>
      </c>
      <c r="V2388">
        <f t="shared" si="189"/>
        <v>0</v>
      </c>
    </row>
    <row r="2389" spans="1:22" x14ac:dyDescent="0.25">
      <c r="A2389">
        <v>2386</v>
      </c>
      <c r="B2389" t="s">
        <v>22</v>
      </c>
      <c r="C2389" t="s">
        <v>1038</v>
      </c>
      <c r="D2389" s="4">
        <v>45405</v>
      </c>
      <c r="E2389" t="s">
        <v>1380</v>
      </c>
      <c r="F2389" t="s">
        <v>75</v>
      </c>
      <c r="I2389" s="6">
        <v>0</v>
      </c>
      <c r="J2389" s="6">
        <v>0</v>
      </c>
      <c r="K2389" s="6">
        <v>0</v>
      </c>
      <c r="L2389" s="6">
        <v>1</v>
      </c>
      <c r="M2389" s="6">
        <v>0</v>
      </c>
      <c r="N2389" s="6">
        <v>0</v>
      </c>
      <c r="O2389" s="6">
        <v>0</v>
      </c>
      <c r="P2389" s="6">
        <v>0</v>
      </c>
      <c r="Q2389">
        <v>1</v>
      </c>
      <c r="R2389">
        <f t="shared" si="185"/>
        <v>0</v>
      </c>
      <c r="S2389">
        <f t="shared" si="186"/>
        <v>1</v>
      </c>
      <c r="T2389">
        <f t="shared" si="187"/>
        <v>1</v>
      </c>
      <c r="U2389">
        <f t="shared" si="188"/>
        <v>1</v>
      </c>
      <c r="V2389">
        <f t="shared" si="189"/>
        <v>0</v>
      </c>
    </row>
    <row r="2390" spans="1:22" x14ac:dyDescent="0.25">
      <c r="A2390">
        <v>2387</v>
      </c>
      <c r="B2390" t="s">
        <v>22</v>
      </c>
      <c r="C2390" t="s">
        <v>1038</v>
      </c>
      <c r="D2390" s="4">
        <v>45406</v>
      </c>
      <c r="E2390" t="s">
        <v>977</v>
      </c>
      <c r="F2390" t="s">
        <v>75</v>
      </c>
      <c r="I2390" s="6"/>
      <c r="J2390" s="6"/>
      <c r="K2390" s="6"/>
      <c r="L2390" s="6"/>
      <c r="M2390" s="6"/>
      <c r="N2390" s="6"/>
      <c r="O2390" s="6"/>
      <c r="P2390" s="6"/>
      <c r="Q2390">
        <v>0</v>
      </c>
      <c r="R2390">
        <f t="shared" si="185"/>
        <v>0</v>
      </c>
      <c r="S2390">
        <f t="shared" si="186"/>
        <v>0</v>
      </c>
      <c r="T2390">
        <f t="shared" si="187"/>
        <v>0</v>
      </c>
      <c r="U2390">
        <f t="shared" si="188"/>
        <v>0</v>
      </c>
      <c r="V2390">
        <f t="shared" si="189"/>
        <v>0</v>
      </c>
    </row>
    <row r="2391" spans="1:22" x14ac:dyDescent="0.25">
      <c r="A2391">
        <v>2388</v>
      </c>
      <c r="B2391" t="s">
        <v>22</v>
      </c>
      <c r="C2391" t="s">
        <v>1038</v>
      </c>
      <c r="D2391" s="4">
        <v>45406</v>
      </c>
      <c r="E2391" t="s">
        <v>979</v>
      </c>
      <c r="F2391" t="s">
        <v>75</v>
      </c>
      <c r="I2391" s="6"/>
      <c r="J2391" s="6"/>
      <c r="K2391" s="6"/>
      <c r="L2391" s="6"/>
      <c r="M2391" s="6"/>
      <c r="N2391" s="6"/>
      <c r="O2391" s="6"/>
      <c r="P2391" s="6"/>
      <c r="Q2391">
        <v>0</v>
      </c>
      <c r="R2391">
        <f t="shared" si="185"/>
        <v>0</v>
      </c>
      <c r="S2391">
        <f t="shared" si="186"/>
        <v>0</v>
      </c>
      <c r="T2391">
        <f t="shared" si="187"/>
        <v>0</v>
      </c>
      <c r="U2391">
        <f t="shared" si="188"/>
        <v>0</v>
      </c>
      <c r="V2391">
        <f t="shared" si="189"/>
        <v>0</v>
      </c>
    </row>
    <row r="2392" spans="1:22" x14ac:dyDescent="0.25">
      <c r="A2392">
        <v>2389</v>
      </c>
      <c r="B2392" t="s">
        <v>22</v>
      </c>
      <c r="C2392" t="s">
        <v>1038</v>
      </c>
      <c r="D2392" s="4">
        <v>45406</v>
      </c>
      <c r="E2392" t="s">
        <v>2150</v>
      </c>
      <c r="F2392" t="s">
        <v>75</v>
      </c>
      <c r="I2392" s="6">
        <v>0</v>
      </c>
      <c r="J2392" s="6">
        <v>0</v>
      </c>
      <c r="K2392" s="6">
        <v>0</v>
      </c>
      <c r="L2392" s="6">
        <v>0</v>
      </c>
      <c r="M2392" s="6">
        <v>1</v>
      </c>
      <c r="N2392" s="6">
        <v>0</v>
      </c>
      <c r="O2392" s="6">
        <v>0</v>
      </c>
      <c r="P2392" s="6">
        <v>0</v>
      </c>
      <c r="Q2392">
        <v>1</v>
      </c>
      <c r="R2392">
        <f t="shared" si="185"/>
        <v>0</v>
      </c>
      <c r="S2392">
        <f t="shared" si="186"/>
        <v>1</v>
      </c>
      <c r="T2392">
        <f t="shared" si="187"/>
        <v>1</v>
      </c>
      <c r="U2392">
        <f t="shared" si="188"/>
        <v>1</v>
      </c>
      <c r="V2392">
        <f t="shared" si="189"/>
        <v>0</v>
      </c>
    </row>
    <row r="2393" spans="1:22" x14ac:dyDescent="0.25">
      <c r="A2393">
        <v>2390</v>
      </c>
      <c r="B2393" t="s">
        <v>22</v>
      </c>
      <c r="C2393" t="s">
        <v>1038</v>
      </c>
      <c r="D2393" s="4">
        <v>45406</v>
      </c>
      <c r="E2393" t="s">
        <v>1073</v>
      </c>
      <c r="F2393" t="s">
        <v>75</v>
      </c>
      <c r="I2393" s="6"/>
      <c r="J2393" s="6"/>
      <c r="K2393" s="6"/>
      <c r="L2393" s="6"/>
      <c r="M2393" s="6"/>
      <c r="N2393" s="6"/>
      <c r="O2393" s="6"/>
      <c r="P2393" s="6"/>
      <c r="Q2393">
        <v>0</v>
      </c>
      <c r="R2393">
        <f t="shared" si="185"/>
        <v>0</v>
      </c>
      <c r="S2393">
        <f t="shared" si="186"/>
        <v>0</v>
      </c>
      <c r="T2393">
        <f t="shared" si="187"/>
        <v>0</v>
      </c>
      <c r="U2393">
        <f t="shared" si="188"/>
        <v>0</v>
      </c>
      <c r="V2393">
        <f t="shared" si="189"/>
        <v>0</v>
      </c>
    </row>
    <row r="2394" spans="1:22" x14ac:dyDescent="0.25">
      <c r="A2394">
        <v>2391</v>
      </c>
      <c r="B2394" t="s">
        <v>22</v>
      </c>
      <c r="C2394" t="s">
        <v>1038</v>
      </c>
      <c r="D2394" s="4">
        <v>45406</v>
      </c>
      <c r="E2394" t="s">
        <v>2149</v>
      </c>
      <c r="F2394" t="s">
        <v>75</v>
      </c>
      <c r="I2394" s="6"/>
      <c r="J2394" s="6"/>
      <c r="K2394" s="6"/>
      <c r="L2394" s="6"/>
      <c r="M2394" s="6"/>
      <c r="N2394" s="6"/>
      <c r="O2394" s="6"/>
      <c r="P2394" s="6"/>
      <c r="Q2394">
        <v>0</v>
      </c>
      <c r="R2394">
        <f t="shared" si="185"/>
        <v>0</v>
      </c>
      <c r="S2394">
        <f t="shared" si="186"/>
        <v>0</v>
      </c>
      <c r="T2394">
        <f t="shared" si="187"/>
        <v>0</v>
      </c>
      <c r="U2394">
        <f t="shared" si="188"/>
        <v>0</v>
      </c>
      <c r="V2394">
        <f t="shared" si="189"/>
        <v>0</v>
      </c>
    </row>
    <row r="2395" spans="1:22" x14ac:dyDescent="0.25">
      <c r="A2395">
        <v>2392</v>
      </c>
      <c r="B2395" t="s">
        <v>22</v>
      </c>
      <c r="C2395" t="s">
        <v>1038</v>
      </c>
      <c r="D2395" s="4">
        <v>45406</v>
      </c>
      <c r="E2395" t="s">
        <v>1382</v>
      </c>
      <c r="F2395" t="s">
        <v>75</v>
      </c>
      <c r="I2395" s="6">
        <v>0</v>
      </c>
      <c r="J2395" s="6">
        <v>0</v>
      </c>
      <c r="K2395" s="6">
        <v>0</v>
      </c>
      <c r="L2395" s="6">
        <v>0</v>
      </c>
      <c r="M2395" s="6">
        <v>1</v>
      </c>
      <c r="N2395" s="6">
        <v>0</v>
      </c>
      <c r="O2395" s="6">
        <v>0</v>
      </c>
      <c r="P2395" s="6">
        <v>0</v>
      </c>
      <c r="Q2395">
        <v>1</v>
      </c>
      <c r="R2395">
        <f t="shared" si="185"/>
        <v>0</v>
      </c>
      <c r="S2395">
        <f t="shared" si="186"/>
        <v>1</v>
      </c>
      <c r="T2395">
        <f t="shared" si="187"/>
        <v>1</v>
      </c>
      <c r="U2395">
        <f t="shared" si="188"/>
        <v>1</v>
      </c>
      <c r="V2395">
        <f t="shared" si="189"/>
        <v>0</v>
      </c>
    </row>
    <row r="2396" spans="1:22" x14ac:dyDescent="0.25">
      <c r="A2396">
        <v>2393</v>
      </c>
      <c r="B2396" t="s">
        <v>22</v>
      </c>
      <c r="C2396" t="s">
        <v>1038</v>
      </c>
      <c r="D2396" s="4">
        <v>45407</v>
      </c>
      <c r="E2396" t="s">
        <v>304</v>
      </c>
      <c r="F2396" t="s">
        <v>75</v>
      </c>
      <c r="I2396" s="6"/>
      <c r="J2396" s="6"/>
      <c r="K2396" s="6"/>
      <c r="L2396" s="6"/>
      <c r="M2396" s="6"/>
      <c r="N2396" s="6"/>
      <c r="O2396" s="6"/>
      <c r="P2396" s="6"/>
      <c r="Q2396">
        <v>0</v>
      </c>
      <c r="R2396">
        <f t="shared" si="185"/>
        <v>0</v>
      </c>
      <c r="S2396">
        <f t="shared" si="186"/>
        <v>0</v>
      </c>
      <c r="T2396">
        <f t="shared" si="187"/>
        <v>0</v>
      </c>
      <c r="U2396">
        <f t="shared" si="188"/>
        <v>0</v>
      </c>
      <c r="V2396">
        <f t="shared" si="189"/>
        <v>0</v>
      </c>
    </row>
    <row r="2397" spans="1:22" x14ac:dyDescent="0.25">
      <c r="A2397">
        <v>2394</v>
      </c>
      <c r="B2397" t="s">
        <v>22</v>
      </c>
      <c r="C2397" t="s">
        <v>1038</v>
      </c>
      <c r="D2397" s="4">
        <v>45407</v>
      </c>
      <c r="E2397" t="s">
        <v>464</v>
      </c>
      <c r="F2397" t="s">
        <v>75</v>
      </c>
      <c r="I2397" s="6"/>
      <c r="J2397" s="6"/>
      <c r="K2397" s="6"/>
      <c r="L2397" s="6"/>
      <c r="M2397" s="6"/>
      <c r="N2397" s="6"/>
      <c r="O2397" s="6"/>
      <c r="P2397" s="6"/>
      <c r="Q2397">
        <v>0</v>
      </c>
      <c r="R2397">
        <f t="shared" si="185"/>
        <v>0</v>
      </c>
      <c r="S2397">
        <f t="shared" si="186"/>
        <v>0</v>
      </c>
      <c r="T2397">
        <f t="shared" si="187"/>
        <v>0</v>
      </c>
      <c r="U2397">
        <f t="shared" si="188"/>
        <v>0</v>
      </c>
      <c r="V2397">
        <f t="shared" si="189"/>
        <v>0</v>
      </c>
    </row>
    <row r="2398" spans="1:22" x14ac:dyDescent="0.25">
      <c r="A2398">
        <v>2395</v>
      </c>
      <c r="B2398" t="s">
        <v>22</v>
      </c>
      <c r="C2398" t="s">
        <v>1038</v>
      </c>
      <c r="D2398" s="4">
        <v>45407</v>
      </c>
      <c r="E2398" t="s">
        <v>1812</v>
      </c>
      <c r="F2398" t="s">
        <v>75</v>
      </c>
      <c r="I2398" s="6">
        <v>0</v>
      </c>
      <c r="J2398" s="6">
        <v>1</v>
      </c>
      <c r="K2398" s="6">
        <v>0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>
        <v>1</v>
      </c>
      <c r="R2398">
        <f t="shared" si="185"/>
        <v>0</v>
      </c>
      <c r="S2398">
        <f t="shared" si="186"/>
        <v>1</v>
      </c>
      <c r="T2398">
        <f t="shared" si="187"/>
        <v>1</v>
      </c>
      <c r="U2398">
        <f t="shared" si="188"/>
        <v>1</v>
      </c>
      <c r="V2398">
        <f t="shared" si="189"/>
        <v>0</v>
      </c>
    </row>
    <row r="2399" spans="1:22" x14ac:dyDescent="0.25">
      <c r="A2399">
        <v>2396</v>
      </c>
      <c r="B2399" t="s">
        <v>22</v>
      </c>
      <c r="C2399" t="s">
        <v>1038</v>
      </c>
      <c r="D2399" s="4">
        <v>45407</v>
      </c>
      <c r="E2399" t="s">
        <v>1553</v>
      </c>
      <c r="F2399" t="s">
        <v>75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>
        <v>1</v>
      </c>
      <c r="R2399">
        <f t="shared" si="185"/>
        <v>0</v>
      </c>
      <c r="S2399">
        <f t="shared" si="186"/>
        <v>1</v>
      </c>
      <c r="T2399">
        <f t="shared" si="187"/>
        <v>0</v>
      </c>
      <c r="U2399">
        <f t="shared" si="188"/>
        <v>0</v>
      </c>
      <c r="V2399">
        <f t="shared" si="189"/>
        <v>0</v>
      </c>
    </row>
    <row r="2400" spans="1:22" x14ac:dyDescent="0.25">
      <c r="A2400">
        <v>2397</v>
      </c>
      <c r="B2400" t="s">
        <v>22</v>
      </c>
      <c r="C2400" t="s">
        <v>1038</v>
      </c>
      <c r="D2400" s="4">
        <v>45407</v>
      </c>
      <c r="E2400" t="s">
        <v>2148</v>
      </c>
      <c r="F2400" t="s">
        <v>75</v>
      </c>
      <c r="I2400" s="6">
        <v>1</v>
      </c>
      <c r="J2400" s="6">
        <v>0</v>
      </c>
      <c r="K2400" s="6">
        <v>1</v>
      </c>
      <c r="L2400" s="6">
        <v>1</v>
      </c>
      <c r="M2400" s="6">
        <v>1</v>
      </c>
      <c r="N2400" s="6">
        <v>0</v>
      </c>
      <c r="O2400" s="6">
        <v>0</v>
      </c>
      <c r="P2400" s="6">
        <v>0</v>
      </c>
      <c r="Q2400">
        <v>1</v>
      </c>
      <c r="R2400">
        <f t="shared" si="185"/>
        <v>0</v>
      </c>
      <c r="S2400">
        <f t="shared" si="186"/>
        <v>1</v>
      </c>
      <c r="T2400">
        <f t="shared" si="187"/>
        <v>4</v>
      </c>
      <c r="U2400">
        <f t="shared" si="188"/>
        <v>1</v>
      </c>
      <c r="V2400">
        <f t="shared" si="189"/>
        <v>0</v>
      </c>
    </row>
    <row r="2401" spans="1:22" x14ac:dyDescent="0.25">
      <c r="A2401">
        <v>2398</v>
      </c>
      <c r="B2401" t="s">
        <v>22</v>
      </c>
      <c r="C2401" t="s">
        <v>1038</v>
      </c>
      <c r="D2401" s="4">
        <v>45408</v>
      </c>
      <c r="E2401" t="s">
        <v>305</v>
      </c>
      <c r="F2401" t="s">
        <v>75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>
        <v>1</v>
      </c>
      <c r="R2401">
        <f t="shared" si="185"/>
        <v>0</v>
      </c>
      <c r="S2401">
        <f t="shared" si="186"/>
        <v>1</v>
      </c>
      <c r="T2401">
        <f t="shared" si="187"/>
        <v>0</v>
      </c>
      <c r="U2401">
        <f t="shared" si="188"/>
        <v>0</v>
      </c>
      <c r="V2401">
        <f t="shared" si="189"/>
        <v>0</v>
      </c>
    </row>
    <row r="2402" spans="1:22" x14ac:dyDescent="0.25">
      <c r="A2402">
        <v>2399</v>
      </c>
      <c r="B2402" t="s">
        <v>22</v>
      </c>
      <c r="C2402" t="s">
        <v>1038</v>
      </c>
      <c r="D2402" s="4">
        <v>45408</v>
      </c>
      <c r="E2402" t="s">
        <v>306</v>
      </c>
      <c r="F2402" t="s">
        <v>413</v>
      </c>
      <c r="G2402">
        <v>115</v>
      </c>
      <c r="I2402" s="6">
        <v>0</v>
      </c>
      <c r="J2402" s="6">
        <v>0</v>
      </c>
      <c r="K2402" s="6">
        <v>0</v>
      </c>
      <c r="L2402" s="6">
        <v>0</v>
      </c>
      <c r="M2402" s="6">
        <v>1</v>
      </c>
      <c r="N2402" s="6">
        <v>0</v>
      </c>
      <c r="O2402" s="6">
        <v>0</v>
      </c>
      <c r="P2402" s="6">
        <v>0</v>
      </c>
      <c r="Q2402">
        <v>1</v>
      </c>
      <c r="R2402">
        <f t="shared" si="185"/>
        <v>1</v>
      </c>
      <c r="S2402">
        <f t="shared" si="186"/>
        <v>0</v>
      </c>
      <c r="T2402">
        <f t="shared" si="187"/>
        <v>1</v>
      </c>
      <c r="U2402">
        <f t="shared" si="188"/>
        <v>1</v>
      </c>
      <c r="V2402">
        <f t="shared" si="189"/>
        <v>1</v>
      </c>
    </row>
    <row r="2403" spans="1:22" x14ac:dyDescent="0.25">
      <c r="A2403">
        <v>2400</v>
      </c>
      <c r="B2403" t="s">
        <v>22</v>
      </c>
      <c r="C2403" t="s">
        <v>1038</v>
      </c>
      <c r="D2403" s="4">
        <v>45408</v>
      </c>
      <c r="E2403" t="s">
        <v>307</v>
      </c>
      <c r="F2403" t="s">
        <v>75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1</v>
      </c>
      <c r="P2403" s="6">
        <v>0</v>
      </c>
      <c r="Q2403">
        <v>1</v>
      </c>
      <c r="R2403">
        <f t="shared" si="185"/>
        <v>0</v>
      </c>
      <c r="S2403">
        <f t="shared" si="186"/>
        <v>1</v>
      </c>
      <c r="T2403">
        <f t="shared" si="187"/>
        <v>1</v>
      </c>
      <c r="U2403">
        <f t="shared" si="188"/>
        <v>1</v>
      </c>
      <c r="V2403">
        <f t="shared" si="189"/>
        <v>0</v>
      </c>
    </row>
    <row r="2404" spans="1:22" x14ac:dyDescent="0.25">
      <c r="A2404">
        <v>2401</v>
      </c>
      <c r="B2404" t="s">
        <v>22</v>
      </c>
      <c r="C2404" t="s">
        <v>1038</v>
      </c>
      <c r="D2404" s="4">
        <v>45408</v>
      </c>
      <c r="E2404" t="s">
        <v>2028</v>
      </c>
      <c r="F2404" t="s">
        <v>75</v>
      </c>
      <c r="I2404" s="6"/>
      <c r="J2404" s="6"/>
      <c r="K2404" s="6"/>
      <c r="L2404" s="6"/>
      <c r="M2404" s="6"/>
      <c r="N2404" s="6"/>
      <c r="O2404" s="6"/>
      <c r="P2404" s="6"/>
      <c r="Q2404">
        <v>0</v>
      </c>
      <c r="R2404">
        <f t="shared" si="185"/>
        <v>0</v>
      </c>
      <c r="S2404">
        <f t="shared" si="186"/>
        <v>0</v>
      </c>
      <c r="T2404">
        <f t="shared" si="187"/>
        <v>0</v>
      </c>
      <c r="U2404">
        <f t="shared" si="188"/>
        <v>0</v>
      </c>
      <c r="V2404">
        <f t="shared" si="189"/>
        <v>0</v>
      </c>
    </row>
    <row r="2405" spans="1:22" x14ac:dyDescent="0.25">
      <c r="A2405">
        <v>2402</v>
      </c>
      <c r="B2405" t="s">
        <v>22</v>
      </c>
      <c r="C2405" t="s">
        <v>1038</v>
      </c>
      <c r="D2405" s="4">
        <v>45408</v>
      </c>
      <c r="E2405" t="s">
        <v>308</v>
      </c>
      <c r="F2405" t="s">
        <v>413</v>
      </c>
      <c r="G2405">
        <v>116</v>
      </c>
      <c r="I2405" s="6">
        <v>1</v>
      </c>
      <c r="J2405" s="6">
        <v>0</v>
      </c>
      <c r="K2405" s="6">
        <v>1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>
        <v>1</v>
      </c>
      <c r="R2405">
        <f t="shared" si="185"/>
        <v>1</v>
      </c>
      <c r="S2405">
        <f t="shared" si="186"/>
        <v>0</v>
      </c>
      <c r="T2405">
        <f t="shared" si="187"/>
        <v>2</v>
      </c>
      <c r="U2405">
        <f t="shared" si="188"/>
        <v>1</v>
      </c>
      <c r="V2405">
        <f t="shared" si="189"/>
        <v>1</v>
      </c>
    </row>
    <row r="2406" spans="1:22" x14ac:dyDescent="0.25">
      <c r="A2406">
        <v>2403</v>
      </c>
      <c r="B2406" t="s">
        <v>22</v>
      </c>
      <c r="C2406" t="s">
        <v>1038</v>
      </c>
      <c r="D2406" s="4">
        <v>45408</v>
      </c>
      <c r="E2406" t="s">
        <v>2146</v>
      </c>
      <c r="F2406" t="s">
        <v>75</v>
      </c>
      <c r="I2406" s="6"/>
      <c r="J2406" s="6"/>
      <c r="K2406" s="6"/>
      <c r="L2406" s="6"/>
      <c r="M2406" s="6"/>
      <c r="N2406" s="6"/>
      <c r="O2406" s="6"/>
      <c r="P2406" s="6"/>
      <c r="Q2406">
        <v>0</v>
      </c>
      <c r="R2406">
        <f t="shared" si="185"/>
        <v>0</v>
      </c>
      <c r="S2406">
        <f t="shared" si="186"/>
        <v>0</v>
      </c>
      <c r="T2406">
        <f t="shared" si="187"/>
        <v>0</v>
      </c>
      <c r="U2406">
        <f t="shared" si="188"/>
        <v>0</v>
      </c>
      <c r="V2406">
        <f t="shared" si="189"/>
        <v>0</v>
      </c>
    </row>
    <row r="2407" spans="1:22" x14ac:dyDescent="0.25">
      <c r="A2407">
        <v>2404</v>
      </c>
      <c r="B2407" t="s">
        <v>22</v>
      </c>
      <c r="C2407" t="s">
        <v>1038</v>
      </c>
      <c r="D2407" s="4">
        <v>45409</v>
      </c>
      <c r="E2407" t="s">
        <v>1480</v>
      </c>
      <c r="F2407" t="s">
        <v>75</v>
      </c>
      <c r="I2407" s="6"/>
      <c r="J2407" s="6"/>
      <c r="K2407" s="6"/>
      <c r="L2407" s="6"/>
      <c r="M2407" s="6"/>
      <c r="N2407" s="6"/>
      <c r="O2407" s="6"/>
      <c r="P2407" s="6"/>
      <c r="Q2407">
        <v>0</v>
      </c>
      <c r="R2407">
        <f t="shared" si="185"/>
        <v>0</v>
      </c>
      <c r="S2407">
        <f t="shared" si="186"/>
        <v>0</v>
      </c>
      <c r="T2407">
        <f t="shared" si="187"/>
        <v>0</v>
      </c>
      <c r="U2407">
        <f t="shared" si="188"/>
        <v>0</v>
      </c>
      <c r="V2407">
        <f t="shared" si="189"/>
        <v>0</v>
      </c>
    </row>
    <row r="2408" spans="1:22" x14ac:dyDescent="0.25">
      <c r="A2408">
        <v>2405</v>
      </c>
      <c r="B2408" t="s">
        <v>22</v>
      </c>
      <c r="C2408" t="s">
        <v>1038</v>
      </c>
      <c r="D2408" s="4">
        <v>45409</v>
      </c>
      <c r="E2408" t="s">
        <v>309</v>
      </c>
      <c r="F2408" t="s">
        <v>75</v>
      </c>
      <c r="I2408" s="6"/>
      <c r="J2408" s="6"/>
      <c r="K2408" s="6"/>
      <c r="L2408" s="6"/>
      <c r="M2408" s="6"/>
      <c r="N2408" s="6"/>
      <c r="O2408" s="6"/>
      <c r="P2408" s="6"/>
      <c r="Q2408">
        <v>0</v>
      </c>
      <c r="R2408">
        <f t="shared" si="185"/>
        <v>0</v>
      </c>
      <c r="S2408">
        <f t="shared" si="186"/>
        <v>0</v>
      </c>
      <c r="T2408">
        <f t="shared" si="187"/>
        <v>0</v>
      </c>
      <c r="U2408">
        <f t="shared" si="188"/>
        <v>0</v>
      </c>
      <c r="V2408">
        <f t="shared" si="189"/>
        <v>0</v>
      </c>
    </row>
    <row r="2409" spans="1:22" x14ac:dyDescent="0.25">
      <c r="A2409">
        <v>2406</v>
      </c>
      <c r="B2409" t="s">
        <v>22</v>
      </c>
      <c r="C2409" t="s">
        <v>1038</v>
      </c>
      <c r="D2409" s="4">
        <v>45409</v>
      </c>
      <c r="E2409" t="s">
        <v>310</v>
      </c>
      <c r="F2409" t="s">
        <v>75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>
        <v>1</v>
      </c>
      <c r="R2409">
        <f t="shared" si="185"/>
        <v>0</v>
      </c>
      <c r="S2409">
        <f t="shared" si="186"/>
        <v>1</v>
      </c>
      <c r="T2409">
        <f t="shared" si="187"/>
        <v>0</v>
      </c>
      <c r="U2409">
        <f t="shared" si="188"/>
        <v>0</v>
      </c>
      <c r="V2409">
        <f t="shared" si="189"/>
        <v>0</v>
      </c>
    </row>
    <row r="2410" spans="1:22" x14ac:dyDescent="0.25">
      <c r="A2410">
        <v>2407</v>
      </c>
      <c r="B2410" t="s">
        <v>22</v>
      </c>
      <c r="C2410" t="s">
        <v>1038</v>
      </c>
      <c r="D2410" s="4">
        <v>45409</v>
      </c>
      <c r="E2410" t="s">
        <v>311</v>
      </c>
      <c r="F2410" t="s">
        <v>75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>
        <v>1</v>
      </c>
      <c r="R2410">
        <f t="shared" si="185"/>
        <v>0</v>
      </c>
      <c r="S2410">
        <f t="shared" si="186"/>
        <v>1</v>
      </c>
      <c r="T2410">
        <f t="shared" si="187"/>
        <v>0</v>
      </c>
      <c r="U2410">
        <f t="shared" si="188"/>
        <v>0</v>
      </c>
      <c r="V2410">
        <f t="shared" si="189"/>
        <v>0</v>
      </c>
    </row>
    <row r="2411" spans="1:22" x14ac:dyDescent="0.25">
      <c r="A2411">
        <v>2408</v>
      </c>
      <c r="B2411" t="s">
        <v>22</v>
      </c>
      <c r="C2411" t="s">
        <v>1038</v>
      </c>
      <c r="D2411" s="4">
        <v>45409</v>
      </c>
      <c r="E2411" t="s">
        <v>1554</v>
      </c>
      <c r="F2411" t="s">
        <v>75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>
        <v>1</v>
      </c>
      <c r="R2411">
        <f t="shared" si="185"/>
        <v>0</v>
      </c>
      <c r="S2411">
        <f t="shared" si="186"/>
        <v>1</v>
      </c>
      <c r="T2411">
        <f t="shared" si="187"/>
        <v>0</v>
      </c>
      <c r="U2411">
        <f t="shared" si="188"/>
        <v>0</v>
      </c>
      <c r="V2411">
        <f t="shared" si="189"/>
        <v>0</v>
      </c>
    </row>
    <row r="2412" spans="1:22" x14ac:dyDescent="0.25">
      <c r="A2412">
        <v>2409</v>
      </c>
      <c r="B2412" t="s">
        <v>22</v>
      </c>
      <c r="C2412" t="s">
        <v>1038</v>
      </c>
      <c r="D2412" s="4">
        <v>45409</v>
      </c>
      <c r="E2412" t="s">
        <v>2728</v>
      </c>
      <c r="F2412" t="s">
        <v>75</v>
      </c>
      <c r="I2412" s="6"/>
      <c r="J2412" s="6"/>
      <c r="K2412" s="6"/>
      <c r="L2412" s="6"/>
      <c r="M2412" s="6"/>
      <c r="N2412" s="6"/>
      <c r="O2412" s="6"/>
      <c r="P2412" s="6"/>
      <c r="Q2412">
        <v>0</v>
      </c>
      <c r="R2412">
        <f t="shared" si="185"/>
        <v>0</v>
      </c>
      <c r="S2412">
        <f t="shared" si="186"/>
        <v>0</v>
      </c>
      <c r="T2412">
        <f t="shared" si="187"/>
        <v>0</v>
      </c>
      <c r="U2412">
        <f t="shared" si="188"/>
        <v>0</v>
      </c>
      <c r="V2412">
        <f t="shared" si="189"/>
        <v>0</v>
      </c>
    </row>
    <row r="2413" spans="1:22" x14ac:dyDescent="0.25">
      <c r="A2413">
        <v>2410</v>
      </c>
      <c r="B2413" t="s">
        <v>22</v>
      </c>
      <c r="C2413" t="s">
        <v>1038</v>
      </c>
      <c r="D2413" s="4">
        <v>45410</v>
      </c>
      <c r="E2413" t="s">
        <v>465</v>
      </c>
      <c r="F2413" t="s">
        <v>75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>
        <v>1</v>
      </c>
      <c r="R2413">
        <f t="shared" si="185"/>
        <v>0</v>
      </c>
      <c r="S2413">
        <f t="shared" si="186"/>
        <v>1</v>
      </c>
      <c r="T2413">
        <f t="shared" si="187"/>
        <v>0</v>
      </c>
      <c r="U2413">
        <f t="shared" si="188"/>
        <v>0</v>
      </c>
      <c r="V2413">
        <f t="shared" si="189"/>
        <v>0</v>
      </c>
    </row>
    <row r="2414" spans="1:22" x14ac:dyDescent="0.25">
      <c r="A2414">
        <v>2411</v>
      </c>
      <c r="B2414" t="s">
        <v>22</v>
      </c>
      <c r="C2414" t="s">
        <v>1038</v>
      </c>
      <c r="D2414" s="4">
        <v>45410</v>
      </c>
      <c r="E2414" t="s">
        <v>466</v>
      </c>
      <c r="F2414" t="s">
        <v>75</v>
      </c>
      <c r="I2414" s="6">
        <v>1</v>
      </c>
      <c r="J2414" s="6">
        <v>1</v>
      </c>
      <c r="K2414" s="6">
        <v>1</v>
      </c>
      <c r="L2414" s="6">
        <v>1</v>
      </c>
      <c r="M2414" s="6">
        <v>1</v>
      </c>
      <c r="N2414" s="6">
        <v>0</v>
      </c>
      <c r="O2414" s="6">
        <v>1</v>
      </c>
      <c r="P2414" s="6">
        <v>0</v>
      </c>
      <c r="Q2414">
        <v>1</v>
      </c>
      <c r="R2414">
        <f t="shared" si="185"/>
        <v>0</v>
      </c>
      <c r="S2414">
        <f t="shared" si="186"/>
        <v>1</v>
      </c>
      <c r="T2414">
        <f t="shared" si="187"/>
        <v>6</v>
      </c>
      <c r="U2414">
        <f t="shared" si="188"/>
        <v>1</v>
      </c>
      <c r="V2414">
        <f t="shared" si="189"/>
        <v>0</v>
      </c>
    </row>
    <row r="2415" spans="1:22" x14ac:dyDescent="0.25">
      <c r="A2415">
        <v>2412</v>
      </c>
      <c r="B2415" t="s">
        <v>22</v>
      </c>
      <c r="C2415" t="s">
        <v>1038</v>
      </c>
      <c r="D2415" s="4">
        <v>45410</v>
      </c>
      <c r="E2415" t="s">
        <v>985</v>
      </c>
      <c r="F2415" t="s">
        <v>75</v>
      </c>
      <c r="I2415" s="6"/>
      <c r="J2415" s="6"/>
      <c r="K2415" s="6"/>
      <c r="L2415" s="6"/>
      <c r="M2415" s="6"/>
      <c r="N2415" s="6"/>
      <c r="O2415" s="6"/>
      <c r="P2415" s="6"/>
      <c r="Q2415">
        <v>0</v>
      </c>
      <c r="R2415">
        <f t="shared" si="185"/>
        <v>0</v>
      </c>
      <c r="S2415">
        <f t="shared" si="186"/>
        <v>0</v>
      </c>
      <c r="T2415">
        <f t="shared" si="187"/>
        <v>0</v>
      </c>
      <c r="U2415">
        <f t="shared" si="188"/>
        <v>0</v>
      </c>
      <c r="V2415">
        <f t="shared" si="189"/>
        <v>0</v>
      </c>
    </row>
    <row r="2416" spans="1:22" x14ac:dyDescent="0.25">
      <c r="A2416">
        <v>2413</v>
      </c>
      <c r="B2416" t="s">
        <v>22</v>
      </c>
      <c r="C2416" t="s">
        <v>1038</v>
      </c>
      <c r="D2416" s="4">
        <v>45410</v>
      </c>
      <c r="E2416" t="s">
        <v>1074</v>
      </c>
      <c r="F2416" t="s">
        <v>75</v>
      </c>
      <c r="I2416" s="6"/>
      <c r="J2416" s="6"/>
      <c r="K2416" s="6"/>
      <c r="L2416" s="6"/>
      <c r="M2416" s="6"/>
      <c r="N2416" s="6"/>
      <c r="O2416" s="6"/>
      <c r="P2416" s="6"/>
      <c r="Q2416">
        <v>0</v>
      </c>
      <c r="R2416">
        <f t="shared" si="185"/>
        <v>0</v>
      </c>
      <c r="S2416">
        <f t="shared" si="186"/>
        <v>0</v>
      </c>
      <c r="T2416">
        <f t="shared" si="187"/>
        <v>0</v>
      </c>
      <c r="U2416">
        <f t="shared" si="188"/>
        <v>0</v>
      </c>
      <c r="V2416">
        <f t="shared" si="189"/>
        <v>0</v>
      </c>
    </row>
    <row r="2417" spans="1:22" x14ac:dyDescent="0.25">
      <c r="A2417">
        <v>2414</v>
      </c>
      <c r="B2417" t="s">
        <v>22</v>
      </c>
      <c r="C2417" t="s">
        <v>1038</v>
      </c>
      <c r="D2417" s="4">
        <v>45410</v>
      </c>
      <c r="E2417" t="s">
        <v>2143</v>
      </c>
      <c r="F2417" t="s">
        <v>75</v>
      </c>
      <c r="I2417" s="6"/>
      <c r="J2417" s="6"/>
      <c r="K2417" s="6"/>
      <c r="L2417" s="6"/>
      <c r="M2417" s="6"/>
      <c r="N2417" s="6"/>
      <c r="O2417" s="6"/>
      <c r="P2417" s="6"/>
      <c r="Q2417">
        <v>0</v>
      </c>
      <c r="R2417">
        <f t="shared" si="185"/>
        <v>0</v>
      </c>
      <c r="S2417">
        <f t="shared" si="186"/>
        <v>0</v>
      </c>
      <c r="T2417">
        <f t="shared" si="187"/>
        <v>0</v>
      </c>
      <c r="U2417">
        <f t="shared" si="188"/>
        <v>0</v>
      </c>
      <c r="V2417">
        <f t="shared" si="189"/>
        <v>0</v>
      </c>
    </row>
    <row r="2418" spans="1:22" x14ac:dyDescent="0.25">
      <c r="A2418">
        <v>2415</v>
      </c>
      <c r="B2418" t="s">
        <v>22</v>
      </c>
      <c r="C2418" t="s">
        <v>1038</v>
      </c>
      <c r="D2418" s="4">
        <v>45410</v>
      </c>
      <c r="E2418" t="s">
        <v>2142</v>
      </c>
      <c r="F2418" t="s">
        <v>75</v>
      </c>
      <c r="I2418" s="6"/>
      <c r="J2418" s="6"/>
      <c r="K2418" s="6"/>
      <c r="L2418" s="6"/>
      <c r="M2418" s="6"/>
      <c r="N2418" s="6"/>
      <c r="O2418" s="6"/>
      <c r="P2418" s="6"/>
      <c r="Q2418">
        <v>0</v>
      </c>
      <c r="R2418">
        <f t="shared" si="185"/>
        <v>0</v>
      </c>
      <c r="S2418">
        <f t="shared" si="186"/>
        <v>0</v>
      </c>
      <c r="T2418">
        <f t="shared" si="187"/>
        <v>0</v>
      </c>
      <c r="U2418">
        <f t="shared" si="188"/>
        <v>0</v>
      </c>
      <c r="V2418">
        <f t="shared" si="189"/>
        <v>0</v>
      </c>
    </row>
    <row r="2419" spans="1:22" x14ac:dyDescent="0.25">
      <c r="A2419">
        <v>2416</v>
      </c>
      <c r="B2419" t="s">
        <v>22</v>
      </c>
      <c r="C2419" t="s">
        <v>1038</v>
      </c>
      <c r="D2419" s="4">
        <v>45410</v>
      </c>
      <c r="E2419" t="s">
        <v>2727</v>
      </c>
      <c r="F2419" t="s">
        <v>75</v>
      </c>
      <c r="I2419" s="6"/>
      <c r="J2419" s="6"/>
      <c r="K2419" s="6"/>
      <c r="L2419" s="6"/>
      <c r="M2419" s="6"/>
      <c r="N2419" s="6"/>
      <c r="O2419" s="6"/>
      <c r="P2419" s="6"/>
      <c r="Q2419">
        <v>0</v>
      </c>
      <c r="R2419">
        <f t="shared" si="185"/>
        <v>0</v>
      </c>
      <c r="S2419">
        <f t="shared" si="186"/>
        <v>0</v>
      </c>
      <c r="T2419">
        <f t="shared" si="187"/>
        <v>0</v>
      </c>
      <c r="U2419">
        <f t="shared" si="188"/>
        <v>0</v>
      </c>
      <c r="V2419">
        <f t="shared" si="189"/>
        <v>0</v>
      </c>
    </row>
    <row r="2420" spans="1:22" x14ac:dyDescent="0.25">
      <c r="A2420">
        <v>2417</v>
      </c>
      <c r="B2420" t="s">
        <v>22</v>
      </c>
      <c r="C2420" t="s">
        <v>1038</v>
      </c>
      <c r="D2420" s="4">
        <v>45411</v>
      </c>
      <c r="E2420" t="s">
        <v>1386</v>
      </c>
      <c r="F2420" t="s">
        <v>75</v>
      </c>
      <c r="I2420" s="6">
        <v>1</v>
      </c>
      <c r="J2420" s="6">
        <v>0</v>
      </c>
      <c r="K2420" s="6">
        <v>1</v>
      </c>
      <c r="L2420" s="6">
        <v>1</v>
      </c>
      <c r="M2420" s="6">
        <v>1</v>
      </c>
      <c r="N2420" s="6">
        <v>0</v>
      </c>
      <c r="O2420" s="6">
        <v>0</v>
      </c>
      <c r="P2420" s="6">
        <v>0</v>
      </c>
      <c r="Q2420">
        <v>1</v>
      </c>
      <c r="R2420">
        <f t="shared" si="185"/>
        <v>0</v>
      </c>
      <c r="S2420">
        <f t="shared" si="186"/>
        <v>1</v>
      </c>
      <c r="T2420">
        <f t="shared" si="187"/>
        <v>4</v>
      </c>
      <c r="U2420">
        <f t="shared" si="188"/>
        <v>1</v>
      </c>
      <c r="V2420">
        <f t="shared" si="189"/>
        <v>0</v>
      </c>
    </row>
    <row r="2421" spans="1:22" x14ac:dyDescent="0.25">
      <c r="A2421">
        <v>2418</v>
      </c>
      <c r="B2421" t="s">
        <v>22</v>
      </c>
      <c r="C2421" t="s">
        <v>1038</v>
      </c>
      <c r="D2421" s="4">
        <v>45411</v>
      </c>
      <c r="E2421" t="s">
        <v>1075</v>
      </c>
      <c r="F2421" t="s">
        <v>75</v>
      </c>
      <c r="I2421" s="6"/>
      <c r="J2421" s="6"/>
      <c r="K2421" s="6"/>
      <c r="L2421" s="6"/>
      <c r="M2421" s="6"/>
      <c r="N2421" s="6"/>
      <c r="O2421" s="6"/>
      <c r="P2421" s="6"/>
      <c r="Q2421">
        <v>0</v>
      </c>
      <c r="R2421">
        <f t="shared" si="185"/>
        <v>0</v>
      </c>
      <c r="S2421">
        <f t="shared" si="186"/>
        <v>0</v>
      </c>
      <c r="T2421">
        <f t="shared" si="187"/>
        <v>0</v>
      </c>
      <c r="U2421">
        <f t="shared" si="188"/>
        <v>0</v>
      </c>
      <c r="V2421">
        <f t="shared" si="189"/>
        <v>0</v>
      </c>
    </row>
    <row r="2422" spans="1:22" x14ac:dyDescent="0.25">
      <c r="A2422">
        <v>2419</v>
      </c>
      <c r="B2422" t="s">
        <v>22</v>
      </c>
      <c r="C2422" t="s">
        <v>1038</v>
      </c>
      <c r="D2422" s="4">
        <v>45411</v>
      </c>
      <c r="E2422" t="s">
        <v>1076</v>
      </c>
      <c r="F2422" t="s">
        <v>75</v>
      </c>
      <c r="I2422" s="6"/>
      <c r="J2422" s="6"/>
      <c r="K2422" s="6"/>
      <c r="L2422" s="6"/>
      <c r="M2422" s="6"/>
      <c r="N2422" s="6"/>
      <c r="O2422" s="6"/>
      <c r="P2422" s="6"/>
      <c r="Q2422">
        <v>0</v>
      </c>
      <c r="R2422">
        <f t="shared" si="185"/>
        <v>0</v>
      </c>
      <c r="S2422">
        <f t="shared" si="186"/>
        <v>0</v>
      </c>
      <c r="T2422">
        <f t="shared" si="187"/>
        <v>0</v>
      </c>
      <c r="U2422">
        <f t="shared" si="188"/>
        <v>0</v>
      </c>
      <c r="V2422">
        <f t="shared" si="189"/>
        <v>0</v>
      </c>
    </row>
    <row r="2423" spans="1:22" x14ac:dyDescent="0.25">
      <c r="A2423">
        <v>2420</v>
      </c>
      <c r="B2423" t="s">
        <v>22</v>
      </c>
      <c r="C2423" t="s">
        <v>1038</v>
      </c>
      <c r="D2423" s="4">
        <v>45411</v>
      </c>
      <c r="E2423" t="s">
        <v>1158</v>
      </c>
      <c r="F2423" t="s">
        <v>75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>
        <v>1</v>
      </c>
      <c r="R2423">
        <f t="shared" si="185"/>
        <v>0</v>
      </c>
      <c r="S2423">
        <f t="shared" si="186"/>
        <v>1</v>
      </c>
      <c r="T2423">
        <f t="shared" si="187"/>
        <v>0</v>
      </c>
      <c r="U2423">
        <f t="shared" si="188"/>
        <v>0</v>
      </c>
      <c r="V2423">
        <f t="shared" si="189"/>
        <v>0</v>
      </c>
    </row>
    <row r="2424" spans="1:22" x14ac:dyDescent="0.25">
      <c r="A2424">
        <v>2421</v>
      </c>
      <c r="B2424" t="s">
        <v>22</v>
      </c>
      <c r="C2424" t="s">
        <v>1038</v>
      </c>
      <c r="D2424" s="4">
        <v>45411</v>
      </c>
      <c r="E2424" t="s">
        <v>1077</v>
      </c>
      <c r="F2424" t="s">
        <v>75</v>
      </c>
      <c r="I2424" s="6"/>
      <c r="J2424" s="6"/>
      <c r="K2424" s="6"/>
      <c r="L2424" s="6"/>
      <c r="M2424" s="6"/>
      <c r="N2424" s="6"/>
      <c r="O2424" s="6"/>
      <c r="P2424" s="6"/>
      <c r="Q2424">
        <v>0</v>
      </c>
      <c r="R2424">
        <f t="shared" si="185"/>
        <v>0</v>
      </c>
      <c r="S2424">
        <f t="shared" si="186"/>
        <v>0</v>
      </c>
      <c r="T2424">
        <f t="shared" si="187"/>
        <v>0</v>
      </c>
      <c r="U2424">
        <f t="shared" si="188"/>
        <v>0</v>
      </c>
      <c r="V2424">
        <f t="shared" si="189"/>
        <v>0</v>
      </c>
    </row>
    <row r="2425" spans="1:22" x14ac:dyDescent="0.25">
      <c r="A2425">
        <v>2422</v>
      </c>
      <c r="B2425" t="s">
        <v>22</v>
      </c>
      <c r="C2425" t="s">
        <v>1038</v>
      </c>
      <c r="D2425" s="4">
        <v>45411</v>
      </c>
      <c r="E2425" t="s">
        <v>1481</v>
      </c>
      <c r="F2425" t="s">
        <v>75</v>
      </c>
      <c r="I2425" s="6"/>
      <c r="J2425" s="6"/>
      <c r="K2425" s="6"/>
      <c r="L2425" s="6"/>
      <c r="M2425" s="6"/>
      <c r="N2425" s="6"/>
      <c r="O2425" s="6"/>
      <c r="P2425" s="6"/>
      <c r="Q2425">
        <v>0</v>
      </c>
      <c r="R2425">
        <f t="shared" si="185"/>
        <v>0</v>
      </c>
      <c r="S2425">
        <f t="shared" si="186"/>
        <v>0</v>
      </c>
      <c r="T2425">
        <f t="shared" si="187"/>
        <v>0</v>
      </c>
      <c r="U2425">
        <f t="shared" si="188"/>
        <v>0</v>
      </c>
      <c r="V2425">
        <f t="shared" si="189"/>
        <v>0</v>
      </c>
    </row>
    <row r="2426" spans="1:22" x14ac:dyDescent="0.25">
      <c r="A2426">
        <v>2423</v>
      </c>
      <c r="B2426" t="s">
        <v>22</v>
      </c>
      <c r="C2426" t="s">
        <v>1038</v>
      </c>
      <c r="D2426" s="4">
        <v>45412</v>
      </c>
      <c r="E2426" t="s">
        <v>1159</v>
      </c>
      <c r="F2426" t="s">
        <v>413</v>
      </c>
      <c r="G2426">
        <v>117</v>
      </c>
      <c r="I2426" s="6">
        <v>0</v>
      </c>
      <c r="J2426" s="6">
        <v>0</v>
      </c>
      <c r="K2426" s="6">
        <v>1</v>
      </c>
      <c r="L2426" s="6">
        <v>0</v>
      </c>
      <c r="M2426" s="6">
        <v>0</v>
      </c>
      <c r="N2426" s="6">
        <v>0</v>
      </c>
      <c r="O2426" s="6">
        <v>1</v>
      </c>
      <c r="P2426" s="6">
        <v>0</v>
      </c>
      <c r="Q2426">
        <v>1</v>
      </c>
      <c r="R2426">
        <f t="shared" si="185"/>
        <v>1</v>
      </c>
      <c r="S2426">
        <f t="shared" si="186"/>
        <v>0</v>
      </c>
      <c r="T2426">
        <f t="shared" si="187"/>
        <v>2</v>
      </c>
      <c r="U2426">
        <f t="shared" si="188"/>
        <v>1</v>
      </c>
      <c r="V2426">
        <f t="shared" si="189"/>
        <v>1</v>
      </c>
    </row>
    <row r="2427" spans="1:22" x14ac:dyDescent="0.25">
      <c r="A2427">
        <v>2424</v>
      </c>
      <c r="B2427" t="s">
        <v>22</v>
      </c>
      <c r="C2427" t="s">
        <v>1038</v>
      </c>
      <c r="D2427" s="4">
        <v>45412</v>
      </c>
      <c r="E2427" t="s">
        <v>880</v>
      </c>
      <c r="F2427" t="s">
        <v>75</v>
      </c>
      <c r="I2427" s="6">
        <v>1</v>
      </c>
      <c r="J2427" s="6">
        <v>0</v>
      </c>
      <c r="K2427" s="6">
        <v>1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>
        <v>1</v>
      </c>
      <c r="R2427">
        <f t="shared" si="185"/>
        <v>0</v>
      </c>
      <c r="S2427">
        <f t="shared" si="186"/>
        <v>1</v>
      </c>
      <c r="T2427">
        <f t="shared" si="187"/>
        <v>2</v>
      </c>
      <c r="U2427">
        <f t="shared" si="188"/>
        <v>1</v>
      </c>
      <c r="V2427">
        <f t="shared" si="189"/>
        <v>0</v>
      </c>
    </row>
    <row r="2428" spans="1:22" x14ac:dyDescent="0.25">
      <c r="A2428">
        <v>2425</v>
      </c>
      <c r="B2428" t="s">
        <v>22</v>
      </c>
      <c r="C2428" t="s">
        <v>1038</v>
      </c>
      <c r="D2428" s="4">
        <v>45412</v>
      </c>
      <c r="E2428" t="s">
        <v>1160</v>
      </c>
      <c r="F2428" t="s">
        <v>413</v>
      </c>
      <c r="G2428">
        <v>118</v>
      </c>
      <c r="I2428" s="6">
        <v>1</v>
      </c>
      <c r="J2428" s="6">
        <v>0</v>
      </c>
      <c r="K2428" s="6">
        <v>1</v>
      </c>
      <c r="L2428" s="6">
        <v>0</v>
      </c>
      <c r="M2428" s="6">
        <v>0</v>
      </c>
      <c r="N2428" s="6">
        <v>0</v>
      </c>
      <c r="O2428" s="6">
        <v>1</v>
      </c>
      <c r="P2428" s="6">
        <v>0</v>
      </c>
      <c r="Q2428">
        <v>1</v>
      </c>
      <c r="R2428">
        <f t="shared" si="185"/>
        <v>1</v>
      </c>
      <c r="S2428">
        <f t="shared" si="186"/>
        <v>0</v>
      </c>
      <c r="T2428">
        <f t="shared" si="187"/>
        <v>3</v>
      </c>
      <c r="U2428">
        <f t="shared" si="188"/>
        <v>1</v>
      </c>
      <c r="V2428">
        <f t="shared" si="189"/>
        <v>1</v>
      </c>
    </row>
    <row r="2429" spans="1:22" x14ac:dyDescent="0.25">
      <c r="A2429">
        <v>2426</v>
      </c>
      <c r="B2429" t="s">
        <v>22</v>
      </c>
      <c r="C2429" t="s">
        <v>1038</v>
      </c>
      <c r="D2429" s="4">
        <v>45412</v>
      </c>
      <c r="E2429" t="s">
        <v>2027</v>
      </c>
      <c r="F2429" t="s">
        <v>75</v>
      </c>
      <c r="I2429" s="6"/>
      <c r="J2429" s="6"/>
      <c r="K2429" s="6"/>
      <c r="L2429" s="6"/>
      <c r="M2429" s="6"/>
      <c r="N2429" s="6"/>
      <c r="O2429" s="6"/>
      <c r="P2429" s="6"/>
      <c r="Q2429">
        <v>0</v>
      </c>
      <c r="R2429">
        <f t="shared" si="185"/>
        <v>0</v>
      </c>
      <c r="S2429">
        <f t="shared" si="186"/>
        <v>0</v>
      </c>
      <c r="T2429">
        <f t="shared" si="187"/>
        <v>0</v>
      </c>
      <c r="U2429">
        <f t="shared" si="188"/>
        <v>0</v>
      </c>
      <c r="V2429">
        <f t="shared" si="189"/>
        <v>0</v>
      </c>
    </row>
    <row r="2430" spans="1:22" x14ac:dyDescent="0.25">
      <c r="A2430">
        <v>2427</v>
      </c>
      <c r="B2430" t="s">
        <v>22</v>
      </c>
      <c r="C2430" t="s">
        <v>1038</v>
      </c>
      <c r="D2430" s="4">
        <v>45413</v>
      </c>
      <c r="E2430" t="s">
        <v>467</v>
      </c>
      <c r="F2430" t="s">
        <v>75</v>
      </c>
      <c r="I2430" s="6"/>
      <c r="J2430" s="6"/>
      <c r="K2430" s="6"/>
      <c r="L2430" s="6"/>
      <c r="M2430" s="6"/>
      <c r="N2430" s="6"/>
      <c r="O2430" s="6"/>
      <c r="P2430" s="6"/>
      <c r="Q2430">
        <v>0</v>
      </c>
      <c r="R2430">
        <f t="shared" si="185"/>
        <v>0</v>
      </c>
      <c r="S2430">
        <f t="shared" si="186"/>
        <v>0</v>
      </c>
      <c r="T2430">
        <f t="shared" si="187"/>
        <v>0</v>
      </c>
      <c r="U2430">
        <f t="shared" si="188"/>
        <v>0</v>
      </c>
      <c r="V2430">
        <f t="shared" si="189"/>
        <v>0</v>
      </c>
    </row>
    <row r="2431" spans="1:22" x14ac:dyDescent="0.25">
      <c r="A2431">
        <v>2428</v>
      </c>
      <c r="B2431" t="s">
        <v>22</v>
      </c>
      <c r="C2431" t="s">
        <v>1038</v>
      </c>
      <c r="D2431" s="4">
        <v>45413</v>
      </c>
      <c r="E2431" t="s">
        <v>2420</v>
      </c>
      <c r="F2431" t="s">
        <v>75</v>
      </c>
      <c r="I2431" s="6"/>
      <c r="J2431" s="6"/>
      <c r="K2431" s="6"/>
      <c r="L2431" s="6"/>
      <c r="M2431" s="6"/>
      <c r="N2431" s="6"/>
      <c r="O2431" s="6"/>
      <c r="P2431" s="6"/>
      <c r="Q2431">
        <v>0</v>
      </c>
      <c r="R2431">
        <f t="shared" si="185"/>
        <v>0</v>
      </c>
      <c r="S2431">
        <f t="shared" si="186"/>
        <v>0</v>
      </c>
      <c r="T2431">
        <f t="shared" si="187"/>
        <v>0</v>
      </c>
      <c r="U2431">
        <f t="shared" si="188"/>
        <v>0</v>
      </c>
      <c r="V2431">
        <f t="shared" si="189"/>
        <v>0</v>
      </c>
    </row>
    <row r="2432" spans="1:22" x14ac:dyDescent="0.25">
      <c r="A2432">
        <v>2429</v>
      </c>
      <c r="B2432" t="s">
        <v>22</v>
      </c>
      <c r="C2432" t="s">
        <v>1038</v>
      </c>
      <c r="D2432" s="4">
        <v>45413</v>
      </c>
      <c r="E2432" t="s">
        <v>2419</v>
      </c>
      <c r="F2432" t="s">
        <v>75</v>
      </c>
      <c r="I2432" s="6"/>
      <c r="J2432" s="6"/>
      <c r="K2432" s="6"/>
      <c r="L2432" s="6"/>
      <c r="M2432" s="6"/>
      <c r="N2432" s="6"/>
      <c r="O2432" s="6"/>
      <c r="P2432" s="6"/>
      <c r="Q2432">
        <v>0</v>
      </c>
      <c r="R2432">
        <f t="shared" si="185"/>
        <v>0</v>
      </c>
      <c r="S2432">
        <f t="shared" si="186"/>
        <v>0</v>
      </c>
      <c r="T2432">
        <f t="shared" si="187"/>
        <v>0</v>
      </c>
      <c r="U2432">
        <f t="shared" si="188"/>
        <v>0</v>
      </c>
      <c r="V2432">
        <f t="shared" si="189"/>
        <v>0</v>
      </c>
    </row>
    <row r="2433" spans="1:22" x14ac:dyDescent="0.25">
      <c r="A2433">
        <v>2430</v>
      </c>
      <c r="B2433" t="s">
        <v>22</v>
      </c>
      <c r="C2433" t="s">
        <v>1038</v>
      </c>
      <c r="D2433" s="4">
        <v>45413</v>
      </c>
      <c r="E2433" t="s">
        <v>1161</v>
      </c>
      <c r="F2433" t="s">
        <v>413</v>
      </c>
      <c r="G2433">
        <v>119</v>
      </c>
      <c r="I2433" s="6">
        <v>0</v>
      </c>
      <c r="J2433" s="6">
        <v>0</v>
      </c>
      <c r="K2433" s="6">
        <v>0</v>
      </c>
      <c r="L2433" s="6">
        <v>1</v>
      </c>
      <c r="M2433" s="6">
        <v>0</v>
      </c>
      <c r="N2433" s="6">
        <v>0</v>
      </c>
      <c r="O2433" s="6">
        <v>0</v>
      </c>
      <c r="P2433" s="6">
        <v>0</v>
      </c>
      <c r="Q2433">
        <v>1</v>
      </c>
      <c r="R2433">
        <f t="shared" si="185"/>
        <v>1</v>
      </c>
      <c r="S2433">
        <f t="shared" si="186"/>
        <v>0</v>
      </c>
      <c r="T2433">
        <f t="shared" si="187"/>
        <v>1</v>
      </c>
      <c r="U2433">
        <f t="shared" si="188"/>
        <v>1</v>
      </c>
      <c r="V2433">
        <f t="shared" si="189"/>
        <v>1</v>
      </c>
    </row>
    <row r="2434" spans="1:22" x14ac:dyDescent="0.25">
      <c r="A2434">
        <v>2431</v>
      </c>
      <c r="B2434" t="s">
        <v>22</v>
      </c>
      <c r="C2434" t="s">
        <v>1038</v>
      </c>
      <c r="D2434" s="4">
        <v>45413</v>
      </c>
      <c r="E2434" t="s">
        <v>468</v>
      </c>
      <c r="F2434" t="s">
        <v>75</v>
      </c>
      <c r="I2434" s="6"/>
      <c r="J2434" s="6"/>
      <c r="K2434" s="6"/>
      <c r="L2434" s="6"/>
      <c r="M2434" s="6"/>
      <c r="N2434" s="6"/>
      <c r="O2434" s="6"/>
      <c r="P2434" s="6"/>
      <c r="Q2434">
        <v>0</v>
      </c>
      <c r="R2434">
        <f t="shared" si="185"/>
        <v>0</v>
      </c>
      <c r="S2434">
        <f t="shared" si="186"/>
        <v>0</v>
      </c>
      <c r="T2434">
        <f t="shared" si="187"/>
        <v>0</v>
      </c>
      <c r="U2434">
        <f t="shared" si="188"/>
        <v>0</v>
      </c>
      <c r="V2434">
        <f t="shared" si="189"/>
        <v>0</v>
      </c>
    </row>
    <row r="2435" spans="1:22" x14ac:dyDescent="0.25">
      <c r="A2435">
        <v>2432</v>
      </c>
      <c r="B2435" t="s">
        <v>22</v>
      </c>
      <c r="C2435" t="s">
        <v>1038</v>
      </c>
      <c r="D2435" s="4">
        <v>45413</v>
      </c>
      <c r="E2435" t="s">
        <v>1815</v>
      </c>
      <c r="F2435" t="s">
        <v>75</v>
      </c>
      <c r="I2435" s="6"/>
      <c r="J2435" s="6"/>
      <c r="K2435" s="6"/>
      <c r="L2435" s="6"/>
      <c r="M2435" s="6"/>
      <c r="N2435" s="6"/>
      <c r="O2435" s="6"/>
      <c r="P2435" s="6"/>
      <c r="Q2435">
        <v>0</v>
      </c>
      <c r="R2435">
        <f t="shared" ref="R2435:R2498" si="190">IF(AND(Q2435=1,F2435="ai_full"),1,0)</f>
        <v>0</v>
      </c>
      <c r="S2435">
        <f t="shared" ref="S2435:S2498" si="191">IF(AND(Q2435=1,F2435="conventional"),1,0)</f>
        <v>0</v>
      </c>
      <c r="T2435">
        <f t="shared" ref="T2435:T2498" si="192">SUM(I2435:P2435)</f>
        <v>0</v>
      </c>
      <c r="U2435">
        <f t="shared" ref="U2435:U2498" si="193">IF(T2435&gt;=1,1,0)</f>
        <v>0</v>
      </c>
      <c r="V2435">
        <f t="shared" ref="V2435:V2498" si="194">IF(F2435="ai_full",1,0)</f>
        <v>0</v>
      </c>
    </row>
    <row r="2436" spans="1:22" x14ac:dyDescent="0.25">
      <c r="A2436">
        <v>2433</v>
      </c>
      <c r="B2436" t="s">
        <v>22</v>
      </c>
      <c r="C2436" t="s">
        <v>1038</v>
      </c>
      <c r="D2436" s="4">
        <v>45413</v>
      </c>
      <c r="E2436" t="s">
        <v>2026</v>
      </c>
      <c r="F2436" t="s">
        <v>75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>
        <v>1</v>
      </c>
      <c r="R2436">
        <f t="shared" si="190"/>
        <v>0</v>
      </c>
      <c r="S2436">
        <f t="shared" si="191"/>
        <v>1</v>
      </c>
      <c r="T2436">
        <f t="shared" si="192"/>
        <v>0</v>
      </c>
      <c r="U2436">
        <f t="shared" si="193"/>
        <v>0</v>
      </c>
      <c r="V2436">
        <f t="shared" si="194"/>
        <v>0</v>
      </c>
    </row>
    <row r="2437" spans="1:22" x14ac:dyDescent="0.25">
      <c r="A2437">
        <v>2434</v>
      </c>
      <c r="B2437" t="s">
        <v>22</v>
      </c>
      <c r="C2437" t="s">
        <v>1038</v>
      </c>
      <c r="D2437" s="4">
        <v>45413</v>
      </c>
      <c r="E2437" t="s">
        <v>1162</v>
      </c>
      <c r="F2437" t="s">
        <v>75</v>
      </c>
      <c r="I2437" s="6">
        <v>1</v>
      </c>
      <c r="J2437" s="6">
        <v>0</v>
      </c>
      <c r="K2437" s="6">
        <v>1</v>
      </c>
      <c r="L2437" s="6">
        <v>1</v>
      </c>
      <c r="M2437" s="6">
        <v>0</v>
      </c>
      <c r="N2437" s="6">
        <v>0</v>
      </c>
      <c r="O2437" s="6">
        <v>0</v>
      </c>
      <c r="P2437" s="6">
        <v>0</v>
      </c>
      <c r="Q2437">
        <v>1</v>
      </c>
      <c r="R2437">
        <f t="shared" si="190"/>
        <v>0</v>
      </c>
      <c r="S2437">
        <f t="shared" si="191"/>
        <v>1</v>
      </c>
      <c r="T2437">
        <f t="shared" si="192"/>
        <v>3</v>
      </c>
      <c r="U2437">
        <f t="shared" si="193"/>
        <v>1</v>
      </c>
      <c r="V2437">
        <f t="shared" si="194"/>
        <v>0</v>
      </c>
    </row>
    <row r="2438" spans="1:22" x14ac:dyDescent="0.25">
      <c r="A2438">
        <v>2435</v>
      </c>
      <c r="B2438" t="s">
        <v>22</v>
      </c>
      <c r="C2438" t="s">
        <v>1038</v>
      </c>
      <c r="D2438" s="4">
        <v>45413</v>
      </c>
      <c r="E2438" t="s">
        <v>1393</v>
      </c>
      <c r="F2438" t="s">
        <v>75</v>
      </c>
      <c r="I2438" s="6"/>
      <c r="J2438" s="6"/>
      <c r="K2438" s="6"/>
      <c r="L2438" s="6"/>
      <c r="M2438" s="6"/>
      <c r="N2438" s="6"/>
      <c r="O2438" s="6"/>
      <c r="P2438" s="6"/>
      <c r="Q2438">
        <v>0</v>
      </c>
      <c r="R2438">
        <f t="shared" si="190"/>
        <v>0</v>
      </c>
      <c r="S2438">
        <f t="shared" si="191"/>
        <v>0</v>
      </c>
      <c r="T2438">
        <f t="shared" si="192"/>
        <v>0</v>
      </c>
      <c r="U2438">
        <f t="shared" si="193"/>
        <v>0</v>
      </c>
      <c r="V2438">
        <f t="shared" si="194"/>
        <v>0</v>
      </c>
    </row>
    <row r="2439" spans="1:22" x14ac:dyDescent="0.25">
      <c r="A2439">
        <v>2436</v>
      </c>
      <c r="B2439" t="s">
        <v>22</v>
      </c>
      <c r="C2439" t="s">
        <v>1038</v>
      </c>
      <c r="D2439" s="4">
        <v>45413</v>
      </c>
      <c r="E2439" t="s">
        <v>2025</v>
      </c>
      <c r="F2439" t="s">
        <v>75</v>
      </c>
      <c r="I2439" s="6"/>
      <c r="J2439" s="6"/>
      <c r="K2439" s="6"/>
      <c r="L2439" s="6"/>
      <c r="M2439" s="6"/>
      <c r="N2439" s="6"/>
      <c r="O2439" s="6"/>
      <c r="P2439" s="6"/>
      <c r="Q2439">
        <v>0</v>
      </c>
      <c r="R2439">
        <f t="shared" si="190"/>
        <v>0</v>
      </c>
      <c r="S2439">
        <f t="shared" si="191"/>
        <v>0</v>
      </c>
      <c r="T2439">
        <f t="shared" si="192"/>
        <v>0</v>
      </c>
      <c r="U2439">
        <f t="shared" si="193"/>
        <v>0</v>
      </c>
      <c r="V2439">
        <f t="shared" si="194"/>
        <v>0</v>
      </c>
    </row>
    <row r="2440" spans="1:22" x14ac:dyDescent="0.25">
      <c r="A2440">
        <v>2437</v>
      </c>
      <c r="B2440" t="s">
        <v>22</v>
      </c>
      <c r="C2440" t="s">
        <v>1038</v>
      </c>
      <c r="D2440" s="4">
        <v>45413</v>
      </c>
      <c r="E2440" t="s">
        <v>2024</v>
      </c>
      <c r="F2440" t="s">
        <v>75</v>
      </c>
      <c r="I2440" s="6"/>
      <c r="J2440" s="6"/>
      <c r="K2440" s="6"/>
      <c r="L2440" s="6"/>
      <c r="M2440" s="6"/>
      <c r="N2440" s="6"/>
      <c r="O2440" s="6"/>
      <c r="P2440" s="6"/>
      <c r="Q2440">
        <v>0</v>
      </c>
      <c r="R2440">
        <f t="shared" si="190"/>
        <v>0</v>
      </c>
      <c r="S2440">
        <f t="shared" si="191"/>
        <v>0</v>
      </c>
      <c r="T2440">
        <f t="shared" si="192"/>
        <v>0</v>
      </c>
      <c r="U2440">
        <f t="shared" si="193"/>
        <v>0</v>
      </c>
      <c r="V2440">
        <f t="shared" si="194"/>
        <v>0</v>
      </c>
    </row>
    <row r="2441" spans="1:22" x14ac:dyDescent="0.25">
      <c r="A2441">
        <v>2438</v>
      </c>
      <c r="B2441" t="s">
        <v>22</v>
      </c>
      <c r="C2441" t="s">
        <v>1038</v>
      </c>
      <c r="D2441" s="4">
        <v>45413</v>
      </c>
      <c r="E2441" t="s">
        <v>2416</v>
      </c>
      <c r="F2441" t="s">
        <v>75</v>
      </c>
      <c r="I2441" s="6">
        <v>1</v>
      </c>
      <c r="J2441" s="6">
        <v>0</v>
      </c>
      <c r="K2441" s="6">
        <v>1</v>
      </c>
      <c r="L2441" s="6">
        <v>1</v>
      </c>
      <c r="M2441" s="6">
        <v>1</v>
      </c>
      <c r="N2441" s="6">
        <v>1</v>
      </c>
      <c r="O2441" s="6">
        <v>0</v>
      </c>
      <c r="P2441" s="6">
        <v>0</v>
      </c>
      <c r="Q2441">
        <v>1</v>
      </c>
      <c r="R2441">
        <f t="shared" si="190"/>
        <v>0</v>
      </c>
      <c r="S2441">
        <f t="shared" si="191"/>
        <v>1</v>
      </c>
      <c r="T2441">
        <f t="shared" si="192"/>
        <v>5</v>
      </c>
      <c r="U2441">
        <f t="shared" si="193"/>
        <v>1</v>
      </c>
      <c r="V2441">
        <f t="shared" si="194"/>
        <v>0</v>
      </c>
    </row>
    <row r="2442" spans="1:22" x14ac:dyDescent="0.25">
      <c r="A2442">
        <v>2439</v>
      </c>
      <c r="B2442" t="s">
        <v>22</v>
      </c>
      <c r="C2442" t="s">
        <v>1038</v>
      </c>
      <c r="D2442" s="4">
        <v>45414</v>
      </c>
      <c r="E2442" t="s">
        <v>313</v>
      </c>
      <c r="F2442" t="s">
        <v>75</v>
      </c>
      <c r="I2442" s="6"/>
      <c r="J2442" s="6"/>
      <c r="K2442" s="6"/>
      <c r="L2442" s="6"/>
      <c r="M2442" s="6"/>
      <c r="N2442" s="6"/>
      <c r="O2442" s="6"/>
      <c r="P2442" s="6"/>
      <c r="Q2442">
        <v>0</v>
      </c>
      <c r="R2442">
        <f t="shared" si="190"/>
        <v>0</v>
      </c>
      <c r="S2442">
        <f t="shared" si="191"/>
        <v>0</v>
      </c>
      <c r="T2442">
        <f t="shared" si="192"/>
        <v>0</v>
      </c>
      <c r="U2442">
        <f t="shared" si="193"/>
        <v>0</v>
      </c>
      <c r="V2442">
        <f t="shared" si="194"/>
        <v>0</v>
      </c>
    </row>
    <row r="2443" spans="1:22" x14ac:dyDescent="0.25">
      <c r="A2443">
        <v>2440</v>
      </c>
      <c r="B2443" t="s">
        <v>22</v>
      </c>
      <c r="C2443" t="s">
        <v>1038</v>
      </c>
      <c r="D2443" s="4">
        <v>45414</v>
      </c>
      <c r="E2443" t="s">
        <v>314</v>
      </c>
      <c r="F2443" t="s">
        <v>357</v>
      </c>
      <c r="I2443" s="6"/>
      <c r="J2443" s="6"/>
      <c r="K2443" s="6"/>
      <c r="L2443" s="6"/>
      <c r="M2443" s="6"/>
      <c r="N2443" s="6"/>
      <c r="O2443" s="6"/>
      <c r="P2443" s="6"/>
      <c r="Q2443">
        <v>0</v>
      </c>
      <c r="R2443">
        <f t="shared" si="190"/>
        <v>0</v>
      </c>
      <c r="S2443">
        <f t="shared" si="191"/>
        <v>0</v>
      </c>
      <c r="T2443">
        <f t="shared" si="192"/>
        <v>0</v>
      </c>
      <c r="U2443">
        <f t="shared" si="193"/>
        <v>0</v>
      </c>
      <c r="V2443">
        <f t="shared" si="194"/>
        <v>0</v>
      </c>
    </row>
    <row r="2444" spans="1:22" x14ac:dyDescent="0.25">
      <c r="A2444">
        <v>2441</v>
      </c>
      <c r="B2444" t="s">
        <v>22</v>
      </c>
      <c r="C2444" t="s">
        <v>1038</v>
      </c>
      <c r="D2444" s="4">
        <v>45414</v>
      </c>
      <c r="E2444" t="s">
        <v>989</v>
      </c>
      <c r="F2444" t="s">
        <v>75</v>
      </c>
      <c r="H2444" t="s">
        <v>1163</v>
      </c>
      <c r="I2444" s="6">
        <v>0</v>
      </c>
      <c r="J2444" s="6">
        <v>0</v>
      </c>
      <c r="K2444" s="6">
        <v>0</v>
      </c>
      <c r="L2444" s="6">
        <v>1</v>
      </c>
      <c r="M2444" s="6">
        <v>0</v>
      </c>
      <c r="N2444" s="6">
        <v>0</v>
      </c>
      <c r="O2444" s="6">
        <v>0</v>
      </c>
      <c r="P2444" s="6">
        <v>0</v>
      </c>
      <c r="Q2444">
        <v>1</v>
      </c>
      <c r="R2444">
        <f t="shared" si="190"/>
        <v>0</v>
      </c>
      <c r="S2444">
        <f t="shared" si="191"/>
        <v>1</v>
      </c>
      <c r="T2444">
        <f t="shared" si="192"/>
        <v>1</v>
      </c>
      <c r="U2444">
        <f t="shared" si="193"/>
        <v>1</v>
      </c>
      <c r="V2444">
        <f t="shared" si="194"/>
        <v>0</v>
      </c>
    </row>
    <row r="2445" spans="1:22" x14ac:dyDescent="0.25">
      <c r="A2445">
        <v>2442</v>
      </c>
      <c r="B2445" t="s">
        <v>22</v>
      </c>
      <c r="C2445" t="s">
        <v>1038</v>
      </c>
      <c r="D2445" s="4">
        <v>45414</v>
      </c>
      <c r="E2445" t="s">
        <v>990</v>
      </c>
      <c r="F2445" t="s">
        <v>75</v>
      </c>
      <c r="I2445" s="6"/>
      <c r="J2445" s="6"/>
      <c r="K2445" s="6"/>
      <c r="L2445" s="6"/>
      <c r="M2445" s="6"/>
      <c r="N2445" s="6"/>
      <c r="O2445" s="6"/>
      <c r="P2445" s="6"/>
      <c r="Q2445">
        <v>0</v>
      </c>
      <c r="R2445">
        <f t="shared" si="190"/>
        <v>0</v>
      </c>
      <c r="S2445">
        <f t="shared" si="191"/>
        <v>0</v>
      </c>
      <c r="T2445">
        <f t="shared" si="192"/>
        <v>0</v>
      </c>
      <c r="U2445">
        <f t="shared" si="193"/>
        <v>0</v>
      </c>
      <c r="V2445">
        <f t="shared" si="194"/>
        <v>0</v>
      </c>
    </row>
    <row r="2446" spans="1:22" x14ac:dyDescent="0.25">
      <c r="A2446">
        <v>2443</v>
      </c>
      <c r="B2446" t="s">
        <v>22</v>
      </c>
      <c r="C2446" t="s">
        <v>1038</v>
      </c>
      <c r="D2446" s="4">
        <v>45414</v>
      </c>
      <c r="E2446" t="s">
        <v>2021</v>
      </c>
      <c r="F2446" t="s">
        <v>75</v>
      </c>
      <c r="I2446" s="6">
        <v>0</v>
      </c>
      <c r="J2446" s="6">
        <v>0</v>
      </c>
      <c r="K2446" s="6">
        <v>0</v>
      </c>
      <c r="L2446" s="6">
        <v>0</v>
      </c>
      <c r="M2446" s="6">
        <v>1</v>
      </c>
      <c r="N2446" s="6">
        <v>0</v>
      </c>
      <c r="O2446" s="6">
        <v>0</v>
      </c>
      <c r="P2446" s="6">
        <v>0</v>
      </c>
      <c r="Q2446">
        <v>1</v>
      </c>
      <c r="R2446">
        <f t="shared" si="190"/>
        <v>0</v>
      </c>
      <c r="S2446">
        <f t="shared" si="191"/>
        <v>1</v>
      </c>
      <c r="T2446">
        <f t="shared" si="192"/>
        <v>1</v>
      </c>
      <c r="U2446">
        <f t="shared" si="193"/>
        <v>1</v>
      </c>
      <c r="V2446">
        <f t="shared" si="194"/>
        <v>0</v>
      </c>
    </row>
    <row r="2447" spans="1:22" x14ac:dyDescent="0.25">
      <c r="A2447">
        <v>2444</v>
      </c>
      <c r="B2447" t="s">
        <v>22</v>
      </c>
      <c r="C2447" t="s">
        <v>1038</v>
      </c>
      <c r="D2447" s="4">
        <v>45414</v>
      </c>
      <c r="E2447" t="s">
        <v>1395</v>
      </c>
      <c r="F2447" t="s">
        <v>75</v>
      </c>
      <c r="I2447" s="6"/>
      <c r="J2447" s="6"/>
      <c r="K2447" s="6"/>
      <c r="L2447" s="6"/>
      <c r="M2447" s="6"/>
      <c r="N2447" s="6"/>
      <c r="O2447" s="6"/>
      <c r="P2447" s="6"/>
      <c r="Q2447">
        <v>0</v>
      </c>
      <c r="R2447">
        <f t="shared" si="190"/>
        <v>0</v>
      </c>
      <c r="S2447">
        <f t="shared" si="191"/>
        <v>0</v>
      </c>
      <c r="T2447">
        <f t="shared" si="192"/>
        <v>0</v>
      </c>
      <c r="U2447">
        <f t="shared" si="193"/>
        <v>0</v>
      </c>
      <c r="V2447">
        <f t="shared" si="194"/>
        <v>0</v>
      </c>
    </row>
    <row r="2448" spans="1:22" x14ac:dyDescent="0.25">
      <c r="A2448">
        <v>2445</v>
      </c>
      <c r="B2448" t="s">
        <v>22</v>
      </c>
      <c r="C2448" t="s">
        <v>1038</v>
      </c>
      <c r="D2448" s="4">
        <v>45414</v>
      </c>
      <c r="E2448" t="s">
        <v>1164</v>
      </c>
      <c r="F2448" t="s">
        <v>413</v>
      </c>
      <c r="G2448">
        <v>120</v>
      </c>
      <c r="I2448" s="6">
        <v>0</v>
      </c>
      <c r="J2448" s="6">
        <v>0</v>
      </c>
      <c r="K2448" s="6">
        <v>0</v>
      </c>
      <c r="L2448" s="6">
        <v>0</v>
      </c>
      <c r="M2448" s="6">
        <v>1</v>
      </c>
      <c r="N2448" s="6">
        <v>0</v>
      </c>
      <c r="O2448" s="6">
        <v>0</v>
      </c>
      <c r="P2448" s="6">
        <v>0</v>
      </c>
      <c r="Q2448">
        <v>1</v>
      </c>
      <c r="R2448">
        <f t="shared" si="190"/>
        <v>1</v>
      </c>
      <c r="S2448">
        <f t="shared" si="191"/>
        <v>0</v>
      </c>
      <c r="T2448">
        <f t="shared" si="192"/>
        <v>1</v>
      </c>
      <c r="U2448">
        <f t="shared" si="193"/>
        <v>1</v>
      </c>
      <c r="V2448">
        <f t="shared" si="194"/>
        <v>1</v>
      </c>
    </row>
    <row r="2449" spans="1:22" x14ac:dyDescent="0.25">
      <c r="A2449">
        <v>2446</v>
      </c>
      <c r="B2449" t="s">
        <v>22</v>
      </c>
      <c r="C2449" t="s">
        <v>1038</v>
      </c>
      <c r="D2449" s="4">
        <v>45414</v>
      </c>
      <c r="E2449" t="s">
        <v>1396</v>
      </c>
      <c r="F2449" t="s">
        <v>75</v>
      </c>
      <c r="I2449" s="6"/>
      <c r="J2449" s="6"/>
      <c r="K2449" s="6"/>
      <c r="L2449" s="6"/>
      <c r="M2449" s="6"/>
      <c r="N2449" s="6"/>
      <c r="O2449" s="6"/>
      <c r="P2449" s="6"/>
      <c r="Q2449">
        <v>0</v>
      </c>
      <c r="R2449">
        <f t="shared" si="190"/>
        <v>0</v>
      </c>
      <c r="S2449">
        <f t="shared" si="191"/>
        <v>0</v>
      </c>
      <c r="T2449">
        <f t="shared" si="192"/>
        <v>0</v>
      </c>
      <c r="U2449">
        <f t="shared" si="193"/>
        <v>0</v>
      </c>
      <c r="V2449">
        <f t="shared" si="194"/>
        <v>0</v>
      </c>
    </row>
    <row r="2450" spans="1:22" x14ac:dyDescent="0.25">
      <c r="A2450">
        <v>2447</v>
      </c>
      <c r="B2450" t="s">
        <v>22</v>
      </c>
      <c r="C2450" t="s">
        <v>1038</v>
      </c>
      <c r="D2450" s="4">
        <v>45414</v>
      </c>
      <c r="E2450" t="s">
        <v>1165</v>
      </c>
      <c r="F2450" t="s">
        <v>357</v>
      </c>
      <c r="I2450" s="6">
        <v>1</v>
      </c>
      <c r="J2450" s="6">
        <v>0</v>
      </c>
      <c r="K2450" s="6">
        <v>0</v>
      </c>
      <c r="L2450" s="6">
        <v>1</v>
      </c>
      <c r="M2450" s="6">
        <v>1</v>
      </c>
      <c r="N2450" s="6">
        <v>0</v>
      </c>
      <c r="O2450" s="6">
        <v>0</v>
      </c>
      <c r="P2450" s="6">
        <v>0</v>
      </c>
      <c r="Q2450">
        <v>1</v>
      </c>
      <c r="R2450">
        <f t="shared" si="190"/>
        <v>0</v>
      </c>
      <c r="S2450">
        <f t="shared" si="191"/>
        <v>0</v>
      </c>
      <c r="T2450">
        <f t="shared" si="192"/>
        <v>3</v>
      </c>
      <c r="U2450">
        <f t="shared" si="193"/>
        <v>1</v>
      </c>
      <c r="V2450">
        <f t="shared" si="194"/>
        <v>0</v>
      </c>
    </row>
    <row r="2451" spans="1:22" x14ac:dyDescent="0.25">
      <c r="A2451">
        <v>2448</v>
      </c>
      <c r="B2451" t="s">
        <v>22</v>
      </c>
      <c r="C2451" t="s">
        <v>1038</v>
      </c>
      <c r="D2451" s="4">
        <v>45415</v>
      </c>
      <c r="E2451" t="s">
        <v>882</v>
      </c>
      <c r="F2451" t="s">
        <v>75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>
        <v>1</v>
      </c>
      <c r="R2451">
        <f t="shared" si="190"/>
        <v>0</v>
      </c>
      <c r="S2451">
        <f t="shared" si="191"/>
        <v>1</v>
      </c>
      <c r="T2451">
        <f t="shared" si="192"/>
        <v>0</v>
      </c>
      <c r="U2451">
        <f t="shared" si="193"/>
        <v>0</v>
      </c>
      <c r="V2451">
        <f t="shared" si="194"/>
        <v>0</v>
      </c>
    </row>
    <row r="2452" spans="1:22" x14ac:dyDescent="0.25">
      <c r="A2452">
        <v>2449</v>
      </c>
      <c r="B2452" t="s">
        <v>22</v>
      </c>
      <c r="C2452" t="s">
        <v>1038</v>
      </c>
      <c r="D2452" s="4">
        <v>45415</v>
      </c>
      <c r="E2452" t="s">
        <v>2726</v>
      </c>
      <c r="F2452" t="s">
        <v>75</v>
      </c>
      <c r="I2452" s="6"/>
      <c r="J2452" s="6"/>
      <c r="K2452" s="6"/>
      <c r="L2452" s="6"/>
      <c r="M2452" s="6"/>
      <c r="N2452" s="6"/>
      <c r="O2452" s="6"/>
      <c r="P2452" s="6"/>
      <c r="Q2452">
        <v>0</v>
      </c>
      <c r="R2452">
        <f t="shared" si="190"/>
        <v>0</v>
      </c>
      <c r="S2452">
        <f t="shared" si="191"/>
        <v>0</v>
      </c>
      <c r="T2452">
        <f t="shared" si="192"/>
        <v>0</v>
      </c>
      <c r="U2452">
        <f t="shared" si="193"/>
        <v>0</v>
      </c>
      <c r="V2452">
        <f t="shared" si="194"/>
        <v>0</v>
      </c>
    </row>
    <row r="2453" spans="1:22" x14ac:dyDescent="0.25">
      <c r="A2453">
        <v>2450</v>
      </c>
      <c r="B2453" t="s">
        <v>22</v>
      </c>
      <c r="C2453" t="s">
        <v>1038</v>
      </c>
      <c r="D2453" s="4">
        <v>45415</v>
      </c>
      <c r="E2453" t="s">
        <v>2725</v>
      </c>
      <c r="F2453" t="s">
        <v>75</v>
      </c>
      <c r="I2453" s="6"/>
      <c r="J2453" s="6"/>
      <c r="K2453" s="6"/>
      <c r="L2453" s="6"/>
      <c r="M2453" s="6"/>
      <c r="N2453" s="6"/>
      <c r="O2453" s="6"/>
      <c r="P2453" s="6"/>
      <c r="Q2453">
        <v>0</v>
      </c>
      <c r="R2453">
        <f t="shared" si="190"/>
        <v>0</v>
      </c>
      <c r="S2453">
        <f t="shared" si="191"/>
        <v>0</v>
      </c>
      <c r="T2453">
        <f t="shared" si="192"/>
        <v>0</v>
      </c>
      <c r="U2453">
        <f t="shared" si="193"/>
        <v>0</v>
      </c>
      <c r="V2453">
        <f t="shared" si="194"/>
        <v>0</v>
      </c>
    </row>
    <row r="2454" spans="1:22" x14ac:dyDescent="0.25">
      <c r="A2454">
        <v>2451</v>
      </c>
      <c r="B2454" t="s">
        <v>22</v>
      </c>
      <c r="C2454" t="s">
        <v>1038</v>
      </c>
      <c r="D2454" s="4">
        <v>45415</v>
      </c>
      <c r="E2454" t="s">
        <v>2724</v>
      </c>
      <c r="F2454" t="s">
        <v>75</v>
      </c>
      <c r="I2454" s="6"/>
      <c r="J2454" s="6"/>
      <c r="K2454" s="6"/>
      <c r="L2454" s="6"/>
      <c r="M2454" s="6"/>
      <c r="N2454" s="6"/>
      <c r="O2454" s="6"/>
      <c r="P2454" s="6"/>
      <c r="Q2454">
        <v>0</v>
      </c>
      <c r="R2454">
        <f t="shared" si="190"/>
        <v>0</v>
      </c>
      <c r="S2454">
        <f t="shared" si="191"/>
        <v>0</v>
      </c>
      <c r="T2454">
        <f t="shared" si="192"/>
        <v>0</v>
      </c>
      <c r="U2454">
        <f t="shared" si="193"/>
        <v>0</v>
      </c>
      <c r="V2454">
        <f t="shared" si="194"/>
        <v>0</v>
      </c>
    </row>
    <row r="2455" spans="1:22" x14ac:dyDescent="0.25">
      <c r="A2455">
        <v>2452</v>
      </c>
      <c r="B2455" t="s">
        <v>22</v>
      </c>
      <c r="C2455" t="s">
        <v>1038</v>
      </c>
      <c r="D2455" s="4">
        <v>45415</v>
      </c>
      <c r="E2455" t="s">
        <v>2723</v>
      </c>
      <c r="F2455" t="s">
        <v>75</v>
      </c>
      <c r="I2455" s="6"/>
      <c r="J2455" s="6"/>
      <c r="K2455" s="6"/>
      <c r="L2455" s="6"/>
      <c r="M2455" s="6"/>
      <c r="N2455" s="6"/>
      <c r="O2455" s="6"/>
      <c r="P2455" s="6"/>
      <c r="Q2455">
        <v>0</v>
      </c>
      <c r="R2455">
        <f t="shared" si="190"/>
        <v>0</v>
      </c>
      <c r="S2455">
        <f t="shared" si="191"/>
        <v>0</v>
      </c>
      <c r="T2455">
        <f t="shared" si="192"/>
        <v>0</v>
      </c>
      <c r="U2455">
        <f t="shared" si="193"/>
        <v>0</v>
      </c>
      <c r="V2455">
        <f t="shared" si="194"/>
        <v>0</v>
      </c>
    </row>
    <row r="2456" spans="1:22" x14ac:dyDescent="0.25">
      <c r="A2456">
        <v>2453</v>
      </c>
      <c r="B2456" t="s">
        <v>22</v>
      </c>
      <c r="C2456" t="s">
        <v>1038</v>
      </c>
      <c r="D2456" s="4">
        <v>45415</v>
      </c>
      <c r="E2456" t="s">
        <v>2722</v>
      </c>
      <c r="F2456" t="s">
        <v>75</v>
      </c>
      <c r="I2456" s="6"/>
      <c r="J2456" s="6"/>
      <c r="K2456" s="6"/>
      <c r="L2456" s="6"/>
      <c r="M2456" s="6"/>
      <c r="N2456" s="6"/>
      <c r="O2456" s="6"/>
      <c r="P2456" s="6"/>
      <c r="Q2456">
        <v>0</v>
      </c>
      <c r="R2456">
        <f t="shared" si="190"/>
        <v>0</v>
      </c>
      <c r="S2456">
        <f t="shared" si="191"/>
        <v>0</v>
      </c>
      <c r="T2456">
        <f t="shared" si="192"/>
        <v>0</v>
      </c>
      <c r="U2456">
        <f t="shared" si="193"/>
        <v>0</v>
      </c>
      <c r="V2456">
        <f t="shared" si="194"/>
        <v>0</v>
      </c>
    </row>
    <row r="2457" spans="1:22" x14ac:dyDescent="0.25">
      <c r="A2457">
        <v>2454</v>
      </c>
      <c r="B2457" t="s">
        <v>22</v>
      </c>
      <c r="C2457" t="s">
        <v>1038</v>
      </c>
      <c r="D2457" s="4">
        <v>45415</v>
      </c>
      <c r="E2457" t="s">
        <v>883</v>
      </c>
      <c r="F2457" t="s">
        <v>357</v>
      </c>
      <c r="I2457" s="6"/>
      <c r="J2457" s="6"/>
      <c r="K2457" s="6"/>
      <c r="L2457" s="6"/>
      <c r="M2457" s="6"/>
      <c r="N2457" s="6"/>
      <c r="O2457" s="6"/>
      <c r="P2457" s="6"/>
      <c r="Q2457">
        <v>0</v>
      </c>
      <c r="R2457">
        <f t="shared" si="190"/>
        <v>0</v>
      </c>
      <c r="S2457">
        <f t="shared" si="191"/>
        <v>0</v>
      </c>
      <c r="T2457">
        <f t="shared" si="192"/>
        <v>0</v>
      </c>
      <c r="U2457">
        <f t="shared" si="193"/>
        <v>0</v>
      </c>
      <c r="V2457">
        <f t="shared" si="194"/>
        <v>0</v>
      </c>
    </row>
    <row r="2458" spans="1:22" x14ac:dyDescent="0.25">
      <c r="A2458">
        <v>2455</v>
      </c>
      <c r="B2458" t="s">
        <v>22</v>
      </c>
      <c r="C2458" t="s">
        <v>1038</v>
      </c>
      <c r="D2458" s="4">
        <v>45415</v>
      </c>
      <c r="E2458" t="s">
        <v>884</v>
      </c>
      <c r="F2458" t="s">
        <v>75</v>
      </c>
      <c r="I2458" s="6">
        <v>0</v>
      </c>
      <c r="J2458" s="6">
        <v>0</v>
      </c>
      <c r="K2458" s="6">
        <v>0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>
        <v>1</v>
      </c>
      <c r="R2458">
        <f t="shared" si="190"/>
        <v>0</v>
      </c>
      <c r="S2458">
        <f t="shared" si="191"/>
        <v>1</v>
      </c>
      <c r="T2458">
        <f t="shared" si="192"/>
        <v>0</v>
      </c>
      <c r="U2458">
        <f t="shared" si="193"/>
        <v>0</v>
      </c>
      <c r="V2458">
        <f t="shared" si="194"/>
        <v>0</v>
      </c>
    </row>
    <row r="2459" spans="1:22" x14ac:dyDescent="0.25">
      <c r="A2459">
        <v>2456</v>
      </c>
      <c r="B2459" t="s">
        <v>22</v>
      </c>
      <c r="C2459" t="s">
        <v>1038</v>
      </c>
      <c r="D2459" s="4">
        <v>45415</v>
      </c>
      <c r="E2459" t="s">
        <v>1166</v>
      </c>
      <c r="F2459" t="s">
        <v>75</v>
      </c>
      <c r="I2459" s="6">
        <v>1</v>
      </c>
      <c r="J2459" s="6">
        <v>1</v>
      </c>
      <c r="K2459" s="6">
        <v>0</v>
      </c>
      <c r="L2459" s="6">
        <v>1</v>
      </c>
      <c r="M2459" s="6">
        <v>0</v>
      </c>
      <c r="N2459" s="6">
        <v>0</v>
      </c>
      <c r="O2459" s="6">
        <v>0</v>
      </c>
      <c r="P2459" s="6">
        <v>0</v>
      </c>
      <c r="Q2459">
        <v>1</v>
      </c>
      <c r="R2459">
        <f t="shared" si="190"/>
        <v>0</v>
      </c>
      <c r="S2459">
        <f t="shared" si="191"/>
        <v>1</v>
      </c>
      <c r="T2459">
        <f t="shared" si="192"/>
        <v>3</v>
      </c>
      <c r="U2459">
        <f t="shared" si="193"/>
        <v>1</v>
      </c>
      <c r="V2459">
        <f t="shared" si="194"/>
        <v>0</v>
      </c>
    </row>
    <row r="2460" spans="1:22" x14ac:dyDescent="0.25">
      <c r="A2460">
        <v>2457</v>
      </c>
      <c r="B2460" t="s">
        <v>22</v>
      </c>
      <c r="C2460" t="s">
        <v>1038</v>
      </c>
      <c r="D2460" s="4">
        <v>45415</v>
      </c>
      <c r="E2460" t="s">
        <v>1397</v>
      </c>
      <c r="F2460" t="s">
        <v>75</v>
      </c>
      <c r="I2460" s="6"/>
      <c r="J2460" s="6"/>
      <c r="K2460" s="6"/>
      <c r="L2460" s="6"/>
      <c r="M2460" s="6"/>
      <c r="N2460" s="6"/>
      <c r="O2460" s="6"/>
      <c r="P2460" s="6"/>
      <c r="Q2460">
        <v>0</v>
      </c>
      <c r="R2460">
        <f t="shared" si="190"/>
        <v>0</v>
      </c>
      <c r="S2460">
        <f t="shared" si="191"/>
        <v>0</v>
      </c>
      <c r="T2460">
        <f t="shared" si="192"/>
        <v>0</v>
      </c>
      <c r="U2460">
        <f t="shared" si="193"/>
        <v>0</v>
      </c>
      <c r="V2460">
        <f t="shared" si="194"/>
        <v>0</v>
      </c>
    </row>
    <row r="2461" spans="1:22" x14ac:dyDescent="0.25">
      <c r="A2461">
        <v>2458</v>
      </c>
      <c r="B2461" t="s">
        <v>22</v>
      </c>
      <c r="C2461" t="s">
        <v>1038</v>
      </c>
      <c r="D2461" s="4">
        <v>45415</v>
      </c>
      <c r="E2461" t="s">
        <v>1167</v>
      </c>
      <c r="F2461" t="s">
        <v>357</v>
      </c>
      <c r="I2461" s="6">
        <v>0</v>
      </c>
      <c r="J2461" s="6">
        <v>0</v>
      </c>
      <c r="K2461" s="6">
        <v>1</v>
      </c>
      <c r="L2461" s="6">
        <v>1</v>
      </c>
      <c r="M2461" s="6">
        <v>1</v>
      </c>
      <c r="N2461" s="6">
        <v>0</v>
      </c>
      <c r="O2461" s="6">
        <v>0</v>
      </c>
      <c r="P2461" s="6">
        <v>0</v>
      </c>
      <c r="Q2461">
        <v>1</v>
      </c>
      <c r="R2461">
        <f t="shared" si="190"/>
        <v>0</v>
      </c>
      <c r="S2461">
        <f t="shared" si="191"/>
        <v>0</v>
      </c>
      <c r="T2461">
        <f t="shared" si="192"/>
        <v>3</v>
      </c>
      <c r="U2461">
        <f t="shared" si="193"/>
        <v>1</v>
      </c>
      <c r="V2461">
        <f t="shared" si="194"/>
        <v>0</v>
      </c>
    </row>
    <row r="2462" spans="1:22" x14ac:dyDescent="0.25">
      <c r="A2462">
        <v>2459</v>
      </c>
      <c r="B2462" t="s">
        <v>22</v>
      </c>
      <c r="C2462" t="s">
        <v>1038</v>
      </c>
      <c r="D2462" s="4">
        <v>45415</v>
      </c>
      <c r="E2462" t="s">
        <v>2020</v>
      </c>
      <c r="F2462" t="s">
        <v>75</v>
      </c>
      <c r="I2462" s="6"/>
      <c r="J2462" s="6"/>
      <c r="K2462" s="6"/>
      <c r="L2462" s="6"/>
      <c r="M2462" s="6"/>
      <c r="N2462" s="6"/>
      <c r="O2462" s="6"/>
      <c r="P2462" s="6"/>
      <c r="Q2462">
        <v>0</v>
      </c>
      <c r="R2462">
        <f t="shared" si="190"/>
        <v>0</v>
      </c>
      <c r="S2462">
        <f t="shared" si="191"/>
        <v>0</v>
      </c>
      <c r="T2462">
        <f t="shared" si="192"/>
        <v>0</v>
      </c>
      <c r="U2462">
        <f t="shared" si="193"/>
        <v>0</v>
      </c>
      <c r="V2462">
        <f t="shared" si="194"/>
        <v>0</v>
      </c>
    </row>
    <row r="2463" spans="1:22" x14ac:dyDescent="0.25">
      <c r="A2463">
        <v>2460</v>
      </c>
      <c r="B2463" t="s">
        <v>22</v>
      </c>
      <c r="C2463" t="s">
        <v>1038</v>
      </c>
      <c r="D2463" s="4">
        <v>45415</v>
      </c>
      <c r="E2463" t="s">
        <v>1168</v>
      </c>
      <c r="F2463" t="s">
        <v>75</v>
      </c>
      <c r="I2463" s="6">
        <v>1</v>
      </c>
      <c r="J2463" s="6">
        <v>0</v>
      </c>
      <c r="K2463" s="6">
        <v>1</v>
      </c>
      <c r="L2463" s="6">
        <v>0</v>
      </c>
      <c r="M2463" s="6">
        <v>1</v>
      </c>
      <c r="N2463" s="6">
        <v>0</v>
      </c>
      <c r="O2463" s="6">
        <v>1</v>
      </c>
      <c r="P2463" s="6">
        <v>0</v>
      </c>
      <c r="Q2463">
        <v>1</v>
      </c>
      <c r="R2463">
        <f t="shared" si="190"/>
        <v>0</v>
      </c>
      <c r="S2463">
        <f t="shared" si="191"/>
        <v>1</v>
      </c>
      <c r="T2463">
        <f t="shared" si="192"/>
        <v>4</v>
      </c>
      <c r="U2463">
        <f t="shared" si="193"/>
        <v>1</v>
      </c>
      <c r="V2463">
        <f t="shared" si="194"/>
        <v>0</v>
      </c>
    </row>
    <row r="2464" spans="1:22" x14ac:dyDescent="0.25">
      <c r="A2464">
        <v>2461</v>
      </c>
      <c r="B2464" t="s">
        <v>22</v>
      </c>
      <c r="C2464" t="s">
        <v>1038</v>
      </c>
      <c r="D2464" s="4">
        <v>45415</v>
      </c>
      <c r="E2464" t="s">
        <v>1169</v>
      </c>
      <c r="F2464" t="s">
        <v>75</v>
      </c>
      <c r="I2464" s="6">
        <v>0</v>
      </c>
      <c r="J2464" s="6">
        <v>0</v>
      </c>
      <c r="K2464" s="6">
        <v>0</v>
      </c>
      <c r="L2464" s="6">
        <v>0</v>
      </c>
      <c r="M2464" s="6">
        <v>1</v>
      </c>
      <c r="N2464" s="6">
        <v>0</v>
      </c>
      <c r="O2464" s="6">
        <v>0</v>
      </c>
      <c r="P2464" s="6">
        <v>0</v>
      </c>
      <c r="Q2464">
        <v>1</v>
      </c>
      <c r="R2464">
        <f t="shared" si="190"/>
        <v>0</v>
      </c>
      <c r="S2464">
        <f t="shared" si="191"/>
        <v>1</v>
      </c>
      <c r="T2464">
        <f t="shared" si="192"/>
        <v>1</v>
      </c>
      <c r="U2464">
        <f t="shared" si="193"/>
        <v>1</v>
      </c>
      <c r="V2464">
        <f t="shared" si="194"/>
        <v>0</v>
      </c>
    </row>
    <row r="2465" spans="1:22" x14ac:dyDescent="0.25">
      <c r="A2465">
        <v>2462</v>
      </c>
      <c r="B2465" t="s">
        <v>22</v>
      </c>
      <c r="C2465" t="s">
        <v>1038</v>
      </c>
      <c r="D2465" s="4">
        <v>45416</v>
      </c>
      <c r="E2465" t="s">
        <v>315</v>
      </c>
      <c r="F2465" t="s">
        <v>357</v>
      </c>
      <c r="I2465" s="6"/>
      <c r="J2465" s="6"/>
      <c r="K2465" s="6"/>
      <c r="L2465" s="6"/>
      <c r="M2465" s="6"/>
      <c r="N2465" s="6"/>
      <c r="O2465" s="6"/>
      <c r="P2465" s="6"/>
      <c r="Q2465">
        <v>0</v>
      </c>
      <c r="R2465">
        <f t="shared" si="190"/>
        <v>0</v>
      </c>
      <c r="S2465">
        <f t="shared" si="191"/>
        <v>0</v>
      </c>
      <c r="T2465">
        <f t="shared" si="192"/>
        <v>0</v>
      </c>
      <c r="U2465">
        <f t="shared" si="193"/>
        <v>0</v>
      </c>
      <c r="V2465">
        <f t="shared" si="194"/>
        <v>0</v>
      </c>
    </row>
    <row r="2466" spans="1:22" x14ac:dyDescent="0.25">
      <c r="A2466">
        <v>2463</v>
      </c>
      <c r="B2466" t="s">
        <v>22</v>
      </c>
      <c r="C2466" t="s">
        <v>1038</v>
      </c>
      <c r="D2466" s="4">
        <v>45416</v>
      </c>
      <c r="E2466" t="s">
        <v>2721</v>
      </c>
      <c r="F2466" t="s">
        <v>75</v>
      </c>
      <c r="I2466" s="6"/>
      <c r="J2466" s="6"/>
      <c r="K2466" s="6"/>
      <c r="L2466" s="6"/>
      <c r="M2466" s="6"/>
      <c r="N2466" s="6"/>
      <c r="O2466" s="6"/>
      <c r="P2466" s="6"/>
      <c r="Q2466">
        <v>0</v>
      </c>
      <c r="R2466">
        <f t="shared" si="190"/>
        <v>0</v>
      </c>
      <c r="S2466">
        <f t="shared" si="191"/>
        <v>0</v>
      </c>
      <c r="T2466">
        <f t="shared" si="192"/>
        <v>0</v>
      </c>
      <c r="U2466">
        <f t="shared" si="193"/>
        <v>0</v>
      </c>
      <c r="V2466">
        <f t="shared" si="194"/>
        <v>0</v>
      </c>
    </row>
    <row r="2467" spans="1:22" x14ac:dyDescent="0.25">
      <c r="A2467">
        <v>2464</v>
      </c>
      <c r="B2467" t="s">
        <v>22</v>
      </c>
      <c r="C2467" t="s">
        <v>1038</v>
      </c>
      <c r="D2467" s="4">
        <v>45416</v>
      </c>
      <c r="E2467" t="s">
        <v>2720</v>
      </c>
      <c r="F2467" t="s">
        <v>75</v>
      </c>
      <c r="I2467" s="6">
        <v>1</v>
      </c>
      <c r="J2467" s="6">
        <v>0</v>
      </c>
      <c r="K2467" s="6">
        <v>0</v>
      </c>
      <c r="L2467" s="6">
        <v>1</v>
      </c>
      <c r="M2467" s="6">
        <v>0</v>
      </c>
      <c r="N2467" s="6">
        <v>0</v>
      </c>
      <c r="O2467" s="6">
        <v>0</v>
      </c>
      <c r="P2467" s="6">
        <v>0</v>
      </c>
      <c r="Q2467">
        <v>1</v>
      </c>
      <c r="R2467">
        <f t="shared" si="190"/>
        <v>0</v>
      </c>
      <c r="S2467">
        <f t="shared" si="191"/>
        <v>1</v>
      </c>
      <c r="T2467">
        <f t="shared" si="192"/>
        <v>2</v>
      </c>
      <c r="U2467">
        <f t="shared" si="193"/>
        <v>1</v>
      </c>
      <c r="V2467">
        <f t="shared" si="194"/>
        <v>0</v>
      </c>
    </row>
    <row r="2468" spans="1:22" x14ac:dyDescent="0.25">
      <c r="A2468">
        <v>2465</v>
      </c>
      <c r="B2468" t="s">
        <v>22</v>
      </c>
      <c r="C2468" t="s">
        <v>1038</v>
      </c>
      <c r="D2468" s="4">
        <v>45416</v>
      </c>
      <c r="E2468" t="s">
        <v>2719</v>
      </c>
      <c r="F2468" t="s">
        <v>357</v>
      </c>
      <c r="I2468" s="6"/>
      <c r="J2468" s="6"/>
      <c r="K2468" s="6"/>
      <c r="L2468" s="6"/>
      <c r="M2468" s="6"/>
      <c r="N2468" s="6"/>
      <c r="O2468" s="6"/>
      <c r="P2468" s="6"/>
      <c r="Q2468">
        <v>0</v>
      </c>
      <c r="R2468">
        <f t="shared" si="190"/>
        <v>0</v>
      </c>
      <c r="S2468">
        <f t="shared" si="191"/>
        <v>0</v>
      </c>
      <c r="T2468">
        <f t="shared" si="192"/>
        <v>0</v>
      </c>
      <c r="U2468">
        <f t="shared" si="193"/>
        <v>0</v>
      </c>
      <c r="V2468">
        <f t="shared" si="194"/>
        <v>0</v>
      </c>
    </row>
    <row r="2469" spans="1:22" x14ac:dyDescent="0.25">
      <c r="A2469">
        <v>2466</v>
      </c>
      <c r="B2469" t="s">
        <v>22</v>
      </c>
      <c r="C2469" t="s">
        <v>1038</v>
      </c>
      <c r="D2469" s="4">
        <v>45416</v>
      </c>
      <c r="E2469" t="s">
        <v>2718</v>
      </c>
      <c r="F2469" t="s">
        <v>75</v>
      </c>
      <c r="I2469" s="6"/>
      <c r="J2469" s="6"/>
      <c r="K2469" s="6"/>
      <c r="L2469" s="6"/>
      <c r="M2469" s="6"/>
      <c r="N2469" s="6"/>
      <c r="O2469" s="6"/>
      <c r="P2469" s="6"/>
      <c r="Q2469">
        <v>0</v>
      </c>
      <c r="R2469">
        <f t="shared" si="190"/>
        <v>0</v>
      </c>
      <c r="S2469">
        <f t="shared" si="191"/>
        <v>0</v>
      </c>
      <c r="T2469">
        <f t="shared" si="192"/>
        <v>0</v>
      </c>
      <c r="U2469">
        <f t="shared" si="193"/>
        <v>0</v>
      </c>
      <c r="V2469">
        <f t="shared" si="194"/>
        <v>0</v>
      </c>
    </row>
    <row r="2470" spans="1:22" x14ac:dyDescent="0.25">
      <c r="A2470">
        <v>2467</v>
      </c>
      <c r="B2470" t="s">
        <v>22</v>
      </c>
      <c r="C2470" t="s">
        <v>1038</v>
      </c>
      <c r="D2470" s="4">
        <v>45416</v>
      </c>
      <c r="E2470" t="s">
        <v>316</v>
      </c>
      <c r="F2470" t="s">
        <v>75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>
        <v>1</v>
      </c>
      <c r="R2470">
        <f t="shared" si="190"/>
        <v>0</v>
      </c>
      <c r="S2470">
        <f t="shared" si="191"/>
        <v>1</v>
      </c>
      <c r="T2470">
        <f t="shared" si="192"/>
        <v>0</v>
      </c>
      <c r="U2470">
        <f t="shared" si="193"/>
        <v>0</v>
      </c>
      <c r="V2470">
        <f t="shared" si="194"/>
        <v>0</v>
      </c>
    </row>
    <row r="2471" spans="1:22" x14ac:dyDescent="0.25">
      <c r="A2471">
        <v>2468</v>
      </c>
      <c r="B2471" t="s">
        <v>22</v>
      </c>
      <c r="C2471" t="s">
        <v>1038</v>
      </c>
      <c r="D2471" s="4">
        <v>45416</v>
      </c>
      <c r="E2471" t="s">
        <v>469</v>
      </c>
      <c r="F2471" t="s">
        <v>75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>
        <v>1</v>
      </c>
      <c r="R2471">
        <f t="shared" si="190"/>
        <v>0</v>
      </c>
      <c r="S2471">
        <f t="shared" si="191"/>
        <v>1</v>
      </c>
      <c r="T2471">
        <f t="shared" si="192"/>
        <v>0</v>
      </c>
      <c r="U2471">
        <f t="shared" si="193"/>
        <v>0</v>
      </c>
      <c r="V2471">
        <f t="shared" si="194"/>
        <v>0</v>
      </c>
    </row>
    <row r="2472" spans="1:22" x14ac:dyDescent="0.25">
      <c r="A2472">
        <v>2469</v>
      </c>
      <c r="B2472" t="s">
        <v>22</v>
      </c>
      <c r="C2472" t="s">
        <v>1038</v>
      </c>
      <c r="D2472" s="4">
        <v>45416</v>
      </c>
      <c r="E2472" t="s">
        <v>2140</v>
      </c>
      <c r="F2472" t="s">
        <v>75</v>
      </c>
      <c r="I2472" s="6"/>
      <c r="J2472" s="6"/>
      <c r="K2472" s="6"/>
      <c r="L2472" s="6"/>
      <c r="M2472" s="6"/>
      <c r="N2472" s="6"/>
      <c r="O2472" s="6"/>
      <c r="P2472" s="6"/>
      <c r="Q2472">
        <v>0</v>
      </c>
      <c r="R2472">
        <f t="shared" si="190"/>
        <v>0</v>
      </c>
      <c r="S2472">
        <f t="shared" si="191"/>
        <v>0</v>
      </c>
      <c r="T2472">
        <f t="shared" si="192"/>
        <v>0</v>
      </c>
      <c r="U2472">
        <f t="shared" si="193"/>
        <v>0</v>
      </c>
      <c r="V2472">
        <f t="shared" si="194"/>
        <v>0</v>
      </c>
    </row>
    <row r="2473" spans="1:22" x14ac:dyDescent="0.25">
      <c r="A2473">
        <v>2470</v>
      </c>
      <c r="B2473" t="s">
        <v>22</v>
      </c>
      <c r="C2473" t="s">
        <v>1038</v>
      </c>
      <c r="D2473" s="4">
        <v>45416</v>
      </c>
      <c r="E2473" t="s">
        <v>2139</v>
      </c>
      <c r="F2473" t="s">
        <v>75</v>
      </c>
      <c r="I2473" s="6"/>
      <c r="J2473" s="6"/>
      <c r="K2473" s="6"/>
      <c r="L2473" s="6"/>
      <c r="M2473" s="6"/>
      <c r="N2473" s="6"/>
      <c r="O2473" s="6"/>
      <c r="P2473" s="6"/>
      <c r="Q2473">
        <v>0</v>
      </c>
      <c r="R2473">
        <f t="shared" si="190"/>
        <v>0</v>
      </c>
      <c r="S2473">
        <f t="shared" si="191"/>
        <v>0</v>
      </c>
      <c r="T2473">
        <f t="shared" si="192"/>
        <v>0</v>
      </c>
      <c r="U2473">
        <f t="shared" si="193"/>
        <v>0</v>
      </c>
      <c r="V2473">
        <f t="shared" si="194"/>
        <v>0</v>
      </c>
    </row>
    <row r="2474" spans="1:22" x14ac:dyDescent="0.25">
      <c r="A2474">
        <v>2471</v>
      </c>
      <c r="B2474" t="s">
        <v>22</v>
      </c>
      <c r="C2474" t="s">
        <v>1038</v>
      </c>
      <c r="D2474" s="4">
        <v>45416</v>
      </c>
      <c r="E2474" t="s">
        <v>1078</v>
      </c>
      <c r="F2474" t="s">
        <v>75</v>
      </c>
      <c r="I2474" s="6"/>
      <c r="J2474" s="6"/>
      <c r="K2474" s="6"/>
      <c r="L2474" s="6"/>
      <c r="M2474" s="6"/>
      <c r="N2474" s="6"/>
      <c r="O2474" s="6"/>
      <c r="P2474" s="6"/>
      <c r="Q2474">
        <v>0</v>
      </c>
      <c r="R2474">
        <f t="shared" si="190"/>
        <v>0</v>
      </c>
      <c r="S2474">
        <f t="shared" si="191"/>
        <v>0</v>
      </c>
      <c r="T2474">
        <f t="shared" si="192"/>
        <v>0</v>
      </c>
      <c r="U2474">
        <f t="shared" si="193"/>
        <v>0</v>
      </c>
      <c r="V2474">
        <f t="shared" si="194"/>
        <v>0</v>
      </c>
    </row>
    <row r="2475" spans="1:22" x14ac:dyDescent="0.25">
      <c r="A2475">
        <v>2472</v>
      </c>
      <c r="B2475" t="s">
        <v>22</v>
      </c>
      <c r="C2475" t="s">
        <v>1038</v>
      </c>
      <c r="D2475" s="4">
        <v>45416</v>
      </c>
      <c r="E2475" t="s">
        <v>2717</v>
      </c>
      <c r="F2475" t="s">
        <v>75</v>
      </c>
      <c r="I2475" s="6"/>
      <c r="J2475" s="6"/>
      <c r="K2475" s="6"/>
      <c r="L2475" s="6"/>
      <c r="M2475" s="6"/>
      <c r="N2475" s="6"/>
      <c r="O2475" s="6"/>
      <c r="P2475" s="6"/>
      <c r="Q2475">
        <v>0</v>
      </c>
      <c r="R2475">
        <f t="shared" si="190"/>
        <v>0</v>
      </c>
      <c r="S2475">
        <f t="shared" si="191"/>
        <v>0</v>
      </c>
      <c r="T2475">
        <f t="shared" si="192"/>
        <v>0</v>
      </c>
      <c r="U2475">
        <f t="shared" si="193"/>
        <v>0</v>
      </c>
      <c r="V2475">
        <f t="shared" si="194"/>
        <v>0</v>
      </c>
    </row>
    <row r="2476" spans="1:22" x14ac:dyDescent="0.25">
      <c r="A2476">
        <v>2473</v>
      </c>
      <c r="B2476" t="s">
        <v>22</v>
      </c>
      <c r="C2476" t="s">
        <v>1038</v>
      </c>
      <c r="D2476" s="4">
        <v>45416</v>
      </c>
      <c r="E2476" t="s">
        <v>1170</v>
      </c>
      <c r="F2476" t="s">
        <v>75</v>
      </c>
      <c r="I2476" s="6">
        <v>1</v>
      </c>
      <c r="J2476" s="6">
        <v>0</v>
      </c>
      <c r="K2476" s="6">
        <v>0</v>
      </c>
      <c r="L2476" s="6">
        <v>0</v>
      </c>
      <c r="M2476" s="6">
        <v>1</v>
      </c>
      <c r="N2476" s="6">
        <v>0</v>
      </c>
      <c r="O2476" s="6">
        <v>0</v>
      </c>
      <c r="P2476" s="6">
        <v>0</v>
      </c>
      <c r="Q2476">
        <v>1</v>
      </c>
      <c r="R2476">
        <f t="shared" si="190"/>
        <v>0</v>
      </c>
      <c r="S2476">
        <f t="shared" si="191"/>
        <v>1</v>
      </c>
      <c r="T2476">
        <f t="shared" si="192"/>
        <v>2</v>
      </c>
      <c r="U2476">
        <f t="shared" si="193"/>
        <v>1</v>
      </c>
      <c r="V2476">
        <f t="shared" si="194"/>
        <v>0</v>
      </c>
    </row>
    <row r="2477" spans="1:22" x14ac:dyDescent="0.25">
      <c r="A2477">
        <v>2474</v>
      </c>
      <c r="B2477" t="s">
        <v>22</v>
      </c>
      <c r="C2477" t="s">
        <v>1038</v>
      </c>
      <c r="D2477" s="4">
        <v>45416</v>
      </c>
      <c r="E2477" t="s">
        <v>2716</v>
      </c>
      <c r="F2477" t="s">
        <v>75</v>
      </c>
      <c r="I2477" s="6">
        <v>1</v>
      </c>
      <c r="J2477" s="6">
        <v>1</v>
      </c>
      <c r="K2477" s="6">
        <v>0</v>
      </c>
      <c r="L2477" s="6">
        <v>1</v>
      </c>
      <c r="M2477" s="6">
        <v>0</v>
      </c>
      <c r="N2477" s="6">
        <v>0</v>
      </c>
      <c r="O2477" s="6">
        <v>0</v>
      </c>
      <c r="P2477" s="6">
        <v>0</v>
      </c>
      <c r="Q2477">
        <v>1</v>
      </c>
      <c r="R2477">
        <f t="shared" si="190"/>
        <v>0</v>
      </c>
      <c r="S2477">
        <f t="shared" si="191"/>
        <v>1</v>
      </c>
      <c r="T2477">
        <f t="shared" si="192"/>
        <v>3</v>
      </c>
      <c r="U2477">
        <f t="shared" si="193"/>
        <v>1</v>
      </c>
      <c r="V2477">
        <f t="shared" si="194"/>
        <v>0</v>
      </c>
    </row>
    <row r="2478" spans="1:22" x14ac:dyDescent="0.25">
      <c r="A2478">
        <v>2475</v>
      </c>
      <c r="B2478" t="s">
        <v>22</v>
      </c>
      <c r="C2478" t="s">
        <v>1038</v>
      </c>
      <c r="D2478" s="4">
        <v>45417</v>
      </c>
      <c r="E2478" t="s">
        <v>995</v>
      </c>
      <c r="F2478" t="s">
        <v>75</v>
      </c>
      <c r="I2478" s="6"/>
      <c r="J2478" s="6"/>
      <c r="K2478" s="6"/>
      <c r="L2478" s="6"/>
      <c r="M2478" s="6"/>
      <c r="N2478" s="6"/>
      <c r="O2478" s="6"/>
      <c r="P2478" s="6"/>
      <c r="Q2478">
        <v>0</v>
      </c>
      <c r="R2478">
        <f t="shared" si="190"/>
        <v>0</v>
      </c>
      <c r="S2478">
        <f t="shared" si="191"/>
        <v>0</v>
      </c>
      <c r="T2478">
        <f t="shared" si="192"/>
        <v>0</v>
      </c>
      <c r="U2478">
        <f t="shared" si="193"/>
        <v>0</v>
      </c>
      <c r="V2478">
        <f t="shared" si="194"/>
        <v>0</v>
      </c>
    </row>
    <row r="2479" spans="1:22" x14ac:dyDescent="0.25">
      <c r="A2479">
        <v>2476</v>
      </c>
      <c r="B2479" t="s">
        <v>22</v>
      </c>
      <c r="C2479" t="s">
        <v>1038</v>
      </c>
      <c r="D2479" s="4">
        <v>45417</v>
      </c>
      <c r="E2479" t="s">
        <v>2715</v>
      </c>
      <c r="F2479" t="s">
        <v>75</v>
      </c>
      <c r="I2479" s="6"/>
      <c r="J2479" s="6"/>
      <c r="K2479" s="6"/>
      <c r="L2479" s="6"/>
      <c r="M2479" s="6"/>
      <c r="N2479" s="6"/>
      <c r="O2479" s="6"/>
      <c r="P2479" s="6"/>
      <c r="Q2479">
        <v>0</v>
      </c>
      <c r="R2479">
        <f t="shared" si="190"/>
        <v>0</v>
      </c>
      <c r="S2479">
        <f t="shared" si="191"/>
        <v>0</v>
      </c>
      <c r="T2479">
        <f t="shared" si="192"/>
        <v>0</v>
      </c>
      <c r="U2479">
        <f t="shared" si="193"/>
        <v>0</v>
      </c>
      <c r="V2479">
        <f t="shared" si="194"/>
        <v>0</v>
      </c>
    </row>
    <row r="2480" spans="1:22" x14ac:dyDescent="0.25">
      <c r="A2480">
        <v>2477</v>
      </c>
      <c r="B2480" t="s">
        <v>22</v>
      </c>
      <c r="C2480" t="s">
        <v>1038</v>
      </c>
      <c r="D2480" s="4">
        <v>45417</v>
      </c>
      <c r="E2480" t="s">
        <v>2714</v>
      </c>
      <c r="F2480" t="s">
        <v>75</v>
      </c>
      <c r="I2480" s="6"/>
      <c r="J2480" s="6"/>
      <c r="K2480" s="6"/>
      <c r="L2480" s="6"/>
      <c r="M2480" s="6"/>
      <c r="N2480" s="6"/>
      <c r="O2480" s="6"/>
      <c r="P2480" s="6"/>
      <c r="Q2480">
        <v>0</v>
      </c>
      <c r="R2480">
        <f t="shared" si="190"/>
        <v>0</v>
      </c>
      <c r="S2480">
        <f t="shared" si="191"/>
        <v>0</v>
      </c>
      <c r="T2480">
        <f t="shared" si="192"/>
        <v>0</v>
      </c>
      <c r="U2480">
        <f t="shared" si="193"/>
        <v>0</v>
      </c>
      <c r="V2480">
        <f t="shared" si="194"/>
        <v>0</v>
      </c>
    </row>
    <row r="2481" spans="1:22" x14ac:dyDescent="0.25">
      <c r="A2481">
        <v>2478</v>
      </c>
      <c r="B2481" t="s">
        <v>22</v>
      </c>
      <c r="C2481" t="s">
        <v>1038</v>
      </c>
      <c r="D2481" s="4">
        <v>45417</v>
      </c>
      <c r="E2481" t="s">
        <v>1171</v>
      </c>
      <c r="F2481" t="s">
        <v>75</v>
      </c>
      <c r="I2481" s="6">
        <v>1</v>
      </c>
      <c r="J2481" s="6">
        <v>1</v>
      </c>
      <c r="K2481" s="6">
        <v>0</v>
      </c>
      <c r="L2481" s="6">
        <v>0</v>
      </c>
      <c r="M2481" s="6">
        <v>0</v>
      </c>
      <c r="N2481" s="6">
        <v>0</v>
      </c>
      <c r="O2481" s="6">
        <v>1</v>
      </c>
      <c r="P2481" s="6">
        <v>0</v>
      </c>
      <c r="Q2481">
        <v>1</v>
      </c>
      <c r="R2481">
        <f t="shared" si="190"/>
        <v>0</v>
      </c>
      <c r="S2481">
        <f t="shared" si="191"/>
        <v>1</v>
      </c>
      <c r="T2481">
        <f t="shared" si="192"/>
        <v>3</v>
      </c>
      <c r="U2481">
        <f t="shared" si="193"/>
        <v>1</v>
      </c>
      <c r="V2481">
        <f t="shared" si="194"/>
        <v>0</v>
      </c>
    </row>
    <row r="2482" spans="1:22" x14ac:dyDescent="0.25">
      <c r="A2482">
        <v>2479</v>
      </c>
      <c r="B2482" t="s">
        <v>22</v>
      </c>
      <c r="C2482" t="s">
        <v>1038</v>
      </c>
      <c r="D2482" s="4">
        <v>45417</v>
      </c>
      <c r="E2482" t="s">
        <v>1172</v>
      </c>
      <c r="F2482" t="s">
        <v>413</v>
      </c>
      <c r="G2482">
        <v>121</v>
      </c>
      <c r="I2482" s="6">
        <v>0</v>
      </c>
      <c r="J2482" s="6">
        <v>0</v>
      </c>
      <c r="K2482" s="6">
        <v>1</v>
      </c>
      <c r="L2482" s="6">
        <v>0</v>
      </c>
      <c r="M2482" s="6">
        <v>0</v>
      </c>
      <c r="N2482" s="6">
        <v>0</v>
      </c>
      <c r="O2482" s="6">
        <v>1</v>
      </c>
      <c r="P2482" s="6">
        <v>0</v>
      </c>
      <c r="Q2482">
        <v>1</v>
      </c>
      <c r="R2482">
        <f t="shared" si="190"/>
        <v>1</v>
      </c>
      <c r="S2482">
        <f t="shared" si="191"/>
        <v>0</v>
      </c>
      <c r="T2482">
        <f t="shared" si="192"/>
        <v>2</v>
      </c>
      <c r="U2482">
        <f t="shared" si="193"/>
        <v>1</v>
      </c>
      <c r="V2482">
        <f t="shared" si="194"/>
        <v>1</v>
      </c>
    </row>
    <row r="2483" spans="1:22" x14ac:dyDescent="0.25">
      <c r="A2483">
        <v>2480</v>
      </c>
      <c r="B2483" t="s">
        <v>22</v>
      </c>
      <c r="C2483" t="s">
        <v>1038</v>
      </c>
      <c r="D2483" s="4">
        <v>45417</v>
      </c>
      <c r="E2483" t="s">
        <v>2713</v>
      </c>
      <c r="F2483" t="s">
        <v>75</v>
      </c>
      <c r="I2483" s="6">
        <v>0</v>
      </c>
      <c r="J2483" s="6">
        <v>0</v>
      </c>
      <c r="K2483" s="6">
        <v>0</v>
      </c>
      <c r="L2483" s="6">
        <v>1</v>
      </c>
      <c r="M2483" s="6">
        <v>0</v>
      </c>
      <c r="N2483" s="6">
        <v>0</v>
      </c>
      <c r="O2483" s="6">
        <v>0</v>
      </c>
      <c r="P2483" s="6">
        <v>0</v>
      </c>
      <c r="Q2483">
        <v>1</v>
      </c>
      <c r="R2483">
        <f t="shared" si="190"/>
        <v>0</v>
      </c>
      <c r="S2483">
        <f t="shared" si="191"/>
        <v>1</v>
      </c>
      <c r="T2483">
        <f t="shared" si="192"/>
        <v>1</v>
      </c>
      <c r="U2483">
        <f t="shared" si="193"/>
        <v>1</v>
      </c>
      <c r="V2483">
        <f t="shared" si="194"/>
        <v>0</v>
      </c>
    </row>
    <row r="2484" spans="1:22" x14ac:dyDescent="0.25">
      <c r="A2484">
        <v>2481</v>
      </c>
      <c r="B2484" t="s">
        <v>22</v>
      </c>
      <c r="C2484" t="s">
        <v>1038</v>
      </c>
      <c r="D2484" s="4">
        <v>45417</v>
      </c>
      <c r="E2484" t="s">
        <v>996</v>
      </c>
      <c r="F2484" t="s">
        <v>75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>
        <v>1</v>
      </c>
      <c r="R2484">
        <f t="shared" si="190"/>
        <v>0</v>
      </c>
      <c r="S2484">
        <f t="shared" si="191"/>
        <v>1</v>
      </c>
      <c r="T2484">
        <f t="shared" si="192"/>
        <v>0</v>
      </c>
      <c r="U2484">
        <f t="shared" si="193"/>
        <v>0</v>
      </c>
      <c r="V2484">
        <f t="shared" si="194"/>
        <v>0</v>
      </c>
    </row>
    <row r="2485" spans="1:22" x14ac:dyDescent="0.25">
      <c r="A2485">
        <v>2482</v>
      </c>
      <c r="B2485" t="s">
        <v>22</v>
      </c>
      <c r="C2485" t="s">
        <v>1038</v>
      </c>
      <c r="D2485" s="4">
        <v>45417</v>
      </c>
      <c r="E2485" t="s">
        <v>1079</v>
      </c>
      <c r="F2485" t="s">
        <v>75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>
        <v>1</v>
      </c>
      <c r="R2485">
        <f t="shared" si="190"/>
        <v>0</v>
      </c>
      <c r="S2485">
        <f t="shared" si="191"/>
        <v>1</v>
      </c>
      <c r="T2485">
        <f t="shared" si="192"/>
        <v>0</v>
      </c>
      <c r="U2485">
        <f t="shared" si="193"/>
        <v>0</v>
      </c>
      <c r="V2485">
        <f t="shared" si="194"/>
        <v>0</v>
      </c>
    </row>
    <row r="2486" spans="1:22" x14ac:dyDescent="0.25">
      <c r="A2486">
        <v>2483</v>
      </c>
      <c r="B2486" t="s">
        <v>22</v>
      </c>
      <c r="C2486" t="s">
        <v>1038</v>
      </c>
      <c r="D2486" s="4">
        <v>45417</v>
      </c>
      <c r="E2486" t="s">
        <v>1555</v>
      </c>
      <c r="F2486" t="s">
        <v>75</v>
      </c>
      <c r="I2486" s="6"/>
      <c r="J2486" s="6"/>
      <c r="K2486" s="6"/>
      <c r="L2486" s="6"/>
      <c r="M2486" s="6"/>
      <c r="N2486" s="6"/>
      <c r="O2486" s="6"/>
      <c r="P2486" s="6"/>
      <c r="Q2486">
        <v>0</v>
      </c>
      <c r="R2486">
        <f t="shared" si="190"/>
        <v>0</v>
      </c>
      <c r="S2486">
        <f t="shared" si="191"/>
        <v>0</v>
      </c>
      <c r="T2486">
        <f t="shared" si="192"/>
        <v>0</v>
      </c>
      <c r="U2486">
        <f t="shared" si="193"/>
        <v>0</v>
      </c>
      <c r="V2486">
        <f t="shared" si="194"/>
        <v>0</v>
      </c>
    </row>
    <row r="2487" spans="1:22" x14ac:dyDescent="0.25">
      <c r="A2487">
        <v>2484</v>
      </c>
      <c r="B2487" t="s">
        <v>22</v>
      </c>
      <c r="C2487" t="s">
        <v>1038</v>
      </c>
      <c r="D2487" s="4">
        <v>45417</v>
      </c>
      <c r="E2487" t="s">
        <v>2138</v>
      </c>
      <c r="F2487" t="s">
        <v>75</v>
      </c>
      <c r="I2487" s="6"/>
      <c r="J2487" s="6"/>
      <c r="K2487" s="6"/>
      <c r="L2487" s="6"/>
      <c r="M2487" s="6"/>
      <c r="N2487" s="6"/>
      <c r="O2487" s="6"/>
      <c r="P2487" s="6"/>
      <c r="Q2487">
        <v>0</v>
      </c>
      <c r="R2487">
        <f t="shared" si="190"/>
        <v>0</v>
      </c>
      <c r="S2487">
        <f t="shared" si="191"/>
        <v>0</v>
      </c>
      <c r="T2487">
        <f t="shared" si="192"/>
        <v>0</v>
      </c>
      <c r="U2487">
        <f t="shared" si="193"/>
        <v>0</v>
      </c>
      <c r="V2487">
        <f t="shared" si="194"/>
        <v>0</v>
      </c>
    </row>
    <row r="2488" spans="1:22" x14ac:dyDescent="0.25">
      <c r="A2488">
        <v>2485</v>
      </c>
      <c r="B2488" t="s">
        <v>22</v>
      </c>
      <c r="C2488" t="s">
        <v>1038</v>
      </c>
      <c r="D2488" s="4">
        <v>45417</v>
      </c>
      <c r="E2488" t="s">
        <v>1401</v>
      </c>
      <c r="F2488" t="s">
        <v>75</v>
      </c>
      <c r="I2488" s="6"/>
      <c r="J2488" s="6"/>
      <c r="K2488" s="6"/>
      <c r="L2488" s="6"/>
      <c r="M2488" s="6"/>
      <c r="N2488" s="6"/>
      <c r="O2488" s="6"/>
      <c r="P2488" s="6"/>
      <c r="Q2488">
        <v>0</v>
      </c>
      <c r="R2488">
        <f t="shared" si="190"/>
        <v>0</v>
      </c>
      <c r="S2488">
        <f t="shared" si="191"/>
        <v>0</v>
      </c>
      <c r="T2488">
        <f t="shared" si="192"/>
        <v>0</v>
      </c>
      <c r="U2488">
        <f t="shared" si="193"/>
        <v>0</v>
      </c>
      <c r="V2488">
        <f t="shared" si="194"/>
        <v>0</v>
      </c>
    </row>
    <row r="2489" spans="1:22" x14ac:dyDescent="0.25">
      <c r="A2489">
        <v>2486</v>
      </c>
      <c r="B2489" t="s">
        <v>22</v>
      </c>
      <c r="C2489" t="s">
        <v>1038</v>
      </c>
      <c r="D2489" s="4">
        <v>45417</v>
      </c>
      <c r="E2489" t="s">
        <v>2712</v>
      </c>
      <c r="F2489" t="s">
        <v>75</v>
      </c>
      <c r="I2489" s="6"/>
      <c r="J2489" s="6"/>
      <c r="K2489" s="6"/>
      <c r="L2489" s="6"/>
      <c r="M2489" s="6"/>
      <c r="N2489" s="6"/>
      <c r="O2489" s="6"/>
      <c r="P2489" s="6"/>
      <c r="Q2489">
        <v>0</v>
      </c>
      <c r="R2489">
        <f t="shared" si="190"/>
        <v>0</v>
      </c>
      <c r="S2489">
        <f t="shared" si="191"/>
        <v>0</v>
      </c>
      <c r="T2489">
        <f t="shared" si="192"/>
        <v>0</v>
      </c>
      <c r="U2489">
        <f t="shared" si="193"/>
        <v>0</v>
      </c>
      <c r="V2489">
        <f t="shared" si="194"/>
        <v>0</v>
      </c>
    </row>
    <row r="2490" spans="1:22" x14ac:dyDescent="0.25">
      <c r="A2490">
        <v>2487</v>
      </c>
      <c r="B2490" t="s">
        <v>22</v>
      </c>
      <c r="C2490" t="s">
        <v>1038</v>
      </c>
      <c r="D2490" s="4">
        <v>45417</v>
      </c>
      <c r="E2490" t="s">
        <v>2711</v>
      </c>
      <c r="F2490" t="s">
        <v>75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>
        <v>1</v>
      </c>
      <c r="R2490">
        <f t="shared" si="190"/>
        <v>0</v>
      </c>
      <c r="S2490">
        <f t="shared" si="191"/>
        <v>1</v>
      </c>
      <c r="T2490">
        <f t="shared" si="192"/>
        <v>0</v>
      </c>
      <c r="U2490">
        <f t="shared" si="193"/>
        <v>0</v>
      </c>
      <c r="V2490">
        <f t="shared" si="194"/>
        <v>0</v>
      </c>
    </row>
    <row r="2491" spans="1:22" x14ac:dyDescent="0.25">
      <c r="A2491">
        <v>2488</v>
      </c>
      <c r="B2491" t="s">
        <v>22</v>
      </c>
      <c r="C2491" t="s">
        <v>1038</v>
      </c>
      <c r="D2491" s="4">
        <v>45417</v>
      </c>
      <c r="E2491" t="s">
        <v>1173</v>
      </c>
      <c r="F2491" t="s">
        <v>75</v>
      </c>
      <c r="I2491" s="6">
        <v>0</v>
      </c>
      <c r="J2491" s="6">
        <v>0</v>
      </c>
      <c r="K2491" s="6">
        <v>0</v>
      </c>
      <c r="L2491" s="6">
        <v>1</v>
      </c>
      <c r="M2491" s="6">
        <v>0</v>
      </c>
      <c r="N2491" s="6">
        <v>0</v>
      </c>
      <c r="O2491" s="6">
        <v>0</v>
      </c>
      <c r="P2491" s="6">
        <v>0</v>
      </c>
      <c r="Q2491">
        <v>1</v>
      </c>
      <c r="R2491">
        <f t="shared" si="190"/>
        <v>0</v>
      </c>
      <c r="S2491">
        <f t="shared" si="191"/>
        <v>1</v>
      </c>
      <c r="T2491">
        <f t="shared" si="192"/>
        <v>1</v>
      </c>
      <c r="U2491">
        <f t="shared" si="193"/>
        <v>1</v>
      </c>
      <c r="V2491">
        <f t="shared" si="194"/>
        <v>0</v>
      </c>
    </row>
    <row r="2492" spans="1:22" x14ac:dyDescent="0.25">
      <c r="A2492">
        <v>2489</v>
      </c>
      <c r="B2492" t="s">
        <v>22</v>
      </c>
      <c r="C2492" t="s">
        <v>1038</v>
      </c>
      <c r="D2492" s="4">
        <v>45418</v>
      </c>
      <c r="E2492" t="s">
        <v>317</v>
      </c>
      <c r="F2492" t="s">
        <v>413</v>
      </c>
      <c r="G2492">
        <v>122</v>
      </c>
      <c r="I2492" s="6">
        <v>1</v>
      </c>
      <c r="J2492" s="6">
        <v>1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>
        <v>1</v>
      </c>
      <c r="R2492">
        <f t="shared" si="190"/>
        <v>1</v>
      </c>
      <c r="S2492">
        <f t="shared" si="191"/>
        <v>0</v>
      </c>
      <c r="T2492">
        <f t="shared" si="192"/>
        <v>2</v>
      </c>
      <c r="U2492">
        <f t="shared" si="193"/>
        <v>1</v>
      </c>
      <c r="V2492">
        <f t="shared" si="194"/>
        <v>1</v>
      </c>
    </row>
    <row r="2493" spans="1:22" x14ac:dyDescent="0.25">
      <c r="A2493">
        <v>2490</v>
      </c>
      <c r="B2493" t="s">
        <v>22</v>
      </c>
      <c r="C2493" t="s">
        <v>1038</v>
      </c>
      <c r="D2493" s="4">
        <v>45418</v>
      </c>
      <c r="E2493" t="s">
        <v>318</v>
      </c>
      <c r="F2493" t="s">
        <v>75</v>
      </c>
      <c r="I2493" s="6">
        <v>0</v>
      </c>
      <c r="J2493" s="6">
        <v>0</v>
      </c>
      <c r="K2493" s="6">
        <v>0</v>
      </c>
      <c r="L2493" s="6">
        <v>1</v>
      </c>
      <c r="M2493" s="6">
        <v>0</v>
      </c>
      <c r="N2493" s="6">
        <v>0</v>
      </c>
      <c r="O2493" s="6">
        <v>0</v>
      </c>
      <c r="P2493" s="6">
        <v>0</v>
      </c>
      <c r="Q2493">
        <v>1</v>
      </c>
      <c r="R2493">
        <f t="shared" si="190"/>
        <v>0</v>
      </c>
      <c r="S2493">
        <f t="shared" si="191"/>
        <v>1</v>
      </c>
      <c r="T2493">
        <f t="shared" si="192"/>
        <v>1</v>
      </c>
      <c r="U2493">
        <f t="shared" si="193"/>
        <v>1</v>
      </c>
      <c r="V2493">
        <f t="shared" si="194"/>
        <v>0</v>
      </c>
    </row>
    <row r="2494" spans="1:22" x14ac:dyDescent="0.25">
      <c r="A2494">
        <v>2491</v>
      </c>
      <c r="B2494" t="s">
        <v>22</v>
      </c>
      <c r="C2494" t="s">
        <v>1038</v>
      </c>
      <c r="D2494" s="4">
        <v>45418</v>
      </c>
      <c r="E2494" t="s">
        <v>319</v>
      </c>
      <c r="F2494" t="s">
        <v>75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>
        <v>1</v>
      </c>
      <c r="R2494">
        <f t="shared" si="190"/>
        <v>0</v>
      </c>
      <c r="S2494">
        <f t="shared" si="191"/>
        <v>1</v>
      </c>
      <c r="T2494">
        <f t="shared" si="192"/>
        <v>0</v>
      </c>
      <c r="U2494">
        <f t="shared" si="193"/>
        <v>0</v>
      </c>
      <c r="V2494">
        <f t="shared" si="194"/>
        <v>0</v>
      </c>
    </row>
    <row r="2495" spans="1:22" x14ac:dyDescent="0.25">
      <c r="A2495">
        <v>2492</v>
      </c>
      <c r="B2495" t="s">
        <v>22</v>
      </c>
      <c r="C2495" t="s">
        <v>1038</v>
      </c>
      <c r="D2495" s="4">
        <v>45418</v>
      </c>
      <c r="E2495" t="s">
        <v>2137</v>
      </c>
      <c r="F2495" t="s">
        <v>75</v>
      </c>
      <c r="I2495" s="6"/>
      <c r="J2495" s="6"/>
      <c r="K2495" s="6"/>
      <c r="L2495" s="6"/>
      <c r="M2495" s="6"/>
      <c r="N2495" s="6"/>
      <c r="O2495" s="6"/>
      <c r="P2495" s="6"/>
      <c r="Q2495">
        <v>0</v>
      </c>
      <c r="R2495">
        <f t="shared" si="190"/>
        <v>0</v>
      </c>
      <c r="S2495">
        <f t="shared" si="191"/>
        <v>0</v>
      </c>
      <c r="T2495">
        <f t="shared" si="192"/>
        <v>0</v>
      </c>
      <c r="U2495">
        <f t="shared" si="193"/>
        <v>0</v>
      </c>
      <c r="V2495">
        <f t="shared" si="194"/>
        <v>0</v>
      </c>
    </row>
    <row r="2496" spans="1:22" x14ac:dyDescent="0.25">
      <c r="A2496">
        <v>2493</v>
      </c>
      <c r="B2496" t="s">
        <v>22</v>
      </c>
      <c r="C2496" t="s">
        <v>1038</v>
      </c>
      <c r="D2496" s="4">
        <v>45418</v>
      </c>
      <c r="E2496" t="s">
        <v>1174</v>
      </c>
      <c r="F2496" t="s">
        <v>75</v>
      </c>
      <c r="I2496" s="6">
        <v>1</v>
      </c>
      <c r="J2496" s="6">
        <v>1</v>
      </c>
      <c r="K2496" s="6">
        <v>1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>
        <v>1</v>
      </c>
      <c r="R2496">
        <f t="shared" si="190"/>
        <v>0</v>
      </c>
      <c r="S2496">
        <f t="shared" si="191"/>
        <v>1</v>
      </c>
      <c r="T2496">
        <f t="shared" si="192"/>
        <v>3</v>
      </c>
      <c r="U2496">
        <f t="shared" si="193"/>
        <v>1</v>
      </c>
      <c r="V2496">
        <f t="shared" si="194"/>
        <v>0</v>
      </c>
    </row>
    <row r="2497" spans="1:22" x14ac:dyDescent="0.25">
      <c r="A2497">
        <v>2494</v>
      </c>
      <c r="B2497" t="s">
        <v>22</v>
      </c>
      <c r="C2497" t="s">
        <v>1038</v>
      </c>
      <c r="D2497" s="4">
        <v>45418</v>
      </c>
      <c r="E2497" t="s">
        <v>2312</v>
      </c>
      <c r="F2497" t="s">
        <v>75</v>
      </c>
      <c r="I2497" s="6"/>
      <c r="J2497" s="6"/>
      <c r="K2497" s="6"/>
      <c r="L2497" s="6"/>
      <c r="M2497" s="6"/>
      <c r="N2497" s="6"/>
      <c r="O2497" s="6"/>
      <c r="P2497" s="6"/>
      <c r="Q2497">
        <v>0</v>
      </c>
      <c r="R2497">
        <f t="shared" si="190"/>
        <v>0</v>
      </c>
      <c r="S2497">
        <f t="shared" si="191"/>
        <v>0</v>
      </c>
      <c r="T2497">
        <f t="shared" si="192"/>
        <v>0</v>
      </c>
      <c r="U2497">
        <f t="shared" si="193"/>
        <v>0</v>
      </c>
      <c r="V2497">
        <f t="shared" si="194"/>
        <v>0</v>
      </c>
    </row>
    <row r="2498" spans="1:22" x14ac:dyDescent="0.25">
      <c r="A2498">
        <v>2495</v>
      </c>
      <c r="B2498" t="s">
        <v>22</v>
      </c>
      <c r="C2498" t="s">
        <v>1038</v>
      </c>
      <c r="D2498" s="4">
        <v>45418</v>
      </c>
      <c r="E2498" t="s">
        <v>2710</v>
      </c>
      <c r="F2498" t="s">
        <v>75</v>
      </c>
      <c r="I2498" s="6"/>
      <c r="J2498" s="6"/>
      <c r="K2498" s="6"/>
      <c r="L2498" s="6"/>
      <c r="M2498" s="6"/>
      <c r="N2498" s="6"/>
      <c r="O2498" s="6"/>
      <c r="P2498" s="6"/>
      <c r="Q2498">
        <v>0</v>
      </c>
      <c r="R2498">
        <f t="shared" si="190"/>
        <v>0</v>
      </c>
      <c r="S2498">
        <f t="shared" si="191"/>
        <v>0</v>
      </c>
      <c r="T2498">
        <f t="shared" si="192"/>
        <v>0</v>
      </c>
      <c r="U2498">
        <f t="shared" si="193"/>
        <v>0</v>
      </c>
      <c r="V2498">
        <f t="shared" si="194"/>
        <v>0</v>
      </c>
    </row>
    <row r="2499" spans="1:22" x14ac:dyDescent="0.25">
      <c r="A2499">
        <v>2496</v>
      </c>
      <c r="B2499" t="s">
        <v>22</v>
      </c>
      <c r="C2499" t="s">
        <v>1038</v>
      </c>
      <c r="D2499" s="4">
        <v>45418</v>
      </c>
      <c r="E2499" t="s">
        <v>2709</v>
      </c>
      <c r="F2499" t="s">
        <v>75</v>
      </c>
      <c r="I2499" s="6"/>
      <c r="J2499" s="6"/>
      <c r="K2499" s="6"/>
      <c r="L2499" s="6"/>
      <c r="M2499" s="6"/>
      <c r="N2499" s="6"/>
      <c r="O2499" s="6"/>
      <c r="P2499" s="6"/>
      <c r="Q2499">
        <v>0</v>
      </c>
      <c r="R2499">
        <f t="shared" ref="R2499:R2562" si="195">IF(AND(Q2499=1,F2499="ai_full"),1,0)</f>
        <v>0</v>
      </c>
      <c r="S2499">
        <f t="shared" ref="S2499:S2562" si="196">IF(AND(Q2499=1,F2499="conventional"),1,0)</f>
        <v>0</v>
      </c>
      <c r="T2499">
        <f t="shared" ref="T2499:T2562" si="197">SUM(I2499:P2499)</f>
        <v>0</v>
      </c>
      <c r="U2499">
        <f t="shared" ref="U2499:U2562" si="198">IF(T2499&gt;=1,1,0)</f>
        <v>0</v>
      </c>
      <c r="V2499">
        <f t="shared" ref="V2499:V2562" si="199">IF(F2499="ai_full",1,0)</f>
        <v>0</v>
      </c>
    </row>
    <row r="2500" spans="1:22" x14ac:dyDescent="0.25">
      <c r="A2500">
        <v>2497</v>
      </c>
      <c r="B2500" t="s">
        <v>22</v>
      </c>
      <c r="C2500" t="s">
        <v>1038</v>
      </c>
      <c r="D2500" s="4">
        <v>45419</v>
      </c>
      <c r="E2500" t="s">
        <v>1080</v>
      </c>
      <c r="F2500" t="s">
        <v>75</v>
      </c>
      <c r="I2500" s="6">
        <v>0</v>
      </c>
      <c r="J2500" s="6">
        <v>0</v>
      </c>
      <c r="K2500" s="6">
        <v>0</v>
      </c>
      <c r="L2500" s="6">
        <v>1</v>
      </c>
      <c r="M2500" s="6">
        <v>0</v>
      </c>
      <c r="N2500" s="6">
        <v>0</v>
      </c>
      <c r="O2500" s="6">
        <v>0</v>
      </c>
      <c r="P2500" s="6">
        <v>0</v>
      </c>
      <c r="Q2500">
        <v>1</v>
      </c>
      <c r="R2500">
        <f t="shared" si="195"/>
        <v>0</v>
      </c>
      <c r="S2500">
        <f t="shared" si="196"/>
        <v>1</v>
      </c>
      <c r="T2500">
        <f t="shared" si="197"/>
        <v>1</v>
      </c>
      <c r="U2500">
        <f t="shared" si="198"/>
        <v>1</v>
      </c>
      <c r="V2500">
        <f t="shared" si="199"/>
        <v>0</v>
      </c>
    </row>
    <row r="2501" spans="1:22" x14ac:dyDescent="0.25">
      <c r="A2501">
        <v>2498</v>
      </c>
      <c r="B2501" t="s">
        <v>22</v>
      </c>
      <c r="C2501" t="s">
        <v>1038</v>
      </c>
      <c r="D2501" s="4">
        <v>45419</v>
      </c>
      <c r="E2501" t="s">
        <v>1403</v>
      </c>
      <c r="F2501" t="s">
        <v>75</v>
      </c>
      <c r="I2501" s="6"/>
      <c r="J2501" s="6"/>
      <c r="K2501" s="6"/>
      <c r="L2501" s="6"/>
      <c r="M2501" s="6"/>
      <c r="N2501" s="6"/>
      <c r="O2501" s="6"/>
      <c r="P2501" s="6"/>
      <c r="Q2501">
        <v>0</v>
      </c>
      <c r="R2501">
        <f t="shared" si="195"/>
        <v>0</v>
      </c>
      <c r="S2501">
        <f t="shared" si="196"/>
        <v>0</v>
      </c>
      <c r="T2501">
        <f t="shared" si="197"/>
        <v>0</v>
      </c>
      <c r="U2501">
        <f t="shared" si="198"/>
        <v>0</v>
      </c>
      <c r="V2501">
        <f t="shared" si="199"/>
        <v>0</v>
      </c>
    </row>
    <row r="2502" spans="1:22" x14ac:dyDescent="0.25">
      <c r="A2502">
        <v>2499</v>
      </c>
      <c r="B2502" t="s">
        <v>22</v>
      </c>
      <c r="C2502" t="s">
        <v>1038</v>
      </c>
      <c r="D2502" s="4">
        <v>45419</v>
      </c>
      <c r="E2502" t="s">
        <v>1404</v>
      </c>
      <c r="F2502" t="s">
        <v>75</v>
      </c>
      <c r="I2502" s="6"/>
      <c r="J2502" s="6"/>
      <c r="K2502" s="6"/>
      <c r="L2502" s="6"/>
      <c r="M2502" s="6"/>
      <c r="N2502" s="6"/>
      <c r="O2502" s="6"/>
      <c r="P2502" s="6"/>
      <c r="Q2502">
        <v>0</v>
      </c>
      <c r="R2502">
        <f t="shared" si="195"/>
        <v>0</v>
      </c>
      <c r="S2502">
        <f t="shared" si="196"/>
        <v>0</v>
      </c>
      <c r="T2502">
        <f t="shared" si="197"/>
        <v>0</v>
      </c>
      <c r="U2502">
        <f t="shared" si="198"/>
        <v>0</v>
      </c>
      <c r="V2502">
        <f t="shared" si="199"/>
        <v>0</v>
      </c>
    </row>
    <row r="2503" spans="1:22" x14ac:dyDescent="0.25">
      <c r="A2503">
        <v>2500</v>
      </c>
      <c r="B2503" t="s">
        <v>22</v>
      </c>
      <c r="C2503" t="s">
        <v>1038</v>
      </c>
      <c r="D2503" s="4">
        <v>45419</v>
      </c>
      <c r="E2503" t="s">
        <v>2415</v>
      </c>
      <c r="F2503" t="s">
        <v>75</v>
      </c>
      <c r="I2503" s="6"/>
      <c r="J2503" s="6"/>
      <c r="K2503" s="6"/>
      <c r="L2503" s="6"/>
      <c r="M2503" s="6"/>
      <c r="N2503" s="6"/>
      <c r="O2503" s="6"/>
      <c r="P2503" s="6"/>
      <c r="Q2503">
        <v>0</v>
      </c>
      <c r="R2503">
        <f t="shared" si="195"/>
        <v>0</v>
      </c>
      <c r="S2503">
        <f t="shared" si="196"/>
        <v>0</v>
      </c>
      <c r="T2503">
        <f t="shared" si="197"/>
        <v>0</v>
      </c>
      <c r="U2503">
        <f t="shared" si="198"/>
        <v>0</v>
      </c>
      <c r="V2503">
        <f t="shared" si="199"/>
        <v>0</v>
      </c>
    </row>
    <row r="2504" spans="1:22" x14ac:dyDescent="0.25">
      <c r="A2504">
        <v>2501</v>
      </c>
      <c r="B2504" t="s">
        <v>22</v>
      </c>
      <c r="C2504" t="s">
        <v>1038</v>
      </c>
      <c r="D2504" s="4">
        <v>45419</v>
      </c>
      <c r="E2504" t="s">
        <v>1175</v>
      </c>
      <c r="F2504" t="s">
        <v>75</v>
      </c>
      <c r="I2504" s="6">
        <v>0</v>
      </c>
      <c r="J2504" s="6">
        <v>0</v>
      </c>
      <c r="K2504" s="6">
        <v>1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>
        <v>1</v>
      </c>
      <c r="R2504">
        <f t="shared" si="195"/>
        <v>0</v>
      </c>
      <c r="S2504">
        <f t="shared" si="196"/>
        <v>1</v>
      </c>
      <c r="T2504">
        <f t="shared" si="197"/>
        <v>1</v>
      </c>
      <c r="U2504">
        <f t="shared" si="198"/>
        <v>1</v>
      </c>
      <c r="V2504">
        <f t="shared" si="199"/>
        <v>0</v>
      </c>
    </row>
    <row r="2505" spans="1:22" x14ac:dyDescent="0.25">
      <c r="A2505">
        <v>2502</v>
      </c>
      <c r="B2505" t="s">
        <v>22</v>
      </c>
      <c r="C2505" t="s">
        <v>1038</v>
      </c>
      <c r="D2505" s="4">
        <v>45419</v>
      </c>
      <c r="E2505" t="s">
        <v>2414</v>
      </c>
      <c r="F2505" t="s">
        <v>75</v>
      </c>
      <c r="I2505" s="6">
        <v>1</v>
      </c>
      <c r="J2505" s="6">
        <v>1</v>
      </c>
      <c r="K2505" s="6">
        <v>1</v>
      </c>
      <c r="L2505" s="6">
        <v>0</v>
      </c>
      <c r="M2505" s="6">
        <v>0</v>
      </c>
      <c r="N2505" s="6">
        <v>0</v>
      </c>
      <c r="O2505" s="6">
        <v>1</v>
      </c>
      <c r="P2505" s="6">
        <v>0</v>
      </c>
      <c r="Q2505">
        <v>1</v>
      </c>
      <c r="R2505">
        <f t="shared" si="195"/>
        <v>0</v>
      </c>
      <c r="S2505">
        <f t="shared" si="196"/>
        <v>1</v>
      </c>
      <c r="T2505">
        <f t="shared" si="197"/>
        <v>4</v>
      </c>
      <c r="U2505">
        <f t="shared" si="198"/>
        <v>1</v>
      </c>
      <c r="V2505">
        <f t="shared" si="199"/>
        <v>0</v>
      </c>
    </row>
    <row r="2506" spans="1:22" x14ac:dyDescent="0.25">
      <c r="A2506">
        <v>2503</v>
      </c>
      <c r="B2506" t="s">
        <v>22</v>
      </c>
      <c r="C2506" t="s">
        <v>1038</v>
      </c>
      <c r="D2506" s="4">
        <v>45419</v>
      </c>
      <c r="E2506" t="s">
        <v>2413</v>
      </c>
      <c r="F2506" t="s">
        <v>75</v>
      </c>
      <c r="I2506" s="6"/>
      <c r="J2506" s="6"/>
      <c r="K2506" s="6"/>
      <c r="L2506" s="6"/>
      <c r="M2506" s="6"/>
      <c r="N2506" s="6"/>
      <c r="O2506" s="6"/>
      <c r="P2506" s="6"/>
      <c r="Q2506">
        <v>0</v>
      </c>
      <c r="R2506">
        <f t="shared" si="195"/>
        <v>0</v>
      </c>
      <c r="S2506">
        <f t="shared" si="196"/>
        <v>0</v>
      </c>
      <c r="T2506">
        <f t="shared" si="197"/>
        <v>0</v>
      </c>
      <c r="U2506">
        <f t="shared" si="198"/>
        <v>0</v>
      </c>
      <c r="V2506">
        <f t="shared" si="199"/>
        <v>0</v>
      </c>
    </row>
    <row r="2507" spans="1:22" x14ac:dyDescent="0.25">
      <c r="A2507">
        <v>2504</v>
      </c>
      <c r="B2507" t="s">
        <v>22</v>
      </c>
      <c r="C2507" t="s">
        <v>1038</v>
      </c>
      <c r="D2507" s="4">
        <v>45419</v>
      </c>
      <c r="E2507" t="s">
        <v>2412</v>
      </c>
      <c r="F2507" t="s">
        <v>75</v>
      </c>
      <c r="I2507" s="6"/>
      <c r="J2507" s="6"/>
      <c r="K2507" s="6"/>
      <c r="L2507" s="6"/>
      <c r="M2507" s="6"/>
      <c r="N2507" s="6"/>
      <c r="O2507" s="6"/>
      <c r="P2507" s="6"/>
      <c r="Q2507">
        <v>0</v>
      </c>
      <c r="R2507">
        <f t="shared" si="195"/>
        <v>0</v>
      </c>
      <c r="S2507">
        <f t="shared" si="196"/>
        <v>0</v>
      </c>
      <c r="T2507">
        <f t="shared" si="197"/>
        <v>0</v>
      </c>
      <c r="U2507">
        <f t="shared" si="198"/>
        <v>0</v>
      </c>
      <c r="V2507">
        <f t="shared" si="199"/>
        <v>0</v>
      </c>
    </row>
    <row r="2508" spans="1:22" x14ac:dyDescent="0.25">
      <c r="A2508">
        <v>2505</v>
      </c>
      <c r="B2508" t="s">
        <v>22</v>
      </c>
      <c r="C2508" t="s">
        <v>1038</v>
      </c>
      <c r="D2508" s="4">
        <v>45419</v>
      </c>
      <c r="E2508" t="s">
        <v>2411</v>
      </c>
      <c r="F2508" t="s">
        <v>75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>
        <v>1</v>
      </c>
      <c r="R2508">
        <f t="shared" si="195"/>
        <v>0</v>
      </c>
      <c r="S2508">
        <f t="shared" si="196"/>
        <v>1</v>
      </c>
      <c r="T2508">
        <f t="shared" si="197"/>
        <v>0</v>
      </c>
      <c r="U2508">
        <f t="shared" si="198"/>
        <v>0</v>
      </c>
      <c r="V2508">
        <f t="shared" si="199"/>
        <v>0</v>
      </c>
    </row>
    <row r="2509" spans="1:22" x14ac:dyDescent="0.25">
      <c r="A2509">
        <v>2506</v>
      </c>
      <c r="B2509" t="s">
        <v>22</v>
      </c>
      <c r="C2509" t="s">
        <v>1038</v>
      </c>
      <c r="D2509" s="4">
        <v>45419</v>
      </c>
      <c r="E2509" t="s">
        <v>1176</v>
      </c>
      <c r="F2509" t="s">
        <v>75</v>
      </c>
      <c r="I2509" s="6">
        <v>0</v>
      </c>
      <c r="J2509" s="6">
        <v>0</v>
      </c>
      <c r="K2509" s="6">
        <v>0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>
        <v>1</v>
      </c>
      <c r="R2509">
        <f t="shared" si="195"/>
        <v>0</v>
      </c>
      <c r="S2509">
        <f t="shared" si="196"/>
        <v>1</v>
      </c>
      <c r="T2509">
        <f t="shared" si="197"/>
        <v>0</v>
      </c>
      <c r="U2509">
        <f t="shared" si="198"/>
        <v>0</v>
      </c>
      <c r="V2509">
        <f t="shared" si="199"/>
        <v>0</v>
      </c>
    </row>
    <row r="2510" spans="1:22" x14ac:dyDescent="0.25">
      <c r="A2510">
        <v>2507</v>
      </c>
      <c r="B2510" t="s">
        <v>22</v>
      </c>
      <c r="C2510" t="s">
        <v>1038</v>
      </c>
      <c r="D2510" s="4">
        <v>45419</v>
      </c>
      <c r="E2510" t="s">
        <v>320</v>
      </c>
      <c r="F2510" t="s">
        <v>75</v>
      </c>
      <c r="I2510" s="6">
        <v>1</v>
      </c>
      <c r="J2510" s="6">
        <v>0</v>
      </c>
      <c r="K2510" s="6">
        <v>0</v>
      </c>
      <c r="L2510" s="6">
        <v>0</v>
      </c>
      <c r="M2510" s="6">
        <v>1</v>
      </c>
      <c r="N2510" s="6">
        <v>0</v>
      </c>
      <c r="O2510" s="6">
        <v>0</v>
      </c>
      <c r="P2510" s="6">
        <v>0</v>
      </c>
      <c r="Q2510">
        <v>1</v>
      </c>
      <c r="R2510">
        <f t="shared" si="195"/>
        <v>0</v>
      </c>
      <c r="S2510">
        <f t="shared" si="196"/>
        <v>1</v>
      </c>
      <c r="T2510">
        <f t="shared" si="197"/>
        <v>2</v>
      </c>
      <c r="U2510">
        <f t="shared" si="198"/>
        <v>1</v>
      </c>
      <c r="V2510">
        <f t="shared" si="199"/>
        <v>0</v>
      </c>
    </row>
    <row r="2511" spans="1:22" x14ac:dyDescent="0.25">
      <c r="A2511">
        <v>2508</v>
      </c>
      <c r="B2511" t="s">
        <v>22</v>
      </c>
      <c r="C2511" t="s">
        <v>1038</v>
      </c>
      <c r="D2511" s="4">
        <v>45419</v>
      </c>
      <c r="E2511" t="s">
        <v>1081</v>
      </c>
      <c r="F2511" t="s">
        <v>75</v>
      </c>
      <c r="I2511" s="6"/>
      <c r="J2511" s="6"/>
      <c r="K2511" s="6"/>
      <c r="L2511" s="6"/>
      <c r="M2511" s="6"/>
      <c r="N2511" s="6"/>
      <c r="O2511" s="6"/>
      <c r="P2511" s="6"/>
      <c r="Q2511">
        <v>0</v>
      </c>
      <c r="R2511">
        <f t="shared" si="195"/>
        <v>0</v>
      </c>
      <c r="S2511">
        <f t="shared" si="196"/>
        <v>0</v>
      </c>
      <c r="T2511">
        <f t="shared" si="197"/>
        <v>0</v>
      </c>
      <c r="U2511">
        <f t="shared" si="198"/>
        <v>0</v>
      </c>
      <c r="V2511">
        <f t="shared" si="199"/>
        <v>0</v>
      </c>
    </row>
    <row r="2512" spans="1:22" x14ac:dyDescent="0.25">
      <c r="A2512">
        <v>2509</v>
      </c>
      <c r="B2512" t="s">
        <v>22</v>
      </c>
      <c r="C2512" t="s">
        <v>1038</v>
      </c>
      <c r="D2512" s="4">
        <v>45419</v>
      </c>
      <c r="E2512" t="s">
        <v>1482</v>
      </c>
      <c r="F2512" t="s">
        <v>75</v>
      </c>
      <c r="I2512" s="6"/>
      <c r="J2512" s="6"/>
      <c r="K2512" s="6"/>
      <c r="L2512" s="6"/>
      <c r="M2512" s="6"/>
      <c r="N2512" s="6"/>
      <c r="O2512" s="6"/>
      <c r="P2512" s="6"/>
      <c r="Q2512">
        <v>0</v>
      </c>
      <c r="R2512">
        <f t="shared" si="195"/>
        <v>0</v>
      </c>
      <c r="S2512">
        <f t="shared" si="196"/>
        <v>0</v>
      </c>
      <c r="T2512">
        <f t="shared" si="197"/>
        <v>0</v>
      </c>
      <c r="U2512">
        <f t="shared" si="198"/>
        <v>0</v>
      </c>
      <c r="V2512">
        <f t="shared" si="199"/>
        <v>0</v>
      </c>
    </row>
    <row r="2513" spans="1:22" x14ac:dyDescent="0.25">
      <c r="A2513">
        <v>2510</v>
      </c>
      <c r="B2513" t="s">
        <v>22</v>
      </c>
      <c r="C2513" t="s">
        <v>1038</v>
      </c>
      <c r="D2513" s="4">
        <v>45419</v>
      </c>
      <c r="E2513" t="s">
        <v>1177</v>
      </c>
      <c r="F2513" t="s">
        <v>413</v>
      </c>
      <c r="G2513">
        <v>123</v>
      </c>
      <c r="I2513" s="6">
        <v>0</v>
      </c>
      <c r="J2513" s="6">
        <v>0</v>
      </c>
      <c r="K2513" s="6">
        <v>1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>
        <v>1</v>
      </c>
      <c r="R2513">
        <f t="shared" si="195"/>
        <v>1</v>
      </c>
      <c r="S2513">
        <f t="shared" si="196"/>
        <v>0</v>
      </c>
      <c r="T2513">
        <f t="shared" si="197"/>
        <v>1</v>
      </c>
      <c r="U2513">
        <f t="shared" si="198"/>
        <v>1</v>
      </c>
      <c r="V2513">
        <f t="shared" si="199"/>
        <v>1</v>
      </c>
    </row>
    <row r="2514" spans="1:22" x14ac:dyDescent="0.25">
      <c r="A2514">
        <v>2511</v>
      </c>
      <c r="B2514" t="s">
        <v>22</v>
      </c>
      <c r="C2514" t="s">
        <v>1038</v>
      </c>
      <c r="D2514" s="4">
        <v>45419</v>
      </c>
      <c r="E2514" t="s">
        <v>1178</v>
      </c>
      <c r="F2514" t="s">
        <v>75</v>
      </c>
      <c r="I2514" s="6">
        <v>0</v>
      </c>
      <c r="J2514" s="6">
        <v>0</v>
      </c>
      <c r="K2514" s="6">
        <v>1</v>
      </c>
      <c r="L2514" s="6">
        <v>0</v>
      </c>
      <c r="M2514" s="6">
        <v>1</v>
      </c>
      <c r="N2514" s="6">
        <v>0</v>
      </c>
      <c r="O2514" s="6">
        <v>0</v>
      </c>
      <c r="P2514" s="6">
        <v>0</v>
      </c>
      <c r="Q2514">
        <v>1</v>
      </c>
      <c r="R2514">
        <f t="shared" si="195"/>
        <v>0</v>
      </c>
      <c r="S2514">
        <f t="shared" si="196"/>
        <v>1</v>
      </c>
      <c r="T2514">
        <f t="shared" si="197"/>
        <v>2</v>
      </c>
      <c r="U2514">
        <f t="shared" si="198"/>
        <v>1</v>
      </c>
      <c r="V2514">
        <f t="shared" si="199"/>
        <v>0</v>
      </c>
    </row>
    <row r="2515" spans="1:22" x14ac:dyDescent="0.25">
      <c r="A2515">
        <v>2512</v>
      </c>
      <c r="B2515" t="s">
        <v>22</v>
      </c>
      <c r="C2515" t="s">
        <v>1038</v>
      </c>
      <c r="D2515" s="4">
        <v>45419</v>
      </c>
      <c r="E2515" t="s">
        <v>2408</v>
      </c>
      <c r="F2515" t="s">
        <v>75</v>
      </c>
      <c r="I2515" s="6"/>
      <c r="J2515" s="6"/>
      <c r="K2515" s="6"/>
      <c r="L2515" s="6"/>
      <c r="M2515" s="6"/>
      <c r="N2515" s="6"/>
      <c r="O2515" s="6"/>
      <c r="P2515" s="6"/>
      <c r="Q2515">
        <v>0</v>
      </c>
      <c r="R2515">
        <f t="shared" si="195"/>
        <v>0</v>
      </c>
      <c r="S2515">
        <f t="shared" si="196"/>
        <v>0</v>
      </c>
      <c r="T2515">
        <f t="shared" si="197"/>
        <v>0</v>
      </c>
      <c r="U2515">
        <f t="shared" si="198"/>
        <v>0</v>
      </c>
      <c r="V2515">
        <f t="shared" si="199"/>
        <v>0</v>
      </c>
    </row>
    <row r="2516" spans="1:22" x14ac:dyDescent="0.25">
      <c r="A2516">
        <v>2513</v>
      </c>
      <c r="B2516" t="s">
        <v>22</v>
      </c>
      <c r="C2516" t="s">
        <v>1038</v>
      </c>
      <c r="D2516" s="4">
        <v>45419</v>
      </c>
      <c r="E2516" t="s">
        <v>2407</v>
      </c>
      <c r="F2516" t="s">
        <v>75</v>
      </c>
      <c r="I2516" s="6">
        <v>0</v>
      </c>
      <c r="J2516" s="6">
        <v>0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>
        <v>1</v>
      </c>
      <c r="R2516">
        <f t="shared" si="195"/>
        <v>0</v>
      </c>
      <c r="S2516">
        <f t="shared" si="196"/>
        <v>1</v>
      </c>
      <c r="T2516">
        <f t="shared" si="197"/>
        <v>0</v>
      </c>
      <c r="U2516">
        <f t="shared" si="198"/>
        <v>0</v>
      </c>
      <c r="V2516">
        <f t="shared" si="199"/>
        <v>0</v>
      </c>
    </row>
    <row r="2517" spans="1:22" x14ac:dyDescent="0.25">
      <c r="A2517">
        <v>2514</v>
      </c>
      <c r="B2517" t="s">
        <v>22</v>
      </c>
      <c r="C2517" t="s">
        <v>1038</v>
      </c>
      <c r="D2517" s="4">
        <v>45419</v>
      </c>
      <c r="E2517" t="s">
        <v>2406</v>
      </c>
      <c r="F2517" t="s">
        <v>75</v>
      </c>
      <c r="I2517" s="6"/>
      <c r="J2517" s="6"/>
      <c r="K2517" s="6"/>
      <c r="L2517" s="6"/>
      <c r="M2517" s="6"/>
      <c r="N2517" s="6"/>
      <c r="O2517" s="6"/>
      <c r="P2517" s="6"/>
      <c r="Q2517">
        <v>0</v>
      </c>
      <c r="R2517">
        <f t="shared" si="195"/>
        <v>0</v>
      </c>
      <c r="S2517">
        <f t="shared" si="196"/>
        <v>0</v>
      </c>
      <c r="T2517">
        <f t="shared" si="197"/>
        <v>0</v>
      </c>
      <c r="U2517">
        <f t="shared" si="198"/>
        <v>0</v>
      </c>
      <c r="V2517">
        <f t="shared" si="199"/>
        <v>0</v>
      </c>
    </row>
    <row r="2518" spans="1:22" x14ac:dyDescent="0.25">
      <c r="A2518">
        <v>2515</v>
      </c>
      <c r="B2518" t="s">
        <v>22</v>
      </c>
      <c r="C2518" t="s">
        <v>1038</v>
      </c>
      <c r="D2518" s="4">
        <v>45420</v>
      </c>
      <c r="E2518" t="s">
        <v>471</v>
      </c>
      <c r="F2518" t="s">
        <v>75</v>
      </c>
      <c r="I2518" s="6">
        <v>1</v>
      </c>
      <c r="J2518" s="6">
        <v>0</v>
      </c>
      <c r="K2518" s="6">
        <v>1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>
        <v>1</v>
      </c>
      <c r="R2518">
        <f t="shared" si="195"/>
        <v>0</v>
      </c>
      <c r="S2518">
        <f t="shared" si="196"/>
        <v>1</v>
      </c>
      <c r="T2518">
        <f t="shared" si="197"/>
        <v>2</v>
      </c>
      <c r="U2518">
        <f t="shared" si="198"/>
        <v>1</v>
      </c>
      <c r="V2518">
        <f t="shared" si="199"/>
        <v>0</v>
      </c>
    </row>
    <row r="2519" spans="1:22" x14ac:dyDescent="0.25">
      <c r="A2519">
        <v>2516</v>
      </c>
      <c r="B2519" t="s">
        <v>22</v>
      </c>
      <c r="C2519" t="s">
        <v>1038</v>
      </c>
      <c r="D2519" s="4">
        <v>45420</v>
      </c>
      <c r="E2519" t="s">
        <v>2708</v>
      </c>
      <c r="F2519" t="s">
        <v>75</v>
      </c>
      <c r="I2519" s="6"/>
      <c r="J2519" s="6"/>
      <c r="K2519" s="6"/>
      <c r="L2519" s="6"/>
      <c r="M2519" s="6"/>
      <c r="N2519" s="6"/>
      <c r="O2519" s="6"/>
      <c r="P2519" s="6"/>
      <c r="Q2519">
        <v>0</v>
      </c>
      <c r="R2519">
        <f t="shared" si="195"/>
        <v>0</v>
      </c>
      <c r="S2519">
        <f t="shared" si="196"/>
        <v>0</v>
      </c>
      <c r="T2519">
        <f t="shared" si="197"/>
        <v>0</v>
      </c>
      <c r="U2519">
        <f t="shared" si="198"/>
        <v>0</v>
      </c>
      <c r="V2519">
        <f t="shared" si="199"/>
        <v>0</v>
      </c>
    </row>
    <row r="2520" spans="1:22" x14ac:dyDescent="0.25">
      <c r="A2520">
        <v>2517</v>
      </c>
      <c r="B2520" t="s">
        <v>22</v>
      </c>
      <c r="C2520" t="s">
        <v>1038</v>
      </c>
      <c r="D2520" s="4">
        <v>45420</v>
      </c>
      <c r="E2520" t="s">
        <v>1179</v>
      </c>
      <c r="F2520" t="s">
        <v>75</v>
      </c>
      <c r="I2520" s="6">
        <v>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>
        <v>1</v>
      </c>
      <c r="R2520">
        <f t="shared" si="195"/>
        <v>0</v>
      </c>
      <c r="S2520">
        <f t="shared" si="196"/>
        <v>1</v>
      </c>
      <c r="T2520">
        <f t="shared" si="197"/>
        <v>0</v>
      </c>
      <c r="U2520">
        <f t="shared" si="198"/>
        <v>0</v>
      </c>
      <c r="V2520">
        <f t="shared" si="199"/>
        <v>0</v>
      </c>
    </row>
    <row r="2521" spans="1:22" x14ac:dyDescent="0.25">
      <c r="A2521">
        <v>2518</v>
      </c>
      <c r="B2521" t="s">
        <v>22</v>
      </c>
      <c r="C2521" t="s">
        <v>1038</v>
      </c>
      <c r="D2521" s="4">
        <v>45420</v>
      </c>
      <c r="E2521" t="s">
        <v>1180</v>
      </c>
      <c r="F2521" t="s">
        <v>413</v>
      </c>
      <c r="G2521">
        <v>124</v>
      </c>
      <c r="I2521" s="6">
        <v>1</v>
      </c>
      <c r="J2521" s="6">
        <v>1</v>
      </c>
      <c r="K2521" s="6">
        <v>1</v>
      </c>
      <c r="L2521" s="6">
        <v>0</v>
      </c>
      <c r="M2521" s="6">
        <v>0</v>
      </c>
      <c r="N2521" s="6">
        <v>0</v>
      </c>
      <c r="O2521" s="6">
        <v>1</v>
      </c>
      <c r="P2521" s="6">
        <v>0</v>
      </c>
      <c r="Q2521">
        <v>1</v>
      </c>
      <c r="R2521">
        <f t="shared" si="195"/>
        <v>1</v>
      </c>
      <c r="S2521">
        <f t="shared" si="196"/>
        <v>0</v>
      </c>
      <c r="T2521">
        <f t="shared" si="197"/>
        <v>4</v>
      </c>
      <c r="U2521">
        <f t="shared" si="198"/>
        <v>1</v>
      </c>
      <c r="V2521">
        <f t="shared" si="199"/>
        <v>1</v>
      </c>
    </row>
    <row r="2522" spans="1:22" x14ac:dyDescent="0.25">
      <c r="A2522">
        <v>2519</v>
      </c>
      <c r="B2522" t="s">
        <v>22</v>
      </c>
      <c r="C2522" t="s">
        <v>1038</v>
      </c>
      <c r="D2522" s="4">
        <v>45420</v>
      </c>
      <c r="E2522" t="s">
        <v>2707</v>
      </c>
      <c r="F2522" t="s">
        <v>75</v>
      </c>
      <c r="I2522" s="6"/>
      <c r="J2522" s="6"/>
      <c r="K2522" s="6"/>
      <c r="L2522" s="6"/>
      <c r="M2522" s="6"/>
      <c r="N2522" s="6"/>
      <c r="O2522" s="6"/>
      <c r="P2522" s="6"/>
      <c r="Q2522">
        <v>0</v>
      </c>
      <c r="R2522">
        <f t="shared" si="195"/>
        <v>0</v>
      </c>
      <c r="S2522">
        <f t="shared" si="196"/>
        <v>0</v>
      </c>
      <c r="T2522">
        <f t="shared" si="197"/>
        <v>0</v>
      </c>
      <c r="U2522">
        <f t="shared" si="198"/>
        <v>0</v>
      </c>
      <c r="V2522">
        <f t="shared" si="199"/>
        <v>0</v>
      </c>
    </row>
    <row r="2523" spans="1:22" x14ac:dyDescent="0.25">
      <c r="A2523">
        <v>2520</v>
      </c>
      <c r="B2523" t="s">
        <v>22</v>
      </c>
      <c r="C2523" t="s">
        <v>1038</v>
      </c>
      <c r="D2523" s="4">
        <v>45420</v>
      </c>
      <c r="E2523" t="s">
        <v>2706</v>
      </c>
      <c r="F2523" t="s">
        <v>75</v>
      </c>
      <c r="I2523" s="6"/>
      <c r="J2523" s="6"/>
      <c r="K2523" s="6"/>
      <c r="L2523" s="6"/>
      <c r="M2523" s="6"/>
      <c r="N2523" s="6"/>
      <c r="O2523" s="6"/>
      <c r="P2523" s="6"/>
      <c r="Q2523">
        <v>0</v>
      </c>
      <c r="R2523">
        <f t="shared" si="195"/>
        <v>0</v>
      </c>
      <c r="S2523">
        <f t="shared" si="196"/>
        <v>0</v>
      </c>
      <c r="T2523">
        <f t="shared" si="197"/>
        <v>0</v>
      </c>
      <c r="U2523">
        <f t="shared" si="198"/>
        <v>0</v>
      </c>
      <c r="V2523">
        <f t="shared" si="199"/>
        <v>0</v>
      </c>
    </row>
    <row r="2524" spans="1:22" x14ac:dyDescent="0.25">
      <c r="A2524">
        <v>2521</v>
      </c>
      <c r="B2524" t="s">
        <v>22</v>
      </c>
      <c r="C2524" t="s">
        <v>1038</v>
      </c>
      <c r="D2524" s="4">
        <v>45420</v>
      </c>
      <c r="E2524" t="s">
        <v>2705</v>
      </c>
      <c r="F2524" t="s">
        <v>75</v>
      </c>
      <c r="I2524" s="6"/>
      <c r="J2524" s="6"/>
      <c r="K2524" s="6"/>
      <c r="L2524" s="6"/>
      <c r="M2524" s="6"/>
      <c r="N2524" s="6"/>
      <c r="O2524" s="6"/>
      <c r="P2524" s="6"/>
      <c r="Q2524">
        <v>0</v>
      </c>
      <c r="R2524">
        <f t="shared" si="195"/>
        <v>0</v>
      </c>
      <c r="S2524">
        <f t="shared" si="196"/>
        <v>0</v>
      </c>
      <c r="T2524">
        <f t="shared" si="197"/>
        <v>0</v>
      </c>
      <c r="U2524">
        <f t="shared" si="198"/>
        <v>0</v>
      </c>
      <c r="V2524">
        <f t="shared" si="199"/>
        <v>0</v>
      </c>
    </row>
    <row r="2525" spans="1:22" x14ac:dyDescent="0.25">
      <c r="A2525">
        <v>2522</v>
      </c>
      <c r="B2525" t="s">
        <v>22</v>
      </c>
      <c r="C2525" t="s">
        <v>1038</v>
      </c>
      <c r="D2525" s="4">
        <v>45420</v>
      </c>
      <c r="E2525" t="s">
        <v>1181</v>
      </c>
      <c r="F2525" t="s">
        <v>75</v>
      </c>
      <c r="I2525" s="6">
        <v>1</v>
      </c>
      <c r="J2525" s="6">
        <v>1</v>
      </c>
      <c r="K2525" s="6">
        <v>1</v>
      </c>
      <c r="L2525" s="6">
        <v>0</v>
      </c>
      <c r="M2525" s="6">
        <v>0</v>
      </c>
      <c r="N2525" s="6">
        <v>0</v>
      </c>
      <c r="O2525" s="6">
        <v>1</v>
      </c>
      <c r="P2525" s="6">
        <v>0</v>
      </c>
      <c r="Q2525">
        <v>1</v>
      </c>
      <c r="R2525">
        <f t="shared" si="195"/>
        <v>0</v>
      </c>
      <c r="S2525">
        <f t="shared" si="196"/>
        <v>1</v>
      </c>
      <c r="T2525">
        <f t="shared" si="197"/>
        <v>4</v>
      </c>
      <c r="U2525">
        <f t="shared" si="198"/>
        <v>1</v>
      </c>
      <c r="V2525">
        <f t="shared" si="199"/>
        <v>0</v>
      </c>
    </row>
    <row r="2526" spans="1:22" x14ac:dyDescent="0.25">
      <c r="A2526">
        <v>2523</v>
      </c>
      <c r="B2526" t="s">
        <v>22</v>
      </c>
      <c r="C2526" t="s">
        <v>1038</v>
      </c>
      <c r="D2526" s="4">
        <v>45420</v>
      </c>
      <c r="E2526" t="s">
        <v>2704</v>
      </c>
      <c r="F2526" t="s">
        <v>75</v>
      </c>
      <c r="I2526" s="6"/>
      <c r="J2526" s="6"/>
      <c r="K2526" s="6"/>
      <c r="L2526" s="6"/>
      <c r="M2526" s="6"/>
      <c r="N2526" s="6"/>
      <c r="O2526" s="6"/>
      <c r="P2526" s="6"/>
      <c r="Q2526">
        <v>0</v>
      </c>
      <c r="R2526">
        <f t="shared" si="195"/>
        <v>0</v>
      </c>
      <c r="S2526">
        <f t="shared" si="196"/>
        <v>0</v>
      </c>
      <c r="T2526">
        <f t="shared" si="197"/>
        <v>0</v>
      </c>
      <c r="U2526">
        <f t="shared" si="198"/>
        <v>0</v>
      </c>
      <c r="V2526">
        <f t="shared" si="199"/>
        <v>0</v>
      </c>
    </row>
    <row r="2527" spans="1:22" x14ac:dyDescent="0.25">
      <c r="A2527">
        <v>2524</v>
      </c>
      <c r="B2527" t="s">
        <v>22</v>
      </c>
      <c r="C2527" t="s">
        <v>1038</v>
      </c>
      <c r="D2527" s="4">
        <v>45420</v>
      </c>
      <c r="E2527" t="s">
        <v>2703</v>
      </c>
      <c r="F2527" t="s">
        <v>75</v>
      </c>
      <c r="I2527" s="6"/>
      <c r="J2527" s="6"/>
      <c r="K2527" s="6"/>
      <c r="L2527" s="6"/>
      <c r="M2527" s="6"/>
      <c r="N2527" s="6"/>
      <c r="O2527" s="6"/>
      <c r="P2527" s="6"/>
      <c r="Q2527">
        <v>0</v>
      </c>
      <c r="R2527">
        <f t="shared" si="195"/>
        <v>0</v>
      </c>
      <c r="S2527">
        <f t="shared" si="196"/>
        <v>0</v>
      </c>
      <c r="T2527">
        <f t="shared" si="197"/>
        <v>0</v>
      </c>
      <c r="U2527">
        <f t="shared" si="198"/>
        <v>0</v>
      </c>
      <c r="V2527">
        <f t="shared" si="199"/>
        <v>0</v>
      </c>
    </row>
    <row r="2528" spans="1:22" x14ac:dyDescent="0.25">
      <c r="A2528">
        <v>2525</v>
      </c>
      <c r="B2528" t="s">
        <v>22</v>
      </c>
      <c r="C2528" t="s">
        <v>1038</v>
      </c>
      <c r="D2528" s="4">
        <v>45420</v>
      </c>
      <c r="E2528" t="s">
        <v>472</v>
      </c>
      <c r="F2528" t="s">
        <v>75</v>
      </c>
      <c r="I2528" s="6"/>
      <c r="J2528" s="6"/>
      <c r="K2528" s="6"/>
      <c r="L2528" s="6"/>
      <c r="M2528" s="6"/>
      <c r="N2528" s="6"/>
      <c r="O2528" s="6"/>
      <c r="P2528" s="6"/>
      <c r="Q2528">
        <v>0</v>
      </c>
      <c r="R2528">
        <f t="shared" si="195"/>
        <v>0</v>
      </c>
      <c r="S2528">
        <f t="shared" si="196"/>
        <v>0</v>
      </c>
      <c r="T2528">
        <f t="shared" si="197"/>
        <v>0</v>
      </c>
      <c r="U2528">
        <f t="shared" si="198"/>
        <v>0</v>
      </c>
      <c r="V2528">
        <f t="shared" si="199"/>
        <v>0</v>
      </c>
    </row>
    <row r="2529" spans="1:22" x14ac:dyDescent="0.25">
      <c r="A2529">
        <v>2526</v>
      </c>
      <c r="B2529" t="s">
        <v>22</v>
      </c>
      <c r="C2529" t="s">
        <v>1038</v>
      </c>
      <c r="D2529" s="4">
        <v>45420</v>
      </c>
      <c r="E2529" t="s">
        <v>473</v>
      </c>
      <c r="F2529" t="s">
        <v>75</v>
      </c>
      <c r="I2529" s="6">
        <v>1</v>
      </c>
      <c r="J2529" s="6">
        <v>1</v>
      </c>
      <c r="K2529" s="6">
        <v>1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>
        <v>1</v>
      </c>
      <c r="R2529">
        <f t="shared" si="195"/>
        <v>0</v>
      </c>
      <c r="S2529">
        <f t="shared" si="196"/>
        <v>1</v>
      </c>
      <c r="T2529">
        <f t="shared" si="197"/>
        <v>3</v>
      </c>
      <c r="U2529">
        <f t="shared" si="198"/>
        <v>1</v>
      </c>
      <c r="V2529">
        <f t="shared" si="199"/>
        <v>0</v>
      </c>
    </row>
    <row r="2530" spans="1:22" x14ac:dyDescent="0.25">
      <c r="A2530">
        <v>2527</v>
      </c>
      <c r="B2530" t="s">
        <v>22</v>
      </c>
      <c r="C2530" t="s">
        <v>1038</v>
      </c>
      <c r="D2530" s="4">
        <v>45420</v>
      </c>
      <c r="E2530" t="s">
        <v>1082</v>
      </c>
      <c r="F2530" t="s">
        <v>75</v>
      </c>
      <c r="I2530" s="6"/>
      <c r="J2530" s="6"/>
      <c r="K2530" s="6"/>
      <c r="L2530" s="6"/>
      <c r="M2530" s="6"/>
      <c r="N2530" s="6"/>
      <c r="O2530" s="6"/>
      <c r="P2530" s="6"/>
      <c r="Q2530">
        <v>0</v>
      </c>
      <c r="R2530">
        <f t="shared" si="195"/>
        <v>0</v>
      </c>
      <c r="S2530">
        <f t="shared" si="196"/>
        <v>0</v>
      </c>
      <c r="T2530">
        <f t="shared" si="197"/>
        <v>0</v>
      </c>
      <c r="U2530">
        <f t="shared" si="198"/>
        <v>0</v>
      </c>
      <c r="V2530">
        <f t="shared" si="199"/>
        <v>0</v>
      </c>
    </row>
    <row r="2531" spans="1:22" x14ac:dyDescent="0.25">
      <c r="A2531">
        <v>2528</v>
      </c>
      <c r="B2531" t="s">
        <v>22</v>
      </c>
      <c r="C2531" t="s">
        <v>1038</v>
      </c>
      <c r="D2531" s="4">
        <v>45420</v>
      </c>
      <c r="E2531" t="s">
        <v>2136</v>
      </c>
      <c r="F2531" t="s">
        <v>75</v>
      </c>
      <c r="I2531" s="6"/>
      <c r="J2531" s="6"/>
      <c r="K2531" s="6"/>
      <c r="L2531" s="6"/>
      <c r="M2531" s="6"/>
      <c r="N2531" s="6"/>
      <c r="O2531" s="6"/>
      <c r="P2531" s="6"/>
      <c r="Q2531">
        <v>0</v>
      </c>
      <c r="R2531">
        <f t="shared" si="195"/>
        <v>0</v>
      </c>
      <c r="S2531">
        <f t="shared" si="196"/>
        <v>0</v>
      </c>
      <c r="T2531">
        <f t="shared" si="197"/>
        <v>0</v>
      </c>
      <c r="U2531">
        <f t="shared" si="198"/>
        <v>0</v>
      </c>
      <c r="V2531">
        <f t="shared" si="199"/>
        <v>0</v>
      </c>
    </row>
    <row r="2532" spans="1:22" x14ac:dyDescent="0.25">
      <c r="A2532">
        <v>2529</v>
      </c>
      <c r="B2532" t="s">
        <v>22</v>
      </c>
      <c r="C2532" t="s">
        <v>1038</v>
      </c>
      <c r="D2532" s="4">
        <v>45420</v>
      </c>
      <c r="E2532" t="s">
        <v>1083</v>
      </c>
      <c r="F2532" t="s">
        <v>75</v>
      </c>
      <c r="I2532" s="6">
        <v>1</v>
      </c>
      <c r="J2532" s="6">
        <v>0</v>
      </c>
      <c r="K2532" s="6">
        <v>0</v>
      </c>
      <c r="L2532" s="6">
        <v>0</v>
      </c>
      <c r="M2532" s="6">
        <v>1</v>
      </c>
      <c r="N2532" s="6">
        <v>0</v>
      </c>
      <c r="O2532" s="6">
        <v>0</v>
      </c>
      <c r="P2532" s="6">
        <v>0</v>
      </c>
      <c r="Q2532">
        <v>1</v>
      </c>
      <c r="R2532">
        <f t="shared" si="195"/>
        <v>0</v>
      </c>
      <c r="S2532">
        <f t="shared" si="196"/>
        <v>1</v>
      </c>
      <c r="T2532">
        <f t="shared" si="197"/>
        <v>2</v>
      </c>
      <c r="U2532">
        <f t="shared" si="198"/>
        <v>1</v>
      </c>
      <c r="V2532">
        <f t="shared" si="199"/>
        <v>0</v>
      </c>
    </row>
    <row r="2533" spans="1:22" x14ac:dyDescent="0.25">
      <c r="A2533">
        <v>2530</v>
      </c>
      <c r="B2533" t="s">
        <v>22</v>
      </c>
      <c r="C2533" t="s">
        <v>1038</v>
      </c>
      <c r="D2533" s="4">
        <v>45420</v>
      </c>
      <c r="E2533" t="s">
        <v>2702</v>
      </c>
      <c r="F2533" t="s">
        <v>75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1</v>
      </c>
      <c r="O2533" s="6">
        <v>0</v>
      </c>
      <c r="P2533" s="6">
        <v>0</v>
      </c>
      <c r="Q2533">
        <v>1</v>
      </c>
      <c r="R2533">
        <f t="shared" si="195"/>
        <v>0</v>
      </c>
      <c r="S2533">
        <f t="shared" si="196"/>
        <v>1</v>
      </c>
      <c r="T2533">
        <f t="shared" si="197"/>
        <v>1</v>
      </c>
      <c r="U2533">
        <f t="shared" si="198"/>
        <v>1</v>
      </c>
      <c r="V2533">
        <f t="shared" si="199"/>
        <v>0</v>
      </c>
    </row>
    <row r="2534" spans="1:22" x14ac:dyDescent="0.25">
      <c r="A2534">
        <v>2531</v>
      </c>
      <c r="B2534" t="s">
        <v>22</v>
      </c>
      <c r="C2534" t="s">
        <v>1038</v>
      </c>
      <c r="D2534" s="4">
        <v>45420</v>
      </c>
      <c r="E2534" t="s">
        <v>2701</v>
      </c>
      <c r="F2534" t="s">
        <v>75</v>
      </c>
      <c r="I2534" s="6"/>
      <c r="J2534" s="6"/>
      <c r="K2534" s="6"/>
      <c r="L2534" s="6"/>
      <c r="M2534" s="6"/>
      <c r="N2534" s="6"/>
      <c r="O2534" s="6"/>
      <c r="P2534" s="6"/>
      <c r="Q2534">
        <v>0</v>
      </c>
      <c r="R2534">
        <f t="shared" si="195"/>
        <v>0</v>
      </c>
      <c r="S2534">
        <f t="shared" si="196"/>
        <v>0</v>
      </c>
      <c r="T2534">
        <f t="shared" si="197"/>
        <v>0</v>
      </c>
      <c r="U2534">
        <f t="shared" si="198"/>
        <v>0</v>
      </c>
      <c r="V2534">
        <f t="shared" si="199"/>
        <v>0</v>
      </c>
    </row>
    <row r="2535" spans="1:22" x14ac:dyDescent="0.25">
      <c r="A2535">
        <v>2532</v>
      </c>
      <c r="B2535" t="s">
        <v>22</v>
      </c>
      <c r="C2535" t="s">
        <v>1038</v>
      </c>
      <c r="D2535" s="4">
        <v>45420</v>
      </c>
      <c r="E2535" t="s">
        <v>1084</v>
      </c>
      <c r="F2535" t="s">
        <v>75</v>
      </c>
      <c r="I2535" s="6">
        <v>1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1</v>
      </c>
      <c r="P2535" s="6">
        <v>0</v>
      </c>
      <c r="Q2535">
        <v>1</v>
      </c>
      <c r="R2535">
        <f t="shared" si="195"/>
        <v>0</v>
      </c>
      <c r="S2535">
        <f t="shared" si="196"/>
        <v>1</v>
      </c>
      <c r="T2535">
        <f t="shared" si="197"/>
        <v>2</v>
      </c>
      <c r="U2535">
        <f t="shared" si="198"/>
        <v>1</v>
      </c>
      <c r="V2535">
        <f t="shared" si="199"/>
        <v>0</v>
      </c>
    </row>
    <row r="2536" spans="1:22" x14ac:dyDescent="0.25">
      <c r="A2536">
        <v>2533</v>
      </c>
      <c r="B2536" t="s">
        <v>22</v>
      </c>
      <c r="C2536" t="s">
        <v>1038</v>
      </c>
      <c r="D2536" s="4">
        <v>45421</v>
      </c>
      <c r="E2536" t="s">
        <v>321</v>
      </c>
      <c r="F2536" t="s">
        <v>75</v>
      </c>
      <c r="I2536" s="6"/>
      <c r="J2536" s="6"/>
      <c r="K2536" s="6"/>
      <c r="L2536" s="6"/>
      <c r="M2536" s="6"/>
      <c r="N2536" s="6"/>
      <c r="O2536" s="6"/>
      <c r="P2536" s="6"/>
      <c r="Q2536">
        <v>0</v>
      </c>
      <c r="R2536">
        <f t="shared" si="195"/>
        <v>0</v>
      </c>
      <c r="S2536">
        <f t="shared" si="196"/>
        <v>0</v>
      </c>
      <c r="T2536">
        <f t="shared" si="197"/>
        <v>0</v>
      </c>
      <c r="U2536">
        <f t="shared" si="198"/>
        <v>0</v>
      </c>
      <c r="V2536">
        <f t="shared" si="199"/>
        <v>0</v>
      </c>
    </row>
    <row r="2537" spans="1:22" x14ac:dyDescent="0.25">
      <c r="A2537">
        <v>2534</v>
      </c>
      <c r="B2537" t="s">
        <v>22</v>
      </c>
      <c r="C2537" t="s">
        <v>1038</v>
      </c>
      <c r="D2537" s="4">
        <v>45421</v>
      </c>
      <c r="E2537" t="s">
        <v>2700</v>
      </c>
      <c r="F2537" t="s">
        <v>75</v>
      </c>
      <c r="I2537" s="6">
        <v>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>
        <v>1</v>
      </c>
      <c r="R2537">
        <f t="shared" si="195"/>
        <v>0</v>
      </c>
      <c r="S2537">
        <f t="shared" si="196"/>
        <v>1</v>
      </c>
      <c r="T2537">
        <f t="shared" si="197"/>
        <v>0</v>
      </c>
      <c r="U2537">
        <f t="shared" si="198"/>
        <v>0</v>
      </c>
      <c r="V2537">
        <f t="shared" si="199"/>
        <v>0</v>
      </c>
    </row>
    <row r="2538" spans="1:22" x14ac:dyDescent="0.25">
      <c r="A2538">
        <v>2535</v>
      </c>
      <c r="B2538" t="s">
        <v>22</v>
      </c>
      <c r="C2538" t="s">
        <v>1038</v>
      </c>
      <c r="D2538" s="4">
        <v>45421</v>
      </c>
      <c r="E2538" t="s">
        <v>322</v>
      </c>
      <c r="F2538" t="s">
        <v>75</v>
      </c>
      <c r="I2538" s="6"/>
      <c r="J2538" s="6"/>
      <c r="K2538" s="6"/>
      <c r="L2538" s="6"/>
      <c r="M2538" s="6"/>
      <c r="N2538" s="6"/>
      <c r="O2538" s="6"/>
      <c r="P2538" s="6"/>
      <c r="Q2538">
        <v>0</v>
      </c>
      <c r="R2538">
        <f t="shared" si="195"/>
        <v>0</v>
      </c>
      <c r="S2538">
        <f t="shared" si="196"/>
        <v>0</v>
      </c>
      <c r="T2538">
        <f t="shared" si="197"/>
        <v>0</v>
      </c>
      <c r="U2538">
        <f t="shared" si="198"/>
        <v>0</v>
      </c>
      <c r="V2538">
        <f t="shared" si="199"/>
        <v>0</v>
      </c>
    </row>
    <row r="2539" spans="1:22" x14ac:dyDescent="0.25">
      <c r="A2539">
        <v>2536</v>
      </c>
      <c r="B2539" t="s">
        <v>22</v>
      </c>
      <c r="C2539" t="s">
        <v>1038</v>
      </c>
      <c r="D2539" s="4">
        <v>45421</v>
      </c>
      <c r="E2539" t="s">
        <v>323</v>
      </c>
      <c r="F2539" t="s">
        <v>75</v>
      </c>
      <c r="I2539" s="6"/>
      <c r="J2539" s="6"/>
      <c r="K2539" s="6"/>
      <c r="L2539" s="6"/>
      <c r="M2539" s="6"/>
      <c r="N2539" s="6"/>
      <c r="O2539" s="6"/>
      <c r="P2539" s="6"/>
      <c r="Q2539">
        <v>0</v>
      </c>
      <c r="R2539">
        <f t="shared" si="195"/>
        <v>0</v>
      </c>
      <c r="S2539">
        <f t="shared" si="196"/>
        <v>0</v>
      </c>
      <c r="T2539">
        <f t="shared" si="197"/>
        <v>0</v>
      </c>
      <c r="U2539">
        <f t="shared" si="198"/>
        <v>0</v>
      </c>
      <c r="V2539">
        <f t="shared" si="199"/>
        <v>0</v>
      </c>
    </row>
    <row r="2540" spans="1:22" x14ac:dyDescent="0.25">
      <c r="A2540">
        <v>2537</v>
      </c>
      <c r="B2540" t="s">
        <v>22</v>
      </c>
      <c r="C2540" t="s">
        <v>1038</v>
      </c>
      <c r="D2540" s="4">
        <v>45421</v>
      </c>
      <c r="E2540" t="s">
        <v>324</v>
      </c>
      <c r="F2540" t="s">
        <v>75</v>
      </c>
      <c r="I2540" s="6"/>
      <c r="J2540" s="6"/>
      <c r="K2540" s="6"/>
      <c r="L2540" s="6"/>
      <c r="M2540" s="6"/>
      <c r="N2540" s="6"/>
      <c r="O2540" s="6"/>
      <c r="P2540" s="6"/>
      <c r="Q2540">
        <v>0</v>
      </c>
      <c r="R2540">
        <f t="shared" si="195"/>
        <v>0</v>
      </c>
      <c r="S2540">
        <f t="shared" si="196"/>
        <v>0</v>
      </c>
      <c r="T2540">
        <f t="shared" si="197"/>
        <v>0</v>
      </c>
      <c r="U2540">
        <f t="shared" si="198"/>
        <v>0</v>
      </c>
      <c r="V2540">
        <f t="shared" si="199"/>
        <v>0</v>
      </c>
    </row>
    <row r="2541" spans="1:22" x14ac:dyDescent="0.25">
      <c r="A2541">
        <v>2538</v>
      </c>
      <c r="B2541" t="s">
        <v>22</v>
      </c>
      <c r="C2541" t="s">
        <v>1038</v>
      </c>
      <c r="D2541" s="4">
        <v>45421</v>
      </c>
      <c r="E2541" t="s">
        <v>325</v>
      </c>
      <c r="F2541" t="s">
        <v>75</v>
      </c>
      <c r="I2541" s="6"/>
      <c r="J2541" s="6"/>
      <c r="K2541" s="6"/>
      <c r="L2541" s="6"/>
      <c r="M2541" s="6"/>
      <c r="N2541" s="6"/>
      <c r="O2541" s="6"/>
      <c r="P2541" s="6"/>
      <c r="Q2541">
        <v>0</v>
      </c>
      <c r="R2541">
        <f t="shared" si="195"/>
        <v>0</v>
      </c>
      <c r="S2541">
        <f t="shared" si="196"/>
        <v>0</v>
      </c>
      <c r="T2541">
        <f t="shared" si="197"/>
        <v>0</v>
      </c>
      <c r="U2541">
        <f t="shared" si="198"/>
        <v>0</v>
      </c>
      <c r="V2541">
        <f t="shared" si="199"/>
        <v>0</v>
      </c>
    </row>
    <row r="2542" spans="1:22" x14ac:dyDescent="0.25">
      <c r="A2542">
        <v>2539</v>
      </c>
      <c r="B2542" t="s">
        <v>22</v>
      </c>
      <c r="C2542" t="s">
        <v>1038</v>
      </c>
      <c r="D2542" s="4">
        <v>45421</v>
      </c>
      <c r="E2542" t="s">
        <v>1085</v>
      </c>
      <c r="F2542" t="s">
        <v>75</v>
      </c>
      <c r="I2542" s="6"/>
      <c r="J2542" s="6"/>
      <c r="K2542" s="6"/>
      <c r="L2542" s="6"/>
      <c r="M2542" s="6"/>
      <c r="N2542" s="6"/>
      <c r="O2542" s="6"/>
      <c r="P2542" s="6"/>
      <c r="Q2542">
        <v>0</v>
      </c>
      <c r="R2542">
        <f t="shared" si="195"/>
        <v>0</v>
      </c>
      <c r="S2542">
        <f t="shared" si="196"/>
        <v>0</v>
      </c>
      <c r="T2542">
        <f t="shared" si="197"/>
        <v>0</v>
      </c>
      <c r="U2542">
        <f t="shared" si="198"/>
        <v>0</v>
      </c>
      <c r="V2542">
        <f t="shared" si="199"/>
        <v>0</v>
      </c>
    </row>
    <row r="2543" spans="1:22" x14ac:dyDescent="0.25">
      <c r="A2543">
        <v>2540</v>
      </c>
      <c r="B2543" t="s">
        <v>22</v>
      </c>
      <c r="C2543" t="s">
        <v>1038</v>
      </c>
      <c r="D2543" s="4">
        <v>45421</v>
      </c>
      <c r="E2543" t="s">
        <v>1086</v>
      </c>
      <c r="F2543" t="s">
        <v>75</v>
      </c>
      <c r="I2543" s="6">
        <v>0</v>
      </c>
      <c r="J2543" s="6">
        <v>1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>
        <v>1</v>
      </c>
      <c r="R2543">
        <f t="shared" si="195"/>
        <v>0</v>
      </c>
      <c r="S2543">
        <f t="shared" si="196"/>
        <v>1</v>
      </c>
      <c r="T2543">
        <f t="shared" si="197"/>
        <v>1</v>
      </c>
      <c r="U2543">
        <f t="shared" si="198"/>
        <v>1</v>
      </c>
      <c r="V2543">
        <f t="shared" si="199"/>
        <v>0</v>
      </c>
    </row>
    <row r="2544" spans="1:22" x14ac:dyDescent="0.25">
      <c r="A2544">
        <v>2541</v>
      </c>
      <c r="B2544" t="s">
        <v>22</v>
      </c>
      <c r="C2544" t="s">
        <v>1038</v>
      </c>
      <c r="D2544" s="4">
        <v>45421</v>
      </c>
      <c r="E2544" t="s">
        <v>2699</v>
      </c>
      <c r="F2544" t="s">
        <v>75</v>
      </c>
      <c r="I2544" s="6"/>
      <c r="J2544" s="6"/>
      <c r="K2544" s="6"/>
      <c r="L2544" s="6"/>
      <c r="M2544" s="6"/>
      <c r="N2544" s="6"/>
      <c r="O2544" s="6"/>
      <c r="P2544" s="6"/>
      <c r="Q2544">
        <v>0</v>
      </c>
      <c r="R2544">
        <f t="shared" si="195"/>
        <v>0</v>
      </c>
      <c r="S2544">
        <f t="shared" si="196"/>
        <v>0</v>
      </c>
      <c r="T2544">
        <f t="shared" si="197"/>
        <v>0</v>
      </c>
      <c r="U2544">
        <f t="shared" si="198"/>
        <v>0</v>
      </c>
      <c r="V2544">
        <f t="shared" si="199"/>
        <v>0</v>
      </c>
    </row>
    <row r="2545" spans="1:22" x14ac:dyDescent="0.25">
      <c r="A2545">
        <v>2542</v>
      </c>
      <c r="B2545" t="s">
        <v>22</v>
      </c>
      <c r="C2545" t="s">
        <v>1038</v>
      </c>
      <c r="D2545" s="4">
        <v>45421</v>
      </c>
      <c r="E2545" t="s">
        <v>2698</v>
      </c>
      <c r="F2545" t="s">
        <v>75</v>
      </c>
      <c r="I2545" s="6"/>
      <c r="J2545" s="6"/>
      <c r="K2545" s="6"/>
      <c r="L2545" s="6"/>
      <c r="M2545" s="6"/>
      <c r="N2545" s="6"/>
      <c r="O2545" s="6"/>
      <c r="P2545" s="6"/>
      <c r="Q2545">
        <v>0</v>
      </c>
      <c r="R2545">
        <f t="shared" si="195"/>
        <v>0</v>
      </c>
      <c r="S2545">
        <f t="shared" si="196"/>
        <v>0</v>
      </c>
      <c r="T2545">
        <f t="shared" si="197"/>
        <v>0</v>
      </c>
      <c r="U2545">
        <f t="shared" si="198"/>
        <v>0</v>
      </c>
      <c r="V2545">
        <f t="shared" si="199"/>
        <v>0</v>
      </c>
    </row>
    <row r="2546" spans="1:22" x14ac:dyDescent="0.25">
      <c r="A2546">
        <v>2543</v>
      </c>
      <c r="B2546" t="s">
        <v>22</v>
      </c>
      <c r="C2546" t="s">
        <v>1038</v>
      </c>
      <c r="D2546" s="4">
        <v>45422</v>
      </c>
      <c r="E2546" t="s">
        <v>1087</v>
      </c>
      <c r="F2546" t="s">
        <v>75</v>
      </c>
      <c r="I2546" s="6"/>
      <c r="J2546" s="6"/>
      <c r="K2546" s="6"/>
      <c r="L2546" s="6"/>
      <c r="M2546" s="6"/>
      <c r="N2546" s="6"/>
      <c r="O2546" s="6"/>
      <c r="P2546" s="6"/>
      <c r="Q2546">
        <v>0</v>
      </c>
      <c r="R2546">
        <f t="shared" si="195"/>
        <v>0</v>
      </c>
      <c r="S2546">
        <f t="shared" si="196"/>
        <v>0</v>
      </c>
      <c r="T2546">
        <f t="shared" si="197"/>
        <v>0</v>
      </c>
      <c r="U2546">
        <f t="shared" si="198"/>
        <v>0</v>
      </c>
      <c r="V2546">
        <f t="shared" si="199"/>
        <v>0</v>
      </c>
    </row>
    <row r="2547" spans="1:22" x14ac:dyDescent="0.25">
      <c r="A2547">
        <v>2544</v>
      </c>
      <c r="B2547" t="s">
        <v>22</v>
      </c>
      <c r="C2547" t="s">
        <v>1038</v>
      </c>
      <c r="D2547" s="4">
        <v>45422</v>
      </c>
      <c r="E2547" t="s">
        <v>2405</v>
      </c>
      <c r="F2547" t="s">
        <v>75</v>
      </c>
      <c r="I2547" s="6"/>
      <c r="J2547" s="6"/>
      <c r="K2547" s="6"/>
      <c r="L2547" s="6"/>
      <c r="M2547" s="6"/>
      <c r="N2547" s="6"/>
      <c r="O2547" s="6"/>
      <c r="P2547" s="6"/>
      <c r="Q2547">
        <v>0</v>
      </c>
      <c r="R2547">
        <f t="shared" si="195"/>
        <v>0</v>
      </c>
      <c r="S2547">
        <f t="shared" si="196"/>
        <v>0</v>
      </c>
      <c r="T2547">
        <f t="shared" si="197"/>
        <v>0</v>
      </c>
      <c r="U2547">
        <f t="shared" si="198"/>
        <v>0</v>
      </c>
      <c r="V2547">
        <f t="shared" si="199"/>
        <v>0</v>
      </c>
    </row>
    <row r="2548" spans="1:22" x14ac:dyDescent="0.25">
      <c r="A2548">
        <v>2545</v>
      </c>
      <c r="B2548" t="s">
        <v>22</v>
      </c>
      <c r="C2548" t="s">
        <v>1038</v>
      </c>
      <c r="D2548" s="4">
        <v>45422</v>
      </c>
      <c r="E2548" t="s">
        <v>2697</v>
      </c>
      <c r="F2548" t="s">
        <v>75</v>
      </c>
      <c r="I2548" s="6"/>
      <c r="J2548" s="6"/>
      <c r="K2548" s="6"/>
      <c r="L2548" s="6"/>
      <c r="M2548" s="6"/>
      <c r="N2548" s="6"/>
      <c r="O2548" s="6"/>
      <c r="P2548" s="6"/>
      <c r="Q2548">
        <v>0</v>
      </c>
      <c r="R2548">
        <f t="shared" si="195"/>
        <v>0</v>
      </c>
      <c r="S2548">
        <f t="shared" si="196"/>
        <v>0</v>
      </c>
      <c r="T2548">
        <f t="shared" si="197"/>
        <v>0</v>
      </c>
      <c r="U2548">
        <f t="shared" si="198"/>
        <v>0</v>
      </c>
      <c r="V2548">
        <f t="shared" si="199"/>
        <v>0</v>
      </c>
    </row>
    <row r="2549" spans="1:22" x14ac:dyDescent="0.25">
      <c r="A2549">
        <v>2546</v>
      </c>
      <c r="B2549" t="s">
        <v>22</v>
      </c>
      <c r="C2549" t="s">
        <v>1038</v>
      </c>
      <c r="D2549" s="4">
        <v>45422</v>
      </c>
      <c r="E2549" t="s">
        <v>2696</v>
      </c>
      <c r="F2549" t="s">
        <v>75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>
        <v>1</v>
      </c>
      <c r="R2549">
        <f t="shared" si="195"/>
        <v>0</v>
      </c>
      <c r="S2549">
        <f t="shared" si="196"/>
        <v>1</v>
      </c>
      <c r="T2549">
        <f t="shared" si="197"/>
        <v>0</v>
      </c>
      <c r="U2549">
        <f t="shared" si="198"/>
        <v>0</v>
      </c>
      <c r="V2549">
        <f t="shared" si="199"/>
        <v>0</v>
      </c>
    </row>
    <row r="2550" spans="1:22" x14ac:dyDescent="0.25">
      <c r="A2550">
        <v>2547</v>
      </c>
      <c r="B2550" t="s">
        <v>22</v>
      </c>
      <c r="C2550" t="s">
        <v>1038</v>
      </c>
      <c r="D2550" s="4">
        <v>45422</v>
      </c>
      <c r="E2550" t="s">
        <v>2695</v>
      </c>
      <c r="F2550" t="s">
        <v>75</v>
      </c>
      <c r="I2550" s="6"/>
      <c r="J2550" s="6"/>
      <c r="K2550" s="6"/>
      <c r="L2550" s="6"/>
      <c r="M2550" s="6"/>
      <c r="N2550" s="6"/>
      <c r="O2550" s="6"/>
      <c r="P2550" s="6"/>
      <c r="Q2550">
        <v>0</v>
      </c>
      <c r="R2550">
        <f t="shared" si="195"/>
        <v>0</v>
      </c>
      <c r="S2550">
        <f t="shared" si="196"/>
        <v>0</v>
      </c>
      <c r="T2550">
        <f t="shared" si="197"/>
        <v>0</v>
      </c>
      <c r="U2550">
        <f t="shared" si="198"/>
        <v>0</v>
      </c>
      <c r="V2550">
        <f t="shared" si="199"/>
        <v>0</v>
      </c>
    </row>
    <row r="2551" spans="1:22" x14ac:dyDescent="0.25">
      <c r="A2551">
        <v>2548</v>
      </c>
      <c r="B2551" t="s">
        <v>22</v>
      </c>
      <c r="C2551" t="s">
        <v>1038</v>
      </c>
      <c r="D2551" s="4">
        <v>45422</v>
      </c>
      <c r="E2551" t="s">
        <v>2694</v>
      </c>
      <c r="F2551" t="s">
        <v>75</v>
      </c>
      <c r="I2551" s="6"/>
      <c r="J2551" s="6"/>
      <c r="K2551" s="6"/>
      <c r="L2551" s="6"/>
      <c r="M2551" s="6"/>
      <c r="N2551" s="6"/>
      <c r="O2551" s="6"/>
      <c r="P2551" s="6"/>
      <c r="Q2551">
        <v>0</v>
      </c>
      <c r="R2551">
        <f t="shared" si="195"/>
        <v>0</v>
      </c>
      <c r="S2551">
        <f t="shared" si="196"/>
        <v>0</v>
      </c>
      <c r="T2551">
        <f t="shared" si="197"/>
        <v>0</v>
      </c>
      <c r="U2551">
        <f t="shared" si="198"/>
        <v>0</v>
      </c>
      <c r="V2551">
        <f t="shared" si="199"/>
        <v>0</v>
      </c>
    </row>
    <row r="2552" spans="1:22" x14ac:dyDescent="0.25">
      <c r="A2552">
        <v>2549</v>
      </c>
      <c r="B2552" t="s">
        <v>22</v>
      </c>
      <c r="C2552" t="s">
        <v>1038</v>
      </c>
      <c r="D2552" s="4">
        <v>45422</v>
      </c>
      <c r="E2552" t="s">
        <v>1182</v>
      </c>
      <c r="F2552" t="s">
        <v>75</v>
      </c>
      <c r="I2552" s="6">
        <v>0</v>
      </c>
      <c r="J2552" s="6">
        <v>0</v>
      </c>
      <c r="K2552" s="6">
        <v>1</v>
      </c>
      <c r="L2552" s="6">
        <v>1</v>
      </c>
      <c r="M2552" s="6">
        <v>0</v>
      </c>
      <c r="N2552" s="6">
        <v>0</v>
      </c>
      <c r="O2552" s="6">
        <v>1</v>
      </c>
      <c r="P2552" s="6">
        <v>0</v>
      </c>
      <c r="Q2552">
        <v>1</v>
      </c>
      <c r="R2552">
        <f t="shared" si="195"/>
        <v>0</v>
      </c>
      <c r="S2552">
        <f t="shared" si="196"/>
        <v>1</v>
      </c>
      <c r="T2552">
        <f t="shared" si="197"/>
        <v>3</v>
      </c>
      <c r="U2552">
        <f t="shared" si="198"/>
        <v>1</v>
      </c>
      <c r="V2552">
        <f t="shared" si="199"/>
        <v>0</v>
      </c>
    </row>
    <row r="2553" spans="1:22" x14ac:dyDescent="0.25">
      <c r="A2553">
        <v>2550</v>
      </c>
      <c r="B2553" t="s">
        <v>22</v>
      </c>
      <c r="C2553" t="s">
        <v>1038</v>
      </c>
      <c r="D2553" s="4">
        <v>45422</v>
      </c>
      <c r="E2553" t="s">
        <v>1088</v>
      </c>
      <c r="F2553" t="s">
        <v>413</v>
      </c>
      <c r="G2553">
        <v>125</v>
      </c>
      <c r="I2553" s="6">
        <v>0</v>
      </c>
      <c r="J2553" s="6">
        <v>1</v>
      </c>
      <c r="K2553" s="6">
        <v>0</v>
      </c>
      <c r="L2553" s="6">
        <v>1</v>
      </c>
      <c r="M2553" s="6">
        <v>0</v>
      </c>
      <c r="N2553" s="6">
        <v>0</v>
      </c>
      <c r="O2553" s="6">
        <v>1</v>
      </c>
      <c r="P2553" s="6">
        <v>0</v>
      </c>
      <c r="Q2553">
        <v>1</v>
      </c>
      <c r="R2553">
        <f t="shared" si="195"/>
        <v>1</v>
      </c>
      <c r="S2553">
        <f t="shared" si="196"/>
        <v>0</v>
      </c>
      <c r="T2553">
        <f t="shared" si="197"/>
        <v>3</v>
      </c>
      <c r="U2553">
        <f t="shared" si="198"/>
        <v>1</v>
      </c>
      <c r="V2553">
        <f t="shared" si="199"/>
        <v>1</v>
      </c>
    </row>
    <row r="2554" spans="1:22" x14ac:dyDescent="0.25">
      <c r="A2554">
        <v>2551</v>
      </c>
      <c r="B2554" t="s">
        <v>22</v>
      </c>
      <c r="C2554" t="s">
        <v>1038</v>
      </c>
      <c r="D2554" s="4">
        <v>45422</v>
      </c>
      <c r="E2554" t="s">
        <v>1089</v>
      </c>
      <c r="F2554" t="s">
        <v>75</v>
      </c>
      <c r="I2554" s="6"/>
      <c r="J2554" s="6"/>
      <c r="K2554" s="6"/>
      <c r="L2554" s="6"/>
      <c r="M2554" s="6"/>
      <c r="N2554" s="6"/>
      <c r="O2554" s="6"/>
      <c r="P2554" s="6"/>
      <c r="Q2554">
        <v>0</v>
      </c>
      <c r="R2554">
        <f t="shared" si="195"/>
        <v>0</v>
      </c>
      <c r="S2554">
        <f t="shared" si="196"/>
        <v>0</v>
      </c>
      <c r="T2554">
        <f t="shared" si="197"/>
        <v>0</v>
      </c>
      <c r="U2554">
        <f t="shared" si="198"/>
        <v>0</v>
      </c>
      <c r="V2554">
        <f t="shared" si="199"/>
        <v>0</v>
      </c>
    </row>
    <row r="2555" spans="1:22" x14ac:dyDescent="0.25">
      <c r="A2555">
        <v>2552</v>
      </c>
      <c r="B2555" t="s">
        <v>22</v>
      </c>
      <c r="C2555" t="s">
        <v>1038</v>
      </c>
      <c r="D2555" s="4">
        <v>45422</v>
      </c>
      <c r="E2555" t="s">
        <v>1183</v>
      </c>
      <c r="F2555" t="s">
        <v>75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1</v>
      </c>
      <c r="O2555" s="6">
        <v>0</v>
      </c>
      <c r="P2555" s="6">
        <v>0</v>
      </c>
      <c r="Q2555">
        <v>1</v>
      </c>
      <c r="R2555">
        <f t="shared" si="195"/>
        <v>0</v>
      </c>
      <c r="S2555">
        <f t="shared" si="196"/>
        <v>1</v>
      </c>
      <c r="T2555">
        <f t="shared" si="197"/>
        <v>1</v>
      </c>
      <c r="U2555">
        <f t="shared" si="198"/>
        <v>1</v>
      </c>
      <c r="V2555">
        <f t="shared" si="199"/>
        <v>0</v>
      </c>
    </row>
    <row r="2556" spans="1:22" x14ac:dyDescent="0.25">
      <c r="A2556">
        <v>2553</v>
      </c>
      <c r="B2556" t="s">
        <v>22</v>
      </c>
      <c r="C2556" t="s">
        <v>1038</v>
      </c>
      <c r="D2556" s="4">
        <v>45422</v>
      </c>
      <c r="E2556" t="s">
        <v>326</v>
      </c>
      <c r="F2556" t="s">
        <v>75</v>
      </c>
      <c r="I2556" s="6"/>
      <c r="J2556" s="6"/>
      <c r="K2556" s="6"/>
      <c r="L2556" s="6"/>
      <c r="M2556" s="6"/>
      <c r="N2556" s="6"/>
      <c r="O2556" s="6"/>
      <c r="P2556" s="6"/>
      <c r="Q2556">
        <v>0</v>
      </c>
      <c r="R2556">
        <f t="shared" si="195"/>
        <v>0</v>
      </c>
      <c r="S2556">
        <f t="shared" si="196"/>
        <v>0</v>
      </c>
      <c r="T2556">
        <f t="shared" si="197"/>
        <v>0</v>
      </c>
      <c r="U2556">
        <f t="shared" si="198"/>
        <v>0</v>
      </c>
      <c r="V2556">
        <f t="shared" si="199"/>
        <v>0</v>
      </c>
    </row>
    <row r="2557" spans="1:22" x14ac:dyDescent="0.25">
      <c r="A2557">
        <v>2554</v>
      </c>
      <c r="B2557" t="s">
        <v>22</v>
      </c>
      <c r="C2557" t="s">
        <v>1038</v>
      </c>
      <c r="D2557" s="4">
        <v>45422</v>
      </c>
      <c r="E2557" t="s">
        <v>327</v>
      </c>
      <c r="F2557" t="s">
        <v>75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>
        <v>1</v>
      </c>
      <c r="R2557">
        <f t="shared" si="195"/>
        <v>0</v>
      </c>
      <c r="S2557">
        <f t="shared" si="196"/>
        <v>1</v>
      </c>
      <c r="T2557">
        <f t="shared" si="197"/>
        <v>0</v>
      </c>
      <c r="U2557">
        <f t="shared" si="198"/>
        <v>0</v>
      </c>
      <c r="V2557">
        <f t="shared" si="199"/>
        <v>0</v>
      </c>
    </row>
    <row r="2558" spans="1:22" x14ac:dyDescent="0.25">
      <c r="A2558">
        <v>2555</v>
      </c>
      <c r="B2558" t="s">
        <v>22</v>
      </c>
      <c r="C2558" t="s">
        <v>1038</v>
      </c>
      <c r="D2558" s="4">
        <v>45422</v>
      </c>
      <c r="E2558" t="s">
        <v>328</v>
      </c>
      <c r="F2558" t="s">
        <v>75</v>
      </c>
      <c r="I2558" s="6"/>
      <c r="J2558" s="6"/>
      <c r="K2558" s="6"/>
      <c r="L2558" s="6"/>
      <c r="M2558" s="6"/>
      <c r="N2558" s="6"/>
      <c r="O2558" s="6"/>
      <c r="P2558" s="6"/>
      <c r="Q2558">
        <v>0</v>
      </c>
      <c r="R2558">
        <f t="shared" si="195"/>
        <v>0</v>
      </c>
      <c r="S2558">
        <f t="shared" si="196"/>
        <v>0</v>
      </c>
      <c r="T2558">
        <f t="shared" si="197"/>
        <v>0</v>
      </c>
      <c r="U2558">
        <f t="shared" si="198"/>
        <v>0</v>
      </c>
      <c r="V2558">
        <f t="shared" si="199"/>
        <v>0</v>
      </c>
    </row>
    <row r="2559" spans="1:22" x14ac:dyDescent="0.25">
      <c r="A2559">
        <v>2556</v>
      </c>
      <c r="B2559" t="s">
        <v>22</v>
      </c>
      <c r="C2559" t="s">
        <v>1038</v>
      </c>
      <c r="D2559" s="4">
        <v>45422</v>
      </c>
      <c r="E2559" t="s">
        <v>1405</v>
      </c>
      <c r="F2559" t="s">
        <v>75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>
        <v>1</v>
      </c>
      <c r="R2559">
        <f t="shared" si="195"/>
        <v>0</v>
      </c>
      <c r="S2559">
        <f t="shared" si="196"/>
        <v>1</v>
      </c>
      <c r="T2559">
        <f t="shared" si="197"/>
        <v>0</v>
      </c>
      <c r="U2559">
        <f t="shared" si="198"/>
        <v>0</v>
      </c>
      <c r="V2559">
        <f t="shared" si="199"/>
        <v>0</v>
      </c>
    </row>
    <row r="2560" spans="1:22" x14ac:dyDescent="0.25">
      <c r="A2560">
        <v>2557</v>
      </c>
      <c r="B2560" t="s">
        <v>22</v>
      </c>
      <c r="C2560" t="s">
        <v>1038</v>
      </c>
      <c r="D2560" s="4">
        <v>45422</v>
      </c>
      <c r="E2560" t="s">
        <v>2404</v>
      </c>
      <c r="F2560" t="s">
        <v>75</v>
      </c>
      <c r="I2560" s="6"/>
      <c r="J2560" s="6"/>
      <c r="K2560" s="6"/>
      <c r="L2560" s="6"/>
      <c r="M2560" s="6"/>
      <c r="N2560" s="6"/>
      <c r="O2560" s="6"/>
      <c r="P2560" s="6"/>
      <c r="Q2560">
        <v>0</v>
      </c>
      <c r="R2560">
        <f t="shared" si="195"/>
        <v>0</v>
      </c>
      <c r="S2560">
        <f t="shared" si="196"/>
        <v>0</v>
      </c>
      <c r="T2560">
        <f t="shared" si="197"/>
        <v>0</v>
      </c>
      <c r="U2560">
        <f t="shared" si="198"/>
        <v>0</v>
      </c>
      <c r="V2560">
        <f t="shared" si="199"/>
        <v>0</v>
      </c>
    </row>
    <row r="2561" spans="1:22" x14ac:dyDescent="0.25">
      <c r="A2561">
        <v>2558</v>
      </c>
      <c r="B2561" t="s">
        <v>22</v>
      </c>
      <c r="C2561" t="s">
        <v>1038</v>
      </c>
      <c r="D2561" s="4">
        <v>45424</v>
      </c>
      <c r="E2561" t="s">
        <v>475</v>
      </c>
      <c r="F2561" t="s">
        <v>75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>
        <v>1</v>
      </c>
      <c r="R2561">
        <f t="shared" si="195"/>
        <v>0</v>
      </c>
      <c r="S2561">
        <f t="shared" si="196"/>
        <v>1</v>
      </c>
      <c r="T2561">
        <f t="shared" si="197"/>
        <v>0</v>
      </c>
      <c r="U2561">
        <f t="shared" si="198"/>
        <v>0</v>
      </c>
      <c r="V2561">
        <f t="shared" si="199"/>
        <v>0</v>
      </c>
    </row>
    <row r="2562" spans="1:22" x14ac:dyDescent="0.25">
      <c r="A2562">
        <v>2559</v>
      </c>
      <c r="B2562" t="s">
        <v>22</v>
      </c>
      <c r="C2562" t="s">
        <v>1038</v>
      </c>
      <c r="D2562" s="4">
        <v>45424</v>
      </c>
      <c r="E2562" t="s">
        <v>476</v>
      </c>
      <c r="F2562" t="s">
        <v>75</v>
      </c>
      <c r="I2562" s="6">
        <v>1</v>
      </c>
      <c r="J2562" s="6">
        <v>0</v>
      </c>
      <c r="K2562" s="6">
        <v>1</v>
      </c>
      <c r="L2562" s="6">
        <v>0</v>
      </c>
      <c r="M2562" s="6">
        <v>1</v>
      </c>
      <c r="N2562" s="6">
        <v>0</v>
      </c>
      <c r="O2562" s="6">
        <v>0</v>
      </c>
      <c r="P2562" s="6">
        <v>0</v>
      </c>
      <c r="Q2562">
        <v>1</v>
      </c>
      <c r="R2562">
        <f t="shared" si="195"/>
        <v>0</v>
      </c>
      <c r="S2562">
        <f t="shared" si="196"/>
        <v>1</v>
      </c>
      <c r="T2562">
        <f t="shared" si="197"/>
        <v>3</v>
      </c>
      <c r="U2562">
        <f t="shared" si="198"/>
        <v>1</v>
      </c>
      <c r="V2562">
        <f t="shared" si="199"/>
        <v>0</v>
      </c>
    </row>
    <row r="2563" spans="1:22" x14ac:dyDescent="0.25">
      <c r="A2563">
        <v>2560</v>
      </c>
      <c r="B2563" t="s">
        <v>22</v>
      </c>
      <c r="C2563" t="s">
        <v>1038</v>
      </c>
      <c r="D2563" s="4">
        <v>45424</v>
      </c>
      <c r="E2563" t="s">
        <v>477</v>
      </c>
      <c r="F2563" t="s">
        <v>75</v>
      </c>
      <c r="I2563" s="6"/>
      <c r="J2563" s="6"/>
      <c r="K2563" s="6"/>
      <c r="L2563" s="6"/>
      <c r="M2563" s="6"/>
      <c r="N2563" s="6"/>
      <c r="O2563" s="6"/>
      <c r="P2563" s="6"/>
      <c r="Q2563">
        <v>0</v>
      </c>
      <c r="R2563">
        <f t="shared" ref="R2563:R2626" si="200">IF(AND(Q2563=1,F2563="ai_full"),1,0)</f>
        <v>0</v>
      </c>
      <c r="S2563">
        <f t="shared" ref="S2563:S2626" si="201">IF(AND(Q2563=1,F2563="conventional"),1,0)</f>
        <v>0</v>
      </c>
      <c r="T2563">
        <f t="shared" ref="T2563:T2626" si="202">SUM(I2563:P2563)</f>
        <v>0</v>
      </c>
      <c r="U2563">
        <f t="shared" ref="U2563:U2626" si="203">IF(T2563&gt;=1,1,0)</f>
        <v>0</v>
      </c>
      <c r="V2563">
        <f t="shared" ref="V2563:V2626" si="204">IF(F2563="ai_full",1,0)</f>
        <v>0</v>
      </c>
    </row>
    <row r="2564" spans="1:22" x14ac:dyDescent="0.25">
      <c r="A2564">
        <v>2561</v>
      </c>
      <c r="B2564" t="s">
        <v>22</v>
      </c>
      <c r="C2564" t="s">
        <v>1038</v>
      </c>
      <c r="D2564" s="4">
        <v>45424</v>
      </c>
      <c r="E2564" t="s">
        <v>478</v>
      </c>
      <c r="F2564" t="s">
        <v>75</v>
      </c>
      <c r="I2564" s="6">
        <v>0</v>
      </c>
      <c r="J2564" s="6">
        <v>0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>
        <v>1</v>
      </c>
      <c r="R2564">
        <f t="shared" si="200"/>
        <v>0</v>
      </c>
      <c r="S2564">
        <f t="shared" si="201"/>
        <v>1</v>
      </c>
      <c r="T2564">
        <f t="shared" si="202"/>
        <v>0</v>
      </c>
      <c r="U2564">
        <f t="shared" si="203"/>
        <v>0</v>
      </c>
      <c r="V2564">
        <f t="shared" si="204"/>
        <v>0</v>
      </c>
    </row>
    <row r="2565" spans="1:22" x14ac:dyDescent="0.25">
      <c r="A2565">
        <v>2562</v>
      </c>
      <c r="B2565" t="s">
        <v>22</v>
      </c>
      <c r="C2565" t="s">
        <v>1038</v>
      </c>
      <c r="D2565" s="4">
        <v>45425</v>
      </c>
      <c r="E2565" t="s">
        <v>333</v>
      </c>
      <c r="F2565" t="s">
        <v>75</v>
      </c>
      <c r="I2565" s="6"/>
      <c r="J2565" s="6"/>
      <c r="K2565" s="6"/>
      <c r="L2565" s="6"/>
      <c r="M2565" s="6"/>
      <c r="N2565" s="6"/>
      <c r="O2565" s="6"/>
      <c r="P2565" s="6"/>
      <c r="Q2565">
        <v>0</v>
      </c>
      <c r="R2565">
        <f t="shared" si="200"/>
        <v>0</v>
      </c>
      <c r="S2565">
        <f t="shared" si="201"/>
        <v>0</v>
      </c>
      <c r="T2565">
        <f t="shared" si="202"/>
        <v>0</v>
      </c>
      <c r="U2565">
        <f t="shared" si="203"/>
        <v>0</v>
      </c>
      <c r="V2565">
        <f t="shared" si="204"/>
        <v>0</v>
      </c>
    </row>
    <row r="2566" spans="1:22" x14ac:dyDescent="0.25">
      <c r="A2566">
        <v>2563</v>
      </c>
      <c r="B2566" t="s">
        <v>22</v>
      </c>
      <c r="C2566" t="s">
        <v>1038</v>
      </c>
      <c r="D2566" s="4">
        <v>45425</v>
      </c>
      <c r="E2566" t="s">
        <v>334</v>
      </c>
      <c r="F2566" t="s">
        <v>75</v>
      </c>
      <c r="I2566" s="6"/>
      <c r="J2566" s="6"/>
      <c r="K2566" s="6"/>
      <c r="L2566" s="6"/>
      <c r="M2566" s="6"/>
      <c r="N2566" s="6"/>
      <c r="O2566" s="6"/>
      <c r="P2566" s="6"/>
      <c r="Q2566">
        <v>0</v>
      </c>
      <c r="R2566">
        <f t="shared" si="200"/>
        <v>0</v>
      </c>
      <c r="S2566">
        <f t="shared" si="201"/>
        <v>0</v>
      </c>
      <c r="T2566">
        <f t="shared" si="202"/>
        <v>0</v>
      </c>
      <c r="U2566">
        <f t="shared" si="203"/>
        <v>0</v>
      </c>
      <c r="V2566">
        <f t="shared" si="204"/>
        <v>0</v>
      </c>
    </row>
    <row r="2567" spans="1:22" x14ac:dyDescent="0.25">
      <c r="A2567">
        <v>2564</v>
      </c>
      <c r="B2567" t="s">
        <v>22</v>
      </c>
      <c r="C2567" t="s">
        <v>1038</v>
      </c>
      <c r="D2567" s="4">
        <v>45426</v>
      </c>
      <c r="E2567" t="s">
        <v>335</v>
      </c>
      <c r="F2567" t="s">
        <v>75</v>
      </c>
      <c r="H2567" t="s">
        <v>1184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>
        <v>1</v>
      </c>
      <c r="R2567">
        <f t="shared" si="200"/>
        <v>0</v>
      </c>
      <c r="S2567">
        <f t="shared" si="201"/>
        <v>1</v>
      </c>
      <c r="T2567">
        <f t="shared" si="202"/>
        <v>0</v>
      </c>
      <c r="U2567">
        <f t="shared" si="203"/>
        <v>0</v>
      </c>
      <c r="V2567">
        <f t="shared" si="204"/>
        <v>0</v>
      </c>
    </row>
    <row r="2568" spans="1:22" x14ac:dyDescent="0.25">
      <c r="A2568">
        <v>2565</v>
      </c>
      <c r="B2568" t="s">
        <v>22</v>
      </c>
      <c r="C2568" t="s">
        <v>1038</v>
      </c>
      <c r="D2568" s="4">
        <v>45426</v>
      </c>
      <c r="E2568" t="s">
        <v>1185</v>
      </c>
      <c r="F2568" t="s">
        <v>75</v>
      </c>
      <c r="I2568" s="6">
        <v>0</v>
      </c>
      <c r="J2568" s="6">
        <v>0</v>
      </c>
      <c r="K2568" s="6">
        <v>0</v>
      </c>
      <c r="L2568" s="6">
        <v>1</v>
      </c>
      <c r="M2568" s="6">
        <v>0</v>
      </c>
      <c r="N2568" s="6">
        <v>0</v>
      </c>
      <c r="O2568" s="6">
        <v>0</v>
      </c>
      <c r="P2568" s="6">
        <v>0</v>
      </c>
      <c r="Q2568">
        <v>1</v>
      </c>
      <c r="R2568">
        <f t="shared" si="200"/>
        <v>0</v>
      </c>
      <c r="S2568">
        <f t="shared" si="201"/>
        <v>1</v>
      </c>
      <c r="T2568">
        <f t="shared" si="202"/>
        <v>1</v>
      </c>
      <c r="U2568">
        <f t="shared" si="203"/>
        <v>1</v>
      </c>
      <c r="V2568">
        <f t="shared" si="204"/>
        <v>0</v>
      </c>
    </row>
    <row r="2569" spans="1:22" x14ac:dyDescent="0.25">
      <c r="A2569">
        <v>2566</v>
      </c>
      <c r="B2569" t="s">
        <v>22</v>
      </c>
      <c r="C2569" t="s">
        <v>1038</v>
      </c>
      <c r="D2569" s="4">
        <v>45426</v>
      </c>
      <c r="E2569" t="s">
        <v>2019</v>
      </c>
      <c r="F2569" t="s">
        <v>75</v>
      </c>
      <c r="I2569" s="6"/>
      <c r="J2569" s="6"/>
      <c r="K2569" s="6"/>
      <c r="L2569" s="6"/>
      <c r="M2569" s="6"/>
      <c r="N2569" s="6"/>
      <c r="O2569" s="6"/>
      <c r="P2569" s="6"/>
      <c r="Q2569">
        <v>0</v>
      </c>
      <c r="R2569">
        <f t="shared" si="200"/>
        <v>0</v>
      </c>
      <c r="S2569">
        <f t="shared" si="201"/>
        <v>0</v>
      </c>
      <c r="T2569">
        <f t="shared" si="202"/>
        <v>0</v>
      </c>
      <c r="U2569">
        <f t="shared" si="203"/>
        <v>0</v>
      </c>
      <c r="V2569">
        <f t="shared" si="204"/>
        <v>0</v>
      </c>
    </row>
    <row r="2570" spans="1:22" x14ac:dyDescent="0.25">
      <c r="A2570">
        <v>2567</v>
      </c>
      <c r="B2570" t="s">
        <v>22</v>
      </c>
      <c r="C2570" t="s">
        <v>1038</v>
      </c>
      <c r="D2570" s="4">
        <v>45426</v>
      </c>
      <c r="E2570" t="s">
        <v>1186</v>
      </c>
      <c r="F2570" t="s">
        <v>75</v>
      </c>
      <c r="I2570" s="6">
        <v>1</v>
      </c>
      <c r="J2570" s="6">
        <v>0</v>
      </c>
      <c r="K2570" s="6">
        <v>1</v>
      </c>
      <c r="L2570" s="6">
        <v>0</v>
      </c>
      <c r="M2570" s="6">
        <v>1</v>
      </c>
      <c r="N2570" s="6">
        <v>0</v>
      </c>
      <c r="O2570" s="6">
        <v>0</v>
      </c>
      <c r="P2570" s="6">
        <v>0</v>
      </c>
      <c r="Q2570">
        <v>1</v>
      </c>
      <c r="R2570">
        <f t="shared" si="200"/>
        <v>0</v>
      </c>
      <c r="S2570">
        <f t="shared" si="201"/>
        <v>1</v>
      </c>
      <c r="T2570">
        <f t="shared" si="202"/>
        <v>3</v>
      </c>
      <c r="U2570">
        <f t="shared" si="203"/>
        <v>1</v>
      </c>
      <c r="V2570">
        <f t="shared" si="204"/>
        <v>0</v>
      </c>
    </row>
    <row r="2571" spans="1:22" x14ac:dyDescent="0.25">
      <c r="A2571">
        <v>2568</v>
      </c>
      <c r="B2571" t="s">
        <v>22</v>
      </c>
      <c r="C2571" t="s">
        <v>1038</v>
      </c>
      <c r="D2571" s="4">
        <v>45427</v>
      </c>
      <c r="E2571" t="s">
        <v>336</v>
      </c>
      <c r="F2571" t="s">
        <v>75</v>
      </c>
      <c r="I2571" s="6"/>
      <c r="J2571" s="6"/>
      <c r="K2571" s="6"/>
      <c r="L2571" s="6"/>
      <c r="M2571" s="6"/>
      <c r="N2571" s="6"/>
      <c r="O2571" s="6"/>
      <c r="P2571" s="6"/>
      <c r="Q2571">
        <v>0</v>
      </c>
      <c r="R2571">
        <f t="shared" si="200"/>
        <v>0</v>
      </c>
      <c r="S2571">
        <f t="shared" si="201"/>
        <v>0</v>
      </c>
      <c r="T2571">
        <f t="shared" si="202"/>
        <v>0</v>
      </c>
      <c r="U2571">
        <f t="shared" si="203"/>
        <v>0</v>
      </c>
      <c r="V2571">
        <f t="shared" si="204"/>
        <v>0</v>
      </c>
    </row>
    <row r="2572" spans="1:22" x14ac:dyDescent="0.25">
      <c r="A2572">
        <v>2569</v>
      </c>
      <c r="B2572" t="s">
        <v>22</v>
      </c>
      <c r="C2572" t="s">
        <v>1038</v>
      </c>
      <c r="D2572" s="4">
        <v>45427</v>
      </c>
      <c r="E2572" t="s">
        <v>337</v>
      </c>
      <c r="F2572" t="s">
        <v>75</v>
      </c>
      <c r="I2572" s="6"/>
      <c r="J2572" s="6"/>
      <c r="K2572" s="6"/>
      <c r="L2572" s="6"/>
      <c r="M2572" s="6"/>
      <c r="N2572" s="6"/>
      <c r="O2572" s="6"/>
      <c r="P2572" s="6"/>
      <c r="Q2572">
        <v>0</v>
      </c>
      <c r="R2572">
        <f t="shared" si="200"/>
        <v>0</v>
      </c>
      <c r="S2572">
        <f t="shared" si="201"/>
        <v>0</v>
      </c>
      <c r="T2572">
        <f t="shared" si="202"/>
        <v>0</v>
      </c>
      <c r="U2572">
        <f t="shared" si="203"/>
        <v>0</v>
      </c>
      <c r="V2572">
        <f t="shared" si="204"/>
        <v>0</v>
      </c>
    </row>
    <row r="2573" spans="1:22" x14ac:dyDescent="0.25">
      <c r="A2573">
        <v>2570</v>
      </c>
      <c r="B2573" t="s">
        <v>22</v>
      </c>
      <c r="C2573" t="s">
        <v>1038</v>
      </c>
      <c r="D2573" s="4">
        <v>45428</v>
      </c>
      <c r="E2573" t="s">
        <v>1232</v>
      </c>
      <c r="F2573" t="s">
        <v>75</v>
      </c>
      <c r="I2573" s="6"/>
      <c r="J2573" s="6"/>
      <c r="K2573" s="6"/>
      <c r="L2573" s="6"/>
      <c r="M2573" s="6"/>
      <c r="N2573" s="6"/>
      <c r="O2573" s="6"/>
      <c r="P2573" s="6"/>
      <c r="Q2573">
        <v>0</v>
      </c>
      <c r="R2573">
        <f t="shared" si="200"/>
        <v>0</v>
      </c>
      <c r="S2573">
        <f t="shared" si="201"/>
        <v>0</v>
      </c>
      <c r="T2573">
        <f t="shared" si="202"/>
        <v>0</v>
      </c>
      <c r="U2573">
        <f t="shared" si="203"/>
        <v>0</v>
      </c>
      <c r="V2573">
        <f t="shared" si="204"/>
        <v>0</v>
      </c>
    </row>
    <row r="2574" spans="1:22" x14ac:dyDescent="0.25">
      <c r="A2574">
        <v>2571</v>
      </c>
      <c r="B2574" t="s">
        <v>22</v>
      </c>
      <c r="C2574" t="s">
        <v>1038</v>
      </c>
      <c r="D2574" s="4">
        <v>45429</v>
      </c>
      <c r="E2574" t="s">
        <v>2120</v>
      </c>
      <c r="F2574" t="s">
        <v>75</v>
      </c>
      <c r="I2574" s="6"/>
      <c r="J2574" s="6"/>
      <c r="K2574" s="6"/>
      <c r="L2574" s="6"/>
      <c r="M2574" s="6"/>
      <c r="N2574" s="6"/>
      <c r="O2574" s="6"/>
      <c r="P2574" s="6"/>
      <c r="Q2574">
        <v>0</v>
      </c>
      <c r="R2574">
        <f t="shared" si="200"/>
        <v>0</v>
      </c>
      <c r="S2574">
        <f t="shared" si="201"/>
        <v>0</v>
      </c>
      <c r="T2574">
        <f t="shared" si="202"/>
        <v>0</v>
      </c>
      <c r="U2574">
        <f t="shared" si="203"/>
        <v>0</v>
      </c>
      <c r="V2574">
        <f t="shared" si="204"/>
        <v>0</v>
      </c>
    </row>
    <row r="2575" spans="1:22" x14ac:dyDescent="0.25">
      <c r="A2575">
        <v>2572</v>
      </c>
      <c r="B2575" t="s">
        <v>22</v>
      </c>
      <c r="C2575" t="s">
        <v>1038</v>
      </c>
      <c r="D2575" s="4">
        <v>45429</v>
      </c>
      <c r="E2575" t="s">
        <v>345</v>
      </c>
      <c r="F2575" t="s">
        <v>75</v>
      </c>
      <c r="I2575" s="6">
        <v>0</v>
      </c>
      <c r="J2575" s="6">
        <v>0</v>
      </c>
      <c r="K2575" s="6">
        <v>0</v>
      </c>
      <c r="L2575" s="6">
        <v>0</v>
      </c>
      <c r="M2575" s="6">
        <v>0</v>
      </c>
      <c r="N2575" s="6">
        <v>1</v>
      </c>
      <c r="O2575" s="6">
        <v>0</v>
      </c>
      <c r="P2575" s="6">
        <v>0</v>
      </c>
      <c r="Q2575">
        <v>1</v>
      </c>
      <c r="R2575">
        <f t="shared" si="200"/>
        <v>0</v>
      </c>
      <c r="S2575">
        <f t="shared" si="201"/>
        <v>1</v>
      </c>
      <c r="T2575">
        <f t="shared" si="202"/>
        <v>1</v>
      </c>
      <c r="U2575">
        <f t="shared" si="203"/>
        <v>1</v>
      </c>
      <c r="V2575">
        <f t="shared" si="204"/>
        <v>0</v>
      </c>
    </row>
    <row r="2576" spans="1:22" x14ac:dyDescent="0.25">
      <c r="A2576">
        <v>2573</v>
      </c>
      <c r="B2576" t="s">
        <v>22</v>
      </c>
      <c r="C2576" t="s">
        <v>1038</v>
      </c>
      <c r="D2576" s="4">
        <v>45429</v>
      </c>
      <c r="E2576" t="s">
        <v>1483</v>
      </c>
      <c r="F2576" t="s">
        <v>75</v>
      </c>
      <c r="I2576" s="6"/>
      <c r="J2576" s="6"/>
      <c r="K2576" s="6"/>
      <c r="L2576" s="6"/>
      <c r="M2576" s="6"/>
      <c r="N2576" s="6"/>
      <c r="O2576" s="6"/>
      <c r="P2576" s="6"/>
      <c r="Q2576">
        <v>0</v>
      </c>
      <c r="R2576">
        <f t="shared" si="200"/>
        <v>0</v>
      </c>
      <c r="S2576">
        <f t="shared" si="201"/>
        <v>0</v>
      </c>
      <c r="T2576">
        <f t="shared" si="202"/>
        <v>0</v>
      </c>
      <c r="U2576">
        <f t="shared" si="203"/>
        <v>0</v>
      </c>
      <c r="V2576">
        <f t="shared" si="204"/>
        <v>0</v>
      </c>
    </row>
    <row r="2577" spans="1:22" x14ac:dyDescent="0.25">
      <c r="A2577">
        <v>2574</v>
      </c>
      <c r="B2577" t="s">
        <v>22</v>
      </c>
      <c r="C2577" t="s">
        <v>1038</v>
      </c>
      <c r="D2577" s="4">
        <v>45429</v>
      </c>
      <c r="E2577" t="s">
        <v>346</v>
      </c>
      <c r="F2577" t="s">
        <v>75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>
        <v>1</v>
      </c>
      <c r="R2577">
        <f t="shared" si="200"/>
        <v>0</v>
      </c>
      <c r="S2577">
        <f t="shared" si="201"/>
        <v>1</v>
      </c>
      <c r="T2577">
        <f t="shared" si="202"/>
        <v>0</v>
      </c>
      <c r="U2577">
        <f t="shared" si="203"/>
        <v>0</v>
      </c>
      <c r="V2577">
        <f t="shared" si="204"/>
        <v>0</v>
      </c>
    </row>
    <row r="2578" spans="1:22" x14ac:dyDescent="0.25">
      <c r="A2578">
        <v>2575</v>
      </c>
      <c r="B2578" t="s">
        <v>22</v>
      </c>
      <c r="C2578" t="s">
        <v>1038</v>
      </c>
      <c r="D2578" s="4">
        <v>45429</v>
      </c>
      <c r="E2578" t="s">
        <v>1409</v>
      </c>
      <c r="F2578" t="s">
        <v>75</v>
      </c>
      <c r="I2578" s="6"/>
      <c r="J2578" s="6"/>
      <c r="K2578" s="6"/>
      <c r="L2578" s="6"/>
      <c r="M2578" s="6"/>
      <c r="N2578" s="6"/>
      <c r="O2578" s="6"/>
      <c r="P2578" s="6"/>
      <c r="Q2578">
        <v>0</v>
      </c>
      <c r="R2578">
        <f t="shared" si="200"/>
        <v>0</v>
      </c>
      <c r="S2578">
        <f t="shared" si="201"/>
        <v>0</v>
      </c>
      <c r="T2578">
        <f t="shared" si="202"/>
        <v>0</v>
      </c>
      <c r="U2578">
        <f t="shared" si="203"/>
        <v>0</v>
      </c>
      <c r="V2578">
        <f t="shared" si="204"/>
        <v>0</v>
      </c>
    </row>
    <row r="2579" spans="1:22" x14ac:dyDescent="0.25">
      <c r="A2579">
        <v>2576</v>
      </c>
      <c r="B2579" t="s">
        <v>22</v>
      </c>
      <c r="C2579" t="s">
        <v>1038</v>
      </c>
      <c r="D2579" s="4">
        <v>45429</v>
      </c>
      <c r="E2579" t="s">
        <v>347</v>
      </c>
      <c r="F2579" t="s">
        <v>75</v>
      </c>
      <c r="I2579" s="6"/>
      <c r="J2579" s="6"/>
      <c r="K2579" s="6"/>
      <c r="L2579" s="6"/>
      <c r="M2579" s="6"/>
      <c r="N2579" s="6"/>
      <c r="O2579" s="6"/>
      <c r="P2579" s="6"/>
      <c r="Q2579">
        <v>0</v>
      </c>
      <c r="R2579">
        <f t="shared" si="200"/>
        <v>0</v>
      </c>
      <c r="S2579">
        <f t="shared" si="201"/>
        <v>0</v>
      </c>
      <c r="T2579">
        <f t="shared" si="202"/>
        <v>0</v>
      </c>
      <c r="U2579">
        <f t="shared" si="203"/>
        <v>0</v>
      </c>
      <c r="V2579">
        <f t="shared" si="204"/>
        <v>0</v>
      </c>
    </row>
    <row r="2580" spans="1:22" x14ac:dyDescent="0.25">
      <c r="A2580">
        <v>2577</v>
      </c>
      <c r="B2580" t="s">
        <v>22</v>
      </c>
      <c r="C2580" t="s">
        <v>1038</v>
      </c>
      <c r="D2580" s="4">
        <v>45430</v>
      </c>
      <c r="E2580" t="s">
        <v>891</v>
      </c>
      <c r="F2580" t="s">
        <v>75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>
        <v>1</v>
      </c>
      <c r="R2580">
        <f t="shared" si="200"/>
        <v>0</v>
      </c>
      <c r="S2580">
        <f t="shared" si="201"/>
        <v>1</v>
      </c>
      <c r="T2580">
        <f t="shared" si="202"/>
        <v>0</v>
      </c>
      <c r="U2580">
        <f t="shared" si="203"/>
        <v>0</v>
      </c>
      <c r="V2580">
        <f t="shared" si="204"/>
        <v>0</v>
      </c>
    </row>
    <row r="2581" spans="1:22" x14ac:dyDescent="0.25">
      <c r="A2581">
        <v>2578</v>
      </c>
      <c r="B2581" t="s">
        <v>22</v>
      </c>
      <c r="C2581" t="s">
        <v>1038</v>
      </c>
      <c r="D2581" s="4">
        <v>45430</v>
      </c>
      <c r="E2581" t="s">
        <v>349</v>
      </c>
      <c r="F2581" t="s">
        <v>75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>
        <v>1</v>
      </c>
      <c r="R2581">
        <f t="shared" si="200"/>
        <v>0</v>
      </c>
      <c r="S2581">
        <f t="shared" si="201"/>
        <v>1</v>
      </c>
      <c r="T2581">
        <f t="shared" si="202"/>
        <v>0</v>
      </c>
      <c r="U2581">
        <f t="shared" si="203"/>
        <v>0</v>
      </c>
      <c r="V2581">
        <f t="shared" si="204"/>
        <v>0</v>
      </c>
    </row>
    <row r="2582" spans="1:22" x14ac:dyDescent="0.25">
      <c r="A2582">
        <v>2579</v>
      </c>
      <c r="B2582" t="s">
        <v>22</v>
      </c>
      <c r="C2582" t="s">
        <v>1038</v>
      </c>
      <c r="D2582" s="4">
        <v>45430</v>
      </c>
      <c r="E2582" t="s">
        <v>350</v>
      </c>
      <c r="F2582" t="s">
        <v>75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>
        <v>1</v>
      </c>
      <c r="R2582">
        <f t="shared" si="200"/>
        <v>0</v>
      </c>
      <c r="S2582">
        <f t="shared" si="201"/>
        <v>1</v>
      </c>
      <c r="T2582">
        <f t="shared" si="202"/>
        <v>0</v>
      </c>
      <c r="U2582">
        <f t="shared" si="203"/>
        <v>0</v>
      </c>
      <c r="V2582">
        <f t="shared" si="204"/>
        <v>0</v>
      </c>
    </row>
    <row r="2583" spans="1:22" x14ac:dyDescent="0.25">
      <c r="A2583">
        <v>2580</v>
      </c>
      <c r="B2583" t="s">
        <v>22</v>
      </c>
      <c r="C2583" t="s">
        <v>1038</v>
      </c>
      <c r="D2583" s="4">
        <v>45430</v>
      </c>
      <c r="E2583" t="s">
        <v>351</v>
      </c>
      <c r="F2583" t="s">
        <v>75</v>
      </c>
      <c r="I2583" s="6"/>
      <c r="J2583" s="6"/>
      <c r="K2583" s="6"/>
      <c r="L2583" s="6"/>
      <c r="M2583" s="6"/>
      <c r="N2583" s="6"/>
      <c r="O2583" s="6"/>
      <c r="P2583" s="6"/>
      <c r="Q2583">
        <v>0</v>
      </c>
      <c r="R2583">
        <f t="shared" si="200"/>
        <v>0</v>
      </c>
      <c r="S2583">
        <f t="shared" si="201"/>
        <v>0</v>
      </c>
      <c r="T2583">
        <f t="shared" si="202"/>
        <v>0</v>
      </c>
      <c r="U2583">
        <f t="shared" si="203"/>
        <v>0</v>
      </c>
      <c r="V2583">
        <f t="shared" si="204"/>
        <v>0</v>
      </c>
    </row>
    <row r="2584" spans="1:22" x14ac:dyDescent="0.25">
      <c r="A2584">
        <v>2581</v>
      </c>
      <c r="B2584" t="s">
        <v>22</v>
      </c>
      <c r="C2584" t="s">
        <v>1038</v>
      </c>
      <c r="D2584" s="4">
        <v>45430</v>
      </c>
      <c r="E2584" t="s">
        <v>352</v>
      </c>
      <c r="F2584" t="s">
        <v>75</v>
      </c>
      <c r="I2584" s="6"/>
      <c r="J2584" s="6"/>
      <c r="K2584" s="6"/>
      <c r="L2584" s="6"/>
      <c r="M2584" s="6"/>
      <c r="N2584" s="6"/>
      <c r="O2584" s="6"/>
      <c r="P2584" s="6"/>
      <c r="Q2584">
        <v>0</v>
      </c>
      <c r="R2584">
        <f t="shared" si="200"/>
        <v>0</v>
      </c>
      <c r="S2584">
        <f t="shared" si="201"/>
        <v>0</v>
      </c>
      <c r="T2584">
        <f t="shared" si="202"/>
        <v>0</v>
      </c>
      <c r="U2584">
        <f t="shared" si="203"/>
        <v>0</v>
      </c>
      <c r="V2584">
        <f t="shared" si="204"/>
        <v>0</v>
      </c>
    </row>
    <row r="2585" spans="1:22" x14ac:dyDescent="0.25">
      <c r="A2585">
        <v>2582</v>
      </c>
      <c r="B2585" t="s">
        <v>22</v>
      </c>
      <c r="C2585" t="s">
        <v>1038</v>
      </c>
      <c r="D2585" s="4">
        <v>45430</v>
      </c>
      <c r="E2585" t="s">
        <v>2693</v>
      </c>
      <c r="F2585" t="s">
        <v>75</v>
      </c>
      <c r="I2585" s="6"/>
      <c r="J2585" s="6"/>
      <c r="K2585" s="6"/>
      <c r="L2585" s="6"/>
      <c r="M2585" s="6"/>
      <c r="N2585" s="6"/>
      <c r="O2585" s="6"/>
      <c r="P2585" s="6"/>
      <c r="Q2585">
        <v>0</v>
      </c>
      <c r="R2585">
        <f t="shared" si="200"/>
        <v>0</v>
      </c>
      <c r="S2585">
        <f t="shared" si="201"/>
        <v>0</v>
      </c>
      <c r="T2585">
        <f t="shared" si="202"/>
        <v>0</v>
      </c>
      <c r="U2585">
        <f t="shared" si="203"/>
        <v>0</v>
      </c>
      <c r="V2585">
        <f t="shared" si="204"/>
        <v>0</v>
      </c>
    </row>
    <row r="2586" spans="1:22" x14ac:dyDescent="0.25">
      <c r="A2586">
        <v>2583</v>
      </c>
      <c r="B2586" t="s">
        <v>22</v>
      </c>
      <c r="C2586" t="s">
        <v>1038</v>
      </c>
      <c r="D2586" s="4">
        <v>45430</v>
      </c>
      <c r="E2586" t="s">
        <v>2692</v>
      </c>
      <c r="F2586" t="s">
        <v>75</v>
      </c>
      <c r="I2586" s="6"/>
      <c r="J2586" s="6"/>
      <c r="K2586" s="6"/>
      <c r="L2586" s="6"/>
      <c r="M2586" s="6"/>
      <c r="N2586" s="6"/>
      <c r="O2586" s="6"/>
      <c r="P2586" s="6"/>
      <c r="Q2586">
        <v>0</v>
      </c>
      <c r="R2586">
        <f t="shared" si="200"/>
        <v>0</v>
      </c>
      <c r="S2586">
        <f t="shared" si="201"/>
        <v>0</v>
      </c>
      <c r="T2586">
        <f t="shared" si="202"/>
        <v>0</v>
      </c>
      <c r="U2586">
        <f t="shared" si="203"/>
        <v>0</v>
      </c>
      <c r="V2586">
        <f t="shared" si="204"/>
        <v>0</v>
      </c>
    </row>
    <row r="2587" spans="1:22" x14ac:dyDescent="0.25">
      <c r="A2587">
        <v>2584</v>
      </c>
      <c r="B2587" t="s">
        <v>22</v>
      </c>
      <c r="C2587" t="s">
        <v>1038</v>
      </c>
      <c r="D2587" s="4">
        <v>45431</v>
      </c>
      <c r="E2587" t="s">
        <v>353</v>
      </c>
      <c r="F2587" t="s">
        <v>75</v>
      </c>
      <c r="I2587" s="6"/>
      <c r="J2587" s="6"/>
      <c r="K2587" s="6"/>
      <c r="L2587" s="6"/>
      <c r="M2587" s="6"/>
      <c r="N2587" s="6"/>
      <c r="O2587" s="6"/>
      <c r="P2587" s="6"/>
      <c r="Q2587">
        <v>0</v>
      </c>
      <c r="R2587">
        <f t="shared" si="200"/>
        <v>0</v>
      </c>
      <c r="S2587">
        <f t="shared" si="201"/>
        <v>0</v>
      </c>
      <c r="T2587">
        <f t="shared" si="202"/>
        <v>0</v>
      </c>
      <c r="U2587">
        <f t="shared" si="203"/>
        <v>0</v>
      </c>
      <c r="V2587">
        <f t="shared" si="204"/>
        <v>0</v>
      </c>
    </row>
    <row r="2588" spans="1:22" x14ac:dyDescent="0.25">
      <c r="A2588">
        <v>2585</v>
      </c>
      <c r="B2588" t="s">
        <v>22</v>
      </c>
      <c r="C2588" t="s">
        <v>1038</v>
      </c>
      <c r="D2588" s="4">
        <v>45431</v>
      </c>
      <c r="E2588" t="s">
        <v>354</v>
      </c>
      <c r="F2588" t="s">
        <v>75</v>
      </c>
      <c r="I2588" s="6">
        <v>0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>
        <v>1</v>
      </c>
      <c r="R2588">
        <f t="shared" si="200"/>
        <v>0</v>
      </c>
      <c r="S2588">
        <f t="shared" si="201"/>
        <v>1</v>
      </c>
      <c r="T2588">
        <f t="shared" si="202"/>
        <v>0</v>
      </c>
      <c r="U2588">
        <f t="shared" si="203"/>
        <v>0</v>
      </c>
      <c r="V2588">
        <f t="shared" si="204"/>
        <v>0</v>
      </c>
    </row>
    <row r="2589" spans="1:22" x14ac:dyDescent="0.25">
      <c r="A2589">
        <v>2586</v>
      </c>
      <c r="B2589" t="s">
        <v>22</v>
      </c>
      <c r="C2589" t="s">
        <v>1038</v>
      </c>
      <c r="D2589" s="4">
        <v>45431</v>
      </c>
      <c r="E2589" t="s">
        <v>1091</v>
      </c>
      <c r="F2589" t="s">
        <v>75</v>
      </c>
      <c r="I2589" s="6"/>
      <c r="J2589" s="6"/>
      <c r="K2589" s="6"/>
      <c r="L2589" s="6"/>
      <c r="M2589" s="6"/>
      <c r="N2589" s="6"/>
      <c r="O2589" s="6"/>
      <c r="P2589" s="6"/>
      <c r="Q2589">
        <v>0</v>
      </c>
      <c r="R2589">
        <f t="shared" si="200"/>
        <v>0</v>
      </c>
      <c r="S2589">
        <f t="shared" si="201"/>
        <v>0</v>
      </c>
      <c r="T2589">
        <f t="shared" si="202"/>
        <v>0</v>
      </c>
      <c r="U2589">
        <f t="shared" si="203"/>
        <v>0</v>
      </c>
      <c r="V2589">
        <f t="shared" si="204"/>
        <v>0</v>
      </c>
    </row>
    <row r="2590" spans="1:22" x14ac:dyDescent="0.25">
      <c r="A2590">
        <v>2587</v>
      </c>
      <c r="B2590" t="s">
        <v>22</v>
      </c>
      <c r="C2590" t="s">
        <v>1038</v>
      </c>
      <c r="D2590" s="4">
        <v>45431</v>
      </c>
      <c r="E2590" t="s">
        <v>1092</v>
      </c>
      <c r="F2590" t="s">
        <v>75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>
        <v>1</v>
      </c>
      <c r="R2590">
        <f t="shared" si="200"/>
        <v>0</v>
      </c>
      <c r="S2590">
        <f t="shared" si="201"/>
        <v>1</v>
      </c>
      <c r="T2590">
        <f t="shared" si="202"/>
        <v>0</v>
      </c>
      <c r="U2590">
        <f t="shared" si="203"/>
        <v>0</v>
      </c>
      <c r="V2590">
        <f t="shared" si="204"/>
        <v>0</v>
      </c>
    </row>
    <row r="2591" spans="1:22" x14ac:dyDescent="0.25">
      <c r="A2591">
        <v>2588</v>
      </c>
      <c r="B2591" t="s">
        <v>22</v>
      </c>
      <c r="C2591" t="s">
        <v>1038</v>
      </c>
      <c r="D2591" s="4">
        <v>45431</v>
      </c>
      <c r="E2591" t="s">
        <v>355</v>
      </c>
      <c r="F2591" t="s">
        <v>75</v>
      </c>
      <c r="I2591" s="6">
        <v>0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>
        <v>1</v>
      </c>
      <c r="R2591">
        <f t="shared" si="200"/>
        <v>0</v>
      </c>
      <c r="S2591">
        <f t="shared" si="201"/>
        <v>1</v>
      </c>
      <c r="T2591">
        <f t="shared" si="202"/>
        <v>0</v>
      </c>
      <c r="U2591">
        <f t="shared" si="203"/>
        <v>0</v>
      </c>
      <c r="V2591">
        <f t="shared" si="204"/>
        <v>0</v>
      </c>
    </row>
    <row r="2592" spans="1:22" x14ac:dyDescent="0.25">
      <c r="A2592">
        <v>2589</v>
      </c>
      <c r="B2592" t="s">
        <v>22</v>
      </c>
      <c r="C2592" t="s">
        <v>1038</v>
      </c>
      <c r="D2592" s="4">
        <v>45431</v>
      </c>
      <c r="E2592" t="s">
        <v>1560</v>
      </c>
      <c r="F2592" t="s">
        <v>75</v>
      </c>
      <c r="I2592" s="6">
        <v>0</v>
      </c>
      <c r="J2592" s="6">
        <v>0</v>
      </c>
      <c r="K2592" s="6">
        <v>0</v>
      </c>
      <c r="L2592" s="6">
        <v>1</v>
      </c>
      <c r="M2592" s="6">
        <v>0</v>
      </c>
      <c r="N2592" s="6">
        <v>0</v>
      </c>
      <c r="O2592" s="6">
        <v>0</v>
      </c>
      <c r="P2592" s="6">
        <v>0</v>
      </c>
      <c r="Q2592">
        <v>1</v>
      </c>
      <c r="R2592">
        <f t="shared" si="200"/>
        <v>0</v>
      </c>
      <c r="S2592">
        <f t="shared" si="201"/>
        <v>1</v>
      </c>
      <c r="T2592">
        <f t="shared" si="202"/>
        <v>1</v>
      </c>
      <c r="U2592">
        <f t="shared" si="203"/>
        <v>1</v>
      </c>
      <c r="V2592">
        <f t="shared" si="204"/>
        <v>0</v>
      </c>
    </row>
    <row r="2593" spans="1:22" x14ac:dyDescent="0.25">
      <c r="A2593">
        <v>2590</v>
      </c>
      <c r="B2593" t="s">
        <v>22</v>
      </c>
      <c r="C2593" t="s">
        <v>1038</v>
      </c>
      <c r="D2593" s="4">
        <v>45431</v>
      </c>
      <c r="E2593" t="s">
        <v>2119</v>
      </c>
      <c r="F2593" t="s">
        <v>75</v>
      </c>
      <c r="I2593" s="6">
        <v>0</v>
      </c>
      <c r="J2593" s="6">
        <v>0</v>
      </c>
      <c r="K2593" s="6">
        <v>0</v>
      </c>
      <c r="L2593" s="6">
        <v>1</v>
      </c>
      <c r="M2593" s="6">
        <v>0</v>
      </c>
      <c r="N2593" s="6">
        <v>0</v>
      </c>
      <c r="O2593" s="6">
        <v>0</v>
      </c>
      <c r="P2593" s="6">
        <v>0</v>
      </c>
      <c r="Q2593">
        <v>1</v>
      </c>
      <c r="R2593">
        <f t="shared" si="200"/>
        <v>0</v>
      </c>
      <c r="S2593">
        <f t="shared" si="201"/>
        <v>1</v>
      </c>
      <c r="T2593">
        <f t="shared" si="202"/>
        <v>1</v>
      </c>
      <c r="U2593">
        <f t="shared" si="203"/>
        <v>1</v>
      </c>
      <c r="V2593">
        <f t="shared" si="204"/>
        <v>0</v>
      </c>
    </row>
    <row r="2594" spans="1:22" x14ac:dyDescent="0.25">
      <c r="A2594">
        <v>2591</v>
      </c>
      <c r="B2594" t="s">
        <v>22</v>
      </c>
      <c r="C2594" t="s">
        <v>1038</v>
      </c>
      <c r="D2594" s="4">
        <v>45431</v>
      </c>
      <c r="E2594" t="s">
        <v>1187</v>
      </c>
      <c r="F2594" t="s">
        <v>75</v>
      </c>
      <c r="I2594" s="6">
        <v>0</v>
      </c>
      <c r="J2594" s="6">
        <v>0</v>
      </c>
      <c r="K2594" s="6">
        <v>0</v>
      </c>
      <c r="L2594" s="6">
        <v>1</v>
      </c>
      <c r="M2594" s="6">
        <v>0</v>
      </c>
      <c r="N2594" s="6">
        <v>1</v>
      </c>
      <c r="O2594" s="6">
        <v>1</v>
      </c>
      <c r="P2594" s="6">
        <v>0</v>
      </c>
      <c r="Q2594">
        <v>1</v>
      </c>
      <c r="R2594">
        <f t="shared" si="200"/>
        <v>0</v>
      </c>
      <c r="S2594">
        <f t="shared" si="201"/>
        <v>1</v>
      </c>
      <c r="T2594">
        <f t="shared" si="202"/>
        <v>3</v>
      </c>
      <c r="U2594">
        <f t="shared" si="203"/>
        <v>1</v>
      </c>
      <c r="V2594">
        <f t="shared" si="204"/>
        <v>0</v>
      </c>
    </row>
    <row r="2595" spans="1:22" x14ac:dyDescent="0.25">
      <c r="A2595">
        <v>2592</v>
      </c>
      <c r="B2595" t="s">
        <v>22</v>
      </c>
      <c r="C2595" t="s">
        <v>1038</v>
      </c>
      <c r="D2595" s="4">
        <v>45431</v>
      </c>
      <c r="E2595" t="s">
        <v>2691</v>
      </c>
      <c r="F2595" t="s">
        <v>75</v>
      </c>
      <c r="I2595" s="6"/>
      <c r="J2595" s="6"/>
      <c r="K2595" s="6"/>
      <c r="L2595" s="6"/>
      <c r="M2595" s="6"/>
      <c r="N2595" s="6"/>
      <c r="O2595" s="6"/>
      <c r="P2595" s="6"/>
      <c r="Q2595">
        <v>0</v>
      </c>
      <c r="R2595">
        <f t="shared" si="200"/>
        <v>0</v>
      </c>
      <c r="S2595">
        <f t="shared" si="201"/>
        <v>0</v>
      </c>
      <c r="T2595">
        <f t="shared" si="202"/>
        <v>0</v>
      </c>
      <c r="U2595">
        <f t="shared" si="203"/>
        <v>0</v>
      </c>
      <c r="V2595">
        <f t="shared" si="204"/>
        <v>0</v>
      </c>
    </row>
    <row r="2596" spans="1:22" x14ac:dyDescent="0.25">
      <c r="A2596">
        <v>2593</v>
      </c>
      <c r="B2596" t="s">
        <v>22</v>
      </c>
      <c r="C2596" t="s">
        <v>1038</v>
      </c>
      <c r="D2596" s="4">
        <v>45432</v>
      </c>
      <c r="E2596" t="s">
        <v>1484</v>
      </c>
      <c r="F2596" t="s">
        <v>75</v>
      </c>
      <c r="I2596" s="6"/>
      <c r="J2596" s="6"/>
      <c r="K2596" s="6"/>
      <c r="L2596" s="6"/>
      <c r="M2596" s="6"/>
      <c r="N2596" s="6"/>
      <c r="O2596" s="6"/>
      <c r="P2596" s="6"/>
      <c r="Q2596">
        <v>0</v>
      </c>
      <c r="R2596">
        <f t="shared" si="200"/>
        <v>0</v>
      </c>
      <c r="S2596">
        <f t="shared" si="201"/>
        <v>0</v>
      </c>
      <c r="T2596">
        <f t="shared" si="202"/>
        <v>0</v>
      </c>
      <c r="U2596">
        <f t="shared" si="203"/>
        <v>0</v>
      </c>
      <c r="V2596">
        <f t="shared" si="204"/>
        <v>0</v>
      </c>
    </row>
    <row r="2597" spans="1:22" x14ac:dyDescent="0.25">
      <c r="A2597">
        <v>2594</v>
      </c>
      <c r="B2597" t="s">
        <v>22</v>
      </c>
      <c r="C2597" t="s">
        <v>1038</v>
      </c>
      <c r="D2597" s="4">
        <v>45432</v>
      </c>
      <c r="E2597" t="s">
        <v>356</v>
      </c>
      <c r="F2597" t="s">
        <v>75</v>
      </c>
      <c r="I2597" s="6">
        <v>0</v>
      </c>
      <c r="J2597" s="6">
        <v>0</v>
      </c>
      <c r="K2597" s="6">
        <v>0</v>
      </c>
      <c r="L2597" s="6">
        <v>1</v>
      </c>
      <c r="M2597" s="6">
        <v>0</v>
      </c>
      <c r="N2597" s="6">
        <v>0</v>
      </c>
      <c r="O2597" s="6">
        <v>0</v>
      </c>
      <c r="P2597" s="6">
        <v>1</v>
      </c>
      <c r="Q2597">
        <v>1</v>
      </c>
      <c r="R2597">
        <f t="shared" si="200"/>
        <v>0</v>
      </c>
      <c r="S2597">
        <f t="shared" si="201"/>
        <v>1</v>
      </c>
      <c r="T2597">
        <f t="shared" si="202"/>
        <v>2</v>
      </c>
      <c r="U2597">
        <f t="shared" si="203"/>
        <v>1</v>
      </c>
      <c r="V2597">
        <f t="shared" si="204"/>
        <v>0</v>
      </c>
    </row>
    <row r="2598" spans="1:22" x14ac:dyDescent="0.25">
      <c r="A2598">
        <v>2595</v>
      </c>
      <c r="B2598" t="s">
        <v>22</v>
      </c>
      <c r="C2598" t="s">
        <v>1038</v>
      </c>
      <c r="D2598" s="4">
        <v>45432</v>
      </c>
      <c r="E2598" t="s">
        <v>1093</v>
      </c>
      <c r="F2598" t="s">
        <v>75</v>
      </c>
      <c r="I2598" s="6"/>
      <c r="J2598" s="6"/>
      <c r="K2598" s="6"/>
      <c r="L2598" s="6"/>
      <c r="M2598" s="6"/>
      <c r="N2598" s="6"/>
      <c r="O2598" s="6"/>
      <c r="P2598" s="6"/>
      <c r="Q2598">
        <v>0</v>
      </c>
      <c r="R2598">
        <f t="shared" si="200"/>
        <v>0</v>
      </c>
      <c r="S2598">
        <f t="shared" si="201"/>
        <v>0</v>
      </c>
      <c r="T2598">
        <f t="shared" si="202"/>
        <v>0</v>
      </c>
      <c r="U2598">
        <f t="shared" si="203"/>
        <v>0</v>
      </c>
      <c r="V2598">
        <f t="shared" si="204"/>
        <v>0</v>
      </c>
    </row>
    <row r="2599" spans="1:22" x14ac:dyDescent="0.25">
      <c r="A2599">
        <v>2596</v>
      </c>
      <c r="B2599" t="s">
        <v>22</v>
      </c>
      <c r="C2599" t="s">
        <v>1038</v>
      </c>
      <c r="D2599" s="4">
        <v>45432</v>
      </c>
      <c r="E2599" t="s">
        <v>1094</v>
      </c>
      <c r="F2599" t="s">
        <v>75</v>
      </c>
      <c r="I2599" s="6"/>
      <c r="J2599" s="6"/>
      <c r="K2599" s="6"/>
      <c r="L2599" s="6"/>
      <c r="M2599" s="6"/>
      <c r="N2599" s="6"/>
      <c r="O2599" s="6"/>
      <c r="P2599" s="6"/>
      <c r="Q2599">
        <v>0</v>
      </c>
      <c r="R2599">
        <f t="shared" si="200"/>
        <v>0</v>
      </c>
      <c r="S2599">
        <f t="shared" si="201"/>
        <v>0</v>
      </c>
      <c r="T2599">
        <f t="shared" si="202"/>
        <v>0</v>
      </c>
      <c r="U2599">
        <f t="shared" si="203"/>
        <v>0</v>
      </c>
      <c r="V2599">
        <f t="shared" si="204"/>
        <v>0</v>
      </c>
    </row>
    <row r="2600" spans="1:22" x14ac:dyDescent="0.25">
      <c r="A2600">
        <v>2597</v>
      </c>
      <c r="B2600" t="s">
        <v>22</v>
      </c>
      <c r="C2600" t="s">
        <v>1038</v>
      </c>
      <c r="D2600" s="4">
        <v>45433</v>
      </c>
      <c r="E2600" t="s">
        <v>1234</v>
      </c>
      <c r="F2600" t="s">
        <v>75</v>
      </c>
      <c r="I2600" s="6"/>
      <c r="J2600" s="6"/>
      <c r="K2600" s="6"/>
      <c r="L2600" s="6"/>
      <c r="M2600" s="6"/>
      <c r="N2600" s="6"/>
      <c r="O2600" s="6"/>
      <c r="P2600" s="6"/>
      <c r="Q2600">
        <v>0</v>
      </c>
      <c r="R2600">
        <f t="shared" si="200"/>
        <v>0</v>
      </c>
      <c r="S2600">
        <f t="shared" si="201"/>
        <v>0</v>
      </c>
      <c r="T2600">
        <f t="shared" si="202"/>
        <v>0</v>
      </c>
      <c r="U2600">
        <f t="shared" si="203"/>
        <v>0</v>
      </c>
      <c r="V2600">
        <f t="shared" si="204"/>
        <v>0</v>
      </c>
    </row>
    <row r="2601" spans="1:22" x14ac:dyDescent="0.25">
      <c r="A2601">
        <v>2598</v>
      </c>
      <c r="B2601" t="s">
        <v>22</v>
      </c>
      <c r="C2601" t="s">
        <v>1038</v>
      </c>
      <c r="D2601" s="4">
        <v>45433</v>
      </c>
      <c r="E2601" t="s">
        <v>1188</v>
      </c>
      <c r="F2601" t="s">
        <v>413</v>
      </c>
      <c r="G2601">
        <v>126</v>
      </c>
      <c r="I2601" s="6">
        <v>1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>
        <v>1</v>
      </c>
      <c r="R2601">
        <f t="shared" si="200"/>
        <v>1</v>
      </c>
      <c r="S2601">
        <f t="shared" si="201"/>
        <v>0</v>
      </c>
      <c r="T2601">
        <f t="shared" si="202"/>
        <v>1</v>
      </c>
      <c r="U2601">
        <f t="shared" si="203"/>
        <v>1</v>
      </c>
      <c r="V2601">
        <f t="shared" si="204"/>
        <v>1</v>
      </c>
    </row>
    <row r="2602" spans="1:22" x14ac:dyDescent="0.25">
      <c r="A2602">
        <v>2599</v>
      </c>
      <c r="B2602" t="s">
        <v>22</v>
      </c>
      <c r="C2602" t="s">
        <v>1038</v>
      </c>
      <c r="D2602" s="4">
        <v>45433</v>
      </c>
      <c r="E2602" t="s">
        <v>1095</v>
      </c>
      <c r="F2602" t="s">
        <v>75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>
        <v>1</v>
      </c>
      <c r="R2602">
        <f t="shared" si="200"/>
        <v>0</v>
      </c>
      <c r="S2602">
        <f t="shared" si="201"/>
        <v>1</v>
      </c>
      <c r="T2602">
        <f t="shared" si="202"/>
        <v>0</v>
      </c>
      <c r="U2602">
        <f t="shared" si="203"/>
        <v>0</v>
      </c>
      <c r="V2602">
        <f t="shared" si="204"/>
        <v>0</v>
      </c>
    </row>
    <row r="2603" spans="1:22" x14ac:dyDescent="0.25">
      <c r="A2603">
        <v>2600</v>
      </c>
      <c r="B2603" t="s">
        <v>22</v>
      </c>
      <c r="C2603" t="s">
        <v>1038</v>
      </c>
      <c r="D2603" s="4">
        <v>45433</v>
      </c>
      <c r="E2603" t="s">
        <v>1485</v>
      </c>
      <c r="F2603" t="s">
        <v>75</v>
      </c>
      <c r="I2603" s="6"/>
      <c r="J2603" s="6"/>
      <c r="K2603" s="6"/>
      <c r="L2603" s="6"/>
      <c r="M2603" s="6"/>
      <c r="N2603" s="6"/>
      <c r="O2603" s="6"/>
      <c r="P2603" s="6"/>
      <c r="Q2603">
        <v>0</v>
      </c>
      <c r="R2603">
        <f t="shared" si="200"/>
        <v>0</v>
      </c>
      <c r="S2603">
        <f t="shared" si="201"/>
        <v>0</v>
      </c>
      <c r="T2603">
        <f t="shared" si="202"/>
        <v>0</v>
      </c>
      <c r="U2603">
        <f t="shared" si="203"/>
        <v>0</v>
      </c>
      <c r="V2603">
        <f t="shared" si="204"/>
        <v>0</v>
      </c>
    </row>
    <row r="2604" spans="1:22" x14ac:dyDescent="0.25">
      <c r="A2604">
        <v>2601</v>
      </c>
      <c r="B2604" t="s">
        <v>22</v>
      </c>
      <c r="C2604" t="s">
        <v>1038</v>
      </c>
      <c r="D2604" s="4">
        <v>45433</v>
      </c>
      <c r="E2604" t="s">
        <v>1096</v>
      </c>
      <c r="F2604" t="s">
        <v>75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>
        <v>1</v>
      </c>
      <c r="R2604">
        <f t="shared" si="200"/>
        <v>0</v>
      </c>
      <c r="S2604">
        <f t="shared" si="201"/>
        <v>1</v>
      </c>
      <c r="T2604">
        <f t="shared" si="202"/>
        <v>0</v>
      </c>
      <c r="U2604">
        <f t="shared" si="203"/>
        <v>0</v>
      </c>
      <c r="V2604">
        <f t="shared" si="204"/>
        <v>0</v>
      </c>
    </row>
    <row r="2605" spans="1:22" x14ac:dyDescent="0.25">
      <c r="A2605">
        <v>2602</v>
      </c>
      <c r="B2605" t="s">
        <v>22</v>
      </c>
      <c r="C2605" t="s">
        <v>1038</v>
      </c>
      <c r="D2605" s="4">
        <v>45433</v>
      </c>
      <c r="E2605" t="s">
        <v>1097</v>
      </c>
      <c r="F2605" t="s">
        <v>75</v>
      </c>
      <c r="I2605" s="6">
        <v>0</v>
      </c>
      <c r="J2605" s="6">
        <v>0</v>
      </c>
      <c r="K2605" s="6">
        <v>0</v>
      </c>
      <c r="L2605" s="6">
        <v>1</v>
      </c>
      <c r="M2605" s="6">
        <v>0</v>
      </c>
      <c r="N2605" s="6">
        <v>1</v>
      </c>
      <c r="O2605" s="6">
        <v>0</v>
      </c>
      <c r="P2605" s="6">
        <v>0</v>
      </c>
      <c r="Q2605">
        <v>1</v>
      </c>
      <c r="R2605">
        <f t="shared" si="200"/>
        <v>0</v>
      </c>
      <c r="S2605">
        <f t="shared" si="201"/>
        <v>1</v>
      </c>
      <c r="T2605">
        <f t="shared" si="202"/>
        <v>2</v>
      </c>
      <c r="U2605">
        <f t="shared" si="203"/>
        <v>1</v>
      </c>
      <c r="V2605">
        <f t="shared" si="204"/>
        <v>0</v>
      </c>
    </row>
    <row r="2606" spans="1:22" x14ac:dyDescent="0.25">
      <c r="A2606">
        <v>2603</v>
      </c>
      <c r="B2606" t="s">
        <v>22</v>
      </c>
      <c r="C2606" t="s">
        <v>1038</v>
      </c>
      <c r="D2606" s="4">
        <v>45433</v>
      </c>
      <c r="E2606" t="s">
        <v>1189</v>
      </c>
      <c r="F2606" t="s">
        <v>75</v>
      </c>
      <c r="I2606" s="6">
        <v>0</v>
      </c>
      <c r="J2606" s="6">
        <v>0</v>
      </c>
      <c r="K2606" s="6">
        <v>0</v>
      </c>
      <c r="L2606" s="6">
        <v>1</v>
      </c>
      <c r="M2606" s="6">
        <v>0</v>
      </c>
      <c r="N2606" s="6">
        <v>1</v>
      </c>
      <c r="O2606" s="6">
        <v>0</v>
      </c>
      <c r="P2606" s="6">
        <v>0</v>
      </c>
      <c r="Q2606">
        <v>1</v>
      </c>
      <c r="R2606">
        <f t="shared" si="200"/>
        <v>0</v>
      </c>
      <c r="S2606">
        <f t="shared" si="201"/>
        <v>1</v>
      </c>
      <c r="T2606">
        <f t="shared" si="202"/>
        <v>2</v>
      </c>
      <c r="U2606">
        <f t="shared" si="203"/>
        <v>1</v>
      </c>
      <c r="V2606">
        <f t="shared" si="204"/>
        <v>0</v>
      </c>
    </row>
    <row r="2607" spans="1:22" x14ac:dyDescent="0.25">
      <c r="A2607">
        <v>2604</v>
      </c>
      <c r="B2607" t="s">
        <v>22</v>
      </c>
      <c r="C2607" t="s">
        <v>1038</v>
      </c>
      <c r="D2607" s="4">
        <v>45433</v>
      </c>
      <c r="E2607" t="s">
        <v>2117</v>
      </c>
      <c r="F2607" t="s">
        <v>75</v>
      </c>
      <c r="I2607" s="6">
        <v>1</v>
      </c>
      <c r="J2607" s="6">
        <v>1</v>
      </c>
      <c r="K2607" s="6">
        <v>0</v>
      </c>
      <c r="L2607" s="6">
        <v>1</v>
      </c>
      <c r="M2607" s="6">
        <v>1</v>
      </c>
      <c r="N2607" s="6">
        <v>1</v>
      </c>
      <c r="O2607" s="6">
        <v>0</v>
      </c>
      <c r="P2607" s="6">
        <v>0</v>
      </c>
      <c r="Q2607">
        <v>1</v>
      </c>
      <c r="R2607">
        <f t="shared" si="200"/>
        <v>0</v>
      </c>
      <c r="S2607">
        <f t="shared" si="201"/>
        <v>1</v>
      </c>
      <c r="T2607">
        <f t="shared" si="202"/>
        <v>5</v>
      </c>
      <c r="U2607">
        <f t="shared" si="203"/>
        <v>1</v>
      </c>
      <c r="V2607">
        <f t="shared" si="204"/>
        <v>0</v>
      </c>
    </row>
    <row r="2608" spans="1:22" x14ac:dyDescent="0.25">
      <c r="A2608">
        <v>2605</v>
      </c>
      <c r="B2608" t="s">
        <v>22</v>
      </c>
      <c r="C2608" t="s">
        <v>1038</v>
      </c>
      <c r="D2608" s="4">
        <v>45433</v>
      </c>
      <c r="E2608" t="s">
        <v>2403</v>
      </c>
      <c r="F2608" t="s">
        <v>75</v>
      </c>
      <c r="I2608" s="6"/>
      <c r="J2608" s="6"/>
      <c r="K2608" s="6"/>
      <c r="L2608" s="6"/>
      <c r="M2608" s="6"/>
      <c r="N2608" s="6"/>
      <c r="O2608" s="6"/>
      <c r="P2608" s="6"/>
      <c r="Q2608">
        <v>0</v>
      </c>
      <c r="R2608">
        <f t="shared" si="200"/>
        <v>0</v>
      </c>
      <c r="S2608">
        <f t="shared" si="201"/>
        <v>0</v>
      </c>
      <c r="T2608">
        <f t="shared" si="202"/>
        <v>0</v>
      </c>
      <c r="U2608">
        <f t="shared" si="203"/>
        <v>0</v>
      </c>
      <c r="V2608">
        <f t="shared" si="204"/>
        <v>0</v>
      </c>
    </row>
    <row r="2609" spans="1:22" x14ac:dyDescent="0.25">
      <c r="A2609">
        <v>2606</v>
      </c>
      <c r="B2609" t="s">
        <v>22</v>
      </c>
      <c r="C2609" t="s">
        <v>1038</v>
      </c>
      <c r="D2609" s="4">
        <v>45433</v>
      </c>
      <c r="E2609" t="s">
        <v>1190</v>
      </c>
      <c r="F2609" t="s">
        <v>75</v>
      </c>
      <c r="I2609" s="6">
        <v>0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>
        <v>1</v>
      </c>
      <c r="R2609">
        <f t="shared" si="200"/>
        <v>0</v>
      </c>
      <c r="S2609">
        <f t="shared" si="201"/>
        <v>1</v>
      </c>
      <c r="T2609">
        <f t="shared" si="202"/>
        <v>0</v>
      </c>
      <c r="U2609">
        <f t="shared" si="203"/>
        <v>0</v>
      </c>
      <c r="V2609">
        <f t="shared" si="204"/>
        <v>0</v>
      </c>
    </row>
    <row r="2610" spans="1:22" x14ac:dyDescent="0.25">
      <c r="A2610">
        <v>2607</v>
      </c>
      <c r="B2610" t="s">
        <v>22</v>
      </c>
      <c r="C2610" t="s">
        <v>1038</v>
      </c>
      <c r="D2610" s="4">
        <v>45434</v>
      </c>
      <c r="E2610" t="s">
        <v>1011</v>
      </c>
      <c r="F2610" t="s">
        <v>75</v>
      </c>
      <c r="I2610" s="6"/>
      <c r="J2610" s="6"/>
      <c r="K2610" s="6"/>
      <c r="L2610" s="6"/>
      <c r="M2610" s="6"/>
      <c r="N2610" s="6"/>
      <c r="O2610" s="6"/>
      <c r="P2610" s="6"/>
      <c r="Q2610">
        <v>0</v>
      </c>
      <c r="R2610">
        <f t="shared" si="200"/>
        <v>0</v>
      </c>
      <c r="S2610">
        <f t="shared" si="201"/>
        <v>0</v>
      </c>
      <c r="T2610">
        <f t="shared" si="202"/>
        <v>0</v>
      </c>
      <c r="U2610">
        <f t="shared" si="203"/>
        <v>0</v>
      </c>
      <c r="V2610">
        <f t="shared" si="204"/>
        <v>0</v>
      </c>
    </row>
    <row r="2611" spans="1:22" x14ac:dyDescent="0.25">
      <c r="A2611">
        <v>2608</v>
      </c>
      <c r="B2611" t="s">
        <v>22</v>
      </c>
      <c r="C2611" t="s">
        <v>1038</v>
      </c>
      <c r="D2611" s="4">
        <v>45434</v>
      </c>
      <c r="E2611" t="s">
        <v>358</v>
      </c>
      <c r="F2611" t="s">
        <v>75</v>
      </c>
      <c r="I2611" s="6">
        <v>0</v>
      </c>
      <c r="J2611" s="6">
        <v>0</v>
      </c>
      <c r="K2611" s="6">
        <v>0</v>
      </c>
      <c r="L2611" s="6">
        <v>1</v>
      </c>
      <c r="M2611" s="6">
        <v>0</v>
      </c>
      <c r="N2611" s="6">
        <v>0</v>
      </c>
      <c r="O2611" s="6">
        <v>0</v>
      </c>
      <c r="P2611" s="6">
        <v>0</v>
      </c>
      <c r="Q2611">
        <v>1</v>
      </c>
      <c r="R2611">
        <f t="shared" si="200"/>
        <v>0</v>
      </c>
      <c r="S2611">
        <f t="shared" si="201"/>
        <v>1</v>
      </c>
      <c r="T2611">
        <f t="shared" si="202"/>
        <v>1</v>
      </c>
      <c r="U2611">
        <f t="shared" si="203"/>
        <v>1</v>
      </c>
      <c r="V2611">
        <f t="shared" si="204"/>
        <v>0</v>
      </c>
    </row>
    <row r="2612" spans="1:22" x14ac:dyDescent="0.25">
      <c r="A2612">
        <v>2609</v>
      </c>
      <c r="B2612" t="s">
        <v>22</v>
      </c>
      <c r="C2612" t="s">
        <v>1038</v>
      </c>
      <c r="D2612" s="4">
        <v>45434</v>
      </c>
      <c r="E2612" t="s">
        <v>359</v>
      </c>
      <c r="F2612" t="s">
        <v>75</v>
      </c>
      <c r="I2612" s="6"/>
      <c r="J2612" s="6"/>
      <c r="K2612" s="6"/>
      <c r="L2612" s="6"/>
      <c r="M2612" s="6"/>
      <c r="N2612" s="6"/>
      <c r="O2612" s="6"/>
      <c r="P2612" s="6"/>
      <c r="Q2612">
        <v>0</v>
      </c>
      <c r="R2612">
        <f t="shared" si="200"/>
        <v>0</v>
      </c>
      <c r="S2612">
        <f t="shared" si="201"/>
        <v>0</v>
      </c>
      <c r="T2612">
        <f t="shared" si="202"/>
        <v>0</v>
      </c>
      <c r="U2612">
        <f t="shared" si="203"/>
        <v>0</v>
      </c>
      <c r="V2612">
        <f t="shared" si="204"/>
        <v>0</v>
      </c>
    </row>
    <row r="2613" spans="1:22" x14ac:dyDescent="0.25">
      <c r="A2613">
        <v>2610</v>
      </c>
      <c r="B2613" t="s">
        <v>22</v>
      </c>
      <c r="C2613" t="s">
        <v>1038</v>
      </c>
      <c r="D2613" s="4">
        <v>45434</v>
      </c>
      <c r="E2613" t="s">
        <v>1411</v>
      </c>
      <c r="F2613" t="s">
        <v>75</v>
      </c>
      <c r="I2613" s="6"/>
      <c r="J2613" s="6"/>
      <c r="K2613" s="6"/>
      <c r="L2613" s="6"/>
      <c r="M2613" s="6"/>
      <c r="N2613" s="6"/>
      <c r="O2613" s="6"/>
      <c r="P2613" s="6"/>
      <c r="Q2613">
        <v>0</v>
      </c>
      <c r="R2613">
        <f t="shared" si="200"/>
        <v>0</v>
      </c>
      <c r="S2613">
        <f t="shared" si="201"/>
        <v>0</v>
      </c>
      <c r="T2613">
        <f t="shared" si="202"/>
        <v>0</v>
      </c>
      <c r="U2613">
        <f t="shared" si="203"/>
        <v>0</v>
      </c>
      <c r="V2613">
        <f t="shared" si="204"/>
        <v>0</v>
      </c>
    </row>
    <row r="2614" spans="1:22" x14ac:dyDescent="0.25">
      <c r="A2614">
        <v>2611</v>
      </c>
      <c r="B2614" t="s">
        <v>22</v>
      </c>
      <c r="C2614" t="s">
        <v>1038</v>
      </c>
      <c r="D2614" s="4">
        <v>45434</v>
      </c>
      <c r="E2614" t="s">
        <v>360</v>
      </c>
      <c r="F2614" t="s">
        <v>75</v>
      </c>
      <c r="I2614" s="6">
        <v>0</v>
      </c>
      <c r="J2614" s="6">
        <v>0</v>
      </c>
      <c r="K2614" s="6">
        <v>1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>
        <v>1</v>
      </c>
      <c r="R2614">
        <f t="shared" si="200"/>
        <v>0</v>
      </c>
      <c r="S2614">
        <f t="shared" si="201"/>
        <v>1</v>
      </c>
      <c r="T2614">
        <f t="shared" si="202"/>
        <v>1</v>
      </c>
      <c r="U2614">
        <f t="shared" si="203"/>
        <v>1</v>
      </c>
      <c r="V2614">
        <f t="shared" si="204"/>
        <v>0</v>
      </c>
    </row>
    <row r="2615" spans="1:22" x14ac:dyDescent="0.25">
      <c r="A2615">
        <v>2612</v>
      </c>
      <c r="B2615" t="s">
        <v>22</v>
      </c>
      <c r="C2615" t="s">
        <v>1038</v>
      </c>
      <c r="D2615" s="4">
        <v>45434</v>
      </c>
      <c r="E2615" t="s">
        <v>1191</v>
      </c>
      <c r="F2615" t="s">
        <v>75</v>
      </c>
      <c r="I2615" s="6">
        <v>0</v>
      </c>
      <c r="J2615" s="6">
        <v>0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1</v>
      </c>
      <c r="Q2615">
        <v>1</v>
      </c>
      <c r="R2615">
        <f t="shared" si="200"/>
        <v>0</v>
      </c>
      <c r="S2615">
        <f t="shared" si="201"/>
        <v>1</v>
      </c>
      <c r="T2615">
        <f t="shared" si="202"/>
        <v>1</v>
      </c>
      <c r="U2615">
        <f t="shared" si="203"/>
        <v>1</v>
      </c>
      <c r="V2615">
        <f t="shared" si="204"/>
        <v>0</v>
      </c>
    </row>
    <row r="2616" spans="1:22" x14ac:dyDescent="0.25">
      <c r="A2616">
        <v>2613</v>
      </c>
      <c r="B2616" t="s">
        <v>22</v>
      </c>
      <c r="C2616" t="s">
        <v>1038</v>
      </c>
      <c r="D2616" s="4">
        <v>45434</v>
      </c>
      <c r="E2616" t="s">
        <v>2116</v>
      </c>
      <c r="F2616" t="s">
        <v>75</v>
      </c>
      <c r="I2616" s="6">
        <v>0</v>
      </c>
      <c r="J2616" s="6">
        <v>0</v>
      </c>
      <c r="K2616" s="6">
        <v>0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>
        <v>1</v>
      </c>
      <c r="R2616">
        <f t="shared" si="200"/>
        <v>0</v>
      </c>
      <c r="S2616">
        <f t="shared" si="201"/>
        <v>1</v>
      </c>
      <c r="T2616">
        <f t="shared" si="202"/>
        <v>0</v>
      </c>
      <c r="U2616">
        <f t="shared" si="203"/>
        <v>0</v>
      </c>
      <c r="V2616">
        <f t="shared" si="204"/>
        <v>0</v>
      </c>
    </row>
    <row r="2617" spans="1:22" x14ac:dyDescent="0.25">
      <c r="A2617">
        <v>2614</v>
      </c>
      <c r="B2617" t="s">
        <v>22</v>
      </c>
      <c r="C2617" t="s">
        <v>1038</v>
      </c>
      <c r="D2617" s="4">
        <v>45434</v>
      </c>
      <c r="E2617" t="s">
        <v>2115</v>
      </c>
      <c r="F2617" t="s">
        <v>75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>
        <v>1</v>
      </c>
      <c r="R2617">
        <f t="shared" si="200"/>
        <v>0</v>
      </c>
      <c r="S2617">
        <f t="shared" si="201"/>
        <v>1</v>
      </c>
      <c r="T2617">
        <f t="shared" si="202"/>
        <v>0</v>
      </c>
      <c r="U2617">
        <f t="shared" si="203"/>
        <v>0</v>
      </c>
      <c r="V2617">
        <f t="shared" si="204"/>
        <v>0</v>
      </c>
    </row>
    <row r="2618" spans="1:22" x14ac:dyDescent="0.25">
      <c r="A2618">
        <v>2615</v>
      </c>
      <c r="B2618" t="s">
        <v>22</v>
      </c>
      <c r="C2618" t="s">
        <v>1038</v>
      </c>
      <c r="D2618" s="4">
        <v>45434</v>
      </c>
      <c r="E2618" t="s">
        <v>2114</v>
      </c>
      <c r="F2618" t="s">
        <v>75</v>
      </c>
      <c r="I2618" s="6">
        <v>0</v>
      </c>
      <c r="J2618" s="6">
        <v>0</v>
      </c>
      <c r="K2618" s="6">
        <v>0</v>
      </c>
      <c r="L2618" s="6">
        <v>1</v>
      </c>
      <c r="M2618" s="6">
        <v>1</v>
      </c>
      <c r="N2618" s="6">
        <v>1</v>
      </c>
      <c r="O2618" s="6">
        <v>0</v>
      </c>
      <c r="P2618" s="6">
        <v>0</v>
      </c>
      <c r="Q2618">
        <v>1</v>
      </c>
      <c r="R2618">
        <f t="shared" si="200"/>
        <v>0</v>
      </c>
      <c r="S2618">
        <f t="shared" si="201"/>
        <v>1</v>
      </c>
      <c r="T2618">
        <f t="shared" si="202"/>
        <v>3</v>
      </c>
      <c r="U2618">
        <f t="shared" si="203"/>
        <v>1</v>
      </c>
      <c r="V2618">
        <f t="shared" si="204"/>
        <v>0</v>
      </c>
    </row>
    <row r="2619" spans="1:22" x14ac:dyDescent="0.25">
      <c r="A2619">
        <v>2616</v>
      </c>
      <c r="B2619" t="s">
        <v>22</v>
      </c>
      <c r="C2619" t="s">
        <v>1038</v>
      </c>
      <c r="D2619" s="4">
        <v>45435</v>
      </c>
      <c r="E2619" t="s">
        <v>361</v>
      </c>
      <c r="F2619" t="s">
        <v>75</v>
      </c>
      <c r="I2619" s="6"/>
      <c r="J2619" s="6"/>
      <c r="K2619" s="6"/>
      <c r="L2619" s="6"/>
      <c r="M2619" s="6"/>
      <c r="N2619" s="6"/>
      <c r="O2619" s="6"/>
      <c r="P2619" s="6"/>
      <c r="Q2619">
        <v>0</v>
      </c>
      <c r="R2619">
        <f t="shared" si="200"/>
        <v>0</v>
      </c>
      <c r="S2619">
        <f t="shared" si="201"/>
        <v>0</v>
      </c>
      <c r="T2619">
        <f t="shared" si="202"/>
        <v>0</v>
      </c>
      <c r="U2619">
        <f t="shared" si="203"/>
        <v>0</v>
      </c>
      <c r="V2619">
        <f t="shared" si="204"/>
        <v>0</v>
      </c>
    </row>
    <row r="2620" spans="1:22" x14ac:dyDescent="0.25">
      <c r="A2620">
        <v>2617</v>
      </c>
      <c r="B2620" t="s">
        <v>22</v>
      </c>
      <c r="C2620" t="s">
        <v>1038</v>
      </c>
      <c r="D2620" s="4">
        <v>45435</v>
      </c>
      <c r="E2620" t="s">
        <v>362</v>
      </c>
      <c r="F2620" t="s">
        <v>75</v>
      </c>
      <c r="I2620" s="6"/>
      <c r="J2620" s="6"/>
      <c r="K2620" s="6"/>
      <c r="L2620" s="6"/>
      <c r="M2620" s="6"/>
      <c r="N2620" s="6"/>
      <c r="O2620" s="6"/>
      <c r="P2620" s="6"/>
      <c r="Q2620">
        <v>0</v>
      </c>
      <c r="R2620">
        <f t="shared" si="200"/>
        <v>0</v>
      </c>
      <c r="S2620">
        <f t="shared" si="201"/>
        <v>0</v>
      </c>
      <c r="T2620">
        <f t="shared" si="202"/>
        <v>0</v>
      </c>
      <c r="U2620">
        <f t="shared" si="203"/>
        <v>0</v>
      </c>
      <c r="V2620">
        <f t="shared" si="204"/>
        <v>0</v>
      </c>
    </row>
    <row r="2621" spans="1:22" x14ac:dyDescent="0.25">
      <c r="A2621">
        <v>2618</v>
      </c>
      <c r="B2621" t="s">
        <v>22</v>
      </c>
      <c r="C2621" t="s">
        <v>1038</v>
      </c>
      <c r="D2621" s="4">
        <v>45435</v>
      </c>
      <c r="E2621" t="s">
        <v>1412</v>
      </c>
      <c r="F2621" t="s">
        <v>75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>
        <v>1</v>
      </c>
      <c r="R2621">
        <f t="shared" si="200"/>
        <v>0</v>
      </c>
      <c r="S2621">
        <f t="shared" si="201"/>
        <v>1</v>
      </c>
      <c r="T2621">
        <f t="shared" si="202"/>
        <v>0</v>
      </c>
      <c r="U2621">
        <f t="shared" si="203"/>
        <v>0</v>
      </c>
      <c r="V2621">
        <f t="shared" si="204"/>
        <v>0</v>
      </c>
    </row>
    <row r="2622" spans="1:22" x14ac:dyDescent="0.25">
      <c r="A2622">
        <v>2619</v>
      </c>
      <c r="B2622" t="s">
        <v>22</v>
      </c>
      <c r="C2622" t="s">
        <v>1038</v>
      </c>
      <c r="D2622" s="4">
        <v>45435</v>
      </c>
      <c r="E2622" t="s">
        <v>2018</v>
      </c>
      <c r="F2622" t="s">
        <v>75</v>
      </c>
      <c r="I2622" s="6"/>
      <c r="J2622" s="6"/>
      <c r="K2622" s="6"/>
      <c r="L2622" s="6"/>
      <c r="M2622" s="6"/>
      <c r="N2622" s="6"/>
      <c r="O2622" s="6"/>
      <c r="P2622" s="6"/>
      <c r="Q2622">
        <v>0</v>
      </c>
      <c r="R2622">
        <f t="shared" si="200"/>
        <v>0</v>
      </c>
      <c r="S2622">
        <f t="shared" si="201"/>
        <v>0</v>
      </c>
      <c r="T2622">
        <f t="shared" si="202"/>
        <v>0</v>
      </c>
      <c r="U2622">
        <f t="shared" si="203"/>
        <v>0</v>
      </c>
      <c r="V2622">
        <f t="shared" si="204"/>
        <v>0</v>
      </c>
    </row>
    <row r="2623" spans="1:22" x14ac:dyDescent="0.25">
      <c r="A2623">
        <v>2620</v>
      </c>
      <c r="B2623" t="s">
        <v>22</v>
      </c>
      <c r="C2623" t="s">
        <v>1038</v>
      </c>
      <c r="D2623" s="4">
        <v>45435</v>
      </c>
      <c r="E2623" t="s">
        <v>1192</v>
      </c>
      <c r="F2623" t="s">
        <v>75</v>
      </c>
      <c r="I2623" s="6">
        <v>0</v>
      </c>
      <c r="J2623" s="6">
        <v>0</v>
      </c>
      <c r="K2623" s="6">
        <v>0</v>
      </c>
      <c r="L2623" s="6">
        <v>1</v>
      </c>
      <c r="M2623" s="6">
        <v>0</v>
      </c>
      <c r="N2623" s="6">
        <v>1</v>
      </c>
      <c r="O2623" s="6">
        <v>0</v>
      </c>
      <c r="P2623" s="6">
        <v>0</v>
      </c>
      <c r="Q2623">
        <v>1</v>
      </c>
      <c r="R2623">
        <f t="shared" si="200"/>
        <v>0</v>
      </c>
      <c r="S2623">
        <f t="shared" si="201"/>
        <v>1</v>
      </c>
      <c r="T2623">
        <f t="shared" si="202"/>
        <v>2</v>
      </c>
      <c r="U2623">
        <f t="shared" si="203"/>
        <v>1</v>
      </c>
      <c r="V2623">
        <f t="shared" si="204"/>
        <v>0</v>
      </c>
    </row>
    <row r="2624" spans="1:22" x14ac:dyDescent="0.25">
      <c r="A2624">
        <v>2621</v>
      </c>
      <c r="B2624" t="s">
        <v>22</v>
      </c>
      <c r="C2624" t="s">
        <v>1038</v>
      </c>
      <c r="D2624" s="4">
        <v>45435</v>
      </c>
      <c r="E2624" t="s">
        <v>1486</v>
      </c>
      <c r="F2624" t="s">
        <v>75</v>
      </c>
      <c r="I2624" s="6"/>
      <c r="J2624" s="6"/>
      <c r="K2624" s="6"/>
      <c r="L2624" s="6"/>
      <c r="M2624" s="6"/>
      <c r="N2624" s="6"/>
      <c r="O2624" s="6"/>
      <c r="P2624" s="6"/>
      <c r="Q2624">
        <v>0</v>
      </c>
      <c r="R2624">
        <f t="shared" si="200"/>
        <v>0</v>
      </c>
      <c r="S2624">
        <f t="shared" si="201"/>
        <v>0</v>
      </c>
      <c r="T2624">
        <f t="shared" si="202"/>
        <v>0</v>
      </c>
      <c r="U2624">
        <f t="shared" si="203"/>
        <v>0</v>
      </c>
      <c r="V2624">
        <f t="shared" si="204"/>
        <v>0</v>
      </c>
    </row>
    <row r="2625" spans="1:22" x14ac:dyDescent="0.25">
      <c r="A2625">
        <v>2622</v>
      </c>
      <c r="B2625" t="s">
        <v>22</v>
      </c>
      <c r="C2625" t="s">
        <v>1038</v>
      </c>
      <c r="D2625" s="4">
        <v>45435</v>
      </c>
      <c r="E2625" t="s">
        <v>1487</v>
      </c>
      <c r="F2625" t="s">
        <v>75</v>
      </c>
      <c r="I2625" s="6"/>
      <c r="J2625" s="6"/>
      <c r="K2625" s="6"/>
      <c r="L2625" s="6"/>
      <c r="M2625" s="6"/>
      <c r="N2625" s="6"/>
      <c r="O2625" s="6"/>
      <c r="P2625" s="6"/>
      <c r="Q2625">
        <v>0</v>
      </c>
      <c r="R2625">
        <f t="shared" si="200"/>
        <v>0</v>
      </c>
      <c r="S2625">
        <f t="shared" si="201"/>
        <v>0</v>
      </c>
      <c r="T2625">
        <f t="shared" si="202"/>
        <v>0</v>
      </c>
      <c r="U2625">
        <f t="shared" si="203"/>
        <v>0</v>
      </c>
      <c r="V2625">
        <f t="shared" si="204"/>
        <v>0</v>
      </c>
    </row>
    <row r="2626" spans="1:22" x14ac:dyDescent="0.25">
      <c r="A2626">
        <v>2623</v>
      </c>
      <c r="B2626" t="s">
        <v>22</v>
      </c>
      <c r="C2626" t="s">
        <v>1038</v>
      </c>
      <c r="D2626" s="4">
        <v>45436</v>
      </c>
      <c r="E2626" t="s">
        <v>363</v>
      </c>
      <c r="F2626" t="s">
        <v>75</v>
      </c>
      <c r="I2626" s="6">
        <v>0</v>
      </c>
      <c r="J2626" s="6">
        <v>0</v>
      </c>
      <c r="K2626" s="6">
        <v>0</v>
      </c>
      <c r="L2626" s="6">
        <v>1</v>
      </c>
      <c r="M2626" s="6">
        <v>0</v>
      </c>
      <c r="N2626" s="6">
        <v>1</v>
      </c>
      <c r="O2626" s="6">
        <v>1</v>
      </c>
      <c r="P2626" s="6">
        <v>0</v>
      </c>
      <c r="Q2626">
        <v>1</v>
      </c>
      <c r="R2626">
        <f t="shared" si="200"/>
        <v>0</v>
      </c>
      <c r="S2626">
        <f t="shared" si="201"/>
        <v>1</v>
      </c>
      <c r="T2626">
        <f t="shared" si="202"/>
        <v>3</v>
      </c>
      <c r="U2626">
        <f t="shared" si="203"/>
        <v>1</v>
      </c>
      <c r="V2626">
        <f t="shared" si="204"/>
        <v>0</v>
      </c>
    </row>
    <row r="2627" spans="1:22" x14ac:dyDescent="0.25">
      <c r="A2627">
        <v>2624</v>
      </c>
      <c r="B2627" t="s">
        <v>22</v>
      </c>
      <c r="C2627" t="s">
        <v>1038</v>
      </c>
      <c r="D2627" s="4">
        <v>45436</v>
      </c>
      <c r="E2627" t="s">
        <v>1822</v>
      </c>
      <c r="F2627" t="s">
        <v>75</v>
      </c>
      <c r="I2627" s="6"/>
      <c r="J2627" s="6"/>
      <c r="K2627" s="6"/>
      <c r="L2627" s="6"/>
      <c r="M2627" s="6"/>
      <c r="N2627" s="6"/>
      <c r="O2627" s="6"/>
      <c r="P2627" s="6"/>
      <c r="Q2627">
        <v>0</v>
      </c>
      <c r="R2627">
        <f t="shared" ref="R2627:R2690" si="205">IF(AND(Q2627=1,F2627="ai_full"),1,0)</f>
        <v>0</v>
      </c>
      <c r="S2627">
        <f t="shared" ref="S2627:S2690" si="206">IF(AND(Q2627=1,F2627="conventional"),1,0)</f>
        <v>0</v>
      </c>
      <c r="T2627">
        <f t="shared" ref="T2627:T2690" si="207">SUM(I2627:P2627)</f>
        <v>0</v>
      </c>
      <c r="U2627">
        <f t="shared" ref="U2627:U2690" si="208">IF(T2627&gt;=1,1,0)</f>
        <v>0</v>
      </c>
      <c r="V2627">
        <f t="shared" ref="V2627:V2690" si="209">IF(F2627="ai_full",1,0)</f>
        <v>0</v>
      </c>
    </row>
    <row r="2628" spans="1:22" x14ac:dyDescent="0.25">
      <c r="A2628">
        <v>2625</v>
      </c>
      <c r="B2628" t="s">
        <v>22</v>
      </c>
      <c r="C2628" t="s">
        <v>1038</v>
      </c>
      <c r="D2628" s="4">
        <v>45436</v>
      </c>
      <c r="E2628" t="s">
        <v>893</v>
      </c>
      <c r="F2628" t="s">
        <v>75</v>
      </c>
      <c r="I2628" s="6">
        <v>1</v>
      </c>
      <c r="J2628" s="6">
        <v>0</v>
      </c>
      <c r="K2628" s="6">
        <v>0</v>
      </c>
      <c r="L2628" s="6">
        <v>1</v>
      </c>
      <c r="M2628" s="6">
        <v>0</v>
      </c>
      <c r="N2628" s="6">
        <v>1</v>
      </c>
      <c r="O2628" s="6">
        <v>0</v>
      </c>
      <c r="P2628" s="6">
        <v>0</v>
      </c>
      <c r="Q2628">
        <v>1</v>
      </c>
      <c r="R2628">
        <f t="shared" si="205"/>
        <v>0</v>
      </c>
      <c r="S2628">
        <f t="shared" si="206"/>
        <v>1</v>
      </c>
      <c r="T2628">
        <f t="shared" si="207"/>
        <v>3</v>
      </c>
      <c r="U2628">
        <f t="shared" si="208"/>
        <v>1</v>
      </c>
      <c r="V2628">
        <f t="shared" si="209"/>
        <v>0</v>
      </c>
    </row>
    <row r="2629" spans="1:22" x14ac:dyDescent="0.25">
      <c r="A2629">
        <v>2626</v>
      </c>
      <c r="B2629" t="s">
        <v>22</v>
      </c>
      <c r="C2629" t="s">
        <v>1038</v>
      </c>
      <c r="D2629" s="4">
        <v>45436</v>
      </c>
      <c r="E2629" t="s">
        <v>364</v>
      </c>
      <c r="F2629" t="s">
        <v>75</v>
      </c>
      <c r="I2629" s="6">
        <v>0</v>
      </c>
      <c r="J2629" s="6">
        <v>0</v>
      </c>
      <c r="K2629" s="6">
        <v>1</v>
      </c>
      <c r="L2629" s="6">
        <v>1</v>
      </c>
      <c r="M2629" s="6">
        <v>1</v>
      </c>
      <c r="N2629" s="6">
        <v>1</v>
      </c>
      <c r="O2629" s="6">
        <v>0</v>
      </c>
      <c r="P2629" s="6">
        <v>0</v>
      </c>
      <c r="Q2629">
        <v>1</v>
      </c>
      <c r="R2629">
        <f t="shared" si="205"/>
        <v>0</v>
      </c>
      <c r="S2629">
        <f t="shared" si="206"/>
        <v>1</v>
      </c>
      <c r="T2629">
        <f t="shared" si="207"/>
        <v>4</v>
      </c>
      <c r="U2629">
        <f t="shared" si="208"/>
        <v>1</v>
      </c>
      <c r="V2629">
        <f t="shared" si="209"/>
        <v>0</v>
      </c>
    </row>
    <row r="2630" spans="1:22" x14ac:dyDescent="0.25">
      <c r="A2630">
        <v>2627</v>
      </c>
      <c r="B2630" t="s">
        <v>22</v>
      </c>
      <c r="C2630" t="s">
        <v>1038</v>
      </c>
      <c r="D2630" s="4">
        <v>45436</v>
      </c>
      <c r="E2630" t="s">
        <v>365</v>
      </c>
      <c r="F2630" t="s">
        <v>75</v>
      </c>
      <c r="I2630" s="6"/>
      <c r="J2630" s="6"/>
      <c r="K2630" s="6"/>
      <c r="L2630" s="6"/>
      <c r="M2630" s="6"/>
      <c r="N2630" s="6"/>
      <c r="O2630" s="6"/>
      <c r="P2630" s="6"/>
      <c r="Q2630">
        <v>0</v>
      </c>
      <c r="R2630">
        <f t="shared" si="205"/>
        <v>0</v>
      </c>
      <c r="S2630">
        <f t="shared" si="206"/>
        <v>0</v>
      </c>
      <c r="T2630">
        <f t="shared" si="207"/>
        <v>0</v>
      </c>
      <c r="U2630">
        <f t="shared" si="208"/>
        <v>0</v>
      </c>
      <c r="V2630">
        <f t="shared" si="209"/>
        <v>0</v>
      </c>
    </row>
    <row r="2631" spans="1:22" x14ac:dyDescent="0.25">
      <c r="A2631">
        <v>2628</v>
      </c>
      <c r="B2631" t="s">
        <v>22</v>
      </c>
      <c r="C2631" t="s">
        <v>1038</v>
      </c>
      <c r="D2631" s="4">
        <v>45436</v>
      </c>
      <c r="E2631" t="s">
        <v>366</v>
      </c>
      <c r="F2631" t="s">
        <v>75</v>
      </c>
      <c r="I2631" s="6"/>
      <c r="J2631" s="6"/>
      <c r="K2631" s="6"/>
      <c r="L2631" s="6"/>
      <c r="M2631" s="6"/>
      <c r="N2631" s="6"/>
      <c r="O2631" s="6"/>
      <c r="P2631" s="6"/>
      <c r="Q2631">
        <v>0</v>
      </c>
      <c r="R2631">
        <f t="shared" si="205"/>
        <v>0</v>
      </c>
      <c r="S2631">
        <f t="shared" si="206"/>
        <v>0</v>
      </c>
      <c r="T2631">
        <f t="shared" si="207"/>
        <v>0</v>
      </c>
      <c r="U2631">
        <f t="shared" si="208"/>
        <v>0</v>
      </c>
      <c r="V2631">
        <f t="shared" si="209"/>
        <v>0</v>
      </c>
    </row>
    <row r="2632" spans="1:22" x14ac:dyDescent="0.25">
      <c r="A2632">
        <v>2629</v>
      </c>
      <c r="B2632" t="s">
        <v>22</v>
      </c>
      <c r="C2632" t="s">
        <v>1038</v>
      </c>
      <c r="D2632" s="4">
        <v>45436</v>
      </c>
      <c r="E2632" t="s">
        <v>367</v>
      </c>
      <c r="F2632" t="s">
        <v>75</v>
      </c>
      <c r="I2632" s="6"/>
      <c r="J2632" s="6"/>
      <c r="K2632" s="6"/>
      <c r="L2632" s="6"/>
      <c r="M2632" s="6"/>
      <c r="N2632" s="6"/>
      <c r="O2632" s="6"/>
      <c r="P2632" s="6"/>
      <c r="Q2632">
        <v>0</v>
      </c>
      <c r="R2632">
        <f t="shared" si="205"/>
        <v>0</v>
      </c>
      <c r="S2632">
        <f t="shared" si="206"/>
        <v>0</v>
      </c>
      <c r="T2632">
        <f t="shared" si="207"/>
        <v>0</v>
      </c>
      <c r="U2632">
        <f t="shared" si="208"/>
        <v>0</v>
      </c>
      <c r="V2632">
        <f t="shared" si="209"/>
        <v>0</v>
      </c>
    </row>
    <row r="2633" spans="1:22" x14ac:dyDescent="0.25">
      <c r="A2633">
        <v>2630</v>
      </c>
      <c r="B2633" t="s">
        <v>22</v>
      </c>
      <c r="C2633" t="s">
        <v>1038</v>
      </c>
      <c r="D2633" s="4">
        <v>45436</v>
      </c>
      <c r="E2633" t="s">
        <v>368</v>
      </c>
      <c r="F2633" t="s">
        <v>75</v>
      </c>
      <c r="I2633" s="6"/>
      <c r="J2633" s="6"/>
      <c r="K2633" s="6"/>
      <c r="L2633" s="6"/>
      <c r="M2633" s="6"/>
      <c r="N2633" s="6"/>
      <c r="O2633" s="6"/>
      <c r="P2633" s="6"/>
      <c r="Q2633">
        <v>0</v>
      </c>
      <c r="R2633">
        <f t="shared" si="205"/>
        <v>0</v>
      </c>
      <c r="S2633">
        <f t="shared" si="206"/>
        <v>0</v>
      </c>
      <c r="T2633">
        <f t="shared" si="207"/>
        <v>0</v>
      </c>
      <c r="U2633">
        <f t="shared" si="208"/>
        <v>0</v>
      </c>
      <c r="V2633">
        <f t="shared" si="209"/>
        <v>0</v>
      </c>
    </row>
    <row r="2634" spans="1:22" x14ac:dyDescent="0.25">
      <c r="A2634">
        <v>2631</v>
      </c>
      <c r="B2634" t="s">
        <v>22</v>
      </c>
      <c r="C2634" t="s">
        <v>1038</v>
      </c>
      <c r="D2634" s="4">
        <v>45436</v>
      </c>
      <c r="E2634" t="s">
        <v>1561</v>
      </c>
      <c r="F2634" t="s">
        <v>75</v>
      </c>
      <c r="I2634" s="6">
        <v>0</v>
      </c>
      <c r="J2634" s="6">
        <v>0</v>
      </c>
      <c r="K2634" s="6">
        <v>0</v>
      </c>
      <c r="L2634" s="6">
        <v>0</v>
      </c>
      <c r="M2634" s="6">
        <v>1</v>
      </c>
      <c r="N2634" s="6">
        <v>0</v>
      </c>
      <c r="O2634" s="6">
        <v>0</v>
      </c>
      <c r="P2634" s="6">
        <v>0</v>
      </c>
      <c r="Q2634">
        <v>1</v>
      </c>
      <c r="R2634">
        <f t="shared" si="205"/>
        <v>0</v>
      </c>
      <c r="S2634">
        <f t="shared" si="206"/>
        <v>1</v>
      </c>
      <c r="T2634">
        <f t="shared" si="207"/>
        <v>1</v>
      </c>
      <c r="U2634">
        <f t="shared" si="208"/>
        <v>1</v>
      </c>
      <c r="V2634">
        <f t="shared" si="209"/>
        <v>0</v>
      </c>
    </row>
    <row r="2635" spans="1:22" x14ac:dyDescent="0.25">
      <c r="A2635">
        <v>2632</v>
      </c>
      <c r="B2635" t="s">
        <v>22</v>
      </c>
      <c r="C2635" t="s">
        <v>1038</v>
      </c>
      <c r="D2635" s="4">
        <v>45436</v>
      </c>
      <c r="E2635" t="s">
        <v>2017</v>
      </c>
      <c r="F2635" t="s">
        <v>75</v>
      </c>
      <c r="I2635" s="6"/>
      <c r="J2635" s="6"/>
      <c r="K2635" s="6"/>
      <c r="L2635" s="6"/>
      <c r="M2635" s="6"/>
      <c r="N2635" s="6"/>
      <c r="O2635" s="6"/>
      <c r="P2635" s="6"/>
      <c r="Q2635">
        <v>0</v>
      </c>
      <c r="R2635">
        <f t="shared" si="205"/>
        <v>0</v>
      </c>
      <c r="S2635">
        <f t="shared" si="206"/>
        <v>0</v>
      </c>
      <c r="T2635">
        <f t="shared" si="207"/>
        <v>0</v>
      </c>
      <c r="U2635">
        <f t="shared" si="208"/>
        <v>0</v>
      </c>
      <c r="V2635">
        <f t="shared" si="209"/>
        <v>0</v>
      </c>
    </row>
    <row r="2636" spans="1:22" x14ac:dyDescent="0.25">
      <c r="A2636">
        <v>2633</v>
      </c>
      <c r="B2636" t="s">
        <v>22</v>
      </c>
      <c r="C2636" t="s">
        <v>1038</v>
      </c>
      <c r="D2636" s="4">
        <v>45437</v>
      </c>
      <c r="E2636" t="s">
        <v>1015</v>
      </c>
      <c r="F2636" t="s">
        <v>75</v>
      </c>
      <c r="I2636" s="6">
        <v>0</v>
      </c>
      <c r="J2636" s="6">
        <v>0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>
        <v>1</v>
      </c>
      <c r="R2636">
        <f t="shared" si="205"/>
        <v>0</v>
      </c>
      <c r="S2636">
        <f t="shared" si="206"/>
        <v>1</v>
      </c>
      <c r="T2636">
        <f t="shared" si="207"/>
        <v>0</v>
      </c>
      <c r="U2636">
        <f t="shared" si="208"/>
        <v>0</v>
      </c>
      <c r="V2636">
        <f t="shared" si="209"/>
        <v>0</v>
      </c>
    </row>
    <row r="2637" spans="1:22" x14ac:dyDescent="0.25">
      <c r="A2637">
        <v>2634</v>
      </c>
      <c r="B2637" t="s">
        <v>22</v>
      </c>
      <c r="C2637" t="s">
        <v>1038</v>
      </c>
      <c r="D2637" s="4">
        <v>45437</v>
      </c>
      <c r="E2637" t="s">
        <v>1017</v>
      </c>
      <c r="F2637" t="s">
        <v>75</v>
      </c>
      <c r="I2637" s="6">
        <v>0</v>
      </c>
      <c r="J2637" s="6">
        <v>0</v>
      </c>
      <c r="K2637" s="6">
        <v>0</v>
      </c>
      <c r="L2637" s="6">
        <v>1</v>
      </c>
      <c r="M2637" s="6">
        <v>1</v>
      </c>
      <c r="N2637" s="6">
        <v>1</v>
      </c>
      <c r="O2637" s="6">
        <v>0</v>
      </c>
      <c r="P2637" s="6">
        <v>0</v>
      </c>
      <c r="Q2637">
        <v>1</v>
      </c>
      <c r="R2637">
        <f t="shared" si="205"/>
        <v>0</v>
      </c>
      <c r="S2637">
        <f t="shared" si="206"/>
        <v>1</v>
      </c>
      <c r="T2637">
        <f t="shared" si="207"/>
        <v>3</v>
      </c>
      <c r="U2637">
        <f t="shared" si="208"/>
        <v>1</v>
      </c>
      <c r="V2637">
        <f t="shared" si="209"/>
        <v>0</v>
      </c>
    </row>
    <row r="2638" spans="1:22" x14ac:dyDescent="0.25">
      <c r="A2638">
        <v>2635</v>
      </c>
      <c r="B2638" t="s">
        <v>22</v>
      </c>
      <c r="C2638" t="s">
        <v>1038</v>
      </c>
      <c r="D2638" s="4">
        <v>45437</v>
      </c>
      <c r="E2638" t="s">
        <v>1098</v>
      </c>
      <c r="F2638" t="s">
        <v>357</v>
      </c>
      <c r="I2638" s="6"/>
      <c r="J2638" s="6"/>
      <c r="K2638" s="6"/>
      <c r="L2638" s="6"/>
      <c r="M2638" s="6"/>
      <c r="N2638" s="6"/>
      <c r="O2638" s="6"/>
      <c r="P2638" s="6"/>
      <c r="Q2638">
        <v>0</v>
      </c>
      <c r="R2638">
        <f t="shared" si="205"/>
        <v>0</v>
      </c>
      <c r="S2638">
        <f t="shared" si="206"/>
        <v>0</v>
      </c>
      <c r="T2638">
        <f t="shared" si="207"/>
        <v>0</v>
      </c>
      <c r="U2638">
        <f t="shared" si="208"/>
        <v>0</v>
      </c>
      <c r="V2638">
        <f t="shared" si="209"/>
        <v>0</v>
      </c>
    </row>
    <row r="2639" spans="1:22" x14ac:dyDescent="0.25">
      <c r="A2639">
        <v>2636</v>
      </c>
      <c r="B2639" t="s">
        <v>22</v>
      </c>
      <c r="C2639" t="s">
        <v>1038</v>
      </c>
      <c r="D2639" s="4">
        <v>45437</v>
      </c>
      <c r="E2639" t="s">
        <v>2016</v>
      </c>
      <c r="F2639" t="s">
        <v>75</v>
      </c>
      <c r="I2639" s="6"/>
      <c r="J2639" s="6"/>
      <c r="K2639" s="6"/>
      <c r="L2639" s="6"/>
      <c r="M2639" s="6"/>
      <c r="N2639" s="6"/>
      <c r="O2639" s="6"/>
      <c r="P2639" s="6"/>
      <c r="Q2639">
        <v>0</v>
      </c>
      <c r="R2639">
        <f t="shared" si="205"/>
        <v>0</v>
      </c>
      <c r="S2639">
        <f t="shared" si="206"/>
        <v>0</v>
      </c>
      <c r="T2639">
        <f t="shared" si="207"/>
        <v>0</v>
      </c>
      <c r="U2639">
        <f t="shared" si="208"/>
        <v>0</v>
      </c>
      <c r="V2639">
        <f t="shared" si="209"/>
        <v>0</v>
      </c>
    </row>
    <row r="2640" spans="1:22" x14ac:dyDescent="0.25">
      <c r="A2640">
        <v>2637</v>
      </c>
      <c r="B2640" t="s">
        <v>22</v>
      </c>
      <c r="C2640" t="s">
        <v>1038</v>
      </c>
      <c r="D2640" s="4">
        <v>45437</v>
      </c>
      <c r="E2640" t="s">
        <v>2111</v>
      </c>
      <c r="F2640" t="s">
        <v>75</v>
      </c>
      <c r="I2640" s="6">
        <v>0</v>
      </c>
      <c r="J2640" s="6">
        <v>0</v>
      </c>
      <c r="K2640" s="6">
        <v>0</v>
      </c>
      <c r="L2640" s="6">
        <v>1</v>
      </c>
      <c r="M2640" s="6">
        <v>0</v>
      </c>
      <c r="N2640" s="6">
        <v>1</v>
      </c>
      <c r="O2640" s="6">
        <v>0</v>
      </c>
      <c r="P2640" s="6">
        <v>0</v>
      </c>
      <c r="Q2640">
        <v>1</v>
      </c>
      <c r="R2640">
        <f t="shared" si="205"/>
        <v>0</v>
      </c>
      <c r="S2640">
        <f t="shared" si="206"/>
        <v>1</v>
      </c>
      <c r="T2640">
        <f t="shared" si="207"/>
        <v>2</v>
      </c>
      <c r="U2640">
        <f t="shared" si="208"/>
        <v>1</v>
      </c>
      <c r="V2640">
        <f t="shared" si="209"/>
        <v>0</v>
      </c>
    </row>
    <row r="2641" spans="1:22" x14ac:dyDescent="0.25">
      <c r="A2641">
        <v>2638</v>
      </c>
      <c r="B2641" t="s">
        <v>22</v>
      </c>
      <c r="C2641" t="s">
        <v>1038</v>
      </c>
      <c r="D2641" s="4">
        <v>45437</v>
      </c>
      <c r="E2641" t="s">
        <v>1193</v>
      </c>
      <c r="F2641" t="s">
        <v>357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>
        <v>1</v>
      </c>
      <c r="R2641">
        <f t="shared" si="205"/>
        <v>0</v>
      </c>
      <c r="S2641">
        <f t="shared" si="206"/>
        <v>0</v>
      </c>
      <c r="T2641">
        <f t="shared" si="207"/>
        <v>0</v>
      </c>
      <c r="U2641">
        <f t="shared" si="208"/>
        <v>0</v>
      </c>
      <c r="V2641">
        <f t="shared" si="209"/>
        <v>0</v>
      </c>
    </row>
    <row r="2642" spans="1:22" x14ac:dyDescent="0.25">
      <c r="A2642">
        <v>2639</v>
      </c>
      <c r="B2642" t="s">
        <v>22</v>
      </c>
      <c r="C2642" t="s">
        <v>1038</v>
      </c>
      <c r="D2642" s="4">
        <v>45437</v>
      </c>
      <c r="E2642" t="s">
        <v>2110</v>
      </c>
      <c r="F2642" t="s">
        <v>357</v>
      </c>
      <c r="I2642" s="6"/>
      <c r="J2642" s="6"/>
      <c r="K2642" s="6"/>
      <c r="L2642" s="6"/>
      <c r="M2642" s="6"/>
      <c r="N2642" s="6"/>
      <c r="O2642" s="6"/>
      <c r="P2642" s="6"/>
      <c r="Q2642">
        <v>0</v>
      </c>
      <c r="R2642">
        <f t="shared" si="205"/>
        <v>0</v>
      </c>
      <c r="S2642">
        <f t="shared" si="206"/>
        <v>0</v>
      </c>
      <c r="T2642">
        <f t="shared" si="207"/>
        <v>0</v>
      </c>
      <c r="U2642">
        <f t="shared" si="208"/>
        <v>0</v>
      </c>
      <c r="V2642">
        <f t="shared" si="209"/>
        <v>0</v>
      </c>
    </row>
    <row r="2643" spans="1:22" x14ac:dyDescent="0.25">
      <c r="A2643">
        <v>2640</v>
      </c>
      <c r="B2643" t="s">
        <v>22</v>
      </c>
      <c r="C2643" t="s">
        <v>1038</v>
      </c>
      <c r="D2643" s="4">
        <v>45437</v>
      </c>
      <c r="E2643" t="s">
        <v>2109</v>
      </c>
      <c r="F2643" t="s">
        <v>75</v>
      </c>
      <c r="I2643" s="6">
        <v>1</v>
      </c>
      <c r="J2643" s="6">
        <v>1</v>
      </c>
      <c r="K2643" s="6">
        <v>1</v>
      </c>
      <c r="L2643" s="6">
        <v>0</v>
      </c>
      <c r="M2643" s="6">
        <v>0</v>
      </c>
      <c r="N2643" s="6">
        <v>1</v>
      </c>
      <c r="O2643" s="6">
        <v>0</v>
      </c>
      <c r="P2643" s="6">
        <v>0</v>
      </c>
      <c r="Q2643">
        <v>1</v>
      </c>
      <c r="R2643">
        <f t="shared" si="205"/>
        <v>0</v>
      </c>
      <c r="S2643">
        <f t="shared" si="206"/>
        <v>1</v>
      </c>
      <c r="T2643">
        <f t="shared" si="207"/>
        <v>4</v>
      </c>
      <c r="U2643">
        <f t="shared" si="208"/>
        <v>1</v>
      </c>
      <c r="V2643">
        <f t="shared" si="209"/>
        <v>0</v>
      </c>
    </row>
    <row r="2644" spans="1:22" x14ac:dyDescent="0.25">
      <c r="A2644">
        <v>2641</v>
      </c>
      <c r="B2644" t="s">
        <v>22</v>
      </c>
      <c r="C2644" t="s">
        <v>1038</v>
      </c>
      <c r="D2644" s="4">
        <v>45437</v>
      </c>
      <c r="E2644" t="s">
        <v>1194</v>
      </c>
      <c r="F2644" t="s">
        <v>75</v>
      </c>
      <c r="I2644" s="6">
        <v>0</v>
      </c>
      <c r="J2644" s="6">
        <v>0</v>
      </c>
      <c r="K2644" s="6">
        <v>0</v>
      </c>
      <c r="L2644" s="6">
        <v>0</v>
      </c>
      <c r="M2644" s="6">
        <v>1</v>
      </c>
      <c r="N2644" s="6">
        <v>0</v>
      </c>
      <c r="O2644" s="6">
        <v>0</v>
      </c>
      <c r="P2644" s="6">
        <v>0</v>
      </c>
      <c r="Q2644">
        <v>1</v>
      </c>
      <c r="R2644">
        <f t="shared" si="205"/>
        <v>0</v>
      </c>
      <c r="S2644">
        <f t="shared" si="206"/>
        <v>1</v>
      </c>
      <c r="T2644">
        <f t="shared" si="207"/>
        <v>1</v>
      </c>
      <c r="U2644">
        <f t="shared" si="208"/>
        <v>1</v>
      </c>
      <c r="V2644">
        <f t="shared" si="209"/>
        <v>0</v>
      </c>
    </row>
    <row r="2645" spans="1:22" x14ac:dyDescent="0.25">
      <c r="A2645">
        <v>2642</v>
      </c>
      <c r="B2645" t="s">
        <v>22</v>
      </c>
      <c r="C2645" t="s">
        <v>1038</v>
      </c>
      <c r="D2645" s="4">
        <v>45438</v>
      </c>
      <c r="E2645" t="s">
        <v>484</v>
      </c>
      <c r="F2645" t="s">
        <v>75</v>
      </c>
      <c r="I2645" s="6">
        <v>0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>
        <v>1</v>
      </c>
      <c r="R2645">
        <f t="shared" si="205"/>
        <v>0</v>
      </c>
      <c r="S2645">
        <f t="shared" si="206"/>
        <v>1</v>
      </c>
      <c r="T2645">
        <f t="shared" si="207"/>
        <v>0</v>
      </c>
      <c r="U2645">
        <f t="shared" si="208"/>
        <v>0</v>
      </c>
      <c r="V2645">
        <f t="shared" si="209"/>
        <v>0</v>
      </c>
    </row>
    <row r="2646" spans="1:22" x14ac:dyDescent="0.25">
      <c r="A2646">
        <v>2643</v>
      </c>
      <c r="B2646" t="s">
        <v>22</v>
      </c>
      <c r="C2646" t="s">
        <v>1038</v>
      </c>
      <c r="D2646" s="4">
        <v>45438</v>
      </c>
      <c r="E2646" t="s">
        <v>2690</v>
      </c>
      <c r="F2646" t="s">
        <v>75</v>
      </c>
      <c r="I2646" s="6"/>
      <c r="J2646" s="6"/>
      <c r="K2646" s="6"/>
      <c r="L2646" s="6"/>
      <c r="M2646" s="6"/>
      <c r="N2646" s="6"/>
      <c r="O2646" s="6"/>
      <c r="P2646" s="6"/>
      <c r="Q2646">
        <v>0</v>
      </c>
      <c r="R2646">
        <f t="shared" si="205"/>
        <v>0</v>
      </c>
      <c r="S2646">
        <f t="shared" si="206"/>
        <v>0</v>
      </c>
      <c r="T2646">
        <f t="shared" si="207"/>
        <v>0</v>
      </c>
      <c r="U2646">
        <f t="shared" si="208"/>
        <v>0</v>
      </c>
      <c r="V2646">
        <f t="shared" si="209"/>
        <v>0</v>
      </c>
    </row>
    <row r="2647" spans="1:22" x14ac:dyDescent="0.25">
      <c r="A2647">
        <v>2644</v>
      </c>
      <c r="B2647" t="s">
        <v>22</v>
      </c>
      <c r="C2647" t="s">
        <v>1038</v>
      </c>
      <c r="D2647" s="4">
        <v>45438</v>
      </c>
      <c r="E2647" t="s">
        <v>369</v>
      </c>
      <c r="F2647" t="s">
        <v>75</v>
      </c>
      <c r="I2647" s="6"/>
      <c r="J2647" s="6"/>
      <c r="K2647" s="6"/>
      <c r="L2647" s="6"/>
      <c r="M2647" s="6"/>
      <c r="N2647" s="6"/>
      <c r="O2647" s="6"/>
      <c r="P2647" s="6"/>
      <c r="Q2647">
        <v>0</v>
      </c>
      <c r="R2647">
        <f t="shared" si="205"/>
        <v>0</v>
      </c>
      <c r="S2647">
        <f t="shared" si="206"/>
        <v>0</v>
      </c>
      <c r="T2647">
        <f t="shared" si="207"/>
        <v>0</v>
      </c>
      <c r="U2647">
        <f t="shared" si="208"/>
        <v>0</v>
      </c>
      <c r="V2647">
        <f t="shared" si="209"/>
        <v>0</v>
      </c>
    </row>
    <row r="2648" spans="1:22" x14ac:dyDescent="0.25">
      <c r="A2648">
        <v>2645</v>
      </c>
      <c r="B2648" t="s">
        <v>22</v>
      </c>
      <c r="C2648" t="s">
        <v>1038</v>
      </c>
      <c r="D2648" s="4">
        <v>45438</v>
      </c>
      <c r="E2648" t="s">
        <v>485</v>
      </c>
      <c r="F2648" t="s">
        <v>75</v>
      </c>
      <c r="I2648" s="6">
        <v>0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>
        <v>1</v>
      </c>
      <c r="R2648">
        <f t="shared" si="205"/>
        <v>0</v>
      </c>
      <c r="S2648">
        <f t="shared" si="206"/>
        <v>1</v>
      </c>
      <c r="T2648">
        <f t="shared" si="207"/>
        <v>0</v>
      </c>
      <c r="U2648">
        <f t="shared" si="208"/>
        <v>0</v>
      </c>
      <c r="V2648">
        <f t="shared" si="209"/>
        <v>0</v>
      </c>
    </row>
    <row r="2649" spans="1:22" x14ac:dyDescent="0.25">
      <c r="A2649">
        <v>2646</v>
      </c>
      <c r="B2649" t="s">
        <v>22</v>
      </c>
      <c r="C2649" t="s">
        <v>1038</v>
      </c>
      <c r="D2649" s="4">
        <v>45438</v>
      </c>
      <c r="E2649" t="s">
        <v>486</v>
      </c>
      <c r="F2649" t="s">
        <v>75</v>
      </c>
      <c r="H2649" t="s">
        <v>1195</v>
      </c>
      <c r="I2649" s="6">
        <v>0</v>
      </c>
      <c r="J2649" s="6">
        <v>0</v>
      </c>
      <c r="K2649" s="6">
        <v>0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>
        <v>1</v>
      </c>
      <c r="R2649">
        <f t="shared" si="205"/>
        <v>0</v>
      </c>
      <c r="S2649">
        <f t="shared" si="206"/>
        <v>1</v>
      </c>
      <c r="T2649">
        <f t="shared" si="207"/>
        <v>0</v>
      </c>
      <c r="U2649">
        <f t="shared" si="208"/>
        <v>0</v>
      </c>
      <c r="V2649">
        <f t="shared" si="209"/>
        <v>0</v>
      </c>
    </row>
    <row r="2650" spans="1:22" x14ac:dyDescent="0.25">
      <c r="A2650">
        <v>2647</v>
      </c>
      <c r="B2650" t="s">
        <v>22</v>
      </c>
      <c r="C2650" t="s">
        <v>1038</v>
      </c>
      <c r="D2650" s="4">
        <v>45438</v>
      </c>
      <c r="E2650" t="s">
        <v>487</v>
      </c>
      <c r="F2650" t="s">
        <v>75</v>
      </c>
      <c r="I2650" s="6">
        <v>0</v>
      </c>
      <c r="J2650" s="6">
        <v>0</v>
      </c>
      <c r="K2650" s="6">
        <v>0</v>
      </c>
      <c r="L2650" s="6">
        <v>1</v>
      </c>
      <c r="M2650" s="6">
        <v>0</v>
      </c>
      <c r="N2650" s="6">
        <v>1</v>
      </c>
      <c r="O2650" s="6">
        <v>0</v>
      </c>
      <c r="P2650" s="6">
        <v>0</v>
      </c>
      <c r="Q2650">
        <v>1</v>
      </c>
      <c r="R2650">
        <f t="shared" si="205"/>
        <v>0</v>
      </c>
      <c r="S2650">
        <f t="shared" si="206"/>
        <v>1</v>
      </c>
      <c r="T2650">
        <f t="shared" si="207"/>
        <v>2</v>
      </c>
      <c r="U2650">
        <f t="shared" si="208"/>
        <v>1</v>
      </c>
      <c r="V2650">
        <f t="shared" si="209"/>
        <v>0</v>
      </c>
    </row>
    <row r="2651" spans="1:22" x14ac:dyDescent="0.25">
      <c r="A2651">
        <v>2648</v>
      </c>
      <c r="B2651" t="s">
        <v>22</v>
      </c>
      <c r="C2651" t="s">
        <v>1038</v>
      </c>
      <c r="D2651" s="4">
        <v>45438</v>
      </c>
      <c r="E2651" t="s">
        <v>1488</v>
      </c>
      <c r="F2651" t="s">
        <v>75</v>
      </c>
      <c r="I2651" s="6"/>
      <c r="J2651" s="6"/>
      <c r="K2651" s="6"/>
      <c r="L2651" s="6"/>
      <c r="M2651" s="6"/>
      <c r="N2651" s="6"/>
      <c r="O2651" s="6"/>
      <c r="P2651" s="6"/>
      <c r="Q2651">
        <v>0</v>
      </c>
      <c r="R2651">
        <f t="shared" si="205"/>
        <v>0</v>
      </c>
      <c r="S2651">
        <f t="shared" si="206"/>
        <v>0</v>
      </c>
      <c r="T2651">
        <f t="shared" si="207"/>
        <v>0</v>
      </c>
      <c r="U2651">
        <f t="shared" si="208"/>
        <v>0</v>
      </c>
      <c r="V2651">
        <f t="shared" si="209"/>
        <v>0</v>
      </c>
    </row>
    <row r="2652" spans="1:22" x14ac:dyDescent="0.25">
      <c r="A2652">
        <v>2649</v>
      </c>
      <c r="B2652" t="s">
        <v>22</v>
      </c>
      <c r="C2652" t="s">
        <v>1038</v>
      </c>
      <c r="D2652" s="4">
        <v>45438</v>
      </c>
      <c r="E2652" t="s">
        <v>1196</v>
      </c>
      <c r="F2652" t="s">
        <v>75</v>
      </c>
      <c r="I2652" s="6">
        <v>1</v>
      </c>
      <c r="J2652" s="6">
        <v>0</v>
      </c>
      <c r="K2652" s="6">
        <v>1</v>
      </c>
      <c r="L2652" s="6">
        <v>1</v>
      </c>
      <c r="M2652" s="6">
        <v>1</v>
      </c>
      <c r="N2652" s="6">
        <v>1</v>
      </c>
      <c r="O2652" s="6">
        <v>1</v>
      </c>
      <c r="P2652" s="6">
        <v>0</v>
      </c>
      <c r="Q2652">
        <v>1</v>
      </c>
      <c r="R2652">
        <f t="shared" si="205"/>
        <v>0</v>
      </c>
      <c r="S2652">
        <f t="shared" si="206"/>
        <v>1</v>
      </c>
      <c r="T2652">
        <f t="shared" si="207"/>
        <v>6</v>
      </c>
      <c r="U2652">
        <f t="shared" si="208"/>
        <v>1</v>
      </c>
      <c r="V2652">
        <f t="shared" si="209"/>
        <v>0</v>
      </c>
    </row>
    <row r="2653" spans="1:22" x14ac:dyDescent="0.25">
      <c r="A2653">
        <v>2650</v>
      </c>
      <c r="B2653" t="s">
        <v>22</v>
      </c>
      <c r="C2653" t="s">
        <v>1038</v>
      </c>
      <c r="D2653" s="4">
        <v>45438</v>
      </c>
      <c r="E2653" t="s">
        <v>2310</v>
      </c>
      <c r="F2653" t="s">
        <v>75</v>
      </c>
      <c r="I2653" s="6"/>
      <c r="J2653" s="6"/>
      <c r="K2653" s="6"/>
      <c r="L2653" s="6"/>
      <c r="M2653" s="6"/>
      <c r="N2653" s="6"/>
      <c r="O2653" s="6"/>
      <c r="P2653" s="6"/>
      <c r="Q2653">
        <v>0</v>
      </c>
      <c r="R2653">
        <f t="shared" si="205"/>
        <v>0</v>
      </c>
      <c r="S2653">
        <f t="shared" si="206"/>
        <v>0</v>
      </c>
      <c r="T2653">
        <f t="shared" si="207"/>
        <v>0</v>
      </c>
      <c r="U2653">
        <f t="shared" si="208"/>
        <v>0</v>
      </c>
      <c r="V2653">
        <f t="shared" si="209"/>
        <v>0</v>
      </c>
    </row>
    <row r="2654" spans="1:22" x14ac:dyDescent="0.25">
      <c r="A2654">
        <v>2651</v>
      </c>
      <c r="B2654" t="s">
        <v>22</v>
      </c>
      <c r="C2654" t="s">
        <v>1038</v>
      </c>
      <c r="D2654" s="4">
        <v>45438</v>
      </c>
      <c r="E2654" t="s">
        <v>2689</v>
      </c>
      <c r="F2654" t="s">
        <v>75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>
        <v>1</v>
      </c>
      <c r="R2654">
        <f t="shared" si="205"/>
        <v>0</v>
      </c>
      <c r="S2654">
        <f t="shared" si="206"/>
        <v>1</v>
      </c>
      <c r="T2654">
        <f t="shared" si="207"/>
        <v>0</v>
      </c>
      <c r="U2654">
        <f t="shared" si="208"/>
        <v>0</v>
      </c>
      <c r="V2654">
        <f t="shared" si="209"/>
        <v>0</v>
      </c>
    </row>
    <row r="2655" spans="1:22" x14ac:dyDescent="0.25">
      <c r="A2655">
        <v>2652</v>
      </c>
      <c r="B2655" t="s">
        <v>22</v>
      </c>
      <c r="C2655" t="s">
        <v>1038</v>
      </c>
      <c r="D2655" s="4">
        <v>45439</v>
      </c>
      <c r="E2655" t="s">
        <v>1018</v>
      </c>
      <c r="F2655" t="s">
        <v>75</v>
      </c>
      <c r="I2655" s="6"/>
      <c r="J2655" s="6"/>
      <c r="K2655" s="6"/>
      <c r="L2655" s="6"/>
      <c r="M2655" s="6"/>
      <c r="N2655" s="6"/>
      <c r="O2655" s="6"/>
      <c r="P2655" s="6"/>
      <c r="Q2655">
        <v>0</v>
      </c>
      <c r="R2655">
        <f t="shared" si="205"/>
        <v>0</v>
      </c>
      <c r="S2655">
        <f t="shared" si="206"/>
        <v>0</v>
      </c>
      <c r="T2655">
        <f t="shared" si="207"/>
        <v>0</v>
      </c>
      <c r="U2655">
        <f t="shared" si="208"/>
        <v>0</v>
      </c>
      <c r="V2655">
        <f t="shared" si="209"/>
        <v>0</v>
      </c>
    </row>
    <row r="2656" spans="1:22" x14ac:dyDescent="0.25">
      <c r="A2656">
        <v>2653</v>
      </c>
      <c r="B2656" t="s">
        <v>22</v>
      </c>
      <c r="C2656" t="s">
        <v>1038</v>
      </c>
      <c r="D2656" s="4">
        <v>45439</v>
      </c>
      <c r="E2656" t="s">
        <v>1197</v>
      </c>
      <c r="F2656" t="s">
        <v>75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>
        <v>1</v>
      </c>
      <c r="R2656">
        <f t="shared" si="205"/>
        <v>0</v>
      </c>
      <c r="S2656">
        <f t="shared" si="206"/>
        <v>1</v>
      </c>
      <c r="T2656">
        <f t="shared" si="207"/>
        <v>0</v>
      </c>
      <c r="U2656">
        <f t="shared" si="208"/>
        <v>0</v>
      </c>
      <c r="V2656">
        <f t="shared" si="209"/>
        <v>0</v>
      </c>
    </row>
    <row r="2657" spans="1:22" x14ac:dyDescent="0.25">
      <c r="A2657">
        <v>2654</v>
      </c>
      <c r="B2657" t="s">
        <v>22</v>
      </c>
      <c r="C2657" t="s">
        <v>1038</v>
      </c>
      <c r="D2657" s="4">
        <v>45439</v>
      </c>
      <c r="E2657" t="s">
        <v>1019</v>
      </c>
      <c r="F2657" t="s">
        <v>75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>
        <v>1</v>
      </c>
      <c r="R2657">
        <f t="shared" si="205"/>
        <v>0</v>
      </c>
      <c r="S2657">
        <f t="shared" si="206"/>
        <v>1</v>
      </c>
      <c r="T2657">
        <f t="shared" si="207"/>
        <v>0</v>
      </c>
      <c r="U2657">
        <f t="shared" si="208"/>
        <v>0</v>
      </c>
      <c r="V2657">
        <f t="shared" si="209"/>
        <v>0</v>
      </c>
    </row>
    <row r="2658" spans="1:22" x14ac:dyDescent="0.25">
      <c r="A2658">
        <v>2655</v>
      </c>
      <c r="B2658" t="s">
        <v>22</v>
      </c>
      <c r="C2658" t="s">
        <v>1038</v>
      </c>
      <c r="D2658" s="4">
        <v>45439</v>
      </c>
      <c r="E2658" t="s">
        <v>1198</v>
      </c>
      <c r="F2658" t="s">
        <v>75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>
        <v>1</v>
      </c>
      <c r="R2658">
        <f t="shared" si="205"/>
        <v>0</v>
      </c>
      <c r="S2658">
        <f t="shared" si="206"/>
        <v>1</v>
      </c>
      <c r="T2658">
        <f t="shared" si="207"/>
        <v>0</v>
      </c>
      <c r="U2658">
        <f t="shared" si="208"/>
        <v>0</v>
      </c>
      <c r="V2658">
        <f t="shared" si="209"/>
        <v>0</v>
      </c>
    </row>
    <row r="2659" spans="1:22" x14ac:dyDescent="0.25">
      <c r="A2659">
        <v>2656</v>
      </c>
      <c r="B2659" t="s">
        <v>22</v>
      </c>
      <c r="C2659" t="s">
        <v>1038</v>
      </c>
      <c r="D2659" s="4">
        <v>45439</v>
      </c>
      <c r="E2659" t="s">
        <v>2108</v>
      </c>
      <c r="F2659" t="s">
        <v>75</v>
      </c>
      <c r="I2659" s="6"/>
      <c r="J2659" s="6"/>
      <c r="K2659" s="6"/>
      <c r="L2659" s="6"/>
      <c r="M2659" s="6"/>
      <c r="N2659" s="6"/>
      <c r="O2659" s="6"/>
      <c r="P2659" s="6"/>
      <c r="Q2659">
        <v>0</v>
      </c>
      <c r="R2659">
        <f t="shared" si="205"/>
        <v>0</v>
      </c>
      <c r="S2659">
        <f t="shared" si="206"/>
        <v>0</v>
      </c>
      <c r="T2659">
        <f t="shared" si="207"/>
        <v>0</v>
      </c>
      <c r="U2659">
        <f t="shared" si="208"/>
        <v>0</v>
      </c>
      <c r="V2659">
        <f t="shared" si="209"/>
        <v>0</v>
      </c>
    </row>
    <row r="2660" spans="1:22" x14ac:dyDescent="0.25">
      <c r="A2660">
        <v>2657</v>
      </c>
      <c r="B2660" t="s">
        <v>22</v>
      </c>
      <c r="C2660" t="s">
        <v>1038</v>
      </c>
      <c r="D2660" s="4">
        <v>45439</v>
      </c>
      <c r="E2660" t="s">
        <v>1489</v>
      </c>
      <c r="F2660" t="s">
        <v>75</v>
      </c>
      <c r="I2660" s="6">
        <v>0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>
        <v>1</v>
      </c>
      <c r="R2660">
        <f t="shared" si="205"/>
        <v>0</v>
      </c>
      <c r="S2660">
        <f t="shared" si="206"/>
        <v>1</v>
      </c>
      <c r="T2660">
        <f t="shared" si="207"/>
        <v>0</v>
      </c>
      <c r="U2660">
        <f t="shared" si="208"/>
        <v>0</v>
      </c>
      <c r="V2660">
        <f t="shared" si="209"/>
        <v>0</v>
      </c>
    </row>
    <row r="2661" spans="1:22" x14ac:dyDescent="0.25">
      <c r="A2661">
        <v>2658</v>
      </c>
      <c r="B2661" t="s">
        <v>22</v>
      </c>
      <c r="C2661" t="s">
        <v>1038</v>
      </c>
      <c r="D2661" s="4">
        <v>45439</v>
      </c>
      <c r="E2661" t="s">
        <v>1419</v>
      </c>
      <c r="F2661" t="s">
        <v>75</v>
      </c>
      <c r="I2661" s="6"/>
      <c r="J2661" s="6"/>
      <c r="K2661" s="6"/>
      <c r="L2661" s="6"/>
      <c r="M2661" s="6"/>
      <c r="N2661" s="6"/>
      <c r="O2661" s="6"/>
      <c r="P2661" s="6"/>
      <c r="Q2661">
        <v>0</v>
      </c>
      <c r="R2661">
        <f t="shared" si="205"/>
        <v>0</v>
      </c>
      <c r="S2661">
        <f t="shared" si="206"/>
        <v>0</v>
      </c>
      <c r="T2661">
        <f t="shared" si="207"/>
        <v>0</v>
      </c>
      <c r="U2661">
        <f t="shared" si="208"/>
        <v>0</v>
      </c>
      <c r="V2661">
        <f t="shared" si="209"/>
        <v>0</v>
      </c>
    </row>
    <row r="2662" spans="1:22" x14ac:dyDescent="0.25">
      <c r="A2662">
        <v>2659</v>
      </c>
      <c r="B2662" t="s">
        <v>22</v>
      </c>
      <c r="C2662" t="s">
        <v>1038</v>
      </c>
      <c r="D2662" s="4">
        <v>45439</v>
      </c>
      <c r="E2662" t="s">
        <v>2107</v>
      </c>
      <c r="F2662" t="s">
        <v>75</v>
      </c>
      <c r="I2662" s="6"/>
      <c r="J2662" s="6"/>
      <c r="K2662" s="6"/>
      <c r="L2662" s="6"/>
      <c r="M2662" s="6"/>
      <c r="N2662" s="6"/>
      <c r="O2662" s="6"/>
      <c r="P2662" s="6"/>
      <c r="Q2662">
        <v>0</v>
      </c>
      <c r="R2662">
        <f t="shared" si="205"/>
        <v>0</v>
      </c>
      <c r="S2662">
        <f t="shared" si="206"/>
        <v>0</v>
      </c>
      <c r="T2662">
        <f t="shared" si="207"/>
        <v>0</v>
      </c>
      <c r="U2662">
        <f t="shared" si="208"/>
        <v>0</v>
      </c>
      <c r="V2662">
        <f t="shared" si="209"/>
        <v>0</v>
      </c>
    </row>
    <row r="2663" spans="1:22" x14ac:dyDescent="0.25">
      <c r="A2663">
        <v>2660</v>
      </c>
      <c r="B2663" t="s">
        <v>22</v>
      </c>
      <c r="C2663" t="s">
        <v>1038</v>
      </c>
      <c r="D2663" s="4">
        <v>45439</v>
      </c>
      <c r="E2663" t="s">
        <v>1199</v>
      </c>
      <c r="F2663" t="s">
        <v>75</v>
      </c>
      <c r="H2663" t="s">
        <v>1200</v>
      </c>
      <c r="I2663" s="6">
        <v>0</v>
      </c>
      <c r="J2663" s="6">
        <v>0</v>
      </c>
      <c r="K2663" s="6">
        <v>0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>
        <v>1</v>
      </c>
      <c r="R2663">
        <f t="shared" si="205"/>
        <v>0</v>
      </c>
      <c r="S2663">
        <f t="shared" si="206"/>
        <v>1</v>
      </c>
      <c r="T2663">
        <f t="shared" si="207"/>
        <v>0</v>
      </c>
      <c r="U2663">
        <f t="shared" si="208"/>
        <v>0</v>
      </c>
      <c r="V2663">
        <f t="shared" si="209"/>
        <v>0</v>
      </c>
    </row>
    <row r="2664" spans="1:22" x14ac:dyDescent="0.25">
      <c r="A2664">
        <v>2661</v>
      </c>
      <c r="B2664" t="s">
        <v>22</v>
      </c>
      <c r="C2664" t="s">
        <v>1038</v>
      </c>
      <c r="D2664" s="4">
        <v>45439</v>
      </c>
      <c r="E2664" t="s">
        <v>1420</v>
      </c>
      <c r="F2664" t="s">
        <v>75</v>
      </c>
      <c r="I2664" s="6">
        <v>0</v>
      </c>
      <c r="J2664" s="6">
        <v>0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  <c r="P2664" s="6">
        <v>0</v>
      </c>
      <c r="Q2664">
        <v>1</v>
      </c>
      <c r="R2664">
        <f t="shared" si="205"/>
        <v>0</v>
      </c>
      <c r="S2664">
        <f t="shared" si="206"/>
        <v>1</v>
      </c>
      <c r="T2664">
        <f t="shared" si="207"/>
        <v>0</v>
      </c>
      <c r="U2664">
        <f t="shared" si="208"/>
        <v>0</v>
      </c>
      <c r="V2664">
        <f t="shared" si="209"/>
        <v>0</v>
      </c>
    </row>
    <row r="2665" spans="1:22" x14ac:dyDescent="0.25">
      <c r="A2665">
        <v>2662</v>
      </c>
      <c r="B2665" t="s">
        <v>22</v>
      </c>
      <c r="C2665" t="s">
        <v>1038</v>
      </c>
      <c r="D2665" s="4">
        <v>45440</v>
      </c>
      <c r="E2665" t="s">
        <v>488</v>
      </c>
      <c r="F2665" t="s">
        <v>357</v>
      </c>
      <c r="I2665" s="6"/>
      <c r="J2665" s="6"/>
      <c r="K2665" s="6"/>
      <c r="L2665" s="6"/>
      <c r="M2665" s="6"/>
      <c r="N2665" s="6"/>
      <c r="O2665" s="6"/>
      <c r="P2665" s="6"/>
      <c r="Q2665">
        <v>0</v>
      </c>
      <c r="R2665">
        <f t="shared" si="205"/>
        <v>0</v>
      </c>
      <c r="S2665">
        <f t="shared" si="206"/>
        <v>0</v>
      </c>
      <c r="T2665">
        <f t="shared" si="207"/>
        <v>0</v>
      </c>
      <c r="U2665">
        <f t="shared" si="208"/>
        <v>0</v>
      </c>
      <c r="V2665">
        <f t="shared" si="209"/>
        <v>0</v>
      </c>
    </row>
    <row r="2666" spans="1:22" x14ac:dyDescent="0.25">
      <c r="A2666">
        <v>2663</v>
      </c>
      <c r="B2666" t="s">
        <v>22</v>
      </c>
      <c r="C2666" t="s">
        <v>1038</v>
      </c>
      <c r="D2666" s="4">
        <v>45440</v>
      </c>
      <c r="E2666" t="s">
        <v>371</v>
      </c>
      <c r="F2666" t="s">
        <v>75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>
        <v>1</v>
      </c>
      <c r="R2666">
        <f t="shared" si="205"/>
        <v>0</v>
      </c>
      <c r="S2666">
        <f t="shared" si="206"/>
        <v>1</v>
      </c>
      <c r="T2666">
        <f t="shared" si="207"/>
        <v>0</v>
      </c>
      <c r="U2666">
        <f t="shared" si="208"/>
        <v>0</v>
      </c>
      <c r="V2666">
        <f t="shared" si="209"/>
        <v>0</v>
      </c>
    </row>
    <row r="2667" spans="1:22" x14ac:dyDescent="0.25">
      <c r="A2667">
        <v>2664</v>
      </c>
      <c r="B2667" t="s">
        <v>22</v>
      </c>
      <c r="C2667" t="s">
        <v>1038</v>
      </c>
      <c r="D2667" s="4">
        <v>45440</v>
      </c>
      <c r="E2667" t="s">
        <v>895</v>
      </c>
      <c r="F2667" t="s">
        <v>75</v>
      </c>
      <c r="I2667" s="6"/>
      <c r="J2667" s="6"/>
      <c r="K2667" s="6"/>
      <c r="L2667" s="6"/>
      <c r="M2667" s="6"/>
      <c r="N2667" s="6"/>
      <c r="O2667" s="6"/>
      <c r="P2667" s="6"/>
      <c r="Q2667">
        <v>0</v>
      </c>
      <c r="R2667">
        <f t="shared" si="205"/>
        <v>0</v>
      </c>
      <c r="S2667">
        <f t="shared" si="206"/>
        <v>0</v>
      </c>
      <c r="T2667">
        <f t="shared" si="207"/>
        <v>0</v>
      </c>
      <c r="U2667">
        <f t="shared" si="208"/>
        <v>0</v>
      </c>
      <c r="V2667">
        <f t="shared" si="209"/>
        <v>0</v>
      </c>
    </row>
    <row r="2668" spans="1:22" x14ac:dyDescent="0.25">
      <c r="A2668">
        <v>2665</v>
      </c>
      <c r="B2668" t="s">
        <v>22</v>
      </c>
      <c r="C2668" t="s">
        <v>1038</v>
      </c>
      <c r="D2668" s="4">
        <v>45440</v>
      </c>
      <c r="E2668" t="s">
        <v>372</v>
      </c>
      <c r="F2668" t="s">
        <v>75</v>
      </c>
      <c r="I2668" s="6"/>
      <c r="J2668" s="6"/>
      <c r="K2668" s="6"/>
      <c r="L2668" s="6"/>
      <c r="M2668" s="6"/>
      <c r="N2668" s="6"/>
      <c r="O2668" s="6"/>
      <c r="P2668" s="6"/>
      <c r="Q2668">
        <v>0</v>
      </c>
      <c r="R2668">
        <f t="shared" si="205"/>
        <v>0</v>
      </c>
      <c r="S2668">
        <f t="shared" si="206"/>
        <v>0</v>
      </c>
      <c r="T2668">
        <f t="shared" si="207"/>
        <v>0</v>
      </c>
      <c r="U2668">
        <f t="shared" si="208"/>
        <v>0</v>
      </c>
      <c r="V2668">
        <f t="shared" si="209"/>
        <v>0</v>
      </c>
    </row>
    <row r="2669" spans="1:22" x14ac:dyDescent="0.25">
      <c r="A2669">
        <v>2666</v>
      </c>
      <c r="B2669" t="s">
        <v>22</v>
      </c>
      <c r="C2669" t="s">
        <v>1038</v>
      </c>
      <c r="D2669" s="4">
        <v>45440</v>
      </c>
      <c r="E2669" t="s">
        <v>373</v>
      </c>
      <c r="F2669" t="s">
        <v>75</v>
      </c>
      <c r="I2669" s="6"/>
      <c r="J2669" s="6"/>
      <c r="K2669" s="6"/>
      <c r="L2669" s="6"/>
      <c r="M2669" s="6"/>
      <c r="N2669" s="6"/>
      <c r="O2669" s="6"/>
      <c r="P2669" s="6"/>
      <c r="Q2669">
        <v>0</v>
      </c>
      <c r="R2669">
        <f t="shared" si="205"/>
        <v>0</v>
      </c>
      <c r="S2669">
        <f t="shared" si="206"/>
        <v>0</v>
      </c>
      <c r="T2669">
        <f t="shared" si="207"/>
        <v>0</v>
      </c>
      <c r="U2669">
        <f t="shared" si="208"/>
        <v>0</v>
      </c>
      <c r="V2669">
        <f t="shared" si="209"/>
        <v>0</v>
      </c>
    </row>
    <row r="2670" spans="1:22" x14ac:dyDescent="0.25">
      <c r="A2670">
        <v>2667</v>
      </c>
      <c r="B2670" t="s">
        <v>22</v>
      </c>
      <c r="C2670" t="s">
        <v>1038</v>
      </c>
      <c r="D2670" s="4">
        <v>45440</v>
      </c>
      <c r="E2670" t="s">
        <v>1201</v>
      </c>
      <c r="F2670" t="s">
        <v>413</v>
      </c>
      <c r="G2670">
        <v>127</v>
      </c>
      <c r="I2670" s="6">
        <v>1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>
        <v>1</v>
      </c>
      <c r="R2670">
        <f t="shared" si="205"/>
        <v>1</v>
      </c>
      <c r="S2670">
        <f t="shared" si="206"/>
        <v>0</v>
      </c>
      <c r="T2670">
        <f t="shared" si="207"/>
        <v>1</v>
      </c>
      <c r="U2670">
        <f t="shared" si="208"/>
        <v>1</v>
      </c>
      <c r="V2670">
        <f t="shared" si="209"/>
        <v>1</v>
      </c>
    </row>
    <row r="2671" spans="1:22" x14ac:dyDescent="0.25">
      <c r="A2671">
        <v>2668</v>
      </c>
      <c r="B2671" t="s">
        <v>22</v>
      </c>
      <c r="C2671" t="s">
        <v>1038</v>
      </c>
      <c r="D2671" s="4">
        <v>45440</v>
      </c>
      <c r="E2671" t="s">
        <v>2106</v>
      </c>
      <c r="F2671" t="s">
        <v>75</v>
      </c>
      <c r="I2671" s="6"/>
      <c r="J2671" s="6"/>
      <c r="K2671" s="6"/>
      <c r="L2671" s="6"/>
      <c r="M2671" s="6"/>
      <c r="N2671" s="6"/>
      <c r="O2671" s="6"/>
      <c r="P2671" s="6"/>
      <c r="Q2671">
        <v>0</v>
      </c>
      <c r="R2671">
        <f t="shared" si="205"/>
        <v>0</v>
      </c>
      <c r="S2671">
        <f t="shared" si="206"/>
        <v>0</v>
      </c>
      <c r="T2671">
        <f t="shared" si="207"/>
        <v>0</v>
      </c>
      <c r="U2671">
        <f t="shared" si="208"/>
        <v>0</v>
      </c>
      <c r="V2671">
        <f t="shared" si="209"/>
        <v>0</v>
      </c>
    </row>
    <row r="2672" spans="1:22" x14ac:dyDescent="0.25">
      <c r="A2672">
        <v>2669</v>
      </c>
      <c r="B2672" t="s">
        <v>22</v>
      </c>
      <c r="C2672" t="s">
        <v>1038</v>
      </c>
      <c r="D2672" s="4">
        <v>45440</v>
      </c>
      <c r="E2672" t="s">
        <v>1202</v>
      </c>
      <c r="F2672" t="s">
        <v>413</v>
      </c>
      <c r="G2672">
        <v>128</v>
      </c>
      <c r="I2672" s="6">
        <v>1</v>
      </c>
      <c r="J2672" s="6">
        <v>0</v>
      </c>
      <c r="K2672" s="6">
        <v>0</v>
      </c>
      <c r="L2672" s="6">
        <v>1</v>
      </c>
      <c r="M2672" s="6">
        <v>1</v>
      </c>
      <c r="N2672" s="6">
        <v>1</v>
      </c>
      <c r="O2672" s="6">
        <v>0</v>
      </c>
      <c r="P2672" s="6">
        <v>0</v>
      </c>
      <c r="Q2672">
        <v>1</v>
      </c>
      <c r="R2672">
        <f t="shared" si="205"/>
        <v>1</v>
      </c>
      <c r="S2672">
        <f t="shared" si="206"/>
        <v>0</v>
      </c>
      <c r="T2672">
        <f t="shared" si="207"/>
        <v>4</v>
      </c>
      <c r="U2672">
        <f t="shared" si="208"/>
        <v>1</v>
      </c>
      <c r="V2672">
        <f t="shared" si="209"/>
        <v>1</v>
      </c>
    </row>
    <row r="2673" spans="1:22" x14ac:dyDescent="0.25">
      <c r="A2673">
        <v>2670</v>
      </c>
      <c r="B2673" t="s">
        <v>22</v>
      </c>
      <c r="C2673" t="s">
        <v>1038</v>
      </c>
      <c r="D2673" s="4">
        <v>45441</v>
      </c>
      <c r="E2673" t="s">
        <v>374</v>
      </c>
      <c r="F2673" t="s">
        <v>75</v>
      </c>
      <c r="I2673" s="6"/>
      <c r="J2673" s="6"/>
      <c r="K2673" s="6"/>
      <c r="L2673" s="6"/>
      <c r="M2673" s="6"/>
      <c r="N2673" s="6"/>
      <c r="O2673" s="6"/>
      <c r="P2673" s="6"/>
      <c r="Q2673">
        <v>0</v>
      </c>
      <c r="R2673">
        <f t="shared" si="205"/>
        <v>0</v>
      </c>
      <c r="S2673">
        <f t="shared" si="206"/>
        <v>0</v>
      </c>
      <c r="T2673">
        <f t="shared" si="207"/>
        <v>0</v>
      </c>
      <c r="U2673">
        <f t="shared" si="208"/>
        <v>0</v>
      </c>
      <c r="V2673">
        <f t="shared" si="209"/>
        <v>0</v>
      </c>
    </row>
    <row r="2674" spans="1:22" x14ac:dyDescent="0.25">
      <c r="A2674">
        <v>2671</v>
      </c>
      <c r="B2674" t="s">
        <v>22</v>
      </c>
      <c r="C2674" t="s">
        <v>1038</v>
      </c>
      <c r="D2674" s="4">
        <v>45441</v>
      </c>
      <c r="E2674" t="s">
        <v>2688</v>
      </c>
      <c r="F2674" t="s">
        <v>75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>
        <v>1</v>
      </c>
      <c r="R2674">
        <f t="shared" si="205"/>
        <v>0</v>
      </c>
      <c r="S2674">
        <f t="shared" si="206"/>
        <v>1</v>
      </c>
      <c r="T2674">
        <f t="shared" si="207"/>
        <v>0</v>
      </c>
      <c r="U2674">
        <f t="shared" si="208"/>
        <v>0</v>
      </c>
      <c r="V2674">
        <f t="shared" si="209"/>
        <v>0</v>
      </c>
    </row>
    <row r="2675" spans="1:22" x14ac:dyDescent="0.25">
      <c r="A2675">
        <v>2672</v>
      </c>
      <c r="B2675" t="s">
        <v>22</v>
      </c>
      <c r="C2675" t="s">
        <v>1038</v>
      </c>
      <c r="D2675" s="4">
        <v>45441</v>
      </c>
      <c r="E2675" t="s">
        <v>2687</v>
      </c>
      <c r="F2675" t="s">
        <v>75</v>
      </c>
      <c r="I2675" s="6"/>
      <c r="J2675" s="6"/>
      <c r="K2675" s="6"/>
      <c r="L2675" s="6"/>
      <c r="M2675" s="6"/>
      <c r="N2675" s="6"/>
      <c r="O2675" s="6"/>
      <c r="P2675" s="6"/>
      <c r="Q2675">
        <v>0</v>
      </c>
      <c r="R2675">
        <f t="shared" si="205"/>
        <v>0</v>
      </c>
      <c r="S2675">
        <f t="shared" si="206"/>
        <v>0</v>
      </c>
      <c r="T2675">
        <f t="shared" si="207"/>
        <v>0</v>
      </c>
      <c r="U2675">
        <f t="shared" si="208"/>
        <v>0</v>
      </c>
      <c r="V2675">
        <f t="shared" si="209"/>
        <v>0</v>
      </c>
    </row>
    <row r="2676" spans="1:22" x14ac:dyDescent="0.25">
      <c r="A2676">
        <v>2673</v>
      </c>
      <c r="B2676" t="s">
        <v>22</v>
      </c>
      <c r="C2676" t="s">
        <v>1038</v>
      </c>
      <c r="D2676" s="4">
        <v>45441</v>
      </c>
      <c r="E2676" t="s">
        <v>375</v>
      </c>
      <c r="F2676" t="s">
        <v>75</v>
      </c>
      <c r="I2676" s="6">
        <v>1</v>
      </c>
      <c r="J2676" s="6">
        <v>0</v>
      </c>
      <c r="K2676" s="6">
        <v>1</v>
      </c>
      <c r="L2676" s="6">
        <v>1</v>
      </c>
      <c r="M2676" s="6">
        <v>0</v>
      </c>
      <c r="N2676" s="6">
        <v>0</v>
      </c>
      <c r="O2676" s="6">
        <v>0</v>
      </c>
      <c r="P2676" s="6">
        <v>0</v>
      </c>
      <c r="Q2676">
        <v>1</v>
      </c>
      <c r="R2676">
        <f t="shared" si="205"/>
        <v>0</v>
      </c>
      <c r="S2676">
        <f t="shared" si="206"/>
        <v>1</v>
      </c>
      <c r="T2676">
        <f t="shared" si="207"/>
        <v>3</v>
      </c>
      <c r="U2676">
        <f t="shared" si="208"/>
        <v>1</v>
      </c>
      <c r="V2676">
        <f t="shared" si="209"/>
        <v>0</v>
      </c>
    </row>
    <row r="2677" spans="1:22" x14ac:dyDescent="0.25">
      <c r="A2677">
        <v>2674</v>
      </c>
      <c r="B2677" t="s">
        <v>22</v>
      </c>
      <c r="C2677" t="s">
        <v>1038</v>
      </c>
      <c r="D2677" s="4">
        <v>45441</v>
      </c>
      <c r="E2677" t="s">
        <v>489</v>
      </c>
      <c r="F2677" t="s">
        <v>75</v>
      </c>
      <c r="I2677" s="6">
        <v>0</v>
      </c>
      <c r="J2677" s="6">
        <v>0</v>
      </c>
      <c r="K2677" s="6">
        <v>0</v>
      </c>
      <c r="L2677" s="6">
        <v>1</v>
      </c>
      <c r="M2677" s="6">
        <v>0</v>
      </c>
      <c r="N2677" s="6">
        <v>1</v>
      </c>
      <c r="O2677" s="6">
        <v>0</v>
      </c>
      <c r="P2677" s="6">
        <v>0</v>
      </c>
      <c r="Q2677">
        <v>1</v>
      </c>
      <c r="R2677">
        <f t="shared" si="205"/>
        <v>0</v>
      </c>
      <c r="S2677">
        <f t="shared" si="206"/>
        <v>1</v>
      </c>
      <c r="T2677">
        <f t="shared" si="207"/>
        <v>2</v>
      </c>
      <c r="U2677">
        <f t="shared" si="208"/>
        <v>1</v>
      </c>
      <c r="V2677">
        <f t="shared" si="209"/>
        <v>0</v>
      </c>
    </row>
    <row r="2678" spans="1:22" x14ac:dyDescent="0.25">
      <c r="A2678">
        <v>2675</v>
      </c>
      <c r="B2678" t="s">
        <v>22</v>
      </c>
      <c r="C2678" t="s">
        <v>1038</v>
      </c>
      <c r="D2678" s="4">
        <v>45441</v>
      </c>
      <c r="E2678" t="s">
        <v>1563</v>
      </c>
      <c r="F2678" t="s">
        <v>75</v>
      </c>
      <c r="I2678" s="6"/>
      <c r="J2678" s="6"/>
      <c r="K2678" s="6"/>
      <c r="L2678" s="6"/>
      <c r="M2678" s="6"/>
      <c r="N2678" s="6"/>
      <c r="O2678" s="6"/>
      <c r="P2678" s="6"/>
      <c r="Q2678">
        <v>0</v>
      </c>
      <c r="R2678">
        <f t="shared" si="205"/>
        <v>0</v>
      </c>
      <c r="S2678">
        <f t="shared" si="206"/>
        <v>0</v>
      </c>
      <c r="T2678">
        <f t="shared" si="207"/>
        <v>0</v>
      </c>
      <c r="U2678">
        <f t="shared" si="208"/>
        <v>0</v>
      </c>
      <c r="V2678">
        <f t="shared" si="209"/>
        <v>0</v>
      </c>
    </row>
    <row r="2679" spans="1:22" x14ac:dyDescent="0.25">
      <c r="A2679">
        <v>2676</v>
      </c>
      <c r="B2679" t="s">
        <v>22</v>
      </c>
      <c r="C2679" t="s">
        <v>1038</v>
      </c>
      <c r="D2679" s="4">
        <v>45441</v>
      </c>
      <c r="E2679" t="s">
        <v>1203</v>
      </c>
      <c r="F2679" t="s">
        <v>413</v>
      </c>
      <c r="G2679">
        <v>129</v>
      </c>
      <c r="I2679" s="6">
        <v>1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>
        <v>1</v>
      </c>
      <c r="R2679">
        <f t="shared" si="205"/>
        <v>1</v>
      </c>
      <c r="S2679">
        <f t="shared" si="206"/>
        <v>0</v>
      </c>
      <c r="T2679">
        <f t="shared" si="207"/>
        <v>1</v>
      </c>
      <c r="U2679">
        <f t="shared" si="208"/>
        <v>1</v>
      </c>
      <c r="V2679">
        <f t="shared" si="209"/>
        <v>1</v>
      </c>
    </row>
    <row r="2680" spans="1:22" x14ac:dyDescent="0.25">
      <c r="A2680">
        <v>2677</v>
      </c>
      <c r="B2680" t="s">
        <v>22</v>
      </c>
      <c r="C2680" t="s">
        <v>1038</v>
      </c>
      <c r="D2680" s="4">
        <v>45441</v>
      </c>
      <c r="E2680" t="s">
        <v>1564</v>
      </c>
      <c r="F2680" t="s">
        <v>357</v>
      </c>
      <c r="I2680" s="6"/>
      <c r="J2680" s="6"/>
      <c r="K2680" s="6"/>
      <c r="L2680" s="6"/>
      <c r="M2680" s="6"/>
      <c r="N2680" s="6"/>
      <c r="O2680" s="6"/>
      <c r="P2680" s="6"/>
      <c r="Q2680">
        <v>0</v>
      </c>
      <c r="R2680">
        <f t="shared" si="205"/>
        <v>0</v>
      </c>
      <c r="S2680">
        <f t="shared" si="206"/>
        <v>0</v>
      </c>
      <c r="T2680">
        <f t="shared" si="207"/>
        <v>0</v>
      </c>
      <c r="U2680">
        <f t="shared" si="208"/>
        <v>0</v>
      </c>
      <c r="V2680">
        <f t="shared" si="209"/>
        <v>0</v>
      </c>
    </row>
    <row r="2681" spans="1:22" x14ac:dyDescent="0.25">
      <c r="A2681">
        <v>2678</v>
      </c>
      <c r="B2681" t="s">
        <v>22</v>
      </c>
      <c r="C2681" t="s">
        <v>1038</v>
      </c>
      <c r="D2681" s="4">
        <v>45441</v>
      </c>
      <c r="E2681" t="s">
        <v>1565</v>
      </c>
      <c r="F2681" t="s">
        <v>75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>
        <v>1</v>
      </c>
      <c r="R2681">
        <f t="shared" si="205"/>
        <v>0</v>
      </c>
      <c r="S2681">
        <f t="shared" si="206"/>
        <v>1</v>
      </c>
      <c r="T2681">
        <f t="shared" si="207"/>
        <v>0</v>
      </c>
      <c r="U2681">
        <f t="shared" si="208"/>
        <v>0</v>
      </c>
      <c r="V2681">
        <f t="shared" si="209"/>
        <v>0</v>
      </c>
    </row>
    <row r="2682" spans="1:22" x14ac:dyDescent="0.25">
      <c r="A2682">
        <v>2679</v>
      </c>
      <c r="B2682" t="s">
        <v>22</v>
      </c>
      <c r="C2682" t="s">
        <v>1038</v>
      </c>
      <c r="D2682" s="4">
        <v>45441</v>
      </c>
      <c r="E2682" t="s">
        <v>2104</v>
      </c>
      <c r="F2682" t="s">
        <v>75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>
        <v>1</v>
      </c>
      <c r="R2682">
        <f t="shared" si="205"/>
        <v>0</v>
      </c>
      <c r="S2682">
        <f t="shared" si="206"/>
        <v>1</v>
      </c>
      <c r="T2682">
        <f t="shared" si="207"/>
        <v>0</v>
      </c>
      <c r="U2682">
        <f t="shared" si="208"/>
        <v>0</v>
      </c>
      <c r="V2682">
        <f t="shared" si="209"/>
        <v>0</v>
      </c>
    </row>
    <row r="2683" spans="1:22" x14ac:dyDescent="0.25">
      <c r="A2683">
        <v>2680</v>
      </c>
      <c r="B2683" t="s">
        <v>22</v>
      </c>
      <c r="C2683" t="s">
        <v>1038</v>
      </c>
      <c r="D2683" s="4">
        <v>45441</v>
      </c>
      <c r="E2683" t="s">
        <v>2103</v>
      </c>
      <c r="F2683" t="s">
        <v>75</v>
      </c>
      <c r="I2683" s="6"/>
      <c r="J2683" s="6"/>
      <c r="K2683" s="6"/>
      <c r="L2683" s="6"/>
      <c r="M2683" s="6"/>
      <c r="N2683" s="6"/>
      <c r="O2683" s="6"/>
      <c r="P2683" s="6"/>
      <c r="Q2683">
        <v>0</v>
      </c>
      <c r="R2683">
        <f t="shared" si="205"/>
        <v>0</v>
      </c>
      <c r="S2683">
        <f t="shared" si="206"/>
        <v>0</v>
      </c>
      <c r="T2683">
        <f t="shared" si="207"/>
        <v>0</v>
      </c>
      <c r="U2683">
        <f t="shared" si="208"/>
        <v>0</v>
      </c>
      <c r="V2683">
        <f t="shared" si="209"/>
        <v>0</v>
      </c>
    </row>
    <row r="2684" spans="1:22" x14ac:dyDescent="0.25">
      <c r="A2684">
        <v>2681</v>
      </c>
      <c r="B2684" t="s">
        <v>22</v>
      </c>
      <c r="C2684" t="s">
        <v>1038</v>
      </c>
      <c r="D2684" s="4">
        <v>45442</v>
      </c>
      <c r="E2684" t="s">
        <v>1099</v>
      </c>
      <c r="F2684" t="s">
        <v>75</v>
      </c>
      <c r="I2684" s="6"/>
      <c r="J2684" s="6"/>
      <c r="K2684" s="6"/>
      <c r="L2684" s="6"/>
      <c r="M2684" s="6"/>
      <c r="N2684" s="6"/>
      <c r="O2684" s="6"/>
      <c r="P2684" s="6"/>
      <c r="Q2684">
        <v>0</v>
      </c>
      <c r="R2684">
        <f t="shared" si="205"/>
        <v>0</v>
      </c>
      <c r="S2684">
        <f t="shared" si="206"/>
        <v>0</v>
      </c>
      <c r="T2684">
        <f t="shared" si="207"/>
        <v>0</v>
      </c>
      <c r="U2684">
        <f t="shared" si="208"/>
        <v>0</v>
      </c>
      <c r="V2684">
        <f t="shared" si="209"/>
        <v>0</v>
      </c>
    </row>
    <row r="2685" spans="1:22" x14ac:dyDescent="0.25">
      <c r="A2685">
        <v>2682</v>
      </c>
      <c r="B2685" t="s">
        <v>22</v>
      </c>
      <c r="C2685" t="s">
        <v>1038</v>
      </c>
      <c r="D2685" s="4">
        <v>45442</v>
      </c>
      <c r="E2685" t="s">
        <v>490</v>
      </c>
      <c r="F2685" t="s">
        <v>75</v>
      </c>
      <c r="I2685" s="6"/>
      <c r="J2685" s="6"/>
      <c r="K2685" s="6"/>
      <c r="L2685" s="6"/>
      <c r="M2685" s="6"/>
      <c r="N2685" s="6"/>
      <c r="O2685" s="6"/>
      <c r="P2685" s="6"/>
      <c r="Q2685">
        <v>0</v>
      </c>
      <c r="R2685">
        <f t="shared" si="205"/>
        <v>0</v>
      </c>
      <c r="S2685">
        <f t="shared" si="206"/>
        <v>0</v>
      </c>
      <c r="T2685">
        <f t="shared" si="207"/>
        <v>0</v>
      </c>
      <c r="U2685">
        <f t="shared" si="208"/>
        <v>0</v>
      </c>
      <c r="V2685">
        <f t="shared" si="209"/>
        <v>0</v>
      </c>
    </row>
    <row r="2686" spans="1:22" x14ac:dyDescent="0.25">
      <c r="A2686">
        <v>2683</v>
      </c>
      <c r="B2686" t="s">
        <v>22</v>
      </c>
      <c r="C2686" t="s">
        <v>1038</v>
      </c>
      <c r="D2686" s="4">
        <v>45442</v>
      </c>
      <c r="E2686" t="s">
        <v>1100</v>
      </c>
      <c r="F2686" t="s">
        <v>75</v>
      </c>
      <c r="I2686" s="6">
        <v>0</v>
      </c>
      <c r="J2686" s="6">
        <v>0</v>
      </c>
      <c r="K2686" s="6">
        <v>0</v>
      </c>
      <c r="L2686" s="6">
        <v>1</v>
      </c>
      <c r="M2686" s="6">
        <v>0</v>
      </c>
      <c r="N2686" s="6">
        <v>0</v>
      </c>
      <c r="O2686" s="6">
        <v>0</v>
      </c>
      <c r="P2686" s="6">
        <v>0</v>
      </c>
      <c r="Q2686">
        <v>1</v>
      </c>
      <c r="R2686">
        <f t="shared" si="205"/>
        <v>0</v>
      </c>
      <c r="S2686">
        <f t="shared" si="206"/>
        <v>1</v>
      </c>
      <c r="T2686">
        <f t="shared" si="207"/>
        <v>1</v>
      </c>
      <c r="U2686">
        <f t="shared" si="208"/>
        <v>1</v>
      </c>
      <c r="V2686">
        <f t="shared" si="209"/>
        <v>0</v>
      </c>
    </row>
    <row r="2687" spans="1:22" x14ac:dyDescent="0.25">
      <c r="A2687">
        <v>2684</v>
      </c>
      <c r="B2687" t="s">
        <v>22</v>
      </c>
      <c r="C2687" t="s">
        <v>1038</v>
      </c>
      <c r="D2687" s="4">
        <v>45442</v>
      </c>
      <c r="E2687" t="s">
        <v>1101</v>
      </c>
      <c r="F2687" t="s">
        <v>75</v>
      </c>
      <c r="I2687" s="6"/>
      <c r="J2687" s="6"/>
      <c r="K2687" s="6"/>
      <c r="L2687" s="6"/>
      <c r="M2687" s="6"/>
      <c r="N2687" s="6"/>
      <c r="O2687" s="6"/>
      <c r="P2687" s="6"/>
      <c r="Q2687">
        <v>0</v>
      </c>
      <c r="R2687">
        <f t="shared" si="205"/>
        <v>0</v>
      </c>
      <c r="S2687">
        <f t="shared" si="206"/>
        <v>0</v>
      </c>
      <c r="T2687">
        <f t="shared" si="207"/>
        <v>0</v>
      </c>
      <c r="U2687">
        <f t="shared" si="208"/>
        <v>0</v>
      </c>
      <c r="V2687">
        <f t="shared" si="209"/>
        <v>0</v>
      </c>
    </row>
    <row r="2688" spans="1:22" x14ac:dyDescent="0.25">
      <c r="A2688">
        <v>2685</v>
      </c>
      <c r="B2688" t="s">
        <v>22</v>
      </c>
      <c r="C2688" t="s">
        <v>1038</v>
      </c>
      <c r="D2688" s="4">
        <v>45442</v>
      </c>
      <c r="E2688" t="s">
        <v>1490</v>
      </c>
      <c r="F2688" t="s">
        <v>75</v>
      </c>
      <c r="I2688" s="6"/>
      <c r="J2688" s="6"/>
      <c r="K2688" s="6"/>
      <c r="L2688" s="6"/>
      <c r="M2688" s="6"/>
      <c r="N2688" s="6"/>
      <c r="O2688" s="6"/>
      <c r="P2688" s="6"/>
      <c r="Q2688">
        <v>0</v>
      </c>
      <c r="R2688">
        <f t="shared" si="205"/>
        <v>0</v>
      </c>
      <c r="S2688">
        <f t="shared" si="206"/>
        <v>0</v>
      </c>
      <c r="T2688">
        <f t="shared" si="207"/>
        <v>0</v>
      </c>
      <c r="U2688">
        <f t="shared" si="208"/>
        <v>0</v>
      </c>
      <c r="V2688">
        <f t="shared" si="209"/>
        <v>0</v>
      </c>
    </row>
    <row r="2689" spans="1:22" x14ac:dyDescent="0.25">
      <c r="A2689">
        <v>2686</v>
      </c>
      <c r="B2689" t="s">
        <v>22</v>
      </c>
      <c r="C2689" t="s">
        <v>1038</v>
      </c>
      <c r="D2689" s="4">
        <v>45442</v>
      </c>
      <c r="E2689" t="s">
        <v>1204</v>
      </c>
      <c r="F2689" t="s">
        <v>357</v>
      </c>
      <c r="I2689" s="6">
        <v>0</v>
      </c>
      <c r="J2689" s="6">
        <v>0</v>
      </c>
      <c r="K2689" s="6">
        <v>0</v>
      </c>
      <c r="L2689" s="6">
        <v>1</v>
      </c>
      <c r="M2689" s="6">
        <v>1</v>
      </c>
      <c r="N2689" s="6">
        <v>1</v>
      </c>
      <c r="O2689" s="6">
        <v>0</v>
      </c>
      <c r="P2689" s="6">
        <v>0</v>
      </c>
      <c r="Q2689">
        <v>1</v>
      </c>
      <c r="R2689">
        <f t="shared" si="205"/>
        <v>0</v>
      </c>
      <c r="S2689">
        <f t="shared" si="206"/>
        <v>0</v>
      </c>
      <c r="T2689">
        <f t="shared" si="207"/>
        <v>3</v>
      </c>
      <c r="U2689">
        <f t="shared" si="208"/>
        <v>1</v>
      </c>
      <c r="V2689">
        <f t="shared" si="209"/>
        <v>0</v>
      </c>
    </row>
    <row r="2690" spans="1:22" x14ac:dyDescent="0.25">
      <c r="A2690">
        <v>2687</v>
      </c>
      <c r="B2690" t="s">
        <v>22</v>
      </c>
      <c r="C2690" t="s">
        <v>1038</v>
      </c>
      <c r="D2690" s="4">
        <v>45442</v>
      </c>
      <c r="E2690" t="s">
        <v>2102</v>
      </c>
      <c r="F2690" t="s">
        <v>75</v>
      </c>
      <c r="I2690" s="6"/>
      <c r="J2690" s="6"/>
      <c r="K2690" s="6"/>
      <c r="L2690" s="6"/>
      <c r="M2690" s="6"/>
      <c r="N2690" s="6"/>
      <c r="O2690" s="6"/>
      <c r="P2690" s="6"/>
      <c r="Q2690">
        <v>0</v>
      </c>
      <c r="R2690">
        <f t="shared" si="205"/>
        <v>0</v>
      </c>
      <c r="S2690">
        <f t="shared" si="206"/>
        <v>0</v>
      </c>
      <c r="T2690">
        <f t="shared" si="207"/>
        <v>0</v>
      </c>
      <c r="U2690">
        <f t="shared" si="208"/>
        <v>0</v>
      </c>
      <c r="V2690">
        <f t="shared" si="209"/>
        <v>0</v>
      </c>
    </row>
    <row r="2691" spans="1:22" x14ac:dyDescent="0.25">
      <c r="A2691">
        <v>2688</v>
      </c>
      <c r="B2691" t="s">
        <v>22</v>
      </c>
      <c r="C2691" t="s">
        <v>1038</v>
      </c>
      <c r="D2691" s="4">
        <v>45442</v>
      </c>
      <c r="E2691" t="s">
        <v>2101</v>
      </c>
      <c r="F2691" t="s">
        <v>75</v>
      </c>
      <c r="I2691" s="6"/>
      <c r="J2691" s="6"/>
      <c r="K2691" s="6"/>
      <c r="L2691" s="6"/>
      <c r="M2691" s="6"/>
      <c r="N2691" s="6"/>
      <c r="O2691" s="6"/>
      <c r="P2691" s="6"/>
      <c r="Q2691">
        <v>0</v>
      </c>
      <c r="R2691">
        <f t="shared" ref="R2691:R2754" si="210">IF(AND(Q2691=1,F2691="ai_full"),1,0)</f>
        <v>0</v>
      </c>
      <c r="S2691">
        <f t="shared" ref="S2691:S2754" si="211">IF(AND(Q2691=1,F2691="conventional"),1,0)</f>
        <v>0</v>
      </c>
      <c r="T2691">
        <f t="shared" ref="T2691:T2754" si="212">SUM(I2691:P2691)</f>
        <v>0</v>
      </c>
      <c r="U2691">
        <f t="shared" ref="U2691:U2754" si="213">IF(T2691&gt;=1,1,0)</f>
        <v>0</v>
      </c>
      <c r="V2691">
        <f t="shared" ref="V2691:V2754" si="214">IF(F2691="ai_full",1,0)</f>
        <v>0</v>
      </c>
    </row>
    <row r="2692" spans="1:22" x14ac:dyDescent="0.25">
      <c r="A2692">
        <v>2689</v>
      </c>
      <c r="B2692" t="s">
        <v>22</v>
      </c>
      <c r="C2692" t="s">
        <v>1038</v>
      </c>
      <c r="D2692" s="4">
        <v>45442</v>
      </c>
      <c r="E2692" t="s">
        <v>2100</v>
      </c>
      <c r="F2692" t="s">
        <v>75</v>
      </c>
      <c r="I2692" s="6"/>
      <c r="J2692" s="6"/>
      <c r="K2692" s="6"/>
      <c r="L2692" s="6"/>
      <c r="M2692" s="6"/>
      <c r="N2692" s="6"/>
      <c r="O2692" s="6"/>
      <c r="P2692" s="6"/>
      <c r="Q2692">
        <v>0</v>
      </c>
      <c r="R2692">
        <f t="shared" si="210"/>
        <v>0</v>
      </c>
      <c r="S2692">
        <f t="shared" si="211"/>
        <v>0</v>
      </c>
      <c r="T2692">
        <f t="shared" si="212"/>
        <v>0</v>
      </c>
      <c r="U2692">
        <f t="shared" si="213"/>
        <v>0</v>
      </c>
      <c r="V2692">
        <f t="shared" si="214"/>
        <v>0</v>
      </c>
    </row>
    <row r="2693" spans="1:22" x14ac:dyDescent="0.25">
      <c r="A2693">
        <v>2690</v>
      </c>
      <c r="B2693" t="s">
        <v>22</v>
      </c>
      <c r="C2693" t="s">
        <v>1038</v>
      </c>
      <c r="D2693" s="4">
        <v>45443</v>
      </c>
      <c r="E2693" t="s">
        <v>896</v>
      </c>
      <c r="F2693" t="s">
        <v>75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>
        <v>1</v>
      </c>
      <c r="R2693">
        <f t="shared" si="210"/>
        <v>0</v>
      </c>
      <c r="S2693">
        <f t="shared" si="211"/>
        <v>1</v>
      </c>
      <c r="T2693">
        <f t="shared" si="212"/>
        <v>0</v>
      </c>
      <c r="U2693">
        <f t="shared" si="213"/>
        <v>0</v>
      </c>
      <c r="V2693">
        <f t="shared" si="214"/>
        <v>0</v>
      </c>
    </row>
    <row r="2694" spans="1:22" x14ac:dyDescent="0.25">
      <c r="A2694">
        <v>2691</v>
      </c>
      <c r="B2694" t="s">
        <v>22</v>
      </c>
      <c r="C2694" t="s">
        <v>1038</v>
      </c>
      <c r="D2694" s="4">
        <v>45443</v>
      </c>
      <c r="E2694" t="s">
        <v>1205</v>
      </c>
      <c r="F2694" t="s">
        <v>75</v>
      </c>
      <c r="H2694" t="s">
        <v>1206</v>
      </c>
      <c r="I2694" s="6">
        <v>0</v>
      </c>
      <c r="J2694" s="6">
        <v>0</v>
      </c>
      <c r="K2694" s="6">
        <v>0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>
        <v>1</v>
      </c>
      <c r="R2694">
        <f t="shared" si="210"/>
        <v>0</v>
      </c>
      <c r="S2694">
        <f t="shared" si="211"/>
        <v>1</v>
      </c>
      <c r="T2694">
        <f t="shared" si="212"/>
        <v>0</v>
      </c>
      <c r="U2694">
        <f t="shared" si="213"/>
        <v>0</v>
      </c>
      <c r="V2694">
        <f t="shared" si="214"/>
        <v>0</v>
      </c>
    </row>
    <row r="2695" spans="1:22" x14ac:dyDescent="0.25">
      <c r="A2695">
        <v>2692</v>
      </c>
      <c r="B2695" t="s">
        <v>22</v>
      </c>
      <c r="C2695" t="s">
        <v>1038</v>
      </c>
      <c r="D2695" s="4">
        <v>45443</v>
      </c>
      <c r="E2695" t="s">
        <v>1207</v>
      </c>
      <c r="F2695" t="s">
        <v>75</v>
      </c>
      <c r="I2695" s="6">
        <v>0</v>
      </c>
      <c r="J2695" s="6">
        <v>1</v>
      </c>
      <c r="K2695" s="6">
        <v>1</v>
      </c>
      <c r="L2695" s="6">
        <v>1</v>
      </c>
      <c r="M2695" s="6">
        <v>0</v>
      </c>
      <c r="N2695" s="6">
        <v>0</v>
      </c>
      <c r="O2695" s="6">
        <v>0</v>
      </c>
      <c r="P2695" s="6">
        <v>0</v>
      </c>
      <c r="Q2695">
        <v>1</v>
      </c>
      <c r="R2695">
        <f t="shared" si="210"/>
        <v>0</v>
      </c>
      <c r="S2695">
        <f t="shared" si="211"/>
        <v>1</v>
      </c>
      <c r="T2695">
        <f t="shared" si="212"/>
        <v>3</v>
      </c>
      <c r="U2695">
        <f t="shared" si="213"/>
        <v>1</v>
      </c>
      <c r="V2695">
        <f t="shared" si="214"/>
        <v>0</v>
      </c>
    </row>
    <row r="2696" spans="1:22" x14ac:dyDescent="0.25">
      <c r="A2696">
        <v>2693</v>
      </c>
      <c r="B2696" t="s">
        <v>22</v>
      </c>
      <c r="C2696" t="s">
        <v>1038</v>
      </c>
      <c r="D2696" s="4">
        <v>45443</v>
      </c>
      <c r="E2696" t="s">
        <v>1208</v>
      </c>
      <c r="F2696" t="s">
        <v>357</v>
      </c>
      <c r="I2696" s="6">
        <v>0</v>
      </c>
      <c r="J2696" s="6">
        <v>0</v>
      </c>
      <c r="K2696" s="6">
        <v>0</v>
      </c>
      <c r="L2696" s="6">
        <v>0</v>
      </c>
      <c r="M2696" s="6">
        <v>1</v>
      </c>
      <c r="N2696" s="6">
        <v>1</v>
      </c>
      <c r="O2696" s="6">
        <v>0</v>
      </c>
      <c r="P2696" s="6">
        <v>0</v>
      </c>
      <c r="Q2696">
        <v>1</v>
      </c>
      <c r="R2696">
        <f t="shared" si="210"/>
        <v>0</v>
      </c>
      <c r="S2696">
        <f t="shared" si="211"/>
        <v>0</v>
      </c>
      <c r="T2696">
        <f t="shared" si="212"/>
        <v>2</v>
      </c>
      <c r="U2696">
        <f t="shared" si="213"/>
        <v>1</v>
      </c>
      <c r="V2696">
        <f t="shared" si="214"/>
        <v>0</v>
      </c>
    </row>
    <row r="2697" spans="1:22" x14ac:dyDescent="0.25">
      <c r="A2697">
        <v>2694</v>
      </c>
      <c r="B2697" t="s">
        <v>22</v>
      </c>
      <c r="C2697" t="s">
        <v>1038</v>
      </c>
      <c r="D2697" s="4">
        <v>45443</v>
      </c>
      <c r="E2697" t="s">
        <v>2686</v>
      </c>
      <c r="F2697" t="s">
        <v>75</v>
      </c>
      <c r="I2697" s="6">
        <v>0</v>
      </c>
      <c r="J2697" s="6">
        <v>0</v>
      </c>
      <c r="K2697" s="6">
        <v>0</v>
      </c>
      <c r="L2697" s="6">
        <v>0</v>
      </c>
      <c r="M2697" s="6">
        <v>1</v>
      </c>
      <c r="N2697" s="6">
        <v>1</v>
      </c>
      <c r="O2697" s="6">
        <v>0</v>
      </c>
      <c r="P2697" s="6">
        <v>0</v>
      </c>
      <c r="Q2697">
        <v>1</v>
      </c>
      <c r="R2697">
        <f t="shared" si="210"/>
        <v>0</v>
      </c>
      <c r="S2697">
        <f t="shared" si="211"/>
        <v>1</v>
      </c>
      <c r="T2697">
        <f t="shared" si="212"/>
        <v>2</v>
      </c>
      <c r="U2697">
        <f t="shared" si="213"/>
        <v>1</v>
      </c>
      <c r="V2697">
        <f t="shared" si="214"/>
        <v>0</v>
      </c>
    </row>
    <row r="2698" spans="1:22" x14ac:dyDescent="0.25">
      <c r="A2698">
        <v>2695</v>
      </c>
      <c r="B2698" t="s">
        <v>22</v>
      </c>
      <c r="C2698" t="s">
        <v>1038</v>
      </c>
      <c r="D2698" s="4">
        <v>45443</v>
      </c>
      <c r="E2698" t="s">
        <v>897</v>
      </c>
      <c r="F2698" t="s">
        <v>75</v>
      </c>
      <c r="I2698" s="6"/>
      <c r="J2698" s="6"/>
      <c r="K2698" s="6"/>
      <c r="L2698" s="6"/>
      <c r="M2698" s="6"/>
      <c r="N2698" s="6"/>
      <c r="O2698" s="6"/>
      <c r="P2698" s="6"/>
      <c r="Q2698">
        <v>0</v>
      </c>
      <c r="R2698">
        <f t="shared" si="210"/>
        <v>0</v>
      </c>
      <c r="S2698">
        <f t="shared" si="211"/>
        <v>0</v>
      </c>
      <c r="T2698">
        <f t="shared" si="212"/>
        <v>0</v>
      </c>
      <c r="U2698">
        <f t="shared" si="213"/>
        <v>0</v>
      </c>
      <c r="V2698">
        <f t="shared" si="214"/>
        <v>0</v>
      </c>
    </row>
    <row r="2699" spans="1:22" x14ac:dyDescent="0.25">
      <c r="A2699">
        <v>2696</v>
      </c>
      <c r="B2699" t="s">
        <v>22</v>
      </c>
      <c r="C2699" t="s">
        <v>1038</v>
      </c>
      <c r="D2699" s="4">
        <v>45443</v>
      </c>
      <c r="E2699" t="s">
        <v>898</v>
      </c>
      <c r="F2699" t="s">
        <v>75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>
        <v>1</v>
      </c>
      <c r="R2699">
        <f t="shared" si="210"/>
        <v>0</v>
      </c>
      <c r="S2699">
        <f t="shared" si="211"/>
        <v>1</v>
      </c>
      <c r="T2699">
        <f t="shared" si="212"/>
        <v>0</v>
      </c>
      <c r="U2699">
        <f t="shared" si="213"/>
        <v>0</v>
      </c>
      <c r="V2699">
        <f t="shared" si="214"/>
        <v>0</v>
      </c>
    </row>
    <row r="2700" spans="1:22" x14ac:dyDescent="0.25">
      <c r="A2700">
        <v>2697</v>
      </c>
      <c r="B2700" t="s">
        <v>22</v>
      </c>
      <c r="C2700" t="s">
        <v>1038</v>
      </c>
      <c r="D2700" s="4">
        <v>45443</v>
      </c>
      <c r="E2700" t="s">
        <v>1491</v>
      </c>
      <c r="F2700" t="s">
        <v>75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>
        <v>1</v>
      </c>
      <c r="R2700">
        <f t="shared" si="210"/>
        <v>0</v>
      </c>
      <c r="S2700">
        <f t="shared" si="211"/>
        <v>1</v>
      </c>
      <c r="T2700">
        <f t="shared" si="212"/>
        <v>0</v>
      </c>
      <c r="U2700">
        <f t="shared" si="213"/>
        <v>0</v>
      </c>
      <c r="V2700">
        <f t="shared" si="214"/>
        <v>0</v>
      </c>
    </row>
    <row r="2701" spans="1:22" x14ac:dyDescent="0.25">
      <c r="A2701">
        <v>2698</v>
      </c>
      <c r="B2701" t="s">
        <v>22</v>
      </c>
      <c r="C2701" t="s">
        <v>1038</v>
      </c>
      <c r="D2701" s="4">
        <v>45443</v>
      </c>
      <c r="E2701" t="s">
        <v>2099</v>
      </c>
      <c r="F2701" t="s">
        <v>75</v>
      </c>
      <c r="I2701" s="6"/>
      <c r="J2701" s="6"/>
      <c r="K2701" s="6"/>
      <c r="L2701" s="6"/>
      <c r="M2701" s="6"/>
      <c r="N2701" s="6"/>
      <c r="O2701" s="6"/>
      <c r="P2701" s="6"/>
      <c r="Q2701">
        <v>0</v>
      </c>
      <c r="R2701">
        <f t="shared" si="210"/>
        <v>0</v>
      </c>
      <c r="S2701">
        <f t="shared" si="211"/>
        <v>0</v>
      </c>
      <c r="T2701">
        <f t="shared" si="212"/>
        <v>0</v>
      </c>
      <c r="U2701">
        <f t="shared" si="213"/>
        <v>0</v>
      </c>
      <c r="V2701">
        <f t="shared" si="214"/>
        <v>0</v>
      </c>
    </row>
    <row r="2702" spans="1:22" x14ac:dyDescent="0.25">
      <c r="A2702">
        <v>2699</v>
      </c>
      <c r="B2702" t="s">
        <v>22</v>
      </c>
      <c r="C2702" t="s">
        <v>1038</v>
      </c>
      <c r="D2702" s="4">
        <v>45443</v>
      </c>
      <c r="E2702" t="s">
        <v>1422</v>
      </c>
      <c r="F2702" t="s">
        <v>75</v>
      </c>
      <c r="I2702" s="6"/>
      <c r="J2702" s="6"/>
      <c r="K2702" s="6"/>
      <c r="L2702" s="6"/>
      <c r="M2702" s="6"/>
      <c r="N2702" s="6"/>
      <c r="O2702" s="6"/>
      <c r="P2702" s="6"/>
      <c r="Q2702">
        <v>0</v>
      </c>
      <c r="R2702">
        <f t="shared" si="210"/>
        <v>0</v>
      </c>
      <c r="S2702">
        <f t="shared" si="211"/>
        <v>0</v>
      </c>
      <c r="T2702">
        <f t="shared" si="212"/>
        <v>0</v>
      </c>
      <c r="U2702">
        <f t="shared" si="213"/>
        <v>0</v>
      </c>
      <c r="V2702">
        <f t="shared" si="214"/>
        <v>0</v>
      </c>
    </row>
    <row r="2703" spans="1:22" x14ac:dyDescent="0.25">
      <c r="A2703">
        <v>2700</v>
      </c>
      <c r="B2703" t="s">
        <v>22</v>
      </c>
      <c r="C2703" t="s">
        <v>1038</v>
      </c>
      <c r="D2703" s="4">
        <v>45443</v>
      </c>
      <c r="E2703" t="s">
        <v>2098</v>
      </c>
      <c r="F2703" t="s">
        <v>75</v>
      </c>
      <c r="I2703" s="6"/>
      <c r="J2703" s="6"/>
      <c r="K2703" s="6"/>
      <c r="L2703" s="6"/>
      <c r="M2703" s="6"/>
      <c r="N2703" s="6"/>
      <c r="O2703" s="6"/>
      <c r="P2703" s="6"/>
      <c r="Q2703">
        <v>0</v>
      </c>
      <c r="R2703">
        <f t="shared" si="210"/>
        <v>0</v>
      </c>
      <c r="S2703">
        <f t="shared" si="211"/>
        <v>0</v>
      </c>
      <c r="T2703">
        <f t="shared" si="212"/>
        <v>0</v>
      </c>
      <c r="U2703">
        <f t="shared" si="213"/>
        <v>0</v>
      </c>
      <c r="V2703">
        <f t="shared" si="214"/>
        <v>0</v>
      </c>
    </row>
    <row r="2704" spans="1:22" x14ac:dyDescent="0.25">
      <c r="A2704">
        <v>2701</v>
      </c>
      <c r="B2704" t="s">
        <v>22</v>
      </c>
      <c r="C2704" t="s">
        <v>1038</v>
      </c>
      <c r="D2704" s="4">
        <v>45443</v>
      </c>
      <c r="E2704" t="s">
        <v>1209</v>
      </c>
      <c r="F2704" t="s">
        <v>413</v>
      </c>
      <c r="G2704">
        <v>130</v>
      </c>
      <c r="I2704" s="6">
        <v>1</v>
      </c>
      <c r="J2704" s="6">
        <v>0</v>
      </c>
      <c r="K2704" s="6">
        <v>0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>
        <v>1</v>
      </c>
      <c r="R2704">
        <f t="shared" si="210"/>
        <v>1</v>
      </c>
      <c r="S2704">
        <f t="shared" si="211"/>
        <v>0</v>
      </c>
      <c r="T2704">
        <f t="shared" si="212"/>
        <v>1</v>
      </c>
      <c r="U2704">
        <f t="shared" si="213"/>
        <v>1</v>
      </c>
      <c r="V2704">
        <f t="shared" si="214"/>
        <v>1</v>
      </c>
    </row>
    <row r="2705" spans="1:22" x14ac:dyDescent="0.25">
      <c r="A2705">
        <v>2702</v>
      </c>
      <c r="B2705" t="s">
        <v>22</v>
      </c>
      <c r="C2705" t="s">
        <v>1038</v>
      </c>
      <c r="D2705" s="4">
        <v>45443</v>
      </c>
      <c r="E2705" t="s">
        <v>1210</v>
      </c>
      <c r="F2705" t="s">
        <v>75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>
        <v>1</v>
      </c>
      <c r="R2705">
        <f t="shared" si="210"/>
        <v>0</v>
      </c>
      <c r="S2705">
        <f t="shared" si="211"/>
        <v>1</v>
      </c>
      <c r="T2705">
        <f t="shared" si="212"/>
        <v>0</v>
      </c>
      <c r="U2705">
        <f t="shared" si="213"/>
        <v>0</v>
      </c>
      <c r="V2705">
        <f t="shared" si="214"/>
        <v>0</v>
      </c>
    </row>
    <row r="2706" spans="1:22" x14ac:dyDescent="0.25">
      <c r="A2706">
        <v>2703</v>
      </c>
      <c r="B2706" t="s">
        <v>22</v>
      </c>
      <c r="C2706" t="s">
        <v>1038</v>
      </c>
      <c r="D2706" s="4">
        <v>45444</v>
      </c>
      <c r="E2706" t="s">
        <v>376</v>
      </c>
      <c r="F2706" t="s">
        <v>75</v>
      </c>
      <c r="I2706" s="6"/>
      <c r="J2706" s="6"/>
      <c r="K2706" s="6"/>
      <c r="L2706" s="6"/>
      <c r="M2706" s="6"/>
      <c r="N2706" s="6"/>
      <c r="O2706" s="6"/>
      <c r="P2706" s="6"/>
      <c r="Q2706">
        <v>0</v>
      </c>
      <c r="R2706">
        <f t="shared" si="210"/>
        <v>0</v>
      </c>
      <c r="S2706">
        <f t="shared" si="211"/>
        <v>0</v>
      </c>
      <c r="T2706">
        <f t="shared" si="212"/>
        <v>0</v>
      </c>
      <c r="U2706">
        <f t="shared" si="213"/>
        <v>0</v>
      </c>
      <c r="V2706">
        <f t="shared" si="214"/>
        <v>0</v>
      </c>
    </row>
    <row r="2707" spans="1:22" x14ac:dyDescent="0.25">
      <c r="A2707">
        <v>2704</v>
      </c>
      <c r="B2707" t="s">
        <v>22</v>
      </c>
      <c r="C2707" t="s">
        <v>1038</v>
      </c>
      <c r="D2707" s="4">
        <v>45444</v>
      </c>
      <c r="E2707" t="s">
        <v>1211</v>
      </c>
      <c r="F2707" t="s">
        <v>75</v>
      </c>
      <c r="I2707" s="6">
        <v>0</v>
      </c>
      <c r="J2707" s="6">
        <v>0</v>
      </c>
      <c r="K2707" s="6">
        <v>1</v>
      </c>
      <c r="L2707" s="6">
        <v>1</v>
      </c>
      <c r="M2707" s="6">
        <v>1</v>
      </c>
      <c r="N2707" s="6">
        <v>1</v>
      </c>
      <c r="O2707" s="6">
        <v>0</v>
      </c>
      <c r="P2707" s="6">
        <v>0</v>
      </c>
      <c r="Q2707">
        <v>1</v>
      </c>
      <c r="R2707">
        <f t="shared" si="210"/>
        <v>0</v>
      </c>
      <c r="S2707">
        <f t="shared" si="211"/>
        <v>1</v>
      </c>
      <c r="T2707">
        <f t="shared" si="212"/>
        <v>4</v>
      </c>
      <c r="U2707">
        <f t="shared" si="213"/>
        <v>1</v>
      </c>
      <c r="V2707">
        <f t="shared" si="214"/>
        <v>0</v>
      </c>
    </row>
    <row r="2708" spans="1:22" x14ac:dyDescent="0.25">
      <c r="A2708">
        <v>2705</v>
      </c>
      <c r="B2708" t="s">
        <v>22</v>
      </c>
      <c r="C2708" t="s">
        <v>1038</v>
      </c>
      <c r="D2708" s="4">
        <v>45444</v>
      </c>
      <c r="E2708" t="s">
        <v>1492</v>
      </c>
      <c r="F2708" t="s">
        <v>75</v>
      </c>
      <c r="I2708" s="6"/>
      <c r="J2708" s="6"/>
      <c r="K2708" s="6"/>
      <c r="L2708" s="6"/>
      <c r="M2708" s="6"/>
      <c r="N2708" s="6"/>
      <c r="O2708" s="6"/>
      <c r="P2708" s="6"/>
      <c r="Q2708">
        <v>0</v>
      </c>
      <c r="R2708">
        <f t="shared" si="210"/>
        <v>0</v>
      </c>
      <c r="S2708">
        <f t="shared" si="211"/>
        <v>0</v>
      </c>
      <c r="T2708">
        <f t="shared" si="212"/>
        <v>0</v>
      </c>
      <c r="U2708">
        <f t="shared" si="213"/>
        <v>0</v>
      </c>
      <c r="V2708">
        <f t="shared" si="214"/>
        <v>0</v>
      </c>
    </row>
    <row r="2709" spans="1:22" x14ac:dyDescent="0.25">
      <c r="A2709">
        <v>2706</v>
      </c>
      <c r="B2709" t="s">
        <v>22</v>
      </c>
      <c r="C2709" t="s">
        <v>1038</v>
      </c>
      <c r="D2709" s="4">
        <v>45444</v>
      </c>
      <c r="E2709" t="s">
        <v>2309</v>
      </c>
      <c r="F2709" t="s">
        <v>75</v>
      </c>
      <c r="I2709" s="6"/>
      <c r="J2709" s="6"/>
      <c r="K2709" s="6"/>
      <c r="L2709" s="6"/>
      <c r="M2709" s="6"/>
      <c r="N2709" s="6"/>
      <c r="O2709" s="6"/>
      <c r="P2709" s="6"/>
      <c r="Q2709">
        <v>0</v>
      </c>
      <c r="R2709">
        <f t="shared" si="210"/>
        <v>0</v>
      </c>
      <c r="S2709">
        <f t="shared" si="211"/>
        <v>0</v>
      </c>
      <c r="T2709">
        <f t="shared" si="212"/>
        <v>0</v>
      </c>
      <c r="U2709">
        <f t="shared" si="213"/>
        <v>0</v>
      </c>
      <c r="V2709">
        <f t="shared" si="214"/>
        <v>0</v>
      </c>
    </row>
    <row r="2710" spans="1:22" x14ac:dyDescent="0.25">
      <c r="A2710">
        <v>2707</v>
      </c>
      <c r="B2710" t="s">
        <v>22</v>
      </c>
      <c r="C2710" t="s">
        <v>1038</v>
      </c>
      <c r="D2710" s="4">
        <v>45444</v>
      </c>
      <c r="E2710" t="s">
        <v>899</v>
      </c>
      <c r="F2710" t="s">
        <v>75</v>
      </c>
      <c r="I2710" s="6">
        <v>0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>
        <v>1</v>
      </c>
      <c r="R2710">
        <f t="shared" si="210"/>
        <v>0</v>
      </c>
      <c r="S2710">
        <f t="shared" si="211"/>
        <v>1</v>
      </c>
      <c r="T2710">
        <f t="shared" si="212"/>
        <v>0</v>
      </c>
      <c r="U2710">
        <f t="shared" si="213"/>
        <v>0</v>
      </c>
      <c r="V2710">
        <f t="shared" si="214"/>
        <v>0</v>
      </c>
    </row>
    <row r="2711" spans="1:22" x14ac:dyDescent="0.25">
      <c r="A2711">
        <v>2708</v>
      </c>
      <c r="B2711" t="s">
        <v>22</v>
      </c>
      <c r="C2711" t="s">
        <v>1038</v>
      </c>
      <c r="D2711" s="4">
        <v>45444</v>
      </c>
      <c r="E2711" t="s">
        <v>377</v>
      </c>
      <c r="F2711" t="s">
        <v>75</v>
      </c>
      <c r="I2711" s="6"/>
      <c r="J2711" s="6"/>
      <c r="K2711" s="6"/>
      <c r="L2711" s="6"/>
      <c r="M2711" s="6"/>
      <c r="N2711" s="6"/>
      <c r="O2711" s="6"/>
      <c r="P2711" s="6"/>
      <c r="Q2711">
        <v>0</v>
      </c>
      <c r="R2711">
        <f t="shared" si="210"/>
        <v>0</v>
      </c>
      <c r="S2711">
        <f t="shared" si="211"/>
        <v>0</v>
      </c>
      <c r="T2711">
        <f t="shared" si="212"/>
        <v>0</v>
      </c>
      <c r="U2711">
        <f t="shared" si="213"/>
        <v>0</v>
      </c>
      <c r="V2711">
        <f t="shared" si="214"/>
        <v>0</v>
      </c>
    </row>
    <row r="2712" spans="1:22" x14ac:dyDescent="0.25">
      <c r="A2712">
        <v>2709</v>
      </c>
      <c r="B2712" t="s">
        <v>22</v>
      </c>
      <c r="C2712" t="s">
        <v>1038</v>
      </c>
      <c r="D2712" s="4">
        <v>45444</v>
      </c>
      <c r="E2712" t="s">
        <v>378</v>
      </c>
      <c r="F2712" t="s">
        <v>75</v>
      </c>
      <c r="I2712" s="6">
        <v>0</v>
      </c>
      <c r="J2712" s="6">
        <v>1</v>
      </c>
      <c r="K2712" s="6">
        <v>0</v>
      </c>
      <c r="L2712" s="6">
        <v>0</v>
      </c>
      <c r="M2712" s="6">
        <v>0</v>
      </c>
      <c r="N2712" s="6">
        <v>0</v>
      </c>
      <c r="O2712" s="6">
        <v>0</v>
      </c>
      <c r="P2712" s="6">
        <v>0</v>
      </c>
      <c r="Q2712">
        <v>1</v>
      </c>
      <c r="R2712">
        <f t="shared" si="210"/>
        <v>0</v>
      </c>
      <c r="S2712">
        <f t="shared" si="211"/>
        <v>1</v>
      </c>
      <c r="T2712">
        <f t="shared" si="212"/>
        <v>1</v>
      </c>
      <c r="U2712">
        <f t="shared" si="213"/>
        <v>1</v>
      </c>
      <c r="V2712">
        <f t="shared" si="214"/>
        <v>0</v>
      </c>
    </row>
    <row r="2713" spans="1:22" x14ac:dyDescent="0.25">
      <c r="A2713">
        <v>2710</v>
      </c>
      <c r="B2713" t="s">
        <v>22</v>
      </c>
      <c r="C2713" t="s">
        <v>1038</v>
      </c>
      <c r="D2713" s="4">
        <v>45444</v>
      </c>
      <c r="E2713" t="s">
        <v>379</v>
      </c>
      <c r="F2713" t="s">
        <v>75</v>
      </c>
      <c r="I2713" s="6">
        <v>0</v>
      </c>
      <c r="J2713" s="6">
        <v>0</v>
      </c>
      <c r="K2713" s="6">
        <v>0</v>
      </c>
      <c r="L2713" s="6">
        <v>1</v>
      </c>
      <c r="M2713" s="6">
        <v>0</v>
      </c>
      <c r="N2713" s="6">
        <v>1</v>
      </c>
      <c r="O2713" s="6">
        <v>0</v>
      </c>
      <c r="P2713" s="6">
        <v>0</v>
      </c>
      <c r="Q2713">
        <v>1</v>
      </c>
      <c r="R2713">
        <f t="shared" si="210"/>
        <v>0</v>
      </c>
      <c r="S2713">
        <f t="shared" si="211"/>
        <v>1</v>
      </c>
      <c r="T2713">
        <f t="shared" si="212"/>
        <v>2</v>
      </c>
      <c r="U2713">
        <f t="shared" si="213"/>
        <v>1</v>
      </c>
      <c r="V2713">
        <f t="shared" si="214"/>
        <v>0</v>
      </c>
    </row>
    <row r="2714" spans="1:22" x14ac:dyDescent="0.25">
      <c r="A2714">
        <v>2711</v>
      </c>
      <c r="B2714" t="s">
        <v>22</v>
      </c>
      <c r="C2714" t="s">
        <v>1038</v>
      </c>
      <c r="D2714" s="4">
        <v>45444</v>
      </c>
      <c r="E2714" t="s">
        <v>1495</v>
      </c>
      <c r="F2714" t="s">
        <v>75</v>
      </c>
      <c r="I2714" s="6">
        <v>0</v>
      </c>
      <c r="J2714" s="6">
        <v>0</v>
      </c>
      <c r="K2714" s="6">
        <v>1</v>
      </c>
      <c r="L2714" s="6">
        <v>0</v>
      </c>
      <c r="M2714" s="6">
        <v>0</v>
      </c>
      <c r="N2714" s="6">
        <v>0</v>
      </c>
      <c r="O2714" s="6">
        <v>1</v>
      </c>
      <c r="P2714" s="6">
        <v>0</v>
      </c>
      <c r="Q2714">
        <v>1</v>
      </c>
      <c r="R2714">
        <f t="shared" si="210"/>
        <v>0</v>
      </c>
      <c r="S2714">
        <f t="shared" si="211"/>
        <v>1</v>
      </c>
      <c r="T2714">
        <f t="shared" si="212"/>
        <v>2</v>
      </c>
      <c r="U2714">
        <f t="shared" si="213"/>
        <v>1</v>
      </c>
      <c r="V2714">
        <f t="shared" si="214"/>
        <v>0</v>
      </c>
    </row>
    <row r="2715" spans="1:22" x14ac:dyDescent="0.25">
      <c r="A2715">
        <v>2712</v>
      </c>
      <c r="B2715" t="s">
        <v>22</v>
      </c>
      <c r="C2715" t="s">
        <v>1038</v>
      </c>
      <c r="D2715" s="4">
        <v>45444</v>
      </c>
      <c r="E2715" t="s">
        <v>2097</v>
      </c>
      <c r="F2715" t="s">
        <v>75</v>
      </c>
      <c r="I2715" s="6"/>
      <c r="J2715" s="6"/>
      <c r="K2715" s="6"/>
      <c r="L2715" s="6"/>
      <c r="M2715" s="6"/>
      <c r="N2715" s="6"/>
      <c r="O2715" s="6"/>
      <c r="P2715" s="6"/>
      <c r="Q2715">
        <v>0</v>
      </c>
      <c r="R2715">
        <f t="shared" si="210"/>
        <v>0</v>
      </c>
      <c r="S2715">
        <f t="shared" si="211"/>
        <v>0</v>
      </c>
      <c r="T2715">
        <f t="shared" si="212"/>
        <v>0</v>
      </c>
      <c r="U2715">
        <f t="shared" si="213"/>
        <v>0</v>
      </c>
      <c r="V2715">
        <f t="shared" si="214"/>
        <v>0</v>
      </c>
    </row>
    <row r="2716" spans="1:22" x14ac:dyDescent="0.25">
      <c r="A2716">
        <v>2713</v>
      </c>
      <c r="B2716" t="s">
        <v>22</v>
      </c>
      <c r="C2716" t="s">
        <v>1038</v>
      </c>
      <c r="D2716" s="4">
        <v>45444</v>
      </c>
      <c r="E2716" t="s">
        <v>1496</v>
      </c>
      <c r="F2716" t="s">
        <v>75</v>
      </c>
      <c r="I2716" s="6">
        <v>1</v>
      </c>
      <c r="J2716" s="6">
        <v>1</v>
      </c>
      <c r="K2716" s="6">
        <v>1</v>
      </c>
      <c r="L2716" s="6">
        <v>0</v>
      </c>
      <c r="M2716" s="6">
        <v>0</v>
      </c>
      <c r="N2716" s="6">
        <v>0</v>
      </c>
      <c r="O2716" s="6">
        <v>1</v>
      </c>
      <c r="P2716" s="6">
        <v>0</v>
      </c>
      <c r="Q2716">
        <v>1</v>
      </c>
      <c r="R2716">
        <f t="shared" si="210"/>
        <v>0</v>
      </c>
      <c r="S2716">
        <f t="shared" si="211"/>
        <v>1</v>
      </c>
      <c r="T2716">
        <f t="shared" si="212"/>
        <v>4</v>
      </c>
      <c r="U2716">
        <f t="shared" si="213"/>
        <v>1</v>
      </c>
      <c r="V2716">
        <f t="shared" si="214"/>
        <v>0</v>
      </c>
    </row>
    <row r="2717" spans="1:22" x14ac:dyDescent="0.25">
      <c r="A2717">
        <v>2714</v>
      </c>
      <c r="B2717" t="s">
        <v>22</v>
      </c>
      <c r="C2717" t="s">
        <v>1038</v>
      </c>
      <c r="D2717" s="4">
        <v>45444</v>
      </c>
      <c r="E2717" t="s">
        <v>2096</v>
      </c>
      <c r="F2717" t="s">
        <v>75</v>
      </c>
      <c r="I2717" s="6"/>
      <c r="J2717" s="6"/>
      <c r="K2717" s="6"/>
      <c r="L2717" s="6"/>
      <c r="M2717" s="6"/>
      <c r="N2717" s="6"/>
      <c r="O2717" s="6"/>
      <c r="P2717" s="6"/>
      <c r="Q2717">
        <v>0</v>
      </c>
      <c r="R2717">
        <f t="shared" si="210"/>
        <v>0</v>
      </c>
      <c r="S2717">
        <f t="shared" si="211"/>
        <v>0</v>
      </c>
      <c r="T2717">
        <f t="shared" si="212"/>
        <v>0</v>
      </c>
      <c r="U2717">
        <f t="shared" si="213"/>
        <v>0</v>
      </c>
      <c r="V2717">
        <f t="shared" si="214"/>
        <v>0</v>
      </c>
    </row>
    <row r="2718" spans="1:22" x14ac:dyDescent="0.25">
      <c r="A2718">
        <v>2715</v>
      </c>
      <c r="B2718" t="s">
        <v>22</v>
      </c>
      <c r="C2718" t="s">
        <v>1038</v>
      </c>
      <c r="D2718" s="4">
        <v>45445</v>
      </c>
      <c r="E2718" t="s">
        <v>380</v>
      </c>
      <c r="F2718" t="s">
        <v>75</v>
      </c>
      <c r="H2718" t="s">
        <v>1212</v>
      </c>
      <c r="I2718" s="6">
        <v>0</v>
      </c>
      <c r="J2718" s="6">
        <v>0</v>
      </c>
      <c r="K2718" s="6">
        <v>1</v>
      </c>
      <c r="L2718" s="6">
        <v>1</v>
      </c>
      <c r="M2718" s="6">
        <v>1</v>
      </c>
      <c r="N2718" s="6">
        <v>1</v>
      </c>
      <c r="O2718" s="6">
        <v>0</v>
      </c>
      <c r="P2718" s="6">
        <v>0</v>
      </c>
      <c r="Q2718">
        <v>1</v>
      </c>
      <c r="R2718">
        <f t="shared" si="210"/>
        <v>0</v>
      </c>
      <c r="S2718">
        <f t="shared" si="211"/>
        <v>1</v>
      </c>
      <c r="T2718">
        <f t="shared" si="212"/>
        <v>4</v>
      </c>
      <c r="U2718">
        <f t="shared" si="213"/>
        <v>1</v>
      </c>
      <c r="V2718">
        <f t="shared" si="214"/>
        <v>0</v>
      </c>
    </row>
    <row r="2719" spans="1:22" x14ac:dyDescent="0.25">
      <c r="A2719">
        <v>2716</v>
      </c>
      <c r="B2719" t="s">
        <v>22</v>
      </c>
      <c r="C2719" t="s">
        <v>1038</v>
      </c>
      <c r="D2719" s="4">
        <v>45445</v>
      </c>
      <c r="E2719" t="s">
        <v>2095</v>
      </c>
      <c r="F2719" t="s">
        <v>75</v>
      </c>
      <c r="I2719" s="6"/>
      <c r="J2719" s="6"/>
      <c r="K2719" s="6"/>
      <c r="L2719" s="6"/>
      <c r="M2719" s="6"/>
      <c r="N2719" s="6"/>
      <c r="O2719" s="6"/>
      <c r="P2719" s="6"/>
      <c r="Q2719">
        <v>0</v>
      </c>
      <c r="R2719">
        <f t="shared" si="210"/>
        <v>0</v>
      </c>
      <c r="S2719">
        <f t="shared" si="211"/>
        <v>0</v>
      </c>
      <c r="T2719">
        <f t="shared" si="212"/>
        <v>0</v>
      </c>
      <c r="U2719">
        <f t="shared" si="213"/>
        <v>0</v>
      </c>
      <c r="V2719">
        <f t="shared" si="214"/>
        <v>0</v>
      </c>
    </row>
    <row r="2720" spans="1:22" x14ac:dyDescent="0.25">
      <c r="A2720">
        <v>2717</v>
      </c>
      <c r="B2720" t="s">
        <v>22</v>
      </c>
      <c r="C2720" t="s">
        <v>1038</v>
      </c>
      <c r="D2720" s="4">
        <v>45445</v>
      </c>
      <c r="E2720" t="s">
        <v>2094</v>
      </c>
      <c r="F2720" t="s">
        <v>75</v>
      </c>
      <c r="I2720" s="6"/>
      <c r="J2720" s="6"/>
      <c r="K2720" s="6"/>
      <c r="L2720" s="6"/>
      <c r="M2720" s="6"/>
      <c r="N2720" s="6"/>
      <c r="O2720" s="6"/>
      <c r="P2720" s="6"/>
      <c r="Q2720">
        <v>0</v>
      </c>
      <c r="R2720">
        <f t="shared" si="210"/>
        <v>0</v>
      </c>
      <c r="S2720">
        <f t="shared" si="211"/>
        <v>0</v>
      </c>
      <c r="T2720">
        <f t="shared" si="212"/>
        <v>0</v>
      </c>
      <c r="U2720">
        <f t="shared" si="213"/>
        <v>0</v>
      </c>
      <c r="V2720">
        <f t="shared" si="214"/>
        <v>0</v>
      </c>
    </row>
    <row r="2721" spans="1:22" x14ac:dyDescent="0.25">
      <c r="A2721">
        <v>2718</v>
      </c>
      <c r="B2721" t="s">
        <v>22</v>
      </c>
      <c r="C2721" t="s">
        <v>1038</v>
      </c>
      <c r="D2721" s="4">
        <v>45445</v>
      </c>
      <c r="E2721" t="s">
        <v>381</v>
      </c>
      <c r="F2721" t="s">
        <v>75</v>
      </c>
      <c r="I2721" s="6"/>
      <c r="J2721" s="6"/>
      <c r="K2721" s="6"/>
      <c r="L2721" s="6"/>
      <c r="M2721" s="6"/>
      <c r="N2721" s="6"/>
      <c r="O2721" s="6"/>
      <c r="P2721" s="6"/>
      <c r="Q2721">
        <v>0</v>
      </c>
      <c r="R2721">
        <f t="shared" si="210"/>
        <v>0</v>
      </c>
      <c r="S2721">
        <f t="shared" si="211"/>
        <v>0</v>
      </c>
      <c r="T2721">
        <f t="shared" si="212"/>
        <v>0</v>
      </c>
      <c r="U2721">
        <f t="shared" si="213"/>
        <v>0</v>
      </c>
      <c r="V2721">
        <f t="shared" si="214"/>
        <v>0</v>
      </c>
    </row>
    <row r="2722" spans="1:22" x14ac:dyDescent="0.25">
      <c r="A2722">
        <v>2719</v>
      </c>
      <c r="B2722" t="s">
        <v>22</v>
      </c>
      <c r="C2722" t="s">
        <v>1038</v>
      </c>
      <c r="D2722" s="4">
        <v>45445</v>
      </c>
      <c r="E2722" t="s">
        <v>382</v>
      </c>
      <c r="F2722" t="s">
        <v>75</v>
      </c>
      <c r="I2722" s="6">
        <v>1</v>
      </c>
      <c r="J2722" s="6">
        <v>0</v>
      </c>
      <c r="K2722" s="6">
        <v>0</v>
      </c>
      <c r="L2722" s="6">
        <v>1</v>
      </c>
      <c r="M2722" s="6">
        <v>0</v>
      </c>
      <c r="N2722" s="6">
        <v>1</v>
      </c>
      <c r="O2722" s="6">
        <v>0</v>
      </c>
      <c r="P2722" s="6">
        <v>0</v>
      </c>
      <c r="Q2722">
        <v>1</v>
      </c>
      <c r="R2722">
        <f t="shared" si="210"/>
        <v>0</v>
      </c>
      <c r="S2722">
        <f t="shared" si="211"/>
        <v>1</v>
      </c>
      <c r="T2722">
        <f t="shared" si="212"/>
        <v>3</v>
      </c>
      <c r="U2722">
        <f t="shared" si="213"/>
        <v>1</v>
      </c>
      <c r="V2722">
        <f t="shared" si="214"/>
        <v>0</v>
      </c>
    </row>
    <row r="2723" spans="1:22" x14ac:dyDescent="0.25">
      <c r="A2723">
        <v>2720</v>
      </c>
      <c r="B2723" t="s">
        <v>22</v>
      </c>
      <c r="C2723" t="s">
        <v>1038</v>
      </c>
      <c r="D2723" s="4">
        <v>45445</v>
      </c>
      <c r="E2723" t="s">
        <v>2093</v>
      </c>
      <c r="F2723" t="s">
        <v>75</v>
      </c>
      <c r="I2723" s="6">
        <v>0</v>
      </c>
      <c r="J2723" s="6">
        <v>0</v>
      </c>
      <c r="K2723" s="6">
        <v>0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>
        <v>1</v>
      </c>
      <c r="R2723">
        <f t="shared" si="210"/>
        <v>0</v>
      </c>
      <c r="S2723">
        <f t="shared" si="211"/>
        <v>1</v>
      </c>
      <c r="T2723">
        <f t="shared" si="212"/>
        <v>0</v>
      </c>
      <c r="U2723">
        <f t="shared" si="213"/>
        <v>0</v>
      </c>
      <c r="V2723">
        <f t="shared" si="214"/>
        <v>0</v>
      </c>
    </row>
    <row r="2724" spans="1:22" x14ac:dyDescent="0.25">
      <c r="A2724">
        <v>2721</v>
      </c>
      <c r="B2724" t="s">
        <v>22</v>
      </c>
      <c r="C2724" t="s">
        <v>1038</v>
      </c>
      <c r="D2724" s="4">
        <v>45445</v>
      </c>
      <c r="E2724" t="s">
        <v>1102</v>
      </c>
      <c r="F2724" t="s">
        <v>75</v>
      </c>
      <c r="I2724" s="6"/>
      <c r="J2724" s="6"/>
      <c r="K2724" s="6"/>
      <c r="L2724" s="6"/>
      <c r="M2724" s="6"/>
      <c r="N2724" s="6"/>
      <c r="O2724" s="6"/>
      <c r="P2724" s="6"/>
      <c r="Q2724">
        <v>0</v>
      </c>
      <c r="R2724">
        <f t="shared" si="210"/>
        <v>0</v>
      </c>
      <c r="S2724">
        <f t="shared" si="211"/>
        <v>0</v>
      </c>
      <c r="T2724">
        <f t="shared" si="212"/>
        <v>0</v>
      </c>
      <c r="U2724">
        <f t="shared" si="213"/>
        <v>0</v>
      </c>
      <c r="V2724">
        <f t="shared" si="214"/>
        <v>0</v>
      </c>
    </row>
    <row r="2725" spans="1:22" x14ac:dyDescent="0.25">
      <c r="A2725">
        <v>2722</v>
      </c>
      <c r="B2725" t="s">
        <v>22</v>
      </c>
      <c r="C2725" t="s">
        <v>1038</v>
      </c>
      <c r="D2725" s="4">
        <v>45445</v>
      </c>
      <c r="E2725" t="s">
        <v>1103</v>
      </c>
      <c r="F2725" t="s">
        <v>75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>
        <v>1</v>
      </c>
      <c r="R2725">
        <f t="shared" si="210"/>
        <v>0</v>
      </c>
      <c r="S2725">
        <f t="shared" si="211"/>
        <v>1</v>
      </c>
      <c r="T2725">
        <f t="shared" si="212"/>
        <v>0</v>
      </c>
      <c r="U2725">
        <f t="shared" si="213"/>
        <v>0</v>
      </c>
      <c r="V2725">
        <f t="shared" si="214"/>
        <v>0</v>
      </c>
    </row>
    <row r="2726" spans="1:22" x14ac:dyDescent="0.25">
      <c r="A2726">
        <v>2723</v>
      </c>
      <c r="B2726" t="s">
        <v>22</v>
      </c>
      <c r="C2726" t="s">
        <v>1038</v>
      </c>
      <c r="D2726" s="4">
        <v>45445</v>
      </c>
      <c r="E2726" t="s">
        <v>2092</v>
      </c>
      <c r="F2726" t="s">
        <v>75</v>
      </c>
      <c r="I2726" s="6"/>
      <c r="J2726" s="6"/>
      <c r="K2726" s="6"/>
      <c r="L2726" s="6"/>
      <c r="M2726" s="6"/>
      <c r="N2726" s="6"/>
      <c r="O2726" s="6"/>
      <c r="P2726" s="6"/>
      <c r="Q2726">
        <v>0</v>
      </c>
      <c r="R2726">
        <f t="shared" si="210"/>
        <v>0</v>
      </c>
      <c r="S2726">
        <f t="shared" si="211"/>
        <v>0</v>
      </c>
      <c r="T2726">
        <f t="shared" si="212"/>
        <v>0</v>
      </c>
      <c r="U2726">
        <f t="shared" si="213"/>
        <v>0</v>
      </c>
      <c r="V2726">
        <f t="shared" si="214"/>
        <v>0</v>
      </c>
    </row>
    <row r="2727" spans="1:22" x14ac:dyDescent="0.25">
      <c r="A2727">
        <v>2724</v>
      </c>
      <c r="B2727" t="s">
        <v>22</v>
      </c>
      <c r="C2727" t="s">
        <v>1038</v>
      </c>
      <c r="D2727" s="4">
        <v>45445</v>
      </c>
      <c r="E2727" t="s">
        <v>2091</v>
      </c>
      <c r="F2727" t="s">
        <v>75</v>
      </c>
      <c r="I2727" s="6"/>
      <c r="J2727" s="6"/>
      <c r="K2727" s="6"/>
      <c r="L2727" s="6"/>
      <c r="M2727" s="6"/>
      <c r="N2727" s="6"/>
      <c r="O2727" s="6"/>
      <c r="P2727" s="6"/>
      <c r="Q2727">
        <v>0</v>
      </c>
      <c r="R2727">
        <f t="shared" si="210"/>
        <v>0</v>
      </c>
      <c r="S2727">
        <f t="shared" si="211"/>
        <v>0</v>
      </c>
      <c r="T2727">
        <f t="shared" si="212"/>
        <v>0</v>
      </c>
      <c r="U2727">
        <f t="shared" si="213"/>
        <v>0</v>
      </c>
      <c r="V2727">
        <f t="shared" si="214"/>
        <v>0</v>
      </c>
    </row>
    <row r="2728" spans="1:22" x14ac:dyDescent="0.25">
      <c r="A2728">
        <v>2725</v>
      </c>
      <c r="B2728" t="s">
        <v>22</v>
      </c>
      <c r="C2728" t="s">
        <v>1038</v>
      </c>
      <c r="D2728" s="4">
        <v>45445</v>
      </c>
      <c r="E2728" t="s">
        <v>1423</v>
      </c>
      <c r="F2728" t="s">
        <v>75</v>
      </c>
      <c r="I2728" s="6">
        <v>0</v>
      </c>
      <c r="J2728" s="6">
        <v>0</v>
      </c>
      <c r="K2728" s="6">
        <v>0</v>
      </c>
      <c r="L2728" s="6">
        <v>1</v>
      </c>
      <c r="M2728" s="6">
        <v>0</v>
      </c>
      <c r="N2728" s="6">
        <v>1</v>
      </c>
      <c r="O2728" s="6">
        <v>0</v>
      </c>
      <c r="P2728" s="6">
        <v>0</v>
      </c>
      <c r="Q2728">
        <v>1</v>
      </c>
      <c r="R2728">
        <f t="shared" si="210"/>
        <v>0</v>
      </c>
      <c r="S2728">
        <f t="shared" si="211"/>
        <v>1</v>
      </c>
      <c r="T2728">
        <f t="shared" si="212"/>
        <v>2</v>
      </c>
      <c r="U2728">
        <f t="shared" si="213"/>
        <v>1</v>
      </c>
      <c r="V2728">
        <f t="shared" si="214"/>
        <v>0</v>
      </c>
    </row>
    <row r="2729" spans="1:22" x14ac:dyDescent="0.25">
      <c r="A2729">
        <v>2726</v>
      </c>
      <c r="B2729" t="s">
        <v>22</v>
      </c>
      <c r="C2729" t="s">
        <v>1038</v>
      </c>
      <c r="D2729" s="4">
        <v>45446</v>
      </c>
      <c r="E2729" t="s">
        <v>383</v>
      </c>
      <c r="F2729" t="s">
        <v>75</v>
      </c>
      <c r="I2729" s="6">
        <v>0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>
        <v>1</v>
      </c>
      <c r="R2729">
        <f t="shared" si="210"/>
        <v>0</v>
      </c>
      <c r="S2729">
        <f t="shared" si="211"/>
        <v>1</v>
      </c>
      <c r="T2729">
        <f t="shared" si="212"/>
        <v>0</v>
      </c>
      <c r="U2729">
        <f t="shared" si="213"/>
        <v>0</v>
      </c>
      <c r="V2729">
        <f t="shared" si="214"/>
        <v>0</v>
      </c>
    </row>
    <row r="2730" spans="1:22" x14ac:dyDescent="0.25">
      <c r="A2730">
        <v>2727</v>
      </c>
      <c r="B2730" t="s">
        <v>22</v>
      </c>
      <c r="C2730" t="s">
        <v>1038</v>
      </c>
      <c r="D2730" s="4">
        <v>45446</v>
      </c>
      <c r="E2730" t="s">
        <v>1213</v>
      </c>
      <c r="F2730" t="s">
        <v>413</v>
      </c>
      <c r="G2730">
        <v>131</v>
      </c>
      <c r="I2730" s="6">
        <v>1</v>
      </c>
      <c r="J2730" s="6">
        <v>1</v>
      </c>
      <c r="K2730" s="6">
        <v>0</v>
      </c>
      <c r="L2730" s="6">
        <v>1</v>
      </c>
      <c r="M2730" s="6">
        <v>0</v>
      </c>
      <c r="N2730" s="6">
        <v>0</v>
      </c>
      <c r="O2730" s="6">
        <v>1</v>
      </c>
      <c r="P2730" s="6">
        <v>0</v>
      </c>
      <c r="Q2730">
        <v>1</v>
      </c>
      <c r="R2730">
        <f t="shared" si="210"/>
        <v>1</v>
      </c>
      <c r="S2730">
        <f t="shared" si="211"/>
        <v>0</v>
      </c>
      <c r="T2730">
        <f t="shared" si="212"/>
        <v>4</v>
      </c>
      <c r="U2730">
        <f t="shared" si="213"/>
        <v>1</v>
      </c>
      <c r="V2730">
        <f t="shared" si="214"/>
        <v>1</v>
      </c>
    </row>
    <row r="2731" spans="1:22" x14ac:dyDescent="0.25">
      <c r="A2731">
        <v>2728</v>
      </c>
      <c r="B2731" t="s">
        <v>22</v>
      </c>
      <c r="C2731" t="s">
        <v>1038</v>
      </c>
      <c r="D2731" s="4">
        <v>45446</v>
      </c>
      <c r="E2731" t="s">
        <v>384</v>
      </c>
      <c r="F2731" t="s">
        <v>413</v>
      </c>
      <c r="G2731">
        <v>132</v>
      </c>
      <c r="I2731" s="6">
        <v>0</v>
      </c>
      <c r="J2731" s="6">
        <v>1</v>
      </c>
      <c r="K2731" s="6">
        <v>0</v>
      </c>
      <c r="L2731" s="6">
        <v>0</v>
      </c>
      <c r="M2731" s="6">
        <v>0</v>
      </c>
      <c r="N2731" s="6">
        <v>0</v>
      </c>
      <c r="O2731" s="6">
        <v>1</v>
      </c>
      <c r="P2731" s="6">
        <v>0</v>
      </c>
      <c r="Q2731">
        <v>1</v>
      </c>
      <c r="R2731">
        <f t="shared" si="210"/>
        <v>1</v>
      </c>
      <c r="S2731">
        <f t="shared" si="211"/>
        <v>0</v>
      </c>
      <c r="T2731">
        <f t="shared" si="212"/>
        <v>2</v>
      </c>
      <c r="U2731">
        <f t="shared" si="213"/>
        <v>1</v>
      </c>
      <c r="V2731">
        <f t="shared" si="214"/>
        <v>1</v>
      </c>
    </row>
    <row r="2732" spans="1:22" x14ac:dyDescent="0.25">
      <c r="A2732">
        <v>2729</v>
      </c>
      <c r="B2732" t="s">
        <v>22</v>
      </c>
      <c r="C2732" t="s">
        <v>1038</v>
      </c>
      <c r="D2732" s="4">
        <v>45446</v>
      </c>
      <c r="E2732" t="s">
        <v>385</v>
      </c>
      <c r="F2732" t="s">
        <v>75</v>
      </c>
      <c r="I2732" s="6">
        <v>0</v>
      </c>
      <c r="J2732" s="6">
        <v>0</v>
      </c>
      <c r="K2732" s="6">
        <v>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>
        <v>1</v>
      </c>
      <c r="R2732">
        <f t="shared" si="210"/>
        <v>0</v>
      </c>
      <c r="S2732">
        <f t="shared" si="211"/>
        <v>1</v>
      </c>
      <c r="T2732">
        <f t="shared" si="212"/>
        <v>0</v>
      </c>
      <c r="U2732">
        <f t="shared" si="213"/>
        <v>0</v>
      </c>
      <c r="V2732">
        <f t="shared" si="214"/>
        <v>0</v>
      </c>
    </row>
    <row r="2733" spans="1:22" x14ac:dyDescent="0.25">
      <c r="A2733">
        <v>2730</v>
      </c>
      <c r="B2733" t="s">
        <v>22</v>
      </c>
      <c r="C2733" t="s">
        <v>1038</v>
      </c>
      <c r="D2733" s="4">
        <v>45446</v>
      </c>
      <c r="E2733" t="s">
        <v>386</v>
      </c>
      <c r="F2733" t="s">
        <v>413</v>
      </c>
      <c r="G2733">
        <v>133</v>
      </c>
      <c r="I2733" s="6">
        <v>0</v>
      </c>
      <c r="J2733" s="6">
        <v>1</v>
      </c>
      <c r="K2733" s="6">
        <v>0</v>
      </c>
      <c r="L2733" s="6">
        <v>0</v>
      </c>
      <c r="M2733" s="6">
        <v>0</v>
      </c>
      <c r="N2733" s="6">
        <v>0</v>
      </c>
      <c r="O2733" s="6">
        <v>1</v>
      </c>
      <c r="P2733" s="6">
        <v>0</v>
      </c>
      <c r="Q2733">
        <v>1</v>
      </c>
      <c r="R2733">
        <f t="shared" si="210"/>
        <v>1</v>
      </c>
      <c r="S2733">
        <f t="shared" si="211"/>
        <v>0</v>
      </c>
      <c r="T2733">
        <f t="shared" si="212"/>
        <v>2</v>
      </c>
      <c r="U2733">
        <f t="shared" si="213"/>
        <v>1</v>
      </c>
      <c r="V2733">
        <f t="shared" si="214"/>
        <v>1</v>
      </c>
    </row>
    <row r="2734" spans="1:22" x14ac:dyDescent="0.25">
      <c r="A2734">
        <v>2731</v>
      </c>
      <c r="B2734" t="s">
        <v>22</v>
      </c>
      <c r="C2734" t="s">
        <v>1038</v>
      </c>
      <c r="D2734" s="4">
        <v>45446</v>
      </c>
      <c r="E2734" t="s">
        <v>492</v>
      </c>
      <c r="F2734" t="s">
        <v>75</v>
      </c>
      <c r="I2734" s="6"/>
      <c r="J2734" s="6"/>
      <c r="K2734" s="6"/>
      <c r="L2734" s="6"/>
      <c r="M2734" s="6"/>
      <c r="N2734" s="6"/>
      <c r="O2734" s="6"/>
      <c r="P2734" s="6"/>
      <c r="Q2734">
        <v>0</v>
      </c>
      <c r="R2734">
        <f t="shared" si="210"/>
        <v>0</v>
      </c>
      <c r="S2734">
        <f t="shared" si="211"/>
        <v>0</v>
      </c>
      <c r="T2734">
        <f t="shared" si="212"/>
        <v>0</v>
      </c>
      <c r="U2734">
        <f t="shared" si="213"/>
        <v>0</v>
      </c>
      <c r="V2734">
        <f t="shared" si="214"/>
        <v>0</v>
      </c>
    </row>
    <row r="2735" spans="1:22" x14ac:dyDescent="0.25">
      <c r="A2735">
        <v>2732</v>
      </c>
      <c r="B2735" t="s">
        <v>22</v>
      </c>
      <c r="C2735" t="s">
        <v>1038</v>
      </c>
      <c r="D2735" s="4">
        <v>45446</v>
      </c>
      <c r="E2735" t="s">
        <v>493</v>
      </c>
      <c r="F2735" t="s">
        <v>75</v>
      </c>
      <c r="I2735" s="6"/>
      <c r="J2735" s="6"/>
      <c r="K2735" s="6"/>
      <c r="L2735" s="6"/>
      <c r="M2735" s="6"/>
      <c r="N2735" s="6"/>
      <c r="O2735" s="6"/>
      <c r="P2735" s="6"/>
      <c r="Q2735">
        <v>0</v>
      </c>
      <c r="R2735">
        <f t="shared" si="210"/>
        <v>0</v>
      </c>
      <c r="S2735">
        <f t="shared" si="211"/>
        <v>0</v>
      </c>
      <c r="T2735">
        <f t="shared" si="212"/>
        <v>0</v>
      </c>
      <c r="U2735">
        <f t="shared" si="213"/>
        <v>0</v>
      </c>
      <c r="V2735">
        <f t="shared" si="214"/>
        <v>0</v>
      </c>
    </row>
    <row r="2736" spans="1:22" x14ac:dyDescent="0.25">
      <c r="A2736">
        <v>2733</v>
      </c>
      <c r="B2736" t="s">
        <v>22</v>
      </c>
      <c r="C2736" t="s">
        <v>1038</v>
      </c>
      <c r="D2736" s="4">
        <v>45446</v>
      </c>
      <c r="E2736" t="s">
        <v>1497</v>
      </c>
      <c r="F2736" t="s">
        <v>75</v>
      </c>
      <c r="I2736" s="6">
        <v>0</v>
      </c>
      <c r="J2736" s="6">
        <v>0</v>
      </c>
      <c r="K2736" s="6">
        <v>1</v>
      </c>
      <c r="L2736" s="6">
        <v>0</v>
      </c>
      <c r="M2736" s="6">
        <v>1</v>
      </c>
      <c r="N2736" s="6">
        <v>0</v>
      </c>
      <c r="O2736" s="6">
        <v>0</v>
      </c>
      <c r="P2736" s="6">
        <v>0</v>
      </c>
      <c r="Q2736">
        <v>1</v>
      </c>
      <c r="R2736">
        <f t="shared" si="210"/>
        <v>0</v>
      </c>
      <c r="S2736">
        <f t="shared" si="211"/>
        <v>1</v>
      </c>
      <c r="T2736">
        <f t="shared" si="212"/>
        <v>2</v>
      </c>
      <c r="U2736">
        <f t="shared" si="213"/>
        <v>1</v>
      </c>
      <c r="V2736">
        <f t="shared" si="214"/>
        <v>0</v>
      </c>
    </row>
    <row r="2737" spans="1:22" x14ac:dyDescent="0.25">
      <c r="A2737">
        <v>2734</v>
      </c>
      <c r="B2737" t="s">
        <v>22</v>
      </c>
      <c r="C2737" t="s">
        <v>1038</v>
      </c>
      <c r="D2737" s="4">
        <v>45446</v>
      </c>
      <c r="E2737" t="s">
        <v>1498</v>
      </c>
      <c r="F2737" t="s">
        <v>75</v>
      </c>
      <c r="I2737" s="6"/>
      <c r="J2737" s="6"/>
      <c r="K2737" s="6"/>
      <c r="L2737" s="6"/>
      <c r="M2737" s="6"/>
      <c r="N2737" s="6"/>
      <c r="O2737" s="6"/>
      <c r="P2737" s="6"/>
      <c r="Q2737">
        <v>0</v>
      </c>
      <c r="R2737">
        <f t="shared" si="210"/>
        <v>0</v>
      </c>
      <c r="S2737">
        <f t="shared" si="211"/>
        <v>0</v>
      </c>
      <c r="T2737">
        <f t="shared" si="212"/>
        <v>0</v>
      </c>
      <c r="U2737">
        <f t="shared" si="213"/>
        <v>0</v>
      </c>
      <c r="V2737">
        <f t="shared" si="214"/>
        <v>0</v>
      </c>
    </row>
    <row r="2738" spans="1:22" x14ac:dyDescent="0.25">
      <c r="A2738">
        <v>2735</v>
      </c>
      <c r="B2738" t="s">
        <v>22</v>
      </c>
      <c r="C2738" t="s">
        <v>1038</v>
      </c>
      <c r="D2738" s="4">
        <v>45446</v>
      </c>
      <c r="E2738" t="s">
        <v>2090</v>
      </c>
      <c r="F2738" t="s">
        <v>75</v>
      </c>
      <c r="I2738" s="6"/>
      <c r="J2738" s="6"/>
      <c r="K2738" s="6"/>
      <c r="L2738" s="6"/>
      <c r="M2738" s="6"/>
      <c r="N2738" s="6"/>
      <c r="O2738" s="6"/>
      <c r="P2738" s="6"/>
      <c r="Q2738">
        <v>0</v>
      </c>
      <c r="R2738">
        <f t="shared" si="210"/>
        <v>0</v>
      </c>
      <c r="S2738">
        <f t="shared" si="211"/>
        <v>0</v>
      </c>
      <c r="T2738">
        <f t="shared" si="212"/>
        <v>0</v>
      </c>
      <c r="U2738">
        <f t="shared" si="213"/>
        <v>0</v>
      </c>
      <c r="V2738">
        <f t="shared" si="214"/>
        <v>0</v>
      </c>
    </row>
    <row r="2739" spans="1:22" x14ac:dyDescent="0.25">
      <c r="A2739">
        <v>2736</v>
      </c>
      <c r="B2739" t="s">
        <v>22</v>
      </c>
      <c r="C2739" t="s">
        <v>1038</v>
      </c>
      <c r="D2739" s="4">
        <v>45447</v>
      </c>
      <c r="E2739" t="s">
        <v>387</v>
      </c>
      <c r="F2739" t="s">
        <v>75</v>
      </c>
      <c r="I2739" s="6"/>
      <c r="J2739" s="6"/>
      <c r="K2739" s="6"/>
      <c r="L2739" s="6"/>
      <c r="M2739" s="6"/>
      <c r="N2739" s="6"/>
      <c r="O2739" s="6"/>
      <c r="P2739" s="6"/>
      <c r="Q2739">
        <v>0</v>
      </c>
      <c r="R2739">
        <f t="shared" si="210"/>
        <v>0</v>
      </c>
      <c r="S2739">
        <f t="shared" si="211"/>
        <v>0</v>
      </c>
      <c r="T2739">
        <f t="shared" si="212"/>
        <v>0</v>
      </c>
      <c r="U2739">
        <f t="shared" si="213"/>
        <v>0</v>
      </c>
      <c r="V2739">
        <f t="shared" si="214"/>
        <v>0</v>
      </c>
    </row>
    <row r="2740" spans="1:22" x14ac:dyDescent="0.25">
      <c r="A2740">
        <v>2737</v>
      </c>
      <c r="B2740" t="s">
        <v>22</v>
      </c>
      <c r="C2740" t="s">
        <v>1038</v>
      </c>
      <c r="D2740" s="4">
        <v>45447</v>
      </c>
      <c r="E2740" t="s">
        <v>494</v>
      </c>
      <c r="F2740" t="s">
        <v>75</v>
      </c>
      <c r="I2740" s="6"/>
      <c r="J2740" s="6"/>
      <c r="K2740" s="6"/>
      <c r="L2740" s="6"/>
      <c r="M2740" s="6"/>
      <c r="N2740" s="6"/>
      <c r="O2740" s="6"/>
      <c r="P2740" s="6"/>
      <c r="Q2740">
        <v>0</v>
      </c>
      <c r="R2740">
        <f t="shared" si="210"/>
        <v>0</v>
      </c>
      <c r="S2740">
        <f t="shared" si="211"/>
        <v>0</v>
      </c>
      <c r="T2740">
        <f t="shared" si="212"/>
        <v>0</v>
      </c>
      <c r="U2740">
        <f t="shared" si="213"/>
        <v>0</v>
      </c>
      <c r="V2740">
        <f t="shared" si="214"/>
        <v>0</v>
      </c>
    </row>
    <row r="2741" spans="1:22" x14ac:dyDescent="0.25">
      <c r="A2741">
        <v>2738</v>
      </c>
      <c r="B2741" t="s">
        <v>22</v>
      </c>
      <c r="C2741" t="s">
        <v>1038</v>
      </c>
      <c r="D2741" s="4">
        <v>45447</v>
      </c>
      <c r="E2741" t="s">
        <v>900</v>
      </c>
      <c r="F2741" t="s">
        <v>75</v>
      </c>
      <c r="I2741" s="6"/>
      <c r="J2741" s="6"/>
      <c r="K2741" s="6"/>
      <c r="L2741" s="6"/>
      <c r="M2741" s="6"/>
      <c r="N2741" s="6"/>
      <c r="O2741" s="6"/>
      <c r="P2741" s="6"/>
      <c r="Q2741">
        <v>0</v>
      </c>
      <c r="R2741">
        <f t="shared" si="210"/>
        <v>0</v>
      </c>
      <c r="S2741">
        <f t="shared" si="211"/>
        <v>0</v>
      </c>
      <c r="T2741">
        <f t="shared" si="212"/>
        <v>0</v>
      </c>
      <c r="U2741">
        <f t="shared" si="213"/>
        <v>0</v>
      </c>
      <c r="V2741">
        <f t="shared" si="214"/>
        <v>0</v>
      </c>
    </row>
    <row r="2742" spans="1:22" x14ac:dyDescent="0.25">
      <c r="A2742">
        <v>2739</v>
      </c>
      <c r="B2742" t="s">
        <v>22</v>
      </c>
      <c r="C2742" t="s">
        <v>1038</v>
      </c>
      <c r="D2742" s="4">
        <v>45447</v>
      </c>
      <c r="E2742" t="s">
        <v>1029</v>
      </c>
      <c r="F2742" t="s">
        <v>75</v>
      </c>
      <c r="I2742" s="6"/>
      <c r="J2742" s="6"/>
      <c r="K2742" s="6"/>
      <c r="L2742" s="6"/>
      <c r="M2742" s="6"/>
      <c r="N2742" s="6"/>
      <c r="O2742" s="6"/>
      <c r="P2742" s="6"/>
      <c r="Q2742">
        <v>0</v>
      </c>
      <c r="R2742">
        <f t="shared" si="210"/>
        <v>0</v>
      </c>
      <c r="S2742">
        <f t="shared" si="211"/>
        <v>0</v>
      </c>
      <c r="T2742">
        <f t="shared" si="212"/>
        <v>0</v>
      </c>
      <c r="U2742">
        <f t="shared" si="213"/>
        <v>0</v>
      </c>
      <c r="V2742">
        <f t="shared" si="214"/>
        <v>0</v>
      </c>
    </row>
    <row r="2743" spans="1:22" x14ac:dyDescent="0.25">
      <c r="A2743">
        <v>2740</v>
      </c>
      <c r="B2743" t="s">
        <v>22</v>
      </c>
      <c r="C2743" t="s">
        <v>1038</v>
      </c>
      <c r="D2743" s="4">
        <v>45447</v>
      </c>
      <c r="E2743" t="s">
        <v>495</v>
      </c>
      <c r="F2743" t="s">
        <v>413</v>
      </c>
      <c r="G2743">
        <v>134</v>
      </c>
      <c r="I2743" s="6">
        <v>0</v>
      </c>
      <c r="J2743" s="6">
        <v>0</v>
      </c>
      <c r="K2743" s="6">
        <v>0</v>
      </c>
      <c r="L2743" s="6">
        <v>0</v>
      </c>
      <c r="M2743" s="6">
        <v>0</v>
      </c>
      <c r="N2743" s="6">
        <v>0</v>
      </c>
      <c r="O2743" s="6">
        <v>1</v>
      </c>
      <c r="P2743" s="6">
        <v>0</v>
      </c>
      <c r="Q2743">
        <v>1</v>
      </c>
      <c r="R2743">
        <f t="shared" si="210"/>
        <v>1</v>
      </c>
      <c r="S2743">
        <f t="shared" si="211"/>
        <v>0</v>
      </c>
      <c r="T2743">
        <f t="shared" si="212"/>
        <v>1</v>
      </c>
      <c r="U2743">
        <f t="shared" si="213"/>
        <v>1</v>
      </c>
      <c r="V2743">
        <f t="shared" si="214"/>
        <v>1</v>
      </c>
    </row>
    <row r="2744" spans="1:22" x14ac:dyDescent="0.25">
      <c r="A2744">
        <v>2741</v>
      </c>
      <c r="B2744" t="s">
        <v>22</v>
      </c>
      <c r="C2744" t="s">
        <v>1038</v>
      </c>
      <c r="D2744" s="4">
        <v>45448</v>
      </c>
      <c r="E2744" t="s">
        <v>497</v>
      </c>
      <c r="F2744" t="s">
        <v>75</v>
      </c>
      <c r="I2744" s="6"/>
      <c r="J2744" s="6"/>
      <c r="K2744" s="6"/>
      <c r="L2744" s="6"/>
      <c r="M2744" s="6"/>
      <c r="N2744" s="6"/>
      <c r="O2744" s="6"/>
      <c r="P2744" s="6"/>
      <c r="Q2744">
        <v>0</v>
      </c>
      <c r="R2744">
        <f t="shared" si="210"/>
        <v>0</v>
      </c>
      <c r="S2744">
        <f t="shared" si="211"/>
        <v>0</v>
      </c>
      <c r="T2744">
        <f t="shared" si="212"/>
        <v>0</v>
      </c>
      <c r="U2744">
        <f t="shared" si="213"/>
        <v>0</v>
      </c>
      <c r="V2744">
        <f t="shared" si="214"/>
        <v>0</v>
      </c>
    </row>
    <row r="2745" spans="1:22" x14ac:dyDescent="0.25">
      <c r="A2745">
        <v>2742</v>
      </c>
      <c r="B2745" t="s">
        <v>22</v>
      </c>
      <c r="C2745" t="s">
        <v>1038</v>
      </c>
      <c r="D2745" s="4">
        <v>45448</v>
      </c>
      <c r="E2745" t="s">
        <v>498</v>
      </c>
      <c r="F2745" t="s">
        <v>75</v>
      </c>
      <c r="I2745" s="6">
        <v>0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>
        <v>1</v>
      </c>
      <c r="R2745">
        <f t="shared" si="210"/>
        <v>0</v>
      </c>
      <c r="S2745">
        <f t="shared" si="211"/>
        <v>1</v>
      </c>
      <c r="T2745">
        <f t="shared" si="212"/>
        <v>0</v>
      </c>
      <c r="U2745">
        <f t="shared" si="213"/>
        <v>0</v>
      </c>
      <c r="V2745">
        <f t="shared" si="214"/>
        <v>0</v>
      </c>
    </row>
    <row r="2746" spans="1:22" x14ac:dyDescent="0.25">
      <c r="A2746">
        <v>2743</v>
      </c>
      <c r="B2746" t="s">
        <v>22</v>
      </c>
      <c r="C2746" t="s">
        <v>1038</v>
      </c>
      <c r="D2746" s="4">
        <v>45448</v>
      </c>
      <c r="E2746" t="s">
        <v>1214</v>
      </c>
      <c r="F2746" t="s">
        <v>413</v>
      </c>
      <c r="G2746">
        <v>135</v>
      </c>
      <c r="I2746" s="6">
        <v>1</v>
      </c>
      <c r="J2746" s="6">
        <v>1</v>
      </c>
      <c r="K2746" s="6">
        <v>1</v>
      </c>
      <c r="L2746" s="6">
        <v>1</v>
      </c>
      <c r="M2746" s="6">
        <v>0</v>
      </c>
      <c r="N2746" s="6">
        <v>0</v>
      </c>
      <c r="O2746" s="6">
        <v>1</v>
      </c>
      <c r="P2746" s="6">
        <v>0</v>
      </c>
      <c r="Q2746">
        <v>1</v>
      </c>
      <c r="R2746">
        <f t="shared" si="210"/>
        <v>1</v>
      </c>
      <c r="S2746">
        <f t="shared" si="211"/>
        <v>0</v>
      </c>
      <c r="T2746">
        <f t="shared" si="212"/>
        <v>5</v>
      </c>
      <c r="U2746">
        <f t="shared" si="213"/>
        <v>1</v>
      </c>
      <c r="V2746">
        <f t="shared" si="214"/>
        <v>1</v>
      </c>
    </row>
    <row r="2747" spans="1:22" x14ac:dyDescent="0.25">
      <c r="A2747">
        <v>2744</v>
      </c>
      <c r="B2747" t="s">
        <v>22</v>
      </c>
      <c r="C2747" t="s">
        <v>1038</v>
      </c>
      <c r="D2747" s="4">
        <v>45448</v>
      </c>
      <c r="E2747" t="s">
        <v>499</v>
      </c>
      <c r="F2747" t="s">
        <v>357</v>
      </c>
      <c r="I2747" s="6"/>
      <c r="J2747" s="6"/>
      <c r="K2747" s="6"/>
      <c r="L2747" s="6"/>
      <c r="M2747" s="6"/>
      <c r="N2747" s="6"/>
      <c r="O2747" s="6"/>
      <c r="P2747" s="6"/>
      <c r="Q2747">
        <v>0</v>
      </c>
      <c r="R2747">
        <f t="shared" si="210"/>
        <v>0</v>
      </c>
      <c r="S2747">
        <f t="shared" si="211"/>
        <v>0</v>
      </c>
      <c r="T2747">
        <f t="shared" si="212"/>
        <v>0</v>
      </c>
      <c r="U2747">
        <f t="shared" si="213"/>
        <v>0</v>
      </c>
      <c r="V2747">
        <f t="shared" si="214"/>
        <v>0</v>
      </c>
    </row>
    <row r="2748" spans="1:22" x14ac:dyDescent="0.25">
      <c r="A2748">
        <v>2745</v>
      </c>
      <c r="B2748" t="s">
        <v>22</v>
      </c>
      <c r="C2748" t="s">
        <v>1038</v>
      </c>
      <c r="D2748" s="4">
        <v>45448</v>
      </c>
      <c r="E2748" t="s">
        <v>2685</v>
      </c>
      <c r="F2748" t="s">
        <v>75</v>
      </c>
      <c r="I2748" s="6"/>
      <c r="J2748" s="6"/>
      <c r="K2748" s="6"/>
      <c r="L2748" s="6"/>
      <c r="M2748" s="6"/>
      <c r="N2748" s="6"/>
      <c r="O2748" s="6"/>
      <c r="P2748" s="6"/>
      <c r="Q2748">
        <v>0</v>
      </c>
      <c r="R2748">
        <f t="shared" si="210"/>
        <v>0</v>
      </c>
      <c r="S2748">
        <f t="shared" si="211"/>
        <v>0</v>
      </c>
      <c r="T2748">
        <f t="shared" si="212"/>
        <v>0</v>
      </c>
      <c r="U2748">
        <f t="shared" si="213"/>
        <v>0</v>
      </c>
      <c r="V2748">
        <f t="shared" si="214"/>
        <v>0</v>
      </c>
    </row>
    <row r="2749" spans="1:22" x14ac:dyDescent="0.25">
      <c r="A2749">
        <v>2746</v>
      </c>
      <c r="B2749" t="s">
        <v>22</v>
      </c>
      <c r="C2749" t="s">
        <v>1038</v>
      </c>
      <c r="D2749" s="4">
        <v>45448</v>
      </c>
      <c r="E2749" t="s">
        <v>2684</v>
      </c>
      <c r="F2749" t="s">
        <v>75</v>
      </c>
      <c r="I2749" s="6"/>
      <c r="J2749" s="6"/>
      <c r="K2749" s="6"/>
      <c r="L2749" s="6"/>
      <c r="M2749" s="6"/>
      <c r="N2749" s="6"/>
      <c r="O2749" s="6"/>
      <c r="P2749" s="6"/>
      <c r="Q2749">
        <v>0</v>
      </c>
      <c r="R2749">
        <f t="shared" si="210"/>
        <v>0</v>
      </c>
      <c r="S2749">
        <f t="shared" si="211"/>
        <v>0</v>
      </c>
      <c r="T2749">
        <f t="shared" si="212"/>
        <v>0</v>
      </c>
      <c r="U2749">
        <f t="shared" si="213"/>
        <v>0</v>
      </c>
      <c r="V2749">
        <f t="shared" si="214"/>
        <v>0</v>
      </c>
    </row>
    <row r="2750" spans="1:22" x14ac:dyDescent="0.25">
      <c r="A2750">
        <v>2747</v>
      </c>
      <c r="B2750" t="s">
        <v>22</v>
      </c>
      <c r="C2750" t="s">
        <v>1038</v>
      </c>
      <c r="D2750" s="4">
        <v>45448</v>
      </c>
      <c r="E2750" t="s">
        <v>2683</v>
      </c>
      <c r="F2750" t="s">
        <v>75</v>
      </c>
      <c r="I2750" s="6"/>
      <c r="J2750" s="6"/>
      <c r="K2750" s="6"/>
      <c r="L2750" s="6"/>
      <c r="M2750" s="6"/>
      <c r="N2750" s="6"/>
      <c r="O2750" s="6"/>
      <c r="P2750" s="6"/>
      <c r="Q2750">
        <v>0</v>
      </c>
      <c r="R2750">
        <f t="shared" si="210"/>
        <v>0</v>
      </c>
      <c r="S2750">
        <f t="shared" si="211"/>
        <v>0</v>
      </c>
      <c r="T2750">
        <f t="shared" si="212"/>
        <v>0</v>
      </c>
      <c r="U2750">
        <f t="shared" si="213"/>
        <v>0</v>
      </c>
      <c r="V2750">
        <f t="shared" si="214"/>
        <v>0</v>
      </c>
    </row>
    <row r="2751" spans="1:22" x14ac:dyDescent="0.25">
      <c r="A2751">
        <v>2748</v>
      </c>
      <c r="B2751" t="s">
        <v>22</v>
      </c>
      <c r="C2751" t="s">
        <v>1038</v>
      </c>
      <c r="D2751" s="4">
        <v>45448</v>
      </c>
      <c r="E2751" t="s">
        <v>2682</v>
      </c>
      <c r="F2751" t="s">
        <v>75</v>
      </c>
      <c r="I2751" s="6"/>
      <c r="J2751" s="6"/>
      <c r="K2751" s="6"/>
      <c r="L2751" s="6"/>
      <c r="M2751" s="6"/>
      <c r="N2751" s="6"/>
      <c r="O2751" s="6"/>
      <c r="P2751" s="6"/>
      <c r="Q2751">
        <v>0</v>
      </c>
      <c r="R2751">
        <f t="shared" si="210"/>
        <v>0</v>
      </c>
      <c r="S2751">
        <f t="shared" si="211"/>
        <v>0</v>
      </c>
      <c r="T2751">
        <f t="shared" si="212"/>
        <v>0</v>
      </c>
      <c r="U2751">
        <f t="shared" si="213"/>
        <v>0</v>
      </c>
      <c r="V2751">
        <f t="shared" si="214"/>
        <v>0</v>
      </c>
    </row>
    <row r="2752" spans="1:22" x14ac:dyDescent="0.25">
      <c r="A2752">
        <v>2749</v>
      </c>
      <c r="B2752" t="s">
        <v>22</v>
      </c>
      <c r="C2752" t="s">
        <v>1038</v>
      </c>
      <c r="D2752" s="4">
        <v>45448</v>
      </c>
      <c r="E2752" t="s">
        <v>2681</v>
      </c>
      <c r="F2752" t="s">
        <v>75</v>
      </c>
      <c r="I2752" s="6"/>
      <c r="J2752" s="6"/>
      <c r="K2752" s="6"/>
      <c r="L2752" s="6"/>
      <c r="M2752" s="6"/>
      <c r="N2752" s="6"/>
      <c r="O2752" s="6"/>
      <c r="P2752" s="6"/>
      <c r="Q2752">
        <v>0</v>
      </c>
      <c r="R2752">
        <f t="shared" si="210"/>
        <v>0</v>
      </c>
      <c r="S2752">
        <f t="shared" si="211"/>
        <v>0</v>
      </c>
      <c r="T2752">
        <f t="shared" si="212"/>
        <v>0</v>
      </c>
      <c r="U2752">
        <f t="shared" si="213"/>
        <v>0</v>
      </c>
      <c r="V2752">
        <f t="shared" si="214"/>
        <v>0</v>
      </c>
    </row>
    <row r="2753" spans="1:22" x14ac:dyDescent="0.25">
      <c r="A2753">
        <v>2750</v>
      </c>
      <c r="B2753" t="s">
        <v>22</v>
      </c>
      <c r="C2753" t="s">
        <v>1038</v>
      </c>
      <c r="D2753" s="4">
        <v>45448</v>
      </c>
      <c r="E2753" t="s">
        <v>2680</v>
      </c>
      <c r="F2753" t="s">
        <v>75</v>
      </c>
      <c r="I2753" s="6">
        <v>0</v>
      </c>
      <c r="J2753" s="6">
        <v>0</v>
      </c>
      <c r="K2753" s="6">
        <v>1</v>
      </c>
      <c r="L2753" s="6">
        <v>1</v>
      </c>
      <c r="M2753" s="6">
        <v>1</v>
      </c>
      <c r="N2753" s="6">
        <v>1</v>
      </c>
      <c r="O2753" s="6">
        <v>0</v>
      </c>
      <c r="P2753" s="6">
        <v>0</v>
      </c>
      <c r="Q2753">
        <v>1</v>
      </c>
      <c r="R2753">
        <f t="shared" si="210"/>
        <v>0</v>
      </c>
      <c r="S2753">
        <f t="shared" si="211"/>
        <v>1</v>
      </c>
      <c r="T2753">
        <f t="shared" si="212"/>
        <v>4</v>
      </c>
      <c r="U2753">
        <f t="shared" si="213"/>
        <v>1</v>
      </c>
      <c r="V2753">
        <f t="shared" si="214"/>
        <v>0</v>
      </c>
    </row>
    <row r="2754" spans="1:22" x14ac:dyDescent="0.25">
      <c r="A2754">
        <v>2751</v>
      </c>
      <c r="B2754" t="s">
        <v>22</v>
      </c>
      <c r="C2754" t="s">
        <v>1038</v>
      </c>
      <c r="D2754" s="4">
        <v>45448</v>
      </c>
      <c r="E2754" t="s">
        <v>388</v>
      </c>
      <c r="F2754" t="s">
        <v>75</v>
      </c>
      <c r="I2754" s="6">
        <v>0</v>
      </c>
      <c r="J2754" s="6">
        <v>0</v>
      </c>
      <c r="K2754" s="6">
        <v>1</v>
      </c>
      <c r="L2754" s="6">
        <v>0</v>
      </c>
      <c r="M2754" s="6">
        <v>0</v>
      </c>
      <c r="N2754" s="6">
        <v>0</v>
      </c>
      <c r="O2754" s="6">
        <v>1</v>
      </c>
      <c r="P2754" s="6">
        <v>0</v>
      </c>
      <c r="Q2754">
        <v>1</v>
      </c>
      <c r="R2754">
        <f t="shared" si="210"/>
        <v>0</v>
      </c>
      <c r="S2754">
        <f t="shared" si="211"/>
        <v>1</v>
      </c>
      <c r="T2754">
        <f t="shared" si="212"/>
        <v>2</v>
      </c>
      <c r="U2754">
        <f t="shared" si="213"/>
        <v>1</v>
      </c>
      <c r="V2754">
        <f t="shared" si="214"/>
        <v>0</v>
      </c>
    </row>
    <row r="2755" spans="1:22" x14ac:dyDescent="0.25">
      <c r="A2755">
        <v>2752</v>
      </c>
      <c r="B2755" t="s">
        <v>22</v>
      </c>
      <c r="C2755" t="s">
        <v>1038</v>
      </c>
      <c r="D2755" s="4">
        <v>45448</v>
      </c>
      <c r="E2755" t="s">
        <v>500</v>
      </c>
      <c r="F2755" t="s">
        <v>357</v>
      </c>
      <c r="I2755" s="6"/>
      <c r="J2755" s="6"/>
      <c r="K2755" s="6"/>
      <c r="L2755" s="6"/>
      <c r="M2755" s="6"/>
      <c r="N2755" s="6"/>
      <c r="O2755" s="6"/>
      <c r="P2755" s="6"/>
      <c r="Q2755">
        <v>0</v>
      </c>
      <c r="R2755">
        <f t="shared" ref="R2755:R2818" si="215">IF(AND(Q2755=1,F2755="ai_full"),1,0)</f>
        <v>0</v>
      </c>
      <c r="S2755">
        <f t="shared" ref="S2755:S2818" si="216">IF(AND(Q2755=1,F2755="conventional"),1,0)</f>
        <v>0</v>
      </c>
      <c r="T2755">
        <f t="shared" ref="T2755:T2818" si="217">SUM(I2755:P2755)</f>
        <v>0</v>
      </c>
      <c r="U2755">
        <f t="shared" ref="U2755:U2818" si="218">IF(T2755&gt;=1,1,0)</f>
        <v>0</v>
      </c>
      <c r="V2755">
        <f t="shared" ref="V2755:V2818" si="219">IF(F2755="ai_full",1,0)</f>
        <v>0</v>
      </c>
    </row>
    <row r="2756" spans="1:22" x14ac:dyDescent="0.25">
      <c r="A2756">
        <v>2753</v>
      </c>
      <c r="B2756" t="s">
        <v>22</v>
      </c>
      <c r="C2756" t="s">
        <v>1038</v>
      </c>
      <c r="D2756" s="4">
        <v>45448</v>
      </c>
      <c r="E2756" t="s">
        <v>501</v>
      </c>
      <c r="F2756" t="s">
        <v>75</v>
      </c>
      <c r="I2756" s="6">
        <v>1</v>
      </c>
      <c r="J2756" s="6">
        <v>0</v>
      </c>
      <c r="K2756" s="6">
        <v>1</v>
      </c>
      <c r="L2756" s="6">
        <v>0</v>
      </c>
      <c r="M2756" s="6">
        <v>1</v>
      </c>
      <c r="N2756" s="6">
        <v>0</v>
      </c>
      <c r="O2756" s="6">
        <v>0</v>
      </c>
      <c r="P2756" s="6">
        <v>1</v>
      </c>
      <c r="Q2756">
        <v>1</v>
      </c>
      <c r="R2756">
        <f t="shared" si="215"/>
        <v>0</v>
      </c>
      <c r="S2756">
        <f t="shared" si="216"/>
        <v>1</v>
      </c>
      <c r="T2756">
        <f t="shared" si="217"/>
        <v>4</v>
      </c>
      <c r="U2756">
        <f t="shared" si="218"/>
        <v>1</v>
      </c>
      <c r="V2756">
        <f t="shared" si="219"/>
        <v>0</v>
      </c>
    </row>
    <row r="2757" spans="1:22" x14ac:dyDescent="0.25">
      <c r="A2757">
        <v>2754</v>
      </c>
      <c r="B2757" t="s">
        <v>22</v>
      </c>
      <c r="C2757" t="s">
        <v>1038</v>
      </c>
      <c r="D2757" s="4">
        <v>45448</v>
      </c>
      <c r="E2757" t="s">
        <v>502</v>
      </c>
      <c r="F2757" t="s">
        <v>75</v>
      </c>
      <c r="I2757" s="6">
        <v>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>
        <v>1</v>
      </c>
      <c r="R2757">
        <f t="shared" si="215"/>
        <v>0</v>
      </c>
      <c r="S2757">
        <f t="shared" si="216"/>
        <v>1</v>
      </c>
      <c r="T2757">
        <f t="shared" si="217"/>
        <v>0</v>
      </c>
      <c r="U2757">
        <f t="shared" si="218"/>
        <v>0</v>
      </c>
      <c r="V2757">
        <f t="shared" si="219"/>
        <v>0</v>
      </c>
    </row>
    <row r="2758" spans="1:22" x14ac:dyDescent="0.25">
      <c r="A2758">
        <v>2755</v>
      </c>
      <c r="B2758" t="s">
        <v>22</v>
      </c>
      <c r="C2758" t="s">
        <v>1038</v>
      </c>
      <c r="D2758" s="4">
        <v>45448</v>
      </c>
      <c r="E2758" t="s">
        <v>503</v>
      </c>
      <c r="F2758" t="s">
        <v>75</v>
      </c>
      <c r="I2758" s="6"/>
      <c r="J2758" s="6"/>
      <c r="K2758" s="6"/>
      <c r="L2758" s="6"/>
      <c r="M2758" s="6"/>
      <c r="N2758" s="6"/>
      <c r="O2758" s="6"/>
      <c r="P2758" s="6"/>
      <c r="Q2758">
        <v>0</v>
      </c>
      <c r="R2758">
        <f t="shared" si="215"/>
        <v>0</v>
      </c>
      <c r="S2758">
        <f t="shared" si="216"/>
        <v>0</v>
      </c>
      <c r="T2758">
        <f t="shared" si="217"/>
        <v>0</v>
      </c>
      <c r="U2758">
        <f t="shared" si="218"/>
        <v>0</v>
      </c>
      <c r="V2758">
        <f t="shared" si="219"/>
        <v>0</v>
      </c>
    </row>
    <row r="2759" spans="1:22" x14ac:dyDescent="0.25">
      <c r="A2759">
        <v>2756</v>
      </c>
      <c r="B2759" t="s">
        <v>22</v>
      </c>
      <c r="C2759" t="s">
        <v>1038</v>
      </c>
      <c r="D2759" s="4">
        <v>45448</v>
      </c>
      <c r="E2759" t="s">
        <v>504</v>
      </c>
      <c r="F2759" t="s">
        <v>75</v>
      </c>
      <c r="I2759" s="6">
        <v>0</v>
      </c>
      <c r="J2759" s="6">
        <v>0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>
        <v>1</v>
      </c>
      <c r="R2759">
        <f t="shared" si="215"/>
        <v>0</v>
      </c>
      <c r="S2759">
        <f t="shared" si="216"/>
        <v>1</v>
      </c>
      <c r="T2759">
        <f t="shared" si="217"/>
        <v>0</v>
      </c>
      <c r="U2759">
        <f t="shared" si="218"/>
        <v>0</v>
      </c>
      <c r="V2759">
        <f t="shared" si="219"/>
        <v>0</v>
      </c>
    </row>
    <row r="2760" spans="1:22" x14ac:dyDescent="0.25">
      <c r="A2760">
        <v>2757</v>
      </c>
      <c r="B2760" t="s">
        <v>22</v>
      </c>
      <c r="C2760" t="s">
        <v>1038</v>
      </c>
      <c r="D2760" s="4">
        <v>45448</v>
      </c>
      <c r="E2760" t="s">
        <v>1215</v>
      </c>
      <c r="F2760" t="s">
        <v>75</v>
      </c>
      <c r="I2760" s="6">
        <v>0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>
        <v>1</v>
      </c>
      <c r="R2760">
        <f t="shared" si="215"/>
        <v>0</v>
      </c>
      <c r="S2760">
        <f t="shared" si="216"/>
        <v>1</v>
      </c>
      <c r="T2760">
        <f t="shared" si="217"/>
        <v>0</v>
      </c>
      <c r="U2760">
        <f t="shared" si="218"/>
        <v>0</v>
      </c>
      <c r="V2760">
        <f t="shared" si="219"/>
        <v>0</v>
      </c>
    </row>
    <row r="2761" spans="1:22" x14ac:dyDescent="0.25">
      <c r="A2761">
        <v>2758</v>
      </c>
      <c r="B2761" t="s">
        <v>22</v>
      </c>
      <c r="C2761" t="s">
        <v>1038</v>
      </c>
      <c r="D2761" s="4">
        <v>45448</v>
      </c>
      <c r="E2761" t="s">
        <v>505</v>
      </c>
      <c r="F2761" t="s">
        <v>75</v>
      </c>
      <c r="I2761" s="6">
        <v>0</v>
      </c>
      <c r="J2761" s="6">
        <v>0</v>
      </c>
      <c r="K2761" s="6">
        <v>0</v>
      </c>
      <c r="L2761" s="6">
        <v>0</v>
      </c>
      <c r="M2761" s="6">
        <v>1</v>
      </c>
      <c r="N2761" s="6">
        <v>0</v>
      </c>
      <c r="O2761" s="6">
        <v>0</v>
      </c>
      <c r="P2761" s="6">
        <v>0</v>
      </c>
      <c r="Q2761">
        <v>1</v>
      </c>
      <c r="R2761">
        <f t="shared" si="215"/>
        <v>0</v>
      </c>
      <c r="S2761">
        <f t="shared" si="216"/>
        <v>1</v>
      </c>
      <c r="T2761">
        <f t="shared" si="217"/>
        <v>1</v>
      </c>
      <c r="U2761">
        <f t="shared" si="218"/>
        <v>1</v>
      </c>
      <c r="V2761">
        <f t="shared" si="219"/>
        <v>0</v>
      </c>
    </row>
    <row r="2762" spans="1:22" x14ac:dyDescent="0.25">
      <c r="A2762">
        <v>2759</v>
      </c>
      <c r="B2762" t="s">
        <v>22</v>
      </c>
      <c r="C2762" t="s">
        <v>1038</v>
      </c>
      <c r="D2762" s="4">
        <v>45449</v>
      </c>
      <c r="E2762" t="s">
        <v>389</v>
      </c>
      <c r="F2762" t="s">
        <v>75</v>
      </c>
      <c r="I2762" s="6"/>
      <c r="J2762" s="6"/>
      <c r="K2762" s="6"/>
      <c r="L2762" s="6"/>
      <c r="M2762" s="6"/>
      <c r="N2762" s="6"/>
      <c r="O2762" s="6"/>
      <c r="P2762" s="6"/>
      <c r="Q2762">
        <v>0</v>
      </c>
      <c r="R2762">
        <f t="shared" si="215"/>
        <v>0</v>
      </c>
      <c r="S2762">
        <f t="shared" si="216"/>
        <v>0</v>
      </c>
      <c r="T2762">
        <f t="shared" si="217"/>
        <v>0</v>
      </c>
      <c r="U2762">
        <f t="shared" si="218"/>
        <v>0</v>
      </c>
      <c r="V2762">
        <f t="shared" si="219"/>
        <v>0</v>
      </c>
    </row>
    <row r="2763" spans="1:22" x14ac:dyDescent="0.25">
      <c r="A2763">
        <v>2760</v>
      </c>
      <c r="B2763" t="s">
        <v>22</v>
      </c>
      <c r="C2763" t="s">
        <v>1038</v>
      </c>
      <c r="D2763" s="4">
        <v>45449</v>
      </c>
      <c r="E2763" t="s">
        <v>506</v>
      </c>
      <c r="F2763" t="s">
        <v>75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>
        <v>1</v>
      </c>
      <c r="R2763">
        <f t="shared" si="215"/>
        <v>0</v>
      </c>
      <c r="S2763">
        <f t="shared" si="216"/>
        <v>1</v>
      </c>
      <c r="T2763">
        <f t="shared" si="217"/>
        <v>0</v>
      </c>
      <c r="U2763">
        <f t="shared" si="218"/>
        <v>0</v>
      </c>
      <c r="V2763">
        <f t="shared" si="219"/>
        <v>0</v>
      </c>
    </row>
    <row r="2764" spans="1:22" x14ac:dyDescent="0.25">
      <c r="A2764">
        <v>2761</v>
      </c>
      <c r="B2764" t="s">
        <v>22</v>
      </c>
      <c r="C2764" t="s">
        <v>1038</v>
      </c>
      <c r="D2764" s="4">
        <v>45449</v>
      </c>
      <c r="E2764" t="s">
        <v>1216</v>
      </c>
      <c r="F2764" t="s">
        <v>75</v>
      </c>
      <c r="I2764" s="6">
        <v>1</v>
      </c>
      <c r="J2764" s="6">
        <v>0</v>
      </c>
      <c r="K2764" s="6">
        <v>0</v>
      </c>
      <c r="L2764" s="6">
        <v>1</v>
      </c>
      <c r="M2764" s="6">
        <v>1</v>
      </c>
      <c r="N2764" s="6">
        <v>0</v>
      </c>
      <c r="O2764" s="6">
        <v>0</v>
      </c>
      <c r="P2764" s="6">
        <v>0</v>
      </c>
      <c r="Q2764">
        <v>1</v>
      </c>
      <c r="R2764">
        <f t="shared" si="215"/>
        <v>0</v>
      </c>
      <c r="S2764">
        <f t="shared" si="216"/>
        <v>1</v>
      </c>
      <c r="T2764">
        <f t="shared" si="217"/>
        <v>3</v>
      </c>
      <c r="U2764">
        <f t="shared" si="218"/>
        <v>1</v>
      </c>
      <c r="V2764">
        <f t="shared" si="219"/>
        <v>0</v>
      </c>
    </row>
    <row r="2765" spans="1:22" x14ac:dyDescent="0.25">
      <c r="A2765">
        <v>2762</v>
      </c>
      <c r="B2765" t="s">
        <v>22</v>
      </c>
      <c r="C2765" t="s">
        <v>1038</v>
      </c>
      <c r="D2765" s="4">
        <v>45449</v>
      </c>
      <c r="E2765" t="s">
        <v>2304</v>
      </c>
      <c r="F2765" t="s">
        <v>75</v>
      </c>
      <c r="I2765" s="6"/>
      <c r="J2765" s="6"/>
      <c r="K2765" s="6"/>
      <c r="L2765" s="6"/>
      <c r="M2765" s="6"/>
      <c r="N2765" s="6"/>
      <c r="O2765" s="6"/>
      <c r="P2765" s="6"/>
      <c r="Q2765">
        <v>0</v>
      </c>
      <c r="R2765">
        <f t="shared" si="215"/>
        <v>0</v>
      </c>
      <c r="S2765">
        <f t="shared" si="216"/>
        <v>0</v>
      </c>
      <c r="T2765">
        <f t="shared" si="217"/>
        <v>0</v>
      </c>
      <c r="U2765">
        <f t="shared" si="218"/>
        <v>0</v>
      </c>
      <c r="V2765">
        <f t="shared" si="219"/>
        <v>0</v>
      </c>
    </row>
    <row r="2766" spans="1:22" x14ac:dyDescent="0.25">
      <c r="A2766">
        <v>2763</v>
      </c>
      <c r="B2766" t="s">
        <v>22</v>
      </c>
      <c r="C2766" t="s">
        <v>1038</v>
      </c>
      <c r="D2766" s="4">
        <v>45449</v>
      </c>
      <c r="E2766" t="s">
        <v>2679</v>
      </c>
      <c r="F2766" t="s">
        <v>75</v>
      </c>
      <c r="I2766" s="6"/>
      <c r="J2766" s="6"/>
      <c r="K2766" s="6"/>
      <c r="L2766" s="6"/>
      <c r="M2766" s="6"/>
      <c r="N2766" s="6"/>
      <c r="O2766" s="6"/>
      <c r="P2766" s="6"/>
      <c r="Q2766">
        <v>0</v>
      </c>
      <c r="R2766">
        <f t="shared" si="215"/>
        <v>0</v>
      </c>
      <c r="S2766">
        <f t="shared" si="216"/>
        <v>0</v>
      </c>
      <c r="T2766">
        <f t="shared" si="217"/>
        <v>0</v>
      </c>
      <c r="U2766">
        <f t="shared" si="218"/>
        <v>0</v>
      </c>
      <c r="V2766">
        <f t="shared" si="219"/>
        <v>0</v>
      </c>
    </row>
    <row r="2767" spans="1:22" x14ac:dyDescent="0.25">
      <c r="A2767">
        <v>2764</v>
      </c>
      <c r="B2767" t="s">
        <v>22</v>
      </c>
      <c r="C2767" t="s">
        <v>1038</v>
      </c>
      <c r="D2767" s="4">
        <v>45449</v>
      </c>
      <c r="E2767" t="s">
        <v>2678</v>
      </c>
      <c r="F2767" t="s">
        <v>75</v>
      </c>
      <c r="I2767" s="6"/>
      <c r="J2767" s="6"/>
      <c r="K2767" s="6"/>
      <c r="L2767" s="6"/>
      <c r="M2767" s="6"/>
      <c r="N2767" s="6"/>
      <c r="O2767" s="6"/>
      <c r="P2767" s="6"/>
      <c r="Q2767">
        <v>0</v>
      </c>
      <c r="R2767">
        <f t="shared" si="215"/>
        <v>0</v>
      </c>
      <c r="S2767">
        <f t="shared" si="216"/>
        <v>0</v>
      </c>
      <c r="T2767">
        <f t="shared" si="217"/>
        <v>0</v>
      </c>
      <c r="U2767">
        <f t="shared" si="218"/>
        <v>0</v>
      </c>
      <c r="V2767">
        <f t="shared" si="219"/>
        <v>0</v>
      </c>
    </row>
    <row r="2768" spans="1:22" x14ac:dyDescent="0.25">
      <c r="A2768">
        <v>2765</v>
      </c>
      <c r="B2768" t="s">
        <v>22</v>
      </c>
      <c r="C2768" t="s">
        <v>1038</v>
      </c>
      <c r="D2768" s="4">
        <v>45449</v>
      </c>
      <c r="E2768" t="s">
        <v>2677</v>
      </c>
      <c r="F2768" t="s">
        <v>75</v>
      </c>
      <c r="I2768" s="6">
        <v>0</v>
      </c>
      <c r="J2768" s="6">
        <v>0</v>
      </c>
      <c r="K2768" s="6">
        <v>0</v>
      </c>
      <c r="L2768" s="6">
        <v>1</v>
      </c>
      <c r="M2768" s="6">
        <v>1</v>
      </c>
      <c r="N2768" s="6">
        <v>1</v>
      </c>
      <c r="O2768" s="6">
        <v>0</v>
      </c>
      <c r="P2768" s="6">
        <v>0</v>
      </c>
      <c r="Q2768">
        <v>1</v>
      </c>
      <c r="R2768">
        <f t="shared" si="215"/>
        <v>0</v>
      </c>
      <c r="S2768">
        <f t="shared" si="216"/>
        <v>1</v>
      </c>
      <c r="T2768">
        <f t="shared" si="217"/>
        <v>3</v>
      </c>
      <c r="U2768">
        <f t="shared" si="218"/>
        <v>1</v>
      </c>
      <c r="V2768">
        <f t="shared" si="219"/>
        <v>0</v>
      </c>
    </row>
    <row r="2769" spans="1:22" x14ac:dyDescent="0.25">
      <c r="A2769">
        <v>2766</v>
      </c>
      <c r="B2769" t="s">
        <v>22</v>
      </c>
      <c r="C2769" t="s">
        <v>1038</v>
      </c>
      <c r="D2769" s="4">
        <v>45449</v>
      </c>
      <c r="E2769" t="s">
        <v>2676</v>
      </c>
      <c r="F2769" t="s">
        <v>75</v>
      </c>
      <c r="I2769" s="6"/>
      <c r="J2769" s="6"/>
      <c r="K2769" s="6"/>
      <c r="L2769" s="6"/>
      <c r="M2769" s="6"/>
      <c r="N2769" s="6"/>
      <c r="O2769" s="6"/>
      <c r="P2769" s="6"/>
      <c r="Q2769">
        <v>0</v>
      </c>
      <c r="R2769">
        <f t="shared" si="215"/>
        <v>0</v>
      </c>
      <c r="S2769">
        <f t="shared" si="216"/>
        <v>0</v>
      </c>
      <c r="T2769">
        <f t="shared" si="217"/>
        <v>0</v>
      </c>
      <c r="U2769">
        <f t="shared" si="218"/>
        <v>0</v>
      </c>
      <c r="V2769">
        <f t="shared" si="219"/>
        <v>0</v>
      </c>
    </row>
    <row r="2770" spans="1:22" x14ac:dyDescent="0.25">
      <c r="A2770">
        <v>2767</v>
      </c>
      <c r="B2770" t="s">
        <v>22</v>
      </c>
      <c r="C2770" t="s">
        <v>1038</v>
      </c>
      <c r="D2770" s="4">
        <v>45449</v>
      </c>
      <c r="E2770" t="s">
        <v>2675</v>
      </c>
      <c r="F2770" t="s">
        <v>75</v>
      </c>
      <c r="I2770" s="6">
        <v>1</v>
      </c>
      <c r="J2770" s="6">
        <v>0</v>
      </c>
      <c r="K2770" s="6">
        <v>1</v>
      </c>
      <c r="L2770" s="6">
        <v>0</v>
      </c>
      <c r="M2770" s="6">
        <v>0</v>
      </c>
      <c r="N2770" s="6">
        <v>0</v>
      </c>
      <c r="O2770" s="6">
        <v>0</v>
      </c>
      <c r="P2770" s="6">
        <v>1</v>
      </c>
      <c r="Q2770">
        <v>1</v>
      </c>
      <c r="R2770">
        <f t="shared" si="215"/>
        <v>0</v>
      </c>
      <c r="S2770">
        <f t="shared" si="216"/>
        <v>1</v>
      </c>
      <c r="T2770">
        <f t="shared" si="217"/>
        <v>3</v>
      </c>
      <c r="U2770">
        <f t="shared" si="218"/>
        <v>1</v>
      </c>
      <c r="V2770">
        <f t="shared" si="219"/>
        <v>0</v>
      </c>
    </row>
    <row r="2771" spans="1:22" x14ac:dyDescent="0.25">
      <c r="A2771">
        <v>2768</v>
      </c>
      <c r="B2771" t="s">
        <v>22</v>
      </c>
      <c r="C2771" t="s">
        <v>1038</v>
      </c>
      <c r="D2771" s="4">
        <v>45449</v>
      </c>
      <c r="E2771" t="s">
        <v>2674</v>
      </c>
      <c r="F2771" t="s">
        <v>75</v>
      </c>
      <c r="I2771" s="6"/>
      <c r="J2771" s="6"/>
      <c r="K2771" s="6"/>
      <c r="L2771" s="6"/>
      <c r="M2771" s="6"/>
      <c r="N2771" s="6"/>
      <c r="O2771" s="6"/>
      <c r="P2771" s="6"/>
      <c r="Q2771">
        <v>0</v>
      </c>
      <c r="R2771">
        <f t="shared" si="215"/>
        <v>0</v>
      </c>
      <c r="S2771">
        <f t="shared" si="216"/>
        <v>0</v>
      </c>
      <c r="T2771">
        <f t="shared" si="217"/>
        <v>0</v>
      </c>
      <c r="U2771">
        <f t="shared" si="218"/>
        <v>0</v>
      </c>
      <c r="V2771">
        <f t="shared" si="219"/>
        <v>0</v>
      </c>
    </row>
    <row r="2772" spans="1:22" x14ac:dyDescent="0.25">
      <c r="A2772">
        <v>2769</v>
      </c>
      <c r="B2772" t="s">
        <v>22</v>
      </c>
      <c r="C2772" t="s">
        <v>1038</v>
      </c>
      <c r="D2772" s="4">
        <v>45449</v>
      </c>
      <c r="E2772" t="s">
        <v>507</v>
      </c>
      <c r="F2772" t="s">
        <v>75</v>
      </c>
      <c r="I2772" s="6">
        <v>0</v>
      </c>
      <c r="J2772" s="6">
        <v>0</v>
      </c>
      <c r="K2772" s="6">
        <v>0</v>
      </c>
      <c r="L2772" s="6">
        <v>1</v>
      </c>
      <c r="M2772" s="6">
        <v>0</v>
      </c>
      <c r="N2772" s="6">
        <v>1</v>
      </c>
      <c r="O2772" s="6">
        <v>0</v>
      </c>
      <c r="P2772" s="6">
        <v>0</v>
      </c>
      <c r="Q2772">
        <v>1</v>
      </c>
      <c r="R2772">
        <f t="shared" si="215"/>
        <v>0</v>
      </c>
      <c r="S2772">
        <f t="shared" si="216"/>
        <v>1</v>
      </c>
      <c r="T2772">
        <f t="shared" si="217"/>
        <v>2</v>
      </c>
      <c r="U2772">
        <f t="shared" si="218"/>
        <v>1</v>
      </c>
      <c r="V2772">
        <f t="shared" si="219"/>
        <v>0</v>
      </c>
    </row>
    <row r="2773" spans="1:22" x14ac:dyDescent="0.25">
      <c r="A2773">
        <v>2770</v>
      </c>
      <c r="B2773" t="s">
        <v>22</v>
      </c>
      <c r="C2773" t="s">
        <v>1038</v>
      </c>
      <c r="D2773" s="4">
        <v>45449</v>
      </c>
      <c r="E2773" t="s">
        <v>390</v>
      </c>
      <c r="F2773" t="s">
        <v>357</v>
      </c>
      <c r="I2773" s="6"/>
      <c r="J2773" s="6"/>
      <c r="K2773" s="6"/>
      <c r="L2773" s="6"/>
      <c r="M2773" s="6"/>
      <c r="N2773" s="6"/>
      <c r="O2773" s="6"/>
      <c r="P2773" s="6"/>
      <c r="Q2773">
        <v>0</v>
      </c>
      <c r="R2773">
        <f t="shared" si="215"/>
        <v>0</v>
      </c>
      <c r="S2773">
        <f t="shared" si="216"/>
        <v>0</v>
      </c>
      <c r="T2773">
        <f t="shared" si="217"/>
        <v>0</v>
      </c>
      <c r="U2773">
        <f t="shared" si="218"/>
        <v>0</v>
      </c>
      <c r="V2773">
        <f t="shared" si="219"/>
        <v>0</v>
      </c>
    </row>
    <row r="2774" spans="1:22" x14ac:dyDescent="0.25">
      <c r="A2774">
        <v>2771</v>
      </c>
      <c r="B2774" t="s">
        <v>22</v>
      </c>
      <c r="C2774" t="s">
        <v>1038</v>
      </c>
      <c r="D2774" s="4">
        <v>45449</v>
      </c>
      <c r="E2774" t="s">
        <v>391</v>
      </c>
      <c r="F2774" t="s">
        <v>75</v>
      </c>
      <c r="I2774" s="6"/>
      <c r="J2774" s="6"/>
      <c r="K2774" s="6"/>
      <c r="L2774" s="6"/>
      <c r="M2774" s="6"/>
      <c r="N2774" s="6"/>
      <c r="O2774" s="6"/>
      <c r="P2774" s="6"/>
      <c r="Q2774">
        <v>0</v>
      </c>
      <c r="R2774">
        <f t="shared" si="215"/>
        <v>0</v>
      </c>
      <c r="S2774">
        <f t="shared" si="216"/>
        <v>0</v>
      </c>
      <c r="T2774">
        <f t="shared" si="217"/>
        <v>0</v>
      </c>
      <c r="U2774">
        <f t="shared" si="218"/>
        <v>0</v>
      </c>
      <c r="V2774">
        <f t="shared" si="219"/>
        <v>0</v>
      </c>
    </row>
    <row r="2775" spans="1:22" x14ac:dyDescent="0.25">
      <c r="A2775">
        <v>2772</v>
      </c>
      <c r="B2775" t="s">
        <v>22</v>
      </c>
      <c r="C2775" t="s">
        <v>1038</v>
      </c>
      <c r="D2775" s="4">
        <v>45449</v>
      </c>
      <c r="E2775" t="s">
        <v>508</v>
      </c>
      <c r="F2775" t="s">
        <v>75</v>
      </c>
      <c r="I2775" s="6"/>
      <c r="J2775" s="6"/>
      <c r="K2775" s="6"/>
      <c r="L2775" s="6"/>
      <c r="M2775" s="6"/>
      <c r="N2775" s="6"/>
      <c r="O2775" s="6"/>
      <c r="P2775" s="6"/>
      <c r="Q2775">
        <v>0</v>
      </c>
      <c r="R2775">
        <f t="shared" si="215"/>
        <v>0</v>
      </c>
      <c r="S2775">
        <f t="shared" si="216"/>
        <v>0</v>
      </c>
      <c r="T2775">
        <f t="shared" si="217"/>
        <v>0</v>
      </c>
      <c r="U2775">
        <f t="shared" si="218"/>
        <v>0</v>
      </c>
      <c r="V2775">
        <f t="shared" si="219"/>
        <v>0</v>
      </c>
    </row>
    <row r="2776" spans="1:22" x14ac:dyDescent="0.25">
      <c r="A2776">
        <v>2773</v>
      </c>
      <c r="B2776" t="s">
        <v>22</v>
      </c>
      <c r="C2776" t="s">
        <v>1038</v>
      </c>
      <c r="D2776" s="4">
        <v>45449</v>
      </c>
      <c r="E2776" t="s">
        <v>509</v>
      </c>
      <c r="F2776" t="s">
        <v>75</v>
      </c>
      <c r="I2776" s="6"/>
      <c r="J2776" s="6"/>
      <c r="K2776" s="6"/>
      <c r="L2776" s="6"/>
      <c r="M2776" s="6"/>
      <c r="N2776" s="6"/>
      <c r="O2776" s="6"/>
      <c r="P2776" s="6"/>
      <c r="Q2776">
        <v>0</v>
      </c>
      <c r="R2776">
        <f t="shared" si="215"/>
        <v>0</v>
      </c>
      <c r="S2776">
        <f t="shared" si="216"/>
        <v>0</v>
      </c>
      <c r="T2776">
        <f t="shared" si="217"/>
        <v>0</v>
      </c>
      <c r="U2776">
        <f t="shared" si="218"/>
        <v>0</v>
      </c>
      <c r="V2776">
        <f t="shared" si="219"/>
        <v>0</v>
      </c>
    </row>
    <row r="2777" spans="1:22" x14ac:dyDescent="0.25">
      <c r="A2777">
        <v>2774</v>
      </c>
      <c r="B2777" t="s">
        <v>22</v>
      </c>
      <c r="C2777" t="s">
        <v>1038</v>
      </c>
      <c r="D2777" s="4">
        <v>45449</v>
      </c>
      <c r="E2777" t="s">
        <v>510</v>
      </c>
      <c r="F2777" t="s">
        <v>413</v>
      </c>
      <c r="G2777">
        <v>136</v>
      </c>
      <c r="H2777" t="s">
        <v>1217</v>
      </c>
      <c r="I2777" s="6">
        <v>1</v>
      </c>
      <c r="J2777" s="6">
        <v>0</v>
      </c>
      <c r="K2777" s="6">
        <v>0</v>
      </c>
      <c r="L2777" s="6">
        <v>1</v>
      </c>
      <c r="M2777" s="6">
        <v>0</v>
      </c>
      <c r="N2777" s="6">
        <v>1</v>
      </c>
      <c r="O2777" s="6">
        <v>0</v>
      </c>
      <c r="P2777" s="6">
        <v>0</v>
      </c>
      <c r="Q2777">
        <v>1</v>
      </c>
      <c r="R2777">
        <f t="shared" si="215"/>
        <v>1</v>
      </c>
      <c r="S2777">
        <f t="shared" si="216"/>
        <v>0</v>
      </c>
      <c r="T2777">
        <f t="shared" si="217"/>
        <v>3</v>
      </c>
      <c r="U2777">
        <f t="shared" si="218"/>
        <v>1</v>
      </c>
      <c r="V2777">
        <f t="shared" si="219"/>
        <v>1</v>
      </c>
    </row>
    <row r="2778" spans="1:22" x14ac:dyDescent="0.25">
      <c r="A2778">
        <v>2775</v>
      </c>
      <c r="B2778" t="s">
        <v>22</v>
      </c>
      <c r="C2778" t="s">
        <v>1038</v>
      </c>
      <c r="D2778" s="4">
        <v>45449</v>
      </c>
      <c r="E2778" t="s">
        <v>511</v>
      </c>
      <c r="F2778" t="s">
        <v>75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>
        <v>1</v>
      </c>
      <c r="R2778">
        <f t="shared" si="215"/>
        <v>0</v>
      </c>
      <c r="S2778">
        <f t="shared" si="216"/>
        <v>1</v>
      </c>
      <c r="T2778">
        <f t="shared" si="217"/>
        <v>0</v>
      </c>
      <c r="U2778">
        <f t="shared" si="218"/>
        <v>0</v>
      </c>
      <c r="V2778">
        <f t="shared" si="219"/>
        <v>0</v>
      </c>
    </row>
    <row r="2779" spans="1:22" x14ac:dyDescent="0.25">
      <c r="A2779">
        <v>2776</v>
      </c>
      <c r="B2779" t="s">
        <v>22</v>
      </c>
      <c r="C2779" t="s">
        <v>1038</v>
      </c>
      <c r="D2779" s="4">
        <v>45449</v>
      </c>
      <c r="E2779" t="s">
        <v>512</v>
      </c>
      <c r="F2779" t="s">
        <v>75</v>
      </c>
      <c r="I2779" s="6">
        <v>0</v>
      </c>
      <c r="J2779" s="6">
        <v>0</v>
      </c>
      <c r="K2779" s="6">
        <v>0</v>
      </c>
      <c r="L2779" s="6">
        <v>1</v>
      </c>
      <c r="M2779" s="6">
        <v>1</v>
      </c>
      <c r="N2779" s="6">
        <v>0</v>
      </c>
      <c r="O2779" s="6">
        <v>0</v>
      </c>
      <c r="P2779" s="6">
        <v>0</v>
      </c>
      <c r="Q2779">
        <v>1</v>
      </c>
      <c r="R2779">
        <f t="shared" si="215"/>
        <v>0</v>
      </c>
      <c r="S2779">
        <f t="shared" si="216"/>
        <v>1</v>
      </c>
      <c r="T2779">
        <f t="shared" si="217"/>
        <v>2</v>
      </c>
      <c r="U2779">
        <f t="shared" si="218"/>
        <v>1</v>
      </c>
      <c r="V2779">
        <f t="shared" si="219"/>
        <v>0</v>
      </c>
    </row>
    <row r="2780" spans="1:22" x14ac:dyDescent="0.25">
      <c r="A2780">
        <v>2777</v>
      </c>
      <c r="B2780" t="s">
        <v>22</v>
      </c>
      <c r="C2780" t="s">
        <v>1038</v>
      </c>
      <c r="D2780" s="4">
        <v>45450</v>
      </c>
      <c r="E2780" t="s">
        <v>392</v>
      </c>
      <c r="F2780" t="s">
        <v>75</v>
      </c>
      <c r="I2780" s="6">
        <v>1</v>
      </c>
      <c r="J2780" s="6">
        <v>1</v>
      </c>
      <c r="K2780" s="6">
        <v>0</v>
      </c>
      <c r="L2780" s="6">
        <v>1</v>
      </c>
      <c r="M2780" s="6">
        <v>1</v>
      </c>
      <c r="N2780" s="6">
        <v>1</v>
      </c>
      <c r="O2780" s="6">
        <v>0</v>
      </c>
      <c r="P2780" s="6">
        <v>0</v>
      </c>
      <c r="Q2780">
        <v>1</v>
      </c>
      <c r="R2780">
        <f t="shared" si="215"/>
        <v>0</v>
      </c>
      <c r="S2780">
        <f t="shared" si="216"/>
        <v>1</v>
      </c>
      <c r="T2780">
        <f t="shared" si="217"/>
        <v>5</v>
      </c>
      <c r="U2780">
        <f t="shared" si="218"/>
        <v>1</v>
      </c>
      <c r="V2780">
        <f t="shared" si="219"/>
        <v>0</v>
      </c>
    </row>
    <row r="2781" spans="1:22" x14ac:dyDescent="0.25">
      <c r="A2781">
        <v>2778</v>
      </c>
      <c r="B2781" t="s">
        <v>22</v>
      </c>
      <c r="C2781" t="s">
        <v>1038</v>
      </c>
      <c r="D2781" s="4">
        <v>45450</v>
      </c>
      <c r="E2781" t="s">
        <v>513</v>
      </c>
      <c r="F2781" t="s">
        <v>75</v>
      </c>
      <c r="I2781" s="6"/>
      <c r="J2781" s="6"/>
      <c r="K2781" s="6"/>
      <c r="L2781" s="6"/>
      <c r="M2781" s="6"/>
      <c r="N2781" s="6"/>
      <c r="O2781" s="6"/>
      <c r="P2781" s="6"/>
      <c r="Q2781">
        <v>0</v>
      </c>
      <c r="R2781">
        <f t="shared" si="215"/>
        <v>0</v>
      </c>
      <c r="S2781">
        <f t="shared" si="216"/>
        <v>0</v>
      </c>
      <c r="T2781">
        <f t="shared" si="217"/>
        <v>0</v>
      </c>
      <c r="U2781">
        <f t="shared" si="218"/>
        <v>0</v>
      </c>
      <c r="V2781">
        <f t="shared" si="219"/>
        <v>0</v>
      </c>
    </row>
    <row r="2782" spans="1:22" x14ac:dyDescent="0.25">
      <c r="A2782">
        <v>2779</v>
      </c>
      <c r="B2782" t="s">
        <v>22</v>
      </c>
      <c r="C2782" t="s">
        <v>1038</v>
      </c>
      <c r="D2782" s="4">
        <v>45450</v>
      </c>
      <c r="E2782" t="s">
        <v>514</v>
      </c>
      <c r="F2782" t="s">
        <v>75</v>
      </c>
      <c r="I2782" s="6"/>
      <c r="J2782" s="6"/>
      <c r="K2782" s="6"/>
      <c r="L2782" s="6"/>
      <c r="M2782" s="6"/>
      <c r="N2782" s="6"/>
      <c r="O2782" s="6"/>
      <c r="P2782" s="6"/>
      <c r="Q2782">
        <v>0</v>
      </c>
      <c r="R2782">
        <f t="shared" si="215"/>
        <v>0</v>
      </c>
      <c r="S2782">
        <f t="shared" si="216"/>
        <v>0</v>
      </c>
      <c r="T2782">
        <f t="shared" si="217"/>
        <v>0</v>
      </c>
      <c r="U2782">
        <f t="shared" si="218"/>
        <v>0</v>
      </c>
      <c r="V2782">
        <f t="shared" si="219"/>
        <v>0</v>
      </c>
    </row>
    <row r="2783" spans="1:22" x14ac:dyDescent="0.25">
      <c r="A2783">
        <v>2780</v>
      </c>
      <c r="B2783" t="s">
        <v>22</v>
      </c>
      <c r="C2783" t="s">
        <v>1038</v>
      </c>
      <c r="D2783" s="4">
        <v>45450</v>
      </c>
      <c r="E2783" t="s">
        <v>2673</v>
      </c>
      <c r="F2783" t="s">
        <v>75</v>
      </c>
      <c r="I2783" s="6"/>
      <c r="J2783" s="6"/>
      <c r="K2783" s="6"/>
      <c r="L2783" s="6"/>
      <c r="M2783" s="6"/>
      <c r="N2783" s="6"/>
      <c r="O2783" s="6"/>
      <c r="P2783" s="6"/>
      <c r="Q2783">
        <v>0</v>
      </c>
      <c r="R2783">
        <f t="shared" si="215"/>
        <v>0</v>
      </c>
      <c r="S2783">
        <f t="shared" si="216"/>
        <v>0</v>
      </c>
      <c r="T2783">
        <f t="shared" si="217"/>
        <v>0</v>
      </c>
      <c r="U2783">
        <f t="shared" si="218"/>
        <v>0</v>
      </c>
      <c r="V2783">
        <f t="shared" si="219"/>
        <v>0</v>
      </c>
    </row>
    <row r="2784" spans="1:22" x14ac:dyDescent="0.25">
      <c r="A2784">
        <v>2781</v>
      </c>
      <c r="B2784" t="s">
        <v>22</v>
      </c>
      <c r="C2784" t="s">
        <v>1038</v>
      </c>
      <c r="D2784" s="4">
        <v>45450</v>
      </c>
      <c r="E2784" t="s">
        <v>515</v>
      </c>
      <c r="F2784" t="s">
        <v>75</v>
      </c>
      <c r="I2784" s="6">
        <v>0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>
        <v>1</v>
      </c>
      <c r="R2784">
        <f t="shared" si="215"/>
        <v>0</v>
      </c>
      <c r="S2784">
        <f t="shared" si="216"/>
        <v>1</v>
      </c>
      <c r="T2784">
        <f t="shared" si="217"/>
        <v>0</v>
      </c>
      <c r="U2784">
        <f t="shared" si="218"/>
        <v>0</v>
      </c>
      <c r="V2784">
        <f t="shared" si="219"/>
        <v>0</v>
      </c>
    </row>
    <row r="2785" spans="1:22" x14ac:dyDescent="0.25">
      <c r="A2785">
        <v>2782</v>
      </c>
      <c r="B2785" t="s">
        <v>22</v>
      </c>
      <c r="C2785" t="s">
        <v>1038</v>
      </c>
      <c r="D2785" s="4">
        <v>45450</v>
      </c>
      <c r="E2785" t="s">
        <v>516</v>
      </c>
      <c r="F2785" t="s">
        <v>75</v>
      </c>
      <c r="I2785" s="6"/>
      <c r="J2785" s="6"/>
      <c r="K2785" s="6"/>
      <c r="L2785" s="6"/>
      <c r="M2785" s="6"/>
      <c r="N2785" s="6"/>
      <c r="O2785" s="6"/>
      <c r="P2785" s="6"/>
      <c r="Q2785">
        <v>0</v>
      </c>
      <c r="R2785">
        <f t="shared" si="215"/>
        <v>0</v>
      </c>
      <c r="S2785">
        <f t="shared" si="216"/>
        <v>0</v>
      </c>
      <c r="T2785">
        <f t="shared" si="217"/>
        <v>0</v>
      </c>
      <c r="U2785">
        <f t="shared" si="218"/>
        <v>0</v>
      </c>
      <c r="V2785">
        <f t="shared" si="219"/>
        <v>0</v>
      </c>
    </row>
    <row r="2786" spans="1:22" x14ac:dyDescent="0.25">
      <c r="A2786">
        <v>2783</v>
      </c>
      <c r="B2786" t="s">
        <v>22</v>
      </c>
      <c r="C2786" t="s">
        <v>1038</v>
      </c>
      <c r="D2786" s="4">
        <v>45450</v>
      </c>
      <c r="E2786" t="s">
        <v>517</v>
      </c>
      <c r="F2786" t="s">
        <v>75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>
        <v>1</v>
      </c>
      <c r="R2786">
        <f t="shared" si="215"/>
        <v>0</v>
      </c>
      <c r="S2786">
        <f t="shared" si="216"/>
        <v>1</v>
      </c>
      <c r="T2786">
        <f t="shared" si="217"/>
        <v>0</v>
      </c>
      <c r="U2786">
        <f t="shared" si="218"/>
        <v>0</v>
      </c>
      <c r="V2786">
        <f t="shared" si="219"/>
        <v>0</v>
      </c>
    </row>
    <row r="2787" spans="1:22" x14ac:dyDescent="0.25">
      <c r="A2787">
        <v>2784</v>
      </c>
      <c r="B2787" t="s">
        <v>22</v>
      </c>
      <c r="C2787" t="s">
        <v>1038</v>
      </c>
      <c r="D2787" s="4">
        <v>45450</v>
      </c>
      <c r="E2787" t="s">
        <v>518</v>
      </c>
      <c r="F2787" t="s">
        <v>75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>
        <v>1</v>
      </c>
      <c r="R2787">
        <f t="shared" si="215"/>
        <v>0</v>
      </c>
      <c r="S2787">
        <f t="shared" si="216"/>
        <v>1</v>
      </c>
      <c r="T2787">
        <f t="shared" si="217"/>
        <v>0</v>
      </c>
      <c r="U2787">
        <f t="shared" si="218"/>
        <v>0</v>
      </c>
      <c r="V2787">
        <f t="shared" si="219"/>
        <v>0</v>
      </c>
    </row>
    <row r="2788" spans="1:22" x14ac:dyDescent="0.25">
      <c r="A2788">
        <v>2785</v>
      </c>
      <c r="B2788" t="s">
        <v>22</v>
      </c>
      <c r="C2788" t="s">
        <v>1038</v>
      </c>
      <c r="D2788" s="4">
        <v>45450</v>
      </c>
      <c r="E2788" t="s">
        <v>519</v>
      </c>
      <c r="F2788" t="s">
        <v>75</v>
      </c>
      <c r="I2788" s="6">
        <v>0</v>
      </c>
      <c r="J2788" s="6">
        <v>0</v>
      </c>
      <c r="K2788" s="6">
        <v>0</v>
      </c>
      <c r="L2788" s="6">
        <v>0</v>
      </c>
      <c r="M2788" s="6">
        <v>0</v>
      </c>
      <c r="N2788" s="6">
        <v>0</v>
      </c>
      <c r="O2788" s="6">
        <v>0</v>
      </c>
      <c r="P2788" s="6">
        <v>0</v>
      </c>
      <c r="Q2788">
        <v>1</v>
      </c>
      <c r="R2788">
        <f t="shared" si="215"/>
        <v>0</v>
      </c>
      <c r="S2788">
        <f t="shared" si="216"/>
        <v>1</v>
      </c>
      <c r="T2788">
        <f t="shared" si="217"/>
        <v>0</v>
      </c>
      <c r="U2788">
        <f t="shared" si="218"/>
        <v>0</v>
      </c>
      <c r="V2788">
        <f t="shared" si="219"/>
        <v>0</v>
      </c>
    </row>
    <row r="2789" spans="1:22" x14ac:dyDescent="0.25">
      <c r="A2789">
        <v>2786</v>
      </c>
      <c r="B2789" t="s">
        <v>22</v>
      </c>
      <c r="C2789" t="s">
        <v>1038</v>
      </c>
      <c r="D2789" s="4">
        <v>45450</v>
      </c>
      <c r="E2789" t="s">
        <v>1499</v>
      </c>
      <c r="F2789" t="s">
        <v>75</v>
      </c>
      <c r="I2789" s="6"/>
      <c r="J2789" s="6"/>
      <c r="K2789" s="6"/>
      <c r="L2789" s="6"/>
      <c r="M2789" s="6"/>
      <c r="N2789" s="6"/>
      <c r="O2789" s="6"/>
      <c r="P2789" s="6"/>
      <c r="Q2789">
        <v>0</v>
      </c>
      <c r="R2789">
        <f t="shared" si="215"/>
        <v>0</v>
      </c>
      <c r="S2789">
        <f t="shared" si="216"/>
        <v>0</v>
      </c>
      <c r="T2789">
        <f t="shared" si="217"/>
        <v>0</v>
      </c>
      <c r="U2789">
        <f t="shared" si="218"/>
        <v>0</v>
      </c>
      <c r="V2789">
        <f t="shared" si="219"/>
        <v>0</v>
      </c>
    </row>
    <row r="2790" spans="1:22" x14ac:dyDescent="0.25">
      <c r="A2790">
        <v>2787</v>
      </c>
      <c r="B2790" t="s">
        <v>22</v>
      </c>
      <c r="C2790" t="s">
        <v>1038</v>
      </c>
      <c r="D2790" s="4">
        <v>45450</v>
      </c>
      <c r="E2790" t="s">
        <v>520</v>
      </c>
      <c r="F2790" t="s">
        <v>75</v>
      </c>
      <c r="I2790" s="6"/>
      <c r="J2790" s="6"/>
      <c r="K2790" s="6"/>
      <c r="L2790" s="6"/>
      <c r="M2790" s="6"/>
      <c r="N2790" s="6"/>
      <c r="O2790" s="6"/>
      <c r="P2790" s="6"/>
      <c r="Q2790">
        <v>0</v>
      </c>
      <c r="R2790">
        <f t="shared" si="215"/>
        <v>0</v>
      </c>
      <c r="S2790">
        <f t="shared" si="216"/>
        <v>0</v>
      </c>
      <c r="T2790">
        <f t="shared" si="217"/>
        <v>0</v>
      </c>
      <c r="U2790">
        <f t="shared" si="218"/>
        <v>0</v>
      </c>
      <c r="V2790">
        <f t="shared" si="219"/>
        <v>0</v>
      </c>
    </row>
    <row r="2791" spans="1:22" x14ac:dyDescent="0.25">
      <c r="A2791">
        <v>2788</v>
      </c>
      <c r="B2791" t="s">
        <v>22</v>
      </c>
      <c r="C2791" t="s">
        <v>1038</v>
      </c>
      <c r="D2791" s="4">
        <v>45450</v>
      </c>
      <c r="E2791" t="s">
        <v>1569</v>
      </c>
      <c r="F2791" t="s">
        <v>75</v>
      </c>
      <c r="I2791" s="6"/>
      <c r="J2791" s="6"/>
      <c r="K2791" s="6"/>
      <c r="L2791" s="6"/>
      <c r="M2791" s="6"/>
      <c r="N2791" s="6"/>
      <c r="O2791" s="6"/>
      <c r="P2791" s="6"/>
      <c r="Q2791">
        <v>0</v>
      </c>
      <c r="R2791">
        <f t="shared" si="215"/>
        <v>0</v>
      </c>
      <c r="S2791">
        <f t="shared" si="216"/>
        <v>0</v>
      </c>
      <c r="T2791">
        <f t="shared" si="217"/>
        <v>0</v>
      </c>
      <c r="U2791">
        <f t="shared" si="218"/>
        <v>0</v>
      </c>
      <c r="V2791">
        <f t="shared" si="219"/>
        <v>0</v>
      </c>
    </row>
    <row r="2792" spans="1:22" x14ac:dyDescent="0.25">
      <c r="A2792">
        <v>2789</v>
      </c>
      <c r="B2792" t="s">
        <v>22</v>
      </c>
      <c r="C2792" t="s">
        <v>1038</v>
      </c>
      <c r="D2792" s="4">
        <v>45452</v>
      </c>
      <c r="E2792" t="s">
        <v>398</v>
      </c>
      <c r="F2792" t="s">
        <v>75</v>
      </c>
      <c r="I2792" s="6">
        <v>0</v>
      </c>
      <c r="J2792" s="6">
        <v>0</v>
      </c>
      <c r="K2792" s="6">
        <v>0</v>
      </c>
      <c r="L2792" s="6">
        <v>1</v>
      </c>
      <c r="M2792" s="6">
        <v>0</v>
      </c>
      <c r="N2792" s="6">
        <v>0</v>
      </c>
      <c r="O2792" s="6">
        <v>0</v>
      </c>
      <c r="P2792" s="6">
        <v>0</v>
      </c>
      <c r="Q2792">
        <v>1</v>
      </c>
      <c r="R2792">
        <f t="shared" si="215"/>
        <v>0</v>
      </c>
      <c r="S2792">
        <f t="shared" si="216"/>
        <v>1</v>
      </c>
      <c r="T2792">
        <f t="shared" si="217"/>
        <v>1</v>
      </c>
      <c r="U2792">
        <f t="shared" si="218"/>
        <v>1</v>
      </c>
      <c r="V2792">
        <f t="shared" si="219"/>
        <v>0</v>
      </c>
    </row>
    <row r="2793" spans="1:22" x14ac:dyDescent="0.25">
      <c r="A2793">
        <v>2790</v>
      </c>
      <c r="B2793" t="s">
        <v>22</v>
      </c>
      <c r="C2793" t="s">
        <v>1038</v>
      </c>
      <c r="D2793" s="4">
        <v>45452</v>
      </c>
      <c r="E2793" t="s">
        <v>399</v>
      </c>
      <c r="F2793" t="s">
        <v>75</v>
      </c>
      <c r="I2793" s="6"/>
      <c r="J2793" s="6"/>
      <c r="K2793" s="6"/>
      <c r="L2793" s="6"/>
      <c r="M2793" s="6"/>
      <c r="N2793" s="6"/>
      <c r="O2793" s="6"/>
      <c r="P2793" s="6"/>
      <c r="Q2793">
        <v>0</v>
      </c>
      <c r="R2793">
        <f t="shared" si="215"/>
        <v>0</v>
      </c>
      <c r="S2793">
        <f t="shared" si="216"/>
        <v>0</v>
      </c>
      <c r="T2793">
        <f t="shared" si="217"/>
        <v>0</v>
      </c>
      <c r="U2793">
        <f t="shared" si="218"/>
        <v>0</v>
      </c>
      <c r="V2793">
        <f t="shared" si="219"/>
        <v>0</v>
      </c>
    </row>
    <row r="2794" spans="1:22" x14ac:dyDescent="0.25">
      <c r="A2794">
        <v>2791</v>
      </c>
      <c r="B2794" t="s">
        <v>22</v>
      </c>
      <c r="C2794" t="s">
        <v>1038</v>
      </c>
      <c r="D2794" s="4">
        <v>45452</v>
      </c>
      <c r="E2794" t="s">
        <v>902</v>
      </c>
      <c r="F2794" t="s">
        <v>75</v>
      </c>
      <c r="I2794" s="6"/>
      <c r="J2794" s="6"/>
      <c r="K2794" s="6"/>
      <c r="L2794" s="6"/>
      <c r="M2794" s="6"/>
      <c r="N2794" s="6"/>
      <c r="O2794" s="6"/>
      <c r="P2794" s="6"/>
      <c r="Q2794">
        <v>0</v>
      </c>
      <c r="R2794">
        <f t="shared" si="215"/>
        <v>0</v>
      </c>
      <c r="S2794">
        <f t="shared" si="216"/>
        <v>0</v>
      </c>
      <c r="T2794">
        <f t="shared" si="217"/>
        <v>0</v>
      </c>
      <c r="U2794">
        <f t="shared" si="218"/>
        <v>0</v>
      </c>
      <c r="V2794">
        <f t="shared" si="219"/>
        <v>0</v>
      </c>
    </row>
    <row r="2795" spans="1:22" x14ac:dyDescent="0.25">
      <c r="A2795">
        <v>2792</v>
      </c>
      <c r="B2795" t="s">
        <v>22</v>
      </c>
      <c r="C2795" t="s">
        <v>1038</v>
      </c>
      <c r="D2795" s="4">
        <v>45452</v>
      </c>
      <c r="E2795" t="s">
        <v>400</v>
      </c>
      <c r="F2795" t="s">
        <v>75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>
        <v>1</v>
      </c>
      <c r="R2795">
        <f t="shared" si="215"/>
        <v>0</v>
      </c>
      <c r="S2795">
        <f t="shared" si="216"/>
        <v>1</v>
      </c>
      <c r="T2795">
        <f t="shared" si="217"/>
        <v>0</v>
      </c>
      <c r="U2795">
        <f t="shared" si="218"/>
        <v>0</v>
      </c>
      <c r="V2795">
        <f t="shared" si="219"/>
        <v>0</v>
      </c>
    </row>
    <row r="2796" spans="1:22" x14ac:dyDescent="0.25">
      <c r="A2796">
        <v>2793</v>
      </c>
      <c r="B2796" t="s">
        <v>22</v>
      </c>
      <c r="C2796" t="s">
        <v>1038</v>
      </c>
      <c r="D2796" s="4">
        <v>45452</v>
      </c>
      <c r="E2796" t="s">
        <v>2084</v>
      </c>
      <c r="F2796" t="s">
        <v>75</v>
      </c>
      <c r="I2796" s="6">
        <v>0</v>
      </c>
      <c r="J2796" s="6">
        <v>0</v>
      </c>
      <c r="K2796" s="6">
        <v>1</v>
      </c>
      <c r="L2796" s="6">
        <v>1</v>
      </c>
      <c r="M2796" s="6">
        <v>1</v>
      </c>
      <c r="N2796" s="6">
        <v>1</v>
      </c>
      <c r="O2796" s="6">
        <v>0</v>
      </c>
      <c r="P2796" s="6">
        <v>0</v>
      </c>
      <c r="Q2796">
        <v>1</v>
      </c>
      <c r="R2796">
        <f t="shared" si="215"/>
        <v>0</v>
      </c>
      <c r="S2796">
        <f t="shared" si="216"/>
        <v>1</v>
      </c>
      <c r="T2796">
        <f t="shared" si="217"/>
        <v>4</v>
      </c>
      <c r="U2796">
        <f t="shared" si="218"/>
        <v>1</v>
      </c>
      <c r="V2796">
        <f t="shared" si="219"/>
        <v>0</v>
      </c>
    </row>
    <row r="2797" spans="1:22" x14ac:dyDescent="0.25">
      <c r="A2797">
        <v>2794</v>
      </c>
      <c r="B2797" t="s">
        <v>28</v>
      </c>
      <c r="C2797" t="s">
        <v>1218</v>
      </c>
      <c r="D2797" s="4">
        <v>45329</v>
      </c>
      <c r="E2797" t="s">
        <v>903</v>
      </c>
      <c r="F2797" t="s">
        <v>75</v>
      </c>
      <c r="I2797" s="6">
        <v>0</v>
      </c>
      <c r="J2797" s="6">
        <v>0</v>
      </c>
      <c r="K2797" s="6">
        <v>0</v>
      </c>
      <c r="L2797" s="6">
        <v>1</v>
      </c>
      <c r="M2797" s="6">
        <v>0</v>
      </c>
      <c r="N2797" s="6">
        <v>1</v>
      </c>
      <c r="O2797" s="6">
        <v>0</v>
      </c>
      <c r="P2797" s="6">
        <v>0</v>
      </c>
      <c r="Q2797">
        <v>1</v>
      </c>
      <c r="R2797">
        <f t="shared" si="215"/>
        <v>0</v>
      </c>
      <c r="S2797">
        <f t="shared" si="216"/>
        <v>1</v>
      </c>
      <c r="T2797">
        <f t="shared" si="217"/>
        <v>2</v>
      </c>
      <c r="U2797">
        <f t="shared" si="218"/>
        <v>1</v>
      </c>
      <c r="V2797">
        <f t="shared" si="219"/>
        <v>0</v>
      </c>
    </row>
    <row r="2798" spans="1:22" x14ac:dyDescent="0.25">
      <c r="A2798">
        <v>2795</v>
      </c>
      <c r="B2798" t="s">
        <v>28</v>
      </c>
      <c r="C2798" t="s">
        <v>1218</v>
      </c>
      <c r="D2798" s="4">
        <v>45330</v>
      </c>
      <c r="E2798" t="s">
        <v>1219</v>
      </c>
      <c r="F2798" t="s">
        <v>75</v>
      </c>
      <c r="I2798" s="6">
        <v>1</v>
      </c>
      <c r="J2798" s="6">
        <v>0</v>
      </c>
      <c r="K2798" s="6">
        <v>0</v>
      </c>
      <c r="L2798" s="6">
        <v>1</v>
      </c>
      <c r="M2798" s="6">
        <v>1</v>
      </c>
      <c r="N2798" s="6">
        <v>1</v>
      </c>
      <c r="O2798" s="6">
        <v>0</v>
      </c>
      <c r="P2798" s="6">
        <v>0</v>
      </c>
      <c r="Q2798">
        <v>1</v>
      </c>
      <c r="R2798">
        <f t="shared" si="215"/>
        <v>0</v>
      </c>
      <c r="S2798">
        <f t="shared" si="216"/>
        <v>1</v>
      </c>
      <c r="T2798">
        <f t="shared" si="217"/>
        <v>4</v>
      </c>
      <c r="U2798">
        <f t="shared" si="218"/>
        <v>1</v>
      </c>
      <c r="V2798">
        <f t="shared" si="219"/>
        <v>0</v>
      </c>
    </row>
    <row r="2799" spans="1:22" x14ac:dyDescent="0.25">
      <c r="A2799">
        <v>2796</v>
      </c>
      <c r="B2799" t="s">
        <v>28</v>
      </c>
      <c r="C2799" t="s">
        <v>1218</v>
      </c>
      <c r="D2799" s="4">
        <v>45331</v>
      </c>
      <c r="E2799" t="s">
        <v>408</v>
      </c>
      <c r="F2799" t="s">
        <v>75</v>
      </c>
      <c r="I2799" s="6">
        <v>1</v>
      </c>
      <c r="J2799" s="6">
        <v>0</v>
      </c>
      <c r="K2799" s="6">
        <v>1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>
        <v>1</v>
      </c>
      <c r="R2799">
        <f t="shared" si="215"/>
        <v>0</v>
      </c>
      <c r="S2799">
        <f t="shared" si="216"/>
        <v>1</v>
      </c>
      <c r="T2799">
        <f t="shared" si="217"/>
        <v>2</v>
      </c>
      <c r="U2799">
        <f t="shared" si="218"/>
        <v>1</v>
      </c>
      <c r="V2799">
        <f t="shared" si="219"/>
        <v>0</v>
      </c>
    </row>
    <row r="2800" spans="1:22" x14ac:dyDescent="0.25">
      <c r="A2800">
        <v>2797</v>
      </c>
      <c r="B2800" t="s">
        <v>28</v>
      </c>
      <c r="C2800" t="s">
        <v>1218</v>
      </c>
      <c r="D2800" s="4">
        <v>45333</v>
      </c>
      <c r="E2800" t="s">
        <v>410</v>
      </c>
      <c r="F2800" t="s">
        <v>75</v>
      </c>
      <c r="I2800" s="6">
        <v>1</v>
      </c>
      <c r="J2800" s="6">
        <v>0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>
        <v>1</v>
      </c>
      <c r="R2800">
        <f t="shared" si="215"/>
        <v>0</v>
      </c>
      <c r="S2800">
        <f t="shared" si="216"/>
        <v>1</v>
      </c>
      <c r="T2800">
        <f t="shared" si="217"/>
        <v>1</v>
      </c>
      <c r="U2800">
        <f t="shared" si="218"/>
        <v>1</v>
      </c>
      <c r="V2800">
        <f t="shared" si="219"/>
        <v>0</v>
      </c>
    </row>
    <row r="2801" spans="1:22" x14ac:dyDescent="0.25">
      <c r="A2801">
        <v>2798</v>
      </c>
      <c r="B2801" t="s">
        <v>28</v>
      </c>
      <c r="C2801" t="s">
        <v>1218</v>
      </c>
      <c r="D2801" s="4">
        <v>45342</v>
      </c>
      <c r="E2801" t="s">
        <v>418</v>
      </c>
      <c r="F2801" t="s">
        <v>75</v>
      </c>
      <c r="I2801" s="6">
        <v>1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>
        <v>1</v>
      </c>
      <c r="R2801">
        <f t="shared" si="215"/>
        <v>0</v>
      </c>
      <c r="S2801">
        <f t="shared" si="216"/>
        <v>1</v>
      </c>
      <c r="T2801">
        <f t="shared" si="217"/>
        <v>1</v>
      </c>
      <c r="U2801">
        <f t="shared" si="218"/>
        <v>1</v>
      </c>
      <c r="V2801">
        <f t="shared" si="219"/>
        <v>0</v>
      </c>
    </row>
    <row r="2802" spans="1:22" x14ac:dyDescent="0.25">
      <c r="A2802">
        <v>2799</v>
      </c>
      <c r="B2802" t="s">
        <v>28</v>
      </c>
      <c r="C2802" t="s">
        <v>1218</v>
      </c>
      <c r="D2802" s="4">
        <v>45343</v>
      </c>
      <c r="E2802" t="s">
        <v>909</v>
      </c>
      <c r="F2802" t="s">
        <v>75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>
        <v>1</v>
      </c>
      <c r="R2802">
        <f t="shared" si="215"/>
        <v>0</v>
      </c>
      <c r="S2802">
        <f t="shared" si="216"/>
        <v>1</v>
      </c>
      <c r="T2802">
        <f t="shared" si="217"/>
        <v>0</v>
      </c>
      <c r="U2802">
        <f t="shared" si="218"/>
        <v>0</v>
      </c>
      <c r="V2802">
        <f t="shared" si="219"/>
        <v>0</v>
      </c>
    </row>
    <row r="2803" spans="1:22" x14ac:dyDescent="0.25">
      <c r="A2803">
        <v>2800</v>
      </c>
      <c r="B2803" t="s">
        <v>28</v>
      </c>
      <c r="C2803" t="s">
        <v>1218</v>
      </c>
      <c r="D2803" s="4">
        <v>45345</v>
      </c>
      <c r="E2803" t="s">
        <v>910</v>
      </c>
      <c r="F2803" t="s">
        <v>75</v>
      </c>
      <c r="I2803" s="6">
        <v>0</v>
      </c>
      <c r="J2803" s="6">
        <v>0</v>
      </c>
      <c r="K2803" s="6">
        <v>0</v>
      </c>
      <c r="L2803" s="6">
        <v>0</v>
      </c>
      <c r="M2803" s="6">
        <v>0</v>
      </c>
      <c r="N2803" s="6">
        <v>1</v>
      </c>
      <c r="O2803" s="6">
        <v>0</v>
      </c>
      <c r="P2803" s="6">
        <v>0</v>
      </c>
      <c r="Q2803">
        <v>1</v>
      </c>
      <c r="R2803">
        <f t="shared" si="215"/>
        <v>0</v>
      </c>
      <c r="S2803">
        <f t="shared" si="216"/>
        <v>1</v>
      </c>
      <c r="T2803">
        <f t="shared" si="217"/>
        <v>1</v>
      </c>
      <c r="U2803">
        <f t="shared" si="218"/>
        <v>1</v>
      </c>
      <c r="V2803">
        <f t="shared" si="219"/>
        <v>0</v>
      </c>
    </row>
    <row r="2804" spans="1:22" x14ac:dyDescent="0.25">
      <c r="A2804">
        <v>2801</v>
      </c>
      <c r="B2804" t="s">
        <v>28</v>
      </c>
      <c r="C2804" t="s">
        <v>1218</v>
      </c>
      <c r="D2804" s="4">
        <v>45348</v>
      </c>
      <c r="E2804" t="s">
        <v>839</v>
      </c>
      <c r="F2804" t="s">
        <v>75</v>
      </c>
      <c r="I2804" s="6">
        <v>0</v>
      </c>
      <c r="J2804" s="6">
        <v>0</v>
      </c>
      <c r="K2804" s="6">
        <v>0</v>
      </c>
      <c r="L2804" s="6">
        <v>0</v>
      </c>
      <c r="M2804" s="6">
        <v>0</v>
      </c>
      <c r="N2804" s="6">
        <v>1</v>
      </c>
      <c r="O2804" s="6">
        <v>0</v>
      </c>
      <c r="P2804" s="6">
        <v>0</v>
      </c>
      <c r="Q2804">
        <v>1</v>
      </c>
      <c r="R2804">
        <f t="shared" si="215"/>
        <v>0</v>
      </c>
      <c r="S2804">
        <f t="shared" si="216"/>
        <v>1</v>
      </c>
      <c r="T2804">
        <f t="shared" si="217"/>
        <v>1</v>
      </c>
      <c r="U2804">
        <f t="shared" si="218"/>
        <v>1</v>
      </c>
      <c r="V2804">
        <f t="shared" si="219"/>
        <v>0</v>
      </c>
    </row>
    <row r="2805" spans="1:22" x14ac:dyDescent="0.25">
      <c r="A2805">
        <v>2802</v>
      </c>
      <c r="B2805" t="s">
        <v>28</v>
      </c>
      <c r="C2805" t="s">
        <v>1218</v>
      </c>
      <c r="D2805" s="4">
        <v>45349</v>
      </c>
      <c r="E2805" t="s">
        <v>253</v>
      </c>
      <c r="F2805" t="s">
        <v>75</v>
      </c>
      <c r="I2805" s="6">
        <v>0</v>
      </c>
      <c r="J2805" s="6">
        <v>0</v>
      </c>
      <c r="K2805" s="6">
        <v>0</v>
      </c>
      <c r="L2805" s="6">
        <v>0</v>
      </c>
      <c r="M2805" s="6">
        <v>0</v>
      </c>
      <c r="N2805" s="6">
        <v>1</v>
      </c>
      <c r="O2805" s="6">
        <v>0</v>
      </c>
      <c r="P2805" s="6">
        <v>0</v>
      </c>
      <c r="Q2805">
        <v>1</v>
      </c>
      <c r="R2805">
        <f t="shared" si="215"/>
        <v>0</v>
      </c>
      <c r="S2805">
        <f t="shared" si="216"/>
        <v>1</v>
      </c>
      <c r="T2805">
        <f t="shared" si="217"/>
        <v>1</v>
      </c>
      <c r="U2805">
        <f t="shared" si="218"/>
        <v>1</v>
      </c>
      <c r="V2805">
        <f t="shared" si="219"/>
        <v>0</v>
      </c>
    </row>
    <row r="2806" spans="1:22" x14ac:dyDescent="0.25">
      <c r="A2806">
        <v>2803</v>
      </c>
      <c r="B2806" t="s">
        <v>28</v>
      </c>
      <c r="C2806" t="s">
        <v>1218</v>
      </c>
      <c r="D2806" s="4">
        <v>45350</v>
      </c>
      <c r="E2806" t="s">
        <v>254</v>
      </c>
      <c r="F2806" t="s">
        <v>75</v>
      </c>
      <c r="I2806" s="6">
        <v>0</v>
      </c>
      <c r="J2806" s="6">
        <v>0</v>
      </c>
      <c r="K2806" s="6">
        <v>0</v>
      </c>
      <c r="L2806" s="6">
        <v>0</v>
      </c>
      <c r="M2806" s="6">
        <v>0</v>
      </c>
      <c r="N2806" s="6">
        <v>1</v>
      </c>
      <c r="O2806" s="6">
        <v>0</v>
      </c>
      <c r="P2806" s="6">
        <v>0</v>
      </c>
      <c r="Q2806">
        <v>1</v>
      </c>
      <c r="R2806">
        <f t="shared" si="215"/>
        <v>0</v>
      </c>
      <c r="S2806">
        <f t="shared" si="216"/>
        <v>1</v>
      </c>
      <c r="T2806">
        <f t="shared" si="217"/>
        <v>1</v>
      </c>
      <c r="U2806">
        <f t="shared" si="218"/>
        <v>1</v>
      </c>
      <c r="V2806">
        <f t="shared" si="219"/>
        <v>0</v>
      </c>
    </row>
    <row r="2807" spans="1:22" x14ac:dyDescent="0.25">
      <c r="A2807">
        <v>2804</v>
      </c>
      <c r="B2807" t="s">
        <v>28</v>
      </c>
      <c r="C2807" t="s">
        <v>1218</v>
      </c>
      <c r="D2807" s="4">
        <v>45353</v>
      </c>
      <c r="E2807" t="s">
        <v>255</v>
      </c>
      <c r="F2807" t="s">
        <v>75</v>
      </c>
      <c r="I2807" s="6">
        <v>0</v>
      </c>
      <c r="J2807" s="6">
        <v>0</v>
      </c>
      <c r="K2807" s="6">
        <v>0</v>
      </c>
      <c r="L2807" s="6">
        <v>1</v>
      </c>
      <c r="M2807" s="6">
        <v>0</v>
      </c>
      <c r="N2807" s="6">
        <v>0</v>
      </c>
      <c r="O2807" s="6">
        <v>0</v>
      </c>
      <c r="P2807" s="6">
        <v>0</v>
      </c>
      <c r="Q2807">
        <v>1</v>
      </c>
      <c r="R2807">
        <f t="shared" si="215"/>
        <v>0</v>
      </c>
      <c r="S2807">
        <f t="shared" si="216"/>
        <v>1</v>
      </c>
      <c r="T2807">
        <f t="shared" si="217"/>
        <v>1</v>
      </c>
      <c r="U2807">
        <f t="shared" si="218"/>
        <v>1</v>
      </c>
      <c r="V2807">
        <f t="shared" si="219"/>
        <v>0</v>
      </c>
    </row>
    <row r="2808" spans="1:22" x14ac:dyDescent="0.25">
      <c r="A2808">
        <v>2805</v>
      </c>
      <c r="B2808" t="s">
        <v>28</v>
      </c>
      <c r="C2808" t="s">
        <v>1218</v>
      </c>
      <c r="D2808" s="4">
        <v>45353</v>
      </c>
      <c r="E2808" t="s">
        <v>256</v>
      </c>
      <c r="F2808" t="s">
        <v>75</v>
      </c>
      <c r="I2808" s="6">
        <v>0</v>
      </c>
      <c r="J2808" s="6">
        <v>0</v>
      </c>
      <c r="K2808" s="6">
        <v>0</v>
      </c>
      <c r="L2808" s="6">
        <v>1</v>
      </c>
      <c r="M2808" s="6">
        <v>0</v>
      </c>
      <c r="N2808" s="6">
        <v>0</v>
      </c>
      <c r="O2808" s="6">
        <v>0</v>
      </c>
      <c r="P2808" s="6">
        <v>0</v>
      </c>
      <c r="Q2808">
        <v>1</v>
      </c>
      <c r="R2808">
        <f t="shared" si="215"/>
        <v>0</v>
      </c>
      <c r="S2808">
        <f t="shared" si="216"/>
        <v>1</v>
      </c>
      <c r="T2808">
        <f t="shared" si="217"/>
        <v>1</v>
      </c>
      <c r="U2808">
        <f t="shared" si="218"/>
        <v>1</v>
      </c>
      <c r="V2808">
        <f t="shared" si="219"/>
        <v>0</v>
      </c>
    </row>
    <row r="2809" spans="1:22" x14ac:dyDescent="0.25">
      <c r="A2809">
        <v>2806</v>
      </c>
      <c r="B2809" t="s">
        <v>28</v>
      </c>
      <c r="C2809" t="s">
        <v>1218</v>
      </c>
      <c r="D2809" s="4">
        <v>45354</v>
      </c>
      <c r="E2809" t="s">
        <v>421</v>
      </c>
      <c r="F2809" t="s">
        <v>75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>
        <v>1</v>
      </c>
      <c r="R2809">
        <f t="shared" si="215"/>
        <v>0</v>
      </c>
      <c r="S2809">
        <f t="shared" si="216"/>
        <v>1</v>
      </c>
      <c r="T2809">
        <f t="shared" si="217"/>
        <v>0</v>
      </c>
      <c r="U2809">
        <f t="shared" si="218"/>
        <v>0</v>
      </c>
      <c r="V2809">
        <f t="shared" si="219"/>
        <v>0</v>
      </c>
    </row>
    <row r="2810" spans="1:22" x14ac:dyDescent="0.25">
      <c r="A2810">
        <v>2807</v>
      </c>
      <c r="B2810" t="s">
        <v>28</v>
      </c>
      <c r="C2810" t="s">
        <v>1218</v>
      </c>
      <c r="D2810" s="4">
        <v>45355</v>
      </c>
      <c r="E2810" t="s">
        <v>840</v>
      </c>
      <c r="F2810" t="s">
        <v>75</v>
      </c>
      <c r="I2810" s="6">
        <v>0</v>
      </c>
      <c r="J2810" s="6">
        <v>0</v>
      </c>
      <c r="K2810" s="6">
        <v>0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>
        <v>1</v>
      </c>
      <c r="R2810">
        <f t="shared" si="215"/>
        <v>0</v>
      </c>
      <c r="S2810">
        <f t="shared" si="216"/>
        <v>1</v>
      </c>
      <c r="T2810">
        <f t="shared" si="217"/>
        <v>0</v>
      </c>
      <c r="U2810">
        <f t="shared" si="218"/>
        <v>0</v>
      </c>
      <c r="V2810">
        <f t="shared" si="219"/>
        <v>0</v>
      </c>
    </row>
    <row r="2811" spans="1:22" x14ac:dyDescent="0.25">
      <c r="A2811">
        <v>2808</v>
      </c>
      <c r="B2811" t="s">
        <v>28</v>
      </c>
      <c r="C2811" t="s">
        <v>1218</v>
      </c>
      <c r="D2811" s="4">
        <v>45355</v>
      </c>
      <c r="E2811" t="s">
        <v>259</v>
      </c>
      <c r="F2811" t="s">
        <v>75</v>
      </c>
      <c r="I2811" s="6">
        <v>0</v>
      </c>
      <c r="J2811" s="6">
        <v>0</v>
      </c>
      <c r="K2811" s="6">
        <v>0</v>
      </c>
      <c r="L2811" s="6">
        <v>0</v>
      </c>
      <c r="M2811" s="6">
        <v>0</v>
      </c>
      <c r="N2811" s="6">
        <v>0</v>
      </c>
      <c r="O2811" s="6">
        <v>0</v>
      </c>
      <c r="P2811" s="6">
        <v>0</v>
      </c>
      <c r="Q2811">
        <v>1</v>
      </c>
      <c r="R2811">
        <f t="shared" si="215"/>
        <v>0</v>
      </c>
      <c r="S2811">
        <f t="shared" si="216"/>
        <v>1</v>
      </c>
      <c r="T2811">
        <f t="shared" si="217"/>
        <v>0</v>
      </c>
      <c r="U2811">
        <f t="shared" si="218"/>
        <v>0</v>
      </c>
      <c r="V2811">
        <f t="shared" si="219"/>
        <v>0</v>
      </c>
    </row>
    <row r="2812" spans="1:22" x14ac:dyDescent="0.25">
      <c r="A2812">
        <v>2809</v>
      </c>
      <c r="B2812" t="s">
        <v>28</v>
      </c>
      <c r="C2812" t="s">
        <v>1218</v>
      </c>
      <c r="D2812" s="4">
        <v>45356</v>
      </c>
      <c r="E2812" t="s">
        <v>841</v>
      </c>
      <c r="F2812" t="s">
        <v>75</v>
      </c>
      <c r="I2812" s="6">
        <v>0</v>
      </c>
      <c r="J2812" s="6">
        <v>0</v>
      </c>
      <c r="K2812" s="6">
        <v>0</v>
      </c>
      <c r="L2812" s="6">
        <v>1</v>
      </c>
      <c r="M2812" s="6">
        <v>0</v>
      </c>
      <c r="N2812" s="6">
        <v>0</v>
      </c>
      <c r="O2812" s="6">
        <v>0</v>
      </c>
      <c r="P2812" s="6">
        <v>0</v>
      </c>
      <c r="Q2812">
        <v>1</v>
      </c>
      <c r="R2812">
        <f t="shared" si="215"/>
        <v>0</v>
      </c>
      <c r="S2812">
        <f t="shared" si="216"/>
        <v>1</v>
      </c>
      <c r="T2812">
        <f t="shared" si="217"/>
        <v>1</v>
      </c>
      <c r="U2812">
        <f t="shared" si="218"/>
        <v>1</v>
      </c>
      <c r="V2812">
        <f t="shared" si="219"/>
        <v>0</v>
      </c>
    </row>
    <row r="2813" spans="1:22" x14ac:dyDescent="0.25">
      <c r="A2813">
        <v>2810</v>
      </c>
      <c r="B2813" t="s">
        <v>28</v>
      </c>
      <c r="C2813" t="s">
        <v>1218</v>
      </c>
      <c r="D2813" s="4">
        <v>45356</v>
      </c>
      <c r="E2813" t="s">
        <v>842</v>
      </c>
      <c r="F2813" t="s">
        <v>75</v>
      </c>
      <c r="I2813" s="6">
        <v>0</v>
      </c>
      <c r="J2813" s="6">
        <v>0</v>
      </c>
      <c r="K2813" s="6">
        <v>0</v>
      </c>
      <c r="L2813" s="6">
        <v>0</v>
      </c>
      <c r="M2813" s="6">
        <v>0</v>
      </c>
      <c r="N2813" s="6">
        <v>0</v>
      </c>
      <c r="O2813" s="6">
        <v>0</v>
      </c>
      <c r="P2813" s="6">
        <v>0</v>
      </c>
      <c r="Q2813">
        <v>1</v>
      </c>
      <c r="R2813">
        <f t="shared" si="215"/>
        <v>0</v>
      </c>
      <c r="S2813">
        <f t="shared" si="216"/>
        <v>1</v>
      </c>
      <c r="T2813">
        <f t="shared" si="217"/>
        <v>0</v>
      </c>
      <c r="U2813">
        <f t="shared" si="218"/>
        <v>0</v>
      </c>
      <c r="V2813">
        <f t="shared" si="219"/>
        <v>0</v>
      </c>
    </row>
    <row r="2814" spans="1:22" x14ac:dyDescent="0.25">
      <c r="A2814">
        <v>2811</v>
      </c>
      <c r="B2814" t="s">
        <v>28</v>
      </c>
      <c r="C2814" t="s">
        <v>1218</v>
      </c>
      <c r="D2814" s="4">
        <v>45357</v>
      </c>
      <c r="E2814" t="s">
        <v>1220</v>
      </c>
      <c r="F2814" t="s">
        <v>75</v>
      </c>
      <c r="I2814" s="6">
        <v>0</v>
      </c>
      <c r="J2814" s="6">
        <v>0</v>
      </c>
      <c r="K2814" s="6">
        <v>0</v>
      </c>
      <c r="L2814" s="6">
        <v>1</v>
      </c>
      <c r="M2814" s="6">
        <v>0</v>
      </c>
      <c r="N2814" s="6">
        <v>0</v>
      </c>
      <c r="O2814" s="6">
        <v>0</v>
      </c>
      <c r="P2814" s="6">
        <v>0</v>
      </c>
      <c r="Q2814">
        <v>1</v>
      </c>
      <c r="R2814">
        <f t="shared" si="215"/>
        <v>0</v>
      </c>
      <c r="S2814">
        <f t="shared" si="216"/>
        <v>1</v>
      </c>
      <c r="T2814">
        <f t="shared" si="217"/>
        <v>1</v>
      </c>
      <c r="U2814">
        <f t="shared" si="218"/>
        <v>1</v>
      </c>
      <c r="V2814">
        <f t="shared" si="219"/>
        <v>0</v>
      </c>
    </row>
    <row r="2815" spans="1:22" x14ac:dyDescent="0.25">
      <c r="A2815">
        <v>2812</v>
      </c>
      <c r="B2815" t="s">
        <v>28</v>
      </c>
      <c r="C2815" t="s">
        <v>1218</v>
      </c>
      <c r="D2815" s="4">
        <v>45359</v>
      </c>
      <c r="E2815" t="s">
        <v>423</v>
      </c>
      <c r="F2815" t="s">
        <v>75</v>
      </c>
      <c r="I2815" s="6">
        <v>0</v>
      </c>
      <c r="J2815" s="6">
        <v>0</v>
      </c>
      <c r="K2815" s="6">
        <v>0</v>
      </c>
      <c r="L2815" s="6">
        <v>1</v>
      </c>
      <c r="M2815" s="6">
        <v>0</v>
      </c>
      <c r="N2815" s="6">
        <v>0</v>
      </c>
      <c r="O2815" s="6">
        <v>0</v>
      </c>
      <c r="P2815" s="6">
        <v>0</v>
      </c>
      <c r="Q2815">
        <v>1</v>
      </c>
      <c r="R2815">
        <f t="shared" si="215"/>
        <v>0</v>
      </c>
      <c r="S2815">
        <f t="shared" si="216"/>
        <v>1</v>
      </c>
      <c r="T2815">
        <f t="shared" si="217"/>
        <v>1</v>
      </c>
      <c r="U2815">
        <f t="shared" si="218"/>
        <v>1</v>
      </c>
      <c r="V2815">
        <f t="shared" si="219"/>
        <v>0</v>
      </c>
    </row>
    <row r="2816" spans="1:22" x14ac:dyDescent="0.25">
      <c r="A2816">
        <v>2813</v>
      </c>
      <c r="B2816" t="s">
        <v>28</v>
      </c>
      <c r="C2816" t="s">
        <v>1218</v>
      </c>
      <c r="D2816" s="4">
        <v>45360</v>
      </c>
      <c r="E2816" t="s">
        <v>424</v>
      </c>
      <c r="F2816" t="s">
        <v>75</v>
      </c>
      <c r="I2816" s="6">
        <v>0</v>
      </c>
      <c r="J2816" s="6">
        <v>0</v>
      </c>
      <c r="K2816" s="6">
        <v>0</v>
      </c>
      <c r="L2816" s="6">
        <v>1</v>
      </c>
      <c r="M2816" s="6">
        <v>0</v>
      </c>
      <c r="N2816" s="6">
        <v>0</v>
      </c>
      <c r="O2816" s="6">
        <v>0</v>
      </c>
      <c r="P2816" s="6">
        <v>0</v>
      </c>
      <c r="Q2816">
        <v>1</v>
      </c>
      <c r="R2816">
        <f t="shared" si="215"/>
        <v>0</v>
      </c>
      <c r="S2816">
        <f t="shared" si="216"/>
        <v>1</v>
      </c>
      <c r="T2816">
        <f t="shared" si="217"/>
        <v>1</v>
      </c>
      <c r="U2816">
        <f t="shared" si="218"/>
        <v>1</v>
      </c>
      <c r="V2816">
        <f t="shared" si="219"/>
        <v>0</v>
      </c>
    </row>
    <row r="2817" spans="1:22" x14ac:dyDescent="0.25">
      <c r="A2817">
        <v>2814</v>
      </c>
      <c r="B2817" t="s">
        <v>28</v>
      </c>
      <c r="C2817" t="s">
        <v>1218</v>
      </c>
      <c r="D2817" s="4">
        <v>45367</v>
      </c>
      <c r="E2817" t="s">
        <v>853</v>
      </c>
      <c r="F2817" t="s">
        <v>75</v>
      </c>
      <c r="I2817" s="6">
        <v>0</v>
      </c>
      <c r="J2817" s="6">
        <v>0</v>
      </c>
      <c r="K2817" s="6">
        <v>0</v>
      </c>
      <c r="L2817" s="6">
        <v>1</v>
      </c>
      <c r="M2817" s="6">
        <v>0</v>
      </c>
      <c r="N2817" s="6">
        <v>0</v>
      </c>
      <c r="O2817" s="6">
        <v>0</v>
      </c>
      <c r="P2817" s="6">
        <v>0</v>
      </c>
      <c r="Q2817">
        <v>1</v>
      </c>
      <c r="R2817">
        <f t="shared" si="215"/>
        <v>0</v>
      </c>
      <c r="S2817">
        <f t="shared" si="216"/>
        <v>1</v>
      </c>
      <c r="T2817">
        <f t="shared" si="217"/>
        <v>1</v>
      </c>
      <c r="U2817">
        <f t="shared" si="218"/>
        <v>1</v>
      </c>
      <c r="V2817">
        <f t="shared" si="219"/>
        <v>0</v>
      </c>
    </row>
    <row r="2818" spans="1:22" x14ac:dyDescent="0.25">
      <c r="A2818">
        <v>2815</v>
      </c>
      <c r="B2818" t="s">
        <v>28</v>
      </c>
      <c r="C2818" t="s">
        <v>1218</v>
      </c>
      <c r="D2818" s="4">
        <v>45374</v>
      </c>
      <c r="E2818" t="s">
        <v>858</v>
      </c>
      <c r="F2818" t="s">
        <v>75</v>
      </c>
      <c r="I2818" s="6">
        <v>0</v>
      </c>
      <c r="J2818" s="6">
        <v>0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>
        <v>1</v>
      </c>
      <c r="R2818">
        <f t="shared" si="215"/>
        <v>0</v>
      </c>
      <c r="S2818">
        <f t="shared" si="216"/>
        <v>1</v>
      </c>
      <c r="T2818">
        <f t="shared" si="217"/>
        <v>0</v>
      </c>
      <c r="U2818">
        <f t="shared" si="218"/>
        <v>0</v>
      </c>
      <c r="V2818">
        <f t="shared" si="219"/>
        <v>0</v>
      </c>
    </row>
    <row r="2819" spans="1:22" x14ac:dyDescent="0.25">
      <c r="A2819">
        <v>2816</v>
      </c>
      <c r="B2819" t="s">
        <v>28</v>
      </c>
      <c r="C2819" t="s">
        <v>1218</v>
      </c>
      <c r="D2819" s="4">
        <v>45375</v>
      </c>
      <c r="E2819" t="s">
        <v>859</v>
      </c>
      <c r="F2819" t="s">
        <v>75</v>
      </c>
      <c r="I2819" s="6">
        <v>0</v>
      </c>
      <c r="J2819" s="6">
        <v>0</v>
      </c>
      <c r="K2819" s="6">
        <v>0</v>
      </c>
      <c r="L2819" s="6">
        <v>0</v>
      </c>
      <c r="M2819" s="6">
        <v>0</v>
      </c>
      <c r="N2819" s="6">
        <v>0</v>
      </c>
      <c r="O2819" s="6">
        <v>0</v>
      </c>
      <c r="P2819" s="6">
        <v>0</v>
      </c>
      <c r="Q2819">
        <v>1</v>
      </c>
      <c r="R2819">
        <f t="shared" ref="R2819:R2882" si="220">IF(AND(Q2819=1,F2819="ai_full"),1,0)</f>
        <v>0</v>
      </c>
      <c r="S2819">
        <f t="shared" ref="S2819:S2882" si="221">IF(AND(Q2819=1,F2819="conventional"),1,0)</f>
        <v>1</v>
      </c>
      <c r="T2819">
        <f t="shared" ref="T2819:T2882" si="222">SUM(I2819:P2819)</f>
        <v>0</v>
      </c>
      <c r="U2819">
        <f t="shared" ref="U2819:U2882" si="223">IF(T2819&gt;=1,1,0)</f>
        <v>0</v>
      </c>
      <c r="V2819">
        <f t="shared" ref="V2819:V2882" si="224">IF(F2819="ai_full",1,0)</f>
        <v>0</v>
      </c>
    </row>
    <row r="2820" spans="1:22" x14ac:dyDescent="0.25">
      <c r="A2820">
        <v>2817</v>
      </c>
      <c r="B2820" t="s">
        <v>28</v>
      </c>
      <c r="C2820" t="s">
        <v>1218</v>
      </c>
      <c r="D2820" s="4">
        <v>45375</v>
      </c>
      <c r="E2820" t="s">
        <v>860</v>
      </c>
      <c r="F2820" t="s">
        <v>75</v>
      </c>
      <c r="I2820" s="6">
        <v>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>
        <v>1</v>
      </c>
      <c r="R2820">
        <f t="shared" si="220"/>
        <v>0</v>
      </c>
      <c r="S2820">
        <f t="shared" si="221"/>
        <v>1</v>
      </c>
      <c r="T2820">
        <f t="shared" si="222"/>
        <v>0</v>
      </c>
      <c r="U2820">
        <f t="shared" si="223"/>
        <v>0</v>
      </c>
      <c r="V2820">
        <f t="shared" si="224"/>
        <v>0</v>
      </c>
    </row>
    <row r="2821" spans="1:22" x14ac:dyDescent="0.25">
      <c r="A2821">
        <v>2818</v>
      </c>
      <c r="B2821" t="s">
        <v>28</v>
      </c>
      <c r="C2821" t="s">
        <v>1218</v>
      </c>
      <c r="D2821" s="4">
        <v>45377</v>
      </c>
      <c r="E2821" t="s">
        <v>862</v>
      </c>
      <c r="F2821" t="s">
        <v>75</v>
      </c>
      <c r="I2821" s="6">
        <v>0</v>
      </c>
      <c r="J2821" s="6">
        <v>0</v>
      </c>
      <c r="K2821" s="6">
        <v>0</v>
      </c>
      <c r="L2821" s="6">
        <v>1</v>
      </c>
      <c r="M2821" s="6">
        <v>0</v>
      </c>
      <c r="N2821" s="6">
        <v>0</v>
      </c>
      <c r="O2821" s="6">
        <v>0</v>
      </c>
      <c r="P2821" s="6">
        <v>0</v>
      </c>
      <c r="Q2821">
        <v>1</v>
      </c>
      <c r="R2821">
        <f t="shared" si="220"/>
        <v>0</v>
      </c>
      <c r="S2821">
        <f t="shared" si="221"/>
        <v>1</v>
      </c>
      <c r="T2821">
        <f t="shared" si="222"/>
        <v>1</v>
      </c>
      <c r="U2821">
        <f t="shared" si="223"/>
        <v>1</v>
      </c>
      <c r="V2821">
        <f t="shared" si="224"/>
        <v>0</v>
      </c>
    </row>
    <row r="2822" spans="1:22" x14ac:dyDescent="0.25">
      <c r="A2822">
        <v>2819</v>
      </c>
      <c r="B2822" t="s">
        <v>28</v>
      </c>
      <c r="C2822" t="s">
        <v>1218</v>
      </c>
      <c r="D2822" s="4">
        <v>45378</v>
      </c>
      <c r="E2822" t="s">
        <v>273</v>
      </c>
      <c r="F2822" t="s">
        <v>75</v>
      </c>
      <c r="I2822" s="6">
        <v>0</v>
      </c>
      <c r="J2822" s="6">
        <v>0</v>
      </c>
      <c r="K2822" s="6">
        <v>0</v>
      </c>
      <c r="L2822" s="6">
        <v>0</v>
      </c>
      <c r="M2822" s="6">
        <v>1</v>
      </c>
      <c r="N2822" s="6">
        <v>0</v>
      </c>
      <c r="O2822" s="6">
        <v>0</v>
      </c>
      <c r="P2822" s="6">
        <v>0</v>
      </c>
      <c r="Q2822">
        <v>1</v>
      </c>
      <c r="R2822">
        <f t="shared" si="220"/>
        <v>0</v>
      </c>
      <c r="S2822">
        <f t="shared" si="221"/>
        <v>1</v>
      </c>
      <c r="T2822">
        <f t="shared" si="222"/>
        <v>1</v>
      </c>
      <c r="U2822">
        <f t="shared" si="223"/>
        <v>1</v>
      </c>
      <c r="V2822">
        <f t="shared" si="224"/>
        <v>0</v>
      </c>
    </row>
    <row r="2823" spans="1:22" x14ac:dyDescent="0.25">
      <c r="A2823">
        <v>2820</v>
      </c>
      <c r="B2823" t="s">
        <v>28</v>
      </c>
      <c r="C2823" t="s">
        <v>1218</v>
      </c>
      <c r="D2823" s="4">
        <v>45380</v>
      </c>
      <c r="E2823" t="s">
        <v>274</v>
      </c>
      <c r="F2823" t="s">
        <v>75</v>
      </c>
      <c r="I2823" s="6">
        <v>0</v>
      </c>
      <c r="J2823" s="6">
        <v>0</v>
      </c>
      <c r="K2823" s="6">
        <v>0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>
        <v>1</v>
      </c>
      <c r="R2823">
        <f t="shared" si="220"/>
        <v>0</v>
      </c>
      <c r="S2823">
        <f t="shared" si="221"/>
        <v>1</v>
      </c>
      <c r="T2823">
        <f t="shared" si="222"/>
        <v>0</v>
      </c>
      <c r="U2823">
        <f t="shared" si="223"/>
        <v>0</v>
      </c>
      <c r="V2823">
        <f t="shared" si="224"/>
        <v>0</v>
      </c>
    </row>
    <row r="2824" spans="1:22" x14ac:dyDescent="0.25">
      <c r="A2824">
        <v>2821</v>
      </c>
      <c r="B2824" t="s">
        <v>28</v>
      </c>
      <c r="C2824" t="s">
        <v>1218</v>
      </c>
      <c r="D2824" s="4">
        <v>45382</v>
      </c>
      <c r="E2824" t="s">
        <v>950</v>
      </c>
      <c r="F2824" t="s">
        <v>75</v>
      </c>
      <c r="I2824" s="6">
        <v>0</v>
      </c>
      <c r="J2824" s="6">
        <v>0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>
        <v>1</v>
      </c>
      <c r="R2824">
        <f t="shared" si="220"/>
        <v>0</v>
      </c>
      <c r="S2824">
        <f t="shared" si="221"/>
        <v>1</v>
      </c>
      <c r="T2824">
        <f t="shared" si="222"/>
        <v>0</v>
      </c>
      <c r="U2824">
        <f t="shared" si="223"/>
        <v>0</v>
      </c>
      <c r="V2824">
        <f t="shared" si="224"/>
        <v>0</v>
      </c>
    </row>
    <row r="2825" spans="1:22" x14ac:dyDescent="0.25">
      <c r="A2825">
        <v>2822</v>
      </c>
      <c r="B2825" t="s">
        <v>28</v>
      </c>
      <c r="C2825" t="s">
        <v>1218</v>
      </c>
      <c r="D2825" s="4">
        <v>45387</v>
      </c>
      <c r="E2825" t="s">
        <v>1221</v>
      </c>
      <c r="F2825" t="s">
        <v>75</v>
      </c>
      <c r="I2825" s="6">
        <v>1</v>
      </c>
      <c r="J2825" s="6">
        <v>0</v>
      </c>
      <c r="K2825" s="6">
        <v>1</v>
      </c>
      <c r="L2825" s="6">
        <v>0</v>
      </c>
      <c r="M2825" s="6">
        <v>0</v>
      </c>
      <c r="N2825" s="6">
        <v>0</v>
      </c>
      <c r="O2825" s="6">
        <v>1</v>
      </c>
      <c r="P2825" s="6">
        <v>0</v>
      </c>
      <c r="Q2825">
        <v>1</v>
      </c>
      <c r="R2825">
        <f t="shared" si="220"/>
        <v>0</v>
      </c>
      <c r="S2825">
        <f t="shared" si="221"/>
        <v>1</v>
      </c>
      <c r="T2825">
        <f t="shared" si="222"/>
        <v>3</v>
      </c>
      <c r="U2825">
        <f t="shared" si="223"/>
        <v>1</v>
      </c>
      <c r="V2825">
        <f t="shared" si="224"/>
        <v>0</v>
      </c>
    </row>
    <row r="2826" spans="1:22" x14ac:dyDescent="0.25">
      <c r="A2826">
        <v>2823</v>
      </c>
      <c r="B2826" t="s">
        <v>28</v>
      </c>
      <c r="C2826" t="s">
        <v>1218</v>
      </c>
      <c r="D2826" s="4">
        <v>45388</v>
      </c>
      <c r="E2826" t="s">
        <v>1057</v>
      </c>
      <c r="F2826" t="s">
        <v>75</v>
      </c>
      <c r="I2826" s="6">
        <v>0</v>
      </c>
      <c r="J2826" s="6">
        <v>0</v>
      </c>
      <c r="K2826" s="6">
        <v>0</v>
      </c>
      <c r="L2826" s="6">
        <v>0</v>
      </c>
      <c r="M2826" s="6">
        <v>0</v>
      </c>
      <c r="N2826" s="6">
        <v>0</v>
      </c>
      <c r="O2826" s="6">
        <v>0</v>
      </c>
      <c r="P2826" s="6">
        <v>0</v>
      </c>
      <c r="Q2826">
        <v>1</v>
      </c>
      <c r="R2826">
        <f t="shared" si="220"/>
        <v>0</v>
      </c>
      <c r="S2826">
        <f t="shared" si="221"/>
        <v>1</v>
      </c>
      <c r="T2826">
        <f t="shared" si="222"/>
        <v>0</v>
      </c>
      <c r="U2826">
        <f t="shared" si="223"/>
        <v>0</v>
      </c>
      <c r="V2826">
        <f t="shared" si="224"/>
        <v>0</v>
      </c>
    </row>
    <row r="2827" spans="1:22" x14ac:dyDescent="0.25">
      <c r="A2827">
        <v>2824</v>
      </c>
      <c r="B2827" t="s">
        <v>28</v>
      </c>
      <c r="C2827" t="s">
        <v>1218</v>
      </c>
      <c r="D2827" s="4">
        <v>45388</v>
      </c>
      <c r="E2827" t="s">
        <v>1222</v>
      </c>
      <c r="F2827" t="s">
        <v>75</v>
      </c>
      <c r="I2827" s="6">
        <v>0</v>
      </c>
      <c r="J2827" s="6">
        <v>0</v>
      </c>
      <c r="K2827" s="6">
        <v>0</v>
      </c>
      <c r="L2827" s="6">
        <v>0</v>
      </c>
      <c r="M2827" s="6">
        <v>0</v>
      </c>
      <c r="N2827" s="6">
        <v>0</v>
      </c>
      <c r="O2827" s="6">
        <v>0</v>
      </c>
      <c r="P2827" s="6">
        <v>0</v>
      </c>
      <c r="Q2827">
        <v>1</v>
      </c>
      <c r="R2827">
        <f t="shared" si="220"/>
        <v>0</v>
      </c>
      <c r="S2827">
        <f t="shared" si="221"/>
        <v>1</v>
      </c>
      <c r="T2827">
        <f t="shared" si="222"/>
        <v>0</v>
      </c>
      <c r="U2827">
        <f t="shared" si="223"/>
        <v>0</v>
      </c>
      <c r="V2827">
        <f t="shared" si="224"/>
        <v>0</v>
      </c>
    </row>
    <row r="2828" spans="1:22" x14ac:dyDescent="0.25">
      <c r="A2828">
        <v>2825</v>
      </c>
      <c r="B2828" t="s">
        <v>28</v>
      </c>
      <c r="C2828" t="s">
        <v>1218</v>
      </c>
      <c r="D2828" s="4">
        <v>45389</v>
      </c>
      <c r="E2828" t="s">
        <v>450</v>
      </c>
      <c r="F2828" t="s">
        <v>75</v>
      </c>
      <c r="I2828" s="6">
        <v>0</v>
      </c>
      <c r="J2828" s="6">
        <v>0</v>
      </c>
      <c r="K2828" s="6">
        <v>0</v>
      </c>
      <c r="L2828" s="6">
        <v>0</v>
      </c>
      <c r="M2828" s="6">
        <v>0</v>
      </c>
      <c r="N2828" s="6">
        <v>0</v>
      </c>
      <c r="O2828" s="6">
        <v>0</v>
      </c>
      <c r="P2828" s="6">
        <v>0</v>
      </c>
      <c r="Q2828">
        <v>1</v>
      </c>
      <c r="R2828">
        <f t="shared" si="220"/>
        <v>0</v>
      </c>
      <c r="S2828">
        <f t="shared" si="221"/>
        <v>1</v>
      </c>
      <c r="T2828">
        <f t="shared" si="222"/>
        <v>0</v>
      </c>
      <c r="U2828">
        <f t="shared" si="223"/>
        <v>0</v>
      </c>
      <c r="V2828">
        <f t="shared" si="224"/>
        <v>0</v>
      </c>
    </row>
    <row r="2829" spans="1:22" x14ac:dyDescent="0.25">
      <c r="A2829">
        <v>2826</v>
      </c>
      <c r="B2829" t="s">
        <v>28</v>
      </c>
      <c r="C2829" t="s">
        <v>1218</v>
      </c>
      <c r="D2829" s="4">
        <v>45389</v>
      </c>
      <c r="E2829" t="s">
        <v>1223</v>
      </c>
      <c r="F2829" t="s">
        <v>75</v>
      </c>
      <c r="I2829" s="6">
        <v>0</v>
      </c>
      <c r="J2829" s="6">
        <v>0</v>
      </c>
      <c r="K2829" s="6">
        <v>0</v>
      </c>
      <c r="L2829" s="6">
        <v>0</v>
      </c>
      <c r="M2829" s="6">
        <v>0</v>
      </c>
      <c r="N2829" s="6">
        <v>0</v>
      </c>
      <c r="O2829" s="6">
        <v>0</v>
      </c>
      <c r="P2829" s="6">
        <v>0</v>
      </c>
      <c r="Q2829">
        <v>1</v>
      </c>
      <c r="R2829">
        <f t="shared" si="220"/>
        <v>0</v>
      </c>
      <c r="S2829">
        <f t="shared" si="221"/>
        <v>1</v>
      </c>
      <c r="T2829">
        <f t="shared" si="222"/>
        <v>0</v>
      </c>
      <c r="U2829">
        <f t="shared" si="223"/>
        <v>0</v>
      </c>
      <c r="V2829">
        <f t="shared" si="224"/>
        <v>0</v>
      </c>
    </row>
    <row r="2830" spans="1:22" x14ac:dyDescent="0.25">
      <c r="A2830">
        <v>2827</v>
      </c>
      <c r="B2830" t="s">
        <v>28</v>
      </c>
      <c r="C2830" t="s">
        <v>1218</v>
      </c>
      <c r="D2830" s="4">
        <v>45391</v>
      </c>
      <c r="E2830" t="s">
        <v>451</v>
      </c>
      <c r="F2830" t="s">
        <v>75</v>
      </c>
      <c r="I2830" s="6">
        <v>0</v>
      </c>
      <c r="J2830" s="6">
        <v>0</v>
      </c>
      <c r="K2830" s="6">
        <v>0</v>
      </c>
      <c r="L2830" s="6">
        <v>1</v>
      </c>
      <c r="M2830" s="6">
        <v>0</v>
      </c>
      <c r="N2830" s="6">
        <v>0</v>
      </c>
      <c r="O2830" s="6">
        <v>0</v>
      </c>
      <c r="P2830" s="6">
        <v>0</v>
      </c>
      <c r="Q2830">
        <v>1</v>
      </c>
      <c r="R2830">
        <f t="shared" si="220"/>
        <v>0</v>
      </c>
      <c r="S2830">
        <f t="shared" si="221"/>
        <v>1</v>
      </c>
      <c r="T2830">
        <f t="shared" si="222"/>
        <v>1</v>
      </c>
      <c r="U2830">
        <f t="shared" si="223"/>
        <v>1</v>
      </c>
      <c r="V2830">
        <f t="shared" si="224"/>
        <v>0</v>
      </c>
    </row>
    <row r="2831" spans="1:22" x14ac:dyDescent="0.25">
      <c r="A2831">
        <v>2828</v>
      </c>
      <c r="B2831" t="s">
        <v>28</v>
      </c>
      <c r="C2831" t="s">
        <v>1218</v>
      </c>
      <c r="D2831" s="4">
        <v>45396</v>
      </c>
      <c r="E2831" t="s">
        <v>1224</v>
      </c>
      <c r="F2831" t="s">
        <v>75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>
        <v>1</v>
      </c>
      <c r="R2831">
        <f t="shared" si="220"/>
        <v>0</v>
      </c>
      <c r="S2831">
        <f t="shared" si="221"/>
        <v>1</v>
      </c>
      <c r="T2831">
        <f t="shared" si="222"/>
        <v>0</v>
      </c>
      <c r="U2831">
        <f t="shared" si="223"/>
        <v>0</v>
      </c>
      <c r="V2831">
        <f t="shared" si="224"/>
        <v>0</v>
      </c>
    </row>
    <row r="2832" spans="1:22" x14ac:dyDescent="0.25">
      <c r="A2832">
        <v>2829</v>
      </c>
      <c r="B2832" t="s">
        <v>28</v>
      </c>
      <c r="C2832" t="s">
        <v>1218</v>
      </c>
      <c r="D2832" s="4">
        <v>45398</v>
      </c>
      <c r="E2832" t="s">
        <v>456</v>
      </c>
      <c r="F2832" t="s">
        <v>75</v>
      </c>
      <c r="I2832" s="6">
        <v>0</v>
      </c>
      <c r="J2832" s="6">
        <v>0</v>
      </c>
      <c r="K2832" s="6">
        <v>0</v>
      </c>
      <c r="L2832" s="6">
        <v>1</v>
      </c>
      <c r="M2832" s="6">
        <v>0</v>
      </c>
      <c r="N2832" s="6">
        <v>1</v>
      </c>
      <c r="O2832" s="6">
        <v>0</v>
      </c>
      <c r="P2832" s="6">
        <v>0</v>
      </c>
      <c r="Q2832">
        <v>1</v>
      </c>
      <c r="R2832">
        <f t="shared" si="220"/>
        <v>0</v>
      </c>
      <c r="S2832">
        <f t="shared" si="221"/>
        <v>1</v>
      </c>
      <c r="T2832">
        <f t="shared" si="222"/>
        <v>2</v>
      </c>
      <c r="U2832">
        <f t="shared" si="223"/>
        <v>1</v>
      </c>
      <c r="V2832">
        <f t="shared" si="224"/>
        <v>0</v>
      </c>
    </row>
    <row r="2833" spans="1:22" x14ac:dyDescent="0.25">
      <c r="A2833">
        <v>2830</v>
      </c>
      <c r="B2833" t="s">
        <v>28</v>
      </c>
      <c r="C2833" t="s">
        <v>1218</v>
      </c>
      <c r="D2833" s="4">
        <v>45400</v>
      </c>
      <c r="E2833" t="s">
        <v>458</v>
      </c>
      <c r="F2833" t="s">
        <v>75</v>
      </c>
      <c r="I2833" s="6">
        <v>0</v>
      </c>
      <c r="J2833" s="6">
        <v>0</v>
      </c>
      <c r="K2833" s="6">
        <v>1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>
        <v>1</v>
      </c>
      <c r="R2833">
        <f t="shared" si="220"/>
        <v>0</v>
      </c>
      <c r="S2833">
        <f t="shared" si="221"/>
        <v>1</v>
      </c>
      <c r="T2833">
        <f t="shared" si="222"/>
        <v>1</v>
      </c>
      <c r="U2833">
        <f t="shared" si="223"/>
        <v>1</v>
      </c>
      <c r="V2833">
        <f t="shared" si="224"/>
        <v>0</v>
      </c>
    </row>
    <row r="2834" spans="1:22" x14ac:dyDescent="0.25">
      <c r="A2834">
        <v>2831</v>
      </c>
      <c r="B2834" t="s">
        <v>28</v>
      </c>
      <c r="C2834" t="s">
        <v>1218</v>
      </c>
      <c r="D2834" s="4">
        <v>45401</v>
      </c>
      <c r="E2834" t="s">
        <v>298</v>
      </c>
      <c r="F2834" t="s">
        <v>75</v>
      </c>
      <c r="I2834" s="6">
        <v>0</v>
      </c>
      <c r="J2834" s="6">
        <v>0</v>
      </c>
      <c r="K2834" s="6">
        <v>0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>
        <v>1</v>
      </c>
      <c r="R2834">
        <f t="shared" si="220"/>
        <v>0</v>
      </c>
      <c r="S2834">
        <f t="shared" si="221"/>
        <v>1</v>
      </c>
      <c r="T2834">
        <f t="shared" si="222"/>
        <v>0</v>
      </c>
      <c r="U2834">
        <f t="shared" si="223"/>
        <v>0</v>
      </c>
      <c r="V2834">
        <f t="shared" si="224"/>
        <v>0</v>
      </c>
    </row>
    <row r="2835" spans="1:22" x14ac:dyDescent="0.25">
      <c r="A2835">
        <v>2832</v>
      </c>
      <c r="B2835" t="s">
        <v>28</v>
      </c>
      <c r="C2835" t="s">
        <v>1218</v>
      </c>
      <c r="D2835" s="4">
        <v>45401</v>
      </c>
      <c r="E2835" t="s">
        <v>459</v>
      </c>
      <c r="F2835" t="s">
        <v>75</v>
      </c>
      <c r="I2835" s="6">
        <v>0</v>
      </c>
      <c r="J2835" s="6">
        <v>0</v>
      </c>
      <c r="K2835" s="6">
        <v>0</v>
      </c>
      <c r="L2835" s="6">
        <v>0</v>
      </c>
      <c r="M2835" s="6">
        <v>0</v>
      </c>
      <c r="N2835" s="6">
        <v>0</v>
      </c>
      <c r="O2835" s="6">
        <v>0</v>
      </c>
      <c r="P2835" s="6">
        <v>0</v>
      </c>
      <c r="Q2835">
        <v>1</v>
      </c>
      <c r="R2835">
        <f t="shared" si="220"/>
        <v>0</v>
      </c>
      <c r="S2835">
        <f t="shared" si="221"/>
        <v>1</v>
      </c>
      <c r="T2835">
        <f t="shared" si="222"/>
        <v>0</v>
      </c>
      <c r="U2835">
        <f t="shared" si="223"/>
        <v>0</v>
      </c>
      <c r="V2835">
        <f t="shared" si="224"/>
        <v>0</v>
      </c>
    </row>
    <row r="2836" spans="1:22" x14ac:dyDescent="0.25">
      <c r="A2836">
        <v>2833</v>
      </c>
      <c r="B2836" t="s">
        <v>28</v>
      </c>
      <c r="C2836" t="s">
        <v>1218</v>
      </c>
      <c r="D2836" s="4">
        <v>45403</v>
      </c>
      <c r="E2836" t="s">
        <v>1225</v>
      </c>
      <c r="F2836" t="s">
        <v>75</v>
      </c>
      <c r="I2836" s="6">
        <v>0</v>
      </c>
      <c r="J2836" s="6">
        <v>0</v>
      </c>
      <c r="K2836" s="6">
        <v>0</v>
      </c>
      <c r="L2836" s="6">
        <v>0</v>
      </c>
      <c r="M2836" s="6">
        <v>0</v>
      </c>
      <c r="N2836" s="6">
        <v>0</v>
      </c>
      <c r="O2836" s="6">
        <v>0</v>
      </c>
      <c r="P2836" s="6">
        <v>0</v>
      </c>
      <c r="Q2836">
        <v>1</v>
      </c>
      <c r="R2836">
        <f t="shared" si="220"/>
        <v>0</v>
      </c>
      <c r="S2836">
        <f t="shared" si="221"/>
        <v>1</v>
      </c>
      <c r="T2836">
        <f t="shared" si="222"/>
        <v>0</v>
      </c>
      <c r="U2836">
        <f t="shared" si="223"/>
        <v>0</v>
      </c>
      <c r="V2836">
        <f t="shared" si="224"/>
        <v>0</v>
      </c>
    </row>
    <row r="2837" spans="1:22" x14ac:dyDescent="0.25">
      <c r="A2837">
        <v>2834</v>
      </c>
      <c r="B2837" t="s">
        <v>28</v>
      </c>
      <c r="C2837" t="s">
        <v>1218</v>
      </c>
      <c r="D2837" s="4">
        <v>45404</v>
      </c>
      <c r="E2837" t="s">
        <v>1226</v>
      </c>
      <c r="F2837" t="s">
        <v>75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>
        <v>1</v>
      </c>
      <c r="R2837">
        <f t="shared" si="220"/>
        <v>0</v>
      </c>
      <c r="S2837">
        <f t="shared" si="221"/>
        <v>1</v>
      </c>
      <c r="T2837">
        <f t="shared" si="222"/>
        <v>0</v>
      </c>
      <c r="U2837">
        <f t="shared" si="223"/>
        <v>0</v>
      </c>
      <c r="V2837">
        <f t="shared" si="224"/>
        <v>0</v>
      </c>
    </row>
    <row r="2838" spans="1:22" x14ac:dyDescent="0.25">
      <c r="A2838">
        <v>2835</v>
      </c>
      <c r="B2838" t="s">
        <v>28</v>
      </c>
      <c r="C2838" t="s">
        <v>1218</v>
      </c>
      <c r="D2838" s="4">
        <v>45405</v>
      </c>
      <c r="E2838" t="s">
        <v>463</v>
      </c>
      <c r="F2838" t="s">
        <v>75</v>
      </c>
      <c r="I2838" s="6">
        <v>0</v>
      </c>
      <c r="J2838" s="6">
        <v>0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>
        <v>1</v>
      </c>
      <c r="R2838">
        <f t="shared" si="220"/>
        <v>0</v>
      </c>
      <c r="S2838">
        <f t="shared" si="221"/>
        <v>1</v>
      </c>
      <c r="T2838">
        <f t="shared" si="222"/>
        <v>0</v>
      </c>
      <c r="U2838">
        <f t="shared" si="223"/>
        <v>0</v>
      </c>
      <c r="V2838">
        <f t="shared" si="224"/>
        <v>0</v>
      </c>
    </row>
    <row r="2839" spans="1:22" x14ac:dyDescent="0.25">
      <c r="A2839">
        <v>2836</v>
      </c>
      <c r="B2839" t="s">
        <v>28</v>
      </c>
      <c r="C2839" t="s">
        <v>1218</v>
      </c>
      <c r="D2839" s="4">
        <v>45406</v>
      </c>
      <c r="E2839" t="s">
        <v>1227</v>
      </c>
      <c r="F2839" t="s">
        <v>75</v>
      </c>
      <c r="I2839" s="6">
        <v>1</v>
      </c>
      <c r="J2839" s="6">
        <v>0</v>
      </c>
      <c r="K2839" s="6">
        <v>1</v>
      </c>
      <c r="L2839" s="6">
        <v>0</v>
      </c>
      <c r="M2839" s="6">
        <v>1</v>
      </c>
      <c r="N2839" s="6">
        <v>0</v>
      </c>
      <c r="O2839" s="6">
        <v>0</v>
      </c>
      <c r="P2839" s="6">
        <v>0</v>
      </c>
      <c r="Q2839">
        <v>1</v>
      </c>
      <c r="R2839">
        <f t="shared" si="220"/>
        <v>0</v>
      </c>
      <c r="S2839">
        <f t="shared" si="221"/>
        <v>1</v>
      </c>
      <c r="T2839">
        <f t="shared" si="222"/>
        <v>3</v>
      </c>
      <c r="U2839">
        <f t="shared" si="223"/>
        <v>1</v>
      </c>
      <c r="V2839">
        <f t="shared" si="224"/>
        <v>0</v>
      </c>
    </row>
    <row r="2840" spans="1:22" x14ac:dyDescent="0.25">
      <c r="A2840">
        <v>2837</v>
      </c>
      <c r="B2840" t="s">
        <v>28</v>
      </c>
      <c r="C2840" t="s">
        <v>1218</v>
      </c>
      <c r="D2840" s="4">
        <v>45407</v>
      </c>
      <c r="E2840" t="s">
        <v>1228</v>
      </c>
      <c r="F2840" t="s">
        <v>75</v>
      </c>
      <c r="I2840" s="6">
        <v>0</v>
      </c>
      <c r="J2840" s="6">
        <v>0</v>
      </c>
      <c r="K2840" s="6">
        <v>0</v>
      </c>
      <c r="L2840" s="6">
        <v>0</v>
      </c>
      <c r="M2840" s="6">
        <v>1</v>
      </c>
      <c r="N2840" s="6">
        <v>1</v>
      </c>
      <c r="O2840" s="6">
        <v>0</v>
      </c>
      <c r="P2840" s="6">
        <v>0</v>
      </c>
      <c r="Q2840">
        <v>1</v>
      </c>
      <c r="R2840">
        <f t="shared" si="220"/>
        <v>0</v>
      </c>
      <c r="S2840">
        <f t="shared" si="221"/>
        <v>1</v>
      </c>
      <c r="T2840">
        <f t="shared" si="222"/>
        <v>2</v>
      </c>
      <c r="U2840">
        <f t="shared" si="223"/>
        <v>1</v>
      </c>
      <c r="V2840">
        <f t="shared" si="224"/>
        <v>0</v>
      </c>
    </row>
    <row r="2841" spans="1:22" x14ac:dyDescent="0.25">
      <c r="A2841">
        <v>2838</v>
      </c>
      <c r="B2841" t="s">
        <v>28</v>
      </c>
      <c r="C2841" t="s">
        <v>1218</v>
      </c>
      <c r="D2841" s="4">
        <v>45410</v>
      </c>
      <c r="E2841" t="s">
        <v>465</v>
      </c>
      <c r="F2841" t="s">
        <v>75</v>
      </c>
      <c r="I2841" s="6">
        <v>0</v>
      </c>
      <c r="J2841" s="6">
        <v>0</v>
      </c>
      <c r="K2841" s="6">
        <v>0</v>
      </c>
      <c r="L2841" s="6">
        <v>0</v>
      </c>
      <c r="M2841" s="6">
        <v>0</v>
      </c>
      <c r="N2841" s="6">
        <v>0</v>
      </c>
      <c r="O2841" s="6">
        <v>0</v>
      </c>
      <c r="P2841" s="6">
        <v>0</v>
      </c>
      <c r="Q2841">
        <v>1</v>
      </c>
      <c r="R2841">
        <f t="shared" si="220"/>
        <v>0</v>
      </c>
      <c r="S2841">
        <f t="shared" si="221"/>
        <v>1</v>
      </c>
      <c r="T2841">
        <f t="shared" si="222"/>
        <v>0</v>
      </c>
      <c r="U2841">
        <f t="shared" si="223"/>
        <v>0</v>
      </c>
      <c r="V2841">
        <f t="shared" si="224"/>
        <v>0</v>
      </c>
    </row>
    <row r="2842" spans="1:22" x14ac:dyDescent="0.25">
      <c r="A2842">
        <v>2839</v>
      </c>
      <c r="B2842" t="s">
        <v>28</v>
      </c>
      <c r="C2842" t="s">
        <v>1218</v>
      </c>
      <c r="D2842" s="4">
        <v>45410</v>
      </c>
      <c r="E2842" t="s">
        <v>466</v>
      </c>
      <c r="F2842" t="s">
        <v>75</v>
      </c>
      <c r="I2842" s="6">
        <v>0</v>
      </c>
      <c r="J2842" s="6">
        <v>0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>
        <v>1</v>
      </c>
      <c r="R2842">
        <f t="shared" si="220"/>
        <v>0</v>
      </c>
      <c r="S2842">
        <f t="shared" si="221"/>
        <v>1</v>
      </c>
      <c r="T2842">
        <f t="shared" si="222"/>
        <v>0</v>
      </c>
      <c r="U2842">
        <f t="shared" si="223"/>
        <v>0</v>
      </c>
      <c r="V2842">
        <f t="shared" si="224"/>
        <v>0</v>
      </c>
    </row>
    <row r="2843" spans="1:22" x14ac:dyDescent="0.25">
      <c r="A2843">
        <v>2840</v>
      </c>
      <c r="B2843" t="s">
        <v>28</v>
      </c>
      <c r="C2843" t="s">
        <v>1218</v>
      </c>
      <c r="D2843" s="4">
        <v>45411</v>
      </c>
      <c r="E2843" t="s">
        <v>312</v>
      </c>
      <c r="F2843" t="s">
        <v>75</v>
      </c>
      <c r="I2843" s="6">
        <v>0</v>
      </c>
      <c r="J2843" s="6">
        <v>0</v>
      </c>
      <c r="K2843" s="6">
        <v>0</v>
      </c>
      <c r="L2843" s="6">
        <v>0</v>
      </c>
      <c r="M2843" s="6">
        <v>0</v>
      </c>
      <c r="N2843" s="6">
        <v>0</v>
      </c>
      <c r="O2843" s="6">
        <v>0</v>
      </c>
      <c r="P2843" s="6">
        <v>0</v>
      </c>
      <c r="Q2843">
        <v>1</v>
      </c>
      <c r="R2843">
        <f t="shared" si="220"/>
        <v>0</v>
      </c>
      <c r="S2843">
        <f t="shared" si="221"/>
        <v>1</v>
      </c>
      <c r="T2843">
        <f t="shared" si="222"/>
        <v>0</v>
      </c>
      <c r="U2843">
        <f t="shared" si="223"/>
        <v>0</v>
      </c>
      <c r="V2843">
        <f t="shared" si="224"/>
        <v>0</v>
      </c>
    </row>
    <row r="2844" spans="1:22" x14ac:dyDescent="0.25">
      <c r="A2844">
        <v>2841</v>
      </c>
      <c r="B2844" t="s">
        <v>28</v>
      </c>
      <c r="C2844" t="s">
        <v>1218</v>
      </c>
      <c r="D2844" s="4">
        <v>45412</v>
      </c>
      <c r="E2844" t="s">
        <v>986</v>
      </c>
      <c r="F2844" t="s">
        <v>75</v>
      </c>
      <c r="I2844" s="6">
        <v>1</v>
      </c>
      <c r="J2844" s="6">
        <v>0</v>
      </c>
      <c r="K2844" s="6">
        <v>1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>
        <v>1</v>
      </c>
      <c r="R2844">
        <f t="shared" si="220"/>
        <v>0</v>
      </c>
      <c r="S2844">
        <f t="shared" si="221"/>
        <v>1</v>
      </c>
      <c r="T2844">
        <f t="shared" si="222"/>
        <v>2</v>
      </c>
      <c r="U2844">
        <f t="shared" si="223"/>
        <v>1</v>
      </c>
      <c r="V2844">
        <f t="shared" si="224"/>
        <v>0</v>
      </c>
    </row>
    <row r="2845" spans="1:22" x14ac:dyDescent="0.25">
      <c r="A2845">
        <v>2842</v>
      </c>
      <c r="B2845" t="s">
        <v>28</v>
      </c>
      <c r="C2845" t="s">
        <v>1218</v>
      </c>
      <c r="D2845" s="4">
        <v>45414</v>
      </c>
      <c r="E2845" t="s">
        <v>881</v>
      </c>
      <c r="F2845" t="s">
        <v>75</v>
      </c>
      <c r="I2845" s="6">
        <v>0</v>
      </c>
      <c r="J2845" s="6">
        <v>0</v>
      </c>
      <c r="K2845" s="6">
        <v>0</v>
      </c>
      <c r="L2845" s="6">
        <v>0</v>
      </c>
      <c r="M2845" s="6">
        <v>0</v>
      </c>
      <c r="N2845" s="6">
        <v>0</v>
      </c>
      <c r="O2845" s="6">
        <v>0</v>
      </c>
      <c r="P2845" s="6">
        <v>0</v>
      </c>
      <c r="Q2845">
        <v>1</v>
      </c>
      <c r="R2845">
        <f t="shared" si="220"/>
        <v>0</v>
      </c>
      <c r="S2845">
        <f t="shared" si="221"/>
        <v>1</v>
      </c>
      <c r="T2845">
        <f t="shared" si="222"/>
        <v>0</v>
      </c>
      <c r="U2845">
        <f t="shared" si="223"/>
        <v>0</v>
      </c>
      <c r="V2845">
        <f t="shared" si="224"/>
        <v>0</v>
      </c>
    </row>
    <row r="2846" spans="1:22" x14ac:dyDescent="0.25">
      <c r="A2846">
        <v>2843</v>
      </c>
      <c r="B2846" t="s">
        <v>28</v>
      </c>
      <c r="C2846" t="s">
        <v>1218</v>
      </c>
      <c r="D2846" s="4">
        <v>45415</v>
      </c>
      <c r="E2846" t="s">
        <v>1229</v>
      </c>
      <c r="F2846" t="s">
        <v>75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>
        <v>1</v>
      </c>
      <c r="R2846">
        <f t="shared" si="220"/>
        <v>0</v>
      </c>
      <c r="S2846">
        <f t="shared" si="221"/>
        <v>1</v>
      </c>
      <c r="T2846">
        <f t="shared" si="222"/>
        <v>0</v>
      </c>
      <c r="U2846">
        <f t="shared" si="223"/>
        <v>0</v>
      </c>
      <c r="V2846">
        <f t="shared" si="224"/>
        <v>0</v>
      </c>
    </row>
    <row r="2847" spans="1:22" x14ac:dyDescent="0.25">
      <c r="A2847">
        <v>2844</v>
      </c>
      <c r="B2847" t="s">
        <v>28</v>
      </c>
      <c r="C2847" t="s">
        <v>1218</v>
      </c>
      <c r="D2847" s="4">
        <v>45416</v>
      </c>
      <c r="E2847" t="s">
        <v>315</v>
      </c>
      <c r="F2847" t="s">
        <v>75</v>
      </c>
      <c r="I2847" s="6">
        <v>1</v>
      </c>
      <c r="J2847" s="6">
        <v>0</v>
      </c>
      <c r="K2847" s="6">
        <v>1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>
        <v>1</v>
      </c>
      <c r="R2847">
        <f t="shared" si="220"/>
        <v>0</v>
      </c>
      <c r="S2847">
        <f t="shared" si="221"/>
        <v>1</v>
      </c>
      <c r="T2847">
        <f t="shared" si="222"/>
        <v>2</v>
      </c>
      <c r="U2847">
        <f t="shared" si="223"/>
        <v>1</v>
      </c>
      <c r="V2847">
        <f t="shared" si="224"/>
        <v>0</v>
      </c>
    </row>
    <row r="2848" spans="1:22" x14ac:dyDescent="0.25">
      <c r="A2848">
        <v>2845</v>
      </c>
      <c r="B2848" t="s">
        <v>28</v>
      </c>
      <c r="C2848" t="s">
        <v>1218</v>
      </c>
      <c r="D2848" s="4">
        <v>45416</v>
      </c>
      <c r="E2848" t="s">
        <v>316</v>
      </c>
      <c r="F2848" t="s">
        <v>710</v>
      </c>
      <c r="G2848">
        <v>137</v>
      </c>
      <c r="I2848" s="6">
        <v>0</v>
      </c>
      <c r="J2848" s="6">
        <v>0</v>
      </c>
      <c r="K2848" s="6">
        <v>0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>
        <v>1</v>
      </c>
      <c r="R2848">
        <f t="shared" si="220"/>
        <v>0</v>
      </c>
      <c r="S2848">
        <f t="shared" si="221"/>
        <v>0</v>
      </c>
      <c r="T2848">
        <f t="shared" si="222"/>
        <v>0</v>
      </c>
      <c r="U2848">
        <f t="shared" si="223"/>
        <v>0</v>
      </c>
      <c r="V2848">
        <f t="shared" si="224"/>
        <v>0</v>
      </c>
    </row>
    <row r="2849" spans="1:22" x14ac:dyDescent="0.25">
      <c r="A2849">
        <v>2846</v>
      </c>
      <c r="B2849" t="s">
        <v>28</v>
      </c>
      <c r="C2849" t="s">
        <v>1218</v>
      </c>
      <c r="D2849" s="4">
        <v>45417</v>
      </c>
      <c r="E2849" t="s">
        <v>885</v>
      </c>
      <c r="F2849" t="s">
        <v>75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>
        <v>1</v>
      </c>
      <c r="R2849">
        <f t="shared" si="220"/>
        <v>0</v>
      </c>
      <c r="S2849">
        <f t="shared" si="221"/>
        <v>1</v>
      </c>
      <c r="T2849">
        <f t="shared" si="222"/>
        <v>0</v>
      </c>
      <c r="U2849">
        <f t="shared" si="223"/>
        <v>0</v>
      </c>
      <c r="V2849">
        <f t="shared" si="224"/>
        <v>0</v>
      </c>
    </row>
    <row r="2850" spans="1:22" x14ac:dyDescent="0.25">
      <c r="A2850">
        <v>2847</v>
      </c>
      <c r="B2850" t="s">
        <v>28</v>
      </c>
      <c r="C2850" t="s">
        <v>1218</v>
      </c>
      <c r="D2850" s="4">
        <v>45419</v>
      </c>
      <c r="E2850" t="s">
        <v>886</v>
      </c>
      <c r="F2850" t="s">
        <v>710</v>
      </c>
      <c r="G2850">
        <v>138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>
        <v>1</v>
      </c>
      <c r="R2850">
        <f t="shared" si="220"/>
        <v>0</v>
      </c>
      <c r="S2850">
        <f t="shared" si="221"/>
        <v>0</v>
      </c>
      <c r="T2850">
        <f t="shared" si="222"/>
        <v>0</v>
      </c>
      <c r="U2850">
        <f t="shared" si="223"/>
        <v>0</v>
      </c>
      <c r="V2850">
        <f t="shared" si="224"/>
        <v>0</v>
      </c>
    </row>
    <row r="2851" spans="1:22" x14ac:dyDescent="0.25">
      <c r="A2851">
        <v>2848</v>
      </c>
      <c r="B2851" t="s">
        <v>28</v>
      </c>
      <c r="C2851" t="s">
        <v>1218</v>
      </c>
      <c r="D2851" s="4">
        <v>45420</v>
      </c>
      <c r="E2851" t="s">
        <v>1230</v>
      </c>
      <c r="F2851" t="s">
        <v>75</v>
      </c>
      <c r="I2851" s="6">
        <v>0</v>
      </c>
      <c r="J2851" s="6">
        <v>0</v>
      </c>
      <c r="K2851" s="6">
        <v>0</v>
      </c>
      <c r="L2851" s="6">
        <v>1</v>
      </c>
      <c r="M2851" s="6">
        <v>0</v>
      </c>
      <c r="N2851" s="6">
        <v>0</v>
      </c>
      <c r="O2851" s="6">
        <v>0</v>
      </c>
      <c r="P2851" s="6">
        <v>0</v>
      </c>
      <c r="Q2851">
        <v>1</v>
      </c>
      <c r="R2851">
        <f t="shared" si="220"/>
        <v>0</v>
      </c>
      <c r="S2851">
        <f t="shared" si="221"/>
        <v>1</v>
      </c>
      <c r="T2851">
        <f t="shared" si="222"/>
        <v>1</v>
      </c>
      <c r="U2851">
        <f t="shared" si="223"/>
        <v>1</v>
      </c>
      <c r="V2851">
        <f t="shared" si="224"/>
        <v>0</v>
      </c>
    </row>
    <row r="2852" spans="1:22" x14ac:dyDescent="0.25">
      <c r="A2852">
        <v>2849</v>
      </c>
      <c r="B2852" t="s">
        <v>28</v>
      </c>
      <c r="C2852" t="s">
        <v>1218</v>
      </c>
      <c r="D2852" s="4">
        <v>45421</v>
      </c>
      <c r="E2852" t="s">
        <v>1231</v>
      </c>
      <c r="F2852" t="s">
        <v>75</v>
      </c>
      <c r="I2852" s="6">
        <v>0</v>
      </c>
      <c r="J2852" s="6">
        <v>0</v>
      </c>
      <c r="K2852" s="6">
        <v>0</v>
      </c>
      <c r="L2852" s="6">
        <v>0</v>
      </c>
      <c r="M2852" s="6">
        <v>0</v>
      </c>
      <c r="N2852" s="6">
        <v>0</v>
      </c>
      <c r="O2852" s="6">
        <v>0</v>
      </c>
      <c r="P2852" s="6">
        <v>0</v>
      </c>
      <c r="Q2852">
        <v>1</v>
      </c>
      <c r="R2852">
        <f t="shared" si="220"/>
        <v>0</v>
      </c>
      <c r="S2852">
        <f t="shared" si="221"/>
        <v>1</v>
      </c>
      <c r="T2852">
        <f t="shared" si="222"/>
        <v>0</v>
      </c>
      <c r="U2852">
        <f t="shared" si="223"/>
        <v>0</v>
      </c>
      <c r="V2852">
        <f t="shared" si="224"/>
        <v>0</v>
      </c>
    </row>
    <row r="2853" spans="1:22" x14ac:dyDescent="0.25">
      <c r="A2853">
        <v>2850</v>
      </c>
      <c r="B2853" t="s">
        <v>28</v>
      </c>
      <c r="C2853" t="s">
        <v>1218</v>
      </c>
      <c r="D2853" s="4">
        <v>45423</v>
      </c>
      <c r="E2853" t="s">
        <v>887</v>
      </c>
      <c r="F2853" t="s">
        <v>710</v>
      </c>
      <c r="G2853">
        <v>139</v>
      </c>
      <c r="I2853" s="6">
        <v>1</v>
      </c>
      <c r="J2853" s="6">
        <v>0</v>
      </c>
      <c r="K2853" s="6">
        <v>0</v>
      </c>
      <c r="L2853" s="6">
        <v>1</v>
      </c>
      <c r="M2853" s="6">
        <v>0</v>
      </c>
      <c r="N2853" s="6">
        <v>0</v>
      </c>
      <c r="O2853" s="6">
        <v>0</v>
      </c>
      <c r="P2853" s="6">
        <v>0</v>
      </c>
      <c r="Q2853">
        <v>1</v>
      </c>
      <c r="R2853">
        <f t="shared" si="220"/>
        <v>0</v>
      </c>
      <c r="S2853">
        <f t="shared" si="221"/>
        <v>0</v>
      </c>
      <c r="T2853">
        <f t="shared" si="222"/>
        <v>2</v>
      </c>
      <c r="U2853">
        <f t="shared" si="223"/>
        <v>1</v>
      </c>
      <c r="V2853">
        <f t="shared" si="224"/>
        <v>0</v>
      </c>
    </row>
    <row r="2854" spans="1:22" x14ac:dyDescent="0.25">
      <c r="A2854">
        <v>2851</v>
      </c>
      <c r="B2854" t="s">
        <v>28</v>
      </c>
      <c r="C2854" t="s">
        <v>1218</v>
      </c>
      <c r="D2854" s="4">
        <v>45427</v>
      </c>
      <c r="E2854" t="s">
        <v>1006</v>
      </c>
      <c r="F2854" t="s">
        <v>710</v>
      </c>
      <c r="G2854">
        <v>140</v>
      </c>
      <c r="I2854" s="6">
        <v>1</v>
      </c>
      <c r="J2854" s="6">
        <v>0</v>
      </c>
      <c r="K2854" s="6">
        <v>1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>
        <v>1</v>
      </c>
      <c r="R2854">
        <f t="shared" si="220"/>
        <v>0</v>
      </c>
      <c r="S2854">
        <f t="shared" si="221"/>
        <v>0</v>
      </c>
      <c r="T2854">
        <f t="shared" si="222"/>
        <v>2</v>
      </c>
      <c r="U2854">
        <f t="shared" si="223"/>
        <v>1</v>
      </c>
      <c r="V2854">
        <f t="shared" si="224"/>
        <v>0</v>
      </c>
    </row>
    <row r="2855" spans="1:22" x14ac:dyDescent="0.25">
      <c r="A2855">
        <v>2852</v>
      </c>
      <c r="B2855" t="s">
        <v>28</v>
      </c>
      <c r="C2855" t="s">
        <v>1218</v>
      </c>
      <c r="D2855" s="4">
        <v>45428</v>
      </c>
      <c r="E2855" t="s">
        <v>1232</v>
      </c>
      <c r="F2855" t="s">
        <v>75</v>
      </c>
      <c r="I2855" s="6">
        <v>0</v>
      </c>
      <c r="J2855" s="6">
        <v>0</v>
      </c>
      <c r="K2855" s="6">
        <v>0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>
        <v>1</v>
      </c>
      <c r="R2855">
        <f t="shared" si="220"/>
        <v>0</v>
      </c>
      <c r="S2855">
        <f t="shared" si="221"/>
        <v>1</v>
      </c>
      <c r="T2855">
        <f t="shared" si="222"/>
        <v>0</v>
      </c>
      <c r="U2855">
        <f t="shared" si="223"/>
        <v>0</v>
      </c>
      <c r="V2855">
        <f t="shared" si="224"/>
        <v>0</v>
      </c>
    </row>
    <row r="2856" spans="1:22" x14ac:dyDescent="0.25">
      <c r="A2856">
        <v>2853</v>
      </c>
      <c r="B2856" t="s">
        <v>28</v>
      </c>
      <c r="C2856" t="s">
        <v>1218</v>
      </c>
      <c r="D2856" s="4">
        <v>45429</v>
      </c>
      <c r="E2856" t="s">
        <v>890</v>
      </c>
      <c r="F2856" t="s">
        <v>75</v>
      </c>
      <c r="I2856" s="6">
        <v>1</v>
      </c>
      <c r="J2856" s="6">
        <v>0</v>
      </c>
      <c r="K2856" s="6">
        <v>1</v>
      </c>
      <c r="L2856" s="6">
        <v>1</v>
      </c>
      <c r="M2856" s="6">
        <v>0</v>
      </c>
      <c r="N2856" s="6">
        <v>0</v>
      </c>
      <c r="O2856" s="6">
        <v>0</v>
      </c>
      <c r="P2856" s="6">
        <v>0</v>
      </c>
      <c r="Q2856">
        <v>1</v>
      </c>
      <c r="R2856">
        <f t="shared" si="220"/>
        <v>0</v>
      </c>
      <c r="S2856">
        <f t="shared" si="221"/>
        <v>1</v>
      </c>
      <c r="T2856">
        <f t="shared" si="222"/>
        <v>3</v>
      </c>
      <c r="U2856">
        <f t="shared" si="223"/>
        <v>1</v>
      </c>
      <c r="V2856">
        <f t="shared" si="224"/>
        <v>0</v>
      </c>
    </row>
    <row r="2857" spans="1:22" x14ac:dyDescent="0.25">
      <c r="A2857">
        <v>2854</v>
      </c>
      <c r="B2857" t="s">
        <v>28</v>
      </c>
      <c r="C2857" t="s">
        <v>1218</v>
      </c>
      <c r="D2857" s="4">
        <v>45430</v>
      </c>
      <c r="E2857" t="s">
        <v>1233</v>
      </c>
      <c r="F2857" t="s">
        <v>75</v>
      </c>
      <c r="I2857" s="6">
        <v>0</v>
      </c>
      <c r="J2857" s="6">
        <v>0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>
        <v>1</v>
      </c>
      <c r="R2857">
        <f t="shared" si="220"/>
        <v>0</v>
      </c>
      <c r="S2857">
        <f t="shared" si="221"/>
        <v>1</v>
      </c>
      <c r="T2857">
        <f t="shared" si="222"/>
        <v>0</v>
      </c>
      <c r="U2857">
        <f t="shared" si="223"/>
        <v>0</v>
      </c>
      <c r="V2857">
        <f t="shared" si="224"/>
        <v>0</v>
      </c>
    </row>
    <row r="2858" spans="1:22" x14ac:dyDescent="0.25">
      <c r="A2858">
        <v>2855</v>
      </c>
      <c r="B2858" t="s">
        <v>28</v>
      </c>
      <c r="C2858" t="s">
        <v>1218</v>
      </c>
      <c r="D2858" s="4">
        <v>45433</v>
      </c>
      <c r="E2858" t="s">
        <v>1234</v>
      </c>
      <c r="F2858" t="s">
        <v>75</v>
      </c>
      <c r="I2858" s="6">
        <v>0</v>
      </c>
      <c r="J2858" s="6">
        <v>0</v>
      </c>
      <c r="K2858" s="6">
        <v>0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>
        <v>1</v>
      </c>
      <c r="R2858">
        <f t="shared" si="220"/>
        <v>0</v>
      </c>
      <c r="S2858">
        <f t="shared" si="221"/>
        <v>1</v>
      </c>
      <c r="T2858">
        <f t="shared" si="222"/>
        <v>0</v>
      </c>
      <c r="U2858">
        <f t="shared" si="223"/>
        <v>0</v>
      </c>
      <c r="V2858">
        <f t="shared" si="224"/>
        <v>0</v>
      </c>
    </row>
    <row r="2859" spans="1:22" x14ac:dyDescent="0.25">
      <c r="A2859">
        <v>2856</v>
      </c>
      <c r="B2859" t="s">
        <v>28</v>
      </c>
      <c r="C2859" t="s">
        <v>1218</v>
      </c>
      <c r="D2859" s="4">
        <v>45433</v>
      </c>
      <c r="E2859" t="s">
        <v>1095</v>
      </c>
      <c r="F2859" t="s">
        <v>75</v>
      </c>
      <c r="I2859" s="6">
        <v>0</v>
      </c>
      <c r="J2859" s="6">
        <v>0</v>
      </c>
      <c r="K2859" s="6">
        <v>0</v>
      </c>
      <c r="L2859" s="6">
        <v>1</v>
      </c>
      <c r="M2859" s="6">
        <v>0</v>
      </c>
      <c r="N2859" s="6">
        <v>0</v>
      </c>
      <c r="O2859" s="6">
        <v>0</v>
      </c>
      <c r="P2859" s="6">
        <v>0</v>
      </c>
      <c r="Q2859">
        <v>1</v>
      </c>
      <c r="R2859">
        <f t="shared" si="220"/>
        <v>0</v>
      </c>
      <c r="S2859">
        <f t="shared" si="221"/>
        <v>1</v>
      </c>
      <c r="T2859">
        <f t="shared" si="222"/>
        <v>1</v>
      </c>
      <c r="U2859">
        <f t="shared" si="223"/>
        <v>1</v>
      </c>
      <c r="V2859">
        <f t="shared" si="224"/>
        <v>0</v>
      </c>
    </row>
    <row r="2860" spans="1:22" x14ac:dyDescent="0.25">
      <c r="A2860">
        <v>2857</v>
      </c>
      <c r="B2860" t="s">
        <v>28</v>
      </c>
      <c r="C2860" t="s">
        <v>1218</v>
      </c>
      <c r="D2860" s="4">
        <v>45434</v>
      </c>
      <c r="E2860" t="s">
        <v>1011</v>
      </c>
      <c r="F2860" t="s">
        <v>75</v>
      </c>
      <c r="I2860" s="6">
        <v>0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0</v>
      </c>
      <c r="P2860" s="6">
        <v>0</v>
      </c>
      <c r="Q2860">
        <v>1</v>
      </c>
      <c r="R2860">
        <f t="shared" si="220"/>
        <v>0</v>
      </c>
      <c r="S2860">
        <f t="shared" si="221"/>
        <v>1</v>
      </c>
      <c r="T2860">
        <f t="shared" si="222"/>
        <v>0</v>
      </c>
      <c r="U2860">
        <f t="shared" si="223"/>
        <v>0</v>
      </c>
      <c r="V2860">
        <f t="shared" si="224"/>
        <v>0</v>
      </c>
    </row>
    <row r="2861" spans="1:22" x14ac:dyDescent="0.25">
      <c r="A2861">
        <v>2858</v>
      </c>
      <c r="B2861" t="s">
        <v>28</v>
      </c>
      <c r="C2861" t="s">
        <v>1218</v>
      </c>
      <c r="D2861" s="4">
        <v>45434</v>
      </c>
      <c r="E2861" t="s">
        <v>358</v>
      </c>
      <c r="F2861" t="s">
        <v>710</v>
      </c>
      <c r="G2861">
        <v>141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0</v>
      </c>
      <c r="O2861" s="6">
        <v>0</v>
      </c>
      <c r="P2861" s="6">
        <v>0</v>
      </c>
      <c r="Q2861">
        <v>1</v>
      </c>
      <c r="R2861">
        <f t="shared" si="220"/>
        <v>0</v>
      </c>
      <c r="S2861">
        <f t="shared" si="221"/>
        <v>0</v>
      </c>
      <c r="T2861">
        <f t="shared" si="222"/>
        <v>0</v>
      </c>
      <c r="U2861">
        <f t="shared" si="223"/>
        <v>0</v>
      </c>
      <c r="V2861">
        <f t="shared" si="224"/>
        <v>0</v>
      </c>
    </row>
    <row r="2862" spans="1:22" x14ac:dyDescent="0.25">
      <c r="A2862">
        <v>2859</v>
      </c>
      <c r="B2862" t="s">
        <v>28</v>
      </c>
      <c r="C2862" t="s">
        <v>1218</v>
      </c>
      <c r="D2862" s="4">
        <v>45435</v>
      </c>
      <c r="E2862" t="s">
        <v>482</v>
      </c>
      <c r="F2862" t="s">
        <v>75</v>
      </c>
      <c r="I2862" s="6">
        <v>0</v>
      </c>
      <c r="J2862" s="6">
        <v>0</v>
      </c>
      <c r="K2862" s="6">
        <v>0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>
        <v>1</v>
      </c>
      <c r="R2862">
        <f t="shared" si="220"/>
        <v>0</v>
      </c>
      <c r="S2862">
        <f t="shared" si="221"/>
        <v>1</v>
      </c>
      <c r="T2862">
        <f t="shared" si="222"/>
        <v>0</v>
      </c>
      <c r="U2862">
        <f t="shared" si="223"/>
        <v>0</v>
      </c>
      <c r="V2862">
        <f t="shared" si="224"/>
        <v>0</v>
      </c>
    </row>
    <row r="2863" spans="1:22" x14ac:dyDescent="0.25">
      <c r="A2863">
        <v>2860</v>
      </c>
      <c r="B2863" t="s">
        <v>28</v>
      </c>
      <c r="C2863" t="s">
        <v>1218</v>
      </c>
      <c r="D2863" s="4">
        <v>45436</v>
      </c>
      <c r="E2863" t="s">
        <v>483</v>
      </c>
      <c r="F2863" t="s">
        <v>710</v>
      </c>
      <c r="G2863">
        <v>142</v>
      </c>
      <c r="I2863" s="6">
        <v>0</v>
      </c>
      <c r="J2863" s="6">
        <v>0</v>
      </c>
      <c r="K2863" s="6">
        <v>0</v>
      </c>
      <c r="L2863" s="6">
        <v>0</v>
      </c>
      <c r="M2863" s="6">
        <v>1</v>
      </c>
      <c r="N2863" s="6">
        <v>1</v>
      </c>
      <c r="O2863" s="6">
        <v>0</v>
      </c>
      <c r="P2863" s="6">
        <v>0</v>
      </c>
      <c r="Q2863">
        <v>1</v>
      </c>
      <c r="R2863">
        <f t="shared" si="220"/>
        <v>0</v>
      </c>
      <c r="S2863">
        <f t="shared" si="221"/>
        <v>0</v>
      </c>
      <c r="T2863">
        <f t="shared" si="222"/>
        <v>2</v>
      </c>
      <c r="U2863">
        <f t="shared" si="223"/>
        <v>1</v>
      </c>
      <c r="V2863">
        <f t="shared" si="224"/>
        <v>0</v>
      </c>
    </row>
    <row r="2864" spans="1:22" x14ac:dyDescent="0.25">
      <c r="A2864">
        <v>2861</v>
      </c>
      <c r="B2864" t="s">
        <v>28</v>
      </c>
      <c r="C2864" t="s">
        <v>1218</v>
      </c>
      <c r="D2864" s="4">
        <v>45437</v>
      </c>
      <c r="E2864" t="s">
        <v>894</v>
      </c>
      <c r="F2864" t="s">
        <v>75</v>
      </c>
      <c r="I2864" s="6">
        <v>0</v>
      </c>
      <c r="J2864" s="6">
        <v>0</v>
      </c>
      <c r="K2864" s="6">
        <v>0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>
        <v>1</v>
      </c>
      <c r="R2864">
        <f t="shared" si="220"/>
        <v>0</v>
      </c>
      <c r="S2864">
        <f t="shared" si="221"/>
        <v>1</v>
      </c>
      <c r="T2864">
        <f t="shared" si="222"/>
        <v>0</v>
      </c>
      <c r="U2864">
        <f t="shared" si="223"/>
        <v>0</v>
      </c>
      <c r="V2864">
        <f t="shared" si="224"/>
        <v>0</v>
      </c>
    </row>
    <row r="2865" spans="1:22" x14ac:dyDescent="0.25">
      <c r="A2865">
        <v>2862</v>
      </c>
      <c r="B2865" t="s">
        <v>28</v>
      </c>
      <c r="C2865" t="s">
        <v>1218</v>
      </c>
      <c r="D2865" s="4">
        <v>45438</v>
      </c>
      <c r="E2865" t="s">
        <v>1235</v>
      </c>
      <c r="F2865" t="s">
        <v>75</v>
      </c>
      <c r="I2865" s="6">
        <v>0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>
        <v>1</v>
      </c>
      <c r="R2865">
        <f t="shared" si="220"/>
        <v>0</v>
      </c>
      <c r="S2865">
        <f t="shared" si="221"/>
        <v>1</v>
      </c>
      <c r="T2865">
        <f t="shared" si="222"/>
        <v>0</v>
      </c>
      <c r="U2865">
        <f t="shared" si="223"/>
        <v>0</v>
      </c>
      <c r="V2865">
        <f t="shared" si="224"/>
        <v>0</v>
      </c>
    </row>
    <row r="2866" spans="1:22" x14ac:dyDescent="0.25">
      <c r="A2866">
        <v>2863</v>
      </c>
      <c r="B2866" t="s">
        <v>28</v>
      </c>
      <c r="C2866" t="s">
        <v>1218</v>
      </c>
      <c r="D2866" s="4">
        <v>45439</v>
      </c>
      <c r="E2866" t="s">
        <v>370</v>
      </c>
      <c r="F2866" t="s">
        <v>75</v>
      </c>
      <c r="I2866" s="6">
        <v>0</v>
      </c>
      <c r="J2866" s="6">
        <v>0</v>
      </c>
      <c r="K2866" s="6">
        <v>0</v>
      </c>
      <c r="L2866" s="6">
        <v>0</v>
      </c>
      <c r="M2866" s="6">
        <v>0</v>
      </c>
      <c r="N2866" s="6">
        <v>0</v>
      </c>
      <c r="O2866" s="6">
        <v>0</v>
      </c>
      <c r="P2866" s="6">
        <v>0</v>
      </c>
      <c r="Q2866">
        <v>1</v>
      </c>
      <c r="R2866">
        <f t="shared" si="220"/>
        <v>0</v>
      </c>
      <c r="S2866">
        <f t="shared" si="221"/>
        <v>1</v>
      </c>
      <c r="T2866">
        <f t="shared" si="222"/>
        <v>0</v>
      </c>
      <c r="U2866">
        <f t="shared" si="223"/>
        <v>0</v>
      </c>
      <c r="V2866">
        <f t="shared" si="224"/>
        <v>0</v>
      </c>
    </row>
    <row r="2867" spans="1:22" x14ac:dyDescent="0.25">
      <c r="A2867">
        <v>2864</v>
      </c>
      <c r="B2867" t="s">
        <v>28</v>
      </c>
      <c r="C2867" t="s">
        <v>1218</v>
      </c>
      <c r="D2867" s="4">
        <v>45440</v>
      </c>
      <c r="E2867" t="s">
        <v>1236</v>
      </c>
      <c r="F2867" t="s">
        <v>710</v>
      </c>
      <c r="G2867">
        <v>143</v>
      </c>
      <c r="I2867" s="6">
        <v>1</v>
      </c>
      <c r="J2867" s="6">
        <v>1</v>
      </c>
      <c r="K2867" s="6">
        <v>1</v>
      </c>
      <c r="L2867" s="6">
        <v>1</v>
      </c>
      <c r="M2867" s="6">
        <v>0</v>
      </c>
      <c r="N2867" s="6">
        <v>0</v>
      </c>
      <c r="O2867" s="6">
        <v>0</v>
      </c>
      <c r="P2867" s="6">
        <v>0</v>
      </c>
      <c r="Q2867">
        <v>1</v>
      </c>
      <c r="R2867">
        <f t="shared" si="220"/>
        <v>0</v>
      </c>
      <c r="S2867">
        <f t="shared" si="221"/>
        <v>0</v>
      </c>
      <c r="T2867">
        <f t="shared" si="222"/>
        <v>4</v>
      </c>
      <c r="U2867">
        <f t="shared" si="223"/>
        <v>1</v>
      </c>
      <c r="V2867">
        <f t="shared" si="224"/>
        <v>0</v>
      </c>
    </row>
    <row r="2868" spans="1:22" x14ac:dyDescent="0.25">
      <c r="A2868">
        <v>2865</v>
      </c>
      <c r="B2868" t="s">
        <v>28</v>
      </c>
      <c r="C2868" t="s">
        <v>1218</v>
      </c>
      <c r="D2868" s="4">
        <v>45441</v>
      </c>
      <c r="E2868" t="s">
        <v>374</v>
      </c>
      <c r="F2868" t="s">
        <v>75</v>
      </c>
      <c r="I2868" s="6">
        <v>0</v>
      </c>
      <c r="J2868" s="6">
        <v>0</v>
      </c>
      <c r="K2868" s="6">
        <v>0</v>
      </c>
      <c r="L2868" s="6">
        <v>1</v>
      </c>
      <c r="M2868" s="6">
        <v>1</v>
      </c>
      <c r="N2868" s="6">
        <v>1</v>
      </c>
      <c r="O2868" s="6">
        <v>0</v>
      </c>
      <c r="P2868" s="6">
        <v>0</v>
      </c>
      <c r="Q2868">
        <v>1</v>
      </c>
      <c r="R2868">
        <f t="shared" si="220"/>
        <v>0</v>
      </c>
      <c r="S2868">
        <f t="shared" si="221"/>
        <v>1</v>
      </c>
      <c r="T2868">
        <f t="shared" si="222"/>
        <v>3</v>
      </c>
      <c r="U2868">
        <f t="shared" si="223"/>
        <v>1</v>
      </c>
      <c r="V2868">
        <f t="shared" si="224"/>
        <v>0</v>
      </c>
    </row>
    <row r="2869" spans="1:22" x14ac:dyDescent="0.25">
      <c r="A2869">
        <v>2866</v>
      </c>
      <c r="B2869" t="s">
        <v>28</v>
      </c>
      <c r="C2869" t="s">
        <v>1218</v>
      </c>
      <c r="D2869" s="4">
        <v>45441</v>
      </c>
      <c r="E2869" t="s">
        <v>375</v>
      </c>
      <c r="F2869" t="s">
        <v>710</v>
      </c>
      <c r="G2869">
        <v>144</v>
      </c>
      <c r="I2869" s="6">
        <v>0</v>
      </c>
      <c r="J2869" s="6">
        <v>0</v>
      </c>
      <c r="K2869" s="6">
        <v>0</v>
      </c>
      <c r="L2869" s="6">
        <v>0</v>
      </c>
      <c r="M2869" s="6">
        <v>0</v>
      </c>
      <c r="N2869" s="6">
        <v>1</v>
      </c>
      <c r="O2869" s="6">
        <v>0</v>
      </c>
      <c r="P2869" s="6">
        <v>0</v>
      </c>
      <c r="Q2869">
        <v>1</v>
      </c>
      <c r="R2869">
        <f t="shared" si="220"/>
        <v>0</v>
      </c>
      <c r="S2869">
        <f t="shared" si="221"/>
        <v>0</v>
      </c>
      <c r="T2869">
        <f t="shared" si="222"/>
        <v>1</v>
      </c>
      <c r="U2869">
        <f t="shared" si="223"/>
        <v>1</v>
      </c>
      <c r="V2869">
        <f t="shared" si="224"/>
        <v>0</v>
      </c>
    </row>
    <row r="2870" spans="1:22" x14ac:dyDescent="0.25">
      <c r="A2870">
        <v>2867</v>
      </c>
      <c r="B2870" t="s">
        <v>28</v>
      </c>
      <c r="C2870" t="s">
        <v>1218</v>
      </c>
      <c r="D2870" s="4">
        <v>45443</v>
      </c>
      <c r="E2870" t="s">
        <v>1237</v>
      </c>
      <c r="F2870" t="s">
        <v>75</v>
      </c>
      <c r="I2870" s="6">
        <v>0</v>
      </c>
      <c r="J2870" s="6">
        <v>0</v>
      </c>
      <c r="K2870" s="6">
        <v>0</v>
      </c>
      <c r="L2870" s="6">
        <v>0</v>
      </c>
      <c r="M2870" s="6">
        <v>0</v>
      </c>
      <c r="N2870" s="6">
        <v>0</v>
      </c>
      <c r="O2870" s="6">
        <v>0</v>
      </c>
      <c r="P2870" s="6">
        <v>0</v>
      </c>
      <c r="Q2870">
        <v>1</v>
      </c>
      <c r="R2870">
        <f t="shared" si="220"/>
        <v>0</v>
      </c>
      <c r="S2870">
        <f t="shared" si="221"/>
        <v>1</v>
      </c>
      <c r="T2870">
        <f t="shared" si="222"/>
        <v>0</v>
      </c>
      <c r="U2870">
        <f t="shared" si="223"/>
        <v>0</v>
      </c>
      <c r="V2870">
        <f t="shared" si="224"/>
        <v>0</v>
      </c>
    </row>
    <row r="2871" spans="1:22" x14ac:dyDescent="0.25">
      <c r="A2871">
        <v>2868</v>
      </c>
      <c r="B2871" t="s">
        <v>28</v>
      </c>
      <c r="C2871" t="s">
        <v>1218</v>
      </c>
      <c r="D2871" s="4">
        <v>45444</v>
      </c>
      <c r="E2871" t="s">
        <v>1238</v>
      </c>
      <c r="F2871" t="s">
        <v>75</v>
      </c>
      <c r="I2871" s="6">
        <v>0</v>
      </c>
      <c r="J2871" s="6">
        <v>0</v>
      </c>
      <c r="K2871" s="6">
        <v>0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>
        <v>1</v>
      </c>
      <c r="R2871">
        <f t="shared" si="220"/>
        <v>0</v>
      </c>
      <c r="S2871">
        <f t="shared" si="221"/>
        <v>1</v>
      </c>
      <c r="T2871">
        <f t="shared" si="222"/>
        <v>0</v>
      </c>
      <c r="U2871">
        <f t="shared" si="223"/>
        <v>0</v>
      </c>
      <c r="V2871">
        <f t="shared" si="224"/>
        <v>0</v>
      </c>
    </row>
    <row r="2872" spans="1:22" x14ac:dyDescent="0.25">
      <c r="A2872">
        <v>2869</v>
      </c>
      <c r="B2872" t="s">
        <v>28</v>
      </c>
      <c r="C2872" t="s">
        <v>1218</v>
      </c>
      <c r="D2872" s="4">
        <v>45445</v>
      </c>
      <c r="E2872" t="s">
        <v>1239</v>
      </c>
      <c r="F2872" t="s">
        <v>75</v>
      </c>
      <c r="I2872" s="6">
        <v>0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  <c r="P2872" s="6">
        <v>0</v>
      </c>
      <c r="Q2872">
        <v>1</v>
      </c>
      <c r="R2872">
        <f t="shared" si="220"/>
        <v>0</v>
      </c>
      <c r="S2872">
        <f t="shared" si="221"/>
        <v>1</v>
      </c>
      <c r="T2872">
        <f t="shared" si="222"/>
        <v>0</v>
      </c>
      <c r="U2872">
        <f t="shared" si="223"/>
        <v>0</v>
      </c>
      <c r="V2872">
        <f t="shared" si="224"/>
        <v>0</v>
      </c>
    </row>
    <row r="2873" spans="1:22" x14ac:dyDescent="0.25">
      <c r="A2873">
        <v>2870</v>
      </c>
      <c r="B2873" t="s">
        <v>28</v>
      </c>
      <c r="C2873" t="s">
        <v>1218</v>
      </c>
      <c r="D2873" s="4">
        <v>45446</v>
      </c>
      <c r="E2873" t="s">
        <v>383</v>
      </c>
      <c r="F2873" t="s">
        <v>75</v>
      </c>
      <c r="I2873" s="6">
        <v>0</v>
      </c>
      <c r="J2873" s="6">
        <v>0</v>
      </c>
      <c r="K2873" s="6">
        <v>0</v>
      </c>
      <c r="L2873" s="6">
        <v>0</v>
      </c>
      <c r="M2873" s="6">
        <v>0</v>
      </c>
      <c r="N2873" s="6">
        <v>0</v>
      </c>
      <c r="O2873" s="6">
        <v>0</v>
      </c>
      <c r="P2873" s="6">
        <v>0</v>
      </c>
      <c r="Q2873">
        <v>1</v>
      </c>
      <c r="R2873">
        <f t="shared" si="220"/>
        <v>0</v>
      </c>
      <c r="S2873">
        <f t="shared" si="221"/>
        <v>1</v>
      </c>
      <c r="T2873">
        <f t="shared" si="222"/>
        <v>0</v>
      </c>
      <c r="U2873">
        <f t="shared" si="223"/>
        <v>0</v>
      </c>
      <c r="V2873">
        <f t="shared" si="224"/>
        <v>0</v>
      </c>
    </row>
    <row r="2874" spans="1:22" x14ac:dyDescent="0.25">
      <c r="A2874">
        <v>2871</v>
      </c>
      <c r="B2874" t="s">
        <v>28</v>
      </c>
      <c r="C2874" t="s">
        <v>1218</v>
      </c>
      <c r="D2874" s="4">
        <v>45446</v>
      </c>
      <c r="E2874" t="s">
        <v>384</v>
      </c>
      <c r="F2874" t="s">
        <v>75</v>
      </c>
      <c r="H2874" t="s">
        <v>1240</v>
      </c>
      <c r="I2874" s="6">
        <v>0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>
        <v>1</v>
      </c>
      <c r="R2874">
        <f t="shared" si="220"/>
        <v>0</v>
      </c>
      <c r="S2874">
        <f t="shared" si="221"/>
        <v>1</v>
      </c>
      <c r="T2874">
        <f t="shared" si="222"/>
        <v>0</v>
      </c>
      <c r="U2874">
        <f t="shared" si="223"/>
        <v>0</v>
      </c>
      <c r="V2874">
        <f t="shared" si="224"/>
        <v>0</v>
      </c>
    </row>
    <row r="2875" spans="1:22" x14ac:dyDescent="0.25">
      <c r="A2875">
        <v>2872</v>
      </c>
      <c r="B2875" t="s">
        <v>28</v>
      </c>
      <c r="C2875" t="s">
        <v>1218</v>
      </c>
      <c r="D2875" s="4">
        <v>45447</v>
      </c>
      <c r="E2875" t="s">
        <v>1241</v>
      </c>
      <c r="F2875" t="s">
        <v>75</v>
      </c>
      <c r="I2875" s="6">
        <v>0</v>
      </c>
      <c r="J2875" s="6">
        <v>0</v>
      </c>
      <c r="K2875" s="6">
        <v>0</v>
      </c>
      <c r="L2875" s="6">
        <v>1</v>
      </c>
      <c r="M2875" s="6">
        <v>0</v>
      </c>
      <c r="N2875" s="6">
        <v>0</v>
      </c>
      <c r="O2875" s="6">
        <v>0</v>
      </c>
      <c r="P2875" s="6">
        <v>0</v>
      </c>
      <c r="Q2875">
        <v>1</v>
      </c>
      <c r="R2875">
        <f t="shared" si="220"/>
        <v>0</v>
      </c>
      <c r="S2875">
        <f t="shared" si="221"/>
        <v>1</v>
      </c>
      <c r="T2875">
        <f t="shared" si="222"/>
        <v>1</v>
      </c>
      <c r="U2875">
        <f t="shared" si="223"/>
        <v>1</v>
      </c>
      <c r="V2875">
        <f t="shared" si="224"/>
        <v>0</v>
      </c>
    </row>
    <row r="2876" spans="1:22" x14ac:dyDescent="0.25">
      <c r="A2876">
        <v>2873</v>
      </c>
      <c r="B2876" t="s">
        <v>28</v>
      </c>
      <c r="C2876" t="s">
        <v>1218</v>
      </c>
      <c r="D2876" s="4">
        <v>45448</v>
      </c>
      <c r="E2876" t="s">
        <v>497</v>
      </c>
      <c r="F2876" t="s">
        <v>75</v>
      </c>
      <c r="I2876" s="6">
        <v>0</v>
      </c>
      <c r="J2876" s="6">
        <v>0</v>
      </c>
      <c r="K2876" s="6">
        <v>0</v>
      </c>
      <c r="L2876" s="6">
        <v>0</v>
      </c>
      <c r="M2876" s="6">
        <v>0</v>
      </c>
      <c r="N2876" s="6">
        <v>0</v>
      </c>
      <c r="O2876" s="6">
        <v>0</v>
      </c>
      <c r="P2876" s="6">
        <v>0</v>
      </c>
      <c r="Q2876">
        <v>1</v>
      </c>
      <c r="R2876">
        <f t="shared" si="220"/>
        <v>0</v>
      </c>
      <c r="S2876">
        <f t="shared" si="221"/>
        <v>1</v>
      </c>
      <c r="T2876">
        <f t="shared" si="222"/>
        <v>0</v>
      </c>
      <c r="U2876">
        <f t="shared" si="223"/>
        <v>0</v>
      </c>
      <c r="V2876">
        <f t="shared" si="224"/>
        <v>0</v>
      </c>
    </row>
    <row r="2877" spans="1:22" x14ac:dyDescent="0.25">
      <c r="A2877">
        <v>2874</v>
      </c>
      <c r="B2877" t="s">
        <v>28</v>
      </c>
      <c r="C2877" t="s">
        <v>1218</v>
      </c>
      <c r="D2877" s="4">
        <v>45448</v>
      </c>
      <c r="E2877" t="s">
        <v>388</v>
      </c>
      <c r="F2877" t="s">
        <v>710</v>
      </c>
      <c r="G2877">
        <v>145</v>
      </c>
      <c r="I2877" s="6">
        <v>0</v>
      </c>
      <c r="J2877" s="6">
        <v>0</v>
      </c>
      <c r="K2877" s="6">
        <v>0</v>
      </c>
      <c r="L2877" s="6">
        <v>1</v>
      </c>
      <c r="M2877" s="6">
        <v>0</v>
      </c>
      <c r="N2877" s="6">
        <v>0</v>
      </c>
      <c r="O2877" s="6">
        <v>0</v>
      </c>
      <c r="P2877" s="6">
        <v>0</v>
      </c>
      <c r="Q2877">
        <v>1</v>
      </c>
      <c r="R2877">
        <f t="shared" si="220"/>
        <v>0</v>
      </c>
      <c r="S2877">
        <f t="shared" si="221"/>
        <v>0</v>
      </c>
      <c r="T2877">
        <f t="shared" si="222"/>
        <v>1</v>
      </c>
      <c r="U2877">
        <f t="shared" si="223"/>
        <v>1</v>
      </c>
      <c r="V2877">
        <f t="shared" si="224"/>
        <v>0</v>
      </c>
    </row>
    <row r="2878" spans="1:22" x14ac:dyDescent="0.25">
      <c r="A2878">
        <v>2875</v>
      </c>
      <c r="B2878" t="s">
        <v>28</v>
      </c>
      <c r="C2878" t="s">
        <v>1218</v>
      </c>
      <c r="D2878" s="4">
        <v>45449</v>
      </c>
      <c r="E2878" t="s">
        <v>389</v>
      </c>
      <c r="F2878" t="s">
        <v>75</v>
      </c>
      <c r="I2878" s="6">
        <v>0</v>
      </c>
      <c r="J2878" s="6">
        <v>0</v>
      </c>
      <c r="K2878" s="6">
        <v>0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>
        <v>1</v>
      </c>
      <c r="R2878">
        <f t="shared" si="220"/>
        <v>0</v>
      </c>
      <c r="S2878">
        <f t="shared" si="221"/>
        <v>1</v>
      </c>
      <c r="T2878">
        <f t="shared" si="222"/>
        <v>0</v>
      </c>
      <c r="U2878">
        <f t="shared" si="223"/>
        <v>0</v>
      </c>
      <c r="V2878">
        <f t="shared" si="224"/>
        <v>0</v>
      </c>
    </row>
    <row r="2879" spans="1:22" x14ac:dyDescent="0.25">
      <c r="A2879">
        <v>2876</v>
      </c>
      <c r="B2879" t="s">
        <v>28</v>
      </c>
      <c r="C2879" t="s">
        <v>1218</v>
      </c>
      <c r="D2879" s="4">
        <v>45449</v>
      </c>
      <c r="E2879" t="s">
        <v>507</v>
      </c>
      <c r="F2879" t="s">
        <v>75</v>
      </c>
      <c r="I2879" s="6">
        <v>0</v>
      </c>
      <c r="J2879" s="6">
        <v>0</v>
      </c>
      <c r="K2879" s="6">
        <v>0</v>
      </c>
      <c r="L2879" s="6">
        <v>1</v>
      </c>
      <c r="M2879" s="6">
        <v>0</v>
      </c>
      <c r="N2879" s="6">
        <v>0</v>
      </c>
      <c r="O2879" s="6">
        <v>0</v>
      </c>
      <c r="P2879" s="6">
        <v>0</v>
      </c>
      <c r="Q2879">
        <v>1</v>
      </c>
      <c r="R2879">
        <f t="shared" si="220"/>
        <v>0</v>
      </c>
      <c r="S2879">
        <f t="shared" si="221"/>
        <v>1</v>
      </c>
      <c r="T2879">
        <f t="shared" si="222"/>
        <v>1</v>
      </c>
      <c r="U2879">
        <f t="shared" si="223"/>
        <v>1</v>
      </c>
      <c r="V2879">
        <f t="shared" si="224"/>
        <v>0</v>
      </c>
    </row>
    <row r="2880" spans="1:22" x14ac:dyDescent="0.25">
      <c r="A2880">
        <v>2877</v>
      </c>
      <c r="B2880" t="s">
        <v>28</v>
      </c>
      <c r="C2880" t="s">
        <v>1218</v>
      </c>
      <c r="D2880" s="4">
        <v>45450</v>
      </c>
      <c r="E2880" t="s">
        <v>1242</v>
      </c>
      <c r="F2880" t="s">
        <v>75</v>
      </c>
      <c r="I2880" s="6">
        <v>0</v>
      </c>
      <c r="J2880" s="6">
        <v>0</v>
      </c>
      <c r="K2880" s="6">
        <v>0</v>
      </c>
      <c r="L2880" s="6">
        <v>0</v>
      </c>
      <c r="M2880" s="6">
        <v>0</v>
      </c>
      <c r="N2880" s="6">
        <v>0</v>
      </c>
      <c r="O2880" s="6">
        <v>0</v>
      </c>
      <c r="P2880" s="6">
        <v>0</v>
      </c>
      <c r="Q2880">
        <v>1</v>
      </c>
      <c r="R2880">
        <f t="shared" si="220"/>
        <v>0</v>
      </c>
      <c r="S2880">
        <f t="shared" si="221"/>
        <v>1</v>
      </c>
      <c r="T2880">
        <f t="shared" si="222"/>
        <v>0</v>
      </c>
      <c r="U2880">
        <f t="shared" si="223"/>
        <v>0</v>
      </c>
      <c r="V2880">
        <f t="shared" si="224"/>
        <v>0</v>
      </c>
    </row>
    <row r="2881" spans="1:22" x14ac:dyDescent="0.25">
      <c r="A2881">
        <v>2878</v>
      </c>
      <c r="B2881" t="s">
        <v>28</v>
      </c>
      <c r="C2881" t="s">
        <v>1218</v>
      </c>
      <c r="D2881" s="4">
        <v>45451</v>
      </c>
      <c r="E2881" t="s">
        <v>393</v>
      </c>
      <c r="F2881" t="s">
        <v>75</v>
      </c>
      <c r="I2881" s="6">
        <v>1</v>
      </c>
      <c r="J2881" s="6">
        <v>0</v>
      </c>
      <c r="K2881" s="6">
        <v>0</v>
      </c>
      <c r="L2881" s="6">
        <v>1</v>
      </c>
      <c r="M2881" s="6">
        <v>1</v>
      </c>
      <c r="N2881" s="6">
        <v>0</v>
      </c>
      <c r="O2881" s="6">
        <v>0</v>
      </c>
      <c r="P2881" s="6">
        <v>0</v>
      </c>
      <c r="Q2881">
        <v>1</v>
      </c>
      <c r="R2881">
        <f t="shared" si="220"/>
        <v>0</v>
      </c>
      <c r="S2881">
        <f t="shared" si="221"/>
        <v>1</v>
      </c>
      <c r="T2881">
        <f t="shared" si="222"/>
        <v>3</v>
      </c>
      <c r="U2881">
        <f t="shared" si="223"/>
        <v>1</v>
      </c>
      <c r="V2881">
        <f t="shared" si="224"/>
        <v>0</v>
      </c>
    </row>
    <row r="2882" spans="1:22" x14ac:dyDescent="0.25">
      <c r="A2882">
        <v>2879</v>
      </c>
      <c r="B2882" t="s">
        <v>28</v>
      </c>
      <c r="C2882" t="s">
        <v>1218</v>
      </c>
      <c r="D2882" s="4">
        <v>45451</v>
      </c>
      <c r="E2882" t="s">
        <v>394</v>
      </c>
      <c r="F2882" t="s">
        <v>75</v>
      </c>
      <c r="I2882" s="6">
        <v>0</v>
      </c>
      <c r="J2882" s="6">
        <v>0</v>
      </c>
      <c r="K2882" s="6">
        <v>1</v>
      </c>
      <c r="L2882" s="6">
        <v>1</v>
      </c>
      <c r="M2882" s="6">
        <v>1</v>
      </c>
      <c r="N2882" s="6">
        <v>1</v>
      </c>
      <c r="O2882" s="6">
        <v>0</v>
      </c>
      <c r="P2882" s="6">
        <v>0</v>
      </c>
      <c r="Q2882">
        <v>1</v>
      </c>
      <c r="R2882">
        <f t="shared" si="220"/>
        <v>0</v>
      </c>
      <c r="S2882">
        <f t="shared" si="221"/>
        <v>1</v>
      </c>
      <c r="T2882">
        <f t="shared" si="222"/>
        <v>4</v>
      </c>
      <c r="U2882">
        <f t="shared" si="223"/>
        <v>1</v>
      </c>
      <c r="V2882">
        <f t="shared" si="224"/>
        <v>0</v>
      </c>
    </row>
    <row r="2883" spans="1:22" x14ac:dyDescent="0.25">
      <c r="A2883">
        <v>2880</v>
      </c>
      <c r="B2883" t="s">
        <v>28</v>
      </c>
      <c r="C2883" t="s">
        <v>1218</v>
      </c>
      <c r="D2883" s="4">
        <v>45452</v>
      </c>
      <c r="E2883" t="s">
        <v>522</v>
      </c>
      <c r="F2883" t="s">
        <v>75</v>
      </c>
      <c r="I2883" s="6">
        <v>0</v>
      </c>
      <c r="J2883" s="6">
        <v>0</v>
      </c>
      <c r="K2883" s="6">
        <v>0</v>
      </c>
      <c r="L2883" s="6">
        <v>0</v>
      </c>
      <c r="M2883" s="6">
        <v>0</v>
      </c>
      <c r="N2883" s="6">
        <v>0</v>
      </c>
      <c r="O2883" s="6">
        <v>0</v>
      </c>
      <c r="P2883" s="6">
        <v>0</v>
      </c>
      <c r="Q2883">
        <v>1</v>
      </c>
      <c r="R2883">
        <f t="shared" ref="R2883:R2946" si="225">IF(AND(Q2883=1,F2883="ai_full"),1,0)</f>
        <v>0</v>
      </c>
      <c r="S2883">
        <f t="shared" ref="S2883:S2946" si="226">IF(AND(Q2883=1,F2883="conventional"),1,0)</f>
        <v>1</v>
      </c>
      <c r="T2883">
        <f t="shared" ref="T2883:T2946" si="227">SUM(I2883:P2883)</f>
        <v>0</v>
      </c>
      <c r="U2883">
        <f t="shared" ref="U2883:U2946" si="228">IF(T2883&gt;=1,1,0)</f>
        <v>0</v>
      </c>
      <c r="V2883">
        <f t="shared" ref="V2883:V2946" si="229">IF(F2883="ai_full",1,0)</f>
        <v>0</v>
      </c>
    </row>
    <row r="2884" spans="1:22" x14ac:dyDescent="0.25">
      <c r="A2884">
        <v>2881</v>
      </c>
      <c r="B2884" t="s">
        <v>28</v>
      </c>
      <c r="C2884" t="s">
        <v>1218</v>
      </c>
      <c r="D2884" s="4">
        <v>45453</v>
      </c>
      <c r="E2884" t="s">
        <v>1243</v>
      </c>
      <c r="F2884" t="s">
        <v>75</v>
      </c>
      <c r="I2884" s="6">
        <v>0</v>
      </c>
      <c r="J2884" s="6">
        <v>0</v>
      </c>
      <c r="K2884" s="6">
        <v>0</v>
      </c>
      <c r="L2884" s="6">
        <v>0</v>
      </c>
      <c r="M2884" s="6">
        <v>0</v>
      </c>
      <c r="N2884" s="6">
        <v>0</v>
      </c>
      <c r="O2884" s="6">
        <v>0</v>
      </c>
      <c r="P2884" s="6">
        <v>0</v>
      </c>
      <c r="Q2884">
        <v>1</v>
      </c>
      <c r="R2884">
        <f t="shared" si="225"/>
        <v>0</v>
      </c>
      <c r="S2884">
        <f t="shared" si="226"/>
        <v>1</v>
      </c>
      <c r="T2884">
        <f t="shared" si="227"/>
        <v>0</v>
      </c>
      <c r="U2884">
        <f t="shared" si="228"/>
        <v>0</v>
      </c>
      <c r="V2884">
        <f t="shared" si="229"/>
        <v>0</v>
      </c>
    </row>
    <row r="2885" spans="1:22" x14ac:dyDescent="0.25">
      <c r="A2885">
        <v>2882</v>
      </c>
      <c r="B2885" t="s">
        <v>28</v>
      </c>
      <c r="C2885" t="s">
        <v>1218</v>
      </c>
      <c r="D2885" s="4">
        <v>45454</v>
      </c>
      <c r="E2885" t="s">
        <v>1244</v>
      </c>
      <c r="F2885" t="s">
        <v>75</v>
      </c>
      <c r="I2885" s="6">
        <v>0</v>
      </c>
      <c r="J2885" s="6">
        <v>0</v>
      </c>
      <c r="K2885" s="6">
        <v>0</v>
      </c>
      <c r="L2885" s="6">
        <v>0</v>
      </c>
      <c r="M2885" s="6">
        <v>0</v>
      </c>
      <c r="N2885" s="6">
        <v>0</v>
      </c>
      <c r="O2885" s="6">
        <v>0</v>
      </c>
      <c r="P2885" s="6">
        <v>0</v>
      </c>
      <c r="Q2885">
        <v>1</v>
      </c>
      <c r="R2885">
        <f t="shared" si="225"/>
        <v>0</v>
      </c>
      <c r="S2885">
        <f t="shared" si="226"/>
        <v>1</v>
      </c>
      <c r="T2885">
        <f t="shared" si="227"/>
        <v>0</v>
      </c>
      <c r="U2885">
        <f t="shared" si="228"/>
        <v>0</v>
      </c>
      <c r="V2885">
        <f t="shared" si="229"/>
        <v>0</v>
      </c>
    </row>
    <row r="2886" spans="1:22" x14ac:dyDescent="0.25">
      <c r="A2886">
        <v>2883</v>
      </c>
      <c r="B2886" t="s">
        <v>28</v>
      </c>
      <c r="C2886" t="s">
        <v>1218</v>
      </c>
      <c r="D2886" s="4">
        <v>45455</v>
      </c>
      <c r="E2886" t="s">
        <v>1245</v>
      </c>
      <c r="F2886" t="s">
        <v>75</v>
      </c>
      <c r="I2886" s="6">
        <v>1</v>
      </c>
      <c r="J2886" s="6">
        <v>0</v>
      </c>
      <c r="K2886" s="6">
        <v>0</v>
      </c>
      <c r="L2886" s="6">
        <v>0</v>
      </c>
      <c r="M2886" s="6">
        <v>1</v>
      </c>
      <c r="N2886" s="6">
        <v>0</v>
      </c>
      <c r="O2886" s="6">
        <v>0</v>
      </c>
      <c r="P2886" s="6">
        <v>0</v>
      </c>
      <c r="Q2886">
        <v>1</v>
      </c>
      <c r="R2886">
        <f t="shared" si="225"/>
        <v>0</v>
      </c>
      <c r="S2886">
        <f t="shared" si="226"/>
        <v>1</v>
      </c>
      <c r="T2886">
        <f t="shared" si="227"/>
        <v>2</v>
      </c>
      <c r="U2886">
        <f t="shared" si="228"/>
        <v>1</v>
      </c>
      <c r="V2886">
        <f t="shared" si="229"/>
        <v>0</v>
      </c>
    </row>
    <row r="2887" spans="1:22" x14ac:dyDescent="0.25">
      <c r="A2887">
        <v>2884</v>
      </c>
      <c r="B2887" t="s">
        <v>28</v>
      </c>
      <c r="C2887" t="s">
        <v>1218</v>
      </c>
      <c r="D2887" s="4">
        <v>45456</v>
      </c>
      <c r="E2887" t="s">
        <v>1246</v>
      </c>
      <c r="F2887" t="s">
        <v>75</v>
      </c>
      <c r="I2887" s="6">
        <v>0</v>
      </c>
      <c r="J2887" s="6">
        <v>0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>
        <v>1</v>
      </c>
      <c r="R2887">
        <f t="shared" si="225"/>
        <v>0</v>
      </c>
      <c r="S2887">
        <f t="shared" si="226"/>
        <v>1</v>
      </c>
      <c r="T2887">
        <f t="shared" si="227"/>
        <v>0</v>
      </c>
      <c r="U2887">
        <f t="shared" si="228"/>
        <v>0</v>
      </c>
      <c r="V2887">
        <f t="shared" si="229"/>
        <v>0</v>
      </c>
    </row>
    <row r="2888" spans="1:22" x14ac:dyDescent="0.25">
      <c r="A2888">
        <v>2885</v>
      </c>
      <c r="B2888" t="s">
        <v>28</v>
      </c>
      <c r="C2888" t="s">
        <v>1218</v>
      </c>
      <c r="D2888" s="4">
        <v>45457</v>
      </c>
      <c r="E2888" t="s">
        <v>1247</v>
      </c>
      <c r="F2888" t="s">
        <v>75</v>
      </c>
      <c r="I2888" s="6">
        <v>1</v>
      </c>
      <c r="J2888" s="6">
        <v>0</v>
      </c>
      <c r="K2888" s="6">
        <v>1</v>
      </c>
      <c r="L2888" s="6">
        <v>0</v>
      </c>
      <c r="M2888" s="6">
        <v>1</v>
      </c>
      <c r="N2888" s="6">
        <v>0</v>
      </c>
      <c r="O2888" s="6">
        <v>0</v>
      </c>
      <c r="P2888" s="6">
        <v>0</v>
      </c>
      <c r="Q2888">
        <v>1</v>
      </c>
      <c r="R2888">
        <f t="shared" si="225"/>
        <v>0</v>
      </c>
      <c r="S2888">
        <f t="shared" si="226"/>
        <v>1</v>
      </c>
      <c r="T2888">
        <f t="shared" si="227"/>
        <v>3</v>
      </c>
      <c r="U2888">
        <f t="shared" si="228"/>
        <v>1</v>
      </c>
      <c r="V2888">
        <f t="shared" si="229"/>
        <v>0</v>
      </c>
    </row>
    <row r="2889" spans="1:22" x14ac:dyDescent="0.25">
      <c r="A2889">
        <v>2886</v>
      </c>
      <c r="B2889" t="s">
        <v>28</v>
      </c>
      <c r="C2889" t="s">
        <v>1218</v>
      </c>
      <c r="D2889" s="4">
        <v>45458</v>
      </c>
      <c r="E2889" t="s">
        <v>1248</v>
      </c>
      <c r="F2889" t="s">
        <v>75</v>
      </c>
      <c r="I2889" s="6">
        <v>0</v>
      </c>
      <c r="J2889" s="6">
        <v>0</v>
      </c>
      <c r="K2889" s="6">
        <v>1</v>
      </c>
      <c r="L2889" s="6">
        <v>0</v>
      </c>
      <c r="M2889" s="6">
        <v>1</v>
      </c>
      <c r="N2889" s="6">
        <v>1</v>
      </c>
      <c r="O2889" s="6">
        <v>1</v>
      </c>
      <c r="P2889" s="6">
        <v>0</v>
      </c>
      <c r="Q2889">
        <v>1</v>
      </c>
      <c r="R2889">
        <f t="shared" si="225"/>
        <v>0</v>
      </c>
      <c r="S2889">
        <f t="shared" si="226"/>
        <v>1</v>
      </c>
      <c r="T2889">
        <f t="shared" si="227"/>
        <v>4</v>
      </c>
      <c r="U2889">
        <f t="shared" si="228"/>
        <v>1</v>
      </c>
      <c r="V2889">
        <f t="shared" si="229"/>
        <v>0</v>
      </c>
    </row>
    <row r="2890" spans="1:22" x14ac:dyDescent="0.25">
      <c r="A2890">
        <v>2887</v>
      </c>
      <c r="B2890" t="s">
        <v>28</v>
      </c>
      <c r="C2890" t="s">
        <v>1218</v>
      </c>
      <c r="D2890" s="4">
        <v>45458</v>
      </c>
      <c r="E2890" t="s">
        <v>1249</v>
      </c>
      <c r="F2890" t="s">
        <v>75</v>
      </c>
      <c r="I2890" s="6">
        <v>1</v>
      </c>
      <c r="J2890" s="6">
        <v>0</v>
      </c>
      <c r="K2890" s="6">
        <v>0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>
        <v>1</v>
      </c>
      <c r="R2890">
        <f t="shared" si="225"/>
        <v>0</v>
      </c>
      <c r="S2890">
        <f t="shared" si="226"/>
        <v>1</v>
      </c>
      <c r="T2890">
        <f t="shared" si="227"/>
        <v>1</v>
      </c>
      <c r="U2890">
        <f t="shared" si="228"/>
        <v>1</v>
      </c>
      <c r="V2890">
        <f t="shared" si="229"/>
        <v>0</v>
      </c>
    </row>
    <row r="2891" spans="1:22" x14ac:dyDescent="0.25">
      <c r="A2891">
        <v>2888</v>
      </c>
      <c r="B2891" t="s">
        <v>28</v>
      </c>
      <c r="C2891" t="s">
        <v>1218</v>
      </c>
      <c r="D2891" s="4">
        <v>45460</v>
      </c>
      <c r="E2891" t="s">
        <v>1250</v>
      </c>
      <c r="F2891" t="s">
        <v>75</v>
      </c>
      <c r="I2891" s="6">
        <v>0</v>
      </c>
      <c r="J2891" s="6">
        <v>0</v>
      </c>
      <c r="K2891" s="6">
        <v>0</v>
      </c>
      <c r="L2891" s="6">
        <v>0</v>
      </c>
      <c r="M2891" s="6">
        <v>0</v>
      </c>
      <c r="N2891" s="6">
        <v>1</v>
      </c>
      <c r="O2891" s="6">
        <v>0</v>
      </c>
      <c r="P2891" s="6">
        <v>0</v>
      </c>
      <c r="Q2891">
        <v>1</v>
      </c>
      <c r="R2891">
        <f t="shared" si="225"/>
        <v>0</v>
      </c>
      <c r="S2891">
        <f t="shared" si="226"/>
        <v>1</v>
      </c>
      <c r="T2891">
        <f t="shared" si="227"/>
        <v>1</v>
      </c>
      <c r="U2891">
        <f t="shared" si="228"/>
        <v>1</v>
      </c>
      <c r="V2891">
        <f t="shared" si="229"/>
        <v>0</v>
      </c>
    </row>
    <row r="2892" spans="1:22" x14ac:dyDescent="0.25">
      <c r="A2892">
        <v>2889</v>
      </c>
      <c r="B2892" t="s">
        <v>28</v>
      </c>
      <c r="C2892" t="s">
        <v>1218</v>
      </c>
      <c r="D2892" s="4">
        <v>45460</v>
      </c>
      <c r="E2892" t="s">
        <v>1251</v>
      </c>
      <c r="F2892" t="s">
        <v>75</v>
      </c>
      <c r="I2892" s="6">
        <v>0</v>
      </c>
      <c r="J2892" s="6">
        <v>0</v>
      </c>
      <c r="K2892" s="6">
        <v>1</v>
      </c>
      <c r="L2892" s="6">
        <v>0</v>
      </c>
      <c r="M2892" s="6">
        <v>1</v>
      </c>
      <c r="N2892" s="6">
        <v>0</v>
      </c>
      <c r="O2892" s="6">
        <v>1</v>
      </c>
      <c r="P2892" s="6">
        <v>0</v>
      </c>
      <c r="Q2892">
        <v>1</v>
      </c>
      <c r="R2892">
        <f t="shared" si="225"/>
        <v>0</v>
      </c>
      <c r="S2892">
        <f t="shared" si="226"/>
        <v>1</v>
      </c>
      <c r="T2892">
        <f t="shared" si="227"/>
        <v>3</v>
      </c>
      <c r="U2892">
        <f t="shared" si="228"/>
        <v>1</v>
      </c>
      <c r="V2892">
        <f t="shared" si="229"/>
        <v>0</v>
      </c>
    </row>
    <row r="2893" spans="1:22" x14ac:dyDescent="0.25">
      <c r="A2893">
        <v>2890</v>
      </c>
      <c r="B2893" t="s">
        <v>28</v>
      </c>
      <c r="C2893" t="s">
        <v>1218</v>
      </c>
      <c r="D2893" s="4">
        <v>45462</v>
      </c>
      <c r="E2893" t="s">
        <v>1252</v>
      </c>
      <c r="F2893" t="s">
        <v>75</v>
      </c>
      <c r="I2893" s="6">
        <v>1</v>
      </c>
      <c r="J2893" s="6">
        <v>0</v>
      </c>
      <c r="K2893" s="6">
        <v>1</v>
      </c>
      <c r="L2893" s="6">
        <v>1</v>
      </c>
      <c r="M2893" s="6">
        <v>1</v>
      </c>
      <c r="N2893" s="6">
        <v>1</v>
      </c>
      <c r="O2893" s="6">
        <v>0</v>
      </c>
      <c r="P2893" s="6">
        <v>0</v>
      </c>
      <c r="Q2893">
        <v>1</v>
      </c>
      <c r="R2893">
        <f t="shared" si="225"/>
        <v>0</v>
      </c>
      <c r="S2893">
        <f t="shared" si="226"/>
        <v>1</v>
      </c>
      <c r="T2893">
        <f t="shared" si="227"/>
        <v>5</v>
      </c>
      <c r="U2893">
        <f t="shared" si="228"/>
        <v>1</v>
      </c>
      <c r="V2893">
        <f t="shared" si="229"/>
        <v>0</v>
      </c>
    </row>
    <row r="2894" spans="1:22" x14ac:dyDescent="0.25">
      <c r="A2894">
        <v>2891</v>
      </c>
      <c r="B2894" t="s">
        <v>28</v>
      </c>
      <c r="C2894" t="s">
        <v>1218</v>
      </c>
      <c r="D2894" s="4">
        <v>45463</v>
      </c>
      <c r="E2894" t="s">
        <v>1253</v>
      </c>
      <c r="F2894" t="s">
        <v>75</v>
      </c>
      <c r="I2894" s="6">
        <v>0</v>
      </c>
      <c r="J2894" s="6">
        <v>0</v>
      </c>
      <c r="K2894" s="6">
        <v>0</v>
      </c>
      <c r="L2894" s="6">
        <v>0</v>
      </c>
      <c r="M2894" s="6">
        <v>0</v>
      </c>
      <c r="N2894" s="6">
        <v>0</v>
      </c>
      <c r="O2894" s="6">
        <v>0</v>
      </c>
      <c r="P2894" s="6">
        <v>0</v>
      </c>
      <c r="Q2894">
        <v>1</v>
      </c>
      <c r="R2894">
        <f t="shared" si="225"/>
        <v>0</v>
      </c>
      <c r="S2894">
        <f t="shared" si="226"/>
        <v>1</v>
      </c>
      <c r="T2894">
        <f t="shared" si="227"/>
        <v>0</v>
      </c>
      <c r="U2894">
        <f t="shared" si="228"/>
        <v>0</v>
      </c>
      <c r="V2894">
        <f t="shared" si="229"/>
        <v>0</v>
      </c>
    </row>
    <row r="2895" spans="1:22" x14ac:dyDescent="0.25">
      <c r="A2895">
        <v>2892</v>
      </c>
      <c r="B2895" t="s">
        <v>28</v>
      </c>
      <c r="C2895" t="s">
        <v>1218</v>
      </c>
      <c r="D2895" s="4">
        <v>45464</v>
      </c>
      <c r="E2895" t="s">
        <v>1254</v>
      </c>
      <c r="F2895" t="s">
        <v>75</v>
      </c>
      <c r="H2895" t="s">
        <v>1255</v>
      </c>
      <c r="I2895" s="6">
        <v>0</v>
      </c>
      <c r="J2895" s="6">
        <v>0</v>
      </c>
      <c r="K2895" s="6">
        <v>1</v>
      </c>
      <c r="L2895" s="6">
        <v>0</v>
      </c>
      <c r="M2895" s="6">
        <v>0</v>
      </c>
      <c r="N2895" s="6">
        <v>0</v>
      </c>
      <c r="O2895" s="6">
        <v>0</v>
      </c>
      <c r="P2895" s="6">
        <v>0</v>
      </c>
      <c r="Q2895">
        <v>1</v>
      </c>
      <c r="R2895">
        <f t="shared" si="225"/>
        <v>0</v>
      </c>
      <c r="S2895">
        <f t="shared" si="226"/>
        <v>1</v>
      </c>
      <c r="T2895">
        <f t="shared" si="227"/>
        <v>1</v>
      </c>
      <c r="U2895">
        <f t="shared" si="228"/>
        <v>1</v>
      </c>
      <c r="V2895">
        <f t="shared" si="229"/>
        <v>0</v>
      </c>
    </row>
    <row r="2896" spans="1:22" x14ac:dyDescent="0.25">
      <c r="A2896">
        <v>2893</v>
      </c>
      <c r="B2896" t="s">
        <v>28</v>
      </c>
      <c r="C2896" t="s">
        <v>1218</v>
      </c>
      <c r="D2896" s="4">
        <v>45464</v>
      </c>
      <c r="E2896" t="s">
        <v>1256</v>
      </c>
      <c r="F2896" t="s">
        <v>75</v>
      </c>
      <c r="I2896" s="6">
        <v>0</v>
      </c>
      <c r="J2896" s="6">
        <v>0</v>
      </c>
      <c r="K2896" s="6">
        <v>0</v>
      </c>
      <c r="L2896" s="6">
        <v>0</v>
      </c>
      <c r="M2896" s="6">
        <v>0</v>
      </c>
      <c r="N2896" s="6">
        <v>0</v>
      </c>
      <c r="O2896" s="6">
        <v>0</v>
      </c>
      <c r="P2896" s="6">
        <v>0</v>
      </c>
      <c r="Q2896">
        <v>1</v>
      </c>
      <c r="R2896">
        <f t="shared" si="225"/>
        <v>0</v>
      </c>
      <c r="S2896">
        <f t="shared" si="226"/>
        <v>1</v>
      </c>
      <c r="T2896">
        <f t="shared" si="227"/>
        <v>0</v>
      </c>
      <c r="U2896">
        <f t="shared" si="228"/>
        <v>0</v>
      </c>
      <c r="V2896">
        <f t="shared" si="229"/>
        <v>0</v>
      </c>
    </row>
    <row r="2897" spans="1:22" x14ac:dyDescent="0.25">
      <c r="A2897">
        <v>2894</v>
      </c>
      <c r="B2897" t="s">
        <v>28</v>
      </c>
      <c r="C2897" t="s">
        <v>1218</v>
      </c>
      <c r="D2897" s="4">
        <v>45465</v>
      </c>
      <c r="E2897" t="s">
        <v>1257</v>
      </c>
      <c r="F2897" t="s">
        <v>75</v>
      </c>
      <c r="I2897" s="6">
        <v>1</v>
      </c>
      <c r="J2897" s="6">
        <v>0</v>
      </c>
      <c r="K2897" s="6">
        <v>1</v>
      </c>
      <c r="L2897" s="6">
        <v>0</v>
      </c>
      <c r="M2897" s="6">
        <v>1</v>
      </c>
      <c r="N2897" s="6">
        <v>0</v>
      </c>
      <c r="O2897" s="6">
        <v>0</v>
      </c>
      <c r="P2897" s="6">
        <v>0</v>
      </c>
      <c r="Q2897">
        <v>1</v>
      </c>
      <c r="R2897">
        <f t="shared" si="225"/>
        <v>0</v>
      </c>
      <c r="S2897">
        <f t="shared" si="226"/>
        <v>1</v>
      </c>
      <c r="T2897">
        <f t="shared" si="227"/>
        <v>3</v>
      </c>
      <c r="U2897">
        <f t="shared" si="228"/>
        <v>1</v>
      </c>
      <c r="V2897">
        <f t="shared" si="229"/>
        <v>0</v>
      </c>
    </row>
    <row r="2898" spans="1:22" x14ac:dyDescent="0.25">
      <c r="A2898">
        <v>2895</v>
      </c>
      <c r="B2898" t="s">
        <v>28</v>
      </c>
      <c r="C2898" t="s">
        <v>1218</v>
      </c>
      <c r="D2898" s="4">
        <v>45465</v>
      </c>
      <c r="E2898" t="s">
        <v>1258</v>
      </c>
      <c r="F2898" t="s">
        <v>75</v>
      </c>
      <c r="I2898" s="6">
        <v>0</v>
      </c>
      <c r="J2898" s="6">
        <v>0</v>
      </c>
      <c r="K2898" s="6">
        <v>0</v>
      </c>
      <c r="L2898" s="6">
        <v>0</v>
      </c>
      <c r="M2898" s="6">
        <v>0</v>
      </c>
      <c r="N2898" s="6">
        <v>0</v>
      </c>
      <c r="O2898" s="6">
        <v>0</v>
      </c>
      <c r="P2898" s="6">
        <v>0</v>
      </c>
      <c r="Q2898">
        <v>1</v>
      </c>
      <c r="R2898">
        <f t="shared" si="225"/>
        <v>0</v>
      </c>
      <c r="S2898">
        <f t="shared" si="226"/>
        <v>1</v>
      </c>
      <c r="T2898">
        <f t="shared" si="227"/>
        <v>0</v>
      </c>
      <c r="U2898">
        <f t="shared" si="228"/>
        <v>0</v>
      </c>
      <c r="V2898">
        <f t="shared" si="229"/>
        <v>0</v>
      </c>
    </row>
    <row r="2899" spans="1:22" x14ac:dyDescent="0.25">
      <c r="A2899">
        <v>2896</v>
      </c>
      <c r="B2899" t="s">
        <v>28</v>
      </c>
      <c r="C2899" t="s">
        <v>1218</v>
      </c>
      <c r="D2899" s="4">
        <v>45468</v>
      </c>
      <c r="E2899" t="s">
        <v>1259</v>
      </c>
      <c r="F2899" t="s">
        <v>75</v>
      </c>
      <c r="I2899" s="6">
        <v>0</v>
      </c>
      <c r="J2899" s="6">
        <v>0</v>
      </c>
      <c r="K2899" s="6">
        <v>0</v>
      </c>
      <c r="L2899" s="6">
        <v>0</v>
      </c>
      <c r="M2899" s="6">
        <v>0</v>
      </c>
      <c r="N2899" s="6">
        <v>0</v>
      </c>
      <c r="O2899" s="6">
        <v>0</v>
      </c>
      <c r="P2899" s="6">
        <v>0</v>
      </c>
      <c r="Q2899">
        <v>1</v>
      </c>
      <c r="R2899">
        <f t="shared" si="225"/>
        <v>0</v>
      </c>
      <c r="S2899">
        <f t="shared" si="226"/>
        <v>1</v>
      </c>
      <c r="T2899">
        <f t="shared" si="227"/>
        <v>0</v>
      </c>
      <c r="U2899">
        <f t="shared" si="228"/>
        <v>0</v>
      </c>
      <c r="V2899">
        <f t="shared" si="229"/>
        <v>0</v>
      </c>
    </row>
    <row r="2900" spans="1:22" x14ac:dyDescent="0.25">
      <c r="A2900">
        <v>2897</v>
      </c>
      <c r="B2900" t="s">
        <v>28</v>
      </c>
      <c r="C2900" t="s">
        <v>1218</v>
      </c>
      <c r="D2900" s="4">
        <v>45470</v>
      </c>
      <c r="E2900" t="s">
        <v>1260</v>
      </c>
      <c r="F2900" t="s">
        <v>75</v>
      </c>
      <c r="I2900" s="6">
        <v>1</v>
      </c>
      <c r="J2900" s="6">
        <v>1</v>
      </c>
      <c r="K2900" s="6">
        <v>1</v>
      </c>
      <c r="L2900" s="6">
        <v>0</v>
      </c>
      <c r="M2900" s="6">
        <v>1</v>
      </c>
      <c r="N2900" s="6">
        <v>0</v>
      </c>
      <c r="O2900" s="6">
        <v>0</v>
      </c>
      <c r="P2900" s="6">
        <v>0</v>
      </c>
      <c r="Q2900">
        <v>1</v>
      </c>
      <c r="R2900">
        <f t="shared" si="225"/>
        <v>0</v>
      </c>
      <c r="S2900">
        <f t="shared" si="226"/>
        <v>1</v>
      </c>
      <c r="T2900">
        <f t="shared" si="227"/>
        <v>4</v>
      </c>
      <c r="U2900">
        <f t="shared" si="228"/>
        <v>1</v>
      </c>
      <c r="V2900">
        <f t="shared" si="229"/>
        <v>0</v>
      </c>
    </row>
    <row r="2901" spans="1:22" x14ac:dyDescent="0.25">
      <c r="A2901">
        <v>2898</v>
      </c>
      <c r="B2901" t="s">
        <v>28</v>
      </c>
      <c r="C2901" t="s">
        <v>1218</v>
      </c>
      <c r="D2901" s="4">
        <v>45470</v>
      </c>
      <c r="E2901" t="s">
        <v>1261</v>
      </c>
      <c r="F2901" t="s">
        <v>75</v>
      </c>
      <c r="I2901" s="6">
        <v>0</v>
      </c>
      <c r="J2901" s="6">
        <v>0</v>
      </c>
      <c r="K2901" s="6">
        <v>0</v>
      </c>
      <c r="L2901" s="6">
        <v>0</v>
      </c>
      <c r="M2901" s="6">
        <v>1</v>
      </c>
      <c r="N2901" s="6">
        <v>0</v>
      </c>
      <c r="O2901" s="6">
        <v>0</v>
      </c>
      <c r="P2901" s="6">
        <v>0</v>
      </c>
      <c r="Q2901">
        <v>1</v>
      </c>
      <c r="R2901">
        <f t="shared" si="225"/>
        <v>0</v>
      </c>
      <c r="S2901">
        <f t="shared" si="226"/>
        <v>1</v>
      </c>
      <c r="T2901">
        <f t="shared" si="227"/>
        <v>1</v>
      </c>
      <c r="U2901">
        <f t="shared" si="228"/>
        <v>1</v>
      </c>
      <c r="V2901">
        <f t="shared" si="229"/>
        <v>0</v>
      </c>
    </row>
    <row r="2902" spans="1:22" x14ac:dyDescent="0.25">
      <c r="A2902">
        <v>2899</v>
      </c>
      <c r="B2902" t="s">
        <v>28</v>
      </c>
      <c r="C2902" t="s">
        <v>1218</v>
      </c>
      <c r="D2902" s="4">
        <v>45471</v>
      </c>
      <c r="E2902" t="s">
        <v>1262</v>
      </c>
      <c r="F2902" t="s">
        <v>75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>
        <v>1</v>
      </c>
      <c r="R2902">
        <f t="shared" si="225"/>
        <v>0</v>
      </c>
      <c r="S2902">
        <f t="shared" si="226"/>
        <v>1</v>
      </c>
      <c r="T2902">
        <f t="shared" si="227"/>
        <v>0</v>
      </c>
      <c r="U2902">
        <f t="shared" si="228"/>
        <v>0</v>
      </c>
      <c r="V2902">
        <f t="shared" si="229"/>
        <v>0</v>
      </c>
    </row>
    <row r="2903" spans="1:22" x14ac:dyDescent="0.25">
      <c r="A2903">
        <v>2900</v>
      </c>
      <c r="B2903" t="s">
        <v>28</v>
      </c>
      <c r="C2903" t="s">
        <v>1218</v>
      </c>
      <c r="D2903" s="4">
        <v>45472</v>
      </c>
      <c r="E2903" t="s">
        <v>1263</v>
      </c>
      <c r="F2903" t="s">
        <v>75</v>
      </c>
      <c r="I2903" s="6">
        <v>1</v>
      </c>
      <c r="J2903" s="6">
        <v>0</v>
      </c>
      <c r="K2903" s="6">
        <v>1</v>
      </c>
      <c r="L2903" s="6">
        <v>0</v>
      </c>
      <c r="M2903" s="6">
        <v>1</v>
      </c>
      <c r="N2903" s="6">
        <v>0</v>
      </c>
      <c r="O2903" s="6">
        <v>1</v>
      </c>
      <c r="P2903" s="6">
        <v>0</v>
      </c>
      <c r="Q2903">
        <v>1</v>
      </c>
      <c r="R2903">
        <f t="shared" si="225"/>
        <v>0</v>
      </c>
      <c r="S2903">
        <f t="shared" si="226"/>
        <v>1</v>
      </c>
      <c r="T2903">
        <f t="shared" si="227"/>
        <v>4</v>
      </c>
      <c r="U2903">
        <f t="shared" si="228"/>
        <v>1</v>
      </c>
      <c r="V2903">
        <f t="shared" si="229"/>
        <v>0</v>
      </c>
    </row>
    <row r="2904" spans="1:22" x14ac:dyDescent="0.25">
      <c r="A2904">
        <v>2901</v>
      </c>
      <c r="B2904" t="s">
        <v>28</v>
      </c>
      <c r="C2904" t="s">
        <v>1218</v>
      </c>
      <c r="D2904" s="4">
        <v>45473</v>
      </c>
      <c r="E2904" t="s">
        <v>1264</v>
      </c>
      <c r="F2904" t="s">
        <v>75</v>
      </c>
      <c r="I2904" s="6">
        <v>0</v>
      </c>
      <c r="J2904" s="6">
        <v>0</v>
      </c>
      <c r="K2904" s="6">
        <v>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>
        <v>1</v>
      </c>
      <c r="R2904">
        <f t="shared" si="225"/>
        <v>0</v>
      </c>
      <c r="S2904">
        <f t="shared" si="226"/>
        <v>1</v>
      </c>
      <c r="T2904">
        <f t="shared" si="227"/>
        <v>0</v>
      </c>
      <c r="U2904">
        <f t="shared" si="228"/>
        <v>0</v>
      </c>
      <c r="V2904">
        <f t="shared" si="229"/>
        <v>0</v>
      </c>
    </row>
    <row r="2905" spans="1:22" x14ac:dyDescent="0.25">
      <c r="A2905">
        <v>2902</v>
      </c>
      <c r="B2905" t="s">
        <v>28</v>
      </c>
      <c r="C2905" t="s">
        <v>1218</v>
      </c>
      <c r="D2905" s="4">
        <v>45474</v>
      </c>
      <c r="E2905" t="s">
        <v>1265</v>
      </c>
      <c r="F2905" t="s">
        <v>75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>
        <v>1</v>
      </c>
      <c r="R2905">
        <f t="shared" si="225"/>
        <v>0</v>
      </c>
      <c r="S2905">
        <f t="shared" si="226"/>
        <v>1</v>
      </c>
      <c r="T2905">
        <f t="shared" si="227"/>
        <v>0</v>
      </c>
      <c r="U2905">
        <f t="shared" si="228"/>
        <v>0</v>
      </c>
      <c r="V2905">
        <f t="shared" si="229"/>
        <v>0</v>
      </c>
    </row>
    <row r="2906" spans="1:22" x14ac:dyDescent="0.25">
      <c r="A2906">
        <v>2903</v>
      </c>
      <c r="B2906" t="s">
        <v>28</v>
      </c>
      <c r="C2906" t="s">
        <v>1218</v>
      </c>
      <c r="D2906" s="4">
        <v>45474</v>
      </c>
      <c r="E2906" t="s">
        <v>1266</v>
      </c>
      <c r="F2906" t="s">
        <v>75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>
        <v>1</v>
      </c>
      <c r="R2906">
        <f t="shared" si="225"/>
        <v>0</v>
      </c>
      <c r="S2906">
        <f t="shared" si="226"/>
        <v>1</v>
      </c>
      <c r="T2906">
        <f t="shared" si="227"/>
        <v>0</v>
      </c>
      <c r="U2906">
        <f t="shared" si="228"/>
        <v>0</v>
      </c>
      <c r="V2906">
        <f t="shared" si="229"/>
        <v>0</v>
      </c>
    </row>
    <row r="2907" spans="1:22" x14ac:dyDescent="0.25">
      <c r="A2907">
        <v>2904</v>
      </c>
      <c r="B2907" t="s">
        <v>28</v>
      </c>
      <c r="C2907" t="s">
        <v>1218</v>
      </c>
      <c r="D2907" s="4">
        <v>45476</v>
      </c>
      <c r="E2907" t="s">
        <v>1267</v>
      </c>
      <c r="F2907" t="s">
        <v>75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>
        <v>1</v>
      </c>
      <c r="R2907">
        <f t="shared" si="225"/>
        <v>0</v>
      </c>
      <c r="S2907">
        <f t="shared" si="226"/>
        <v>1</v>
      </c>
      <c r="T2907">
        <f t="shared" si="227"/>
        <v>0</v>
      </c>
      <c r="U2907">
        <f t="shared" si="228"/>
        <v>0</v>
      </c>
      <c r="V2907">
        <f t="shared" si="229"/>
        <v>0</v>
      </c>
    </row>
    <row r="2908" spans="1:22" x14ac:dyDescent="0.25">
      <c r="A2908">
        <v>2905</v>
      </c>
      <c r="B2908" t="s">
        <v>28</v>
      </c>
      <c r="C2908" t="s">
        <v>1218</v>
      </c>
      <c r="D2908" s="4">
        <v>45477</v>
      </c>
      <c r="E2908" t="s">
        <v>1268</v>
      </c>
      <c r="F2908" t="s">
        <v>75</v>
      </c>
      <c r="I2908" s="6">
        <v>1</v>
      </c>
      <c r="J2908" s="6">
        <v>0</v>
      </c>
      <c r="K2908" s="6">
        <v>1</v>
      </c>
      <c r="L2908" s="6">
        <v>0</v>
      </c>
      <c r="M2908" s="6">
        <v>1</v>
      </c>
      <c r="N2908" s="6">
        <v>0</v>
      </c>
      <c r="O2908" s="6">
        <v>0</v>
      </c>
      <c r="P2908" s="6">
        <v>0</v>
      </c>
      <c r="Q2908">
        <v>1</v>
      </c>
      <c r="R2908">
        <f t="shared" si="225"/>
        <v>0</v>
      </c>
      <c r="S2908">
        <f t="shared" si="226"/>
        <v>1</v>
      </c>
      <c r="T2908">
        <f t="shared" si="227"/>
        <v>3</v>
      </c>
      <c r="U2908">
        <f t="shared" si="228"/>
        <v>1</v>
      </c>
      <c r="V2908">
        <f t="shared" si="229"/>
        <v>0</v>
      </c>
    </row>
    <row r="2909" spans="1:22" x14ac:dyDescent="0.25">
      <c r="A2909">
        <v>2906</v>
      </c>
      <c r="B2909" t="s">
        <v>28</v>
      </c>
      <c r="C2909" t="s">
        <v>1218</v>
      </c>
      <c r="D2909" s="4">
        <v>45478</v>
      </c>
      <c r="E2909" t="s">
        <v>1269</v>
      </c>
      <c r="F2909" t="s">
        <v>75</v>
      </c>
      <c r="I2909" s="6">
        <v>1</v>
      </c>
      <c r="J2909" s="6">
        <v>0</v>
      </c>
      <c r="K2909" s="6">
        <v>1</v>
      </c>
      <c r="L2909" s="6">
        <v>1</v>
      </c>
      <c r="M2909" s="6">
        <v>1</v>
      </c>
      <c r="N2909" s="6">
        <v>0</v>
      </c>
      <c r="O2909" s="6">
        <v>0</v>
      </c>
      <c r="P2909" s="6">
        <v>0</v>
      </c>
      <c r="Q2909">
        <v>1</v>
      </c>
      <c r="R2909">
        <f t="shared" si="225"/>
        <v>0</v>
      </c>
      <c r="S2909">
        <f t="shared" si="226"/>
        <v>1</v>
      </c>
      <c r="T2909">
        <f t="shared" si="227"/>
        <v>4</v>
      </c>
      <c r="U2909">
        <f t="shared" si="228"/>
        <v>1</v>
      </c>
      <c r="V2909">
        <f t="shared" si="229"/>
        <v>0</v>
      </c>
    </row>
    <row r="2910" spans="1:22" x14ac:dyDescent="0.25">
      <c r="A2910">
        <v>2907</v>
      </c>
      <c r="B2910" t="s">
        <v>28</v>
      </c>
      <c r="C2910" t="s">
        <v>1218</v>
      </c>
      <c r="D2910" s="4">
        <v>45478</v>
      </c>
      <c r="E2910" t="s">
        <v>1270</v>
      </c>
      <c r="F2910" t="s">
        <v>75</v>
      </c>
      <c r="I2910" s="6">
        <v>1</v>
      </c>
      <c r="J2910" s="6">
        <v>0</v>
      </c>
      <c r="K2910" s="6">
        <v>1</v>
      </c>
      <c r="L2910" s="6">
        <v>0</v>
      </c>
      <c r="M2910" s="6">
        <v>1</v>
      </c>
      <c r="N2910" s="6">
        <v>1</v>
      </c>
      <c r="O2910" s="6">
        <v>0</v>
      </c>
      <c r="P2910" s="6">
        <v>1</v>
      </c>
      <c r="Q2910">
        <v>1</v>
      </c>
      <c r="R2910">
        <f t="shared" si="225"/>
        <v>0</v>
      </c>
      <c r="S2910">
        <f t="shared" si="226"/>
        <v>1</v>
      </c>
      <c r="T2910">
        <f t="shared" si="227"/>
        <v>5</v>
      </c>
      <c r="U2910">
        <f t="shared" si="228"/>
        <v>1</v>
      </c>
      <c r="V2910">
        <f t="shared" si="229"/>
        <v>0</v>
      </c>
    </row>
    <row r="2911" spans="1:22" x14ac:dyDescent="0.25">
      <c r="A2911">
        <v>2908</v>
      </c>
      <c r="B2911" t="s">
        <v>26</v>
      </c>
      <c r="C2911" t="s">
        <v>1218</v>
      </c>
      <c r="D2911" s="4">
        <v>45329</v>
      </c>
      <c r="E2911" t="s">
        <v>403</v>
      </c>
      <c r="F2911" t="s">
        <v>75</v>
      </c>
      <c r="I2911" s="6">
        <v>0</v>
      </c>
      <c r="J2911" s="6">
        <v>0</v>
      </c>
      <c r="K2911" s="6">
        <v>1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>
        <v>1</v>
      </c>
      <c r="R2911">
        <f t="shared" si="225"/>
        <v>0</v>
      </c>
      <c r="S2911">
        <f t="shared" si="226"/>
        <v>1</v>
      </c>
      <c r="T2911">
        <f t="shared" si="227"/>
        <v>1</v>
      </c>
      <c r="U2911">
        <f t="shared" si="228"/>
        <v>1</v>
      </c>
      <c r="V2911">
        <f t="shared" si="229"/>
        <v>0</v>
      </c>
    </row>
    <row r="2912" spans="1:22" x14ac:dyDescent="0.25">
      <c r="A2912">
        <v>2909</v>
      </c>
      <c r="B2912" t="s">
        <v>26</v>
      </c>
      <c r="C2912" t="s">
        <v>1218</v>
      </c>
      <c r="D2912" s="4">
        <v>45329</v>
      </c>
      <c r="E2912" t="s">
        <v>404</v>
      </c>
      <c r="F2912" t="s">
        <v>75</v>
      </c>
      <c r="I2912" s="6"/>
      <c r="J2912" s="6"/>
      <c r="K2912" s="6"/>
      <c r="L2912" s="6"/>
      <c r="M2912" s="6"/>
      <c r="N2912" s="6"/>
      <c r="O2912" s="6"/>
      <c r="P2912" s="6"/>
      <c r="Q2912">
        <v>0</v>
      </c>
      <c r="R2912">
        <f t="shared" si="225"/>
        <v>0</v>
      </c>
      <c r="S2912">
        <f t="shared" si="226"/>
        <v>0</v>
      </c>
      <c r="T2912">
        <f t="shared" si="227"/>
        <v>0</v>
      </c>
      <c r="U2912">
        <f t="shared" si="228"/>
        <v>0</v>
      </c>
      <c r="V2912">
        <f t="shared" si="229"/>
        <v>0</v>
      </c>
    </row>
    <row r="2913" spans="1:22" x14ac:dyDescent="0.25">
      <c r="A2913">
        <v>2910</v>
      </c>
      <c r="B2913" t="s">
        <v>26</v>
      </c>
      <c r="C2913" t="s">
        <v>1218</v>
      </c>
      <c r="D2913" s="4">
        <v>45329</v>
      </c>
      <c r="E2913" t="s">
        <v>405</v>
      </c>
      <c r="F2913" t="s">
        <v>75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>
        <v>1</v>
      </c>
      <c r="R2913">
        <f t="shared" si="225"/>
        <v>0</v>
      </c>
      <c r="S2913">
        <f t="shared" si="226"/>
        <v>1</v>
      </c>
      <c r="T2913">
        <f t="shared" si="227"/>
        <v>0</v>
      </c>
      <c r="U2913">
        <f t="shared" si="228"/>
        <v>0</v>
      </c>
      <c r="V2913">
        <f t="shared" si="229"/>
        <v>0</v>
      </c>
    </row>
    <row r="2914" spans="1:22" x14ac:dyDescent="0.25">
      <c r="A2914">
        <v>2911</v>
      </c>
      <c r="B2914" t="s">
        <v>26</v>
      </c>
      <c r="C2914" t="s">
        <v>1218</v>
      </c>
      <c r="D2914" s="4">
        <v>45329</v>
      </c>
      <c r="E2914" t="s">
        <v>1501</v>
      </c>
      <c r="F2914" t="s">
        <v>75</v>
      </c>
      <c r="I2914" s="6"/>
      <c r="J2914" s="6"/>
      <c r="K2914" s="6"/>
      <c r="L2914" s="6"/>
      <c r="M2914" s="6"/>
      <c r="N2914" s="6"/>
      <c r="O2914" s="6"/>
      <c r="P2914" s="6"/>
      <c r="Q2914">
        <v>0</v>
      </c>
      <c r="R2914">
        <f t="shared" si="225"/>
        <v>0</v>
      </c>
      <c r="S2914">
        <f t="shared" si="226"/>
        <v>0</v>
      </c>
      <c r="T2914">
        <f t="shared" si="227"/>
        <v>0</v>
      </c>
      <c r="U2914">
        <f t="shared" si="228"/>
        <v>0</v>
      </c>
      <c r="V2914">
        <f t="shared" si="229"/>
        <v>0</v>
      </c>
    </row>
    <row r="2915" spans="1:22" x14ac:dyDescent="0.25">
      <c r="A2915">
        <v>2912</v>
      </c>
      <c r="B2915" t="s">
        <v>26</v>
      </c>
      <c r="C2915" t="s">
        <v>1218</v>
      </c>
      <c r="D2915" s="4">
        <v>45329</v>
      </c>
      <c r="E2915" t="s">
        <v>1456</v>
      </c>
      <c r="F2915" t="s">
        <v>75</v>
      </c>
      <c r="I2915" s="6"/>
      <c r="J2915" s="6"/>
      <c r="K2915" s="6"/>
      <c r="L2915" s="6"/>
      <c r="M2915" s="6"/>
      <c r="N2915" s="6"/>
      <c r="O2915" s="6"/>
      <c r="P2915" s="6"/>
      <c r="Q2915">
        <v>0</v>
      </c>
      <c r="R2915">
        <f t="shared" si="225"/>
        <v>0</v>
      </c>
      <c r="S2915">
        <f t="shared" si="226"/>
        <v>0</v>
      </c>
      <c r="T2915">
        <f t="shared" si="227"/>
        <v>0</v>
      </c>
      <c r="U2915">
        <f t="shared" si="228"/>
        <v>0</v>
      </c>
      <c r="V2915">
        <f t="shared" si="229"/>
        <v>0</v>
      </c>
    </row>
    <row r="2916" spans="1:22" x14ac:dyDescent="0.25">
      <c r="A2916">
        <v>2913</v>
      </c>
      <c r="B2916" t="s">
        <v>26</v>
      </c>
      <c r="C2916" t="s">
        <v>1218</v>
      </c>
      <c r="D2916" s="4">
        <v>45329</v>
      </c>
      <c r="E2916" t="s">
        <v>2303</v>
      </c>
      <c r="F2916" t="s">
        <v>75</v>
      </c>
      <c r="I2916" s="6"/>
      <c r="J2916" s="6"/>
      <c r="K2916" s="6"/>
      <c r="L2916" s="6"/>
      <c r="M2916" s="6"/>
      <c r="N2916" s="6"/>
      <c r="O2916" s="6"/>
      <c r="P2916" s="6"/>
      <c r="Q2916">
        <v>0</v>
      </c>
      <c r="R2916">
        <f t="shared" si="225"/>
        <v>0</v>
      </c>
      <c r="S2916">
        <f t="shared" si="226"/>
        <v>0</v>
      </c>
      <c r="T2916">
        <f t="shared" si="227"/>
        <v>0</v>
      </c>
      <c r="U2916">
        <f t="shared" si="228"/>
        <v>0</v>
      </c>
      <c r="V2916">
        <f t="shared" si="229"/>
        <v>0</v>
      </c>
    </row>
    <row r="2917" spans="1:22" x14ac:dyDescent="0.25">
      <c r="A2917">
        <v>2914</v>
      </c>
      <c r="B2917" t="s">
        <v>26</v>
      </c>
      <c r="C2917" t="s">
        <v>1218</v>
      </c>
      <c r="D2917" s="4">
        <v>45329</v>
      </c>
      <c r="E2917" t="s">
        <v>2672</v>
      </c>
      <c r="F2917" t="s">
        <v>75</v>
      </c>
      <c r="I2917" s="6"/>
      <c r="J2917" s="6"/>
      <c r="K2917" s="6"/>
      <c r="L2917" s="6"/>
      <c r="M2917" s="6"/>
      <c r="N2917" s="6"/>
      <c r="O2917" s="6"/>
      <c r="P2917" s="6"/>
      <c r="Q2917">
        <v>0</v>
      </c>
      <c r="R2917">
        <f t="shared" si="225"/>
        <v>0</v>
      </c>
      <c r="S2917">
        <f t="shared" si="226"/>
        <v>0</v>
      </c>
      <c r="T2917">
        <f t="shared" si="227"/>
        <v>0</v>
      </c>
      <c r="U2917">
        <f t="shared" si="228"/>
        <v>0</v>
      </c>
      <c r="V2917">
        <f t="shared" si="229"/>
        <v>0</v>
      </c>
    </row>
    <row r="2918" spans="1:22" x14ac:dyDescent="0.25">
      <c r="A2918">
        <v>2915</v>
      </c>
      <c r="B2918" t="s">
        <v>26</v>
      </c>
      <c r="C2918" t="s">
        <v>1218</v>
      </c>
      <c r="D2918" s="4">
        <v>45329</v>
      </c>
      <c r="E2918" t="s">
        <v>1104</v>
      </c>
      <c r="F2918" t="s">
        <v>75</v>
      </c>
      <c r="I2918" s="6">
        <v>0</v>
      </c>
      <c r="J2918" s="6">
        <v>0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>
        <v>1</v>
      </c>
      <c r="R2918">
        <f t="shared" si="225"/>
        <v>0</v>
      </c>
      <c r="S2918">
        <f t="shared" si="226"/>
        <v>1</v>
      </c>
      <c r="T2918">
        <f t="shared" si="227"/>
        <v>0</v>
      </c>
      <c r="U2918">
        <f t="shared" si="228"/>
        <v>0</v>
      </c>
      <c r="V2918">
        <f t="shared" si="229"/>
        <v>0</v>
      </c>
    </row>
    <row r="2919" spans="1:22" x14ac:dyDescent="0.25">
      <c r="A2919">
        <v>2916</v>
      </c>
      <c r="B2919" t="s">
        <v>26</v>
      </c>
      <c r="C2919" t="s">
        <v>1218</v>
      </c>
      <c r="D2919" s="4">
        <v>45330</v>
      </c>
      <c r="E2919" t="s">
        <v>836</v>
      </c>
      <c r="F2919" t="s">
        <v>75</v>
      </c>
      <c r="I2919" s="6"/>
      <c r="J2919" s="6"/>
      <c r="K2919" s="6"/>
      <c r="L2919" s="6"/>
      <c r="M2919" s="6"/>
      <c r="N2919" s="6"/>
      <c r="O2919" s="6"/>
      <c r="P2919" s="6"/>
      <c r="Q2919">
        <v>0</v>
      </c>
      <c r="R2919">
        <f t="shared" si="225"/>
        <v>0</v>
      </c>
      <c r="S2919">
        <f t="shared" si="226"/>
        <v>0</v>
      </c>
      <c r="T2919">
        <f t="shared" si="227"/>
        <v>0</v>
      </c>
      <c r="U2919">
        <f t="shared" si="228"/>
        <v>0</v>
      </c>
      <c r="V2919">
        <f t="shared" si="229"/>
        <v>0</v>
      </c>
    </row>
    <row r="2920" spans="1:22" x14ac:dyDescent="0.25">
      <c r="A2920">
        <v>2917</v>
      </c>
      <c r="B2920" t="s">
        <v>26</v>
      </c>
      <c r="C2920" t="s">
        <v>1218</v>
      </c>
      <c r="D2920" s="4">
        <v>45330</v>
      </c>
      <c r="E2920" t="s">
        <v>406</v>
      </c>
      <c r="F2920" t="s">
        <v>75</v>
      </c>
      <c r="I2920" s="6">
        <v>0</v>
      </c>
      <c r="J2920" s="6">
        <v>0</v>
      </c>
      <c r="K2920" s="6">
        <v>0</v>
      </c>
      <c r="L2920" s="6">
        <v>0</v>
      </c>
      <c r="M2920" s="6">
        <v>1</v>
      </c>
      <c r="N2920" s="6">
        <v>0</v>
      </c>
      <c r="O2920" s="6">
        <v>0</v>
      </c>
      <c r="P2920" s="6">
        <v>0</v>
      </c>
      <c r="Q2920">
        <v>1</v>
      </c>
      <c r="R2920">
        <f t="shared" si="225"/>
        <v>0</v>
      </c>
      <c r="S2920">
        <f t="shared" si="226"/>
        <v>1</v>
      </c>
      <c r="T2920">
        <f t="shared" si="227"/>
        <v>1</v>
      </c>
      <c r="U2920">
        <f t="shared" si="228"/>
        <v>1</v>
      </c>
      <c r="V2920">
        <f t="shared" si="229"/>
        <v>0</v>
      </c>
    </row>
    <row r="2921" spans="1:22" x14ac:dyDescent="0.25">
      <c r="A2921">
        <v>2918</v>
      </c>
      <c r="B2921" t="s">
        <v>26</v>
      </c>
      <c r="C2921" t="s">
        <v>1218</v>
      </c>
      <c r="D2921" s="4">
        <v>45330</v>
      </c>
      <c r="E2921" t="s">
        <v>407</v>
      </c>
      <c r="F2921" t="s">
        <v>75</v>
      </c>
      <c r="I2921" s="6"/>
      <c r="J2921" s="6"/>
      <c r="K2921" s="6"/>
      <c r="L2921" s="6"/>
      <c r="M2921" s="6"/>
      <c r="N2921" s="6"/>
      <c r="O2921" s="6"/>
      <c r="P2921" s="6"/>
      <c r="Q2921">
        <v>0</v>
      </c>
      <c r="R2921">
        <f t="shared" si="225"/>
        <v>0</v>
      </c>
      <c r="S2921">
        <f t="shared" si="226"/>
        <v>0</v>
      </c>
      <c r="T2921">
        <f t="shared" si="227"/>
        <v>0</v>
      </c>
      <c r="U2921">
        <f t="shared" si="228"/>
        <v>0</v>
      </c>
      <c r="V2921">
        <f t="shared" si="229"/>
        <v>0</v>
      </c>
    </row>
    <row r="2922" spans="1:22" x14ac:dyDescent="0.25">
      <c r="A2922">
        <v>2919</v>
      </c>
      <c r="B2922" t="s">
        <v>26</v>
      </c>
      <c r="C2922" t="s">
        <v>1218</v>
      </c>
      <c r="D2922" s="4">
        <v>45330</v>
      </c>
      <c r="E2922" t="s">
        <v>2302</v>
      </c>
      <c r="F2922" t="s">
        <v>75</v>
      </c>
      <c r="I2922" s="6">
        <v>0</v>
      </c>
      <c r="J2922" s="6">
        <v>0</v>
      </c>
      <c r="K2922" s="6">
        <v>0</v>
      </c>
      <c r="L2922" s="6">
        <v>0</v>
      </c>
      <c r="M2922" s="6">
        <v>1</v>
      </c>
      <c r="N2922" s="6">
        <v>0</v>
      </c>
      <c r="O2922" s="6">
        <v>0</v>
      </c>
      <c r="P2922" s="6">
        <v>0</v>
      </c>
      <c r="Q2922">
        <v>1</v>
      </c>
      <c r="R2922">
        <f t="shared" si="225"/>
        <v>0</v>
      </c>
      <c r="S2922">
        <f t="shared" si="226"/>
        <v>1</v>
      </c>
      <c r="T2922">
        <f t="shared" si="227"/>
        <v>1</v>
      </c>
      <c r="U2922">
        <f t="shared" si="228"/>
        <v>1</v>
      </c>
      <c r="V2922">
        <f t="shared" si="229"/>
        <v>0</v>
      </c>
    </row>
    <row r="2923" spans="1:22" x14ac:dyDescent="0.25">
      <c r="A2923">
        <v>2920</v>
      </c>
      <c r="B2923" t="s">
        <v>26</v>
      </c>
      <c r="C2923" t="s">
        <v>1218</v>
      </c>
      <c r="D2923" s="4">
        <v>45330</v>
      </c>
      <c r="E2923" t="s">
        <v>2301</v>
      </c>
      <c r="F2923" t="s">
        <v>75</v>
      </c>
      <c r="I2923" s="6"/>
      <c r="J2923" s="6"/>
      <c r="K2923" s="6"/>
      <c r="L2923" s="6"/>
      <c r="M2923" s="6"/>
      <c r="N2923" s="6"/>
      <c r="O2923" s="6"/>
      <c r="P2923" s="6"/>
      <c r="Q2923">
        <v>0</v>
      </c>
      <c r="R2923">
        <f t="shared" si="225"/>
        <v>0</v>
      </c>
      <c r="S2923">
        <f t="shared" si="226"/>
        <v>0</v>
      </c>
      <c r="T2923">
        <f t="shared" si="227"/>
        <v>0</v>
      </c>
      <c r="U2923">
        <f t="shared" si="228"/>
        <v>0</v>
      </c>
      <c r="V2923">
        <f t="shared" si="229"/>
        <v>0</v>
      </c>
    </row>
    <row r="2924" spans="1:22" x14ac:dyDescent="0.25">
      <c r="A2924">
        <v>2921</v>
      </c>
      <c r="B2924" t="s">
        <v>26</v>
      </c>
      <c r="C2924" t="s">
        <v>1218</v>
      </c>
      <c r="D2924" s="4">
        <v>45330</v>
      </c>
      <c r="E2924" t="s">
        <v>1502</v>
      </c>
      <c r="F2924" t="s">
        <v>75</v>
      </c>
      <c r="I2924" s="6"/>
      <c r="J2924" s="6"/>
      <c r="K2924" s="6"/>
      <c r="L2924" s="6"/>
      <c r="M2924" s="6"/>
      <c r="N2924" s="6"/>
      <c r="O2924" s="6"/>
      <c r="P2924" s="6"/>
      <c r="Q2924">
        <v>0</v>
      </c>
      <c r="R2924">
        <f t="shared" si="225"/>
        <v>0</v>
      </c>
      <c r="S2924">
        <f t="shared" si="226"/>
        <v>0</v>
      </c>
      <c r="T2924">
        <f t="shared" si="227"/>
        <v>0</v>
      </c>
      <c r="U2924">
        <f t="shared" si="228"/>
        <v>0</v>
      </c>
      <c r="V2924">
        <f t="shared" si="229"/>
        <v>0</v>
      </c>
    </row>
    <row r="2925" spans="1:22" x14ac:dyDescent="0.25">
      <c r="A2925">
        <v>2922</v>
      </c>
      <c r="B2925" t="s">
        <v>26</v>
      </c>
      <c r="C2925" t="s">
        <v>1218</v>
      </c>
      <c r="D2925" s="4">
        <v>45330</v>
      </c>
      <c r="E2925" t="s">
        <v>1271</v>
      </c>
      <c r="F2925" t="s">
        <v>413</v>
      </c>
      <c r="G2925">
        <v>146</v>
      </c>
      <c r="I2925" s="6">
        <v>0</v>
      </c>
      <c r="J2925" s="6">
        <v>0</v>
      </c>
      <c r="K2925" s="6">
        <v>0</v>
      </c>
      <c r="L2925" s="6">
        <v>0</v>
      </c>
      <c r="M2925" s="6">
        <v>1</v>
      </c>
      <c r="N2925" s="6">
        <v>0</v>
      </c>
      <c r="O2925" s="6">
        <v>0</v>
      </c>
      <c r="P2925" s="6">
        <v>0</v>
      </c>
      <c r="Q2925">
        <v>1</v>
      </c>
      <c r="R2925">
        <f t="shared" si="225"/>
        <v>1</v>
      </c>
      <c r="S2925">
        <f t="shared" si="226"/>
        <v>0</v>
      </c>
      <c r="T2925">
        <f t="shared" si="227"/>
        <v>1</v>
      </c>
      <c r="U2925">
        <f t="shared" si="228"/>
        <v>1</v>
      </c>
      <c r="V2925">
        <f t="shared" si="229"/>
        <v>1</v>
      </c>
    </row>
    <row r="2926" spans="1:22" x14ac:dyDescent="0.25">
      <c r="A2926">
        <v>2923</v>
      </c>
      <c r="B2926" t="s">
        <v>26</v>
      </c>
      <c r="C2926" t="s">
        <v>1218</v>
      </c>
      <c r="D2926" s="4">
        <v>45330</v>
      </c>
      <c r="E2926" t="s">
        <v>2671</v>
      </c>
      <c r="F2926" t="s">
        <v>75</v>
      </c>
      <c r="I2926" s="6"/>
      <c r="J2926" s="6"/>
      <c r="K2926" s="6"/>
      <c r="L2926" s="6"/>
      <c r="M2926" s="6"/>
      <c r="N2926" s="6"/>
      <c r="O2926" s="6"/>
      <c r="P2926" s="6"/>
      <c r="Q2926">
        <v>0</v>
      </c>
      <c r="R2926">
        <f t="shared" si="225"/>
        <v>0</v>
      </c>
      <c r="S2926">
        <f t="shared" si="226"/>
        <v>0</v>
      </c>
      <c r="T2926">
        <f t="shared" si="227"/>
        <v>0</v>
      </c>
      <c r="U2926">
        <f t="shared" si="228"/>
        <v>0</v>
      </c>
      <c r="V2926">
        <f t="shared" si="229"/>
        <v>0</v>
      </c>
    </row>
    <row r="2927" spans="1:22" x14ac:dyDescent="0.25">
      <c r="A2927">
        <v>2924</v>
      </c>
      <c r="B2927" t="s">
        <v>26</v>
      </c>
      <c r="C2927" t="s">
        <v>1218</v>
      </c>
      <c r="D2927" s="4">
        <v>45331</v>
      </c>
      <c r="E2927" t="s">
        <v>1039</v>
      </c>
      <c r="F2927" t="s">
        <v>75</v>
      </c>
      <c r="I2927" s="6"/>
      <c r="J2927" s="6"/>
      <c r="K2927" s="6"/>
      <c r="L2927" s="6"/>
      <c r="M2927" s="6"/>
      <c r="N2927" s="6"/>
      <c r="O2927" s="6"/>
      <c r="P2927" s="6"/>
      <c r="Q2927">
        <v>0</v>
      </c>
      <c r="R2927">
        <f t="shared" si="225"/>
        <v>0</v>
      </c>
      <c r="S2927">
        <f t="shared" si="226"/>
        <v>0</v>
      </c>
      <c r="T2927">
        <f t="shared" si="227"/>
        <v>0</v>
      </c>
      <c r="U2927">
        <f t="shared" si="228"/>
        <v>0</v>
      </c>
      <c r="V2927">
        <f t="shared" si="229"/>
        <v>0</v>
      </c>
    </row>
    <row r="2928" spans="1:22" x14ac:dyDescent="0.25">
      <c r="A2928">
        <v>2925</v>
      </c>
      <c r="B2928" t="s">
        <v>26</v>
      </c>
      <c r="C2928" t="s">
        <v>1218</v>
      </c>
      <c r="D2928" s="4">
        <v>45331</v>
      </c>
      <c r="E2928" t="s">
        <v>2670</v>
      </c>
      <c r="F2928" t="s">
        <v>75</v>
      </c>
      <c r="I2928" s="6">
        <v>0</v>
      </c>
      <c r="J2928" s="6">
        <v>0</v>
      </c>
      <c r="K2928" s="6">
        <v>0</v>
      </c>
      <c r="L2928" s="6">
        <v>0</v>
      </c>
      <c r="M2928" s="6">
        <v>0</v>
      </c>
      <c r="N2928" s="6">
        <v>0</v>
      </c>
      <c r="O2928" s="6">
        <v>0</v>
      </c>
      <c r="P2928" s="6">
        <v>0</v>
      </c>
      <c r="Q2928">
        <v>1</v>
      </c>
      <c r="R2928">
        <f t="shared" si="225"/>
        <v>0</v>
      </c>
      <c r="S2928">
        <f t="shared" si="226"/>
        <v>1</v>
      </c>
      <c r="T2928">
        <f t="shared" si="227"/>
        <v>0</v>
      </c>
      <c r="U2928">
        <f t="shared" si="228"/>
        <v>0</v>
      </c>
      <c r="V2928">
        <f t="shared" si="229"/>
        <v>0</v>
      </c>
    </row>
    <row r="2929" spans="1:22" x14ac:dyDescent="0.25">
      <c r="A2929">
        <v>2926</v>
      </c>
      <c r="B2929" t="s">
        <v>26</v>
      </c>
      <c r="C2929" t="s">
        <v>1218</v>
      </c>
      <c r="D2929" s="4">
        <v>45331</v>
      </c>
      <c r="E2929" t="s">
        <v>1105</v>
      </c>
      <c r="F2929" t="s">
        <v>75</v>
      </c>
      <c r="I2929" s="6"/>
      <c r="J2929" s="6"/>
      <c r="K2929" s="6"/>
      <c r="L2929" s="6"/>
      <c r="M2929" s="6"/>
      <c r="N2929" s="6"/>
      <c r="O2929" s="6"/>
      <c r="P2929" s="6"/>
      <c r="Q2929">
        <v>0</v>
      </c>
      <c r="R2929">
        <f t="shared" si="225"/>
        <v>0</v>
      </c>
      <c r="S2929">
        <f t="shared" si="226"/>
        <v>0</v>
      </c>
      <c r="T2929">
        <f t="shared" si="227"/>
        <v>0</v>
      </c>
      <c r="U2929">
        <f t="shared" si="228"/>
        <v>0</v>
      </c>
      <c r="V2929">
        <f t="shared" si="229"/>
        <v>0</v>
      </c>
    </row>
    <row r="2930" spans="1:22" x14ac:dyDescent="0.25">
      <c r="A2930">
        <v>2927</v>
      </c>
      <c r="B2930" t="s">
        <v>26</v>
      </c>
      <c r="C2930" t="s">
        <v>1218</v>
      </c>
      <c r="D2930" s="4">
        <v>45331</v>
      </c>
      <c r="E2930" t="s">
        <v>2300</v>
      </c>
      <c r="F2930" t="s">
        <v>75</v>
      </c>
      <c r="I2930" s="6"/>
      <c r="J2930" s="6"/>
      <c r="K2930" s="6"/>
      <c r="L2930" s="6"/>
      <c r="M2930" s="6"/>
      <c r="N2930" s="6"/>
      <c r="O2930" s="6"/>
      <c r="P2930" s="6"/>
      <c r="Q2930">
        <v>0</v>
      </c>
      <c r="R2930">
        <f t="shared" si="225"/>
        <v>0</v>
      </c>
      <c r="S2930">
        <f t="shared" si="226"/>
        <v>0</v>
      </c>
      <c r="T2930">
        <f t="shared" si="227"/>
        <v>0</v>
      </c>
      <c r="U2930">
        <f t="shared" si="228"/>
        <v>0</v>
      </c>
      <c r="V2930">
        <f t="shared" si="229"/>
        <v>0</v>
      </c>
    </row>
    <row r="2931" spans="1:22" x14ac:dyDescent="0.25">
      <c r="A2931">
        <v>2928</v>
      </c>
      <c r="B2931" t="s">
        <v>26</v>
      </c>
      <c r="C2931" t="s">
        <v>1218</v>
      </c>
      <c r="D2931" s="4">
        <v>45331</v>
      </c>
      <c r="E2931" t="s">
        <v>2299</v>
      </c>
      <c r="F2931" t="s">
        <v>75</v>
      </c>
      <c r="I2931" s="6"/>
      <c r="J2931" s="6"/>
      <c r="K2931" s="6"/>
      <c r="L2931" s="6"/>
      <c r="M2931" s="6"/>
      <c r="N2931" s="6"/>
      <c r="O2931" s="6"/>
      <c r="P2931" s="6"/>
      <c r="Q2931">
        <v>0</v>
      </c>
      <c r="R2931">
        <f t="shared" si="225"/>
        <v>0</v>
      </c>
      <c r="S2931">
        <f t="shared" si="226"/>
        <v>0</v>
      </c>
      <c r="T2931">
        <f t="shared" si="227"/>
        <v>0</v>
      </c>
      <c r="U2931">
        <f t="shared" si="228"/>
        <v>0</v>
      </c>
      <c r="V2931">
        <f t="shared" si="229"/>
        <v>0</v>
      </c>
    </row>
    <row r="2932" spans="1:22" x14ac:dyDescent="0.25">
      <c r="A2932">
        <v>2929</v>
      </c>
      <c r="B2932" t="s">
        <v>26</v>
      </c>
      <c r="C2932" t="s">
        <v>1218</v>
      </c>
      <c r="D2932" s="4">
        <v>45331</v>
      </c>
      <c r="E2932" t="s">
        <v>1272</v>
      </c>
      <c r="F2932" t="s">
        <v>75</v>
      </c>
      <c r="I2932" s="6">
        <v>1</v>
      </c>
      <c r="J2932" s="6">
        <v>0</v>
      </c>
      <c r="K2932" s="6">
        <v>1</v>
      </c>
      <c r="L2932" s="6">
        <v>0</v>
      </c>
      <c r="M2932" s="6">
        <v>0</v>
      </c>
      <c r="N2932" s="6">
        <v>0</v>
      </c>
      <c r="O2932" s="6">
        <v>0</v>
      </c>
      <c r="P2932" s="6">
        <v>0</v>
      </c>
      <c r="Q2932">
        <v>1</v>
      </c>
      <c r="R2932">
        <f t="shared" si="225"/>
        <v>0</v>
      </c>
      <c r="S2932">
        <f t="shared" si="226"/>
        <v>1</v>
      </c>
      <c r="T2932">
        <f t="shared" si="227"/>
        <v>2</v>
      </c>
      <c r="U2932">
        <f t="shared" si="228"/>
        <v>1</v>
      </c>
      <c r="V2932">
        <f t="shared" si="229"/>
        <v>0</v>
      </c>
    </row>
    <row r="2933" spans="1:22" x14ac:dyDescent="0.25">
      <c r="A2933">
        <v>2930</v>
      </c>
      <c r="B2933" t="s">
        <v>26</v>
      </c>
      <c r="C2933" t="s">
        <v>1218</v>
      </c>
      <c r="D2933" s="4">
        <v>45331</v>
      </c>
      <c r="E2933" t="s">
        <v>2298</v>
      </c>
      <c r="F2933" t="s">
        <v>75</v>
      </c>
      <c r="I2933" s="6"/>
      <c r="J2933" s="6"/>
      <c r="K2933" s="6"/>
      <c r="L2933" s="6"/>
      <c r="M2933" s="6"/>
      <c r="N2933" s="6"/>
      <c r="O2933" s="6"/>
      <c r="P2933" s="6"/>
      <c r="Q2933">
        <v>0</v>
      </c>
      <c r="R2933">
        <f t="shared" si="225"/>
        <v>0</v>
      </c>
      <c r="S2933">
        <f t="shared" si="226"/>
        <v>0</v>
      </c>
      <c r="T2933">
        <f t="shared" si="227"/>
        <v>0</v>
      </c>
      <c r="U2933">
        <f t="shared" si="228"/>
        <v>0</v>
      </c>
      <c r="V2933">
        <f t="shared" si="229"/>
        <v>0</v>
      </c>
    </row>
    <row r="2934" spans="1:22" x14ac:dyDescent="0.25">
      <c r="A2934">
        <v>2931</v>
      </c>
      <c r="B2934" t="s">
        <v>26</v>
      </c>
      <c r="C2934" t="s">
        <v>1218</v>
      </c>
      <c r="D2934" s="4">
        <v>45331</v>
      </c>
      <c r="E2934" t="s">
        <v>2297</v>
      </c>
      <c r="F2934" t="s">
        <v>75</v>
      </c>
      <c r="I2934" s="6">
        <v>1</v>
      </c>
      <c r="J2934" s="6">
        <v>0</v>
      </c>
      <c r="K2934" s="6">
        <v>1</v>
      </c>
      <c r="L2934" s="6">
        <v>1</v>
      </c>
      <c r="M2934" s="6">
        <v>0</v>
      </c>
      <c r="N2934" s="6">
        <v>0</v>
      </c>
      <c r="O2934" s="6">
        <v>0</v>
      </c>
      <c r="P2934" s="6">
        <v>0</v>
      </c>
      <c r="Q2934">
        <v>1</v>
      </c>
      <c r="R2934">
        <f t="shared" si="225"/>
        <v>0</v>
      </c>
      <c r="S2934">
        <f t="shared" si="226"/>
        <v>1</v>
      </c>
      <c r="T2934">
        <f t="shared" si="227"/>
        <v>3</v>
      </c>
      <c r="U2934">
        <f t="shared" si="228"/>
        <v>1</v>
      </c>
      <c r="V2934">
        <f t="shared" si="229"/>
        <v>0</v>
      </c>
    </row>
    <row r="2935" spans="1:22" x14ac:dyDescent="0.25">
      <c r="A2935">
        <v>2932</v>
      </c>
      <c r="B2935" t="s">
        <v>26</v>
      </c>
      <c r="C2935" t="s">
        <v>1218</v>
      </c>
      <c r="D2935" s="4">
        <v>45331</v>
      </c>
      <c r="E2935" t="s">
        <v>2296</v>
      </c>
      <c r="F2935" t="s">
        <v>75</v>
      </c>
      <c r="I2935" s="6"/>
      <c r="J2935" s="6"/>
      <c r="K2935" s="6"/>
      <c r="L2935" s="6"/>
      <c r="M2935" s="6"/>
      <c r="N2935" s="6"/>
      <c r="O2935" s="6"/>
      <c r="P2935" s="6"/>
      <c r="Q2935">
        <v>0</v>
      </c>
      <c r="R2935">
        <f t="shared" si="225"/>
        <v>0</v>
      </c>
      <c r="S2935">
        <f t="shared" si="226"/>
        <v>0</v>
      </c>
      <c r="T2935">
        <f t="shared" si="227"/>
        <v>0</v>
      </c>
      <c r="U2935">
        <f t="shared" si="228"/>
        <v>0</v>
      </c>
      <c r="V2935">
        <f t="shared" si="229"/>
        <v>0</v>
      </c>
    </row>
    <row r="2936" spans="1:22" x14ac:dyDescent="0.25">
      <c r="A2936">
        <v>2933</v>
      </c>
      <c r="B2936" t="s">
        <v>26</v>
      </c>
      <c r="C2936" t="s">
        <v>1218</v>
      </c>
      <c r="D2936" s="4">
        <v>45331</v>
      </c>
      <c r="E2936" t="s">
        <v>1503</v>
      </c>
      <c r="F2936" t="s">
        <v>75</v>
      </c>
      <c r="I2936" s="6"/>
      <c r="J2936" s="6"/>
      <c r="K2936" s="6"/>
      <c r="L2936" s="6"/>
      <c r="M2936" s="6"/>
      <c r="N2936" s="6"/>
      <c r="O2936" s="6"/>
      <c r="P2936" s="6"/>
      <c r="Q2936">
        <v>0</v>
      </c>
      <c r="R2936">
        <f t="shared" si="225"/>
        <v>0</v>
      </c>
      <c r="S2936">
        <f t="shared" si="226"/>
        <v>0</v>
      </c>
      <c r="T2936">
        <f t="shared" si="227"/>
        <v>0</v>
      </c>
      <c r="U2936">
        <f t="shared" si="228"/>
        <v>0</v>
      </c>
      <c r="V2936">
        <f t="shared" si="229"/>
        <v>0</v>
      </c>
    </row>
    <row r="2937" spans="1:22" x14ac:dyDescent="0.25">
      <c r="A2937">
        <v>2934</v>
      </c>
      <c r="B2937" t="s">
        <v>26</v>
      </c>
      <c r="C2937" t="s">
        <v>1218</v>
      </c>
      <c r="D2937" s="4">
        <v>45333</v>
      </c>
      <c r="E2937" t="s">
        <v>410</v>
      </c>
      <c r="F2937" t="s">
        <v>75</v>
      </c>
      <c r="I2937" s="6"/>
      <c r="J2937" s="6"/>
      <c r="K2937" s="6"/>
      <c r="L2937" s="6"/>
      <c r="M2937" s="6"/>
      <c r="N2937" s="6"/>
      <c r="O2937" s="6"/>
      <c r="P2937" s="6"/>
      <c r="Q2937">
        <v>0</v>
      </c>
      <c r="R2937">
        <f t="shared" si="225"/>
        <v>0</v>
      </c>
      <c r="S2937">
        <f t="shared" si="226"/>
        <v>0</v>
      </c>
      <c r="T2937">
        <f t="shared" si="227"/>
        <v>0</v>
      </c>
      <c r="U2937">
        <f t="shared" si="228"/>
        <v>0</v>
      </c>
      <c r="V2937">
        <f t="shared" si="229"/>
        <v>0</v>
      </c>
    </row>
    <row r="2938" spans="1:22" x14ac:dyDescent="0.25">
      <c r="A2938">
        <v>2935</v>
      </c>
      <c r="B2938" t="s">
        <v>26</v>
      </c>
      <c r="C2938" t="s">
        <v>1218</v>
      </c>
      <c r="D2938" s="4">
        <v>45334</v>
      </c>
      <c r="E2938" t="s">
        <v>2291</v>
      </c>
      <c r="F2938" t="s">
        <v>75</v>
      </c>
      <c r="I2938" s="6"/>
      <c r="J2938" s="6"/>
      <c r="K2938" s="6"/>
      <c r="L2938" s="6"/>
      <c r="M2938" s="6"/>
      <c r="N2938" s="6"/>
      <c r="O2938" s="6"/>
      <c r="P2938" s="6"/>
      <c r="Q2938">
        <v>0</v>
      </c>
      <c r="R2938">
        <f t="shared" si="225"/>
        <v>0</v>
      </c>
      <c r="S2938">
        <f t="shared" si="226"/>
        <v>0</v>
      </c>
      <c r="T2938">
        <f t="shared" si="227"/>
        <v>0</v>
      </c>
      <c r="U2938">
        <f t="shared" si="228"/>
        <v>0</v>
      </c>
      <c r="V2938">
        <f t="shared" si="229"/>
        <v>0</v>
      </c>
    </row>
    <row r="2939" spans="1:22" x14ac:dyDescent="0.25">
      <c r="A2939">
        <v>2936</v>
      </c>
      <c r="B2939" t="s">
        <v>26</v>
      </c>
      <c r="C2939" t="s">
        <v>1218</v>
      </c>
      <c r="D2939" s="4">
        <v>45334</v>
      </c>
      <c r="E2939" t="s">
        <v>2290</v>
      </c>
      <c r="F2939" t="s">
        <v>75</v>
      </c>
      <c r="I2939" s="6"/>
      <c r="J2939" s="6"/>
      <c r="K2939" s="6"/>
      <c r="L2939" s="6"/>
      <c r="M2939" s="6"/>
      <c r="N2939" s="6"/>
      <c r="O2939" s="6"/>
      <c r="P2939" s="6"/>
      <c r="Q2939">
        <v>0</v>
      </c>
      <c r="R2939">
        <f t="shared" si="225"/>
        <v>0</v>
      </c>
      <c r="S2939">
        <f t="shared" si="226"/>
        <v>0</v>
      </c>
      <c r="T2939">
        <f t="shared" si="227"/>
        <v>0</v>
      </c>
      <c r="U2939">
        <f t="shared" si="228"/>
        <v>0</v>
      </c>
      <c r="V2939">
        <f t="shared" si="229"/>
        <v>0</v>
      </c>
    </row>
    <row r="2940" spans="1:22" x14ac:dyDescent="0.25">
      <c r="A2940">
        <v>2937</v>
      </c>
      <c r="B2940" t="s">
        <v>26</v>
      </c>
      <c r="C2940" t="s">
        <v>1218</v>
      </c>
      <c r="D2940" s="4">
        <v>45334</v>
      </c>
      <c r="E2940" t="s">
        <v>1273</v>
      </c>
      <c r="F2940" t="s">
        <v>75</v>
      </c>
      <c r="I2940" s="6">
        <v>0</v>
      </c>
      <c r="J2940" s="6">
        <v>0</v>
      </c>
      <c r="K2940" s="6">
        <v>0</v>
      </c>
      <c r="L2940" s="6">
        <v>1</v>
      </c>
      <c r="M2940" s="6">
        <v>0</v>
      </c>
      <c r="N2940" s="6">
        <v>0</v>
      </c>
      <c r="O2940" s="6">
        <v>0</v>
      </c>
      <c r="P2940" s="6">
        <v>0</v>
      </c>
      <c r="Q2940">
        <v>1</v>
      </c>
      <c r="R2940">
        <f t="shared" si="225"/>
        <v>0</v>
      </c>
      <c r="S2940">
        <f t="shared" si="226"/>
        <v>1</v>
      </c>
      <c r="T2940">
        <f t="shared" si="227"/>
        <v>1</v>
      </c>
      <c r="U2940">
        <f t="shared" si="228"/>
        <v>1</v>
      </c>
      <c r="V2940">
        <f t="shared" si="229"/>
        <v>0</v>
      </c>
    </row>
    <row r="2941" spans="1:22" x14ac:dyDescent="0.25">
      <c r="A2941">
        <v>2938</v>
      </c>
      <c r="B2941" t="s">
        <v>26</v>
      </c>
      <c r="C2941" t="s">
        <v>1218</v>
      </c>
      <c r="D2941" s="4">
        <v>45334</v>
      </c>
      <c r="E2941" t="s">
        <v>2289</v>
      </c>
      <c r="F2941" t="s">
        <v>75</v>
      </c>
      <c r="I2941" s="6"/>
      <c r="J2941" s="6"/>
      <c r="K2941" s="6"/>
      <c r="L2941" s="6"/>
      <c r="M2941" s="6"/>
      <c r="N2941" s="6"/>
      <c r="O2941" s="6"/>
      <c r="P2941" s="6"/>
      <c r="Q2941">
        <v>0</v>
      </c>
      <c r="R2941">
        <f t="shared" si="225"/>
        <v>0</v>
      </c>
      <c r="S2941">
        <f t="shared" si="226"/>
        <v>0</v>
      </c>
      <c r="T2941">
        <f t="shared" si="227"/>
        <v>0</v>
      </c>
      <c r="U2941">
        <f t="shared" si="228"/>
        <v>0</v>
      </c>
      <c r="V2941">
        <f t="shared" si="229"/>
        <v>0</v>
      </c>
    </row>
    <row r="2942" spans="1:22" x14ac:dyDescent="0.25">
      <c r="A2942">
        <v>2939</v>
      </c>
      <c r="B2942" t="s">
        <v>26</v>
      </c>
      <c r="C2942" t="s">
        <v>1218</v>
      </c>
      <c r="D2942" s="4">
        <v>45334</v>
      </c>
      <c r="E2942" t="s">
        <v>1274</v>
      </c>
      <c r="F2942" t="s">
        <v>413</v>
      </c>
      <c r="G2942">
        <v>147</v>
      </c>
      <c r="I2942" s="6">
        <v>1</v>
      </c>
      <c r="J2942" s="6">
        <v>0</v>
      </c>
      <c r="K2942" s="6">
        <v>0</v>
      </c>
      <c r="L2942" s="6">
        <v>0</v>
      </c>
      <c r="M2942" s="6">
        <v>1</v>
      </c>
      <c r="N2942" s="6">
        <v>0</v>
      </c>
      <c r="O2942" s="6">
        <v>0</v>
      </c>
      <c r="P2942" s="6">
        <v>0</v>
      </c>
      <c r="Q2942">
        <v>1</v>
      </c>
      <c r="R2942">
        <f t="shared" si="225"/>
        <v>1</v>
      </c>
      <c r="S2942">
        <f t="shared" si="226"/>
        <v>0</v>
      </c>
      <c r="T2942">
        <f t="shared" si="227"/>
        <v>2</v>
      </c>
      <c r="U2942">
        <f t="shared" si="228"/>
        <v>1</v>
      </c>
      <c r="V2942">
        <f t="shared" si="229"/>
        <v>1</v>
      </c>
    </row>
    <row r="2943" spans="1:22" x14ac:dyDescent="0.25">
      <c r="A2943">
        <v>2940</v>
      </c>
      <c r="B2943" t="s">
        <v>26</v>
      </c>
      <c r="C2943" t="s">
        <v>1218</v>
      </c>
      <c r="D2943" s="4">
        <v>45334</v>
      </c>
      <c r="E2943" t="s">
        <v>1275</v>
      </c>
      <c r="F2943" t="s">
        <v>75</v>
      </c>
      <c r="I2943" s="6">
        <v>1</v>
      </c>
      <c r="J2943" s="6">
        <v>0</v>
      </c>
      <c r="K2943" s="6">
        <v>0</v>
      </c>
      <c r="L2943" s="6">
        <v>0</v>
      </c>
      <c r="M2943" s="6">
        <v>1</v>
      </c>
      <c r="N2943" s="6">
        <v>0</v>
      </c>
      <c r="O2943" s="6">
        <v>0</v>
      </c>
      <c r="P2943" s="6">
        <v>0</v>
      </c>
      <c r="Q2943">
        <v>1</v>
      </c>
      <c r="R2943">
        <f t="shared" si="225"/>
        <v>0</v>
      </c>
      <c r="S2943">
        <f t="shared" si="226"/>
        <v>1</v>
      </c>
      <c r="T2943">
        <f t="shared" si="227"/>
        <v>2</v>
      </c>
      <c r="U2943">
        <f t="shared" si="228"/>
        <v>1</v>
      </c>
      <c r="V2943">
        <f t="shared" si="229"/>
        <v>0</v>
      </c>
    </row>
    <row r="2944" spans="1:22" x14ac:dyDescent="0.25">
      <c r="A2944">
        <v>2941</v>
      </c>
      <c r="B2944" t="s">
        <v>26</v>
      </c>
      <c r="C2944" t="s">
        <v>1218</v>
      </c>
      <c r="D2944" s="4">
        <v>45334</v>
      </c>
      <c r="E2944" t="s">
        <v>1276</v>
      </c>
      <c r="F2944" t="s">
        <v>75</v>
      </c>
      <c r="H2944" t="s">
        <v>1277</v>
      </c>
      <c r="I2944" s="6">
        <v>0</v>
      </c>
      <c r="J2944" s="6">
        <v>0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0</v>
      </c>
      <c r="Q2944">
        <v>1</v>
      </c>
      <c r="R2944">
        <f t="shared" si="225"/>
        <v>0</v>
      </c>
      <c r="S2944">
        <f t="shared" si="226"/>
        <v>1</v>
      </c>
      <c r="T2944">
        <f t="shared" si="227"/>
        <v>0</v>
      </c>
      <c r="U2944">
        <f t="shared" si="228"/>
        <v>0</v>
      </c>
      <c r="V2944">
        <f t="shared" si="229"/>
        <v>0</v>
      </c>
    </row>
    <row r="2945" spans="1:22" x14ac:dyDescent="0.25">
      <c r="A2945">
        <v>2942</v>
      </c>
      <c r="B2945" t="s">
        <v>26</v>
      </c>
      <c r="C2945" t="s">
        <v>1218</v>
      </c>
      <c r="D2945" s="4">
        <v>45335</v>
      </c>
      <c r="E2945" t="s">
        <v>411</v>
      </c>
      <c r="F2945" t="s">
        <v>75</v>
      </c>
      <c r="I2945" s="6"/>
      <c r="J2945" s="6"/>
      <c r="K2945" s="6"/>
      <c r="L2945" s="6"/>
      <c r="M2945" s="6"/>
      <c r="N2945" s="6"/>
      <c r="O2945" s="6"/>
      <c r="P2945" s="6"/>
      <c r="Q2945">
        <v>0</v>
      </c>
      <c r="R2945">
        <f t="shared" si="225"/>
        <v>0</v>
      </c>
      <c r="S2945">
        <f t="shared" si="226"/>
        <v>0</v>
      </c>
      <c r="T2945">
        <f t="shared" si="227"/>
        <v>0</v>
      </c>
      <c r="U2945">
        <f t="shared" si="228"/>
        <v>0</v>
      </c>
      <c r="V2945">
        <f t="shared" si="229"/>
        <v>0</v>
      </c>
    </row>
    <row r="2946" spans="1:22" x14ac:dyDescent="0.25">
      <c r="A2946">
        <v>2943</v>
      </c>
      <c r="B2946" t="s">
        <v>26</v>
      </c>
      <c r="C2946" t="s">
        <v>1218</v>
      </c>
      <c r="D2946" s="4">
        <v>45335</v>
      </c>
      <c r="E2946" t="s">
        <v>2669</v>
      </c>
      <c r="F2946" t="s">
        <v>75</v>
      </c>
      <c r="I2946" s="6"/>
      <c r="J2946" s="6"/>
      <c r="K2946" s="6"/>
      <c r="L2946" s="6"/>
      <c r="M2946" s="6"/>
      <c r="N2946" s="6"/>
      <c r="O2946" s="6"/>
      <c r="P2946" s="6"/>
      <c r="Q2946">
        <v>0</v>
      </c>
      <c r="R2946">
        <f t="shared" si="225"/>
        <v>0</v>
      </c>
      <c r="S2946">
        <f t="shared" si="226"/>
        <v>0</v>
      </c>
      <c r="T2946">
        <f t="shared" si="227"/>
        <v>0</v>
      </c>
      <c r="U2946">
        <f t="shared" si="228"/>
        <v>0</v>
      </c>
      <c r="V2946">
        <f t="shared" si="229"/>
        <v>0</v>
      </c>
    </row>
    <row r="2947" spans="1:22" x14ac:dyDescent="0.25">
      <c r="A2947">
        <v>2944</v>
      </c>
      <c r="B2947" t="s">
        <v>26</v>
      </c>
      <c r="C2947" t="s">
        <v>1218</v>
      </c>
      <c r="D2947" s="4">
        <v>45335</v>
      </c>
      <c r="E2947" t="s">
        <v>412</v>
      </c>
      <c r="F2947" t="s">
        <v>75</v>
      </c>
      <c r="I2947" s="6"/>
      <c r="J2947" s="6"/>
      <c r="K2947" s="6"/>
      <c r="L2947" s="6"/>
      <c r="M2947" s="6"/>
      <c r="N2947" s="6"/>
      <c r="O2947" s="6"/>
      <c r="P2947" s="6"/>
      <c r="Q2947">
        <v>0</v>
      </c>
      <c r="R2947">
        <f t="shared" ref="R2947:R3010" si="230">IF(AND(Q2947=1,F2947="ai_full"),1,0)</f>
        <v>0</v>
      </c>
      <c r="S2947">
        <f t="shared" ref="S2947:S3010" si="231">IF(AND(Q2947=1,F2947="conventional"),1,0)</f>
        <v>0</v>
      </c>
      <c r="T2947">
        <f t="shared" ref="T2947:T3010" si="232">SUM(I2947:P2947)</f>
        <v>0</v>
      </c>
      <c r="U2947">
        <f t="shared" ref="U2947:U3010" si="233">IF(T2947&gt;=1,1,0)</f>
        <v>0</v>
      </c>
      <c r="V2947">
        <f t="shared" ref="V2947:V3010" si="234">IF(F2947="ai_full",1,0)</f>
        <v>0</v>
      </c>
    </row>
    <row r="2948" spans="1:22" x14ac:dyDescent="0.25">
      <c r="A2948">
        <v>2945</v>
      </c>
      <c r="B2948" t="s">
        <v>26</v>
      </c>
      <c r="C2948" t="s">
        <v>1218</v>
      </c>
      <c r="D2948" s="4">
        <v>45335</v>
      </c>
      <c r="E2948" t="s">
        <v>414</v>
      </c>
      <c r="F2948" t="s">
        <v>75</v>
      </c>
      <c r="I2948" s="6"/>
      <c r="J2948" s="6"/>
      <c r="K2948" s="6"/>
      <c r="L2948" s="6"/>
      <c r="M2948" s="6"/>
      <c r="N2948" s="6"/>
      <c r="O2948" s="6"/>
      <c r="P2948" s="6"/>
      <c r="Q2948">
        <v>0</v>
      </c>
      <c r="R2948">
        <f t="shared" si="230"/>
        <v>0</v>
      </c>
      <c r="S2948">
        <f t="shared" si="231"/>
        <v>0</v>
      </c>
      <c r="T2948">
        <f t="shared" si="232"/>
        <v>0</v>
      </c>
      <c r="U2948">
        <f t="shared" si="233"/>
        <v>0</v>
      </c>
      <c r="V2948">
        <f t="shared" si="234"/>
        <v>0</v>
      </c>
    </row>
    <row r="2949" spans="1:22" x14ac:dyDescent="0.25">
      <c r="A2949">
        <v>2946</v>
      </c>
      <c r="B2949" t="s">
        <v>26</v>
      </c>
      <c r="C2949" t="s">
        <v>1218</v>
      </c>
      <c r="D2949" s="4">
        <v>45335</v>
      </c>
      <c r="E2949" t="s">
        <v>2288</v>
      </c>
      <c r="F2949" t="s">
        <v>75</v>
      </c>
      <c r="I2949" s="6"/>
      <c r="J2949" s="6"/>
      <c r="K2949" s="6"/>
      <c r="L2949" s="6"/>
      <c r="M2949" s="6"/>
      <c r="N2949" s="6"/>
      <c r="O2949" s="6"/>
      <c r="P2949" s="6"/>
      <c r="Q2949">
        <v>0</v>
      </c>
      <c r="R2949">
        <f t="shared" si="230"/>
        <v>0</v>
      </c>
      <c r="S2949">
        <f t="shared" si="231"/>
        <v>0</v>
      </c>
      <c r="T2949">
        <f t="shared" si="232"/>
        <v>0</v>
      </c>
      <c r="U2949">
        <f t="shared" si="233"/>
        <v>0</v>
      </c>
      <c r="V2949">
        <f t="shared" si="234"/>
        <v>0</v>
      </c>
    </row>
    <row r="2950" spans="1:22" x14ac:dyDescent="0.25">
      <c r="A2950">
        <v>2947</v>
      </c>
      <c r="B2950" t="s">
        <v>26</v>
      </c>
      <c r="C2950" t="s">
        <v>1218</v>
      </c>
      <c r="D2950" s="4">
        <v>45335</v>
      </c>
      <c r="E2950" t="s">
        <v>2287</v>
      </c>
      <c r="F2950" t="s">
        <v>75</v>
      </c>
      <c r="I2950" s="6"/>
      <c r="J2950" s="6"/>
      <c r="K2950" s="6"/>
      <c r="L2950" s="6"/>
      <c r="M2950" s="6"/>
      <c r="N2950" s="6"/>
      <c r="O2950" s="6"/>
      <c r="P2950" s="6"/>
      <c r="Q2950">
        <v>0</v>
      </c>
      <c r="R2950">
        <f t="shared" si="230"/>
        <v>0</v>
      </c>
      <c r="S2950">
        <f t="shared" si="231"/>
        <v>0</v>
      </c>
      <c r="T2950">
        <f t="shared" si="232"/>
        <v>0</v>
      </c>
      <c r="U2950">
        <f t="shared" si="233"/>
        <v>0</v>
      </c>
      <c r="V2950">
        <f t="shared" si="234"/>
        <v>0</v>
      </c>
    </row>
    <row r="2951" spans="1:22" x14ac:dyDescent="0.25">
      <c r="A2951">
        <v>2948</v>
      </c>
      <c r="B2951" t="s">
        <v>26</v>
      </c>
      <c r="C2951" t="s">
        <v>1218</v>
      </c>
      <c r="D2951" s="4">
        <v>45335</v>
      </c>
      <c r="E2951" t="s">
        <v>1107</v>
      </c>
      <c r="F2951" t="s">
        <v>75</v>
      </c>
      <c r="I2951" s="6">
        <v>1</v>
      </c>
      <c r="J2951" s="6">
        <v>0</v>
      </c>
      <c r="K2951" s="6">
        <v>1</v>
      </c>
      <c r="L2951" s="6">
        <v>1</v>
      </c>
      <c r="M2951" s="6">
        <v>0</v>
      </c>
      <c r="N2951" s="6">
        <v>0</v>
      </c>
      <c r="O2951" s="6">
        <v>0</v>
      </c>
      <c r="P2951" s="6">
        <v>0</v>
      </c>
      <c r="Q2951">
        <v>1</v>
      </c>
      <c r="R2951">
        <f t="shared" si="230"/>
        <v>0</v>
      </c>
      <c r="S2951">
        <f t="shared" si="231"/>
        <v>1</v>
      </c>
      <c r="T2951">
        <f t="shared" si="232"/>
        <v>3</v>
      </c>
      <c r="U2951">
        <f t="shared" si="233"/>
        <v>1</v>
      </c>
      <c r="V2951">
        <f t="shared" si="234"/>
        <v>0</v>
      </c>
    </row>
    <row r="2952" spans="1:22" x14ac:dyDescent="0.25">
      <c r="A2952">
        <v>2949</v>
      </c>
      <c r="B2952" t="s">
        <v>26</v>
      </c>
      <c r="C2952" t="s">
        <v>1218</v>
      </c>
      <c r="D2952" s="4">
        <v>45335</v>
      </c>
      <c r="E2952" t="s">
        <v>2668</v>
      </c>
      <c r="F2952" t="s">
        <v>75</v>
      </c>
      <c r="I2952" s="6"/>
      <c r="J2952" s="6"/>
      <c r="K2952" s="6"/>
      <c r="L2952" s="6"/>
      <c r="M2952" s="6"/>
      <c r="N2952" s="6"/>
      <c r="O2952" s="6"/>
      <c r="P2952" s="6"/>
      <c r="Q2952">
        <v>0</v>
      </c>
      <c r="R2952">
        <f t="shared" si="230"/>
        <v>0</v>
      </c>
      <c r="S2952">
        <f t="shared" si="231"/>
        <v>0</v>
      </c>
      <c r="T2952">
        <f t="shared" si="232"/>
        <v>0</v>
      </c>
      <c r="U2952">
        <f t="shared" si="233"/>
        <v>0</v>
      </c>
      <c r="V2952">
        <f t="shared" si="234"/>
        <v>0</v>
      </c>
    </row>
    <row r="2953" spans="1:22" x14ac:dyDescent="0.25">
      <c r="A2953">
        <v>2950</v>
      </c>
      <c r="B2953" t="s">
        <v>26</v>
      </c>
      <c r="C2953" t="s">
        <v>1218</v>
      </c>
      <c r="D2953" s="4">
        <v>45335</v>
      </c>
      <c r="E2953" t="s">
        <v>2667</v>
      </c>
      <c r="F2953" t="s">
        <v>75</v>
      </c>
      <c r="I2953" s="6"/>
      <c r="J2953" s="6"/>
      <c r="K2953" s="6"/>
      <c r="L2953" s="6"/>
      <c r="M2953" s="6"/>
      <c r="N2953" s="6"/>
      <c r="O2953" s="6"/>
      <c r="P2953" s="6"/>
      <c r="Q2953">
        <v>0</v>
      </c>
      <c r="R2953">
        <f t="shared" si="230"/>
        <v>0</v>
      </c>
      <c r="S2953">
        <f t="shared" si="231"/>
        <v>0</v>
      </c>
      <c r="T2953">
        <f t="shared" si="232"/>
        <v>0</v>
      </c>
      <c r="U2953">
        <f t="shared" si="233"/>
        <v>0</v>
      </c>
      <c r="V2953">
        <f t="shared" si="234"/>
        <v>0</v>
      </c>
    </row>
    <row r="2954" spans="1:22" x14ac:dyDescent="0.25">
      <c r="A2954">
        <v>2951</v>
      </c>
      <c r="B2954" t="s">
        <v>26</v>
      </c>
      <c r="C2954" t="s">
        <v>1218</v>
      </c>
      <c r="D2954" s="4">
        <v>45335</v>
      </c>
      <c r="E2954" t="s">
        <v>2666</v>
      </c>
      <c r="F2954" t="s">
        <v>75</v>
      </c>
      <c r="I2954" s="6"/>
      <c r="J2954" s="6"/>
      <c r="K2954" s="6"/>
      <c r="L2954" s="6"/>
      <c r="M2954" s="6"/>
      <c r="N2954" s="6"/>
      <c r="O2954" s="6"/>
      <c r="P2954" s="6"/>
      <c r="Q2954">
        <v>0</v>
      </c>
      <c r="R2954">
        <f t="shared" si="230"/>
        <v>0</v>
      </c>
      <c r="S2954">
        <f t="shared" si="231"/>
        <v>0</v>
      </c>
      <c r="T2954">
        <f t="shared" si="232"/>
        <v>0</v>
      </c>
      <c r="U2954">
        <f t="shared" si="233"/>
        <v>0</v>
      </c>
      <c r="V2954">
        <f t="shared" si="234"/>
        <v>0</v>
      </c>
    </row>
    <row r="2955" spans="1:22" x14ac:dyDescent="0.25">
      <c r="A2955">
        <v>2952</v>
      </c>
      <c r="B2955" t="s">
        <v>26</v>
      </c>
      <c r="C2955" t="s">
        <v>1218</v>
      </c>
      <c r="D2955" s="4">
        <v>45336</v>
      </c>
      <c r="E2955" t="s">
        <v>415</v>
      </c>
      <c r="F2955" t="s">
        <v>75</v>
      </c>
      <c r="I2955" s="6">
        <v>0</v>
      </c>
      <c r="J2955" s="6">
        <v>1</v>
      </c>
      <c r="K2955" s="6">
        <v>0</v>
      </c>
      <c r="L2955" s="6">
        <v>1</v>
      </c>
      <c r="M2955" s="6">
        <v>0</v>
      </c>
      <c r="N2955" s="6">
        <v>0</v>
      </c>
      <c r="O2955" s="6">
        <v>1</v>
      </c>
      <c r="P2955" s="6">
        <v>0</v>
      </c>
      <c r="Q2955">
        <v>1</v>
      </c>
      <c r="R2955">
        <f t="shared" si="230"/>
        <v>0</v>
      </c>
      <c r="S2955">
        <f t="shared" si="231"/>
        <v>1</v>
      </c>
      <c r="T2955">
        <f t="shared" si="232"/>
        <v>3</v>
      </c>
      <c r="U2955">
        <f t="shared" si="233"/>
        <v>1</v>
      </c>
      <c r="V2955">
        <f t="shared" si="234"/>
        <v>0</v>
      </c>
    </row>
    <row r="2956" spans="1:22" x14ac:dyDescent="0.25">
      <c r="A2956">
        <v>2953</v>
      </c>
      <c r="B2956" t="s">
        <v>26</v>
      </c>
      <c r="C2956" t="s">
        <v>1218</v>
      </c>
      <c r="D2956" s="4">
        <v>45336</v>
      </c>
      <c r="E2956" t="s">
        <v>416</v>
      </c>
      <c r="F2956" t="s">
        <v>75</v>
      </c>
      <c r="I2956" s="6"/>
      <c r="J2956" s="6"/>
      <c r="K2956" s="6"/>
      <c r="L2956" s="6"/>
      <c r="M2956" s="6"/>
      <c r="N2956" s="6"/>
      <c r="O2956" s="6"/>
      <c r="P2956" s="6"/>
      <c r="Q2956">
        <v>0</v>
      </c>
      <c r="R2956">
        <f t="shared" si="230"/>
        <v>0</v>
      </c>
      <c r="S2956">
        <f t="shared" si="231"/>
        <v>0</v>
      </c>
      <c r="T2956">
        <f t="shared" si="232"/>
        <v>0</v>
      </c>
      <c r="U2956">
        <f t="shared" si="233"/>
        <v>0</v>
      </c>
      <c r="V2956">
        <f t="shared" si="234"/>
        <v>0</v>
      </c>
    </row>
    <row r="2957" spans="1:22" x14ac:dyDescent="0.25">
      <c r="A2957">
        <v>2954</v>
      </c>
      <c r="B2957" t="s">
        <v>26</v>
      </c>
      <c r="C2957" t="s">
        <v>1218</v>
      </c>
      <c r="D2957" s="4">
        <v>45336</v>
      </c>
      <c r="E2957" t="s">
        <v>2286</v>
      </c>
      <c r="F2957" t="s">
        <v>75</v>
      </c>
      <c r="I2957" s="6">
        <v>1</v>
      </c>
      <c r="J2957" s="6">
        <v>0</v>
      </c>
      <c r="K2957" s="6">
        <v>0</v>
      </c>
      <c r="L2957" s="6">
        <v>1</v>
      </c>
      <c r="M2957" s="6">
        <v>0</v>
      </c>
      <c r="N2957" s="6">
        <v>0</v>
      </c>
      <c r="O2957" s="6">
        <v>0</v>
      </c>
      <c r="P2957" s="6">
        <v>0</v>
      </c>
      <c r="Q2957">
        <v>1</v>
      </c>
      <c r="R2957">
        <f t="shared" si="230"/>
        <v>0</v>
      </c>
      <c r="S2957">
        <f t="shared" si="231"/>
        <v>1</v>
      </c>
      <c r="T2957">
        <f t="shared" si="232"/>
        <v>2</v>
      </c>
      <c r="U2957">
        <f t="shared" si="233"/>
        <v>1</v>
      </c>
      <c r="V2957">
        <f t="shared" si="234"/>
        <v>0</v>
      </c>
    </row>
    <row r="2958" spans="1:22" x14ac:dyDescent="0.25">
      <c r="A2958">
        <v>2955</v>
      </c>
      <c r="B2958" t="s">
        <v>26</v>
      </c>
      <c r="C2958" t="s">
        <v>1218</v>
      </c>
      <c r="D2958" s="4">
        <v>45336</v>
      </c>
      <c r="E2958" t="s">
        <v>1108</v>
      </c>
      <c r="F2958" t="s">
        <v>75</v>
      </c>
      <c r="I2958" s="6">
        <v>1</v>
      </c>
      <c r="J2958" s="6">
        <v>0</v>
      </c>
      <c r="K2958" s="6">
        <v>0</v>
      </c>
      <c r="L2958" s="6">
        <v>1</v>
      </c>
      <c r="M2958" s="6">
        <v>0</v>
      </c>
      <c r="N2958" s="6">
        <v>0</v>
      </c>
      <c r="O2958" s="6">
        <v>0</v>
      </c>
      <c r="P2958" s="6">
        <v>0</v>
      </c>
      <c r="Q2958">
        <v>1</v>
      </c>
      <c r="R2958">
        <f t="shared" si="230"/>
        <v>0</v>
      </c>
      <c r="S2958">
        <f t="shared" si="231"/>
        <v>1</v>
      </c>
      <c r="T2958">
        <f t="shared" si="232"/>
        <v>2</v>
      </c>
      <c r="U2958">
        <f t="shared" si="233"/>
        <v>1</v>
      </c>
      <c r="V2958">
        <f t="shared" si="234"/>
        <v>0</v>
      </c>
    </row>
    <row r="2959" spans="1:22" x14ac:dyDescent="0.25">
      <c r="A2959">
        <v>2956</v>
      </c>
      <c r="B2959" t="s">
        <v>26</v>
      </c>
      <c r="C2959" t="s">
        <v>1218</v>
      </c>
      <c r="D2959" s="4">
        <v>45336</v>
      </c>
      <c r="E2959" t="s">
        <v>1109</v>
      </c>
      <c r="F2959" t="s">
        <v>75</v>
      </c>
      <c r="I2959" s="6"/>
      <c r="J2959" s="6"/>
      <c r="K2959" s="6"/>
      <c r="L2959" s="6"/>
      <c r="M2959" s="6"/>
      <c r="N2959" s="6"/>
      <c r="O2959" s="6"/>
      <c r="P2959" s="6"/>
      <c r="Q2959">
        <v>0</v>
      </c>
      <c r="R2959">
        <f t="shared" si="230"/>
        <v>0</v>
      </c>
      <c r="S2959">
        <f t="shared" si="231"/>
        <v>0</v>
      </c>
      <c r="T2959">
        <f t="shared" si="232"/>
        <v>0</v>
      </c>
      <c r="U2959">
        <f t="shared" si="233"/>
        <v>0</v>
      </c>
      <c r="V2959">
        <f t="shared" si="234"/>
        <v>0</v>
      </c>
    </row>
    <row r="2960" spans="1:22" x14ac:dyDescent="0.25">
      <c r="A2960">
        <v>2957</v>
      </c>
      <c r="B2960" t="s">
        <v>26</v>
      </c>
      <c r="C2960" t="s">
        <v>1218</v>
      </c>
      <c r="D2960" s="4">
        <v>45336</v>
      </c>
      <c r="E2960" t="s">
        <v>2285</v>
      </c>
      <c r="F2960" t="s">
        <v>75</v>
      </c>
      <c r="I2960" s="6"/>
      <c r="J2960" s="6"/>
      <c r="K2960" s="6"/>
      <c r="L2960" s="6"/>
      <c r="M2960" s="6"/>
      <c r="N2960" s="6"/>
      <c r="O2960" s="6"/>
      <c r="P2960" s="6"/>
      <c r="Q2960">
        <v>0</v>
      </c>
      <c r="R2960">
        <f t="shared" si="230"/>
        <v>0</v>
      </c>
      <c r="S2960">
        <f t="shared" si="231"/>
        <v>0</v>
      </c>
      <c r="T2960">
        <f t="shared" si="232"/>
        <v>0</v>
      </c>
      <c r="U2960">
        <f t="shared" si="233"/>
        <v>0</v>
      </c>
      <c r="V2960">
        <f t="shared" si="234"/>
        <v>0</v>
      </c>
    </row>
    <row r="2961" spans="1:22" x14ac:dyDescent="0.25">
      <c r="A2961">
        <v>2958</v>
      </c>
      <c r="B2961" t="s">
        <v>26</v>
      </c>
      <c r="C2961" t="s">
        <v>1218</v>
      </c>
      <c r="D2961" s="4">
        <v>45336</v>
      </c>
      <c r="E2961" t="s">
        <v>2665</v>
      </c>
      <c r="F2961" t="s">
        <v>75</v>
      </c>
      <c r="I2961" s="6"/>
      <c r="J2961" s="6"/>
      <c r="K2961" s="6"/>
      <c r="L2961" s="6"/>
      <c r="M2961" s="6"/>
      <c r="N2961" s="6"/>
      <c r="O2961" s="6"/>
      <c r="P2961" s="6"/>
      <c r="Q2961">
        <v>0</v>
      </c>
      <c r="R2961">
        <f t="shared" si="230"/>
        <v>0</v>
      </c>
      <c r="S2961">
        <f t="shared" si="231"/>
        <v>0</v>
      </c>
      <c r="T2961">
        <f t="shared" si="232"/>
        <v>0</v>
      </c>
      <c r="U2961">
        <f t="shared" si="233"/>
        <v>0</v>
      </c>
      <c r="V2961">
        <f t="shared" si="234"/>
        <v>0</v>
      </c>
    </row>
    <row r="2962" spans="1:22" x14ac:dyDescent="0.25">
      <c r="A2962">
        <v>2959</v>
      </c>
      <c r="B2962" t="s">
        <v>26</v>
      </c>
      <c r="C2962" t="s">
        <v>1218</v>
      </c>
      <c r="D2962" s="4">
        <v>45336</v>
      </c>
      <c r="E2962" t="s">
        <v>1278</v>
      </c>
      <c r="F2962" t="s">
        <v>75</v>
      </c>
      <c r="I2962" s="6">
        <v>0</v>
      </c>
      <c r="J2962" s="6">
        <v>0</v>
      </c>
      <c r="K2962" s="6">
        <v>0</v>
      </c>
      <c r="L2962" s="6">
        <v>0</v>
      </c>
      <c r="M2962" s="6">
        <v>0</v>
      </c>
      <c r="N2962" s="6">
        <v>0</v>
      </c>
      <c r="O2962" s="6">
        <v>0</v>
      </c>
      <c r="P2962" s="6">
        <v>0</v>
      </c>
      <c r="Q2962">
        <v>1</v>
      </c>
      <c r="R2962">
        <f t="shared" si="230"/>
        <v>0</v>
      </c>
      <c r="S2962">
        <f t="shared" si="231"/>
        <v>1</v>
      </c>
      <c r="T2962">
        <f t="shared" si="232"/>
        <v>0</v>
      </c>
      <c r="U2962">
        <f t="shared" si="233"/>
        <v>0</v>
      </c>
      <c r="V2962">
        <f t="shared" si="234"/>
        <v>0</v>
      </c>
    </row>
    <row r="2963" spans="1:22" x14ac:dyDescent="0.25">
      <c r="A2963">
        <v>2960</v>
      </c>
      <c r="B2963" t="s">
        <v>26</v>
      </c>
      <c r="C2963" t="s">
        <v>1218</v>
      </c>
      <c r="D2963" s="4">
        <v>45336</v>
      </c>
      <c r="E2963" t="s">
        <v>2664</v>
      </c>
      <c r="F2963" t="s">
        <v>75</v>
      </c>
      <c r="I2963" s="6">
        <v>0</v>
      </c>
      <c r="J2963" s="6">
        <v>0</v>
      </c>
      <c r="K2963" s="6">
        <v>0</v>
      </c>
      <c r="L2963" s="6">
        <v>0</v>
      </c>
      <c r="M2963" s="6">
        <v>0</v>
      </c>
      <c r="N2963" s="6">
        <v>0</v>
      </c>
      <c r="O2963" s="6">
        <v>0</v>
      </c>
      <c r="P2963" s="6">
        <v>0</v>
      </c>
      <c r="Q2963">
        <v>1</v>
      </c>
      <c r="R2963">
        <f t="shared" si="230"/>
        <v>0</v>
      </c>
      <c r="S2963">
        <f t="shared" si="231"/>
        <v>1</v>
      </c>
      <c r="T2963">
        <f t="shared" si="232"/>
        <v>0</v>
      </c>
      <c r="U2963">
        <f t="shared" si="233"/>
        <v>0</v>
      </c>
      <c r="V2963">
        <f t="shared" si="234"/>
        <v>0</v>
      </c>
    </row>
    <row r="2964" spans="1:22" x14ac:dyDescent="0.25">
      <c r="A2964">
        <v>2961</v>
      </c>
      <c r="B2964" t="s">
        <v>26</v>
      </c>
      <c r="C2964" t="s">
        <v>1218</v>
      </c>
      <c r="D2964" s="4">
        <v>45337</v>
      </c>
      <c r="E2964" t="s">
        <v>1110</v>
      </c>
      <c r="F2964" t="s">
        <v>75</v>
      </c>
      <c r="I2964" s="6"/>
      <c r="J2964" s="6"/>
      <c r="K2964" s="6"/>
      <c r="L2964" s="6"/>
      <c r="M2964" s="6"/>
      <c r="N2964" s="6"/>
      <c r="O2964" s="6"/>
      <c r="P2964" s="6"/>
      <c r="Q2964">
        <v>0</v>
      </c>
      <c r="R2964">
        <f t="shared" si="230"/>
        <v>0</v>
      </c>
      <c r="S2964">
        <f t="shared" si="231"/>
        <v>0</v>
      </c>
      <c r="T2964">
        <f t="shared" si="232"/>
        <v>0</v>
      </c>
      <c r="U2964">
        <f t="shared" si="233"/>
        <v>0</v>
      </c>
      <c r="V2964">
        <f t="shared" si="234"/>
        <v>0</v>
      </c>
    </row>
    <row r="2965" spans="1:22" x14ac:dyDescent="0.25">
      <c r="A2965">
        <v>2962</v>
      </c>
      <c r="B2965" t="s">
        <v>26</v>
      </c>
      <c r="C2965" t="s">
        <v>1218</v>
      </c>
      <c r="D2965" s="4">
        <v>45337</v>
      </c>
      <c r="E2965" t="s">
        <v>2663</v>
      </c>
      <c r="F2965" t="s">
        <v>75</v>
      </c>
      <c r="I2965" s="6"/>
      <c r="J2965" s="6"/>
      <c r="K2965" s="6"/>
      <c r="L2965" s="6"/>
      <c r="M2965" s="6"/>
      <c r="N2965" s="6"/>
      <c r="O2965" s="6"/>
      <c r="P2965" s="6"/>
      <c r="Q2965">
        <v>0</v>
      </c>
      <c r="R2965">
        <f t="shared" si="230"/>
        <v>0</v>
      </c>
      <c r="S2965">
        <f t="shared" si="231"/>
        <v>0</v>
      </c>
      <c r="T2965">
        <f t="shared" si="232"/>
        <v>0</v>
      </c>
      <c r="U2965">
        <f t="shared" si="233"/>
        <v>0</v>
      </c>
      <c r="V2965">
        <f t="shared" si="234"/>
        <v>0</v>
      </c>
    </row>
    <row r="2966" spans="1:22" x14ac:dyDescent="0.25">
      <c r="A2966">
        <v>2963</v>
      </c>
      <c r="B2966" t="s">
        <v>26</v>
      </c>
      <c r="C2966" t="s">
        <v>1218</v>
      </c>
      <c r="D2966" s="4">
        <v>45337</v>
      </c>
      <c r="E2966" t="s">
        <v>2284</v>
      </c>
      <c r="F2966" t="s">
        <v>75</v>
      </c>
      <c r="I2966" s="6"/>
      <c r="J2966" s="6"/>
      <c r="K2966" s="6"/>
      <c r="L2966" s="6"/>
      <c r="M2966" s="6"/>
      <c r="N2966" s="6"/>
      <c r="O2966" s="6"/>
      <c r="P2966" s="6"/>
      <c r="Q2966">
        <v>0</v>
      </c>
      <c r="R2966">
        <f t="shared" si="230"/>
        <v>0</v>
      </c>
      <c r="S2966">
        <f t="shared" si="231"/>
        <v>0</v>
      </c>
      <c r="T2966">
        <f t="shared" si="232"/>
        <v>0</v>
      </c>
      <c r="U2966">
        <f t="shared" si="233"/>
        <v>0</v>
      </c>
      <c r="V2966">
        <f t="shared" si="234"/>
        <v>0</v>
      </c>
    </row>
    <row r="2967" spans="1:22" x14ac:dyDescent="0.25">
      <c r="A2967">
        <v>2964</v>
      </c>
      <c r="B2967" t="s">
        <v>26</v>
      </c>
      <c r="C2967" t="s">
        <v>1218</v>
      </c>
      <c r="D2967" s="4">
        <v>45337</v>
      </c>
      <c r="E2967" t="s">
        <v>1043</v>
      </c>
      <c r="F2967" t="s">
        <v>75</v>
      </c>
      <c r="I2967" s="6"/>
      <c r="J2967" s="6"/>
      <c r="K2967" s="6"/>
      <c r="L2967" s="6"/>
      <c r="M2967" s="6"/>
      <c r="N2967" s="6"/>
      <c r="O2967" s="6"/>
      <c r="P2967" s="6"/>
      <c r="Q2967">
        <v>0</v>
      </c>
      <c r="R2967">
        <f t="shared" si="230"/>
        <v>0</v>
      </c>
      <c r="S2967">
        <f t="shared" si="231"/>
        <v>0</v>
      </c>
      <c r="T2967">
        <f t="shared" si="232"/>
        <v>0</v>
      </c>
      <c r="U2967">
        <f t="shared" si="233"/>
        <v>0</v>
      </c>
      <c r="V2967">
        <f t="shared" si="234"/>
        <v>0</v>
      </c>
    </row>
    <row r="2968" spans="1:22" x14ac:dyDescent="0.25">
      <c r="A2968">
        <v>2965</v>
      </c>
      <c r="B2968" t="s">
        <v>26</v>
      </c>
      <c r="C2968" t="s">
        <v>1218</v>
      </c>
      <c r="D2968" s="4">
        <v>45337</v>
      </c>
      <c r="E2968" t="s">
        <v>1457</v>
      </c>
      <c r="F2968" t="s">
        <v>75</v>
      </c>
      <c r="I2968" s="6">
        <v>1</v>
      </c>
      <c r="J2968" s="6">
        <v>0</v>
      </c>
      <c r="K2968" s="6">
        <v>1</v>
      </c>
      <c r="L2968" s="6">
        <v>0</v>
      </c>
      <c r="M2968" s="6">
        <v>0</v>
      </c>
      <c r="N2968" s="6">
        <v>0</v>
      </c>
      <c r="O2968" s="6">
        <v>0</v>
      </c>
      <c r="P2968" s="6">
        <v>0</v>
      </c>
      <c r="Q2968">
        <v>1</v>
      </c>
      <c r="R2968">
        <f t="shared" si="230"/>
        <v>0</v>
      </c>
      <c r="S2968">
        <f t="shared" si="231"/>
        <v>1</v>
      </c>
      <c r="T2968">
        <f t="shared" si="232"/>
        <v>2</v>
      </c>
      <c r="U2968">
        <f t="shared" si="233"/>
        <v>1</v>
      </c>
      <c r="V2968">
        <f t="shared" si="234"/>
        <v>0</v>
      </c>
    </row>
    <row r="2969" spans="1:22" x14ac:dyDescent="0.25">
      <c r="A2969">
        <v>2966</v>
      </c>
      <c r="B2969" t="s">
        <v>26</v>
      </c>
      <c r="C2969" t="s">
        <v>1218</v>
      </c>
      <c r="D2969" s="4">
        <v>45337</v>
      </c>
      <c r="E2969" t="s">
        <v>1111</v>
      </c>
      <c r="F2969" t="s">
        <v>75</v>
      </c>
      <c r="H2969" t="s">
        <v>1279</v>
      </c>
      <c r="I2969" s="6">
        <v>1</v>
      </c>
      <c r="J2969" s="6">
        <v>0</v>
      </c>
      <c r="K2969" s="6">
        <v>0</v>
      </c>
      <c r="L2969" s="6">
        <v>1</v>
      </c>
      <c r="M2969" s="6">
        <v>0</v>
      </c>
      <c r="N2969" s="6">
        <v>0</v>
      </c>
      <c r="O2969" s="6">
        <v>0</v>
      </c>
      <c r="P2969" s="6">
        <v>0</v>
      </c>
      <c r="Q2969">
        <v>1</v>
      </c>
      <c r="R2969">
        <f t="shared" si="230"/>
        <v>0</v>
      </c>
      <c r="S2969">
        <f t="shared" si="231"/>
        <v>1</v>
      </c>
      <c r="T2969">
        <f t="shared" si="232"/>
        <v>2</v>
      </c>
      <c r="U2969">
        <f t="shared" si="233"/>
        <v>1</v>
      </c>
      <c r="V2969">
        <f t="shared" si="234"/>
        <v>0</v>
      </c>
    </row>
    <row r="2970" spans="1:22" x14ac:dyDescent="0.25">
      <c r="A2970">
        <v>2967</v>
      </c>
      <c r="B2970" t="s">
        <v>26</v>
      </c>
      <c r="C2970" t="s">
        <v>1218</v>
      </c>
      <c r="D2970" s="4">
        <v>45337</v>
      </c>
      <c r="E2970" t="s">
        <v>2283</v>
      </c>
      <c r="F2970" t="s">
        <v>75</v>
      </c>
      <c r="I2970" s="6"/>
      <c r="J2970" s="6"/>
      <c r="K2970" s="6"/>
      <c r="L2970" s="6"/>
      <c r="M2970" s="6"/>
      <c r="N2970" s="6"/>
      <c r="O2970" s="6"/>
      <c r="P2970" s="6"/>
      <c r="Q2970">
        <v>0</v>
      </c>
      <c r="R2970">
        <f t="shared" si="230"/>
        <v>0</v>
      </c>
      <c r="S2970">
        <f t="shared" si="231"/>
        <v>0</v>
      </c>
      <c r="T2970">
        <f t="shared" si="232"/>
        <v>0</v>
      </c>
      <c r="U2970">
        <f t="shared" si="233"/>
        <v>0</v>
      </c>
      <c r="V2970">
        <f t="shared" si="234"/>
        <v>0</v>
      </c>
    </row>
    <row r="2971" spans="1:22" x14ac:dyDescent="0.25">
      <c r="A2971">
        <v>2968</v>
      </c>
      <c r="B2971" t="s">
        <v>26</v>
      </c>
      <c r="C2971" t="s">
        <v>1218</v>
      </c>
      <c r="D2971" s="4">
        <v>45337</v>
      </c>
      <c r="E2971" t="s">
        <v>2662</v>
      </c>
      <c r="F2971" t="s">
        <v>75</v>
      </c>
      <c r="I2971" s="6"/>
      <c r="J2971" s="6"/>
      <c r="K2971" s="6"/>
      <c r="L2971" s="6"/>
      <c r="M2971" s="6"/>
      <c r="N2971" s="6"/>
      <c r="O2971" s="6"/>
      <c r="P2971" s="6"/>
      <c r="Q2971">
        <v>0</v>
      </c>
      <c r="R2971">
        <f t="shared" si="230"/>
        <v>0</v>
      </c>
      <c r="S2971">
        <f t="shared" si="231"/>
        <v>0</v>
      </c>
      <c r="T2971">
        <f t="shared" si="232"/>
        <v>0</v>
      </c>
      <c r="U2971">
        <f t="shared" si="233"/>
        <v>0</v>
      </c>
      <c r="V2971">
        <f t="shared" si="234"/>
        <v>0</v>
      </c>
    </row>
    <row r="2972" spans="1:22" x14ac:dyDescent="0.25">
      <c r="A2972">
        <v>2969</v>
      </c>
      <c r="B2972" t="s">
        <v>26</v>
      </c>
      <c r="C2972" t="s">
        <v>1218</v>
      </c>
      <c r="D2972" s="4">
        <v>45337</v>
      </c>
      <c r="E2972" t="s">
        <v>2661</v>
      </c>
      <c r="F2972" t="s">
        <v>75</v>
      </c>
      <c r="I2972" s="6"/>
      <c r="J2972" s="6"/>
      <c r="K2972" s="6"/>
      <c r="L2972" s="6"/>
      <c r="M2972" s="6"/>
      <c r="N2972" s="6"/>
      <c r="O2972" s="6"/>
      <c r="P2972" s="6"/>
      <c r="Q2972">
        <v>0</v>
      </c>
      <c r="R2972">
        <f t="shared" si="230"/>
        <v>0</v>
      </c>
      <c r="S2972">
        <f t="shared" si="231"/>
        <v>0</v>
      </c>
      <c r="T2972">
        <f t="shared" si="232"/>
        <v>0</v>
      </c>
      <c r="U2972">
        <f t="shared" si="233"/>
        <v>0</v>
      </c>
      <c r="V2972">
        <f t="shared" si="234"/>
        <v>0</v>
      </c>
    </row>
    <row r="2973" spans="1:22" x14ac:dyDescent="0.25">
      <c r="A2973">
        <v>2970</v>
      </c>
      <c r="B2973" t="s">
        <v>26</v>
      </c>
      <c r="C2973" t="s">
        <v>1218</v>
      </c>
      <c r="D2973" s="4">
        <v>45337</v>
      </c>
      <c r="E2973" t="s">
        <v>2660</v>
      </c>
      <c r="F2973" t="s">
        <v>75</v>
      </c>
      <c r="I2973" s="6"/>
      <c r="J2973" s="6"/>
      <c r="K2973" s="6"/>
      <c r="L2973" s="6"/>
      <c r="M2973" s="6"/>
      <c r="N2973" s="6"/>
      <c r="O2973" s="6"/>
      <c r="P2973" s="6"/>
      <c r="Q2973">
        <v>0</v>
      </c>
      <c r="R2973">
        <f t="shared" si="230"/>
        <v>0</v>
      </c>
      <c r="S2973">
        <f t="shared" si="231"/>
        <v>0</v>
      </c>
      <c r="T2973">
        <f t="shared" si="232"/>
        <v>0</v>
      </c>
      <c r="U2973">
        <f t="shared" si="233"/>
        <v>0</v>
      </c>
      <c r="V2973">
        <f t="shared" si="234"/>
        <v>0</v>
      </c>
    </row>
    <row r="2974" spans="1:22" x14ac:dyDescent="0.25">
      <c r="A2974">
        <v>2971</v>
      </c>
      <c r="B2974" t="s">
        <v>26</v>
      </c>
      <c r="C2974" t="s">
        <v>1218</v>
      </c>
      <c r="D2974" s="4">
        <v>45338</v>
      </c>
      <c r="E2974" t="s">
        <v>1044</v>
      </c>
      <c r="F2974" t="s">
        <v>75</v>
      </c>
      <c r="I2974" s="6"/>
      <c r="J2974" s="6"/>
      <c r="K2974" s="6"/>
      <c r="L2974" s="6"/>
      <c r="M2974" s="6"/>
      <c r="N2974" s="6"/>
      <c r="O2974" s="6"/>
      <c r="P2974" s="6"/>
      <c r="Q2974">
        <v>0</v>
      </c>
      <c r="R2974">
        <f t="shared" si="230"/>
        <v>0</v>
      </c>
      <c r="S2974">
        <f t="shared" si="231"/>
        <v>0</v>
      </c>
      <c r="T2974">
        <f t="shared" si="232"/>
        <v>0</v>
      </c>
      <c r="U2974">
        <f t="shared" si="233"/>
        <v>0</v>
      </c>
      <c r="V2974">
        <f t="shared" si="234"/>
        <v>0</v>
      </c>
    </row>
    <row r="2975" spans="1:22" x14ac:dyDescent="0.25">
      <c r="A2975">
        <v>2972</v>
      </c>
      <c r="B2975" t="s">
        <v>26</v>
      </c>
      <c r="C2975" t="s">
        <v>1218</v>
      </c>
      <c r="D2975" s="4">
        <v>45338</v>
      </c>
      <c r="E2975" t="s">
        <v>1045</v>
      </c>
      <c r="F2975" t="s">
        <v>75</v>
      </c>
      <c r="I2975" s="6"/>
      <c r="J2975" s="6"/>
      <c r="K2975" s="6"/>
      <c r="L2975" s="6"/>
      <c r="M2975" s="6"/>
      <c r="N2975" s="6"/>
      <c r="O2975" s="6"/>
      <c r="P2975" s="6"/>
      <c r="Q2975">
        <v>0</v>
      </c>
      <c r="R2975">
        <f t="shared" si="230"/>
        <v>0</v>
      </c>
      <c r="S2975">
        <f t="shared" si="231"/>
        <v>0</v>
      </c>
      <c r="T2975">
        <f t="shared" si="232"/>
        <v>0</v>
      </c>
      <c r="U2975">
        <f t="shared" si="233"/>
        <v>0</v>
      </c>
      <c r="V2975">
        <f t="shared" si="234"/>
        <v>0</v>
      </c>
    </row>
    <row r="2976" spans="1:22" x14ac:dyDescent="0.25">
      <c r="A2976">
        <v>2973</v>
      </c>
      <c r="B2976" t="s">
        <v>26</v>
      </c>
      <c r="C2976" t="s">
        <v>1218</v>
      </c>
      <c r="D2976" s="4">
        <v>45338</v>
      </c>
      <c r="E2976" t="s">
        <v>907</v>
      </c>
      <c r="F2976" t="s">
        <v>75</v>
      </c>
      <c r="I2976" s="6">
        <v>0</v>
      </c>
      <c r="J2976" s="6">
        <v>0</v>
      </c>
      <c r="K2976" s="6">
        <v>0</v>
      </c>
      <c r="L2976" s="6">
        <v>0</v>
      </c>
      <c r="M2976" s="6">
        <v>0</v>
      </c>
      <c r="N2976" s="6">
        <v>0</v>
      </c>
      <c r="O2976" s="6">
        <v>1</v>
      </c>
      <c r="P2976" s="6">
        <v>0</v>
      </c>
      <c r="Q2976">
        <v>1</v>
      </c>
      <c r="R2976">
        <f t="shared" si="230"/>
        <v>0</v>
      </c>
      <c r="S2976">
        <f t="shared" si="231"/>
        <v>1</v>
      </c>
      <c r="T2976">
        <f t="shared" si="232"/>
        <v>1</v>
      </c>
      <c r="U2976">
        <f t="shared" si="233"/>
        <v>1</v>
      </c>
      <c r="V2976">
        <f t="shared" si="234"/>
        <v>0</v>
      </c>
    </row>
    <row r="2977" spans="1:22" x14ac:dyDescent="0.25">
      <c r="A2977">
        <v>2974</v>
      </c>
      <c r="B2977" t="s">
        <v>26</v>
      </c>
      <c r="C2977" t="s">
        <v>1218</v>
      </c>
      <c r="D2977" s="4">
        <v>45338</v>
      </c>
      <c r="E2977" t="s">
        <v>1046</v>
      </c>
      <c r="F2977" t="s">
        <v>75</v>
      </c>
      <c r="I2977" s="6"/>
      <c r="J2977" s="6"/>
      <c r="K2977" s="6"/>
      <c r="L2977" s="6"/>
      <c r="M2977" s="6"/>
      <c r="N2977" s="6"/>
      <c r="O2977" s="6"/>
      <c r="P2977" s="6"/>
      <c r="Q2977">
        <v>0</v>
      </c>
      <c r="R2977">
        <f t="shared" si="230"/>
        <v>0</v>
      </c>
      <c r="S2977">
        <f t="shared" si="231"/>
        <v>0</v>
      </c>
      <c r="T2977">
        <f t="shared" si="232"/>
        <v>0</v>
      </c>
      <c r="U2977">
        <f t="shared" si="233"/>
        <v>0</v>
      </c>
      <c r="V2977">
        <f t="shared" si="234"/>
        <v>0</v>
      </c>
    </row>
    <row r="2978" spans="1:22" x14ac:dyDescent="0.25">
      <c r="A2978">
        <v>2975</v>
      </c>
      <c r="B2978" t="s">
        <v>26</v>
      </c>
      <c r="C2978" t="s">
        <v>1218</v>
      </c>
      <c r="D2978" s="4">
        <v>45338</v>
      </c>
      <c r="E2978" t="s">
        <v>1112</v>
      </c>
      <c r="F2978" t="s">
        <v>75</v>
      </c>
      <c r="I2978" s="6">
        <v>0</v>
      </c>
      <c r="J2978" s="6">
        <v>0</v>
      </c>
      <c r="K2978" s="6">
        <v>0</v>
      </c>
      <c r="L2978" s="6">
        <v>0</v>
      </c>
      <c r="M2978" s="6">
        <v>1</v>
      </c>
      <c r="N2978" s="6">
        <v>0</v>
      </c>
      <c r="O2978" s="6">
        <v>0</v>
      </c>
      <c r="P2978" s="6">
        <v>0</v>
      </c>
      <c r="Q2978">
        <v>1</v>
      </c>
      <c r="R2978">
        <f t="shared" si="230"/>
        <v>0</v>
      </c>
      <c r="S2978">
        <f t="shared" si="231"/>
        <v>1</v>
      </c>
      <c r="T2978">
        <f t="shared" si="232"/>
        <v>1</v>
      </c>
      <c r="U2978">
        <f t="shared" si="233"/>
        <v>1</v>
      </c>
      <c r="V2978">
        <f t="shared" si="234"/>
        <v>0</v>
      </c>
    </row>
    <row r="2979" spans="1:22" x14ac:dyDescent="0.25">
      <c r="A2979">
        <v>2976</v>
      </c>
      <c r="B2979" t="s">
        <v>26</v>
      </c>
      <c r="C2979" t="s">
        <v>1218</v>
      </c>
      <c r="D2979" s="4">
        <v>45338</v>
      </c>
      <c r="E2979" t="s">
        <v>1507</v>
      </c>
      <c r="F2979" t="s">
        <v>75</v>
      </c>
      <c r="I2979" s="6"/>
      <c r="J2979" s="6"/>
      <c r="K2979" s="6"/>
      <c r="L2979" s="6"/>
      <c r="M2979" s="6"/>
      <c r="N2979" s="6"/>
      <c r="O2979" s="6"/>
      <c r="P2979" s="6"/>
      <c r="Q2979">
        <v>0</v>
      </c>
      <c r="R2979">
        <f t="shared" si="230"/>
        <v>0</v>
      </c>
      <c r="S2979">
        <f t="shared" si="231"/>
        <v>0</v>
      </c>
      <c r="T2979">
        <f t="shared" si="232"/>
        <v>0</v>
      </c>
      <c r="U2979">
        <f t="shared" si="233"/>
        <v>0</v>
      </c>
      <c r="V2979">
        <f t="shared" si="234"/>
        <v>0</v>
      </c>
    </row>
    <row r="2980" spans="1:22" x14ac:dyDescent="0.25">
      <c r="A2980">
        <v>2977</v>
      </c>
      <c r="B2980" t="s">
        <v>26</v>
      </c>
      <c r="C2980" t="s">
        <v>1218</v>
      </c>
      <c r="D2980" s="4">
        <v>45338</v>
      </c>
      <c r="E2980" t="s">
        <v>2659</v>
      </c>
      <c r="F2980" t="s">
        <v>75</v>
      </c>
      <c r="I2980" s="6"/>
      <c r="J2980" s="6"/>
      <c r="K2980" s="6"/>
      <c r="L2980" s="6"/>
      <c r="M2980" s="6"/>
      <c r="N2980" s="6"/>
      <c r="O2980" s="6"/>
      <c r="P2980" s="6"/>
      <c r="Q2980">
        <v>0</v>
      </c>
      <c r="R2980">
        <f t="shared" si="230"/>
        <v>0</v>
      </c>
      <c r="S2980">
        <f t="shared" si="231"/>
        <v>0</v>
      </c>
      <c r="T2980">
        <f t="shared" si="232"/>
        <v>0</v>
      </c>
      <c r="U2980">
        <f t="shared" si="233"/>
        <v>0</v>
      </c>
      <c r="V2980">
        <f t="shared" si="234"/>
        <v>0</v>
      </c>
    </row>
    <row r="2981" spans="1:22" x14ac:dyDescent="0.25">
      <c r="A2981">
        <v>2978</v>
      </c>
      <c r="B2981" t="s">
        <v>26</v>
      </c>
      <c r="C2981" t="s">
        <v>1218</v>
      </c>
      <c r="D2981" s="4">
        <v>45338</v>
      </c>
      <c r="E2981" t="s">
        <v>2658</v>
      </c>
      <c r="F2981" t="s">
        <v>75</v>
      </c>
      <c r="I2981" s="6"/>
      <c r="J2981" s="6"/>
      <c r="K2981" s="6"/>
      <c r="L2981" s="6"/>
      <c r="M2981" s="6"/>
      <c r="N2981" s="6"/>
      <c r="O2981" s="6"/>
      <c r="P2981" s="6"/>
      <c r="Q2981">
        <v>0</v>
      </c>
      <c r="R2981">
        <f t="shared" si="230"/>
        <v>0</v>
      </c>
      <c r="S2981">
        <f t="shared" si="231"/>
        <v>0</v>
      </c>
      <c r="T2981">
        <f t="shared" si="232"/>
        <v>0</v>
      </c>
      <c r="U2981">
        <f t="shared" si="233"/>
        <v>0</v>
      </c>
      <c r="V2981">
        <f t="shared" si="234"/>
        <v>0</v>
      </c>
    </row>
    <row r="2982" spans="1:22" x14ac:dyDescent="0.25">
      <c r="A2982">
        <v>2979</v>
      </c>
      <c r="B2982" t="s">
        <v>26</v>
      </c>
      <c r="C2982" t="s">
        <v>1218</v>
      </c>
      <c r="D2982" s="4">
        <v>45339</v>
      </c>
      <c r="E2982" t="s">
        <v>2282</v>
      </c>
      <c r="F2982" t="s">
        <v>75</v>
      </c>
      <c r="I2982" s="6">
        <v>1</v>
      </c>
      <c r="J2982" s="6">
        <v>0</v>
      </c>
      <c r="K2982" s="6">
        <v>0</v>
      </c>
      <c r="L2982" s="6">
        <v>0</v>
      </c>
      <c r="M2982" s="6">
        <v>0</v>
      </c>
      <c r="N2982" s="6">
        <v>0</v>
      </c>
      <c r="O2982" s="6">
        <v>0</v>
      </c>
      <c r="P2982" s="6">
        <v>0</v>
      </c>
      <c r="Q2982">
        <v>1</v>
      </c>
      <c r="R2982">
        <f t="shared" si="230"/>
        <v>0</v>
      </c>
      <c r="S2982">
        <f t="shared" si="231"/>
        <v>1</v>
      </c>
      <c r="T2982">
        <f t="shared" si="232"/>
        <v>1</v>
      </c>
      <c r="U2982">
        <f t="shared" si="233"/>
        <v>1</v>
      </c>
      <c r="V2982">
        <f t="shared" si="234"/>
        <v>0</v>
      </c>
    </row>
    <row r="2983" spans="1:22" x14ac:dyDescent="0.25">
      <c r="A2983">
        <v>2980</v>
      </c>
      <c r="B2983" t="s">
        <v>26</v>
      </c>
      <c r="C2983" t="s">
        <v>1218</v>
      </c>
      <c r="D2983" s="4">
        <v>45339</v>
      </c>
      <c r="E2983" t="s">
        <v>2281</v>
      </c>
      <c r="F2983" t="s">
        <v>75</v>
      </c>
      <c r="I2983" s="6">
        <v>1</v>
      </c>
      <c r="J2983" s="6">
        <v>0</v>
      </c>
      <c r="K2983" s="6">
        <v>1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>
        <v>1</v>
      </c>
      <c r="R2983">
        <f t="shared" si="230"/>
        <v>0</v>
      </c>
      <c r="S2983">
        <f t="shared" si="231"/>
        <v>1</v>
      </c>
      <c r="T2983">
        <f t="shared" si="232"/>
        <v>2</v>
      </c>
      <c r="U2983">
        <f t="shared" si="233"/>
        <v>1</v>
      </c>
      <c r="V2983">
        <f t="shared" si="234"/>
        <v>0</v>
      </c>
    </row>
    <row r="2984" spans="1:22" x14ac:dyDescent="0.25">
      <c r="A2984">
        <v>2981</v>
      </c>
      <c r="B2984" t="s">
        <v>26</v>
      </c>
      <c r="C2984" t="s">
        <v>1218</v>
      </c>
      <c r="D2984" s="4">
        <v>45339</v>
      </c>
      <c r="E2984" t="s">
        <v>2280</v>
      </c>
      <c r="F2984" t="s">
        <v>75</v>
      </c>
      <c r="I2984" s="6"/>
      <c r="J2984" s="6"/>
      <c r="K2984" s="6"/>
      <c r="L2984" s="6"/>
      <c r="M2984" s="6"/>
      <c r="N2984" s="6"/>
      <c r="O2984" s="6"/>
      <c r="P2984" s="6"/>
      <c r="Q2984">
        <v>0</v>
      </c>
      <c r="R2984">
        <f t="shared" si="230"/>
        <v>0</v>
      </c>
      <c r="S2984">
        <f t="shared" si="231"/>
        <v>0</v>
      </c>
      <c r="T2984">
        <f t="shared" si="232"/>
        <v>0</v>
      </c>
      <c r="U2984">
        <f t="shared" si="233"/>
        <v>0</v>
      </c>
      <c r="V2984">
        <f t="shared" si="234"/>
        <v>0</v>
      </c>
    </row>
    <row r="2985" spans="1:22" x14ac:dyDescent="0.25">
      <c r="A2985">
        <v>2982</v>
      </c>
      <c r="B2985" t="s">
        <v>26</v>
      </c>
      <c r="C2985" t="s">
        <v>1218</v>
      </c>
      <c r="D2985" s="4">
        <v>45339</v>
      </c>
      <c r="E2985" t="s">
        <v>2279</v>
      </c>
      <c r="F2985" t="s">
        <v>75</v>
      </c>
      <c r="I2985" s="6"/>
      <c r="J2985" s="6"/>
      <c r="K2985" s="6"/>
      <c r="L2985" s="6"/>
      <c r="M2985" s="6"/>
      <c r="N2985" s="6"/>
      <c r="O2985" s="6"/>
      <c r="P2985" s="6"/>
      <c r="Q2985">
        <v>0</v>
      </c>
      <c r="R2985">
        <f t="shared" si="230"/>
        <v>0</v>
      </c>
      <c r="S2985">
        <f t="shared" si="231"/>
        <v>0</v>
      </c>
      <c r="T2985">
        <f t="shared" si="232"/>
        <v>0</v>
      </c>
      <c r="U2985">
        <f t="shared" si="233"/>
        <v>0</v>
      </c>
      <c r="V2985">
        <f t="shared" si="234"/>
        <v>0</v>
      </c>
    </row>
    <row r="2986" spans="1:22" x14ac:dyDescent="0.25">
      <c r="A2986">
        <v>2983</v>
      </c>
      <c r="B2986" t="s">
        <v>26</v>
      </c>
      <c r="C2986" t="s">
        <v>1218</v>
      </c>
      <c r="D2986" s="4">
        <v>45339</v>
      </c>
      <c r="E2986" t="s">
        <v>2278</v>
      </c>
      <c r="F2986" t="s">
        <v>75</v>
      </c>
      <c r="I2986" s="6"/>
      <c r="J2986" s="6"/>
      <c r="K2986" s="6"/>
      <c r="L2986" s="6"/>
      <c r="M2986" s="6"/>
      <c r="N2986" s="6"/>
      <c r="O2986" s="6"/>
      <c r="P2986" s="6"/>
      <c r="Q2986">
        <v>0</v>
      </c>
      <c r="R2986">
        <f t="shared" si="230"/>
        <v>0</v>
      </c>
      <c r="S2986">
        <f t="shared" si="231"/>
        <v>0</v>
      </c>
      <c r="T2986">
        <f t="shared" si="232"/>
        <v>0</v>
      </c>
      <c r="U2986">
        <f t="shared" si="233"/>
        <v>0</v>
      </c>
      <c r="V2986">
        <f t="shared" si="234"/>
        <v>0</v>
      </c>
    </row>
    <row r="2987" spans="1:22" x14ac:dyDescent="0.25">
      <c r="A2987">
        <v>2984</v>
      </c>
      <c r="B2987" t="s">
        <v>26</v>
      </c>
      <c r="C2987" t="s">
        <v>1218</v>
      </c>
      <c r="D2987" s="4">
        <v>45339</v>
      </c>
      <c r="E2987" t="s">
        <v>2657</v>
      </c>
      <c r="F2987" t="s">
        <v>75</v>
      </c>
      <c r="I2987" s="6"/>
      <c r="J2987" s="6"/>
      <c r="K2987" s="6"/>
      <c r="L2987" s="6"/>
      <c r="M2987" s="6"/>
      <c r="N2987" s="6"/>
      <c r="O2987" s="6"/>
      <c r="P2987" s="6"/>
      <c r="Q2987">
        <v>0</v>
      </c>
      <c r="R2987">
        <f t="shared" si="230"/>
        <v>0</v>
      </c>
      <c r="S2987">
        <f t="shared" si="231"/>
        <v>0</v>
      </c>
      <c r="T2987">
        <f t="shared" si="232"/>
        <v>0</v>
      </c>
      <c r="U2987">
        <f t="shared" si="233"/>
        <v>0</v>
      </c>
      <c r="V2987">
        <f t="shared" si="234"/>
        <v>0</v>
      </c>
    </row>
    <row r="2988" spans="1:22" x14ac:dyDescent="0.25">
      <c r="A2988">
        <v>2985</v>
      </c>
      <c r="B2988" t="s">
        <v>26</v>
      </c>
      <c r="C2988" t="s">
        <v>1218</v>
      </c>
      <c r="D2988" s="4">
        <v>45339</v>
      </c>
      <c r="E2988" t="s">
        <v>2656</v>
      </c>
      <c r="F2988" t="s">
        <v>75</v>
      </c>
      <c r="I2988" s="6"/>
      <c r="J2988" s="6"/>
      <c r="K2988" s="6"/>
      <c r="L2988" s="6"/>
      <c r="M2988" s="6"/>
      <c r="N2988" s="6"/>
      <c r="O2988" s="6"/>
      <c r="P2988" s="6"/>
      <c r="Q2988">
        <v>0</v>
      </c>
      <c r="R2988">
        <f t="shared" si="230"/>
        <v>0</v>
      </c>
      <c r="S2988">
        <f t="shared" si="231"/>
        <v>0</v>
      </c>
      <c r="T2988">
        <f t="shared" si="232"/>
        <v>0</v>
      </c>
      <c r="U2988">
        <f t="shared" si="233"/>
        <v>0</v>
      </c>
      <c r="V2988">
        <f t="shared" si="234"/>
        <v>0</v>
      </c>
    </row>
    <row r="2989" spans="1:22" x14ac:dyDescent="0.25">
      <c r="A2989">
        <v>2986</v>
      </c>
      <c r="B2989" t="s">
        <v>26</v>
      </c>
      <c r="C2989" t="s">
        <v>1218</v>
      </c>
      <c r="D2989" s="4">
        <v>45339</v>
      </c>
      <c r="E2989" t="s">
        <v>2655</v>
      </c>
      <c r="F2989" t="s">
        <v>75</v>
      </c>
      <c r="I2989" s="6"/>
      <c r="J2989" s="6"/>
      <c r="K2989" s="6"/>
      <c r="L2989" s="6"/>
      <c r="M2989" s="6"/>
      <c r="N2989" s="6"/>
      <c r="O2989" s="6"/>
      <c r="P2989" s="6"/>
      <c r="Q2989">
        <v>0</v>
      </c>
      <c r="R2989">
        <f t="shared" si="230"/>
        <v>0</v>
      </c>
      <c r="S2989">
        <f t="shared" si="231"/>
        <v>0</v>
      </c>
      <c r="T2989">
        <f t="shared" si="232"/>
        <v>0</v>
      </c>
      <c r="U2989">
        <f t="shared" si="233"/>
        <v>0</v>
      </c>
      <c r="V2989">
        <f t="shared" si="234"/>
        <v>0</v>
      </c>
    </row>
    <row r="2990" spans="1:22" x14ac:dyDescent="0.25">
      <c r="A2990">
        <v>2987</v>
      </c>
      <c r="B2990" t="s">
        <v>26</v>
      </c>
      <c r="C2990" t="s">
        <v>1218</v>
      </c>
      <c r="D2990" s="4">
        <v>45339</v>
      </c>
      <c r="E2990" t="s">
        <v>2654</v>
      </c>
      <c r="F2990" t="s">
        <v>75</v>
      </c>
      <c r="I2990" s="6"/>
      <c r="J2990" s="6"/>
      <c r="K2990" s="6"/>
      <c r="L2990" s="6"/>
      <c r="M2990" s="6"/>
      <c r="N2990" s="6"/>
      <c r="O2990" s="6"/>
      <c r="P2990" s="6"/>
      <c r="Q2990">
        <v>0</v>
      </c>
      <c r="R2990">
        <f t="shared" si="230"/>
        <v>0</v>
      </c>
      <c r="S2990">
        <f t="shared" si="231"/>
        <v>0</v>
      </c>
      <c r="T2990">
        <f t="shared" si="232"/>
        <v>0</v>
      </c>
      <c r="U2990">
        <f t="shared" si="233"/>
        <v>0</v>
      </c>
      <c r="V2990">
        <f t="shared" si="234"/>
        <v>0</v>
      </c>
    </row>
    <row r="2991" spans="1:22" x14ac:dyDescent="0.25">
      <c r="A2991">
        <v>2988</v>
      </c>
      <c r="B2991" t="s">
        <v>26</v>
      </c>
      <c r="C2991" t="s">
        <v>1218</v>
      </c>
      <c r="D2991" s="4">
        <v>45340</v>
      </c>
      <c r="E2991" t="s">
        <v>1280</v>
      </c>
      <c r="F2991" t="s">
        <v>75</v>
      </c>
      <c r="H2991" t="s">
        <v>1281</v>
      </c>
      <c r="I2991" s="6">
        <v>1</v>
      </c>
      <c r="J2991" s="6">
        <v>0</v>
      </c>
      <c r="K2991" s="6">
        <v>0</v>
      </c>
      <c r="L2991" s="6">
        <v>1</v>
      </c>
      <c r="M2991" s="6">
        <v>0</v>
      </c>
      <c r="N2991" s="6">
        <v>0</v>
      </c>
      <c r="O2991" s="6">
        <v>0</v>
      </c>
      <c r="P2991" s="6">
        <v>0</v>
      </c>
      <c r="Q2991">
        <v>1</v>
      </c>
      <c r="R2991">
        <f t="shared" si="230"/>
        <v>0</v>
      </c>
      <c r="S2991">
        <f t="shared" si="231"/>
        <v>1</v>
      </c>
      <c r="T2991">
        <f t="shared" si="232"/>
        <v>2</v>
      </c>
      <c r="U2991">
        <f t="shared" si="233"/>
        <v>1</v>
      </c>
      <c r="V2991">
        <f t="shared" si="234"/>
        <v>0</v>
      </c>
    </row>
    <row r="2992" spans="1:22" x14ac:dyDescent="0.25">
      <c r="A2992">
        <v>2989</v>
      </c>
      <c r="B2992" t="s">
        <v>26</v>
      </c>
      <c r="C2992" t="s">
        <v>1218</v>
      </c>
      <c r="D2992" s="4">
        <v>45340</v>
      </c>
      <c r="E2992" t="s">
        <v>1113</v>
      </c>
      <c r="F2992" t="s">
        <v>75</v>
      </c>
      <c r="I2992" s="6"/>
      <c r="J2992" s="6"/>
      <c r="K2992" s="6"/>
      <c r="L2992" s="6"/>
      <c r="M2992" s="6"/>
      <c r="N2992" s="6"/>
      <c r="O2992" s="6"/>
      <c r="P2992" s="6"/>
      <c r="Q2992">
        <v>0</v>
      </c>
      <c r="R2992">
        <f t="shared" si="230"/>
        <v>0</v>
      </c>
      <c r="S2992">
        <f t="shared" si="231"/>
        <v>0</v>
      </c>
      <c r="T2992">
        <f t="shared" si="232"/>
        <v>0</v>
      </c>
      <c r="U2992">
        <f t="shared" si="233"/>
        <v>0</v>
      </c>
      <c r="V2992">
        <f t="shared" si="234"/>
        <v>0</v>
      </c>
    </row>
    <row r="2993" spans="1:22" x14ac:dyDescent="0.25">
      <c r="A2993">
        <v>2990</v>
      </c>
      <c r="B2993" t="s">
        <v>26</v>
      </c>
      <c r="C2993" t="s">
        <v>1218</v>
      </c>
      <c r="D2993" s="4">
        <v>45340</v>
      </c>
      <c r="E2993" t="s">
        <v>2277</v>
      </c>
      <c r="F2993" t="s">
        <v>75</v>
      </c>
      <c r="I2993" s="6"/>
      <c r="J2993" s="6"/>
      <c r="K2993" s="6"/>
      <c r="L2993" s="6"/>
      <c r="M2993" s="6"/>
      <c r="N2993" s="6"/>
      <c r="O2993" s="6"/>
      <c r="P2993" s="6"/>
      <c r="Q2993">
        <v>0</v>
      </c>
      <c r="R2993">
        <f t="shared" si="230"/>
        <v>0</v>
      </c>
      <c r="S2993">
        <f t="shared" si="231"/>
        <v>0</v>
      </c>
      <c r="T2993">
        <f t="shared" si="232"/>
        <v>0</v>
      </c>
      <c r="U2993">
        <f t="shared" si="233"/>
        <v>0</v>
      </c>
      <c r="V2993">
        <f t="shared" si="234"/>
        <v>0</v>
      </c>
    </row>
    <row r="2994" spans="1:22" x14ac:dyDescent="0.25">
      <c r="A2994">
        <v>2991</v>
      </c>
      <c r="B2994" t="s">
        <v>26</v>
      </c>
      <c r="C2994" t="s">
        <v>1218</v>
      </c>
      <c r="D2994" s="4">
        <v>45340</v>
      </c>
      <c r="E2994" t="s">
        <v>2276</v>
      </c>
      <c r="F2994" t="s">
        <v>75</v>
      </c>
      <c r="I2994" s="6"/>
      <c r="J2994" s="6"/>
      <c r="K2994" s="6"/>
      <c r="L2994" s="6"/>
      <c r="M2994" s="6"/>
      <c r="N2994" s="6"/>
      <c r="O2994" s="6"/>
      <c r="P2994" s="6"/>
      <c r="Q2994">
        <v>0</v>
      </c>
      <c r="R2994">
        <f t="shared" si="230"/>
        <v>0</v>
      </c>
      <c r="S2994">
        <f t="shared" si="231"/>
        <v>0</v>
      </c>
      <c r="T2994">
        <f t="shared" si="232"/>
        <v>0</v>
      </c>
      <c r="U2994">
        <f t="shared" si="233"/>
        <v>0</v>
      </c>
      <c r="V2994">
        <f t="shared" si="234"/>
        <v>0</v>
      </c>
    </row>
    <row r="2995" spans="1:22" x14ac:dyDescent="0.25">
      <c r="A2995">
        <v>2992</v>
      </c>
      <c r="B2995" t="s">
        <v>26</v>
      </c>
      <c r="C2995" t="s">
        <v>1218</v>
      </c>
      <c r="D2995" s="4">
        <v>45340</v>
      </c>
      <c r="E2995" t="s">
        <v>2275</v>
      </c>
      <c r="F2995" t="s">
        <v>75</v>
      </c>
      <c r="I2995" s="6"/>
      <c r="J2995" s="6"/>
      <c r="K2995" s="6"/>
      <c r="L2995" s="6"/>
      <c r="M2995" s="6"/>
      <c r="N2995" s="6"/>
      <c r="O2995" s="6"/>
      <c r="P2995" s="6"/>
      <c r="Q2995">
        <v>0</v>
      </c>
      <c r="R2995">
        <f t="shared" si="230"/>
        <v>0</v>
      </c>
      <c r="S2995">
        <f t="shared" si="231"/>
        <v>0</v>
      </c>
      <c r="T2995">
        <f t="shared" si="232"/>
        <v>0</v>
      </c>
      <c r="U2995">
        <f t="shared" si="233"/>
        <v>0</v>
      </c>
      <c r="V2995">
        <f t="shared" si="234"/>
        <v>0</v>
      </c>
    </row>
    <row r="2996" spans="1:22" x14ac:dyDescent="0.25">
      <c r="A2996">
        <v>2993</v>
      </c>
      <c r="B2996" t="s">
        <v>26</v>
      </c>
      <c r="C2996" t="s">
        <v>1218</v>
      </c>
      <c r="D2996" s="4">
        <v>45340</v>
      </c>
      <c r="E2996" t="s">
        <v>1282</v>
      </c>
      <c r="F2996" t="s">
        <v>75</v>
      </c>
      <c r="I2996" s="6">
        <v>1</v>
      </c>
      <c r="J2996" s="6">
        <v>0</v>
      </c>
      <c r="K2996" s="6">
        <v>0</v>
      </c>
      <c r="L2996" s="6">
        <v>1</v>
      </c>
      <c r="M2996" s="6">
        <v>0</v>
      </c>
      <c r="N2996" s="6">
        <v>0</v>
      </c>
      <c r="O2996" s="6">
        <v>0</v>
      </c>
      <c r="P2996" s="6">
        <v>0</v>
      </c>
      <c r="Q2996">
        <v>1</v>
      </c>
      <c r="R2996">
        <f t="shared" si="230"/>
        <v>0</v>
      </c>
      <c r="S2996">
        <f t="shared" si="231"/>
        <v>1</v>
      </c>
      <c r="T2996">
        <f t="shared" si="232"/>
        <v>2</v>
      </c>
      <c r="U2996">
        <f t="shared" si="233"/>
        <v>1</v>
      </c>
      <c r="V2996">
        <f t="shared" si="234"/>
        <v>0</v>
      </c>
    </row>
    <row r="2997" spans="1:22" x14ac:dyDescent="0.25">
      <c r="A2997">
        <v>2994</v>
      </c>
      <c r="B2997" t="s">
        <v>26</v>
      </c>
      <c r="C2997" t="s">
        <v>1218</v>
      </c>
      <c r="D2997" s="4">
        <v>45341</v>
      </c>
      <c r="E2997" t="s">
        <v>1458</v>
      </c>
      <c r="F2997" t="s">
        <v>75</v>
      </c>
      <c r="I2997" s="6"/>
      <c r="J2997" s="6"/>
      <c r="K2997" s="6"/>
      <c r="L2997" s="6"/>
      <c r="M2997" s="6"/>
      <c r="N2997" s="6"/>
      <c r="O2997" s="6"/>
      <c r="P2997" s="6"/>
      <c r="Q2997">
        <v>0</v>
      </c>
      <c r="R2997">
        <f t="shared" si="230"/>
        <v>0</v>
      </c>
      <c r="S2997">
        <f t="shared" si="231"/>
        <v>0</v>
      </c>
      <c r="T2997">
        <f t="shared" si="232"/>
        <v>0</v>
      </c>
      <c r="U2997">
        <f t="shared" si="233"/>
        <v>0</v>
      </c>
      <c r="V2997">
        <f t="shared" si="234"/>
        <v>0</v>
      </c>
    </row>
    <row r="2998" spans="1:22" x14ac:dyDescent="0.25">
      <c r="A2998">
        <v>2995</v>
      </c>
      <c r="B2998" t="s">
        <v>26</v>
      </c>
      <c r="C2998" t="s">
        <v>1218</v>
      </c>
      <c r="D2998" s="4">
        <v>45341</v>
      </c>
      <c r="E2998" t="s">
        <v>2274</v>
      </c>
      <c r="F2998" t="s">
        <v>75</v>
      </c>
      <c r="I2998" s="6"/>
      <c r="J2998" s="6"/>
      <c r="K2998" s="6"/>
      <c r="L2998" s="6"/>
      <c r="M2998" s="6"/>
      <c r="N2998" s="6"/>
      <c r="O2998" s="6"/>
      <c r="P2998" s="6"/>
      <c r="Q2998">
        <v>0</v>
      </c>
      <c r="R2998">
        <f t="shared" si="230"/>
        <v>0</v>
      </c>
      <c r="S2998">
        <f t="shared" si="231"/>
        <v>0</v>
      </c>
      <c r="T2998">
        <f t="shared" si="232"/>
        <v>0</v>
      </c>
      <c r="U2998">
        <f t="shared" si="233"/>
        <v>0</v>
      </c>
      <c r="V2998">
        <f t="shared" si="234"/>
        <v>0</v>
      </c>
    </row>
    <row r="2999" spans="1:22" x14ac:dyDescent="0.25">
      <c r="A2999">
        <v>2996</v>
      </c>
      <c r="B2999" t="s">
        <v>26</v>
      </c>
      <c r="C2999" t="s">
        <v>1218</v>
      </c>
      <c r="D2999" s="4">
        <v>45341</v>
      </c>
      <c r="E2999" t="s">
        <v>1508</v>
      </c>
      <c r="F2999" t="s">
        <v>75</v>
      </c>
      <c r="I2999" s="6"/>
      <c r="J2999" s="6"/>
      <c r="K2999" s="6"/>
      <c r="L2999" s="6"/>
      <c r="M2999" s="6"/>
      <c r="N2999" s="6"/>
      <c r="O2999" s="6"/>
      <c r="P2999" s="6"/>
      <c r="Q2999">
        <v>0</v>
      </c>
      <c r="R2999">
        <f t="shared" si="230"/>
        <v>0</v>
      </c>
      <c r="S2999">
        <f t="shared" si="231"/>
        <v>0</v>
      </c>
      <c r="T2999">
        <f t="shared" si="232"/>
        <v>0</v>
      </c>
      <c r="U2999">
        <f t="shared" si="233"/>
        <v>0</v>
      </c>
      <c r="V2999">
        <f t="shared" si="234"/>
        <v>0</v>
      </c>
    </row>
    <row r="3000" spans="1:22" x14ac:dyDescent="0.25">
      <c r="A3000">
        <v>2997</v>
      </c>
      <c r="B3000" t="s">
        <v>26</v>
      </c>
      <c r="C3000" t="s">
        <v>1218</v>
      </c>
      <c r="D3000" s="4">
        <v>45341</v>
      </c>
      <c r="E3000" t="s">
        <v>1459</v>
      </c>
      <c r="F3000" t="s">
        <v>75</v>
      </c>
      <c r="I3000" s="6"/>
      <c r="J3000" s="6"/>
      <c r="K3000" s="6"/>
      <c r="L3000" s="6"/>
      <c r="M3000" s="6"/>
      <c r="N3000" s="6"/>
      <c r="O3000" s="6"/>
      <c r="P3000" s="6"/>
      <c r="Q3000">
        <v>0</v>
      </c>
      <c r="R3000">
        <f t="shared" si="230"/>
        <v>0</v>
      </c>
      <c r="S3000">
        <f t="shared" si="231"/>
        <v>0</v>
      </c>
      <c r="T3000">
        <f t="shared" si="232"/>
        <v>0</v>
      </c>
      <c r="U3000">
        <f t="shared" si="233"/>
        <v>0</v>
      </c>
      <c r="V3000">
        <f t="shared" si="234"/>
        <v>0</v>
      </c>
    </row>
    <row r="3001" spans="1:22" x14ac:dyDescent="0.25">
      <c r="A3001">
        <v>2998</v>
      </c>
      <c r="B3001" t="s">
        <v>26</v>
      </c>
      <c r="C3001" t="s">
        <v>1218</v>
      </c>
      <c r="D3001" s="4">
        <v>45341</v>
      </c>
      <c r="E3001" t="s">
        <v>2273</v>
      </c>
      <c r="F3001" t="s">
        <v>75</v>
      </c>
      <c r="I3001" s="6"/>
      <c r="J3001" s="6"/>
      <c r="K3001" s="6"/>
      <c r="L3001" s="6"/>
      <c r="M3001" s="6"/>
      <c r="N3001" s="6"/>
      <c r="O3001" s="6"/>
      <c r="P3001" s="6"/>
      <c r="Q3001">
        <v>0</v>
      </c>
      <c r="R3001">
        <f t="shared" si="230"/>
        <v>0</v>
      </c>
      <c r="S3001">
        <f t="shared" si="231"/>
        <v>0</v>
      </c>
      <c r="T3001">
        <f t="shared" si="232"/>
        <v>0</v>
      </c>
      <c r="U3001">
        <f t="shared" si="233"/>
        <v>0</v>
      </c>
      <c r="V3001">
        <f t="shared" si="234"/>
        <v>0</v>
      </c>
    </row>
    <row r="3002" spans="1:22" x14ac:dyDescent="0.25">
      <c r="A3002">
        <v>2999</v>
      </c>
      <c r="B3002" t="s">
        <v>26</v>
      </c>
      <c r="C3002" t="s">
        <v>1218</v>
      </c>
      <c r="D3002" s="4">
        <v>45341</v>
      </c>
      <c r="E3002" t="s">
        <v>2653</v>
      </c>
      <c r="F3002" t="s">
        <v>75</v>
      </c>
      <c r="I3002" s="6"/>
      <c r="J3002" s="6"/>
      <c r="K3002" s="6"/>
      <c r="L3002" s="6"/>
      <c r="M3002" s="6"/>
      <c r="N3002" s="6"/>
      <c r="O3002" s="6"/>
      <c r="P3002" s="6"/>
      <c r="Q3002">
        <v>0</v>
      </c>
      <c r="R3002">
        <f t="shared" si="230"/>
        <v>0</v>
      </c>
      <c r="S3002">
        <f t="shared" si="231"/>
        <v>0</v>
      </c>
      <c r="T3002">
        <f t="shared" si="232"/>
        <v>0</v>
      </c>
      <c r="U3002">
        <f t="shared" si="233"/>
        <v>0</v>
      </c>
      <c r="V3002">
        <f t="shared" si="234"/>
        <v>0</v>
      </c>
    </row>
    <row r="3003" spans="1:22" x14ac:dyDescent="0.25">
      <c r="A3003">
        <v>3000</v>
      </c>
      <c r="B3003" t="s">
        <v>26</v>
      </c>
      <c r="C3003" t="s">
        <v>1218</v>
      </c>
      <c r="D3003" s="4">
        <v>45342</v>
      </c>
      <c r="E3003" t="s">
        <v>1509</v>
      </c>
      <c r="F3003" t="s">
        <v>75</v>
      </c>
      <c r="I3003" s="6"/>
      <c r="J3003" s="6"/>
      <c r="K3003" s="6"/>
      <c r="L3003" s="6"/>
      <c r="M3003" s="6"/>
      <c r="N3003" s="6"/>
      <c r="O3003" s="6"/>
      <c r="P3003" s="6"/>
      <c r="Q3003">
        <v>0</v>
      </c>
      <c r="R3003">
        <f t="shared" si="230"/>
        <v>0</v>
      </c>
      <c r="S3003">
        <f t="shared" si="231"/>
        <v>0</v>
      </c>
      <c r="T3003">
        <f t="shared" si="232"/>
        <v>0</v>
      </c>
      <c r="U3003">
        <f t="shared" si="233"/>
        <v>0</v>
      </c>
      <c r="V3003">
        <f t="shared" si="234"/>
        <v>0</v>
      </c>
    </row>
    <row r="3004" spans="1:22" x14ac:dyDescent="0.25">
      <c r="A3004">
        <v>3001</v>
      </c>
      <c r="B3004" t="s">
        <v>26</v>
      </c>
      <c r="C3004" t="s">
        <v>1218</v>
      </c>
      <c r="D3004" s="4">
        <v>45342</v>
      </c>
      <c r="E3004" t="s">
        <v>1283</v>
      </c>
      <c r="F3004" t="s">
        <v>75</v>
      </c>
      <c r="I3004" s="6">
        <v>1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>
        <v>1</v>
      </c>
      <c r="R3004">
        <f t="shared" si="230"/>
        <v>0</v>
      </c>
      <c r="S3004">
        <f t="shared" si="231"/>
        <v>1</v>
      </c>
      <c r="T3004">
        <f t="shared" si="232"/>
        <v>1</v>
      </c>
      <c r="U3004">
        <f t="shared" si="233"/>
        <v>1</v>
      </c>
      <c r="V3004">
        <f t="shared" si="234"/>
        <v>0</v>
      </c>
    </row>
    <row r="3005" spans="1:22" x14ac:dyDescent="0.25">
      <c r="A3005">
        <v>3002</v>
      </c>
      <c r="B3005" t="s">
        <v>26</v>
      </c>
      <c r="C3005" t="s">
        <v>1218</v>
      </c>
      <c r="D3005" s="4">
        <v>45342</v>
      </c>
      <c r="E3005" t="s">
        <v>2652</v>
      </c>
      <c r="F3005" t="s">
        <v>75</v>
      </c>
      <c r="I3005" s="6"/>
      <c r="J3005" s="6"/>
      <c r="K3005" s="6"/>
      <c r="L3005" s="6"/>
      <c r="M3005" s="6"/>
      <c r="N3005" s="6"/>
      <c r="O3005" s="6"/>
      <c r="P3005" s="6"/>
      <c r="Q3005">
        <v>0</v>
      </c>
      <c r="R3005">
        <f t="shared" si="230"/>
        <v>0</v>
      </c>
      <c r="S3005">
        <f t="shared" si="231"/>
        <v>0</v>
      </c>
      <c r="T3005">
        <f t="shared" si="232"/>
        <v>0</v>
      </c>
      <c r="U3005">
        <f t="shared" si="233"/>
        <v>0</v>
      </c>
      <c r="V3005">
        <f t="shared" si="234"/>
        <v>0</v>
      </c>
    </row>
    <row r="3006" spans="1:22" x14ac:dyDescent="0.25">
      <c r="A3006">
        <v>3003</v>
      </c>
      <c r="B3006" t="s">
        <v>26</v>
      </c>
      <c r="C3006" t="s">
        <v>1218</v>
      </c>
      <c r="D3006" s="4">
        <v>45342</v>
      </c>
      <c r="E3006" t="s">
        <v>1460</v>
      </c>
      <c r="F3006" t="s">
        <v>75</v>
      </c>
      <c r="I3006" s="6"/>
      <c r="J3006" s="6"/>
      <c r="K3006" s="6"/>
      <c r="L3006" s="6"/>
      <c r="M3006" s="6"/>
      <c r="N3006" s="6"/>
      <c r="O3006" s="6"/>
      <c r="P3006" s="6"/>
      <c r="Q3006">
        <v>0</v>
      </c>
      <c r="R3006">
        <f t="shared" si="230"/>
        <v>0</v>
      </c>
      <c r="S3006">
        <f t="shared" si="231"/>
        <v>0</v>
      </c>
      <c r="T3006">
        <f t="shared" si="232"/>
        <v>0</v>
      </c>
      <c r="U3006">
        <f t="shared" si="233"/>
        <v>0</v>
      </c>
      <c r="V3006">
        <f t="shared" si="234"/>
        <v>0</v>
      </c>
    </row>
    <row r="3007" spans="1:22" x14ac:dyDescent="0.25">
      <c r="A3007">
        <v>3004</v>
      </c>
      <c r="B3007" t="s">
        <v>26</v>
      </c>
      <c r="C3007" t="s">
        <v>1218</v>
      </c>
      <c r="D3007" s="4">
        <v>45342</v>
      </c>
      <c r="E3007" t="s">
        <v>1114</v>
      </c>
      <c r="F3007" t="s">
        <v>75</v>
      </c>
      <c r="I3007" s="6"/>
      <c r="J3007" s="6"/>
      <c r="K3007" s="6"/>
      <c r="L3007" s="6"/>
      <c r="M3007" s="6"/>
      <c r="N3007" s="6"/>
      <c r="O3007" s="6"/>
      <c r="P3007" s="6"/>
      <c r="Q3007">
        <v>0</v>
      </c>
      <c r="R3007">
        <f t="shared" si="230"/>
        <v>0</v>
      </c>
      <c r="S3007">
        <f t="shared" si="231"/>
        <v>0</v>
      </c>
      <c r="T3007">
        <f t="shared" si="232"/>
        <v>0</v>
      </c>
      <c r="U3007">
        <f t="shared" si="233"/>
        <v>0</v>
      </c>
      <c r="V3007">
        <f t="shared" si="234"/>
        <v>0</v>
      </c>
    </row>
    <row r="3008" spans="1:22" x14ac:dyDescent="0.25">
      <c r="A3008">
        <v>3005</v>
      </c>
      <c r="B3008" t="s">
        <v>26</v>
      </c>
      <c r="C3008" t="s">
        <v>1218</v>
      </c>
      <c r="D3008" s="4">
        <v>45342</v>
      </c>
      <c r="E3008" t="s">
        <v>1115</v>
      </c>
      <c r="F3008" t="s">
        <v>75</v>
      </c>
      <c r="I3008" s="6">
        <v>1</v>
      </c>
      <c r="J3008" s="6">
        <v>0</v>
      </c>
      <c r="K3008" s="6">
        <v>0</v>
      </c>
      <c r="L3008" s="6">
        <v>1</v>
      </c>
      <c r="M3008" s="6">
        <v>1</v>
      </c>
      <c r="N3008" s="6">
        <v>0</v>
      </c>
      <c r="O3008" s="6">
        <v>0</v>
      </c>
      <c r="P3008" s="6">
        <v>0</v>
      </c>
      <c r="Q3008">
        <v>1</v>
      </c>
      <c r="R3008">
        <f t="shared" si="230"/>
        <v>0</v>
      </c>
      <c r="S3008">
        <f t="shared" si="231"/>
        <v>1</v>
      </c>
      <c r="T3008">
        <f t="shared" si="232"/>
        <v>3</v>
      </c>
      <c r="U3008">
        <f t="shared" si="233"/>
        <v>1</v>
      </c>
      <c r="V3008">
        <f t="shared" si="234"/>
        <v>0</v>
      </c>
    </row>
    <row r="3009" spans="1:22" x14ac:dyDescent="0.25">
      <c r="A3009">
        <v>3006</v>
      </c>
      <c r="B3009" t="s">
        <v>26</v>
      </c>
      <c r="C3009" t="s">
        <v>1218</v>
      </c>
      <c r="D3009" s="4">
        <v>45342</v>
      </c>
      <c r="E3009" t="s">
        <v>1510</v>
      </c>
      <c r="F3009" t="s">
        <v>75</v>
      </c>
      <c r="I3009" s="6"/>
      <c r="J3009" s="6"/>
      <c r="K3009" s="6"/>
      <c r="L3009" s="6"/>
      <c r="M3009" s="6"/>
      <c r="N3009" s="6"/>
      <c r="O3009" s="6"/>
      <c r="P3009" s="6"/>
      <c r="Q3009">
        <v>0</v>
      </c>
      <c r="R3009">
        <f t="shared" si="230"/>
        <v>0</v>
      </c>
      <c r="S3009">
        <f t="shared" si="231"/>
        <v>0</v>
      </c>
      <c r="T3009">
        <f t="shared" si="232"/>
        <v>0</v>
      </c>
      <c r="U3009">
        <f t="shared" si="233"/>
        <v>0</v>
      </c>
      <c r="V3009">
        <f t="shared" si="234"/>
        <v>0</v>
      </c>
    </row>
    <row r="3010" spans="1:22" x14ac:dyDescent="0.25">
      <c r="A3010">
        <v>3007</v>
      </c>
      <c r="B3010" t="s">
        <v>26</v>
      </c>
      <c r="C3010" t="s">
        <v>1218</v>
      </c>
      <c r="D3010" s="4">
        <v>45342</v>
      </c>
      <c r="E3010" t="s">
        <v>1116</v>
      </c>
      <c r="F3010" t="s">
        <v>75</v>
      </c>
      <c r="I3010" s="6"/>
      <c r="J3010" s="6"/>
      <c r="K3010" s="6"/>
      <c r="L3010" s="6"/>
      <c r="M3010" s="6"/>
      <c r="N3010" s="6"/>
      <c r="O3010" s="6"/>
      <c r="P3010" s="6"/>
      <c r="Q3010">
        <v>0</v>
      </c>
      <c r="R3010">
        <f t="shared" si="230"/>
        <v>0</v>
      </c>
      <c r="S3010">
        <f t="shared" si="231"/>
        <v>0</v>
      </c>
      <c r="T3010">
        <f t="shared" si="232"/>
        <v>0</v>
      </c>
      <c r="U3010">
        <f t="shared" si="233"/>
        <v>0</v>
      </c>
      <c r="V3010">
        <f t="shared" si="234"/>
        <v>0</v>
      </c>
    </row>
    <row r="3011" spans="1:22" x14ac:dyDescent="0.25">
      <c r="A3011">
        <v>3008</v>
      </c>
      <c r="B3011" t="s">
        <v>26</v>
      </c>
      <c r="C3011" t="s">
        <v>1218</v>
      </c>
      <c r="D3011" s="4">
        <v>45342</v>
      </c>
      <c r="E3011" t="s">
        <v>2272</v>
      </c>
      <c r="F3011" t="s">
        <v>75</v>
      </c>
      <c r="I3011" s="6"/>
      <c r="J3011" s="6"/>
      <c r="K3011" s="6"/>
      <c r="L3011" s="6"/>
      <c r="M3011" s="6"/>
      <c r="N3011" s="6"/>
      <c r="O3011" s="6"/>
      <c r="P3011" s="6"/>
      <c r="Q3011">
        <v>0</v>
      </c>
      <c r="R3011">
        <f t="shared" ref="R3011:R3074" si="235">IF(AND(Q3011=1,F3011="ai_full"),1,0)</f>
        <v>0</v>
      </c>
      <c r="S3011">
        <f t="shared" ref="S3011:S3074" si="236">IF(AND(Q3011=1,F3011="conventional"),1,0)</f>
        <v>0</v>
      </c>
      <c r="T3011">
        <f t="shared" ref="T3011:T3074" si="237">SUM(I3011:P3011)</f>
        <v>0</v>
      </c>
      <c r="U3011">
        <f t="shared" ref="U3011:U3074" si="238">IF(T3011&gt;=1,1,0)</f>
        <v>0</v>
      </c>
      <c r="V3011">
        <f t="shared" ref="V3011:V3074" si="239">IF(F3011="ai_full",1,0)</f>
        <v>0</v>
      </c>
    </row>
    <row r="3012" spans="1:22" x14ac:dyDescent="0.25">
      <c r="A3012">
        <v>3009</v>
      </c>
      <c r="B3012" t="s">
        <v>26</v>
      </c>
      <c r="C3012" t="s">
        <v>1218</v>
      </c>
      <c r="D3012" s="4">
        <v>45342</v>
      </c>
      <c r="E3012" t="s">
        <v>2651</v>
      </c>
      <c r="F3012" t="s">
        <v>75</v>
      </c>
      <c r="I3012" s="6"/>
      <c r="J3012" s="6"/>
      <c r="K3012" s="6"/>
      <c r="L3012" s="6"/>
      <c r="M3012" s="6"/>
      <c r="N3012" s="6"/>
      <c r="O3012" s="6"/>
      <c r="P3012" s="6"/>
      <c r="Q3012">
        <v>0</v>
      </c>
      <c r="R3012">
        <f t="shared" si="235"/>
        <v>0</v>
      </c>
      <c r="S3012">
        <f t="shared" si="236"/>
        <v>0</v>
      </c>
      <c r="T3012">
        <f t="shared" si="237"/>
        <v>0</v>
      </c>
      <c r="U3012">
        <f t="shared" si="238"/>
        <v>0</v>
      </c>
      <c r="V3012">
        <f t="shared" si="239"/>
        <v>0</v>
      </c>
    </row>
    <row r="3013" spans="1:22" x14ac:dyDescent="0.25">
      <c r="A3013">
        <v>3010</v>
      </c>
      <c r="B3013" t="s">
        <v>26</v>
      </c>
      <c r="C3013" t="s">
        <v>1218</v>
      </c>
      <c r="D3013" s="4">
        <v>45342</v>
      </c>
      <c r="E3013" t="s">
        <v>2650</v>
      </c>
      <c r="F3013" t="s">
        <v>75</v>
      </c>
      <c r="I3013" s="6"/>
      <c r="J3013" s="6"/>
      <c r="K3013" s="6"/>
      <c r="L3013" s="6"/>
      <c r="M3013" s="6"/>
      <c r="N3013" s="6"/>
      <c r="O3013" s="6"/>
      <c r="P3013" s="6"/>
      <c r="Q3013">
        <v>0</v>
      </c>
      <c r="R3013">
        <f t="shared" si="235"/>
        <v>0</v>
      </c>
      <c r="S3013">
        <f t="shared" si="236"/>
        <v>0</v>
      </c>
      <c r="T3013">
        <f t="shared" si="237"/>
        <v>0</v>
      </c>
      <c r="U3013">
        <f t="shared" si="238"/>
        <v>0</v>
      </c>
      <c r="V3013">
        <f t="shared" si="239"/>
        <v>0</v>
      </c>
    </row>
    <row r="3014" spans="1:22" x14ac:dyDescent="0.25">
      <c r="A3014">
        <v>3011</v>
      </c>
      <c r="B3014" t="s">
        <v>26</v>
      </c>
      <c r="C3014" t="s">
        <v>1218</v>
      </c>
      <c r="D3014" s="4">
        <v>45343</v>
      </c>
      <c r="E3014" t="s">
        <v>1117</v>
      </c>
      <c r="F3014" t="s">
        <v>75</v>
      </c>
      <c r="I3014" s="6"/>
      <c r="J3014" s="6"/>
      <c r="K3014" s="6"/>
      <c r="L3014" s="6"/>
      <c r="M3014" s="6"/>
      <c r="N3014" s="6"/>
      <c r="O3014" s="6"/>
      <c r="P3014" s="6"/>
      <c r="Q3014">
        <v>0</v>
      </c>
      <c r="R3014">
        <f t="shared" si="235"/>
        <v>0</v>
      </c>
      <c r="S3014">
        <f t="shared" si="236"/>
        <v>0</v>
      </c>
      <c r="T3014">
        <f t="shared" si="237"/>
        <v>0</v>
      </c>
      <c r="U3014">
        <f t="shared" si="238"/>
        <v>0</v>
      </c>
      <c r="V3014">
        <f t="shared" si="239"/>
        <v>0</v>
      </c>
    </row>
    <row r="3015" spans="1:22" x14ac:dyDescent="0.25">
      <c r="A3015">
        <v>3012</v>
      </c>
      <c r="B3015" t="s">
        <v>26</v>
      </c>
      <c r="C3015" t="s">
        <v>1218</v>
      </c>
      <c r="D3015" s="4">
        <v>45343</v>
      </c>
      <c r="E3015" t="s">
        <v>2649</v>
      </c>
      <c r="F3015" t="s">
        <v>75</v>
      </c>
      <c r="I3015" s="6"/>
      <c r="J3015" s="6"/>
      <c r="K3015" s="6"/>
      <c r="L3015" s="6"/>
      <c r="M3015" s="6"/>
      <c r="N3015" s="6"/>
      <c r="O3015" s="6"/>
      <c r="P3015" s="6"/>
      <c r="Q3015">
        <v>0</v>
      </c>
      <c r="R3015">
        <f t="shared" si="235"/>
        <v>0</v>
      </c>
      <c r="S3015">
        <f t="shared" si="236"/>
        <v>0</v>
      </c>
      <c r="T3015">
        <f t="shared" si="237"/>
        <v>0</v>
      </c>
      <c r="U3015">
        <f t="shared" si="238"/>
        <v>0</v>
      </c>
      <c r="V3015">
        <f t="shared" si="239"/>
        <v>0</v>
      </c>
    </row>
    <row r="3016" spans="1:22" x14ac:dyDescent="0.25">
      <c r="A3016">
        <v>3013</v>
      </c>
      <c r="B3016" t="s">
        <v>26</v>
      </c>
      <c r="C3016" t="s">
        <v>1218</v>
      </c>
      <c r="D3016" s="4">
        <v>45343</v>
      </c>
      <c r="E3016" t="s">
        <v>1284</v>
      </c>
      <c r="F3016" t="s">
        <v>75</v>
      </c>
      <c r="H3016" t="s">
        <v>1277</v>
      </c>
      <c r="I3016" s="6">
        <v>0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>
        <v>1</v>
      </c>
      <c r="R3016">
        <f t="shared" si="235"/>
        <v>0</v>
      </c>
      <c r="S3016">
        <f t="shared" si="236"/>
        <v>1</v>
      </c>
      <c r="T3016">
        <f t="shared" si="237"/>
        <v>0</v>
      </c>
      <c r="U3016">
        <f t="shared" si="238"/>
        <v>0</v>
      </c>
      <c r="V3016">
        <f t="shared" si="239"/>
        <v>0</v>
      </c>
    </row>
    <row r="3017" spans="1:22" x14ac:dyDescent="0.25">
      <c r="A3017">
        <v>3014</v>
      </c>
      <c r="B3017" t="s">
        <v>26</v>
      </c>
      <c r="C3017" t="s">
        <v>1218</v>
      </c>
      <c r="D3017" s="4">
        <v>45343</v>
      </c>
      <c r="E3017" t="s">
        <v>1461</v>
      </c>
      <c r="F3017" t="s">
        <v>75</v>
      </c>
      <c r="I3017" s="6"/>
      <c r="J3017" s="6"/>
      <c r="K3017" s="6"/>
      <c r="L3017" s="6"/>
      <c r="M3017" s="6"/>
      <c r="N3017" s="6"/>
      <c r="O3017" s="6"/>
      <c r="P3017" s="6"/>
      <c r="Q3017">
        <v>0</v>
      </c>
      <c r="R3017">
        <f t="shared" si="235"/>
        <v>0</v>
      </c>
      <c r="S3017">
        <f t="shared" si="236"/>
        <v>0</v>
      </c>
      <c r="T3017">
        <f t="shared" si="237"/>
        <v>0</v>
      </c>
      <c r="U3017">
        <f t="shared" si="238"/>
        <v>0</v>
      </c>
      <c r="V3017">
        <f t="shared" si="239"/>
        <v>0</v>
      </c>
    </row>
    <row r="3018" spans="1:22" x14ac:dyDescent="0.25">
      <c r="A3018">
        <v>3015</v>
      </c>
      <c r="B3018" t="s">
        <v>26</v>
      </c>
      <c r="C3018" t="s">
        <v>1218</v>
      </c>
      <c r="D3018" s="4">
        <v>45343</v>
      </c>
      <c r="E3018" t="s">
        <v>2271</v>
      </c>
      <c r="F3018" t="s">
        <v>75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6">
        <v>0</v>
      </c>
      <c r="O3018" s="6">
        <v>0</v>
      </c>
      <c r="P3018" s="6">
        <v>0</v>
      </c>
      <c r="Q3018">
        <v>1</v>
      </c>
      <c r="R3018">
        <f t="shared" si="235"/>
        <v>0</v>
      </c>
      <c r="S3018">
        <f t="shared" si="236"/>
        <v>1</v>
      </c>
      <c r="T3018">
        <f t="shared" si="237"/>
        <v>0</v>
      </c>
      <c r="U3018">
        <f t="shared" si="238"/>
        <v>0</v>
      </c>
      <c r="V3018">
        <f t="shared" si="239"/>
        <v>0</v>
      </c>
    </row>
    <row r="3019" spans="1:22" x14ac:dyDescent="0.25">
      <c r="A3019">
        <v>3016</v>
      </c>
      <c r="B3019" t="s">
        <v>26</v>
      </c>
      <c r="C3019" t="s">
        <v>1218</v>
      </c>
      <c r="D3019" s="4">
        <v>45343</v>
      </c>
      <c r="E3019" t="s">
        <v>2270</v>
      </c>
      <c r="F3019" t="s">
        <v>75</v>
      </c>
      <c r="I3019" s="6"/>
      <c r="J3019" s="6"/>
      <c r="K3019" s="6"/>
      <c r="L3019" s="6"/>
      <c r="M3019" s="6"/>
      <c r="N3019" s="6"/>
      <c r="O3019" s="6"/>
      <c r="P3019" s="6"/>
      <c r="Q3019">
        <v>0</v>
      </c>
      <c r="R3019">
        <f t="shared" si="235"/>
        <v>0</v>
      </c>
      <c r="S3019">
        <f t="shared" si="236"/>
        <v>0</v>
      </c>
      <c r="T3019">
        <f t="shared" si="237"/>
        <v>0</v>
      </c>
      <c r="U3019">
        <f t="shared" si="238"/>
        <v>0</v>
      </c>
      <c r="V3019">
        <f t="shared" si="239"/>
        <v>0</v>
      </c>
    </row>
    <row r="3020" spans="1:22" x14ac:dyDescent="0.25">
      <c r="A3020">
        <v>3017</v>
      </c>
      <c r="B3020" t="s">
        <v>26</v>
      </c>
      <c r="C3020" t="s">
        <v>1218</v>
      </c>
      <c r="D3020" s="4">
        <v>45343</v>
      </c>
      <c r="E3020" t="s">
        <v>2269</v>
      </c>
      <c r="F3020" t="s">
        <v>75</v>
      </c>
      <c r="I3020" s="6"/>
      <c r="J3020" s="6"/>
      <c r="K3020" s="6"/>
      <c r="L3020" s="6"/>
      <c r="M3020" s="6"/>
      <c r="N3020" s="6"/>
      <c r="O3020" s="6"/>
      <c r="P3020" s="6"/>
      <c r="Q3020">
        <v>0</v>
      </c>
      <c r="R3020">
        <f t="shared" si="235"/>
        <v>0</v>
      </c>
      <c r="S3020">
        <f t="shared" si="236"/>
        <v>0</v>
      </c>
      <c r="T3020">
        <f t="shared" si="237"/>
        <v>0</v>
      </c>
      <c r="U3020">
        <f t="shared" si="238"/>
        <v>0</v>
      </c>
      <c r="V3020">
        <f t="shared" si="239"/>
        <v>0</v>
      </c>
    </row>
    <row r="3021" spans="1:22" x14ac:dyDescent="0.25">
      <c r="A3021">
        <v>3018</v>
      </c>
      <c r="B3021" t="s">
        <v>26</v>
      </c>
      <c r="C3021" t="s">
        <v>1218</v>
      </c>
      <c r="D3021" s="4">
        <v>45343</v>
      </c>
      <c r="E3021" t="s">
        <v>2268</v>
      </c>
      <c r="F3021" t="s">
        <v>75</v>
      </c>
      <c r="I3021" s="6"/>
      <c r="J3021" s="6"/>
      <c r="K3021" s="6"/>
      <c r="L3021" s="6"/>
      <c r="M3021" s="6"/>
      <c r="N3021" s="6"/>
      <c r="O3021" s="6"/>
      <c r="P3021" s="6"/>
      <c r="Q3021">
        <v>0</v>
      </c>
      <c r="R3021">
        <f t="shared" si="235"/>
        <v>0</v>
      </c>
      <c r="S3021">
        <f t="shared" si="236"/>
        <v>0</v>
      </c>
      <c r="T3021">
        <f t="shared" si="237"/>
        <v>0</v>
      </c>
      <c r="U3021">
        <f t="shared" si="238"/>
        <v>0</v>
      </c>
      <c r="V3021">
        <f t="shared" si="239"/>
        <v>0</v>
      </c>
    </row>
    <row r="3022" spans="1:22" x14ac:dyDescent="0.25">
      <c r="A3022">
        <v>3019</v>
      </c>
      <c r="B3022" t="s">
        <v>26</v>
      </c>
      <c r="C3022" t="s">
        <v>1218</v>
      </c>
      <c r="D3022" s="4">
        <v>45343</v>
      </c>
      <c r="E3022" t="s">
        <v>2648</v>
      </c>
      <c r="F3022" t="s">
        <v>75</v>
      </c>
      <c r="I3022" s="6"/>
      <c r="J3022" s="6"/>
      <c r="K3022" s="6"/>
      <c r="L3022" s="6"/>
      <c r="M3022" s="6"/>
      <c r="N3022" s="6"/>
      <c r="O3022" s="6"/>
      <c r="P3022" s="6"/>
      <c r="Q3022">
        <v>0</v>
      </c>
      <c r="R3022">
        <f t="shared" si="235"/>
        <v>0</v>
      </c>
      <c r="S3022">
        <f t="shared" si="236"/>
        <v>0</v>
      </c>
      <c r="T3022">
        <f t="shared" si="237"/>
        <v>0</v>
      </c>
      <c r="U3022">
        <f t="shared" si="238"/>
        <v>0</v>
      </c>
      <c r="V3022">
        <f t="shared" si="239"/>
        <v>0</v>
      </c>
    </row>
    <row r="3023" spans="1:22" x14ac:dyDescent="0.25">
      <c r="A3023">
        <v>3020</v>
      </c>
      <c r="B3023" t="s">
        <v>26</v>
      </c>
      <c r="C3023" t="s">
        <v>1218</v>
      </c>
      <c r="D3023" s="4">
        <v>45343</v>
      </c>
      <c r="E3023" t="s">
        <v>2647</v>
      </c>
      <c r="F3023" t="s">
        <v>75</v>
      </c>
      <c r="I3023" s="6"/>
      <c r="J3023" s="6"/>
      <c r="K3023" s="6"/>
      <c r="L3023" s="6"/>
      <c r="M3023" s="6"/>
      <c r="N3023" s="6"/>
      <c r="O3023" s="6"/>
      <c r="P3023" s="6"/>
      <c r="Q3023">
        <v>0</v>
      </c>
      <c r="R3023">
        <f t="shared" si="235"/>
        <v>0</v>
      </c>
      <c r="S3023">
        <f t="shared" si="236"/>
        <v>0</v>
      </c>
      <c r="T3023">
        <f t="shared" si="237"/>
        <v>0</v>
      </c>
      <c r="U3023">
        <f t="shared" si="238"/>
        <v>0</v>
      </c>
      <c r="V3023">
        <f t="shared" si="239"/>
        <v>0</v>
      </c>
    </row>
    <row r="3024" spans="1:22" x14ac:dyDescent="0.25">
      <c r="A3024">
        <v>3021</v>
      </c>
      <c r="B3024" t="s">
        <v>26</v>
      </c>
      <c r="C3024" t="s">
        <v>1218</v>
      </c>
      <c r="D3024" s="4">
        <v>45343</v>
      </c>
      <c r="E3024" t="s">
        <v>2646</v>
      </c>
      <c r="F3024" t="s">
        <v>75</v>
      </c>
      <c r="I3024" s="6">
        <v>1</v>
      </c>
      <c r="J3024" s="6">
        <v>0</v>
      </c>
      <c r="K3024" s="6">
        <v>0</v>
      </c>
      <c r="L3024" s="6">
        <v>1</v>
      </c>
      <c r="M3024" s="6">
        <v>0</v>
      </c>
      <c r="N3024" s="6">
        <v>0</v>
      </c>
      <c r="O3024" s="6">
        <v>0</v>
      </c>
      <c r="P3024" s="6">
        <v>0</v>
      </c>
      <c r="Q3024">
        <v>1</v>
      </c>
      <c r="R3024">
        <f t="shared" si="235"/>
        <v>0</v>
      </c>
      <c r="S3024">
        <f t="shared" si="236"/>
        <v>1</v>
      </c>
      <c r="T3024">
        <f t="shared" si="237"/>
        <v>2</v>
      </c>
      <c r="U3024">
        <f t="shared" si="238"/>
        <v>1</v>
      </c>
      <c r="V3024">
        <f t="shared" si="239"/>
        <v>0</v>
      </c>
    </row>
    <row r="3025" spans="1:22" x14ac:dyDescent="0.25">
      <c r="A3025">
        <v>3022</v>
      </c>
      <c r="B3025" t="s">
        <v>26</v>
      </c>
      <c r="C3025" t="s">
        <v>1218</v>
      </c>
      <c r="D3025" s="4">
        <v>45344</v>
      </c>
      <c r="E3025" t="s">
        <v>1511</v>
      </c>
      <c r="F3025" t="s">
        <v>75</v>
      </c>
      <c r="I3025" s="6"/>
      <c r="J3025" s="6"/>
      <c r="K3025" s="6"/>
      <c r="L3025" s="6"/>
      <c r="M3025" s="6"/>
      <c r="N3025" s="6"/>
      <c r="O3025" s="6"/>
      <c r="P3025" s="6"/>
      <c r="Q3025">
        <v>0</v>
      </c>
      <c r="R3025">
        <f t="shared" si="235"/>
        <v>0</v>
      </c>
      <c r="S3025">
        <f t="shared" si="236"/>
        <v>0</v>
      </c>
      <c r="T3025">
        <f t="shared" si="237"/>
        <v>0</v>
      </c>
      <c r="U3025">
        <f t="shared" si="238"/>
        <v>0</v>
      </c>
      <c r="V3025">
        <f t="shared" si="239"/>
        <v>0</v>
      </c>
    </row>
    <row r="3026" spans="1:22" x14ac:dyDescent="0.25">
      <c r="A3026">
        <v>3023</v>
      </c>
      <c r="B3026" t="s">
        <v>26</v>
      </c>
      <c r="C3026" t="s">
        <v>1218</v>
      </c>
      <c r="D3026" s="4">
        <v>45344</v>
      </c>
      <c r="E3026" t="s">
        <v>2645</v>
      </c>
      <c r="F3026" t="s">
        <v>75</v>
      </c>
      <c r="I3026" s="6"/>
      <c r="J3026" s="6"/>
      <c r="K3026" s="6"/>
      <c r="L3026" s="6"/>
      <c r="M3026" s="6"/>
      <c r="N3026" s="6"/>
      <c r="O3026" s="6"/>
      <c r="P3026" s="6"/>
      <c r="Q3026">
        <v>0</v>
      </c>
      <c r="R3026">
        <f t="shared" si="235"/>
        <v>0</v>
      </c>
      <c r="S3026">
        <f t="shared" si="236"/>
        <v>0</v>
      </c>
      <c r="T3026">
        <f t="shared" si="237"/>
        <v>0</v>
      </c>
      <c r="U3026">
        <f t="shared" si="238"/>
        <v>0</v>
      </c>
      <c r="V3026">
        <f t="shared" si="239"/>
        <v>0</v>
      </c>
    </row>
    <row r="3027" spans="1:22" x14ac:dyDescent="0.25">
      <c r="A3027">
        <v>3024</v>
      </c>
      <c r="B3027" t="s">
        <v>26</v>
      </c>
      <c r="C3027" t="s">
        <v>1218</v>
      </c>
      <c r="D3027" s="4">
        <v>45344</v>
      </c>
      <c r="E3027" t="s">
        <v>1048</v>
      </c>
      <c r="F3027" t="s">
        <v>75</v>
      </c>
      <c r="I3027" s="6"/>
      <c r="J3027" s="6"/>
      <c r="K3027" s="6"/>
      <c r="L3027" s="6"/>
      <c r="M3027" s="6"/>
      <c r="N3027" s="6"/>
      <c r="O3027" s="6"/>
      <c r="P3027" s="6"/>
      <c r="Q3027">
        <v>0</v>
      </c>
      <c r="R3027">
        <f t="shared" si="235"/>
        <v>0</v>
      </c>
      <c r="S3027">
        <f t="shared" si="236"/>
        <v>0</v>
      </c>
      <c r="T3027">
        <f t="shared" si="237"/>
        <v>0</v>
      </c>
      <c r="U3027">
        <f t="shared" si="238"/>
        <v>0</v>
      </c>
      <c r="V3027">
        <f t="shared" si="239"/>
        <v>0</v>
      </c>
    </row>
    <row r="3028" spans="1:22" x14ac:dyDescent="0.25">
      <c r="A3028">
        <v>3025</v>
      </c>
      <c r="B3028" t="s">
        <v>26</v>
      </c>
      <c r="C3028" t="s">
        <v>1218</v>
      </c>
      <c r="D3028" s="4">
        <v>45344</v>
      </c>
      <c r="E3028" t="s">
        <v>1285</v>
      </c>
      <c r="F3028" t="s">
        <v>75</v>
      </c>
      <c r="I3028" s="6">
        <v>1</v>
      </c>
      <c r="J3028" s="6">
        <v>0</v>
      </c>
      <c r="K3028" s="6">
        <v>0</v>
      </c>
      <c r="L3028" s="6">
        <v>0</v>
      </c>
      <c r="M3028" s="6">
        <v>0</v>
      </c>
      <c r="N3028" s="6">
        <v>0</v>
      </c>
      <c r="O3028" s="6">
        <v>0</v>
      </c>
      <c r="P3028" s="6">
        <v>0</v>
      </c>
      <c r="Q3028">
        <v>1</v>
      </c>
      <c r="R3028">
        <f t="shared" si="235"/>
        <v>0</v>
      </c>
      <c r="S3028">
        <f t="shared" si="236"/>
        <v>1</v>
      </c>
      <c r="T3028">
        <f t="shared" si="237"/>
        <v>1</v>
      </c>
      <c r="U3028">
        <f t="shared" si="238"/>
        <v>1</v>
      </c>
      <c r="V3028">
        <f t="shared" si="239"/>
        <v>0</v>
      </c>
    </row>
    <row r="3029" spans="1:22" x14ac:dyDescent="0.25">
      <c r="A3029">
        <v>3026</v>
      </c>
      <c r="B3029" t="s">
        <v>26</v>
      </c>
      <c r="C3029" t="s">
        <v>1218</v>
      </c>
      <c r="D3029" s="4">
        <v>45344</v>
      </c>
      <c r="E3029" t="s">
        <v>1286</v>
      </c>
      <c r="F3029" t="s">
        <v>75</v>
      </c>
      <c r="I3029" s="6">
        <v>0</v>
      </c>
      <c r="J3029" s="6">
        <v>0</v>
      </c>
      <c r="K3029" s="6">
        <v>0</v>
      </c>
      <c r="L3029" s="6">
        <v>1</v>
      </c>
      <c r="M3029" s="6">
        <v>1</v>
      </c>
      <c r="N3029" s="6">
        <v>1</v>
      </c>
      <c r="O3029" s="6">
        <v>0</v>
      </c>
      <c r="P3029" s="6">
        <v>0</v>
      </c>
      <c r="Q3029">
        <v>1</v>
      </c>
      <c r="R3029">
        <f t="shared" si="235"/>
        <v>0</v>
      </c>
      <c r="S3029">
        <f t="shared" si="236"/>
        <v>1</v>
      </c>
      <c r="T3029">
        <f t="shared" si="237"/>
        <v>3</v>
      </c>
      <c r="U3029">
        <f t="shared" si="238"/>
        <v>1</v>
      </c>
      <c r="V3029">
        <f t="shared" si="239"/>
        <v>0</v>
      </c>
    </row>
    <row r="3030" spans="1:22" x14ac:dyDescent="0.25">
      <c r="A3030">
        <v>3027</v>
      </c>
      <c r="B3030" t="s">
        <v>26</v>
      </c>
      <c r="C3030" t="s">
        <v>1218</v>
      </c>
      <c r="D3030" s="4">
        <v>45344</v>
      </c>
      <c r="E3030" t="s">
        <v>2267</v>
      </c>
      <c r="F3030" t="s">
        <v>75</v>
      </c>
      <c r="I3030" s="6">
        <v>0</v>
      </c>
      <c r="J3030" s="6">
        <v>0</v>
      </c>
      <c r="K3030" s="6">
        <v>0</v>
      </c>
      <c r="L3030" s="6">
        <v>1</v>
      </c>
      <c r="M3030" s="6">
        <v>0</v>
      </c>
      <c r="N3030" s="6">
        <v>0</v>
      </c>
      <c r="O3030" s="6">
        <v>1</v>
      </c>
      <c r="P3030" s="6">
        <v>0</v>
      </c>
      <c r="Q3030">
        <v>1</v>
      </c>
      <c r="R3030">
        <f t="shared" si="235"/>
        <v>0</v>
      </c>
      <c r="S3030">
        <f t="shared" si="236"/>
        <v>1</v>
      </c>
      <c r="T3030">
        <f t="shared" si="237"/>
        <v>2</v>
      </c>
      <c r="U3030">
        <f t="shared" si="238"/>
        <v>1</v>
      </c>
      <c r="V3030">
        <f t="shared" si="239"/>
        <v>0</v>
      </c>
    </row>
    <row r="3031" spans="1:22" x14ac:dyDescent="0.25">
      <c r="A3031">
        <v>3028</v>
      </c>
      <c r="B3031" t="s">
        <v>26</v>
      </c>
      <c r="C3031" t="s">
        <v>1218</v>
      </c>
      <c r="D3031" s="4">
        <v>45344</v>
      </c>
      <c r="E3031" t="s">
        <v>1462</v>
      </c>
      <c r="F3031" t="s">
        <v>75</v>
      </c>
      <c r="I3031" s="6"/>
      <c r="J3031" s="6"/>
      <c r="K3031" s="6"/>
      <c r="L3031" s="6"/>
      <c r="M3031" s="6"/>
      <c r="N3031" s="6"/>
      <c r="O3031" s="6"/>
      <c r="P3031" s="6"/>
      <c r="Q3031">
        <v>0</v>
      </c>
      <c r="R3031">
        <f t="shared" si="235"/>
        <v>0</v>
      </c>
      <c r="S3031">
        <f t="shared" si="236"/>
        <v>0</v>
      </c>
      <c r="T3031">
        <f t="shared" si="237"/>
        <v>0</v>
      </c>
      <c r="U3031">
        <f t="shared" si="238"/>
        <v>0</v>
      </c>
      <c r="V3031">
        <f t="shared" si="239"/>
        <v>0</v>
      </c>
    </row>
    <row r="3032" spans="1:22" x14ac:dyDescent="0.25">
      <c r="A3032">
        <v>3029</v>
      </c>
      <c r="B3032" t="s">
        <v>26</v>
      </c>
      <c r="C3032" t="s">
        <v>1218</v>
      </c>
      <c r="D3032" s="4">
        <v>45344</v>
      </c>
      <c r="E3032" t="s">
        <v>2266</v>
      </c>
      <c r="F3032" t="s">
        <v>75</v>
      </c>
      <c r="I3032" s="6"/>
      <c r="J3032" s="6"/>
      <c r="K3032" s="6"/>
      <c r="L3032" s="6"/>
      <c r="M3032" s="6"/>
      <c r="N3032" s="6"/>
      <c r="O3032" s="6"/>
      <c r="P3032" s="6"/>
      <c r="Q3032">
        <v>0</v>
      </c>
      <c r="R3032">
        <f t="shared" si="235"/>
        <v>0</v>
      </c>
      <c r="S3032">
        <f t="shared" si="236"/>
        <v>0</v>
      </c>
      <c r="T3032">
        <f t="shared" si="237"/>
        <v>0</v>
      </c>
      <c r="U3032">
        <f t="shared" si="238"/>
        <v>0</v>
      </c>
      <c r="V3032">
        <f t="shared" si="239"/>
        <v>0</v>
      </c>
    </row>
    <row r="3033" spans="1:22" x14ac:dyDescent="0.25">
      <c r="A3033">
        <v>3030</v>
      </c>
      <c r="B3033" t="s">
        <v>26</v>
      </c>
      <c r="C3033" t="s">
        <v>1218</v>
      </c>
      <c r="D3033" s="4">
        <v>45344</v>
      </c>
      <c r="E3033" t="s">
        <v>2644</v>
      </c>
      <c r="F3033" t="s">
        <v>75</v>
      </c>
      <c r="I3033" s="6"/>
      <c r="J3033" s="6"/>
      <c r="K3033" s="6"/>
      <c r="L3033" s="6"/>
      <c r="M3033" s="6"/>
      <c r="N3033" s="6"/>
      <c r="O3033" s="6"/>
      <c r="P3033" s="6"/>
      <c r="Q3033">
        <v>0</v>
      </c>
      <c r="R3033">
        <f t="shared" si="235"/>
        <v>0</v>
      </c>
      <c r="S3033">
        <f t="shared" si="236"/>
        <v>0</v>
      </c>
      <c r="T3033">
        <f t="shared" si="237"/>
        <v>0</v>
      </c>
      <c r="U3033">
        <f t="shared" si="238"/>
        <v>0</v>
      </c>
      <c r="V3033">
        <f t="shared" si="239"/>
        <v>0</v>
      </c>
    </row>
    <row r="3034" spans="1:22" x14ac:dyDescent="0.25">
      <c r="A3034">
        <v>3031</v>
      </c>
      <c r="B3034" t="s">
        <v>26</v>
      </c>
      <c r="C3034" t="s">
        <v>1218</v>
      </c>
      <c r="D3034" s="4">
        <v>45344</v>
      </c>
      <c r="E3034" t="s">
        <v>2643</v>
      </c>
      <c r="F3034" t="s">
        <v>75</v>
      </c>
      <c r="I3034" s="6"/>
      <c r="J3034" s="6"/>
      <c r="K3034" s="6"/>
      <c r="L3034" s="6"/>
      <c r="M3034" s="6"/>
      <c r="N3034" s="6"/>
      <c r="O3034" s="6"/>
      <c r="P3034" s="6"/>
      <c r="Q3034">
        <v>0</v>
      </c>
      <c r="R3034">
        <f t="shared" si="235"/>
        <v>0</v>
      </c>
      <c r="S3034">
        <f t="shared" si="236"/>
        <v>0</v>
      </c>
      <c r="T3034">
        <f t="shared" si="237"/>
        <v>0</v>
      </c>
      <c r="U3034">
        <f t="shared" si="238"/>
        <v>0</v>
      </c>
      <c r="V3034">
        <f t="shared" si="239"/>
        <v>0</v>
      </c>
    </row>
    <row r="3035" spans="1:22" x14ac:dyDescent="0.25">
      <c r="A3035">
        <v>3032</v>
      </c>
      <c r="B3035" t="s">
        <v>26</v>
      </c>
      <c r="C3035" t="s">
        <v>1218</v>
      </c>
      <c r="D3035" s="4">
        <v>45345</v>
      </c>
      <c r="E3035" t="s">
        <v>1049</v>
      </c>
      <c r="F3035" t="s">
        <v>75</v>
      </c>
      <c r="I3035" s="6"/>
      <c r="J3035" s="6"/>
      <c r="K3035" s="6"/>
      <c r="L3035" s="6"/>
      <c r="M3035" s="6"/>
      <c r="N3035" s="6"/>
      <c r="O3035" s="6"/>
      <c r="P3035" s="6"/>
      <c r="Q3035">
        <v>0</v>
      </c>
      <c r="R3035">
        <f t="shared" si="235"/>
        <v>0</v>
      </c>
      <c r="S3035">
        <f t="shared" si="236"/>
        <v>0</v>
      </c>
      <c r="T3035">
        <f t="shared" si="237"/>
        <v>0</v>
      </c>
      <c r="U3035">
        <f t="shared" si="238"/>
        <v>0</v>
      </c>
      <c r="V3035">
        <f t="shared" si="239"/>
        <v>0</v>
      </c>
    </row>
    <row r="3036" spans="1:22" x14ac:dyDescent="0.25">
      <c r="A3036">
        <v>3033</v>
      </c>
      <c r="B3036" t="s">
        <v>26</v>
      </c>
      <c r="C3036" t="s">
        <v>1218</v>
      </c>
      <c r="D3036" s="4">
        <v>45345</v>
      </c>
      <c r="E3036" t="s">
        <v>1287</v>
      </c>
      <c r="F3036" t="s">
        <v>75</v>
      </c>
      <c r="I3036" s="6">
        <v>1</v>
      </c>
      <c r="J3036" s="6">
        <v>0</v>
      </c>
      <c r="K3036" s="6">
        <v>0</v>
      </c>
      <c r="L3036" s="6">
        <v>1</v>
      </c>
      <c r="M3036" s="6">
        <v>0</v>
      </c>
      <c r="N3036" s="6">
        <v>0</v>
      </c>
      <c r="O3036" s="6">
        <v>0</v>
      </c>
      <c r="P3036" s="6">
        <v>0</v>
      </c>
      <c r="Q3036">
        <v>1</v>
      </c>
      <c r="R3036">
        <f t="shared" si="235"/>
        <v>0</v>
      </c>
      <c r="S3036">
        <f t="shared" si="236"/>
        <v>1</v>
      </c>
      <c r="T3036">
        <f t="shared" si="237"/>
        <v>2</v>
      </c>
      <c r="U3036">
        <f t="shared" si="238"/>
        <v>1</v>
      </c>
      <c r="V3036">
        <f t="shared" si="239"/>
        <v>0</v>
      </c>
    </row>
    <row r="3037" spans="1:22" x14ac:dyDescent="0.25">
      <c r="A3037">
        <v>3034</v>
      </c>
      <c r="B3037" t="s">
        <v>26</v>
      </c>
      <c r="C3037" t="s">
        <v>1218</v>
      </c>
      <c r="D3037" s="4">
        <v>45345</v>
      </c>
      <c r="E3037" t="s">
        <v>2265</v>
      </c>
      <c r="F3037" t="s">
        <v>75</v>
      </c>
      <c r="I3037" s="6"/>
      <c r="J3037" s="6"/>
      <c r="K3037" s="6"/>
      <c r="L3037" s="6"/>
      <c r="M3037" s="6"/>
      <c r="N3037" s="6"/>
      <c r="O3037" s="6"/>
      <c r="P3037" s="6"/>
      <c r="Q3037">
        <v>0</v>
      </c>
      <c r="R3037">
        <f t="shared" si="235"/>
        <v>0</v>
      </c>
      <c r="S3037">
        <f t="shared" si="236"/>
        <v>0</v>
      </c>
      <c r="T3037">
        <f t="shared" si="237"/>
        <v>0</v>
      </c>
      <c r="U3037">
        <f t="shared" si="238"/>
        <v>0</v>
      </c>
      <c r="V3037">
        <f t="shared" si="239"/>
        <v>0</v>
      </c>
    </row>
    <row r="3038" spans="1:22" x14ac:dyDescent="0.25">
      <c r="A3038">
        <v>3035</v>
      </c>
      <c r="B3038" t="s">
        <v>26</v>
      </c>
      <c r="C3038" t="s">
        <v>1218</v>
      </c>
      <c r="D3038" s="4">
        <v>45345</v>
      </c>
      <c r="E3038" t="s">
        <v>1463</v>
      </c>
      <c r="F3038" t="s">
        <v>75</v>
      </c>
      <c r="I3038" s="6"/>
      <c r="J3038" s="6"/>
      <c r="K3038" s="6"/>
      <c r="L3038" s="6"/>
      <c r="M3038" s="6"/>
      <c r="N3038" s="6"/>
      <c r="O3038" s="6"/>
      <c r="P3038" s="6"/>
      <c r="Q3038">
        <v>0</v>
      </c>
      <c r="R3038">
        <f t="shared" si="235"/>
        <v>0</v>
      </c>
      <c r="S3038">
        <f t="shared" si="236"/>
        <v>0</v>
      </c>
      <c r="T3038">
        <f t="shared" si="237"/>
        <v>0</v>
      </c>
      <c r="U3038">
        <f t="shared" si="238"/>
        <v>0</v>
      </c>
      <c r="V3038">
        <f t="shared" si="239"/>
        <v>0</v>
      </c>
    </row>
    <row r="3039" spans="1:22" x14ac:dyDescent="0.25">
      <c r="A3039">
        <v>3036</v>
      </c>
      <c r="B3039" t="s">
        <v>26</v>
      </c>
      <c r="C3039" t="s">
        <v>1218</v>
      </c>
      <c r="D3039" s="4">
        <v>45345</v>
      </c>
      <c r="E3039" t="s">
        <v>1464</v>
      </c>
      <c r="F3039" t="s">
        <v>75</v>
      </c>
      <c r="I3039" s="6"/>
      <c r="J3039" s="6"/>
      <c r="K3039" s="6"/>
      <c r="L3039" s="6"/>
      <c r="M3039" s="6"/>
      <c r="N3039" s="6"/>
      <c r="O3039" s="6"/>
      <c r="P3039" s="6"/>
      <c r="Q3039">
        <v>0</v>
      </c>
      <c r="R3039">
        <f t="shared" si="235"/>
        <v>0</v>
      </c>
      <c r="S3039">
        <f t="shared" si="236"/>
        <v>0</v>
      </c>
      <c r="T3039">
        <f t="shared" si="237"/>
        <v>0</v>
      </c>
      <c r="U3039">
        <f t="shared" si="238"/>
        <v>0</v>
      </c>
      <c r="V3039">
        <f t="shared" si="239"/>
        <v>0</v>
      </c>
    </row>
    <row r="3040" spans="1:22" x14ac:dyDescent="0.25">
      <c r="A3040">
        <v>3037</v>
      </c>
      <c r="B3040" t="s">
        <v>26</v>
      </c>
      <c r="C3040" t="s">
        <v>1218</v>
      </c>
      <c r="D3040" s="4">
        <v>45345</v>
      </c>
      <c r="E3040" t="s">
        <v>1288</v>
      </c>
      <c r="F3040" t="s">
        <v>75</v>
      </c>
      <c r="I3040" s="6">
        <v>0</v>
      </c>
      <c r="J3040" s="6">
        <v>0</v>
      </c>
      <c r="K3040" s="6">
        <v>0</v>
      </c>
      <c r="L3040" s="6">
        <v>0</v>
      </c>
      <c r="M3040" s="6">
        <v>0</v>
      </c>
      <c r="N3040" s="6">
        <v>1</v>
      </c>
      <c r="O3040" s="6">
        <v>0</v>
      </c>
      <c r="P3040" s="6">
        <v>0</v>
      </c>
      <c r="Q3040">
        <v>1</v>
      </c>
      <c r="R3040">
        <f t="shared" si="235"/>
        <v>0</v>
      </c>
      <c r="S3040">
        <f t="shared" si="236"/>
        <v>1</v>
      </c>
      <c r="T3040">
        <f t="shared" si="237"/>
        <v>1</v>
      </c>
      <c r="U3040">
        <f t="shared" si="238"/>
        <v>1</v>
      </c>
      <c r="V3040">
        <f t="shared" si="239"/>
        <v>0</v>
      </c>
    </row>
    <row r="3041" spans="1:22" x14ac:dyDescent="0.25">
      <c r="A3041">
        <v>3038</v>
      </c>
      <c r="B3041" t="s">
        <v>26</v>
      </c>
      <c r="C3041" t="s">
        <v>1218</v>
      </c>
      <c r="D3041" s="4">
        <v>45345</v>
      </c>
      <c r="E3041" t="s">
        <v>1512</v>
      </c>
      <c r="F3041" t="s">
        <v>75</v>
      </c>
      <c r="I3041" s="6"/>
      <c r="J3041" s="6"/>
      <c r="K3041" s="6"/>
      <c r="L3041" s="6"/>
      <c r="M3041" s="6"/>
      <c r="N3041" s="6"/>
      <c r="O3041" s="6"/>
      <c r="P3041" s="6"/>
      <c r="Q3041">
        <v>0</v>
      </c>
      <c r="R3041">
        <f t="shared" si="235"/>
        <v>0</v>
      </c>
      <c r="S3041">
        <f t="shared" si="236"/>
        <v>0</v>
      </c>
      <c r="T3041">
        <f t="shared" si="237"/>
        <v>0</v>
      </c>
      <c r="U3041">
        <f t="shared" si="238"/>
        <v>0</v>
      </c>
      <c r="V3041">
        <f t="shared" si="239"/>
        <v>0</v>
      </c>
    </row>
    <row r="3042" spans="1:22" x14ac:dyDescent="0.25">
      <c r="A3042">
        <v>3039</v>
      </c>
      <c r="B3042" t="s">
        <v>26</v>
      </c>
      <c r="C3042" t="s">
        <v>1218</v>
      </c>
      <c r="D3042" s="4">
        <v>45345</v>
      </c>
      <c r="E3042" t="s">
        <v>2642</v>
      </c>
      <c r="F3042" t="s">
        <v>75</v>
      </c>
      <c r="I3042" s="6"/>
      <c r="J3042" s="6"/>
      <c r="K3042" s="6"/>
      <c r="L3042" s="6"/>
      <c r="M3042" s="6"/>
      <c r="N3042" s="6"/>
      <c r="O3042" s="6"/>
      <c r="P3042" s="6"/>
      <c r="Q3042">
        <v>0</v>
      </c>
      <c r="R3042">
        <f t="shared" si="235"/>
        <v>0</v>
      </c>
      <c r="S3042">
        <f t="shared" si="236"/>
        <v>0</v>
      </c>
      <c r="T3042">
        <f t="shared" si="237"/>
        <v>0</v>
      </c>
      <c r="U3042">
        <f t="shared" si="238"/>
        <v>0</v>
      </c>
      <c r="V3042">
        <f t="shared" si="239"/>
        <v>0</v>
      </c>
    </row>
    <row r="3043" spans="1:22" x14ac:dyDescent="0.25">
      <c r="A3043">
        <v>3040</v>
      </c>
      <c r="B3043" t="s">
        <v>26</v>
      </c>
      <c r="C3043" t="s">
        <v>1218</v>
      </c>
      <c r="D3043" s="4">
        <v>45345</v>
      </c>
      <c r="E3043" t="s">
        <v>2641</v>
      </c>
      <c r="F3043" t="s">
        <v>75</v>
      </c>
      <c r="I3043" s="6"/>
      <c r="J3043" s="6"/>
      <c r="K3043" s="6"/>
      <c r="L3043" s="6"/>
      <c r="M3043" s="6"/>
      <c r="N3043" s="6"/>
      <c r="O3043" s="6"/>
      <c r="P3043" s="6"/>
      <c r="Q3043">
        <v>0</v>
      </c>
      <c r="R3043">
        <f t="shared" si="235"/>
        <v>0</v>
      </c>
      <c r="S3043">
        <f t="shared" si="236"/>
        <v>0</v>
      </c>
      <c r="T3043">
        <f t="shared" si="237"/>
        <v>0</v>
      </c>
      <c r="U3043">
        <f t="shared" si="238"/>
        <v>0</v>
      </c>
      <c r="V3043">
        <f t="shared" si="239"/>
        <v>0</v>
      </c>
    </row>
    <row r="3044" spans="1:22" x14ac:dyDescent="0.25">
      <c r="A3044">
        <v>3041</v>
      </c>
      <c r="B3044" t="s">
        <v>26</v>
      </c>
      <c r="C3044" t="s">
        <v>1218</v>
      </c>
      <c r="D3044" s="4">
        <v>45345</v>
      </c>
      <c r="E3044" t="s">
        <v>2640</v>
      </c>
      <c r="F3044" t="s">
        <v>75</v>
      </c>
      <c r="I3044" s="6"/>
      <c r="J3044" s="6"/>
      <c r="K3044" s="6"/>
      <c r="L3044" s="6"/>
      <c r="M3044" s="6"/>
      <c r="N3044" s="6"/>
      <c r="O3044" s="6"/>
      <c r="P3044" s="6"/>
      <c r="Q3044">
        <v>0</v>
      </c>
      <c r="R3044">
        <f t="shared" si="235"/>
        <v>0</v>
      </c>
      <c r="S3044">
        <f t="shared" si="236"/>
        <v>0</v>
      </c>
      <c r="T3044">
        <f t="shared" si="237"/>
        <v>0</v>
      </c>
      <c r="U3044">
        <f t="shared" si="238"/>
        <v>0</v>
      </c>
      <c r="V3044">
        <f t="shared" si="239"/>
        <v>0</v>
      </c>
    </row>
    <row r="3045" spans="1:22" x14ac:dyDescent="0.25">
      <c r="A3045">
        <v>3042</v>
      </c>
      <c r="B3045" t="s">
        <v>26</v>
      </c>
      <c r="C3045" t="s">
        <v>1218</v>
      </c>
      <c r="D3045" s="4">
        <v>45346</v>
      </c>
      <c r="E3045" t="s">
        <v>1050</v>
      </c>
      <c r="F3045" t="s">
        <v>75</v>
      </c>
      <c r="I3045" s="6"/>
      <c r="J3045" s="6"/>
      <c r="K3045" s="6"/>
      <c r="L3045" s="6"/>
      <c r="M3045" s="6"/>
      <c r="N3045" s="6"/>
      <c r="O3045" s="6"/>
      <c r="P3045" s="6"/>
      <c r="Q3045">
        <v>0</v>
      </c>
      <c r="R3045">
        <f t="shared" si="235"/>
        <v>0</v>
      </c>
      <c r="S3045">
        <f t="shared" si="236"/>
        <v>0</v>
      </c>
      <c r="T3045">
        <f t="shared" si="237"/>
        <v>0</v>
      </c>
      <c r="U3045">
        <f t="shared" si="238"/>
        <v>0</v>
      </c>
      <c r="V3045">
        <f t="shared" si="239"/>
        <v>0</v>
      </c>
    </row>
    <row r="3046" spans="1:22" x14ac:dyDescent="0.25">
      <c r="A3046">
        <v>3043</v>
      </c>
      <c r="B3046" t="s">
        <v>26</v>
      </c>
      <c r="C3046" t="s">
        <v>1218</v>
      </c>
      <c r="D3046" s="4">
        <v>45346</v>
      </c>
      <c r="E3046" t="s">
        <v>2639</v>
      </c>
      <c r="F3046" t="s">
        <v>75</v>
      </c>
      <c r="I3046" s="6"/>
      <c r="J3046" s="6"/>
      <c r="K3046" s="6"/>
      <c r="L3046" s="6"/>
      <c r="M3046" s="6"/>
      <c r="N3046" s="6"/>
      <c r="O3046" s="6"/>
      <c r="P3046" s="6"/>
      <c r="Q3046">
        <v>0</v>
      </c>
      <c r="R3046">
        <f t="shared" si="235"/>
        <v>0</v>
      </c>
      <c r="S3046">
        <f t="shared" si="236"/>
        <v>0</v>
      </c>
      <c r="T3046">
        <f t="shared" si="237"/>
        <v>0</v>
      </c>
      <c r="U3046">
        <f t="shared" si="238"/>
        <v>0</v>
      </c>
      <c r="V3046">
        <f t="shared" si="239"/>
        <v>0</v>
      </c>
    </row>
    <row r="3047" spans="1:22" x14ac:dyDescent="0.25">
      <c r="A3047">
        <v>3044</v>
      </c>
      <c r="B3047" t="s">
        <v>26</v>
      </c>
      <c r="C3047" t="s">
        <v>1218</v>
      </c>
      <c r="D3047" s="4">
        <v>45346</v>
      </c>
      <c r="E3047" t="s">
        <v>2638</v>
      </c>
      <c r="F3047" t="s">
        <v>75</v>
      </c>
      <c r="I3047" s="6"/>
      <c r="J3047" s="6"/>
      <c r="K3047" s="6"/>
      <c r="L3047" s="6"/>
      <c r="M3047" s="6"/>
      <c r="N3047" s="6"/>
      <c r="O3047" s="6"/>
      <c r="P3047" s="6"/>
      <c r="Q3047">
        <v>0</v>
      </c>
      <c r="R3047">
        <f t="shared" si="235"/>
        <v>0</v>
      </c>
      <c r="S3047">
        <f t="shared" si="236"/>
        <v>0</v>
      </c>
      <c r="T3047">
        <f t="shared" si="237"/>
        <v>0</v>
      </c>
      <c r="U3047">
        <f t="shared" si="238"/>
        <v>0</v>
      </c>
      <c r="V3047">
        <f t="shared" si="239"/>
        <v>0</v>
      </c>
    </row>
    <row r="3048" spans="1:22" x14ac:dyDescent="0.25">
      <c r="A3048">
        <v>3045</v>
      </c>
      <c r="B3048" t="s">
        <v>26</v>
      </c>
      <c r="C3048" t="s">
        <v>1218</v>
      </c>
      <c r="D3048" s="4">
        <v>45346</v>
      </c>
      <c r="E3048" t="s">
        <v>2637</v>
      </c>
      <c r="F3048" t="s">
        <v>75</v>
      </c>
      <c r="I3048" s="6"/>
      <c r="J3048" s="6"/>
      <c r="K3048" s="6"/>
      <c r="L3048" s="6"/>
      <c r="M3048" s="6"/>
      <c r="N3048" s="6"/>
      <c r="O3048" s="6"/>
      <c r="P3048" s="6"/>
      <c r="Q3048">
        <v>0</v>
      </c>
      <c r="R3048">
        <f t="shared" si="235"/>
        <v>0</v>
      </c>
      <c r="S3048">
        <f t="shared" si="236"/>
        <v>0</v>
      </c>
      <c r="T3048">
        <f t="shared" si="237"/>
        <v>0</v>
      </c>
      <c r="U3048">
        <f t="shared" si="238"/>
        <v>0</v>
      </c>
      <c r="V3048">
        <f t="shared" si="239"/>
        <v>0</v>
      </c>
    </row>
    <row r="3049" spans="1:22" x14ac:dyDescent="0.25">
      <c r="A3049">
        <v>3046</v>
      </c>
      <c r="B3049" t="s">
        <v>26</v>
      </c>
      <c r="C3049" t="s">
        <v>1218</v>
      </c>
      <c r="D3049" s="4">
        <v>45346</v>
      </c>
      <c r="E3049" t="s">
        <v>1051</v>
      </c>
      <c r="F3049" t="s">
        <v>75</v>
      </c>
      <c r="I3049" s="6"/>
      <c r="J3049" s="6"/>
      <c r="K3049" s="6"/>
      <c r="L3049" s="6"/>
      <c r="M3049" s="6"/>
      <c r="N3049" s="6"/>
      <c r="O3049" s="6"/>
      <c r="P3049" s="6"/>
      <c r="Q3049">
        <v>0</v>
      </c>
      <c r="R3049">
        <f t="shared" si="235"/>
        <v>0</v>
      </c>
      <c r="S3049">
        <f t="shared" si="236"/>
        <v>0</v>
      </c>
      <c r="T3049">
        <f t="shared" si="237"/>
        <v>0</v>
      </c>
      <c r="U3049">
        <f t="shared" si="238"/>
        <v>0</v>
      </c>
      <c r="V3049">
        <f t="shared" si="239"/>
        <v>0</v>
      </c>
    </row>
    <row r="3050" spans="1:22" x14ac:dyDescent="0.25">
      <c r="A3050">
        <v>3047</v>
      </c>
      <c r="B3050" t="s">
        <v>26</v>
      </c>
      <c r="C3050" t="s">
        <v>1218</v>
      </c>
      <c r="D3050" s="4">
        <v>45346</v>
      </c>
      <c r="E3050" t="s">
        <v>1513</v>
      </c>
      <c r="F3050" t="s">
        <v>75</v>
      </c>
      <c r="I3050" s="6"/>
      <c r="J3050" s="6"/>
      <c r="K3050" s="6"/>
      <c r="L3050" s="6"/>
      <c r="M3050" s="6"/>
      <c r="N3050" s="6"/>
      <c r="O3050" s="6"/>
      <c r="P3050" s="6"/>
      <c r="Q3050">
        <v>0</v>
      </c>
      <c r="R3050">
        <f t="shared" si="235"/>
        <v>0</v>
      </c>
      <c r="S3050">
        <f t="shared" si="236"/>
        <v>0</v>
      </c>
      <c r="T3050">
        <f t="shared" si="237"/>
        <v>0</v>
      </c>
      <c r="U3050">
        <f t="shared" si="238"/>
        <v>0</v>
      </c>
      <c r="V3050">
        <f t="shared" si="239"/>
        <v>0</v>
      </c>
    </row>
    <row r="3051" spans="1:22" x14ac:dyDescent="0.25">
      <c r="A3051">
        <v>3048</v>
      </c>
      <c r="B3051" t="s">
        <v>26</v>
      </c>
      <c r="C3051" t="s">
        <v>1218</v>
      </c>
      <c r="D3051" s="4">
        <v>45346</v>
      </c>
      <c r="E3051" t="s">
        <v>1118</v>
      </c>
      <c r="F3051" t="s">
        <v>75</v>
      </c>
      <c r="I3051" s="6"/>
      <c r="J3051" s="6"/>
      <c r="K3051" s="6"/>
      <c r="L3051" s="6"/>
      <c r="M3051" s="6"/>
      <c r="N3051" s="6"/>
      <c r="O3051" s="6"/>
      <c r="P3051" s="6"/>
      <c r="Q3051">
        <v>0</v>
      </c>
      <c r="R3051">
        <f t="shared" si="235"/>
        <v>0</v>
      </c>
      <c r="S3051">
        <f t="shared" si="236"/>
        <v>0</v>
      </c>
      <c r="T3051">
        <f t="shared" si="237"/>
        <v>0</v>
      </c>
      <c r="U3051">
        <f t="shared" si="238"/>
        <v>0</v>
      </c>
      <c r="V3051">
        <f t="shared" si="239"/>
        <v>0</v>
      </c>
    </row>
    <row r="3052" spans="1:22" x14ac:dyDescent="0.25">
      <c r="A3052">
        <v>3049</v>
      </c>
      <c r="B3052" t="s">
        <v>26</v>
      </c>
      <c r="C3052" t="s">
        <v>1218</v>
      </c>
      <c r="D3052" s="4">
        <v>45346</v>
      </c>
      <c r="E3052" t="s">
        <v>2264</v>
      </c>
      <c r="F3052" t="s">
        <v>75</v>
      </c>
      <c r="I3052" s="6"/>
      <c r="J3052" s="6"/>
      <c r="K3052" s="6"/>
      <c r="L3052" s="6"/>
      <c r="M3052" s="6"/>
      <c r="N3052" s="6"/>
      <c r="O3052" s="6"/>
      <c r="P3052" s="6"/>
      <c r="Q3052">
        <v>0</v>
      </c>
      <c r="R3052">
        <f t="shared" si="235"/>
        <v>0</v>
      </c>
      <c r="S3052">
        <f t="shared" si="236"/>
        <v>0</v>
      </c>
      <c r="T3052">
        <f t="shared" si="237"/>
        <v>0</v>
      </c>
      <c r="U3052">
        <f t="shared" si="238"/>
        <v>0</v>
      </c>
      <c r="V3052">
        <f t="shared" si="239"/>
        <v>0</v>
      </c>
    </row>
    <row r="3053" spans="1:22" x14ac:dyDescent="0.25">
      <c r="A3053">
        <v>3050</v>
      </c>
      <c r="B3053" t="s">
        <v>26</v>
      </c>
      <c r="C3053" t="s">
        <v>1218</v>
      </c>
      <c r="D3053" s="4">
        <v>45346</v>
      </c>
      <c r="E3053" t="s">
        <v>2263</v>
      </c>
      <c r="F3053" t="s">
        <v>75</v>
      </c>
      <c r="I3053" s="6"/>
      <c r="J3053" s="6"/>
      <c r="K3053" s="6"/>
      <c r="L3053" s="6"/>
      <c r="M3053" s="6"/>
      <c r="N3053" s="6"/>
      <c r="O3053" s="6"/>
      <c r="P3053" s="6"/>
      <c r="Q3053">
        <v>0</v>
      </c>
      <c r="R3053">
        <f t="shared" si="235"/>
        <v>0</v>
      </c>
      <c r="S3053">
        <f t="shared" si="236"/>
        <v>0</v>
      </c>
      <c r="T3053">
        <f t="shared" si="237"/>
        <v>0</v>
      </c>
      <c r="U3053">
        <f t="shared" si="238"/>
        <v>0</v>
      </c>
      <c r="V3053">
        <f t="shared" si="239"/>
        <v>0</v>
      </c>
    </row>
    <row r="3054" spans="1:22" x14ac:dyDescent="0.25">
      <c r="A3054">
        <v>3051</v>
      </c>
      <c r="B3054" t="s">
        <v>26</v>
      </c>
      <c r="C3054" t="s">
        <v>1218</v>
      </c>
      <c r="D3054" s="4">
        <v>45346</v>
      </c>
      <c r="E3054" t="s">
        <v>2636</v>
      </c>
      <c r="F3054" t="s">
        <v>75</v>
      </c>
      <c r="I3054" s="6"/>
      <c r="J3054" s="6"/>
      <c r="K3054" s="6"/>
      <c r="L3054" s="6"/>
      <c r="M3054" s="6"/>
      <c r="N3054" s="6"/>
      <c r="O3054" s="6"/>
      <c r="P3054" s="6"/>
      <c r="Q3054">
        <v>0</v>
      </c>
      <c r="R3054">
        <f t="shared" si="235"/>
        <v>0</v>
      </c>
      <c r="S3054">
        <f t="shared" si="236"/>
        <v>0</v>
      </c>
      <c r="T3054">
        <f t="shared" si="237"/>
        <v>0</v>
      </c>
      <c r="U3054">
        <f t="shared" si="238"/>
        <v>0</v>
      </c>
      <c r="V3054">
        <f t="shared" si="239"/>
        <v>0</v>
      </c>
    </row>
    <row r="3055" spans="1:22" x14ac:dyDescent="0.25">
      <c r="A3055">
        <v>3052</v>
      </c>
      <c r="B3055" t="s">
        <v>26</v>
      </c>
      <c r="C3055" t="s">
        <v>1218</v>
      </c>
      <c r="D3055" s="4">
        <v>45346</v>
      </c>
      <c r="E3055" t="s">
        <v>2635</v>
      </c>
      <c r="F3055" t="s">
        <v>75</v>
      </c>
      <c r="I3055" s="6"/>
      <c r="J3055" s="6"/>
      <c r="K3055" s="6"/>
      <c r="L3055" s="6"/>
      <c r="M3055" s="6"/>
      <c r="N3055" s="6"/>
      <c r="O3055" s="6"/>
      <c r="P3055" s="6"/>
      <c r="Q3055">
        <v>0</v>
      </c>
      <c r="R3055">
        <f t="shared" si="235"/>
        <v>0</v>
      </c>
      <c r="S3055">
        <f t="shared" si="236"/>
        <v>0</v>
      </c>
      <c r="T3055">
        <f t="shared" si="237"/>
        <v>0</v>
      </c>
      <c r="U3055">
        <f t="shared" si="238"/>
        <v>0</v>
      </c>
      <c r="V3055">
        <f t="shared" si="239"/>
        <v>0</v>
      </c>
    </row>
    <row r="3056" spans="1:22" x14ac:dyDescent="0.25">
      <c r="A3056">
        <v>3053</v>
      </c>
      <c r="B3056" t="s">
        <v>26</v>
      </c>
      <c r="C3056" t="s">
        <v>1218</v>
      </c>
      <c r="D3056" s="4">
        <v>45346</v>
      </c>
      <c r="E3056" t="s">
        <v>2634</v>
      </c>
      <c r="F3056" t="s">
        <v>75</v>
      </c>
      <c r="I3056" s="6"/>
      <c r="J3056" s="6"/>
      <c r="K3056" s="6"/>
      <c r="L3056" s="6"/>
      <c r="M3056" s="6"/>
      <c r="N3056" s="6"/>
      <c r="O3056" s="6"/>
      <c r="P3056" s="6"/>
      <c r="Q3056">
        <v>0</v>
      </c>
      <c r="R3056">
        <f t="shared" si="235"/>
        <v>0</v>
      </c>
      <c r="S3056">
        <f t="shared" si="236"/>
        <v>0</v>
      </c>
      <c r="T3056">
        <f t="shared" si="237"/>
        <v>0</v>
      </c>
      <c r="U3056">
        <f t="shared" si="238"/>
        <v>0</v>
      </c>
      <c r="V3056">
        <f t="shared" si="239"/>
        <v>0</v>
      </c>
    </row>
    <row r="3057" spans="1:22" x14ac:dyDescent="0.25">
      <c r="A3057">
        <v>3054</v>
      </c>
      <c r="B3057" t="s">
        <v>26</v>
      </c>
      <c r="C3057" t="s">
        <v>1218</v>
      </c>
      <c r="D3057" s="4">
        <v>45347</v>
      </c>
      <c r="E3057" t="s">
        <v>1514</v>
      </c>
      <c r="F3057" t="s">
        <v>75</v>
      </c>
      <c r="I3057" s="6">
        <v>0</v>
      </c>
      <c r="J3057" s="6">
        <v>0</v>
      </c>
      <c r="K3057" s="6">
        <v>0</v>
      </c>
      <c r="L3057" s="6">
        <v>0</v>
      </c>
      <c r="M3057" s="6">
        <v>0</v>
      </c>
      <c r="N3057" s="6">
        <v>1</v>
      </c>
      <c r="O3057" s="6">
        <v>0</v>
      </c>
      <c r="P3057" s="6">
        <v>0</v>
      </c>
      <c r="Q3057">
        <v>1</v>
      </c>
      <c r="R3057">
        <f t="shared" si="235"/>
        <v>0</v>
      </c>
      <c r="S3057">
        <f t="shared" si="236"/>
        <v>1</v>
      </c>
      <c r="T3057">
        <f t="shared" si="237"/>
        <v>1</v>
      </c>
      <c r="U3057">
        <f t="shared" si="238"/>
        <v>1</v>
      </c>
      <c r="V3057">
        <f t="shared" si="239"/>
        <v>0</v>
      </c>
    </row>
    <row r="3058" spans="1:22" x14ac:dyDescent="0.25">
      <c r="A3058">
        <v>3055</v>
      </c>
      <c r="B3058" t="s">
        <v>26</v>
      </c>
      <c r="C3058" t="s">
        <v>1218</v>
      </c>
      <c r="D3058" s="4">
        <v>45347</v>
      </c>
      <c r="E3058" t="s">
        <v>2633</v>
      </c>
      <c r="F3058" t="s">
        <v>75</v>
      </c>
      <c r="I3058" s="6">
        <v>0</v>
      </c>
      <c r="J3058" s="6">
        <v>0</v>
      </c>
      <c r="K3058" s="6">
        <v>0</v>
      </c>
      <c r="L3058" s="6">
        <v>1</v>
      </c>
      <c r="M3058" s="6">
        <v>0</v>
      </c>
      <c r="N3058" s="6">
        <v>1</v>
      </c>
      <c r="O3058" s="6">
        <v>0</v>
      </c>
      <c r="P3058" s="6">
        <v>0</v>
      </c>
      <c r="Q3058">
        <v>1</v>
      </c>
      <c r="R3058">
        <f t="shared" si="235"/>
        <v>0</v>
      </c>
      <c r="S3058">
        <f t="shared" si="236"/>
        <v>1</v>
      </c>
      <c r="T3058">
        <f t="shared" si="237"/>
        <v>2</v>
      </c>
      <c r="U3058">
        <f t="shared" si="238"/>
        <v>1</v>
      </c>
      <c r="V3058">
        <f t="shared" si="239"/>
        <v>0</v>
      </c>
    </row>
    <row r="3059" spans="1:22" x14ac:dyDescent="0.25">
      <c r="A3059">
        <v>3056</v>
      </c>
      <c r="B3059" t="s">
        <v>26</v>
      </c>
      <c r="C3059" t="s">
        <v>1218</v>
      </c>
      <c r="D3059" s="4">
        <v>45347</v>
      </c>
      <c r="E3059" t="s">
        <v>2632</v>
      </c>
      <c r="F3059" t="s">
        <v>75</v>
      </c>
      <c r="I3059" s="6"/>
      <c r="J3059" s="6"/>
      <c r="K3059" s="6"/>
      <c r="L3059" s="6"/>
      <c r="M3059" s="6"/>
      <c r="N3059" s="6"/>
      <c r="O3059" s="6"/>
      <c r="P3059" s="6"/>
      <c r="Q3059">
        <v>0</v>
      </c>
      <c r="R3059">
        <f t="shared" si="235"/>
        <v>0</v>
      </c>
      <c r="S3059">
        <f t="shared" si="236"/>
        <v>0</v>
      </c>
      <c r="T3059">
        <f t="shared" si="237"/>
        <v>0</v>
      </c>
      <c r="U3059">
        <f t="shared" si="238"/>
        <v>0</v>
      </c>
      <c r="V3059">
        <f t="shared" si="239"/>
        <v>0</v>
      </c>
    </row>
    <row r="3060" spans="1:22" x14ac:dyDescent="0.25">
      <c r="A3060">
        <v>3057</v>
      </c>
      <c r="B3060" t="s">
        <v>26</v>
      </c>
      <c r="C3060" t="s">
        <v>1218</v>
      </c>
      <c r="D3060" s="4">
        <v>45347</v>
      </c>
      <c r="E3060" t="s">
        <v>1289</v>
      </c>
      <c r="F3060" t="s">
        <v>75</v>
      </c>
      <c r="I3060" s="6">
        <v>0</v>
      </c>
      <c r="J3060" s="6">
        <v>0</v>
      </c>
      <c r="K3060" s="6">
        <v>0</v>
      </c>
      <c r="L3060" s="6">
        <v>0</v>
      </c>
      <c r="M3060" s="6">
        <v>0</v>
      </c>
      <c r="N3060" s="6">
        <v>1</v>
      </c>
      <c r="O3060" s="6">
        <v>0</v>
      </c>
      <c r="P3060" s="6">
        <v>0</v>
      </c>
      <c r="Q3060">
        <v>1</v>
      </c>
      <c r="R3060">
        <f t="shared" si="235"/>
        <v>0</v>
      </c>
      <c r="S3060">
        <f t="shared" si="236"/>
        <v>1</v>
      </c>
      <c r="T3060">
        <f t="shared" si="237"/>
        <v>1</v>
      </c>
      <c r="U3060">
        <f t="shared" si="238"/>
        <v>1</v>
      </c>
      <c r="V3060">
        <f t="shared" si="239"/>
        <v>0</v>
      </c>
    </row>
    <row r="3061" spans="1:22" x14ac:dyDescent="0.25">
      <c r="A3061">
        <v>3058</v>
      </c>
      <c r="B3061" t="s">
        <v>26</v>
      </c>
      <c r="C3061" t="s">
        <v>1218</v>
      </c>
      <c r="D3061" s="4">
        <v>45347</v>
      </c>
      <c r="E3061" t="s">
        <v>2631</v>
      </c>
      <c r="F3061" t="s">
        <v>75</v>
      </c>
      <c r="I3061" s="6"/>
      <c r="J3061" s="6"/>
      <c r="K3061" s="6"/>
      <c r="L3061" s="6"/>
      <c r="M3061" s="6"/>
      <c r="N3061" s="6"/>
      <c r="O3061" s="6"/>
      <c r="P3061" s="6"/>
      <c r="Q3061">
        <v>0</v>
      </c>
      <c r="R3061">
        <f t="shared" si="235"/>
        <v>0</v>
      </c>
      <c r="S3061">
        <f t="shared" si="236"/>
        <v>0</v>
      </c>
      <c r="T3061">
        <f t="shared" si="237"/>
        <v>0</v>
      </c>
      <c r="U3061">
        <f t="shared" si="238"/>
        <v>0</v>
      </c>
      <c r="V3061">
        <f t="shared" si="239"/>
        <v>0</v>
      </c>
    </row>
    <row r="3062" spans="1:22" x14ac:dyDescent="0.25">
      <c r="A3062">
        <v>3059</v>
      </c>
      <c r="B3062" t="s">
        <v>26</v>
      </c>
      <c r="C3062" t="s">
        <v>1218</v>
      </c>
      <c r="D3062" s="4">
        <v>45347</v>
      </c>
      <c r="E3062" t="s">
        <v>2630</v>
      </c>
      <c r="F3062" t="s">
        <v>75</v>
      </c>
      <c r="I3062" s="6"/>
      <c r="J3062" s="6"/>
      <c r="K3062" s="6"/>
      <c r="L3062" s="6"/>
      <c r="M3062" s="6"/>
      <c r="N3062" s="6"/>
      <c r="O3062" s="6"/>
      <c r="P3062" s="6"/>
      <c r="Q3062">
        <v>0</v>
      </c>
      <c r="R3062">
        <f t="shared" si="235"/>
        <v>0</v>
      </c>
      <c r="S3062">
        <f t="shared" si="236"/>
        <v>0</v>
      </c>
      <c r="T3062">
        <f t="shared" si="237"/>
        <v>0</v>
      </c>
      <c r="U3062">
        <f t="shared" si="238"/>
        <v>0</v>
      </c>
      <c r="V3062">
        <f t="shared" si="239"/>
        <v>0</v>
      </c>
    </row>
    <row r="3063" spans="1:22" x14ac:dyDescent="0.25">
      <c r="A3063">
        <v>3060</v>
      </c>
      <c r="B3063" t="s">
        <v>26</v>
      </c>
      <c r="C3063" t="s">
        <v>1218</v>
      </c>
      <c r="D3063" s="4">
        <v>45347</v>
      </c>
      <c r="E3063" t="s">
        <v>2629</v>
      </c>
      <c r="F3063" t="s">
        <v>75</v>
      </c>
      <c r="I3063" s="6"/>
      <c r="J3063" s="6"/>
      <c r="K3063" s="6"/>
      <c r="L3063" s="6"/>
      <c r="M3063" s="6"/>
      <c r="N3063" s="6"/>
      <c r="O3063" s="6"/>
      <c r="P3063" s="6"/>
      <c r="Q3063">
        <v>0</v>
      </c>
      <c r="R3063">
        <f t="shared" si="235"/>
        <v>0</v>
      </c>
      <c r="S3063">
        <f t="shared" si="236"/>
        <v>0</v>
      </c>
      <c r="T3063">
        <f t="shared" si="237"/>
        <v>0</v>
      </c>
      <c r="U3063">
        <f t="shared" si="238"/>
        <v>0</v>
      </c>
      <c r="V3063">
        <f t="shared" si="239"/>
        <v>0</v>
      </c>
    </row>
    <row r="3064" spans="1:22" x14ac:dyDescent="0.25">
      <c r="A3064">
        <v>3061</v>
      </c>
      <c r="B3064" t="s">
        <v>26</v>
      </c>
      <c r="C3064" t="s">
        <v>1218</v>
      </c>
      <c r="D3064" s="4">
        <v>45347</v>
      </c>
      <c r="E3064" t="s">
        <v>1290</v>
      </c>
      <c r="F3064" t="s">
        <v>75</v>
      </c>
      <c r="I3064" s="6">
        <v>0</v>
      </c>
      <c r="J3064" s="6">
        <v>0</v>
      </c>
      <c r="K3064" s="6">
        <v>0</v>
      </c>
      <c r="L3064" s="6">
        <v>0</v>
      </c>
      <c r="M3064" s="6">
        <v>0</v>
      </c>
      <c r="N3064" s="6">
        <v>1</v>
      </c>
      <c r="O3064" s="6">
        <v>0</v>
      </c>
      <c r="P3064" s="6">
        <v>0</v>
      </c>
      <c r="Q3064">
        <v>1</v>
      </c>
      <c r="R3064">
        <f t="shared" si="235"/>
        <v>0</v>
      </c>
      <c r="S3064">
        <f t="shared" si="236"/>
        <v>1</v>
      </c>
      <c r="T3064">
        <f t="shared" si="237"/>
        <v>1</v>
      </c>
      <c r="U3064">
        <f t="shared" si="238"/>
        <v>1</v>
      </c>
      <c r="V3064">
        <f t="shared" si="239"/>
        <v>0</v>
      </c>
    </row>
    <row r="3065" spans="1:22" x14ac:dyDescent="0.25">
      <c r="A3065">
        <v>3062</v>
      </c>
      <c r="B3065" t="s">
        <v>26</v>
      </c>
      <c r="C3065" t="s">
        <v>1218</v>
      </c>
      <c r="D3065" s="4">
        <v>45347</v>
      </c>
      <c r="E3065" t="s">
        <v>2628</v>
      </c>
      <c r="F3065" t="s">
        <v>75</v>
      </c>
      <c r="I3065" s="6"/>
      <c r="J3065" s="6"/>
      <c r="K3065" s="6"/>
      <c r="L3065" s="6"/>
      <c r="M3065" s="6"/>
      <c r="N3065" s="6"/>
      <c r="O3065" s="6"/>
      <c r="P3065" s="6"/>
      <c r="Q3065">
        <v>0</v>
      </c>
      <c r="R3065">
        <f t="shared" si="235"/>
        <v>0</v>
      </c>
      <c r="S3065">
        <f t="shared" si="236"/>
        <v>0</v>
      </c>
      <c r="T3065">
        <f t="shared" si="237"/>
        <v>0</v>
      </c>
      <c r="U3065">
        <f t="shared" si="238"/>
        <v>0</v>
      </c>
      <c r="V3065">
        <f t="shared" si="239"/>
        <v>0</v>
      </c>
    </row>
    <row r="3066" spans="1:22" x14ac:dyDescent="0.25">
      <c r="A3066">
        <v>3063</v>
      </c>
      <c r="B3066" t="s">
        <v>26</v>
      </c>
      <c r="C3066" t="s">
        <v>1218</v>
      </c>
      <c r="D3066" s="4">
        <v>45347</v>
      </c>
      <c r="E3066" t="s">
        <v>1291</v>
      </c>
      <c r="F3066" t="s">
        <v>75</v>
      </c>
      <c r="I3066" s="6">
        <v>0</v>
      </c>
      <c r="J3066" s="6">
        <v>0</v>
      </c>
      <c r="K3066" s="6">
        <v>0</v>
      </c>
      <c r="L3066" s="6">
        <v>0</v>
      </c>
      <c r="M3066" s="6">
        <v>0</v>
      </c>
      <c r="N3066" s="6">
        <v>1</v>
      </c>
      <c r="O3066" s="6">
        <v>0</v>
      </c>
      <c r="P3066" s="6">
        <v>0</v>
      </c>
      <c r="Q3066">
        <v>1</v>
      </c>
      <c r="R3066">
        <f t="shared" si="235"/>
        <v>0</v>
      </c>
      <c r="S3066">
        <f t="shared" si="236"/>
        <v>1</v>
      </c>
      <c r="T3066">
        <f t="shared" si="237"/>
        <v>1</v>
      </c>
      <c r="U3066">
        <f t="shared" si="238"/>
        <v>1</v>
      </c>
      <c r="V3066">
        <f t="shared" si="239"/>
        <v>0</v>
      </c>
    </row>
    <row r="3067" spans="1:22" x14ac:dyDescent="0.25">
      <c r="A3067">
        <v>3064</v>
      </c>
      <c r="B3067" t="s">
        <v>26</v>
      </c>
      <c r="C3067" t="s">
        <v>1218</v>
      </c>
      <c r="D3067" s="4">
        <v>45347</v>
      </c>
      <c r="E3067" t="s">
        <v>2627</v>
      </c>
      <c r="F3067" t="s">
        <v>75</v>
      </c>
      <c r="I3067" s="6"/>
      <c r="J3067" s="6"/>
      <c r="K3067" s="6"/>
      <c r="L3067" s="6"/>
      <c r="M3067" s="6"/>
      <c r="N3067" s="6"/>
      <c r="O3067" s="6"/>
      <c r="P3067" s="6"/>
      <c r="Q3067">
        <v>0</v>
      </c>
      <c r="R3067">
        <f t="shared" si="235"/>
        <v>0</v>
      </c>
      <c r="S3067">
        <f t="shared" si="236"/>
        <v>0</v>
      </c>
      <c r="T3067">
        <f t="shared" si="237"/>
        <v>0</v>
      </c>
      <c r="U3067">
        <f t="shared" si="238"/>
        <v>0</v>
      </c>
      <c r="V3067">
        <f t="shared" si="239"/>
        <v>0</v>
      </c>
    </row>
    <row r="3068" spans="1:22" x14ac:dyDescent="0.25">
      <c r="A3068">
        <v>3065</v>
      </c>
      <c r="B3068" t="s">
        <v>26</v>
      </c>
      <c r="C3068" t="s">
        <v>1218</v>
      </c>
      <c r="D3068" s="4">
        <v>45347</v>
      </c>
      <c r="E3068" t="s">
        <v>2262</v>
      </c>
      <c r="F3068" t="s">
        <v>75</v>
      </c>
      <c r="I3068" s="6"/>
      <c r="J3068" s="6"/>
      <c r="K3068" s="6"/>
      <c r="L3068" s="6"/>
      <c r="M3068" s="6"/>
      <c r="N3068" s="6"/>
      <c r="O3068" s="6"/>
      <c r="P3068" s="6"/>
      <c r="Q3068">
        <v>0</v>
      </c>
      <c r="R3068">
        <f t="shared" si="235"/>
        <v>0</v>
      </c>
      <c r="S3068">
        <f t="shared" si="236"/>
        <v>0</v>
      </c>
      <c r="T3068">
        <f t="shared" si="237"/>
        <v>0</v>
      </c>
      <c r="U3068">
        <f t="shared" si="238"/>
        <v>0</v>
      </c>
      <c r="V3068">
        <f t="shared" si="239"/>
        <v>0</v>
      </c>
    </row>
    <row r="3069" spans="1:22" x14ac:dyDescent="0.25">
      <c r="A3069">
        <v>3066</v>
      </c>
      <c r="B3069" t="s">
        <v>26</v>
      </c>
      <c r="C3069" t="s">
        <v>1218</v>
      </c>
      <c r="D3069" s="4">
        <v>45347</v>
      </c>
      <c r="E3069" t="s">
        <v>2626</v>
      </c>
      <c r="F3069" t="s">
        <v>75</v>
      </c>
      <c r="I3069" s="6"/>
      <c r="J3069" s="6"/>
      <c r="K3069" s="6"/>
      <c r="L3069" s="6"/>
      <c r="M3069" s="6"/>
      <c r="N3069" s="6"/>
      <c r="O3069" s="6"/>
      <c r="P3069" s="6"/>
      <c r="Q3069">
        <v>0</v>
      </c>
      <c r="R3069">
        <f t="shared" si="235"/>
        <v>0</v>
      </c>
      <c r="S3069">
        <f t="shared" si="236"/>
        <v>0</v>
      </c>
      <c r="T3069">
        <f t="shared" si="237"/>
        <v>0</v>
      </c>
      <c r="U3069">
        <f t="shared" si="238"/>
        <v>0</v>
      </c>
      <c r="V3069">
        <f t="shared" si="239"/>
        <v>0</v>
      </c>
    </row>
    <row r="3070" spans="1:22" x14ac:dyDescent="0.25">
      <c r="A3070">
        <v>3067</v>
      </c>
      <c r="B3070" t="s">
        <v>26</v>
      </c>
      <c r="C3070" t="s">
        <v>1218</v>
      </c>
      <c r="D3070" s="4">
        <v>45347</v>
      </c>
      <c r="E3070" t="s">
        <v>2625</v>
      </c>
      <c r="F3070" t="s">
        <v>75</v>
      </c>
      <c r="I3070" s="6"/>
      <c r="J3070" s="6"/>
      <c r="K3070" s="6"/>
      <c r="L3070" s="6"/>
      <c r="M3070" s="6"/>
      <c r="N3070" s="6"/>
      <c r="O3070" s="6"/>
      <c r="P3070" s="6"/>
      <c r="Q3070">
        <v>0</v>
      </c>
      <c r="R3070">
        <f t="shared" si="235"/>
        <v>0</v>
      </c>
      <c r="S3070">
        <f t="shared" si="236"/>
        <v>0</v>
      </c>
      <c r="T3070">
        <f t="shared" si="237"/>
        <v>0</v>
      </c>
      <c r="U3070">
        <f t="shared" si="238"/>
        <v>0</v>
      </c>
      <c r="V3070">
        <f t="shared" si="239"/>
        <v>0</v>
      </c>
    </row>
    <row r="3071" spans="1:22" x14ac:dyDescent="0.25">
      <c r="A3071">
        <v>3068</v>
      </c>
      <c r="B3071" t="s">
        <v>26</v>
      </c>
      <c r="C3071" t="s">
        <v>1218</v>
      </c>
      <c r="D3071" s="4">
        <v>45347</v>
      </c>
      <c r="E3071" t="s">
        <v>2624</v>
      </c>
      <c r="F3071" t="s">
        <v>75</v>
      </c>
      <c r="I3071" s="6">
        <v>0</v>
      </c>
      <c r="J3071" s="6">
        <v>0</v>
      </c>
      <c r="K3071" s="6">
        <v>0</v>
      </c>
      <c r="L3071" s="6">
        <v>0</v>
      </c>
      <c r="M3071" s="6">
        <v>0</v>
      </c>
      <c r="N3071" s="6">
        <v>0</v>
      </c>
      <c r="O3071" s="6">
        <v>0</v>
      </c>
      <c r="P3071" s="6">
        <v>0</v>
      </c>
      <c r="Q3071">
        <v>1</v>
      </c>
      <c r="R3071">
        <f t="shared" si="235"/>
        <v>0</v>
      </c>
      <c r="S3071">
        <f t="shared" si="236"/>
        <v>1</v>
      </c>
      <c r="T3071">
        <f t="shared" si="237"/>
        <v>0</v>
      </c>
      <c r="U3071">
        <f t="shared" si="238"/>
        <v>0</v>
      </c>
      <c r="V3071">
        <f t="shared" si="239"/>
        <v>0</v>
      </c>
    </row>
    <row r="3072" spans="1:22" x14ac:dyDescent="0.25">
      <c r="A3072">
        <v>3069</v>
      </c>
      <c r="B3072" t="s">
        <v>26</v>
      </c>
      <c r="C3072" t="s">
        <v>1218</v>
      </c>
      <c r="D3072" s="4">
        <v>45347</v>
      </c>
      <c r="E3072" t="s">
        <v>2261</v>
      </c>
      <c r="F3072" t="s">
        <v>75</v>
      </c>
      <c r="I3072" s="6"/>
      <c r="J3072" s="6"/>
      <c r="K3072" s="6"/>
      <c r="L3072" s="6"/>
      <c r="M3072" s="6"/>
      <c r="N3072" s="6"/>
      <c r="O3072" s="6"/>
      <c r="P3072" s="6"/>
      <c r="Q3072">
        <v>0</v>
      </c>
      <c r="R3072">
        <f t="shared" si="235"/>
        <v>0</v>
      </c>
      <c r="S3072">
        <f t="shared" si="236"/>
        <v>0</v>
      </c>
      <c r="T3072">
        <f t="shared" si="237"/>
        <v>0</v>
      </c>
      <c r="U3072">
        <f t="shared" si="238"/>
        <v>0</v>
      </c>
      <c r="V3072">
        <f t="shared" si="239"/>
        <v>0</v>
      </c>
    </row>
    <row r="3073" spans="1:22" x14ac:dyDescent="0.25">
      <c r="A3073">
        <v>3070</v>
      </c>
      <c r="B3073" t="s">
        <v>26</v>
      </c>
      <c r="C3073" t="s">
        <v>1218</v>
      </c>
      <c r="D3073" s="4">
        <v>45347</v>
      </c>
      <c r="E3073" t="s">
        <v>2260</v>
      </c>
      <c r="F3073" t="s">
        <v>75</v>
      </c>
      <c r="I3073" s="6"/>
      <c r="J3073" s="6"/>
      <c r="K3073" s="6"/>
      <c r="L3073" s="6"/>
      <c r="M3073" s="6"/>
      <c r="N3073" s="6"/>
      <c r="O3073" s="6"/>
      <c r="P3073" s="6"/>
      <c r="Q3073">
        <v>0</v>
      </c>
      <c r="R3073">
        <f t="shared" si="235"/>
        <v>0</v>
      </c>
      <c r="S3073">
        <f t="shared" si="236"/>
        <v>0</v>
      </c>
      <c r="T3073">
        <f t="shared" si="237"/>
        <v>0</v>
      </c>
      <c r="U3073">
        <f t="shared" si="238"/>
        <v>0</v>
      </c>
      <c r="V3073">
        <f t="shared" si="239"/>
        <v>0</v>
      </c>
    </row>
    <row r="3074" spans="1:22" x14ac:dyDescent="0.25">
      <c r="A3074">
        <v>3071</v>
      </c>
      <c r="B3074" t="s">
        <v>26</v>
      </c>
      <c r="C3074" t="s">
        <v>1218</v>
      </c>
      <c r="D3074" s="4">
        <v>45347</v>
      </c>
      <c r="E3074" t="s">
        <v>1292</v>
      </c>
      <c r="F3074" t="s">
        <v>75</v>
      </c>
      <c r="I3074" s="6">
        <v>0</v>
      </c>
      <c r="J3074" s="6">
        <v>0</v>
      </c>
      <c r="K3074" s="6">
        <v>0</v>
      </c>
      <c r="L3074" s="6">
        <v>0</v>
      </c>
      <c r="M3074" s="6">
        <v>0</v>
      </c>
      <c r="N3074" s="6">
        <v>1</v>
      </c>
      <c r="O3074" s="6">
        <v>0</v>
      </c>
      <c r="P3074" s="6">
        <v>0</v>
      </c>
      <c r="Q3074">
        <v>1</v>
      </c>
      <c r="R3074">
        <f t="shared" si="235"/>
        <v>0</v>
      </c>
      <c r="S3074">
        <f t="shared" si="236"/>
        <v>1</v>
      </c>
      <c r="T3074">
        <f t="shared" si="237"/>
        <v>1</v>
      </c>
      <c r="U3074">
        <f t="shared" si="238"/>
        <v>1</v>
      </c>
      <c r="V3074">
        <f t="shared" si="239"/>
        <v>0</v>
      </c>
    </row>
    <row r="3075" spans="1:22" x14ac:dyDescent="0.25">
      <c r="A3075">
        <v>3072</v>
      </c>
      <c r="B3075" t="s">
        <v>26</v>
      </c>
      <c r="C3075" t="s">
        <v>1218</v>
      </c>
      <c r="D3075" s="4">
        <v>45347</v>
      </c>
      <c r="E3075" t="s">
        <v>2623</v>
      </c>
      <c r="F3075" t="s">
        <v>75</v>
      </c>
      <c r="I3075" s="6"/>
      <c r="J3075" s="6"/>
      <c r="K3075" s="6"/>
      <c r="L3075" s="6"/>
      <c r="M3075" s="6"/>
      <c r="N3075" s="6"/>
      <c r="O3075" s="6"/>
      <c r="P3075" s="6"/>
      <c r="Q3075">
        <v>0</v>
      </c>
      <c r="R3075">
        <f t="shared" ref="R3075:R3138" si="240">IF(AND(Q3075=1,F3075="ai_full"),1,0)</f>
        <v>0</v>
      </c>
      <c r="S3075">
        <f t="shared" ref="S3075:S3138" si="241">IF(AND(Q3075=1,F3075="conventional"),1,0)</f>
        <v>0</v>
      </c>
      <c r="T3075">
        <f t="shared" ref="T3075:T3138" si="242">SUM(I3075:P3075)</f>
        <v>0</v>
      </c>
      <c r="U3075">
        <f t="shared" ref="U3075:U3138" si="243">IF(T3075&gt;=1,1,0)</f>
        <v>0</v>
      </c>
      <c r="V3075">
        <f t="shared" ref="V3075:V3138" si="244">IF(F3075="ai_full",1,0)</f>
        <v>0</v>
      </c>
    </row>
    <row r="3076" spans="1:22" x14ac:dyDescent="0.25">
      <c r="A3076">
        <v>3073</v>
      </c>
      <c r="B3076" t="s">
        <v>26</v>
      </c>
      <c r="C3076" t="s">
        <v>1218</v>
      </c>
      <c r="D3076" s="4">
        <v>45347</v>
      </c>
      <c r="E3076" t="s">
        <v>2622</v>
      </c>
      <c r="F3076" t="s">
        <v>75</v>
      </c>
      <c r="I3076" s="6"/>
      <c r="J3076" s="6"/>
      <c r="K3076" s="6"/>
      <c r="L3076" s="6"/>
      <c r="M3076" s="6"/>
      <c r="N3076" s="6"/>
      <c r="O3076" s="6"/>
      <c r="P3076" s="6"/>
      <c r="Q3076">
        <v>0</v>
      </c>
      <c r="R3076">
        <f t="shared" si="240"/>
        <v>0</v>
      </c>
      <c r="S3076">
        <f t="shared" si="241"/>
        <v>0</v>
      </c>
      <c r="T3076">
        <f t="shared" si="242"/>
        <v>0</v>
      </c>
      <c r="U3076">
        <f t="shared" si="243"/>
        <v>0</v>
      </c>
      <c r="V3076">
        <f t="shared" si="244"/>
        <v>0</v>
      </c>
    </row>
    <row r="3077" spans="1:22" x14ac:dyDescent="0.25">
      <c r="A3077">
        <v>3074</v>
      </c>
      <c r="B3077" t="s">
        <v>26</v>
      </c>
      <c r="C3077" t="s">
        <v>1218</v>
      </c>
      <c r="D3077" s="4">
        <v>45347</v>
      </c>
      <c r="E3077" t="s">
        <v>2621</v>
      </c>
      <c r="F3077" t="s">
        <v>75</v>
      </c>
      <c r="I3077" s="6"/>
      <c r="J3077" s="6"/>
      <c r="K3077" s="6"/>
      <c r="L3077" s="6"/>
      <c r="M3077" s="6"/>
      <c r="N3077" s="6"/>
      <c r="O3077" s="6"/>
      <c r="P3077" s="6"/>
      <c r="Q3077">
        <v>0</v>
      </c>
      <c r="R3077">
        <f t="shared" si="240"/>
        <v>0</v>
      </c>
      <c r="S3077">
        <f t="shared" si="241"/>
        <v>0</v>
      </c>
      <c r="T3077">
        <f t="shared" si="242"/>
        <v>0</v>
      </c>
      <c r="U3077">
        <f t="shared" si="243"/>
        <v>0</v>
      </c>
      <c r="V3077">
        <f t="shared" si="244"/>
        <v>0</v>
      </c>
    </row>
    <row r="3078" spans="1:22" x14ac:dyDescent="0.25">
      <c r="A3078">
        <v>3075</v>
      </c>
      <c r="B3078" t="s">
        <v>26</v>
      </c>
      <c r="C3078" t="s">
        <v>1218</v>
      </c>
      <c r="D3078" s="4">
        <v>45347</v>
      </c>
      <c r="E3078" t="s">
        <v>2620</v>
      </c>
      <c r="F3078" t="s">
        <v>75</v>
      </c>
      <c r="I3078" s="6"/>
      <c r="J3078" s="6"/>
      <c r="K3078" s="6"/>
      <c r="L3078" s="6"/>
      <c r="M3078" s="6"/>
      <c r="N3078" s="6"/>
      <c r="O3078" s="6"/>
      <c r="P3078" s="6"/>
      <c r="Q3078">
        <v>0</v>
      </c>
      <c r="R3078">
        <f t="shared" si="240"/>
        <v>0</v>
      </c>
      <c r="S3078">
        <f t="shared" si="241"/>
        <v>0</v>
      </c>
      <c r="T3078">
        <f t="shared" si="242"/>
        <v>0</v>
      </c>
      <c r="U3078">
        <f t="shared" si="243"/>
        <v>0</v>
      </c>
      <c r="V3078">
        <f t="shared" si="244"/>
        <v>0</v>
      </c>
    </row>
    <row r="3079" spans="1:22" x14ac:dyDescent="0.25">
      <c r="A3079">
        <v>3076</v>
      </c>
      <c r="B3079" t="s">
        <v>26</v>
      </c>
      <c r="C3079" t="s">
        <v>1218</v>
      </c>
      <c r="D3079" s="4">
        <v>45348</v>
      </c>
      <c r="E3079" t="s">
        <v>1293</v>
      </c>
      <c r="F3079" t="s">
        <v>75</v>
      </c>
      <c r="I3079" s="6">
        <v>0</v>
      </c>
      <c r="J3079" s="6">
        <v>0</v>
      </c>
      <c r="K3079" s="6">
        <v>0</v>
      </c>
      <c r="L3079" s="6">
        <v>0</v>
      </c>
      <c r="M3079" s="6">
        <v>0</v>
      </c>
      <c r="N3079" s="6">
        <v>1</v>
      </c>
      <c r="O3079" s="6">
        <v>0</v>
      </c>
      <c r="P3079" s="6">
        <v>0</v>
      </c>
      <c r="Q3079">
        <v>1</v>
      </c>
      <c r="R3079">
        <f t="shared" si="240"/>
        <v>0</v>
      </c>
      <c r="S3079">
        <f t="shared" si="241"/>
        <v>1</v>
      </c>
      <c r="T3079">
        <f t="shared" si="242"/>
        <v>1</v>
      </c>
      <c r="U3079">
        <f t="shared" si="243"/>
        <v>1</v>
      </c>
      <c r="V3079">
        <f t="shared" si="244"/>
        <v>0</v>
      </c>
    </row>
    <row r="3080" spans="1:22" x14ac:dyDescent="0.25">
      <c r="A3080">
        <v>3077</v>
      </c>
      <c r="B3080" t="s">
        <v>26</v>
      </c>
      <c r="C3080" t="s">
        <v>1218</v>
      </c>
      <c r="D3080" s="4">
        <v>45348</v>
      </c>
      <c r="E3080" t="s">
        <v>2619</v>
      </c>
      <c r="F3080" t="s">
        <v>75</v>
      </c>
      <c r="I3080" s="6">
        <v>0</v>
      </c>
      <c r="J3080" s="6">
        <v>0</v>
      </c>
      <c r="K3080" s="6">
        <v>0</v>
      </c>
      <c r="L3080" s="6">
        <v>1</v>
      </c>
      <c r="M3080" s="6">
        <v>0</v>
      </c>
      <c r="N3080" s="6">
        <v>1</v>
      </c>
      <c r="O3080" s="6">
        <v>0</v>
      </c>
      <c r="P3080" s="6">
        <v>0</v>
      </c>
      <c r="Q3080">
        <v>1</v>
      </c>
      <c r="R3080">
        <f t="shared" si="240"/>
        <v>0</v>
      </c>
      <c r="S3080">
        <f t="shared" si="241"/>
        <v>1</v>
      </c>
      <c r="T3080">
        <f t="shared" si="242"/>
        <v>2</v>
      </c>
      <c r="U3080">
        <f t="shared" si="243"/>
        <v>1</v>
      </c>
      <c r="V3080">
        <f t="shared" si="244"/>
        <v>0</v>
      </c>
    </row>
    <row r="3081" spans="1:22" x14ac:dyDescent="0.25">
      <c r="A3081">
        <v>3078</v>
      </c>
      <c r="B3081" t="s">
        <v>26</v>
      </c>
      <c r="C3081" t="s">
        <v>1218</v>
      </c>
      <c r="D3081" s="4">
        <v>45348</v>
      </c>
      <c r="E3081" t="s">
        <v>2618</v>
      </c>
      <c r="F3081" t="s">
        <v>75</v>
      </c>
      <c r="I3081" s="6"/>
      <c r="J3081" s="6"/>
      <c r="K3081" s="6"/>
      <c r="L3081" s="6"/>
      <c r="M3081" s="6"/>
      <c r="N3081" s="6"/>
      <c r="O3081" s="6"/>
      <c r="P3081" s="6"/>
      <c r="Q3081">
        <v>0</v>
      </c>
      <c r="R3081">
        <f t="shared" si="240"/>
        <v>0</v>
      </c>
      <c r="S3081">
        <f t="shared" si="241"/>
        <v>0</v>
      </c>
      <c r="T3081">
        <f t="shared" si="242"/>
        <v>0</v>
      </c>
      <c r="U3081">
        <f t="shared" si="243"/>
        <v>0</v>
      </c>
      <c r="V3081">
        <f t="shared" si="244"/>
        <v>0</v>
      </c>
    </row>
    <row r="3082" spans="1:22" x14ac:dyDescent="0.25">
      <c r="A3082">
        <v>3079</v>
      </c>
      <c r="B3082" t="s">
        <v>26</v>
      </c>
      <c r="C3082" t="s">
        <v>1218</v>
      </c>
      <c r="D3082" s="4">
        <v>45348</v>
      </c>
      <c r="E3082" t="s">
        <v>2617</v>
      </c>
      <c r="F3082" t="s">
        <v>75</v>
      </c>
      <c r="I3082" s="6"/>
      <c r="J3082" s="6"/>
      <c r="K3082" s="6"/>
      <c r="L3082" s="6"/>
      <c r="M3082" s="6"/>
      <c r="N3082" s="6"/>
      <c r="O3082" s="6"/>
      <c r="P3082" s="6"/>
      <c r="Q3082">
        <v>0</v>
      </c>
      <c r="R3082">
        <f t="shared" si="240"/>
        <v>0</v>
      </c>
      <c r="S3082">
        <f t="shared" si="241"/>
        <v>0</v>
      </c>
      <c r="T3082">
        <f t="shared" si="242"/>
        <v>0</v>
      </c>
      <c r="U3082">
        <f t="shared" si="243"/>
        <v>0</v>
      </c>
      <c r="V3082">
        <f t="shared" si="244"/>
        <v>0</v>
      </c>
    </row>
    <row r="3083" spans="1:22" x14ac:dyDescent="0.25">
      <c r="A3083">
        <v>3080</v>
      </c>
      <c r="B3083" t="s">
        <v>26</v>
      </c>
      <c r="C3083" t="s">
        <v>1218</v>
      </c>
      <c r="D3083" s="4">
        <v>45348</v>
      </c>
      <c r="E3083" t="s">
        <v>2616</v>
      </c>
      <c r="F3083" t="s">
        <v>75</v>
      </c>
      <c r="I3083" s="6"/>
      <c r="J3083" s="6"/>
      <c r="K3083" s="6"/>
      <c r="L3083" s="6"/>
      <c r="M3083" s="6"/>
      <c r="N3083" s="6"/>
      <c r="O3083" s="6"/>
      <c r="P3083" s="6"/>
      <c r="Q3083">
        <v>0</v>
      </c>
      <c r="R3083">
        <f t="shared" si="240"/>
        <v>0</v>
      </c>
      <c r="S3083">
        <f t="shared" si="241"/>
        <v>0</v>
      </c>
      <c r="T3083">
        <f t="shared" si="242"/>
        <v>0</v>
      </c>
      <c r="U3083">
        <f t="shared" si="243"/>
        <v>0</v>
      </c>
      <c r="V3083">
        <f t="shared" si="244"/>
        <v>0</v>
      </c>
    </row>
    <row r="3084" spans="1:22" x14ac:dyDescent="0.25">
      <c r="A3084">
        <v>3081</v>
      </c>
      <c r="B3084" t="s">
        <v>26</v>
      </c>
      <c r="C3084" t="s">
        <v>1218</v>
      </c>
      <c r="D3084" s="4">
        <v>45348</v>
      </c>
      <c r="E3084" t="s">
        <v>2615</v>
      </c>
      <c r="F3084" t="s">
        <v>75</v>
      </c>
      <c r="I3084" s="6"/>
      <c r="J3084" s="6"/>
      <c r="K3084" s="6"/>
      <c r="L3084" s="6"/>
      <c r="M3084" s="6"/>
      <c r="N3084" s="6"/>
      <c r="O3084" s="6"/>
      <c r="P3084" s="6"/>
      <c r="Q3084">
        <v>0</v>
      </c>
      <c r="R3084">
        <f t="shared" si="240"/>
        <v>0</v>
      </c>
      <c r="S3084">
        <f t="shared" si="241"/>
        <v>0</v>
      </c>
      <c r="T3084">
        <f t="shared" si="242"/>
        <v>0</v>
      </c>
      <c r="U3084">
        <f t="shared" si="243"/>
        <v>0</v>
      </c>
      <c r="V3084">
        <f t="shared" si="244"/>
        <v>0</v>
      </c>
    </row>
    <row r="3085" spans="1:22" x14ac:dyDescent="0.25">
      <c r="A3085">
        <v>3082</v>
      </c>
      <c r="B3085" t="s">
        <v>26</v>
      </c>
      <c r="C3085" t="s">
        <v>1218</v>
      </c>
      <c r="D3085" s="4">
        <v>45348</v>
      </c>
      <c r="E3085" t="s">
        <v>1294</v>
      </c>
      <c r="F3085" t="s">
        <v>75</v>
      </c>
      <c r="I3085" s="6">
        <v>0</v>
      </c>
      <c r="J3085" s="6">
        <v>0</v>
      </c>
      <c r="K3085" s="6">
        <v>0</v>
      </c>
      <c r="L3085" s="6">
        <v>0</v>
      </c>
      <c r="M3085" s="6">
        <v>0</v>
      </c>
      <c r="N3085" s="6">
        <v>1</v>
      </c>
      <c r="O3085" s="6">
        <v>0</v>
      </c>
      <c r="P3085" s="6">
        <v>0</v>
      </c>
      <c r="Q3085">
        <v>1</v>
      </c>
      <c r="R3085">
        <f t="shared" si="240"/>
        <v>0</v>
      </c>
      <c r="S3085">
        <f t="shared" si="241"/>
        <v>1</v>
      </c>
      <c r="T3085">
        <f t="shared" si="242"/>
        <v>1</v>
      </c>
      <c r="U3085">
        <f t="shared" si="243"/>
        <v>1</v>
      </c>
      <c r="V3085">
        <f t="shared" si="244"/>
        <v>0</v>
      </c>
    </row>
    <row r="3086" spans="1:22" x14ac:dyDescent="0.25">
      <c r="A3086">
        <v>3083</v>
      </c>
      <c r="B3086" t="s">
        <v>26</v>
      </c>
      <c r="C3086" t="s">
        <v>1218</v>
      </c>
      <c r="D3086" s="4">
        <v>45348</v>
      </c>
      <c r="E3086" t="s">
        <v>1295</v>
      </c>
      <c r="F3086" t="s">
        <v>75</v>
      </c>
      <c r="I3086" s="6">
        <v>0</v>
      </c>
      <c r="J3086" s="6">
        <v>0</v>
      </c>
      <c r="K3086" s="6">
        <v>0</v>
      </c>
      <c r="L3086" s="6">
        <v>0</v>
      </c>
      <c r="M3086" s="6">
        <v>0</v>
      </c>
      <c r="N3086" s="6">
        <v>1</v>
      </c>
      <c r="O3086" s="6">
        <v>0</v>
      </c>
      <c r="P3086" s="6">
        <v>0</v>
      </c>
      <c r="Q3086">
        <v>1</v>
      </c>
      <c r="R3086">
        <f t="shared" si="240"/>
        <v>0</v>
      </c>
      <c r="S3086">
        <f t="shared" si="241"/>
        <v>1</v>
      </c>
      <c r="T3086">
        <f t="shared" si="242"/>
        <v>1</v>
      </c>
      <c r="U3086">
        <f t="shared" si="243"/>
        <v>1</v>
      </c>
      <c r="V3086">
        <f t="shared" si="244"/>
        <v>0</v>
      </c>
    </row>
    <row r="3087" spans="1:22" x14ac:dyDescent="0.25">
      <c r="A3087">
        <v>3084</v>
      </c>
      <c r="B3087" t="s">
        <v>26</v>
      </c>
      <c r="C3087" t="s">
        <v>1218</v>
      </c>
      <c r="D3087" s="4">
        <v>45348</v>
      </c>
      <c r="E3087" t="s">
        <v>2614</v>
      </c>
      <c r="F3087" t="s">
        <v>75</v>
      </c>
      <c r="I3087" s="6"/>
      <c r="J3087" s="6"/>
      <c r="K3087" s="6"/>
      <c r="L3087" s="6"/>
      <c r="M3087" s="6"/>
      <c r="N3087" s="6"/>
      <c r="O3087" s="6"/>
      <c r="P3087" s="6"/>
      <c r="Q3087">
        <v>0</v>
      </c>
      <c r="R3087">
        <f t="shared" si="240"/>
        <v>0</v>
      </c>
      <c r="S3087">
        <f t="shared" si="241"/>
        <v>0</v>
      </c>
      <c r="T3087">
        <f t="shared" si="242"/>
        <v>0</v>
      </c>
      <c r="U3087">
        <f t="shared" si="243"/>
        <v>0</v>
      </c>
      <c r="V3087">
        <f t="shared" si="244"/>
        <v>0</v>
      </c>
    </row>
    <row r="3088" spans="1:22" x14ac:dyDescent="0.25">
      <c r="A3088">
        <v>3085</v>
      </c>
      <c r="B3088" t="s">
        <v>26</v>
      </c>
      <c r="C3088" t="s">
        <v>1218</v>
      </c>
      <c r="D3088" s="4">
        <v>45348</v>
      </c>
      <c r="E3088" t="s">
        <v>2613</v>
      </c>
      <c r="F3088" t="s">
        <v>75</v>
      </c>
      <c r="I3088" s="6"/>
      <c r="J3088" s="6"/>
      <c r="K3088" s="6"/>
      <c r="L3088" s="6"/>
      <c r="M3088" s="6"/>
      <c r="N3088" s="6"/>
      <c r="O3088" s="6"/>
      <c r="P3088" s="6"/>
      <c r="Q3088">
        <v>0</v>
      </c>
      <c r="R3088">
        <f t="shared" si="240"/>
        <v>0</v>
      </c>
      <c r="S3088">
        <f t="shared" si="241"/>
        <v>0</v>
      </c>
      <c r="T3088">
        <f t="shared" si="242"/>
        <v>0</v>
      </c>
      <c r="U3088">
        <f t="shared" si="243"/>
        <v>0</v>
      </c>
      <c r="V3088">
        <f t="shared" si="244"/>
        <v>0</v>
      </c>
    </row>
    <row r="3089" spans="1:22" x14ac:dyDescent="0.25">
      <c r="A3089">
        <v>3086</v>
      </c>
      <c r="B3089" t="s">
        <v>26</v>
      </c>
      <c r="C3089" t="s">
        <v>1218</v>
      </c>
      <c r="D3089" s="4">
        <v>45348</v>
      </c>
      <c r="E3089" t="s">
        <v>2612</v>
      </c>
      <c r="F3089" t="s">
        <v>75</v>
      </c>
      <c r="I3089" s="6"/>
      <c r="J3089" s="6"/>
      <c r="K3089" s="6"/>
      <c r="L3089" s="6"/>
      <c r="M3089" s="6"/>
      <c r="N3089" s="6"/>
      <c r="O3089" s="6"/>
      <c r="P3089" s="6"/>
      <c r="Q3089">
        <v>0</v>
      </c>
      <c r="R3089">
        <f t="shared" si="240"/>
        <v>0</v>
      </c>
      <c r="S3089">
        <f t="shared" si="241"/>
        <v>0</v>
      </c>
      <c r="T3089">
        <f t="shared" si="242"/>
        <v>0</v>
      </c>
      <c r="U3089">
        <f t="shared" si="243"/>
        <v>0</v>
      </c>
      <c r="V3089">
        <f t="shared" si="244"/>
        <v>0</v>
      </c>
    </row>
    <row r="3090" spans="1:22" x14ac:dyDescent="0.25">
      <c r="A3090">
        <v>3087</v>
      </c>
      <c r="B3090" t="s">
        <v>26</v>
      </c>
      <c r="C3090" t="s">
        <v>1218</v>
      </c>
      <c r="D3090" s="4">
        <v>45348</v>
      </c>
      <c r="E3090" t="s">
        <v>912</v>
      </c>
      <c r="F3090" t="s">
        <v>75</v>
      </c>
      <c r="I3090" s="6"/>
      <c r="J3090" s="6"/>
      <c r="K3090" s="6"/>
      <c r="L3090" s="6"/>
      <c r="M3090" s="6"/>
      <c r="N3090" s="6"/>
      <c r="O3090" s="6"/>
      <c r="P3090" s="6"/>
      <c r="Q3090">
        <v>0</v>
      </c>
      <c r="R3090">
        <f t="shared" si="240"/>
        <v>0</v>
      </c>
      <c r="S3090">
        <f t="shared" si="241"/>
        <v>0</v>
      </c>
      <c r="T3090">
        <f t="shared" si="242"/>
        <v>0</v>
      </c>
      <c r="U3090">
        <f t="shared" si="243"/>
        <v>0</v>
      </c>
      <c r="V3090">
        <f t="shared" si="244"/>
        <v>0</v>
      </c>
    </row>
    <row r="3091" spans="1:22" x14ac:dyDescent="0.25">
      <c r="A3091">
        <v>3088</v>
      </c>
      <c r="B3091" t="s">
        <v>26</v>
      </c>
      <c r="C3091" t="s">
        <v>1218</v>
      </c>
      <c r="D3091" s="4">
        <v>45348</v>
      </c>
      <c r="E3091" t="s">
        <v>2611</v>
      </c>
      <c r="F3091" t="s">
        <v>75</v>
      </c>
      <c r="I3091" s="6"/>
      <c r="J3091" s="6"/>
      <c r="K3091" s="6"/>
      <c r="L3091" s="6"/>
      <c r="M3091" s="6"/>
      <c r="N3091" s="6"/>
      <c r="O3091" s="6"/>
      <c r="P3091" s="6"/>
      <c r="Q3091">
        <v>0</v>
      </c>
      <c r="R3091">
        <f t="shared" si="240"/>
        <v>0</v>
      </c>
      <c r="S3091">
        <f t="shared" si="241"/>
        <v>0</v>
      </c>
      <c r="T3091">
        <f t="shared" si="242"/>
        <v>0</v>
      </c>
      <c r="U3091">
        <f t="shared" si="243"/>
        <v>0</v>
      </c>
      <c r="V3091">
        <f t="shared" si="244"/>
        <v>0</v>
      </c>
    </row>
    <row r="3092" spans="1:22" x14ac:dyDescent="0.25">
      <c r="A3092">
        <v>3089</v>
      </c>
      <c r="B3092" t="s">
        <v>26</v>
      </c>
      <c r="C3092" t="s">
        <v>1218</v>
      </c>
      <c r="D3092" s="4">
        <v>45348</v>
      </c>
      <c r="E3092" t="s">
        <v>2610</v>
      </c>
      <c r="F3092" t="s">
        <v>75</v>
      </c>
      <c r="I3092" s="6"/>
      <c r="J3092" s="6"/>
      <c r="K3092" s="6"/>
      <c r="L3092" s="6"/>
      <c r="M3092" s="6"/>
      <c r="N3092" s="6"/>
      <c r="O3092" s="6"/>
      <c r="P3092" s="6"/>
      <c r="Q3092">
        <v>0</v>
      </c>
      <c r="R3092">
        <f t="shared" si="240"/>
        <v>0</v>
      </c>
      <c r="S3092">
        <f t="shared" si="241"/>
        <v>0</v>
      </c>
      <c r="T3092">
        <f t="shared" si="242"/>
        <v>0</v>
      </c>
      <c r="U3092">
        <f t="shared" si="243"/>
        <v>0</v>
      </c>
      <c r="V3092">
        <f t="shared" si="244"/>
        <v>0</v>
      </c>
    </row>
    <row r="3093" spans="1:22" x14ac:dyDescent="0.25">
      <c r="A3093">
        <v>3090</v>
      </c>
      <c r="B3093" t="s">
        <v>26</v>
      </c>
      <c r="C3093" t="s">
        <v>1218</v>
      </c>
      <c r="D3093" s="4">
        <v>45348</v>
      </c>
      <c r="E3093" t="s">
        <v>2609</v>
      </c>
      <c r="F3093" t="s">
        <v>75</v>
      </c>
      <c r="I3093" s="6"/>
      <c r="J3093" s="6"/>
      <c r="K3093" s="6"/>
      <c r="L3093" s="6"/>
      <c r="M3093" s="6"/>
      <c r="N3093" s="6"/>
      <c r="O3093" s="6"/>
      <c r="P3093" s="6"/>
      <c r="Q3093">
        <v>0</v>
      </c>
      <c r="R3093">
        <f t="shared" si="240"/>
        <v>0</v>
      </c>
      <c r="S3093">
        <f t="shared" si="241"/>
        <v>0</v>
      </c>
      <c r="T3093">
        <f t="shared" si="242"/>
        <v>0</v>
      </c>
      <c r="U3093">
        <f t="shared" si="243"/>
        <v>0</v>
      </c>
      <c r="V3093">
        <f t="shared" si="244"/>
        <v>0</v>
      </c>
    </row>
    <row r="3094" spans="1:22" x14ac:dyDescent="0.25">
      <c r="A3094">
        <v>3091</v>
      </c>
      <c r="B3094" t="s">
        <v>26</v>
      </c>
      <c r="C3094" t="s">
        <v>1218</v>
      </c>
      <c r="D3094" s="4">
        <v>45348</v>
      </c>
      <c r="E3094" t="s">
        <v>1296</v>
      </c>
      <c r="F3094" t="s">
        <v>75</v>
      </c>
      <c r="I3094" s="6">
        <v>0</v>
      </c>
      <c r="J3094" s="6">
        <v>0</v>
      </c>
      <c r="K3094" s="6">
        <v>0</v>
      </c>
      <c r="L3094" s="6">
        <v>1</v>
      </c>
      <c r="M3094" s="6">
        <v>0</v>
      </c>
      <c r="N3094" s="6">
        <v>1</v>
      </c>
      <c r="O3094" s="6">
        <v>0</v>
      </c>
      <c r="P3094" s="6">
        <v>0</v>
      </c>
      <c r="Q3094">
        <v>1</v>
      </c>
      <c r="R3094">
        <f t="shared" si="240"/>
        <v>0</v>
      </c>
      <c r="S3094">
        <f t="shared" si="241"/>
        <v>1</v>
      </c>
      <c r="T3094">
        <f t="shared" si="242"/>
        <v>2</v>
      </c>
      <c r="U3094">
        <f t="shared" si="243"/>
        <v>1</v>
      </c>
      <c r="V3094">
        <f t="shared" si="244"/>
        <v>0</v>
      </c>
    </row>
    <row r="3095" spans="1:22" x14ac:dyDescent="0.25">
      <c r="A3095">
        <v>3092</v>
      </c>
      <c r="B3095" t="s">
        <v>26</v>
      </c>
      <c r="C3095" t="s">
        <v>1218</v>
      </c>
      <c r="D3095" s="4">
        <v>45348</v>
      </c>
      <c r="E3095" t="s">
        <v>2259</v>
      </c>
      <c r="F3095" t="s">
        <v>75</v>
      </c>
      <c r="I3095" s="6">
        <v>0</v>
      </c>
      <c r="J3095" s="6">
        <v>0</v>
      </c>
      <c r="K3095" s="6">
        <v>0</v>
      </c>
      <c r="L3095" s="6">
        <v>1</v>
      </c>
      <c r="M3095" s="6">
        <v>0</v>
      </c>
      <c r="N3095" s="6">
        <v>1</v>
      </c>
      <c r="O3095" s="6">
        <v>0</v>
      </c>
      <c r="P3095" s="6">
        <v>0</v>
      </c>
      <c r="Q3095">
        <v>1</v>
      </c>
      <c r="R3095">
        <f t="shared" si="240"/>
        <v>0</v>
      </c>
      <c r="S3095">
        <f t="shared" si="241"/>
        <v>1</v>
      </c>
      <c r="T3095">
        <f t="shared" si="242"/>
        <v>2</v>
      </c>
      <c r="U3095">
        <f t="shared" si="243"/>
        <v>1</v>
      </c>
      <c r="V3095">
        <f t="shared" si="244"/>
        <v>0</v>
      </c>
    </row>
    <row r="3096" spans="1:22" x14ac:dyDescent="0.25">
      <c r="A3096">
        <v>3093</v>
      </c>
      <c r="B3096" t="s">
        <v>26</v>
      </c>
      <c r="C3096" t="s">
        <v>1218</v>
      </c>
      <c r="D3096" s="4">
        <v>45348</v>
      </c>
      <c r="E3096" t="s">
        <v>2608</v>
      </c>
      <c r="F3096" t="s">
        <v>75</v>
      </c>
      <c r="I3096" s="6"/>
      <c r="J3096" s="6"/>
      <c r="K3096" s="6"/>
      <c r="L3096" s="6"/>
      <c r="M3096" s="6"/>
      <c r="N3096" s="6"/>
      <c r="O3096" s="6"/>
      <c r="P3096" s="6"/>
      <c r="Q3096">
        <v>0</v>
      </c>
      <c r="R3096">
        <f t="shared" si="240"/>
        <v>0</v>
      </c>
      <c r="S3096">
        <f t="shared" si="241"/>
        <v>0</v>
      </c>
      <c r="T3096">
        <f t="shared" si="242"/>
        <v>0</v>
      </c>
      <c r="U3096">
        <f t="shared" si="243"/>
        <v>0</v>
      </c>
      <c r="V3096">
        <f t="shared" si="244"/>
        <v>0</v>
      </c>
    </row>
    <row r="3097" spans="1:22" x14ac:dyDescent="0.25">
      <c r="A3097">
        <v>3094</v>
      </c>
      <c r="B3097" t="s">
        <v>26</v>
      </c>
      <c r="C3097" t="s">
        <v>1218</v>
      </c>
      <c r="D3097" s="4">
        <v>45348</v>
      </c>
      <c r="E3097" t="s">
        <v>2607</v>
      </c>
      <c r="F3097" t="s">
        <v>75</v>
      </c>
      <c r="I3097" s="6"/>
      <c r="J3097" s="6"/>
      <c r="K3097" s="6"/>
      <c r="L3097" s="6"/>
      <c r="M3097" s="6"/>
      <c r="N3097" s="6"/>
      <c r="O3097" s="6"/>
      <c r="P3097" s="6"/>
      <c r="Q3097">
        <v>0</v>
      </c>
      <c r="R3097">
        <f t="shared" si="240"/>
        <v>0</v>
      </c>
      <c r="S3097">
        <f t="shared" si="241"/>
        <v>0</v>
      </c>
      <c r="T3097">
        <f t="shared" si="242"/>
        <v>0</v>
      </c>
      <c r="U3097">
        <f t="shared" si="243"/>
        <v>0</v>
      </c>
      <c r="V3097">
        <f t="shared" si="244"/>
        <v>0</v>
      </c>
    </row>
    <row r="3098" spans="1:22" x14ac:dyDescent="0.25">
      <c r="A3098">
        <v>3095</v>
      </c>
      <c r="B3098" t="s">
        <v>26</v>
      </c>
      <c r="C3098" t="s">
        <v>1218</v>
      </c>
      <c r="D3098" s="4">
        <v>45348</v>
      </c>
      <c r="E3098" t="s">
        <v>2606</v>
      </c>
      <c r="F3098" t="s">
        <v>75</v>
      </c>
      <c r="I3098" s="6"/>
      <c r="J3098" s="6"/>
      <c r="K3098" s="6"/>
      <c r="L3098" s="6"/>
      <c r="M3098" s="6"/>
      <c r="N3098" s="6"/>
      <c r="O3098" s="6"/>
      <c r="P3098" s="6"/>
      <c r="Q3098">
        <v>0</v>
      </c>
      <c r="R3098">
        <f t="shared" si="240"/>
        <v>0</v>
      </c>
      <c r="S3098">
        <f t="shared" si="241"/>
        <v>0</v>
      </c>
      <c r="T3098">
        <f t="shared" si="242"/>
        <v>0</v>
      </c>
      <c r="U3098">
        <f t="shared" si="243"/>
        <v>0</v>
      </c>
      <c r="V3098">
        <f t="shared" si="244"/>
        <v>0</v>
      </c>
    </row>
    <row r="3099" spans="1:22" x14ac:dyDescent="0.25">
      <c r="A3099">
        <v>3096</v>
      </c>
      <c r="B3099" t="s">
        <v>26</v>
      </c>
      <c r="C3099" t="s">
        <v>1218</v>
      </c>
      <c r="D3099" s="4">
        <v>45348</v>
      </c>
      <c r="E3099" t="s">
        <v>2605</v>
      </c>
      <c r="F3099" t="s">
        <v>75</v>
      </c>
      <c r="I3099" s="6">
        <v>0</v>
      </c>
      <c r="J3099" s="6">
        <v>0</v>
      </c>
      <c r="K3099" s="6">
        <v>0</v>
      </c>
      <c r="L3099" s="6">
        <v>0</v>
      </c>
      <c r="M3099" s="6">
        <v>0</v>
      </c>
      <c r="N3099" s="6">
        <v>1</v>
      </c>
      <c r="O3099" s="6">
        <v>0</v>
      </c>
      <c r="P3099" s="6">
        <v>0</v>
      </c>
      <c r="Q3099">
        <v>1</v>
      </c>
      <c r="R3099">
        <f t="shared" si="240"/>
        <v>0</v>
      </c>
      <c r="S3099">
        <f t="shared" si="241"/>
        <v>1</v>
      </c>
      <c r="T3099">
        <f t="shared" si="242"/>
        <v>1</v>
      </c>
      <c r="U3099">
        <f t="shared" si="243"/>
        <v>1</v>
      </c>
      <c r="V3099">
        <f t="shared" si="244"/>
        <v>0</v>
      </c>
    </row>
    <row r="3100" spans="1:22" x14ac:dyDescent="0.25">
      <c r="A3100">
        <v>3097</v>
      </c>
      <c r="B3100" t="s">
        <v>26</v>
      </c>
      <c r="C3100" t="s">
        <v>1218</v>
      </c>
      <c r="D3100" s="4">
        <v>45348</v>
      </c>
      <c r="E3100" t="s">
        <v>2604</v>
      </c>
      <c r="F3100" t="s">
        <v>75</v>
      </c>
      <c r="I3100" s="6"/>
      <c r="J3100" s="6"/>
      <c r="K3100" s="6"/>
      <c r="L3100" s="6"/>
      <c r="M3100" s="6"/>
      <c r="N3100" s="6"/>
      <c r="O3100" s="6"/>
      <c r="P3100" s="6"/>
      <c r="Q3100">
        <v>0</v>
      </c>
      <c r="R3100">
        <f t="shared" si="240"/>
        <v>0</v>
      </c>
      <c r="S3100">
        <f t="shared" si="241"/>
        <v>0</v>
      </c>
      <c r="T3100">
        <f t="shared" si="242"/>
        <v>0</v>
      </c>
      <c r="U3100">
        <f t="shared" si="243"/>
        <v>0</v>
      </c>
      <c r="V3100">
        <f t="shared" si="244"/>
        <v>0</v>
      </c>
    </row>
    <row r="3101" spans="1:22" x14ac:dyDescent="0.25">
      <c r="A3101">
        <v>3098</v>
      </c>
      <c r="B3101" t="s">
        <v>26</v>
      </c>
      <c r="C3101" t="s">
        <v>1218</v>
      </c>
      <c r="D3101" s="4">
        <v>45349</v>
      </c>
      <c r="E3101" t="s">
        <v>1515</v>
      </c>
      <c r="F3101" t="s">
        <v>75</v>
      </c>
      <c r="I3101" s="6"/>
      <c r="J3101" s="6"/>
      <c r="K3101" s="6"/>
      <c r="L3101" s="6"/>
      <c r="M3101" s="6"/>
      <c r="N3101" s="6"/>
      <c r="O3101" s="6"/>
      <c r="P3101" s="6"/>
      <c r="Q3101">
        <v>0</v>
      </c>
      <c r="R3101">
        <f t="shared" si="240"/>
        <v>0</v>
      </c>
      <c r="S3101">
        <f t="shared" si="241"/>
        <v>0</v>
      </c>
      <c r="T3101">
        <f t="shared" si="242"/>
        <v>0</v>
      </c>
      <c r="U3101">
        <f t="shared" si="243"/>
        <v>0</v>
      </c>
      <c r="V3101">
        <f t="shared" si="244"/>
        <v>0</v>
      </c>
    </row>
    <row r="3102" spans="1:22" x14ac:dyDescent="0.25">
      <c r="A3102">
        <v>3099</v>
      </c>
      <c r="B3102" t="s">
        <v>26</v>
      </c>
      <c r="C3102" t="s">
        <v>1218</v>
      </c>
      <c r="D3102" s="4">
        <v>45349</v>
      </c>
      <c r="E3102" t="s">
        <v>1465</v>
      </c>
      <c r="F3102" t="s">
        <v>75</v>
      </c>
      <c r="I3102" s="6"/>
      <c r="J3102" s="6"/>
      <c r="K3102" s="6"/>
      <c r="L3102" s="6"/>
      <c r="M3102" s="6"/>
      <c r="N3102" s="6"/>
      <c r="O3102" s="6"/>
      <c r="P3102" s="6"/>
      <c r="Q3102">
        <v>0</v>
      </c>
      <c r="R3102">
        <f t="shared" si="240"/>
        <v>0</v>
      </c>
      <c r="S3102">
        <f t="shared" si="241"/>
        <v>0</v>
      </c>
      <c r="T3102">
        <f t="shared" si="242"/>
        <v>0</v>
      </c>
      <c r="U3102">
        <f t="shared" si="243"/>
        <v>0</v>
      </c>
      <c r="V3102">
        <f t="shared" si="244"/>
        <v>0</v>
      </c>
    </row>
    <row r="3103" spans="1:22" x14ac:dyDescent="0.25">
      <c r="A3103">
        <v>3100</v>
      </c>
      <c r="B3103" t="s">
        <v>26</v>
      </c>
      <c r="C3103" t="s">
        <v>1218</v>
      </c>
      <c r="D3103" s="4">
        <v>45349</v>
      </c>
      <c r="E3103" t="s">
        <v>2258</v>
      </c>
      <c r="F3103" t="s">
        <v>75</v>
      </c>
      <c r="I3103" s="6"/>
      <c r="J3103" s="6"/>
      <c r="K3103" s="6"/>
      <c r="L3103" s="6"/>
      <c r="M3103" s="6"/>
      <c r="N3103" s="6"/>
      <c r="O3103" s="6"/>
      <c r="P3103" s="6"/>
      <c r="Q3103">
        <v>0</v>
      </c>
      <c r="R3103">
        <f t="shared" si="240"/>
        <v>0</v>
      </c>
      <c r="S3103">
        <f t="shared" si="241"/>
        <v>0</v>
      </c>
      <c r="T3103">
        <f t="shared" si="242"/>
        <v>0</v>
      </c>
      <c r="U3103">
        <f t="shared" si="243"/>
        <v>0</v>
      </c>
      <c r="V3103">
        <f t="shared" si="244"/>
        <v>0</v>
      </c>
    </row>
    <row r="3104" spans="1:22" x14ac:dyDescent="0.25">
      <c r="A3104">
        <v>3101</v>
      </c>
      <c r="B3104" t="s">
        <v>26</v>
      </c>
      <c r="C3104" t="s">
        <v>1218</v>
      </c>
      <c r="D3104" s="4">
        <v>45349</v>
      </c>
      <c r="E3104" t="s">
        <v>2257</v>
      </c>
      <c r="F3104" t="s">
        <v>75</v>
      </c>
      <c r="I3104" s="6">
        <v>1</v>
      </c>
      <c r="J3104" s="6">
        <v>0</v>
      </c>
      <c r="K3104" s="6">
        <v>1</v>
      </c>
      <c r="L3104" s="6">
        <v>1</v>
      </c>
      <c r="M3104" s="6">
        <v>0</v>
      </c>
      <c r="N3104" s="6">
        <v>0</v>
      </c>
      <c r="O3104" s="6">
        <v>0</v>
      </c>
      <c r="P3104" s="6">
        <v>0</v>
      </c>
      <c r="Q3104">
        <v>1</v>
      </c>
      <c r="R3104">
        <f t="shared" si="240"/>
        <v>0</v>
      </c>
      <c r="S3104">
        <f t="shared" si="241"/>
        <v>1</v>
      </c>
      <c r="T3104">
        <f t="shared" si="242"/>
        <v>3</v>
      </c>
      <c r="U3104">
        <f t="shared" si="243"/>
        <v>1</v>
      </c>
      <c r="V3104">
        <f t="shared" si="244"/>
        <v>0</v>
      </c>
    </row>
    <row r="3105" spans="1:22" x14ac:dyDescent="0.25">
      <c r="A3105">
        <v>3102</v>
      </c>
      <c r="B3105" t="s">
        <v>26</v>
      </c>
      <c r="C3105" t="s">
        <v>1218</v>
      </c>
      <c r="D3105" s="4">
        <v>45349</v>
      </c>
      <c r="E3105" t="s">
        <v>2256</v>
      </c>
      <c r="F3105" t="s">
        <v>75</v>
      </c>
      <c r="I3105" s="6"/>
      <c r="J3105" s="6"/>
      <c r="K3105" s="6"/>
      <c r="L3105" s="6"/>
      <c r="M3105" s="6"/>
      <c r="N3105" s="6"/>
      <c r="O3105" s="6"/>
      <c r="P3105" s="6"/>
      <c r="Q3105">
        <v>0</v>
      </c>
      <c r="R3105">
        <f t="shared" si="240"/>
        <v>0</v>
      </c>
      <c r="S3105">
        <f t="shared" si="241"/>
        <v>0</v>
      </c>
      <c r="T3105">
        <f t="shared" si="242"/>
        <v>0</v>
      </c>
      <c r="U3105">
        <f t="shared" si="243"/>
        <v>0</v>
      </c>
      <c r="V3105">
        <f t="shared" si="244"/>
        <v>0</v>
      </c>
    </row>
    <row r="3106" spans="1:22" x14ac:dyDescent="0.25">
      <c r="A3106">
        <v>3103</v>
      </c>
      <c r="B3106" t="s">
        <v>26</v>
      </c>
      <c r="C3106" t="s">
        <v>1218</v>
      </c>
      <c r="D3106" s="4">
        <v>45349</v>
      </c>
      <c r="E3106" t="s">
        <v>2255</v>
      </c>
      <c r="F3106" t="s">
        <v>75</v>
      </c>
      <c r="I3106" s="6"/>
      <c r="J3106" s="6"/>
      <c r="K3106" s="6"/>
      <c r="L3106" s="6"/>
      <c r="M3106" s="6"/>
      <c r="N3106" s="6"/>
      <c r="O3106" s="6"/>
      <c r="P3106" s="6"/>
      <c r="Q3106">
        <v>0</v>
      </c>
      <c r="R3106">
        <f t="shared" si="240"/>
        <v>0</v>
      </c>
      <c r="S3106">
        <f t="shared" si="241"/>
        <v>0</v>
      </c>
      <c r="T3106">
        <f t="shared" si="242"/>
        <v>0</v>
      </c>
      <c r="U3106">
        <f t="shared" si="243"/>
        <v>0</v>
      </c>
      <c r="V3106">
        <f t="shared" si="244"/>
        <v>0</v>
      </c>
    </row>
    <row r="3107" spans="1:22" x14ac:dyDescent="0.25">
      <c r="A3107">
        <v>3104</v>
      </c>
      <c r="B3107" t="s">
        <v>26</v>
      </c>
      <c r="C3107" t="s">
        <v>1218</v>
      </c>
      <c r="D3107" s="4">
        <v>45349</v>
      </c>
      <c r="E3107" t="s">
        <v>2603</v>
      </c>
      <c r="F3107" t="s">
        <v>75</v>
      </c>
      <c r="I3107" s="6"/>
      <c r="J3107" s="6"/>
      <c r="K3107" s="6"/>
      <c r="L3107" s="6"/>
      <c r="M3107" s="6"/>
      <c r="N3107" s="6"/>
      <c r="O3107" s="6"/>
      <c r="P3107" s="6"/>
      <c r="Q3107">
        <v>0</v>
      </c>
      <c r="R3107">
        <f t="shared" si="240"/>
        <v>0</v>
      </c>
      <c r="S3107">
        <f t="shared" si="241"/>
        <v>0</v>
      </c>
      <c r="T3107">
        <f t="shared" si="242"/>
        <v>0</v>
      </c>
      <c r="U3107">
        <f t="shared" si="243"/>
        <v>0</v>
      </c>
      <c r="V3107">
        <f t="shared" si="244"/>
        <v>0</v>
      </c>
    </row>
    <row r="3108" spans="1:22" x14ac:dyDescent="0.25">
      <c r="A3108">
        <v>3105</v>
      </c>
      <c r="B3108" t="s">
        <v>26</v>
      </c>
      <c r="C3108" t="s">
        <v>1218</v>
      </c>
      <c r="D3108" s="4">
        <v>45349</v>
      </c>
      <c r="E3108" t="s">
        <v>2602</v>
      </c>
      <c r="F3108" t="s">
        <v>75</v>
      </c>
      <c r="I3108" s="6"/>
      <c r="J3108" s="6"/>
      <c r="K3108" s="6"/>
      <c r="L3108" s="6"/>
      <c r="M3108" s="6"/>
      <c r="N3108" s="6"/>
      <c r="O3108" s="6"/>
      <c r="P3108" s="6"/>
      <c r="Q3108">
        <v>0</v>
      </c>
      <c r="R3108">
        <f t="shared" si="240"/>
        <v>0</v>
      </c>
      <c r="S3108">
        <f t="shared" si="241"/>
        <v>0</v>
      </c>
      <c r="T3108">
        <f t="shared" si="242"/>
        <v>0</v>
      </c>
      <c r="U3108">
        <f t="shared" si="243"/>
        <v>0</v>
      </c>
      <c r="V3108">
        <f t="shared" si="244"/>
        <v>0</v>
      </c>
    </row>
    <row r="3109" spans="1:22" x14ac:dyDescent="0.25">
      <c r="A3109">
        <v>3106</v>
      </c>
      <c r="B3109" t="s">
        <v>26</v>
      </c>
      <c r="C3109" t="s">
        <v>1218</v>
      </c>
      <c r="D3109" s="4">
        <v>45349</v>
      </c>
      <c r="E3109" t="s">
        <v>2601</v>
      </c>
      <c r="F3109" t="s">
        <v>75</v>
      </c>
      <c r="I3109" s="6">
        <v>0</v>
      </c>
      <c r="J3109" s="6">
        <v>0</v>
      </c>
      <c r="K3109" s="6">
        <v>0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>
        <v>1</v>
      </c>
      <c r="R3109">
        <f t="shared" si="240"/>
        <v>0</v>
      </c>
      <c r="S3109">
        <f t="shared" si="241"/>
        <v>1</v>
      </c>
      <c r="T3109">
        <f t="shared" si="242"/>
        <v>0</v>
      </c>
      <c r="U3109">
        <f t="shared" si="243"/>
        <v>0</v>
      </c>
      <c r="V3109">
        <f t="shared" si="244"/>
        <v>0</v>
      </c>
    </row>
    <row r="3110" spans="1:22" x14ac:dyDescent="0.25">
      <c r="A3110">
        <v>3107</v>
      </c>
      <c r="B3110" t="s">
        <v>26</v>
      </c>
      <c r="C3110" t="s">
        <v>1218</v>
      </c>
      <c r="D3110" s="4">
        <v>45350</v>
      </c>
      <c r="E3110" t="s">
        <v>1119</v>
      </c>
      <c r="F3110" t="s">
        <v>75</v>
      </c>
      <c r="I3110" s="6"/>
      <c r="J3110" s="6"/>
      <c r="K3110" s="6"/>
      <c r="L3110" s="6"/>
      <c r="M3110" s="6"/>
      <c r="N3110" s="6"/>
      <c r="O3110" s="6"/>
      <c r="P3110" s="6"/>
      <c r="Q3110">
        <v>0</v>
      </c>
      <c r="R3110">
        <f t="shared" si="240"/>
        <v>0</v>
      </c>
      <c r="S3110">
        <f t="shared" si="241"/>
        <v>0</v>
      </c>
      <c r="T3110">
        <f t="shared" si="242"/>
        <v>0</v>
      </c>
      <c r="U3110">
        <f t="shared" si="243"/>
        <v>0</v>
      </c>
      <c r="V3110">
        <f t="shared" si="244"/>
        <v>0</v>
      </c>
    </row>
    <row r="3111" spans="1:22" x14ac:dyDescent="0.25">
      <c r="A3111">
        <v>3108</v>
      </c>
      <c r="B3111" t="s">
        <v>26</v>
      </c>
      <c r="C3111" t="s">
        <v>1218</v>
      </c>
      <c r="D3111" s="4">
        <v>45350</v>
      </c>
      <c r="E3111" t="s">
        <v>2600</v>
      </c>
      <c r="F3111" t="s">
        <v>75</v>
      </c>
      <c r="I3111" s="6">
        <v>0</v>
      </c>
      <c r="J3111" s="6">
        <v>0</v>
      </c>
      <c r="K3111" s="6">
        <v>0</v>
      </c>
      <c r="L3111" s="6">
        <v>0</v>
      </c>
      <c r="M3111" s="6">
        <v>0</v>
      </c>
      <c r="N3111" s="6">
        <v>1</v>
      </c>
      <c r="O3111" s="6">
        <v>0</v>
      </c>
      <c r="P3111" s="6">
        <v>0</v>
      </c>
      <c r="Q3111">
        <v>1</v>
      </c>
      <c r="R3111">
        <f t="shared" si="240"/>
        <v>0</v>
      </c>
      <c r="S3111">
        <f t="shared" si="241"/>
        <v>1</v>
      </c>
      <c r="T3111">
        <f t="shared" si="242"/>
        <v>1</v>
      </c>
      <c r="U3111">
        <f t="shared" si="243"/>
        <v>1</v>
      </c>
      <c r="V3111">
        <f t="shared" si="244"/>
        <v>0</v>
      </c>
    </row>
    <row r="3112" spans="1:22" x14ac:dyDescent="0.25">
      <c r="A3112">
        <v>3109</v>
      </c>
      <c r="B3112" t="s">
        <v>26</v>
      </c>
      <c r="C3112" t="s">
        <v>1218</v>
      </c>
      <c r="D3112" s="4">
        <v>45350</v>
      </c>
      <c r="E3112" t="s">
        <v>2599</v>
      </c>
      <c r="F3112" t="s">
        <v>75</v>
      </c>
      <c r="I3112" s="6"/>
      <c r="J3112" s="6"/>
      <c r="K3112" s="6"/>
      <c r="L3112" s="6"/>
      <c r="M3112" s="6"/>
      <c r="N3112" s="6"/>
      <c r="O3112" s="6"/>
      <c r="P3112" s="6"/>
      <c r="Q3112">
        <v>0</v>
      </c>
      <c r="R3112">
        <f t="shared" si="240"/>
        <v>0</v>
      </c>
      <c r="S3112">
        <f t="shared" si="241"/>
        <v>0</v>
      </c>
      <c r="T3112">
        <f t="shared" si="242"/>
        <v>0</v>
      </c>
      <c r="U3112">
        <f t="shared" si="243"/>
        <v>0</v>
      </c>
      <c r="V3112">
        <f t="shared" si="244"/>
        <v>0</v>
      </c>
    </row>
    <row r="3113" spans="1:22" x14ac:dyDescent="0.25">
      <c r="A3113">
        <v>3110</v>
      </c>
      <c r="B3113" t="s">
        <v>26</v>
      </c>
      <c r="C3113" t="s">
        <v>1218</v>
      </c>
      <c r="D3113" s="4">
        <v>45350</v>
      </c>
      <c r="E3113" t="s">
        <v>2598</v>
      </c>
      <c r="F3113" t="s">
        <v>75</v>
      </c>
      <c r="I3113" s="6"/>
      <c r="J3113" s="6"/>
      <c r="K3113" s="6"/>
      <c r="L3113" s="6"/>
      <c r="M3113" s="6"/>
      <c r="N3113" s="6"/>
      <c r="O3113" s="6"/>
      <c r="P3113" s="6"/>
      <c r="Q3113">
        <v>0</v>
      </c>
      <c r="R3113">
        <f t="shared" si="240"/>
        <v>0</v>
      </c>
      <c r="S3113">
        <f t="shared" si="241"/>
        <v>0</v>
      </c>
      <c r="T3113">
        <f t="shared" si="242"/>
        <v>0</v>
      </c>
      <c r="U3113">
        <f t="shared" si="243"/>
        <v>0</v>
      </c>
      <c r="V3113">
        <f t="shared" si="244"/>
        <v>0</v>
      </c>
    </row>
    <row r="3114" spans="1:22" x14ac:dyDescent="0.25">
      <c r="A3114">
        <v>3111</v>
      </c>
      <c r="B3114" t="s">
        <v>26</v>
      </c>
      <c r="C3114" t="s">
        <v>1218</v>
      </c>
      <c r="D3114" s="4">
        <v>45350</v>
      </c>
      <c r="E3114" t="s">
        <v>2597</v>
      </c>
      <c r="F3114" t="s">
        <v>75</v>
      </c>
      <c r="I3114" s="6"/>
      <c r="J3114" s="6"/>
      <c r="K3114" s="6"/>
      <c r="L3114" s="6"/>
      <c r="M3114" s="6"/>
      <c r="N3114" s="6"/>
      <c r="O3114" s="6"/>
      <c r="P3114" s="6"/>
      <c r="Q3114">
        <v>0</v>
      </c>
      <c r="R3114">
        <f t="shared" si="240"/>
        <v>0</v>
      </c>
      <c r="S3114">
        <f t="shared" si="241"/>
        <v>0</v>
      </c>
      <c r="T3114">
        <f t="shared" si="242"/>
        <v>0</v>
      </c>
      <c r="U3114">
        <f t="shared" si="243"/>
        <v>0</v>
      </c>
      <c r="V3114">
        <f t="shared" si="244"/>
        <v>0</v>
      </c>
    </row>
    <row r="3115" spans="1:22" x14ac:dyDescent="0.25">
      <c r="A3115">
        <v>3112</v>
      </c>
      <c r="B3115" t="s">
        <v>26</v>
      </c>
      <c r="C3115" t="s">
        <v>1218</v>
      </c>
      <c r="D3115" s="4">
        <v>45350</v>
      </c>
      <c r="E3115" t="s">
        <v>2596</v>
      </c>
      <c r="F3115" t="s">
        <v>75</v>
      </c>
      <c r="I3115" s="6"/>
      <c r="J3115" s="6"/>
      <c r="K3115" s="6"/>
      <c r="L3115" s="6"/>
      <c r="M3115" s="6"/>
      <c r="N3115" s="6"/>
      <c r="O3115" s="6"/>
      <c r="P3115" s="6"/>
      <c r="Q3115">
        <v>0</v>
      </c>
      <c r="R3115">
        <f t="shared" si="240"/>
        <v>0</v>
      </c>
      <c r="S3115">
        <f t="shared" si="241"/>
        <v>0</v>
      </c>
      <c r="T3115">
        <f t="shared" si="242"/>
        <v>0</v>
      </c>
      <c r="U3115">
        <f t="shared" si="243"/>
        <v>0</v>
      </c>
      <c r="V3115">
        <f t="shared" si="244"/>
        <v>0</v>
      </c>
    </row>
    <row r="3116" spans="1:22" x14ac:dyDescent="0.25">
      <c r="A3116">
        <v>3113</v>
      </c>
      <c r="B3116" t="s">
        <v>26</v>
      </c>
      <c r="C3116" t="s">
        <v>1218</v>
      </c>
      <c r="D3116" s="4">
        <v>45350</v>
      </c>
      <c r="E3116" t="s">
        <v>1297</v>
      </c>
      <c r="F3116" t="s">
        <v>75</v>
      </c>
      <c r="H3116" t="s">
        <v>1298</v>
      </c>
      <c r="I3116" s="6">
        <v>0</v>
      </c>
      <c r="J3116" s="6">
        <v>0</v>
      </c>
      <c r="K3116" s="6">
        <v>0</v>
      </c>
      <c r="L3116" s="6">
        <v>1</v>
      </c>
      <c r="M3116" s="6">
        <v>0</v>
      </c>
      <c r="N3116" s="6">
        <v>1</v>
      </c>
      <c r="O3116" s="6">
        <v>0</v>
      </c>
      <c r="P3116" s="6">
        <v>0</v>
      </c>
      <c r="Q3116">
        <v>1</v>
      </c>
      <c r="R3116">
        <f t="shared" si="240"/>
        <v>0</v>
      </c>
      <c r="S3116">
        <f t="shared" si="241"/>
        <v>1</v>
      </c>
      <c r="T3116">
        <f t="shared" si="242"/>
        <v>2</v>
      </c>
      <c r="U3116">
        <f t="shared" si="243"/>
        <v>1</v>
      </c>
      <c r="V3116">
        <f t="shared" si="244"/>
        <v>0</v>
      </c>
    </row>
    <row r="3117" spans="1:22" x14ac:dyDescent="0.25">
      <c r="A3117">
        <v>3114</v>
      </c>
      <c r="B3117" t="s">
        <v>26</v>
      </c>
      <c r="C3117" t="s">
        <v>1218</v>
      </c>
      <c r="D3117" s="4">
        <v>45350</v>
      </c>
      <c r="E3117" t="s">
        <v>1299</v>
      </c>
      <c r="F3117" t="s">
        <v>75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6">
        <v>1</v>
      </c>
      <c r="O3117" s="6">
        <v>0</v>
      </c>
      <c r="P3117" s="6">
        <v>0</v>
      </c>
      <c r="Q3117">
        <v>1</v>
      </c>
      <c r="R3117">
        <f t="shared" si="240"/>
        <v>0</v>
      </c>
      <c r="S3117">
        <f t="shared" si="241"/>
        <v>1</v>
      </c>
      <c r="T3117">
        <f t="shared" si="242"/>
        <v>1</v>
      </c>
      <c r="U3117">
        <f t="shared" si="243"/>
        <v>1</v>
      </c>
      <c r="V3117">
        <f t="shared" si="244"/>
        <v>0</v>
      </c>
    </row>
    <row r="3118" spans="1:22" x14ac:dyDescent="0.25">
      <c r="A3118">
        <v>3115</v>
      </c>
      <c r="B3118" t="s">
        <v>26</v>
      </c>
      <c r="C3118" t="s">
        <v>1218</v>
      </c>
      <c r="D3118" s="4">
        <v>45350</v>
      </c>
      <c r="E3118" t="s">
        <v>2595</v>
      </c>
      <c r="F3118" t="s">
        <v>75</v>
      </c>
      <c r="I3118" s="6"/>
      <c r="J3118" s="6"/>
      <c r="K3118" s="6"/>
      <c r="L3118" s="6"/>
      <c r="M3118" s="6"/>
      <c r="N3118" s="6"/>
      <c r="O3118" s="6"/>
      <c r="P3118" s="6"/>
      <c r="Q3118">
        <v>0</v>
      </c>
      <c r="R3118">
        <f t="shared" si="240"/>
        <v>0</v>
      </c>
      <c r="S3118">
        <f t="shared" si="241"/>
        <v>0</v>
      </c>
      <c r="T3118">
        <f t="shared" si="242"/>
        <v>0</v>
      </c>
      <c r="U3118">
        <f t="shared" si="243"/>
        <v>0</v>
      </c>
      <c r="V3118">
        <f t="shared" si="244"/>
        <v>0</v>
      </c>
    </row>
    <row r="3119" spans="1:22" x14ac:dyDescent="0.25">
      <c r="A3119">
        <v>3116</v>
      </c>
      <c r="B3119" t="s">
        <v>26</v>
      </c>
      <c r="C3119" t="s">
        <v>1218</v>
      </c>
      <c r="D3119" s="4">
        <v>45350</v>
      </c>
      <c r="E3119" t="s">
        <v>2594</v>
      </c>
      <c r="F3119" t="s">
        <v>75</v>
      </c>
      <c r="I3119" s="6"/>
      <c r="J3119" s="6"/>
      <c r="K3119" s="6"/>
      <c r="L3119" s="6"/>
      <c r="M3119" s="6"/>
      <c r="N3119" s="6"/>
      <c r="O3119" s="6"/>
      <c r="P3119" s="6"/>
      <c r="Q3119">
        <v>0</v>
      </c>
      <c r="R3119">
        <f t="shared" si="240"/>
        <v>0</v>
      </c>
      <c r="S3119">
        <f t="shared" si="241"/>
        <v>0</v>
      </c>
      <c r="T3119">
        <f t="shared" si="242"/>
        <v>0</v>
      </c>
      <c r="U3119">
        <f t="shared" si="243"/>
        <v>0</v>
      </c>
      <c r="V3119">
        <f t="shared" si="244"/>
        <v>0</v>
      </c>
    </row>
    <row r="3120" spans="1:22" x14ac:dyDescent="0.25">
      <c r="A3120">
        <v>3117</v>
      </c>
      <c r="B3120" t="s">
        <v>26</v>
      </c>
      <c r="C3120" t="s">
        <v>1218</v>
      </c>
      <c r="D3120" s="4">
        <v>45350</v>
      </c>
      <c r="E3120" t="s">
        <v>1300</v>
      </c>
      <c r="F3120" t="s">
        <v>75</v>
      </c>
      <c r="H3120" t="s">
        <v>1277</v>
      </c>
      <c r="I3120" s="6">
        <v>0</v>
      </c>
      <c r="J3120" s="6">
        <v>0</v>
      </c>
      <c r="K3120" s="6">
        <v>0</v>
      </c>
      <c r="L3120" s="6">
        <v>0</v>
      </c>
      <c r="M3120" s="6">
        <v>0</v>
      </c>
      <c r="N3120" s="6">
        <v>0</v>
      </c>
      <c r="O3120" s="6">
        <v>0</v>
      </c>
      <c r="P3120" s="6">
        <v>0</v>
      </c>
      <c r="Q3120">
        <v>1</v>
      </c>
      <c r="R3120">
        <f t="shared" si="240"/>
        <v>0</v>
      </c>
      <c r="S3120">
        <f t="shared" si="241"/>
        <v>1</v>
      </c>
      <c r="T3120">
        <f t="shared" si="242"/>
        <v>0</v>
      </c>
      <c r="U3120">
        <f t="shared" si="243"/>
        <v>0</v>
      </c>
      <c r="V3120">
        <f t="shared" si="244"/>
        <v>0</v>
      </c>
    </row>
    <row r="3121" spans="1:22" x14ac:dyDescent="0.25">
      <c r="A3121">
        <v>3118</v>
      </c>
      <c r="B3121" t="s">
        <v>26</v>
      </c>
      <c r="C3121" t="s">
        <v>1218</v>
      </c>
      <c r="D3121" s="4">
        <v>45350</v>
      </c>
      <c r="E3121" t="s">
        <v>1466</v>
      </c>
      <c r="F3121" t="s">
        <v>75</v>
      </c>
      <c r="I3121" s="6">
        <v>0</v>
      </c>
      <c r="J3121" s="6">
        <v>0</v>
      </c>
      <c r="K3121" s="6">
        <v>0</v>
      </c>
      <c r="L3121" s="6">
        <v>0</v>
      </c>
      <c r="M3121" s="6">
        <v>0</v>
      </c>
      <c r="N3121" s="6">
        <v>1</v>
      </c>
      <c r="O3121" s="6">
        <v>0</v>
      </c>
      <c r="P3121" s="6">
        <v>0</v>
      </c>
      <c r="Q3121">
        <v>1</v>
      </c>
      <c r="R3121">
        <f t="shared" si="240"/>
        <v>0</v>
      </c>
      <c r="S3121">
        <f t="shared" si="241"/>
        <v>1</v>
      </c>
      <c r="T3121">
        <f t="shared" si="242"/>
        <v>1</v>
      </c>
      <c r="U3121">
        <f t="shared" si="243"/>
        <v>1</v>
      </c>
      <c r="V3121">
        <f t="shared" si="244"/>
        <v>0</v>
      </c>
    </row>
    <row r="3122" spans="1:22" x14ac:dyDescent="0.25">
      <c r="A3122">
        <v>3119</v>
      </c>
      <c r="B3122" t="s">
        <v>26</v>
      </c>
      <c r="C3122" t="s">
        <v>1218</v>
      </c>
      <c r="D3122" s="4">
        <v>45350</v>
      </c>
      <c r="E3122" t="s">
        <v>1120</v>
      </c>
      <c r="F3122" t="s">
        <v>75</v>
      </c>
      <c r="I3122" s="6"/>
      <c r="J3122" s="6"/>
      <c r="K3122" s="6"/>
      <c r="L3122" s="6"/>
      <c r="M3122" s="6"/>
      <c r="N3122" s="6"/>
      <c r="O3122" s="6"/>
      <c r="P3122" s="6"/>
      <c r="Q3122">
        <v>0</v>
      </c>
      <c r="R3122">
        <f t="shared" si="240"/>
        <v>0</v>
      </c>
      <c r="S3122">
        <f t="shared" si="241"/>
        <v>0</v>
      </c>
      <c r="T3122">
        <f t="shared" si="242"/>
        <v>0</v>
      </c>
      <c r="U3122">
        <f t="shared" si="243"/>
        <v>0</v>
      </c>
      <c r="V3122">
        <f t="shared" si="244"/>
        <v>0</v>
      </c>
    </row>
    <row r="3123" spans="1:22" x14ac:dyDescent="0.25">
      <c r="A3123">
        <v>3120</v>
      </c>
      <c r="B3123" t="s">
        <v>26</v>
      </c>
      <c r="C3123" t="s">
        <v>1218</v>
      </c>
      <c r="D3123" s="4">
        <v>45350</v>
      </c>
      <c r="E3123" t="s">
        <v>2254</v>
      </c>
      <c r="F3123" t="s">
        <v>75</v>
      </c>
      <c r="I3123" s="6"/>
      <c r="J3123" s="6"/>
      <c r="K3123" s="6"/>
      <c r="L3123" s="6"/>
      <c r="M3123" s="6"/>
      <c r="N3123" s="6"/>
      <c r="O3123" s="6"/>
      <c r="P3123" s="6"/>
      <c r="Q3123">
        <v>0</v>
      </c>
      <c r="R3123">
        <f t="shared" si="240"/>
        <v>0</v>
      </c>
      <c r="S3123">
        <f t="shared" si="241"/>
        <v>0</v>
      </c>
      <c r="T3123">
        <f t="shared" si="242"/>
        <v>0</v>
      </c>
      <c r="U3123">
        <f t="shared" si="243"/>
        <v>0</v>
      </c>
      <c r="V3123">
        <f t="shared" si="244"/>
        <v>0</v>
      </c>
    </row>
    <row r="3124" spans="1:22" x14ac:dyDescent="0.25">
      <c r="A3124">
        <v>3121</v>
      </c>
      <c r="B3124" t="s">
        <v>26</v>
      </c>
      <c r="C3124" t="s">
        <v>1218</v>
      </c>
      <c r="D3124" s="4">
        <v>45350</v>
      </c>
      <c r="E3124" t="s">
        <v>2253</v>
      </c>
      <c r="F3124" t="s">
        <v>75</v>
      </c>
      <c r="I3124" s="6"/>
      <c r="J3124" s="6"/>
      <c r="K3124" s="6"/>
      <c r="L3124" s="6"/>
      <c r="M3124" s="6"/>
      <c r="N3124" s="6"/>
      <c r="O3124" s="6"/>
      <c r="P3124" s="6"/>
      <c r="Q3124">
        <v>0</v>
      </c>
      <c r="R3124">
        <f t="shared" si="240"/>
        <v>0</v>
      </c>
      <c r="S3124">
        <f t="shared" si="241"/>
        <v>0</v>
      </c>
      <c r="T3124">
        <f t="shared" si="242"/>
        <v>0</v>
      </c>
      <c r="U3124">
        <f t="shared" si="243"/>
        <v>0</v>
      </c>
      <c r="V3124">
        <f t="shared" si="244"/>
        <v>0</v>
      </c>
    </row>
    <row r="3125" spans="1:22" x14ac:dyDescent="0.25">
      <c r="A3125">
        <v>3122</v>
      </c>
      <c r="B3125" t="s">
        <v>26</v>
      </c>
      <c r="C3125" t="s">
        <v>1218</v>
      </c>
      <c r="D3125" s="4">
        <v>45350</v>
      </c>
      <c r="E3125" t="s">
        <v>2252</v>
      </c>
      <c r="F3125" t="s">
        <v>75</v>
      </c>
      <c r="I3125" s="6"/>
      <c r="J3125" s="6"/>
      <c r="K3125" s="6"/>
      <c r="L3125" s="6"/>
      <c r="M3125" s="6"/>
      <c r="N3125" s="6"/>
      <c r="O3125" s="6"/>
      <c r="P3125" s="6"/>
      <c r="Q3125">
        <v>0</v>
      </c>
      <c r="R3125">
        <f t="shared" si="240"/>
        <v>0</v>
      </c>
      <c r="S3125">
        <f t="shared" si="241"/>
        <v>0</v>
      </c>
      <c r="T3125">
        <f t="shared" si="242"/>
        <v>0</v>
      </c>
      <c r="U3125">
        <f t="shared" si="243"/>
        <v>0</v>
      </c>
      <c r="V3125">
        <f t="shared" si="244"/>
        <v>0</v>
      </c>
    </row>
    <row r="3126" spans="1:22" x14ac:dyDescent="0.25">
      <c r="A3126">
        <v>3123</v>
      </c>
      <c r="B3126" t="s">
        <v>26</v>
      </c>
      <c r="C3126" t="s">
        <v>1218</v>
      </c>
      <c r="D3126" s="4">
        <v>45350</v>
      </c>
      <c r="E3126" t="s">
        <v>2593</v>
      </c>
      <c r="F3126" t="s">
        <v>75</v>
      </c>
      <c r="I3126" s="6"/>
      <c r="J3126" s="6"/>
      <c r="K3126" s="6"/>
      <c r="L3126" s="6"/>
      <c r="M3126" s="6"/>
      <c r="N3126" s="6"/>
      <c r="O3126" s="6"/>
      <c r="P3126" s="6"/>
      <c r="Q3126">
        <v>0</v>
      </c>
      <c r="R3126">
        <f t="shared" si="240"/>
        <v>0</v>
      </c>
      <c r="S3126">
        <f t="shared" si="241"/>
        <v>0</v>
      </c>
      <c r="T3126">
        <f t="shared" si="242"/>
        <v>0</v>
      </c>
      <c r="U3126">
        <f t="shared" si="243"/>
        <v>0</v>
      </c>
      <c r="V3126">
        <f t="shared" si="244"/>
        <v>0</v>
      </c>
    </row>
    <row r="3127" spans="1:22" x14ac:dyDescent="0.25">
      <c r="A3127">
        <v>3124</v>
      </c>
      <c r="B3127" t="s">
        <v>26</v>
      </c>
      <c r="C3127" t="s">
        <v>1218</v>
      </c>
      <c r="D3127" s="4">
        <v>45350</v>
      </c>
      <c r="E3127" t="s">
        <v>2592</v>
      </c>
      <c r="F3127" t="s">
        <v>75</v>
      </c>
      <c r="I3127" s="6"/>
      <c r="J3127" s="6"/>
      <c r="K3127" s="6"/>
      <c r="L3127" s="6"/>
      <c r="M3127" s="6"/>
      <c r="N3127" s="6"/>
      <c r="O3127" s="6"/>
      <c r="P3127" s="6"/>
      <c r="Q3127">
        <v>0</v>
      </c>
      <c r="R3127">
        <f t="shared" si="240"/>
        <v>0</v>
      </c>
      <c r="S3127">
        <f t="shared" si="241"/>
        <v>0</v>
      </c>
      <c r="T3127">
        <f t="shared" si="242"/>
        <v>0</v>
      </c>
      <c r="U3127">
        <f t="shared" si="243"/>
        <v>0</v>
      </c>
      <c r="V3127">
        <f t="shared" si="244"/>
        <v>0</v>
      </c>
    </row>
    <row r="3128" spans="1:22" x14ac:dyDescent="0.25">
      <c r="A3128">
        <v>3125</v>
      </c>
      <c r="B3128" t="s">
        <v>26</v>
      </c>
      <c r="C3128" t="s">
        <v>1218</v>
      </c>
      <c r="D3128" s="4">
        <v>45350</v>
      </c>
      <c r="E3128" t="s">
        <v>2591</v>
      </c>
      <c r="F3128" t="s">
        <v>75</v>
      </c>
      <c r="I3128" s="6"/>
      <c r="J3128" s="6"/>
      <c r="K3128" s="6"/>
      <c r="L3128" s="6"/>
      <c r="M3128" s="6"/>
      <c r="N3128" s="6"/>
      <c r="O3128" s="6"/>
      <c r="P3128" s="6"/>
      <c r="Q3128">
        <v>0</v>
      </c>
      <c r="R3128">
        <f t="shared" si="240"/>
        <v>0</v>
      </c>
      <c r="S3128">
        <f t="shared" si="241"/>
        <v>0</v>
      </c>
      <c r="T3128">
        <f t="shared" si="242"/>
        <v>0</v>
      </c>
      <c r="U3128">
        <f t="shared" si="243"/>
        <v>0</v>
      </c>
      <c r="V3128">
        <f t="shared" si="244"/>
        <v>0</v>
      </c>
    </row>
    <row r="3129" spans="1:22" x14ac:dyDescent="0.25">
      <c r="A3129">
        <v>3126</v>
      </c>
      <c r="B3129" t="s">
        <v>26</v>
      </c>
      <c r="C3129" t="s">
        <v>1218</v>
      </c>
      <c r="D3129" s="4">
        <v>45351</v>
      </c>
      <c r="E3129" t="s">
        <v>1121</v>
      </c>
      <c r="F3129" t="s">
        <v>75</v>
      </c>
      <c r="I3129" s="6"/>
      <c r="J3129" s="6"/>
      <c r="K3129" s="6"/>
      <c r="L3129" s="6"/>
      <c r="M3129" s="6"/>
      <c r="N3129" s="6"/>
      <c r="O3129" s="6"/>
      <c r="P3129" s="6"/>
      <c r="Q3129">
        <v>0</v>
      </c>
      <c r="R3129">
        <f t="shared" si="240"/>
        <v>0</v>
      </c>
      <c r="S3129">
        <f t="shared" si="241"/>
        <v>0</v>
      </c>
      <c r="T3129">
        <f t="shared" si="242"/>
        <v>0</v>
      </c>
      <c r="U3129">
        <f t="shared" si="243"/>
        <v>0</v>
      </c>
      <c r="V3129">
        <f t="shared" si="244"/>
        <v>0</v>
      </c>
    </row>
    <row r="3130" spans="1:22" x14ac:dyDescent="0.25">
      <c r="A3130">
        <v>3127</v>
      </c>
      <c r="B3130" t="s">
        <v>26</v>
      </c>
      <c r="C3130" t="s">
        <v>1218</v>
      </c>
      <c r="D3130" s="4">
        <v>45351</v>
      </c>
      <c r="E3130" t="s">
        <v>1122</v>
      </c>
      <c r="F3130" t="s">
        <v>75</v>
      </c>
      <c r="I3130" s="6"/>
      <c r="J3130" s="6"/>
      <c r="K3130" s="6"/>
      <c r="L3130" s="6"/>
      <c r="M3130" s="6"/>
      <c r="N3130" s="6"/>
      <c r="O3130" s="6"/>
      <c r="P3130" s="6"/>
      <c r="Q3130">
        <v>0</v>
      </c>
      <c r="R3130">
        <f t="shared" si="240"/>
        <v>0</v>
      </c>
      <c r="S3130">
        <f t="shared" si="241"/>
        <v>0</v>
      </c>
      <c r="T3130">
        <f t="shared" si="242"/>
        <v>0</v>
      </c>
      <c r="U3130">
        <f t="shared" si="243"/>
        <v>0</v>
      </c>
      <c r="V3130">
        <f t="shared" si="244"/>
        <v>0</v>
      </c>
    </row>
    <row r="3131" spans="1:22" x14ac:dyDescent="0.25">
      <c r="A3131">
        <v>3128</v>
      </c>
      <c r="B3131" t="s">
        <v>26</v>
      </c>
      <c r="C3131" t="s">
        <v>1218</v>
      </c>
      <c r="D3131" s="4">
        <v>45351</v>
      </c>
      <c r="E3131" t="s">
        <v>1301</v>
      </c>
      <c r="F3131" t="s">
        <v>75</v>
      </c>
      <c r="I3131" s="6">
        <v>0</v>
      </c>
      <c r="J3131" s="6">
        <v>0</v>
      </c>
      <c r="K3131" s="6">
        <v>1</v>
      </c>
      <c r="L3131" s="6">
        <v>0</v>
      </c>
      <c r="M3131" s="6">
        <v>0</v>
      </c>
      <c r="N3131" s="6">
        <v>0</v>
      </c>
      <c r="O3131" s="6">
        <v>0</v>
      </c>
      <c r="P3131" s="6">
        <v>0</v>
      </c>
      <c r="Q3131">
        <v>1</v>
      </c>
      <c r="R3131">
        <f t="shared" si="240"/>
        <v>0</v>
      </c>
      <c r="S3131">
        <f t="shared" si="241"/>
        <v>1</v>
      </c>
      <c r="T3131">
        <f t="shared" si="242"/>
        <v>1</v>
      </c>
      <c r="U3131">
        <f t="shared" si="243"/>
        <v>1</v>
      </c>
      <c r="V3131">
        <f t="shared" si="244"/>
        <v>0</v>
      </c>
    </row>
    <row r="3132" spans="1:22" x14ac:dyDescent="0.25">
      <c r="A3132">
        <v>3129</v>
      </c>
      <c r="B3132" t="s">
        <v>26</v>
      </c>
      <c r="C3132" t="s">
        <v>1218</v>
      </c>
      <c r="D3132" s="4">
        <v>45351</v>
      </c>
      <c r="E3132" t="s">
        <v>2251</v>
      </c>
      <c r="F3132" t="s">
        <v>75</v>
      </c>
      <c r="I3132" s="6"/>
      <c r="J3132" s="6"/>
      <c r="K3132" s="6"/>
      <c r="L3132" s="6"/>
      <c r="M3132" s="6"/>
      <c r="N3132" s="6"/>
      <c r="O3132" s="6"/>
      <c r="P3132" s="6"/>
      <c r="Q3132">
        <v>0</v>
      </c>
      <c r="R3132">
        <f t="shared" si="240"/>
        <v>0</v>
      </c>
      <c r="S3132">
        <f t="shared" si="241"/>
        <v>0</v>
      </c>
      <c r="T3132">
        <f t="shared" si="242"/>
        <v>0</v>
      </c>
      <c r="U3132">
        <f t="shared" si="243"/>
        <v>0</v>
      </c>
      <c r="V3132">
        <f t="shared" si="244"/>
        <v>0</v>
      </c>
    </row>
    <row r="3133" spans="1:22" x14ac:dyDescent="0.25">
      <c r="A3133">
        <v>3130</v>
      </c>
      <c r="B3133" t="s">
        <v>26</v>
      </c>
      <c r="C3133" t="s">
        <v>1218</v>
      </c>
      <c r="D3133" s="4">
        <v>45351</v>
      </c>
      <c r="E3133" t="s">
        <v>2250</v>
      </c>
      <c r="F3133" t="s">
        <v>75</v>
      </c>
      <c r="I3133" s="6"/>
      <c r="J3133" s="6"/>
      <c r="K3133" s="6"/>
      <c r="L3133" s="6"/>
      <c r="M3133" s="6"/>
      <c r="N3133" s="6"/>
      <c r="O3133" s="6"/>
      <c r="P3133" s="6"/>
      <c r="Q3133">
        <v>0</v>
      </c>
      <c r="R3133">
        <f t="shared" si="240"/>
        <v>0</v>
      </c>
      <c r="S3133">
        <f t="shared" si="241"/>
        <v>0</v>
      </c>
      <c r="T3133">
        <f t="shared" si="242"/>
        <v>0</v>
      </c>
      <c r="U3133">
        <f t="shared" si="243"/>
        <v>0</v>
      </c>
      <c r="V3133">
        <f t="shared" si="244"/>
        <v>0</v>
      </c>
    </row>
    <row r="3134" spans="1:22" x14ac:dyDescent="0.25">
      <c r="A3134">
        <v>3131</v>
      </c>
      <c r="B3134" t="s">
        <v>26</v>
      </c>
      <c r="C3134" t="s">
        <v>1218</v>
      </c>
      <c r="D3134" s="4">
        <v>45351</v>
      </c>
      <c r="E3134" t="s">
        <v>2249</v>
      </c>
      <c r="F3134" t="s">
        <v>75</v>
      </c>
      <c r="I3134" s="6">
        <v>0</v>
      </c>
      <c r="J3134" s="6">
        <v>0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>
        <v>1</v>
      </c>
      <c r="R3134">
        <f t="shared" si="240"/>
        <v>0</v>
      </c>
      <c r="S3134">
        <f t="shared" si="241"/>
        <v>1</v>
      </c>
      <c r="T3134">
        <f t="shared" si="242"/>
        <v>0</v>
      </c>
      <c r="U3134">
        <f t="shared" si="243"/>
        <v>0</v>
      </c>
      <c r="V3134">
        <f t="shared" si="244"/>
        <v>0</v>
      </c>
    </row>
    <row r="3135" spans="1:22" x14ac:dyDescent="0.25">
      <c r="A3135">
        <v>3132</v>
      </c>
      <c r="B3135" t="s">
        <v>26</v>
      </c>
      <c r="C3135" t="s">
        <v>1218</v>
      </c>
      <c r="D3135" s="4">
        <v>45351</v>
      </c>
      <c r="E3135" t="s">
        <v>2590</v>
      </c>
      <c r="F3135" t="s">
        <v>75</v>
      </c>
      <c r="I3135" s="6"/>
      <c r="J3135" s="6"/>
      <c r="K3135" s="6"/>
      <c r="L3135" s="6"/>
      <c r="M3135" s="6"/>
      <c r="N3135" s="6"/>
      <c r="O3135" s="6"/>
      <c r="P3135" s="6"/>
      <c r="Q3135">
        <v>0</v>
      </c>
      <c r="R3135">
        <f t="shared" si="240"/>
        <v>0</v>
      </c>
      <c r="S3135">
        <f t="shared" si="241"/>
        <v>0</v>
      </c>
      <c r="T3135">
        <f t="shared" si="242"/>
        <v>0</v>
      </c>
      <c r="U3135">
        <f t="shared" si="243"/>
        <v>0</v>
      </c>
      <c r="V3135">
        <f t="shared" si="244"/>
        <v>0</v>
      </c>
    </row>
    <row r="3136" spans="1:22" x14ac:dyDescent="0.25">
      <c r="A3136">
        <v>3133</v>
      </c>
      <c r="B3136" t="s">
        <v>26</v>
      </c>
      <c r="C3136" t="s">
        <v>1218</v>
      </c>
      <c r="D3136" s="4">
        <v>45351</v>
      </c>
      <c r="E3136" t="s">
        <v>1302</v>
      </c>
      <c r="F3136" t="s">
        <v>75</v>
      </c>
      <c r="I3136" s="6">
        <v>0</v>
      </c>
      <c r="J3136" s="6">
        <v>0</v>
      </c>
      <c r="K3136" s="6">
        <v>0</v>
      </c>
      <c r="L3136" s="6">
        <v>1</v>
      </c>
      <c r="M3136" s="6">
        <v>0</v>
      </c>
      <c r="N3136" s="6">
        <v>0</v>
      </c>
      <c r="O3136" s="6">
        <v>0</v>
      </c>
      <c r="P3136" s="6">
        <v>0</v>
      </c>
      <c r="Q3136">
        <v>1</v>
      </c>
      <c r="R3136">
        <f t="shared" si="240"/>
        <v>0</v>
      </c>
      <c r="S3136">
        <f t="shared" si="241"/>
        <v>1</v>
      </c>
      <c r="T3136">
        <f t="shared" si="242"/>
        <v>1</v>
      </c>
      <c r="U3136">
        <f t="shared" si="243"/>
        <v>1</v>
      </c>
      <c r="V3136">
        <f t="shared" si="244"/>
        <v>0</v>
      </c>
    </row>
    <row r="3137" spans="1:22" x14ac:dyDescent="0.25">
      <c r="A3137">
        <v>3134</v>
      </c>
      <c r="B3137" t="s">
        <v>26</v>
      </c>
      <c r="C3137" t="s">
        <v>1218</v>
      </c>
      <c r="D3137" s="4">
        <v>45351</v>
      </c>
      <c r="E3137" t="s">
        <v>2589</v>
      </c>
      <c r="F3137" t="s">
        <v>75</v>
      </c>
      <c r="I3137" s="6"/>
      <c r="J3137" s="6"/>
      <c r="K3137" s="6"/>
      <c r="L3137" s="6"/>
      <c r="M3137" s="6"/>
      <c r="N3137" s="6"/>
      <c r="O3137" s="6"/>
      <c r="P3137" s="6"/>
      <c r="Q3137">
        <v>0</v>
      </c>
      <c r="R3137">
        <f t="shared" si="240"/>
        <v>0</v>
      </c>
      <c r="S3137">
        <f t="shared" si="241"/>
        <v>0</v>
      </c>
      <c r="T3137">
        <f t="shared" si="242"/>
        <v>0</v>
      </c>
      <c r="U3137">
        <f t="shared" si="243"/>
        <v>0</v>
      </c>
      <c r="V3137">
        <f t="shared" si="244"/>
        <v>0</v>
      </c>
    </row>
    <row r="3138" spans="1:22" x14ac:dyDescent="0.25">
      <c r="A3138">
        <v>3135</v>
      </c>
      <c r="B3138" t="s">
        <v>26</v>
      </c>
      <c r="C3138" t="s">
        <v>1218</v>
      </c>
      <c r="D3138" s="4">
        <v>45352</v>
      </c>
      <c r="E3138" t="s">
        <v>1303</v>
      </c>
      <c r="F3138" t="s">
        <v>75</v>
      </c>
      <c r="H3138" t="s">
        <v>1304</v>
      </c>
      <c r="I3138" s="6">
        <v>0</v>
      </c>
      <c r="J3138" s="6">
        <v>0</v>
      </c>
      <c r="K3138" s="6">
        <v>0</v>
      </c>
      <c r="L3138" s="6">
        <v>0</v>
      </c>
      <c r="M3138" s="6">
        <v>0</v>
      </c>
      <c r="N3138" s="6">
        <v>1</v>
      </c>
      <c r="O3138" s="6">
        <v>0</v>
      </c>
      <c r="P3138" s="6">
        <v>0</v>
      </c>
      <c r="Q3138">
        <v>1</v>
      </c>
      <c r="R3138">
        <f t="shared" si="240"/>
        <v>0</v>
      </c>
      <c r="S3138">
        <f t="shared" si="241"/>
        <v>1</v>
      </c>
      <c r="T3138">
        <f t="shared" si="242"/>
        <v>1</v>
      </c>
      <c r="U3138">
        <f t="shared" si="243"/>
        <v>1</v>
      </c>
      <c r="V3138">
        <f t="shared" si="244"/>
        <v>0</v>
      </c>
    </row>
    <row r="3139" spans="1:22" x14ac:dyDescent="0.25">
      <c r="A3139">
        <v>3136</v>
      </c>
      <c r="B3139" t="s">
        <v>26</v>
      </c>
      <c r="C3139" t="s">
        <v>1218</v>
      </c>
      <c r="D3139" s="4">
        <v>45352</v>
      </c>
      <c r="E3139" t="s">
        <v>2588</v>
      </c>
      <c r="F3139" t="s">
        <v>75</v>
      </c>
      <c r="I3139" s="6"/>
      <c r="J3139" s="6"/>
      <c r="K3139" s="6"/>
      <c r="L3139" s="6"/>
      <c r="M3139" s="6"/>
      <c r="N3139" s="6"/>
      <c r="O3139" s="6"/>
      <c r="P3139" s="6"/>
      <c r="Q3139">
        <v>0</v>
      </c>
      <c r="R3139">
        <f t="shared" ref="R3139:R3202" si="245">IF(AND(Q3139=1,F3139="ai_full"),1,0)</f>
        <v>0</v>
      </c>
      <c r="S3139">
        <f t="shared" ref="S3139:S3202" si="246">IF(AND(Q3139=1,F3139="conventional"),1,0)</f>
        <v>0</v>
      </c>
      <c r="T3139">
        <f t="shared" ref="T3139:T3202" si="247">SUM(I3139:P3139)</f>
        <v>0</v>
      </c>
      <c r="U3139">
        <f t="shared" ref="U3139:U3202" si="248">IF(T3139&gt;=1,1,0)</f>
        <v>0</v>
      </c>
      <c r="V3139">
        <f t="shared" ref="V3139:V3202" si="249">IF(F3139="ai_full",1,0)</f>
        <v>0</v>
      </c>
    </row>
    <row r="3140" spans="1:22" x14ac:dyDescent="0.25">
      <c r="A3140">
        <v>3137</v>
      </c>
      <c r="B3140" t="s">
        <v>26</v>
      </c>
      <c r="C3140" t="s">
        <v>1218</v>
      </c>
      <c r="D3140" s="4">
        <v>45352</v>
      </c>
      <c r="E3140" t="s">
        <v>1518</v>
      </c>
      <c r="F3140" t="s">
        <v>75</v>
      </c>
      <c r="I3140" s="6">
        <v>1</v>
      </c>
      <c r="J3140" s="6">
        <v>0</v>
      </c>
      <c r="K3140" s="6">
        <v>0</v>
      </c>
      <c r="L3140" s="6">
        <v>1</v>
      </c>
      <c r="M3140" s="6">
        <v>0</v>
      </c>
      <c r="N3140" s="6">
        <v>0</v>
      </c>
      <c r="O3140" s="6">
        <v>0</v>
      </c>
      <c r="P3140" s="6">
        <v>0</v>
      </c>
      <c r="Q3140">
        <v>1</v>
      </c>
      <c r="R3140">
        <f t="shared" si="245"/>
        <v>0</v>
      </c>
      <c r="S3140">
        <f t="shared" si="246"/>
        <v>1</v>
      </c>
      <c r="T3140">
        <f t="shared" si="247"/>
        <v>2</v>
      </c>
      <c r="U3140">
        <f t="shared" si="248"/>
        <v>1</v>
      </c>
      <c r="V3140">
        <f t="shared" si="249"/>
        <v>0</v>
      </c>
    </row>
    <row r="3141" spans="1:22" x14ac:dyDescent="0.25">
      <c r="A3141">
        <v>3138</v>
      </c>
      <c r="B3141" t="s">
        <v>26</v>
      </c>
      <c r="C3141" t="s">
        <v>1218</v>
      </c>
      <c r="D3141" s="4">
        <v>45352</v>
      </c>
      <c r="E3141" t="s">
        <v>2248</v>
      </c>
      <c r="F3141" t="s">
        <v>75</v>
      </c>
      <c r="I3141" s="6"/>
      <c r="J3141" s="6"/>
      <c r="K3141" s="6"/>
      <c r="L3141" s="6"/>
      <c r="M3141" s="6"/>
      <c r="N3141" s="6"/>
      <c r="O3141" s="6"/>
      <c r="P3141" s="6"/>
      <c r="Q3141">
        <v>0</v>
      </c>
      <c r="R3141">
        <f t="shared" si="245"/>
        <v>0</v>
      </c>
      <c r="S3141">
        <f t="shared" si="246"/>
        <v>0</v>
      </c>
      <c r="T3141">
        <f t="shared" si="247"/>
        <v>0</v>
      </c>
      <c r="U3141">
        <f t="shared" si="248"/>
        <v>0</v>
      </c>
      <c r="V3141">
        <f t="shared" si="249"/>
        <v>0</v>
      </c>
    </row>
    <row r="3142" spans="1:22" x14ac:dyDescent="0.25">
      <c r="A3142">
        <v>3139</v>
      </c>
      <c r="B3142" t="s">
        <v>26</v>
      </c>
      <c r="C3142" t="s">
        <v>1218</v>
      </c>
      <c r="D3142" s="4">
        <v>45352</v>
      </c>
      <c r="E3142" t="s">
        <v>1519</v>
      </c>
      <c r="F3142" t="s">
        <v>75</v>
      </c>
      <c r="I3142" s="6"/>
      <c r="J3142" s="6"/>
      <c r="K3142" s="6"/>
      <c r="L3142" s="6"/>
      <c r="M3142" s="6"/>
      <c r="N3142" s="6"/>
      <c r="O3142" s="6"/>
      <c r="P3142" s="6"/>
      <c r="Q3142">
        <v>0</v>
      </c>
      <c r="R3142">
        <f t="shared" si="245"/>
        <v>0</v>
      </c>
      <c r="S3142">
        <f t="shared" si="246"/>
        <v>0</v>
      </c>
      <c r="T3142">
        <f t="shared" si="247"/>
        <v>0</v>
      </c>
      <c r="U3142">
        <f t="shared" si="248"/>
        <v>0</v>
      </c>
      <c r="V3142">
        <f t="shared" si="249"/>
        <v>0</v>
      </c>
    </row>
    <row r="3143" spans="1:22" x14ac:dyDescent="0.25">
      <c r="A3143">
        <v>3140</v>
      </c>
      <c r="B3143" t="s">
        <v>26</v>
      </c>
      <c r="C3143" t="s">
        <v>1218</v>
      </c>
      <c r="D3143" s="4">
        <v>45352</v>
      </c>
      <c r="E3143" t="s">
        <v>1520</v>
      </c>
      <c r="F3143" t="s">
        <v>75</v>
      </c>
      <c r="I3143" s="6">
        <v>0</v>
      </c>
      <c r="J3143" s="6">
        <v>0</v>
      </c>
      <c r="K3143" s="6">
        <v>0</v>
      </c>
      <c r="L3143" s="6">
        <v>1</v>
      </c>
      <c r="M3143" s="6">
        <v>1</v>
      </c>
      <c r="N3143" s="6">
        <v>0</v>
      </c>
      <c r="O3143" s="6">
        <v>0</v>
      </c>
      <c r="P3143" s="6">
        <v>0</v>
      </c>
      <c r="Q3143">
        <v>1</v>
      </c>
      <c r="R3143">
        <f t="shared" si="245"/>
        <v>0</v>
      </c>
      <c r="S3143">
        <f t="shared" si="246"/>
        <v>1</v>
      </c>
      <c r="T3143">
        <f t="shared" si="247"/>
        <v>2</v>
      </c>
      <c r="U3143">
        <f t="shared" si="248"/>
        <v>1</v>
      </c>
      <c r="V3143">
        <f t="shared" si="249"/>
        <v>0</v>
      </c>
    </row>
    <row r="3144" spans="1:22" x14ac:dyDescent="0.25">
      <c r="A3144">
        <v>3141</v>
      </c>
      <c r="B3144" t="s">
        <v>26</v>
      </c>
      <c r="C3144" t="s">
        <v>1218</v>
      </c>
      <c r="D3144" s="4">
        <v>45352</v>
      </c>
      <c r="E3144" t="s">
        <v>2247</v>
      </c>
      <c r="F3144" t="s">
        <v>75</v>
      </c>
      <c r="I3144" s="6"/>
      <c r="J3144" s="6"/>
      <c r="K3144" s="6"/>
      <c r="L3144" s="6"/>
      <c r="M3144" s="6"/>
      <c r="N3144" s="6"/>
      <c r="O3144" s="6"/>
      <c r="P3144" s="6"/>
      <c r="Q3144">
        <v>0</v>
      </c>
      <c r="R3144">
        <f t="shared" si="245"/>
        <v>0</v>
      </c>
      <c r="S3144">
        <f t="shared" si="246"/>
        <v>0</v>
      </c>
      <c r="T3144">
        <f t="shared" si="247"/>
        <v>0</v>
      </c>
      <c r="U3144">
        <f t="shared" si="248"/>
        <v>0</v>
      </c>
      <c r="V3144">
        <f t="shared" si="249"/>
        <v>0</v>
      </c>
    </row>
    <row r="3145" spans="1:22" x14ac:dyDescent="0.25">
      <c r="A3145">
        <v>3142</v>
      </c>
      <c r="B3145" t="s">
        <v>26</v>
      </c>
      <c r="C3145" t="s">
        <v>1218</v>
      </c>
      <c r="D3145" s="4">
        <v>45352</v>
      </c>
      <c r="E3145" t="s">
        <v>2246</v>
      </c>
      <c r="F3145" t="s">
        <v>75</v>
      </c>
      <c r="I3145" s="6"/>
      <c r="J3145" s="6"/>
      <c r="K3145" s="6"/>
      <c r="L3145" s="6"/>
      <c r="M3145" s="6"/>
      <c r="N3145" s="6"/>
      <c r="O3145" s="6"/>
      <c r="P3145" s="6"/>
      <c r="Q3145">
        <v>0</v>
      </c>
      <c r="R3145">
        <f t="shared" si="245"/>
        <v>0</v>
      </c>
      <c r="S3145">
        <f t="shared" si="246"/>
        <v>0</v>
      </c>
      <c r="T3145">
        <f t="shared" si="247"/>
        <v>0</v>
      </c>
      <c r="U3145">
        <f t="shared" si="248"/>
        <v>0</v>
      </c>
      <c r="V3145">
        <f t="shared" si="249"/>
        <v>0</v>
      </c>
    </row>
    <row r="3146" spans="1:22" x14ac:dyDescent="0.25">
      <c r="A3146">
        <v>3143</v>
      </c>
      <c r="B3146" t="s">
        <v>26</v>
      </c>
      <c r="C3146" t="s">
        <v>1218</v>
      </c>
      <c r="D3146" s="4">
        <v>45352</v>
      </c>
      <c r="E3146" t="s">
        <v>2587</v>
      </c>
      <c r="F3146" t="s">
        <v>75</v>
      </c>
      <c r="I3146" s="6"/>
      <c r="J3146" s="6"/>
      <c r="K3146" s="6"/>
      <c r="L3146" s="6"/>
      <c r="M3146" s="6"/>
      <c r="N3146" s="6"/>
      <c r="O3146" s="6"/>
      <c r="P3146" s="6"/>
      <c r="Q3146">
        <v>0</v>
      </c>
      <c r="R3146">
        <f t="shared" si="245"/>
        <v>0</v>
      </c>
      <c r="S3146">
        <f t="shared" si="246"/>
        <v>0</v>
      </c>
      <c r="T3146">
        <f t="shared" si="247"/>
        <v>0</v>
      </c>
      <c r="U3146">
        <f t="shared" si="248"/>
        <v>0</v>
      </c>
      <c r="V3146">
        <f t="shared" si="249"/>
        <v>0</v>
      </c>
    </row>
    <row r="3147" spans="1:22" x14ac:dyDescent="0.25">
      <c r="A3147">
        <v>3144</v>
      </c>
      <c r="B3147" t="s">
        <v>26</v>
      </c>
      <c r="C3147" t="s">
        <v>1218</v>
      </c>
      <c r="D3147" s="4">
        <v>45352</v>
      </c>
      <c r="E3147" t="s">
        <v>2586</v>
      </c>
      <c r="F3147" t="s">
        <v>75</v>
      </c>
      <c r="I3147" s="6">
        <v>0</v>
      </c>
      <c r="J3147" s="6">
        <v>0</v>
      </c>
      <c r="K3147" s="6">
        <v>0</v>
      </c>
      <c r="L3147" s="6">
        <v>1</v>
      </c>
      <c r="M3147" s="6">
        <v>0</v>
      </c>
      <c r="N3147" s="6">
        <v>1</v>
      </c>
      <c r="O3147" s="6">
        <v>0</v>
      </c>
      <c r="P3147" s="6">
        <v>0</v>
      </c>
      <c r="Q3147">
        <v>1</v>
      </c>
      <c r="R3147">
        <f t="shared" si="245"/>
        <v>0</v>
      </c>
      <c r="S3147">
        <f t="shared" si="246"/>
        <v>1</v>
      </c>
      <c r="T3147">
        <f t="shared" si="247"/>
        <v>2</v>
      </c>
      <c r="U3147">
        <f t="shared" si="248"/>
        <v>1</v>
      </c>
      <c r="V3147">
        <f t="shared" si="249"/>
        <v>0</v>
      </c>
    </row>
    <row r="3148" spans="1:22" x14ac:dyDescent="0.25">
      <c r="A3148">
        <v>3145</v>
      </c>
      <c r="B3148" t="s">
        <v>26</v>
      </c>
      <c r="C3148" t="s">
        <v>1218</v>
      </c>
      <c r="D3148" s="4">
        <v>45353</v>
      </c>
      <c r="E3148" t="s">
        <v>255</v>
      </c>
      <c r="F3148" t="s">
        <v>75</v>
      </c>
      <c r="I3148" s="6"/>
      <c r="J3148" s="6"/>
      <c r="K3148" s="6"/>
      <c r="L3148" s="6"/>
      <c r="M3148" s="6"/>
      <c r="N3148" s="6"/>
      <c r="O3148" s="6"/>
      <c r="P3148" s="6"/>
      <c r="Q3148">
        <v>0</v>
      </c>
      <c r="R3148">
        <f t="shared" si="245"/>
        <v>0</v>
      </c>
      <c r="S3148">
        <f t="shared" si="246"/>
        <v>0</v>
      </c>
      <c r="T3148">
        <f t="shared" si="247"/>
        <v>0</v>
      </c>
      <c r="U3148">
        <f t="shared" si="248"/>
        <v>0</v>
      </c>
      <c r="V3148">
        <f t="shared" si="249"/>
        <v>0</v>
      </c>
    </row>
    <row r="3149" spans="1:22" x14ac:dyDescent="0.25">
      <c r="A3149">
        <v>3146</v>
      </c>
      <c r="B3149" t="s">
        <v>26</v>
      </c>
      <c r="C3149" t="s">
        <v>1218</v>
      </c>
      <c r="D3149" s="4">
        <v>45353</v>
      </c>
      <c r="E3149" t="s">
        <v>2585</v>
      </c>
      <c r="F3149" t="s">
        <v>75</v>
      </c>
      <c r="I3149" s="6"/>
      <c r="J3149" s="6"/>
      <c r="K3149" s="6"/>
      <c r="L3149" s="6"/>
      <c r="M3149" s="6"/>
      <c r="N3149" s="6"/>
      <c r="O3149" s="6"/>
      <c r="P3149" s="6"/>
      <c r="Q3149">
        <v>0</v>
      </c>
      <c r="R3149">
        <f t="shared" si="245"/>
        <v>0</v>
      </c>
      <c r="S3149">
        <f t="shared" si="246"/>
        <v>0</v>
      </c>
      <c r="T3149">
        <f t="shared" si="247"/>
        <v>0</v>
      </c>
      <c r="U3149">
        <f t="shared" si="248"/>
        <v>0</v>
      </c>
      <c r="V3149">
        <f t="shared" si="249"/>
        <v>0</v>
      </c>
    </row>
    <row r="3150" spans="1:22" x14ac:dyDescent="0.25">
      <c r="A3150">
        <v>3147</v>
      </c>
      <c r="B3150" t="s">
        <v>26</v>
      </c>
      <c r="C3150" t="s">
        <v>1218</v>
      </c>
      <c r="D3150" s="4">
        <v>45353</v>
      </c>
      <c r="E3150" t="s">
        <v>256</v>
      </c>
      <c r="F3150" t="s">
        <v>75</v>
      </c>
      <c r="I3150" s="6"/>
      <c r="J3150" s="6"/>
      <c r="K3150" s="6"/>
      <c r="L3150" s="6"/>
      <c r="M3150" s="6"/>
      <c r="N3150" s="6"/>
      <c r="O3150" s="6"/>
      <c r="P3150" s="6"/>
      <c r="Q3150">
        <v>0</v>
      </c>
      <c r="R3150">
        <f t="shared" si="245"/>
        <v>0</v>
      </c>
      <c r="S3150">
        <f t="shared" si="246"/>
        <v>0</v>
      </c>
      <c r="T3150">
        <f t="shared" si="247"/>
        <v>0</v>
      </c>
      <c r="U3150">
        <f t="shared" si="248"/>
        <v>0</v>
      </c>
      <c r="V3150">
        <f t="shared" si="249"/>
        <v>0</v>
      </c>
    </row>
    <row r="3151" spans="1:22" x14ac:dyDescent="0.25">
      <c r="A3151">
        <v>3148</v>
      </c>
      <c r="B3151" t="s">
        <v>26</v>
      </c>
      <c r="C3151" t="s">
        <v>1218</v>
      </c>
      <c r="D3151" s="4">
        <v>45353</v>
      </c>
      <c r="E3151" t="s">
        <v>257</v>
      </c>
      <c r="F3151" t="s">
        <v>75</v>
      </c>
      <c r="I3151" s="6"/>
      <c r="J3151" s="6"/>
      <c r="K3151" s="6"/>
      <c r="L3151" s="6"/>
      <c r="M3151" s="6"/>
      <c r="N3151" s="6"/>
      <c r="O3151" s="6"/>
      <c r="P3151" s="6"/>
      <c r="Q3151">
        <v>0</v>
      </c>
      <c r="R3151">
        <f t="shared" si="245"/>
        <v>0</v>
      </c>
      <c r="S3151">
        <f t="shared" si="246"/>
        <v>0</v>
      </c>
      <c r="T3151">
        <f t="shared" si="247"/>
        <v>0</v>
      </c>
      <c r="U3151">
        <f t="shared" si="248"/>
        <v>0</v>
      </c>
      <c r="V3151">
        <f t="shared" si="249"/>
        <v>0</v>
      </c>
    </row>
    <row r="3152" spans="1:22" x14ac:dyDescent="0.25">
      <c r="A3152">
        <v>3149</v>
      </c>
      <c r="B3152" t="s">
        <v>26</v>
      </c>
      <c r="C3152" t="s">
        <v>1218</v>
      </c>
      <c r="D3152" s="4">
        <v>45353</v>
      </c>
      <c r="E3152" t="s">
        <v>258</v>
      </c>
      <c r="F3152" t="s">
        <v>75</v>
      </c>
      <c r="I3152" s="6"/>
      <c r="J3152" s="6"/>
      <c r="K3152" s="6"/>
      <c r="L3152" s="6"/>
      <c r="M3152" s="6"/>
      <c r="N3152" s="6"/>
      <c r="O3152" s="6"/>
      <c r="P3152" s="6"/>
      <c r="Q3152">
        <v>0</v>
      </c>
      <c r="R3152">
        <f t="shared" si="245"/>
        <v>0</v>
      </c>
      <c r="S3152">
        <f t="shared" si="246"/>
        <v>0</v>
      </c>
      <c r="T3152">
        <f t="shared" si="247"/>
        <v>0</v>
      </c>
      <c r="U3152">
        <f t="shared" si="248"/>
        <v>0</v>
      </c>
      <c r="V3152">
        <f t="shared" si="249"/>
        <v>0</v>
      </c>
    </row>
    <row r="3153" spans="1:22" x14ac:dyDescent="0.25">
      <c r="A3153">
        <v>3150</v>
      </c>
      <c r="B3153" t="s">
        <v>26</v>
      </c>
      <c r="C3153" t="s">
        <v>1218</v>
      </c>
      <c r="D3153" s="4">
        <v>45353</v>
      </c>
      <c r="E3153" t="s">
        <v>1521</v>
      </c>
      <c r="F3153" t="s">
        <v>75</v>
      </c>
      <c r="I3153" s="6"/>
      <c r="J3153" s="6"/>
      <c r="K3153" s="6"/>
      <c r="L3153" s="6"/>
      <c r="M3153" s="6"/>
      <c r="N3153" s="6"/>
      <c r="O3153" s="6"/>
      <c r="P3153" s="6"/>
      <c r="Q3153">
        <v>0</v>
      </c>
      <c r="R3153">
        <f t="shared" si="245"/>
        <v>0</v>
      </c>
      <c r="S3153">
        <f t="shared" si="246"/>
        <v>0</v>
      </c>
      <c r="T3153">
        <f t="shared" si="247"/>
        <v>0</v>
      </c>
      <c r="U3153">
        <f t="shared" si="248"/>
        <v>0</v>
      </c>
      <c r="V3153">
        <f t="shared" si="249"/>
        <v>0</v>
      </c>
    </row>
    <row r="3154" spans="1:22" x14ac:dyDescent="0.25">
      <c r="A3154">
        <v>3151</v>
      </c>
      <c r="B3154" t="s">
        <v>26</v>
      </c>
      <c r="C3154" t="s">
        <v>1218</v>
      </c>
      <c r="D3154" s="4">
        <v>45353</v>
      </c>
      <c r="E3154" t="s">
        <v>1522</v>
      </c>
      <c r="F3154" t="s">
        <v>75</v>
      </c>
      <c r="I3154" s="6"/>
      <c r="J3154" s="6"/>
      <c r="K3154" s="6"/>
      <c r="L3154" s="6"/>
      <c r="M3154" s="6"/>
      <c r="N3154" s="6"/>
      <c r="O3154" s="6"/>
      <c r="P3154" s="6"/>
      <c r="Q3154">
        <v>0</v>
      </c>
      <c r="R3154">
        <f t="shared" si="245"/>
        <v>0</v>
      </c>
      <c r="S3154">
        <f t="shared" si="246"/>
        <v>0</v>
      </c>
      <c r="T3154">
        <f t="shared" si="247"/>
        <v>0</v>
      </c>
      <c r="U3154">
        <f t="shared" si="248"/>
        <v>0</v>
      </c>
      <c r="V3154">
        <f t="shared" si="249"/>
        <v>0</v>
      </c>
    </row>
    <row r="3155" spans="1:22" x14ac:dyDescent="0.25">
      <c r="A3155">
        <v>3152</v>
      </c>
      <c r="B3155" t="s">
        <v>26</v>
      </c>
      <c r="C3155" t="s">
        <v>1218</v>
      </c>
      <c r="D3155" s="4">
        <v>45353</v>
      </c>
      <c r="E3155" t="s">
        <v>2245</v>
      </c>
      <c r="F3155" t="s">
        <v>75</v>
      </c>
      <c r="I3155" s="6"/>
      <c r="J3155" s="6"/>
      <c r="K3155" s="6"/>
      <c r="L3155" s="6"/>
      <c r="M3155" s="6"/>
      <c r="N3155" s="6"/>
      <c r="O3155" s="6"/>
      <c r="P3155" s="6"/>
      <c r="Q3155">
        <v>0</v>
      </c>
      <c r="R3155">
        <f t="shared" si="245"/>
        <v>0</v>
      </c>
      <c r="S3155">
        <f t="shared" si="246"/>
        <v>0</v>
      </c>
      <c r="T3155">
        <f t="shared" si="247"/>
        <v>0</v>
      </c>
      <c r="U3155">
        <f t="shared" si="248"/>
        <v>0</v>
      </c>
      <c r="V3155">
        <f t="shared" si="249"/>
        <v>0</v>
      </c>
    </row>
    <row r="3156" spans="1:22" x14ac:dyDescent="0.25">
      <c r="A3156">
        <v>3153</v>
      </c>
      <c r="B3156" t="s">
        <v>26</v>
      </c>
      <c r="C3156" t="s">
        <v>1218</v>
      </c>
      <c r="D3156" s="4">
        <v>45353</v>
      </c>
      <c r="E3156" t="s">
        <v>2584</v>
      </c>
      <c r="F3156" t="s">
        <v>75</v>
      </c>
      <c r="I3156" s="6"/>
      <c r="J3156" s="6"/>
      <c r="K3156" s="6"/>
      <c r="L3156" s="6"/>
      <c r="M3156" s="6"/>
      <c r="N3156" s="6"/>
      <c r="O3156" s="6"/>
      <c r="P3156" s="6"/>
      <c r="Q3156">
        <v>0</v>
      </c>
      <c r="R3156">
        <f t="shared" si="245"/>
        <v>0</v>
      </c>
      <c r="S3156">
        <f t="shared" si="246"/>
        <v>0</v>
      </c>
      <c r="T3156">
        <f t="shared" si="247"/>
        <v>0</v>
      </c>
      <c r="U3156">
        <f t="shared" si="248"/>
        <v>0</v>
      </c>
      <c r="V3156">
        <f t="shared" si="249"/>
        <v>0</v>
      </c>
    </row>
    <row r="3157" spans="1:22" x14ac:dyDescent="0.25">
      <c r="A3157">
        <v>3154</v>
      </c>
      <c r="B3157" t="s">
        <v>26</v>
      </c>
      <c r="C3157" t="s">
        <v>1218</v>
      </c>
      <c r="D3157" s="4">
        <v>45353</v>
      </c>
      <c r="E3157" t="s">
        <v>2583</v>
      </c>
      <c r="F3157" t="s">
        <v>75</v>
      </c>
      <c r="I3157" s="6"/>
      <c r="J3157" s="6"/>
      <c r="K3157" s="6"/>
      <c r="L3157" s="6"/>
      <c r="M3157" s="6"/>
      <c r="N3157" s="6"/>
      <c r="O3157" s="6"/>
      <c r="P3157" s="6"/>
      <c r="Q3157">
        <v>0</v>
      </c>
      <c r="R3157">
        <f t="shared" si="245"/>
        <v>0</v>
      </c>
      <c r="S3157">
        <f t="shared" si="246"/>
        <v>0</v>
      </c>
      <c r="T3157">
        <f t="shared" si="247"/>
        <v>0</v>
      </c>
      <c r="U3157">
        <f t="shared" si="248"/>
        <v>0</v>
      </c>
      <c r="V3157">
        <f t="shared" si="249"/>
        <v>0</v>
      </c>
    </row>
    <row r="3158" spans="1:22" x14ac:dyDescent="0.25">
      <c r="A3158">
        <v>3155</v>
      </c>
      <c r="B3158" t="s">
        <v>26</v>
      </c>
      <c r="C3158" t="s">
        <v>1218</v>
      </c>
      <c r="D3158" s="4">
        <v>45354</v>
      </c>
      <c r="E3158" t="s">
        <v>915</v>
      </c>
      <c r="F3158" t="s">
        <v>75</v>
      </c>
      <c r="I3158" s="6"/>
      <c r="J3158" s="6"/>
      <c r="K3158" s="6"/>
      <c r="L3158" s="6"/>
      <c r="M3158" s="6"/>
      <c r="N3158" s="6"/>
      <c r="O3158" s="6"/>
      <c r="P3158" s="6"/>
      <c r="Q3158">
        <v>0</v>
      </c>
      <c r="R3158">
        <f t="shared" si="245"/>
        <v>0</v>
      </c>
      <c r="S3158">
        <f t="shared" si="246"/>
        <v>0</v>
      </c>
      <c r="T3158">
        <f t="shared" si="247"/>
        <v>0</v>
      </c>
      <c r="U3158">
        <f t="shared" si="248"/>
        <v>0</v>
      </c>
      <c r="V3158">
        <f t="shared" si="249"/>
        <v>0</v>
      </c>
    </row>
    <row r="3159" spans="1:22" x14ac:dyDescent="0.25">
      <c r="A3159">
        <v>3156</v>
      </c>
      <c r="B3159" t="s">
        <v>26</v>
      </c>
      <c r="C3159" t="s">
        <v>1218</v>
      </c>
      <c r="D3159" s="4">
        <v>45354</v>
      </c>
      <c r="E3159" t="s">
        <v>2582</v>
      </c>
      <c r="F3159" t="s">
        <v>75</v>
      </c>
      <c r="I3159" s="6"/>
      <c r="J3159" s="6"/>
      <c r="K3159" s="6"/>
      <c r="L3159" s="6"/>
      <c r="M3159" s="6"/>
      <c r="N3159" s="6"/>
      <c r="O3159" s="6"/>
      <c r="P3159" s="6"/>
      <c r="Q3159">
        <v>0</v>
      </c>
      <c r="R3159">
        <f t="shared" si="245"/>
        <v>0</v>
      </c>
      <c r="S3159">
        <f t="shared" si="246"/>
        <v>0</v>
      </c>
      <c r="T3159">
        <f t="shared" si="247"/>
        <v>0</v>
      </c>
      <c r="U3159">
        <f t="shared" si="248"/>
        <v>0</v>
      </c>
      <c r="V3159">
        <f t="shared" si="249"/>
        <v>0</v>
      </c>
    </row>
    <row r="3160" spans="1:22" x14ac:dyDescent="0.25">
      <c r="A3160">
        <v>3157</v>
      </c>
      <c r="B3160" t="s">
        <v>26</v>
      </c>
      <c r="C3160" t="s">
        <v>1218</v>
      </c>
      <c r="D3160" s="4">
        <v>45354</v>
      </c>
      <c r="E3160" t="s">
        <v>2581</v>
      </c>
      <c r="F3160" t="s">
        <v>75</v>
      </c>
      <c r="I3160" s="6"/>
      <c r="J3160" s="6"/>
      <c r="K3160" s="6"/>
      <c r="L3160" s="6"/>
      <c r="M3160" s="6"/>
      <c r="N3160" s="6"/>
      <c r="O3160" s="6"/>
      <c r="P3160" s="6"/>
      <c r="Q3160">
        <v>0</v>
      </c>
      <c r="R3160">
        <f t="shared" si="245"/>
        <v>0</v>
      </c>
      <c r="S3160">
        <f t="shared" si="246"/>
        <v>0</v>
      </c>
      <c r="T3160">
        <f t="shared" si="247"/>
        <v>0</v>
      </c>
      <c r="U3160">
        <f t="shared" si="248"/>
        <v>0</v>
      </c>
      <c r="V3160">
        <f t="shared" si="249"/>
        <v>0</v>
      </c>
    </row>
    <row r="3161" spans="1:22" x14ac:dyDescent="0.25">
      <c r="A3161">
        <v>3158</v>
      </c>
      <c r="B3161" t="s">
        <v>26</v>
      </c>
      <c r="C3161" t="s">
        <v>1218</v>
      </c>
      <c r="D3161" s="4">
        <v>45354</v>
      </c>
      <c r="E3161" t="s">
        <v>1305</v>
      </c>
      <c r="F3161" t="s">
        <v>75</v>
      </c>
      <c r="I3161" s="6">
        <v>0</v>
      </c>
      <c r="J3161" s="6">
        <v>0</v>
      </c>
      <c r="K3161" s="6">
        <v>0</v>
      </c>
      <c r="L3161" s="6">
        <v>1</v>
      </c>
      <c r="M3161" s="6">
        <v>0</v>
      </c>
      <c r="N3161" s="6">
        <v>0</v>
      </c>
      <c r="O3161" s="6">
        <v>0</v>
      </c>
      <c r="P3161" s="6">
        <v>0</v>
      </c>
      <c r="Q3161">
        <v>1</v>
      </c>
      <c r="R3161">
        <f t="shared" si="245"/>
        <v>0</v>
      </c>
      <c r="S3161">
        <f t="shared" si="246"/>
        <v>1</v>
      </c>
      <c r="T3161">
        <f t="shared" si="247"/>
        <v>1</v>
      </c>
      <c r="U3161">
        <f t="shared" si="248"/>
        <v>1</v>
      </c>
      <c r="V3161">
        <f t="shared" si="249"/>
        <v>0</v>
      </c>
    </row>
    <row r="3162" spans="1:22" x14ac:dyDescent="0.25">
      <c r="A3162">
        <v>3159</v>
      </c>
      <c r="B3162" t="s">
        <v>26</v>
      </c>
      <c r="C3162" t="s">
        <v>1218</v>
      </c>
      <c r="D3162" s="4">
        <v>45354</v>
      </c>
      <c r="E3162" t="s">
        <v>2580</v>
      </c>
      <c r="F3162" t="s">
        <v>75</v>
      </c>
      <c r="I3162" s="6"/>
      <c r="J3162" s="6"/>
      <c r="K3162" s="6"/>
      <c r="L3162" s="6"/>
      <c r="M3162" s="6"/>
      <c r="N3162" s="6"/>
      <c r="O3162" s="6"/>
      <c r="P3162" s="6"/>
      <c r="Q3162">
        <v>0</v>
      </c>
      <c r="R3162">
        <f t="shared" si="245"/>
        <v>0</v>
      </c>
      <c r="S3162">
        <f t="shared" si="246"/>
        <v>0</v>
      </c>
      <c r="T3162">
        <f t="shared" si="247"/>
        <v>0</v>
      </c>
      <c r="U3162">
        <f t="shared" si="248"/>
        <v>0</v>
      </c>
      <c r="V3162">
        <f t="shared" si="249"/>
        <v>0</v>
      </c>
    </row>
    <row r="3163" spans="1:22" x14ac:dyDescent="0.25">
      <c r="A3163">
        <v>3160</v>
      </c>
      <c r="B3163" t="s">
        <v>26</v>
      </c>
      <c r="C3163" t="s">
        <v>1218</v>
      </c>
      <c r="D3163" s="4">
        <v>45354</v>
      </c>
      <c r="E3163" t="s">
        <v>1306</v>
      </c>
      <c r="F3163" t="s">
        <v>75</v>
      </c>
      <c r="I3163" s="6">
        <v>0</v>
      </c>
      <c r="J3163" s="6">
        <v>0</v>
      </c>
      <c r="K3163" s="6">
        <v>0</v>
      </c>
      <c r="L3163" s="6">
        <v>0</v>
      </c>
      <c r="M3163" s="6">
        <v>0</v>
      </c>
      <c r="N3163" s="6">
        <v>0</v>
      </c>
      <c r="O3163" s="6">
        <v>0</v>
      </c>
      <c r="P3163" s="6">
        <v>0</v>
      </c>
      <c r="Q3163">
        <v>1</v>
      </c>
      <c r="R3163">
        <f t="shared" si="245"/>
        <v>0</v>
      </c>
      <c r="S3163">
        <f t="shared" si="246"/>
        <v>1</v>
      </c>
      <c r="T3163">
        <f t="shared" si="247"/>
        <v>0</v>
      </c>
      <c r="U3163">
        <f t="shared" si="248"/>
        <v>0</v>
      </c>
      <c r="V3163">
        <f t="shared" si="249"/>
        <v>0</v>
      </c>
    </row>
    <row r="3164" spans="1:22" x14ac:dyDescent="0.25">
      <c r="A3164">
        <v>3161</v>
      </c>
      <c r="B3164" t="s">
        <v>26</v>
      </c>
      <c r="C3164" t="s">
        <v>1218</v>
      </c>
      <c r="D3164" s="4">
        <v>45354</v>
      </c>
      <c r="E3164" t="s">
        <v>2579</v>
      </c>
      <c r="F3164" t="s">
        <v>75</v>
      </c>
      <c r="I3164" s="6"/>
      <c r="J3164" s="6"/>
      <c r="K3164" s="6"/>
      <c r="L3164" s="6"/>
      <c r="M3164" s="6"/>
      <c r="N3164" s="6"/>
      <c r="O3164" s="6"/>
      <c r="P3164" s="6"/>
      <c r="Q3164">
        <v>0</v>
      </c>
      <c r="R3164">
        <f t="shared" si="245"/>
        <v>0</v>
      </c>
      <c r="S3164">
        <f t="shared" si="246"/>
        <v>0</v>
      </c>
      <c r="T3164">
        <f t="shared" si="247"/>
        <v>0</v>
      </c>
      <c r="U3164">
        <f t="shared" si="248"/>
        <v>0</v>
      </c>
      <c r="V3164">
        <f t="shared" si="249"/>
        <v>0</v>
      </c>
    </row>
    <row r="3165" spans="1:22" x14ac:dyDescent="0.25">
      <c r="A3165">
        <v>3162</v>
      </c>
      <c r="B3165" t="s">
        <v>26</v>
      </c>
      <c r="C3165" t="s">
        <v>1218</v>
      </c>
      <c r="D3165" s="4">
        <v>45354</v>
      </c>
      <c r="E3165" t="s">
        <v>2578</v>
      </c>
      <c r="F3165" t="s">
        <v>75</v>
      </c>
      <c r="I3165" s="6"/>
      <c r="J3165" s="6"/>
      <c r="K3165" s="6"/>
      <c r="L3165" s="6"/>
      <c r="M3165" s="6"/>
      <c r="N3165" s="6"/>
      <c r="O3165" s="6"/>
      <c r="P3165" s="6"/>
      <c r="Q3165">
        <v>0</v>
      </c>
      <c r="R3165">
        <f t="shared" si="245"/>
        <v>0</v>
      </c>
      <c r="S3165">
        <f t="shared" si="246"/>
        <v>0</v>
      </c>
      <c r="T3165">
        <f t="shared" si="247"/>
        <v>0</v>
      </c>
      <c r="U3165">
        <f t="shared" si="248"/>
        <v>0</v>
      </c>
      <c r="V3165">
        <f t="shared" si="249"/>
        <v>0</v>
      </c>
    </row>
    <row r="3166" spans="1:22" x14ac:dyDescent="0.25">
      <c r="A3166">
        <v>3163</v>
      </c>
      <c r="B3166" t="s">
        <v>26</v>
      </c>
      <c r="C3166" t="s">
        <v>1218</v>
      </c>
      <c r="D3166" s="4">
        <v>45354</v>
      </c>
      <c r="E3166" t="s">
        <v>2577</v>
      </c>
      <c r="F3166" t="s">
        <v>75</v>
      </c>
      <c r="I3166" s="6"/>
      <c r="J3166" s="6"/>
      <c r="K3166" s="6"/>
      <c r="L3166" s="6"/>
      <c r="M3166" s="6"/>
      <c r="N3166" s="6"/>
      <c r="O3166" s="6"/>
      <c r="P3166" s="6"/>
      <c r="Q3166">
        <v>0</v>
      </c>
      <c r="R3166">
        <f t="shared" si="245"/>
        <v>0</v>
      </c>
      <c r="S3166">
        <f t="shared" si="246"/>
        <v>0</v>
      </c>
      <c r="T3166">
        <f t="shared" si="247"/>
        <v>0</v>
      </c>
      <c r="U3166">
        <f t="shared" si="248"/>
        <v>0</v>
      </c>
      <c r="V3166">
        <f t="shared" si="249"/>
        <v>0</v>
      </c>
    </row>
    <row r="3167" spans="1:22" x14ac:dyDescent="0.25">
      <c r="A3167">
        <v>3164</v>
      </c>
      <c r="B3167" t="s">
        <v>26</v>
      </c>
      <c r="C3167" t="s">
        <v>1218</v>
      </c>
      <c r="D3167" s="4">
        <v>45354</v>
      </c>
      <c r="E3167" t="s">
        <v>2576</v>
      </c>
      <c r="F3167" t="s">
        <v>75</v>
      </c>
      <c r="I3167" s="6"/>
      <c r="J3167" s="6"/>
      <c r="K3167" s="6"/>
      <c r="L3167" s="6"/>
      <c r="M3167" s="6"/>
      <c r="N3167" s="6"/>
      <c r="O3167" s="6"/>
      <c r="P3167" s="6"/>
      <c r="Q3167">
        <v>0</v>
      </c>
      <c r="R3167">
        <f t="shared" si="245"/>
        <v>0</v>
      </c>
      <c r="S3167">
        <f t="shared" si="246"/>
        <v>0</v>
      </c>
      <c r="T3167">
        <f t="shared" si="247"/>
        <v>0</v>
      </c>
      <c r="U3167">
        <f t="shared" si="248"/>
        <v>0</v>
      </c>
      <c r="V3167">
        <f t="shared" si="249"/>
        <v>0</v>
      </c>
    </row>
    <row r="3168" spans="1:22" x14ac:dyDescent="0.25">
      <c r="A3168">
        <v>3165</v>
      </c>
      <c r="B3168" t="s">
        <v>26</v>
      </c>
      <c r="C3168" t="s">
        <v>1218</v>
      </c>
      <c r="D3168" s="4">
        <v>45354</v>
      </c>
      <c r="E3168" t="s">
        <v>2575</v>
      </c>
      <c r="F3168" t="s">
        <v>75</v>
      </c>
      <c r="I3168" s="6"/>
      <c r="J3168" s="6"/>
      <c r="K3168" s="6"/>
      <c r="L3168" s="6"/>
      <c r="M3168" s="6"/>
      <c r="N3168" s="6"/>
      <c r="O3168" s="6"/>
      <c r="P3168" s="6"/>
      <c r="Q3168">
        <v>0</v>
      </c>
      <c r="R3168">
        <f t="shared" si="245"/>
        <v>0</v>
      </c>
      <c r="S3168">
        <f t="shared" si="246"/>
        <v>0</v>
      </c>
      <c r="T3168">
        <f t="shared" si="247"/>
        <v>0</v>
      </c>
      <c r="U3168">
        <f t="shared" si="248"/>
        <v>0</v>
      </c>
      <c r="V3168">
        <f t="shared" si="249"/>
        <v>0</v>
      </c>
    </row>
    <row r="3169" spans="1:22" x14ac:dyDescent="0.25">
      <c r="A3169">
        <v>3166</v>
      </c>
      <c r="B3169" t="s">
        <v>26</v>
      </c>
      <c r="C3169" t="s">
        <v>1218</v>
      </c>
      <c r="D3169" s="4">
        <v>45354</v>
      </c>
      <c r="E3169" t="s">
        <v>1307</v>
      </c>
      <c r="F3169" t="s">
        <v>75</v>
      </c>
      <c r="H3169" t="s">
        <v>1308</v>
      </c>
      <c r="I3169" s="6">
        <v>0</v>
      </c>
      <c r="J3169" s="6">
        <v>0</v>
      </c>
      <c r="K3169" s="6">
        <v>0</v>
      </c>
      <c r="L3169" s="6">
        <v>0</v>
      </c>
      <c r="M3169" s="6">
        <v>0</v>
      </c>
      <c r="N3169" s="6">
        <v>0</v>
      </c>
      <c r="O3169" s="6">
        <v>0</v>
      </c>
      <c r="P3169" s="6">
        <v>0</v>
      </c>
      <c r="Q3169">
        <v>1</v>
      </c>
      <c r="R3169">
        <f t="shared" si="245"/>
        <v>0</v>
      </c>
      <c r="S3169">
        <f t="shared" si="246"/>
        <v>1</v>
      </c>
      <c r="T3169">
        <f t="shared" si="247"/>
        <v>0</v>
      </c>
      <c r="U3169">
        <f t="shared" si="248"/>
        <v>0</v>
      </c>
      <c r="V3169">
        <f t="shared" si="249"/>
        <v>0</v>
      </c>
    </row>
    <row r="3170" spans="1:22" x14ac:dyDescent="0.25">
      <c r="A3170">
        <v>3167</v>
      </c>
      <c r="B3170" t="s">
        <v>26</v>
      </c>
      <c r="C3170" t="s">
        <v>1218</v>
      </c>
      <c r="D3170" s="4">
        <v>45354</v>
      </c>
      <c r="E3170" t="s">
        <v>2574</v>
      </c>
      <c r="F3170" t="s">
        <v>75</v>
      </c>
      <c r="I3170" s="6"/>
      <c r="J3170" s="6"/>
      <c r="K3170" s="6"/>
      <c r="L3170" s="6"/>
      <c r="M3170" s="6"/>
      <c r="N3170" s="6"/>
      <c r="O3170" s="6"/>
      <c r="P3170" s="6"/>
      <c r="Q3170">
        <v>0</v>
      </c>
      <c r="R3170">
        <f t="shared" si="245"/>
        <v>0</v>
      </c>
      <c r="S3170">
        <f t="shared" si="246"/>
        <v>0</v>
      </c>
      <c r="T3170">
        <f t="shared" si="247"/>
        <v>0</v>
      </c>
      <c r="U3170">
        <f t="shared" si="248"/>
        <v>0</v>
      </c>
      <c r="V3170">
        <f t="shared" si="249"/>
        <v>0</v>
      </c>
    </row>
    <row r="3171" spans="1:22" x14ac:dyDescent="0.25">
      <c r="A3171">
        <v>3168</v>
      </c>
      <c r="B3171" t="s">
        <v>26</v>
      </c>
      <c r="C3171" t="s">
        <v>1218</v>
      </c>
      <c r="D3171" s="4">
        <v>45354</v>
      </c>
      <c r="E3171" t="s">
        <v>2573</v>
      </c>
      <c r="F3171" t="s">
        <v>75</v>
      </c>
      <c r="I3171" s="6"/>
      <c r="J3171" s="6"/>
      <c r="K3171" s="6"/>
      <c r="L3171" s="6"/>
      <c r="M3171" s="6"/>
      <c r="N3171" s="6"/>
      <c r="O3171" s="6"/>
      <c r="P3171" s="6"/>
      <c r="Q3171">
        <v>0</v>
      </c>
      <c r="R3171">
        <f t="shared" si="245"/>
        <v>0</v>
      </c>
      <c r="S3171">
        <f t="shared" si="246"/>
        <v>0</v>
      </c>
      <c r="T3171">
        <f t="shared" si="247"/>
        <v>0</v>
      </c>
      <c r="U3171">
        <f t="shared" si="248"/>
        <v>0</v>
      </c>
      <c r="V3171">
        <f t="shared" si="249"/>
        <v>0</v>
      </c>
    </row>
    <row r="3172" spans="1:22" x14ac:dyDescent="0.25">
      <c r="A3172">
        <v>3169</v>
      </c>
      <c r="B3172" t="s">
        <v>26</v>
      </c>
      <c r="C3172" t="s">
        <v>1218</v>
      </c>
      <c r="D3172" s="4">
        <v>45354</v>
      </c>
      <c r="E3172" t="s">
        <v>2572</v>
      </c>
      <c r="F3172" t="s">
        <v>75</v>
      </c>
      <c r="I3172" s="6"/>
      <c r="J3172" s="6"/>
      <c r="K3172" s="6"/>
      <c r="L3172" s="6"/>
      <c r="M3172" s="6"/>
      <c r="N3172" s="6"/>
      <c r="O3172" s="6"/>
      <c r="P3172" s="6"/>
      <c r="Q3172">
        <v>0</v>
      </c>
      <c r="R3172">
        <f t="shared" si="245"/>
        <v>0</v>
      </c>
      <c r="S3172">
        <f t="shared" si="246"/>
        <v>0</v>
      </c>
      <c r="T3172">
        <f t="shared" si="247"/>
        <v>0</v>
      </c>
      <c r="U3172">
        <f t="shared" si="248"/>
        <v>0</v>
      </c>
      <c r="V3172">
        <f t="shared" si="249"/>
        <v>0</v>
      </c>
    </row>
    <row r="3173" spans="1:22" x14ac:dyDescent="0.25">
      <c r="A3173">
        <v>3170</v>
      </c>
      <c r="B3173" t="s">
        <v>26</v>
      </c>
      <c r="C3173" t="s">
        <v>1218</v>
      </c>
      <c r="D3173" s="4">
        <v>45354</v>
      </c>
      <c r="E3173" t="s">
        <v>1309</v>
      </c>
      <c r="F3173" t="s">
        <v>75</v>
      </c>
      <c r="I3173" s="6">
        <v>0</v>
      </c>
      <c r="J3173" s="6">
        <v>0</v>
      </c>
      <c r="K3173" s="6">
        <v>0</v>
      </c>
      <c r="L3173" s="6">
        <v>0</v>
      </c>
      <c r="M3173" s="6">
        <v>0</v>
      </c>
      <c r="N3173" s="6">
        <v>0</v>
      </c>
      <c r="O3173" s="6">
        <v>0</v>
      </c>
      <c r="P3173" s="6">
        <v>0</v>
      </c>
      <c r="Q3173">
        <v>1</v>
      </c>
      <c r="R3173">
        <f t="shared" si="245"/>
        <v>0</v>
      </c>
      <c r="S3173">
        <f t="shared" si="246"/>
        <v>1</v>
      </c>
      <c r="T3173">
        <f t="shared" si="247"/>
        <v>0</v>
      </c>
      <c r="U3173">
        <f t="shared" si="248"/>
        <v>0</v>
      </c>
      <c r="V3173">
        <f t="shared" si="249"/>
        <v>0</v>
      </c>
    </row>
    <row r="3174" spans="1:22" x14ac:dyDescent="0.25">
      <c r="A3174">
        <v>3171</v>
      </c>
      <c r="B3174" t="s">
        <v>26</v>
      </c>
      <c r="C3174" t="s">
        <v>1218</v>
      </c>
      <c r="D3174" s="4">
        <v>45354</v>
      </c>
      <c r="E3174" t="s">
        <v>1310</v>
      </c>
      <c r="F3174" t="s">
        <v>75</v>
      </c>
      <c r="I3174" s="6">
        <v>0</v>
      </c>
      <c r="J3174" s="6">
        <v>0</v>
      </c>
      <c r="K3174" s="6">
        <v>0</v>
      </c>
      <c r="L3174" s="6">
        <v>1</v>
      </c>
      <c r="M3174" s="6">
        <v>0</v>
      </c>
      <c r="N3174" s="6">
        <v>0</v>
      </c>
      <c r="O3174" s="6">
        <v>0</v>
      </c>
      <c r="P3174" s="6">
        <v>0</v>
      </c>
      <c r="Q3174">
        <v>1</v>
      </c>
      <c r="R3174">
        <f t="shared" si="245"/>
        <v>0</v>
      </c>
      <c r="S3174">
        <f t="shared" si="246"/>
        <v>1</v>
      </c>
      <c r="T3174">
        <f t="shared" si="247"/>
        <v>1</v>
      </c>
      <c r="U3174">
        <f t="shared" si="248"/>
        <v>1</v>
      </c>
      <c r="V3174">
        <f t="shared" si="249"/>
        <v>0</v>
      </c>
    </row>
    <row r="3175" spans="1:22" x14ac:dyDescent="0.25">
      <c r="A3175">
        <v>3172</v>
      </c>
      <c r="B3175" t="s">
        <v>26</v>
      </c>
      <c r="C3175" t="s">
        <v>1218</v>
      </c>
      <c r="D3175" s="4">
        <v>45354</v>
      </c>
      <c r="E3175" t="s">
        <v>2571</v>
      </c>
      <c r="F3175" t="s">
        <v>75</v>
      </c>
      <c r="I3175" s="6"/>
      <c r="J3175" s="6"/>
      <c r="K3175" s="6"/>
      <c r="L3175" s="6"/>
      <c r="M3175" s="6"/>
      <c r="N3175" s="6"/>
      <c r="O3175" s="6"/>
      <c r="P3175" s="6"/>
      <c r="Q3175">
        <v>0</v>
      </c>
      <c r="R3175">
        <f t="shared" si="245"/>
        <v>0</v>
      </c>
      <c r="S3175">
        <f t="shared" si="246"/>
        <v>0</v>
      </c>
      <c r="T3175">
        <f t="shared" si="247"/>
        <v>0</v>
      </c>
      <c r="U3175">
        <f t="shared" si="248"/>
        <v>0</v>
      </c>
      <c r="V3175">
        <f t="shared" si="249"/>
        <v>0</v>
      </c>
    </row>
    <row r="3176" spans="1:22" x14ac:dyDescent="0.25">
      <c r="A3176">
        <v>3173</v>
      </c>
      <c r="B3176" t="s">
        <v>26</v>
      </c>
      <c r="C3176" t="s">
        <v>1218</v>
      </c>
      <c r="D3176" s="4">
        <v>45354</v>
      </c>
      <c r="E3176" t="s">
        <v>2570</v>
      </c>
      <c r="F3176" t="s">
        <v>75</v>
      </c>
      <c r="I3176" s="6"/>
      <c r="J3176" s="6"/>
      <c r="K3176" s="6"/>
      <c r="L3176" s="6"/>
      <c r="M3176" s="6"/>
      <c r="N3176" s="6"/>
      <c r="O3176" s="6"/>
      <c r="P3176" s="6"/>
      <c r="Q3176">
        <v>0</v>
      </c>
      <c r="R3176">
        <f t="shared" si="245"/>
        <v>0</v>
      </c>
      <c r="S3176">
        <f t="shared" si="246"/>
        <v>0</v>
      </c>
      <c r="T3176">
        <f t="shared" si="247"/>
        <v>0</v>
      </c>
      <c r="U3176">
        <f t="shared" si="248"/>
        <v>0</v>
      </c>
      <c r="V3176">
        <f t="shared" si="249"/>
        <v>0</v>
      </c>
    </row>
    <row r="3177" spans="1:22" x14ac:dyDescent="0.25">
      <c r="A3177">
        <v>3174</v>
      </c>
      <c r="B3177" t="s">
        <v>26</v>
      </c>
      <c r="C3177" t="s">
        <v>1218</v>
      </c>
      <c r="D3177" s="4">
        <v>45354</v>
      </c>
      <c r="E3177" t="s">
        <v>1311</v>
      </c>
      <c r="F3177" t="s">
        <v>75</v>
      </c>
      <c r="I3177" s="6">
        <v>0</v>
      </c>
      <c r="J3177" s="6">
        <v>0</v>
      </c>
      <c r="K3177" s="6">
        <v>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>
        <v>1</v>
      </c>
      <c r="R3177">
        <f t="shared" si="245"/>
        <v>0</v>
      </c>
      <c r="S3177">
        <f t="shared" si="246"/>
        <v>1</v>
      </c>
      <c r="T3177">
        <f t="shared" si="247"/>
        <v>0</v>
      </c>
      <c r="U3177">
        <f t="shared" si="248"/>
        <v>0</v>
      </c>
      <c r="V3177">
        <f t="shared" si="249"/>
        <v>0</v>
      </c>
    </row>
    <row r="3178" spans="1:22" x14ac:dyDescent="0.25">
      <c r="A3178">
        <v>3175</v>
      </c>
      <c r="B3178" t="s">
        <v>26</v>
      </c>
      <c r="C3178" t="s">
        <v>1218</v>
      </c>
      <c r="D3178" s="4">
        <v>45354</v>
      </c>
      <c r="E3178" t="s">
        <v>2569</v>
      </c>
      <c r="F3178" t="s">
        <v>75</v>
      </c>
      <c r="I3178" s="6"/>
      <c r="J3178" s="6"/>
      <c r="K3178" s="6"/>
      <c r="L3178" s="6"/>
      <c r="M3178" s="6"/>
      <c r="N3178" s="6"/>
      <c r="O3178" s="6"/>
      <c r="P3178" s="6"/>
      <c r="Q3178">
        <v>0</v>
      </c>
      <c r="R3178">
        <f t="shared" si="245"/>
        <v>0</v>
      </c>
      <c r="S3178">
        <f t="shared" si="246"/>
        <v>0</v>
      </c>
      <c r="T3178">
        <f t="shared" si="247"/>
        <v>0</v>
      </c>
      <c r="U3178">
        <f t="shared" si="248"/>
        <v>0</v>
      </c>
      <c r="V3178">
        <f t="shared" si="249"/>
        <v>0</v>
      </c>
    </row>
    <row r="3179" spans="1:22" x14ac:dyDescent="0.25">
      <c r="A3179">
        <v>3176</v>
      </c>
      <c r="B3179" t="s">
        <v>26</v>
      </c>
      <c r="C3179" t="s">
        <v>1218</v>
      </c>
      <c r="D3179" s="4">
        <v>45354</v>
      </c>
      <c r="E3179" t="s">
        <v>1312</v>
      </c>
      <c r="F3179" t="s">
        <v>75</v>
      </c>
      <c r="I3179" s="6">
        <v>0</v>
      </c>
      <c r="J3179" s="6">
        <v>0</v>
      </c>
      <c r="K3179" s="6">
        <v>0</v>
      </c>
      <c r="L3179" s="6">
        <v>0</v>
      </c>
      <c r="M3179" s="6">
        <v>0</v>
      </c>
      <c r="N3179" s="6">
        <v>0</v>
      </c>
      <c r="O3179" s="6">
        <v>0</v>
      </c>
      <c r="P3179" s="6">
        <v>0</v>
      </c>
      <c r="Q3179">
        <v>1</v>
      </c>
      <c r="R3179">
        <f t="shared" si="245"/>
        <v>0</v>
      </c>
      <c r="S3179">
        <f t="shared" si="246"/>
        <v>1</v>
      </c>
      <c r="T3179">
        <f t="shared" si="247"/>
        <v>0</v>
      </c>
      <c r="U3179">
        <f t="shared" si="248"/>
        <v>0</v>
      </c>
      <c r="V3179">
        <f t="shared" si="249"/>
        <v>0</v>
      </c>
    </row>
    <row r="3180" spans="1:22" x14ac:dyDescent="0.25">
      <c r="A3180">
        <v>3177</v>
      </c>
      <c r="B3180" t="s">
        <v>26</v>
      </c>
      <c r="C3180" t="s">
        <v>1218</v>
      </c>
      <c r="D3180" s="4">
        <v>45354</v>
      </c>
      <c r="E3180" t="s">
        <v>2244</v>
      </c>
      <c r="F3180" t="s">
        <v>75</v>
      </c>
      <c r="I3180" s="6"/>
      <c r="J3180" s="6"/>
      <c r="K3180" s="6"/>
      <c r="L3180" s="6"/>
      <c r="M3180" s="6"/>
      <c r="N3180" s="6"/>
      <c r="O3180" s="6"/>
      <c r="P3180" s="6"/>
      <c r="Q3180">
        <v>0</v>
      </c>
      <c r="R3180">
        <f t="shared" si="245"/>
        <v>0</v>
      </c>
      <c r="S3180">
        <f t="shared" si="246"/>
        <v>0</v>
      </c>
      <c r="T3180">
        <f t="shared" si="247"/>
        <v>0</v>
      </c>
      <c r="U3180">
        <f t="shared" si="248"/>
        <v>0</v>
      </c>
      <c r="V3180">
        <f t="shared" si="249"/>
        <v>0</v>
      </c>
    </row>
    <row r="3181" spans="1:22" x14ac:dyDescent="0.25">
      <c r="A3181">
        <v>3178</v>
      </c>
      <c r="B3181" t="s">
        <v>26</v>
      </c>
      <c r="C3181" t="s">
        <v>1218</v>
      </c>
      <c r="D3181" s="4">
        <v>45354</v>
      </c>
      <c r="E3181" t="s">
        <v>1313</v>
      </c>
      <c r="F3181" t="s">
        <v>75</v>
      </c>
      <c r="I3181" s="6">
        <v>1</v>
      </c>
      <c r="J3181" s="6">
        <v>0</v>
      </c>
      <c r="K3181" s="6">
        <v>0</v>
      </c>
      <c r="L3181" s="6">
        <v>1</v>
      </c>
      <c r="M3181" s="6">
        <v>0</v>
      </c>
      <c r="N3181" s="6">
        <v>0</v>
      </c>
      <c r="O3181" s="6">
        <v>0</v>
      </c>
      <c r="P3181" s="6">
        <v>0</v>
      </c>
      <c r="Q3181">
        <v>1</v>
      </c>
      <c r="R3181">
        <f t="shared" si="245"/>
        <v>0</v>
      </c>
      <c r="S3181">
        <f t="shared" si="246"/>
        <v>1</v>
      </c>
      <c r="T3181">
        <f t="shared" si="247"/>
        <v>2</v>
      </c>
      <c r="U3181">
        <f t="shared" si="248"/>
        <v>1</v>
      </c>
      <c r="V3181">
        <f t="shared" si="249"/>
        <v>0</v>
      </c>
    </row>
    <row r="3182" spans="1:22" x14ac:dyDescent="0.25">
      <c r="A3182">
        <v>3179</v>
      </c>
      <c r="B3182" t="s">
        <v>26</v>
      </c>
      <c r="C3182" t="s">
        <v>1218</v>
      </c>
      <c r="D3182" s="4">
        <v>45354</v>
      </c>
      <c r="E3182" t="s">
        <v>2568</v>
      </c>
      <c r="F3182" t="s">
        <v>75</v>
      </c>
      <c r="I3182" s="6"/>
      <c r="J3182" s="6"/>
      <c r="K3182" s="6"/>
      <c r="L3182" s="6"/>
      <c r="M3182" s="6"/>
      <c r="N3182" s="6"/>
      <c r="O3182" s="6"/>
      <c r="P3182" s="6"/>
      <c r="Q3182">
        <v>0</v>
      </c>
      <c r="R3182">
        <f t="shared" si="245"/>
        <v>0</v>
      </c>
      <c r="S3182">
        <f t="shared" si="246"/>
        <v>0</v>
      </c>
      <c r="T3182">
        <f t="shared" si="247"/>
        <v>0</v>
      </c>
      <c r="U3182">
        <f t="shared" si="248"/>
        <v>0</v>
      </c>
      <c r="V3182">
        <f t="shared" si="249"/>
        <v>0</v>
      </c>
    </row>
    <row r="3183" spans="1:22" x14ac:dyDescent="0.25">
      <c r="A3183">
        <v>3180</v>
      </c>
      <c r="B3183" t="s">
        <v>26</v>
      </c>
      <c r="C3183" t="s">
        <v>1218</v>
      </c>
      <c r="D3183" s="4">
        <v>45354</v>
      </c>
      <c r="E3183" t="s">
        <v>2567</v>
      </c>
      <c r="F3183" t="s">
        <v>75</v>
      </c>
      <c r="I3183" s="6"/>
      <c r="J3183" s="6"/>
      <c r="K3183" s="6"/>
      <c r="L3183" s="6"/>
      <c r="M3183" s="6"/>
      <c r="N3183" s="6"/>
      <c r="O3183" s="6"/>
      <c r="P3183" s="6"/>
      <c r="Q3183">
        <v>0</v>
      </c>
      <c r="R3183">
        <f t="shared" si="245"/>
        <v>0</v>
      </c>
      <c r="S3183">
        <f t="shared" si="246"/>
        <v>0</v>
      </c>
      <c r="T3183">
        <f t="shared" si="247"/>
        <v>0</v>
      </c>
      <c r="U3183">
        <f t="shared" si="248"/>
        <v>0</v>
      </c>
      <c r="V3183">
        <f t="shared" si="249"/>
        <v>0</v>
      </c>
    </row>
    <row r="3184" spans="1:22" x14ac:dyDescent="0.25">
      <c r="A3184">
        <v>3181</v>
      </c>
      <c r="B3184" t="s">
        <v>26</v>
      </c>
      <c r="C3184" t="s">
        <v>1218</v>
      </c>
      <c r="D3184" s="4">
        <v>45354</v>
      </c>
      <c r="E3184" t="s">
        <v>2566</v>
      </c>
      <c r="F3184" t="s">
        <v>75</v>
      </c>
      <c r="I3184" s="6"/>
      <c r="J3184" s="6"/>
      <c r="K3184" s="6"/>
      <c r="L3184" s="6"/>
      <c r="M3184" s="6"/>
      <c r="N3184" s="6"/>
      <c r="O3184" s="6"/>
      <c r="P3184" s="6"/>
      <c r="Q3184">
        <v>0</v>
      </c>
      <c r="R3184">
        <f t="shared" si="245"/>
        <v>0</v>
      </c>
      <c r="S3184">
        <f t="shared" si="246"/>
        <v>0</v>
      </c>
      <c r="T3184">
        <f t="shared" si="247"/>
        <v>0</v>
      </c>
      <c r="U3184">
        <f t="shared" si="248"/>
        <v>0</v>
      </c>
      <c r="V3184">
        <f t="shared" si="249"/>
        <v>0</v>
      </c>
    </row>
    <row r="3185" spans="1:22" x14ac:dyDescent="0.25">
      <c r="A3185">
        <v>3182</v>
      </c>
      <c r="B3185" t="s">
        <v>26</v>
      </c>
      <c r="C3185" t="s">
        <v>1218</v>
      </c>
      <c r="D3185" s="4">
        <v>45354</v>
      </c>
      <c r="E3185" t="s">
        <v>2565</v>
      </c>
      <c r="F3185" t="s">
        <v>75</v>
      </c>
      <c r="I3185" s="6">
        <v>0</v>
      </c>
      <c r="J3185" s="6">
        <v>0</v>
      </c>
      <c r="K3185" s="6">
        <v>0</v>
      </c>
      <c r="L3185" s="6">
        <v>0</v>
      </c>
      <c r="M3185" s="6">
        <v>0</v>
      </c>
      <c r="N3185" s="6">
        <v>0</v>
      </c>
      <c r="O3185" s="6">
        <v>0</v>
      </c>
      <c r="P3185" s="6">
        <v>0</v>
      </c>
      <c r="Q3185">
        <v>1</v>
      </c>
      <c r="R3185">
        <f t="shared" si="245"/>
        <v>0</v>
      </c>
      <c r="S3185">
        <f t="shared" si="246"/>
        <v>1</v>
      </c>
      <c r="T3185">
        <f t="shared" si="247"/>
        <v>0</v>
      </c>
      <c r="U3185">
        <f t="shared" si="248"/>
        <v>0</v>
      </c>
      <c r="V3185">
        <f t="shared" si="249"/>
        <v>0</v>
      </c>
    </row>
    <row r="3186" spans="1:22" x14ac:dyDescent="0.25">
      <c r="A3186">
        <v>3183</v>
      </c>
      <c r="B3186" t="s">
        <v>26</v>
      </c>
      <c r="C3186" t="s">
        <v>1218</v>
      </c>
      <c r="D3186" s="4">
        <v>45354</v>
      </c>
      <c r="E3186" t="s">
        <v>1314</v>
      </c>
      <c r="F3186" t="s">
        <v>75</v>
      </c>
      <c r="I3186" s="6">
        <v>0</v>
      </c>
      <c r="J3186" s="6">
        <v>0</v>
      </c>
      <c r="K3186" s="6">
        <v>0</v>
      </c>
      <c r="L3186" s="6">
        <v>0</v>
      </c>
      <c r="M3186" s="6">
        <v>0</v>
      </c>
      <c r="N3186" s="6">
        <v>0</v>
      </c>
      <c r="O3186" s="6">
        <v>0</v>
      </c>
      <c r="P3186" s="6">
        <v>0</v>
      </c>
      <c r="Q3186">
        <v>1</v>
      </c>
      <c r="R3186">
        <f t="shared" si="245"/>
        <v>0</v>
      </c>
      <c r="S3186">
        <f t="shared" si="246"/>
        <v>1</v>
      </c>
      <c r="T3186">
        <f t="shared" si="247"/>
        <v>0</v>
      </c>
      <c r="U3186">
        <f t="shared" si="248"/>
        <v>0</v>
      </c>
      <c r="V3186">
        <f t="shared" si="249"/>
        <v>0</v>
      </c>
    </row>
    <row r="3187" spans="1:22" x14ac:dyDescent="0.25">
      <c r="A3187">
        <v>3184</v>
      </c>
      <c r="B3187" t="s">
        <v>26</v>
      </c>
      <c r="C3187" t="s">
        <v>1218</v>
      </c>
      <c r="D3187" s="4">
        <v>45354</v>
      </c>
      <c r="E3187" t="s">
        <v>2564</v>
      </c>
      <c r="F3187" t="s">
        <v>75</v>
      </c>
      <c r="I3187" s="6"/>
      <c r="J3187" s="6"/>
      <c r="K3187" s="6"/>
      <c r="L3187" s="6"/>
      <c r="M3187" s="6"/>
      <c r="N3187" s="6"/>
      <c r="O3187" s="6"/>
      <c r="P3187" s="6"/>
      <c r="Q3187">
        <v>0</v>
      </c>
      <c r="R3187">
        <f t="shared" si="245"/>
        <v>0</v>
      </c>
      <c r="S3187">
        <f t="shared" si="246"/>
        <v>0</v>
      </c>
      <c r="T3187">
        <f t="shared" si="247"/>
        <v>0</v>
      </c>
      <c r="U3187">
        <f t="shared" si="248"/>
        <v>0</v>
      </c>
      <c r="V3187">
        <f t="shared" si="249"/>
        <v>0</v>
      </c>
    </row>
    <row r="3188" spans="1:22" x14ac:dyDescent="0.25">
      <c r="A3188">
        <v>3185</v>
      </c>
      <c r="B3188" t="s">
        <v>26</v>
      </c>
      <c r="C3188" t="s">
        <v>1218</v>
      </c>
      <c r="D3188" s="4">
        <v>45354</v>
      </c>
      <c r="E3188" t="s">
        <v>2563</v>
      </c>
      <c r="F3188" t="s">
        <v>75</v>
      </c>
      <c r="I3188" s="6"/>
      <c r="J3188" s="6"/>
      <c r="K3188" s="6"/>
      <c r="L3188" s="6"/>
      <c r="M3188" s="6"/>
      <c r="N3188" s="6"/>
      <c r="O3188" s="6"/>
      <c r="P3188" s="6"/>
      <c r="Q3188">
        <v>0</v>
      </c>
      <c r="R3188">
        <f t="shared" si="245"/>
        <v>0</v>
      </c>
      <c r="S3188">
        <f t="shared" si="246"/>
        <v>0</v>
      </c>
      <c r="T3188">
        <f t="shared" si="247"/>
        <v>0</v>
      </c>
      <c r="U3188">
        <f t="shared" si="248"/>
        <v>0</v>
      </c>
      <c r="V3188">
        <f t="shared" si="249"/>
        <v>0</v>
      </c>
    </row>
    <row r="3189" spans="1:22" x14ac:dyDescent="0.25">
      <c r="A3189">
        <v>3186</v>
      </c>
      <c r="B3189" t="s">
        <v>26</v>
      </c>
      <c r="C3189" t="s">
        <v>1218</v>
      </c>
      <c r="D3189" s="4">
        <v>45354</v>
      </c>
      <c r="E3189" t="s">
        <v>1315</v>
      </c>
      <c r="F3189" t="s">
        <v>75</v>
      </c>
      <c r="I3189" s="6">
        <v>0</v>
      </c>
      <c r="J3189" s="6">
        <v>0</v>
      </c>
      <c r="K3189" s="6">
        <v>0</v>
      </c>
      <c r="L3189" s="6">
        <v>0</v>
      </c>
      <c r="M3189" s="6">
        <v>0</v>
      </c>
      <c r="N3189" s="6">
        <v>0</v>
      </c>
      <c r="O3189" s="6">
        <v>0</v>
      </c>
      <c r="P3189" s="6">
        <v>0</v>
      </c>
      <c r="Q3189">
        <v>1</v>
      </c>
      <c r="R3189">
        <f t="shared" si="245"/>
        <v>0</v>
      </c>
      <c r="S3189">
        <f t="shared" si="246"/>
        <v>1</v>
      </c>
      <c r="T3189">
        <f t="shared" si="247"/>
        <v>0</v>
      </c>
      <c r="U3189">
        <f t="shared" si="248"/>
        <v>0</v>
      </c>
      <c r="V3189">
        <f t="shared" si="249"/>
        <v>0</v>
      </c>
    </row>
    <row r="3190" spans="1:22" x14ac:dyDescent="0.25">
      <c r="A3190">
        <v>3187</v>
      </c>
      <c r="B3190" t="s">
        <v>26</v>
      </c>
      <c r="C3190" t="s">
        <v>1218</v>
      </c>
      <c r="D3190" s="4">
        <v>45354</v>
      </c>
      <c r="E3190" t="s">
        <v>2562</v>
      </c>
      <c r="F3190" t="s">
        <v>75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>
        <v>1</v>
      </c>
      <c r="R3190">
        <f t="shared" si="245"/>
        <v>0</v>
      </c>
      <c r="S3190">
        <f t="shared" si="246"/>
        <v>1</v>
      </c>
      <c r="T3190">
        <f t="shared" si="247"/>
        <v>0</v>
      </c>
      <c r="U3190">
        <f t="shared" si="248"/>
        <v>0</v>
      </c>
      <c r="V3190">
        <f t="shared" si="249"/>
        <v>0</v>
      </c>
    </row>
    <row r="3191" spans="1:22" x14ac:dyDescent="0.25">
      <c r="A3191">
        <v>3188</v>
      </c>
      <c r="B3191" t="s">
        <v>26</v>
      </c>
      <c r="C3191" t="s">
        <v>1218</v>
      </c>
      <c r="D3191" s="4">
        <v>45354</v>
      </c>
      <c r="E3191" t="s">
        <v>2243</v>
      </c>
      <c r="F3191" t="s">
        <v>75</v>
      </c>
      <c r="I3191" s="6"/>
      <c r="J3191" s="6"/>
      <c r="K3191" s="6"/>
      <c r="L3191" s="6"/>
      <c r="M3191" s="6"/>
      <c r="N3191" s="6"/>
      <c r="O3191" s="6"/>
      <c r="P3191" s="6"/>
      <c r="Q3191">
        <v>0</v>
      </c>
      <c r="R3191">
        <f t="shared" si="245"/>
        <v>0</v>
      </c>
      <c r="S3191">
        <f t="shared" si="246"/>
        <v>0</v>
      </c>
      <c r="T3191">
        <f t="shared" si="247"/>
        <v>0</v>
      </c>
      <c r="U3191">
        <f t="shared" si="248"/>
        <v>0</v>
      </c>
      <c r="V3191">
        <f t="shared" si="249"/>
        <v>0</v>
      </c>
    </row>
    <row r="3192" spans="1:22" x14ac:dyDescent="0.25">
      <c r="A3192">
        <v>3189</v>
      </c>
      <c r="B3192" t="s">
        <v>26</v>
      </c>
      <c r="C3192" t="s">
        <v>1218</v>
      </c>
      <c r="D3192" s="4">
        <v>45354</v>
      </c>
      <c r="E3192" t="s">
        <v>2561</v>
      </c>
      <c r="F3192" t="s">
        <v>75</v>
      </c>
      <c r="I3192" s="6"/>
      <c r="J3192" s="6"/>
      <c r="K3192" s="6"/>
      <c r="L3192" s="6"/>
      <c r="M3192" s="6"/>
      <c r="N3192" s="6"/>
      <c r="O3192" s="6"/>
      <c r="P3192" s="6"/>
      <c r="Q3192">
        <v>0</v>
      </c>
      <c r="R3192">
        <f t="shared" si="245"/>
        <v>0</v>
      </c>
      <c r="S3192">
        <f t="shared" si="246"/>
        <v>0</v>
      </c>
      <c r="T3192">
        <f t="shared" si="247"/>
        <v>0</v>
      </c>
      <c r="U3192">
        <f t="shared" si="248"/>
        <v>0</v>
      </c>
      <c r="V3192">
        <f t="shared" si="249"/>
        <v>0</v>
      </c>
    </row>
    <row r="3193" spans="1:22" x14ac:dyDescent="0.25">
      <c r="A3193">
        <v>3190</v>
      </c>
      <c r="B3193" t="s">
        <v>26</v>
      </c>
      <c r="C3193" t="s">
        <v>1218</v>
      </c>
      <c r="D3193" s="4">
        <v>45354</v>
      </c>
      <c r="E3193" t="s">
        <v>2560</v>
      </c>
      <c r="F3193" t="s">
        <v>75</v>
      </c>
      <c r="I3193" s="6">
        <v>0</v>
      </c>
      <c r="J3193" s="6">
        <v>0</v>
      </c>
      <c r="K3193" s="6">
        <v>0</v>
      </c>
      <c r="L3193" s="6">
        <v>0</v>
      </c>
      <c r="M3193" s="6">
        <v>0</v>
      </c>
      <c r="N3193" s="6">
        <v>0</v>
      </c>
      <c r="O3193" s="6">
        <v>0</v>
      </c>
      <c r="P3193" s="6">
        <v>0</v>
      </c>
      <c r="Q3193">
        <v>1</v>
      </c>
      <c r="R3193">
        <f t="shared" si="245"/>
        <v>0</v>
      </c>
      <c r="S3193">
        <f t="shared" si="246"/>
        <v>1</v>
      </c>
      <c r="T3193">
        <f t="shared" si="247"/>
        <v>0</v>
      </c>
      <c r="U3193">
        <f t="shared" si="248"/>
        <v>0</v>
      </c>
      <c r="V3193">
        <f t="shared" si="249"/>
        <v>0</v>
      </c>
    </row>
    <row r="3194" spans="1:22" x14ac:dyDescent="0.25">
      <c r="A3194">
        <v>3191</v>
      </c>
      <c r="B3194" t="s">
        <v>26</v>
      </c>
      <c r="C3194" t="s">
        <v>1218</v>
      </c>
      <c r="D3194" s="4">
        <v>45354</v>
      </c>
      <c r="E3194" t="s">
        <v>2242</v>
      </c>
      <c r="F3194" t="s">
        <v>75</v>
      </c>
      <c r="I3194" s="6"/>
      <c r="J3194" s="6"/>
      <c r="K3194" s="6"/>
      <c r="L3194" s="6"/>
      <c r="M3194" s="6"/>
      <c r="N3194" s="6"/>
      <c r="O3194" s="6"/>
      <c r="P3194" s="6"/>
      <c r="Q3194">
        <v>0</v>
      </c>
      <c r="R3194">
        <f t="shared" si="245"/>
        <v>0</v>
      </c>
      <c r="S3194">
        <f t="shared" si="246"/>
        <v>0</v>
      </c>
      <c r="T3194">
        <f t="shared" si="247"/>
        <v>0</v>
      </c>
      <c r="U3194">
        <f t="shared" si="248"/>
        <v>0</v>
      </c>
      <c r="V3194">
        <f t="shared" si="249"/>
        <v>0</v>
      </c>
    </row>
    <row r="3195" spans="1:22" x14ac:dyDescent="0.25">
      <c r="A3195">
        <v>3192</v>
      </c>
      <c r="B3195" t="s">
        <v>26</v>
      </c>
      <c r="C3195" t="s">
        <v>1218</v>
      </c>
      <c r="D3195" s="4">
        <v>45354</v>
      </c>
      <c r="E3195" t="s">
        <v>2241</v>
      </c>
      <c r="F3195" t="s">
        <v>75</v>
      </c>
      <c r="I3195" s="6">
        <v>0</v>
      </c>
      <c r="J3195" s="6">
        <v>0</v>
      </c>
      <c r="K3195" s="6">
        <v>0</v>
      </c>
      <c r="L3195" s="6">
        <v>0</v>
      </c>
      <c r="M3195" s="6">
        <v>0</v>
      </c>
      <c r="N3195" s="6">
        <v>0</v>
      </c>
      <c r="O3195" s="6">
        <v>0</v>
      </c>
      <c r="P3195" s="6">
        <v>0</v>
      </c>
      <c r="Q3195">
        <v>1</v>
      </c>
      <c r="R3195">
        <f t="shared" si="245"/>
        <v>0</v>
      </c>
      <c r="S3195">
        <f t="shared" si="246"/>
        <v>1</v>
      </c>
      <c r="T3195">
        <f t="shared" si="247"/>
        <v>0</v>
      </c>
      <c r="U3195">
        <f t="shared" si="248"/>
        <v>0</v>
      </c>
      <c r="V3195">
        <f t="shared" si="249"/>
        <v>0</v>
      </c>
    </row>
    <row r="3196" spans="1:22" x14ac:dyDescent="0.25">
      <c r="A3196">
        <v>3193</v>
      </c>
      <c r="B3196" t="s">
        <v>26</v>
      </c>
      <c r="C3196" t="s">
        <v>1218</v>
      </c>
      <c r="D3196" s="4">
        <v>45354</v>
      </c>
      <c r="E3196" t="s">
        <v>1523</v>
      </c>
      <c r="F3196" t="s">
        <v>75</v>
      </c>
      <c r="I3196" s="6"/>
      <c r="J3196" s="6"/>
      <c r="K3196" s="6"/>
      <c r="L3196" s="6"/>
      <c r="M3196" s="6"/>
      <c r="N3196" s="6"/>
      <c r="O3196" s="6"/>
      <c r="P3196" s="6"/>
      <c r="Q3196">
        <v>0</v>
      </c>
      <c r="R3196">
        <f t="shared" si="245"/>
        <v>0</v>
      </c>
      <c r="S3196">
        <f t="shared" si="246"/>
        <v>0</v>
      </c>
      <c r="T3196">
        <f t="shared" si="247"/>
        <v>0</v>
      </c>
      <c r="U3196">
        <f t="shared" si="248"/>
        <v>0</v>
      </c>
      <c r="V3196">
        <f t="shared" si="249"/>
        <v>0</v>
      </c>
    </row>
    <row r="3197" spans="1:22" x14ac:dyDescent="0.25">
      <c r="A3197">
        <v>3194</v>
      </c>
      <c r="B3197" t="s">
        <v>26</v>
      </c>
      <c r="C3197" t="s">
        <v>1218</v>
      </c>
      <c r="D3197" s="4">
        <v>45354</v>
      </c>
      <c r="E3197" t="s">
        <v>2559</v>
      </c>
      <c r="F3197" t="s">
        <v>75</v>
      </c>
      <c r="I3197" s="6">
        <v>0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>
        <v>1</v>
      </c>
      <c r="R3197">
        <f t="shared" si="245"/>
        <v>0</v>
      </c>
      <c r="S3197">
        <f t="shared" si="246"/>
        <v>1</v>
      </c>
      <c r="T3197">
        <f t="shared" si="247"/>
        <v>0</v>
      </c>
      <c r="U3197">
        <f t="shared" si="248"/>
        <v>0</v>
      </c>
      <c r="V3197">
        <f t="shared" si="249"/>
        <v>0</v>
      </c>
    </row>
    <row r="3198" spans="1:22" x14ac:dyDescent="0.25">
      <c r="A3198">
        <v>3195</v>
      </c>
      <c r="B3198" t="s">
        <v>26</v>
      </c>
      <c r="C3198" t="s">
        <v>1218</v>
      </c>
      <c r="D3198" s="4">
        <v>45354</v>
      </c>
      <c r="E3198" t="s">
        <v>2558</v>
      </c>
      <c r="F3198" t="s">
        <v>75</v>
      </c>
      <c r="I3198" s="6"/>
      <c r="J3198" s="6"/>
      <c r="K3198" s="6"/>
      <c r="L3198" s="6"/>
      <c r="M3198" s="6"/>
      <c r="N3198" s="6"/>
      <c r="O3198" s="6"/>
      <c r="P3198" s="6"/>
      <c r="Q3198">
        <v>0</v>
      </c>
      <c r="R3198">
        <f t="shared" si="245"/>
        <v>0</v>
      </c>
      <c r="S3198">
        <f t="shared" si="246"/>
        <v>0</v>
      </c>
      <c r="T3198">
        <f t="shared" si="247"/>
        <v>0</v>
      </c>
      <c r="U3198">
        <f t="shared" si="248"/>
        <v>0</v>
      </c>
      <c r="V3198">
        <f t="shared" si="249"/>
        <v>0</v>
      </c>
    </row>
    <row r="3199" spans="1:22" x14ac:dyDescent="0.25">
      <c r="A3199">
        <v>3196</v>
      </c>
      <c r="B3199" t="s">
        <v>26</v>
      </c>
      <c r="C3199" t="s">
        <v>1218</v>
      </c>
      <c r="D3199" s="4">
        <v>45355</v>
      </c>
      <c r="E3199" t="s">
        <v>840</v>
      </c>
      <c r="F3199" t="s">
        <v>75</v>
      </c>
      <c r="I3199" s="6"/>
      <c r="J3199" s="6"/>
      <c r="K3199" s="6"/>
      <c r="L3199" s="6"/>
      <c r="M3199" s="6"/>
      <c r="N3199" s="6"/>
      <c r="O3199" s="6"/>
      <c r="P3199" s="6"/>
      <c r="Q3199">
        <v>0</v>
      </c>
      <c r="R3199">
        <f t="shared" si="245"/>
        <v>0</v>
      </c>
      <c r="S3199">
        <f t="shared" si="246"/>
        <v>0</v>
      </c>
      <c r="T3199">
        <f t="shared" si="247"/>
        <v>0</v>
      </c>
      <c r="U3199">
        <f t="shared" si="248"/>
        <v>0</v>
      </c>
      <c r="V3199">
        <f t="shared" si="249"/>
        <v>0</v>
      </c>
    </row>
    <row r="3200" spans="1:22" x14ac:dyDescent="0.25">
      <c r="A3200">
        <v>3197</v>
      </c>
      <c r="B3200" t="s">
        <v>26</v>
      </c>
      <c r="C3200" t="s">
        <v>1218</v>
      </c>
      <c r="D3200" s="4">
        <v>45355</v>
      </c>
      <c r="E3200" t="s">
        <v>2557</v>
      </c>
      <c r="F3200" t="s">
        <v>75</v>
      </c>
      <c r="I3200" s="6"/>
      <c r="J3200" s="6"/>
      <c r="K3200" s="6"/>
      <c r="L3200" s="6"/>
      <c r="M3200" s="6"/>
      <c r="N3200" s="6"/>
      <c r="O3200" s="6"/>
      <c r="P3200" s="6"/>
      <c r="Q3200">
        <v>0</v>
      </c>
      <c r="R3200">
        <f t="shared" si="245"/>
        <v>0</v>
      </c>
      <c r="S3200">
        <f t="shared" si="246"/>
        <v>0</v>
      </c>
      <c r="T3200">
        <f t="shared" si="247"/>
        <v>0</v>
      </c>
      <c r="U3200">
        <f t="shared" si="248"/>
        <v>0</v>
      </c>
      <c r="V3200">
        <f t="shared" si="249"/>
        <v>0</v>
      </c>
    </row>
    <row r="3201" spans="1:22" x14ac:dyDescent="0.25">
      <c r="A3201">
        <v>3198</v>
      </c>
      <c r="B3201" t="s">
        <v>26</v>
      </c>
      <c r="C3201" t="s">
        <v>1218</v>
      </c>
      <c r="D3201" s="4">
        <v>45355</v>
      </c>
      <c r="E3201" t="s">
        <v>2556</v>
      </c>
      <c r="F3201" t="s">
        <v>75</v>
      </c>
      <c r="I3201" s="6"/>
      <c r="J3201" s="6"/>
      <c r="K3201" s="6"/>
      <c r="L3201" s="6"/>
      <c r="M3201" s="6"/>
      <c r="N3201" s="6"/>
      <c r="O3201" s="6"/>
      <c r="P3201" s="6"/>
      <c r="Q3201">
        <v>0</v>
      </c>
      <c r="R3201">
        <f t="shared" si="245"/>
        <v>0</v>
      </c>
      <c r="S3201">
        <f t="shared" si="246"/>
        <v>0</v>
      </c>
      <c r="T3201">
        <f t="shared" si="247"/>
        <v>0</v>
      </c>
      <c r="U3201">
        <f t="shared" si="248"/>
        <v>0</v>
      </c>
      <c r="V3201">
        <f t="shared" si="249"/>
        <v>0</v>
      </c>
    </row>
    <row r="3202" spans="1:22" x14ac:dyDescent="0.25">
      <c r="A3202">
        <v>3199</v>
      </c>
      <c r="B3202" t="s">
        <v>26</v>
      </c>
      <c r="C3202" t="s">
        <v>1218</v>
      </c>
      <c r="D3202" s="4">
        <v>45355</v>
      </c>
      <c r="E3202" t="s">
        <v>2555</v>
      </c>
      <c r="F3202" t="s">
        <v>75</v>
      </c>
      <c r="I3202" s="6"/>
      <c r="J3202" s="6"/>
      <c r="K3202" s="6"/>
      <c r="L3202" s="6"/>
      <c r="M3202" s="6"/>
      <c r="N3202" s="6"/>
      <c r="O3202" s="6"/>
      <c r="P3202" s="6"/>
      <c r="Q3202">
        <v>0</v>
      </c>
      <c r="R3202">
        <f t="shared" si="245"/>
        <v>0</v>
      </c>
      <c r="S3202">
        <f t="shared" si="246"/>
        <v>0</v>
      </c>
      <c r="T3202">
        <f t="shared" si="247"/>
        <v>0</v>
      </c>
      <c r="U3202">
        <f t="shared" si="248"/>
        <v>0</v>
      </c>
      <c r="V3202">
        <f t="shared" si="249"/>
        <v>0</v>
      </c>
    </row>
    <row r="3203" spans="1:22" x14ac:dyDescent="0.25">
      <c r="A3203">
        <v>3200</v>
      </c>
      <c r="B3203" t="s">
        <v>26</v>
      </c>
      <c r="C3203" t="s">
        <v>1218</v>
      </c>
      <c r="D3203" s="4">
        <v>45355</v>
      </c>
      <c r="E3203" t="s">
        <v>2554</v>
      </c>
      <c r="F3203" t="s">
        <v>75</v>
      </c>
      <c r="I3203" s="6"/>
      <c r="J3203" s="6"/>
      <c r="K3203" s="6"/>
      <c r="L3203" s="6"/>
      <c r="M3203" s="6"/>
      <c r="N3203" s="6"/>
      <c r="O3203" s="6"/>
      <c r="P3203" s="6"/>
      <c r="Q3203">
        <v>0</v>
      </c>
      <c r="R3203">
        <f t="shared" ref="R3203:R3266" si="250">IF(AND(Q3203=1,F3203="ai_full"),1,0)</f>
        <v>0</v>
      </c>
      <c r="S3203">
        <f t="shared" ref="S3203:S3266" si="251">IF(AND(Q3203=1,F3203="conventional"),1,0)</f>
        <v>0</v>
      </c>
      <c r="T3203">
        <f t="shared" ref="T3203:T3266" si="252">SUM(I3203:P3203)</f>
        <v>0</v>
      </c>
      <c r="U3203">
        <f t="shared" ref="U3203:U3266" si="253">IF(T3203&gt;=1,1,0)</f>
        <v>0</v>
      </c>
      <c r="V3203">
        <f t="shared" ref="V3203:V3266" si="254">IF(F3203="ai_full",1,0)</f>
        <v>0</v>
      </c>
    </row>
    <row r="3204" spans="1:22" x14ac:dyDescent="0.25">
      <c r="A3204">
        <v>3201</v>
      </c>
      <c r="B3204" t="s">
        <v>26</v>
      </c>
      <c r="C3204" t="s">
        <v>1218</v>
      </c>
      <c r="D3204" s="4">
        <v>45355</v>
      </c>
      <c r="E3204" t="s">
        <v>2553</v>
      </c>
      <c r="F3204" t="s">
        <v>75</v>
      </c>
      <c r="I3204" s="6"/>
      <c r="J3204" s="6"/>
      <c r="K3204" s="6"/>
      <c r="L3204" s="6"/>
      <c r="M3204" s="6"/>
      <c r="N3204" s="6"/>
      <c r="O3204" s="6"/>
      <c r="P3204" s="6"/>
      <c r="Q3204">
        <v>0</v>
      </c>
      <c r="R3204">
        <f t="shared" si="250"/>
        <v>0</v>
      </c>
      <c r="S3204">
        <f t="shared" si="251"/>
        <v>0</v>
      </c>
      <c r="T3204">
        <f t="shared" si="252"/>
        <v>0</v>
      </c>
      <c r="U3204">
        <f t="shared" si="253"/>
        <v>0</v>
      </c>
      <c r="V3204">
        <f t="shared" si="254"/>
        <v>0</v>
      </c>
    </row>
    <row r="3205" spans="1:22" x14ac:dyDescent="0.25">
      <c r="A3205">
        <v>3202</v>
      </c>
      <c r="B3205" t="s">
        <v>26</v>
      </c>
      <c r="C3205" t="s">
        <v>1218</v>
      </c>
      <c r="D3205" s="4">
        <v>45355</v>
      </c>
      <c r="E3205" t="s">
        <v>2552</v>
      </c>
      <c r="F3205" t="s">
        <v>75</v>
      </c>
      <c r="I3205" s="6"/>
      <c r="J3205" s="6"/>
      <c r="K3205" s="6"/>
      <c r="L3205" s="6"/>
      <c r="M3205" s="6"/>
      <c r="N3205" s="6"/>
      <c r="O3205" s="6"/>
      <c r="P3205" s="6"/>
      <c r="Q3205">
        <v>0</v>
      </c>
      <c r="R3205">
        <f t="shared" si="250"/>
        <v>0</v>
      </c>
      <c r="S3205">
        <f t="shared" si="251"/>
        <v>0</v>
      </c>
      <c r="T3205">
        <f t="shared" si="252"/>
        <v>0</v>
      </c>
      <c r="U3205">
        <f t="shared" si="253"/>
        <v>0</v>
      </c>
      <c r="V3205">
        <f t="shared" si="254"/>
        <v>0</v>
      </c>
    </row>
    <row r="3206" spans="1:22" x14ac:dyDescent="0.25">
      <c r="A3206">
        <v>3203</v>
      </c>
      <c r="B3206" t="s">
        <v>26</v>
      </c>
      <c r="C3206" t="s">
        <v>1218</v>
      </c>
      <c r="D3206" s="4">
        <v>45355</v>
      </c>
      <c r="E3206" t="s">
        <v>259</v>
      </c>
      <c r="F3206" t="s">
        <v>75</v>
      </c>
      <c r="I3206" s="6"/>
      <c r="J3206" s="6"/>
      <c r="K3206" s="6"/>
      <c r="L3206" s="6"/>
      <c r="M3206" s="6"/>
      <c r="N3206" s="6"/>
      <c r="O3206" s="6"/>
      <c r="P3206" s="6"/>
      <c r="Q3206">
        <v>0</v>
      </c>
      <c r="R3206">
        <f t="shared" si="250"/>
        <v>0</v>
      </c>
      <c r="S3206">
        <f t="shared" si="251"/>
        <v>0</v>
      </c>
      <c r="T3206">
        <f t="shared" si="252"/>
        <v>0</v>
      </c>
      <c r="U3206">
        <f t="shared" si="253"/>
        <v>0</v>
      </c>
      <c r="V3206">
        <f t="shared" si="254"/>
        <v>0</v>
      </c>
    </row>
    <row r="3207" spans="1:22" x14ac:dyDescent="0.25">
      <c r="A3207">
        <v>3204</v>
      </c>
      <c r="B3207" t="s">
        <v>26</v>
      </c>
      <c r="C3207" t="s">
        <v>1218</v>
      </c>
      <c r="D3207" s="4">
        <v>45355</v>
      </c>
      <c r="E3207" t="s">
        <v>1524</v>
      </c>
      <c r="F3207" t="s">
        <v>75</v>
      </c>
      <c r="I3207" s="6"/>
      <c r="J3207" s="6"/>
      <c r="K3207" s="6"/>
      <c r="L3207" s="6"/>
      <c r="M3207" s="6"/>
      <c r="N3207" s="6"/>
      <c r="O3207" s="6"/>
      <c r="P3207" s="6"/>
      <c r="Q3207">
        <v>0</v>
      </c>
      <c r="R3207">
        <f t="shared" si="250"/>
        <v>0</v>
      </c>
      <c r="S3207">
        <f t="shared" si="251"/>
        <v>0</v>
      </c>
      <c r="T3207">
        <f t="shared" si="252"/>
        <v>0</v>
      </c>
      <c r="U3207">
        <f t="shared" si="253"/>
        <v>0</v>
      </c>
      <c r="V3207">
        <f t="shared" si="254"/>
        <v>0</v>
      </c>
    </row>
    <row r="3208" spans="1:22" x14ac:dyDescent="0.25">
      <c r="A3208">
        <v>3205</v>
      </c>
      <c r="B3208" t="s">
        <v>26</v>
      </c>
      <c r="C3208" t="s">
        <v>1218</v>
      </c>
      <c r="D3208" s="4">
        <v>45355</v>
      </c>
      <c r="E3208" t="s">
        <v>2240</v>
      </c>
      <c r="F3208" t="s">
        <v>75</v>
      </c>
      <c r="I3208" s="6"/>
      <c r="J3208" s="6"/>
      <c r="K3208" s="6"/>
      <c r="L3208" s="6"/>
      <c r="M3208" s="6"/>
      <c r="N3208" s="6"/>
      <c r="O3208" s="6"/>
      <c r="P3208" s="6"/>
      <c r="Q3208">
        <v>0</v>
      </c>
      <c r="R3208">
        <f t="shared" si="250"/>
        <v>0</v>
      </c>
      <c r="S3208">
        <f t="shared" si="251"/>
        <v>0</v>
      </c>
      <c r="T3208">
        <f t="shared" si="252"/>
        <v>0</v>
      </c>
      <c r="U3208">
        <f t="shared" si="253"/>
        <v>0</v>
      </c>
      <c r="V3208">
        <f t="shared" si="254"/>
        <v>0</v>
      </c>
    </row>
    <row r="3209" spans="1:22" x14ac:dyDescent="0.25">
      <c r="A3209">
        <v>3206</v>
      </c>
      <c r="B3209" t="s">
        <v>26</v>
      </c>
      <c r="C3209" t="s">
        <v>1218</v>
      </c>
      <c r="D3209" s="4">
        <v>45355</v>
      </c>
      <c r="E3209" t="s">
        <v>2239</v>
      </c>
      <c r="F3209" t="s">
        <v>75</v>
      </c>
      <c r="I3209" s="6"/>
      <c r="J3209" s="6"/>
      <c r="K3209" s="6"/>
      <c r="L3209" s="6"/>
      <c r="M3209" s="6"/>
      <c r="N3209" s="6"/>
      <c r="O3209" s="6"/>
      <c r="P3209" s="6"/>
      <c r="Q3209">
        <v>0</v>
      </c>
      <c r="R3209">
        <f t="shared" si="250"/>
        <v>0</v>
      </c>
      <c r="S3209">
        <f t="shared" si="251"/>
        <v>0</v>
      </c>
      <c r="T3209">
        <f t="shared" si="252"/>
        <v>0</v>
      </c>
      <c r="U3209">
        <f t="shared" si="253"/>
        <v>0</v>
      </c>
      <c r="V3209">
        <f t="shared" si="254"/>
        <v>0</v>
      </c>
    </row>
    <row r="3210" spans="1:22" x14ac:dyDescent="0.25">
      <c r="A3210">
        <v>3207</v>
      </c>
      <c r="B3210" t="s">
        <v>26</v>
      </c>
      <c r="C3210" t="s">
        <v>1218</v>
      </c>
      <c r="D3210" s="4">
        <v>45355</v>
      </c>
      <c r="E3210" t="s">
        <v>1525</v>
      </c>
      <c r="F3210" t="s">
        <v>75</v>
      </c>
      <c r="I3210" s="6"/>
      <c r="J3210" s="6"/>
      <c r="K3210" s="6"/>
      <c r="L3210" s="6"/>
      <c r="M3210" s="6"/>
      <c r="N3210" s="6"/>
      <c r="O3210" s="6"/>
      <c r="P3210" s="6"/>
      <c r="Q3210">
        <v>0</v>
      </c>
      <c r="R3210">
        <f t="shared" si="250"/>
        <v>0</v>
      </c>
      <c r="S3210">
        <f t="shared" si="251"/>
        <v>0</v>
      </c>
      <c r="T3210">
        <f t="shared" si="252"/>
        <v>0</v>
      </c>
      <c r="U3210">
        <f t="shared" si="253"/>
        <v>0</v>
      </c>
      <c r="V3210">
        <f t="shared" si="254"/>
        <v>0</v>
      </c>
    </row>
    <row r="3211" spans="1:22" x14ac:dyDescent="0.25">
      <c r="A3211">
        <v>3208</v>
      </c>
      <c r="B3211" t="s">
        <v>26</v>
      </c>
      <c r="C3211" t="s">
        <v>1218</v>
      </c>
      <c r="D3211" s="4">
        <v>45355</v>
      </c>
      <c r="E3211" t="s">
        <v>2238</v>
      </c>
      <c r="F3211" t="s">
        <v>75</v>
      </c>
      <c r="I3211" s="6"/>
      <c r="J3211" s="6"/>
      <c r="K3211" s="6"/>
      <c r="L3211" s="6"/>
      <c r="M3211" s="6"/>
      <c r="N3211" s="6"/>
      <c r="O3211" s="6"/>
      <c r="P3211" s="6"/>
      <c r="Q3211">
        <v>0</v>
      </c>
      <c r="R3211">
        <f t="shared" si="250"/>
        <v>0</v>
      </c>
      <c r="S3211">
        <f t="shared" si="251"/>
        <v>0</v>
      </c>
      <c r="T3211">
        <f t="shared" si="252"/>
        <v>0</v>
      </c>
      <c r="U3211">
        <f t="shared" si="253"/>
        <v>0</v>
      </c>
      <c r="V3211">
        <f t="shared" si="254"/>
        <v>0</v>
      </c>
    </row>
    <row r="3212" spans="1:22" x14ac:dyDescent="0.25">
      <c r="A3212">
        <v>3209</v>
      </c>
      <c r="B3212" t="s">
        <v>26</v>
      </c>
      <c r="C3212" t="s">
        <v>1218</v>
      </c>
      <c r="D3212" s="4">
        <v>45355</v>
      </c>
      <c r="E3212" t="s">
        <v>2237</v>
      </c>
      <c r="F3212" t="s">
        <v>75</v>
      </c>
      <c r="I3212" s="6"/>
      <c r="J3212" s="6"/>
      <c r="K3212" s="6"/>
      <c r="L3212" s="6"/>
      <c r="M3212" s="6"/>
      <c r="N3212" s="6"/>
      <c r="O3212" s="6"/>
      <c r="P3212" s="6"/>
      <c r="Q3212">
        <v>0</v>
      </c>
      <c r="R3212">
        <f t="shared" si="250"/>
        <v>0</v>
      </c>
      <c r="S3212">
        <f t="shared" si="251"/>
        <v>0</v>
      </c>
      <c r="T3212">
        <f t="shared" si="252"/>
        <v>0</v>
      </c>
      <c r="U3212">
        <f t="shared" si="253"/>
        <v>0</v>
      </c>
      <c r="V3212">
        <f t="shared" si="254"/>
        <v>0</v>
      </c>
    </row>
    <row r="3213" spans="1:22" x14ac:dyDescent="0.25">
      <c r="A3213">
        <v>3210</v>
      </c>
      <c r="B3213" t="s">
        <v>26</v>
      </c>
      <c r="C3213" t="s">
        <v>1218</v>
      </c>
      <c r="D3213" s="4">
        <v>45355</v>
      </c>
      <c r="E3213" t="s">
        <v>2236</v>
      </c>
      <c r="F3213" t="s">
        <v>75</v>
      </c>
      <c r="I3213" s="6"/>
      <c r="J3213" s="6"/>
      <c r="K3213" s="6"/>
      <c r="L3213" s="6"/>
      <c r="M3213" s="6"/>
      <c r="N3213" s="6"/>
      <c r="O3213" s="6"/>
      <c r="P3213" s="6"/>
      <c r="Q3213">
        <v>0</v>
      </c>
      <c r="R3213">
        <f t="shared" si="250"/>
        <v>0</v>
      </c>
      <c r="S3213">
        <f t="shared" si="251"/>
        <v>0</v>
      </c>
      <c r="T3213">
        <f t="shared" si="252"/>
        <v>0</v>
      </c>
      <c r="U3213">
        <f t="shared" si="253"/>
        <v>0</v>
      </c>
      <c r="V3213">
        <f t="shared" si="254"/>
        <v>0</v>
      </c>
    </row>
    <row r="3214" spans="1:22" x14ac:dyDescent="0.25">
      <c r="A3214">
        <v>3211</v>
      </c>
      <c r="B3214" t="s">
        <v>26</v>
      </c>
      <c r="C3214" t="s">
        <v>1218</v>
      </c>
      <c r="D3214" s="4">
        <v>45356</v>
      </c>
      <c r="E3214" t="s">
        <v>841</v>
      </c>
      <c r="F3214" t="s">
        <v>75</v>
      </c>
      <c r="I3214" s="6"/>
      <c r="J3214" s="6"/>
      <c r="K3214" s="6"/>
      <c r="L3214" s="6"/>
      <c r="M3214" s="6"/>
      <c r="N3214" s="6"/>
      <c r="O3214" s="6"/>
      <c r="P3214" s="6"/>
      <c r="Q3214">
        <v>0</v>
      </c>
      <c r="R3214">
        <f t="shared" si="250"/>
        <v>0</v>
      </c>
      <c r="S3214">
        <f t="shared" si="251"/>
        <v>0</v>
      </c>
      <c r="T3214">
        <f t="shared" si="252"/>
        <v>0</v>
      </c>
      <c r="U3214">
        <f t="shared" si="253"/>
        <v>0</v>
      </c>
      <c r="V3214">
        <f t="shared" si="254"/>
        <v>0</v>
      </c>
    </row>
    <row r="3215" spans="1:22" x14ac:dyDescent="0.25">
      <c r="A3215">
        <v>3212</v>
      </c>
      <c r="B3215" t="s">
        <v>26</v>
      </c>
      <c r="C3215" t="s">
        <v>1218</v>
      </c>
      <c r="D3215" s="4">
        <v>45356</v>
      </c>
      <c r="E3215" t="s">
        <v>842</v>
      </c>
      <c r="F3215" t="s">
        <v>75</v>
      </c>
      <c r="I3215" s="6"/>
      <c r="J3215" s="6"/>
      <c r="K3215" s="6"/>
      <c r="L3215" s="6"/>
      <c r="M3215" s="6"/>
      <c r="N3215" s="6"/>
      <c r="O3215" s="6"/>
      <c r="P3215" s="6"/>
      <c r="Q3215">
        <v>0</v>
      </c>
      <c r="R3215">
        <f t="shared" si="250"/>
        <v>0</v>
      </c>
      <c r="S3215">
        <f t="shared" si="251"/>
        <v>0</v>
      </c>
      <c r="T3215">
        <f t="shared" si="252"/>
        <v>0</v>
      </c>
      <c r="U3215">
        <f t="shared" si="253"/>
        <v>0</v>
      </c>
      <c r="V3215">
        <f t="shared" si="254"/>
        <v>0</v>
      </c>
    </row>
    <row r="3216" spans="1:22" x14ac:dyDescent="0.25">
      <c r="A3216">
        <v>3213</v>
      </c>
      <c r="B3216" t="s">
        <v>26</v>
      </c>
      <c r="C3216" t="s">
        <v>1218</v>
      </c>
      <c r="D3216" s="4">
        <v>45356</v>
      </c>
      <c r="E3216" t="s">
        <v>2235</v>
      </c>
      <c r="F3216" t="s">
        <v>75</v>
      </c>
      <c r="I3216" s="6">
        <v>0</v>
      </c>
      <c r="J3216" s="6">
        <v>0</v>
      </c>
      <c r="K3216" s="6">
        <v>0</v>
      </c>
      <c r="L3216" s="6">
        <v>1</v>
      </c>
      <c r="M3216" s="6">
        <v>0</v>
      </c>
      <c r="N3216" s="6">
        <v>0</v>
      </c>
      <c r="O3216" s="6">
        <v>0</v>
      </c>
      <c r="P3216" s="6">
        <v>0</v>
      </c>
      <c r="Q3216">
        <v>1</v>
      </c>
      <c r="R3216">
        <f t="shared" si="250"/>
        <v>0</v>
      </c>
      <c r="S3216">
        <f t="shared" si="251"/>
        <v>1</v>
      </c>
      <c r="T3216">
        <f t="shared" si="252"/>
        <v>1</v>
      </c>
      <c r="U3216">
        <f t="shared" si="253"/>
        <v>1</v>
      </c>
      <c r="V3216">
        <f t="shared" si="254"/>
        <v>0</v>
      </c>
    </row>
    <row r="3217" spans="1:22" x14ac:dyDescent="0.25">
      <c r="A3217">
        <v>3214</v>
      </c>
      <c r="B3217" t="s">
        <v>26</v>
      </c>
      <c r="C3217" t="s">
        <v>1218</v>
      </c>
      <c r="D3217" s="4">
        <v>45356</v>
      </c>
      <c r="E3217" t="s">
        <v>2234</v>
      </c>
      <c r="F3217" t="s">
        <v>75</v>
      </c>
      <c r="I3217" s="6"/>
      <c r="J3217" s="6"/>
      <c r="K3217" s="6"/>
      <c r="L3217" s="6"/>
      <c r="M3217" s="6"/>
      <c r="N3217" s="6"/>
      <c r="O3217" s="6"/>
      <c r="P3217" s="6"/>
      <c r="Q3217">
        <v>0</v>
      </c>
      <c r="R3217">
        <f t="shared" si="250"/>
        <v>0</v>
      </c>
      <c r="S3217">
        <f t="shared" si="251"/>
        <v>0</v>
      </c>
      <c r="T3217">
        <f t="shared" si="252"/>
        <v>0</v>
      </c>
      <c r="U3217">
        <f t="shared" si="253"/>
        <v>0</v>
      </c>
      <c r="V3217">
        <f t="shared" si="254"/>
        <v>0</v>
      </c>
    </row>
    <row r="3218" spans="1:22" x14ac:dyDescent="0.25">
      <c r="A3218">
        <v>3215</v>
      </c>
      <c r="B3218" t="s">
        <v>26</v>
      </c>
      <c r="C3218" t="s">
        <v>1218</v>
      </c>
      <c r="D3218" s="4">
        <v>45356</v>
      </c>
      <c r="E3218" t="s">
        <v>2233</v>
      </c>
      <c r="F3218" t="s">
        <v>75</v>
      </c>
      <c r="I3218" s="6"/>
      <c r="J3218" s="6"/>
      <c r="K3218" s="6"/>
      <c r="L3218" s="6"/>
      <c r="M3218" s="6"/>
      <c r="N3218" s="6"/>
      <c r="O3218" s="6"/>
      <c r="P3218" s="6"/>
      <c r="Q3218">
        <v>0</v>
      </c>
      <c r="R3218">
        <f t="shared" si="250"/>
        <v>0</v>
      </c>
      <c r="S3218">
        <f t="shared" si="251"/>
        <v>0</v>
      </c>
      <c r="T3218">
        <f t="shared" si="252"/>
        <v>0</v>
      </c>
      <c r="U3218">
        <f t="shared" si="253"/>
        <v>0</v>
      </c>
      <c r="V3218">
        <f t="shared" si="254"/>
        <v>0</v>
      </c>
    </row>
    <row r="3219" spans="1:22" x14ac:dyDescent="0.25">
      <c r="A3219">
        <v>3216</v>
      </c>
      <c r="B3219" t="s">
        <v>26</v>
      </c>
      <c r="C3219" t="s">
        <v>1218</v>
      </c>
      <c r="D3219" s="4">
        <v>45356</v>
      </c>
      <c r="E3219" t="s">
        <v>2232</v>
      </c>
      <c r="F3219" t="s">
        <v>75</v>
      </c>
      <c r="I3219" s="6"/>
      <c r="J3219" s="6"/>
      <c r="K3219" s="6"/>
      <c r="L3219" s="6"/>
      <c r="M3219" s="6"/>
      <c r="N3219" s="6"/>
      <c r="O3219" s="6"/>
      <c r="P3219" s="6"/>
      <c r="Q3219">
        <v>0</v>
      </c>
      <c r="R3219">
        <f t="shared" si="250"/>
        <v>0</v>
      </c>
      <c r="S3219">
        <f t="shared" si="251"/>
        <v>0</v>
      </c>
      <c r="T3219">
        <f t="shared" si="252"/>
        <v>0</v>
      </c>
      <c r="U3219">
        <f t="shared" si="253"/>
        <v>0</v>
      </c>
      <c r="V3219">
        <f t="shared" si="254"/>
        <v>0</v>
      </c>
    </row>
    <row r="3220" spans="1:22" x14ac:dyDescent="0.25">
      <c r="A3220">
        <v>3217</v>
      </c>
      <c r="B3220" t="s">
        <v>26</v>
      </c>
      <c r="C3220" t="s">
        <v>1218</v>
      </c>
      <c r="D3220" s="4">
        <v>45357</v>
      </c>
      <c r="E3220" t="s">
        <v>260</v>
      </c>
      <c r="F3220" t="s">
        <v>75</v>
      </c>
      <c r="H3220" t="s">
        <v>1316</v>
      </c>
      <c r="I3220" s="6">
        <v>0</v>
      </c>
      <c r="J3220" s="6">
        <v>0</v>
      </c>
      <c r="K3220" s="6">
        <v>0</v>
      </c>
      <c r="L3220" s="6">
        <v>0</v>
      </c>
      <c r="M3220" s="6">
        <v>0</v>
      </c>
      <c r="N3220" s="6">
        <v>0</v>
      </c>
      <c r="O3220" s="6">
        <v>0</v>
      </c>
      <c r="P3220" s="6">
        <v>0</v>
      </c>
      <c r="Q3220">
        <v>1</v>
      </c>
      <c r="R3220">
        <f t="shared" si="250"/>
        <v>0</v>
      </c>
      <c r="S3220">
        <f t="shared" si="251"/>
        <v>1</v>
      </c>
      <c r="T3220">
        <f t="shared" si="252"/>
        <v>0</v>
      </c>
      <c r="U3220">
        <f t="shared" si="253"/>
        <v>0</v>
      </c>
      <c r="V3220">
        <f t="shared" si="254"/>
        <v>0</v>
      </c>
    </row>
    <row r="3221" spans="1:22" x14ac:dyDescent="0.25">
      <c r="A3221">
        <v>3218</v>
      </c>
      <c r="B3221" t="s">
        <v>26</v>
      </c>
      <c r="C3221" t="s">
        <v>1218</v>
      </c>
      <c r="D3221" s="4">
        <v>45357</v>
      </c>
      <c r="E3221" t="s">
        <v>422</v>
      </c>
      <c r="F3221" t="s">
        <v>75</v>
      </c>
      <c r="I3221" s="6"/>
      <c r="J3221" s="6"/>
      <c r="K3221" s="6"/>
      <c r="L3221" s="6"/>
      <c r="M3221" s="6"/>
      <c r="N3221" s="6"/>
      <c r="O3221" s="6"/>
      <c r="P3221" s="6"/>
      <c r="Q3221">
        <v>0</v>
      </c>
      <c r="R3221">
        <f t="shared" si="250"/>
        <v>0</v>
      </c>
      <c r="S3221">
        <f t="shared" si="251"/>
        <v>0</v>
      </c>
      <c r="T3221">
        <f t="shared" si="252"/>
        <v>0</v>
      </c>
      <c r="U3221">
        <f t="shared" si="253"/>
        <v>0</v>
      </c>
      <c r="V3221">
        <f t="shared" si="254"/>
        <v>0</v>
      </c>
    </row>
    <row r="3222" spans="1:22" x14ac:dyDescent="0.25">
      <c r="A3222">
        <v>3219</v>
      </c>
      <c r="B3222" t="s">
        <v>26</v>
      </c>
      <c r="C3222" t="s">
        <v>1218</v>
      </c>
      <c r="D3222" s="4">
        <v>45357</v>
      </c>
      <c r="E3222" t="s">
        <v>2230</v>
      </c>
      <c r="F3222" t="s">
        <v>75</v>
      </c>
      <c r="I3222" s="6"/>
      <c r="J3222" s="6"/>
      <c r="K3222" s="6"/>
      <c r="L3222" s="6"/>
      <c r="M3222" s="6"/>
      <c r="N3222" s="6"/>
      <c r="O3222" s="6"/>
      <c r="P3222" s="6"/>
      <c r="Q3222">
        <v>0</v>
      </c>
      <c r="R3222">
        <f t="shared" si="250"/>
        <v>0</v>
      </c>
      <c r="S3222">
        <f t="shared" si="251"/>
        <v>0</v>
      </c>
      <c r="T3222">
        <f t="shared" si="252"/>
        <v>0</v>
      </c>
      <c r="U3222">
        <f t="shared" si="253"/>
        <v>0</v>
      </c>
      <c r="V3222">
        <f t="shared" si="254"/>
        <v>0</v>
      </c>
    </row>
    <row r="3223" spans="1:22" x14ac:dyDescent="0.25">
      <c r="A3223">
        <v>3220</v>
      </c>
      <c r="B3223" t="s">
        <v>26</v>
      </c>
      <c r="C3223" t="s">
        <v>1218</v>
      </c>
      <c r="D3223" s="4">
        <v>45357</v>
      </c>
      <c r="E3223" t="s">
        <v>1123</v>
      </c>
      <c r="F3223" t="s">
        <v>75</v>
      </c>
      <c r="I3223" s="6"/>
      <c r="J3223" s="6"/>
      <c r="K3223" s="6"/>
      <c r="L3223" s="6"/>
      <c r="M3223" s="6"/>
      <c r="N3223" s="6"/>
      <c r="O3223" s="6"/>
      <c r="P3223" s="6"/>
      <c r="Q3223">
        <v>0</v>
      </c>
      <c r="R3223">
        <f t="shared" si="250"/>
        <v>0</v>
      </c>
      <c r="S3223">
        <f t="shared" si="251"/>
        <v>0</v>
      </c>
      <c r="T3223">
        <f t="shared" si="252"/>
        <v>0</v>
      </c>
      <c r="U3223">
        <f t="shared" si="253"/>
        <v>0</v>
      </c>
      <c r="V3223">
        <f t="shared" si="254"/>
        <v>0</v>
      </c>
    </row>
    <row r="3224" spans="1:22" x14ac:dyDescent="0.25">
      <c r="A3224">
        <v>3221</v>
      </c>
      <c r="B3224" t="s">
        <v>26</v>
      </c>
      <c r="C3224" t="s">
        <v>1218</v>
      </c>
      <c r="D3224" s="4">
        <v>45357</v>
      </c>
      <c r="E3224" t="s">
        <v>1526</v>
      </c>
      <c r="F3224" t="s">
        <v>75</v>
      </c>
      <c r="I3224" s="6"/>
      <c r="J3224" s="6"/>
      <c r="K3224" s="6"/>
      <c r="L3224" s="6"/>
      <c r="M3224" s="6"/>
      <c r="N3224" s="6"/>
      <c r="O3224" s="6"/>
      <c r="P3224" s="6"/>
      <c r="Q3224">
        <v>0</v>
      </c>
      <c r="R3224">
        <f t="shared" si="250"/>
        <v>0</v>
      </c>
      <c r="S3224">
        <f t="shared" si="251"/>
        <v>0</v>
      </c>
      <c r="T3224">
        <f t="shared" si="252"/>
        <v>0</v>
      </c>
      <c r="U3224">
        <f t="shared" si="253"/>
        <v>0</v>
      </c>
      <c r="V3224">
        <f t="shared" si="254"/>
        <v>0</v>
      </c>
    </row>
    <row r="3225" spans="1:22" x14ac:dyDescent="0.25">
      <c r="A3225">
        <v>3222</v>
      </c>
      <c r="B3225" t="s">
        <v>26</v>
      </c>
      <c r="C3225" t="s">
        <v>1218</v>
      </c>
      <c r="D3225" s="4">
        <v>45357</v>
      </c>
      <c r="E3225" t="s">
        <v>2229</v>
      </c>
      <c r="F3225" t="s">
        <v>75</v>
      </c>
      <c r="I3225" s="6"/>
      <c r="J3225" s="6"/>
      <c r="K3225" s="6"/>
      <c r="L3225" s="6"/>
      <c r="M3225" s="6"/>
      <c r="N3225" s="6"/>
      <c r="O3225" s="6"/>
      <c r="P3225" s="6"/>
      <c r="Q3225">
        <v>0</v>
      </c>
      <c r="R3225">
        <f t="shared" si="250"/>
        <v>0</v>
      </c>
      <c r="S3225">
        <f t="shared" si="251"/>
        <v>0</v>
      </c>
      <c r="T3225">
        <f t="shared" si="252"/>
        <v>0</v>
      </c>
      <c r="U3225">
        <f t="shared" si="253"/>
        <v>0</v>
      </c>
      <c r="V3225">
        <f t="shared" si="254"/>
        <v>0</v>
      </c>
    </row>
    <row r="3226" spans="1:22" x14ac:dyDescent="0.25">
      <c r="A3226">
        <v>3223</v>
      </c>
      <c r="B3226" t="s">
        <v>26</v>
      </c>
      <c r="C3226" t="s">
        <v>1218</v>
      </c>
      <c r="D3226" s="4">
        <v>45357</v>
      </c>
      <c r="E3226" t="s">
        <v>2551</v>
      </c>
      <c r="F3226" t="s">
        <v>75</v>
      </c>
      <c r="I3226" s="6"/>
      <c r="J3226" s="6"/>
      <c r="K3226" s="6"/>
      <c r="L3226" s="6"/>
      <c r="M3226" s="6"/>
      <c r="N3226" s="6"/>
      <c r="O3226" s="6"/>
      <c r="P3226" s="6"/>
      <c r="Q3226">
        <v>0</v>
      </c>
      <c r="R3226">
        <f t="shared" si="250"/>
        <v>0</v>
      </c>
      <c r="S3226">
        <f t="shared" si="251"/>
        <v>0</v>
      </c>
      <c r="T3226">
        <f t="shared" si="252"/>
        <v>0</v>
      </c>
      <c r="U3226">
        <f t="shared" si="253"/>
        <v>0</v>
      </c>
      <c r="V3226">
        <f t="shared" si="254"/>
        <v>0</v>
      </c>
    </row>
    <row r="3227" spans="1:22" x14ac:dyDescent="0.25">
      <c r="A3227">
        <v>3224</v>
      </c>
      <c r="B3227" t="s">
        <v>26</v>
      </c>
      <c r="C3227" t="s">
        <v>1218</v>
      </c>
      <c r="D3227" s="4">
        <v>45358</v>
      </c>
      <c r="E3227" t="s">
        <v>2228</v>
      </c>
      <c r="F3227" t="s">
        <v>75</v>
      </c>
      <c r="I3227" s="6">
        <v>0</v>
      </c>
      <c r="J3227" s="6">
        <v>0</v>
      </c>
      <c r="K3227" s="6">
        <v>0</v>
      </c>
      <c r="L3227" s="6">
        <v>0</v>
      </c>
      <c r="M3227" s="6">
        <v>1</v>
      </c>
      <c r="N3227" s="6">
        <v>1</v>
      </c>
      <c r="O3227" s="6">
        <v>0</v>
      </c>
      <c r="P3227" s="6">
        <v>0</v>
      </c>
      <c r="Q3227">
        <v>1</v>
      </c>
      <c r="R3227">
        <f t="shared" si="250"/>
        <v>0</v>
      </c>
      <c r="S3227">
        <f t="shared" si="251"/>
        <v>1</v>
      </c>
      <c r="T3227">
        <f t="shared" si="252"/>
        <v>2</v>
      </c>
      <c r="U3227">
        <f t="shared" si="253"/>
        <v>1</v>
      </c>
      <c r="V3227">
        <f t="shared" si="254"/>
        <v>0</v>
      </c>
    </row>
    <row r="3228" spans="1:22" x14ac:dyDescent="0.25">
      <c r="A3228">
        <v>3225</v>
      </c>
      <c r="B3228" t="s">
        <v>26</v>
      </c>
      <c r="C3228" t="s">
        <v>1218</v>
      </c>
      <c r="D3228" s="4">
        <v>45358</v>
      </c>
      <c r="E3228" t="s">
        <v>1317</v>
      </c>
      <c r="F3228" t="s">
        <v>75</v>
      </c>
      <c r="I3228" s="6">
        <v>0</v>
      </c>
      <c r="J3228" s="6">
        <v>0</v>
      </c>
      <c r="K3228" s="6">
        <v>0</v>
      </c>
      <c r="L3228" s="6">
        <v>1</v>
      </c>
      <c r="M3228" s="6">
        <v>0</v>
      </c>
      <c r="N3228" s="6">
        <v>1</v>
      </c>
      <c r="O3228" s="6">
        <v>0</v>
      </c>
      <c r="P3228" s="6">
        <v>0</v>
      </c>
      <c r="Q3228">
        <v>1</v>
      </c>
      <c r="R3228">
        <f t="shared" si="250"/>
        <v>0</v>
      </c>
      <c r="S3228">
        <f t="shared" si="251"/>
        <v>1</v>
      </c>
      <c r="T3228">
        <f t="shared" si="252"/>
        <v>2</v>
      </c>
      <c r="U3228">
        <f t="shared" si="253"/>
        <v>1</v>
      </c>
      <c r="V3228">
        <f t="shared" si="254"/>
        <v>0</v>
      </c>
    </row>
    <row r="3229" spans="1:22" x14ac:dyDescent="0.25">
      <c r="A3229">
        <v>3226</v>
      </c>
      <c r="B3229" t="s">
        <v>26</v>
      </c>
      <c r="C3229" t="s">
        <v>1218</v>
      </c>
      <c r="D3229" s="4">
        <v>45358</v>
      </c>
      <c r="E3229" t="s">
        <v>1527</v>
      </c>
      <c r="F3229" t="s">
        <v>75</v>
      </c>
      <c r="I3229" s="6"/>
      <c r="J3229" s="6"/>
      <c r="K3229" s="6"/>
      <c r="L3229" s="6"/>
      <c r="M3229" s="6"/>
      <c r="N3229" s="6"/>
      <c r="O3229" s="6"/>
      <c r="P3229" s="6"/>
      <c r="Q3229">
        <v>0</v>
      </c>
      <c r="R3229">
        <f t="shared" si="250"/>
        <v>0</v>
      </c>
      <c r="S3229">
        <f t="shared" si="251"/>
        <v>0</v>
      </c>
      <c r="T3229">
        <f t="shared" si="252"/>
        <v>0</v>
      </c>
      <c r="U3229">
        <f t="shared" si="253"/>
        <v>0</v>
      </c>
      <c r="V3229">
        <f t="shared" si="254"/>
        <v>0</v>
      </c>
    </row>
    <row r="3230" spans="1:22" x14ac:dyDescent="0.25">
      <c r="A3230">
        <v>3227</v>
      </c>
      <c r="B3230" t="s">
        <v>26</v>
      </c>
      <c r="C3230" t="s">
        <v>1218</v>
      </c>
      <c r="D3230" s="4">
        <v>45358</v>
      </c>
      <c r="E3230" t="s">
        <v>1467</v>
      </c>
      <c r="F3230" t="s">
        <v>75</v>
      </c>
      <c r="I3230" s="6"/>
      <c r="J3230" s="6"/>
      <c r="K3230" s="6"/>
      <c r="L3230" s="6"/>
      <c r="M3230" s="6"/>
      <c r="N3230" s="6"/>
      <c r="O3230" s="6"/>
      <c r="P3230" s="6"/>
      <c r="Q3230">
        <v>0</v>
      </c>
      <c r="R3230">
        <f t="shared" si="250"/>
        <v>0</v>
      </c>
      <c r="S3230">
        <f t="shared" si="251"/>
        <v>0</v>
      </c>
      <c r="T3230">
        <f t="shared" si="252"/>
        <v>0</v>
      </c>
      <c r="U3230">
        <f t="shared" si="253"/>
        <v>0</v>
      </c>
      <c r="V3230">
        <f t="shared" si="254"/>
        <v>0</v>
      </c>
    </row>
    <row r="3231" spans="1:22" x14ac:dyDescent="0.25">
      <c r="A3231">
        <v>3228</v>
      </c>
      <c r="B3231" t="s">
        <v>26</v>
      </c>
      <c r="C3231" t="s">
        <v>1218</v>
      </c>
      <c r="D3231" s="4">
        <v>45358</v>
      </c>
      <c r="E3231" t="s">
        <v>2227</v>
      </c>
      <c r="F3231" t="s">
        <v>75</v>
      </c>
      <c r="I3231" s="6"/>
      <c r="J3231" s="6"/>
      <c r="K3231" s="6"/>
      <c r="L3231" s="6"/>
      <c r="M3231" s="6"/>
      <c r="N3231" s="6"/>
      <c r="O3231" s="6"/>
      <c r="P3231" s="6"/>
      <c r="Q3231">
        <v>0</v>
      </c>
      <c r="R3231">
        <f t="shared" si="250"/>
        <v>0</v>
      </c>
      <c r="S3231">
        <f t="shared" si="251"/>
        <v>0</v>
      </c>
      <c r="T3231">
        <f t="shared" si="252"/>
        <v>0</v>
      </c>
      <c r="U3231">
        <f t="shared" si="253"/>
        <v>0</v>
      </c>
      <c r="V3231">
        <f t="shared" si="254"/>
        <v>0</v>
      </c>
    </row>
    <row r="3232" spans="1:22" x14ac:dyDescent="0.25">
      <c r="A3232">
        <v>3229</v>
      </c>
      <c r="B3232" t="s">
        <v>26</v>
      </c>
      <c r="C3232" t="s">
        <v>1218</v>
      </c>
      <c r="D3232" s="4">
        <v>45358</v>
      </c>
      <c r="E3232" t="s">
        <v>1468</v>
      </c>
      <c r="F3232" t="s">
        <v>75</v>
      </c>
      <c r="I3232" s="6">
        <v>0</v>
      </c>
      <c r="J3232" s="6">
        <v>0</v>
      </c>
      <c r="K3232" s="6">
        <v>0</v>
      </c>
      <c r="L3232" s="6">
        <v>0</v>
      </c>
      <c r="M3232" s="6">
        <v>0</v>
      </c>
      <c r="N3232" s="6">
        <v>0</v>
      </c>
      <c r="O3232" s="6">
        <v>0</v>
      </c>
      <c r="P3232" s="6">
        <v>0</v>
      </c>
      <c r="Q3232">
        <v>1</v>
      </c>
      <c r="R3232">
        <f t="shared" si="250"/>
        <v>0</v>
      </c>
      <c r="S3232">
        <f t="shared" si="251"/>
        <v>1</v>
      </c>
      <c r="T3232">
        <f t="shared" si="252"/>
        <v>0</v>
      </c>
      <c r="U3232">
        <f t="shared" si="253"/>
        <v>0</v>
      </c>
      <c r="V3232">
        <f t="shared" si="254"/>
        <v>0</v>
      </c>
    </row>
    <row r="3233" spans="1:22" x14ac:dyDescent="0.25">
      <c r="A3233">
        <v>3230</v>
      </c>
      <c r="B3233" t="s">
        <v>26</v>
      </c>
      <c r="C3233" t="s">
        <v>1218</v>
      </c>
      <c r="D3233" s="4">
        <v>45359</v>
      </c>
      <c r="E3233" t="s">
        <v>844</v>
      </c>
      <c r="F3233" t="s">
        <v>75</v>
      </c>
      <c r="I3233" s="6"/>
      <c r="J3233" s="6"/>
      <c r="K3233" s="6"/>
      <c r="L3233" s="6"/>
      <c r="M3233" s="6"/>
      <c r="N3233" s="6"/>
      <c r="O3233" s="6"/>
      <c r="P3233" s="6"/>
      <c r="Q3233">
        <v>0</v>
      </c>
      <c r="R3233">
        <f t="shared" si="250"/>
        <v>0</v>
      </c>
      <c r="S3233">
        <f t="shared" si="251"/>
        <v>0</v>
      </c>
      <c r="T3233">
        <f t="shared" si="252"/>
        <v>0</v>
      </c>
      <c r="U3233">
        <f t="shared" si="253"/>
        <v>0</v>
      </c>
      <c r="V3233">
        <f t="shared" si="254"/>
        <v>0</v>
      </c>
    </row>
    <row r="3234" spans="1:22" x14ac:dyDescent="0.25">
      <c r="A3234">
        <v>3231</v>
      </c>
      <c r="B3234" t="s">
        <v>26</v>
      </c>
      <c r="C3234" t="s">
        <v>1218</v>
      </c>
      <c r="D3234" s="4">
        <v>45359</v>
      </c>
      <c r="E3234" t="s">
        <v>845</v>
      </c>
      <c r="F3234" t="s">
        <v>75</v>
      </c>
      <c r="I3234" s="6"/>
      <c r="J3234" s="6"/>
      <c r="K3234" s="6"/>
      <c r="L3234" s="6"/>
      <c r="M3234" s="6"/>
      <c r="N3234" s="6"/>
      <c r="O3234" s="6"/>
      <c r="P3234" s="6"/>
      <c r="Q3234">
        <v>0</v>
      </c>
      <c r="R3234">
        <f t="shared" si="250"/>
        <v>0</v>
      </c>
      <c r="S3234">
        <f t="shared" si="251"/>
        <v>0</v>
      </c>
      <c r="T3234">
        <f t="shared" si="252"/>
        <v>0</v>
      </c>
      <c r="U3234">
        <f t="shared" si="253"/>
        <v>0</v>
      </c>
      <c r="V3234">
        <f t="shared" si="254"/>
        <v>0</v>
      </c>
    </row>
    <row r="3235" spans="1:22" x14ac:dyDescent="0.25">
      <c r="A3235">
        <v>3232</v>
      </c>
      <c r="B3235" t="s">
        <v>26</v>
      </c>
      <c r="C3235" t="s">
        <v>1218</v>
      </c>
      <c r="D3235" s="4">
        <v>45359</v>
      </c>
      <c r="E3235" t="s">
        <v>2225</v>
      </c>
      <c r="F3235" t="s">
        <v>75</v>
      </c>
      <c r="I3235" s="6">
        <v>1</v>
      </c>
      <c r="J3235" s="6">
        <v>0</v>
      </c>
      <c r="K3235" s="6">
        <v>0</v>
      </c>
      <c r="L3235" s="6">
        <v>1</v>
      </c>
      <c r="M3235" s="6">
        <v>0</v>
      </c>
      <c r="N3235" s="6">
        <v>0</v>
      </c>
      <c r="O3235" s="6">
        <v>0</v>
      </c>
      <c r="P3235" s="6">
        <v>0</v>
      </c>
      <c r="Q3235">
        <v>1</v>
      </c>
      <c r="R3235">
        <f t="shared" si="250"/>
        <v>0</v>
      </c>
      <c r="S3235">
        <f t="shared" si="251"/>
        <v>1</v>
      </c>
      <c r="T3235">
        <f t="shared" si="252"/>
        <v>2</v>
      </c>
      <c r="U3235">
        <f t="shared" si="253"/>
        <v>1</v>
      </c>
      <c r="V3235">
        <f t="shared" si="254"/>
        <v>0</v>
      </c>
    </row>
    <row r="3236" spans="1:22" x14ac:dyDescent="0.25">
      <c r="A3236">
        <v>3233</v>
      </c>
      <c r="B3236" t="s">
        <v>26</v>
      </c>
      <c r="C3236" t="s">
        <v>1218</v>
      </c>
      <c r="D3236" s="4">
        <v>45359</v>
      </c>
      <c r="E3236" t="s">
        <v>1124</v>
      </c>
      <c r="F3236" t="s">
        <v>75</v>
      </c>
      <c r="I3236" s="6">
        <v>1</v>
      </c>
      <c r="J3236" s="6">
        <v>0</v>
      </c>
      <c r="K3236" s="6">
        <v>0</v>
      </c>
      <c r="L3236" s="6">
        <v>1</v>
      </c>
      <c r="M3236" s="6">
        <v>0</v>
      </c>
      <c r="N3236" s="6">
        <v>0</v>
      </c>
      <c r="O3236" s="6">
        <v>0</v>
      </c>
      <c r="P3236" s="6">
        <v>0</v>
      </c>
      <c r="Q3236">
        <v>1</v>
      </c>
      <c r="R3236">
        <f t="shared" si="250"/>
        <v>0</v>
      </c>
      <c r="S3236">
        <f t="shared" si="251"/>
        <v>1</v>
      </c>
      <c r="T3236">
        <f t="shared" si="252"/>
        <v>2</v>
      </c>
      <c r="U3236">
        <f t="shared" si="253"/>
        <v>1</v>
      </c>
      <c r="V3236">
        <f t="shared" si="254"/>
        <v>0</v>
      </c>
    </row>
    <row r="3237" spans="1:22" x14ac:dyDescent="0.25">
      <c r="A3237">
        <v>3234</v>
      </c>
      <c r="B3237" t="s">
        <v>26</v>
      </c>
      <c r="C3237" t="s">
        <v>1218</v>
      </c>
      <c r="D3237" s="4">
        <v>45359</v>
      </c>
      <c r="E3237" t="s">
        <v>2224</v>
      </c>
      <c r="F3237" t="s">
        <v>75</v>
      </c>
      <c r="I3237" s="6"/>
      <c r="J3237" s="6"/>
      <c r="K3237" s="6"/>
      <c r="L3237" s="6"/>
      <c r="M3237" s="6"/>
      <c r="N3237" s="6"/>
      <c r="O3237" s="6"/>
      <c r="P3237" s="6"/>
      <c r="Q3237">
        <v>0</v>
      </c>
      <c r="R3237">
        <f t="shared" si="250"/>
        <v>0</v>
      </c>
      <c r="S3237">
        <f t="shared" si="251"/>
        <v>0</v>
      </c>
      <c r="T3237">
        <f t="shared" si="252"/>
        <v>0</v>
      </c>
      <c r="U3237">
        <f t="shared" si="253"/>
        <v>0</v>
      </c>
      <c r="V3237">
        <f t="shared" si="254"/>
        <v>0</v>
      </c>
    </row>
    <row r="3238" spans="1:22" x14ac:dyDescent="0.25">
      <c r="A3238">
        <v>3235</v>
      </c>
      <c r="B3238" t="s">
        <v>26</v>
      </c>
      <c r="C3238" t="s">
        <v>1218</v>
      </c>
      <c r="D3238" s="4">
        <v>45359</v>
      </c>
      <c r="E3238" t="s">
        <v>1125</v>
      </c>
      <c r="F3238" t="s">
        <v>75</v>
      </c>
      <c r="I3238" s="6">
        <v>0</v>
      </c>
      <c r="J3238" s="6">
        <v>0</v>
      </c>
      <c r="K3238" s="6">
        <v>0</v>
      </c>
      <c r="L3238" s="6">
        <v>1</v>
      </c>
      <c r="M3238" s="6">
        <v>0</v>
      </c>
      <c r="N3238" s="6">
        <v>0</v>
      </c>
      <c r="O3238" s="6">
        <v>0</v>
      </c>
      <c r="P3238" s="6">
        <v>0</v>
      </c>
      <c r="Q3238">
        <v>1</v>
      </c>
      <c r="R3238">
        <f t="shared" si="250"/>
        <v>0</v>
      </c>
      <c r="S3238">
        <f t="shared" si="251"/>
        <v>1</v>
      </c>
      <c r="T3238">
        <f t="shared" si="252"/>
        <v>1</v>
      </c>
      <c r="U3238">
        <f t="shared" si="253"/>
        <v>1</v>
      </c>
      <c r="V3238">
        <f t="shared" si="254"/>
        <v>0</v>
      </c>
    </row>
    <row r="3239" spans="1:22" x14ac:dyDescent="0.25">
      <c r="A3239">
        <v>3236</v>
      </c>
      <c r="B3239" t="s">
        <v>26</v>
      </c>
      <c r="C3239" t="s">
        <v>1218</v>
      </c>
      <c r="D3239" s="4">
        <v>45359</v>
      </c>
      <c r="E3239" t="s">
        <v>1528</v>
      </c>
      <c r="F3239" t="s">
        <v>75</v>
      </c>
      <c r="I3239" s="6"/>
      <c r="J3239" s="6"/>
      <c r="K3239" s="6"/>
      <c r="L3239" s="6"/>
      <c r="M3239" s="6"/>
      <c r="N3239" s="6"/>
      <c r="O3239" s="6"/>
      <c r="P3239" s="6"/>
      <c r="Q3239">
        <v>0</v>
      </c>
      <c r="R3239">
        <f t="shared" si="250"/>
        <v>0</v>
      </c>
      <c r="S3239">
        <f t="shared" si="251"/>
        <v>0</v>
      </c>
      <c r="T3239">
        <f t="shared" si="252"/>
        <v>0</v>
      </c>
      <c r="U3239">
        <f t="shared" si="253"/>
        <v>0</v>
      </c>
      <c r="V3239">
        <f t="shared" si="254"/>
        <v>0</v>
      </c>
    </row>
    <row r="3240" spans="1:22" x14ac:dyDescent="0.25">
      <c r="A3240">
        <v>3237</v>
      </c>
      <c r="B3240" t="s">
        <v>26</v>
      </c>
      <c r="C3240" t="s">
        <v>1218</v>
      </c>
      <c r="D3240" s="4">
        <v>45360</v>
      </c>
      <c r="E3240" t="s">
        <v>424</v>
      </c>
      <c r="F3240" t="s">
        <v>357</v>
      </c>
      <c r="I3240" s="6"/>
      <c r="J3240" s="6"/>
      <c r="K3240" s="6"/>
      <c r="L3240" s="6"/>
      <c r="M3240" s="6"/>
      <c r="N3240" s="6"/>
      <c r="O3240" s="6"/>
      <c r="P3240" s="6"/>
      <c r="Q3240">
        <v>0</v>
      </c>
      <c r="R3240">
        <f t="shared" si="250"/>
        <v>0</v>
      </c>
      <c r="S3240">
        <f t="shared" si="251"/>
        <v>0</v>
      </c>
      <c r="T3240">
        <f t="shared" si="252"/>
        <v>0</v>
      </c>
      <c r="U3240">
        <f t="shared" si="253"/>
        <v>0</v>
      </c>
      <c r="V3240">
        <f t="shared" si="254"/>
        <v>0</v>
      </c>
    </row>
    <row r="3241" spans="1:22" x14ac:dyDescent="0.25">
      <c r="A3241">
        <v>3238</v>
      </c>
      <c r="B3241" t="s">
        <v>26</v>
      </c>
      <c r="C3241" t="s">
        <v>1218</v>
      </c>
      <c r="D3241" s="4">
        <v>45362</v>
      </c>
      <c r="E3241" t="s">
        <v>1318</v>
      </c>
      <c r="F3241" t="s">
        <v>75</v>
      </c>
      <c r="I3241" s="6">
        <v>0</v>
      </c>
      <c r="J3241" s="6">
        <v>0</v>
      </c>
      <c r="K3241" s="6">
        <v>1</v>
      </c>
      <c r="L3241" s="6">
        <v>0</v>
      </c>
      <c r="M3241" s="6">
        <v>1</v>
      </c>
      <c r="N3241" s="6">
        <v>0</v>
      </c>
      <c r="O3241" s="6">
        <v>1</v>
      </c>
      <c r="P3241" s="6">
        <v>0</v>
      </c>
      <c r="Q3241">
        <v>1</v>
      </c>
      <c r="R3241">
        <f t="shared" si="250"/>
        <v>0</v>
      </c>
      <c r="S3241">
        <f t="shared" si="251"/>
        <v>1</v>
      </c>
      <c r="T3241">
        <f t="shared" si="252"/>
        <v>3</v>
      </c>
      <c r="U3241">
        <f t="shared" si="253"/>
        <v>1</v>
      </c>
      <c r="V3241">
        <f t="shared" si="254"/>
        <v>0</v>
      </c>
    </row>
    <row r="3242" spans="1:22" x14ac:dyDescent="0.25">
      <c r="A3242">
        <v>3239</v>
      </c>
      <c r="B3242" t="s">
        <v>26</v>
      </c>
      <c r="C3242" t="s">
        <v>1218</v>
      </c>
      <c r="D3242" s="4">
        <v>45362</v>
      </c>
      <c r="E3242" t="s">
        <v>2550</v>
      </c>
      <c r="F3242" t="s">
        <v>75</v>
      </c>
      <c r="I3242" s="6"/>
      <c r="J3242" s="6"/>
      <c r="K3242" s="6"/>
      <c r="L3242" s="6"/>
      <c r="M3242" s="6"/>
      <c r="N3242" s="6"/>
      <c r="O3242" s="6"/>
      <c r="P3242" s="6"/>
      <c r="Q3242">
        <v>0</v>
      </c>
      <c r="R3242">
        <f t="shared" si="250"/>
        <v>0</v>
      </c>
      <c r="S3242">
        <f t="shared" si="251"/>
        <v>0</v>
      </c>
      <c r="T3242">
        <f t="shared" si="252"/>
        <v>0</v>
      </c>
      <c r="U3242">
        <f t="shared" si="253"/>
        <v>0</v>
      </c>
      <c r="V3242">
        <f t="shared" si="254"/>
        <v>0</v>
      </c>
    </row>
    <row r="3243" spans="1:22" x14ac:dyDescent="0.25">
      <c r="A3243">
        <v>3240</v>
      </c>
      <c r="B3243" t="s">
        <v>26</v>
      </c>
      <c r="C3243" t="s">
        <v>1218</v>
      </c>
      <c r="D3243" s="4">
        <v>45362</v>
      </c>
      <c r="E3243" t="s">
        <v>2549</v>
      </c>
      <c r="F3243" t="s">
        <v>75</v>
      </c>
      <c r="I3243" s="6"/>
      <c r="J3243" s="6"/>
      <c r="K3243" s="6"/>
      <c r="L3243" s="6"/>
      <c r="M3243" s="6"/>
      <c r="N3243" s="6"/>
      <c r="O3243" s="6"/>
      <c r="P3243" s="6"/>
      <c r="Q3243">
        <v>0</v>
      </c>
      <c r="R3243">
        <f t="shared" si="250"/>
        <v>0</v>
      </c>
      <c r="S3243">
        <f t="shared" si="251"/>
        <v>0</v>
      </c>
      <c r="T3243">
        <f t="shared" si="252"/>
        <v>0</v>
      </c>
      <c r="U3243">
        <f t="shared" si="253"/>
        <v>0</v>
      </c>
      <c r="V3243">
        <f t="shared" si="254"/>
        <v>0</v>
      </c>
    </row>
    <row r="3244" spans="1:22" x14ac:dyDescent="0.25">
      <c r="A3244">
        <v>3241</v>
      </c>
      <c r="B3244" t="s">
        <v>26</v>
      </c>
      <c r="C3244" t="s">
        <v>1218</v>
      </c>
      <c r="D3244" s="4">
        <v>45362</v>
      </c>
      <c r="E3244" t="s">
        <v>1319</v>
      </c>
      <c r="F3244" t="s">
        <v>75</v>
      </c>
      <c r="I3244" s="6">
        <v>0</v>
      </c>
      <c r="J3244" s="6">
        <v>0</v>
      </c>
      <c r="K3244" s="6">
        <v>0</v>
      </c>
      <c r="L3244" s="6">
        <v>1</v>
      </c>
      <c r="M3244" s="6">
        <v>0</v>
      </c>
      <c r="N3244" s="6">
        <v>0</v>
      </c>
      <c r="O3244" s="6">
        <v>0</v>
      </c>
      <c r="P3244" s="6">
        <v>0</v>
      </c>
      <c r="Q3244">
        <v>1</v>
      </c>
      <c r="R3244">
        <f t="shared" si="250"/>
        <v>0</v>
      </c>
      <c r="S3244">
        <f t="shared" si="251"/>
        <v>1</v>
      </c>
      <c r="T3244">
        <f t="shared" si="252"/>
        <v>1</v>
      </c>
      <c r="U3244">
        <f t="shared" si="253"/>
        <v>1</v>
      </c>
      <c r="V3244">
        <f t="shared" si="254"/>
        <v>0</v>
      </c>
    </row>
    <row r="3245" spans="1:22" x14ac:dyDescent="0.25">
      <c r="A3245">
        <v>3242</v>
      </c>
      <c r="B3245" t="s">
        <v>26</v>
      </c>
      <c r="C3245" t="s">
        <v>1218</v>
      </c>
      <c r="D3245" s="4">
        <v>45362</v>
      </c>
      <c r="E3245" t="s">
        <v>266</v>
      </c>
      <c r="F3245" t="s">
        <v>75</v>
      </c>
      <c r="I3245" s="6"/>
      <c r="J3245" s="6"/>
      <c r="K3245" s="6"/>
      <c r="L3245" s="6"/>
      <c r="M3245" s="6"/>
      <c r="N3245" s="6"/>
      <c r="O3245" s="6"/>
      <c r="P3245" s="6"/>
      <c r="Q3245">
        <v>0</v>
      </c>
      <c r="R3245">
        <f t="shared" si="250"/>
        <v>0</v>
      </c>
      <c r="S3245">
        <f t="shared" si="251"/>
        <v>0</v>
      </c>
      <c r="T3245">
        <f t="shared" si="252"/>
        <v>0</v>
      </c>
      <c r="U3245">
        <f t="shared" si="253"/>
        <v>0</v>
      </c>
      <c r="V3245">
        <f t="shared" si="254"/>
        <v>0</v>
      </c>
    </row>
    <row r="3246" spans="1:22" x14ac:dyDescent="0.25">
      <c r="A3246">
        <v>3243</v>
      </c>
      <c r="B3246" t="s">
        <v>26</v>
      </c>
      <c r="C3246" t="s">
        <v>1218</v>
      </c>
      <c r="D3246" s="4">
        <v>45362</v>
      </c>
      <c r="E3246" t="s">
        <v>2052</v>
      </c>
      <c r="F3246" t="s">
        <v>75</v>
      </c>
      <c r="I3246" s="6"/>
      <c r="J3246" s="6"/>
      <c r="K3246" s="6"/>
      <c r="L3246" s="6"/>
      <c r="M3246" s="6"/>
      <c r="N3246" s="6"/>
      <c r="O3246" s="6"/>
      <c r="P3246" s="6"/>
      <c r="Q3246">
        <v>0</v>
      </c>
      <c r="R3246">
        <f t="shared" si="250"/>
        <v>0</v>
      </c>
      <c r="S3246">
        <f t="shared" si="251"/>
        <v>0</v>
      </c>
      <c r="T3246">
        <f t="shared" si="252"/>
        <v>0</v>
      </c>
      <c r="U3246">
        <f t="shared" si="253"/>
        <v>0</v>
      </c>
      <c r="V3246">
        <f t="shared" si="254"/>
        <v>0</v>
      </c>
    </row>
    <row r="3247" spans="1:22" x14ac:dyDescent="0.25">
      <c r="A3247">
        <v>3244</v>
      </c>
      <c r="B3247" t="s">
        <v>26</v>
      </c>
      <c r="C3247" t="s">
        <v>1218</v>
      </c>
      <c r="D3247" s="4">
        <v>45362</v>
      </c>
      <c r="E3247" t="s">
        <v>1320</v>
      </c>
      <c r="F3247" t="s">
        <v>75</v>
      </c>
      <c r="I3247" s="6">
        <v>0</v>
      </c>
      <c r="J3247" s="6">
        <v>0</v>
      </c>
      <c r="K3247" s="6">
        <v>0</v>
      </c>
      <c r="L3247" s="6">
        <v>1</v>
      </c>
      <c r="M3247" s="6">
        <v>1</v>
      </c>
      <c r="N3247" s="6">
        <v>0</v>
      </c>
      <c r="O3247" s="6">
        <v>0</v>
      </c>
      <c r="P3247" s="6">
        <v>0</v>
      </c>
      <c r="Q3247">
        <v>1</v>
      </c>
      <c r="R3247">
        <f t="shared" si="250"/>
        <v>0</v>
      </c>
      <c r="S3247">
        <f t="shared" si="251"/>
        <v>1</v>
      </c>
      <c r="T3247">
        <f t="shared" si="252"/>
        <v>2</v>
      </c>
      <c r="U3247">
        <f t="shared" si="253"/>
        <v>1</v>
      </c>
      <c r="V3247">
        <f t="shared" si="254"/>
        <v>0</v>
      </c>
    </row>
    <row r="3248" spans="1:22" x14ac:dyDescent="0.25">
      <c r="A3248">
        <v>3245</v>
      </c>
      <c r="B3248" t="s">
        <v>26</v>
      </c>
      <c r="C3248" t="s">
        <v>1218</v>
      </c>
      <c r="D3248" s="4">
        <v>45362</v>
      </c>
      <c r="E3248" t="s">
        <v>2051</v>
      </c>
      <c r="F3248" t="s">
        <v>75</v>
      </c>
      <c r="I3248" s="6"/>
      <c r="J3248" s="6"/>
      <c r="K3248" s="6"/>
      <c r="L3248" s="6"/>
      <c r="M3248" s="6"/>
      <c r="N3248" s="6"/>
      <c r="O3248" s="6"/>
      <c r="P3248" s="6"/>
      <c r="Q3248">
        <v>0</v>
      </c>
      <c r="R3248">
        <f t="shared" si="250"/>
        <v>0</v>
      </c>
      <c r="S3248">
        <f t="shared" si="251"/>
        <v>0</v>
      </c>
      <c r="T3248">
        <f t="shared" si="252"/>
        <v>0</v>
      </c>
      <c r="U3248">
        <f t="shared" si="253"/>
        <v>0</v>
      </c>
      <c r="V3248">
        <f t="shared" si="254"/>
        <v>0</v>
      </c>
    </row>
    <row r="3249" spans="1:22" x14ac:dyDescent="0.25">
      <c r="A3249">
        <v>3246</v>
      </c>
      <c r="B3249" t="s">
        <v>26</v>
      </c>
      <c r="C3249" t="s">
        <v>1218</v>
      </c>
      <c r="D3249" s="4">
        <v>45362</v>
      </c>
      <c r="E3249" t="s">
        <v>1321</v>
      </c>
      <c r="F3249" t="s">
        <v>75</v>
      </c>
      <c r="I3249" s="6">
        <v>0</v>
      </c>
      <c r="J3249" s="6">
        <v>0</v>
      </c>
      <c r="K3249" s="6">
        <v>0</v>
      </c>
      <c r="L3249" s="6">
        <v>0</v>
      </c>
      <c r="M3249" s="6">
        <v>0</v>
      </c>
      <c r="N3249" s="6">
        <v>0</v>
      </c>
      <c r="O3249" s="6">
        <v>0</v>
      </c>
      <c r="P3249" s="6">
        <v>0</v>
      </c>
      <c r="Q3249">
        <v>1</v>
      </c>
      <c r="R3249">
        <f t="shared" si="250"/>
        <v>0</v>
      </c>
      <c r="S3249">
        <f t="shared" si="251"/>
        <v>1</v>
      </c>
      <c r="T3249">
        <f t="shared" si="252"/>
        <v>0</v>
      </c>
      <c r="U3249">
        <f t="shared" si="253"/>
        <v>0</v>
      </c>
      <c r="V3249">
        <f t="shared" si="254"/>
        <v>0</v>
      </c>
    </row>
    <row r="3250" spans="1:22" x14ac:dyDescent="0.25">
      <c r="A3250">
        <v>3247</v>
      </c>
      <c r="B3250" t="s">
        <v>26</v>
      </c>
      <c r="C3250" t="s">
        <v>1218</v>
      </c>
      <c r="D3250" s="4">
        <v>45362</v>
      </c>
      <c r="E3250" t="s">
        <v>1791</v>
      </c>
      <c r="F3250" t="s">
        <v>75</v>
      </c>
      <c r="I3250" s="6"/>
      <c r="J3250" s="6"/>
      <c r="K3250" s="6"/>
      <c r="L3250" s="6"/>
      <c r="M3250" s="6"/>
      <c r="N3250" s="6"/>
      <c r="O3250" s="6"/>
      <c r="P3250" s="6"/>
      <c r="Q3250">
        <v>0</v>
      </c>
      <c r="R3250">
        <f t="shared" si="250"/>
        <v>0</v>
      </c>
      <c r="S3250">
        <f t="shared" si="251"/>
        <v>0</v>
      </c>
      <c r="T3250">
        <f t="shared" si="252"/>
        <v>0</v>
      </c>
      <c r="U3250">
        <f t="shared" si="253"/>
        <v>0</v>
      </c>
      <c r="V3250">
        <f t="shared" si="254"/>
        <v>0</v>
      </c>
    </row>
    <row r="3251" spans="1:22" x14ac:dyDescent="0.25">
      <c r="A3251">
        <v>3248</v>
      </c>
      <c r="B3251" t="s">
        <v>26</v>
      </c>
      <c r="C3251" t="s">
        <v>1218</v>
      </c>
      <c r="D3251" s="4">
        <v>45362</v>
      </c>
      <c r="E3251" t="s">
        <v>2050</v>
      </c>
      <c r="F3251" t="s">
        <v>75</v>
      </c>
      <c r="I3251" s="6"/>
      <c r="J3251" s="6"/>
      <c r="K3251" s="6"/>
      <c r="L3251" s="6"/>
      <c r="M3251" s="6"/>
      <c r="N3251" s="6"/>
      <c r="O3251" s="6"/>
      <c r="P3251" s="6"/>
      <c r="Q3251">
        <v>0</v>
      </c>
      <c r="R3251">
        <f t="shared" si="250"/>
        <v>0</v>
      </c>
      <c r="S3251">
        <f t="shared" si="251"/>
        <v>0</v>
      </c>
      <c r="T3251">
        <f t="shared" si="252"/>
        <v>0</v>
      </c>
      <c r="U3251">
        <f t="shared" si="253"/>
        <v>0</v>
      </c>
      <c r="V3251">
        <f t="shared" si="254"/>
        <v>0</v>
      </c>
    </row>
    <row r="3252" spans="1:22" x14ac:dyDescent="0.25">
      <c r="A3252">
        <v>3249</v>
      </c>
      <c r="B3252" t="s">
        <v>26</v>
      </c>
      <c r="C3252" t="s">
        <v>1218</v>
      </c>
      <c r="D3252" s="4">
        <v>45362</v>
      </c>
      <c r="E3252" t="s">
        <v>1322</v>
      </c>
      <c r="F3252" t="s">
        <v>413</v>
      </c>
      <c r="G3252">
        <v>148</v>
      </c>
      <c r="I3252" s="6">
        <v>1</v>
      </c>
      <c r="J3252" s="6">
        <v>0</v>
      </c>
      <c r="K3252" s="6">
        <v>0</v>
      </c>
      <c r="L3252" s="6">
        <v>1</v>
      </c>
      <c r="M3252" s="6">
        <v>0</v>
      </c>
      <c r="N3252" s="6">
        <v>0</v>
      </c>
      <c r="O3252" s="6">
        <v>0</v>
      </c>
      <c r="P3252" s="6">
        <v>0</v>
      </c>
      <c r="Q3252">
        <v>1</v>
      </c>
      <c r="R3252">
        <f t="shared" si="250"/>
        <v>1</v>
      </c>
      <c r="S3252">
        <f t="shared" si="251"/>
        <v>0</v>
      </c>
      <c r="T3252">
        <f t="shared" si="252"/>
        <v>2</v>
      </c>
      <c r="U3252">
        <f t="shared" si="253"/>
        <v>1</v>
      </c>
      <c r="V3252">
        <f t="shared" si="254"/>
        <v>1</v>
      </c>
    </row>
    <row r="3253" spans="1:22" x14ac:dyDescent="0.25">
      <c r="A3253">
        <v>3250</v>
      </c>
      <c r="B3253" t="s">
        <v>26</v>
      </c>
      <c r="C3253" t="s">
        <v>1218</v>
      </c>
      <c r="D3253" s="4">
        <v>45363</v>
      </c>
      <c r="E3253" t="s">
        <v>847</v>
      </c>
      <c r="F3253" t="s">
        <v>75</v>
      </c>
      <c r="I3253" s="6">
        <v>0</v>
      </c>
      <c r="J3253" s="6">
        <v>0</v>
      </c>
      <c r="K3253" s="6">
        <v>0</v>
      </c>
      <c r="L3253" s="6">
        <v>0</v>
      </c>
      <c r="M3253" s="6">
        <v>1</v>
      </c>
      <c r="N3253" s="6">
        <v>0</v>
      </c>
      <c r="O3253" s="6">
        <v>0</v>
      </c>
      <c r="P3253" s="6">
        <v>0</v>
      </c>
      <c r="Q3253">
        <v>1</v>
      </c>
      <c r="R3253">
        <f t="shared" si="250"/>
        <v>0</v>
      </c>
      <c r="S3253">
        <f t="shared" si="251"/>
        <v>1</v>
      </c>
      <c r="T3253">
        <f t="shared" si="252"/>
        <v>1</v>
      </c>
      <c r="U3253">
        <f t="shared" si="253"/>
        <v>1</v>
      </c>
      <c r="V3253">
        <f t="shared" si="254"/>
        <v>0</v>
      </c>
    </row>
    <row r="3254" spans="1:22" x14ac:dyDescent="0.25">
      <c r="A3254">
        <v>3251</v>
      </c>
      <c r="B3254" t="s">
        <v>26</v>
      </c>
      <c r="C3254" t="s">
        <v>1218</v>
      </c>
      <c r="D3254" s="4">
        <v>45363</v>
      </c>
      <c r="E3254" t="s">
        <v>1323</v>
      </c>
      <c r="F3254" t="s">
        <v>710</v>
      </c>
      <c r="G3254">
        <v>149</v>
      </c>
      <c r="I3254" s="6">
        <v>1</v>
      </c>
      <c r="J3254" s="6">
        <v>0</v>
      </c>
      <c r="K3254" s="6">
        <v>1</v>
      </c>
      <c r="L3254" s="6">
        <v>1</v>
      </c>
      <c r="M3254" s="6">
        <v>0</v>
      </c>
      <c r="N3254" s="6">
        <v>0</v>
      </c>
      <c r="O3254" s="6">
        <v>0</v>
      </c>
      <c r="P3254" s="6">
        <v>0</v>
      </c>
      <c r="Q3254">
        <v>1</v>
      </c>
      <c r="R3254">
        <f t="shared" si="250"/>
        <v>0</v>
      </c>
      <c r="S3254">
        <f t="shared" si="251"/>
        <v>0</v>
      </c>
      <c r="T3254">
        <f t="shared" si="252"/>
        <v>3</v>
      </c>
      <c r="U3254">
        <f t="shared" si="253"/>
        <v>1</v>
      </c>
      <c r="V3254">
        <f t="shared" si="254"/>
        <v>0</v>
      </c>
    </row>
    <row r="3255" spans="1:22" x14ac:dyDescent="0.25">
      <c r="A3255">
        <v>3252</v>
      </c>
      <c r="B3255" t="s">
        <v>26</v>
      </c>
      <c r="C3255" t="s">
        <v>1218</v>
      </c>
      <c r="D3255" s="4">
        <v>45363</v>
      </c>
      <c r="E3255" t="s">
        <v>2548</v>
      </c>
      <c r="F3255" t="s">
        <v>75</v>
      </c>
      <c r="I3255" s="6"/>
      <c r="J3255" s="6"/>
      <c r="K3255" s="6"/>
      <c r="L3255" s="6"/>
      <c r="M3255" s="6"/>
      <c r="N3255" s="6"/>
      <c r="O3255" s="6"/>
      <c r="P3255" s="6"/>
      <c r="Q3255">
        <v>0</v>
      </c>
      <c r="R3255">
        <f t="shared" si="250"/>
        <v>0</v>
      </c>
      <c r="S3255">
        <f t="shared" si="251"/>
        <v>0</v>
      </c>
      <c r="T3255">
        <f t="shared" si="252"/>
        <v>0</v>
      </c>
      <c r="U3255">
        <f t="shared" si="253"/>
        <v>0</v>
      </c>
      <c r="V3255">
        <f t="shared" si="254"/>
        <v>0</v>
      </c>
    </row>
    <row r="3256" spans="1:22" x14ac:dyDescent="0.25">
      <c r="A3256">
        <v>3253</v>
      </c>
      <c r="B3256" t="s">
        <v>26</v>
      </c>
      <c r="C3256" t="s">
        <v>1218</v>
      </c>
      <c r="D3256" s="4">
        <v>45363</v>
      </c>
      <c r="E3256" t="s">
        <v>2547</v>
      </c>
      <c r="F3256" t="s">
        <v>75</v>
      </c>
      <c r="I3256" s="6"/>
      <c r="J3256" s="6"/>
      <c r="K3256" s="6"/>
      <c r="L3256" s="6"/>
      <c r="M3256" s="6"/>
      <c r="N3256" s="6"/>
      <c r="O3256" s="6"/>
      <c r="P3256" s="6"/>
      <c r="Q3256">
        <v>0</v>
      </c>
      <c r="R3256">
        <f t="shared" si="250"/>
        <v>0</v>
      </c>
      <c r="S3256">
        <f t="shared" si="251"/>
        <v>0</v>
      </c>
      <c r="T3256">
        <f t="shared" si="252"/>
        <v>0</v>
      </c>
      <c r="U3256">
        <f t="shared" si="253"/>
        <v>0</v>
      </c>
      <c r="V3256">
        <f t="shared" si="254"/>
        <v>0</v>
      </c>
    </row>
    <row r="3257" spans="1:22" x14ac:dyDescent="0.25">
      <c r="A3257">
        <v>3254</v>
      </c>
      <c r="B3257" t="s">
        <v>26</v>
      </c>
      <c r="C3257" t="s">
        <v>1218</v>
      </c>
      <c r="D3257" s="4">
        <v>45363</v>
      </c>
      <c r="E3257" t="s">
        <v>2546</v>
      </c>
      <c r="F3257" t="s">
        <v>75</v>
      </c>
      <c r="I3257" s="6"/>
      <c r="J3257" s="6"/>
      <c r="K3257" s="6"/>
      <c r="L3257" s="6"/>
      <c r="M3257" s="6"/>
      <c r="N3257" s="6"/>
      <c r="O3257" s="6"/>
      <c r="P3257" s="6"/>
      <c r="Q3257">
        <v>0</v>
      </c>
      <c r="R3257">
        <f t="shared" si="250"/>
        <v>0</v>
      </c>
      <c r="S3257">
        <f t="shared" si="251"/>
        <v>0</v>
      </c>
      <c r="T3257">
        <f t="shared" si="252"/>
        <v>0</v>
      </c>
      <c r="U3257">
        <f t="shared" si="253"/>
        <v>0</v>
      </c>
      <c r="V3257">
        <f t="shared" si="254"/>
        <v>0</v>
      </c>
    </row>
    <row r="3258" spans="1:22" x14ac:dyDescent="0.25">
      <c r="A3258">
        <v>3255</v>
      </c>
      <c r="B3258" t="s">
        <v>26</v>
      </c>
      <c r="C3258" t="s">
        <v>1218</v>
      </c>
      <c r="D3258" s="4">
        <v>45363</v>
      </c>
      <c r="E3258" t="s">
        <v>2545</v>
      </c>
      <c r="F3258" t="s">
        <v>75</v>
      </c>
      <c r="I3258" s="6"/>
      <c r="J3258" s="6"/>
      <c r="K3258" s="6"/>
      <c r="L3258" s="6"/>
      <c r="M3258" s="6"/>
      <c r="N3258" s="6"/>
      <c r="O3258" s="6"/>
      <c r="P3258" s="6"/>
      <c r="Q3258">
        <v>0</v>
      </c>
      <c r="R3258">
        <f t="shared" si="250"/>
        <v>0</v>
      </c>
      <c r="S3258">
        <f t="shared" si="251"/>
        <v>0</v>
      </c>
      <c r="T3258">
        <f t="shared" si="252"/>
        <v>0</v>
      </c>
      <c r="U3258">
        <f t="shared" si="253"/>
        <v>0</v>
      </c>
      <c r="V3258">
        <f t="shared" si="254"/>
        <v>0</v>
      </c>
    </row>
    <row r="3259" spans="1:22" x14ac:dyDescent="0.25">
      <c r="A3259">
        <v>3256</v>
      </c>
      <c r="B3259" t="s">
        <v>26</v>
      </c>
      <c r="C3259" t="s">
        <v>1218</v>
      </c>
      <c r="D3259" s="4">
        <v>45363</v>
      </c>
      <c r="E3259" t="s">
        <v>2544</v>
      </c>
      <c r="F3259" t="s">
        <v>75</v>
      </c>
      <c r="I3259" s="6"/>
      <c r="J3259" s="6"/>
      <c r="K3259" s="6"/>
      <c r="L3259" s="6"/>
      <c r="M3259" s="6"/>
      <c r="N3259" s="6"/>
      <c r="O3259" s="6"/>
      <c r="P3259" s="6"/>
      <c r="Q3259">
        <v>0</v>
      </c>
      <c r="R3259">
        <f t="shared" si="250"/>
        <v>0</v>
      </c>
      <c r="S3259">
        <f t="shared" si="251"/>
        <v>0</v>
      </c>
      <c r="T3259">
        <f t="shared" si="252"/>
        <v>0</v>
      </c>
      <c r="U3259">
        <f t="shared" si="253"/>
        <v>0</v>
      </c>
      <c r="V3259">
        <f t="shared" si="254"/>
        <v>0</v>
      </c>
    </row>
    <row r="3260" spans="1:22" x14ac:dyDescent="0.25">
      <c r="A3260">
        <v>3257</v>
      </c>
      <c r="B3260" t="s">
        <v>26</v>
      </c>
      <c r="C3260" t="s">
        <v>1218</v>
      </c>
      <c r="D3260" s="4">
        <v>45363</v>
      </c>
      <c r="E3260" t="s">
        <v>848</v>
      </c>
      <c r="F3260" t="s">
        <v>75</v>
      </c>
      <c r="I3260" s="6"/>
      <c r="J3260" s="6"/>
      <c r="K3260" s="6"/>
      <c r="L3260" s="6"/>
      <c r="M3260" s="6"/>
      <c r="N3260" s="6"/>
      <c r="O3260" s="6"/>
      <c r="P3260" s="6"/>
      <c r="Q3260">
        <v>0</v>
      </c>
      <c r="R3260">
        <f t="shared" si="250"/>
        <v>0</v>
      </c>
      <c r="S3260">
        <f t="shared" si="251"/>
        <v>0</v>
      </c>
      <c r="T3260">
        <f t="shared" si="252"/>
        <v>0</v>
      </c>
      <c r="U3260">
        <f t="shared" si="253"/>
        <v>0</v>
      </c>
      <c r="V3260">
        <f t="shared" si="254"/>
        <v>0</v>
      </c>
    </row>
    <row r="3261" spans="1:22" x14ac:dyDescent="0.25">
      <c r="A3261">
        <v>3258</v>
      </c>
      <c r="B3261" t="s">
        <v>26</v>
      </c>
      <c r="C3261" t="s">
        <v>1218</v>
      </c>
      <c r="D3261" s="4">
        <v>45363</v>
      </c>
      <c r="E3261" t="s">
        <v>1469</v>
      </c>
      <c r="F3261" t="s">
        <v>75</v>
      </c>
      <c r="I3261" s="6"/>
      <c r="J3261" s="6"/>
      <c r="K3261" s="6"/>
      <c r="L3261" s="6"/>
      <c r="M3261" s="6"/>
      <c r="N3261" s="6"/>
      <c r="O3261" s="6"/>
      <c r="P3261" s="6"/>
      <c r="Q3261">
        <v>0</v>
      </c>
      <c r="R3261">
        <f t="shared" si="250"/>
        <v>0</v>
      </c>
      <c r="S3261">
        <f t="shared" si="251"/>
        <v>0</v>
      </c>
      <c r="T3261">
        <f t="shared" si="252"/>
        <v>0</v>
      </c>
      <c r="U3261">
        <f t="shared" si="253"/>
        <v>0</v>
      </c>
      <c r="V3261">
        <f t="shared" si="254"/>
        <v>0</v>
      </c>
    </row>
    <row r="3262" spans="1:22" x14ac:dyDescent="0.25">
      <c r="A3262">
        <v>3259</v>
      </c>
      <c r="B3262" t="s">
        <v>26</v>
      </c>
      <c r="C3262" t="s">
        <v>1218</v>
      </c>
      <c r="D3262" s="4">
        <v>45363</v>
      </c>
      <c r="E3262" t="s">
        <v>1792</v>
      </c>
      <c r="F3262" t="s">
        <v>75</v>
      </c>
      <c r="I3262" s="6"/>
      <c r="J3262" s="6"/>
      <c r="K3262" s="6"/>
      <c r="L3262" s="6"/>
      <c r="M3262" s="6"/>
      <c r="N3262" s="6"/>
      <c r="O3262" s="6"/>
      <c r="P3262" s="6"/>
      <c r="Q3262">
        <v>0</v>
      </c>
      <c r="R3262">
        <f t="shared" si="250"/>
        <v>0</v>
      </c>
      <c r="S3262">
        <f t="shared" si="251"/>
        <v>0</v>
      </c>
      <c r="T3262">
        <f t="shared" si="252"/>
        <v>0</v>
      </c>
      <c r="U3262">
        <f t="shared" si="253"/>
        <v>0</v>
      </c>
      <c r="V3262">
        <f t="shared" si="254"/>
        <v>0</v>
      </c>
    </row>
    <row r="3263" spans="1:22" x14ac:dyDescent="0.25">
      <c r="A3263">
        <v>3260</v>
      </c>
      <c r="B3263" t="s">
        <v>26</v>
      </c>
      <c r="C3263" t="s">
        <v>1218</v>
      </c>
      <c r="D3263" s="4">
        <v>45363</v>
      </c>
      <c r="E3263" t="s">
        <v>2049</v>
      </c>
      <c r="F3263" t="s">
        <v>75</v>
      </c>
      <c r="I3263" s="6"/>
      <c r="J3263" s="6"/>
      <c r="K3263" s="6"/>
      <c r="L3263" s="6"/>
      <c r="M3263" s="6"/>
      <c r="N3263" s="6"/>
      <c r="O3263" s="6"/>
      <c r="P3263" s="6"/>
      <c r="Q3263">
        <v>0</v>
      </c>
      <c r="R3263">
        <f t="shared" si="250"/>
        <v>0</v>
      </c>
      <c r="S3263">
        <f t="shared" si="251"/>
        <v>0</v>
      </c>
      <c r="T3263">
        <f t="shared" si="252"/>
        <v>0</v>
      </c>
      <c r="U3263">
        <f t="shared" si="253"/>
        <v>0</v>
      </c>
      <c r="V3263">
        <f t="shared" si="254"/>
        <v>0</v>
      </c>
    </row>
    <row r="3264" spans="1:22" x14ac:dyDescent="0.25">
      <c r="A3264">
        <v>3261</v>
      </c>
      <c r="B3264" t="s">
        <v>26</v>
      </c>
      <c r="C3264" t="s">
        <v>1218</v>
      </c>
      <c r="D3264" s="4">
        <v>45363</v>
      </c>
      <c r="E3264" t="s">
        <v>1531</v>
      </c>
      <c r="F3264" t="s">
        <v>75</v>
      </c>
      <c r="I3264" s="6"/>
      <c r="J3264" s="6"/>
      <c r="K3264" s="6"/>
      <c r="L3264" s="6"/>
      <c r="M3264" s="6"/>
      <c r="N3264" s="6"/>
      <c r="O3264" s="6"/>
      <c r="P3264" s="6"/>
      <c r="Q3264">
        <v>0</v>
      </c>
      <c r="R3264">
        <f t="shared" si="250"/>
        <v>0</v>
      </c>
      <c r="S3264">
        <f t="shared" si="251"/>
        <v>0</v>
      </c>
      <c r="T3264">
        <f t="shared" si="252"/>
        <v>0</v>
      </c>
      <c r="U3264">
        <f t="shared" si="253"/>
        <v>0</v>
      </c>
      <c r="V3264">
        <f t="shared" si="254"/>
        <v>0</v>
      </c>
    </row>
    <row r="3265" spans="1:22" x14ac:dyDescent="0.25">
      <c r="A3265">
        <v>3262</v>
      </c>
      <c r="B3265" t="s">
        <v>26</v>
      </c>
      <c r="C3265" t="s">
        <v>1218</v>
      </c>
      <c r="D3265" s="4">
        <v>45363</v>
      </c>
      <c r="E3265" t="s">
        <v>2048</v>
      </c>
      <c r="F3265" t="s">
        <v>75</v>
      </c>
      <c r="I3265" s="6"/>
      <c r="J3265" s="6"/>
      <c r="K3265" s="6"/>
      <c r="L3265" s="6"/>
      <c r="M3265" s="6"/>
      <c r="N3265" s="6"/>
      <c r="O3265" s="6"/>
      <c r="P3265" s="6"/>
      <c r="Q3265">
        <v>0</v>
      </c>
      <c r="R3265">
        <f t="shared" si="250"/>
        <v>0</v>
      </c>
      <c r="S3265">
        <f t="shared" si="251"/>
        <v>0</v>
      </c>
      <c r="T3265">
        <f t="shared" si="252"/>
        <v>0</v>
      </c>
      <c r="U3265">
        <f t="shared" si="253"/>
        <v>0</v>
      </c>
      <c r="V3265">
        <f t="shared" si="254"/>
        <v>0</v>
      </c>
    </row>
    <row r="3266" spans="1:22" x14ac:dyDescent="0.25">
      <c r="A3266">
        <v>3263</v>
      </c>
      <c r="B3266" t="s">
        <v>26</v>
      </c>
      <c r="C3266" t="s">
        <v>1218</v>
      </c>
      <c r="D3266" s="4">
        <v>45363</v>
      </c>
      <c r="E3266" t="s">
        <v>2047</v>
      </c>
      <c r="F3266" t="s">
        <v>75</v>
      </c>
      <c r="I3266" s="6">
        <v>0</v>
      </c>
      <c r="J3266" s="6">
        <v>0</v>
      </c>
      <c r="K3266" s="6">
        <v>0</v>
      </c>
      <c r="L3266" s="6">
        <v>0</v>
      </c>
      <c r="M3266" s="6">
        <v>1</v>
      </c>
      <c r="N3266" s="6">
        <v>1</v>
      </c>
      <c r="O3266" s="6">
        <v>0</v>
      </c>
      <c r="P3266" s="6">
        <v>0</v>
      </c>
      <c r="Q3266">
        <v>1</v>
      </c>
      <c r="R3266">
        <f t="shared" si="250"/>
        <v>0</v>
      </c>
      <c r="S3266">
        <f t="shared" si="251"/>
        <v>1</v>
      </c>
      <c r="T3266">
        <f t="shared" si="252"/>
        <v>2</v>
      </c>
      <c r="U3266">
        <f t="shared" si="253"/>
        <v>1</v>
      </c>
      <c r="V3266">
        <f t="shared" si="254"/>
        <v>0</v>
      </c>
    </row>
    <row r="3267" spans="1:22" x14ac:dyDescent="0.25">
      <c r="A3267">
        <v>3264</v>
      </c>
      <c r="B3267" t="s">
        <v>26</v>
      </c>
      <c r="C3267" t="s">
        <v>1218</v>
      </c>
      <c r="D3267" s="4">
        <v>45363</v>
      </c>
      <c r="E3267" t="s">
        <v>2543</v>
      </c>
      <c r="F3267" t="s">
        <v>75</v>
      </c>
      <c r="I3267" s="6"/>
      <c r="J3267" s="6"/>
      <c r="K3267" s="6"/>
      <c r="L3267" s="6"/>
      <c r="M3267" s="6"/>
      <c r="N3267" s="6"/>
      <c r="O3267" s="6"/>
      <c r="P3267" s="6"/>
      <c r="Q3267">
        <v>0</v>
      </c>
      <c r="R3267">
        <f t="shared" ref="R3267:R3330" si="255">IF(AND(Q3267=1,F3267="ai_full"),1,0)</f>
        <v>0</v>
      </c>
      <c r="S3267">
        <f t="shared" ref="S3267:S3330" si="256">IF(AND(Q3267=1,F3267="conventional"),1,0)</f>
        <v>0</v>
      </c>
      <c r="T3267">
        <f t="shared" ref="T3267:T3330" si="257">SUM(I3267:P3267)</f>
        <v>0</v>
      </c>
      <c r="U3267">
        <f t="shared" ref="U3267:U3330" si="258">IF(T3267&gt;=1,1,0)</f>
        <v>0</v>
      </c>
      <c r="V3267">
        <f t="shared" ref="V3267:V3330" si="259">IF(F3267="ai_full",1,0)</f>
        <v>0</v>
      </c>
    </row>
    <row r="3268" spans="1:22" x14ac:dyDescent="0.25">
      <c r="A3268">
        <v>3265</v>
      </c>
      <c r="B3268" t="s">
        <v>26</v>
      </c>
      <c r="C3268" t="s">
        <v>1218</v>
      </c>
      <c r="D3268" s="4">
        <v>45364</v>
      </c>
      <c r="E3268" t="s">
        <v>1127</v>
      </c>
      <c r="F3268" t="s">
        <v>75</v>
      </c>
      <c r="I3268" s="6"/>
      <c r="J3268" s="6"/>
      <c r="K3268" s="6"/>
      <c r="L3268" s="6"/>
      <c r="M3268" s="6"/>
      <c r="N3268" s="6"/>
      <c r="O3268" s="6"/>
      <c r="P3268" s="6"/>
      <c r="Q3268">
        <v>0</v>
      </c>
      <c r="R3268">
        <f t="shared" si="255"/>
        <v>0</v>
      </c>
      <c r="S3268">
        <f t="shared" si="256"/>
        <v>0</v>
      </c>
      <c r="T3268">
        <f t="shared" si="257"/>
        <v>0</v>
      </c>
      <c r="U3268">
        <f t="shared" si="258"/>
        <v>0</v>
      </c>
      <c r="V3268">
        <f t="shared" si="259"/>
        <v>0</v>
      </c>
    </row>
    <row r="3269" spans="1:22" x14ac:dyDescent="0.25">
      <c r="A3269">
        <v>3266</v>
      </c>
      <c r="B3269" t="s">
        <v>26</v>
      </c>
      <c r="C3269" t="s">
        <v>1218</v>
      </c>
      <c r="D3269" s="4">
        <v>45364</v>
      </c>
      <c r="E3269" t="s">
        <v>849</v>
      </c>
      <c r="F3269" t="s">
        <v>75</v>
      </c>
      <c r="I3269" s="6"/>
      <c r="J3269" s="6"/>
      <c r="K3269" s="6"/>
      <c r="L3269" s="6"/>
      <c r="M3269" s="6"/>
      <c r="N3269" s="6"/>
      <c r="O3269" s="6"/>
      <c r="P3269" s="6"/>
      <c r="Q3269">
        <v>0</v>
      </c>
      <c r="R3269">
        <f t="shared" si="255"/>
        <v>0</v>
      </c>
      <c r="S3269">
        <f t="shared" si="256"/>
        <v>0</v>
      </c>
      <c r="T3269">
        <f t="shared" si="257"/>
        <v>0</v>
      </c>
      <c r="U3269">
        <f t="shared" si="258"/>
        <v>0</v>
      </c>
      <c r="V3269">
        <f t="shared" si="259"/>
        <v>0</v>
      </c>
    </row>
    <row r="3270" spans="1:22" x14ac:dyDescent="0.25">
      <c r="A3270">
        <v>3267</v>
      </c>
      <c r="B3270" t="s">
        <v>26</v>
      </c>
      <c r="C3270" t="s">
        <v>1218</v>
      </c>
      <c r="D3270" s="4">
        <v>45364</v>
      </c>
      <c r="E3270" t="s">
        <v>850</v>
      </c>
      <c r="F3270" t="s">
        <v>75</v>
      </c>
      <c r="I3270" s="6"/>
      <c r="J3270" s="6"/>
      <c r="K3270" s="6"/>
      <c r="L3270" s="6"/>
      <c r="M3270" s="6"/>
      <c r="N3270" s="6"/>
      <c r="O3270" s="6"/>
      <c r="P3270" s="6"/>
      <c r="Q3270">
        <v>0</v>
      </c>
      <c r="R3270">
        <f t="shared" si="255"/>
        <v>0</v>
      </c>
      <c r="S3270">
        <f t="shared" si="256"/>
        <v>0</v>
      </c>
      <c r="T3270">
        <f t="shared" si="257"/>
        <v>0</v>
      </c>
      <c r="U3270">
        <f t="shared" si="258"/>
        <v>0</v>
      </c>
      <c r="V3270">
        <f t="shared" si="259"/>
        <v>0</v>
      </c>
    </row>
    <row r="3271" spans="1:22" x14ac:dyDescent="0.25">
      <c r="A3271">
        <v>3268</v>
      </c>
      <c r="B3271" t="s">
        <v>26</v>
      </c>
      <c r="C3271" t="s">
        <v>1218</v>
      </c>
      <c r="D3271" s="4">
        <v>45364</v>
      </c>
      <c r="E3271" t="s">
        <v>2217</v>
      </c>
      <c r="F3271" t="s">
        <v>75</v>
      </c>
      <c r="I3271" s="6"/>
      <c r="J3271" s="6"/>
      <c r="K3271" s="6"/>
      <c r="L3271" s="6"/>
      <c r="M3271" s="6"/>
      <c r="N3271" s="6"/>
      <c r="O3271" s="6"/>
      <c r="P3271" s="6"/>
      <c r="Q3271">
        <v>0</v>
      </c>
      <c r="R3271">
        <f t="shared" si="255"/>
        <v>0</v>
      </c>
      <c r="S3271">
        <f t="shared" si="256"/>
        <v>0</v>
      </c>
      <c r="T3271">
        <f t="shared" si="257"/>
        <v>0</v>
      </c>
      <c r="U3271">
        <f t="shared" si="258"/>
        <v>0</v>
      </c>
      <c r="V3271">
        <f t="shared" si="259"/>
        <v>0</v>
      </c>
    </row>
    <row r="3272" spans="1:22" x14ac:dyDescent="0.25">
      <c r="A3272">
        <v>3269</v>
      </c>
      <c r="B3272" t="s">
        <v>26</v>
      </c>
      <c r="C3272" t="s">
        <v>1218</v>
      </c>
      <c r="D3272" s="4">
        <v>45364</v>
      </c>
      <c r="E3272" t="s">
        <v>2216</v>
      </c>
      <c r="F3272" t="s">
        <v>75</v>
      </c>
      <c r="I3272" s="6"/>
      <c r="J3272" s="6"/>
      <c r="K3272" s="6"/>
      <c r="L3272" s="6"/>
      <c r="M3272" s="6"/>
      <c r="N3272" s="6"/>
      <c r="O3272" s="6"/>
      <c r="P3272" s="6"/>
      <c r="Q3272">
        <v>0</v>
      </c>
      <c r="R3272">
        <f t="shared" si="255"/>
        <v>0</v>
      </c>
      <c r="S3272">
        <f t="shared" si="256"/>
        <v>0</v>
      </c>
      <c r="T3272">
        <f t="shared" si="257"/>
        <v>0</v>
      </c>
      <c r="U3272">
        <f t="shared" si="258"/>
        <v>0</v>
      </c>
      <c r="V3272">
        <f t="shared" si="259"/>
        <v>0</v>
      </c>
    </row>
    <row r="3273" spans="1:22" x14ac:dyDescent="0.25">
      <c r="A3273">
        <v>3270</v>
      </c>
      <c r="B3273" t="s">
        <v>26</v>
      </c>
      <c r="C3273" t="s">
        <v>1218</v>
      </c>
      <c r="D3273" s="4">
        <v>45364</v>
      </c>
      <c r="E3273" t="s">
        <v>1324</v>
      </c>
      <c r="F3273" t="s">
        <v>413</v>
      </c>
      <c r="G3273">
        <v>150</v>
      </c>
      <c r="I3273" s="6">
        <v>1</v>
      </c>
      <c r="J3273" s="6">
        <v>0</v>
      </c>
      <c r="K3273" s="6">
        <v>0</v>
      </c>
      <c r="L3273" s="6">
        <v>1</v>
      </c>
      <c r="M3273" s="6">
        <v>0</v>
      </c>
      <c r="N3273" s="6">
        <v>0</v>
      </c>
      <c r="O3273" s="6">
        <v>0</v>
      </c>
      <c r="P3273" s="6">
        <v>0</v>
      </c>
      <c r="Q3273">
        <v>1</v>
      </c>
      <c r="R3273">
        <f t="shared" si="255"/>
        <v>1</v>
      </c>
      <c r="S3273">
        <f t="shared" si="256"/>
        <v>0</v>
      </c>
      <c r="T3273">
        <f t="shared" si="257"/>
        <v>2</v>
      </c>
      <c r="U3273">
        <f t="shared" si="258"/>
        <v>1</v>
      </c>
      <c r="V3273">
        <f t="shared" si="259"/>
        <v>1</v>
      </c>
    </row>
    <row r="3274" spans="1:22" x14ac:dyDescent="0.25">
      <c r="A3274">
        <v>3271</v>
      </c>
      <c r="B3274" t="s">
        <v>26</v>
      </c>
      <c r="C3274" t="s">
        <v>1218</v>
      </c>
      <c r="D3274" s="4">
        <v>45364</v>
      </c>
      <c r="E3274" t="s">
        <v>2542</v>
      </c>
      <c r="F3274" t="s">
        <v>75</v>
      </c>
      <c r="I3274" s="6"/>
      <c r="J3274" s="6"/>
      <c r="K3274" s="6"/>
      <c r="L3274" s="6"/>
      <c r="M3274" s="6"/>
      <c r="N3274" s="6"/>
      <c r="O3274" s="6"/>
      <c r="P3274" s="6"/>
      <c r="Q3274">
        <v>0</v>
      </c>
      <c r="R3274">
        <f t="shared" si="255"/>
        <v>0</v>
      </c>
      <c r="S3274">
        <f t="shared" si="256"/>
        <v>0</v>
      </c>
      <c r="T3274">
        <f t="shared" si="257"/>
        <v>0</v>
      </c>
      <c r="U3274">
        <f t="shared" si="258"/>
        <v>0</v>
      </c>
      <c r="V3274">
        <f t="shared" si="259"/>
        <v>0</v>
      </c>
    </row>
    <row r="3275" spans="1:22" x14ac:dyDescent="0.25">
      <c r="A3275">
        <v>3272</v>
      </c>
      <c r="B3275" t="s">
        <v>26</v>
      </c>
      <c r="C3275" t="s">
        <v>1218</v>
      </c>
      <c r="D3275" s="4">
        <v>45365</v>
      </c>
      <c r="E3275" t="s">
        <v>924</v>
      </c>
      <c r="F3275" t="s">
        <v>75</v>
      </c>
      <c r="I3275" s="6"/>
      <c r="J3275" s="6"/>
      <c r="K3275" s="6"/>
      <c r="L3275" s="6"/>
      <c r="M3275" s="6"/>
      <c r="N3275" s="6"/>
      <c r="O3275" s="6"/>
      <c r="P3275" s="6"/>
      <c r="Q3275">
        <v>0</v>
      </c>
      <c r="R3275">
        <f t="shared" si="255"/>
        <v>0</v>
      </c>
      <c r="S3275">
        <f t="shared" si="256"/>
        <v>0</v>
      </c>
      <c r="T3275">
        <f t="shared" si="257"/>
        <v>0</v>
      </c>
      <c r="U3275">
        <f t="shared" si="258"/>
        <v>0</v>
      </c>
      <c r="V3275">
        <f t="shared" si="259"/>
        <v>0</v>
      </c>
    </row>
    <row r="3276" spans="1:22" x14ac:dyDescent="0.25">
      <c r="A3276">
        <v>3273</v>
      </c>
      <c r="B3276" t="s">
        <v>26</v>
      </c>
      <c r="C3276" t="s">
        <v>1218</v>
      </c>
      <c r="D3276" s="4">
        <v>45365</v>
      </c>
      <c r="E3276" t="s">
        <v>2541</v>
      </c>
      <c r="F3276" t="s">
        <v>75</v>
      </c>
      <c r="I3276" s="6"/>
      <c r="J3276" s="6"/>
      <c r="K3276" s="6"/>
      <c r="L3276" s="6"/>
      <c r="M3276" s="6"/>
      <c r="N3276" s="6"/>
      <c r="O3276" s="6"/>
      <c r="P3276" s="6"/>
      <c r="Q3276">
        <v>0</v>
      </c>
      <c r="R3276">
        <f t="shared" si="255"/>
        <v>0</v>
      </c>
      <c r="S3276">
        <f t="shared" si="256"/>
        <v>0</v>
      </c>
      <c r="T3276">
        <f t="shared" si="257"/>
        <v>0</v>
      </c>
      <c r="U3276">
        <f t="shared" si="258"/>
        <v>0</v>
      </c>
      <c r="V3276">
        <f t="shared" si="259"/>
        <v>0</v>
      </c>
    </row>
    <row r="3277" spans="1:22" x14ac:dyDescent="0.25">
      <c r="A3277">
        <v>3274</v>
      </c>
      <c r="B3277" t="s">
        <v>26</v>
      </c>
      <c r="C3277" t="s">
        <v>1218</v>
      </c>
      <c r="D3277" s="4">
        <v>45365</v>
      </c>
      <c r="E3277" t="s">
        <v>2540</v>
      </c>
      <c r="F3277" t="s">
        <v>75</v>
      </c>
      <c r="I3277" s="6"/>
      <c r="J3277" s="6"/>
      <c r="K3277" s="6"/>
      <c r="L3277" s="6"/>
      <c r="M3277" s="6"/>
      <c r="N3277" s="6"/>
      <c r="O3277" s="6"/>
      <c r="P3277" s="6"/>
      <c r="Q3277">
        <v>0</v>
      </c>
      <c r="R3277">
        <f t="shared" si="255"/>
        <v>0</v>
      </c>
      <c r="S3277">
        <f t="shared" si="256"/>
        <v>0</v>
      </c>
      <c r="T3277">
        <f t="shared" si="257"/>
        <v>0</v>
      </c>
      <c r="U3277">
        <f t="shared" si="258"/>
        <v>0</v>
      </c>
      <c r="V3277">
        <f t="shared" si="259"/>
        <v>0</v>
      </c>
    </row>
    <row r="3278" spans="1:22" x14ac:dyDescent="0.25">
      <c r="A3278">
        <v>3275</v>
      </c>
      <c r="B3278" t="s">
        <v>26</v>
      </c>
      <c r="C3278" t="s">
        <v>1218</v>
      </c>
      <c r="D3278" s="4">
        <v>45365</v>
      </c>
      <c r="E3278" t="s">
        <v>1325</v>
      </c>
      <c r="F3278" t="s">
        <v>75</v>
      </c>
      <c r="I3278" s="6">
        <v>1</v>
      </c>
      <c r="J3278" s="6">
        <v>0</v>
      </c>
      <c r="K3278" s="6">
        <v>1</v>
      </c>
      <c r="L3278" s="6">
        <v>1</v>
      </c>
      <c r="M3278" s="6">
        <v>1</v>
      </c>
      <c r="N3278" s="6">
        <v>0</v>
      </c>
      <c r="O3278" s="6">
        <v>0</v>
      </c>
      <c r="P3278" s="6">
        <v>0</v>
      </c>
      <c r="Q3278">
        <v>1</v>
      </c>
      <c r="R3278">
        <f t="shared" si="255"/>
        <v>0</v>
      </c>
      <c r="S3278">
        <f t="shared" si="256"/>
        <v>1</v>
      </c>
      <c r="T3278">
        <f t="shared" si="257"/>
        <v>4</v>
      </c>
      <c r="U3278">
        <f t="shared" si="258"/>
        <v>1</v>
      </c>
      <c r="V3278">
        <f t="shared" si="259"/>
        <v>0</v>
      </c>
    </row>
    <row r="3279" spans="1:22" x14ac:dyDescent="0.25">
      <c r="A3279">
        <v>3276</v>
      </c>
      <c r="B3279" t="s">
        <v>26</v>
      </c>
      <c r="C3279" t="s">
        <v>1218</v>
      </c>
      <c r="D3279" s="4">
        <v>45365</v>
      </c>
      <c r="E3279" t="s">
        <v>2539</v>
      </c>
      <c r="F3279" t="s">
        <v>75</v>
      </c>
      <c r="I3279" s="6"/>
      <c r="J3279" s="6"/>
      <c r="K3279" s="6"/>
      <c r="L3279" s="6"/>
      <c r="M3279" s="6"/>
      <c r="N3279" s="6"/>
      <c r="O3279" s="6"/>
      <c r="P3279" s="6"/>
      <c r="Q3279">
        <v>0</v>
      </c>
      <c r="R3279">
        <f t="shared" si="255"/>
        <v>0</v>
      </c>
      <c r="S3279">
        <f t="shared" si="256"/>
        <v>0</v>
      </c>
      <c r="T3279">
        <f t="shared" si="257"/>
        <v>0</v>
      </c>
      <c r="U3279">
        <f t="shared" si="258"/>
        <v>0</v>
      </c>
      <c r="V3279">
        <f t="shared" si="259"/>
        <v>0</v>
      </c>
    </row>
    <row r="3280" spans="1:22" x14ac:dyDescent="0.25">
      <c r="A3280">
        <v>3277</v>
      </c>
      <c r="B3280" t="s">
        <v>26</v>
      </c>
      <c r="C3280" t="s">
        <v>1218</v>
      </c>
      <c r="D3280" s="4">
        <v>45365</v>
      </c>
      <c r="E3280" t="s">
        <v>926</v>
      </c>
      <c r="F3280" t="s">
        <v>75</v>
      </c>
      <c r="I3280" s="6"/>
      <c r="J3280" s="6"/>
      <c r="K3280" s="6"/>
      <c r="L3280" s="6"/>
      <c r="M3280" s="6"/>
      <c r="N3280" s="6"/>
      <c r="O3280" s="6"/>
      <c r="P3280" s="6"/>
      <c r="Q3280">
        <v>0</v>
      </c>
      <c r="R3280">
        <f t="shared" si="255"/>
        <v>0</v>
      </c>
      <c r="S3280">
        <f t="shared" si="256"/>
        <v>0</v>
      </c>
      <c r="T3280">
        <f t="shared" si="257"/>
        <v>0</v>
      </c>
      <c r="U3280">
        <f t="shared" si="258"/>
        <v>0</v>
      </c>
      <c r="V3280">
        <f t="shared" si="259"/>
        <v>0</v>
      </c>
    </row>
    <row r="3281" spans="1:22" x14ac:dyDescent="0.25">
      <c r="A3281">
        <v>3278</v>
      </c>
      <c r="B3281" t="s">
        <v>26</v>
      </c>
      <c r="C3281" t="s">
        <v>1218</v>
      </c>
      <c r="D3281" s="4">
        <v>45365</v>
      </c>
      <c r="E3281" t="s">
        <v>927</v>
      </c>
      <c r="F3281" t="s">
        <v>75</v>
      </c>
      <c r="I3281" s="6">
        <v>1</v>
      </c>
      <c r="J3281" s="6">
        <v>0</v>
      </c>
      <c r="K3281" s="6">
        <v>0</v>
      </c>
      <c r="L3281" s="6">
        <v>1</v>
      </c>
      <c r="M3281" s="6">
        <v>0</v>
      </c>
      <c r="N3281" s="6">
        <v>0</v>
      </c>
      <c r="O3281" s="6">
        <v>0</v>
      </c>
      <c r="P3281" s="6">
        <v>0</v>
      </c>
      <c r="Q3281">
        <v>1</v>
      </c>
      <c r="R3281">
        <f t="shared" si="255"/>
        <v>0</v>
      </c>
      <c r="S3281">
        <f t="shared" si="256"/>
        <v>1</v>
      </c>
      <c r="T3281">
        <f t="shared" si="257"/>
        <v>2</v>
      </c>
      <c r="U3281">
        <f t="shared" si="258"/>
        <v>1</v>
      </c>
      <c r="V3281">
        <f t="shared" si="259"/>
        <v>0</v>
      </c>
    </row>
    <row r="3282" spans="1:22" x14ac:dyDescent="0.25">
      <c r="A3282">
        <v>3279</v>
      </c>
      <c r="B3282" t="s">
        <v>26</v>
      </c>
      <c r="C3282" t="s">
        <v>1218</v>
      </c>
      <c r="D3282" s="4">
        <v>45365</v>
      </c>
      <c r="E3282" t="s">
        <v>1326</v>
      </c>
      <c r="F3282" t="s">
        <v>75</v>
      </c>
      <c r="I3282" s="6">
        <v>0</v>
      </c>
      <c r="J3282" s="6">
        <v>0</v>
      </c>
      <c r="K3282" s="6">
        <v>0</v>
      </c>
      <c r="L3282" s="6">
        <v>1</v>
      </c>
      <c r="M3282" s="6">
        <v>0</v>
      </c>
      <c r="N3282" s="6">
        <v>0</v>
      </c>
      <c r="O3282" s="6">
        <v>0</v>
      </c>
      <c r="P3282" s="6">
        <v>0</v>
      </c>
      <c r="Q3282">
        <v>1</v>
      </c>
      <c r="R3282">
        <f t="shared" si="255"/>
        <v>0</v>
      </c>
      <c r="S3282">
        <f t="shared" si="256"/>
        <v>1</v>
      </c>
      <c r="T3282">
        <f t="shared" si="257"/>
        <v>1</v>
      </c>
      <c r="U3282">
        <f t="shared" si="258"/>
        <v>1</v>
      </c>
      <c r="V3282">
        <f t="shared" si="259"/>
        <v>0</v>
      </c>
    </row>
    <row r="3283" spans="1:22" x14ac:dyDescent="0.25">
      <c r="A3283">
        <v>3280</v>
      </c>
      <c r="B3283" t="s">
        <v>26</v>
      </c>
      <c r="C3283" t="s">
        <v>1218</v>
      </c>
      <c r="D3283" s="4">
        <v>45365</v>
      </c>
      <c r="E3283" t="s">
        <v>2215</v>
      </c>
      <c r="F3283" t="s">
        <v>75</v>
      </c>
      <c r="I3283" s="6"/>
      <c r="J3283" s="6"/>
      <c r="K3283" s="6"/>
      <c r="L3283" s="6"/>
      <c r="M3283" s="6"/>
      <c r="N3283" s="6"/>
      <c r="O3283" s="6"/>
      <c r="P3283" s="6"/>
      <c r="Q3283">
        <v>0</v>
      </c>
      <c r="R3283">
        <f t="shared" si="255"/>
        <v>0</v>
      </c>
      <c r="S3283">
        <f t="shared" si="256"/>
        <v>0</v>
      </c>
      <c r="T3283">
        <f t="shared" si="257"/>
        <v>0</v>
      </c>
      <c r="U3283">
        <f t="shared" si="258"/>
        <v>0</v>
      </c>
      <c r="V3283">
        <f t="shared" si="259"/>
        <v>0</v>
      </c>
    </row>
    <row r="3284" spans="1:22" x14ac:dyDescent="0.25">
      <c r="A3284">
        <v>3281</v>
      </c>
      <c r="B3284" t="s">
        <v>26</v>
      </c>
      <c r="C3284" t="s">
        <v>1218</v>
      </c>
      <c r="D3284" s="4">
        <v>45365</v>
      </c>
      <c r="E3284" t="s">
        <v>1327</v>
      </c>
      <c r="F3284" t="s">
        <v>75</v>
      </c>
      <c r="I3284" s="6">
        <v>0</v>
      </c>
      <c r="J3284" s="6">
        <v>0</v>
      </c>
      <c r="K3284" s="6">
        <v>0</v>
      </c>
      <c r="L3284" s="6">
        <v>1</v>
      </c>
      <c r="M3284" s="6">
        <v>0</v>
      </c>
      <c r="N3284" s="6">
        <v>1</v>
      </c>
      <c r="O3284" s="6">
        <v>0</v>
      </c>
      <c r="P3284" s="6">
        <v>0</v>
      </c>
      <c r="Q3284">
        <v>1</v>
      </c>
      <c r="R3284">
        <f t="shared" si="255"/>
        <v>0</v>
      </c>
      <c r="S3284">
        <f t="shared" si="256"/>
        <v>1</v>
      </c>
      <c r="T3284">
        <f t="shared" si="257"/>
        <v>2</v>
      </c>
      <c r="U3284">
        <f t="shared" si="258"/>
        <v>1</v>
      </c>
      <c r="V3284">
        <f t="shared" si="259"/>
        <v>0</v>
      </c>
    </row>
    <row r="3285" spans="1:22" x14ac:dyDescent="0.25">
      <c r="A3285">
        <v>3282</v>
      </c>
      <c r="B3285" t="s">
        <v>26</v>
      </c>
      <c r="C3285" t="s">
        <v>1218</v>
      </c>
      <c r="D3285" s="4">
        <v>45365</v>
      </c>
      <c r="E3285" t="s">
        <v>2538</v>
      </c>
      <c r="F3285" t="s">
        <v>75</v>
      </c>
      <c r="I3285" s="6"/>
      <c r="J3285" s="6"/>
      <c r="K3285" s="6"/>
      <c r="L3285" s="6"/>
      <c r="M3285" s="6"/>
      <c r="N3285" s="6"/>
      <c r="O3285" s="6"/>
      <c r="P3285" s="6"/>
      <c r="Q3285">
        <v>0</v>
      </c>
      <c r="R3285">
        <f t="shared" si="255"/>
        <v>0</v>
      </c>
      <c r="S3285">
        <f t="shared" si="256"/>
        <v>0</v>
      </c>
      <c r="T3285">
        <f t="shared" si="257"/>
        <v>0</v>
      </c>
      <c r="U3285">
        <f t="shared" si="258"/>
        <v>0</v>
      </c>
      <c r="V3285">
        <f t="shared" si="259"/>
        <v>0</v>
      </c>
    </row>
    <row r="3286" spans="1:22" x14ac:dyDescent="0.25">
      <c r="A3286">
        <v>3283</v>
      </c>
      <c r="B3286" t="s">
        <v>26</v>
      </c>
      <c r="C3286" t="s">
        <v>1218</v>
      </c>
      <c r="D3286" s="4">
        <v>45365</v>
      </c>
      <c r="E3286" t="s">
        <v>2537</v>
      </c>
      <c r="F3286" t="s">
        <v>75</v>
      </c>
      <c r="I3286" s="6"/>
      <c r="J3286" s="6"/>
      <c r="K3286" s="6"/>
      <c r="L3286" s="6"/>
      <c r="M3286" s="6"/>
      <c r="N3286" s="6"/>
      <c r="O3286" s="6"/>
      <c r="P3286" s="6"/>
      <c r="Q3286">
        <v>0</v>
      </c>
      <c r="R3286">
        <f t="shared" si="255"/>
        <v>0</v>
      </c>
      <c r="S3286">
        <f t="shared" si="256"/>
        <v>0</v>
      </c>
      <c r="T3286">
        <f t="shared" si="257"/>
        <v>0</v>
      </c>
      <c r="U3286">
        <f t="shared" si="258"/>
        <v>0</v>
      </c>
      <c r="V3286">
        <f t="shared" si="259"/>
        <v>0</v>
      </c>
    </row>
    <row r="3287" spans="1:22" x14ac:dyDescent="0.25">
      <c r="A3287">
        <v>3284</v>
      </c>
      <c r="B3287" t="s">
        <v>26</v>
      </c>
      <c r="C3287" t="s">
        <v>1218</v>
      </c>
      <c r="D3287" s="4">
        <v>45365</v>
      </c>
      <c r="E3287" t="s">
        <v>2536</v>
      </c>
      <c r="F3287" t="s">
        <v>75</v>
      </c>
      <c r="I3287" s="6"/>
      <c r="J3287" s="6"/>
      <c r="K3287" s="6"/>
      <c r="L3287" s="6"/>
      <c r="M3287" s="6"/>
      <c r="N3287" s="6"/>
      <c r="O3287" s="6"/>
      <c r="P3287" s="6"/>
      <c r="Q3287">
        <v>0</v>
      </c>
      <c r="R3287">
        <f t="shared" si="255"/>
        <v>0</v>
      </c>
      <c r="S3287">
        <f t="shared" si="256"/>
        <v>0</v>
      </c>
      <c r="T3287">
        <f t="shared" si="257"/>
        <v>0</v>
      </c>
      <c r="U3287">
        <f t="shared" si="258"/>
        <v>0</v>
      </c>
      <c r="V3287">
        <f t="shared" si="259"/>
        <v>0</v>
      </c>
    </row>
    <row r="3288" spans="1:22" x14ac:dyDescent="0.25">
      <c r="A3288">
        <v>3285</v>
      </c>
      <c r="B3288" t="s">
        <v>26</v>
      </c>
      <c r="C3288" t="s">
        <v>1218</v>
      </c>
      <c r="D3288" s="4">
        <v>45366</v>
      </c>
      <c r="E3288" t="s">
        <v>928</v>
      </c>
      <c r="F3288" t="s">
        <v>75</v>
      </c>
      <c r="I3288" s="6">
        <v>1</v>
      </c>
      <c r="J3288" s="6">
        <v>0</v>
      </c>
      <c r="K3288" s="6">
        <v>0</v>
      </c>
      <c r="L3288" s="6">
        <v>1</v>
      </c>
      <c r="M3288" s="6">
        <v>0</v>
      </c>
      <c r="N3288" s="6">
        <v>0</v>
      </c>
      <c r="O3288" s="6">
        <v>0</v>
      </c>
      <c r="P3288" s="6">
        <v>0</v>
      </c>
      <c r="Q3288">
        <v>1</v>
      </c>
      <c r="R3288">
        <f t="shared" si="255"/>
        <v>0</v>
      </c>
      <c r="S3288">
        <f t="shared" si="256"/>
        <v>1</v>
      </c>
      <c r="T3288">
        <f t="shared" si="257"/>
        <v>2</v>
      </c>
      <c r="U3288">
        <f t="shared" si="258"/>
        <v>1</v>
      </c>
      <c r="V3288">
        <f t="shared" si="259"/>
        <v>0</v>
      </c>
    </row>
    <row r="3289" spans="1:22" x14ac:dyDescent="0.25">
      <c r="A3289">
        <v>3286</v>
      </c>
      <c r="B3289" t="s">
        <v>26</v>
      </c>
      <c r="C3289" t="s">
        <v>1218</v>
      </c>
      <c r="D3289" s="4">
        <v>45366</v>
      </c>
      <c r="E3289" t="s">
        <v>2535</v>
      </c>
      <c r="F3289" t="s">
        <v>75</v>
      </c>
      <c r="I3289" s="6">
        <v>1</v>
      </c>
      <c r="J3289" s="6">
        <v>0</v>
      </c>
      <c r="K3289" s="6">
        <v>0</v>
      </c>
      <c r="L3289" s="6">
        <v>1</v>
      </c>
      <c r="M3289" s="6">
        <v>0</v>
      </c>
      <c r="N3289" s="6">
        <v>0</v>
      </c>
      <c r="O3289" s="6">
        <v>0</v>
      </c>
      <c r="P3289" s="6">
        <v>0</v>
      </c>
      <c r="Q3289">
        <v>1</v>
      </c>
      <c r="R3289">
        <f t="shared" si="255"/>
        <v>0</v>
      </c>
      <c r="S3289">
        <f t="shared" si="256"/>
        <v>1</v>
      </c>
      <c r="T3289">
        <f t="shared" si="257"/>
        <v>2</v>
      </c>
      <c r="U3289">
        <f t="shared" si="258"/>
        <v>1</v>
      </c>
      <c r="V3289">
        <f t="shared" si="259"/>
        <v>0</v>
      </c>
    </row>
    <row r="3290" spans="1:22" x14ac:dyDescent="0.25">
      <c r="A3290">
        <v>3287</v>
      </c>
      <c r="B3290" t="s">
        <v>26</v>
      </c>
      <c r="C3290" t="s">
        <v>1218</v>
      </c>
      <c r="D3290" s="4">
        <v>45366</v>
      </c>
      <c r="E3290" t="s">
        <v>2534</v>
      </c>
      <c r="F3290" t="s">
        <v>75</v>
      </c>
      <c r="I3290" s="6"/>
      <c r="J3290" s="6"/>
      <c r="K3290" s="6"/>
      <c r="L3290" s="6"/>
      <c r="M3290" s="6"/>
      <c r="N3290" s="6"/>
      <c r="O3290" s="6"/>
      <c r="P3290" s="6"/>
      <c r="Q3290">
        <v>0</v>
      </c>
      <c r="R3290">
        <f t="shared" si="255"/>
        <v>0</v>
      </c>
      <c r="S3290">
        <f t="shared" si="256"/>
        <v>0</v>
      </c>
      <c r="T3290">
        <f t="shared" si="257"/>
        <v>0</v>
      </c>
      <c r="U3290">
        <f t="shared" si="258"/>
        <v>0</v>
      </c>
      <c r="V3290">
        <f t="shared" si="259"/>
        <v>0</v>
      </c>
    </row>
    <row r="3291" spans="1:22" x14ac:dyDescent="0.25">
      <c r="A3291">
        <v>3288</v>
      </c>
      <c r="B3291" t="s">
        <v>26</v>
      </c>
      <c r="C3291" t="s">
        <v>1218</v>
      </c>
      <c r="D3291" s="4">
        <v>45366</v>
      </c>
      <c r="E3291" t="s">
        <v>2533</v>
      </c>
      <c r="F3291" t="s">
        <v>75</v>
      </c>
      <c r="I3291" s="6"/>
      <c r="J3291" s="6"/>
      <c r="K3291" s="6"/>
      <c r="L3291" s="6"/>
      <c r="M3291" s="6"/>
      <c r="N3291" s="6"/>
      <c r="O3291" s="6"/>
      <c r="P3291" s="6"/>
      <c r="Q3291">
        <v>0</v>
      </c>
      <c r="R3291">
        <f t="shared" si="255"/>
        <v>0</v>
      </c>
      <c r="S3291">
        <f t="shared" si="256"/>
        <v>0</v>
      </c>
      <c r="T3291">
        <f t="shared" si="257"/>
        <v>0</v>
      </c>
      <c r="U3291">
        <f t="shared" si="258"/>
        <v>0</v>
      </c>
      <c r="V3291">
        <f t="shared" si="259"/>
        <v>0</v>
      </c>
    </row>
    <row r="3292" spans="1:22" x14ac:dyDescent="0.25">
      <c r="A3292">
        <v>3289</v>
      </c>
      <c r="B3292" t="s">
        <v>26</v>
      </c>
      <c r="C3292" t="s">
        <v>1218</v>
      </c>
      <c r="D3292" s="4">
        <v>45366</v>
      </c>
      <c r="E3292" t="s">
        <v>2532</v>
      </c>
      <c r="F3292" t="s">
        <v>75</v>
      </c>
      <c r="I3292" s="6"/>
      <c r="J3292" s="6"/>
      <c r="K3292" s="6"/>
      <c r="L3292" s="6"/>
      <c r="M3292" s="6"/>
      <c r="N3292" s="6"/>
      <c r="O3292" s="6"/>
      <c r="P3292" s="6"/>
      <c r="Q3292">
        <v>0</v>
      </c>
      <c r="R3292">
        <f t="shared" si="255"/>
        <v>0</v>
      </c>
      <c r="S3292">
        <f t="shared" si="256"/>
        <v>0</v>
      </c>
      <c r="T3292">
        <f t="shared" si="257"/>
        <v>0</v>
      </c>
      <c r="U3292">
        <f t="shared" si="258"/>
        <v>0</v>
      </c>
      <c r="V3292">
        <f t="shared" si="259"/>
        <v>0</v>
      </c>
    </row>
    <row r="3293" spans="1:22" x14ac:dyDescent="0.25">
      <c r="A3293">
        <v>3290</v>
      </c>
      <c r="B3293" t="s">
        <v>26</v>
      </c>
      <c r="C3293" t="s">
        <v>1218</v>
      </c>
      <c r="D3293" s="4">
        <v>45366</v>
      </c>
      <c r="E3293" t="s">
        <v>2531</v>
      </c>
      <c r="F3293" t="s">
        <v>75</v>
      </c>
      <c r="I3293" s="6">
        <v>0</v>
      </c>
      <c r="J3293" s="6">
        <v>0</v>
      </c>
      <c r="K3293" s="6">
        <v>0</v>
      </c>
      <c r="L3293" s="6">
        <v>0</v>
      </c>
      <c r="M3293" s="6">
        <v>0</v>
      </c>
      <c r="N3293" s="6">
        <v>0</v>
      </c>
      <c r="O3293" s="6">
        <v>0</v>
      </c>
      <c r="P3293" s="6">
        <v>0</v>
      </c>
      <c r="Q3293">
        <v>1</v>
      </c>
      <c r="R3293">
        <f t="shared" si="255"/>
        <v>0</v>
      </c>
      <c r="S3293">
        <f t="shared" si="256"/>
        <v>1</v>
      </c>
      <c r="T3293">
        <f t="shared" si="257"/>
        <v>0</v>
      </c>
      <c r="U3293">
        <f t="shared" si="258"/>
        <v>0</v>
      </c>
      <c r="V3293">
        <f t="shared" si="259"/>
        <v>0</v>
      </c>
    </row>
    <row r="3294" spans="1:22" x14ac:dyDescent="0.25">
      <c r="A3294">
        <v>3291</v>
      </c>
      <c r="B3294" t="s">
        <v>26</v>
      </c>
      <c r="C3294" t="s">
        <v>1218</v>
      </c>
      <c r="D3294" s="4">
        <v>45366</v>
      </c>
      <c r="E3294" t="s">
        <v>930</v>
      </c>
      <c r="F3294" t="s">
        <v>75</v>
      </c>
      <c r="I3294" s="6"/>
      <c r="J3294" s="6"/>
      <c r="K3294" s="6"/>
      <c r="L3294" s="6"/>
      <c r="M3294" s="6"/>
      <c r="N3294" s="6"/>
      <c r="O3294" s="6"/>
      <c r="P3294" s="6"/>
      <c r="Q3294">
        <v>0</v>
      </c>
      <c r="R3294">
        <f t="shared" si="255"/>
        <v>0</v>
      </c>
      <c r="S3294">
        <f t="shared" si="256"/>
        <v>0</v>
      </c>
      <c r="T3294">
        <f t="shared" si="257"/>
        <v>0</v>
      </c>
      <c r="U3294">
        <f t="shared" si="258"/>
        <v>0</v>
      </c>
      <c r="V3294">
        <f t="shared" si="259"/>
        <v>0</v>
      </c>
    </row>
    <row r="3295" spans="1:22" x14ac:dyDescent="0.25">
      <c r="A3295">
        <v>3292</v>
      </c>
      <c r="B3295" t="s">
        <v>26</v>
      </c>
      <c r="C3295" t="s">
        <v>1218</v>
      </c>
      <c r="D3295" s="4">
        <v>45366</v>
      </c>
      <c r="E3295" t="s">
        <v>1128</v>
      </c>
      <c r="F3295" t="s">
        <v>75</v>
      </c>
      <c r="I3295" s="6"/>
      <c r="J3295" s="6"/>
      <c r="K3295" s="6"/>
      <c r="L3295" s="6"/>
      <c r="M3295" s="6"/>
      <c r="N3295" s="6"/>
      <c r="O3295" s="6"/>
      <c r="P3295" s="6"/>
      <c r="Q3295">
        <v>0</v>
      </c>
      <c r="R3295">
        <f t="shared" si="255"/>
        <v>0</v>
      </c>
      <c r="S3295">
        <f t="shared" si="256"/>
        <v>0</v>
      </c>
      <c r="T3295">
        <f t="shared" si="257"/>
        <v>0</v>
      </c>
      <c r="U3295">
        <f t="shared" si="258"/>
        <v>0</v>
      </c>
      <c r="V3295">
        <f t="shared" si="259"/>
        <v>0</v>
      </c>
    </row>
    <row r="3296" spans="1:22" x14ac:dyDescent="0.25">
      <c r="A3296">
        <v>3293</v>
      </c>
      <c r="B3296" t="s">
        <v>26</v>
      </c>
      <c r="C3296" t="s">
        <v>1218</v>
      </c>
      <c r="D3296" s="4">
        <v>45366</v>
      </c>
      <c r="E3296" t="s">
        <v>2046</v>
      </c>
      <c r="F3296" t="s">
        <v>75</v>
      </c>
      <c r="I3296" s="6"/>
      <c r="J3296" s="6"/>
      <c r="K3296" s="6"/>
      <c r="L3296" s="6"/>
      <c r="M3296" s="6"/>
      <c r="N3296" s="6"/>
      <c r="O3296" s="6"/>
      <c r="P3296" s="6"/>
      <c r="Q3296">
        <v>0</v>
      </c>
      <c r="R3296">
        <f t="shared" si="255"/>
        <v>0</v>
      </c>
      <c r="S3296">
        <f t="shared" si="256"/>
        <v>0</v>
      </c>
      <c r="T3296">
        <f t="shared" si="257"/>
        <v>0</v>
      </c>
      <c r="U3296">
        <f t="shared" si="258"/>
        <v>0</v>
      </c>
      <c r="V3296">
        <f t="shared" si="259"/>
        <v>0</v>
      </c>
    </row>
    <row r="3297" spans="1:22" x14ac:dyDescent="0.25">
      <c r="A3297">
        <v>3294</v>
      </c>
      <c r="B3297" t="s">
        <v>26</v>
      </c>
      <c r="C3297" t="s">
        <v>1218</v>
      </c>
      <c r="D3297" s="4">
        <v>45366</v>
      </c>
      <c r="E3297" t="s">
        <v>2045</v>
      </c>
      <c r="F3297" t="s">
        <v>75</v>
      </c>
      <c r="I3297" s="6"/>
      <c r="J3297" s="6"/>
      <c r="K3297" s="6"/>
      <c r="L3297" s="6"/>
      <c r="M3297" s="6"/>
      <c r="N3297" s="6"/>
      <c r="O3297" s="6"/>
      <c r="P3297" s="6"/>
      <c r="Q3297">
        <v>0</v>
      </c>
      <c r="R3297">
        <f t="shared" si="255"/>
        <v>0</v>
      </c>
      <c r="S3297">
        <f t="shared" si="256"/>
        <v>0</v>
      </c>
      <c r="T3297">
        <f t="shared" si="257"/>
        <v>0</v>
      </c>
      <c r="U3297">
        <f t="shared" si="258"/>
        <v>0</v>
      </c>
      <c r="V3297">
        <f t="shared" si="259"/>
        <v>0</v>
      </c>
    </row>
    <row r="3298" spans="1:22" x14ac:dyDescent="0.25">
      <c r="A3298">
        <v>3295</v>
      </c>
      <c r="B3298" t="s">
        <v>26</v>
      </c>
      <c r="C3298" t="s">
        <v>1218</v>
      </c>
      <c r="D3298" s="4">
        <v>45366</v>
      </c>
      <c r="E3298" t="s">
        <v>2214</v>
      </c>
      <c r="F3298" t="s">
        <v>75</v>
      </c>
      <c r="I3298" s="6"/>
      <c r="J3298" s="6"/>
      <c r="K3298" s="6"/>
      <c r="L3298" s="6"/>
      <c r="M3298" s="6"/>
      <c r="N3298" s="6"/>
      <c r="O3298" s="6"/>
      <c r="P3298" s="6"/>
      <c r="Q3298">
        <v>0</v>
      </c>
      <c r="R3298">
        <f t="shared" si="255"/>
        <v>0</v>
      </c>
      <c r="S3298">
        <f t="shared" si="256"/>
        <v>0</v>
      </c>
      <c r="T3298">
        <f t="shared" si="257"/>
        <v>0</v>
      </c>
      <c r="U3298">
        <f t="shared" si="258"/>
        <v>0</v>
      </c>
      <c r="V3298">
        <f t="shared" si="259"/>
        <v>0</v>
      </c>
    </row>
    <row r="3299" spans="1:22" x14ac:dyDescent="0.25">
      <c r="A3299">
        <v>3296</v>
      </c>
      <c r="B3299" t="s">
        <v>26</v>
      </c>
      <c r="C3299" t="s">
        <v>1218</v>
      </c>
      <c r="D3299" s="4">
        <v>45366</v>
      </c>
      <c r="E3299" t="s">
        <v>2213</v>
      </c>
      <c r="F3299" t="s">
        <v>75</v>
      </c>
      <c r="I3299" s="6"/>
      <c r="J3299" s="6"/>
      <c r="K3299" s="6"/>
      <c r="L3299" s="6"/>
      <c r="M3299" s="6"/>
      <c r="N3299" s="6"/>
      <c r="O3299" s="6"/>
      <c r="P3299" s="6"/>
      <c r="Q3299">
        <v>0</v>
      </c>
      <c r="R3299">
        <f t="shared" si="255"/>
        <v>0</v>
      </c>
      <c r="S3299">
        <f t="shared" si="256"/>
        <v>0</v>
      </c>
      <c r="T3299">
        <f t="shared" si="257"/>
        <v>0</v>
      </c>
      <c r="U3299">
        <f t="shared" si="258"/>
        <v>0</v>
      </c>
      <c r="V3299">
        <f t="shared" si="259"/>
        <v>0</v>
      </c>
    </row>
    <row r="3300" spans="1:22" x14ac:dyDescent="0.25">
      <c r="A3300">
        <v>3297</v>
      </c>
      <c r="B3300" t="s">
        <v>26</v>
      </c>
      <c r="C3300" t="s">
        <v>1218</v>
      </c>
      <c r="D3300" s="4">
        <v>45366</v>
      </c>
      <c r="E3300" t="s">
        <v>2530</v>
      </c>
      <c r="F3300" t="s">
        <v>75</v>
      </c>
      <c r="I3300" s="6">
        <v>0</v>
      </c>
      <c r="J3300" s="6">
        <v>0</v>
      </c>
      <c r="K3300" s="6">
        <v>0</v>
      </c>
      <c r="L3300" s="6">
        <v>1</v>
      </c>
      <c r="M3300" s="6">
        <v>1</v>
      </c>
      <c r="N3300" s="6">
        <v>1</v>
      </c>
      <c r="O3300" s="6">
        <v>0</v>
      </c>
      <c r="P3300" s="6">
        <v>0</v>
      </c>
      <c r="Q3300">
        <v>1</v>
      </c>
      <c r="R3300">
        <f t="shared" si="255"/>
        <v>0</v>
      </c>
      <c r="S3300">
        <f t="shared" si="256"/>
        <v>1</v>
      </c>
      <c r="T3300">
        <f t="shared" si="257"/>
        <v>3</v>
      </c>
      <c r="U3300">
        <f t="shared" si="258"/>
        <v>1</v>
      </c>
      <c r="V3300">
        <f t="shared" si="259"/>
        <v>0</v>
      </c>
    </row>
    <row r="3301" spans="1:22" x14ac:dyDescent="0.25">
      <c r="A3301">
        <v>3298</v>
      </c>
      <c r="B3301" t="s">
        <v>26</v>
      </c>
      <c r="C3301" t="s">
        <v>1218</v>
      </c>
      <c r="D3301" s="4">
        <v>45366</v>
      </c>
      <c r="E3301" t="s">
        <v>1328</v>
      </c>
      <c r="F3301" t="s">
        <v>413</v>
      </c>
      <c r="G3301">
        <v>151</v>
      </c>
      <c r="I3301" s="6">
        <v>0</v>
      </c>
      <c r="J3301" s="6">
        <v>0</v>
      </c>
      <c r="K3301" s="6">
        <v>0</v>
      </c>
      <c r="L3301" s="6">
        <v>1</v>
      </c>
      <c r="M3301" s="6">
        <v>0</v>
      </c>
      <c r="N3301" s="6">
        <v>0</v>
      </c>
      <c r="O3301" s="6">
        <v>0</v>
      </c>
      <c r="P3301" s="6">
        <v>0</v>
      </c>
      <c r="Q3301">
        <v>1</v>
      </c>
      <c r="R3301">
        <f t="shared" si="255"/>
        <v>1</v>
      </c>
      <c r="S3301">
        <f t="shared" si="256"/>
        <v>0</v>
      </c>
      <c r="T3301">
        <f t="shared" si="257"/>
        <v>1</v>
      </c>
      <c r="U3301">
        <f t="shared" si="258"/>
        <v>1</v>
      </c>
      <c r="V3301">
        <f t="shared" si="259"/>
        <v>1</v>
      </c>
    </row>
    <row r="3302" spans="1:22" x14ac:dyDescent="0.25">
      <c r="A3302">
        <v>3299</v>
      </c>
      <c r="B3302" t="s">
        <v>26</v>
      </c>
      <c r="C3302" t="s">
        <v>1218</v>
      </c>
      <c r="D3302" s="4">
        <v>45367</v>
      </c>
      <c r="E3302" t="s">
        <v>425</v>
      </c>
      <c r="F3302" t="s">
        <v>75</v>
      </c>
      <c r="I3302" s="6">
        <v>0</v>
      </c>
      <c r="J3302" s="6">
        <v>0</v>
      </c>
      <c r="K3302" s="6">
        <v>0</v>
      </c>
      <c r="L3302" s="6">
        <v>1</v>
      </c>
      <c r="M3302" s="6">
        <v>1</v>
      </c>
      <c r="N3302" s="6">
        <v>0</v>
      </c>
      <c r="O3302" s="6">
        <v>0</v>
      </c>
      <c r="P3302" s="6">
        <v>0</v>
      </c>
      <c r="Q3302">
        <v>1</v>
      </c>
      <c r="R3302">
        <f t="shared" si="255"/>
        <v>0</v>
      </c>
      <c r="S3302">
        <f t="shared" si="256"/>
        <v>1</v>
      </c>
      <c r="T3302">
        <f t="shared" si="257"/>
        <v>2</v>
      </c>
      <c r="U3302">
        <f t="shared" si="258"/>
        <v>1</v>
      </c>
      <c r="V3302">
        <f t="shared" si="259"/>
        <v>0</v>
      </c>
    </row>
    <row r="3303" spans="1:22" x14ac:dyDescent="0.25">
      <c r="A3303">
        <v>3300</v>
      </c>
      <c r="B3303" t="s">
        <v>26</v>
      </c>
      <c r="C3303" t="s">
        <v>1218</v>
      </c>
      <c r="D3303" s="4">
        <v>45367</v>
      </c>
      <c r="E3303" t="s">
        <v>2529</v>
      </c>
      <c r="F3303" t="s">
        <v>75</v>
      </c>
      <c r="I3303" s="6"/>
      <c r="J3303" s="6"/>
      <c r="K3303" s="6"/>
      <c r="L3303" s="6"/>
      <c r="M3303" s="6"/>
      <c r="N3303" s="6"/>
      <c r="O3303" s="6"/>
      <c r="P3303" s="6"/>
      <c r="Q3303">
        <v>0</v>
      </c>
      <c r="R3303">
        <f t="shared" si="255"/>
        <v>0</v>
      </c>
      <c r="S3303">
        <f t="shared" si="256"/>
        <v>0</v>
      </c>
      <c r="T3303">
        <f t="shared" si="257"/>
        <v>0</v>
      </c>
      <c r="U3303">
        <f t="shared" si="258"/>
        <v>0</v>
      </c>
      <c r="V3303">
        <f t="shared" si="259"/>
        <v>0</v>
      </c>
    </row>
    <row r="3304" spans="1:22" x14ac:dyDescent="0.25">
      <c r="A3304">
        <v>3301</v>
      </c>
      <c r="B3304" t="s">
        <v>26</v>
      </c>
      <c r="C3304" t="s">
        <v>1218</v>
      </c>
      <c r="D3304" s="4">
        <v>45367</v>
      </c>
      <c r="E3304" t="s">
        <v>2528</v>
      </c>
      <c r="F3304" t="s">
        <v>75</v>
      </c>
      <c r="I3304" s="6"/>
      <c r="J3304" s="6"/>
      <c r="K3304" s="6"/>
      <c r="L3304" s="6"/>
      <c r="M3304" s="6"/>
      <c r="N3304" s="6"/>
      <c r="O3304" s="6"/>
      <c r="P3304" s="6"/>
      <c r="Q3304">
        <v>0</v>
      </c>
      <c r="R3304">
        <f t="shared" si="255"/>
        <v>0</v>
      </c>
      <c r="S3304">
        <f t="shared" si="256"/>
        <v>0</v>
      </c>
      <c r="T3304">
        <f t="shared" si="257"/>
        <v>0</v>
      </c>
      <c r="U3304">
        <f t="shared" si="258"/>
        <v>0</v>
      </c>
      <c r="V3304">
        <f t="shared" si="259"/>
        <v>0</v>
      </c>
    </row>
    <row r="3305" spans="1:22" x14ac:dyDescent="0.25">
      <c r="A3305">
        <v>3302</v>
      </c>
      <c r="B3305" t="s">
        <v>26</v>
      </c>
      <c r="C3305" t="s">
        <v>1218</v>
      </c>
      <c r="D3305" s="4">
        <v>45367</v>
      </c>
      <c r="E3305" t="s">
        <v>426</v>
      </c>
      <c r="F3305" t="s">
        <v>75</v>
      </c>
      <c r="I3305" s="6"/>
      <c r="J3305" s="6"/>
      <c r="K3305" s="6"/>
      <c r="L3305" s="6"/>
      <c r="M3305" s="6"/>
      <c r="N3305" s="6"/>
      <c r="O3305" s="6"/>
      <c r="P3305" s="6"/>
      <c r="Q3305">
        <v>0</v>
      </c>
      <c r="R3305">
        <f t="shared" si="255"/>
        <v>0</v>
      </c>
      <c r="S3305">
        <f t="shared" si="256"/>
        <v>0</v>
      </c>
      <c r="T3305">
        <f t="shared" si="257"/>
        <v>0</v>
      </c>
      <c r="U3305">
        <f t="shared" si="258"/>
        <v>0</v>
      </c>
      <c r="V3305">
        <f t="shared" si="259"/>
        <v>0</v>
      </c>
    </row>
    <row r="3306" spans="1:22" x14ac:dyDescent="0.25">
      <c r="A3306">
        <v>3303</v>
      </c>
      <c r="B3306" t="s">
        <v>26</v>
      </c>
      <c r="C3306" t="s">
        <v>1218</v>
      </c>
      <c r="D3306" s="4">
        <v>45367</v>
      </c>
      <c r="E3306" t="s">
        <v>1470</v>
      </c>
      <c r="F3306" t="s">
        <v>75</v>
      </c>
      <c r="I3306" s="6"/>
      <c r="J3306" s="6"/>
      <c r="K3306" s="6"/>
      <c r="L3306" s="6"/>
      <c r="M3306" s="6"/>
      <c r="N3306" s="6"/>
      <c r="O3306" s="6"/>
      <c r="P3306" s="6"/>
      <c r="Q3306">
        <v>0</v>
      </c>
      <c r="R3306">
        <f t="shared" si="255"/>
        <v>0</v>
      </c>
      <c r="S3306">
        <f t="shared" si="256"/>
        <v>0</v>
      </c>
      <c r="T3306">
        <f t="shared" si="257"/>
        <v>0</v>
      </c>
      <c r="U3306">
        <f t="shared" si="258"/>
        <v>0</v>
      </c>
      <c r="V3306">
        <f t="shared" si="259"/>
        <v>0</v>
      </c>
    </row>
    <row r="3307" spans="1:22" x14ac:dyDescent="0.25">
      <c r="A3307">
        <v>3304</v>
      </c>
      <c r="B3307" t="s">
        <v>26</v>
      </c>
      <c r="C3307" t="s">
        <v>1218</v>
      </c>
      <c r="D3307" s="4">
        <v>45367</v>
      </c>
      <c r="E3307" t="s">
        <v>2044</v>
      </c>
      <c r="F3307" t="s">
        <v>75</v>
      </c>
      <c r="I3307" s="6"/>
      <c r="J3307" s="6"/>
      <c r="K3307" s="6"/>
      <c r="L3307" s="6"/>
      <c r="M3307" s="6"/>
      <c r="N3307" s="6"/>
      <c r="O3307" s="6"/>
      <c r="P3307" s="6"/>
      <c r="Q3307">
        <v>0</v>
      </c>
      <c r="R3307">
        <f t="shared" si="255"/>
        <v>0</v>
      </c>
      <c r="S3307">
        <f t="shared" si="256"/>
        <v>0</v>
      </c>
      <c r="T3307">
        <f t="shared" si="257"/>
        <v>0</v>
      </c>
      <c r="U3307">
        <f t="shared" si="258"/>
        <v>0</v>
      </c>
      <c r="V3307">
        <f t="shared" si="259"/>
        <v>0</v>
      </c>
    </row>
    <row r="3308" spans="1:22" x14ac:dyDescent="0.25">
      <c r="A3308">
        <v>3305</v>
      </c>
      <c r="B3308" t="s">
        <v>26</v>
      </c>
      <c r="C3308" t="s">
        <v>1218</v>
      </c>
      <c r="D3308" s="4">
        <v>45367</v>
      </c>
      <c r="E3308" t="s">
        <v>1793</v>
      </c>
      <c r="F3308" t="s">
        <v>75</v>
      </c>
      <c r="I3308" s="6"/>
      <c r="J3308" s="6"/>
      <c r="K3308" s="6"/>
      <c r="L3308" s="6"/>
      <c r="M3308" s="6"/>
      <c r="N3308" s="6"/>
      <c r="O3308" s="6"/>
      <c r="P3308" s="6"/>
      <c r="Q3308">
        <v>0</v>
      </c>
      <c r="R3308">
        <f t="shared" si="255"/>
        <v>0</v>
      </c>
      <c r="S3308">
        <f t="shared" si="256"/>
        <v>0</v>
      </c>
      <c r="T3308">
        <f t="shared" si="257"/>
        <v>0</v>
      </c>
      <c r="U3308">
        <f t="shared" si="258"/>
        <v>0</v>
      </c>
      <c r="V3308">
        <f t="shared" si="259"/>
        <v>0</v>
      </c>
    </row>
    <row r="3309" spans="1:22" x14ac:dyDescent="0.25">
      <c r="A3309">
        <v>3306</v>
      </c>
      <c r="B3309" t="s">
        <v>26</v>
      </c>
      <c r="C3309" t="s">
        <v>1218</v>
      </c>
      <c r="D3309" s="4">
        <v>45367</v>
      </c>
      <c r="E3309" t="s">
        <v>2212</v>
      </c>
      <c r="F3309" t="s">
        <v>75</v>
      </c>
      <c r="I3309" s="6"/>
      <c r="J3309" s="6"/>
      <c r="K3309" s="6"/>
      <c r="L3309" s="6"/>
      <c r="M3309" s="6"/>
      <c r="N3309" s="6"/>
      <c r="O3309" s="6"/>
      <c r="P3309" s="6"/>
      <c r="Q3309">
        <v>0</v>
      </c>
      <c r="R3309">
        <f t="shared" si="255"/>
        <v>0</v>
      </c>
      <c r="S3309">
        <f t="shared" si="256"/>
        <v>0</v>
      </c>
      <c r="T3309">
        <f t="shared" si="257"/>
        <v>0</v>
      </c>
      <c r="U3309">
        <f t="shared" si="258"/>
        <v>0</v>
      </c>
      <c r="V3309">
        <f t="shared" si="259"/>
        <v>0</v>
      </c>
    </row>
    <row r="3310" spans="1:22" x14ac:dyDescent="0.25">
      <c r="A3310">
        <v>3307</v>
      </c>
      <c r="B3310" t="s">
        <v>26</v>
      </c>
      <c r="C3310" t="s">
        <v>1218</v>
      </c>
      <c r="D3310" s="4">
        <v>45367</v>
      </c>
      <c r="E3310" t="s">
        <v>1329</v>
      </c>
      <c r="F3310" t="s">
        <v>75</v>
      </c>
      <c r="I3310" s="6">
        <v>1</v>
      </c>
      <c r="J3310" s="6">
        <v>0</v>
      </c>
      <c r="K3310" s="6">
        <v>0</v>
      </c>
      <c r="L3310" s="6">
        <v>1</v>
      </c>
      <c r="M3310" s="6">
        <v>0</v>
      </c>
      <c r="N3310" s="6">
        <v>0</v>
      </c>
      <c r="O3310" s="6">
        <v>0</v>
      </c>
      <c r="P3310" s="6">
        <v>0</v>
      </c>
      <c r="Q3310">
        <v>1</v>
      </c>
      <c r="R3310">
        <f t="shared" si="255"/>
        <v>0</v>
      </c>
      <c r="S3310">
        <f t="shared" si="256"/>
        <v>1</v>
      </c>
      <c r="T3310">
        <f t="shared" si="257"/>
        <v>2</v>
      </c>
      <c r="U3310">
        <f t="shared" si="258"/>
        <v>1</v>
      </c>
      <c r="V3310">
        <f t="shared" si="259"/>
        <v>0</v>
      </c>
    </row>
    <row r="3311" spans="1:22" x14ac:dyDescent="0.25">
      <c r="A3311">
        <v>3308</v>
      </c>
      <c r="B3311" t="s">
        <v>26</v>
      </c>
      <c r="C3311" t="s">
        <v>1218</v>
      </c>
      <c r="D3311" s="4">
        <v>45367</v>
      </c>
      <c r="E3311" t="s">
        <v>2527</v>
      </c>
      <c r="F3311" t="s">
        <v>75</v>
      </c>
      <c r="I3311" s="6"/>
      <c r="J3311" s="6"/>
      <c r="K3311" s="6"/>
      <c r="L3311" s="6"/>
      <c r="M3311" s="6"/>
      <c r="N3311" s="6"/>
      <c r="O3311" s="6"/>
      <c r="P3311" s="6"/>
      <c r="Q3311">
        <v>0</v>
      </c>
      <c r="R3311">
        <f t="shared" si="255"/>
        <v>0</v>
      </c>
      <c r="S3311">
        <f t="shared" si="256"/>
        <v>0</v>
      </c>
      <c r="T3311">
        <f t="shared" si="257"/>
        <v>0</v>
      </c>
      <c r="U3311">
        <f t="shared" si="258"/>
        <v>0</v>
      </c>
      <c r="V3311">
        <f t="shared" si="259"/>
        <v>0</v>
      </c>
    </row>
    <row r="3312" spans="1:22" x14ac:dyDescent="0.25">
      <c r="A3312">
        <v>3309</v>
      </c>
      <c r="B3312" t="s">
        <v>26</v>
      </c>
      <c r="C3312" t="s">
        <v>1218</v>
      </c>
      <c r="D3312" s="4">
        <v>45367</v>
      </c>
      <c r="E3312" t="s">
        <v>2526</v>
      </c>
      <c r="F3312" t="s">
        <v>75</v>
      </c>
      <c r="I3312" s="6"/>
      <c r="J3312" s="6"/>
      <c r="K3312" s="6"/>
      <c r="L3312" s="6"/>
      <c r="M3312" s="6"/>
      <c r="N3312" s="6"/>
      <c r="O3312" s="6"/>
      <c r="P3312" s="6"/>
      <c r="Q3312">
        <v>0</v>
      </c>
      <c r="R3312">
        <f t="shared" si="255"/>
        <v>0</v>
      </c>
      <c r="S3312">
        <f t="shared" si="256"/>
        <v>0</v>
      </c>
      <c r="T3312">
        <f t="shared" si="257"/>
        <v>0</v>
      </c>
      <c r="U3312">
        <f t="shared" si="258"/>
        <v>0</v>
      </c>
      <c r="V3312">
        <f t="shared" si="259"/>
        <v>0</v>
      </c>
    </row>
    <row r="3313" spans="1:22" x14ac:dyDescent="0.25">
      <c r="A3313">
        <v>3310</v>
      </c>
      <c r="B3313" t="s">
        <v>26</v>
      </c>
      <c r="C3313" t="s">
        <v>1218</v>
      </c>
      <c r="D3313" s="4">
        <v>45368</v>
      </c>
      <c r="E3313" t="s">
        <v>1794</v>
      </c>
      <c r="F3313" t="s">
        <v>75</v>
      </c>
      <c r="I3313" s="6"/>
      <c r="J3313" s="6"/>
      <c r="K3313" s="6"/>
      <c r="L3313" s="6"/>
      <c r="M3313" s="6"/>
      <c r="N3313" s="6"/>
      <c r="O3313" s="6"/>
      <c r="P3313" s="6"/>
      <c r="Q3313">
        <v>0</v>
      </c>
      <c r="R3313">
        <f t="shared" si="255"/>
        <v>0</v>
      </c>
      <c r="S3313">
        <f t="shared" si="256"/>
        <v>0</v>
      </c>
      <c r="T3313">
        <f t="shared" si="257"/>
        <v>0</v>
      </c>
      <c r="U3313">
        <f t="shared" si="258"/>
        <v>0</v>
      </c>
      <c r="V3313">
        <f t="shared" si="259"/>
        <v>0</v>
      </c>
    </row>
    <row r="3314" spans="1:22" x14ac:dyDescent="0.25">
      <c r="A3314">
        <v>3311</v>
      </c>
      <c r="B3314" t="s">
        <v>26</v>
      </c>
      <c r="C3314" t="s">
        <v>1218</v>
      </c>
      <c r="D3314" s="4">
        <v>45368</v>
      </c>
      <c r="E3314" t="s">
        <v>2525</v>
      </c>
      <c r="F3314" t="s">
        <v>75</v>
      </c>
      <c r="I3314" s="6"/>
      <c r="J3314" s="6"/>
      <c r="K3314" s="6"/>
      <c r="L3314" s="6"/>
      <c r="M3314" s="6"/>
      <c r="N3314" s="6"/>
      <c r="O3314" s="6"/>
      <c r="P3314" s="6"/>
      <c r="Q3314">
        <v>0</v>
      </c>
      <c r="R3314">
        <f t="shared" si="255"/>
        <v>0</v>
      </c>
      <c r="S3314">
        <f t="shared" si="256"/>
        <v>0</v>
      </c>
      <c r="T3314">
        <f t="shared" si="257"/>
        <v>0</v>
      </c>
      <c r="U3314">
        <f t="shared" si="258"/>
        <v>0</v>
      </c>
      <c r="V3314">
        <f t="shared" si="259"/>
        <v>0</v>
      </c>
    </row>
    <row r="3315" spans="1:22" x14ac:dyDescent="0.25">
      <c r="A3315">
        <v>3312</v>
      </c>
      <c r="B3315" t="s">
        <v>26</v>
      </c>
      <c r="C3315" t="s">
        <v>1218</v>
      </c>
      <c r="D3315" s="4">
        <v>45368</v>
      </c>
      <c r="E3315" t="s">
        <v>2043</v>
      </c>
      <c r="F3315" t="s">
        <v>75</v>
      </c>
      <c r="I3315" s="6"/>
      <c r="J3315" s="6"/>
      <c r="K3315" s="6"/>
      <c r="L3315" s="6"/>
      <c r="M3315" s="6"/>
      <c r="N3315" s="6"/>
      <c r="O3315" s="6"/>
      <c r="P3315" s="6"/>
      <c r="Q3315">
        <v>0</v>
      </c>
      <c r="R3315">
        <f t="shared" si="255"/>
        <v>0</v>
      </c>
      <c r="S3315">
        <f t="shared" si="256"/>
        <v>0</v>
      </c>
      <c r="T3315">
        <f t="shared" si="257"/>
        <v>0</v>
      </c>
      <c r="U3315">
        <f t="shared" si="258"/>
        <v>0</v>
      </c>
      <c r="V3315">
        <f t="shared" si="259"/>
        <v>0</v>
      </c>
    </row>
    <row r="3316" spans="1:22" x14ac:dyDescent="0.25">
      <c r="A3316">
        <v>3313</v>
      </c>
      <c r="B3316" t="s">
        <v>26</v>
      </c>
      <c r="C3316" t="s">
        <v>1218</v>
      </c>
      <c r="D3316" s="4">
        <v>45368</v>
      </c>
      <c r="E3316" t="s">
        <v>2211</v>
      </c>
      <c r="F3316" t="s">
        <v>75</v>
      </c>
      <c r="I3316" s="6"/>
      <c r="J3316" s="6"/>
      <c r="K3316" s="6"/>
      <c r="L3316" s="6"/>
      <c r="M3316" s="6"/>
      <c r="N3316" s="6"/>
      <c r="O3316" s="6"/>
      <c r="P3316" s="6"/>
      <c r="Q3316">
        <v>0</v>
      </c>
      <c r="R3316">
        <f t="shared" si="255"/>
        <v>0</v>
      </c>
      <c r="S3316">
        <f t="shared" si="256"/>
        <v>0</v>
      </c>
      <c r="T3316">
        <f t="shared" si="257"/>
        <v>0</v>
      </c>
      <c r="U3316">
        <f t="shared" si="258"/>
        <v>0</v>
      </c>
      <c r="V3316">
        <f t="shared" si="259"/>
        <v>0</v>
      </c>
    </row>
    <row r="3317" spans="1:22" x14ac:dyDescent="0.25">
      <c r="A3317">
        <v>3314</v>
      </c>
      <c r="B3317" t="s">
        <v>26</v>
      </c>
      <c r="C3317" t="s">
        <v>1218</v>
      </c>
      <c r="D3317" s="4">
        <v>45368</v>
      </c>
      <c r="E3317" t="s">
        <v>2210</v>
      </c>
      <c r="F3317" t="s">
        <v>75</v>
      </c>
      <c r="I3317" s="6"/>
      <c r="J3317" s="6"/>
      <c r="K3317" s="6"/>
      <c r="L3317" s="6"/>
      <c r="M3317" s="6"/>
      <c r="N3317" s="6"/>
      <c r="O3317" s="6"/>
      <c r="P3317" s="6"/>
      <c r="Q3317">
        <v>0</v>
      </c>
      <c r="R3317">
        <f t="shared" si="255"/>
        <v>0</v>
      </c>
      <c r="S3317">
        <f t="shared" si="256"/>
        <v>0</v>
      </c>
      <c r="T3317">
        <f t="shared" si="257"/>
        <v>0</v>
      </c>
      <c r="U3317">
        <f t="shared" si="258"/>
        <v>0</v>
      </c>
      <c r="V3317">
        <f t="shared" si="259"/>
        <v>0</v>
      </c>
    </row>
    <row r="3318" spans="1:22" x14ac:dyDescent="0.25">
      <c r="A3318">
        <v>3315</v>
      </c>
      <c r="B3318" t="s">
        <v>26</v>
      </c>
      <c r="C3318" t="s">
        <v>1218</v>
      </c>
      <c r="D3318" s="4">
        <v>45368</v>
      </c>
      <c r="E3318" t="s">
        <v>2209</v>
      </c>
      <c r="F3318" t="s">
        <v>75</v>
      </c>
      <c r="I3318" s="6"/>
      <c r="J3318" s="6"/>
      <c r="K3318" s="6"/>
      <c r="L3318" s="6"/>
      <c r="M3318" s="6"/>
      <c r="N3318" s="6"/>
      <c r="O3318" s="6"/>
      <c r="P3318" s="6"/>
      <c r="Q3318">
        <v>0</v>
      </c>
      <c r="R3318">
        <f t="shared" si="255"/>
        <v>0</v>
      </c>
      <c r="S3318">
        <f t="shared" si="256"/>
        <v>0</v>
      </c>
      <c r="T3318">
        <f t="shared" si="257"/>
        <v>0</v>
      </c>
      <c r="U3318">
        <f t="shared" si="258"/>
        <v>0</v>
      </c>
      <c r="V3318">
        <f t="shared" si="259"/>
        <v>0</v>
      </c>
    </row>
    <row r="3319" spans="1:22" x14ac:dyDescent="0.25">
      <c r="A3319">
        <v>3316</v>
      </c>
      <c r="B3319" t="s">
        <v>26</v>
      </c>
      <c r="C3319" t="s">
        <v>1218</v>
      </c>
      <c r="D3319" s="4">
        <v>45368</v>
      </c>
      <c r="E3319" t="s">
        <v>2208</v>
      </c>
      <c r="F3319" t="s">
        <v>75</v>
      </c>
      <c r="I3319" s="6"/>
      <c r="J3319" s="6"/>
      <c r="K3319" s="6"/>
      <c r="L3319" s="6"/>
      <c r="M3319" s="6"/>
      <c r="N3319" s="6"/>
      <c r="O3319" s="6"/>
      <c r="P3319" s="6"/>
      <c r="Q3319">
        <v>0</v>
      </c>
      <c r="R3319">
        <f t="shared" si="255"/>
        <v>0</v>
      </c>
      <c r="S3319">
        <f t="shared" si="256"/>
        <v>0</v>
      </c>
      <c r="T3319">
        <f t="shared" si="257"/>
        <v>0</v>
      </c>
      <c r="U3319">
        <f t="shared" si="258"/>
        <v>0</v>
      </c>
      <c r="V3319">
        <f t="shared" si="259"/>
        <v>0</v>
      </c>
    </row>
    <row r="3320" spans="1:22" x14ac:dyDescent="0.25">
      <c r="A3320">
        <v>3317</v>
      </c>
      <c r="B3320" t="s">
        <v>26</v>
      </c>
      <c r="C3320" t="s">
        <v>1218</v>
      </c>
      <c r="D3320" s="4">
        <v>45368</v>
      </c>
      <c r="E3320" t="s">
        <v>2524</v>
      </c>
      <c r="F3320" t="s">
        <v>75</v>
      </c>
      <c r="I3320" s="6"/>
      <c r="J3320" s="6"/>
      <c r="K3320" s="6"/>
      <c r="L3320" s="6"/>
      <c r="M3320" s="6"/>
      <c r="N3320" s="6"/>
      <c r="O3320" s="6"/>
      <c r="P3320" s="6"/>
      <c r="Q3320">
        <v>0</v>
      </c>
      <c r="R3320">
        <f t="shared" si="255"/>
        <v>0</v>
      </c>
      <c r="S3320">
        <f t="shared" si="256"/>
        <v>0</v>
      </c>
      <c r="T3320">
        <f t="shared" si="257"/>
        <v>0</v>
      </c>
      <c r="U3320">
        <f t="shared" si="258"/>
        <v>0</v>
      </c>
      <c r="V3320">
        <f t="shared" si="259"/>
        <v>0</v>
      </c>
    </row>
    <row r="3321" spans="1:22" x14ac:dyDescent="0.25">
      <c r="A3321">
        <v>3318</v>
      </c>
      <c r="B3321" t="s">
        <v>26</v>
      </c>
      <c r="C3321" t="s">
        <v>1218</v>
      </c>
      <c r="D3321" s="4">
        <v>45368</v>
      </c>
      <c r="E3321" t="s">
        <v>2523</v>
      </c>
      <c r="F3321" t="s">
        <v>75</v>
      </c>
      <c r="I3321" s="6">
        <v>1</v>
      </c>
      <c r="J3321" s="6">
        <v>1</v>
      </c>
      <c r="K3321" s="6">
        <v>1</v>
      </c>
      <c r="L3321" s="6">
        <v>1</v>
      </c>
      <c r="M3321" s="6">
        <v>0</v>
      </c>
      <c r="N3321" s="6">
        <v>0</v>
      </c>
      <c r="O3321" s="6">
        <v>0</v>
      </c>
      <c r="P3321" s="6">
        <v>0</v>
      </c>
      <c r="Q3321">
        <v>1</v>
      </c>
      <c r="R3321">
        <f t="shared" si="255"/>
        <v>0</v>
      </c>
      <c r="S3321">
        <f t="shared" si="256"/>
        <v>1</v>
      </c>
      <c r="T3321">
        <f t="shared" si="257"/>
        <v>4</v>
      </c>
      <c r="U3321">
        <f t="shared" si="258"/>
        <v>1</v>
      </c>
      <c r="V3321">
        <f t="shared" si="259"/>
        <v>0</v>
      </c>
    </row>
    <row r="3322" spans="1:22" x14ac:dyDescent="0.25">
      <c r="A3322">
        <v>3319</v>
      </c>
      <c r="B3322" t="s">
        <v>26</v>
      </c>
      <c r="C3322" t="s">
        <v>1218</v>
      </c>
      <c r="D3322" s="4">
        <v>45368</v>
      </c>
      <c r="E3322" t="s">
        <v>2522</v>
      </c>
      <c r="F3322" t="s">
        <v>75</v>
      </c>
      <c r="I3322" s="6"/>
      <c r="J3322" s="6"/>
      <c r="K3322" s="6"/>
      <c r="L3322" s="6"/>
      <c r="M3322" s="6"/>
      <c r="N3322" s="6"/>
      <c r="O3322" s="6"/>
      <c r="P3322" s="6"/>
      <c r="Q3322">
        <v>0</v>
      </c>
      <c r="R3322">
        <f t="shared" si="255"/>
        <v>0</v>
      </c>
      <c r="S3322">
        <f t="shared" si="256"/>
        <v>0</v>
      </c>
      <c r="T3322">
        <f t="shared" si="257"/>
        <v>0</v>
      </c>
      <c r="U3322">
        <f t="shared" si="258"/>
        <v>0</v>
      </c>
      <c r="V3322">
        <f t="shared" si="259"/>
        <v>0</v>
      </c>
    </row>
    <row r="3323" spans="1:22" x14ac:dyDescent="0.25">
      <c r="A3323">
        <v>3320</v>
      </c>
      <c r="B3323" t="s">
        <v>26</v>
      </c>
      <c r="C3323" t="s">
        <v>1218</v>
      </c>
      <c r="D3323" s="4">
        <v>45369</v>
      </c>
      <c r="E3323" t="s">
        <v>854</v>
      </c>
      <c r="F3323" t="s">
        <v>75</v>
      </c>
      <c r="I3323" s="6"/>
      <c r="J3323" s="6"/>
      <c r="K3323" s="6"/>
      <c r="L3323" s="6"/>
      <c r="M3323" s="6"/>
      <c r="N3323" s="6"/>
      <c r="O3323" s="6"/>
      <c r="P3323" s="6"/>
      <c r="Q3323">
        <v>0</v>
      </c>
      <c r="R3323">
        <f t="shared" si="255"/>
        <v>0</v>
      </c>
      <c r="S3323">
        <f t="shared" si="256"/>
        <v>0</v>
      </c>
      <c r="T3323">
        <f t="shared" si="257"/>
        <v>0</v>
      </c>
      <c r="U3323">
        <f t="shared" si="258"/>
        <v>0</v>
      </c>
      <c r="V3323">
        <f t="shared" si="259"/>
        <v>0</v>
      </c>
    </row>
    <row r="3324" spans="1:22" x14ac:dyDescent="0.25">
      <c r="A3324">
        <v>3321</v>
      </c>
      <c r="B3324" t="s">
        <v>26</v>
      </c>
      <c r="C3324" t="s">
        <v>1218</v>
      </c>
      <c r="D3324" s="4">
        <v>45369</v>
      </c>
      <c r="E3324" t="s">
        <v>855</v>
      </c>
      <c r="F3324" t="s">
        <v>75</v>
      </c>
      <c r="I3324" s="6"/>
      <c r="J3324" s="6"/>
      <c r="K3324" s="6"/>
      <c r="L3324" s="6"/>
      <c r="M3324" s="6"/>
      <c r="N3324" s="6"/>
      <c r="O3324" s="6"/>
      <c r="P3324" s="6"/>
      <c r="Q3324">
        <v>0</v>
      </c>
      <c r="R3324">
        <f t="shared" si="255"/>
        <v>0</v>
      </c>
      <c r="S3324">
        <f t="shared" si="256"/>
        <v>0</v>
      </c>
      <c r="T3324">
        <f t="shared" si="257"/>
        <v>0</v>
      </c>
      <c r="U3324">
        <f t="shared" si="258"/>
        <v>0</v>
      </c>
      <c r="V3324">
        <f t="shared" si="259"/>
        <v>0</v>
      </c>
    </row>
    <row r="3325" spans="1:22" x14ac:dyDescent="0.25">
      <c r="A3325">
        <v>3322</v>
      </c>
      <c r="B3325" t="s">
        <v>26</v>
      </c>
      <c r="C3325" t="s">
        <v>1218</v>
      </c>
      <c r="D3325" s="4">
        <v>45369</v>
      </c>
      <c r="E3325" t="s">
        <v>1330</v>
      </c>
      <c r="F3325" t="s">
        <v>75</v>
      </c>
      <c r="I3325" s="6">
        <v>0</v>
      </c>
      <c r="J3325" s="6">
        <v>0</v>
      </c>
      <c r="K3325" s="6">
        <v>1</v>
      </c>
      <c r="L3325" s="6">
        <v>0</v>
      </c>
      <c r="M3325" s="6">
        <v>0</v>
      </c>
      <c r="N3325" s="6">
        <v>0</v>
      </c>
      <c r="O3325" s="6">
        <v>1</v>
      </c>
      <c r="P3325" s="6">
        <v>0</v>
      </c>
      <c r="Q3325">
        <v>1</v>
      </c>
      <c r="R3325">
        <f t="shared" si="255"/>
        <v>0</v>
      </c>
      <c r="S3325">
        <f t="shared" si="256"/>
        <v>1</v>
      </c>
      <c r="T3325">
        <f t="shared" si="257"/>
        <v>2</v>
      </c>
      <c r="U3325">
        <f t="shared" si="258"/>
        <v>1</v>
      </c>
      <c r="V3325">
        <f t="shared" si="259"/>
        <v>0</v>
      </c>
    </row>
    <row r="3326" spans="1:22" x14ac:dyDescent="0.25">
      <c r="A3326">
        <v>3323</v>
      </c>
      <c r="B3326" t="s">
        <v>26</v>
      </c>
      <c r="C3326" t="s">
        <v>1218</v>
      </c>
      <c r="D3326" s="4">
        <v>45369</v>
      </c>
      <c r="E3326" t="s">
        <v>1331</v>
      </c>
      <c r="F3326" t="s">
        <v>75</v>
      </c>
      <c r="I3326" s="6">
        <v>1</v>
      </c>
      <c r="J3326" s="6">
        <v>0</v>
      </c>
      <c r="K3326" s="6">
        <v>1</v>
      </c>
      <c r="L3326" s="6">
        <v>1</v>
      </c>
      <c r="M3326" s="6">
        <v>0</v>
      </c>
      <c r="N3326" s="6">
        <v>0</v>
      </c>
      <c r="O3326" s="6">
        <v>0</v>
      </c>
      <c r="P3326" s="6">
        <v>0</v>
      </c>
      <c r="Q3326">
        <v>1</v>
      </c>
      <c r="R3326">
        <f t="shared" si="255"/>
        <v>0</v>
      </c>
      <c r="S3326">
        <f t="shared" si="256"/>
        <v>1</v>
      </c>
      <c r="T3326">
        <f t="shared" si="257"/>
        <v>3</v>
      </c>
      <c r="U3326">
        <f t="shared" si="258"/>
        <v>1</v>
      </c>
      <c r="V3326">
        <f t="shared" si="259"/>
        <v>0</v>
      </c>
    </row>
    <row r="3327" spans="1:22" x14ac:dyDescent="0.25">
      <c r="A3327">
        <v>3324</v>
      </c>
      <c r="B3327" t="s">
        <v>26</v>
      </c>
      <c r="C3327" t="s">
        <v>1218</v>
      </c>
      <c r="D3327" s="4">
        <v>45369</v>
      </c>
      <c r="E3327" t="s">
        <v>1129</v>
      </c>
      <c r="F3327" t="s">
        <v>75</v>
      </c>
      <c r="I3327" s="6"/>
      <c r="J3327" s="6"/>
      <c r="K3327" s="6"/>
      <c r="L3327" s="6"/>
      <c r="M3327" s="6"/>
      <c r="N3327" s="6"/>
      <c r="O3327" s="6"/>
      <c r="P3327" s="6"/>
      <c r="Q3327">
        <v>0</v>
      </c>
      <c r="R3327">
        <f t="shared" si="255"/>
        <v>0</v>
      </c>
      <c r="S3327">
        <f t="shared" si="256"/>
        <v>0</v>
      </c>
      <c r="T3327">
        <f t="shared" si="257"/>
        <v>0</v>
      </c>
      <c r="U3327">
        <f t="shared" si="258"/>
        <v>0</v>
      </c>
      <c r="V3327">
        <f t="shared" si="259"/>
        <v>0</v>
      </c>
    </row>
    <row r="3328" spans="1:22" x14ac:dyDescent="0.25">
      <c r="A3328">
        <v>3325</v>
      </c>
      <c r="B3328" t="s">
        <v>26</v>
      </c>
      <c r="C3328" t="s">
        <v>1218</v>
      </c>
      <c r="D3328" s="4">
        <v>45369</v>
      </c>
      <c r="E3328" t="s">
        <v>2207</v>
      </c>
      <c r="F3328" t="s">
        <v>75</v>
      </c>
      <c r="I3328" s="6"/>
      <c r="J3328" s="6"/>
      <c r="K3328" s="6"/>
      <c r="L3328" s="6"/>
      <c r="M3328" s="6"/>
      <c r="N3328" s="6"/>
      <c r="O3328" s="6"/>
      <c r="P3328" s="6"/>
      <c r="Q3328">
        <v>0</v>
      </c>
      <c r="R3328">
        <f t="shared" si="255"/>
        <v>0</v>
      </c>
      <c r="S3328">
        <f t="shared" si="256"/>
        <v>0</v>
      </c>
      <c r="T3328">
        <f t="shared" si="257"/>
        <v>0</v>
      </c>
      <c r="U3328">
        <f t="shared" si="258"/>
        <v>0</v>
      </c>
      <c r="V3328">
        <f t="shared" si="259"/>
        <v>0</v>
      </c>
    </row>
    <row r="3329" spans="1:22" x14ac:dyDescent="0.25">
      <c r="A3329">
        <v>3326</v>
      </c>
      <c r="B3329" t="s">
        <v>26</v>
      </c>
      <c r="C3329" t="s">
        <v>1218</v>
      </c>
      <c r="D3329" s="4">
        <v>45369</v>
      </c>
      <c r="E3329" t="s">
        <v>1332</v>
      </c>
      <c r="F3329" t="s">
        <v>413</v>
      </c>
      <c r="G3329">
        <v>152</v>
      </c>
      <c r="I3329" s="6">
        <v>0</v>
      </c>
      <c r="J3329" s="6">
        <v>0</v>
      </c>
      <c r="K3329" s="6">
        <v>0</v>
      </c>
      <c r="L3329" s="6">
        <v>1</v>
      </c>
      <c r="M3329" s="6">
        <v>1</v>
      </c>
      <c r="N3329" s="6">
        <v>0</v>
      </c>
      <c r="O3329" s="6">
        <v>0</v>
      </c>
      <c r="P3329" s="6">
        <v>0</v>
      </c>
      <c r="Q3329">
        <v>1</v>
      </c>
      <c r="R3329">
        <f t="shared" si="255"/>
        <v>1</v>
      </c>
      <c r="S3329">
        <f t="shared" si="256"/>
        <v>0</v>
      </c>
      <c r="T3329">
        <f t="shared" si="257"/>
        <v>2</v>
      </c>
      <c r="U3329">
        <f t="shared" si="258"/>
        <v>1</v>
      </c>
      <c r="V3329">
        <f t="shared" si="259"/>
        <v>1</v>
      </c>
    </row>
    <row r="3330" spans="1:22" x14ac:dyDescent="0.25">
      <c r="A3330">
        <v>3327</v>
      </c>
      <c r="B3330" t="s">
        <v>26</v>
      </c>
      <c r="C3330" t="s">
        <v>1218</v>
      </c>
      <c r="D3330" s="4">
        <v>45369</v>
      </c>
      <c r="E3330" t="s">
        <v>2521</v>
      </c>
      <c r="F3330" t="s">
        <v>75</v>
      </c>
      <c r="I3330" s="6">
        <v>0</v>
      </c>
      <c r="J3330" s="6">
        <v>0</v>
      </c>
      <c r="K3330" s="6">
        <v>0</v>
      </c>
      <c r="L3330" s="6">
        <v>1</v>
      </c>
      <c r="M3330" s="6">
        <v>0</v>
      </c>
      <c r="N3330" s="6">
        <v>0</v>
      </c>
      <c r="O3330" s="6">
        <v>0</v>
      </c>
      <c r="P3330" s="6">
        <v>0</v>
      </c>
      <c r="Q3330">
        <v>1</v>
      </c>
      <c r="R3330">
        <f t="shared" si="255"/>
        <v>0</v>
      </c>
      <c r="S3330">
        <f t="shared" si="256"/>
        <v>1</v>
      </c>
      <c r="T3330">
        <f t="shared" si="257"/>
        <v>1</v>
      </c>
      <c r="U3330">
        <f t="shared" si="258"/>
        <v>1</v>
      </c>
      <c r="V3330">
        <f t="shared" si="259"/>
        <v>0</v>
      </c>
    </row>
    <row r="3331" spans="1:22" x14ac:dyDescent="0.25">
      <c r="A3331">
        <v>3328</v>
      </c>
      <c r="B3331" t="s">
        <v>26</v>
      </c>
      <c r="C3331" t="s">
        <v>1218</v>
      </c>
      <c r="D3331" s="4">
        <v>45369</v>
      </c>
      <c r="E3331" t="s">
        <v>2520</v>
      </c>
      <c r="F3331" t="s">
        <v>75</v>
      </c>
      <c r="I3331" s="6"/>
      <c r="J3331" s="6"/>
      <c r="K3331" s="6"/>
      <c r="L3331" s="6"/>
      <c r="M3331" s="6"/>
      <c r="N3331" s="6"/>
      <c r="O3331" s="6"/>
      <c r="P3331" s="6"/>
      <c r="Q3331">
        <v>0</v>
      </c>
      <c r="R3331">
        <f t="shared" ref="R3331:R3394" si="260">IF(AND(Q3331=1,F3331="ai_full"),1,0)</f>
        <v>0</v>
      </c>
      <c r="S3331">
        <f t="shared" ref="S3331:S3394" si="261">IF(AND(Q3331=1,F3331="conventional"),1,0)</f>
        <v>0</v>
      </c>
      <c r="T3331">
        <f t="shared" ref="T3331:T3394" si="262">SUM(I3331:P3331)</f>
        <v>0</v>
      </c>
      <c r="U3331">
        <f t="shared" ref="U3331:U3394" si="263">IF(T3331&gt;=1,1,0)</f>
        <v>0</v>
      </c>
      <c r="V3331">
        <f t="shared" ref="V3331:V3394" si="264">IF(F3331="ai_full",1,0)</f>
        <v>0</v>
      </c>
    </row>
    <row r="3332" spans="1:22" x14ac:dyDescent="0.25">
      <c r="A3332">
        <v>3329</v>
      </c>
      <c r="B3332" t="s">
        <v>26</v>
      </c>
      <c r="C3332" t="s">
        <v>1218</v>
      </c>
      <c r="D3332" s="4">
        <v>45370</v>
      </c>
      <c r="E3332" t="s">
        <v>935</v>
      </c>
      <c r="F3332" t="s">
        <v>75</v>
      </c>
      <c r="I3332" s="6"/>
      <c r="J3332" s="6"/>
      <c r="K3332" s="6"/>
      <c r="L3332" s="6"/>
      <c r="M3332" s="6"/>
      <c r="N3332" s="6"/>
      <c r="O3332" s="6"/>
      <c r="P3332" s="6"/>
      <c r="Q3332">
        <v>0</v>
      </c>
      <c r="R3332">
        <f t="shared" si="260"/>
        <v>0</v>
      </c>
      <c r="S3332">
        <f t="shared" si="261"/>
        <v>0</v>
      </c>
      <c r="T3332">
        <f t="shared" si="262"/>
        <v>0</v>
      </c>
      <c r="U3332">
        <f t="shared" si="263"/>
        <v>0</v>
      </c>
      <c r="V3332">
        <f t="shared" si="264"/>
        <v>0</v>
      </c>
    </row>
    <row r="3333" spans="1:22" x14ac:dyDescent="0.25">
      <c r="A3333">
        <v>3330</v>
      </c>
      <c r="B3333" t="s">
        <v>26</v>
      </c>
      <c r="C3333" t="s">
        <v>1218</v>
      </c>
      <c r="D3333" s="4">
        <v>45370</v>
      </c>
      <c r="E3333" t="s">
        <v>2519</v>
      </c>
      <c r="F3333" t="s">
        <v>75</v>
      </c>
      <c r="I3333" s="6"/>
      <c r="J3333" s="6"/>
      <c r="K3333" s="6"/>
      <c r="L3333" s="6"/>
      <c r="M3333" s="6"/>
      <c r="N3333" s="6"/>
      <c r="O3333" s="6"/>
      <c r="P3333" s="6"/>
      <c r="Q3333">
        <v>0</v>
      </c>
      <c r="R3333">
        <f t="shared" si="260"/>
        <v>0</v>
      </c>
      <c r="S3333">
        <f t="shared" si="261"/>
        <v>0</v>
      </c>
      <c r="T3333">
        <f t="shared" si="262"/>
        <v>0</v>
      </c>
      <c r="U3333">
        <f t="shared" si="263"/>
        <v>0</v>
      </c>
      <c r="V3333">
        <f t="shared" si="264"/>
        <v>0</v>
      </c>
    </row>
    <row r="3334" spans="1:22" x14ac:dyDescent="0.25">
      <c r="A3334">
        <v>3331</v>
      </c>
      <c r="B3334" t="s">
        <v>26</v>
      </c>
      <c r="C3334" t="s">
        <v>1218</v>
      </c>
      <c r="D3334" s="4">
        <v>45370</v>
      </c>
      <c r="E3334" t="s">
        <v>937</v>
      </c>
      <c r="F3334" t="s">
        <v>75</v>
      </c>
      <c r="I3334" s="6"/>
      <c r="J3334" s="6"/>
      <c r="K3334" s="6"/>
      <c r="L3334" s="6"/>
      <c r="M3334" s="6"/>
      <c r="N3334" s="6"/>
      <c r="O3334" s="6"/>
      <c r="P3334" s="6"/>
      <c r="Q3334">
        <v>0</v>
      </c>
      <c r="R3334">
        <f t="shared" si="260"/>
        <v>0</v>
      </c>
      <c r="S3334">
        <f t="shared" si="261"/>
        <v>0</v>
      </c>
      <c r="T3334">
        <f t="shared" si="262"/>
        <v>0</v>
      </c>
      <c r="U3334">
        <f t="shared" si="263"/>
        <v>0</v>
      </c>
      <c r="V3334">
        <f t="shared" si="264"/>
        <v>0</v>
      </c>
    </row>
    <row r="3335" spans="1:22" x14ac:dyDescent="0.25">
      <c r="A3335">
        <v>3332</v>
      </c>
      <c r="B3335" t="s">
        <v>26</v>
      </c>
      <c r="C3335" t="s">
        <v>1218</v>
      </c>
      <c r="D3335" s="4">
        <v>45370</v>
      </c>
      <c r="E3335" t="s">
        <v>1056</v>
      </c>
      <c r="F3335" t="s">
        <v>75</v>
      </c>
      <c r="I3335" s="6"/>
      <c r="J3335" s="6"/>
      <c r="K3335" s="6"/>
      <c r="L3335" s="6"/>
      <c r="M3335" s="6"/>
      <c r="N3335" s="6"/>
      <c r="O3335" s="6"/>
      <c r="P3335" s="6"/>
      <c r="Q3335">
        <v>0</v>
      </c>
      <c r="R3335">
        <f t="shared" si="260"/>
        <v>0</v>
      </c>
      <c r="S3335">
        <f t="shared" si="261"/>
        <v>0</v>
      </c>
      <c r="T3335">
        <f t="shared" si="262"/>
        <v>0</v>
      </c>
      <c r="U3335">
        <f t="shared" si="263"/>
        <v>0</v>
      </c>
      <c r="V3335">
        <f t="shared" si="264"/>
        <v>0</v>
      </c>
    </row>
    <row r="3336" spans="1:22" x14ac:dyDescent="0.25">
      <c r="A3336">
        <v>3333</v>
      </c>
      <c r="B3336" t="s">
        <v>26</v>
      </c>
      <c r="C3336" t="s">
        <v>1218</v>
      </c>
      <c r="D3336" s="4">
        <v>45370</v>
      </c>
      <c r="E3336" t="s">
        <v>1795</v>
      </c>
      <c r="F3336" t="s">
        <v>75</v>
      </c>
      <c r="I3336" s="6"/>
      <c r="J3336" s="6"/>
      <c r="K3336" s="6"/>
      <c r="L3336" s="6"/>
      <c r="M3336" s="6"/>
      <c r="N3336" s="6"/>
      <c r="O3336" s="6"/>
      <c r="P3336" s="6"/>
      <c r="Q3336">
        <v>0</v>
      </c>
      <c r="R3336">
        <f t="shared" si="260"/>
        <v>0</v>
      </c>
      <c r="S3336">
        <f t="shared" si="261"/>
        <v>0</v>
      </c>
      <c r="T3336">
        <f t="shared" si="262"/>
        <v>0</v>
      </c>
      <c r="U3336">
        <f t="shared" si="263"/>
        <v>0</v>
      </c>
      <c r="V3336">
        <f t="shared" si="264"/>
        <v>0</v>
      </c>
    </row>
    <row r="3337" spans="1:22" x14ac:dyDescent="0.25">
      <c r="A3337">
        <v>3334</v>
      </c>
      <c r="B3337" t="s">
        <v>26</v>
      </c>
      <c r="C3337" t="s">
        <v>1218</v>
      </c>
      <c r="D3337" s="4">
        <v>45370</v>
      </c>
      <c r="E3337" t="s">
        <v>1796</v>
      </c>
      <c r="F3337" t="s">
        <v>75</v>
      </c>
      <c r="I3337" s="6">
        <v>1</v>
      </c>
      <c r="J3337" s="6">
        <v>0</v>
      </c>
      <c r="K3337" s="6">
        <v>0</v>
      </c>
      <c r="L3337" s="6">
        <v>0</v>
      </c>
      <c r="M3337" s="6">
        <v>0</v>
      </c>
      <c r="N3337" s="6">
        <v>0</v>
      </c>
      <c r="O3337" s="6">
        <v>0</v>
      </c>
      <c r="P3337" s="6">
        <v>0</v>
      </c>
      <c r="Q3337">
        <v>1</v>
      </c>
      <c r="R3337">
        <f t="shared" si="260"/>
        <v>0</v>
      </c>
      <c r="S3337">
        <f t="shared" si="261"/>
        <v>1</v>
      </c>
      <c r="T3337">
        <f t="shared" si="262"/>
        <v>1</v>
      </c>
      <c r="U3337">
        <f t="shared" si="263"/>
        <v>1</v>
      </c>
      <c r="V3337">
        <f t="shared" si="264"/>
        <v>0</v>
      </c>
    </row>
    <row r="3338" spans="1:22" x14ac:dyDescent="0.25">
      <c r="A3338">
        <v>3335</v>
      </c>
      <c r="B3338" t="s">
        <v>26</v>
      </c>
      <c r="C3338" t="s">
        <v>1218</v>
      </c>
      <c r="D3338" s="4">
        <v>45370</v>
      </c>
      <c r="E3338" t="s">
        <v>1333</v>
      </c>
      <c r="F3338" t="s">
        <v>413</v>
      </c>
      <c r="G3338">
        <v>153</v>
      </c>
      <c r="I3338" s="6">
        <v>0</v>
      </c>
      <c r="J3338" s="6">
        <v>0</v>
      </c>
      <c r="K3338" s="6">
        <v>0</v>
      </c>
      <c r="L3338" s="6">
        <v>1</v>
      </c>
      <c r="M3338" s="6">
        <v>1</v>
      </c>
      <c r="N3338" s="6">
        <v>1</v>
      </c>
      <c r="O3338" s="6">
        <v>0</v>
      </c>
      <c r="P3338" s="6">
        <v>0</v>
      </c>
      <c r="Q3338">
        <v>1</v>
      </c>
      <c r="R3338">
        <f t="shared" si="260"/>
        <v>1</v>
      </c>
      <c r="S3338">
        <f t="shared" si="261"/>
        <v>0</v>
      </c>
      <c r="T3338">
        <f t="shared" si="262"/>
        <v>3</v>
      </c>
      <c r="U3338">
        <f t="shared" si="263"/>
        <v>1</v>
      </c>
      <c r="V3338">
        <f t="shared" si="264"/>
        <v>1</v>
      </c>
    </row>
    <row r="3339" spans="1:22" x14ac:dyDescent="0.25">
      <c r="A3339">
        <v>3336</v>
      </c>
      <c r="B3339" t="s">
        <v>26</v>
      </c>
      <c r="C3339" t="s">
        <v>1218</v>
      </c>
      <c r="D3339" s="4">
        <v>45370</v>
      </c>
      <c r="E3339" t="s">
        <v>2206</v>
      </c>
      <c r="F3339" t="s">
        <v>75</v>
      </c>
      <c r="I3339" s="6"/>
      <c r="J3339" s="6"/>
      <c r="K3339" s="6"/>
      <c r="L3339" s="6"/>
      <c r="M3339" s="6"/>
      <c r="N3339" s="6"/>
      <c r="O3339" s="6"/>
      <c r="P3339" s="6"/>
      <c r="Q3339">
        <v>0</v>
      </c>
      <c r="R3339">
        <f t="shared" si="260"/>
        <v>0</v>
      </c>
      <c r="S3339">
        <f t="shared" si="261"/>
        <v>0</v>
      </c>
      <c r="T3339">
        <f t="shared" si="262"/>
        <v>0</v>
      </c>
      <c r="U3339">
        <f t="shared" si="263"/>
        <v>0</v>
      </c>
      <c r="V3339">
        <f t="shared" si="264"/>
        <v>0</v>
      </c>
    </row>
    <row r="3340" spans="1:22" x14ac:dyDescent="0.25">
      <c r="A3340">
        <v>3337</v>
      </c>
      <c r="B3340" t="s">
        <v>26</v>
      </c>
      <c r="C3340" t="s">
        <v>1218</v>
      </c>
      <c r="D3340" s="4">
        <v>45370</v>
      </c>
      <c r="E3340" t="s">
        <v>2518</v>
      </c>
      <c r="F3340" t="s">
        <v>75</v>
      </c>
      <c r="I3340" s="6"/>
      <c r="J3340" s="6"/>
      <c r="K3340" s="6"/>
      <c r="L3340" s="6"/>
      <c r="M3340" s="6"/>
      <c r="N3340" s="6"/>
      <c r="O3340" s="6"/>
      <c r="P3340" s="6"/>
      <c r="Q3340">
        <v>0</v>
      </c>
      <c r="R3340">
        <f t="shared" si="260"/>
        <v>0</v>
      </c>
      <c r="S3340">
        <f t="shared" si="261"/>
        <v>0</v>
      </c>
      <c r="T3340">
        <f t="shared" si="262"/>
        <v>0</v>
      </c>
      <c r="U3340">
        <f t="shared" si="263"/>
        <v>0</v>
      </c>
      <c r="V3340">
        <f t="shared" si="264"/>
        <v>0</v>
      </c>
    </row>
    <row r="3341" spans="1:22" x14ac:dyDescent="0.25">
      <c r="A3341">
        <v>3338</v>
      </c>
      <c r="B3341" t="s">
        <v>26</v>
      </c>
      <c r="C3341" t="s">
        <v>1218</v>
      </c>
      <c r="D3341" s="4">
        <v>45370</v>
      </c>
      <c r="E3341" t="s">
        <v>2517</v>
      </c>
      <c r="F3341" t="s">
        <v>75</v>
      </c>
      <c r="I3341" s="6"/>
      <c r="J3341" s="6"/>
      <c r="K3341" s="6"/>
      <c r="L3341" s="6"/>
      <c r="M3341" s="6"/>
      <c r="N3341" s="6"/>
      <c r="O3341" s="6"/>
      <c r="P3341" s="6"/>
      <c r="Q3341">
        <v>0</v>
      </c>
      <c r="R3341">
        <f t="shared" si="260"/>
        <v>0</v>
      </c>
      <c r="S3341">
        <f t="shared" si="261"/>
        <v>0</v>
      </c>
      <c r="T3341">
        <f t="shared" si="262"/>
        <v>0</v>
      </c>
      <c r="U3341">
        <f t="shared" si="263"/>
        <v>0</v>
      </c>
      <c r="V3341">
        <f t="shared" si="264"/>
        <v>0</v>
      </c>
    </row>
    <row r="3342" spans="1:22" x14ac:dyDescent="0.25">
      <c r="A3342">
        <v>3339</v>
      </c>
      <c r="B3342" t="s">
        <v>26</v>
      </c>
      <c r="C3342" t="s">
        <v>1218</v>
      </c>
      <c r="D3342" s="4">
        <v>45371</v>
      </c>
      <c r="E3342" t="s">
        <v>1532</v>
      </c>
      <c r="F3342" t="s">
        <v>75</v>
      </c>
      <c r="I3342" s="6"/>
      <c r="J3342" s="6"/>
      <c r="K3342" s="6"/>
      <c r="L3342" s="6"/>
      <c r="M3342" s="6"/>
      <c r="N3342" s="6"/>
      <c r="O3342" s="6"/>
      <c r="P3342" s="6"/>
      <c r="Q3342">
        <v>0</v>
      </c>
      <c r="R3342">
        <f t="shared" si="260"/>
        <v>0</v>
      </c>
      <c r="S3342">
        <f t="shared" si="261"/>
        <v>0</v>
      </c>
      <c r="T3342">
        <f t="shared" si="262"/>
        <v>0</v>
      </c>
      <c r="U3342">
        <f t="shared" si="263"/>
        <v>0</v>
      </c>
      <c r="V3342">
        <f t="shared" si="264"/>
        <v>0</v>
      </c>
    </row>
    <row r="3343" spans="1:22" x14ac:dyDescent="0.25">
      <c r="A3343">
        <v>3340</v>
      </c>
      <c r="B3343" t="s">
        <v>26</v>
      </c>
      <c r="C3343" t="s">
        <v>1218</v>
      </c>
      <c r="D3343" s="4">
        <v>45371</v>
      </c>
      <c r="E3343" t="s">
        <v>938</v>
      </c>
      <c r="F3343" t="s">
        <v>357</v>
      </c>
      <c r="I3343" s="6"/>
      <c r="J3343" s="6"/>
      <c r="K3343" s="6"/>
      <c r="L3343" s="6"/>
      <c r="M3343" s="6"/>
      <c r="N3343" s="6"/>
      <c r="O3343" s="6"/>
      <c r="P3343" s="6"/>
      <c r="Q3343">
        <v>0</v>
      </c>
      <c r="R3343">
        <f t="shared" si="260"/>
        <v>0</v>
      </c>
      <c r="S3343">
        <f t="shared" si="261"/>
        <v>0</v>
      </c>
      <c r="T3343">
        <f t="shared" si="262"/>
        <v>0</v>
      </c>
      <c r="U3343">
        <f t="shared" si="263"/>
        <v>0</v>
      </c>
      <c r="V3343">
        <f t="shared" si="264"/>
        <v>0</v>
      </c>
    </row>
    <row r="3344" spans="1:22" x14ac:dyDescent="0.25">
      <c r="A3344">
        <v>3341</v>
      </c>
      <c r="B3344" t="s">
        <v>26</v>
      </c>
      <c r="C3344" t="s">
        <v>1218</v>
      </c>
      <c r="D3344" s="4">
        <v>45371</v>
      </c>
      <c r="E3344" t="s">
        <v>939</v>
      </c>
      <c r="F3344" t="s">
        <v>75</v>
      </c>
      <c r="I3344" s="6">
        <v>0</v>
      </c>
      <c r="J3344" s="6">
        <v>0</v>
      </c>
      <c r="K3344" s="6">
        <v>0</v>
      </c>
      <c r="L3344" s="6">
        <v>0</v>
      </c>
      <c r="M3344" s="6">
        <v>1</v>
      </c>
      <c r="N3344" s="6">
        <v>0</v>
      </c>
      <c r="O3344" s="6">
        <v>0</v>
      </c>
      <c r="P3344" s="6">
        <v>0</v>
      </c>
      <c r="Q3344">
        <v>1</v>
      </c>
      <c r="R3344">
        <f t="shared" si="260"/>
        <v>0</v>
      </c>
      <c r="S3344">
        <f t="shared" si="261"/>
        <v>1</v>
      </c>
      <c r="T3344">
        <f t="shared" si="262"/>
        <v>1</v>
      </c>
      <c r="U3344">
        <f t="shared" si="263"/>
        <v>1</v>
      </c>
      <c r="V3344">
        <f t="shared" si="264"/>
        <v>0</v>
      </c>
    </row>
    <row r="3345" spans="1:22" x14ac:dyDescent="0.25">
      <c r="A3345">
        <v>3342</v>
      </c>
      <c r="B3345" t="s">
        <v>26</v>
      </c>
      <c r="C3345" t="s">
        <v>1218</v>
      </c>
      <c r="D3345" s="4">
        <v>45371</v>
      </c>
      <c r="E3345" t="s">
        <v>1334</v>
      </c>
      <c r="F3345" t="s">
        <v>75</v>
      </c>
      <c r="I3345" s="6">
        <v>0</v>
      </c>
      <c r="J3345" s="6">
        <v>0</v>
      </c>
      <c r="K3345" s="6">
        <v>0</v>
      </c>
      <c r="L3345" s="6">
        <v>1</v>
      </c>
      <c r="M3345" s="6">
        <v>0</v>
      </c>
      <c r="N3345" s="6">
        <v>1</v>
      </c>
      <c r="O3345" s="6">
        <v>0</v>
      </c>
      <c r="P3345" s="6">
        <v>0</v>
      </c>
      <c r="Q3345">
        <v>1</v>
      </c>
      <c r="R3345">
        <f t="shared" si="260"/>
        <v>0</v>
      </c>
      <c r="S3345">
        <f t="shared" si="261"/>
        <v>1</v>
      </c>
      <c r="T3345">
        <f t="shared" si="262"/>
        <v>2</v>
      </c>
      <c r="U3345">
        <f t="shared" si="263"/>
        <v>1</v>
      </c>
      <c r="V3345">
        <f t="shared" si="264"/>
        <v>0</v>
      </c>
    </row>
    <row r="3346" spans="1:22" x14ac:dyDescent="0.25">
      <c r="A3346">
        <v>3343</v>
      </c>
      <c r="B3346" t="s">
        <v>26</v>
      </c>
      <c r="C3346" t="s">
        <v>1218</v>
      </c>
      <c r="D3346" s="4">
        <v>45371</v>
      </c>
      <c r="E3346" t="s">
        <v>2205</v>
      </c>
      <c r="F3346" t="s">
        <v>75</v>
      </c>
      <c r="I3346" s="6"/>
      <c r="J3346" s="6"/>
      <c r="K3346" s="6"/>
      <c r="L3346" s="6"/>
      <c r="M3346" s="6"/>
      <c r="N3346" s="6"/>
      <c r="O3346" s="6"/>
      <c r="P3346" s="6"/>
      <c r="Q3346">
        <v>0</v>
      </c>
      <c r="R3346">
        <f t="shared" si="260"/>
        <v>0</v>
      </c>
      <c r="S3346">
        <f t="shared" si="261"/>
        <v>0</v>
      </c>
      <c r="T3346">
        <f t="shared" si="262"/>
        <v>0</v>
      </c>
      <c r="U3346">
        <f t="shared" si="263"/>
        <v>0</v>
      </c>
      <c r="V3346">
        <f t="shared" si="264"/>
        <v>0</v>
      </c>
    </row>
    <row r="3347" spans="1:22" x14ac:dyDescent="0.25">
      <c r="A3347">
        <v>3344</v>
      </c>
      <c r="B3347" t="s">
        <v>26</v>
      </c>
      <c r="C3347" t="s">
        <v>1218</v>
      </c>
      <c r="D3347" s="4">
        <v>45371</v>
      </c>
      <c r="E3347" t="s">
        <v>1335</v>
      </c>
      <c r="F3347" t="s">
        <v>710</v>
      </c>
      <c r="G3347">
        <v>154</v>
      </c>
      <c r="I3347" s="6">
        <v>0</v>
      </c>
      <c r="J3347" s="6">
        <v>0</v>
      </c>
      <c r="K3347" s="6">
        <v>0</v>
      </c>
      <c r="L3347" s="6">
        <v>1</v>
      </c>
      <c r="M3347" s="6">
        <v>0</v>
      </c>
      <c r="N3347" s="6">
        <v>1</v>
      </c>
      <c r="O3347" s="6">
        <v>0</v>
      </c>
      <c r="P3347" s="6">
        <v>0</v>
      </c>
      <c r="Q3347">
        <v>1</v>
      </c>
      <c r="R3347">
        <f t="shared" si="260"/>
        <v>0</v>
      </c>
      <c r="S3347">
        <f t="shared" si="261"/>
        <v>0</v>
      </c>
      <c r="T3347">
        <f t="shared" si="262"/>
        <v>2</v>
      </c>
      <c r="U3347">
        <f t="shared" si="263"/>
        <v>1</v>
      </c>
      <c r="V3347">
        <f t="shared" si="264"/>
        <v>0</v>
      </c>
    </row>
    <row r="3348" spans="1:22" x14ac:dyDescent="0.25">
      <c r="A3348">
        <v>3345</v>
      </c>
      <c r="B3348" t="s">
        <v>26</v>
      </c>
      <c r="C3348" t="s">
        <v>1218</v>
      </c>
      <c r="D3348" s="4">
        <v>45371</v>
      </c>
      <c r="E3348" t="s">
        <v>2204</v>
      </c>
      <c r="F3348" t="s">
        <v>75</v>
      </c>
      <c r="I3348" s="6"/>
      <c r="J3348" s="6"/>
      <c r="K3348" s="6"/>
      <c r="L3348" s="6"/>
      <c r="M3348" s="6"/>
      <c r="N3348" s="6"/>
      <c r="O3348" s="6"/>
      <c r="P3348" s="6"/>
      <c r="Q3348">
        <v>0</v>
      </c>
      <c r="R3348">
        <f t="shared" si="260"/>
        <v>0</v>
      </c>
      <c r="S3348">
        <f t="shared" si="261"/>
        <v>0</v>
      </c>
      <c r="T3348">
        <f t="shared" si="262"/>
        <v>0</v>
      </c>
      <c r="U3348">
        <f t="shared" si="263"/>
        <v>0</v>
      </c>
      <c r="V3348">
        <f t="shared" si="264"/>
        <v>0</v>
      </c>
    </row>
    <row r="3349" spans="1:22" x14ac:dyDescent="0.25">
      <c r="A3349">
        <v>3346</v>
      </c>
      <c r="B3349" t="s">
        <v>26</v>
      </c>
      <c r="C3349" t="s">
        <v>1218</v>
      </c>
      <c r="D3349" s="4">
        <v>45371</v>
      </c>
      <c r="E3349" t="s">
        <v>2516</v>
      </c>
      <c r="F3349" t="s">
        <v>75</v>
      </c>
      <c r="I3349" s="6"/>
      <c r="J3349" s="6"/>
      <c r="K3349" s="6"/>
      <c r="L3349" s="6"/>
      <c r="M3349" s="6"/>
      <c r="N3349" s="6"/>
      <c r="O3349" s="6"/>
      <c r="P3349" s="6"/>
      <c r="Q3349">
        <v>0</v>
      </c>
      <c r="R3349">
        <f t="shared" si="260"/>
        <v>0</v>
      </c>
      <c r="S3349">
        <f t="shared" si="261"/>
        <v>0</v>
      </c>
      <c r="T3349">
        <f t="shared" si="262"/>
        <v>0</v>
      </c>
      <c r="U3349">
        <f t="shared" si="263"/>
        <v>0</v>
      </c>
      <c r="V3349">
        <f t="shared" si="264"/>
        <v>0</v>
      </c>
    </row>
    <row r="3350" spans="1:22" x14ac:dyDescent="0.25">
      <c r="A3350">
        <v>3347</v>
      </c>
      <c r="B3350" t="s">
        <v>26</v>
      </c>
      <c r="C3350" t="s">
        <v>1218</v>
      </c>
      <c r="D3350" s="4">
        <v>45372</v>
      </c>
      <c r="E3350" t="s">
        <v>940</v>
      </c>
      <c r="F3350" t="s">
        <v>75</v>
      </c>
      <c r="I3350" s="6">
        <v>0</v>
      </c>
      <c r="J3350" s="6">
        <v>0</v>
      </c>
      <c r="K3350" s="6">
        <v>1</v>
      </c>
      <c r="L3350" s="6">
        <v>0</v>
      </c>
      <c r="M3350" s="6">
        <v>0</v>
      </c>
      <c r="N3350" s="6">
        <v>0</v>
      </c>
      <c r="O3350" s="6">
        <v>0</v>
      </c>
      <c r="P3350" s="6">
        <v>0</v>
      </c>
      <c r="Q3350">
        <v>1</v>
      </c>
      <c r="R3350">
        <f t="shared" si="260"/>
        <v>0</v>
      </c>
      <c r="S3350">
        <f t="shared" si="261"/>
        <v>1</v>
      </c>
      <c r="T3350">
        <f t="shared" si="262"/>
        <v>1</v>
      </c>
      <c r="U3350">
        <f t="shared" si="263"/>
        <v>1</v>
      </c>
      <c r="V3350">
        <f t="shared" si="264"/>
        <v>0</v>
      </c>
    </row>
    <row r="3351" spans="1:22" x14ac:dyDescent="0.25">
      <c r="A3351">
        <v>3348</v>
      </c>
      <c r="B3351" t="s">
        <v>26</v>
      </c>
      <c r="C3351" t="s">
        <v>1218</v>
      </c>
      <c r="D3351" s="4">
        <v>45372</v>
      </c>
      <c r="E3351" t="s">
        <v>2515</v>
      </c>
      <c r="F3351" t="s">
        <v>75</v>
      </c>
      <c r="I3351" s="6"/>
      <c r="J3351" s="6"/>
      <c r="K3351" s="6"/>
      <c r="L3351" s="6"/>
      <c r="M3351" s="6"/>
      <c r="N3351" s="6"/>
      <c r="O3351" s="6"/>
      <c r="P3351" s="6"/>
      <c r="Q3351">
        <v>0</v>
      </c>
      <c r="R3351">
        <f t="shared" si="260"/>
        <v>0</v>
      </c>
      <c r="S3351">
        <f t="shared" si="261"/>
        <v>0</v>
      </c>
      <c r="T3351">
        <f t="shared" si="262"/>
        <v>0</v>
      </c>
      <c r="U3351">
        <f t="shared" si="263"/>
        <v>0</v>
      </c>
      <c r="V3351">
        <f t="shared" si="264"/>
        <v>0</v>
      </c>
    </row>
    <row r="3352" spans="1:22" x14ac:dyDescent="0.25">
      <c r="A3352">
        <v>3349</v>
      </c>
      <c r="B3352" t="s">
        <v>26</v>
      </c>
      <c r="C3352" t="s">
        <v>1218</v>
      </c>
      <c r="D3352" s="4">
        <v>45372</v>
      </c>
      <c r="E3352" t="s">
        <v>1336</v>
      </c>
      <c r="F3352" t="s">
        <v>413</v>
      </c>
      <c r="G3352">
        <v>155</v>
      </c>
      <c r="I3352" s="6">
        <v>1</v>
      </c>
      <c r="J3352" s="6">
        <v>0</v>
      </c>
      <c r="K3352" s="6">
        <v>0</v>
      </c>
      <c r="L3352" s="6">
        <v>1</v>
      </c>
      <c r="M3352" s="6">
        <v>0</v>
      </c>
      <c r="N3352" s="6">
        <v>0</v>
      </c>
      <c r="O3352" s="6">
        <v>0</v>
      </c>
      <c r="P3352" s="6">
        <v>0</v>
      </c>
      <c r="Q3352">
        <v>1</v>
      </c>
      <c r="R3352">
        <f t="shared" si="260"/>
        <v>1</v>
      </c>
      <c r="S3352">
        <f t="shared" si="261"/>
        <v>0</v>
      </c>
      <c r="T3352">
        <f t="shared" si="262"/>
        <v>2</v>
      </c>
      <c r="U3352">
        <f t="shared" si="263"/>
        <v>1</v>
      </c>
      <c r="V3352">
        <f t="shared" si="264"/>
        <v>1</v>
      </c>
    </row>
    <row r="3353" spans="1:22" x14ac:dyDescent="0.25">
      <c r="A3353">
        <v>3350</v>
      </c>
      <c r="B3353" t="s">
        <v>26</v>
      </c>
      <c r="C3353" t="s">
        <v>1218</v>
      </c>
      <c r="D3353" s="4">
        <v>45372</v>
      </c>
      <c r="E3353" t="s">
        <v>2514</v>
      </c>
      <c r="F3353" t="s">
        <v>75</v>
      </c>
      <c r="I3353" s="6"/>
      <c r="J3353" s="6"/>
      <c r="K3353" s="6"/>
      <c r="L3353" s="6"/>
      <c r="M3353" s="6"/>
      <c r="N3353" s="6"/>
      <c r="O3353" s="6"/>
      <c r="P3353" s="6"/>
      <c r="Q3353">
        <v>0</v>
      </c>
      <c r="R3353">
        <f t="shared" si="260"/>
        <v>0</v>
      </c>
      <c r="S3353">
        <f t="shared" si="261"/>
        <v>0</v>
      </c>
      <c r="T3353">
        <f t="shared" si="262"/>
        <v>0</v>
      </c>
      <c r="U3353">
        <f t="shared" si="263"/>
        <v>0</v>
      </c>
      <c r="V3353">
        <f t="shared" si="264"/>
        <v>0</v>
      </c>
    </row>
    <row r="3354" spans="1:22" x14ac:dyDescent="0.25">
      <c r="A3354">
        <v>3351</v>
      </c>
      <c r="B3354" t="s">
        <v>26</v>
      </c>
      <c r="C3354" t="s">
        <v>1218</v>
      </c>
      <c r="D3354" s="4">
        <v>45372</v>
      </c>
      <c r="E3354" t="s">
        <v>2513</v>
      </c>
      <c r="F3354" t="s">
        <v>75</v>
      </c>
      <c r="I3354" s="6"/>
      <c r="J3354" s="6"/>
      <c r="K3354" s="6"/>
      <c r="L3354" s="6"/>
      <c r="M3354" s="6"/>
      <c r="N3354" s="6"/>
      <c r="O3354" s="6"/>
      <c r="P3354" s="6"/>
      <c r="Q3354">
        <v>0</v>
      </c>
      <c r="R3354">
        <f t="shared" si="260"/>
        <v>0</v>
      </c>
      <c r="S3354">
        <f t="shared" si="261"/>
        <v>0</v>
      </c>
      <c r="T3354">
        <f t="shared" si="262"/>
        <v>0</v>
      </c>
      <c r="U3354">
        <f t="shared" si="263"/>
        <v>0</v>
      </c>
      <c r="V3354">
        <f t="shared" si="264"/>
        <v>0</v>
      </c>
    </row>
    <row r="3355" spans="1:22" x14ac:dyDescent="0.25">
      <c r="A3355">
        <v>3352</v>
      </c>
      <c r="B3355" t="s">
        <v>26</v>
      </c>
      <c r="C3355" t="s">
        <v>1218</v>
      </c>
      <c r="D3355" s="4">
        <v>45372</v>
      </c>
      <c r="E3355" t="s">
        <v>269</v>
      </c>
      <c r="F3355" t="s">
        <v>75</v>
      </c>
      <c r="I3355" s="6">
        <v>0</v>
      </c>
      <c r="J3355" s="6">
        <v>0</v>
      </c>
      <c r="K3355" s="6">
        <v>0</v>
      </c>
      <c r="L3355" s="6">
        <v>0</v>
      </c>
      <c r="M3355" s="6">
        <v>1</v>
      </c>
      <c r="N3355" s="6">
        <v>0</v>
      </c>
      <c r="O3355" s="6">
        <v>0</v>
      </c>
      <c r="P3355" s="6">
        <v>0</v>
      </c>
      <c r="Q3355">
        <v>1</v>
      </c>
      <c r="R3355">
        <f t="shared" si="260"/>
        <v>0</v>
      </c>
      <c r="S3355">
        <f t="shared" si="261"/>
        <v>1</v>
      </c>
      <c r="T3355">
        <f t="shared" si="262"/>
        <v>1</v>
      </c>
      <c r="U3355">
        <f t="shared" si="263"/>
        <v>1</v>
      </c>
      <c r="V3355">
        <f t="shared" si="264"/>
        <v>0</v>
      </c>
    </row>
    <row r="3356" spans="1:22" x14ac:dyDescent="0.25">
      <c r="A3356">
        <v>3353</v>
      </c>
      <c r="B3356" t="s">
        <v>26</v>
      </c>
      <c r="C3356" t="s">
        <v>1218</v>
      </c>
      <c r="D3356" s="4">
        <v>45372</v>
      </c>
      <c r="E3356" t="s">
        <v>1471</v>
      </c>
      <c r="F3356" t="s">
        <v>75</v>
      </c>
      <c r="I3356" s="6"/>
      <c r="J3356" s="6"/>
      <c r="K3356" s="6"/>
      <c r="L3356" s="6"/>
      <c r="M3356" s="6"/>
      <c r="N3356" s="6"/>
      <c r="O3356" s="6"/>
      <c r="P3356" s="6"/>
      <c r="Q3356">
        <v>0</v>
      </c>
      <c r="R3356">
        <f t="shared" si="260"/>
        <v>0</v>
      </c>
      <c r="S3356">
        <f t="shared" si="261"/>
        <v>0</v>
      </c>
      <c r="T3356">
        <f t="shared" si="262"/>
        <v>0</v>
      </c>
      <c r="U3356">
        <f t="shared" si="263"/>
        <v>0</v>
      </c>
      <c r="V3356">
        <f t="shared" si="264"/>
        <v>0</v>
      </c>
    </row>
    <row r="3357" spans="1:22" x14ac:dyDescent="0.25">
      <c r="A3357">
        <v>3354</v>
      </c>
      <c r="B3357" t="s">
        <v>26</v>
      </c>
      <c r="C3357" t="s">
        <v>1218</v>
      </c>
      <c r="D3357" s="4">
        <v>45372</v>
      </c>
      <c r="E3357" t="s">
        <v>1797</v>
      </c>
      <c r="F3357" t="s">
        <v>75</v>
      </c>
      <c r="I3357" s="6"/>
      <c r="J3357" s="6"/>
      <c r="K3357" s="6"/>
      <c r="L3357" s="6"/>
      <c r="M3357" s="6"/>
      <c r="N3357" s="6"/>
      <c r="O3357" s="6"/>
      <c r="P3357" s="6"/>
      <c r="Q3357">
        <v>0</v>
      </c>
      <c r="R3357">
        <f t="shared" si="260"/>
        <v>0</v>
      </c>
      <c r="S3357">
        <f t="shared" si="261"/>
        <v>0</v>
      </c>
      <c r="T3357">
        <f t="shared" si="262"/>
        <v>0</v>
      </c>
      <c r="U3357">
        <f t="shared" si="263"/>
        <v>0</v>
      </c>
      <c r="V3357">
        <f t="shared" si="264"/>
        <v>0</v>
      </c>
    </row>
    <row r="3358" spans="1:22" x14ac:dyDescent="0.25">
      <c r="A3358">
        <v>3355</v>
      </c>
      <c r="B3358" t="s">
        <v>26</v>
      </c>
      <c r="C3358" t="s">
        <v>1218</v>
      </c>
      <c r="D3358" s="4">
        <v>45372</v>
      </c>
      <c r="E3358" t="s">
        <v>1337</v>
      </c>
      <c r="F3358" t="s">
        <v>75</v>
      </c>
      <c r="I3358" s="6">
        <v>0</v>
      </c>
      <c r="J3358" s="6">
        <v>0</v>
      </c>
      <c r="K3358" s="6">
        <v>0</v>
      </c>
      <c r="L3358" s="6">
        <v>1</v>
      </c>
      <c r="M3358" s="6">
        <v>0</v>
      </c>
      <c r="N3358" s="6">
        <v>0</v>
      </c>
      <c r="O3358" s="6">
        <v>0</v>
      </c>
      <c r="P3358" s="6">
        <v>0</v>
      </c>
      <c r="Q3358">
        <v>1</v>
      </c>
      <c r="R3358">
        <f t="shared" si="260"/>
        <v>0</v>
      </c>
      <c r="S3358">
        <f t="shared" si="261"/>
        <v>1</v>
      </c>
      <c r="T3358">
        <f t="shared" si="262"/>
        <v>1</v>
      </c>
      <c r="U3358">
        <f t="shared" si="263"/>
        <v>1</v>
      </c>
      <c r="V3358">
        <f t="shared" si="264"/>
        <v>0</v>
      </c>
    </row>
    <row r="3359" spans="1:22" x14ac:dyDescent="0.25">
      <c r="A3359">
        <v>3356</v>
      </c>
      <c r="B3359" t="s">
        <v>26</v>
      </c>
      <c r="C3359" t="s">
        <v>1218</v>
      </c>
      <c r="D3359" s="4">
        <v>45372</v>
      </c>
      <c r="E3359" t="s">
        <v>1798</v>
      </c>
      <c r="F3359" t="s">
        <v>75</v>
      </c>
      <c r="I3359" s="6"/>
      <c r="J3359" s="6"/>
      <c r="K3359" s="6"/>
      <c r="L3359" s="6"/>
      <c r="M3359" s="6"/>
      <c r="N3359" s="6"/>
      <c r="O3359" s="6"/>
      <c r="P3359" s="6"/>
      <c r="Q3359">
        <v>0</v>
      </c>
      <c r="R3359">
        <f t="shared" si="260"/>
        <v>0</v>
      </c>
      <c r="S3359">
        <f t="shared" si="261"/>
        <v>0</v>
      </c>
      <c r="T3359">
        <f t="shared" si="262"/>
        <v>0</v>
      </c>
      <c r="U3359">
        <f t="shared" si="263"/>
        <v>0</v>
      </c>
      <c r="V3359">
        <f t="shared" si="264"/>
        <v>0</v>
      </c>
    </row>
    <row r="3360" spans="1:22" x14ac:dyDescent="0.25">
      <c r="A3360">
        <v>3357</v>
      </c>
      <c r="B3360" t="s">
        <v>26</v>
      </c>
      <c r="C3360" t="s">
        <v>1218</v>
      </c>
      <c r="D3360" s="4">
        <v>45372</v>
      </c>
      <c r="E3360" t="s">
        <v>2042</v>
      </c>
      <c r="F3360" t="s">
        <v>75</v>
      </c>
      <c r="I3360" s="6"/>
      <c r="J3360" s="6"/>
      <c r="K3360" s="6"/>
      <c r="L3360" s="6"/>
      <c r="M3360" s="6"/>
      <c r="N3360" s="6"/>
      <c r="O3360" s="6"/>
      <c r="P3360" s="6"/>
      <c r="Q3360">
        <v>0</v>
      </c>
      <c r="R3360">
        <f t="shared" si="260"/>
        <v>0</v>
      </c>
      <c r="S3360">
        <f t="shared" si="261"/>
        <v>0</v>
      </c>
      <c r="T3360">
        <f t="shared" si="262"/>
        <v>0</v>
      </c>
      <c r="U3360">
        <f t="shared" si="263"/>
        <v>0</v>
      </c>
      <c r="V3360">
        <f t="shared" si="264"/>
        <v>0</v>
      </c>
    </row>
    <row r="3361" spans="1:22" x14ac:dyDescent="0.25">
      <c r="A3361">
        <v>3358</v>
      </c>
      <c r="B3361" t="s">
        <v>26</v>
      </c>
      <c r="C3361" t="s">
        <v>1218</v>
      </c>
      <c r="D3361" s="4">
        <v>45372</v>
      </c>
      <c r="E3361" t="s">
        <v>2512</v>
      </c>
      <c r="F3361" t="s">
        <v>75</v>
      </c>
      <c r="I3361" s="6"/>
      <c r="J3361" s="6"/>
      <c r="K3361" s="6"/>
      <c r="L3361" s="6"/>
      <c r="M3361" s="6"/>
      <c r="N3361" s="6"/>
      <c r="O3361" s="6"/>
      <c r="P3361" s="6"/>
      <c r="Q3361">
        <v>0</v>
      </c>
      <c r="R3361">
        <f t="shared" si="260"/>
        <v>0</v>
      </c>
      <c r="S3361">
        <f t="shared" si="261"/>
        <v>0</v>
      </c>
      <c r="T3361">
        <f t="shared" si="262"/>
        <v>0</v>
      </c>
      <c r="U3361">
        <f t="shared" si="263"/>
        <v>0</v>
      </c>
      <c r="V3361">
        <f t="shared" si="264"/>
        <v>0</v>
      </c>
    </row>
    <row r="3362" spans="1:22" x14ac:dyDescent="0.25">
      <c r="A3362">
        <v>3359</v>
      </c>
      <c r="B3362" t="s">
        <v>26</v>
      </c>
      <c r="C3362" t="s">
        <v>1218</v>
      </c>
      <c r="D3362" s="4">
        <v>45372</v>
      </c>
      <c r="E3362" t="s">
        <v>2511</v>
      </c>
      <c r="F3362" t="s">
        <v>75</v>
      </c>
      <c r="I3362" s="6">
        <v>0</v>
      </c>
      <c r="J3362" s="6">
        <v>0</v>
      </c>
      <c r="K3362" s="6">
        <v>0</v>
      </c>
      <c r="L3362" s="6">
        <v>0</v>
      </c>
      <c r="M3362" s="6">
        <v>1</v>
      </c>
      <c r="N3362" s="6">
        <v>0</v>
      </c>
      <c r="O3362" s="6">
        <v>0</v>
      </c>
      <c r="P3362" s="6">
        <v>0</v>
      </c>
      <c r="Q3362">
        <v>1</v>
      </c>
      <c r="R3362">
        <f t="shared" si="260"/>
        <v>0</v>
      </c>
      <c r="S3362">
        <f t="shared" si="261"/>
        <v>1</v>
      </c>
      <c r="T3362">
        <f t="shared" si="262"/>
        <v>1</v>
      </c>
      <c r="U3362">
        <f t="shared" si="263"/>
        <v>1</v>
      </c>
      <c r="V3362">
        <f t="shared" si="264"/>
        <v>0</v>
      </c>
    </row>
    <row r="3363" spans="1:22" x14ac:dyDescent="0.25">
      <c r="A3363">
        <v>3360</v>
      </c>
      <c r="B3363" t="s">
        <v>26</v>
      </c>
      <c r="C3363" t="s">
        <v>1218</v>
      </c>
      <c r="D3363" s="4">
        <v>45373</v>
      </c>
      <c r="E3363" t="s">
        <v>428</v>
      </c>
      <c r="F3363" t="s">
        <v>75</v>
      </c>
      <c r="I3363" s="6">
        <v>0</v>
      </c>
      <c r="J3363" s="6">
        <v>0</v>
      </c>
      <c r="K3363" s="6">
        <v>0</v>
      </c>
      <c r="L3363" s="6">
        <v>0</v>
      </c>
      <c r="M3363" s="6">
        <v>1</v>
      </c>
      <c r="N3363" s="6">
        <v>0</v>
      </c>
      <c r="O3363" s="6">
        <v>0</v>
      </c>
      <c r="P3363" s="6">
        <v>0</v>
      </c>
      <c r="Q3363">
        <v>1</v>
      </c>
      <c r="R3363">
        <f t="shared" si="260"/>
        <v>0</v>
      </c>
      <c r="S3363">
        <f t="shared" si="261"/>
        <v>1</v>
      </c>
      <c r="T3363">
        <f t="shared" si="262"/>
        <v>1</v>
      </c>
      <c r="U3363">
        <f t="shared" si="263"/>
        <v>1</v>
      </c>
      <c r="V3363">
        <f t="shared" si="264"/>
        <v>0</v>
      </c>
    </row>
    <row r="3364" spans="1:22" x14ac:dyDescent="0.25">
      <c r="A3364">
        <v>3361</v>
      </c>
      <c r="B3364" t="s">
        <v>26</v>
      </c>
      <c r="C3364" t="s">
        <v>1218</v>
      </c>
      <c r="D3364" s="4">
        <v>45373</v>
      </c>
      <c r="E3364" t="s">
        <v>2510</v>
      </c>
      <c r="F3364" t="s">
        <v>75</v>
      </c>
      <c r="I3364" s="6"/>
      <c r="J3364" s="6"/>
      <c r="K3364" s="6"/>
      <c r="L3364" s="6"/>
      <c r="M3364" s="6"/>
      <c r="N3364" s="6"/>
      <c r="O3364" s="6"/>
      <c r="P3364" s="6"/>
      <c r="Q3364">
        <v>0</v>
      </c>
      <c r="R3364">
        <f t="shared" si="260"/>
        <v>0</v>
      </c>
      <c r="S3364">
        <f t="shared" si="261"/>
        <v>0</v>
      </c>
      <c r="T3364">
        <f t="shared" si="262"/>
        <v>0</v>
      </c>
      <c r="U3364">
        <f t="shared" si="263"/>
        <v>0</v>
      </c>
      <c r="V3364">
        <f t="shared" si="264"/>
        <v>0</v>
      </c>
    </row>
    <row r="3365" spans="1:22" x14ac:dyDescent="0.25">
      <c r="A3365">
        <v>3362</v>
      </c>
      <c r="B3365" t="s">
        <v>26</v>
      </c>
      <c r="C3365" t="s">
        <v>1218</v>
      </c>
      <c r="D3365" s="4">
        <v>45373</v>
      </c>
      <c r="E3365" t="s">
        <v>1338</v>
      </c>
      <c r="F3365" t="s">
        <v>75</v>
      </c>
      <c r="I3365" s="6">
        <v>0</v>
      </c>
      <c r="J3365" s="6">
        <v>0</v>
      </c>
      <c r="K3365" s="6">
        <v>0</v>
      </c>
      <c r="L3365" s="6">
        <v>1</v>
      </c>
      <c r="M3365" s="6">
        <v>0</v>
      </c>
      <c r="N3365" s="6">
        <v>0</v>
      </c>
      <c r="O3365" s="6">
        <v>0</v>
      </c>
      <c r="P3365" s="6">
        <v>0</v>
      </c>
      <c r="Q3365">
        <v>1</v>
      </c>
      <c r="R3365">
        <f t="shared" si="260"/>
        <v>0</v>
      </c>
      <c r="S3365">
        <f t="shared" si="261"/>
        <v>1</v>
      </c>
      <c r="T3365">
        <f t="shared" si="262"/>
        <v>1</v>
      </c>
      <c r="U3365">
        <f t="shared" si="263"/>
        <v>1</v>
      </c>
      <c r="V3365">
        <f t="shared" si="264"/>
        <v>0</v>
      </c>
    </row>
    <row r="3366" spans="1:22" x14ac:dyDescent="0.25">
      <c r="A3366">
        <v>3363</v>
      </c>
      <c r="B3366" t="s">
        <v>26</v>
      </c>
      <c r="C3366" t="s">
        <v>1218</v>
      </c>
      <c r="D3366" s="4">
        <v>45373</v>
      </c>
      <c r="E3366" t="s">
        <v>1339</v>
      </c>
      <c r="F3366" t="s">
        <v>75</v>
      </c>
      <c r="I3366" s="6">
        <v>0</v>
      </c>
      <c r="J3366" s="6">
        <v>0</v>
      </c>
      <c r="K3366" s="6">
        <v>0</v>
      </c>
      <c r="L3366" s="6">
        <v>0</v>
      </c>
      <c r="M3366" s="6">
        <v>0</v>
      </c>
      <c r="N3366" s="6">
        <v>0</v>
      </c>
      <c r="O3366" s="6">
        <v>0</v>
      </c>
      <c r="P3366" s="6">
        <v>0</v>
      </c>
      <c r="Q3366">
        <v>1</v>
      </c>
      <c r="R3366">
        <f t="shared" si="260"/>
        <v>0</v>
      </c>
      <c r="S3366">
        <f t="shared" si="261"/>
        <v>1</v>
      </c>
      <c r="T3366">
        <f t="shared" si="262"/>
        <v>0</v>
      </c>
      <c r="U3366">
        <f t="shared" si="263"/>
        <v>0</v>
      </c>
      <c r="V3366">
        <f t="shared" si="264"/>
        <v>0</v>
      </c>
    </row>
    <row r="3367" spans="1:22" x14ac:dyDescent="0.25">
      <c r="A3367">
        <v>3364</v>
      </c>
      <c r="B3367" t="s">
        <v>26</v>
      </c>
      <c r="C3367" t="s">
        <v>1218</v>
      </c>
      <c r="D3367" s="4">
        <v>45373</v>
      </c>
      <c r="E3367" t="s">
        <v>2509</v>
      </c>
      <c r="F3367" t="s">
        <v>75</v>
      </c>
      <c r="I3367" s="6"/>
      <c r="J3367" s="6"/>
      <c r="K3367" s="6"/>
      <c r="L3367" s="6"/>
      <c r="M3367" s="6"/>
      <c r="N3367" s="6"/>
      <c r="O3367" s="6"/>
      <c r="P3367" s="6"/>
      <c r="Q3367">
        <v>0</v>
      </c>
      <c r="R3367">
        <f t="shared" si="260"/>
        <v>0</v>
      </c>
      <c r="S3367">
        <f t="shared" si="261"/>
        <v>0</v>
      </c>
      <c r="T3367">
        <f t="shared" si="262"/>
        <v>0</v>
      </c>
      <c r="U3367">
        <f t="shared" si="263"/>
        <v>0</v>
      </c>
      <c r="V3367">
        <f t="shared" si="264"/>
        <v>0</v>
      </c>
    </row>
    <row r="3368" spans="1:22" x14ac:dyDescent="0.25">
      <c r="A3368">
        <v>3365</v>
      </c>
      <c r="B3368" t="s">
        <v>26</v>
      </c>
      <c r="C3368" t="s">
        <v>1218</v>
      </c>
      <c r="D3368" s="4">
        <v>45373</v>
      </c>
      <c r="E3368" t="s">
        <v>2508</v>
      </c>
      <c r="F3368" t="s">
        <v>75</v>
      </c>
      <c r="I3368" s="6"/>
      <c r="J3368" s="6"/>
      <c r="K3368" s="6"/>
      <c r="L3368" s="6"/>
      <c r="M3368" s="6"/>
      <c r="N3368" s="6"/>
      <c r="O3368" s="6"/>
      <c r="P3368" s="6"/>
      <c r="Q3368">
        <v>0</v>
      </c>
      <c r="R3368">
        <f t="shared" si="260"/>
        <v>0</v>
      </c>
      <c r="S3368">
        <f t="shared" si="261"/>
        <v>0</v>
      </c>
      <c r="T3368">
        <f t="shared" si="262"/>
        <v>0</v>
      </c>
      <c r="U3368">
        <f t="shared" si="263"/>
        <v>0</v>
      </c>
      <c r="V3368">
        <f t="shared" si="264"/>
        <v>0</v>
      </c>
    </row>
    <row r="3369" spans="1:22" x14ac:dyDescent="0.25">
      <c r="A3369">
        <v>3366</v>
      </c>
      <c r="B3369" t="s">
        <v>26</v>
      </c>
      <c r="C3369" t="s">
        <v>1218</v>
      </c>
      <c r="D3369" s="4">
        <v>45373</v>
      </c>
      <c r="E3369" t="s">
        <v>2507</v>
      </c>
      <c r="F3369" t="s">
        <v>75</v>
      </c>
      <c r="I3369" s="6">
        <v>0</v>
      </c>
      <c r="J3369" s="6">
        <v>0</v>
      </c>
      <c r="K3369" s="6">
        <v>0</v>
      </c>
      <c r="L3369" s="6">
        <v>1</v>
      </c>
      <c r="M3369" s="6">
        <v>0</v>
      </c>
      <c r="N3369" s="6">
        <v>0</v>
      </c>
      <c r="O3369" s="6">
        <v>0</v>
      </c>
      <c r="P3369" s="6">
        <v>0</v>
      </c>
      <c r="Q3369">
        <v>1</v>
      </c>
      <c r="R3369">
        <f t="shared" si="260"/>
        <v>0</v>
      </c>
      <c r="S3369">
        <f t="shared" si="261"/>
        <v>1</v>
      </c>
      <c r="T3369">
        <f t="shared" si="262"/>
        <v>1</v>
      </c>
      <c r="U3369">
        <f t="shared" si="263"/>
        <v>1</v>
      </c>
      <c r="V3369">
        <f t="shared" si="264"/>
        <v>0</v>
      </c>
    </row>
    <row r="3370" spans="1:22" x14ac:dyDescent="0.25">
      <c r="A3370">
        <v>3367</v>
      </c>
      <c r="B3370" t="s">
        <v>26</v>
      </c>
      <c r="C3370" t="s">
        <v>1218</v>
      </c>
      <c r="D3370" s="4">
        <v>45373</v>
      </c>
      <c r="E3370" t="s">
        <v>2506</v>
      </c>
      <c r="F3370" t="s">
        <v>75</v>
      </c>
      <c r="I3370" s="6"/>
      <c r="J3370" s="6"/>
      <c r="K3370" s="6"/>
      <c r="L3370" s="6"/>
      <c r="M3370" s="6"/>
      <c r="N3370" s="6"/>
      <c r="O3370" s="6"/>
      <c r="P3370" s="6"/>
      <c r="Q3370">
        <v>0</v>
      </c>
      <c r="R3370">
        <f t="shared" si="260"/>
        <v>0</v>
      </c>
      <c r="S3370">
        <f t="shared" si="261"/>
        <v>0</v>
      </c>
      <c r="T3370">
        <f t="shared" si="262"/>
        <v>0</v>
      </c>
      <c r="U3370">
        <f t="shared" si="263"/>
        <v>0</v>
      </c>
      <c r="V3370">
        <f t="shared" si="264"/>
        <v>0</v>
      </c>
    </row>
    <row r="3371" spans="1:22" x14ac:dyDescent="0.25">
      <c r="A3371">
        <v>3368</v>
      </c>
      <c r="B3371" t="s">
        <v>26</v>
      </c>
      <c r="C3371" t="s">
        <v>1218</v>
      </c>
      <c r="D3371" s="4">
        <v>45373</v>
      </c>
      <c r="E3371" t="s">
        <v>2505</v>
      </c>
      <c r="F3371" t="s">
        <v>75</v>
      </c>
      <c r="I3371" s="6"/>
      <c r="J3371" s="6"/>
      <c r="K3371" s="6"/>
      <c r="L3371" s="6"/>
      <c r="M3371" s="6"/>
      <c r="N3371" s="6"/>
      <c r="O3371" s="6"/>
      <c r="P3371" s="6"/>
      <c r="Q3371">
        <v>0</v>
      </c>
      <c r="R3371">
        <f t="shared" si="260"/>
        <v>0</v>
      </c>
      <c r="S3371">
        <f t="shared" si="261"/>
        <v>0</v>
      </c>
      <c r="T3371">
        <f t="shared" si="262"/>
        <v>0</v>
      </c>
      <c r="U3371">
        <f t="shared" si="263"/>
        <v>0</v>
      </c>
      <c r="V3371">
        <f t="shared" si="264"/>
        <v>0</v>
      </c>
    </row>
    <row r="3372" spans="1:22" x14ac:dyDescent="0.25">
      <c r="A3372">
        <v>3369</v>
      </c>
      <c r="B3372" t="s">
        <v>26</v>
      </c>
      <c r="C3372" t="s">
        <v>1218</v>
      </c>
      <c r="D3372" s="4">
        <v>45373</v>
      </c>
      <c r="E3372" t="s">
        <v>2504</v>
      </c>
      <c r="F3372" t="s">
        <v>75</v>
      </c>
      <c r="I3372" s="6">
        <v>0</v>
      </c>
      <c r="J3372" s="6">
        <v>0</v>
      </c>
      <c r="K3372" s="6">
        <v>0</v>
      </c>
      <c r="L3372" s="6">
        <v>0</v>
      </c>
      <c r="M3372" s="6">
        <v>1</v>
      </c>
      <c r="N3372" s="6">
        <v>0</v>
      </c>
      <c r="O3372" s="6">
        <v>0</v>
      </c>
      <c r="P3372" s="6">
        <v>0</v>
      </c>
      <c r="Q3372">
        <v>1</v>
      </c>
      <c r="R3372">
        <f t="shared" si="260"/>
        <v>0</v>
      </c>
      <c r="S3372">
        <f t="shared" si="261"/>
        <v>1</v>
      </c>
      <c r="T3372">
        <f t="shared" si="262"/>
        <v>1</v>
      </c>
      <c r="U3372">
        <f t="shared" si="263"/>
        <v>1</v>
      </c>
      <c r="V3372">
        <f t="shared" si="264"/>
        <v>0</v>
      </c>
    </row>
    <row r="3373" spans="1:22" x14ac:dyDescent="0.25">
      <c r="A3373">
        <v>3370</v>
      </c>
      <c r="B3373" t="s">
        <v>26</v>
      </c>
      <c r="C3373" t="s">
        <v>1218</v>
      </c>
      <c r="D3373" s="4">
        <v>45373</v>
      </c>
      <c r="E3373" t="s">
        <v>2503</v>
      </c>
      <c r="F3373" t="s">
        <v>75</v>
      </c>
      <c r="I3373" s="6">
        <v>0</v>
      </c>
      <c r="J3373" s="6">
        <v>0</v>
      </c>
      <c r="K3373" s="6">
        <v>0</v>
      </c>
      <c r="L3373" s="6">
        <v>1</v>
      </c>
      <c r="M3373" s="6">
        <v>0</v>
      </c>
      <c r="N3373" s="6">
        <v>0</v>
      </c>
      <c r="O3373" s="6">
        <v>0</v>
      </c>
      <c r="P3373" s="6">
        <v>0</v>
      </c>
      <c r="Q3373">
        <v>1</v>
      </c>
      <c r="R3373">
        <f t="shared" si="260"/>
        <v>0</v>
      </c>
      <c r="S3373">
        <f t="shared" si="261"/>
        <v>1</v>
      </c>
      <c r="T3373">
        <f t="shared" si="262"/>
        <v>1</v>
      </c>
      <c r="U3373">
        <f t="shared" si="263"/>
        <v>1</v>
      </c>
      <c r="V3373">
        <f t="shared" si="264"/>
        <v>0</v>
      </c>
    </row>
    <row r="3374" spans="1:22" x14ac:dyDescent="0.25">
      <c r="A3374">
        <v>3371</v>
      </c>
      <c r="B3374" t="s">
        <v>26</v>
      </c>
      <c r="C3374" t="s">
        <v>1218</v>
      </c>
      <c r="D3374" s="4">
        <v>45373</v>
      </c>
      <c r="E3374" t="s">
        <v>429</v>
      </c>
      <c r="F3374" t="s">
        <v>75</v>
      </c>
      <c r="I3374" s="6"/>
      <c r="J3374" s="6"/>
      <c r="K3374" s="6"/>
      <c r="L3374" s="6"/>
      <c r="M3374" s="6"/>
      <c r="N3374" s="6"/>
      <c r="O3374" s="6"/>
      <c r="P3374" s="6"/>
      <c r="Q3374">
        <v>0</v>
      </c>
      <c r="R3374">
        <f t="shared" si="260"/>
        <v>0</v>
      </c>
      <c r="S3374">
        <f t="shared" si="261"/>
        <v>0</v>
      </c>
      <c r="T3374">
        <f t="shared" si="262"/>
        <v>0</v>
      </c>
      <c r="U3374">
        <f t="shared" si="263"/>
        <v>0</v>
      </c>
      <c r="V3374">
        <f t="shared" si="264"/>
        <v>0</v>
      </c>
    </row>
    <row r="3375" spans="1:22" x14ac:dyDescent="0.25">
      <c r="A3375">
        <v>3372</v>
      </c>
      <c r="B3375" t="s">
        <v>26</v>
      </c>
      <c r="C3375" t="s">
        <v>1218</v>
      </c>
      <c r="D3375" s="4">
        <v>45373</v>
      </c>
      <c r="E3375" t="s">
        <v>2502</v>
      </c>
      <c r="F3375" t="s">
        <v>75</v>
      </c>
      <c r="I3375" s="6"/>
      <c r="J3375" s="6"/>
      <c r="K3375" s="6"/>
      <c r="L3375" s="6"/>
      <c r="M3375" s="6"/>
      <c r="N3375" s="6"/>
      <c r="O3375" s="6"/>
      <c r="P3375" s="6"/>
      <c r="Q3375">
        <v>0</v>
      </c>
      <c r="R3375">
        <f t="shared" si="260"/>
        <v>0</v>
      </c>
      <c r="S3375">
        <f t="shared" si="261"/>
        <v>0</v>
      </c>
      <c r="T3375">
        <f t="shared" si="262"/>
        <v>0</v>
      </c>
      <c r="U3375">
        <f t="shared" si="263"/>
        <v>0</v>
      </c>
      <c r="V3375">
        <f t="shared" si="264"/>
        <v>0</v>
      </c>
    </row>
    <row r="3376" spans="1:22" x14ac:dyDescent="0.25">
      <c r="A3376">
        <v>3373</v>
      </c>
      <c r="B3376" t="s">
        <v>26</v>
      </c>
      <c r="C3376" t="s">
        <v>1218</v>
      </c>
      <c r="D3376" s="4">
        <v>45373</v>
      </c>
      <c r="E3376" t="s">
        <v>2501</v>
      </c>
      <c r="F3376" t="s">
        <v>75</v>
      </c>
      <c r="I3376" s="6"/>
      <c r="J3376" s="6"/>
      <c r="K3376" s="6"/>
      <c r="L3376" s="6"/>
      <c r="M3376" s="6"/>
      <c r="N3376" s="6"/>
      <c r="O3376" s="6"/>
      <c r="P3376" s="6"/>
      <c r="Q3376">
        <v>0</v>
      </c>
      <c r="R3376">
        <f t="shared" si="260"/>
        <v>0</v>
      </c>
      <c r="S3376">
        <f t="shared" si="261"/>
        <v>0</v>
      </c>
      <c r="T3376">
        <f t="shared" si="262"/>
        <v>0</v>
      </c>
      <c r="U3376">
        <f t="shared" si="263"/>
        <v>0</v>
      </c>
      <c r="V3376">
        <f t="shared" si="264"/>
        <v>0</v>
      </c>
    </row>
    <row r="3377" spans="1:22" x14ac:dyDescent="0.25">
      <c r="A3377">
        <v>3374</v>
      </c>
      <c r="B3377" t="s">
        <v>26</v>
      </c>
      <c r="C3377" t="s">
        <v>1218</v>
      </c>
      <c r="D3377" s="4">
        <v>45373</v>
      </c>
      <c r="E3377" t="s">
        <v>2203</v>
      </c>
      <c r="F3377" t="s">
        <v>75</v>
      </c>
      <c r="I3377" s="6"/>
      <c r="J3377" s="6"/>
      <c r="K3377" s="6"/>
      <c r="L3377" s="6"/>
      <c r="M3377" s="6"/>
      <c r="N3377" s="6"/>
      <c r="O3377" s="6"/>
      <c r="P3377" s="6"/>
      <c r="Q3377">
        <v>0</v>
      </c>
      <c r="R3377">
        <f t="shared" si="260"/>
        <v>0</v>
      </c>
      <c r="S3377">
        <f t="shared" si="261"/>
        <v>0</v>
      </c>
      <c r="T3377">
        <f t="shared" si="262"/>
        <v>0</v>
      </c>
      <c r="U3377">
        <f t="shared" si="263"/>
        <v>0</v>
      </c>
      <c r="V3377">
        <f t="shared" si="264"/>
        <v>0</v>
      </c>
    </row>
    <row r="3378" spans="1:22" x14ac:dyDescent="0.25">
      <c r="A3378">
        <v>3375</v>
      </c>
      <c r="B3378" t="s">
        <v>26</v>
      </c>
      <c r="C3378" t="s">
        <v>1218</v>
      </c>
      <c r="D3378" s="4">
        <v>45373</v>
      </c>
      <c r="E3378" t="s">
        <v>270</v>
      </c>
      <c r="F3378" t="s">
        <v>75</v>
      </c>
      <c r="I3378" s="6"/>
      <c r="J3378" s="6"/>
      <c r="K3378" s="6"/>
      <c r="L3378" s="6"/>
      <c r="M3378" s="6"/>
      <c r="N3378" s="6"/>
      <c r="O3378" s="6"/>
      <c r="P3378" s="6"/>
      <c r="Q3378">
        <v>0</v>
      </c>
      <c r="R3378">
        <f t="shared" si="260"/>
        <v>0</v>
      </c>
      <c r="S3378">
        <f t="shared" si="261"/>
        <v>0</v>
      </c>
      <c r="T3378">
        <f t="shared" si="262"/>
        <v>0</v>
      </c>
      <c r="U3378">
        <f t="shared" si="263"/>
        <v>0</v>
      </c>
      <c r="V3378">
        <f t="shared" si="264"/>
        <v>0</v>
      </c>
    </row>
    <row r="3379" spans="1:22" x14ac:dyDescent="0.25">
      <c r="A3379">
        <v>3376</v>
      </c>
      <c r="B3379" t="s">
        <v>26</v>
      </c>
      <c r="C3379" t="s">
        <v>1218</v>
      </c>
      <c r="D3379" s="4">
        <v>45373</v>
      </c>
      <c r="E3379" t="s">
        <v>1340</v>
      </c>
      <c r="F3379" t="s">
        <v>413</v>
      </c>
      <c r="G3379">
        <v>156</v>
      </c>
      <c r="I3379" s="6">
        <v>0</v>
      </c>
      <c r="J3379" s="6">
        <v>0</v>
      </c>
      <c r="K3379" s="6">
        <v>0</v>
      </c>
      <c r="L3379" s="6">
        <v>1</v>
      </c>
      <c r="M3379" s="6">
        <v>0</v>
      </c>
      <c r="N3379" s="6">
        <v>0</v>
      </c>
      <c r="O3379" s="6">
        <v>0</v>
      </c>
      <c r="P3379" s="6">
        <v>0</v>
      </c>
      <c r="Q3379">
        <v>1</v>
      </c>
      <c r="R3379">
        <f t="shared" si="260"/>
        <v>1</v>
      </c>
      <c r="S3379">
        <f t="shared" si="261"/>
        <v>0</v>
      </c>
      <c r="T3379">
        <f t="shared" si="262"/>
        <v>1</v>
      </c>
      <c r="U3379">
        <f t="shared" si="263"/>
        <v>1</v>
      </c>
      <c r="V3379">
        <f t="shared" si="264"/>
        <v>1</v>
      </c>
    </row>
    <row r="3380" spans="1:22" x14ac:dyDescent="0.25">
      <c r="A3380">
        <v>3377</v>
      </c>
      <c r="B3380" t="s">
        <v>26</v>
      </c>
      <c r="C3380" t="s">
        <v>1218</v>
      </c>
      <c r="D3380" s="4">
        <v>45373</v>
      </c>
      <c r="E3380" t="s">
        <v>2202</v>
      </c>
      <c r="F3380" t="s">
        <v>75</v>
      </c>
      <c r="I3380" s="6"/>
      <c r="J3380" s="6"/>
      <c r="K3380" s="6"/>
      <c r="L3380" s="6"/>
      <c r="M3380" s="6"/>
      <c r="N3380" s="6"/>
      <c r="O3380" s="6"/>
      <c r="P3380" s="6"/>
      <c r="Q3380">
        <v>0</v>
      </c>
      <c r="R3380">
        <f t="shared" si="260"/>
        <v>0</v>
      </c>
      <c r="S3380">
        <f t="shared" si="261"/>
        <v>0</v>
      </c>
      <c r="T3380">
        <f t="shared" si="262"/>
        <v>0</v>
      </c>
      <c r="U3380">
        <f t="shared" si="263"/>
        <v>0</v>
      </c>
      <c r="V3380">
        <f t="shared" si="264"/>
        <v>0</v>
      </c>
    </row>
    <row r="3381" spans="1:22" x14ac:dyDescent="0.25">
      <c r="A3381">
        <v>3378</v>
      </c>
      <c r="B3381" t="s">
        <v>26</v>
      </c>
      <c r="C3381" t="s">
        <v>1218</v>
      </c>
      <c r="D3381" s="4">
        <v>45373</v>
      </c>
      <c r="E3381" t="s">
        <v>1533</v>
      </c>
      <c r="F3381" t="s">
        <v>75</v>
      </c>
      <c r="I3381" s="6"/>
      <c r="J3381" s="6"/>
      <c r="K3381" s="6"/>
      <c r="L3381" s="6"/>
      <c r="M3381" s="6"/>
      <c r="N3381" s="6"/>
      <c r="O3381" s="6"/>
      <c r="P3381" s="6"/>
      <c r="Q3381">
        <v>0</v>
      </c>
      <c r="R3381">
        <f t="shared" si="260"/>
        <v>0</v>
      </c>
      <c r="S3381">
        <f t="shared" si="261"/>
        <v>0</v>
      </c>
      <c r="T3381">
        <f t="shared" si="262"/>
        <v>0</v>
      </c>
      <c r="U3381">
        <f t="shared" si="263"/>
        <v>0</v>
      </c>
      <c r="V3381">
        <f t="shared" si="264"/>
        <v>0</v>
      </c>
    </row>
    <row r="3382" spans="1:22" x14ac:dyDescent="0.25">
      <c r="A3382">
        <v>3379</v>
      </c>
      <c r="B3382" t="s">
        <v>26</v>
      </c>
      <c r="C3382" t="s">
        <v>1218</v>
      </c>
      <c r="D3382" s="4">
        <v>45373</v>
      </c>
      <c r="E3382" t="s">
        <v>1341</v>
      </c>
      <c r="F3382" t="s">
        <v>75</v>
      </c>
      <c r="H3382" t="s">
        <v>1342</v>
      </c>
      <c r="I3382" s="6">
        <v>0</v>
      </c>
      <c r="J3382" s="6">
        <v>0</v>
      </c>
      <c r="K3382" s="6">
        <v>0</v>
      </c>
      <c r="L3382" s="6">
        <v>0</v>
      </c>
      <c r="M3382" s="6">
        <v>0</v>
      </c>
      <c r="N3382" s="6">
        <v>0</v>
      </c>
      <c r="O3382" s="6">
        <v>0</v>
      </c>
      <c r="P3382" s="6">
        <v>0</v>
      </c>
      <c r="Q3382">
        <v>1</v>
      </c>
      <c r="R3382">
        <f t="shared" si="260"/>
        <v>0</v>
      </c>
      <c r="S3382">
        <f t="shared" si="261"/>
        <v>1</v>
      </c>
      <c r="T3382">
        <f t="shared" si="262"/>
        <v>0</v>
      </c>
      <c r="U3382">
        <f t="shared" si="263"/>
        <v>0</v>
      </c>
      <c r="V3382">
        <f t="shared" si="264"/>
        <v>0</v>
      </c>
    </row>
    <row r="3383" spans="1:22" x14ac:dyDescent="0.25">
      <c r="A3383">
        <v>3380</v>
      </c>
      <c r="B3383" t="s">
        <v>26</v>
      </c>
      <c r="C3383" t="s">
        <v>1218</v>
      </c>
      <c r="D3383" s="4">
        <v>45373</v>
      </c>
      <c r="E3383" t="s">
        <v>1343</v>
      </c>
      <c r="F3383" t="s">
        <v>75</v>
      </c>
      <c r="H3383" t="s">
        <v>1342</v>
      </c>
      <c r="I3383" s="6">
        <v>0</v>
      </c>
      <c r="J3383" s="6">
        <v>0</v>
      </c>
      <c r="K3383" s="6">
        <v>0</v>
      </c>
      <c r="L3383" s="6">
        <v>0</v>
      </c>
      <c r="M3383" s="6">
        <v>0</v>
      </c>
      <c r="N3383" s="6">
        <v>0</v>
      </c>
      <c r="O3383" s="6">
        <v>0</v>
      </c>
      <c r="P3383" s="6">
        <v>0</v>
      </c>
      <c r="Q3383">
        <v>1</v>
      </c>
      <c r="R3383">
        <f t="shared" si="260"/>
        <v>0</v>
      </c>
      <c r="S3383">
        <f t="shared" si="261"/>
        <v>1</v>
      </c>
      <c r="T3383">
        <f t="shared" si="262"/>
        <v>0</v>
      </c>
      <c r="U3383">
        <f t="shared" si="263"/>
        <v>0</v>
      </c>
      <c r="V3383">
        <f t="shared" si="264"/>
        <v>0</v>
      </c>
    </row>
    <row r="3384" spans="1:22" x14ac:dyDescent="0.25">
      <c r="A3384">
        <v>3381</v>
      </c>
      <c r="B3384" t="s">
        <v>26</v>
      </c>
      <c r="C3384" t="s">
        <v>1218</v>
      </c>
      <c r="D3384" s="4">
        <v>45374</v>
      </c>
      <c r="E3384" t="s">
        <v>430</v>
      </c>
      <c r="F3384" t="s">
        <v>75</v>
      </c>
      <c r="I3384" s="6"/>
      <c r="J3384" s="6"/>
      <c r="K3384" s="6"/>
      <c r="L3384" s="6"/>
      <c r="M3384" s="6"/>
      <c r="N3384" s="6"/>
      <c r="O3384" s="6"/>
      <c r="P3384" s="6"/>
      <c r="Q3384">
        <v>0</v>
      </c>
      <c r="R3384">
        <f t="shared" si="260"/>
        <v>0</v>
      </c>
      <c r="S3384">
        <f t="shared" si="261"/>
        <v>0</v>
      </c>
      <c r="T3384">
        <f t="shared" si="262"/>
        <v>0</v>
      </c>
      <c r="U3384">
        <f t="shared" si="263"/>
        <v>0</v>
      </c>
      <c r="V3384">
        <f t="shared" si="264"/>
        <v>0</v>
      </c>
    </row>
    <row r="3385" spans="1:22" x14ac:dyDescent="0.25">
      <c r="A3385">
        <v>3382</v>
      </c>
      <c r="B3385" t="s">
        <v>26</v>
      </c>
      <c r="C3385" t="s">
        <v>1218</v>
      </c>
      <c r="D3385" s="4">
        <v>45374</v>
      </c>
      <c r="E3385" t="s">
        <v>431</v>
      </c>
      <c r="F3385" t="s">
        <v>75</v>
      </c>
      <c r="I3385" s="6"/>
      <c r="J3385" s="6"/>
      <c r="K3385" s="6"/>
      <c r="L3385" s="6"/>
      <c r="M3385" s="6"/>
      <c r="N3385" s="6"/>
      <c r="O3385" s="6"/>
      <c r="P3385" s="6"/>
      <c r="Q3385">
        <v>0</v>
      </c>
      <c r="R3385">
        <f t="shared" si="260"/>
        <v>0</v>
      </c>
      <c r="S3385">
        <f t="shared" si="261"/>
        <v>0</v>
      </c>
      <c r="T3385">
        <f t="shared" si="262"/>
        <v>0</v>
      </c>
      <c r="U3385">
        <f t="shared" si="263"/>
        <v>0</v>
      </c>
      <c r="V3385">
        <f t="shared" si="264"/>
        <v>0</v>
      </c>
    </row>
    <row r="3386" spans="1:22" x14ac:dyDescent="0.25">
      <c r="A3386">
        <v>3383</v>
      </c>
      <c r="B3386" t="s">
        <v>26</v>
      </c>
      <c r="C3386" t="s">
        <v>1218</v>
      </c>
      <c r="D3386" s="4">
        <v>45374</v>
      </c>
      <c r="E3386" t="s">
        <v>432</v>
      </c>
      <c r="F3386" t="s">
        <v>75</v>
      </c>
      <c r="I3386" s="6"/>
      <c r="J3386" s="6"/>
      <c r="K3386" s="6"/>
      <c r="L3386" s="6"/>
      <c r="M3386" s="6"/>
      <c r="N3386" s="6"/>
      <c r="O3386" s="6"/>
      <c r="P3386" s="6"/>
      <c r="Q3386">
        <v>0</v>
      </c>
      <c r="R3386">
        <f t="shared" si="260"/>
        <v>0</v>
      </c>
      <c r="S3386">
        <f t="shared" si="261"/>
        <v>0</v>
      </c>
      <c r="T3386">
        <f t="shared" si="262"/>
        <v>0</v>
      </c>
      <c r="U3386">
        <f t="shared" si="263"/>
        <v>0</v>
      </c>
      <c r="V3386">
        <f t="shared" si="264"/>
        <v>0</v>
      </c>
    </row>
    <row r="3387" spans="1:22" x14ac:dyDescent="0.25">
      <c r="A3387">
        <v>3384</v>
      </c>
      <c r="B3387" t="s">
        <v>26</v>
      </c>
      <c r="C3387" t="s">
        <v>1218</v>
      </c>
      <c r="D3387" s="4">
        <v>45374</v>
      </c>
      <c r="E3387" t="s">
        <v>2201</v>
      </c>
      <c r="F3387" t="s">
        <v>75</v>
      </c>
      <c r="I3387" s="6"/>
      <c r="J3387" s="6"/>
      <c r="K3387" s="6"/>
      <c r="L3387" s="6"/>
      <c r="M3387" s="6"/>
      <c r="N3387" s="6"/>
      <c r="O3387" s="6"/>
      <c r="P3387" s="6"/>
      <c r="Q3387">
        <v>0</v>
      </c>
      <c r="R3387">
        <f t="shared" si="260"/>
        <v>0</v>
      </c>
      <c r="S3387">
        <f t="shared" si="261"/>
        <v>0</v>
      </c>
      <c r="T3387">
        <f t="shared" si="262"/>
        <v>0</v>
      </c>
      <c r="U3387">
        <f t="shared" si="263"/>
        <v>0</v>
      </c>
      <c r="V3387">
        <f t="shared" si="264"/>
        <v>0</v>
      </c>
    </row>
    <row r="3388" spans="1:22" x14ac:dyDescent="0.25">
      <c r="A3388">
        <v>3385</v>
      </c>
      <c r="B3388" t="s">
        <v>26</v>
      </c>
      <c r="C3388" t="s">
        <v>1218</v>
      </c>
      <c r="D3388" s="4">
        <v>45375</v>
      </c>
      <c r="E3388" t="s">
        <v>859</v>
      </c>
      <c r="F3388" t="s">
        <v>75</v>
      </c>
      <c r="I3388" s="6"/>
      <c r="J3388" s="6"/>
      <c r="K3388" s="6"/>
      <c r="L3388" s="6"/>
      <c r="M3388" s="6"/>
      <c r="N3388" s="6"/>
      <c r="O3388" s="6"/>
      <c r="P3388" s="6"/>
      <c r="Q3388">
        <v>0</v>
      </c>
      <c r="R3388">
        <f t="shared" si="260"/>
        <v>0</v>
      </c>
      <c r="S3388">
        <f t="shared" si="261"/>
        <v>0</v>
      </c>
      <c r="T3388">
        <f t="shared" si="262"/>
        <v>0</v>
      </c>
      <c r="U3388">
        <f t="shared" si="263"/>
        <v>0</v>
      </c>
      <c r="V3388">
        <f t="shared" si="264"/>
        <v>0</v>
      </c>
    </row>
    <row r="3389" spans="1:22" x14ac:dyDescent="0.25">
      <c r="A3389">
        <v>3386</v>
      </c>
      <c r="B3389" t="s">
        <v>26</v>
      </c>
      <c r="C3389" t="s">
        <v>1218</v>
      </c>
      <c r="D3389" s="4">
        <v>45375</v>
      </c>
      <c r="E3389" t="s">
        <v>860</v>
      </c>
      <c r="F3389" t="s">
        <v>75</v>
      </c>
      <c r="I3389" s="6">
        <v>1</v>
      </c>
      <c r="J3389" s="6">
        <v>0</v>
      </c>
      <c r="K3389" s="6">
        <v>0</v>
      </c>
      <c r="L3389" s="6">
        <v>1</v>
      </c>
      <c r="M3389" s="6">
        <v>0</v>
      </c>
      <c r="N3389" s="6">
        <v>0</v>
      </c>
      <c r="O3389" s="6">
        <v>0</v>
      </c>
      <c r="P3389" s="6">
        <v>0</v>
      </c>
      <c r="Q3389">
        <v>1</v>
      </c>
      <c r="R3389">
        <f t="shared" si="260"/>
        <v>0</v>
      </c>
      <c r="S3389">
        <f t="shared" si="261"/>
        <v>1</v>
      </c>
      <c r="T3389">
        <f t="shared" si="262"/>
        <v>2</v>
      </c>
      <c r="U3389">
        <f t="shared" si="263"/>
        <v>1</v>
      </c>
      <c r="V3389">
        <f t="shared" si="264"/>
        <v>0</v>
      </c>
    </row>
    <row r="3390" spans="1:22" x14ac:dyDescent="0.25">
      <c r="A3390">
        <v>3387</v>
      </c>
      <c r="B3390" t="s">
        <v>26</v>
      </c>
      <c r="C3390" t="s">
        <v>1218</v>
      </c>
      <c r="D3390" s="4">
        <v>45375</v>
      </c>
      <c r="E3390" t="s">
        <v>861</v>
      </c>
      <c r="F3390" t="s">
        <v>75</v>
      </c>
      <c r="I3390" s="6"/>
      <c r="J3390" s="6"/>
      <c r="K3390" s="6"/>
      <c r="L3390" s="6"/>
      <c r="M3390" s="6"/>
      <c r="N3390" s="6"/>
      <c r="O3390" s="6"/>
      <c r="P3390" s="6"/>
      <c r="Q3390">
        <v>0</v>
      </c>
      <c r="R3390">
        <f t="shared" si="260"/>
        <v>0</v>
      </c>
      <c r="S3390">
        <f t="shared" si="261"/>
        <v>0</v>
      </c>
      <c r="T3390">
        <f t="shared" si="262"/>
        <v>0</v>
      </c>
      <c r="U3390">
        <f t="shared" si="263"/>
        <v>0</v>
      </c>
      <c r="V3390">
        <f t="shared" si="264"/>
        <v>0</v>
      </c>
    </row>
    <row r="3391" spans="1:22" x14ac:dyDescent="0.25">
      <c r="A3391">
        <v>3388</v>
      </c>
      <c r="B3391" t="s">
        <v>26</v>
      </c>
      <c r="C3391" t="s">
        <v>1218</v>
      </c>
      <c r="D3391" s="4">
        <v>45375</v>
      </c>
      <c r="E3391" t="s">
        <v>2041</v>
      </c>
      <c r="F3391" t="s">
        <v>75</v>
      </c>
      <c r="I3391" s="6"/>
      <c r="J3391" s="6"/>
      <c r="K3391" s="6"/>
      <c r="L3391" s="6"/>
      <c r="M3391" s="6"/>
      <c r="N3391" s="6"/>
      <c r="O3391" s="6"/>
      <c r="P3391" s="6"/>
      <c r="Q3391">
        <v>0</v>
      </c>
      <c r="R3391">
        <f t="shared" si="260"/>
        <v>0</v>
      </c>
      <c r="S3391">
        <f t="shared" si="261"/>
        <v>0</v>
      </c>
      <c r="T3391">
        <f t="shared" si="262"/>
        <v>0</v>
      </c>
      <c r="U3391">
        <f t="shared" si="263"/>
        <v>0</v>
      </c>
      <c r="V3391">
        <f t="shared" si="264"/>
        <v>0</v>
      </c>
    </row>
    <row r="3392" spans="1:22" x14ac:dyDescent="0.25">
      <c r="A3392">
        <v>3389</v>
      </c>
      <c r="B3392" t="s">
        <v>26</v>
      </c>
      <c r="C3392" t="s">
        <v>1218</v>
      </c>
      <c r="D3392" s="4">
        <v>45375</v>
      </c>
      <c r="E3392" t="s">
        <v>1799</v>
      </c>
      <c r="F3392" t="s">
        <v>75</v>
      </c>
      <c r="I3392" s="6"/>
      <c r="J3392" s="6"/>
      <c r="K3392" s="6"/>
      <c r="L3392" s="6"/>
      <c r="M3392" s="6"/>
      <c r="N3392" s="6"/>
      <c r="O3392" s="6"/>
      <c r="P3392" s="6"/>
      <c r="Q3392">
        <v>0</v>
      </c>
      <c r="R3392">
        <f t="shared" si="260"/>
        <v>0</v>
      </c>
      <c r="S3392">
        <f t="shared" si="261"/>
        <v>0</v>
      </c>
      <c r="T3392">
        <f t="shared" si="262"/>
        <v>0</v>
      </c>
      <c r="U3392">
        <f t="shared" si="263"/>
        <v>0</v>
      </c>
      <c r="V3392">
        <f t="shared" si="264"/>
        <v>0</v>
      </c>
    </row>
    <row r="3393" spans="1:22" x14ac:dyDescent="0.25">
      <c r="A3393">
        <v>3390</v>
      </c>
      <c r="B3393" t="s">
        <v>26</v>
      </c>
      <c r="C3393" t="s">
        <v>1218</v>
      </c>
      <c r="D3393" s="4">
        <v>45376</v>
      </c>
      <c r="E3393" t="s">
        <v>434</v>
      </c>
      <c r="F3393" t="s">
        <v>75</v>
      </c>
      <c r="I3393" s="6"/>
      <c r="J3393" s="6"/>
      <c r="K3393" s="6"/>
      <c r="L3393" s="6"/>
      <c r="M3393" s="6"/>
      <c r="N3393" s="6"/>
      <c r="O3393" s="6"/>
      <c r="P3393" s="6"/>
      <c r="Q3393">
        <v>0</v>
      </c>
      <c r="R3393">
        <f t="shared" si="260"/>
        <v>0</v>
      </c>
      <c r="S3393">
        <f t="shared" si="261"/>
        <v>0</v>
      </c>
      <c r="T3393">
        <f t="shared" si="262"/>
        <v>0</v>
      </c>
      <c r="U3393">
        <f t="shared" si="263"/>
        <v>0</v>
      </c>
      <c r="V3393">
        <f t="shared" si="264"/>
        <v>0</v>
      </c>
    </row>
    <row r="3394" spans="1:22" x14ac:dyDescent="0.25">
      <c r="A3394">
        <v>3391</v>
      </c>
      <c r="B3394" t="s">
        <v>26</v>
      </c>
      <c r="C3394" t="s">
        <v>1218</v>
      </c>
      <c r="D3394" s="4">
        <v>45376</v>
      </c>
      <c r="E3394" t="s">
        <v>2500</v>
      </c>
      <c r="F3394" t="s">
        <v>75</v>
      </c>
      <c r="I3394" s="6"/>
      <c r="J3394" s="6"/>
      <c r="K3394" s="6"/>
      <c r="L3394" s="6"/>
      <c r="M3394" s="6"/>
      <c r="N3394" s="6"/>
      <c r="O3394" s="6"/>
      <c r="P3394" s="6"/>
      <c r="Q3394">
        <v>0</v>
      </c>
      <c r="R3394">
        <f t="shared" si="260"/>
        <v>0</v>
      </c>
      <c r="S3394">
        <f t="shared" si="261"/>
        <v>0</v>
      </c>
      <c r="T3394">
        <f t="shared" si="262"/>
        <v>0</v>
      </c>
      <c r="U3394">
        <f t="shared" si="263"/>
        <v>0</v>
      </c>
      <c r="V3394">
        <f t="shared" si="264"/>
        <v>0</v>
      </c>
    </row>
    <row r="3395" spans="1:22" x14ac:dyDescent="0.25">
      <c r="A3395">
        <v>3392</v>
      </c>
      <c r="B3395" t="s">
        <v>26</v>
      </c>
      <c r="C3395" t="s">
        <v>1218</v>
      </c>
      <c r="D3395" s="4">
        <v>45376</v>
      </c>
      <c r="E3395" t="s">
        <v>435</v>
      </c>
      <c r="F3395" t="s">
        <v>75</v>
      </c>
      <c r="I3395" s="6">
        <v>0</v>
      </c>
      <c r="J3395" s="6">
        <v>0</v>
      </c>
      <c r="K3395" s="6">
        <v>0</v>
      </c>
      <c r="L3395" s="6">
        <v>0</v>
      </c>
      <c r="M3395" s="6">
        <v>0</v>
      </c>
      <c r="N3395" s="6">
        <v>0</v>
      </c>
      <c r="O3395" s="6">
        <v>0</v>
      </c>
      <c r="P3395" s="6">
        <v>0</v>
      </c>
      <c r="Q3395">
        <v>1</v>
      </c>
      <c r="R3395">
        <f t="shared" ref="R3395:R3458" si="265">IF(AND(Q3395=1,F3395="ai_full"),1,0)</f>
        <v>0</v>
      </c>
      <c r="S3395">
        <f t="shared" ref="S3395:S3458" si="266">IF(AND(Q3395=1,F3395="conventional"),1,0)</f>
        <v>1</v>
      </c>
      <c r="T3395">
        <f t="shared" ref="T3395:T3458" si="267">SUM(I3395:P3395)</f>
        <v>0</v>
      </c>
      <c r="U3395">
        <f t="shared" ref="U3395:U3458" si="268">IF(T3395&gt;=1,1,0)</f>
        <v>0</v>
      </c>
      <c r="V3395">
        <f t="shared" ref="V3395:V3458" si="269">IF(F3395="ai_full",1,0)</f>
        <v>0</v>
      </c>
    </row>
    <row r="3396" spans="1:22" x14ac:dyDescent="0.25">
      <c r="A3396">
        <v>3393</v>
      </c>
      <c r="B3396" t="s">
        <v>26</v>
      </c>
      <c r="C3396" t="s">
        <v>1218</v>
      </c>
      <c r="D3396" s="4">
        <v>45376</v>
      </c>
      <c r="E3396" t="s">
        <v>436</v>
      </c>
      <c r="F3396" t="s">
        <v>75</v>
      </c>
      <c r="I3396" s="6"/>
      <c r="J3396" s="6"/>
      <c r="K3396" s="6"/>
      <c r="L3396" s="6"/>
      <c r="M3396" s="6"/>
      <c r="N3396" s="6"/>
      <c r="O3396" s="6"/>
      <c r="P3396" s="6"/>
      <c r="Q3396">
        <v>0</v>
      </c>
      <c r="R3396">
        <f t="shared" si="265"/>
        <v>0</v>
      </c>
      <c r="S3396">
        <f t="shared" si="266"/>
        <v>0</v>
      </c>
      <c r="T3396">
        <f t="shared" si="267"/>
        <v>0</v>
      </c>
      <c r="U3396">
        <f t="shared" si="268"/>
        <v>0</v>
      </c>
      <c r="V3396">
        <f t="shared" si="269"/>
        <v>0</v>
      </c>
    </row>
    <row r="3397" spans="1:22" x14ac:dyDescent="0.25">
      <c r="A3397">
        <v>3394</v>
      </c>
      <c r="B3397" t="s">
        <v>26</v>
      </c>
      <c r="C3397" t="s">
        <v>1218</v>
      </c>
      <c r="D3397" s="4">
        <v>45376</v>
      </c>
      <c r="E3397" t="s">
        <v>1344</v>
      </c>
      <c r="F3397" t="s">
        <v>75</v>
      </c>
      <c r="I3397" s="6">
        <v>1</v>
      </c>
      <c r="J3397" s="6">
        <v>0</v>
      </c>
      <c r="K3397" s="6">
        <v>0</v>
      </c>
      <c r="L3397" s="6">
        <v>1</v>
      </c>
      <c r="M3397" s="6">
        <v>1</v>
      </c>
      <c r="N3397" s="6">
        <v>0</v>
      </c>
      <c r="O3397" s="6">
        <v>0</v>
      </c>
      <c r="P3397" s="6">
        <v>0</v>
      </c>
      <c r="Q3397">
        <v>1</v>
      </c>
      <c r="R3397">
        <f t="shared" si="265"/>
        <v>0</v>
      </c>
      <c r="S3397">
        <f t="shared" si="266"/>
        <v>1</v>
      </c>
      <c r="T3397">
        <f t="shared" si="267"/>
        <v>3</v>
      </c>
      <c r="U3397">
        <f t="shared" si="268"/>
        <v>1</v>
      </c>
      <c r="V3397">
        <f t="shared" si="269"/>
        <v>0</v>
      </c>
    </row>
    <row r="3398" spans="1:22" x14ac:dyDescent="0.25">
      <c r="A3398">
        <v>3395</v>
      </c>
      <c r="B3398" t="s">
        <v>26</v>
      </c>
      <c r="C3398" t="s">
        <v>1218</v>
      </c>
      <c r="D3398" s="4">
        <v>45376</v>
      </c>
      <c r="E3398" t="s">
        <v>2196</v>
      </c>
      <c r="F3398" t="s">
        <v>75</v>
      </c>
      <c r="I3398" s="6"/>
      <c r="J3398" s="6"/>
      <c r="K3398" s="6"/>
      <c r="L3398" s="6"/>
      <c r="M3398" s="6"/>
      <c r="N3398" s="6"/>
      <c r="O3398" s="6"/>
      <c r="P3398" s="6"/>
      <c r="Q3398">
        <v>0</v>
      </c>
      <c r="R3398">
        <f t="shared" si="265"/>
        <v>0</v>
      </c>
      <c r="S3398">
        <f t="shared" si="266"/>
        <v>0</v>
      </c>
      <c r="T3398">
        <f t="shared" si="267"/>
        <v>0</v>
      </c>
      <c r="U3398">
        <f t="shared" si="268"/>
        <v>0</v>
      </c>
      <c r="V3398">
        <f t="shared" si="269"/>
        <v>0</v>
      </c>
    </row>
    <row r="3399" spans="1:22" x14ac:dyDescent="0.25">
      <c r="A3399">
        <v>3396</v>
      </c>
      <c r="B3399" t="s">
        <v>26</v>
      </c>
      <c r="C3399" t="s">
        <v>1218</v>
      </c>
      <c r="D3399" s="4">
        <v>45376</v>
      </c>
      <c r="E3399" t="s">
        <v>1345</v>
      </c>
      <c r="F3399" t="s">
        <v>413</v>
      </c>
      <c r="G3399">
        <v>157</v>
      </c>
      <c r="I3399" s="6">
        <v>0</v>
      </c>
      <c r="J3399" s="6">
        <v>0</v>
      </c>
      <c r="K3399" s="6">
        <v>0</v>
      </c>
      <c r="L3399" s="6">
        <v>1</v>
      </c>
      <c r="M3399" s="6">
        <v>1</v>
      </c>
      <c r="N3399" s="6">
        <v>1</v>
      </c>
      <c r="O3399" s="6">
        <v>0</v>
      </c>
      <c r="P3399" s="6">
        <v>0</v>
      </c>
      <c r="Q3399">
        <v>1</v>
      </c>
      <c r="R3399">
        <f t="shared" si="265"/>
        <v>1</v>
      </c>
      <c r="S3399">
        <f t="shared" si="266"/>
        <v>0</v>
      </c>
      <c r="T3399">
        <f t="shared" si="267"/>
        <v>3</v>
      </c>
      <c r="U3399">
        <f t="shared" si="268"/>
        <v>1</v>
      </c>
      <c r="V3399">
        <f t="shared" si="269"/>
        <v>1</v>
      </c>
    </row>
    <row r="3400" spans="1:22" x14ac:dyDescent="0.25">
      <c r="A3400">
        <v>3397</v>
      </c>
      <c r="B3400" t="s">
        <v>26</v>
      </c>
      <c r="C3400" t="s">
        <v>1218</v>
      </c>
      <c r="D3400" s="4">
        <v>45376</v>
      </c>
      <c r="E3400" t="s">
        <v>2195</v>
      </c>
      <c r="F3400" t="s">
        <v>75</v>
      </c>
      <c r="I3400" s="6"/>
      <c r="J3400" s="6"/>
      <c r="K3400" s="6"/>
      <c r="L3400" s="6"/>
      <c r="M3400" s="6"/>
      <c r="N3400" s="6"/>
      <c r="O3400" s="6"/>
      <c r="P3400" s="6"/>
      <c r="Q3400">
        <v>0</v>
      </c>
      <c r="R3400">
        <f t="shared" si="265"/>
        <v>0</v>
      </c>
      <c r="S3400">
        <f t="shared" si="266"/>
        <v>0</v>
      </c>
      <c r="T3400">
        <f t="shared" si="267"/>
        <v>0</v>
      </c>
      <c r="U3400">
        <f t="shared" si="268"/>
        <v>0</v>
      </c>
      <c r="V3400">
        <f t="shared" si="269"/>
        <v>0</v>
      </c>
    </row>
    <row r="3401" spans="1:22" x14ac:dyDescent="0.25">
      <c r="A3401">
        <v>3398</v>
      </c>
      <c r="B3401" t="s">
        <v>26</v>
      </c>
      <c r="C3401" t="s">
        <v>1218</v>
      </c>
      <c r="D3401" s="4">
        <v>45376</v>
      </c>
      <c r="E3401" t="s">
        <v>2499</v>
      </c>
      <c r="F3401" t="s">
        <v>75</v>
      </c>
      <c r="I3401" s="6"/>
      <c r="J3401" s="6"/>
      <c r="K3401" s="6"/>
      <c r="L3401" s="6"/>
      <c r="M3401" s="6"/>
      <c r="N3401" s="6"/>
      <c r="O3401" s="6"/>
      <c r="P3401" s="6"/>
      <c r="Q3401">
        <v>0</v>
      </c>
      <c r="R3401">
        <f t="shared" si="265"/>
        <v>0</v>
      </c>
      <c r="S3401">
        <f t="shared" si="266"/>
        <v>0</v>
      </c>
      <c r="T3401">
        <f t="shared" si="267"/>
        <v>0</v>
      </c>
      <c r="U3401">
        <f t="shared" si="268"/>
        <v>0</v>
      </c>
      <c r="V3401">
        <f t="shared" si="269"/>
        <v>0</v>
      </c>
    </row>
    <row r="3402" spans="1:22" x14ac:dyDescent="0.25">
      <c r="A3402">
        <v>3399</v>
      </c>
      <c r="B3402" t="s">
        <v>26</v>
      </c>
      <c r="C3402" t="s">
        <v>1218</v>
      </c>
      <c r="D3402" s="4">
        <v>45376</v>
      </c>
      <c r="E3402" t="s">
        <v>2498</v>
      </c>
      <c r="F3402" t="s">
        <v>75</v>
      </c>
      <c r="I3402" s="6"/>
      <c r="J3402" s="6"/>
      <c r="K3402" s="6"/>
      <c r="L3402" s="6"/>
      <c r="M3402" s="6"/>
      <c r="N3402" s="6"/>
      <c r="O3402" s="6"/>
      <c r="P3402" s="6"/>
      <c r="Q3402">
        <v>0</v>
      </c>
      <c r="R3402">
        <f t="shared" si="265"/>
        <v>0</v>
      </c>
      <c r="S3402">
        <f t="shared" si="266"/>
        <v>0</v>
      </c>
      <c r="T3402">
        <f t="shared" si="267"/>
        <v>0</v>
      </c>
      <c r="U3402">
        <f t="shared" si="268"/>
        <v>0</v>
      </c>
      <c r="V3402">
        <f t="shared" si="269"/>
        <v>0</v>
      </c>
    </row>
    <row r="3403" spans="1:22" x14ac:dyDescent="0.25">
      <c r="A3403">
        <v>3400</v>
      </c>
      <c r="B3403" t="s">
        <v>26</v>
      </c>
      <c r="C3403" t="s">
        <v>1218</v>
      </c>
      <c r="D3403" s="4">
        <v>45377</v>
      </c>
      <c r="E3403" t="s">
        <v>437</v>
      </c>
      <c r="F3403" t="s">
        <v>75</v>
      </c>
      <c r="I3403" s="6">
        <v>1</v>
      </c>
      <c r="J3403" s="6">
        <v>0</v>
      </c>
      <c r="K3403" s="6">
        <v>1</v>
      </c>
      <c r="L3403" s="6">
        <v>0</v>
      </c>
      <c r="M3403" s="6">
        <v>0</v>
      </c>
      <c r="N3403" s="6">
        <v>0</v>
      </c>
      <c r="O3403" s="6">
        <v>0</v>
      </c>
      <c r="P3403" s="6">
        <v>0</v>
      </c>
      <c r="Q3403">
        <v>1</v>
      </c>
      <c r="R3403">
        <f t="shared" si="265"/>
        <v>0</v>
      </c>
      <c r="S3403">
        <f t="shared" si="266"/>
        <v>1</v>
      </c>
      <c r="T3403">
        <f t="shared" si="267"/>
        <v>2</v>
      </c>
      <c r="U3403">
        <f t="shared" si="268"/>
        <v>1</v>
      </c>
      <c r="V3403">
        <f t="shared" si="269"/>
        <v>0</v>
      </c>
    </row>
    <row r="3404" spans="1:22" x14ac:dyDescent="0.25">
      <c r="A3404">
        <v>3401</v>
      </c>
      <c r="B3404" t="s">
        <v>26</v>
      </c>
      <c r="C3404" t="s">
        <v>1218</v>
      </c>
      <c r="D3404" s="4">
        <v>45377</v>
      </c>
      <c r="E3404" t="s">
        <v>2497</v>
      </c>
      <c r="F3404" t="s">
        <v>75</v>
      </c>
      <c r="I3404" s="6"/>
      <c r="J3404" s="6"/>
      <c r="K3404" s="6"/>
      <c r="L3404" s="6"/>
      <c r="M3404" s="6"/>
      <c r="N3404" s="6"/>
      <c r="O3404" s="6"/>
      <c r="P3404" s="6"/>
      <c r="Q3404">
        <v>0</v>
      </c>
      <c r="R3404">
        <f t="shared" si="265"/>
        <v>0</v>
      </c>
      <c r="S3404">
        <f t="shared" si="266"/>
        <v>0</v>
      </c>
      <c r="T3404">
        <f t="shared" si="267"/>
        <v>0</v>
      </c>
      <c r="U3404">
        <f t="shared" si="268"/>
        <v>0</v>
      </c>
      <c r="V3404">
        <f t="shared" si="269"/>
        <v>0</v>
      </c>
    </row>
    <row r="3405" spans="1:22" x14ac:dyDescent="0.25">
      <c r="A3405">
        <v>3402</v>
      </c>
      <c r="B3405" t="s">
        <v>26</v>
      </c>
      <c r="C3405" t="s">
        <v>1218</v>
      </c>
      <c r="D3405" s="4">
        <v>45377</v>
      </c>
      <c r="E3405" t="s">
        <v>2496</v>
      </c>
      <c r="F3405" t="s">
        <v>75</v>
      </c>
      <c r="I3405" s="6"/>
      <c r="J3405" s="6"/>
      <c r="K3405" s="6"/>
      <c r="L3405" s="6"/>
      <c r="M3405" s="6"/>
      <c r="N3405" s="6"/>
      <c r="O3405" s="6"/>
      <c r="P3405" s="6"/>
      <c r="Q3405">
        <v>0</v>
      </c>
      <c r="R3405">
        <f t="shared" si="265"/>
        <v>0</v>
      </c>
      <c r="S3405">
        <f t="shared" si="266"/>
        <v>0</v>
      </c>
      <c r="T3405">
        <f t="shared" si="267"/>
        <v>0</v>
      </c>
      <c r="U3405">
        <f t="shared" si="268"/>
        <v>0</v>
      </c>
      <c r="V3405">
        <f t="shared" si="269"/>
        <v>0</v>
      </c>
    </row>
    <row r="3406" spans="1:22" x14ac:dyDescent="0.25">
      <c r="A3406">
        <v>3403</v>
      </c>
      <c r="B3406" t="s">
        <v>26</v>
      </c>
      <c r="C3406" t="s">
        <v>1218</v>
      </c>
      <c r="D3406" s="4">
        <v>45377</v>
      </c>
      <c r="E3406" t="s">
        <v>2495</v>
      </c>
      <c r="F3406" t="s">
        <v>75</v>
      </c>
      <c r="I3406" s="6"/>
      <c r="J3406" s="6"/>
      <c r="K3406" s="6"/>
      <c r="L3406" s="6"/>
      <c r="M3406" s="6"/>
      <c r="N3406" s="6"/>
      <c r="O3406" s="6"/>
      <c r="P3406" s="6"/>
      <c r="Q3406">
        <v>0</v>
      </c>
      <c r="R3406">
        <f t="shared" si="265"/>
        <v>0</v>
      </c>
      <c r="S3406">
        <f t="shared" si="266"/>
        <v>0</v>
      </c>
      <c r="T3406">
        <f t="shared" si="267"/>
        <v>0</v>
      </c>
      <c r="U3406">
        <f t="shared" si="268"/>
        <v>0</v>
      </c>
      <c r="V3406">
        <f t="shared" si="269"/>
        <v>0</v>
      </c>
    </row>
    <row r="3407" spans="1:22" x14ac:dyDescent="0.25">
      <c r="A3407">
        <v>3404</v>
      </c>
      <c r="B3407" t="s">
        <v>26</v>
      </c>
      <c r="C3407" t="s">
        <v>1218</v>
      </c>
      <c r="D3407" s="4">
        <v>45377</v>
      </c>
      <c r="E3407" t="s">
        <v>2494</v>
      </c>
      <c r="F3407" t="s">
        <v>75</v>
      </c>
      <c r="I3407" s="6">
        <v>0</v>
      </c>
      <c r="J3407" s="6">
        <v>0</v>
      </c>
      <c r="K3407" s="6">
        <v>1</v>
      </c>
      <c r="L3407" s="6">
        <v>0</v>
      </c>
      <c r="M3407" s="6">
        <v>0</v>
      </c>
      <c r="N3407" s="6">
        <v>0</v>
      </c>
      <c r="O3407" s="6">
        <v>0</v>
      </c>
      <c r="P3407" s="6">
        <v>0</v>
      </c>
      <c r="Q3407">
        <v>1</v>
      </c>
      <c r="R3407">
        <f t="shared" si="265"/>
        <v>0</v>
      </c>
      <c r="S3407">
        <f t="shared" si="266"/>
        <v>1</v>
      </c>
      <c r="T3407">
        <f t="shared" si="267"/>
        <v>1</v>
      </c>
      <c r="U3407">
        <f t="shared" si="268"/>
        <v>1</v>
      </c>
      <c r="V3407">
        <f t="shared" si="269"/>
        <v>0</v>
      </c>
    </row>
    <row r="3408" spans="1:22" x14ac:dyDescent="0.25">
      <c r="A3408">
        <v>3405</v>
      </c>
      <c r="B3408" t="s">
        <v>26</v>
      </c>
      <c r="C3408" t="s">
        <v>1218</v>
      </c>
      <c r="D3408" s="4">
        <v>45377</v>
      </c>
      <c r="E3408" t="s">
        <v>2493</v>
      </c>
      <c r="F3408" t="s">
        <v>75</v>
      </c>
      <c r="I3408" s="6"/>
      <c r="J3408" s="6"/>
      <c r="K3408" s="6"/>
      <c r="L3408" s="6"/>
      <c r="M3408" s="6"/>
      <c r="N3408" s="6"/>
      <c r="O3408" s="6"/>
      <c r="P3408" s="6"/>
      <c r="Q3408">
        <v>0</v>
      </c>
      <c r="R3408">
        <f t="shared" si="265"/>
        <v>0</v>
      </c>
      <c r="S3408">
        <f t="shared" si="266"/>
        <v>0</v>
      </c>
      <c r="T3408">
        <f t="shared" si="267"/>
        <v>0</v>
      </c>
      <c r="U3408">
        <f t="shared" si="268"/>
        <v>0</v>
      </c>
      <c r="V3408">
        <f t="shared" si="269"/>
        <v>0</v>
      </c>
    </row>
    <row r="3409" spans="1:22" x14ac:dyDescent="0.25">
      <c r="A3409">
        <v>3406</v>
      </c>
      <c r="B3409" t="s">
        <v>26</v>
      </c>
      <c r="C3409" t="s">
        <v>1218</v>
      </c>
      <c r="D3409" s="4">
        <v>45377</v>
      </c>
      <c r="E3409" t="s">
        <v>2492</v>
      </c>
      <c r="F3409" t="s">
        <v>75</v>
      </c>
      <c r="I3409" s="6"/>
      <c r="J3409" s="6"/>
      <c r="K3409" s="6"/>
      <c r="L3409" s="6"/>
      <c r="M3409" s="6"/>
      <c r="N3409" s="6"/>
      <c r="O3409" s="6"/>
      <c r="P3409" s="6"/>
      <c r="Q3409">
        <v>0</v>
      </c>
      <c r="R3409">
        <f t="shared" si="265"/>
        <v>0</v>
      </c>
      <c r="S3409">
        <f t="shared" si="266"/>
        <v>0</v>
      </c>
      <c r="T3409">
        <f t="shared" si="267"/>
        <v>0</v>
      </c>
      <c r="U3409">
        <f t="shared" si="268"/>
        <v>0</v>
      </c>
      <c r="V3409">
        <f t="shared" si="269"/>
        <v>0</v>
      </c>
    </row>
    <row r="3410" spans="1:22" x14ac:dyDescent="0.25">
      <c r="A3410">
        <v>3407</v>
      </c>
      <c r="B3410" t="s">
        <v>26</v>
      </c>
      <c r="C3410" t="s">
        <v>1218</v>
      </c>
      <c r="D3410" s="4">
        <v>45377</v>
      </c>
      <c r="E3410" t="s">
        <v>2491</v>
      </c>
      <c r="F3410" t="s">
        <v>75</v>
      </c>
      <c r="I3410" s="6"/>
      <c r="J3410" s="6"/>
      <c r="K3410" s="6"/>
      <c r="L3410" s="6"/>
      <c r="M3410" s="6"/>
      <c r="N3410" s="6"/>
      <c r="O3410" s="6"/>
      <c r="P3410" s="6"/>
      <c r="Q3410">
        <v>0</v>
      </c>
      <c r="R3410">
        <f t="shared" si="265"/>
        <v>0</v>
      </c>
      <c r="S3410">
        <f t="shared" si="266"/>
        <v>0</v>
      </c>
      <c r="T3410">
        <f t="shared" si="267"/>
        <v>0</v>
      </c>
      <c r="U3410">
        <f t="shared" si="268"/>
        <v>0</v>
      </c>
      <c r="V3410">
        <f t="shared" si="269"/>
        <v>0</v>
      </c>
    </row>
    <row r="3411" spans="1:22" x14ac:dyDescent="0.25">
      <c r="A3411">
        <v>3408</v>
      </c>
      <c r="B3411" t="s">
        <v>26</v>
      </c>
      <c r="C3411" t="s">
        <v>1218</v>
      </c>
      <c r="D3411" s="4">
        <v>45377</v>
      </c>
      <c r="E3411" t="s">
        <v>2490</v>
      </c>
      <c r="F3411" t="s">
        <v>75</v>
      </c>
      <c r="I3411" s="6"/>
      <c r="J3411" s="6"/>
      <c r="K3411" s="6"/>
      <c r="L3411" s="6"/>
      <c r="M3411" s="6"/>
      <c r="N3411" s="6"/>
      <c r="O3411" s="6"/>
      <c r="P3411" s="6"/>
      <c r="Q3411">
        <v>0</v>
      </c>
      <c r="R3411">
        <f t="shared" si="265"/>
        <v>0</v>
      </c>
      <c r="S3411">
        <f t="shared" si="266"/>
        <v>0</v>
      </c>
      <c r="T3411">
        <f t="shared" si="267"/>
        <v>0</v>
      </c>
      <c r="U3411">
        <f t="shared" si="268"/>
        <v>0</v>
      </c>
      <c r="V3411">
        <f t="shared" si="269"/>
        <v>0</v>
      </c>
    </row>
    <row r="3412" spans="1:22" x14ac:dyDescent="0.25">
      <c r="A3412">
        <v>3409</v>
      </c>
      <c r="B3412" t="s">
        <v>26</v>
      </c>
      <c r="C3412" t="s">
        <v>1218</v>
      </c>
      <c r="D3412" s="4">
        <v>45377</v>
      </c>
      <c r="E3412" t="s">
        <v>2489</v>
      </c>
      <c r="F3412" t="s">
        <v>75</v>
      </c>
      <c r="I3412" s="6"/>
      <c r="J3412" s="6"/>
      <c r="K3412" s="6"/>
      <c r="L3412" s="6"/>
      <c r="M3412" s="6"/>
      <c r="N3412" s="6"/>
      <c r="O3412" s="6"/>
      <c r="P3412" s="6"/>
      <c r="Q3412">
        <v>0</v>
      </c>
      <c r="R3412">
        <f t="shared" si="265"/>
        <v>0</v>
      </c>
      <c r="S3412">
        <f t="shared" si="266"/>
        <v>0</v>
      </c>
      <c r="T3412">
        <f t="shared" si="267"/>
        <v>0</v>
      </c>
      <c r="U3412">
        <f t="shared" si="268"/>
        <v>0</v>
      </c>
      <c r="V3412">
        <f t="shared" si="269"/>
        <v>0</v>
      </c>
    </row>
    <row r="3413" spans="1:22" x14ac:dyDescent="0.25">
      <c r="A3413">
        <v>3410</v>
      </c>
      <c r="B3413" t="s">
        <v>26</v>
      </c>
      <c r="C3413" t="s">
        <v>1218</v>
      </c>
      <c r="D3413" s="4">
        <v>45377</v>
      </c>
      <c r="E3413" t="s">
        <v>2488</v>
      </c>
      <c r="F3413" t="s">
        <v>75</v>
      </c>
      <c r="I3413" s="6">
        <v>1</v>
      </c>
      <c r="J3413" s="6">
        <v>0</v>
      </c>
      <c r="K3413" s="6">
        <v>0</v>
      </c>
      <c r="L3413" s="6">
        <v>0</v>
      </c>
      <c r="M3413" s="6">
        <v>0</v>
      </c>
      <c r="N3413" s="6">
        <v>0</v>
      </c>
      <c r="O3413" s="6">
        <v>0</v>
      </c>
      <c r="P3413" s="6">
        <v>0</v>
      </c>
      <c r="Q3413">
        <v>1</v>
      </c>
      <c r="R3413">
        <f t="shared" si="265"/>
        <v>0</v>
      </c>
      <c r="S3413">
        <f t="shared" si="266"/>
        <v>1</v>
      </c>
      <c r="T3413">
        <f t="shared" si="267"/>
        <v>1</v>
      </c>
      <c r="U3413">
        <f t="shared" si="268"/>
        <v>1</v>
      </c>
      <c r="V3413">
        <f t="shared" si="269"/>
        <v>0</v>
      </c>
    </row>
    <row r="3414" spans="1:22" x14ac:dyDescent="0.25">
      <c r="A3414">
        <v>3411</v>
      </c>
      <c r="B3414" t="s">
        <v>26</v>
      </c>
      <c r="C3414" t="s">
        <v>1218</v>
      </c>
      <c r="D3414" s="4">
        <v>45377</v>
      </c>
      <c r="E3414" t="s">
        <v>1534</v>
      </c>
      <c r="F3414" t="s">
        <v>75</v>
      </c>
      <c r="I3414" s="6"/>
      <c r="J3414" s="6"/>
      <c r="K3414" s="6"/>
      <c r="L3414" s="6"/>
      <c r="M3414" s="6"/>
      <c r="N3414" s="6"/>
      <c r="O3414" s="6"/>
      <c r="P3414" s="6"/>
      <c r="Q3414">
        <v>0</v>
      </c>
      <c r="R3414">
        <f t="shared" si="265"/>
        <v>0</v>
      </c>
      <c r="S3414">
        <f t="shared" si="266"/>
        <v>0</v>
      </c>
      <c r="T3414">
        <f t="shared" si="267"/>
        <v>0</v>
      </c>
      <c r="U3414">
        <f t="shared" si="268"/>
        <v>0</v>
      </c>
      <c r="V3414">
        <f t="shared" si="269"/>
        <v>0</v>
      </c>
    </row>
    <row r="3415" spans="1:22" x14ac:dyDescent="0.25">
      <c r="A3415">
        <v>3412</v>
      </c>
      <c r="B3415" t="s">
        <v>26</v>
      </c>
      <c r="C3415" t="s">
        <v>1218</v>
      </c>
      <c r="D3415" s="4">
        <v>45377</v>
      </c>
      <c r="E3415" t="s">
        <v>1346</v>
      </c>
      <c r="F3415" t="s">
        <v>710</v>
      </c>
      <c r="G3415">
        <v>158</v>
      </c>
      <c r="I3415" s="6">
        <v>0</v>
      </c>
      <c r="J3415" s="6">
        <v>0</v>
      </c>
      <c r="K3415" s="6">
        <v>0</v>
      </c>
      <c r="L3415" s="6">
        <v>1</v>
      </c>
      <c r="M3415" s="6">
        <v>0</v>
      </c>
      <c r="N3415" s="6">
        <v>1</v>
      </c>
      <c r="O3415" s="6">
        <v>0</v>
      </c>
      <c r="P3415" s="6">
        <v>0</v>
      </c>
      <c r="Q3415">
        <v>1</v>
      </c>
      <c r="R3415">
        <f t="shared" si="265"/>
        <v>0</v>
      </c>
      <c r="S3415">
        <f t="shared" si="266"/>
        <v>0</v>
      </c>
      <c r="T3415">
        <f t="shared" si="267"/>
        <v>2</v>
      </c>
      <c r="U3415">
        <f t="shared" si="268"/>
        <v>1</v>
      </c>
      <c r="V3415">
        <f t="shared" si="269"/>
        <v>0</v>
      </c>
    </row>
    <row r="3416" spans="1:22" x14ac:dyDescent="0.25">
      <c r="A3416">
        <v>3413</v>
      </c>
      <c r="B3416" t="s">
        <v>26</v>
      </c>
      <c r="C3416" t="s">
        <v>1218</v>
      </c>
      <c r="D3416" s="4">
        <v>45377</v>
      </c>
      <c r="E3416" t="s">
        <v>2487</v>
      </c>
      <c r="F3416" t="s">
        <v>75</v>
      </c>
      <c r="I3416" s="6"/>
      <c r="J3416" s="6"/>
      <c r="K3416" s="6"/>
      <c r="L3416" s="6"/>
      <c r="M3416" s="6"/>
      <c r="N3416" s="6"/>
      <c r="O3416" s="6"/>
      <c r="P3416" s="6"/>
      <c r="Q3416">
        <v>0</v>
      </c>
      <c r="R3416">
        <f t="shared" si="265"/>
        <v>0</v>
      </c>
      <c r="S3416">
        <f t="shared" si="266"/>
        <v>0</v>
      </c>
      <c r="T3416">
        <f t="shared" si="267"/>
        <v>0</v>
      </c>
      <c r="U3416">
        <f t="shared" si="268"/>
        <v>0</v>
      </c>
      <c r="V3416">
        <f t="shared" si="269"/>
        <v>0</v>
      </c>
    </row>
    <row r="3417" spans="1:22" x14ac:dyDescent="0.25">
      <c r="A3417">
        <v>3414</v>
      </c>
      <c r="B3417" t="s">
        <v>26</v>
      </c>
      <c r="C3417" t="s">
        <v>1218</v>
      </c>
      <c r="D3417" s="4">
        <v>45377</v>
      </c>
      <c r="E3417" t="s">
        <v>2486</v>
      </c>
      <c r="F3417" t="s">
        <v>75</v>
      </c>
      <c r="I3417" s="6">
        <v>1</v>
      </c>
      <c r="J3417" s="6">
        <v>0</v>
      </c>
      <c r="K3417" s="6">
        <v>0</v>
      </c>
      <c r="L3417" s="6">
        <v>0</v>
      </c>
      <c r="M3417" s="6">
        <v>0</v>
      </c>
      <c r="N3417" s="6">
        <v>0</v>
      </c>
      <c r="O3417" s="6">
        <v>0</v>
      </c>
      <c r="P3417" s="6">
        <v>0</v>
      </c>
      <c r="Q3417">
        <v>1</v>
      </c>
      <c r="R3417">
        <f t="shared" si="265"/>
        <v>0</v>
      </c>
      <c r="S3417">
        <f t="shared" si="266"/>
        <v>1</v>
      </c>
      <c r="T3417">
        <f t="shared" si="267"/>
        <v>1</v>
      </c>
      <c r="U3417">
        <f t="shared" si="268"/>
        <v>1</v>
      </c>
      <c r="V3417">
        <f t="shared" si="269"/>
        <v>0</v>
      </c>
    </row>
    <row r="3418" spans="1:22" x14ac:dyDescent="0.25">
      <c r="A3418">
        <v>3415</v>
      </c>
      <c r="B3418" t="s">
        <v>26</v>
      </c>
      <c r="C3418" t="s">
        <v>1218</v>
      </c>
      <c r="D3418" s="4">
        <v>45377</v>
      </c>
      <c r="E3418" t="s">
        <v>2485</v>
      </c>
      <c r="F3418" t="s">
        <v>75</v>
      </c>
      <c r="I3418" s="6"/>
      <c r="J3418" s="6"/>
      <c r="K3418" s="6"/>
      <c r="L3418" s="6"/>
      <c r="M3418" s="6"/>
      <c r="N3418" s="6"/>
      <c r="O3418" s="6"/>
      <c r="P3418" s="6"/>
      <c r="Q3418">
        <v>0</v>
      </c>
      <c r="R3418">
        <f t="shared" si="265"/>
        <v>0</v>
      </c>
      <c r="S3418">
        <f t="shared" si="266"/>
        <v>0</v>
      </c>
      <c r="T3418">
        <f t="shared" si="267"/>
        <v>0</v>
      </c>
      <c r="U3418">
        <f t="shared" si="268"/>
        <v>0</v>
      </c>
      <c r="V3418">
        <f t="shared" si="269"/>
        <v>0</v>
      </c>
    </row>
    <row r="3419" spans="1:22" x14ac:dyDescent="0.25">
      <c r="A3419">
        <v>3416</v>
      </c>
      <c r="B3419" t="s">
        <v>26</v>
      </c>
      <c r="C3419" t="s">
        <v>1218</v>
      </c>
      <c r="D3419" s="4">
        <v>45377</v>
      </c>
      <c r="E3419" t="s">
        <v>2194</v>
      </c>
      <c r="F3419" t="s">
        <v>75</v>
      </c>
      <c r="I3419" s="6"/>
      <c r="J3419" s="6"/>
      <c r="K3419" s="6"/>
      <c r="L3419" s="6"/>
      <c r="M3419" s="6"/>
      <c r="N3419" s="6"/>
      <c r="O3419" s="6"/>
      <c r="P3419" s="6"/>
      <c r="Q3419">
        <v>0</v>
      </c>
      <c r="R3419">
        <f t="shared" si="265"/>
        <v>0</v>
      </c>
      <c r="S3419">
        <f t="shared" si="266"/>
        <v>0</v>
      </c>
      <c r="T3419">
        <f t="shared" si="267"/>
        <v>0</v>
      </c>
      <c r="U3419">
        <f t="shared" si="268"/>
        <v>0</v>
      </c>
      <c r="V3419">
        <f t="shared" si="269"/>
        <v>0</v>
      </c>
    </row>
    <row r="3420" spans="1:22" x14ac:dyDescent="0.25">
      <c r="A3420">
        <v>3417</v>
      </c>
      <c r="B3420" t="s">
        <v>26</v>
      </c>
      <c r="C3420" t="s">
        <v>1218</v>
      </c>
      <c r="D3420" s="4">
        <v>45377</v>
      </c>
      <c r="E3420" t="s">
        <v>2193</v>
      </c>
      <c r="F3420" t="s">
        <v>75</v>
      </c>
      <c r="I3420" s="6"/>
      <c r="J3420" s="6"/>
      <c r="K3420" s="6"/>
      <c r="L3420" s="6"/>
      <c r="M3420" s="6"/>
      <c r="N3420" s="6"/>
      <c r="O3420" s="6"/>
      <c r="P3420" s="6"/>
      <c r="Q3420">
        <v>0</v>
      </c>
      <c r="R3420">
        <f t="shared" si="265"/>
        <v>0</v>
      </c>
      <c r="S3420">
        <f t="shared" si="266"/>
        <v>0</v>
      </c>
      <c r="T3420">
        <f t="shared" si="267"/>
        <v>0</v>
      </c>
      <c r="U3420">
        <f t="shared" si="268"/>
        <v>0</v>
      </c>
      <c r="V3420">
        <f t="shared" si="269"/>
        <v>0</v>
      </c>
    </row>
    <row r="3421" spans="1:22" x14ac:dyDescent="0.25">
      <c r="A3421">
        <v>3418</v>
      </c>
      <c r="B3421" t="s">
        <v>26</v>
      </c>
      <c r="C3421" t="s">
        <v>1218</v>
      </c>
      <c r="D3421" s="4">
        <v>45377</v>
      </c>
      <c r="E3421" t="s">
        <v>2192</v>
      </c>
      <c r="F3421" t="s">
        <v>75</v>
      </c>
      <c r="I3421" s="6"/>
      <c r="J3421" s="6"/>
      <c r="K3421" s="6"/>
      <c r="L3421" s="6"/>
      <c r="M3421" s="6"/>
      <c r="N3421" s="6"/>
      <c r="O3421" s="6"/>
      <c r="P3421" s="6"/>
      <c r="Q3421">
        <v>0</v>
      </c>
      <c r="R3421">
        <f t="shared" si="265"/>
        <v>0</v>
      </c>
      <c r="S3421">
        <f t="shared" si="266"/>
        <v>0</v>
      </c>
      <c r="T3421">
        <f t="shared" si="267"/>
        <v>0</v>
      </c>
      <c r="U3421">
        <f t="shared" si="268"/>
        <v>0</v>
      </c>
      <c r="V3421">
        <f t="shared" si="269"/>
        <v>0</v>
      </c>
    </row>
    <row r="3422" spans="1:22" x14ac:dyDescent="0.25">
      <c r="A3422">
        <v>3419</v>
      </c>
      <c r="B3422" t="s">
        <v>26</v>
      </c>
      <c r="C3422" t="s">
        <v>1218</v>
      </c>
      <c r="D3422" s="4">
        <v>45377</v>
      </c>
      <c r="E3422" t="s">
        <v>2191</v>
      </c>
      <c r="F3422" t="s">
        <v>75</v>
      </c>
      <c r="I3422" s="6"/>
      <c r="J3422" s="6"/>
      <c r="K3422" s="6"/>
      <c r="L3422" s="6"/>
      <c r="M3422" s="6"/>
      <c r="N3422" s="6"/>
      <c r="O3422" s="6"/>
      <c r="P3422" s="6"/>
      <c r="Q3422">
        <v>0</v>
      </c>
      <c r="R3422">
        <f t="shared" si="265"/>
        <v>0</v>
      </c>
      <c r="S3422">
        <f t="shared" si="266"/>
        <v>0</v>
      </c>
      <c r="T3422">
        <f t="shared" si="267"/>
        <v>0</v>
      </c>
      <c r="U3422">
        <f t="shared" si="268"/>
        <v>0</v>
      </c>
      <c r="V3422">
        <f t="shared" si="269"/>
        <v>0</v>
      </c>
    </row>
    <row r="3423" spans="1:22" x14ac:dyDescent="0.25">
      <c r="A3423">
        <v>3420</v>
      </c>
      <c r="B3423" t="s">
        <v>26</v>
      </c>
      <c r="C3423" t="s">
        <v>1218</v>
      </c>
      <c r="D3423" s="4">
        <v>45377</v>
      </c>
      <c r="E3423" t="s">
        <v>2190</v>
      </c>
      <c r="F3423" t="s">
        <v>75</v>
      </c>
      <c r="I3423" s="6">
        <v>1</v>
      </c>
      <c r="J3423" s="6">
        <v>0</v>
      </c>
      <c r="K3423" s="6">
        <v>0</v>
      </c>
      <c r="L3423" s="6">
        <v>0</v>
      </c>
      <c r="M3423" s="6">
        <v>0</v>
      </c>
      <c r="N3423" s="6">
        <v>0</v>
      </c>
      <c r="O3423" s="6">
        <v>0</v>
      </c>
      <c r="P3423" s="6">
        <v>0</v>
      </c>
      <c r="Q3423">
        <v>1</v>
      </c>
      <c r="R3423">
        <f t="shared" si="265"/>
        <v>0</v>
      </c>
      <c r="S3423">
        <f t="shared" si="266"/>
        <v>1</v>
      </c>
      <c r="T3423">
        <f t="shared" si="267"/>
        <v>1</v>
      </c>
      <c r="U3423">
        <f t="shared" si="268"/>
        <v>1</v>
      </c>
      <c r="V3423">
        <f t="shared" si="269"/>
        <v>0</v>
      </c>
    </row>
    <row r="3424" spans="1:22" x14ac:dyDescent="0.25">
      <c r="A3424">
        <v>3421</v>
      </c>
      <c r="B3424" t="s">
        <v>26</v>
      </c>
      <c r="C3424" t="s">
        <v>1218</v>
      </c>
      <c r="D3424" s="4">
        <v>45377</v>
      </c>
      <c r="E3424" t="s">
        <v>2189</v>
      </c>
      <c r="F3424" t="s">
        <v>75</v>
      </c>
      <c r="I3424" s="6"/>
      <c r="J3424" s="6"/>
      <c r="K3424" s="6"/>
      <c r="L3424" s="6"/>
      <c r="M3424" s="6"/>
      <c r="N3424" s="6"/>
      <c r="O3424" s="6"/>
      <c r="P3424" s="6"/>
      <c r="Q3424">
        <v>0</v>
      </c>
      <c r="R3424">
        <f t="shared" si="265"/>
        <v>0</v>
      </c>
      <c r="S3424">
        <f t="shared" si="266"/>
        <v>0</v>
      </c>
      <c r="T3424">
        <f t="shared" si="267"/>
        <v>0</v>
      </c>
      <c r="U3424">
        <f t="shared" si="268"/>
        <v>0</v>
      </c>
      <c r="V3424">
        <f t="shared" si="269"/>
        <v>0</v>
      </c>
    </row>
    <row r="3425" spans="1:22" x14ac:dyDescent="0.25">
      <c r="A3425">
        <v>3422</v>
      </c>
      <c r="B3425" t="s">
        <v>26</v>
      </c>
      <c r="C3425" t="s">
        <v>1218</v>
      </c>
      <c r="D3425" s="4">
        <v>45377</v>
      </c>
      <c r="E3425" t="s">
        <v>1347</v>
      </c>
      <c r="F3425" t="s">
        <v>75</v>
      </c>
      <c r="I3425" s="6">
        <v>0</v>
      </c>
      <c r="J3425" s="6">
        <v>0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>
        <v>1</v>
      </c>
      <c r="R3425">
        <f t="shared" si="265"/>
        <v>0</v>
      </c>
      <c r="S3425">
        <f t="shared" si="266"/>
        <v>1</v>
      </c>
      <c r="T3425">
        <f t="shared" si="267"/>
        <v>0</v>
      </c>
      <c r="U3425">
        <f t="shared" si="268"/>
        <v>0</v>
      </c>
      <c r="V3425">
        <f t="shared" si="269"/>
        <v>0</v>
      </c>
    </row>
    <row r="3426" spans="1:22" x14ac:dyDescent="0.25">
      <c r="A3426">
        <v>3423</v>
      </c>
      <c r="B3426" t="s">
        <v>26</v>
      </c>
      <c r="C3426" t="s">
        <v>1218</v>
      </c>
      <c r="D3426" s="4">
        <v>45378</v>
      </c>
      <c r="E3426" t="s">
        <v>438</v>
      </c>
      <c r="F3426" t="s">
        <v>75</v>
      </c>
      <c r="I3426" s="6"/>
      <c r="J3426" s="6"/>
      <c r="K3426" s="6"/>
      <c r="L3426" s="6"/>
      <c r="M3426" s="6"/>
      <c r="N3426" s="6"/>
      <c r="O3426" s="6"/>
      <c r="P3426" s="6"/>
      <c r="Q3426">
        <v>0</v>
      </c>
      <c r="R3426">
        <f t="shared" si="265"/>
        <v>0</v>
      </c>
      <c r="S3426">
        <f t="shared" si="266"/>
        <v>0</v>
      </c>
      <c r="T3426">
        <f t="shared" si="267"/>
        <v>0</v>
      </c>
      <c r="U3426">
        <f t="shared" si="268"/>
        <v>0</v>
      </c>
      <c r="V3426">
        <f t="shared" si="269"/>
        <v>0</v>
      </c>
    </row>
    <row r="3427" spans="1:22" x14ac:dyDescent="0.25">
      <c r="A3427">
        <v>3424</v>
      </c>
      <c r="B3427" t="s">
        <v>26</v>
      </c>
      <c r="C3427" t="s">
        <v>1218</v>
      </c>
      <c r="D3427" s="4">
        <v>45378</v>
      </c>
      <c r="E3427" t="s">
        <v>2484</v>
      </c>
      <c r="F3427" t="s">
        <v>75</v>
      </c>
      <c r="I3427" s="6">
        <v>0</v>
      </c>
      <c r="J3427" s="6">
        <v>0</v>
      </c>
      <c r="K3427" s="6">
        <v>0</v>
      </c>
      <c r="L3427" s="6">
        <v>1</v>
      </c>
      <c r="M3427" s="6">
        <v>1</v>
      </c>
      <c r="N3427" s="6">
        <v>0</v>
      </c>
      <c r="O3427" s="6">
        <v>0</v>
      </c>
      <c r="P3427" s="6">
        <v>0</v>
      </c>
      <c r="Q3427">
        <v>1</v>
      </c>
      <c r="R3427">
        <f t="shared" si="265"/>
        <v>0</v>
      </c>
      <c r="S3427">
        <f t="shared" si="266"/>
        <v>1</v>
      </c>
      <c r="T3427">
        <f t="shared" si="267"/>
        <v>2</v>
      </c>
      <c r="U3427">
        <f t="shared" si="268"/>
        <v>1</v>
      </c>
      <c r="V3427">
        <f t="shared" si="269"/>
        <v>0</v>
      </c>
    </row>
    <row r="3428" spans="1:22" x14ac:dyDescent="0.25">
      <c r="A3428">
        <v>3425</v>
      </c>
      <c r="B3428" t="s">
        <v>26</v>
      </c>
      <c r="C3428" t="s">
        <v>1218</v>
      </c>
      <c r="D3428" s="4">
        <v>45378</v>
      </c>
      <c r="E3428" t="s">
        <v>2483</v>
      </c>
      <c r="F3428" t="s">
        <v>75</v>
      </c>
      <c r="I3428" s="6">
        <v>0</v>
      </c>
      <c r="J3428" s="6">
        <v>0</v>
      </c>
      <c r="K3428" s="6">
        <v>0</v>
      </c>
      <c r="L3428" s="6">
        <v>0</v>
      </c>
      <c r="M3428" s="6">
        <v>0</v>
      </c>
      <c r="N3428" s="6">
        <v>0</v>
      </c>
      <c r="O3428" s="6">
        <v>0</v>
      </c>
      <c r="P3428" s="6">
        <v>0</v>
      </c>
      <c r="Q3428">
        <v>1</v>
      </c>
      <c r="R3428">
        <f t="shared" si="265"/>
        <v>0</v>
      </c>
      <c r="S3428">
        <f t="shared" si="266"/>
        <v>1</v>
      </c>
      <c r="T3428">
        <f t="shared" si="267"/>
        <v>0</v>
      </c>
      <c r="U3428">
        <f t="shared" si="268"/>
        <v>0</v>
      </c>
      <c r="V3428">
        <f t="shared" si="269"/>
        <v>0</v>
      </c>
    </row>
    <row r="3429" spans="1:22" x14ac:dyDescent="0.25">
      <c r="A3429">
        <v>3426</v>
      </c>
      <c r="B3429" t="s">
        <v>26</v>
      </c>
      <c r="C3429" t="s">
        <v>1218</v>
      </c>
      <c r="D3429" s="4">
        <v>45378</v>
      </c>
      <c r="E3429" t="s">
        <v>439</v>
      </c>
      <c r="F3429" t="s">
        <v>75</v>
      </c>
      <c r="I3429" s="6"/>
      <c r="J3429" s="6"/>
      <c r="K3429" s="6"/>
      <c r="L3429" s="6"/>
      <c r="M3429" s="6"/>
      <c r="N3429" s="6"/>
      <c r="O3429" s="6"/>
      <c r="P3429" s="6"/>
      <c r="Q3429">
        <v>0</v>
      </c>
      <c r="R3429">
        <f t="shared" si="265"/>
        <v>0</v>
      </c>
      <c r="S3429">
        <f t="shared" si="266"/>
        <v>0</v>
      </c>
      <c r="T3429">
        <f t="shared" si="267"/>
        <v>0</v>
      </c>
      <c r="U3429">
        <f t="shared" si="268"/>
        <v>0</v>
      </c>
      <c r="V3429">
        <f t="shared" si="269"/>
        <v>0</v>
      </c>
    </row>
    <row r="3430" spans="1:22" x14ac:dyDescent="0.25">
      <c r="A3430">
        <v>3427</v>
      </c>
      <c r="B3430" t="s">
        <v>26</v>
      </c>
      <c r="C3430" t="s">
        <v>1218</v>
      </c>
      <c r="D3430" s="4">
        <v>45378</v>
      </c>
      <c r="E3430" t="s">
        <v>1535</v>
      </c>
      <c r="F3430" t="s">
        <v>75</v>
      </c>
      <c r="I3430" s="6"/>
      <c r="J3430" s="6"/>
      <c r="K3430" s="6"/>
      <c r="L3430" s="6"/>
      <c r="M3430" s="6"/>
      <c r="N3430" s="6"/>
      <c r="O3430" s="6"/>
      <c r="P3430" s="6"/>
      <c r="Q3430">
        <v>0</v>
      </c>
      <c r="R3430">
        <f t="shared" si="265"/>
        <v>0</v>
      </c>
      <c r="S3430">
        <f t="shared" si="266"/>
        <v>0</v>
      </c>
      <c r="T3430">
        <f t="shared" si="267"/>
        <v>0</v>
      </c>
      <c r="U3430">
        <f t="shared" si="268"/>
        <v>0</v>
      </c>
      <c r="V3430">
        <f t="shared" si="269"/>
        <v>0</v>
      </c>
    </row>
    <row r="3431" spans="1:22" x14ac:dyDescent="0.25">
      <c r="A3431">
        <v>3428</v>
      </c>
      <c r="B3431" t="s">
        <v>26</v>
      </c>
      <c r="C3431" t="s">
        <v>1218</v>
      </c>
      <c r="D3431" s="4">
        <v>45378</v>
      </c>
      <c r="E3431" t="s">
        <v>1348</v>
      </c>
      <c r="F3431" t="s">
        <v>75</v>
      </c>
      <c r="I3431" s="6">
        <v>1</v>
      </c>
      <c r="J3431" s="6">
        <v>0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>
        <v>1</v>
      </c>
      <c r="R3431">
        <f t="shared" si="265"/>
        <v>0</v>
      </c>
      <c r="S3431">
        <f t="shared" si="266"/>
        <v>1</v>
      </c>
      <c r="T3431">
        <f t="shared" si="267"/>
        <v>1</v>
      </c>
      <c r="U3431">
        <f t="shared" si="268"/>
        <v>1</v>
      </c>
      <c r="V3431">
        <f t="shared" si="269"/>
        <v>0</v>
      </c>
    </row>
    <row r="3432" spans="1:22" x14ac:dyDescent="0.25">
      <c r="A3432">
        <v>3429</v>
      </c>
      <c r="B3432" t="s">
        <v>26</v>
      </c>
      <c r="C3432" t="s">
        <v>1218</v>
      </c>
      <c r="D3432" s="4">
        <v>45378</v>
      </c>
      <c r="E3432" t="s">
        <v>2188</v>
      </c>
      <c r="F3432" t="s">
        <v>75</v>
      </c>
      <c r="I3432" s="6"/>
      <c r="J3432" s="6"/>
      <c r="K3432" s="6"/>
      <c r="L3432" s="6"/>
      <c r="M3432" s="6"/>
      <c r="N3432" s="6"/>
      <c r="O3432" s="6"/>
      <c r="P3432" s="6"/>
      <c r="Q3432">
        <v>0</v>
      </c>
      <c r="R3432">
        <f t="shared" si="265"/>
        <v>0</v>
      </c>
      <c r="S3432">
        <f t="shared" si="266"/>
        <v>0</v>
      </c>
      <c r="T3432">
        <f t="shared" si="267"/>
        <v>0</v>
      </c>
      <c r="U3432">
        <f t="shared" si="268"/>
        <v>0</v>
      </c>
      <c r="V3432">
        <f t="shared" si="269"/>
        <v>0</v>
      </c>
    </row>
    <row r="3433" spans="1:22" x14ac:dyDescent="0.25">
      <c r="A3433">
        <v>3430</v>
      </c>
      <c r="B3433" t="s">
        <v>26</v>
      </c>
      <c r="C3433" t="s">
        <v>1218</v>
      </c>
      <c r="D3433" s="4">
        <v>45378</v>
      </c>
      <c r="E3433" t="s">
        <v>1536</v>
      </c>
      <c r="F3433" t="s">
        <v>75</v>
      </c>
      <c r="I3433" s="6"/>
      <c r="J3433" s="6"/>
      <c r="K3433" s="6"/>
      <c r="L3433" s="6"/>
      <c r="M3433" s="6"/>
      <c r="N3433" s="6"/>
      <c r="O3433" s="6"/>
      <c r="P3433" s="6"/>
      <c r="Q3433">
        <v>0</v>
      </c>
      <c r="R3433">
        <f t="shared" si="265"/>
        <v>0</v>
      </c>
      <c r="S3433">
        <f t="shared" si="266"/>
        <v>0</v>
      </c>
      <c r="T3433">
        <f t="shared" si="267"/>
        <v>0</v>
      </c>
      <c r="U3433">
        <f t="shared" si="268"/>
        <v>0</v>
      </c>
      <c r="V3433">
        <f t="shared" si="269"/>
        <v>0</v>
      </c>
    </row>
    <row r="3434" spans="1:22" x14ac:dyDescent="0.25">
      <c r="A3434">
        <v>3431</v>
      </c>
      <c r="B3434" t="s">
        <v>26</v>
      </c>
      <c r="C3434" t="s">
        <v>1218</v>
      </c>
      <c r="D3434" s="4">
        <v>45378</v>
      </c>
      <c r="E3434" t="s">
        <v>2187</v>
      </c>
      <c r="F3434" t="s">
        <v>75</v>
      </c>
      <c r="I3434" s="6">
        <v>0</v>
      </c>
      <c r="J3434" s="6">
        <v>0</v>
      </c>
      <c r="K3434" s="6">
        <v>0</v>
      </c>
      <c r="L3434" s="6">
        <v>0</v>
      </c>
      <c r="M3434" s="6">
        <v>0</v>
      </c>
      <c r="N3434" s="6">
        <v>0</v>
      </c>
      <c r="O3434" s="6">
        <v>0</v>
      </c>
      <c r="P3434" s="6">
        <v>0</v>
      </c>
      <c r="Q3434">
        <v>1</v>
      </c>
      <c r="R3434">
        <f t="shared" si="265"/>
        <v>0</v>
      </c>
      <c r="S3434">
        <f t="shared" si="266"/>
        <v>1</v>
      </c>
      <c r="T3434">
        <f t="shared" si="267"/>
        <v>0</v>
      </c>
      <c r="U3434">
        <f t="shared" si="268"/>
        <v>0</v>
      </c>
      <c r="V3434">
        <f t="shared" si="269"/>
        <v>0</v>
      </c>
    </row>
    <row r="3435" spans="1:22" x14ac:dyDescent="0.25">
      <c r="A3435">
        <v>3432</v>
      </c>
      <c r="B3435" t="s">
        <v>26</v>
      </c>
      <c r="C3435" t="s">
        <v>1218</v>
      </c>
      <c r="D3435" s="4">
        <v>45378</v>
      </c>
      <c r="E3435" t="s">
        <v>2186</v>
      </c>
      <c r="F3435" t="s">
        <v>75</v>
      </c>
      <c r="I3435" s="6"/>
      <c r="J3435" s="6"/>
      <c r="K3435" s="6"/>
      <c r="L3435" s="6"/>
      <c r="M3435" s="6"/>
      <c r="N3435" s="6"/>
      <c r="O3435" s="6"/>
      <c r="P3435" s="6"/>
      <c r="Q3435">
        <v>0</v>
      </c>
      <c r="R3435">
        <f t="shared" si="265"/>
        <v>0</v>
      </c>
      <c r="S3435">
        <f t="shared" si="266"/>
        <v>0</v>
      </c>
      <c r="T3435">
        <f t="shared" si="267"/>
        <v>0</v>
      </c>
      <c r="U3435">
        <f t="shared" si="268"/>
        <v>0</v>
      </c>
      <c r="V3435">
        <f t="shared" si="269"/>
        <v>0</v>
      </c>
    </row>
    <row r="3436" spans="1:22" x14ac:dyDescent="0.25">
      <c r="A3436">
        <v>3433</v>
      </c>
      <c r="B3436" t="s">
        <v>26</v>
      </c>
      <c r="C3436" t="s">
        <v>1218</v>
      </c>
      <c r="D3436" s="4">
        <v>45378</v>
      </c>
      <c r="E3436" t="s">
        <v>2482</v>
      </c>
      <c r="F3436" t="s">
        <v>75</v>
      </c>
      <c r="I3436" s="6"/>
      <c r="J3436" s="6"/>
      <c r="K3436" s="6"/>
      <c r="L3436" s="6"/>
      <c r="M3436" s="6"/>
      <c r="N3436" s="6"/>
      <c r="O3436" s="6"/>
      <c r="P3436" s="6"/>
      <c r="Q3436">
        <v>0</v>
      </c>
      <c r="R3436">
        <f t="shared" si="265"/>
        <v>0</v>
      </c>
      <c r="S3436">
        <f t="shared" si="266"/>
        <v>0</v>
      </c>
      <c r="T3436">
        <f t="shared" si="267"/>
        <v>0</v>
      </c>
      <c r="U3436">
        <f t="shared" si="268"/>
        <v>0</v>
      </c>
      <c r="V3436">
        <f t="shared" si="269"/>
        <v>0</v>
      </c>
    </row>
    <row r="3437" spans="1:22" x14ac:dyDescent="0.25">
      <c r="A3437">
        <v>3434</v>
      </c>
      <c r="B3437" t="s">
        <v>26</v>
      </c>
      <c r="C3437" t="s">
        <v>1218</v>
      </c>
      <c r="D3437" s="4">
        <v>45379</v>
      </c>
      <c r="E3437" t="s">
        <v>440</v>
      </c>
      <c r="F3437" t="s">
        <v>75</v>
      </c>
      <c r="I3437" s="6">
        <v>1</v>
      </c>
      <c r="J3437" s="6">
        <v>0</v>
      </c>
      <c r="K3437" s="6">
        <v>0</v>
      </c>
      <c r="L3437" s="6">
        <v>0</v>
      </c>
      <c r="M3437" s="6">
        <v>0</v>
      </c>
      <c r="N3437" s="6">
        <v>0</v>
      </c>
      <c r="O3437" s="6">
        <v>0</v>
      </c>
      <c r="P3437" s="6">
        <v>0</v>
      </c>
      <c r="Q3437">
        <v>1</v>
      </c>
      <c r="R3437">
        <f t="shared" si="265"/>
        <v>0</v>
      </c>
      <c r="S3437">
        <f t="shared" si="266"/>
        <v>1</v>
      </c>
      <c r="T3437">
        <f t="shared" si="267"/>
        <v>1</v>
      </c>
      <c r="U3437">
        <f t="shared" si="268"/>
        <v>1</v>
      </c>
      <c r="V3437">
        <f t="shared" si="269"/>
        <v>0</v>
      </c>
    </row>
    <row r="3438" spans="1:22" x14ac:dyDescent="0.25">
      <c r="A3438">
        <v>3435</v>
      </c>
      <c r="B3438" t="s">
        <v>26</v>
      </c>
      <c r="C3438" t="s">
        <v>1218</v>
      </c>
      <c r="D3438" s="4">
        <v>45379</v>
      </c>
      <c r="E3438" t="s">
        <v>1349</v>
      </c>
      <c r="F3438" t="s">
        <v>75</v>
      </c>
      <c r="I3438" s="6">
        <v>0</v>
      </c>
      <c r="J3438" s="6">
        <v>0</v>
      </c>
      <c r="K3438" s="6">
        <v>0</v>
      </c>
      <c r="L3438" s="6">
        <v>1</v>
      </c>
      <c r="M3438" s="6">
        <v>0</v>
      </c>
      <c r="N3438" s="6">
        <v>1</v>
      </c>
      <c r="O3438" s="6">
        <v>0</v>
      </c>
      <c r="P3438" s="6">
        <v>0</v>
      </c>
      <c r="Q3438">
        <v>1</v>
      </c>
      <c r="R3438">
        <f t="shared" si="265"/>
        <v>0</v>
      </c>
      <c r="S3438">
        <f t="shared" si="266"/>
        <v>1</v>
      </c>
      <c r="T3438">
        <f t="shared" si="267"/>
        <v>2</v>
      </c>
      <c r="U3438">
        <f t="shared" si="268"/>
        <v>1</v>
      </c>
      <c r="V3438">
        <f t="shared" si="269"/>
        <v>0</v>
      </c>
    </row>
    <row r="3439" spans="1:22" x14ac:dyDescent="0.25">
      <c r="A3439">
        <v>3436</v>
      </c>
      <c r="B3439" t="s">
        <v>26</v>
      </c>
      <c r="C3439" t="s">
        <v>1218</v>
      </c>
      <c r="D3439" s="4">
        <v>45379</v>
      </c>
      <c r="E3439" t="s">
        <v>2481</v>
      </c>
      <c r="F3439" t="s">
        <v>75</v>
      </c>
      <c r="I3439" s="6"/>
      <c r="J3439" s="6"/>
      <c r="K3439" s="6"/>
      <c r="L3439" s="6"/>
      <c r="M3439" s="6"/>
      <c r="N3439" s="6"/>
      <c r="O3439" s="6"/>
      <c r="P3439" s="6"/>
      <c r="Q3439">
        <v>0</v>
      </c>
      <c r="R3439">
        <f t="shared" si="265"/>
        <v>0</v>
      </c>
      <c r="S3439">
        <f t="shared" si="266"/>
        <v>0</v>
      </c>
      <c r="T3439">
        <f t="shared" si="267"/>
        <v>0</v>
      </c>
      <c r="U3439">
        <f t="shared" si="268"/>
        <v>0</v>
      </c>
      <c r="V3439">
        <f t="shared" si="269"/>
        <v>0</v>
      </c>
    </row>
    <row r="3440" spans="1:22" x14ac:dyDescent="0.25">
      <c r="A3440">
        <v>3437</v>
      </c>
      <c r="B3440" t="s">
        <v>26</v>
      </c>
      <c r="C3440" t="s">
        <v>1218</v>
      </c>
      <c r="D3440" s="4">
        <v>45379</v>
      </c>
      <c r="E3440" t="s">
        <v>441</v>
      </c>
      <c r="F3440" t="s">
        <v>75</v>
      </c>
      <c r="I3440" s="6"/>
      <c r="J3440" s="6"/>
      <c r="K3440" s="6"/>
      <c r="L3440" s="6"/>
      <c r="M3440" s="6"/>
      <c r="N3440" s="6"/>
      <c r="O3440" s="6"/>
      <c r="P3440" s="6"/>
      <c r="Q3440">
        <v>0</v>
      </c>
      <c r="R3440">
        <f t="shared" si="265"/>
        <v>0</v>
      </c>
      <c r="S3440">
        <f t="shared" si="266"/>
        <v>0</v>
      </c>
      <c r="T3440">
        <f t="shared" si="267"/>
        <v>0</v>
      </c>
      <c r="U3440">
        <f t="shared" si="268"/>
        <v>0</v>
      </c>
      <c r="V3440">
        <f t="shared" si="269"/>
        <v>0</v>
      </c>
    </row>
    <row r="3441" spans="1:22" x14ac:dyDescent="0.25">
      <c r="A3441">
        <v>3438</v>
      </c>
      <c r="B3441" t="s">
        <v>26</v>
      </c>
      <c r="C3441" t="s">
        <v>1218</v>
      </c>
      <c r="D3441" s="4">
        <v>45379</v>
      </c>
      <c r="E3441" t="s">
        <v>442</v>
      </c>
      <c r="F3441" t="s">
        <v>75</v>
      </c>
      <c r="I3441" s="6"/>
      <c r="J3441" s="6"/>
      <c r="K3441" s="6"/>
      <c r="L3441" s="6"/>
      <c r="M3441" s="6"/>
      <c r="N3441" s="6"/>
      <c r="O3441" s="6"/>
      <c r="P3441" s="6"/>
      <c r="Q3441">
        <v>0</v>
      </c>
      <c r="R3441">
        <f t="shared" si="265"/>
        <v>0</v>
      </c>
      <c r="S3441">
        <f t="shared" si="266"/>
        <v>0</v>
      </c>
      <c r="T3441">
        <f t="shared" si="267"/>
        <v>0</v>
      </c>
      <c r="U3441">
        <f t="shared" si="268"/>
        <v>0</v>
      </c>
      <c r="V3441">
        <f t="shared" si="269"/>
        <v>0</v>
      </c>
    </row>
    <row r="3442" spans="1:22" x14ac:dyDescent="0.25">
      <c r="A3442">
        <v>3439</v>
      </c>
      <c r="B3442" t="s">
        <v>26</v>
      </c>
      <c r="C3442" t="s">
        <v>1218</v>
      </c>
      <c r="D3442" s="4">
        <v>45379</v>
      </c>
      <c r="E3442" t="s">
        <v>2185</v>
      </c>
      <c r="F3442" t="s">
        <v>75</v>
      </c>
      <c r="I3442" s="6"/>
      <c r="J3442" s="6"/>
      <c r="K3442" s="6"/>
      <c r="L3442" s="6"/>
      <c r="M3442" s="6"/>
      <c r="N3442" s="6"/>
      <c r="O3442" s="6"/>
      <c r="P3442" s="6"/>
      <c r="Q3442">
        <v>0</v>
      </c>
      <c r="R3442">
        <f t="shared" si="265"/>
        <v>0</v>
      </c>
      <c r="S3442">
        <f t="shared" si="266"/>
        <v>0</v>
      </c>
      <c r="T3442">
        <f t="shared" si="267"/>
        <v>0</v>
      </c>
      <c r="U3442">
        <f t="shared" si="268"/>
        <v>0</v>
      </c>
      <c r="V3442">
        <f t="shared" si="269"/>
        <v>0</v>
      </c>
    </row>
    <row r="3443" spans="1:22" x14ac:dyDescent="0.25">
      <c r="A3443">
        <v>3440</v>
      </c>
      <c r="B3443" t="s">
        <v>26</v>
      </c>
      <c r="C3443" t="s">
        <v>1218</v>
      </c>
      <c r="D3443" s="4">
        <v>45379</v>
      </c>
      <c r="E3443" t="s">
        <v>2184</v>
      </c>
      <c r="F3443" t="s">
        <v>75</v>
      </c>
      <c r="I3443" s="6"/>
      <c r="J3443" s="6"/>
      <c r="K3443" s="6"/>
      <c r="L3443" s="6"/>
      <c r="M3443" s="6"/>
      <c r="N3443" s="6"/>
      <c r="O3443" s="6"/>
      <c r="P3443" s="6"/>
      <c r="Q3443">
        <v>0</v>
      </c>
      <c r="R3443">
        <f t="shared" si="265"/>
        <v>0</v>
      </c>
      <c r="S3443">
        <f t="shared" si="266"/>
        <v>0</v>
      </c>
      <c r="T3443">
        <f t="shared" si="267"/>
        <v>0</v>
      </c>
      <c r="U3443">
        <f t="shared" si="268"/>
        <v>0</v>
      </c>
      <c r="V3443">
        <f t="shared" si="269"/>
        <v>0</v>
      </c>
    </row>
    <row r="3444" spans="1:22" x14ac:dyDescent="0.25">
      <c r="A3444">
        <v>3441</v>
      </c>
      <c r="B3444" t="s">
        <v>26</v>
      </c>
      <c r="C3444" t="s">
        <v>1218</v>
      </c>
      <c r="D3444" s="4">
        <v>45379</v>
      </c>
      <c r="E3444" t="s">
        <v>2183</v>
      </c>
      <c r="F3444" t="s">
        <v>75</v>
      </c>
      <c r="I3444" s="6">
        <v>1</v>
      </c>
      <c r="J3444" s="6">
        <v>0</v>
      </c>
      <c r="K3444" s="6">
        <v>1</v>
      </c>
      <c r="L3444" s="6">
        <v>1</v>
      </c>
      <c r="M3444" s="6">
        <v>0</v>
      </c>
      <c r="N3444" s="6">
        <v>0</v>
      </c>
      <c r="O3444" s="6">
        <v>0</v>
      </c>
      <c r="P3444" s="6">
        <v>0</v>
      </c>
      <c r="Q3444">
        <v>1</v>
      </c>
      <c r="R3444">
        <f t="shared" si="265"/>
        <v>0</v>
      </c>
      <c r="S3444">
        <f t="shared" si="266"/>
        <v>1</v>
      </c>
      <c r="T3444">
        <f t="shared" si="267"/>
        <v>3</v>
      </c>
      <c r="U3444">
        <f t="shared" si="268"/>
        <v>1</v>
      </c>
      <c r="V3444">
        <f t="shared" si="269"/>
        <v>0</v>
      </c>
    </row>
    <row r="3445" spans="1:22" x14ac:dyDescent="0.25">
      <c r="A3445">
        <v>3442</v>
      </c>
      <c r="B3445" t="s">
        <v>26</v>
      </c>
      <c r="C3445" t="s">
        <v>1218</v>
      </c>
      <c r="D3445" s="4">
        <v>45379</v>
      </c>
      <c r="E3445" t="s">
        <v>1537</v>
      </c>
      <c r="F3445" t="s">
        <v>75</v>
      </c>
      <c r="I3445" s="6"/>
      <c r="J3445" s="6"/>
      <c r="K3445" s="6"/>
      <c r="L3445" s="6"/>
      <c r="M3445" s="6"/>
      <c r="N3445" s="6"/>
      <c r="O3445" s="6"/>
      <c r="P3445" s="6"/>
      <c r="Q3445">
        <v>0</v>
      </c>
      <c r="R3445">
        <f t="shared" si="265"/>
        <v>0</v>
      </c>
      <c r="S3445">
        <f t="shared" si="266"/>
        <v>0</v>
      </c>
      <c r="T3445">
        <f t="shared" si="267"/>
        <v>0</v>
      </c>
      <c r="U3445">
        <f t="shared" si="268"/>
        <v>0</v>
      </c>
      <c r="V3445">
        <f t="shared" si="269"/>
        <v>0</v>
      </c>
    </row>
    <row r="3446" spans="1:22" x14ac:dyDescent="0.25">
      <c r="A3446">
        <v>3443</v>
      </c>
      <c r="B3446" t="s">
        <v>26</v>
      </c>
      <c r="C3446" t="s">
        <v>1218</v>
      </c>
      <c r="D3446" s="4">
        <v>45379</v>
      </c>
      <c r="E3446" t="s">
        <v>1350</v>
      </c>
      <c r="F3446" t="s">
        <v>710</v>
      </c>
      <c r="G3446">
        <v>159</v>
      </c>
      <c r="I3446" s="6">
        <v>0</v>
      </c>
      <c r="J3446" s="6">
        <v>0</v>
      </c>
      <c r="K3446" s="6">
        <v>0</v>
      </c>
      <c r="L3446" s="6">
        <v>0</v>
      </c>
      <c r="M3446" s="6">
        <v>0</v>
      </c>
      <c r="N3446" s="6">
        <v>1</v>
      </c>
      <c r="O3446" s="6">
        <v>0</v>
      </c>
      <c r="P3446" s="6">
        <v>0</v>
      </c>
      <c r="Q3446">
        <v>1</v>
      </c>
      <c r="R3446">
        <f t="shared" si="265"/>
        <v>0</v>
      </c>
      <c r="S3446">
        <f t="shared" si="266"/>
        <v>0</v>
      </c>
      <c r="T3446">
        <f t="shared" si="267"/>
        <v>1</v>
      </c>
      <c r="U3446">
        <f t="shared" si="268"/>
        <v>1</v>
      </c>
      <c r="V3446">
        <f t="shared" si="269"/>
        <v>0</v>
      </c>
    </row>
    <row r="3447" spans="1:22" x14ac:dyDescent="0.25">
      <c r="A3447">
        <v>3444</v>
      </c>
      <c r="B3447" t="s">
        <v>26</v>
      </c>
      <c r="C3447" t="s">
        <v>1218</v>
      </c>
      <c r="D3447" s="4">
        <v>45379</v>
      </c>
      <c r="E3447" t="s">
        <v>2480</v>
      </c>
      <c r="F3447" t="s">
        <v>75</v>
      </c>
      <c r="I3447" s="6"/>
      <c r="J3447" s="6"/>
      <c r="K3447" s="6"/>
      <c r="L3447" s="6"/>
      <c r="M3447" s="6"/>
      <c r="N3447" s="6"/>
      <c r="O3447" s="6"/>
      <c r="P3447" s="6"/>
      <c r="Q3447">
        <v>0</v>
      </c>
      <c r="R3447">
        <f t="shared" si="265"/>
        <v>0</v>
      </c>
      <c r="S3447">
        <f t="shared" si="266"/>
        <v>0</v>
      </c>
      <c r="T3447">
        <f t="shared" si="267"/>
        <v>0</v>
      </c>
      <c r="U3447">
        <f t="shared" si="268"/>
        <v>0</v>
      </c>
      <c r="V3447">
        <f t="shared" si="269"/>
        <v>0</v>
      </c>
    </row>
    <row r="3448" spans="1:22" x14ac:dyDescent="0.25">
      <c r="A3448">
        <v>3445</v>
      </c>
      <c r="B3448" t="s">
        <v>26</v>
      </c>
      <c r="C3448" t="s">
        <v>1218</v>
      </c>
      <c r="D3448" s="4">
        <v>45380</v>
      </c>
      <c r="E3448" t="s">
        <v>948</v>
      </c>
      <c r="F3448" t="s">
        <v>75</v>
      </c>
      <c r="I3448" s="6">
        <v>1</v>
      </c>
      <c r="J3448" s="6">
        <v>0</v>
      </c>
      <c r="K3448" s="6">
        <v>0</v>
      </c>
      <c r="L3448" s="6">
        <v>1</v>
      </c>
      <c r="M3448" s="6">
        <v>0</v>
      </c>
      <c r="N3448" s="6">
        <v>0</v>
      </c>
      <c r="O3448" s="6">
        <v>0</v>
      </c>
      <c r="P3448" s="6">
        <v>0</v>
      </c>
      <c r="Q3448">
        <v>1</v>
      </c>
      <c r="R3448">
        <f t="shared" si="265"/>
        <v>0</v>
      </c>
      <c r="S3448">
        <f t="shared" si="266"/>
        <v>1</v>
      </c>
      <c r="T3448">
        <f t="shared" si="267"/>
        <v>2</v>
      </c>
      <c r="U3448">
        <f t="shared" si="268"/>
        <v>1</v>
      </c>
      <c r="V3448">
        <f t="shared" si="269"/>
        <v>0</v>
      </c>
    </row>
    <row r="3449" spans="1:22" x14ac:dyDescent="0.25">
      <c r="A3449">
        <v>3446</v>
      </c>
      <c r="B3449" t="s">
        <v>26</v>
      </c>
      <c r="C3449" t="s">
        <v>1218</v>
      </c>
      <c r="D3449" s="4">
        <v>45380</v>
      </c>
      <c r="E3449" t="s">
        <v>443</v>
      </c>
      <c r="F3449" t="s">
        <v>75</v>
      </c>
      <c r="I3449" s="6"/>
      <c r="J3449" s="6"/>
      <c r="K3449" s="6"/>
      <c r="L3449" s="6"/>
      <c r="M3449" s="6"/>
      <c r="N3449" s="6"/>
      <c r="O3449" s="6"/>
      <c r="P3449" s="6"/>
      <c r="Q3449">
        <v>0</v>
      </c>
      <c r="R3449">
        <f t="shared" si="265"/>
        <v>0</v>
      </c>
      <c r="S3449">
        <f t="shared" si="266"/>
        <v>0</v>
      </c>
      <c r="T3449">
        <f t="shared" si="267"/>
        <v>0</v>
      </c>
      <c r="U3449">
        <f t="shared" si="268"/>
        <v>0</v>
      </c>
      <c r="V3449">
        <f t="shared" si="269"/>
        <v>0</v>
      </c>
    </row>
    <row r="3450" spans="1:22" x14ac:dyDescent="0.25">
      <c r="A3450">
        <v>3447</v>
      </c>
      <c r="B3450" t="s">
        <v>26</v>
      </c>
      <c r="C3450" t="s">
        <v>1218</v>
      </c>
      <c r="D3450" s="4">
        <v>45380</v>
      </c>
      <c r="E3450" t="s">
        <v>2040</v>
      </c>
      <c r="F3450" t="s">
        <v>75</v>
      </c>
      <c r="I3450" s="6"/>
      <c r="J3450" s="6"/>
      <c r="K3450" s="6"/>
      <c r="L3450" s="6"/>
      <c r="M3450" s="6"/>
      <c r="N3450" s="6"/>
      <c r="O3450" s="6"/>
      <c r="P3450" s="6"/>
      <c r="Q3450">
        <v>0</v>
      </c>
      <c r="R3450">
        <f t="shared" si="265"/>
        <v>0</v>
      </c>
      <c r="S3450">
        <f t="shared" si="266"/>
        <v>0</v>
      </c>
      <c r="T3450">
        <f t="shared" si="267"/>
        <v>0</v>
      </c>
      <c r="U3450">
        <f t="shared" si="268"/>
        <v>0</v>
      </c>
      <c r="V3450">
        <f t="shared" si="269"/>
        <v>0</v>
      </c>
    </row>
    <row r="3451" spans="1:22" x14ac:dyDescent="0.25">
      <c r="A3451">
        <v>3448</v>
      </c>
      <c r="B3451" t="s">
        <v>26</v>
      </c>
      <c r="C3451" t="s">
        <v>1218</v>
      </c>
      <c r="D3451" s="4">
        <v>45380</v>
      </c>
      <c r="E3451" t="s">
        <v>2039</v>
      </c>
      <c r="F3451" t="s">
        <v>75</v>
      </c>
      <c r="I3451" s="6"/>
      <c r="J3451" s="6"/>
      <c r="K3451" s="6"/>
      <c r="L3451" s="6"/>
      <c r="M3451" s="6"/>
      <c r="N3451" s="6"/>
      <c r="O3451" s="6"/>
      <c r="P3451" s="6"/>
      <c r="Q3451">
        <v>0</v>
      </c>
      <c r="R3451">
        <f t="shared" si="265"/>
        <v>0</v>
      </c>
      <c r="S3451">
        <f t="shared" si="266"/>
        <v>0</v>
      </c>
      <c r="T3451">
        <f t="shared" si="267"/>
        <v>0</v>
      </c>
      <c r="U3451">
        <f t="shared" si="268"/>
        <v>0</v>
      </c>
      <c r="V3451">
        <f t="shared" si="269"/>
        <v>0</v>
      </c>
    </row>
    <row r="3452" spans="1:22" x14ac:dyDescent="0.25">
      <c r="A3452">
        <v>3449</v>
      </c>
      <c r="B3452" t="s">
        <v>26</v>
      </c>
      <c r="C3452" t="s">
        <v>1218</v>
      </c>
      <c r="D3452" s="4">
        <v>45380</v>
      </c>
      <c r="E3452" t="s">
        <v>1538</v>
      </c>
      <c r="F3452" t="s">
        <v>75</v>
      </c>
      <c r="I3452" s="6"/>
      <c r="J3452" s="6"/>
      <c r="K3452" s="6"/>
      <c r="L3452" s="6"/>
      <c r="M3452" s="6"/>
      <c r="N3452" s="6"/>
      <c r="O3452" s="6"/>
      <c r="P3452" s="6"/>
      <c r="Q3452">
        <v>0</v>
      </c>
      <c r="R3452">
        <f t="shared" si="265"/>
        <v>0</v>
      </c>
      <c r="S3452">
        <f t="shared" si="266"/>
        <v>0</v>
      </c>
      <c r="T3452">
        <f t="shared" si="267"/>
        <v>0</v>
      </c>
      <c r="U3452">
        <f t="shared" si="268"/>
        <v>0</v>
      </c>
      <c r="V3452">
        <f t="shared" si="269"/>
        <v>0</v>
      </c>
    </row>
    <row r="3453" spans="1:22" x14ac:dyDescent="0.25">
      <c r="A3453">
        <v>3450</v>
      </c>
      <c r="B3453" t="s">
        <v>26</v>
      </c>
      <c r="C3453" t="s">
        <v>1218</v>
      </c>
      <c r="D3453" s="4">
        <v>45380</v>
      </c>
      <c r="E3453" t="s">
        <v>2182</v>
      </c>
      <c r="F3453" t="s">
        <v>75</v>
      </c>
      <c r="I3453" s="6"/>
      <c r="J3453" s="6"/>
      <c r="K3453" s="6"/>
      <c r="L3453" s="6"/>
      <c r="M3453" s="6"/>
      <c r="N3453" s="6"/>
      <c r="O3453" s="6"/>
      <c r="P3453" s="6"/>
      <c r="Q3453">
        <v>0</v>
      </c>
      <c r="R3453">
        <f t="shared" si="265"/>
        <v>0</v>
      </c>
      <c r="S3453">
        <f t="shared" si="266"/>
        <v>0</v>
      </c>
      <c r="T3453">
        <f t="shared" si="267"/>
        <v>0</v>
      </c>
      <c r="U3453">
        <f t="shared" si="268"/>
        <v>0</v>
      </c>
      <c r="V3453">
        <f t="shared" si="269"/>
        <v>0</v>
      </c>
    </row>
    <row r="3454" spans="1:22" x14ac:dyDescent="0.25">
      <c r="A3454">
        <v>3451</v>
      </c>
      <c r="B3454" t="s">
        <v>26</v>
      </c>
      <c r="C3454" t="s">
        <v>1218</v>
      </c>
      <c r="D3454" s="4">
        <v>45380</v>
      </c>
      <c r="E3454" t="s">
        <v>2181</v>
      </c>
      <c r="F3454" t="s">
        <v>75</v>
      </c>
      <c r="I3454" s="6"/>
      <c r="J3454" s="6"/>
      <c r="K3454" s="6"/>
      <c r="L3454" s="6"/>
      <c r="M3454" s="6"/>
      <c r="N3454" s="6"/>
      <c r="O3454" s="6"/>
      <c r="P3454" s="6"/>
      <c r="Q3454">
        <v>0</v>
      </c>
      <c r="R3454">
        <f t="shared" si="265"/>
        <v>0</v>
      </c>
      <c r="S3454">
        <f t="shared" si="266"/>
        <v>0</v>
      </c>
      <c r="T3454">
        <f t="shared" si="267"/>
        <v>0</v>
      </c>
      <c r="U3454">
        <f t="shared" si="268"/>
        <v>0</v>
      </c>
      <c r="V3454">
        <f t="shared" si="269"/>
        <v>0</v>
      </c>
    </row>
    <row r="3455" spans="1:22" x14ac:dyDescent="0.25">
      <c r="A3455">
        <v>3452</v>
      </c>
      <c r="B3455" t="s">
        <v>26</v>
      </c>
      <c r="C3455" t="s">
        <v>1218</v>
      </c>
      <c r="D3455" s="4">
        <v>45380</v>
      </c>
      <c r="E3455" t="s">
        <v>1539</v>
      </c>
      <c r="F3455" t="s">
        <v>75</v>
      </c>
      <c r="I3455" s="6"/>
      <c r="J3455" s="6"/>
      <c r="K3455" s="6"/>
      <c r="L3455" s="6"/>
      <c r="M3455" s="6"/>
      <c r="N3455" s="6"/>
      <c r="O3455" s="6"/>
      <c r="P3455" s="6"/>
      <c r="Q3455">
        <v>0</v>
      </c>
      <c r="R3455">
        <f t="shared" si="265"/>
        <v>0</v>
      </c>
      <c r="S3455">
        <f t="shared" si="266"/>
        <v>0</v>
      </c>
      <c r="T3455">
        <f t="shared" si="267"/>
        <v>0</v>
      </c>
      <c r="U3455">
        <f t="shared" si="268"/>
        <v>0</v>
      </c>
      <c r="V3455">
        <f t="shared" si="269"/>
        <v>0</v>
      </c>
    </row>
    <row r="3456" spans="1:22" x14ac:dyDescent="0.25">
      <c r="A3456">
        <v>3453</v>
      </c>
      <c r="B3456" t="s">
        <v>26</v>
      </c>
      <c r="C3456" t="s">
        <v>1218</v>
      </c>
      <c r="D3456" s="4">
        <v>45380</v>
      </c>
      <c r="E3456" t="s">
        <v>1351</v>
      </c>
      <c r="F3456" t="s">
        <v>75</v>
      </c>
      <c r="H3456" t="s">
        <v>1352</v>
      </c>
      <c r="I3456" s="6">
        <v>0</v>
      </c>
      <c r="J3456" s="6">
        <v>0</v>
      </c>
      <c r="K3456" s="6">
        <v>0</v>
      </c>
      <c r="L3456" s="6">
        <v>1</v>
      </c>
      <c r="M3456" s="6">
        <v>0</v>
      </c>
      <c r="N3456" s="6">
        <v>0</v>
      </c>
      <c r="O3456" s="6">
        <v>0</v>
      </c>
      <c r="P3456" s="6">
        <v>0</v>
      </c>
      <c r="Q3456">
        <v>1</v>
      </c>
      <c r="R3456">
        <f t="shared" si="265"/>
        <v>0</v>
      </c>
      <c r="S3456">
        <f t="shared" si="266"/>
        <v>1</v>
      </c>
      <c r="T3456">
        <f t="shared" si="267"/>
        <v>1</v>
      </c>
      <c r="U3456">
        <f t="shared" si="268"/>
        <v>1</v>
      </c>
      <c r="V3456">
        <f t="shared" si="269"/>
        <v>0</v>
      </c>
    </row>
    <row r="3457" spans="1:22" x14ac:dyDescent="0.25">
      <c r="A3457">
        <v>3454</v>
      </c>
      <c r="B3457" t="s">
        <v>26</v>
      </c>
      <c r="C3457" t="s">
        <v>1218</v>
      </c>
      <c r="D3457" s="4">
        <v>45384</v>
      </c>
      <c r="E3457" t="s">
        <v>446</v>
      </c>
      <c r="F3457" t="s">
        <v>413</v>
      </c>
      <c r="G3457">
        <v>160</v>
      </c>
      <c r="I3457" s="6">
        <v>0</v>
      </c>
      <c r="J3457" s="6">
        <v>0</v>
      </c>
      <c r="K3457" s="6">
        <v>0</v>
      </c>
      <c r="L3457" s="6">
        <v>1</v>
      </c>
      <c r="M3457" s="6">
        <v>0</v>
      </c>
      <c r="N3457" s="6">
        <v>1</v>
      </c>
      <c r="O3457" s="6">
        <v>0</v>
      </c>
      <c r="P3457" s="6">
        <v>0</v>
      </c>
      <c r="Q3457">
        <v>1</v>
      </c>
      <c r="R3457">
        <f t="shared" si="265"/>
        <v>1</v>
      </c>
      <c r="S3457">
        <f t="shared" si="266"/>
        <v>0</v>
      </c>
      <c r="T3457">
        <f t="shared" si="267"/>
        <v>2</v>
      </c>
      <c r="U3457">
        <f t="shared" si="268"/>
        <v>1</v>
      </c>
      <c r="V3457">
        <f t="shared" si="269"/>
        <v>1</v>
      </c>
    </row>
    <row r="3458" spans="1:22" x14ac:dyDescent="0.25">
      <c r="A3458">
        <v>3455</v>
      </c>
      <c r="B3458" t="s">
        <v>26</v>
      </c>
      <c r="C3458" t="s">
        <v>1218</v>
      </c>
      <c r="D3458" s="4">
        <v>45384</v>
      </c>
      <c r="E3458" t="s">
        <v>2479</v>
      </c>
      <c r="F3458" t="s">
        <v>75</v>
      </c>
      <c r="I3458" s="6"/>
      <c r="J3458" s="6"/>
      <c r="K3458" s="6"/>
      <c r="L3458" s="6"/>
      <c r="M3458" s="6"/>
      <c r="N3458" s="6"/>
      <c r="O3458" s="6"/>
      <c r="P3458" s="6"/>
      <c r="Q3458">
        <v>0</v>
      </c>
      <c r="R3458">
        <f t="shared" si="265"/>
        <v>0</v>
      </c>
      <c r="S3458">
        <f t="shared" si="266"/>
        <v>0</v>
      </c>
      <c r="T3458">
        <f t="shared" si="267"/>
        <v>0</v>
      </c>
      <c r="U3458">
        <f t="shared" si="268"/>
        <v>0</v>
      </c>
      <c r="V3458">
        <f t="shared" si="269"/>
        <v>0</v>
      </c>
    </row>
    <row r="3459" spans="1:22" x14ac:dyDescent="0.25">
      <c r="A3459">
        <v>3456</v>
      </c>
      <c r="B3459" t="s">
        <v>26</v>
      </c>
      <c r="C3459" t="s">
        <v>1218</v>
      </c>
      <c r="D3459" s="4">
        <v>45384</v>
      </c>
      <c r="E3459" t="s">
        <v>2478</v>
      </c>
      <c r="F3459" t="s">
        <v>75</v>
      </c>
      <c r="I3459" s="6"/>
      <c r="J3459" s="6"/>
      <c r="K3459" s="6"/>
      <c r="L3459" s="6"/>
      <c r="M3459" s="6"/>
      <c r="N3459" s="6"/>
      <c r="O3459" s="6"/>
      <c r="P3459" s="6"/>
      <c r="Q3459">
        <v>0</v>
      </c>
      <c r="R3459">
        <f t="shared" ref="R3459:R3522" si="270">IF(AND(Q3459=1,F3459="ai_full"),1,0)</f>
        <v>0</v>
      </c>
      <c r="S3459">
        <f t="shared" ref="S3459:S3522" si="271">IF(AND(Q3459=1,F3459="conventional"),1,0)</f>
        <v>0</v>
      </c>
      <c r="T3459">
        <f t="shared" ref="T3459:T3522" si="272">SUM(I3459:P3459)</f>
        <v>0</v>
      </c>
      <c r="U3459">
        <f t="shared" ref="U3459:U3522" si="273">IF(T3459&gt;=1,1,0)</f>
        <v>0</v>
      </c>
      <c r="V3459">
        <f t="shared" ref="V3459:V3522" si="274">IF(F3459="ai_full",1,0)</f>
        <v>0</v>
      </c>
    </row>
    <row r="3460" spans="1:22" x14ac:dyDescent="0.25">
      <c r="A3460">
        <v>3457</v>
      </c>
      <c r="B3460" t="s">
        <v>26</v>
      </c>
      <c r="C3460" t="s">
        <v>1218</v>
      </c>
      <c r="D3460" s="4">
        <v>45384</v>
      </c>
      <c r="E3460" t="s">
        <v>2477</v>
      </c>
      <c r="F3460" t="s">
        <v>75</v>
      </c>
      <c r="I3460" s="6"/>
      <c r="J3460" s="6"/>
      <c r="K3460" s="6"/>
      <c r="L3460" s="6"/>
      <c r="M3460" s="6"/>
      <c r="N3460" s="6"/>
      <c r="O3460" s="6"/>
      <c r="P3460" s="6"/>
      <c r="Q3460">
        <v>0</v>
      </c>
      <c r="R3460">
        <f t="shared" si="270"/>
        <v>0</v>
      </c>
      <c r="S3460">
        <f t="shared" si="271"/>
        <v>0</v>
      </c>
      <c r="T3460">
        <f t="shared" si="272"/>
        <v>0</v>
      </c>
      <c r="U3460">
        <f t="shared" si="273"/>
        <v>0</v>
      </c>
      <c r="V3460">
        <f t="shared" si="274"/>
        <v>0</v>
      </c>
    </row>
    <row r="3461" spans="1:22" x14ac:dyDescent="0.25">
      <c r="A3461">
        <v>3458</v>
      </c>
      <c r="B3461" t="s">
        <v>26</v>
      </c>
      <c r="C3461" t="s">
        <v>1218</v>
      </c>
      <c r="D3461" s="4">
        <v>45384</v>
      </c>
      <c r="E3461" t="s">
        <v>2476</v>
      </c>
      <c r="F3461" t="s">
        <v>75</v>
      </c>
      <c r="I3461" s="6"/>
      <c r="J3461" s="6"/>
      <c r="K3461" s="6"/>
      <c r="L3461" s="6"/>
      <c r="M3461" s="6"/>
      <c r="N3461" s="6"/>
      <c r="O3461" s="6"/>
      <c r="P3461" s="6"/>
      <c r="Q3461">
        <v>0</v>
      </c>
      <c r="R3461">
        <f t="shared" si="270"/>
        <v>0</v>
      </c>
      <c r="S3461">
        <f t="shared" si="271"/>
        <v>0</v>
      </c>
      <c r="T3461">
        <f t="shared" si="272"/>
        <v>0</v>
      </c>
      <c r="U3461">
        <f t="shared" si="273"/>
        <v>0</v>
      </c>
      <c r="V3461">
        <f t="shared" si="274"/>
        <v>0</v>
      </c>
    </row>
    <row r="3462" spans="1:22" x14ac:dyDescent="0.25">
      <c r="A3462">
        <v>3459</v>
      </c>
      <c r="B3462" t="s">
        <v>26</v>
      </c>
      <c r="C3462" t="s">
        <v>1218</v>
      </c>
      <c r="D3462" s="4">
        <v>45384</v>
      </c>
      <c r="E3462" t="s">
        <v>447</v>
      </c>
      <c r="F3462" t="s">
        <v>75</v>
      </c>
      <c r="I3462" s="6"/>
      <c r="J3462" s="6"/>
      <c r="K3462" s="6"/>
      <c r="L3462" s="6"/>
      <c r="M3462" s="6"/>
      <c r="N3462" s="6"/>
      <c r="O3462" s="6"/>
      <c r="P3462" s="6"/>
      <c r="Q3462">
        <v>0</v>
      </c>
      <c r="R3462">
        <f t="shared" si="270"/>
        <v>0</v>
      </c>
      <c r="S3462">
        <f t="shared" si="271"/>
        <v>0</v>
      </c>
      <c r="T3462">
        <f t="shared" si="272"/>
        <v>0</v>
      </c>
      <c r="U3462">
        <f t="shared" si="273"/>
        <v>0</v>
      </c>
      <c r="V3462">
        <f t="shared" si="274"/>
        <v>0</v>
      </c>
    </row>
    <row r="3463" spans="1:22" x14ac:dyDescent="0.25">
      <c r="A3463">
        <v>3460</v>
      </c>
      <c r="B3463" t="s">
        <v>26</v>
      </c>
      <c r="C3463" t="s">
        <v>1218</v>
      </c>
      <c r="D3463" s="4">
        <v>45384</v>
      </c>
      <c r="E3463" t="s">
        <v>2038</v>
      </c>
      <c r="F3463" t="s">
        <v>75</v>
      </c>
      <c r="I3463" s="6">
        <v>0</v>
      </c>
      <c r="J3463" s="6">
        <v>0</v>
      </c>
      <c r="K3463" s="6">
        <v>1</v>
      </c>
      <c r="L3463" s="6">
        <v>0</v>
      </c>
      <c r="M3463" s="6">
        <v>0</v>
      </c>
      <c r="N3463" s="6">
        <v>0</v>
      </c>
      <c r="O3463" s="6">
        <v>0</v>
      </c>
      <c r="P3463" s="6">
        <v>0</v>
      </c>
      <c r="Q3463">
        <v>1</v>
      </c>
      <c r="R3463">
        <f t="shared" si="270"/>
        <v>0</v>
      </c>
      <c r="S3463">
        <f t="shared" si="271"/>
        <v>1</v>
      </c>
      <c r="T3463">
        <f t="shared" si="272"/>
        <v>1</v>
      </c>
      <c r="U3463">
        <f t="shared" si="273"/>
        <v>1</v>
      </c>
      <c r="V3463">
        <f t="shared" si="274"/>
        <v>0</v>
      </c>
    </row>
    <row r="3464" spans="1:22" x14ac:dyDescent="0.25">
      <c r="A3464">
        <v>3461</v>
      </c>
      <c r="B3464" t="s">
        <v>26</v>
      </c>
      <c r="C3464" t="s">
        <v>1218</v>
      </c>
      <c r="D3464" s="4">
        <v>45384</v>
      </c>
      <c r="E3464" t="s">
        <v>1541</v>
      </c>
      <c r="F3464" t="s">
        <v>75</v>
      </c>
      <c r="I3464" s="6"/>
      <c r="J3464" s="6"/>
      <c r="K3464" s="6"/>
      <c r="L3464" s="6"/>
      <c r="M3464" s="6"/>
      <c r="N3464" s="6"/>
      <c r="O3464" s="6"/>
      <c r="P3464" s="6"/>
      <c r="Q3464">
        <v>0</v>
      </c>
      <c r="R3464">
        <f t="shared" si="270"/>
        <v>0</v>
      </c>
      <c r="S3464">
        <f t="shared" si="271"/>
        <v>0</v>
      </c>
      <c r="T3464">
        <f t="shared" si="272"/>
        <v>0</v>
      </c>
      <c r="U3464">
        <f t="shared" si="273"/>
        <v>0</v>
      </c>
      <c r="V3464">
        <f t="shared" si="274"/>
        <v>0</v>
      </c>
    </row>
    <row r="3465" spans="1:22" x14ac:dyDescent="0.25">
      <c r="A3465">
        <v>3462</v>
      </c>
      <c r="B3465" t="s">
        <v>26</v>
      </c>
      <c r="C3465" t="s">
        <v>1218</v>
      </c>
      <c r="D3465" s="4">
        <v>45384</v>
      </c>
      <c r="E3465" t="s">
        <v>1542</v>
      </c>
      <c r="F3465" t="s">
        <v>75</v>
      </c>
      <c r="I3465" s="6"/>
      <c r="J3465" s="6"/>
      <c r="K3465" s="6"/>
      <c r="L3465" s="6"/>
      <c r="M3465" s="6"/>
      <c r="N3465" s="6"/>
      <c r="O3465" s="6"/>
      <c r="P3465" s="6"/>
      <c r="Q3465">
        <v>0</v>
      </c>
      <c r="R3465">
        <f t="shared" si="270"/>
        <v>0</v>
      </c>
      <c r="S3465">
        <f t="shared" si="271"/>
        <v>0</v>
      </c>
      <c r="T3465">
        <f t="shared" si="272"/>
        <v>0</v>
      </c>
      <c r="U3465">
        <f t="shared" si="273"/>
        <v>0</v>
      </c>
      <c r="V3465">
        <f t="shared" si="274"/>
        <v>0</v>
      </c>
    </row>
    <row r="3466" spans="1:22" x14ac:dyDescent="0.25">
      <c r="A3466">
        <v>3463</v>
      </c>
      <c r="B3466" t="s">
        <v>26</v>
      </c>
      <c r="C3466" t="s">
        <v>1218</v>
      </c>
      <c r="D3466" s="4">
        <v>45384</v>
      </c>
      <c r="E3466" t="s">
        <v>2174</v>
      </c>
      <c r="F3466" t="s">
        <v>75</v>
      </c>
      <c r="I3466" s="6"/>
      <c r="J3466" s="6"/>
      <c r="K3466" s="6"/>
      <c r="L3466" s="6"/>
      <c r="M3466" s="6"/>
      <c r="N3466" s="6"/>
      <c r="O3466" s="6"/>
      <c r="P3466" s="6"/>
      <c r="Q3466">
        <v>0</v>
      </c>
      <c r="R3466">
        <f t="shared" si="270"/>
        <v>0</v>
      </c>
      <c r="S3466">
        <f t="shared" si="271"/>
        <v>0</v>
      </c>
      <c r="T3466">
        <f t="shared" si="272"/>
        <v>0</v>
      </c>
      <c r="U3466">
        <f t="shared" si="273"/>
        <v>0</v>
      </c>
      <c r="V3466">
        <f t="shared" si="274"/>
        <v>0</v>
      </c>
    </row>
    <row r="3467" spans="1:22" x14ac:dyDescent="0.25">
      <c r="A3467">
        <v>3464</v>
      </c>
      <c r="B3467" t="s">
        <v>26</v>
      </c>
      <c r="C3467" t="s">
        <v>1218</v>
      </c>
      <c r="D3467" s="4">
        <v>45384</v>
      </c>
      <c r="E3467" t="s">
        <v>2173</v>
      </c>
      <c r="F3467" t="s">
        <v>75</v>
      </c>
      <c r="I3467" s="6">
        <v>0</v>
      </c>
      <c r="J3467" s="6">
        <v>0</v>
      </c>
      <c r="K3467" s="6">
        <v>0</v>
      </c>
      <c r="L3467" s="6">
        <v>0</v>
      </c>
      <c r="M3467" s="6">
        <v>1</v>
      </c>
      <c r="N3467" s="6">
        <v>0</v>
      </c>
      <c r="O3467" s="6">
        <v>0</v>
      </c>
      <c r="P3467" s="6">
        <v>0</v>
      </c>
      <c r="Q3467">
        <v>1</v>
      </c>
      <c r="R3467">
        <f t="shared" si="270"/>
        <v>0</v>
      </c>
      <c r="S3467">
        <f t="shared" si="271"/>
        <v>1</v>
      </c>
      <c r="T3467">
        <f t="shared" si="272"/>
        <v>1</v>
      </c>
      <c r="U3467">
        <f t="shared" si="273"/>
        <v>1</v>
      </c>
      <c r="V3467">
        <f t="shared" si="274"/>
        <v>0</v>
      </c>
    </row>
    <row r="3468" spans="1:22" x14ac:dyDescent="0.25">
      <c r="A3468">
        <v>3465</v>
      </c>
      <c r="B3468" t="s">
        <v>26</v>
      </c>
      <c r="C3468" t="s">
        <v>1218</v>
      </c>
      <c r="D3468" s="4">
        <v>45384</v>
      </c>
      <c r="E3468" t="s">
        <v>2172</v>
      </c>
      <c r="F3468" t="s">
        <v>75</v>
      </c>
      <c r="I3468" s="6"/>
      <c r="J3468" s="6"/>
      <c r="K3468" s="6"/>
      <c r="L3468" s="6"/>
      <c r="M3468" s="6"/>
      <c r="N3468" s="6"/>
      <c r="O3468" s="6"/>
      <c r="P3468" s="6"/>
      <c r="Q3468">
        <v>0</v>
      </c>
      <c r="R3468">
        <f t="shared" si="270"/>
        <v>0</v>
      </c>
      <c r="S3468">
        <f t="shared" si="271"/>
        <v>0</v>
      </c>
      <c r="T3468">
        <f t="shared" si="272"/>
        <v>0</v>
      </c>
      <c r="U3468">
        <f t="shared" si="273"/>
        <v>0</v>
      </c>
      <c r="V3468">
        <f t="shared" si="274"/>
        <v>0</v>
      </c>
    </row>
    <row r="3469" spans="1:22" x14ac:dyDescent="0.25">
      <c r="A3469">
        <v>3466</v>
      </c>
      <c r="B3469" t="s">
        <v>26</v>
      </c>
      <c r="C3469" t="s">
        <v>1218</v>
      </c>
      <c r="D3469" s="4">
        <v>45384</v>
      </c>
      <c r="E3469" t="s">
        <v>2475</v>
      </c>
      <c r="F3469" t="s">
        <v>75</v>
      </c>
      <c r="I3469" s="6">
        <v>0</v>
      </c>
      <c r="J3469" s="6">
        <v>0</v>
      </c>
      <c r="K3469" s="6">
        <v>0</v>
      </c>
      <c r="L3469" s="6">
        <v>0</v>
      </c>
      <c r="M3469" s="6">
        <v>1</v>
      </c>
      <c r="N3469" s="6">
        <v>0</v>
      </c>
      <c r="O3469" s="6">
        <v>0</v>
      </c>
      <c r="P3469" s="6">
        <v>0</v>
      </c>
      <c r="Q3469">
        <v>1</v>
      </c>
      <c r="R3469">
        <f t="shared" si="270"/>
        <v>0</v>
      </c>
      <c r="S3469">
        <f t="shared" si="271"/>
        <v>1</v>
      </c>
      <c r="T3469">
        <f t="shared" si="272"/>
        <v>1</v>
      </c>
      <c r="U3469">
        <f t="shared" si="273"/>
        <v>1</v>
      </c>
      <c r="V3469">
        <f t="shared" si="274"/>
        <v>0</v>
      </c>
    </row>
    <row r="3470" spans="1:22" x14ac:dyDescent="0.25">
      <c r="A3470">
        <v>3467</v>
      </c>
      <c r="B3470" t="s">
        <v>26</v>
      </c>
      <c r="C3470" t="s">
        <v>1218</v>
      </c>
      <c r="D3470" s="4">
        <v>45385</v>
      </c>
      <c r="E3470" t="s">
        <v>865</v>
      </c>
      <c r="F3470" t="s">
        <v>75</v>
      </c>
      <c r="I3470" s="6"/>
      <c r="J3470" s="6"/>
      <c r="K3470" s="6"/>
      <c r="L3470" s="6"/>
      <c r="M3470" s="6"/>
      <c r="N3470" s="6"/>
      <c r="O3470" s="6"/>
      <c r="P3470" s="6"/>
      <c r="Q3470">
        <v>0</v>
      </c>
      <c r="R3470">
        <f t="shared" si="270"/>
        <v>0</v>
      </c>
      <c r="S3470">
        <f t="shared" si="271"/>
        <v>0</v>
      </c>
      <c r="T3470">
        <f t="shared" si="272"/>
        <v>0</v>
      </c>
      <c r="U3470">
        <f t="shared" si="273"/>
        <v>0</v>
      </c>
      <c r="V3470">
        <f t="shared" si="274"/>
        <v>0</v>
      </c>
    </row>
    <row r="3471" spans="1:22" x14ac:dyDescent="0.25">
      <c r="A3471">
        <v>3468</v>
      </c>
      <c r="B3471" t="s">
        <v>26</v>
      </c>
      <c r="C3471" t="s">
        <v>1218</v>
      </c>
      <c r="D3471" s="4">
        <v>45385</v>
      </c>
      <c r="E3471" t="s">
        <v>956</v>
      </c>
      <c r="F3471" t="s">
        <v>75</v>
      </c>
      <c r="I3471" s="6"/>
      <c r="J3471" s="6"/>
      <c r="K3471" s="6"/>
      <c r="L3471" s="6"/>
      <c r="M3471" s="6"/>
      <c r="N3471" s="6"/>
      <c r="O3471" s="6"/>
      <c r="P3471" s="6"/>
      <c r="Q3471">
        <v>0</v>
      </c>
      <c r="R3471">
        <f t="shared" si="270"/>
        <v>0</v>
      </c>
      <c r="S3471">
        <f t="shared" si="271"/>
        <v>0</v>
      </c>
      <c r="T3471">
        <f t="shared" si="272"/>
        <v>0</v>
      </c>
      <c r="U3471">
        <f t="shared" si="273"/>
        <v>0</v>
      </c>
      <c r="V3471">
        <f t="shared" si="274"/>
        <v>0</v>
      </c>
    </row>
    <row r="3472" spans="1:22" x14ac:dyDescent="0.25">
      <c r="A3472">
        <v>3469</v>
      </c>
      <c r="B3472" t="s">
        <v>26</v>
      </c>
      <c r="C3472" t="s">
        <v>1218</v>
      </c>
      <c r="D3472" s="4">
        <v>45385</v>
      </c>
      <c r="E3472" t="s">
        <v>2037</v>
      </c>
      <c r="F3472" t="s">
        <v>75</v>
      </c>
      <c r="I3472" s="6"/>
      <c r="J3472" s="6"/>
      <c r="K3472" s="6"/>
      <c r="L3472" s="6"/>
      <c r="M3472" s="6"/>
      <c r="N3472" s="6"/>
      <c r="O3472" s="6"/>
      <c r="P3472" s="6"/>
      <c r="Q3472">
        <v>0</v>
      </c>
      <c r="R3472">
        <f t="shared" si="270"/>
        <v>0</v>
      </c>
      <c r="S3472">
        <f t="shared" si="271"/>
        <v>0</v>
      </c>
      <c r="T3472">
        <f t="shared" si="272"/>
        <v>0</v>
      </c>
      <c r="U3472">
        <f t="shared" si="273"/>
        <v>0</v>
      </c>
      <c r="V3472">
        <f t="shared" si="274"/>
        <v>0</v>
      </c>
    </row>
    <row r="3473" spans="1:22" x14ac:dyDescent="0.25">
      <c r="A3473">
        <v>3470</v>
      </c>
      <c r="B3473" t="s">
        <v>26</v>
      </c>
      <c r="C3473" t="s">
        <v>1218</v>
      </c>
      <c r="D3473" s="4">
        <v>45385</v>
      </c>
      <c r="E3473" t="s">
        <v>1543</v>
      </c>
      <c r="F3473" t="s">
        <v>75</v>
      </c>
      <c r="I3473" s="6"/>
      <c r="J3473" s="6"/>
      <c r="K3473" s="6"/>
      <c r="L3473" s="6"/>
      <c r="M3473" s="6"/>
      <c r="N3473" s="6"/>
      <c r="O3473" s="6"/>
      <c r="P3473" s="6"/>
      <c r="Q3473">
        <v>0</v>
      </c>
      <c r="R3473">
        <f t="shared" si="270"/>
        <v>0</v>
      </c>
      <c r="S3473">
        <f t="shared" si="271"/>
        <v>0</v>
      </c>
      <c r="T3473">
        <f t="shared" si="272"/>
        <v>0</v>
      </c>
      <c r="U3473">
        <f t="shared" si="273"/>
        <v>0</v>
      </c>
      <c r="V3473">
        <f t="shared" si="274"/>
        <v>0</v>
      </c>
    </row>
    <row r="3474" spans="1:22" x14ac:dyDescent="0.25">
      <c r="A3474">
        <v>3471</v>
      </c>
      <c r="B3474" t="s">
        <v>26</v>
      </c>
      <c r="C3474" t="s">
        <v>1218</v>
      </c>
      <c r="D3474" s="4">
        <v>45385</v>
      </c>
      <c r="E3474" t="s">
        <v>1544</v>
      </c>
      <c r="F3474" t="s">
        <v>75</v>
      </c>
      <c r="I3474" s="6"/>
      <c r="J3474" s="6"/>
      <c r="K3474" s="6"/>
      <c r="L3474" s="6"/>
      <c r="M3474" s="6"/>
      <c r="N3474" s="6"/>
      <c r="O3474" s="6"/>
      <c r="P3474" s="6"/>
      <c r="Q3474">
        <v>0</v>
      </c>
      <c r="R3474">
        <f t="shared" si="270"/>
        <v>0</v>
      </c>
      <c r="S3474">
        <f t="shared" si="271"/>
        <v>0</v>
      </c>
      <c r="T3474">
        <f t="shared" si="272"/>
        <v>0</v>
      </c>
      <c r="U3474">
        <f t="shared" si="273"/>
        <v>0</v>
      </c>
      <c r="V3474">
        <f t="shared" si="274"/>
        <v>0</v>
      </c>
    </row>
    <row r="3475" spans="1:22" x14ac:dyDescent="0.25">
      <c r="A3475">
        <v>3472</v>
      </c>
      <c r="B3475" t="s">
        <v>26</v>
      </c>
      <c r="C3475" t="s">
        <v>1218</v>
      </c>
      <c r="D3475" s="4">
        <v>45385</v>
      </c>
      <c r="E3475" t="s">
        <v>2171</v>
      </c>
      <c r="F3475" t="s">
        <v>75</v>
      </c>
      <c r="I3475" s="6"/>
      <c r="J3475" s="6"/>
      <c r="K3475" s="6"/>
      <c r="L3475" s="6"/>
      <c r="M3475" s="6"/>
      <c r="N3475" s="6"/>
      <c r="O3475" s="6"/>
      <c r="P3475" s="6"/>
      <c r="Q3475">
        <v>0</v>
      </c>
      <c r="R3475">
        <f t="shared" si="270"/>
        <v>0</v>
      </c>
      <c r="S3475">
        <f t="shared" si="271"/>
        <v>0</v>
      </c>
      <c r="T3475">
        <f t="shared" si="272"/>
        <v>0</v>
      </c>
      <c r="U3475">
        <f t="shared" si="273"/>
        <v>0</v>
      </c>
      <c r="V3475">
        <f t="shared" si="274"/>
        <v>0</v>
      </c>
    </row>
    <row r="3476" spans="1:22" x14ac:dyDescent="0.25">
      <c r="A3476">
        <v>3473</v>
      </c>
      <c r="B3476" t="s">
        <v>26</v>
      </c>
      <c r="C3476" t="s">
        <v>1218</v>
      </c>
      <c r="D3476" s="4">
        <v>45385</v>
      </c>
      <c r="E3476" t="s">
        <v>2170</v>
      </c>
      <c r="F3476" t="s">
        <v>75</v>
      </c>
      <c r="I3476" s="6"/>
      <c r="J3476" s="6"/>
      <c r="K3476" s="6"/>
      <c r="L3476" s="6"/>
      <c r="M3476" s="6"/>
      <c r="N3476" s="6"/>
      <c r="O3476" s="6"/>
      <c r="P3476" s="6"/>
      <c r="Q3476">
        <v>0</v>
      </c>
      <c r="R3476">
        <f t="shared" si="270"/>
        <v>0</v>
      </c>
      <c r="S3476">
        <f t="shared" si="271"/>
        <v>0</v>
      </c>
      <c r="T3476">
        <f t="shared" si="272"/>
        <v>0</v>
      </c>
      <c r="U3476">
        <f t="shared" si="273"/>
        <v>0</v>
      </c>
      <c r="V3476">
        <f t="shared" si="274"/>
        <v>0</v>
      </c>
    </row>
    <row r="3477" spans="1:22" x14ac:dyDescent="0.25">
      <c r="A3477">
        <v>3474</v>
      </c>
      <c r="B3477" t="s">
        <v>26</v>
      </c>
      <c r="C3477" t="s">
        <v>1218</v>
      </c>
      <c r="D3477" s="4">
        <v>45385</v>
      </c>
      <c r="E3477" t="s">
        <v>1353</v>
      </c>
      <c r="F3477" t="s">
        <v>413</v>
      </c>
      <c r="G3477">
        <v>161</v>
      </c>
      <c r="I3477" s="6">
        <v>0</v>
      </c>
      <c r="J3477" s="6">
        <v>0</v>
      </c>
      <c r="K3477" s="6">
        <v>0</v>
      </c>
      <c r="L3477" s="6">
        <v>1</v>
      </c>
      <c r="M3477" s="6">
        <v>0</v>
      </c>
      <c r="N3477" s="6">
        <v>0</v>
      </c>
      <c r="O3477" s="6">
        <v>0</v>
      </c>
      <c r="P3477" s="6">
        <v>0</v>
      </c>
      <c r="Q3477">
        <v>1</v>
      </c>
      <c r="R3477">
        <f t="shared" si="270"/>
        <v>1</v>
      </c>
      <c r="S3477">
        <f t="shared" si="271"/>
        <v>0</v>
      </c>
      <c r="T3477">
        <f t="shared" si="272"/>
        <v>1</v>
      </c>
      <c r="U3477">
        <f t="shared" si="273"/>
        <v>1</v>
      </c>
      <c r="V3477">
        <f t="shared" si="274"/>
        <v>1</v>
      </c>
    </row>
    <row r="3478" spans="1:22" x14ac:dyDescent="0.25">
      <c r="A3478">
        <v>3475</v>
      </c>
      <c r="B3478" t="s">
        <v>26</v>
      </c>
      <c r="C3478" t="s">
        <v>1218</v>
      </c>
      <c r="D3478" s="4">
        <v>45385</v>
      </c>
      <c r="E3478" t="s">
        <v>2474</v>
      </c>
      <c r="F3478" t="s">
        <v>75</v>
      </c>
      <c r="I3478" s="6"/>
      <c r="J3478" s="6"/>
      <c r="K3478" s="6"/>
      <c r="L3478" s="6"/>
      <c r="M3478" s="6"/>
      <c r="N3478" s="6"/>
      <c r="O3478" s="6"/>
      <c r="P3478" s="6"/>
      <c r="Q3478">
        <v>0</v>
      </c>
      <c r="R3478">
        <f t="shared" si="270"/>
        <v>0</v>
      </c>
      <c r="S3478">
        <f t="shared" si="271"/>
        <v>0</v>
      </c>
      <c r="T3478">
        <f t="shared" si="272"/>
        <v>0</v>
      </c>
      <c r="U3478">
        <f t="shared" si="273"/>
        <v>0</v>
      </c>
      <c r="V3478">
        <f t="shared" si="274"/>
        <v>0</v>
      </c>
    </row>
    <row r="3479" spans="1:22" x14ac:dyDescent="0.25">
      <c r="A3479">
        <v>3476</v>
      </c>
      <c r="B3479" t="s">
        <v>26</v>
      </c>
      <c r="C3479" t="s">
        <v>1218</v>
      </c>
      <c r="D3479" s="4">
        <v>45386</v>
      </c>
      <c r="E3479" t="s">
        <v>281</v>
      </c>
      <c r="F3479" t="s">
        <v>75</v>
      </c>
      <c r="I3479" s="6"/>
      <c r="J3479" s="6"/>
      <c r="K3479" s="6"/>
      <c r="L3479" s="6"/>
      <c r="M3479" s="6"/>
      <c r="N3479" s="6"/>
      <c r="O3479" s="6"/>
      <c r="P3479" s="6"/>
      <c r="Q3479">
        <v>0</v>
      </c>
      <c r="R3479">
        <f t="shared" si="270"/>
        <v>0</v>
      </c>
      <c r="S3479">
        <f t="shared" si="271"/>
        <v>0</v>
      </c>
      <c r="T3479">
        <f t="shared" si="272"/>
        <v>0</v>
      </c>
      <c r="U3479">
        <f t="shared" si="273"/>
        <v>0</v>
      </c>
      <c r="V3479">
        <f t="shared" si="274"/>
        <v>0</v>
      </c>
    </row>
    <row r="3480" spans="1:22" x14ac:dyDescent="0.25">
      <c r="A3480">
        <v>3477</v>
      </c>
      <c r="B3480" t="s">
        <v>26</v>
      </c>
      <c r="C3480" t="s">
        <v>1218</v>
      </c>
      <c r="D3480" s="4">
        <v>45386</v>
      </c>
      <c r="E3480" t="s">
        <v>2473</v>
      </c>
      <c r="F3480" t="s">
        <v>75</v>
      </c>
      <c r="I3480" s="6"/>
      <c r="J3480" s="6"/>
      <c r="K3480" s="6"/>
      <c r="L3480" s="6"/>
      <c r="M3480" s="6"/>
      <c r="N3480" s="6"/>
      <c r="O3480" s="6"/>
      <c r="P3480" s="6"/>
      <c r="Q3480">
        <v>0</v>
      </c>
      <c r="R3480">
        <f t="shared" si="270"/>
        <v>0</v>
      </c>
      <c r="S3480">
        <f t="shared" si="271"/>
        <v>0</v>
      </c>
      <c r="T3480">
        <f t="shared" si="272"/>
        <v>0</v>
      </c>
      <c r="U3480">
        <f t="shared" si="273"/>
        <v>0</v>
      </c>
      <c r="V3480">
        <f t="shared" si="274"/>
        <v>0</v>
      </c>
    </row>
    <row r="3481" spans="1:22" x14ac:dyDescent="0.25">
      <c r="A3481">
        <v>3478</v>
      </c>
      <c r="B3481" t="s">
        <v>26</v>
      </c>
      <c r="C3481" t="s">
        <v>1218</v>
      </c>
      <c r="D3481" s="4">
        <v>45386</v>
      </c>
      <c r="E3481" t="s">
        <v>282</v>
      </c>
      <c r="F3481" t="s">
        <v>75</v>
      </c>
      <c r="I3481" s="6"/>
      <c r="J3481" s="6"/>
      <c r="K3481" s="6"/>
      <c r="L3481" s="6"/>
      <c r="M3481" s="6"/>
      <c r="N3481" s="6"/>
      <c r="O3481" s="6"/>
      <c r="P3481" s="6"/>
      <c r="Q3481">
        <v>0</v>
      </c>
      <c r="R3481">
        <f t="shared" si="270"/>
        <v>0</v>
      </c>
      <c r="S3481">
        <f t="shared" si="271"/>
        <v>0</v>
      </c>
      <c r="T3481">
        <f t="shared" si="272"/>
        <v>0</v>
      </c>
      <c r="U3481">
        <f t="shared" si="273"/>
        <v>0</v>
      </c>
      <c r="V3481">
        <f t="shared" si="274"/>
        <v>0</v>
      </c>
    </row>
    <row r="3482" spans="1:22" x14ac:dyDescent="0.25">
      <c r="A3482">
        <v>3479</v>
      </c>
      <c r="B3482" t="s">
        <v>26</v>
      </c>
      <c r="C3482" t="s">
        <v>1218</v>
      </c>
      <c r="D3482" s="4">
        <v>45386</v>
      </c>
      <c r="E3482" t="s">
        <v>958</v>
      </c>
      <c r="F3482" t="s">
        <v>75</v>
      </c>
      <c r="I3482" s="6"/>
      <c r="J3482" s="6"/>
      <c r="K3482" s="6"/>
      <c r="L3482" s="6"/>
      <c r="M3482" s="6"/>
      <c r="N3482" s="6"/>
      <c r="O3482" s="6"/>
      <c r="P3482" s="6"/>
      <c r="Q3482">
        <v>0</v>
      </c>
      <c r="R3482">
        <f t="shared" si="270"/>
        <v>0</v>
      </c>
      <c r="S3482">
        <f t="shared" si="271"/>
        <v>0</v>
      </c>
      <c r="T3482">
        <f t="shared" si="272"/>
        <v>0</v>
      </c>
      <c r="U3482">
        <f t="shared" si="273"/>
        <v>0</v>
      </c>
      <c r="V3482">
        <f t="shared" si="274"/>
        <v>0</v>
      </c>
    </row>
    <row r="3483" spans="1:22" x14ac:dyDescent="0.25">
      <c r="A3483">
        <v>3480</v>
      </c>
      <c r="B3483" t="s">
        <v>26</v>
      </c>
      <c r="C3483" t="s">
        <v>1218</v>
      </c>
      <c r="D3483" s="4">
        <v>45386</v>
      </c>
      <c r="E3483" t="s">
        <v>1545</v>
      </c>
      <c r="F3483" t="s">
        <v>75</v>
      </c>
      <c r="I3483" s="6">
        <v>0</v>
      </c>
      <c r="J3483" s="6">
        <v>0</v>
      </c>
      <c r="K3483" s="6">
        <v>0</v>
      </c>
      <c r="L3483" s="6">
        <v>0</v>
      </c>
      <c r="M3483" s="6">
        <v>0</v>
      </c>
      <c r="N3483" s="6">
        <v>0</v>
      </c>
      <c r="O3483" s="6">
        <v>0</v>
      </c>
      <c r="P3483" s="6">
        <v>0</v>
      </c>
      <c r="Q3483">
        <v>1</v>
      </c>
      <c r="R3483">
        <f t="shared" si="270"/>
        <v>0</v>
      </c>
      <c r="S3483">
        <f t="shared" si="271"/>
        <v>1</v>
      </c>
      <c r="T3483">
        <f t="shared" si="272"/>
        <v>0</v>
      </c>
      <c r="U3483">
        <f t="shared" si="273"/>
        <v>0</v>
      </c>
      <c r="V3483">
        <f t="shared" si="274"/>
        <v>0</v>
      </c>
    </row>
    <row r="3484" spans="1:22" x14ac:dyDescent="0.25">
      <c r="A3484">
        <v>3481</v>
      </c>
      <c r="B3484" t="s">
        <v>26</v>
      </c>
      <c r="C3484" t="s">
        <v>1218</v>
      </c>
      <c r="D3484" s="4">
        <v>45386</v>
      </c>
      <c r="E3484" t="s">
        <v>2169</v>
      </c>
      <c r="F3484" t="s">
        <v>75</v>
      </c>
      <c r="I3484" s="6">
        <v>1</v>
      </c>
      <c r="J3484" s="6">
        <v>0</v>
      </c>
      <c r="K3484" s="6">
        <v>0</v>
      </c>
      <c r="L3484" s="6">
        <v>1</v>
      </c>
      <c r="M3484" s="6">
        <v>0</v>
      </c>
      <c r="N3484" s="6">
        <v>0</v>
      </c>
      <c r="O3484" s="6">
        <v>0</v>
      </c>
      <c r="P3484" s="6">
        <v>0</v>
      </c>
      <c r="Q3484">
        <v>1</v>
      </c>
      <c r="R3484">
        <f t="shared" si="270"/>
        <v>0</v>
      </c>
      <c r="S3484">
        <f t="shared" si="271"/>
        <v>1</v>
      </c>
      <c r="T3484">
        <f t="shared" si="272"/>
        <v>2</v>
      </c>
      <c r="U3484">
        <f t="shared" si="273"/>
        <v>1</v>
      </c>
      <c r="V3484">
        <f t="shared" si="274"/>
        <v>0</v>
      </c>
    </row>
    <row r="3485" spans="1:22" x14ac:dyDescent="0.25">
      <c r="A3485">
        <v>3482</v>
      </c>
      <c r="B3485" t="s">
        <v>26</v>
      </c>
      <c r="C3485" t="s">
        <v>1218</v>
      </c>
      <c r="D3485" s="4">
        <v>45386</v>
      </c>
      <c r="E3485" t="s">
        <v>1131</v>
      </c>
      <c r="F3485" t="s">
        <v>710</v>
      </c>
      <c r="G3485">
        <v>162</v>
      </c>
      <c r="I3485" s="6">
        <v>1</v>
      </c>
      <c r="J3485" s="6">
        <v>0</v>
      </c>
      <c r="K3485" s="6">
        <v>0</v>
      </c>
      <c r="L3485" s="6">
        <v>1</v>
      </c>
      <c r="M3485" s="6">
        <v>0</v>
      </c>
      <c r="N3485" s="6">
        <v>0</v>
      </c>
      <c r="O3485" s="6">
        <v>0</v>
      </c>
      <c r="P3485" s="6">
        <v>0</v>
      </c>
      <c r="Q3485">
        <v>1</v>
      </c>
      <c r="R3485">
        <f t="shared" si="270"/>
        <v>0</v>
      </c>
      <c r="S3485">
        <f t="shared" si="271"/>
        <v>0</v>
      </c>
      <c r="T3485">
        <f t="shared" si="272"/>
        <v>2</v>
      </c>
      <c r="U3485">
        <f t="shared" si="273"/>
        <v>1</v>
      </c>
      <c r="V3485">
        <f t="shared" si="274"/>
        <v>0</v>
      </c>
    </row>
    <row r="3486" spans="1:22" x14ac:dyDescent="0.25">
      <c r="A3486">
        <v>3483</v>
      </c>
      <c r="B3486" t="s">
        <v>26</v>
      </c>
      <c r="C3486" t="s">
        <v>1218</v>
      </c>
      <c r="D3486" s="4">
        <v>45386</v>
      </c>
      <c r="E3486" t="s">
        <v>1354</v>
      </c>
      <c r="F3486" t="s">
        <v>75</v>
      </c>
      <c r="I3486" s="6">
        <v>0</v>
      </c>
      <c r="J3486" s="6">
        <v>0</v>
      </c>
      <c r="K3486" s="6">
        <v>0</v>
      </c>
      <c r="L3486" s="6">
        <v>0</v>
      </c>
      <c r="M3486" s="6">
        <v>1</v>
      </c>
      <c r="N3486" s="6">
        <v>0</v>
      </c>
      <c r="O3486" s="6">
        <v>0</v>
      </c>
      <c r="P3486" s="6">
        <v>0</v>
      </c>
      <c r="Q3486">
        <v>1</v>
      </c>
      <c r="R3486">
        <f t="shared" si="270"/>
        <v>0</v>
      </c>
      <c r="S3486">
        <f t="shared" si="271"/>
        <v>1</v>
      </c>
      <c r="T3486">
        <f t="shared" si="272"/>
        <v>1</v>
      </c>
      <c r="U3486">
        <f t="shared" si="273"/>
        <v>1</v>
      </c>
      <c r="V3486">
        <f t="shared" si="274"/>
        <v>0</v>
      </c>
    </row>
    <row r="3487" spans="1:22" x14ac:dyDescent="0.25">
      <c r="A3487">
        <v>3484</v>
      </c>
      <c r="B3487" t="s">
        <v>26</v>
      </c>
      <c r="C3487" t="s">
        <v>1218</v>
      </c>
      <c r="D3487" s="4">
        <v>45386</v>
      </c>
      <c r="E3487" t="s">
        <v>2472</v>
      </c>
      <c r="F3487" t="s">
        <v>75</v>
      </c>
      <c r="I3487" s="6"/>
      <c r="J3487" s="6"/>
      <c r="K3487" s="6"/>
      <c r="L3487" s="6"/>
      <c r="M3487" s="6"/>
      <c r="N3487" s="6"/>
      <c r="O3487" s="6"/>
      <c r="P3487" s="6"/>
      <c r="Q3487">
        <v>0</v>
      </c>
      <c r="R3487">
        <f t="shared" si="270"/>
        <v>0</v>
      </c>
      <c r="S3487">
        <f t="shared" si="271"/>
        <v>0</v>
      </c>
      <c r="T3487">
        <f t="shared" si="272"/>
        <v>0</v>
      </c>
      <c r="U3487">
        <f t="shared" si="273"/>
        <v>0</v>
      </c>
      <c r="V3487">
        <f t="shared" si="274"/>
        <v>0</v>
      </c>
    </row>
    <row r="3488" spans="1:22" x14ac:dyDescent="0.25">
      <c r="A3488">
        <v>3485</v>
      </c>
      <c r="B3488" t="s">
        <v>26</v>
      </c>
      <c r="C3488" t="s">
        <v>1218</v>
      </c>
      <c r="D3488" s="4">
        <v>45386</v>
      </c>
      <c r="E3488" t="s">
        <v>2471</v>
      </c>
      <c r="F3488" t="s">
        <v>75</v>
      </c>
      <c r="I3488" s="6"/>
      <c r="J3488" s="6"/>
      <c r="K3488" s="6"/>
      <c r="L3488" s="6"/>
      <c r="M3488" s="6"/>
      <c r="N3488" s="6"/>
      <c r="O3488" s="6"/>
      <c r="P3488" s="6"/>
      <c r="Q3488">
        <v>0</v>
      </c>
      <c r="R3488">
        <f t="shared" si="270"/>
        <v>0</v>
      </c>
      <c r="S3488">
        <f t="shared" si="271"/>
        <v>0</v>
      </c>
      <c r="T3488">
        <f t="shared" si="272"/>
        <v>0</v>
      </c>
      <c r="U3488">
        <f t="shared" si="273"/>
        <v>0</v>
      </c>
      <c r="V3488">
        <f t="shared" si="274"/>
        <v>0</v>
      </c>
    </row>
    <row r="3489" spans="1:22" x14ac:dyDescent="0.25">
      <c r="A3489">
        <v>3486</v>
      </c>
      <c r="B3489" t="s">
        <v>26</v>
      </c>
      <c r="C3489" t="s">
        <v>1218</v>
      </c>
      <c r="D3489" s="4">
        <v>45387</v>
      </c>
      <c r="E3489" t="s">
        <v>283</v>
      </c>
      <c r="F3489" t="s">
        <v>75</v>
      </c>
      <c r="I3489" s="6"/>
      <c r="J3489" s="6"/>
      <c r="K3489" s="6"/>
      <c r="L3489" s="6"/>
      <c r="M3489" s="6"/>
      <c r="N3489" s="6"/>
      <c r="O3489" s="6"/>
      <c r="P3489" s="6"/>
      <c r="Q3489">
        <v>0</v>
      </c>
      <c r="R3489">
        <f t="shared" si="270"/>
        <v>0</v>
      </c>
      <c r="S3489">
        <f t="shared" si="271"/>
        <v>0</v>
      </c>
      <c r="T3489">
        <f t="shared" si="272"/>
        <v>0</v>
      </c>
      <c r="U3489">
        <f t="shared" si="273"/>
        <v>0</v>
      </c>
      <c r="V3489">
        <f t="shared" si="274"/>
        <v>0</v>
      </c>
    </row>
    <row r="3490" spans="1:22" x14ac:dyDescent="0.25">
      <c r="A3490">
        <v>3487</v>
      </c>
      <c r="B3490" t="s">
        <v>26</v>
      </c>
      <c r="C3490" t="s">
        <v>1218</v>
      </c>
      <c r="D3490" s="4">
        <v>45387</v>
      </c>
      <c r="E3490" t="s">
        <v>2470</v>
      </c>
      <c r="F3490" t="s">
        <v>75</v>
      </c>
      <c r="I3490" s="6"/>
      <c r="J3490" s="6"/>
      <c r="K3490" s="6"/>
      <c r="L3490" s="6"/>
      <c r="M3490" s="6"/>
      <c r="N3490" s="6"/>
      <c r="O3490" s="6"/>
      <c r="P3490" s="6"/>
      <c r="Q3490">
        <v>0</v>
      </c>
      <c r="R3490">
        <f t="shared" si="270"/>
        <v>0</v>
      </c>
      <c r="S3490">
        <f t="shared" si="271"/>
        <v>0</v>
      </c>
      <c r="T3490">
        <f t="shared" si="272"/>
        <v>0</v>
      </c>
      <c r="U3490">
        <f t="shared" si="273"/>
        <v>0</v>
      </c>
      <c r="V3490">
        <f t="shared" si="274"/>
        <v>0</v>
      </c>
    </row>
    <row r="3491" spans="1:22" x14ac:dyDescent="0.25">
      <c r="A3491">
        <v>3488</v>
      </c>
      <c r="B3491" t="s">
        <v>26</v>
      </c>
      <c r="C3491" t="s">
        <v>1218</v>
      </c>
      <c r="D3491" s="4">
        <v>45387</v>
      </c>
      <c r="E3491" t="s">
        <v>1355</v>
      </c>
      <c r="F3491" t="s">
        <v>413</v>
      </c>
      <c r="G3491">
        <v>163</v>
      </c>
      <c r="I3491" s="6">
        <v>0</v>
      </c>
      <c r="J3491" s="6">
        <v>0</v>
      </c>
      <c r="K3491" s="6">
        <v>0</v>
      </c>
      <c r="L3491" s="6">
        <v>1</v>
      </c>
      <c r="M3491" s="6">
        <v>0</v>
      </c>
      <c r="N3491" s="6">
        <v>0</v>
      </c>
      <c r="O3491" s="6">
        <v>0</v>
      </c>
      <c r="P3491" s="6">
        <v>1</v>
      </c>
      <c r="Q3491">
        <v>1</v>
      </c>
      <c r="R3491">
        <f t="shared" si="270"/>
        <v>1</v>
      </c>
      <c r="S3491">
        <f t="shared" si="271"/>
        <v>0</v>
      </c>
      <c r="T3491">
        <f t="shared" si="272"/>
        <v>2</v>
      </c>
      <c r="U3491">
        <f t="shared" si="273"/>
        <v>1</v>
      </c>
      <c r="V3491">
        <f t="shared" si="274"/>
        <v>1</v>
      </c>
    </row>
    <row r="3492" spans="1:22" x14ac:dyDescent="0.25">
      <c r="A3492">
        <v>3489</v>
      </c>
      <c r="B3492" t="s">
        <v>26</v>
      </c>
      <c r="C3492" t="s">
        <v>1218</v>
      </c>
      <c r="D3492" s="4">
        <v>45387</v>
      </c>
      <c r="E3492" t="s">
        <v>2469</v>
      </c>
      <c r="F3492" t="s">
        <v>75</v>
      </c>
      <c r="I3492" s="6"/>
      <c r="J3492" s="6"/>
      <c r="K3492" s="6"/>
      <c r="L3492" s="6"/>
      <c r="M3492" s="6"/>
      <c r="N3492" s="6"/>
      <c r="O3492" s="6"/>
      <c r="P3492" s="6"/>
      <c r="Q3492">
        <v>0</v>
      </c>
      <c r="R3492">
        <f t="shared" si="270"/>
        <v>0</v>
      </c>
      <c r="S3492">
        <f t="shared" si="271"/>
        <v>0</v>
      </c>
      <c r="T3492">
        <f t="shared" si="272"/>
        <v>0</v>
      </c>
      <c r="U3492">
        <f t="shared" si="273"/>
        <v>0</v>
      </c>
      <c r="V3492">
        <f t="shared" si="274"/>
        <v>0</v>
      </c>
    </row>
    <row r="3493" spans="1:22" x14ac:dyDescent="0.25">
      <c r="A3493">
        <v>3490</v>
      </c>
      <c r="B3493" t="s">
        <v>26</v>
      </c>
      <c r="C3493" t="s">
        <v>1218</v>
      </c>
      <c r="D3493" s="4">
        <v>45387</v>
      </c>
      <c r="E3493" t="s">
        <v>2468</v>
      </c>
      <c r="F3493" t="s">
        <v>75</v>
      </c>
      <c r="I3493" s="6"/>
      <c r="J3493" s="6"/>
      <c r="K3493" s="6"/>
      <c r="L3493" s="6"/>
      <c r="M3493" s="6"/>
      <c r="N3493" s="6"/>
      <c r="O3493" s="6"/>
      <c r="P3493" s="6"/>
      <c r="Q3493">
        <v>0</v>
      </c>
      <c r="R3493">
        <f t="shared" si="270"/>
        <v>0</v>
      </c>
      <c r="S3493">
        <f t="shared" si="271"/>
        <v>0</v>
      </c>
      <c r="T3493">
        <f t="shared" si="272"/>
        <v>0</v>
      </c>
      <c r="U3493">
        <f t="shared" si="273"/>
        <v>0</v>
      </c>
      <c r="V3493">
        <f t="shared" si="274"/>
        <v>0</v>
      </c>
    </row>
    <row r="3494" spans="1:22" x14ac:dyDescent="0.25">
      <c r="A3494">
        <v>3491</v>
      </c>
      <c r="B3494" t="s">
        <v>26</v>
      </c>
      <c r="C3494" t="s">
        <v>1218</v>
      </c>
      <c r="D3494" s="4">
        <v>45387</v>
      </c>
      <c r="E3494" t="s">
        <v>284</v>
      </c>
      <c r="F3494" t="s">
        <v>75</v>
      </c>
      <c r="I3494" s="6"/>
      <c r="J3494" s="6"/>
      <c r="K3494" s="6"/>
      <c r="L3494" s="6"/>
      <c r="M3494" s="6"/>
      <c r="N3494" s="6"/>
      <c r="O3494" s="6"/>
      <c r="P3494" s="6"/>
      <c r="Q3494">
        <v>0</v>
      </c>
      <c r="R3494">
        <f t="shared" si="270"/>
        <v>0</v>
      </c>
      <c r="S3494">
        <f t="shared" si="271"/>
        <v>0</v>
      </c>
      <c r="T3494">
        <f t="shared" si="272"/>
        <v>0</v>
      </c>
      <c r="U3494">
        <f t="shared" si="273"/>
        <v>0</v>
      </c>
      <c r="V3494">
        <f t="shared" si="274"/>
        <v>0</v>
      </c>
    </row>
    <row r="3495" spans="1:22" x14ac:dyDescent="0.25">
      <c r="A3495">
        <v>3492</v>
      </c>
      <c r="B3495" t="s">
        <v>26</v>
      </c>
      <c r="C3495" t="s">
        <v>1218</v>
      </c>
      <c r="D3495" s="4">
        <v>45387</v>
      </c>
      <c r="E3495" t="s">
        <v>449</v>
      </c>
      <c r="F3495" t="s">
        <v>75</v>
      </c>
      <c r="I3495" s="6"/>
      <c r="J3495" s="6"/>
      <c r="K3495" s="6"/>
      <c r="L3495" s="6"/>
      <c r="M3495" s="6"/>
      <c r="N3495" s="6"/>
      <c r="O3495" s="6"/>
      <c r="P3495" s="6"/>
      <c r="Q3495">
        <v>0</v>
      </c>
      <c r="R3495">
        <f t="shared" si="270"/>
        <v>0</v>
      </c>
      <c r="S3495">
        <f t="shared" si="271"/>
        <v>0</v>
      </c>
      <c r="T3495">
        <f t="shared" si="272"/>
        <v>0</v>
      </c>
      <c r="U3495">
        <f t="shared" si="273"/>
        <v>0</v>
      </c>
      <c r="V3495">
        <f t="shared" si="274"/>
        <v>0</v>
      </c>
    </row>
    <row r="3496" spans="1:22" x14ac:dyDescent="0.25">
      <c r="A3496">
        <v>3493</v>
      </c>
      <c r="B3496" t="s">
        <v>26</v>
      </c>
      <c r="C3496" t="s">
        <v>1218</v>
      </c>
      <c r="D3496" s="4">
        <v>45387</v>
      </c>
      <c r="E3496" t="s">
        <v>1475</v>
      </c>
      <c r="F3496" t="s">
        <v>75</v>
      </c>
      <c r="I3496" s="6"/>
      <c r="J3496" s="6"/>
      <c r="K3496" s="6"/>
      <c r="L3496" s="6"/>
      <c r="M3496" s="6"/>
      <c r="N3496" s="6"/>
      <c r="O3496" s="6"/>
      <c r="P3496" s="6"/>
      <c r="Q3496">
        <v>0</v>
      </c>
      <c r="R3496">
        <f t="shared" si="270"/>
        <v>0</v>
      </c>
      <c r="S3496">
        <f t="shared" si="271"/>
        <v>0</v>
      </c>
      <c r="T3496">
        <f t="shared" si="272"/>
        <v>0</v>
      </c>
      <c r="U3496">
        <f t="shared" si="273"/>
        <v>0</v>
      </c>
      <c r="V3496">
        <f t="shared" si="274"/>
        <v>0</v>
      </c>
    </row>
    <row r="3497" spans="1:22" x14ac:dyDescent="0.25">
      <c r="A3497">
        <v>3494</v>
      </c>
      <c r="B3497" t="s">
        <v>26</v>
      </c>
      <c r="C3497" t="s">
        <v>1218</v>
      </c>
      <c r="D3497" s="4">
        <v>45387</v>
      </c>
      <c r="E3497" t="s">
        <v>1546</v>
      </c>
      <c r="F3497" t="s">
        <v>75</v>
      </c>
      <c r="I3497" s="6"/>
      <c r="J3497" s="6"/>
      <c r="K3497" s="6"/>
      <c r="L3497" s="6"/>
      <c r="M3497" s="6"/>
      <c r="N3497" s="6"/>
      <c r="O3497" s="6"/>
      <c r="P3497" s="6"/>
      <c r="Q3497">
        <v>0</v>
      </c>
      <c r="R3497">
        <f t="shared" si="270"/>
        <v>0</v>
      </c>
      <c r="S3497">
        <f t="shared" si="271"/>
        <v>0</v>
      </c>
      <c r="T3497">
        <f t="shared" si="272"/>
        <v>0</v>
      </c>
      <c r="U3497">
        <f t="shared" si="273"/>
        <v>0</v>
      </c>
      <c r="V3497">
        <f t="shared" si="274"/>
        <v>0</v>
      </c>
    </row>
    <row r="3498" spans="1:22" x14ac:dyDescent="0.25">
      <c r="A3498">
        <v>3495</v>
      </c>
      <c r="B3498" t="s">
        <v>26</v>
      </c>
      <c r="C3498" t="s">
        <v>1218</v>
      </c>
      <c r="D3498" s="4">
        <v>45387</v>
      </c>
      <c r="E3498" t="s">
        <v>1356</v>
      </c>
      <c r="F3498" t="s">
        <v>75</v>
      </c>
      <c r="H3498" t="s">
        <v>1357</v>
      </c>
      <c r="I3498" s="6">
        <v>0</v>
      </c>
      <c r="J3498" s="6">
        <v>0</v>
      </c>
      <c r="K3498" s="6">
        <v>0</v>
      </c>
      <c r="L3498" s="6">
        <v>0</v>
      </c>
      <c r="M3498" s="6">
        <v>0</v>
      </c>
      <c r="N3498" s="6">
        <v>0</v>
      </c>
      <c r="O3498" s="6">
        <v>0</v>
      </c>
      <c r="P3498" s="6">
        <v>0</v>
      </c>
      <c r="Q3498">
        <v>1</v>
      </c>
      <c r="R3498">
        <f t="shared" si="270"/>
        <v>0</v>
      </c>
      <c r="S3498">
        <f t="shared" si="271"/>
        <v>1</v>
      </c>
      <c r="T3498">
        <f t="shared" si="272"/>
        <v>0</v>
      </c>
      <c r="U3498">
        <f t="shared" si="273"/>
        <v>0</v>
      </c>
      <c r="V3498">
        <f t="shared" si="274"/>
        <v>0</v>
      </c>
    </row>
    <row r="3499" spans="1:22" x14ac:dyDescent="0.25">
      <c r="A3499">
        <v>3496</v>
      </c>
      <c r="B3499" t="s">
        <v>26</v>
      </c>
      <c r="C3499" t="s">
        <v>1218</v>
      </c>
      <c r="D3499" s="4">
        <v>45387</v>
      </c>
      <c r="E3499" t="s">
        <v>2168</v>
      </c>
      <c r="F3499" t="s">
        <v>75</v>
      </c>
      <c r="I3499" s="6"/>
      <c r="J3499" s="6"/>
      <c r="K3499" s="6"/>
      <c r="L3499" s="6"/>
      <c r="M3499" s="6"/>
      <c r="N3499" s="6"/>
      <c r="O3499" s="6"/>
      <c r="P3499" s="6"/>
      <c r="Q3499">
        <v>0</v>
      </c>
      <c r="R3499">
        <f t="shared" si="270"/>
        <v>0</v>
      </c>
      <c r="S3499">
        <f t="shared" si="271"/>
        <v>0</v>
      </c>
      <c r="T3499">
        <f t="shared" si="272"/>
        <v>0</v>
      </c>
      <c r="U3499">
        <f t="shared" si="273"/>
        <v>0</v>
      </c>
      <c r="V3499">
        <f t="shared" si="274"/>
        <v>0</v>
      </c>
    </row>
    <row r="3500" spans="1:22" x14ac:dyDescent="0.25">
      <c r="A3500">
        <v>3497</v>
      </c>
      <c r="B3500" t="s">
        <v>26</v>
      </c>
      <c r="C3500" t="s">
        <v>1218</v>
      </c>
      <c r="D3500" s="4">
        <v>45387</v>
      </c>
      <c r="E3500" t="s">
        <v>2467</v>
      </c>
      <c r="F3500" t="s">
        <v>75</v>
      </c>
      <c r="I3500" s="6"/>
      <c r="J3500" s="6"/>
      <c r="K3500" s="6"/>
      <c r="L3500" s="6"/>
      <c r="M3500" s="6"/>
      <c r="N3500" s="6"/>
      <c r="O3500" s="6"/>
      <c r="P3500" s="6"/>
      <c r="Q3500">
        <v>0</v>
      </c>
      <c r="R3500">
        <f t="shared" si="270"/>
        <v>0</v>
      </c>
      <c r="S3500">
        <f t="shared" si="271"/>
        <v>0</v>
      </c>
      <c r="T3500">
        <f t="shared" si="272"/>
        <v>0</v>
      </c>
      <c r="U3500">
        <f t="shared" si="273"/>
        <v>0</v>
      </c>
      <c r="V3500">
        <f t="shared" si="274"/>
        <v>0</v>
      </c>
    </row>
    <row r="3501" spans="1:22" x14ac:dyDescent="0.25">
      <c r="A3501">
        <v>3498</v>
      </c>
      <c r="B3501" t="s">
        <v>26</v>
      </c>
      <c r="C3501" t="s">
        <v>1218</v>
      </c>
      <c r="D3501" s="4">
        <v>45387</v>
      </c>
      <c r="E3501" t="s">
        <v>2466</v>
      </c>
      <c r="F3501" t="s">
        <v>75</v>
      </c>
      <c r="I3501" s="6"/>
      <c r="J3501" s="6"/>
      <c r="K3501" s="6"/>
      <c r="L3501" s="6"/>
      <c r="M3501" s="6"/>
      <c r="N3501" s="6"/>
      <c r="O3501" s="6"/>
      <c r="P3501" s="6"/>
      <c r="Q3501">
        <v>0</v>
      </c>
      <c r="R3501">
        <f t="shared" si="270"/>
        <v>0</v>
      </c>
      <c r="S3501">
        <f t="shared" si="271"/>
        <v>0</v>
      </c>
      <c r="T3501">
        <f t="shared" si="272"/>
        <v>0</v>
      </c>
      <c r="U3501">
        <f t="shared" si="273"/>
        <v>0</v>
      </c>
      <c r="V3501">
        <f t="shared" si="274"/>
        <v>0</v>
      </c>
    </row>
    <row r="3502" spans="1:22" x14ac:dyDescent="0.25">
      <c r="A3502">
        <v>3499</v>
      </c>
      <c r="B3502" t="s">
        <v>26</v>
      </c>
      <c r="C3502" t="s">
        <v>1218</v>
      </c>
      <c r="D3502" s="4">
        <v>45388</v>
      </c>
      <c r="E3502" t="s">
        <v>1057</v>
      </c>
      <c r="F3502" t="s">
        <v>75</v>
      </c>
      <c r="I3502" s="6"/>
      <c r="J3502" s="6"/>
      <c r="K3502" s="6"/>
      <c r="L3502" s="6"/>
      <c r="M3502" s="6"/>
      <c r="N3502" s="6"/>
      <c r="O3502" s="6"/>
      <c r="P3502" s="6"/>
      <c r="Q3502">
        <v>0</v>
      </c>
      <c r="R3502">
        <f t="shared" si="270"/>
        <v>0</v>
      </c>
      <c r="S3502">
        <f t="shared" si="271"/>
        <v>0</v>
      </c>
      <c r="T3502">
        <f t="shared" si="272"/>
        <v>0</v>
      </c>
      <c r="U3502">
        <f t="shared" si="273"/>
        <v>0</v>
      </c>
      <c r="V3502">
        <f t="shared" si="274"/>
        <v>0</v>
      </c>
    </row>
    <row r="3503" spans="1:22" x14ac:dyDescent="0.25">
      <c r="A3503">
        <v>3500</v>
      </c>
      <c r="B3503" t="s">
        <v>26</v>
      </c>
      <c r="C3503" t="s">
        <v>1218</v>
      </c>
      <c r="D3503" s="4">
        <v>45388</v>
      </c>
      <c r="E3503" t="s">
        <v>2465</v>
      </c>
      <c r="F3503" t="s">
        <v>75</v>
      </c>
      <c r="I3503" s="6"/>
      <c r="J3503" s="6"/>
      <c r="K3503" s="6"/>
      <c r="L3503" s="6"/>
      <c r="M3503" s="6"/>
      <c r="N3503" s="6"/>
      <c r="O3503" s="6"/>
      <c r="P3503" s="6"/>
      <c r="Q3503">
        <v>0</v>
      </c>
      <c r="R3503">
        <f t="shared" si="270"/>
        <v>0</v>
      </c>
      <c r="S3503">
        <f t="shared" si="271"/>
        <v>0</v>
      </c>
      <c r="T3503">
        <f t="shared" si="272"/>
        <v>0</v>
      </c>
      <c r="U3503">
        <f t="shared" si="273"/>
        <v>0</v>
      </c>
      <c r="V3503">
        <f t="shared" si="274"/>
        <v>0</v>
      </c>
    </row>
    <row r="3504" spans="1:22" x14ac:dyDescent="0.25">
      <c r="A3504">
        <v>3501</v>
      </c>
      <c r="B3504" t="s">
        <v>26</v>
      </c>
      <c r="C3504" t="s">
        <v>1218</v>
      </c>
      <c r="D3504" s="4">
        <v>45388</v>
      </c>
      <c r="E3504" t="s">
        <v>2464</v>
      </c>
      <c r="F3504" t="s">
        <v>75</v>
      </c>
      <c r="I3504" s="6"/>
      <c r="J3504" s="6"/>
      <c r="K3504" s="6"/>
      <c r="L3504" s="6"/>
      <c r="M3504" s="6"/>
      <c r="N3504" s="6"/>
      <c r="O3504" s="6"/>
      <c r="P3504" s="6"/>
      <c r="Q3504">
        <v>0</v>
      </c>
      <c r="R3504">
        <f t="shared" si="270"/>
        <v>0</v>
      </c>
      <c r="S3504">
        <f t="shared" si="271"/>
        <v>0</v>
      </c>
      <c r="T3504">
        <f t="shared" si="272"/>
        <v>0</v>
      </c>
      <c r="U3504">
        <f t="shared" si="273"/>
        <v>0</v>
      </c>
      <c r="V3504">
        <f t="shared" si="274"/>
        <v>0</v>
      </c>
    </row>
    <row r="3505" spans="1:22" x14ac:dyDescent="0.25">
      <c r="A3505">
        <v>3502</v>
      </c>
      <c r="B3505" t="s">
        <v>26</v>
      </c>
      <c r="C3505" t="s">
        <v>1218</v>
      </c>
      <c r="D3505" s="4">
        <v>45388</v>
      </c>
      <c r="E3505" t="s">
        <v>2463</v>
      </c>
      <c r="F3505" t="s">
        <v>75</v>
      </c>
      <c r="I3505" s="6"/>
      <c r="J3505" s="6"/>
      <c r="K3505" s="6"/>
      <c r="L3505" s="6"/>
      <c r="M3505" s="6"/>
      <c r="N3505" s="6"/>
      <c r="O3505" s="6"/>
      <c r="P3505" s="6"/>
      <c r="Q3505">
        <v>0</v>
      </c>
      <c r="R3505">
        <f t="shared" si="270"/>
        <v>0</v>
      </c>
      <c r="S3505">
        <f t="shared" si="271"/>
        <v>0</v>
      </c>
      <c r="T3505">
        <f t="shared" si="272"/>
        <v>0</v>
      </c>
      <c r="U3505">
        <f t="shared" si="273"/>
        <v>0</v>
      </c>
      <c r="V3505">
        <f t="shared" si="274"/>
        <v>0</v>
      </c>
    </row>
    <row r="3506" spans="1:22" x14ac:dyDescent="0.25">
      <c r="A3506">
        <v>3503</v>
      </c>
      <c r="B3506" t="s">
        <v>26</v>
      </c>
      <c r="C3506" t="s">
        <v>1218</v>
      </c>
      <c r="D3506" s="4">
        <v>45388</v>
      </c>
      <c r="E3506" t="s">
        <v>2462</v>
      </c>
      <c r="F3506" t="s">
        <v>75</v>
      </c>
      <c r="I3506" s="6">
        <v>0</v>
      </c>
      <c r="J3506" s="6">
        <v>0</v>
      </c>
      <c r="K3506" s="6">
        <v>0</v>
      </c>
      <c r="L3506" s="6">
        <v>0</v>
      </c>
      <c r="M3506" s="6">
        <v>0</v>
      </c>
      <c r="N3506" s="6">
        <v>0</v>
      </c>
      <c r="O3506" s="6">
        <v>0</v>
      </c>
      <c r="P3506" s="6">
        <v>0</v>
      </c>
      <c r="Q3506">
        <v>1</v>
      </c>
      <c r="R3506">
        <f t="shared" si="270"/>
        <v>0</v>
      </c>
      <c r="S3506">
        <f t="shared" si="271"/>
        <v>1</v>
      </c>
      <c r="T3506">
        <f t="shared" si="272"/>
        <v>0</v>
      </c>
      <c r="U3506">
        <f t="shared" si="273"/>
        <v>0</v>
      </c>
      <c r="V3506">
        <f t="shared" si="274"/>
        <v>0</v>
      </c>
    </row>
    <row r="3507" spans="1:22" x14ac:dyDescent="0.25">
      <c r="A3507">
        <v>3504</v>
      </c>
      <c r="B3507" t="s">
        <v>26</v>
      </c>
      <c r="C3507" t="s">
        <v>1218</v>
      </c>
      <c r="D3507" s="4">
        <v>45388</v>
      </c>
      <c r="E3507" t="s">
        <v>1358</v>
      </c>
      <c r="F3507" t="s">
        <v>75</v>
      </c>
      <c r="I3507" s="6">
        <v>0</v>
      </c>
      <c r="J3507" s="6">
        <v>0</v>
      </c>
      <c r="K3507" s="6">
        <v>0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>
        <v>1</v>
      </c>
      <c r="R3507">
        <f t="shared" si="270"/>
        <v>0</v>
      </c>
      <c r="S3507">
        <f t="shared" si="271"/>
        <v>1</v>
      </c>
      <c r="T3507">
        <f t="shared" si="272"/>
        <v>0</v>
      </c>
      <c r="U3507">
        <f t="shared" si="273"/>
        <v>0</v>
      </c>
      <c r="V3507">
        <f t="shared" si="274"/>
        <v>0</v>
      </c>
    </row>
    <row r="3508" spans="1:22" x14ac:dyDescent="0.25">
      <c r="A3508">
        <v>3505</v>
      </c>
      <c r="B3508" t="s">
        <v>26</v>
      </c>
      <c r="C3508" t="s">
        <v>1218</v>
      </c>
      <c r="D3508" s="4">
        <v>45388</v>
      </c>
      <c r="E3508" t="s">
        <v>2461</v>
      </c>
      <c r="F3508" t="s">
        <v>75</v>
      </c>
      <c r="I3508" s="6"/>
      <c r="J3508" s="6"/>
      <c r="K3508" s="6"/>
      <c r="L3508" s="6"/>
      <c r="M3508" s="6"/>
      <c r="N3508" s="6"/>
      <c r="O3508" s="6"/>
      <c r="P3508" s="6"/>
      <c r="Q3508">
        <v>0</v>
      </c>
      <c r="R3508">
        <f t="shared" si="270"/>
        <v>0</v>
      </c>
      <c r="S3508">
        <f t="shared" si="271"/>
        <v>0</v>
      </c>
      <c r="T3508">
        <f t="shared" si="272"/>
        <v>0</v>
      </c>
      <c r="U3508">
        <f t="shared" si="273"/>
        <v>0</v>
      </c>
      <c r="V3508">
        <f t="shared" si="274"/>
        <v>0</v>
      </c>
    </row>
    <row r="3509" spans="1:22" x14ac:dyDescent="0.25">
      <c r="A3509">
        <v>3506</v>
      </c>
      <c r="B3509" t="s">
        <v>26</v>
      </c>
      <c r="C3509" t="s">
        <v>1218</v>
      </c>
      <c r="D3509" s="4">
        <v>45388</v>
      </c>
      <c r="E3509" t="s">
        <v>2460</v>
      </c>
      <c r="F3509" t="s">
        <v>75</v>
      </c>
      <c r="I3509" s="6">
        <v>0</v>
      </c>
      <c r="J3509" s="6">
        <v>0</v>
      </c>
      <c r="K3509" s="6">
        <v>0</v>
      </c>
      <c r="L3509" s="6">
        <v>0</v>
      </c>
      <c r="M3509" s="6">
        <v>0</v>
      </c>
      <c r="N3509" s="6">
        <v>0</v>
      </c>
      <c r="O3509" s="6">
        <v>0</v>
      </c>
      <c r="P3509" s="6">
        <v>0</v>
      </c>
      <c r="Q3509">
        <v>1</v>
      </c>
      <c r="R3509">
        <f t="shared" si="270"/>
        <v>0</v>
      </c>
      <c r="S3509">
        <f t="shared" si="271"/>
        <v>1</v>
      </c>
      <c r="T3509">
        <f t="shared" si="272"/>
        <v>0</v>
      </c>
      <c r="U3509">
        <f t="shared" si="273"/>
        <v>0</v>
      </c>
      <c r="V3509">
        <f t="shared" si="274"/>
        <v>0</v>
      </c>
    </row>
    <row r="3510" spans="1:22" x14ac:dyDescent="0.25">
      <c r="A3510">
        <v>3507</v>
      </c>
      <c r="B3510" t="s">
        <v>26</v>
      </c>
      <c r="C3510" t="s">
        <v>1218</v>
      </c>
      <c r="D3510" s="4">
        <v>45388</v>
      </c>
      <c r="E3510" t="s">
        <v>1359</v>
      </c>
      <c r="F3510" t="s">
        <v>75</v>
      </c>
      <c r="I3510" s="6">
        <v>0</v>
      </c>
      <c r="J3510" s="6">
        <v>0</v>
      </c>
      <c r="K3510" s="6">
        <v>0</v>
      </c>
      <c r="L3510" s="6">
        <v>1</v>
      </c>
      <c r="M3510" s="6">
        <v>0</v>
      </c>
      <c r="N3510" s="6">
        <v>0</v>
      </c>
      <c r="O3510" s="6">
        <v>0</v>
      </c>
      <c r="P3510" s="6">
        <v>0</v>
      </c>
      <c r="Q3510">
        <v>1</v>
      </c>
      <c r="R3510">
        <f t="shared" si="270"/>
        <v>0</v>
      </c>
      <c r="S3510">
        <f t="shared" si="271"/>
        <v>1</v>
      </c>
      <c r="T3510">
        <f t="shared" si="272"/>
        <v>1</v>
      </c>
      <c r="U3510">
        <f t="shared" si="273"/>
        <v>1</v>
      </c>
      <c r="V3510">
        <f t="shared" si="274"/>
        <v>0</v>
      </c>
    </row>
    <row r="3511" spans="1:22" x14ac:dyDescent="0.25">
      <c r="A3511">
        <v>3508</v>
      </c>
      <c r="B3511" t="s">
        <v>26</v>
      </c>
      <c r="C3511" t="s">
        <v>1218</v>
      </c>
      <c r="D3511" s="4">
        <v>45388</v>
      </c>
      <c r="E3511" t="s">
        <v>2459</v>
      </c>
      <c r="F3511" t="s">
        <v>75</v>
      </c>
      <c r="I3511" s="6">
        <v>1</v>
      </c>
      <c r="J3511" s="6">
        <v>0</v>
      </c>
      <c r="K3511" s="6">
        <v>1</v>
      </c>
      <c r="L3511" s="6">
        <v>1</v>
      </c>
      <c r="M3511" s="6">
        <v>0</v>
      </c>
      <c r="N3511" s="6">
        <v>0</v>
      </c>
      <c r="O3511" s="6">
        <v>0</v>
      </c>
      <c r="P3511" s="6">
        <v>0</v>
      </c>
      <c r="Q3511">
        <v>1</v>
      </c>
      <c r="R3511">
        <f t="shared" si="270"/>
        <v>0</v>
      </c>
      <c r="S3511">
        <f t="shared" si="271"/>
        <v>1</v>
      </c>
      <c r="T3511">
        <f t="shared" si="272"/>
        <v>3</v>
      </c>
      <c r="U3511">
        <f t="shared" si="273"/>
        <v>1</v>
      </c>
      <c r="V3511">
        <f t="shared" si="274"/>
        <v>0</v>
      </c>
    </row>
    <row r="3512" spans="1:22" x14ac:dyDescent="0.25">
      <c r="A3512">
        <v>3509</v>
      </c>
      <c r="B3512" t="s">
        <v>26</v>
      </c>
      <c r="C3512" t="s">
        <v>1218</v>
      </c>
      <c r="D3512" s="4">
        <v>45388</v>
      </c>
      <c r="E3512" t="s">
        <v>2458</v>
      </c>
      <c r="F3512" t="s">
        <v>75</v>
      </c>
      <c r="I3512" s="6"/>
      <c r="J3512" s="6"/>
      <c r="K3512" s="6"/>
      <c r="L3512" s="6"/>
      <c r="M3512" s="6"/>
      <c r="N3512" s="6"/>
      <c r="O3512" s="6"/>
      <c r="P3512" s="6"/>
      <c r="Q3512">
        <v>0</v>
      </c>
      <c r="R3512">
        <f t="shared" si="270"/>
        <v>0</v>
      </c>
      <c r="S3512">
        <f t="shared" si="271"/>
        <v>0</v>
      </c>
      <c r="T3512">
        <f t="shared" si="272"/>
        <v>0</v>
      </c>
      <c r="U3512">
        <f t="shared" si="273"/>
        <v>0</v>
      </c>
      <c r="V3512">
        <f t="shared" si="274"/>
        <v>0</v>
      </c>
    </row>
    <row r="3513" spans="1:22" x14ac:dyDescent="0.25">
      <c r="A3513">
        <v>3510</v>
      </c>
      <c r="B3513" t="s">
        <v>26</v>
      </c>
      <c r="C3513" t="s">
        <v>1218</v>
      </c>
      <c r="D3513" s="4">
        <v>45388</v>
      </c>
      <c r="E3513" t="s">
        <v>1222</v>
      </c>
      <c r="F3513" t="s">
        <v>75</v>
      </c>
      <c r="I3513" s="6"/>
      <c r="J3513" s="6"/>
      <c r="K3513" s="6"/>
      <c r="L3513" s="6"/>
      <c r="M3513" s="6"/>
      <c r="N3513" s="6"/>
      <c r="O3513" s="6"/>
      <c r="P3513" s="6"/>
      <c r="Q3513">
        <v>0</v>
      </c>
      <c r="R3513">
        <f t="shared" si="270"/>
        <v>0</v>
      </c>
      <c r="S3513">
        <f t="shared" si="271"/>
        <v>0</v>
      </c>
      <c r="T3513">
        <f t="shared" si="272"/>
        <v>0</v>
      </c>
      <c r="U3513">
        <f t="shared" si="273"/>
        <v>0</v>
      </c>
      <c r="V3513">
        <f t="shared" si="274"/>
        <v>0</v>
      </c>
    </row>
    <row r="3514" spans="1:22" x14ac:dyDescent="0.25">
      <c r="A3514">
        <v>3511</v>
      </c>
      <c r="B3514" t="s">
        <v>26</v>
      </c>
      <c r="C3514" t="s">
        <v>1218</v>
      </c>
      <c r="D3514" s="4">
        <v>45388</v>
      </c>
      <c r="E3514" t="s">
        <v>2457</v>
      </c>
      <c r="F3514" t="s">
        <v>75</v>
      </c>
      <c r="I3514" s="6"/>
      <c r="J3514" s="6"/>
      <c r="K3514" s="6"/>
      <c r="L3514" s="6"/>
      <c r="M3514" s="6"/>
      <c r="N3514" s="6"/>
      <c r="O3514" s="6"/>
      <c r="P3514" s="6"/>
      <c r="Q3514">
        <v>0</v>
      </c>
      <c r="R3514">
        <f t="shared" si="270"/>
        <v>0</v>
      </c>
      <c r="S3514">
        <f t="shared" si="271"/>
        <v>0</v>
      </c>
      <c r="T3514">
        <f t="shared" si="272"/>
        <v>0</v>
      </c>
      <c r="U3514">
        <f t="shared" si="273"/>
        <v>0</v>
      </c>
      <c r="V3514">
        <f t="shared" si="274"/>
        <v>0</v>
      </c>
    </row>
    <row r="3515" spans="1:22" x14ac:dyDescent="0.25">
      <c r="A3515">
        <v>3512</v>
      </c>
      <c r="B3515" t="s">
        <v>26</v>
      </c>
      <c r="C3515" t="s">
        <v>1218</v>
      </c>
      <c r="D3515" s="4">
        <v>45388</v>
      </c>
      <c r="E3515" t="s">
        <v>2456</v>
      </c>
      <c r="F3515" t="s">
        <v>75</v>
      </c>
      <c r="I3515" s="6"/>
      <c r="J3515" s="6"/>
      <c r="K3515" s="6"/>
      <c r="L3515" s="6"/>
      <c r="M3515" s="6"/>
      <c r="N3515" s="6"/>
      <c r="O3515" s="6"/>
      <c r="P3515" s="6"/>
      <c r="Q3515">
        <v>0</v>
      </c>
      <c r="R3515">
        <f t="shared" si="270"/>
        <v>0</v>
      </c>
      <c r="S3515">
        <f t="shared" si="271"/>
        <v>0</v>
      </c>
      <c r="T3515">
        <f t="shared" si="272"/>
        <v>0</v>
      </c>
      <c r="U3515">
        <f t="shared" si="273"/>
        <v>0</v>
      </c>
      <c r="V3515">
        <f t="shared" si="274"/>
        <v>0</v>
      </c>
    </row>
    <row r="3516" spans="1:22" x14ac:dyDescent="0.25">
      <c r="A3516">
        <v>3513</v>
      </c>
      <c r="B3516" t="s">
        <v>26</v>
      </c>
      <c r="C3516" t="s">
        <v>1218</v>
      </c>
      <c r="D3516" s="4">
        <v>45388</v>
      </c>
      <c r="E3516" t="s">
        <v>1058</v>
      </c>
      <c r="F3516" t="s">
        <v>75</v>
      </c>
      <c r="I3516" s="6"/>
      <c r="J3516" s="6"/>
      <c r="K3516" s="6"/>
      <c r="L3516" s="6"/>
      <c r="M3516" s="6"/>
      <c r="N3516" s="6"/>
      <c r="O3516" s="6"/>
      <c r="P3516" s="6"/>
      <c r="Q3516">
        <v>0</v>
      </c>
      <c r="R3516">
        <f t="shared" si="270"/>
        <v>0</v>
      </c>
      <c r="S3516">
        <f t="shared" si="271"/>
        <v>0</v>
      </c>
      <c r="T3516">
        <f t="shared" si="272"/>
        <v>0</v>
      </c>
      <c r="U3516">
        <f t="shared" si="273"/>
        <v>0</v>
      </c>
      <c r="V3516">
        <f t="shared" si="274"/>
        <v>0</v>
      </c>
    </row>
    <row r="3517" spans="1:22" x14ac:dyDescent="0.25">
      <c r="A3517">
        <v>3514</v>
      </c>
      <c r="B3517" t="s">
        <v>26</v>
      </c>
      <c r="C3517" t="s">
        <v>1218</v>
      </c>
      <c r="D3517" s="4">
        <v>45388</v>
      </c>
      <c r="E3517" t="s">
        <v>2167</v>
      </c>
      <c r="F3517" t="s">
        <v>75</v>
      </c>
      <c r="I3517" s="6"/>
      <c r="J3517" s="6"/>
      <c r="K3517" s="6"/>
      <c r="L3517" s="6"/>
      <c r="M3517" s="6"/>
      <c r="N3517" s="6"/>
      <c r="O3517" s="6"/>
      <c r="P3517" s="6"/>
      <c r="Q3517">
        <v>0</v>
      </c>
      <c r="R3517">
        <f t="shared" si="270"/>
        <v>0</v>
      </c>
      <c r="S3517">
        <f t="shared" si="271"/>
        <v>0</v>
      </c>
      <c r="T3517">
        <f t="shared" si="272"/>
        <v>0</v>
      </c>
      <c r="U3517">
        <f t="shared" si="273"/>
        <v>0</v>
      </c>
      <c r="V3517">
        <f t="shared" si="274"/>
        <v>0</v>
      </c>
    </row>
    <row r="3518" spans="1:22" x14ac:dyDescent="0.25">
      <c r="A3518">
        <v>3515</v>
      </c>
      <c r="B3518" t="s">
        <v>26</v>
      </c>
      <c r="C3518" t="s">
        <v>1218</v>
      </c>
      <c r="D3518" s="4">
        <v>45388</v>
      </c>
      <c r="E3518" t="s">
        <v>1132</v>
      </c>
      <c r="F3518" t="s">
        <v>75</v>
      </c>
      <c r="I3518" s="6">
        <v>0</v>
      </c>
      <c r="J3518" s="6">
        <v>0</v>
      </c>
      <c r="K3518" s="6">
        <v>0</v>
      </c>
      <c r="L3518" s="6">
        <v>0</v>
      </c>
      <c r="M3518" s="6">
        <v>0</v>
      </c>
      <c r="N3518" s="6">
        <v>0</v>
      </c>
      <c r="O3518" s="6">
        <v>0</v>
      </c>
      <c r="P3518" s="6">
        <v>0</v>
      </c>
      <c r="Q3518">
        <v>1</v>
      </c>
      <c r="R3518">
        <f t="shared" si="270"/>
        <v>0</v>
      </c>
      <c r="S3518">
        <f t="shared" si="271"/>
        <v>1</v>
      </c>
      <c r="T3518">
        <f t="shared" si="272"/>
        <v>0</v>
      </c>
      <c r="U3518">
        <f t="shared" si="273"/>
        <v>0</v>
      </c>
      <c r="V3518">
        <f t="shared" si="274"/>
        <v>0</v>
      </c>
    </row>
    <row r="3519" spans="1:22" x14ac:dyDescent="0.25">
      <c r="A3519">
        <v>3516</v>
      </c>
      <c r="B3519" t="s">
        <v>26</v>
      </c>
      <c r="C3519" t="s">
        <v>1218</v>
      </c>
      <c r="D3519" s="4">
        <v>45388</v>
      </c>
      <c r="E3519" t="s">
        <v>1476</v>
      </c>
      <c r="F3519" t="s">
        <v>75</v>
      </c>
      <c r="I3519" s="6">
        <v>0</v>
      </c>
      <c r="J3519" s="6">
        <v>0</v>
      </c>
      <c r="K3519" s="6">
        <v>0</v>
      </c>
      <c r="L3519" s="6">
        <v>0</v>
      </c>
      <c r="M3519" s="6">
        <v>0</v>
      </c>
      <c r="N3519" s="6">
        <v>0</v>
      </c>
      <c r="O3519" s="6">
        <v>0</v>
      </c>
      <c r="P3519" s="6">
        <v>0</v>
      </c>
      <c r="Q3519">
        <v>1</v>
      </c>
      <c r="R3519">
        <f t="shared" si="270"/>
        <v>0</v>
      </c>
      <c r="S3519">
        <f t="shared" si="271"/>
        <v>1</v>
      </c>
      <c r="T3519">
        <f t="shared" si="272"/>
        <v>0</v>
      </c>
      <c r="U3519">
        <f t="shared" si="273"/>
        <v>0</v>
      </c>
      <c r="V3519">
        <f t="shared" si="274"/>
        <v>0</v>
      </c>
    </row>
    <row r="3520" spans="1:22" x14ac:dyDescent="0.25">
      <c r="A3520">
        <v>3517</v>
      </c>
      <c r="B3520" t="s">
        <v>26</v>
      </c>
      <c r="C3520" t="s">
        <v>1218</v>
      </c>
      <c r="D3520" s="4">
        <v>45388</v>
      </c>
      <c r="E3520" t="s">
        <v>2166</v>
      </c>
      <c r="F3520" t="s">
        <v>75</v>
      </c>
      <c r="I3520" s="6">
        <v>0</v>
      </c>
      <c r="J3520" s="6">
        <v>0</v>
      </c>
      <c r="K3520" s="6">
        <v>0</v>
      </c>
      <c r="L3520" s="6">
        <v>0</v>
      </c>
      <c r="M3520" s="6">
        <v>0</v>
      </c>
      <c r="N3520" s="6">
        <v>0</v>
      </c>
      <c r="O3520" s="6">
        <v>0</v>
      </c>
      <c r="P3520" s="6">
        <v>0</v>
      </c>
      <c r="Q3520">
        <v>1</v>
      </c>
      <c r="R3520">
        <f t="shared" si="270"/>
        <v>0</v>
      </c>
      <c r="S3520">
        <f t="shared" si="271"/>
        <v>1</v>
      </c>
      <c r="T3520">
        <f t="shared" si="272"/>
        <v>0</v>
      </c>
      <c r="U3520">
        <f t="shared" si="273"/>
        <v>0</v>
      </c>
      <c r="V3520">
        <f t="shared" si="274"/>
        <v>0</v>
      </c>
    </row>
    <row r="3521" spans="1:22" x14ac:dyDescent="0.25">
      <c r="A3521">
        <v>3518</v>
      </c>
      <c r="B3521" t="s">
        <v>26</v>
      </c>
      <c r="C3521" t="s">
        <v>1218</v>
      </c>
      <c r="D3521" s="4">
        <v>45388</v>
      </c>
      <c r="E3521" t="s">
        <v>1133</v>
      </c>
      <c r="F3521" t="s">
        <v>75</v>
      </c>
      <c r="I3521" s="6"/>
      <c r="J3521" s="6"/>
      <c r="K3521" s="6"/>
      <c r="L3521" s="6"/>
      <c r="M3521" s="6"/>
      <c r="N3521" s="6"/>
      <c r="O3521" s="6"/>
      <c r="P3521" s="6"/>
      <c r="Q3521">
        <v>0</v>
      </c>
      <c r="R3521">
        <f t="shared" si="270"/>
        <v>0</v>
      </c>
      <c r="S3521">
        <f t="shared" si="271"/>
        <v>0</v>
      </c>
      <c r="T3521">
        <f t="shared" si="272"/>
        <v>0</v>
      </c>
      <c r="U3521">
        <f t="shared" si="273"/>
        <v>0</v>
      </c>
      <c r="V3521">
        <f t="shared" si="274"/>
        <v>0</v>
      </c>
    </row>
    <row r="3522" spans="1:22" x14ac:dyDescent="0.25">
      <c r="A3522">
        <v>3519</v>
      </c>
      <c r="B3522" t="s">
        <v>26</v>
      </c>
      <c r="C3522" t="s">
        <v>1218</v>
      </c>
      <c r="D3522" s="4">
        <v>45388</v>
      </c>
      <c r="E3522" t="s">
        <v>1360</v>
      </c>
      <c r="F3522" t="s">
        <v>75</v>
      </c>
      <c r="I3522" s="6">
        <v>0</v>
      </c>
      <c r="J3522" s="6">
        <v>0</v>
      </c>
      <c r="K3522" s="6">
        <v>0</v>
      </c>
      <c r="L3522" s="6">
        <v>0</v>
      </c>
      <c r="M3522" s="6">
        <v>0</v>
      </c>
      <c r="N3522" s="6">
        <v>0</v>
      </c>
      <c r="O3522" s="6">
        <v>0</v>
      </c>
      <c r="P3522" s="6">
        <v>0</v>
      </c>
      <c r="Q3522">
        <v>1</v>
      </c>
      <c r="R3522">
        <f t="shared" si="270"/>
        <v>0</v>
      </c>
      <c r="S3522">
        <f t="shared" si="271"/>
        <v>1</v>
      </c>
      <c r="T3522">
        <f t="shared" si="272"/>
        <v>0</v>
      </c>
      <c r="U3522">
        <f t="shared" si="273"/>
        <v>0</v>
      </c>
      <c r="V3522">
        <f t="shared" si="274"/>
        <v>0</v>
      </c>
    </row>
    <row r="3523" spans="1:22" x14ac:dyDescent="0.25">
      <c r="A3523">
        <v>3520</v>
      </c>
      <c r="B3523" t="s">
        <v>26</v>
      </c>
      <c r="C3523" t="s">
        <v>1218</v>
      </c>
      <c r="D3523" s="4">
        <v>45389</v>
      </c>
      <c r="E3523" t="s">
        <v>866</v>
      </c>
      <c r="F3523" t="s">
        <v>75</v>
      </c>
      <c r="I3523" s="6"/>
      <c r="J3523" s="6"/>
      <c r="K3523" s="6"/>
      <c r="L3523" s="6"/>
      <c r="M3523" s="6"/>
      <c r="N3523" s="6"/>
      <c r="O3523" s="6"/>
      <c r="P3523" s="6"/>
      <c r="Q3523">
        <v>0</v>
      </c>
      <c r="R3523">
        <f t="shared" ref="R3523:R3586" si="275">IF(AND(Q3523=1,F3523="ai_full"),1,0)</f>
        <v>0</v>
      </c>
      <c r="S3523">
        <f t="shared" ref="S3523:S3586" si="276">IF(AND(Q3523=1,F3523="conventional"),1,0)</f>
        <v>0</v>
      </c>
      <c r="T3523">
        <f t="shared" ref="T3523:T3586" si="277">SUM(I3523:P3523)</f>
        <v>0</v>
      </c>
      <c r="U3523">
        <f t="shared" ref="U3523:U3586" si="278">IF(T3523&gt;=1,1,0)</f>
        <v>0</v>
      </c>
      <c r="V3523">
        <f t="shared" ref="V3523:V3586" si="279">IF(F3523="ai_full",1,0)</f>
        <v>0</v>
      </c>
    </row>
    <row r="3524" spans="1:22" x14ac:dyDescent="0.25">
      <c r="A3524">
        <v>3521</v>
      </c>
      <c r="B3524" t="s">
        <v>26</v>
      </c>
      <c r="C3524" t="s">
        <v>1218</v>
      </c>
      <c r="D3524" s="4">
        <v>45390</v>
      </c>
      <c r="E3524" t="s">
        <v>1477</v>
      </c>
      <c r="F3524" t="s">
        <v>75</v>
      </c>
      <c r="I3524" s="6"/>
      <c r="J3524" s="6"/>
      <c r="K3524" s="6"/>
      <c r="L3524" s="6"/>
      <c r="M3524" s="6"/>
      <c r="N3524" s="6"/>
      <c r="O3524" s="6"/>
      <c r="P3524" s="6"/>
      <c r="Q3524">
        <v>0</v>
      </c>
      <c r="R3524">
        <f t="shared" si="275"/>
        <v>0</v>
      </c>
      <c r="S3524">
        <f t="shared" si="276"/>
        <v>0</v>
      </c>
      <c r="T3524">
        <f t="shared" si="277"/>
        <v>0</v>
      </c>
      <c r="U3524">
        <f t="shared" si="278"/>
        <v>0</v>
      </c>
      <c r="V3524">
        <f t="shared" si="279"/>
        <v>0</v>
      </c>
    </row>
    <row r="3525" spans="1:22" x14ac:dyDescent="0.25">
      <c r="A3525">
        <v>3522</v>
      </c>
      <c r="B3525" t="s">
        <v>26</v>
      </c>
      <c r="C3525" t="s">
        <v>1218</v>
      </c>
      <c r="D3525" s="4">
        <v>45390</v>
      </c>
      <c r="E3525" t="s">
        <v>2455</v>
      </c>
      <c r="F3525" t="s">
        <v>75</v>
      </c>
      <c r="I3525" s="6"/>
      <c r="J3525" s="6"/>
      <c r="K3525" s="6"/>
      <c r="L3525" s="6"/>
      <c r="M3525" s="6"/>
      <c r="N3525" s="6"/>
      <c r="O3525" s="6"/>
      <c r="P3525" s="6"/>
      <c r="Q3525">
        <v>0</v>
      </c>
      <c r="R3525">
        <f t="shared" si="275"/>
        <v>0</v>
      </c>
      <c r="S3525">
        <f t="shared" si="276"/>
        <v>0</v>
      </c>
      <c r="T3525">
        <f t="shared" si="277"/>
        <v>0</v>
      </c>
      <c r="U3525">
        <f t="shared" si="278"/>
        <v>0</v>
      </c>
      <c r="V3525">
        <f t="shared" si="279"/>
        <v>0</v>
      </c>
    </row>
    <row r="3526" spans="1:22" x14ac:dyDescent="0.25">
      <c r="A3526">
        <v>3523</v>
      </c>
      <c r="B3526" t="s">
        <v>26</v>
      </c>
      <c r="C3526" t="s">
        <v>1218</v>
      </c>
      <c r="D3526" s="4">
        <v>45390</v>
      </c>
      <c r="E3526" t="s">
        <v>1060</v>
      </c>
      <c r="F3526" t="s">
        <v>75</v>
      </c>
      <c r="I3526" s="6"/>
      <c r="J3526" s="6"/>
      <c r="K3526" s="6"/>
      <c r="L3526" s="6"/>
      <c r="M3526" s="6"/>
      <c r="N3526" s="6"/>
      <c r="O3526" s="6"/>
      <c r="P3526" s="6"/>
      <c r="Q3526">
        <v>0</v>
      </c>
      <c r="R3526">
        <f t="shared" si="275"/>
        <v>0</v>
      </c>
      <c r="S3526">
        <f t="shared" si="276"/>
        <v>0</v>
      </c>
      <c r="T3526">
        <f t="shared" si="277"/>
        <v>0</v>
      </c>
      <c r="U3526">
        <f t="shared" si="278"/>
        <v>0</v>
      </c>
      <c r="V3526">
        <f t="shared" si="279"/>
        <v>0</v>
      </c>
    </row>
    <row r="3527" spans="1:22" x14ac:dyDescent="0.25">
      <c r="A3527">
        <v>3524</v>
      </c>
      <c r="B3527" t="s">
        <v>26</v>
      </c>
      <c r="C3527" t="s">
        <v>1218</v>
      </c>
      <c r="D3527" s="4">
        <v>45390</v>
      </c>
      <c r="E3527" t="s">
        <v>1803</v>
      </c>
      <c r="F3527" t="s">
        <v>75</v>
      </c>
      <c r="I3527" s="6"/>
      <c r="J3527" s="6"/>
      <c r="K3527" s="6"/>
      <c r="L3527" s="6"/>
      <c r="M3527" s="6"/>
      <c r="N3527" s="6"/>
      <c r="O3527" s="6"/>
      <c r="P3527" s="6"/>
      <c r="Q3527">
        <v>0</v>
      </c>
      <c r="R3527">
        <f t="shared" si="275"/>
        <v>0</v>
      </c>
      <c r="S3527">
        <f t="shared" si="276"/>
        <v>0</v>
      </c>
      <c r="T3527">
        <f t="shared" si="277"/>
        <v>0</v>
      </c>
      <c r="U3527">
        <f t="shared" si="278"/>
        <v>0</v>
      </c>
      <c r="V3527">
        <f t="shared" si="279"/>
        <v>0</v>
      </c>
    </row>
    <row r="3528" spans="1:22" x14ac:dyDescent="0.25">
      <c r="A3528">
        <v>3525</v>
      </c>
      <c r="B3528" t="s">
        <v>26</v>
      </c>
      <c r="C3528" t="s">
        <v>1218</v>
      </c>
      <c r="D3528" s="4">
        <v>45390</v>
      </c>
      <c r="E3528" t="s">
        <v>2036</v>
      </c>
      <c r="F3528" t="s">
        <v>75</v>
      </c>
      <c r="I3528" s="6"/>
      <c r="J3528" s="6"/>
      <c r="K3528" s="6"/>
      <c r="L3528" s="6"/>
      <c r="M3528" s="6"/>
      <c r="N3528" s="6"/>
      <c r="O3528" s="6"/>
      <c r="P3528" s="6"/>
      <c r="Q3528">
        <v>0</v>
      </c>
      <c r="R3528">
        <f t="shared" si="275"/>
        <v>0</v>
      </c>
      <c r="S3528">
        <f t="shared" si="276"/>
        <v>0</v>
      </c>
      <c r="T3528">
        <f t="shared" si="277"/>
        <v>0</v>
      </c>
      <c r="U3528">
        <f t="shared" si="278"/>
        <v>0</v>
      </c>
      <c r="V3528">
        <f t="shared" si="279"/>
        <v>0</v>
      </c>
    </row>
    <row r="3529" spans="1:22" x14ac:dyDescent="0.25">
      <c r="A3529">
        <v>3526</v>
      </c>
      <c r="B3529" t="s">
        <v>26</v>
      </c>
      <c r="C3529" t="s">
        <v>1218</v>
      </c>
      <c r="D3529" s="4">
        <v>45390</v>
      </c>
      <c r="E3529" t="s">
        <v>2035</v>
      </c>
      <c r="F3529" t="s">
        <v>75</v>
      </c>
      <c r="I3529" s="6"/>
      <c r="J3529" s="6"/>
      <c r="K3529" s="6"/>
      <c r="L3529" s="6"/>
      <c r="M3529" s="6"/>
      <c r="N3529" s="6"/>
      <c r="O3529" s="6"/>
      <c r="P3529" s="6"/>
      <c r="Q3529">
        <v>0</v>
      </c>
      <c r="R3529">
        <f t="shared" si="275"/>
        <v>0</v>
      </c>
      <c r="S3529">
        <f t="shared" si="276"/>
        <v>0</v>
      </c>
      <c r="T3529">
        <f t="shared" si="277"/>
        <v>0</v>
      </c>
      <c r="U3529">
        <f t="shared" si="278"/>
        <v>0</v>
      </c>
      <c r="V3529">
        <f t="shared" si="279"/>
        <v>0</v>
      </c>
    </row>
    <row r="3530" spans="1:22" x14ac:dyDescent="0.25">
      <c r="A3530">
        <v>3527</v>
      </c>
      <c r="B3530" t="s">
        <v>26</v>
      </c>
      <c r="C3530" t="s">
        <v>1218</v>
      </c>
      <c r="D3530" s="4">
        <v>45390</v>
      </c>
      <c r="E3530" t="s">
        <v>2034</v>
      </c>
      <c r="F3530" t="s">
        <v>75</v>
      </c>
      <c r="I3530" s="6"/>
      <c r="J3530" s="6"/>
      <c r="K3530" s="6"/>
      <c r="L3530" s="6"/>
      <c r="M3530" s="6"/>
      <c r="N3530" s="6"/>
      <c r="O3530" s="6"/>
      <c r="P3530" s="6"/>
      <c r="Q3530">
        <v>0</v>
      </c>
      <c r="R3530">
        <f t="shared" si="275"/>
        <v>0</v>
      </c>
      <c r="S3530">
        <f t="shared" si="276"/>
        <v>0</v>
      </c>
      <c r="T3530">
        <f t="shared" si="277"/>
        <v>0</v>
      </c>
      <c r="U3530">
        <f t="shared" si="278"/>
        <v>0</v>
      </c>
      <c r="V3530">
        <f t="shared" si="279"/>
        <v>0</v>
      </c>
    </row>
    <row r="3531" spans="1:22" x14ac:dyDescent="0.25">
      <c r="A3531">
        <v>3528</v>
      </c>
      <c r="B3531" t="s">
        <v>26</v>
      </c>
      <c r="C3531" t="s">
        <v>1218</v>
      </c>
      <c r="D3531" s="4">
        <v>45390</v>
      </c>
      <c r="E3531" t="s">
        <v>2162</v>
      </c>
      <c r="F3531" t="s">
        <v>75</v>
      </c>
      <c r="I3531" s="6"/>
      <c r="J3531" s="6"/>
      <c r="K3531" s="6"/>
      <c r="L3531" s="6"/>
      <c r="M3531" s="6"/>
      <c r="N3531" s="6"/>
      <c r="O3531" s="6"/>
      <c r="P3531" s="6"/>
      <c r="Q3531">
        <v>0</v>
      </c>
      <c r="R3531">
        <f t="shared" si="275"/>
        <v>0</v>
      </c>
      <c r="S3531">
        <f t="shared" si="276"/>
        <v>0</v>
      </c>
      <c r="T3531">
        <f t="shared" si="277"/>
        <v>0</v>
      </c>
      <c r="U3531">
        <f t="shared" si="278"/>
        <v>0</v>
      </c>
      <c r="V3531">
        <f t="shared" si="279"/>
        <v>0</v>
      </c>
    </row>
    <row r="3532" spans="1:22" x14ac:dyDescent="0.25">
      <c r="A3532">
        <v>3529</v>
      </c>
      <c r="B3532" t="s">
        <v>26</v>
      </c>
      <c r="C3532" t="s">
        <v>1218</v>
      </c>
      <c r="D3532" s="4">
        <v>45390</v>
      </c>
      <c r="E3532" t="s">
        <v>1361</v>
      </c>
      <c r="F3532" t="s">
        <v>413</v>
      </c>
      <c r="G3532">
        <v>164</v>
      </c>
      <c r="I3532" s="6">
        <v>0</v>
      </c>
      <c r="J3532" s="6">
        <v>0</v>
      </c>
      <c r="K3532" s="6">
        <v>0</v>
      </c>
      <c r="L3532" s="6">
        <v>1</v>
      </c>
      <c r="M3532" s="6">
        <v>0</v>
      </c>
      <c r="N3532" s="6">
        <v>0</v>
      </c>
      <c r="O3532" s="6">
        <v>0</v>
      </c>
      <c r="P3532" s="6">
        <v>0</v>
      </c>
      <c r="Q3532">
        <v>1</v>
      </c>
      <c r="R3532">
        <f t="shared" si="275"/>
        <v>1</v>
      </c>
      <c r="S3532">
        <f t="shared" si="276"/>
        <v>0</v>
      </c>
      <c r="T3532">
        <f t="shared" si="277"/>
        <v>1</v>
      </c>
      <c r="U3532">
        <f t="shared" si="278"/>
        <v>1</v>
      </c>
      <c r="V3532">
        <f t="shared" si="279"/>
        <v>1</v>
      </c>
    </row>
    <row r="3533" spans="1:22" x14ac:dyDescent="0.25">
      <c r="A3533">
        <v>3530</v>
      </c>
      <c r="B3533" t="s">
        <v>26</v>
      </c>
      <c r="C3533" t="s">
        <v>1218</v>
      </c>
      <c r="D3533" s="4">
        <v>45390</v>
      </c>
      <c r="E3533" t="s">
        <v>1362</v>
      </c>
      <c r="F3533" t="s">
        <v>75</v>
      </c>
      <c r="I3533" s="6">
        <v>1</v>
      </c>
      <c r="J3533" s="6">
        <v>0</v>
      </c>
      <c r="K3533" s="6">
        <v>0</v>
      </c>
      <c r="L3533" s="6">
        <v>1</v>
      </c>
      <c r="M3533" s="6">
        <v>0</v>
      </c>
      <c r="N3533" s="6">
        <v>0</v>
      </c>
      <c r="O3533" s="6">
        <v>0</v>
      </c>
      <c r="P3533" s="6">
        <v>0</v>
      </c>
      <c r="Q3533">
        <v>1</v>
      </c>
      <c r="R3533">
        <f t="shared" si="275"/>
        <v>0</v>
      </c>
      <c r="S3533">
        <f t="shared" si="276"/>
        <v>1</v>
      </c>
      <c r="T3533">
        <f t="shared" si="277"/>
        <v>2</v>
      </c>
      <c r="U3533">
        <f t="shared" si="278"/>
        <v>1</v>
      </c>
      <c r="V3533">
        <f t="shared" si="279"/>
        <v>0</v>
      </c>
    </row>
    <row r="3534" spans="1:22" x14ac:dyDescent="0.25">
      <c r="A3534">
        <v>3531</v>
      </c>
      <c r="B3534" t="s">
        <v>26</v>
      </c>
      <c r="C3534" t="s">
        <v>1218</v>
      </c>
      <c r="D3534" s="4">
        <v>45391</v>
      </c>
      <c r="E3534" t="s">
        <v>868</v>
      </c>
      <c r="F3534" t="s">
        <v>75</v>
      </c>
      <c r="I3534" s="6">
        <v>0</v>
      </c>
      <c r="J3534" s="6">
        <v>0</v>
      </c>
      <c r="K3534" s="6">
        <v>1</v>
      </c>
      <c r="L3534" s="6">
        <v>0</v>
      </c>
      <c r="M3534" s="6">
        <v>0</v>
      </c>
      <c r="N3534" s="6">
        <v>0</v>
      </c>
      <c r="O3534" s="6">
        <v>0</v>
      </c>
      <c r="P3534" s="6">
        <v>0</v>
      </c>
      <c r="Q3534">
        <v>1</v>
      </c>
      <c r="R3534">
        <f t="shared" si="275"/>
        <v>0</v>
      </c>
      <c r="S3534">
        <f t="shared" si="276"/>
        <v>1</v>
      </c>
      <c r="T3534">
        <f t="shared" si="277"/>
        <v>1</v>
      </c>
      <c r="U3534">
        <f t="shared" si="278"/>
        <v>1</v>
      </c>
      <c r="V3534">
        <f t="shared" si="279"/>
        <v>0</v>
      </c>
    </row>
    <row r="3535" spans="1:22" x14ac:dyDescent="0.25">
      <c r="A3535">
        <v>3532</v>
      </c>
      <c r="B3535" t="s">
        <v>26</v>
      </c>
      <c r="C3535" t="s">
        <v>1218</v>
      </c>
      <c r="D3535" s="4">
        <v>45391</v>
      </c>
      <c r="E3535" t="s">
        <v>1134</v>
      </c>
      <c r="F3535" t="s">
        <v>413</v>
      </c>
      <c r="G3535">
        <v>165</v>
      </c>
      <c r="I3535" s="6">
        <v>0</v>
      </c>
      <c r="J3535" s="6">
        <v>0</v>
      </c>
      <c r="K3535" s="6">
        <v>0</v>
      </c>
      <c r="L3535" s="6">
        <v>1</v>
      </c>
      <c r="M3535" s="6">
        <v>0</v>
      </c>
      <c r="N3535" s="6">
        <v>1</v>
      </c>
      <c r="O3535" s="6">
        <v>0</v>
      </c>
      <c r="P3535" s="6">
        <v>0</v>
      </c>
      <c r="Q3535">
        <v>1</v>
      </c>
      <c r="R3535">
        <f t="shared" si="275"/>
        <v>1</v>
      </c>
      <c r="S3535">
        <f t="shared" si="276"/>
        <v>0</v>
      </c>
      <c r="T3535">
        <f t="shared" si="277"/>
        <v>2</v>
      </c>
      <c r="U3535">
        <f t="shared" si="278"/>
        <v>1</v>
      </c>
      <c r="V3535">
        <f t="shared" si="279"/>
        <v>1</v>
      </c>
    </row>
    <row r="3536" spans="1:22" x14ac:dyDescent="0.25">
      <c r="A3536">
        <v>3533</v>
      </c>
      <c r="B3536" t="s">
        <v>26</v>
      </c>
      <c r="C3536" t="s">
        <v>1218</v>
      </c>
      <c r="D3536" s="4">
        <v>45391</v>
      </c>
      <c r="E3536" t="s">
        <v>1135</v>
      </c>
      <c r="F3536" t="s">
        <v>75</v>
      </c>
      <c r="I3536" s="6"/>
      <c r="J3536" s="6"/>
      <c r="K3536" s="6"/>
      <c r="L3536" s="6"/>
      <c r="M3536" s="6"/>
      <c r="N3536" s="6"/>
      <c r="O3536" s="6"/>
      <c r="P3536" s="6"/>
      <c r="Q3536">
        <v>0</v>
      </c>
      <c r="R3536">
        <f t="shared" si="275"/>
        <v>0</v>
      </c>
      <c r="S3536">
        <f t="shared" si="276"/>
        <v>0</v>
      </c>
      <c r="T3536">
        <f t="shared" si="277"/>
        <v>0</v>
      </c>
      <c r="U3536">
        <f t="shared" si="278"/>
        <v>0</v>
      </c>
      <c r="V3536">
        <f t="shared" si="279"/>
        <v>0</v>
      </c>
    </row>
    <row r="3537" spans="1:22" x14ac:dyDescent="0.25">
      <c r="A3537">
        <v>3534</v>
      </c>
      <c r="B3537" t="s">
        <v>26</v>
      </c>
      <c r="C3537" t="s">
        <v>1218</v>
      </c>
      <c r="D3537" s="4">
        <v>45391</v>
      </c>
      <c r="E3537" t="s">
        <v>2454</v>
      </c>
      <c r="F3537" t="s">
        <v>75</v>
      </c>
      <c r="I3537" s="6">
        <v>0</v>
      </c>
      <c r="J3537" s="6">
        <v>0</v>
      </c>
      <c r="K3537" s="6">
        <v>0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>
        <v>1</v>
      </c>
      <c r="R3537">
        <f t="shared" si="275"/>
        <v>0</v>
      </c>
      <c r="S3537">
        <f t="shared" si="276"/>
        <v>1</v>
      </c>
      <c r="T3537">
        <f t="shared" si="277"/>
        <v>0</v>
      </c>
      <c r="U3537">
        <f t="shared" si="278"/>
        <v>0</v>
      </c>
      <c r="V3537">
        <f t="shared" si="279"/>
        <v>0</v>
      </c>
    </row>
    <row r="3538" spans="1:22" x14ac:dyDescent="0.25">
      <c r="A3538">
        <v>3535</v>
      </c>
      <c r="B3538" t="s">
        <v>26</v>
      </c>
      <c r="C3538" t="s">
        <v>1218</v>
      </c>
      <c r="D3538" s="4">
        <v>45391</v>
      </c>
      <c r="E3538" t="s">
        <v>869</v>
      </c>
      <c r="F3538" t="s">
        <v>75</v>
      </c>
      <c r="I3538" s="6">
        <v>0</v>
      </c>
      <c r="J3538" s="6">
        <v>0</v>
      </c>
      <c r="K3538" s="6">
        <v>1</v>
      </c>
      <c r="L3538" s="6">
        <v>1</v>
      </c>
      <c r="M3538" s="6">
        <v>0</v>
      </c>
      <c r="N3538" s="6">
        <v>0</v>
      </c>
      <c r="O3538" s="6">
        <v>0</v>
      </c>
      <c r="P3538" s="6">
        <v>0</v>
      </c>
      <c r="Q3538">
        <v>1</v>
      </c>
      <c r="R3538">
        <f t="shared" si="275"/>
        <v>0</v>
      </c>
      <c r="S3538">
        <f t="shared" si="276"/>
        <v>1</v>
      </c>
      <c r="T3538">
        <f t="shared" si="277"/>
        <v>2</v>
      </c>
      <c r="U3538">
        <f t="shared" si="278"/>
        <v>1</v>
      </c>
      <c r="V3538">
        <f t="shared" si="279"/>
        <v>0</v>
      </c>
    </row>
    <row r="3539" spans="1:22" x14ac:dyDescent="0.25">
      <c r="A3539">
        <v>3536</v>
      </c>
      <c r="B3539" t="s">
        <v>26</v>
      </c>
      <c r="C3539" t="s">
        <v>1218</v>
      </c>
      <c r="D3539" s="4">
        <v>45391</v>
      </c>
      <c r="E3539" t="s">
        <v>1363</v>
      </c>
      <c r="F3539" t="s">
        <v>75</v>
      </c>
      <c r="I3539" s="6">
        <v>0</v>
      </c>
      <c r="J3539" s="6">
        <v>0</v>
      </c>
      <c r="K3539" s="6">
        <v>0</v>
      </c>
      <c r="L3539" s="6">
        <v>0</v>
      </c>
      <c r="M3539" s="6">
        <v>0</v>
      </c>
      <c r="N3539" s="6">
        <v>0</v>
      </c>
      <c r="O3539" s="6">
        <v>0</v>
      </c>
      <c r="P3539" s="6">
        <v>0</v>
      </c>
      <c r="Q3539">
        <v>1</v>
      </c>
      <c r="R3539">
        <f t="shared" si="275"/>
        <v>0</v>
      </c>
      <c r="S3539">
        <f t="shared" si="276"/>
        <v>1</v>
      </c>
      <c r="T3539">
        <f t="shared" si="277"/>
        <v>0</v>
      </c>
      <c r="U3539">
        <f t="shared" si="278"/>
        <v>0</v>
      </c>
      <c r="V3539">
        <f t="shared" si="279"/>
        <v>0</v>
      </c>
    </row>
    <row r="3540" spans="1:22" x14ac:dyDescent="0.25">
      <c r="A3540">
        <v>3537</v>
      </c>
      <c r="B3540" t="s">
        <v>26</v>
      </c>
      <c r="C3540" t="s">
        <v>1218</v>
      </c>
      <c r="D3540" s="4">
        <v>45391</v>
      </c>
      <c r="E3540" t="s">
        <v>1136</v>
      </c>
      <c r="F3540" t="s">
        <v>75</v>
      </c>
      <c r="I3540" s="6">
        <v>1</v>
      </c>
      <c r="J3540" s="6">
        <v>0</v>
      </c>
      <c r="K3540" s="6">
        <v>0</v>
      </c>
      <c r="L3540" s="6">
        <v>1</v>
      </c>
      <c r="M3540" s="6">
        <v>0</v>
      </c>
      <c r="N3540" s="6">
        <v>0</v>
      </c>
      <c r="O3540" s="6">
        <v>0</v>
      </c>
      <c r="P3540" s="6">
        <v>0</v>
      </c>
      <c r="Q3540">
        <v>1</v>
      </c>
      <c r="R3540">
        <f t="shared" si="275"/>
        <v>0</v>
      </c>
      <c r="S3540">
        <f t="shared" si="276"/>
        <v>1</v>
      </c>
      <c r="T3540">
        <f t="shared" si="277"/>
        <v>2</v>
      </c>
      <c r="U3540">
        <f t="shared" si="278"/>
        <v>1</v>
      </c>
      <c r="V3540">
        <f t="shared" si="279"/>
        <v>0</v>
      </c>
    </row>
    <row r="3541" spans="1:22" x14ac:dyDescent="0.25">
      <c r="A3541">
        <v>3538</v>
      </c>
      <c r="B3541" t="s">
        <v>26</v>
      </c>
      <c r="C3541" t="s">
        <v>1218</v>
      </c>
      <c r="D3541" s="4">
        <v>45391</v>
      </c>
      <c r="E3541" t="s">
        <v>1138</v>
      </c>
      <c r="F3541" t="s">
        <v>75</v>
      </c>
      <c r="I3541" s="6"/>
      <c r="J3541" s="6"/>
      <c r="K3541" s="6"/>
      <c r="L3541" s="6"/>
      <c r="M3541" s="6"/>
      <c r="N3541" s="6"/>
      <c r="O3541" s="6"/>
      <c r="P3541" s="6"/>
      <c r="Q3541">
        <v>0</v>
      </c>
      <c r="R3541">
        <f t="shared" si="275"/>
        <v>0</v>
      </c>
      <c r="S3541">
        <f t="shared" si="276"/>
        <v>0</v>
      </c>
      <c r="T3541">
        <f t="shared" si="277"/>
        <v>0</v>
      </c>
      <c r="U3541">
        <f t="shared" si="278"/>
        <v>0</v>
      </c>
      <c r="V3541">
        <f t="shared" si="279"/>
        <v>0</v>
      </c>
    </row>
    <row r="3542" spans="1:22" x14ac:dyDescent="0.25">
      <c r="A3542">
        <v>3539</v>
      </c>
      <c r="B3542" t="s">
        <v>26</v>
      </c>
      <c r="C3542" t="s">
        <v>1218</v>
      </c>
      <c r="D3542" s="4">
        <v>45391</v>
      </c>
      <c r="E3542" t="s">
        <v>1139</v>
      </c>
      <c r="F3542" t="s">
        <v>75</v>
      </c>
      <c r="I3542" s="6"/>
      <c r="J3542" s="6"/>
      <c r="K3542" s="6"/>
      <c r="L3542" s="6"/>
      <c r="M3542" s="6"/>
      <c r="N3542" s="6"/>
      <c r="O3542" s="6"/>
      <c r="P3542" s="6"/>
      <c r="Q3542">
        <v>0</v>
      </c>
      <c r="R3542">
        <f t="shared" si="275"/>
        <v>0</v>
      </c>
      <c r="S3542">
        <f t="shared" si="276"/>
        <v>0</v>
      </c>
      <c r="T3542">
        <f t="shared" si="277"/>
        <v>0</v>
      </c>
      <c r="U3542">
        <f t="shared" si="278"/>
        <v>0</v>
      </c>
      <c r="V3542">
        <f t="shared" si="279"/>
        <v>0</v>
      </c>
    </row>
    <row r="3543" spans="1:22" x14ac:dyDescent="0.25">
      <c r="A3543">
        <v>3540</v>
      </c>
      <c r="B3543" t="s">
        <v>26</v>
      </c>
      <c r="C3543" t="s">
        <v>1218</v>
      </c>
      <c r="D3543" s="4">
        <v>45391</v>
      </c>
      <c r="E3543" t="s">
        <v>1140</v>
      </c>
      <c r="F3543" t="s">
        <v>75</v>
      </c>
      <c r="I3543" s="6"/>
      <c r="J3543" s="6"/>
      <c r="K3543" s="6"/>
      <c r="L3543" s="6"/>
      <c r="M3543" s="6"/>
      <c r="N3543" s="6"/>
      <c r="O3543" s="6"/>
      <c r="P3543" s="6"/>
      <c r="Q3543">
        <v>0</v>
      </c>
      <c r="R3543">
        <f t="shared" si="275"/>
        <v>0</v>
      </c>
      <c r="S3543">
        <f t="shared" si="276"/>
        <v>0</v>
      </c>
      <c r="T3543">
        <f t="shared" si="277"/>
        <v>0</v>
      </c>
      <c r="U3543">
        <f t="shared" si="278"/>
        <v>0</v>
      </c>
      <c r="V3543">
        <f t="shared" si="279"/>
        <v>0</v>
      </c>
    </row>
    <row r="3544" spans="1:22" x14ac:dyDescent="0.25">
      <c r="A3544">
        <v>3541</v>
      </c>
      <c r="B3544" t="s">
        <v>26</v>
      </c>
      <c r="C3544" t="s">
        <v>1218</v>
      </c>
      <c r="D3544" s="4">
        <v>45391</v>
      </c>
      <c r="E3544" t="s">
        <v>1141</v>
      </c>
      <c r="F3544" t="s">
        <v>75</v>
      </c>
      <c r="I3544" s="6"/>
      <c r="J3544" s="6"/>
      <c r="K3544" s="6"/>
      <c r="L3544" s="6"/>
      <c r="M3544" s="6"/>
      <c r="N3544" s="6"/>
      <c r="O3544" s="6"/>
      <c r="P3544" s="6"/>
      <c r="Q3544">
        <v>0</v>
      </c>
      <c r="R3544">
        <f t="shared" si="275"/>
        <v>0</v>
      </c>
      <c r="S3544">
        <f t="shared" si="276"/>
        <v>0</v>
      </c>
      <c r="T3544">
        <f t="shared" si="277"/>
        <v>0</v>
      </c>
      <c r="U3544">
        <f t="shared" si="278"/>
        <v>0</v>
      </c>
      <c r="V3544">
        <f t="shared" si="279"/>
        <v>0</v>
      </c>
    </row>
    <row r="3545" spans="1:22" x14ac:dyDescent="0.25">
      <c r="A3545">
        <v>3542</v>
      </c>
      <c r="B3545" t="s">
        <v>26</v>
      </c>
      <c r="C3545" t="s">
        <v>1218</v>
      </c>
      <c r="D3545" s="4">
        <v>45391</v>
      </c>
      <c r="E3545" t="s">
        <v>1142</v>
      </c>
      <c r="F3545" t="s">
        <v>75</v>
      </c>
      <c r="I3545" s="6"/>
      <c r="J3545" s="6"/>
      <c r="K3545" s="6"/>
      <c r="L3545" s="6"/>
      <c r="M3545" s="6"/>
      <c r="N3545" s="6"/>
      <c r="O3545" s="6"/>
      <c r="P3545" s="6"/>
      <c r="Q3545">
        <v>0</v>
      </c>
      <c r="R3545">
        <f t="shared" si="275"/>
        <v>0</v>
      </c>
      <c r="S3545">
        <f t="shared" si="276"/>
        <v>0</v>
      </c>
      <c r="T3545">
        <f t="shared" si="277"/>
        <v>0</v>
      </c>
      <c r="U3545">
        <f t="shared" si="278"/>
        <v>0</v>
      </c>
      <c r="V3545">
        <f t="shared" si="279"/>
        <v>0</v>
      </c>
    </row>
    <row r="3546" spans="1:22" x14ac:dyDescent="0.25">
      <c r="A3546">
        <v>3543</v>
      </c>
      <c r="B3546" t="s">
        <v>26</v>
      </c>
      <c r="C3546" t="s">
        <v>1218</v>
      </c>
      <c r="D3546" s="4">
        <v>45392</v>
      </c>
      <c r="E3546" t="s">
        <v>452</v>
      </c>
      <c r="F3546" t="s">
        <v>75</v>
      </c>
      <c r="I3546" s="6"/>
      <c r="J3546" s="6"/>
      <c r="K3546" s="6"/>
      <c r="L3546" s="6"/>
      <c r="M3546" s="6"/>
      <c r="N3546" s="6"/>
      <c r="O3546" s="6"/>
      <c r="P3546" s="6"/>
      <c r="Q3546">
        <v>0</v>
      </c>
      <c r="R3546">
        <f t="shared" si="275"/>
        <v>0</v>
      </c>
      <c r="S3546">
        <f t="shared" si="276"/>
        <v>0</v>
      </c>
      <c r="T3546">
        <f t="shared" si="277"/>
        <v>0</v>
      </c>
      <c r="U3546">
        <f t="shared" si="278"/>
        <v>0</v>
      </c>
      <c r="V3546">
        <f t="shared" si="279"/>
        <v>0</v>
      </c>
    </row>
    <row r="3547" spans="1:22" x14ac:dyDescent="0.25">
      <c r="A3547">
        <v>3544</v>
      </c>
      <c r="B3547" t="s">
        <v>26</v>
      </c>
      <c r="C3547" t="s">
        <v>1218</v>
      </c>
      <c r="D3547" s="4">
        <v>45392</v>
      </c>
      <c r="E3547" t="s">
        <v>2453</v>
      </c>
      <c r="F3547" t="s">
        <v>75</v>
      </c>
      <c r="I3547" s="6"/>
      <c r="J3547" s="6"/>
      <c r="K3547" s="6"/>
      <c r="L3547" s="6"/>
      <c r="M3547" s="6"/>
      <c r="N3547" s="6"/>
      <c r="O3547" s="6"/>
      <c r="P3547" s="6"/>
      <c r="Q3547">
        <v>0</v>
      </c>
      <c r="R3547">
        <f t="shared" si="275"/>
        <v>0</v>
      </c>
      <c r="S3547">
        <f t="shared" si="276"/>
        <v>0</v>
      </c>
      <c r="T3547">
        <f t="shared" si="277"/>
        <v>0</v>
      </c>
      <c r="U3547">
        <f t="shared" si="278"/>
        <v>0</v>
      </c>
      <c r="V3547">
        <f t="shared" si="279"/>
        <v>0</v>
      </c>
    </row>
    <row r="3548" spans="1:22" x14ac:dyDescent="0.25">
      <c r="A3548">
        <v>3545</v>
      </c>
      <c r="B3548" t="s">
        <v>26</v>
      </c>
      <c r="C3548" t="s">
        <v>1218</v>
      </c>
      <c r="D3548" s="4">
        <v>45392</v>
      </c>
      <c r="E3548" t="s">
        <v>2452</v>
      </c>
      <c r="F3548" t="s">
        <v>75</v>
      </c>
      <c r="I3548" s="6"/>
      <c r="J3548" s="6"/>
      <c r="K3548" s="6"/>
      <c r="L3548" s="6"/>
      <c r="M3548" s="6"/>
      <c r="N3548" s="6"/>
      <c r="O3548" s="6"/>
      <c r="P3548" s="6"/>
      <c r="Q3548">
        <v>0</v>
      </c>
      <c r="R3548">
        <f t="shared" si="275"/>
        <v>0</v>
      </c>
      <c r="S3548">
        <f t="shared" si="276"/>
        <v>0</v>
      </c>
      <c r="T3548">
        <f t="shared" si="277"/>
        <v>0</v>
      </c>
      <c r="U3548">
        <f t="shared" si="278"/>
        <v>0</v>
      </c>
      <c r="V3548">
        <f t="shared" si="279"/>
        <v>0</v>
      </c>
    </row>
    <row r="3549" spans="1:22" x14ac:dyDescent="0.25">
      <c r="A3549">
        <v>3546</v>
      </c>
      <c r="B3549" t="s">
        <v>26</v>
      </c>
      <c r="C3549" t="s">
        <v>1218</v>
      </c>
      <c r="D3549" s="4">
        <v>45392</v>
      </c>
      <c r="E3549" t="s">
        <v>2451</v>
      </c>
      <c r="F3549" t="s">
        <v>75</v>
      </c>
      <c r="I3549" s="6"/>
      <c r="J3549" s="6"/>
      <c r="K3549" s="6"/>
      <c r="L3549" s="6"/>
      <c r="M3549" s="6"/>
      <c r="N3549" s="6"/>
      <c r="O3549" s="6"/>
      <c r="P3549" s="6"/>
      <c r="Q3549">
        <v>0</v>
      </c>
      <c r="R3549">
        <f t="shared" si="275"/>
        <v>0</v>
      </c>
      <c r="S3549">
        <f t="shared" si="276"/>
        <v>0</v>
      </c>
      <c r="T3549">
        <f t="shared" si="277"/>
        <v>0</v>
      </c>
      <c r="U3549">
        <f t="shared" si="278"/>
        <v>0</v>
      </c>
      <c r="V3549">
        <f t="shared" si="279"/>
        <v>0</v>
      </c>
    </row>
    <row r="3550" spans="1:22" x14ac:dyDescent="0.25">
      <c r="A3550">
        <v>3547</v>
      </c>
      <c r="B3550" t="s">
        <v>26</v>
      </c>
      <c r="C3550" t="s">
        <v>1218</v>
      </c>
      <c r="D3550" s="4">
        <v>45392</v>
      </c>
      <c r="E3550" t="s">
        <v>2450</v>
      </c>
      <c r="F3550" t="s">
        <v>75</v>
      </c>
      <c r="I3550" s="6"/>
      <c r="J3550" s="6"/>
      <c r="K3550" s="6"/>
      <c r="L3550" s="6"/>
      <c r="M3550" s="6"/>
      <c r="N3550" s="6"/>
      <c r="O3550" s="6"/>
      <c r="P3550" s="6"/>
      <c r="Q3550">
        <v>0</v>
      </c>
      <c r="R3550">
        <f t="shared" si="275"/>
        <v>0</v>
      </c>
      <c r="S3550">
        <f t="shared" si="276"/>
        <v>0</v>
      </c>
      <c r="T3550">
        <f t="shared" si="277"/>
        <v>0</v>
      </c>
      <c r="U3550">
        <f t="shared" si="278"/>
        <v>0</v>
      </c>
      <c r="V3550">
        <f t="shared" si="279"/>
        <v>0</v>
      </c>
    </row>
    <row r="3551" spans="1:22" x14ac:dyDescent="0.25">
      <c r="A3551">
        <v>3548</v>
      </c>
      <c r="B3551" t="s">
        <v>26</v>
      </c>
      <c r="C3551" t="s">
        <v>1218</v>
      </c>
      <c r="D3551" s="4">
        <v>45392</v>
      </c>
      <c r="E3551" t="s">
        <v>2449</v>
      </c>
      <c r="F3551" t="s">
        <v>75</v>
      </c>
      <c r="I3551" s="6"/>
      <c r="J3551" s="6"/>
      <c r="K3551" s="6"/>
      <c r="L3551" s="6"/>
      <c r="M3551" s="6"/>
      <c r="N3551" s="6"/>
      <c r="O3551" s="6"/>
      <c r="P3551" s="6"/>
      <c r="Q3551">
        <v>0</v>
      </c>
      <c r="R3551">
        <f t="shared" si="275"/>
        <v>0</v>
      </c>
      <c r="S3551">
        <f t="shared" si="276"/>
        <v>0</v>
      </c>
      <c r="T3551">
        <f t="shared" si="277"/>
        <v>0</v>
      </c>
      <c r="U3551">
        <f t="shared" si="278"/>
        <v>0</v>
      </c>
      <c r="V3551">
        <f t="shared" si="279"/>
        <v>0</v>
      </c>
    </row>
    <row r="3552" spans="1:22" x14ac:dyDescent="0.25">
      <c r="A3552">
        <v>3549</v>
      </c>
      <c r="B3552" t="s">
        <v>26</v>
      </c>
      <c r="C3552" t="s">
        <v>1218</v>
      </c>
      <c r="D3552" s="4">
        <v>45392</v>
      </c>
      <c r="E3552" t="s">
        <v>453</v>
      </c>
      <c r="F3552" t="s">
        <v>75</v>
      </c>
      <c r="I3552" s="6"/>
      <c r="J3552" s="6"/>
      <c r="K3552" s="6"/>
      <c r="L3552" s="6"/>
      <c r="M3552" s="6"/>
      <c r="N3552" s="6"/>
      <c r="O3552" s="6"/>
      <c r="P3552" s="6"/>
      <c r="Q3552">
        <v>0</v>
      </c>
      <c r="R3552">
        <f t="shared" si="275"/>
        <v>0</v>
      </c>
      <c r="S3552">
        <f t="shared" si="276"/>
        <v>0</v>
      </c>
      <c r="T3552">
        <f t="shared" si="277"/>
        <v>0</v>
      </c>
      <c r="U3552">
        <f t="shared" si="278"/>
        <v>0</v>
      </c>
      <c r="V3552">
        <f t="shared" si="279"/>
        <v>0</v>
      </c>
    </row>
    <row r="3553" spans="1:22" x14ac:dyDescent="0.25">
      <c r="A3553">
        <v>3550</v>
      </c>
      <c r="B3553" t="s">
        <v>26</v>
      </c>
      <c r="C3553" t="s">
        <v>1218</v>
      </c>
      <c r="D3553" s="4">
        <v>45392</v>
      </c>
      <c r="E3553" t="s">
        <v>1061</v>
      </c>
      <c r="F3553" t="s">
        <v>75</v>
      </c>
      <c r="I3553" s="6"/>
      <c r="J3553" s="6"/>
      <c r="K3553" s="6"/>
      <c r="L3553" s="6"/>
      <c r="M3553" s="6"/>
      <c r="N3553" s="6"/>
      <c r="O3553" s="6"/>
      <c r="P3553" s="6"/>
      <c r="Q3553">
        <v>0</v>
      </c>
      <c r="R3553">
        <f t="shared" si="275"/>
        <v>0</v>
      </c>
      <c r="S3553">
        <f t="shared" si="276"/>
        <v>0</v>
      </c>
      <c r="T3553">
        <f t="shared" si="277"/>
        <v>0</v>
      </c>
      <c r="U3553">
        <f t="shared" si="278"/>
        <v>0</v>
      </c>
      <c r="V3553">
        <f t="shared" si="279"/>
        <v>0</v>
      </c>
    </row>
    <row r="3554" spans="1:22" x14ac:dyDescent="0.25">
      <c r="A3554">
        <v>3551</v>
      </c>
      <c r="B3554" t="s">
        <v>26</v>
      </c>
      <c r="C3554" t="s">
        <v>1218</v>
      </c>
      <c r="D3554" s="4">
        <v>45392</v>
      </c>
      <c r="E3554" t="s">
        <v>1062</v>
      </c>
      <c r="F3554" t="s">
        <v>75</v>
      </c>
      <c r="I3554" s="6"/>
      <c r="J3554" s="6"/>
      <c r="K3554" s="6"/>
      <c r="L3554" s="6"/>
      <c r="M3554" s="6"/>
      <c r="N3554" s="6"/>
      <c r="O3554" s="6"/>
      <c r="P3554" s="6"/>
      <c r="Q3554">
        <v>0</v>
      </c>
      <c r="R3554">
        <f t="shared" si="275"/>
        <v>0</v>
      </c>
      <c r="S3554">
        <f t="shared" si="276"/>
        <v>0</v>
      </c>
      <c r="T3554">
        <f t="shared" si="277"/>
        <v>0</v>
      </c>
      <c r="U3554">
        <f t="shared" si="278"/>
        <v>0</v>
      </c>
      <c r="V3554">
        <f t="shared" si="279"/>
        <v>0</v>
      </c>
    </row>
    <row r="3555" spans="1:22" x14ac:dyDescent="0.25">
      <c r="A3555">
        <v>3552</v>
      </c>
      <c r="B3555" t="s">
        <v>26</v>
      </c>
      <c r="C3555" t="s">
        <v>1218</v>
      </c>
      <c r="D3555" s="4">
        <v>45392</v>
      </c>
      <c r="E3555" t="s">
        <v>1364</v>
      </c>
      <c r="F3555" t="s">
        <v>413</v>
      </c>
      <c r="G3555">
        <v>166</v>
      </c>
      <c r="I3555" s="6">
        <v>1</v>
      </c>
      <c r="J3555" s="6">
        <v>0</v>
      </c>
      <c r="K3555" s="6">
        <v>0</v>
      </c>
      <c r="L3555" s="6">
        <v>1</v>
      </c>
      <c r="M3555" s="6">
        <v>0</v>
      </c>
      <c r="N3555" s="6">
        <v>0</v>
      </c>
      <c r="O3555" s="6">
        <v>0</v>
      </c>
      <c r="P3555" s="6">
        <v>0</v>
      </c>
      <c r="Q3555">
        <v>1</v>
      </c>
      <c r="R3555">
        <f t="shared" si="275"/>
        <v>1</v>
      </c>
      <c r="S3555">
        <f t="shared" si="276"/>
        <v>0</v>
      </c>
      <c r="T3555">
        <f t="shared" si="277"/>
        <v>2</v>
      </c>
      <c r="U3555">
        <f t="shared" si="278"/>
        <v>1</v>
      </c>
      <c r="V3555">
        <f t="shared" si="279"/>
        <v>1</v>
      </c>
    </row>
    <row r="3556" spans="1:22" x14ac:dyDescent="0.25">
      <c r="A3556">
        <v>3553</v>
      </c>
      <c r="B3556" t="s">
        <v>26</v>
      </c>
      <c r="C3556" t="s">
        <v>1218</v>
      </c>
      <c r="D3556" s="4">
        <v>45392</v>
      </c>
      <c r="E3556" t="s">
        <v>1143</v>
      </c>
      <c r="F3556" t="s">
        <v>75</v>
      </c>
      <c r="I3556" s="6"/>
      <c r="J3556" s="6"/>
      <c r="K3556" s="6"/>
      <c r="L3556" s="6"/>
      <c r="M3556" s="6"/>
      <c r="N3556" s="6"/>
      <c r="O3556" s="6"/>
      <c r="P3556" s="6"/>
      <c r="Q3556">
        <v>0</v>
      </c>
      <c r="R3556">
        <f t="shared" si="275"/>
        <v>0</v>
      </c>
      <c r="S3556">
        <f t="shared" si="276"/>
        <v>0</v>
      </c>
      <c r="T3556">
        <f t="shared" si="277"/>
        <v>0</v>
      </c>
      <c r="U3556">
        <f t="shared" si="278"/>
        <v>0</v>
      </c>
      <c r="V3556">
        <f t="shared" si="279"/>
        <v>0</v>
      </c>
    </row>
    <row r="3557" spans="1:22" x14ac:dyDescent="0.25">
      <c r="A3557">
        <v>3554</v>
      </c>
      <c r="B3557" t="s">
        <v>26</v>
      </c>
      <c r="C3557" t="s">
        <v>1218</v>
      </c>
      <c r="D3557" s="4">
        <v>45392</v>
      </c>
      <c r="E3557" t="s">
        <v>1144</v>
      </c>
      <c r="F3557" t="s">
        <v>75</v>
      </c>
      <c r="I3557" s="6">
        <v>1</v>
      </c>
      <c r="J3557" s="6">
        <v>0</v>
      </c>
      <c r="K3557" s="6">
        <v>0</v>
      </c>
      <c r="L3557" s="6">
        <v>0</v>
      </c>
      <c r="M3557" s="6">
        <v>0</v>
      </c>
      <c r="N3557" s="6">
        <v>0</v>
      </c>
      <c r="O3557" s="6">
        <v>0</v>
      </c>
      <c r="P3557" s="6">
        <v>0</v>
      </c>
      <c r="Q3557">
        <v>1</v>
      </c>
      <c r="R3557">
        <f t="shared" si="275"/>
        <v>0</v>
      </c>
      <c r="S3557">
        <f t="shared" si="276"/>
        <v>1</v>
      </c>
      <c r="T3557">
        <f t="shared" si="277"/>
        <v>1</v>
      </c>
      <c r="U3557">
        <f t="shared" si="278"/>
        <v>1</v>
      </c>
      <c r="V3557">
        <f t="shared" si="279"/>
        <v>0</v>
      </c>
    </row>
    <row r="3558" spans="1:22" x14ac:dyDescent="0.25">
      <c r="A3558">
        <v>3555</v>
      </c>
      <c r="B3558" t="s">
        <v>26</v>
      </c>
      <c r="C3558" t="s">
        <v>1218</v>
      </c>
      <c r="D3558" s="4">
        <v>45392</v>
      </c>
      <c r="E3558" t="s">
        <v>1145</v>
      </c>
      <c r="F3558" t="s">
        <v>710</v>
      </c>
      <c r="G3558">
        <v>167</v>
      </c>
      <c r="I3558" s="6">
        <v>1</v>
      </c>
      <c r="J3558" s="6">
        <v>0</v>
      </c>
      <c r="K3558" s="6">
        <v>0</v>
      </c>
      <c r="L3558" s="6">
        <v>1</v>
      </c>
      <c r="M3558" s="6">
        <v>0</v>
      </c>
      <c r="N3558" s="6">
        <v>0</v>
      </c>
      <c r="O3558" s="6">
        <v>0</v>
      </c>
      <c r="P3558" s="6">
        <v>0</v>
      </c>
      <c r="Q3558">
        <v>1</v>
      </c>
      <c r="R3558">
        <f t="shared" si="275"/>
        <v>0</v>
      </c>
      <c r="S3558">
        <f t="shared" si="276"/>
        <v>0</v>
      </c>
      <c r="T3558">
        <f t="shared" si="277"/>
        <v>2</v>
      </c>
      <c r="U3558">
        <f t="shared" si="278"/>
        <v>1</v>
      </c>
      <c r="V3558">
        <f t="shared" si="279"/>
        <v>0</v>
      </c>
    </row>
    <row r="3559" spans="1:22" x14ac:dyDescent="0.25">
      <c r="A3559">
        <v>3556</v>
      </c>
      <c r="B3559" t="s">
        <v>26</v>
      </c>
      <c r="C3559" t="s">
        <v>1218</v>
      </c>
      <c r="D3559" s="4">
        <v>45392</v>
      </c>
      <c r="E3559" t="s">
        <v>1146</v>
      </c>
      <c r="F3559" t="s">
        <v>75</v>
      </c>
      <c r="I3559" s="6"/>
      <c r="J3559" s="6"/>
      <c r="K3559" s="6"/>
      <c r="L3559" s="6"/>
      <c r="M3559" s="6"/>
      <c r="N3559" s="6"/>
      <c r="O3559" s="6"/>
      <c r="P3559" s="6"/>
      <c r="Q3559">
        <v>0</v>
      </c>
      <c r="R3559">
        <f t="shared" si="275"/>
        <v>0</v>
      </c>
      <c r="S3559">
        <f t="shared" si="276"/>
        <v>0</v>
      </c>
      <c r="T3559">
        <f t="shared" si="277"/>
        <v>0</v>
      </c>
      <c r="U3559">
        <f t="shared" si="278"/>
        <v>0</v>
      </c>
      <c r="V3559">
        <f t="shared" si="279"/>
        <v>0</v>
      </c>
    </row>
    <row r="3560" spans="1:22" x14ac:dyDescent="0.25">
      <c r="A3560">
        <v>3557</v>
      </c>
      <c r="B3560" t="s">
        <v>26</v>
      </c>
      <c r="C3560" t="s">
        <v>1218</v>
      </c>
      <c r="D3560" s="4">
        <v>45393</v>
      </c>
      <c r="E3560" t="s">
        <v>454</v>
      </c>
      <c r="F3560" t="s">
        <v>75</v>
      </c>
      <c r="I3560" s="6"/>
      <c r="J3560" s="6"/>
      <c r="K3560" s="6"/>
      <c r="L3560" s="6"/>
      <c r="M3560" s="6"/>
      <c r="N3560" s="6"/>
      <c r="O3560" s="6"/>
      <c r="P3560" s="6"/>
      <c r="Q3560">
        <v>0</v>
      </c>
      <c r="R3560">
        <f t="shared" si="275"/>
        <v>0</v>
      </c>
      <c r="S3560">
        <f t="shared" si="276"/>
        <v>0</v>
      </c>
      <c r="T3560">
        <f t="shared" si="277"/>
        <v>0</v>
      </c>
      <c r="U3560">
        <f t="shared" si="278"/>
        <v>0</v>
      </c>
      <c r="V3560">
        <f t="shared" si="279"/>
        <v>0</v>
      </c>
    </row>
    <row r="3561" spans="1:22" x14ac:dyDescent="0.25">
      <c r="A3561">
        <v>3558</v>
      </c>
      <c r="B3561" t="s">
        <v>26</v>
      </c>
      <c r="C3561" t="s">
        <v>1218</v>
      </c>
      <c r="D3561" s="4">
        <v>45393</v>
      </c>
      <c r="E3561" t="s">
        <v>1147</v>
      </c>
      <c r="F3561" t="s">
        <v>75</v>
      </c>
      <c r="H3561" t="s">
        <v>1357</v>
      </c>
      <c r="I3561" s="6">
        <v>0</v>
      </c>
      <c r="J3561" s="6">
        <v>0</v>
      </c>
      <c r="K3561" s="6">
        <v>0</v>
      </c>
      <c r="L3561" s="6">
        <v>0</v>
      </c>
      <c r="M3561" s="6">
        <v>0</v>
      </c>
      <c r="N3561" s="6">
        <v>0</v>
      </c>
      <c r="O3561" s="6">
        <v>0</v>
      </c>
      <c r="P3561" s="6">
        <v>0</v>
      </c>
      <c r="Q3561">
        <v>1</v>
      </c>
      <c r="R3561">
        <f t="shared" si="275"/>
        <v>0</v>
      </c>
      <c r="S3561">
        <f t="shared" si="276"/>
        <v>1</v>
      </c>
      <c r="T3561">
        <f t="shared" si="277"/>
        <v>0</v>
      </c>
      <c r="U3561">
        <f t="shared" si="278"/>
        <v>0</v>
      </c>
      <c r="V3561">
        <f t="shared" si="279"/>
        <v>0</v>
      </c>
    </row>
    <row r="3562" spans="1:22" x14ac:dyDescent="0.25">
      <c r="A3562">
        <v>3559</v>
      </c>
      <c r="B3562" t="s">
        <v>26</v>
      </c>
      <c r="C3562" t="s">
        <v>1218</v>
      </c>
      <c r="D3562" s="4">
        <v>45393</v>
      </c>
      <c r="E3562" t="s">
        <v>455</v>
      </c>
      <c r="F3562" t="s">
        <v>75</v>
      </c>
      <c r="I3562" s="6"/>
      <c r="J3562" s="6"/>
      <c r="K3562" s="6"/>
      <c r="L3562" s="6"/>
      <c r="M3562" s="6"/>
      <c r="N3562" s="6"/>
      <c r="O3562" s="6"/>
      <c r="P3562" s="6"/>
      <c r="Q3562">
        <v>0</v>
      </c>
      <c r="R3562">
        <f t="shared" si="275"/>
        <v>0</v>
      </c>
      <c r="S3562">
        <f t="shared" si="276"/>
        <v>0</v>
      </c>
      <c r="T3562">
        <f t="shared" si="277"/>
        <v>0</v>
      </c>
      <c r="U3562">
        <f t="shared" si="278"/>
        <v>0</v>
      </c>
      <c r="V3562">
        <f t="shared" si="279"/>
        <v>0</v>
      </c>
    </row>
    <row r="3563" spans="1:22" x14ac:dyDescent="0.25">
      <c r="A3563">
        <v>3560</v>
      </c>
      <c r="B3563" t="s">
        <v>26</v>
      </c>
      <c r="C3563" t="s">
        <v>1218</v>
      </c>
      <c r="D3563" s="4">
        <v>45393</v>
      </c>
      <c r="E3563" t="s">
        <v>1063</v>
      </c>
      <c r="F3563" t="s">
        <v>75</v>
      </c>
      <c r="I3563" s="6">
        <v>0</v>
      </c>
      <c r="J3563" s="6">
        <v>0</v>
      </c>
      <c r="K3563" s="6">
        <v>0</v>
      </c>
      <c r="L3563" s="6">
        <v>1</v>
      </c>
      <c r="M3563" s="6">
        <v>1</v>
      </c>
      <c r="N3563" s="6">
        <v>1</v>
      </c>
      <c r="O3563" s="6">
        <v>0</v>
      </c>
      <c r="P3563" s="6">
        <v>0</v>
      </c>
      <c r="Q3563">
        <v>1</v>
      </c>
      <c r="R3563">
        <f t="shared" si="275"/>
        <v>0</v>
      </c>
      <c r="S3563">
        <f t="shared" si="276"/>
        <v>1</v>
      </c>
      <c r="T3563">
        <f t="shared" si="277"/>
        <v>3</v>
      </c>
      <c r="U3563">
        <f t="shared" si="278"/>
        <v>1</v>
      </c>
      <c r="V3563">
        <f t="shared" si="279"/>
        <v>0</v>
      </c>
    </row>
    <row r="3564" spans="1:22" x14ac:dyDescent="0.25">
      <c r="A3564">
        <v>3561</v>
      </c>
      <c r="B3564" t="s">
        <v>26</v>
      </c>
      <c r="C3564" t="s">
        <v>1218</v>
      </c>
      <c r="D3564" s="4">
        <v>45393</v>
      </c>
      <c r="E3564" t="s">
        <v>1148</v>
      </c>
      <c r="F3564" t="s">
        <v>75</v>
      </c>
      <c r="I3564" s="6"/>
      <c r="J3564" s="6"/>
      <c r="K3564" s="6"/>
      <c r="L3564" s="6"/>
      <c r="M3564" s="6"/>
      <c r="N3564" s="6"/>
      <c r="O3564" s="6"/>
      <c r="P3564" s="6"/>
      <c r="Q3564">
        <v>0</v>
      </c>
      <c r="R3564">
        <f t="shared" si="275"/>
        <v>0</v>
      </c>
      <c r="S3564">
        <f t="shared" si="276"/>
        <v>0</v>
      </c>
      <c r="T3564">
        <f t="shared" si="277"/>
        <v>0</v>
      </c>
      <c r="U3564">
        <f t="shared" si="278"/>
        <v>0</v>
      </c>
      <c r="V3564">
        <f t="shared" si="279"/>
        <v>0</v>
      </c>
    </row>
    <row r="3565" spans="1:22" x14ac:dyDescent="0.25">
      <c r="A3565">
        <v>3562</v>
      </c>
      <c r="B3565" t="s">
        <v>26</v>
      </c>
      <c r="C3565" t="s">
        <v>1218</v>
      </c>
      <c r="D3565" s="4">
        <v>45393</v>
      </c>
      <c r="E3565" t="s">
        <v>1149</v>
      </c>
      <c r="F3565" t="s">
        <v>75</v>
      </c>
      <c r="I3565" s="6"/>
      <c r="J3565" s="6"/>
      <c r="K3565" s="6"/>
      <c r="L3565" s="6"/>
      <c r="M3565" s="6"/>
      <c r="N3565" s="6"/>
      <c r="O3565" s="6"/>
      <c r="P3565" s="6"/>
      <c r="Q3565">
        <v>0</v>
      </c>
      <c r="R3565">
        <f t="shared" si="275"/>
        <v>0</v>
      </c>
      <c r="S3565">
        <f t="shared" si="276"/>
        <v>0</v>
      </c>
      <c r="T3565">
        <f t="shared" si="277"/>
        <v>0</v>
      </c>
      <c r="U3565">
        <f t="shared" si="278"/>
        <v>0</v>
      </c>
      <c r="V3565">
        <f t="shared" si="279"/>
        <v>0</v>
      </c>
    </row>
    <row r="3566" spans="1:22" x14ac:dyDescent="0.25">
      <c r="A3566">
        <v>3563</v>
      </c>
      <c r="B3566" t="s">
        <v>26</v>
      </c>
      <c r="C3566" t="s">
        <v>1218</v>
      </c>
      <c r="D3566" s="4">
        <v>45393</v>
      </c>
      <c r="E3566" t="s">
        <v>1150</v>
      </c>
      <c r="F3566" t="s">
        <v>413</v>
      </c>
      <c r="G3566">
        <v>168</v>
      </c>
      <c r="I3566" s="6">
        <v>1</v>
      </c>
      <c r="J3566" s="6">
        <v>0</v>
      </c>
      <c r="K3566" s="6">
        <v>0</v>
      </c>
      <c r="L3566" s="6">
        <v>1</v>
      </c>
      <c r="M3566" s="6">
        <v>0</v>
      </c>
      <c r="N3566" s="6">
        <v>0</v>
      </c>
      <c r="O3566" s="6">
        <v>0</v>
      </c>
      <c r="P3566" s="6">
        <v>0</v>
      </c>
      <c r="Q3566">
        <v>1</v>
      </c>
      <c r="R3566">
        <f t="shared" si="275"/>
        <v>1</v>
      </c>
      <c r="S3566">
        <f t="shared" si="276"/>
        <v>0</v>
      </c>
      <c r="T3566">
        <f t="shared" si="277"/>
        <v>2</v>
      </c>
      <c r="U3566">
        <f t="shared" si="278"/>
        <v>1</v>
      </c>
      <c r="V3566">
        <f t="shared" si="279"/>
        <v>1</v>
      </c>
    </row>
    <row r="3567" spans="1:22" x14ac:dyDescent="0.25">
      <c r="A3567">
        <v>3564</v>
      </c>
      <c r="B3567" t="s">
        <v>26</v>
      </c>
      <c r="C3567" t="s">
        <v>1218</v>
      </c>
      <c r="D3567" s="4">
        <v>45393</v>
      </c>
      <c r="E3567" t="s">
        <v>1365</v>
      </c>
      <c r="F3567" t="s">
        <v>75</v>
      </c>
      <c r="I3567" s="6">
        <v>0</v>
      </c>
      <c r="J3567" s="6">
        <v>0</v>
      </c>
      <c r="K3567" s="6">
        <v>0</v>
      </c>
      <c r="L3567" s="6">
        <v>1</v>
      </c>
      <c r="M3567" s="6">
        <v>1</v>
      </c>
      <c r="N3567" s="6">
        <v>1</v>
      </c>
      <c r="O3567" s="6">
        <v>0</v>
      </c>
      <c r="P3567" s="6">
        <v>0</v>
      </c>
      <c r="Q3567">
        <v>1</v>
      </c>
      <c r="R3567">
        <f t="shared" si="275"/>
        <v>0</v>
      </c>
      <c r="S3567">
        <f t="shared" si="276"/>
        <v>1</v>
      </c>
      <c r="T3567">
        <f t="shared" si="277"/>
        <v>3</v>
      </c>
      <c r="U3567">
        <f t="shared" si="278"/>
        <v>1</v>
      </c>
      <c r="V3567">
        <f t="shared" si="279"/>
        <v>0</v>
      </c>
    </row>
    <row r="3568" spans="1:22" x14ac:dyDescent="0.25">
      <c r="A3568">
        <v>3565</v>
      </c>
      <c r="B3568" t="s">
        <v>26</v>
      </c>
      <c r="C3568" t="s">
        <v>1218</v>
      </c>
      <c r="D3568" s="4">
        <v>45393</v>
      </c>
      <c r="E3568" t="s">
        <v>1151</v>
      </c>
      <c r="F3568" t="s">
        <v>75</v>
      </c>
      <c r="I3568" s="6">
        <v>0</v>
      </c>
      <c r="J3568" s="6">
        <v>0</v>
      </c>
      <c r="K3568" s="6">
        <v>0</v>
      </c>
      <c r="L3568" s="6">
        <v>1</v>
      </c>
      <c r="M3568" s="6">
        <v>1</v>
      </c>
      <c r="N3568" s="6">
        <v>0</v>
      </c>
      <c r="O3568" s="6">
        <v>0</v>
      </c>
      <c r="P3568" s="6">
        <v>0</v>
      </c>
      <c r="Q3568">
        <v>1</v>
      </c>
      <c r="R3568">
        <f t="shared" si="275"/>
        <v>0</v>
      </c>
      <c r="S3568">
        <f t="shared" si="276"/>
        <v>1</v>
      </c>
      <c r="T3568">
        <f t="shared" si="277"/>
        <v>2</v>
      </c>
      <c r="U3568">
        <f t="shared" si="278"/>
        <v>1</v>
      </c>
      <c r="V3568">
        <f t="shared" si="279"/>
        <v>0</v>
      </c>
    </row>
    <row r="3569" spans="1:22" x14ac:dyDescent="0.25">
      <c r="A3569">
        <v>3566</v>
      </c>
      <c r="B3569" t="s">
        <v>26</v>
      </c>
      <c r="C3569" t="s">
        <v>1218</v>
      </c>
      <c r="D3569" s="4">
        <v>45393</v>
      </c>
      <c r="E3569" t="s">
        <v>2448</v>
      </c>
      <c r="F3569" t="s">
        <v>75</v>
      </c>
      <c r="I3569" s="6"/>
      <c r="J3569" s="6"/>
      <c r="K3569" s="6"/>
      <c r="L3569" s="6"/>
      <c r="M3569" s="6"/>
      <c r="N3569" s="6"/>
      <c r="O3569" s="6"/>
      <c r="P3569" s="6"/>
      <c r="Q3569">
        <v>0</v>
      </c>
      <c r="R3569">
        <f t="shared" si="275"/>
        <v>0</v>
      </c>
      <c r="S3569">
        <f t="shared" si="276"/>
        <v>0</v>
      </c>
      <c r="T3569">
        <f t="shared" si="277"/>
        <v>0</v>
      </c>
      <c r="U3569">
        <f t="shared" si="278"/>
        <v>0</v>
      </c>
      <c r="V3569">
        <f t="shared" si="279"/>
        <v>0</v>
      </c>
    </row>
    <row r="3570" spans="1:22" x14ac:dyDescent="0.25">
      <c r="A3570">
        <v>3567</v>
      </c>
      <c r="B3570" t="s">
        <v>26</v>
      </c>
      <c r="C3570" t="s">
        <v>1218</v>
      </c>
      <c r="D3570" s="4">
        <v>45394</v>
      </c>
      <c r="E3570" t="s">
        <v>966</v>
      </c>
      <c r="F3570" t="s">
        <v>75</v>
      </c>
      <c r="I3570" s="6"/>
      <c r="J3570" s="6"/>
      <c r="K3570" s="6"/>
      <c r="L3570" s="6"/>
      <c r="M3570" s="6"/>
      <c r="N3570" s="6"/>
      <c r="O3570" s="6"/>
      <c r="P3570" s="6"/>
      <c r="Q3570">
        <v>0</v>
      </c>
      <c r="R3570">
        <f t="shared" si="275"/>
        <v>0</v>
      </c>
      <c r="S3570">
        <f t="shared" si="276"/>
        <v>0</v>
      </c>
      <c r="T3570">
        <f t="shared" si="277"/>
        <v>0</v>
      </c>
      <c r="U3570">
        <f t="shared" si="278"/>
        <v>0</v>
      </c>
      <c r="V3570">
        <f t="shared" si="279"/>
        <v>0</v>
      </c>
    </row>
    <row r="3571" spans="1:22" x14ac:dyDescent="0.25">
      <c r="A3571">
        <v>3568</v>
      </c>
      <c r="B3571" t="s">
        <v>26</v>
      </c>
      <c r="C3571" t="s">
        <v>1218</v>
      </c>
      <c r="D3571" s="4">
        <v>45394</v>
      </c>
      <c r="E3571" t="s">
        <v>870</v>
      </c>
      <c r="F3571" t="s">
        <v>75</v>
      </c>
      <c r="I3571" s="6"/>
      <c r="J3571" s="6"/>
      <c r="K3571" s="6"/>
      <c r="L3571" s="6"/>
      <c r="M3571" s="6"/>
      <c r="N3571" s="6"/>
      <c r="O3571" s="6"/>
      <c r="P3571" s="6"/>
      <c r="Q3571">
        <v>0</v>
      </c>
      <c r="R3571">
        <f t="shared" si="275"/>
        <v>0</v>
      </c>
      <c r="S3571">
        <f t="shared" si="276"/>
        <v>0</v>
      </c>
      <c r="T3571">
        <f t="shared" si="277"/>
        <v>0</v>
      </c>
      <c r="U3571">
        <f t="shared" si="278"/>
        <v>0</v>
      </c>
      <c r="V3571">
        <f t="shared" si="279"/>
        <v>0</v>
      </c>
    </row>
    <row r="3572" spans="1:22" x14ac:dyDescent="0.25">
      <c r="A3572">
        <v>3569</v>
      </c>
      <c r="B3572" t="s">
        <v>26</v>
      </c>
      <c r="C3572" t="s">
        <v>1218</v>
      </c>
      <c r="D3572" s="4">
        <v>45394</v>
      </c>
      <c r="E3572" t="s">
        <v>871</v>
      </c>
      <c r="F3572" t="s">
        <v>75</v>
      </c>
      <c r="I3572" s="6"/>
      <c r="J3572" s="6"/>
      <c r="K3572" s="6"/>
      <c r="L3572" s="6"/>
      <c r="M3572" s="6"/>
      <c r="N3572" s="6"/>
      <c r="O3572" s="6"/>
      <c r="P3572" s="6"/>
      <c r="Q3572">
        <v>0</v>
      </c>
      <c r="R3572">
        <f t="shared" si="275"/>
        <v>0</v>
      </c>
      <c r="S3572">
        <f t="shared" si="276"/>
        <v>0</v>
      </c>
      <c r="T3572">
        <f t="shared" si="277"/>
        <v>0</v>
      </c>
      <c r="U3572">
        <f t="shared" si="278"/>
        <v>0</v>
      </c>
      <c r="V3572">
        <f t="shared" si="279"/>
        <v>0</v>
      </c>
    </row>
    <row r="3573" spans="1:22" x14ac:dyDescent="0.25">
      <c r="A3573">
        <v>3570</v>
      </c>
      <c r="B3573" t="s">
        <v>26</v>
      </c>
      <c r="C3573" t="s">
        <v>1218</v>
      </c>
      <c r="D3573" s="4">
        <v>45394</v>
      </c>
      <c r="E3573" t="s">
        <v>1065</v>
      </c>
      <c r="F3573" t="s">
        <v>75</v>
      </c>
      <c r="I3573" s="6"/>
      <c r="J3573" s="6"/>
      <c r="K3573" s="6"/>
      <c r="L3573" s="6"/>
      <c r="M3573" s="6"/>
      <c r="N3573" s="6"/>
      <c r="O3573" s="6"/>
      <c r="P3573" s="6"/>
      <c r="Q3573">
        <v>0</v>
      </c>
      <c r="R3573">
        <f t="shared" si="275"/>
        <v>0</v>
      </c>
      <c r="S3573">
        <f t="shared" si="276"/>
        <v>0</v>
      </c>
      <c r="T3573">
        <f t="shared" si="277"/>
        <v>0</v>
      </c>
      <c r="U3573">
        <f t="shared" si="278"/>
        <v>0</v>
      </c>
      <c r="V3573">
        <f t="shared" si="279"/>
        <v>0</v>
      </c>
    </row>
    <row r="3574" spans="1:22" x14ac:dyDescent="0.25">
      <c r="A3574">
        <v>3571</v>
      </c>
      <c r="B3574" t="s">
        <v>26</v>
      </c>
      <c r="C3574" t="s">
        <v>1218</v>
      </c>
      <c r="D3574" s="4">
        <v>45394</v>
      </c>
      <c r="E3574" t="s">
        <v>1366</v>
      </c>
      <c r="F3574" t="s">
        <v>75</v>
      </c>
      <c r="H3574" t="s">
        <v>1357</v>
      </c>
      <c r="I3574" s="6">
        <v>0</v>
      </c>
      <c r="J3574" s="6">
        <v>0</v>
      </c>
      <c r="K3574" s="6">
        <v>0</v>
      </c>
      <c r="L3574" s="6">
        <v>0</v>
      </c>
      <c r="M3574" s="6">
        <v>0</v>
      </c>
      <c r="N3574" s="6">
        <v>0</v>
      </c>
      <c r="O3574" s="6">
        <v>0</v>
      </c>
      <c r="P3574" s="6">
        <v>0</v>
      </c>
      <c r="Q3574">
        <v>1</v>
      </c>
      <c r="R3574">
        <f t="shared" si="275"/>
        <v>0</v>
      </c>
      <c r="S3574">
        <f t="shared" si="276"/>
        <v>1</v>
      </c>
      <c r="T3574">
        <f t="shared" si="277"/>
        <v>0</v>
      </c>
      <c r="U3574">
        <f t="shared" si="278"/>
        <v>0</v>
      </c>
      <c r="V3574">
        <f t="shared" si="279"/>
        <v>0</v>
      </c>
    </row>
    <row r="3575" spans="1:22" x14ac:dyDescent="0.25">
      <c r="A3575">
        <v>3572</v>
      </c>
      <c r="B3575" t="s">
        <v>26</v>
      </c>
      <c r="C3575" t="s">
        <v>1218</v>
      </c>
      <c r="D3575" s="4">
        <v>45394</v>
      </c>
      <c r="E3575" t="s">
        <v>1066</v>
      </c>
      <c r="F3575" t="s">
        <v>75</v>
      </c>
      <c r="I3575" s="6">
        <v>0</v>
      </c>
      <c r="J3575" s="6">
        <v>0</v>
      </c>
      <c r="K3575" s="6">
        <v>0</v>
      </c>
      <c r="L3575" s="6">
        <v>1</v>
      </c>
      <c r="M3575" s="6">
        <v>1</v>
      </c>
      <c r="N3575" s="6">
        <v>1</v>
      </c>
      <c r="O3575" s="6">
        <v>0</v>
      </c>
      <c r="P3575" s="6">
        <v>0</v>
      </c>
      <c r="Q3575">
        <v>1</v>
      </c>
      <c r="R3575">
        <f t="shared" si="275"/>
        <v>0</v>
      </c>
      <c r="S3575">
        <f t="shared" si="276"/>
        <v>1</v>
      </c>
      <c r="T3575">
        <f t="shared" si="277"/>
        <v>3</v>
      </c>
      <c r="U3575">
        <f t="shared" si="278"/>
        <v>1</v>
      </c>
      <c r="V3575">
        <f t="shared" si="279"/>
        <v>0</v>
      </c>
    </row>
    <row r="3576" spans="1:22" x14ac:dyDescent="0.25">
      <c r="A3576">
        <v>3573</v>
      </c>
      <c r="B3576" t="s">
        <v>26</v>
      </c>
      <c r="C3576" t="s">
        <v>1218</v>
      </c>
      <c r="D3576" s="4">
        <v>45394</v>
      </c>
      <c r="E3576" t="s">
        <v>1548</v>
      </c>
      <c r="F3576" t="s">
        <v>75</v>
      </c>
      <c r="I3576" s="6"/>
      <c r="J3576" s="6"/>
      <c r="K3576" s="6"/>
      <c r="L3576" s="6"/>
      <c r="M3576" s="6"/>
      <c r="N3576" s="6"/>
      <c r="O3576" s="6"/>
      <c r="P3576" s="6"/>
      <c r="Q3576">
        <v>0</v>
      </c>
      <c r="R3576">
        <f t="shared" si="275"/>
        <v>0</v>
      </c>
      <c r="S3576">
        <f t="shared" si="276"/>
        <v>0</v>
      </c>
      <c r="T3576">
        <f t="shared" si="277"/>
        <v>0</v>
      </c>
      <c r="U3576">
        <f t="shared" si="278"/>
        <v>0</v>
      </c>
      <c r="V3576">
        <f t="shared" si="279"/>
        <v>0</v>
      </c>
    </row>
    <row r="3577" spans="1:22" x14ac:dyDescent="0.25">
      <c r="A3577">
        <v>3574</v>
      </c>
      <c r="B3577" t="s">
        <v>26</v>
      </c>
      <c r="C3577" t="s">
        <v>1218</v>
      </c>
      <c r="D3577" s="4">
        <v>45395</v>
      </c>
      <c r="E3577" t="s">
        <v>872</v>
      </c>
      <c r="F3577" t="s">
        <v>75</v>
      </c>
      <c r="I3577" s="6">
        <v>0</v>
      </c>
      <c r="J3577" s="6">
        <v>0</v>
      </c>
      <c r="K3577" s="6">
        <v>0</v>
      </c>
      <c r="L3577" s="6">
        <v>0</v>
      </c>
      <c r="M3577" s="6">
        <v>0</v>
      </c>
      <c r="N3577" s="6">
        <v>1</v>
      </c>
      <c r="O3577" s="6">
        <v>0</v>
      </c>
      <c r="P3577" s="6">
        <v>0</v>
      </c>
      <c r="Q3577">
        <v>1</v>
      </c>
      <c r="R3577">
        <f t="shared" si="275"/>
        <v>0</v>
      </c>
      <c r="S3577">
        <f t="shared" si="276"/>
        <v>1</v>
      </c>
      <c r="T3577">
        <f t="shared" si="277"/>
        <v>1</v>
      </c>
      <c r="U3577">
        <f t="shared" si="278"/>
        <v>1</v>
      </c>
      <c r="V3577">
        <f t="shared" si="279"/>
        <v>0</v>
      </c>
    </row>
    <row r="3578" spans="1:22" x14ac:dyDescent="0.25">
      <c r="A3578">
        <v>3575</v>
      </c>
      <c r="B3578" t="s">
        <v>26</v>
      </c>
      <c r="C3578" t="s">
        <v>1218</v>
      </c>
      <c r="D3578" s="4">
        <v>45395</v>
      </c>
      <c r="E3578" t="s">
        <v>1367</v>
      </c>
      <c r="F3578" t="s">
        <v>75</v>
      </c>
      <c r="I3578" s="6">
        <v>0</v>
      </c>
      <c r="J3578" s="6">
        <v>0</v>
      </c>
      <c r="K3578" s="6">
        <v>0</v>
      </c>
      <c r="L3578" s="6">
        <v>0</v>
      </c>
      <c r="M3578" s="6">
        <v>0</v>
      </c>
      <c r="N3578" s="6">
        <v>0</v>
      </c>
      <c r="O3578" s="6">
        <v>0</v>
      </c>
      <c r="P3578" s="6">
        <v>0</v>
      </c>
      <c r="Q3578">
        <v>1</v>
      </c>
      <c r="R3578">
        <f t="shared" si="275"/>
        <v>0</v>
      </c>
      <c r="S3578">
        <f t="shared" si="276"/>
        <v>1</v>
      </c>
      <c r="T3578">
        <f t="shared" si="277"/>
        <v>0</v>
      </c>
      <c r="U3578">
        <f t="shared" si="278"/>
        <v>0</v>
      </c>
      <c r="V3578">
        <f t="shared" si="279"/>
        <v>0</v>
      </c>
    </row>
    <row r="3579" spans="1:22" x14ac:dyDescent="0.25">
      <c r="A3579">
        <v>3576</v>
      </c>
      <c r="B3579" t="s">
        <v>26</v>
      </c>
      <c r="C3579" t="s">
        <v>1218</v>
      </c>
      <c r="D3579" s="4">
        <v>45395</v>
      </c>
      <c r="E3579" t="s">
        <v>2447</v>
      </c>
      <c r="F3579" t="s">
        <v>75</v>
      </c>
      <c r="I3579" s="6"/>
      <c r="J3579" s="6"/>
      <c r="K3579" s="6"/>
      <c r="L3579" s="6"/>
      <c r="M3579" s="6"/>
      <c r="N3579" s="6"/>
      <c r="O3579" s="6"/>
      <c r="P3579" s="6"/>
      <c r="Q3579">
        <v>0</v>
      </c>
      <c r="R3579">
        <f t="shared" si="275"/>
        <v>0</v>
      </c>
      <c r="S3579">
        <f t="shared" si="276"/>
        <v>0</v>
      </c>
      <c r="T3579">
        <f t="shared" si="277"/>
        <v>0</v>
      </c>
      <c r="U3579">
        <f t="shared" si="278"/>
        <v>0</v>
      </c>
      <c r="V3579">
        <f t="shared" si="279"/>
        <v>0</v>
      </c>
    </row>
    <row r="3580" spans="1:22" x14ac:dyDescent="0.25">
      <c r="A3580">
        <v>3577</v>
      </c>
      <c r="B3580" t="s">
        <v>26</v>
      </c>
      <c r="C3580" t="s">
        <v>1218</v>
      </c>
      <c r="D3580" s="4">
        <v>45395</v>
      </c>
      <c r="E3580" t="s">
        <v>2446</v>
      </c>
      <c r="F3580" t="s">
        <v>75</v>
      </c>
      <c r="I3580" s="6"/>
      <c r="J3580" s="6"/>
      <c r="K3580" s="6"/>
      <c r="L3580" s="6"/>
      <c r="M3580" s="6"/>
      <c r="N3580" s="6"/>
      <c r="O3580" s="6"/>
      <c r="P3580" s="6"/>
      <c r="Q3580">
        <v>0</v>
      </c>
      <c r="R3580">
        <f t="shared" si="275"/>
        <v>0</v>
      </c>
      <c r="S3580">
        <f t="shared" si="276"/>
        <v>0</v>
      </c>
      <c r="T3580">
        <f t="shared" si="277"/>
        <v>0</v>
      </c>
      <c r="U3580">
        <f t="shared" si="278"/>
        <v>0</v>
      </c>
      <c r="V3580">
        <f t="shared" si="279"/>
        <v>0</v>
      </c>
    </row>
    <row r="3581" spans="1:22" x14ac:dyDescent="0.25">
      <c r="A3581">
        <v>3578</v>
      </c>
      <c r="B3581" t="s">
        <v>26</v>
      </c>
      <c r="C3581" t="s">
        <v>1218</v>
      </c>
      <c r="D3581" s="4">
        <v>45395</v>
      </c>
      <c r="E3581" t="s">
        <v>1368</v>
      </c>
      <c r="F3581" t="s">
        <v>75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6">
        <v>1</v>
      </c>
      <c r="O3581" s="6">
        <v>0</v>
      </c>
      <c r="P3581" s="6">
        <v>0</v>
      </c>
      <c r="Q3581">
        <v>1</v>
      </c>
      <c r="R3581">
        <f t="shared" si="275"/>
        <v>0</v>
      </c>
      <c r="S3581">
        <f t="shared" si="276"/>
        <v>1</v>
      </c>
      <c r="T3581">
        <f t="shared" si="277"/>
        <v>1</v>
      </c>
      <c r="U3581">
        <f t="shared" si="278"/>
        <v>1</v>
      </c>
      <c r="V3581">
        <f t="shared" si="279"/>
        <v>0</v>
      </c>
    </row>
    <row r="3582" spans="1:22" x14ac:dyDescent="0.25">
      <c r="A3582">
        <v>3579</v>
      </c>
      <c r="B3582" t="s">
        <v>26</v>
      </c>
      <c r="C3582" t="s">
        <v>1218</v>
      </c>
      <c r="D3582" s="4">
        <v>45395</v>
      </c>
      <c r="E3582" t="s">
        <v>2445</v>
      </c>
      <c r="F3582" t="s">
        <v>75</v>
      </c>
      <c r="I3582" s="6">
        <v>1</v>
      </c>
      <c r="J3582" s="6">
        <v>0</v>
      </c>
      <c r="K3582" s="6">
        <v>0</v>
      </c>
      <c r="L3582" s="6">
        <v>1</v>
      </c>
      <c r="M3582" s="6">
        <v>0</v>
      </c>
      <c r="N3582" s="6">
        <v>0</v>
      </c>
      <c r="O3582" s="6">
        <v>0</v>
      </c>
      <c r="P3582" s="6">
        <v>0</v>
      </c>
      <c r="Q3582">
        <v>1</v>
      </c>
      <c r="R3582">
        <f t="shared" si="275"/>
        <v>0</v>
      </c>
      <c r="S3582">
        <f t="shared" si="276"/>
        <v>1</v>
      </c>
      <c r="T3582">
        <f t="shared" si="277"/>
        <v>2</v>
      </c>
      <c r="U3582">
        <f t="shared" si="278"/>
        <v>1</v>
      </c>
      <c r="V3582">
        <f t="shared" si="279"/>
        <v>0</v>
      </c>
    </row>
    <row r="3583" spans="1:22" x14ac:dyDescent="0.25">
      <c r="A3583">
        <v>3580</v>
      </c>
      <c r="B3583" t="s">
        <v>26</v>
      </c>
      <c r="C3583" t="s">
        <v>1218</v>
      </c>
      <c r="D3583" s="4">
        <v>45395</v>
      </c>
      <c r="E3583" t="s">
        <v>1369</v>
      </c>
      <c r="F3583" t="s">
        <v>75</v>
      </c>
      <c r="I3583" s="6">
        <v>0</v>
      </c>
      <c r="J3583" s="6">
        <v>0</v>
      </c>
      <c r="K3583" s="6">
        <v>0</v>
      </c>
      <c r="L3583" s="6">
        <v>0</v>
      </c>
      <c r="M3583" s="6">
        <v>0</v>
      </c>
      <c r="N3583" s="6">
        <v>0</v>
      </c>
      <c r="O3583" s="6">
        <v>0</v>
      </c>
      <c r="P3583" s="6">
        <v>0</v>
      </c>
      <c r="Q3583">
        <v>1</v>
      </c>
      <c r="R3583">
        <f t="shared" si="275"/>
        <v>0</v>
      </c>
      <c r="S3583">
        <f t="shared" si="276"/>
        <v>1</v>
      </c>
      <c r="T3583">
        <f t="shared" si="277"/>
        <v>0</v>
      </c>
      <c r="U3583">
        <f t="shared" si="278"/>
        <v>0</v>
      </c>
      <c r="V3583">
        <f t="shared" si="279"/>
        <v>0</v>
      </c>
    </row>
    <row r="3584" spans="1:22" x14ac:dyDescent="0.25">
      <c r="A3584">
        <v>3581</v>
      </c>
      <c r="B3584" t="s">
        <v>26</v>
      </c>
      <c r="C3584" t="s">
        <v>1218</v>
      </c>
      <c r="D3584" s="4">
        <v>45395</v>
      </c>
      <c r="E3584" t="s">
        <v>2444</v>
      </c>
      <c r="F3584" t="s">
        <v>75</v>
      </c>
      <c r="I3584" s="6"/>
      <c r="J3584" s="6"/>
      <c r="K3584" s="6"/>
      <c r="L3584" s="6"/>
      <c r="M3584" s="6"/>
      <c r="N3584" s="6"/>
      <c r="O3584" s="6"/>
      <c r="P3584" s="6"/>
      <c r="Q3584">
        <v>0</v>
      </c>
      <c r="R3584">
        <f t="shared" si="275"/>
        <v>0</v>
      </c>
      <c r="S3584">
        <f t="shared" si="276"/>
        <v>0</v>
      </c>
      <c r="T3584">
        <f t="shared" si="277"/>
        <v>0</v>
      </c>
      <c r="U3584">
        <f t="shared" si="278"/>
        <v>0</v>
      </c>
      <c r="V3584">
        <f t="shared" si="279"/>
        <v>0</v>
      </c>
    </row>
    <row r="3585" spans="1:22" x14ac:dyDescent="0.25">
      <c r="A3585">
        <v>3582</v>
      </c>
      <c r="B3585" t="s">
        <v>26</v>
      </c>
      <c r="C3585" t="s">
        <v>1218</v>
      </c>
      <c r="D3585" s="4">
        <v>45395</v>
      </c>
      <c r="E3585" t="s">
        <v>1370</v>
      </c>
      <c r="F3585" t="s">
        <v>75</v>
      </c>
      <c r="I3585" s="6">
        <v>0</v>
      </c>
      <c r="J3585" s="6">
        <v>0</v>
      </c>
      <c r="K3585" s="6">
        <v>0</v>
      </c>
      <c r="L3585" s="6">
        <v>0</v>
      </c>
      <c r="M3585" s="6">
        <v>0</v>
      </c>
      <c r="N3585" s="6">
        <v>0</v>
      </c>
      <c r="O3585" s="6">
        <v>0</v>
      </c>
      <c r="P3585" s="6">
        <v>0</v>
      </c>
      <c r="Q3585">
        <v>1</v>
      </c>
      <c r="R3585">
        <f t="shared" si="275"/>
        <v>0</v>
      </c>
      <c r="S3585">
        <f t="shared" si="276"/>
        <v>1</v>
      </c>
      <c r="T3585">
        <f t="shared" si="277"/>
        <v>0</v>
      </c>
      <c r="U3585">
        <f t="shared" si="278"/>
        <v>0</v>
      </c>
      <c r="V3585">
        <f t="shared" si="279"/>
        <v>0</v>
      </c>
    </row>
    <row r="3586" spans="1:22" x14ac:dyDescent="0.25">
      <c r="A3586">
        <v>3583</v>
      </c>
      <c r="B3586" t="s">
        <v>26</v>
      </c>
      <c r="C3586" t="s">
        <v>1218</v>
      </c>
      <c r="D3586" s="4">
        <v>45395</v>
      </c>
      <c r="E3586" t="s">
        <v>873</v>
      </c>
      <c r="F3586" t="s">
        <v>75</v>
      </c>
      <c r="I3586" s="6">
        <v>0</v>
      </c>
      <c r="J3586" s="6">
        <v>0</v>
      </c>
      <c r="K3586" s="6">
        <v>0</v>
      </c>
      <c r="L3586" s="6">
        <v>0</v>
      </c>
      <c r="M3586" s="6">
        <v>0</v>
      </c>
      <c r="N3586" s="6">
        <v>0</v>
      </c>
      <c r="O3586" s="6">
        <v>0</v>
      </c>
      <c r="P3586" s="6">
        <v>0</v>
      </c>
      <c r="Q3586">
        <v>1</v>
      </c>
      <c r="R3586">
        <f t="shared" si="275"/>
        <v>0</v>
      </c>
      <c r="S3586">
        <f t="shared" si="276"/>
        <v>1</v>
      </c>
      <c r="T3586">
        <f t="shared" si="277"/>
        <v>0</v>
      </c>
      <c r="U3586">
        <f t="shared" si="278"/>
        <v>0</v>
      </c>
      <c r="V3586">
        <f t="shared" si="279"/>
        <v>0</v>
      </c>
    </row>
    <row r="3587" spans="1:22" x14ac:dyDescent="0.25">
      <c r="A3587">
        <v>3584</v>
      </c>
      <c r="B3587" t="s">
        <v>26</v>
      </c>
      <c r="C3587" t="s">
        <v>1218</v>
      </c>
      <c r="D3587" s="4">
        <v>45395</v>
      </c>
      <c r="E3587" t="s">
        <v>2160</v>
      </c>
      <c r="F3587" t="s">
        <v>75</v>
      </c>
      <c r="I3587" s="6"/>
      <c r="J3587" s="6"/>
      <c r="K3587" s="6"/>
      <c r="L3587" s="6"/>
      <c r="M3587" s="6"/>
      <c r="N3587" s="6"/>
      <c r="O3587" s="6"/>
      <c r="P3587" s="6"/>
      <c r="Q3587">
        <v>0</v>
      </c>
      <c r="R3587">
        <f t="shared" ref="R3587:R3650" si="280">IF(AND(Q3587=1,F3587="ai_full"),1,0)</f>
        <v>0</v>
      </c>
      <c r="S3587">
        <f t="shared" ref="S3587:S3650" si="281">IF(AND(Q3587=1,F3587="conventional"),1,0)</f>
        <v>0</v>
      </c>
      <c r="T3587">
        <f t="shared" ref="T3587:T3650" si="282">SUM(I3587:P3587)</f>
        <v>0</v>
      </c>
      <c r="U3587">
        <f t="shared" ref="U3587:U3650" si="283">IF(T3587&gt;=1,1,0)</f>
        <v>0</v>
      </c>
      <c r="V3587">
        <f t="shared" ref="V3587:V3650" si="284">IF(F3587="ai_full",1,0)</f>
        <v>0</v>
      </c>
    </row>
    <row r="3588" spans="1:22" x14ac:dyDescent="0.25">
      <c r="A3588">
        <v>3585</v>
      </c>
      <c r="B3588" t="s">
        <v>26</v>
      </c>
      <c r="C3588" t="s">
        <v>1218</v>
      </c>
      <c r="D3588" s="4">
        <v>45395</v>
      </c>
      <c r="E3588" t="s">
        <v>1067</v>
      </c>
      <c r="F3588" t="s">
        <v>75</v>
      </c>
      <c r="I3588" s="6"/>
      <c r="J3588" s="6"/>
      <c r="K3588" s="6"/>
      <c r="L3588" s="6"/>
      <c r="M3588" s="6"/>
      <c r="N3588" s="6"/>
      <c r="O3588" s="6"/>
      <c r="P3588" s="6"/>
      <c r="Q3588">
        <v>0</v>
      </c>
      <c r="R3588">
        <f t="shared" si="280"/>
        <v>0</v>
      </c>
      <c r="S3588">
        <f t="shared" si="281"/>
        <v>0</v>
      </c>
      <c r="T3588">
        <f t="shared" si="282"/>
        <v>0</v>
      </c>
      <c r="U3588">
        <f t="shared" si="283"/>
        <v>0</v>
      </c>
      <c r="V3588">
        <f t="shared" si="284"/>
        <v>0</v>
      </c>
    </row>
    <row r="3589" spans="1:22" x14ac:dyDescent="0.25">
      <c r="A3589">
        <v>3586</v>
      </c>
      <c r="B3589" t="s">
        <v>26</v>
      </c>
      <c r="C3589" t="s">
        <v>1218</v>
      </c>
      <c r="D3589" s="4">
        <v>45395</v>
      </c>
      <c r="E3589" t="s">
        <v>2443</v>
      </c>
      <c r="F3589" t="s">
        <v>75</v>
      </c>
      <c r="I3589" s="6"/>
      <c r="J3589" s="6"/>
      <c r="K3589" s="6"/>
      <c r="L3589" s="6"/>
      <c r="M3589" s="6"/>
      <c r="N3589" s="6"/>
      <c r="O3589" s="6"/>
      <c r="P3589" s="6"/>
      <c r="Q3589">
        <v>0</v>
      </c>
      <c r="R3589">
        <f t="shared" si="280"/>
        <v>0</v>
      </c>
      <c r="S3589">
        <f t="shared" si="281"/>
        <v>0</v>
      </c>
      <c r="T3589">
        <f t="shared" si="282"/>
        <v>0</v>
      </c>
      <c r="U3589">
        <f t="shared" si="283"/>
        <v>0</v>
      </c>
      <c r="V3589">
        <f t="shared" si="284"/>
        <v>0</v>
      </c>
    </row>
    <row r="3590" spans="1:22" x14ac:dyDescent="0.25">
      <c r="A3590">
        <v>3587</v>
      </c>
      <c r="B3590" t="s">
        <v>26</v>
      </c>
      <c r="C3590" t="s">
        <v>1218</v>
      </c>
      <c r="D3590" s="4">
        <v>45395</v>
      </c>
      <c r="E3590" t="s">
        <v>2442</v>
      </c>
      <c r="F3590" t="s">
        <v>75</v>
      </c>
      <c r="I3590" s="6"/>
      <c r="J3590" s="6"/>
      <c r="K3590" s="6"/>
      <c r="L3590" s="6"/>
      <c r="M3590" s="6"/>
      <c r="N3590" s="6"/>
      <c r="O3590" s="6"/>
      <c r="P3590" s="6"/>
      <c r="Q3590">
        <v>0</v>
      </c>
      <c r="R3590">
        <f t="shared" si="280"/>
        <v>0</v>
      </c>
      <c r="S3590">
        <f t="shared" si="281"/>
        <v>0</v>
      </c>
      <c r="T3590">
        <f t="shared" si="282"/>
        <v>0</v>
      </c>
      <c r="U3590">
        <f t="shared" si="283"/>
        <v>0</v>
      </c>
      <c r="V3590">
        <f t="shared" si="284"/>
        <v>0</v>
      </c>
    </row>
    <row r="3591" spans="1:22" x14ac:dyDescent="0.25">
      <c r="A3591">
        <v>3588</v>
      </c>
      <c r="B3591" t="s">
        <v>26</v>
      </c>
      <c r="C3591" t="s">
        <v>1218</v>
      </c>
      <c r="D3591" s="4">
        <v>45395</v>
      </c>
      <c r="E3591" t="s">
        <v>2441</v>
      </c>
      <c r="F3591" t="s">
        <v>75</v>
      </c>
      <c r="I3591" s="6"/>
      <c r="J3591" s="6"/>
      <c r="K3591" s="6"/>
      <c r="L3591" s="6"/>
      <c r="M3591" s="6"/>
      <c r="N3591" s="6"/>
      <c r="O3591" s="6"/>
      <c r="P3591" s="6"/>
      <c r="Q3591">
        <v>0</v>
      </c>
      <c r="R3591">
        <f t="shared" si="280"/>
        <v>0</v>
      </c>
      <c r="S3591">
        <f t="shared" si="281"/>
        <v>0</v>
      </c>
      <c r="T3591">
        <f t="shared" si="282"/>
        <v>0</v>
      </c>
      <c r="U3591">
        <f t="shared" si="283"/>
        <v>0</v>
      </c>
      <c r="V3591">
        <f t="shared" si="284"/>
        <v>0</v>
      </c>
    </row>
    <row r="3592" spans="1:22" x14ac:dyDescent="0.25">
      <c r="A3592">
        <v>3589</v>
      </c>
      <c r="B3592" t="s">
        <v>26</v>
      </c>
      <c r="C3592" t="s">
        <v>1218</v>
      </c>
      <c r="D3592" s="4">
        <v>45395</v>
      </c>
      <c r="E3592" t="s">
        <v>2440</v>
      </c>
      <c r="F3592" t="s">
        <v>75</v>
      </c>
      <c r="I3592" s="6"/>
      <c r="J3592" s="6"/>
      <c r="K3592" s="6"/>
      <c r="L3592" s="6"/>
      <c r="M3592" s="6"/>
      <c r="N3592" s="6"/>
      <c r="O3592" s="6"/>
      <c r="P3592" s="6"/>
      <c r="Q3592">
        <v>0</v>
      </c>
      <c r="R3592">
        <f t="shared" si="280"/>
        <v>0</v>
      </c>
      <c r="S3592">
        <f t="shared" si="281"/>
        <v>0</v>
      </c>
      <c r="T3592">
        <f t="shared" si="282"/>
        <v>0</v>
      </c>
      <c r="U3592">
        <f t="shared" si="283"/>
        <v>0</v>
      </c>
      <c r="V3592">
        <f t="shared" si="284"/>
        <v>0</v>
      </c>
    </row>
    <row r="3593" spans="1:22" x14ac:dyDescent="0.25">
      <c r="A3593">
        <v>3590</v>
      </c>
      <c r="B3593" t="s">
        <v>26</v>
      </c>
      <c r="C3593" t="s">
        <v>1218</v>
      </c>
      <c r="D3593" s="4">
        <v>45395</v>
      </c>
      <c r="E3593" t="s">
        <v>2439</v>
      </c>
      <c r="F3593" t="s">
        <v>75</v>
      </c>
      <c r="I3593" s="6"/>
      <c r="J3593" s="6"/>
      <c r="K3593" s="6"/>
      <c r="L3593" s="6"/>
      <c r="M3593" s="6"/>
      <c r="N3593" s="6"/>
      <c r="O3593" s="6"/>
      <c r="P3593" s="6"/>
      <c r="Q3593">
        <v>0</v>
      </c>
      <c r="R3593">
        <f t="shared" si="280"/>
        <v>0</v>
      </c>
      <c r="S3593">
        <f t="shared" si="281"/>
        <v>0</v>
      </c>
      <c r="T3593">
        <f t="shared" si="282"/>
        <v>0</v>
      </c>
      <c r="U3593">
        <f t="shared" si="283"/>
        <v>0</v>
      </c>
      <c r="V3593">
        <f t="shared" si="284"/>
        <v>0</v>
      </c>
    </row>
    <row r="3594" spans="1:22" x14ac:dyDescent="0.25">
      <c r="A3594">
        <v>3591</v>
      </c>
      <c r="B3594" t="s">
        <v>26</v>
      </c>
      <c r="C3594" t="s">
        <v>1218</v>
      </c>
      <c r="D3594" s="4">
        <v>45397</v>
      </c>
      <c r="E3594" t="s">
        <v>1068</v>
      </c>
      <c r="F3594" t="s">
        <v>75</v>
      </c>
      <c r="I3594" s="6"/>
      <c r="J3594" s="6"/>
      <c r="K3594" s="6"/>
      <c r="L3594" s="6"/>
      <c r="M3594" s="6"/>
      <c r="N3594" s="6"/>
      <c r="O3594" s="6"/>
      <c r="P3594" s="6"/>
      <c r="Q3594">
        <v>0</v>
      </c>
      <c r="R3594">
        <f t="shared" si="280"/>
        <v>0</v>
      </c>
      <c r="S3594">
        <f t="shared" si="281"/>
        <v>0</v>
      </c>
      <c r="T3594">
        <f t="shared" si="282"/>
        <v>0</v>
      </c>
      <c r="U3594">
        <f t="shared" si="283"/>
        <v>0</v>
      </c>
      <c r="V3594">
        <f t="shared" si="284"/>
        <v>0</v>
      </c>
    </row>
    <row r="3595" spans="1:22" x14ac:dyDescent="0.25">
      <c r="A3595">
        <v>3592</v>
      </c>
      <c r="B3595" t="s">
        <v>26</v>
      </c>
      <c r="C3595" t="s">
        <v>1218</v>
      </c>
      <c r="D3595" s="4">
        <v>45397</v>
      </c>
      <c r="E3595" t="s">
        <v>1069</v>
      </c>
      <c r="F3595" t="s">
        <v>75</v>
      </c>
      <c r="I3595" s="6">
        <v>1</v>
      </c>
      <c r="J3595" s="6">
        <v>0</v>
      </c>
      <c r="K3595" s="6">
        <v>0</v>
      </c>
      <c r="L3595" s="6">
        <v>1</v>
      </c>
      <c r="M3595" s="6">
        <v>0</v>
      </c>
      <c r="N3595" s="6">
        <v>0</v>
      </c>
      <c r="O3595" s="6">
        <v>0</v>
      </c>
      <c r="P3595" s="6">
        <v>0</v>
      </c>
      <c r="Q3595">
        <v>1</v>
      </c>
      <c r="R3595">
        <f t="shared" si="280"/>
        <v>0</v>
      </c>
      <c r="S3595">
        <f t="shared" si="281"/>
        <v>1</v>
      </c>
      <c r="T3595">
        <f t="shared" si="282"/>
        <v>2</v>
      </c>
      <c r="U3595">
        <f t="shared" si="283"/>
        <v>1</v>
      </c>
      <c r="V3595">
        <f t="shared" si="284"/>
        <v>0</v>
      </c>
    </row>
    <row r="3596" spans="1:22" x14ac:dyDescent="0.25">
      <c r="A3596">
        <v>3593</v>
      </c>
      <c r="B3596" t="s">
        <v>26</v>
      </c>
      <c r="C3596" t="s">
        <v>1218</v>
      </c>
      <c r="D3596" s="4">
        <v>45397</v>
      </c>
      <c r="E3596" t="s">
        <v>2033</v>
      </c>
      <c r="F3596" t="s">
        <v>75</v>
      </c>
      <c r="I3596" s="6">
        <v>1</v>
      </c>
      <c r="J3596" s="6">
        <v>0</v>
      </c>
      <c r="K3596" s="6">
        <v>0</v>
      </c>
      <c r="L3596" s="6">
        <v>1</v>
      </c>
      <c r="M3596" s="6">
        <v>0</v>
      </c>
      <c r="N3596" s="6">
        <v>0</v>
      </c>
      <c r="O3596" s="6">
        <v>0</v>
      </c>
      <c r="P3596" s="6">
        <v>0</v>
      </c>
      <c r="Q3596">
        <v>1</v>
      </c>
      <c r="R3596">
        <f t="shared" si="280"/>
        <v>0</v>
      </c>
      <c r="S3596">
        <f t="shared" si="281"/>
        <v>1</v>
      </c>
      <c r="T3596">
        <f t="shared" si="282"/>
        <v>2</v>
      </c>
      <c r="U3596">
        <f t="shared" si="283"/>
        <v>1</v>
      </c>
      <c r="V3596">
        <f t="shared" si="284"/>
        <v>0</v>
      </c>
    </row>
    <row r="3597" spans="1:22" x14ac:dyDescent="0.25">
      <c r="A3597">
        <v>3594</v>
      </c>
      <c r="B3597" t="s">
        <v>26</v>
      </c>
      <c r="C3597" t="s">
        <v>1218</v>
      </c>
      <c r="D3597" s="4">
        <v>45397</v>
      </c>
      <c r="E3597" t="s">
        <v>1805</v>
      </c>
      <c r="F3597" t="s">
        <v>75</v>
      </c>
      <c r="I3597" s="6"/>
      <c r="J3597" s="6"/>
      <c r="K3597" s="6"/>
      <c r="L3597" s="6"/>
      <c r="M3597" s="6"/>
      <c r="N3597" s="6"/>
      <c r="O3597" s="6"/>
      <c r="P3597" s="6"/>
      <c r="Q3597">
        <v>0</v>
      </c>
      <c r="R3597">
        <f t="shared" si="280"/>
        <v>0</v>
      </c>
      <c r="S3597">
        <f t="shared" si="281"/>
        <v>0</v>
      </c>
      <c r="T3597">
        <f t="shared" si="282"/>
        <v>0</v>
      </c>
      <c r="U3597">
        <f t="shared" si="283"/>
        <v>0</v>
      </c>
      <c r="V3597">
        <f t="shared" si="284"/>
        <v>0</v>
      </c>
    </row>
    <row r="3598" spans="1:22" x14ac:dyDescent="0.25">
      <c r="A3598">
        <v>3595</v>
      </c>
      <c r="B3598" t="s">
        <v>26</v>
      </c>
      <c r="C3598" t="s">
        <v>1218</v>
      </c>
      <c r="D3598" s="4">
        <v>45397</v>
      </c>
      <c r="E3598" t="s">
        <v>1371</v>
      </c>
      <c r="F3598" t="s">
        <v>75</v>
      </c>
      <c r="I3598" s="6">
        <v>0</v>
      </c>
      <c r="J3598" s="6">
        <v>0</v>
      </c>
      <c r="K3598" s="6">
        <v>0</v>
      </c>
      <c r="L3598" s="6">
        <v>0</v>
      </c>
      <c r="M3598" s="6">
        <v>0</v>
      </c>
      <c r="N3598" s="6">
        <v>0</v>
      </c>
      <c r="O3598" s="6">
        <v>0</v>
      </c>
      <c r="P3598" s="6">
        <v>0</v>
      </c>
      <c r="Q3598">
        <v>1</v>
      </c>
      <c r="R3598">
        <f t="shared" si="280"/>
        <v>0</v>
      </c>
      <c r="S3598">
        <f t="shared" si="281"/>
        <v>1</v>
      </c>
      <c r="T3598">
        <f t="shared" si="282"/>
        <v>0</v>
      </c>
      <c r="U3598">
        <f t="shared" si="283"/>
        <v>0</v>
      </c>
      <c r="V3598">
        <f t="shared" si="284"/>
        <v>0</v>
      </c>
    </row>
    <row r="3599" spans="1:22" x14ac:dyDescent="0.25">
      <c r="A3599">
        <v>3596</v>
      </c>
      <c r="B3599" t="s">
        <v>26</v>
      </c>
      <c r="C3599" t="s">
        <v>1218</v>
      </c>
      <c r="D3599" s="4">
        <v>45397</v>
      </c>
      <c r="E3599" t="s">
        <v>2156</v>
      </c>
      <c r="F3599" t="s">
        <v>75</v>
      </c>
      <c r="I3599" s="6"/>
      <c r="J3599" s="6"/>
      <c r="K3599" s="6"/>
      <c r="L3599" s="6"/>
      <c r="M3599" s="6"/>
      <c r="N3599" s="6"/>
      <c r="O3599" s="6"/>
      <c r="P3599" s="6"/>
      <c r="Q3599">
        <v>0</v>
      </c>
      <c r="R3599">
        <f t="shared" si="280"/>
        <v>0</v>
      </c>
      <c r="S3599">
        <f t="shared" si="281"/>
        <v>0</v>
      </c>
      <c r="T3599">
        <f t="shared" si="282"/>
        <v>0</v>
      </c>
      <c r="U3599">
        <f t="shared" si="283"/>
        <v>0</v>
      </c>
      <c r="V3599">
        <f t="shared" si="284"/>
        <v>0</v>
      </c>
    </row>
    <row r="3600" spans="1:22" x14ac:dyDescent="0.25">
      <c r="A3600">
        <v>3597</v>
      </c>
      <c r="B3600" t="s">
        <v>26</v>
      </c>
      <c r="C3600" t="s">
        <v>1218</v>
      </c>
      <c r="D3600" s="4">
        <v>45397</v>
      </c>
      <c r="E3600" t="s">
        <v>2438</v>
      </c>
      <c r="F3600" t="s">
        <v>75</v>
      </c>
      <c r="I3600" s="6"/>
      <c r="J3600" s="6"/>
      <c r="K3600" s="6"/>
      <c r="L3600" s="6"/>
      <c r="M3600" s="6"/>
      <c r="N3600" s="6"/>
      <c r="O3600" s="6"/>
      <c r="P3600" s="6"/>
      <c r="Q3600">
        <v>0</v>
      </c>
      <c r="R3600">
        <f t="shared" si="280"/>
        <v>0</v>
      </c>
      <c r="S3600">
        <f t="shared" si="281"/>
        <v>0</v>
      </c>
      <c r="T3600">
        <f t="shared" si="282"/>
        <v>0</v>
      </c>
      <c r="U3600">
        <f t="shared" si="283"/>
        <v>0</v>
      </c>
      <c r="V3600">
        <f t="shared" si="284"/>
        <v>0</v>
      </c>
    </row>
    <row r="3601" spans="1:22" x14ac:dyDescent="0.25">
      <c r="A3601">
        <v>3598</v>
      </c>
      <c r="B3601" t="s">
        <v>26</v>
      </c>
      <c r="C3601" t="s">
        <v>1218</v>
      </c>
      <c r="D3601" s="4">
        <v>45397</v>
      </c>
      <c r="E3601" t="s">
        <v>2437</v>
      </c>
      <c r="F3601" t="s">
        <v>75</v>
      </c>
      <c r="I3601" s="6"/>
      <c r="J3601" s="6"/>
      <c r="K3601" s="6"/>
      <c r="L3601" s="6"/>
      <c r="M3601" s="6"/>
      <c r="N3601" s="6"/>
      <c r="O3601" s="6"/>
      <c r="P3601" s="6"/>
      <c r="Q3601">
        <v>0</v>
      </c>
      <c r="R3601">
        <f t="shared" si="280"/>
        <v>0</v>
      </c>
      <c r="S3601">
        <f t="shared" si="281"/>
        <v>0</v>
      </c>
      <c r="T3601">
        <f t="shared" si="282"/>
        <v>0</v>
      </c>
      <c r="U3601">
        <f t="shared" si="283"/>
        <v>0</v>
      </c>
      <c r="V3601">
        <f t="shared" si="284"/>
        <v>0</v>
      </c>
    </row>
    <row r="3602" spans="1:22" x14ac:dyDescent="0.25">
      <c r="A3602">
        <v>3599</v>
      </c>
      <c r="B3602" t="s">
        <v>26</v>
      </c>
      <c r="C3602" t="s">
        <v>1218</v>
      </c>
      <c r="D3602" s="4">
        <v>45397</v>
      </c>
      <c r="E3602" t="s">
        <v>2436</v>
      </c>
      <c r="F3602" t="s">
        <v>75</v>
      </c>
      <c r="I3602" s="6"/>
      <c r="J3602" s="6"/>
      <c r="K3602" s="6"/>
      <c r="L3602" s="6"/>
      <c r="M3602" s="6"/>
      <c r="N3602" s="6"/>
      <c r="O3602" s="6"/>
      <c r="P3602" s="6"/>
      <c r="Q3602">
        <v>0</v>
      </c>
      <c r="R3602">
        <f t="shared" si="280"/>
        <v>0</v>
      </c>
      <c r="S3602">
        <f t="shared" si="281"/>
        <v>0</v>
      </c>
      <c r="T3602">
        <f t="shared" si="282"/>
        <v>0</v>
      </c>
      <c r="U3602">
        <f t="shared" si="283"/>
        <v>0</v>
      </c>
      <c r="V3602">
        <f t="shared" si="284"/>
        <v>0</v>
      </c>
    </row>
    <row r="3603" spans="1:22" x14ac:dyDescent="0.25">
      <c r="A3603">
        <v>3600</v>
      </c>
      <c r="B3603" t="s">
        <v>26</v>
      </c>
      <c r="C3603" t="s">
        <v>1218</v>
      </c>
      <c r="D3603" s="4">
        <v>45398</v>
      </c>
      <c r="E3603" t="s">
        <v>290</v>
      </c>
      <c r="F3603" t="s">
        <v>75</v>
      </c>
      <c r="I3603" s="6">
        <v>0</v>
      </c>
      <c r="J3603" s="6">
        <v>0</v>
      </c>
      <c r="K3603" s="6">
        <v>1</v>
      </c>
      <c r="L3603" s="6">
        <v>1</v>
      </c>
      <c r="M3603" s="6">
        <v>0</v>
      </c>
      <c r="N3603" s="6">
        <v>0</v>
      </c>
      <c r="O3603" s="6">
        <v>0</v>
      </c>
      <c r="P3603" s="6">
        <v>0</v>
      </c>
      <c r="Q3603">
        <v>1</v>
      </c>
      <c r="R3603">
        <f t="shared" si="280"/>
        <v>0</v>
      </c>
      <c r="S3603">
        <f t="shared" si="281"/>
        <v>1</v>
      </c>
      <c r="T3603">
        <f t="shared" si="282"/>
        <v>2</v>
      </c>
      <c r="U3603">
        <f t="shared" si="283"/>
        <v>1</v>
      </c>
      <c r="V3603">
        <f t="shared" si="284"/>
        <v>0</v>
      </c>
    </row>
    <row r="3604" spans="1:22" x14ac:dyDescent="0.25">
      <c r="A3604">
        <v>3601</v>
      </c>
      <c r="B3604" t="s">
        <v>26</v>
      </c>
      <c r="C3604" t="s">
        <v>1218</v>
      </c>
      <c r="D3604" s="4">
        <v>45398</v>
      </c>
      <c r="E3604" t="s">
        <v>291</v>
      </c>
      <c r="F3604" t="s">
        <v>75</v>
      </c>
      <c r="I3604" s="6"/>
      <c r="J3604" s="6"/>
      <c r="K3604" s="6"/>
      <c r="L3604" s="6"/>
      <c r="M3604" s="6"/>
      <c r="N3604" s="6"/>
      <c r="O3604" s="6"/>
      <c r="P3604" s="6"/>
      <c r="Q3604">
        <v>0</v>
      </c>
      <c r="R3604">
        <f t="shared" si="280"/>
        <v>0</v>
      </c>
      <c r="S3604">
        <f t="shared" si="281"/>
        <v>0</v>
      </c>
      <c r="T3604">
        <f t="shared" si="282"/>
        <v>0</v>
      </c>
      <c r="U3604">
        <f t="shared" si="283"/>
        <v>0</v>
      </c>
      <c r="V3604">
        <f t="shared" si="284"/>
        <v>0</v>
      </c>
    </row>
    <row r="3605" spans="1:22" x14ac:dyDescent="0.25">
      <c r="A3605">
        <v>3602</v>
      </c>
      <c r="B3605" t="s">
        <v>26</v>
      </c>
      <c r="C3605" t="s">
        <v>1218</v>
      </c>
      <c r="D3605" s="4">
        <v>45398</v>
      </c>
      <c r="E3605" t="s">
        <v>292</v>
      </c>
      <c r="F3605" t="s">
        <v>75</v>
      </c>
      <c r="I3605" s="6">
        <v>1</v>
      </c>
      <c r="J3605" s="6">
        <v>0</v>
      </c>
      <c r="K3605" s="6">
        <v>1</v>
      </c>
      <c r="L3605" s="6">
        <v>0</v>
      </c>
      <c r="M3605" s="6">
        <v>0</v>
      </c>
      <c r="N3605" s="6">
        <v>0</v>
      </c>
      <c r="O3605" s="6">
        <v>0</v>
      </c>
      <c r="P3605" s="6">
        <v>0</v>
      </c>
      <c r="Q3605">
        <v>1</v>
      </c>
      <c r="R3605">
        <f t="shared" si="280"/>
        <v>0</v>
      </c>
      <c r="S3605">
        <f t="shared" si="281"/>
        <v>1</v>
      </c>
      <c r="T3605">
        <f t="shared" si="282"/>
        <v>2</v>
      </c>
      <c r="U3605">
        <f t="shared" si="283"/>
        <v>1</v>
      </c>
      <c r="V3605">
        <f t="shared" si="284"/>
        <v>0</v>
      </c>
    </row>
    <row r="3606" spans="1:22" x14ac:dyDescent="0.25">
      <c r="A3606">
        <v>3603</v>
      </c>
      <c r="B3606" t="s">
        <v>26</v>
      </c>
      <c r="C3606" t="s">
        <v>1218</v>
      </c>
      <c r="D3606" s="4">
        <v>45398</v>
      </c>
      <c r="E3606" t="s">
        <v>293</v>
      </c>
      <c r="F3606" t="s">
        <v>75</v>
      </c>
      <c r="I3606" s="6"/>
      <c r="J3606" s="6"/>
      <c r="K3606" s="6"/>
      <c r="L3606" s="6"/>
      <c r="M3606" s="6"/>
      <c r="N3606" s="6"/>
      <c r="O3606" s="6"/>
      <c r="P3606" s="6"/>
      <c r="Q3606">
        <v>0</v>
      </c>
      <c r="R3606">
        <f t="shared" si="280"/>
        <v>0</v>
      </c>
      <c r="S3606">
        <f t="shared" si="281"/>
        <v>0</v>
      </c>
      <c r="T3606">
        <f t="shared" si="282"/>
        <v>0</v>
      </c>
      <c r="U3606">
        <f t="shared" si="283"/>
        <v>0</v>
      </c>
      <c r="V3606">
        <f t="shared" si="284"/>
        <v>0</v>
      </c>
    </row>
    <row r="3607" spans="1:22" x14ac:dyDescent="0.25">
      <c r="A3607">
        <v>3604</v>
      </c>
      <c r="B3607" t="s">
        <v>26</v>
      </c>
      <c r="C3607" t="s">
        <v>1218</v>
      </c>
      <c r="D3607" s="4">
        <v>45398</v>
      </c>
      <c r="E3607" t="s">
        <v>2155</v>
      </c>
      <c r="F3607" t="s">
        <v>75</v>
      </c>
      <c r="I3607" s="6"/>
      <c r="J3607" s="6"/>
      <c r="K3607" s="6"/>
      <c r="L3607" s="6"/>
      <c r="M3607" s="6"/>
      <c r="N3607" s="6"/>
      <c r="O3607" s="6"/>
      <c r="P3607" s="6"/>
      <c r="Q3607">
        <v>0</v>
      </c>
      <c r="R3607">
        <f t="shared" si="280"/>
        <v>0</v>
      </c>
      <c r="S3607">
        <f t="shared" si="281"/>
        <v>0</v>
      </c>
      <c r="T3607">
        <f t="shared" si="282"/>
        <v>0</v>
      </c>
      <c r="U3607">
        <f t="shared" si="283"/>
        <v>0</v>
      </c>
      <c r="V3607">
        <f t="shared" si="284"/>
        <v>0</v>
      </c>
    </row>
    <row r="3608" spans="1:22" x14ac:dyDescent="0.25">
      <c r="A3608">
        <v>3605</v>
      </c>
      <c r="B3608" t="s">
        <v>26</v>
      </c>
      <c r="C3608" t="s">
        <v>1218</v>
      </c>
      <c r="D3608" s="4">
        <v>45398</v>
      </c>
      <c r="E3608" t="s">
        <v>2154</v>
      </c>
      <c r="F3608" t="s">
        <v>75</v>
      </c>
      <c r="I3608" s="6"/>
      <c r="J3608" s="6"/>
      <c r="K3608" s="6"/>
      <c r="L3608" s="6"/>
      <c r="M3608" s="6"/>
      <c r="N3608" s="6"/>
      <c r="O3608" s="6"/>
      <c r="P3608" s="6"/>
      <c r="Q3608">
        <v>0</v>
      </c>
      <c r="R3608">
        <f t="shared" si="280"/>
        <v>0</v>
      </c>
      <c r="S3608">
        <f t="shared" si="281"/>
        <v>0</v>
      </c>
      <c r="T3608">
        <f t="shared" si="282"/>
        <v>0</v>
      </c>
      <c r="U3608">
        <f t="shared" si="283"/>
        <v>0</v>
      </c>
      <c r="V3608">
        <f t="shared" si="284"/>
        <v>0</v>
      </c>
    </row>
    <row r="3609" spans="1:22" x14ac:dyDescent="0.25">
      <c r="A3609">
        <v>3606</v>
      </c>
      <c r="B3609" t="s">
        <v>26</v>
      </c>
      <c r="C3609" t="s">
        <v>1218</v>
      </c>
      <c r="D3609" s="4">
        <v>45398</v>
      </c>
      <c r="E3609" t="s">
        <v>2435</v>
      </c>
      <c r="F3609" t="s">
        <v>75</v>
      </c>
      <c r="I3609" s="6"/>
      <c r="J3609" s="6"/>
      <c r="K3609" s="6"/>
      <c r="L3609" s="6"/>
      <c r="M3609" s="6"/>
      <c r="N3609" s="6"/>
      <c r="O3609" s="6"/>
      <c r="P3609" s="6"/>
      <c r="Q3609">
        <v>0</v>
      </c>
      <c r="R3609">
        <f t="shared" si="280"/>
        <v>0</v>
      </c>
      <c r="S3609">
        <f t="shared" si="281"/>
        <v>0</v>
      </c>
      <c r="T3609">
        <f t="shared" si="282"/>
        <v>0</v>
      </c>
      <c r="U3609">
        <f t="shared" si="283"/>
        <v>0</v>
      </c>
      <c r="V3609">
        <f t="shared" si="284"/>
        <v>0</v>
      </c>
    </row>
    <row r="3610" spans="1:22" x14ac:dyDescent="0.25">
      <c r="A3610">
        <v>3607</v>
      </c>
      <c r="B3610" t="s">
        <v>26</v>
      </c>
      <c r="C3610" t="s">
        <v>1218</v>
      </c>
      <c r="D3610" s="4">
        <v>45398</v>
      </c>
      <c r="E3610" t="s">
        <v>2434</v>
      </c>
      <c r="F3610" t="s">
        <v>75</v>
      </c>
      <c r="I3610" s="6"/>
      <c r="J3610" s="6"/>
      <c r="K3610" s="6"/>
      <c r="L3610" s="6"/>
      <c r="M3610" s="6"/>
      <c r="N3610" s="6"/>
      <c r="O3610" s="6"/>
      <c r="P3610" s="6"/>
      <c r="Q3610">
        <v>0</v>
      </c>
      <c r="R3610">
        <f t="shared" si="280"/>
        <v>0</v>
      </c>
      <c r="S3610">
        <f t="shared" si="281"/>
        <v>0</v>
      </c>
      <c r="T3610">
        <f t="shared" si="282"/>
        <v>0</v>
      </c>
      <c r="U3610">
        <f t="shared" si="283"/>
        <v>0</v>
      </c>
      <c r="V3610">
        <f t="shared" si="284"/>
        <v>0</v>
      </c>
    </row>
    <row r="3611" spans="1:22" x14ac:dyDescent="0.25">
      <c r="A3611">
        <v>3608</v>
      </c>
      <c r="B3611" t="s">
        <v>26</v>
      </c>
      <c r="C3611" t="s">
        <v>1218</v>
      </c>
      <c r="D3611" s="4">
        <v>45398</v>
      </c>
      <c r="E3611" t="s">
        <v>2433</v>
      </c>
      <c r="F3611" t="s">
        <v>75</v>
      </c>
      <c r="I3611" s="6"/>
      <c r="J3611" s="6"/>
      <c r="K3611" s="6"/>
      <c r="L3611" s="6"/>
      <c r="M3611" s="6"/>
      <c r="N3611" s="6"/>
      <c r="O3611" s="6"/>
      <c r="P3611" s="6"/>
      <c r="Q3611">
        <v>0</v>
      </c>
      <c r="R3611">
        <f t="shared" si="280"/>
        <v>0</v>
      </c>
      <c r="S3611">
        <f t="shared" si="281"/>
        <v>0</v>
      </c>
      <c r="T3611">
        <f t="shared" si="282"/>
        <v>0</v>
      </c>
      <c r="U3611">
        <f t="shared" si="283"/>
        <v>0</v>
      </c>
      <c r="V3611">
        <f t="shared" si="284"/>
        <v>0</v>
      </c>
    </row>
    <row r="3612" spans="1:22" x14ac:dyDescent="0.25">
      <c r="A3612">
        <v>3609</v>
      </c>
      <c r="B3612" t="s">
        <v>26</v>
      </c>
      <c r="C3612" t="s">
        <v>1218</v>
      </c>
      <c r="D3612" s="4">
        <v>45399</v>
      </c>
      <c r="E3612" t="s">
        <v>294</v>
      </c>
      <c r="F3612" t="s">
        <v>75</v>
      </c>
      <c r="I3612" s="6">
        <v>0</v>
      </c>
      <c r="J3612" s="6">
        <v>0</v>
      </c>
      <c r="K3612" s="6">
        <v>0</v>
      </c>
      <c r="L3612" s="6">
        <v>0</v>
      </c>
      <c r="M3612" s="6">
        <v>0</v>
      </c>
      <c r="N3612" s="6">
        <v>1</v>
      </c>
      <c r="O3612" s="6">
        <v>0</v>
      </c>
      <c r="P3612" s="6">
        <v>0</v>
      </c>
      <c r="Q3612">
        <v>1</v>
      </c>
      <c r="R3612">
        <f t="shared" si="280"/>
        <v>0</v>
      </c>
      <c r="S3612">
        <f t="shared" si="281"/>
        <v>1</v>
      </c>
      <c r="T3612">
        <f t="shared" si="282"/>
        <v>1</v>
      </c>
      <c r="U3612">
        <f t="shared" si="283"/>
        <v>1</v>
      </c>
      <c r="V3612">
        <f t="shared" si="284"/>
        <v>0</v>
      </c>
    </row>
    <row r="3613" spans="1:22" x14ac:dyDescent="0.25">
      <c r="A3613">
        <v>3610</v>
      </c>
      <c r="B3613" t="s">
        <v>26</v>
      </c>
      <c r="C3613" t="s">
        <v>1218</v>
      </c>
      <c r="D3613" s="4">
        <v>45399</v>
      </c>
      <c r="E3613" t="s">
        <v>295</v>
      </c>
      <c r="F3613" t="s">
        <v>75</v>
      </c>
      <c r="I3613" s="6"/>
      <c r="J3613" s="6"/>
      <c r="K3613" s="6"/>
      <c r="L3613" s="6"/>
      <c r="M3613" s="6"/>
      <c r="N3613" s="6"/>
      <c r="O3613" s="6"/>
      <c r="P3613" s="6"/>
      <c r="Q3613">
        <v>0</v>
      </c>
      <c r="R3613">
        <f t="shared" si="280"/>
        <v>0</v>
      </c>
      <c r="S3613">
        <f t="shared" si="281"/>
        <v>0</v>
      </c>
      <c r="T3613">
        <f t="shared" si="282"/>
        <v>0</v>
      </c>
      <c r="U3613">
        <f t="shared" si="283"/>
        <v>0</v>
      </c>
      <c r="V3613">
        <f t="shared" si="284"/>
        <v>0</v>
      </c>
    </row>
    <row r="3614" spans="1:22" x14ac:dyDescent="0.25">
      <c r="A3614">
        <v>3611</v>
      </c>
      <c r="B3614" t="s">
        <v>26</v>
      </c>
      <c r="C3614" t="s">
        <v>1218</v>
      </c>
      <c r="D3614" s="4">
        <v>45399</v>
      </c>
      <c r="E3614" t="s">
        <v>1806</v>
      </c>
      <c r="F3614" t="s">
        <v>75</v>
      </c>
      <c r="I3614" s="6">
        <v>0</v>
      </c>
      <c r="J3614" s="6">
        <v>0</v>
      </c>
      <c r="K3614" s="6">
        <v>1</v>
      </c>
      <c r="L3614" s="6">
        <v>0</v>
      </c>
      <c r="M3614" s="6">
        <v>1</v>
      </c>
      <c r="N3614" s="6">
        <v>0</v>
      </c>
      <c r="O3614" s="6">
        <v>0</v>
      </c>
      <c r="P3614" s="6">
        <v>0</v>
      </c>
      <c r="Q3614">
        <v>1</v>
      </c>
      <c r="R3614">
        <f t="shared" si="280"/>
        <v>0</v>
      </c>
      <c r="S3614">
        <f t="shared" si="281"/>
        <v>1</v>
      </c>
      <c r="T3614">
        <f t="shared" si="282"/>
        <v>2</v>
      </c>
      <c r="U3614">
        <f t="shared" si="283"/>
        <v>1</v>
      </c>
      <c r="V3614">
        <f t="shared" si="284"/>
        <v>0</v>
      </c>
    </row>
    <row r="3615" spans="1:22" x14ac:dyDescent="0.25">
      <c r="A3615">
        <v>3612</v>
      </c>
      <c r="B3615" t="s">
        <v>26</v>
      </c>
      <c r="C3615" t="s">
        <v>1218</v>
      </c>
      <c r="D3615" s="4">
        <v>45399</v>
      </c>
      <c r="E3615" t="s">
        <v>1807</v>
      </c>
      <c r="F3615" t="s">
        <v>75</v>
      </c>
      <c r="I3615" s="6"/>
      <c r="J3615" s="6"/>
      <c r="K3615" s="6"/>
      <c r="L3615" s="6"/>
      <c r="M3615" s="6"/>
      <c r="N3615" s="6"/>
      <c r="O3615" s="6"/>
      <c r="P3615" s="6"/>
      <c r="Q3615">
        <v>0</v>
      </c>
      <c r="R3615">
        <f t="shared" si="280"/>
        <v>0</v>
      </c>
      <c r="S3615">
        <f t="shared" si="281"/>
        <v>0</v>
      </c>
      <c r="T3615">
        <f t="shared" si="282"/>
        <v>0</v>
      </c>
      <c r="U3615">
        <f t="shared" si="283"/>
        <v>0</v>
      </c>
      <c r="V3615">
        <f t="shared" si="284"/>
        <v>0</v>
      </c>
    </row>
    <row r="3616" spans="1:22" x14ac:dyDescent="0.25">
      <c r="A3616">
        <v>3613</v>
      </c>
      <c r="B3616" t="s">
        <v>26</v>
      </c>
      <c r="C3616" t="s">
        <v>1218</v>
      </c>
      <c r="D3616" s="4">
        <v>45399</v>
      </c>
      <c r="E3616" t="s">
        <v>1549</v>
      </c>
      <c r="F3616" t="s">
        <v>75</v>
      </c>
      <c r="I3616" s="6"/>
      <c r="J3616" s="6"/>
      <c r="K3616" s="6"/>
      <c r="L3616" s="6"/>
      <c r="M3616" s="6"/>
      <c r="N3616" s="6"/>
      <c r="O3616" s="6"/>
      <c r="P3616" s="6"/>
      <c r="Q3616">
        <v>0</v>
      </c>
      <c r="R3616">
        <f t="shared" si="280"/>
        <v>0</v>
      </c>
      <c r="S3616">
        <f t="shared" si="281"/>
        <v>0</v>
      </c>
      <c r="T3616">
        <f t="shared" si="282"/>
        <v>0</v>
      </c>
      <c r="U3616">
        <f t="shared" si="283"/>
        <v>0</v>
      </c>
      <c r="V3616">
        <f t="shared" si="284"/>
        <v>0</v>
      </c>
    </row>
    <row r="3617" spans="1:22" x14ac:dyDescent="0.25">
      <c r="A3617">
        <v>3614</v>
      </c>
      <c r="B3617" t="s">
        <v>26</v>
      </c>
      <c r="C3617" t="s">
        <v>1218</v>
      </c>
      <c r="D3617" s="4">
        <v>45399</v>
      </c>
      <c r="E3617" t="s">
        <v>1372</v>
      </c>
      <c r="F3617" t="s">
        <v>710</v>
      </c>
      <c r="G3617">
        <v>169</v>
      </c>
      <c r="H3617" t="s">
        <v>1373</v>
      </c>
      <c r="I3617" s="6">
        <v>0</v>
      </c>
      <c r="J3617" s="6">
        <v>0</v>
      </c>
      <c r="K3617" s="6">
        <v>0</v>
      </c>
      <c r="L3617" s="6">
        <v>1</v>
      </c>
      <c r="M3617" s="6">
        <v>0</v>
      </c>
      <c r="N3617" s="6">
        <v>1</v>
      </c>
      <c r="O3617" s="6">
        <v>0</v>
      </c>
      <c r="P3617" s="6">
        <v>0</v>
      </c>
      <c r="Q3617">
        <v>1</v>
      </c>
      <c r="R3617">
        <f t="shared" si="280"/>
        <v>0</v>
      </c>
      <c r="S3617">
        <f t="shared" si="281"/>
        <v>0</v>
      </c>
      <c r="T3617">
        <f t="shared" si="282"/>
        <v>2</v>
      </c>
      <c r="U3617">
        <f t="shared" si="283"/>
        <v>1</v>
      </c>
      <c r="V3617">
        <f t="shared" si="284"/>
        <v>0</v>
      </c>
    </row>
    <row r="3618" spans="1:22" x14ac:dyDescent="0.25">
      <c r="A3618">
        <v>3615</v>
      </c>
      <c r="B3618" t="s">
        <v>26</v>
      </c>
      <c r="C3618" t="s">
        <v>1218</v>
      </c>
      <c r="D3618" s="4">
        <v>45399</v>
      </c>
      <c r="E3618" t="s">
        <v>1374</v>
      </c>
      <c r="F3618" t="s">
        <v>75</v>
      </c>
      <c r="I3618" s="6">
        <v>0</v>
      </c>
      <c r="J3618" s="6">
        <v>0</v>
      </c>
      <c r="K3618" s="6">
        <v>0</v>
      </c>
      <c r="L3618" s="6">
        <v>0</v>
      </c>
      <c r="M3618" s="6">
        <v>0</v>
      </c>
      <c r="N3618" s="6">
        <v>0</v>
      </c>
      <c r="O3618" s="6">
        <v>0</v>
      </c>
      <c r="P3618" s="6">
        <v>0</v>
      </c>
      <c r="Q3618">
        <v>1</v>
      </c>
      <c r="R3618">
        <f t="shared" si="280"/>
        <v>0</v>
      </c>
      <c r="S3618">
        <f t="shared" si="281"/>
        <v>1</v>
      </c>
      <c r="T3618">
        <f t="shared" si="282"/>
        <v>0</v>
      </c>
      <c r="U3618">
        <f t="shared" si="283"/>
        <v>0</v>
      </c>
      <c r="V3618">
        <f t="shared" si="284"/>
        <v>0</v>
      </c>
    </row>
    <row r="3619" spans="1:22" x14ac:dyDescent="0.25">
      <c r="A3619">
        <v>3616</v>
      </c>
      <c r="B3619" t="s">
        <v>26</v>
      </c>
      <c r="C3619" t="s">
        <v>1218</v>
      </c>
      <c r="D3619" s="4">
        <v>45399</v>
      </c>
      <c r="E3619" t="s">
        <v>2432</v>
      </c>
      <c r="F3619" t="s">
        <v>75</v>
      </c>
      <c r="I3619" s="6"/>
      <c r="J3619" s="6"/>
      <c r="K3619" s="6"/>
      <c r="L3619" s="6"/>
      <c r="M3619" s="6"/>
      <c r="N3619" s="6"/>
      <c r="O3619" s="6"/>
      <c r="P3619" s="6"/>
      <c r="Q3619">
        <v>0</v>
      </c>
      <c r="R3619">
        <f t="shared" si="280"/>
        <v>0</v>
      </c>
      <c r="S3619">
        <f t="shared" si="281"/>
        <v>0</v>
      </c>
      <c r="T3619">
        <f t="shared" si="282"/>
        <v>0</v>
      </c>
      <c r="U3619">
        <f t="shared" si="283"/>
        <v>0</v>
      </c>
      <c r="V3619">
        <f t="shared" si="284"/>
        <v>0</v>
      </c>
    </row>
    <row r="3620" spans="1:22" x14ac:dyDescent="0.25">
      <c r="A3620">
        <v>3617</v>
      </c>
      <c r="B3620" t="s">
        <v>26</v>
      </c>
      <c r="C3620" t="s">
        <v>1218</v>
      </c>
      <c r="D3620" s="4">
        <v>45400</v>
      </c>
      <c r="E3620" t="s">
        <v>876</v>
      </c>
      <c r="F3620" t="s">
        <v>75</v>
      </c>
      <c r="I3620" s="6"/>
      <c r="J3620" s="6"/>
      <c r="K3620" s="6"/>
      <c r="L3620" s="6"/>
      <c r="M3620" s="6"/>
      <c r="N3620" s="6"/>
      <c r="O3620" s="6"/>
      <c r="P3620" s="6"/>
      <c r="Q3620">
        <v>0</v>
      </c>
      <c r="R3620">
        <f t="shared" si="280"/>
        <v>0</v>
      </c>
      <c r="S3620">
        <f t="shared" si="281"/>
        <v>0</v>
      </c>
      <c r="T3620">
        <f t="shared" si="282"/>
        <v>0</v>
      </c>
      <c r="U3620">
        <f t="shared" si="283"/>
        <v>0</v>
      </c>
      <c r="V3620">
        <f t="shared" si="284"/>
        <v>0</v>
      </c>
    </row>
    <row r="3621" spans="1:22" x14ac:dyDescent="0.25">
      <c r="A3621">
        <v>3618</v>
      </c>
      <c r="B3621" t="s">
        <v>26</v>
      </c>
      <c r="C3621" t="s">
        <v>1218</v>
      </c>
      <c r="D3621" s="4">
        <v>45400</v>
      </c>
      <c r="E3621" t="s">
        <v>296</v>
      </c>
      <c r="F3621" t="s">
        <v>75</v>
      </c>
      <c r="I3621" s="6"/>
      <c r="J3621" s="6"/>
      <c r="K3621" s="6"/>
      <c r="L3621" s="6"/>
      <c r="M3621" s="6"/>
      <c r="N3621" s="6"/>
      <c r="O3621" s="6"/>
      <c r="P3621" s="6"/>
      <c r="Q3621">
        <v>0</v>
      </c>
      <c r="R3621">
        <f t="shared" si="280"/>
        <v>0</v>
      </c>
      <c r="S3621">
        <f t="shared" si="281"/>
        <v>0</v>
      </c>
      <c r="T3621">
        <f t="shared" si="282"/>
        <v>0</v>
      </c>
      <c r="U3621">
        <f t="shared" si="283"/>
        <v>0</v>
      </c>
      <c r="V3621">
        <f t="shared" si="284"/>
        <v>0</v>
      </c>
    </row>
    <row r="3622" spans="1:22" x14ac:dyDescent="0.25">
      <c r="A3622">
        <v>3619</v>
      </c>
      <c r="B3622" t="s">
        <v>26</v>
      </c>
      <c r="C3622" t="s">
        <v>1218</v>
      </c>
      <c r="D3622" s="4">
        <v>45400</v>
      </c>
      <c r="E3622" t="s">
        <v>297</v>
      </c>
      <c r="F3622" t="s">
        <v>75</v>
      </c>
      <c r="I3622" s="6"/>
      <c r="J3622" s="6"/>
      <c r="K3622" s="6"/>
      <c r="L3622" s="6"/>
      <c r="M3622" s="6"/>
      <c r="N3622" s="6"/>
      <c r="O3622" s="6"/>
      <c r="P3622" s="6"/>
      <c r="Q3622">
        <v>0</v>
      </c>
      <c r="R3622">
        <f t="shared" si="280"/>
        <v>0</v>
      </c>
      <c r="S3622">
        <f t="shared" si="281"/>
        <v>0</v>
      </c>
      <c r="T3622">
        <f t="shared" si="282"/>
        <v>0</v>
      </c>
      <c r="U3622">
        <f t="shared" si="283"/>
        <v>0</v>
      </c>
      <c r="V3622">
        <f t="shared" si="284"/>
        <v>0</v>
      </c>
    </row>
    <row r="3623" spans="1:22" x14ac:dyDescent="0.25">
      <c r="A3623">
        <v>3620</v>
      </c>
      <c r="B3623" t="s">
        <v>26</v>
      </c>
      <c r="C3623" t="s">
        <v>1218</v>
      </c>
      <c r="D3623" s="4">
        <v>45400</v>
      </c>
      <c r="E3623" t="s">
        <v>1070</v>
      </c>
      <c r="F3623" t="s">
        <v>75</v>
      </c>
      <c r="I3623" s="6"/>
      <c r="J3623" s="6"/>
      <c r="K3623" s="6"/>
      <c r="L3623" s="6"/>
      <c r="M3623" s="6"/>
      <c r="N3623" s="6"/>
      <c r="O3623" s="6"/>
      <c r="P3623" s="6"/>
      <c r="Q3623">
        <v>0</v>
      </c>
      <c r="R3623">
        <f t="shared" si="280"/>
        <v>0</v>
      </c>
      <c r="S3623">
        <f t="shared" si="281"/>
        <v>0</v>
      </c>
      <c r="T3623">
        <f t="shared" si="282"/>
        <v>0</v>
      </c>
      <c r="U3623">
        <f t="shared" si="283"/>
        <v>0</v>
      </c>
      <c r="V3623">
        <f t="shared" si="284"/>
        <v>0</v>
      </c>
    </row>
    <row r="3624" spans="1:22" x14ac:dyDescent="0.25">
      <c r="A3624">
        <v>3621</v>
      </c>
      <c r="B3624" t="s">
        <v>26</v>
      </c>
      <c r="C3624" t="s">
        <v>1218</v>
      </c>
      <c r="D3624" s="4">
        <v>45400</v>
      </c>
      <c r="E3624" t="s">
        <v>1550</v>
      </c>
      <c r="F3624" t="s">
        <v>75</v>
      </c>
      <c r="I3624" s="6"/>
      <c r="J3624" s="6"/>
      <c r="K3624" s="6"/>
      <c r="L3624" s="6"/>
      <c r="M3624" s="6"/>
      <c r="N3624" s="6"/>
      <c r="O3624" s="6"/>
      <c r="P3624" s="6"/>
      <c r="Q3624">
        <v>0</v>
      </c>
      <c r="R3624">
        <f t="shared" si="280"/>
        <v>0</v>
      </c>
      <c r="S3624">
        <f t="shared" si="281"/>
        <v>0</v>
      </c>
      <c r="T3624">
        <f t="shared" si="282"/>
        <v>0</v>
      </c>
      <c r="U3624">
        <f t="shared" si="283"/>
        <v>0</v>
      </c>
      <c r="V3624">
        <f t="shared" si="284"/>
        <v>0</v>
      </c>
    </row>
    <row r="3625" spans="1:22" x14ac:dyDescent="0.25">
      <c r="A3625">
        <v>3622</v>
      </c>
      <c r="B3625" t="s">
        <v>26</v>
      </c>
      <c r="C3625" t="s">
        <v>1218</v>
      </c>
      <c r="D3625" s="4">
        <v>45400</v>
      </c>
      <c r="E3625" t="s">
        <v>2153</v>
      </c>
      <c r="F3625" t="s">
        <v>75</v>
      </c>
      <c r="I3625" s="6"/>
      <c r="J3625" s="6"/>
      <c r="K3625" s="6"/>
      <c r="L3625" s="6"/>
      <c r="M3625" s="6"/>
      <c r="N3625" s="6"/>
      <c r="O3625" s="6"/>
      <c r="P3625" s="6"/>
      <c r="Q3625">
        <v>0</v>
      </c>
      <c r="R3625">
        <f t="shared" si="280"/>
        <v>0</v>
      </c>
      <c r="S3625">
        <f t="shared" si="281"/>
        <v>0</v>
      </c>
      <c r="T3625">
        <f t="shared" si="282"/>
        <v>0</v>
      </c>
      <c r="U3625">
        <f t="shared" si="283"/>
        <v>0</v>
      </c>
      <c r="V3625">
        <f t="shared" si="284"/>
        <v>0</v>
      </c>
    </row>
    <row r="3626" spans="1:22" x14ac:dyDescent="0.25">
      <c r="A3626">
        <v>3623</v>
      </c>
      <c r="B3626" t="s">
        <v>26</v>
      </c>
      <c r="C3626" t="s">
        <v>1218</v>
      </c>
      <c r="D3626" s="4">
        <v>45400</v>
      </c>
      <c r="E3626" t="s">
        <v>1478</v>
      </c>
      <c r="F3626" t="s">
        <v>75</v>
      </c>
      <c r="I3626" s="6"/>
      <c r="J3626" s="6"/>
      <c r="K3626" s="6"/>
      <c r="L3626" s="6"/>
      <c r="M3626" s="6"/>
      <c r="N3626" s="6"/>
      <c r="O3626" s="6"/>
      <c r="P3626" s="6"/>
      <c r="Q3626">
        <v>0</v>
      </c>
      <c r="R3626">
        <f t="shared" si="280"/>
        <v>0</v>
      </c>
      <c r="S3626">
        <f t="shared" si="281"/>
        <v>0</v>
      </c>
      <c r="T3626">
        <f t="shared" si="282"/>
        <v>0</v>
      </c>
      <c r="U3626">
        <f t="shared" si="283"/>
        <v>0</v>
      </c>
      <c r="V3626">
        <f t="shared" si="284"/>
        <v>0</v>
      </c>
    </row>
    <row r="3627" spans="1:22" x14ac:dyDescent="0.25">
      <c r="A3627">
        <v>3624</v>
      </c>
      <c r="B3627" t="s">
        <v>26</v>
      </c>
      <c r="C3627" t="s">
        <v>1218</v>
      </c>
      <c r="D3627" s="4">
        <v>45400</v>
      </c>
      <c r="E3627" t="s">
        <v>2431</v>
      </c>
      <c r="F3627" t="s">
        <v>75</v>
      </c>
      <c r="I3627" s="6"/>
      <c r="J3627" s="6"/>
      <c r="K3627" s="6"/>
      <c r="L3627" s="6"/>
      <c r="M3627" s="6"/>
      <c r="N3627" s="6"/>
      <c r="O3627" s="6"/>
      <c r="P3627" s="6"/>
      <c r="Q3627">
        <v>0</v>
      </c>
      <c r="R3627">
        <f t="shared" si="280"/>
        <v>0</v>
      </c>
      <c r="S3627">
        <f t="shared" si="281"/>
        <v>0</v>
      </c>
      <c r="T3627">
        <f t="shared" si="282"/>
        <v>0</v>
      </c>
      <c r="U3627">
        <f t="shared" si="283"/>
        <v>0</v>
      </c>
      <c r="V3627">
        <f t="shared" si="284"/>
        <v>0</v>
      </c>
    </row>
    <row r="3628" spans="1:22" x14ac:dyDescent="0.25">
      <c r="A3628">
        <v>3625</v>
      </c>
      <c r="B3628" t="s">
        <v>26</v>
      </c>
      <c r="C3628" t="s">
        <v>1218</v>
      </c>
      <c r="D3628" s="4">
        <v>45400</v>
      </c>
      <c r="E3628" t="s">
        <v>1375</v>
      </c>
      <c r="F3628" t="s">
        <v>710</v>
      </c>
      <c r="G3628">
        <v>170</v>
      </c>
      <c r="I3628" s="6">
        <v>0</v>
      </c>
      <c r="J3628" s="6">
        <v>0</v>
      </c>
      <c r="K3628" s="6">
        <v>0</v>
      </c>
      <c r="L3628" s="6">
        <v>0</v>
      </c>
      <c r="M3628" s="6">
        <v>0</v>
      </c>
      <c r="N3628" s="6">
        <v>0</v>
      </c>
      <c r="O3628" s="6">
        <v>0</v>
      </c>
      <c r="P3628" s="6">
        <v>0</v>
      </c>
      <c r="Q3628">
        <v>1</v>
      </c>
      <c r="R3628">
        <f t="shared" si="280"/>
        <v>0</v>
      </c>
      <c r="S3628">
        <f t="shared" si="281"/>
        <v>0</v>
      </c>
      <c r="T3628">
        <f t="shared" si="282"/>
        <v>0</v>
      </c>
      <c r="U3628">
        <f t="shared" si="283"/>
        <v>0</v>
      </c>
      <c r="V3628">
        <f t="shared" si="284"/>
        <v>0</v>
      </c>
    </row>
    <row r="3629" spans="1:22" x14ac:dyDescent="0.25">
      <c r="A3629">
        <v>3626</v>
      </c>
      <c r="B3629" t="s">
        <v>26</v>
      </c>
      <c r="C3629" t="s">
        <v>1218</v>
      </c>
      <c r="D3629" s="4">
        <v>45401</v>
      </c>
      <c r="E3629" t="s">
        <v>298</v>
      </c>
      <c r="F3629" t="s">
        <v>75</v>
      </c>
      <c r="I3629" s="6"/>
      <c r="J3629" s="6"/>
      <c r="K3629" s="6"/>
      <c r="L3629" s="6"/>
      <c r="M3629" s="6"/>
      <c r="N3629" s="6"/>
      <c r="O3629" s="6"/>
      <c r="P3629" s="6"/>
      <c r="Q3629">
        <v>0</v>
      </c>
      <c r="R3629">
        <f t="shared" si="280"/>
        <v>0</v>
      </c>
      <c r="S3629">
        <f t="shared" si="281"/>
        <v>0</v>
      </c>
      <c r="T3629">
        <f t="shared" si="282"/>
        <v>0</v>
      </c>
      <c r="U3629">
        <f t="shared" si="283"/>
        <v>0</v>
      </c>
      <c r="V3629">
        <f t="shared" si="284"/>
        <v>0</v>
      </c>
    </row>
    <row r="3630" spans="1:22" x14ac:dyDescent="0.25">
      <c r="A3630">
        <v>3627</v>
      </c>
      <c r="B3630" t="s">
        <v>26</v>
      </c>
      <c r="C3630" t="s">
        <v>1218</v>
      </c>
      <c r="D3630" s="4">
        <v>45401</v>
      </c>
      <c r="E3630" t="s">
        <v>2430</v>
      </c>
      <c r="F3630" t="s">
        <v>75</v>
      </c>
      <c r="I3630" s="6"/>
      <c r="J3630" s="6"/>
      <c r="K3630" s="6"/>
      <c r="L3630" s="6"/>
      <c r="M3630" s="6"/>
      <c r="N3630" s="6"/>
      <c r="O3630" s="6"/>
      <c r="P3630" s="6"/>
      <c r="Q3630">
        <v>0</v>
      </c>
      <c r="R3630">
        <f t="shared" si="280"/>
        <v>0</v>
      </c>
      <c r="S3630">
        <f t="shared" si="281"/>
        <v>0</v>
      </c>
      <c r="T3630">
        <f t="shared" si="282"/>
        <v>0</v>
      </c>
      <c r="U3630">
        <f t="shared" si="283"/>
        <v>0</v>
      </c>
      <c r="V3630">
        <f t="shared" si="284"/>
        <v>0</v>
      </c>
    </row>
    <row r="3631" spans="1:22" x14ac:dyDescent="0.25">
      <c r="A3631">
        <v>3628</v>
      </c>
      <c r="B3631" t="s">
        <v>26</v>
      </c>
      <c r="C3631" t="s">
        <v>1218</v>
      </c>
      <c r="D3631" s="4">
        <v>45401</v>
      </c>
      <c r="E3631" t="s">
        <v>459</v>
      </c>
      <c r="F3631" t="s">
        <v>75</v>
      </c>
      <c r="I3631" s="6"/>
      <c r="J3631" s="6"/>
      <c r="K3631" s="6"/>
      <c r="L3631" s="6"/>
      <c r="M3631" s="6"/>
      <c r="N3631" s="6"/>
      <c r="O3631" s="6"/>
      <c r="P3631" s="6"/>
      <c r="Q3631">
        <v>0</v>
      </c>
      <c r="R3631">
        <f t="shared" si="280"/>
        <v>0</v>
      </c>
      <c r="S3631">
        <f t="shared" si="281"/>
        <v>0</v>
      </c>
      <c r="T3631">
        <f t="shared" si="282"/>
        <v>0</v>
      </c>
      <c r="U3631">
        <f t="shared" si="283"/>
        <v>0</v>
      </c>
      <c r="V3631">
        <f t="shared" si="284"/>
        <v>0</v>
      </c>
    </row>
    <row r="3632" spans="1:22" x14ac:dyDescent="0.25">
      <c r="A3632">
        <v>3629</v>
      </c>
      <c r="B3632" t="s">
        <v>26</v>
      </c>
      <c r="C3632" t="s">
        <v>1218</v>
      </c>
      <c r="D3632" s="4">
        <v>45401</v>
      </c>
      <c r="E3632" t="s">
        <v>877</v>
      </c>
      <c r="F3632" t="s">
        <v>75</v>
      </c>
      <c r="I3632" s="6">
        <v>0</v>
      </c>
      <c r="J3632" s="6">
        <v>0</v>
      </c>
      <c r="K3632" s="6">
        <v>0</v>
      </c>
      <c r="L3632" s="6">
        <v>1</v>
      </c>
      <c r="M3632" s="6">
        <v>0</v>
      </c>
      <c r="N3632" s="6">
        <v>1</v>
      </c>
      <c r="O3632" s="6">
        <v>0</v>
      </c>
      <c r="P3632" s="6">
        <v>0</v>
      </c>
      <c r="Q3632">
        <v>1</v>
      </c>
      <c r="R3632">
        <f t="shared" si="280"/>
        <v>0</v>
      </c>
      <c r="S3632">
        <f t="shared" si="281"/>
        <v>1</v>
      </c>
      <c r="T3632">
        <f t="shared" si="282"/>
        <v>2</v>
      </c>
      <c r="U3632">
        <f t="shared" si="283"/>
        <v>1</v>
      </c>
      <c r="V3632">
        <f t="shared" si="284"/>
        <v>0</v>
      </c>
    </row>
    <row r="3633" spans="1:22" x14ac:dyDescent="0.25">
      <c r="A3633">
        <v>3630</v>
      </c>
      <c r="B3633" t="s">
        <v>26</v>
      </c>
      <c r="C3633" t="s">
        <v>1218</v>
      </c>
      <c r="D3633" s="4">
        <v>45401</v>
      </c>
      <c r="E3633" t="s">
        <v>1479</v>
      </c>
      <c r="F3633" t="s">
        <v>75</v>
      </c>
      <c r="I3633" s="6"/>
      <c r="J3633" s="6"/>
      <c r="K3633" s="6"/>
      <c r="L3633" s="6"/>
      <c r="M3633" s="6"/>
      <c r="N3633" s="6"/>
      <c r="O3633" s="6"/>
      <c r="P3633" s="6"/>
      <c r="Q3633">
        <v>0</v>
      </c>
      <c r="R3633">
        <f t="shared" si="280"/>
        <v>0</v>
      </c>
      <c r="S3633">
        <f t="shared" si="281"/>
        <v>0</v>
      </c>
      <c r="T3633">
        <f t="shared" si="282"/>
        <v>0</v>
      </c>
      <c r="U3633">
        <f t="shared" si="283"/>
        <v>0</v>
      </c>
      <c r="V3633">
        <f t="shared" si="284"/>
        <v>0</v>
      </c>
    </row>
    <row r="3634" spans="1:22" x14ac:dyDescent="0.25">
      <c r="A3634">
        <v>3631</v>
      </c>
      <c r="B3634" t="s">
        <v>26</v>
      </c>
      <c r="C3634" t="s">
        <v>1218</v>
      </c>
      <c r="D3634" s="4">
        <v>45401</v>
      </c>
      <c r="E3634" t="s">
        <v>1153</v>
      </c>
      <c r="F3634" t="s">
        <v>75</v>
      </c>
      <c r="I3634" s="6"/>
      <c r="J3634" s="6"/>
      <c r="K3634" s="6"/>
      <c r="L3634" s="6"/>
      <c r="M3634" s="6"/>
      <c r="N3634" s="6"/>
      <c r="O3634" s="6"/>
      <c r="P3634" s="6"/>
      <c r="Q3634">
        <v>0</v>
      </c>
      <c r="R3634">
        <f t="shared" si="280"/>
        <v>0</v>
      </c>
      <c r="S3634">
        <f t="shared" si="281"/>
        <v>0</v>
      </c>
      <c r="T3634">
        <f t="shared" si="282"/>
        <v>0</v>
      </c>
      <c r="U3634">
        <f t="shared" si="283"/>
        <v>0</v>
      </c>
      <c r="V3634">
        <f t="shared" si="284"/>
        <v>0</v>
      </c>
    </row>
    <row r="3635" spans="1:22" x14ac:dyDescent="0.25">
      <c r="A3635">
        <v>3632</v>
      </c>
      <c r="B3635" t="s">
        <v>26</v>
      </c>
      <c r="C3635" t="s">
        <v>1218</v>
      </c>
      <c r="D3635" s="4">
        <v>45401</v>
      </c>
      <c r="E3635" t="s">
        <v>2152</v>
      </c>
      <c r="F3635" t="s">
        <v>75</v>
      </c>
      <c r="I3635" s="6"/>
      <c r="J3635" s="6"/>
      <c r="K3635" s="6"/>
      <c r="L3635" s="6"/>
      <c r="M3635" s="6"/>
      <c r="N3635" s="6"/>
      <c r="O3635" s="6"/>
      <c r="P3635" s="6"/>
      <c r="Q3635">
        <v>0</v>
      </c>
      <c r="R3635">
        <f t="shared" si="280"/>
        <v>0</v>
      </c>
      <c r="S3635">
        <f t="shared" si="281"/>
        <v>0</v>
      </c>
      <c r="T3635">
        <f t="shared" si="282"/>
        <v>0</v>
      </c>
      <c r="U3635">
        <f t="shared" si="283"/>
        <v>0</v>
      </c>
      <c r="V3635">
        <f t="shared" si="284"/>
        <v>0</v>
      </c>
    </row>
    <row r="3636" spans="1:22" x14ac:dyDescent="0.25">
      <c r="A3636">
        <v>3633</v>
      </c>
      <c r="B3636" t="s">
        <v>26</v>
      </c>
      <c r="C3636" t="s">
        <v>1218</v>
      </c>
      <c r="D3636" s="4">
        <v>45401</v>
      </c>
      <c r="E3636" t="s">
        <v>1154</v>
      </c>
      <c r="F3636" t="s">
        <v>75</v>
      </c>
      <c r="I3636" s="6"/>
      <c r="J3636" s="6"/>
      <c r="K3636" s="6"/>
      <c r="L3636" s="6"/>
      <c r="M3636" s="6"/>
      <c r="N3636" s="6"/>
      <c r="O3636" s="6"/>
      <c r="P3636" s="6"/>
      <c r="Q3636">
        <v>0</v>
      </c>
      <c r="R3636">
        <f t="shared" si="280"/>
        <v>0</v>
      </c>
      <c r="S3636">
        <f t="shared" si="281"/>
        <v>0</v>
      </c>
      <c r="T3636">
        <f t="shared" si="282"/>
        <v>0</v>
      </c>
      <c r="U3636">
        <f t="shared" si="283"/>
        <v>0</v>
      </c>
      <c r="V3636">
        <f t="shared" si="284"/>
        <v>0</v>
      </c>
    </row>
    <row r="3637" spans="1:22" x14ac:dyDescent="0.25">
      <c r="A3637">
        <v>3634</v>
      </c>
      <c r="B3637" t="s">
        <v>26</v>
      </c>
      <c r="C3637" t="s">
        <v>1218</v>
      </c>
      <c r="D3637" s="4">
        <v>45401</v>
      </c>
      <c r="E3637" t="s">
        <v>2429</v>
      </c>
      <c r="F3637" t="s">
        <v>75</v>
      </c>
      <c r="I3637" s="6"/>
      <c r="J3637" s="6"/>
      <c r="K3637" s="6"/>
      <c r="L3637" s="6"/>
      <c r="M3637" s="6"/>
      <c r="N3637" s="6"/>
      <c r="O3637" s="6"/>
      <c r="P3637" s="6"/>
      <c r="Q3637">
        <v>0</v>
      </c>
      <c r="R3637">
        <f t="shared" si="280"/>
        <v>0</v>
      </c>
      <c r="S3637">
        <f t="shared" si="281"/>
        <v>0</v>
      </c>
      <c r="T3637">
        <f t="shared" si="282"/>
        <v>0</v>
      </c>
      <c r="U3637">
        <f t="shared" si="283"/>
        <v>0</v>
      </c>
      <c r="V3637">
        <f t="shared" si="284"/>
        <v>0</v>
      </c>
    </row>
    <row r="3638" spans="1:22" x14ac:dyDescent="0.25">
      <c r="A3638">
        <v>3635</v>
      </c>
      <c r="B3638" t="s">
        <v>26</v>
      </c>
      <c r="C3638" t="s">
        <v>1218</v>
      </c>
      <c r="D3638" s="4">
        <v>45401</v>
      </c>
      <c r="E3638" t="s">
        <v>1376</v>
      </c>
      <c r="F3638" t="s">
        <v>413</v>
      </c>
      <c r="G3638">
        <v>171</v>
      </c>
      <c r="I3638" s="6">
        <v>0</v>
      </c>
      <c r="J3638" s="6">
        <v>0</v>
      </c>
      <c r="K3638" s="6">
        <v>0</v>
      </c>
      <c r="L3638" s="6">
        <v>0</v>
      </c>
      <c r="M3638" s="6">
        <v>0</v>
      </c>
      <c r="N3638" s="6">
        <v>1</v>
      </c>
      <c r="O3638" s="6">
        <v>0</v>
      </c>
      <c r="P3638" s="6">
        <v>0</v>
      </c>
      <c r="Q3638">
        <v>1</v>
      </c>
      <c r="R3638">
        <f t="shared" si="280"/>
        <v>1</v>
      </c>
      <c r="S3638">
        <f t="shared" si="281"/>
        <v>0</v>
      </c>
      <c r="T3638">
        <f t="shared" si="282"/>
        <v>1</v>
      </c>
      <c r="U3638">
        <f t="shared" si="283"/>
        <v>1</v>
      </c>
      <c r="V3638">
        <f t="shared" si="284"/>
        <v>1</v>
      </c>
    </row>
    <row r="3639" spans="1:22" x14ac:dyDescent="0.25">
      <c r="A3639">
        <v>3636</v>
      </c>
      <c r="B3639" t="s">
        <v>26</v>
      </c>
      <c r="C3639" t="s">
        <v>1218</v>
      </c>
      <c r="D3639" s="4">
        <v>45402</v>
      </c>
      <c r="E3639" t="s">
        <v>299</v>
      </c>
      <c r="F3639" t="s">
        <v>710</v>
      </c>
      <c r="G3639">
        <v>172</v>
      </c>
      <c r="I3639" s="6">
        <v>0</v>
      </c>
      <c r="J3639" s="6">
        <v>0</v>
      </c>
      <c r="K3639" s="6">
        <v>0</v>
      </c>
      <c r="L3639" s="6">
        <v>0</v>
      </c>
      <c r="M3639" s="6">
        <v>0</v>
      </c>
      <c r="N3639" s="6">
        <v>1</v>
      </c>
      <c r="O3639" s="6">
        <v>0</v>
      </c>
      <c r="P3639" s="6">
        <v>0</v>
      </c>
      <c r="Q3639">
        <v>1</v>
      </c>
      <c r="R3639">
        <f t="shared" si="280"/>
        <v>0</v>
      </c>
      <c r="S3639">
        <f t="shared" si="281"/>
        <v>0</v>
      </c>
      <c r="T3639">
        <f t="shared" si="282"/>
        <v>1</v>
      </c>
      <c r="U3639">
        <f t="shared" si="283"/>
        <v>1</v>
      </c>
      <c r="V3639">
        <f t="shared" si="284"/>
        <v>0</v>
      </c>
    </row>
    <row r="3640" spans="1:22" x14ac:dyDescent="0.25">
      <c r="A3640">
        <v>3637</v>
      </c>
      <c r="B3640" t="s">
        <v>26</v>
      </c>
      <c r="C3640" t="s">
        <v>1218</v>
      </c>
      <c r="D3640" s="4">
        <v>45402</v>
      </c>
      <c r="E3640" t="s">
        <v>2032</v>
      </c>
      <c r="F3640" t="s">
        <v>75</v>
      </c>
      <c r="I3640" s="6"/>
      <c r="J3640" s="6"/>
      <c r="K3640" s="6"/>
      <c r="L3640" s="6"/>
      <c r="M3640" s="6"/>
      <c r="N3640" s="6"/>
      <c r="O3640" s="6"/>
      <c r="P3640" s="6"/>
      <c r="Q3640">
        <v>0</v>
      </c>
      <c r="R3640">
        <f t="shared" si="280"/>
        <v>0</v>
      </c>
      <c r="S3640">
        <f t="shared" si="281"/>
        <v>0</v>
      </c>
      <c r="T3640">
        <f t="shared" si="282"/>
        <v>0</v>
      </c>
      <c r="U3640">
        <f t="shared" si="283"/>
        <v>0</v>
      </c>
      <c r="V3640">
        <f t="shared" si="284"/>
        <v>0</v>
      </c>
    </row>
    <row r="3641" spans="1:22" x14ac:dyDescent="0.25">
      <c r="A3641">
        <v>3638</v>
      </c>
      <c r="B3641" t="s">
        <v>26</v>
      </c>
      <c r="C3641" t="s">
        <v>1218</v>
      </c>
      <c r="D3641" s="4">
        <v>45402</v>
      </c>
      <c r="E3641" t="s">
        <v>1377</v>
      </c>
      <c r="F3641" t="s">
        <v>75</v>
      </c>
      <c r="I3641" s="6">
        <v>0</v>
      </c>
      <c r="J3641" s="6">
        <v>0</v>
      </c>
      <c r="K3641" s="6">
        <v>0</v>
      </c>
      <c r="L3641" s="6">
        <v>0</v>
      </c>
      <c r="M3641" s="6">
        <v>0</v>
      </c>
      <c r="N3641" s="6">
        <v>0</v>
      </c>
      <c r="O3641" s="6">
        <v>0</v>
      </c>
      <c r="P3641" s="6">
        <v>0</v>
      </c>
      <c r="Q3641">
        <v>1</v>
      </c>
      <c r="R3641">
        <f t="shared" si="280"/>
        <v>0</v>
      </c>
      <c r="S3641">
        <f t="shared" si="281"/>
        <v>1</v>
      </c>
      <c r="T3641">
        <f t="shared" si="282"/>
        <v>0</v>
      </c>
      <c r="U3641">
        <f t="shared" si="283"/>
        <v>0</v>
      </c>
      <c r="V3641">
        <f t="shared" si="284"/>
        <v>0</v>
      </c>
    </row>
    <row r="3642" spans="1:22" x14ac:dyDescent="0.25">
      <c r="A3642">
        <v>3639</v>
      </c>
      <c r="B3642" t="s">
        <v>26</v>
      </c>
      <c r="C3642" t="s">
        <v>1218</v>
      </c>
      <c r="D3642" s="4">
        <v>45402</v>
      </c>
      <c r="E3642" t="s">
        <v>2151</v>
      </c>
      <c r="F3642" t="s">
        <v>75</v>
      </c>
      <c r="I3642" s="6"/>
      <c r="J3642" s="6"/>
      <c r="K3642" s="6"/>
      <c r="L3642" s="6"/>
      <c r="M3642" s="6"/>
      <c r="N3642" s="6"/>
      <c r="O3642" s="6"/>
      <c r="P3642" s="6"/>
      <c r="Q3642">
        <v>0</v>
      </c>
      <c r="R3642">
        <f t="shared" si="280"/>
        <v>0</v>
      </c>
      <c r="S3642">
        <f t="shared" si="281"/>
        <v>0</v>
      </c>
      <c r="T3642">
        <f t="shared" si="282"/>
        <v>0</v>
      </c>
      <c r="U3642">
        <f t="shared" si="283"/>
        <v>0</v>
      </c>
      <c r="V3642">
        <f t="shared" si="284"/>
        <v>0</v>
      </c>
    </row>
    <row r="3643" spans="1:22" x14ac:dyDescent="0.25">
      <c r="A3643">
        <v>3640</v>
      </c>
      <c r="B3643" t="s">
        <v>26</v>
      </c>
      <c r="C3643" t="s">
        <v>1218</v>
      </c>
      <c r="D3643" s="4">
        <v>45403</v>
      </c>
      <c r="E3643" t="s">
        <v>300</v>
      </c>
      <c r="F3643" t="s">
        <v>75</v>
      </c>
      <c r="I3643" s="6">
        <v>0</v>
      </c>
      <c r="J3643" s="6">
        <v>0</v>
      </c>
      <c r="K3643" s="6">
        <v>0</v>
      </c>
      <c r="L3643" s="6">
        <v>0</v>
      </c>
      <c r="M3643" s="6">
        <v>0</v>
      </c>
      <c r="N3643" s="6">
        <v>0</v>
      </c>
      <c r="O3643" s="6">
        <v>0</v>
      </c>
      <c r="P3643" s="6">
        <v>0</v>
      </c>
      <c r="Q3643">
        <v>1</v>
      </c>
      <c r="R3643">
        <f t="shared" si="280"/>
        <v>0</v>
      </c>
      <c r="S3643">
        <f t="shared" si="281"/>
        <v>1</v>
      </c>
      <c r="T3643">
        <f t="shared" si="282"/>
        <v>0</v>
      </c>
      <c r="U3643">
        <f t="shared" si="283"/>
        <v>0</v>
      </c>
      <c r="V3643">
        <f t="shared" si="284"/>
        <v>0</v>
      </c>
    </row>
    <row r="3644" spans="1:22" x14ac:dyDescent="0.25">
      <c r="A3644">
        <v>3641</v>
      </c>
      <c r="B3644" t="s">
        <v>26</v>
      </c>
      <c r="C3644" t="s">
        <v>1218</v>
      </c>
      <c r="D3644" s="4">
        <v>45403</v>
      </c>
      <c r="E3644" t="s">
        <v>461</v>
      </c>
      <c r="F3644" t="s">
        <v>75</v>
      </c>
      <c r="H3644" t="s">
        <v>1378</v>
      </c>
      <c r="I3644" s="6">
        <v>0</v>
      </c>
      <c r="J3644" s="6">
        <v>0</v>
      </c>
      <c r="K3644" s="6">
        <v>0</v>
      </c>
      <c r="L3644" s="6">
        <v>0</v>
      </c>
      <c r="M3644" s="6">
        <v>0</v>
      </c>
      <c r="N3644" s="6">
        <v>0</v>
      </c>
      <c r="O3644" s="6">
        <v>0</v>
      </c>
      <c r="P3644" s="6">
        <v>0</v>
      </c>
      <c r="Q3644">
        <v>1</v>
      </c>
      <c r="R3644">
        <f t="shared" si="280"/>
        <v>0</v>
      </c>
      <c r="S3644">
        <f t="shared" si="281"/>
        <v>1</v>
      </c>
      <c r="T3644">
        <f t="shared" si="282"/>
        <v>0</v>
      </c>
      <c r="U3644">
        <f t="shared" si="283"/>
        <v>0</v>
      </c>
      <c r="V3644">
        <f t="shared" si="284"/>
        <v>0</v>
      </c>
    </row>
    <row r="3645" spans="1:22" x14ac:dyDescent="0.25">
      <c r="A3645">
        <v>3642</v>
      </c>
      <c r="B3645" t="s">
        <v>26</v>
      </c>
      <c r="C3645" t="s">
        <v>1218</v>
      </c>
      <c r="D3645" s="4">
        <v>45404</v>
      </c>
      <c r="E3645" t="s">
        <v>301</v>
      </c>
      <c r="F3645" t="s">
        <v>75</v>
      </c>
      <c r="I3645" s="6"/>
      <c r="J3645" s="6"/>
      <c r="K3645" s="6"/>
      <c r="L3645" s="6"/>
      <c r="M3645" s="6"/>
      <c r="N3645" s="6"/>
      <c r="O3645" s="6"/>
      <c r="P3645" s="6"/>
      <c r="Q3645">
        <v>0</v>
      </c>
      <c r="R3645">
        <f t="shared" si="280"/>
        <v>0</v>
      </c>
      <c r="S3645">
        <f t="shared" si="281"/>
        <v>0</v>
      </c>
      <c r="T3645">
        <f t="shared" si="282"/>
        <v>0</v>
      </c>
      <c r="U3645">
        <f t="shared" si="283"/>
        <v>0</v>
      </c>
      <c r="V3645">
        <f t="shared" si="284"/>
        <v>0</v>
      </c>
    </row>
    <row r="3646" spans="1:22" x14ac:dyDescent="0.25">
      <c r="A3646">
        <v>3643</v>
      </c>
      <c r="B3646" t="s">
        <v>26</v>
      </c>
      <c r="C3646" t="s">
        <v>1218</v>
      </c>
      <c r="D3646" s="4">
        <v>45404</v>
      </c>
      <c r="E3646" t="s">
        <v>302</v>
      </c>
      <c r="F3646" t="s">
        <v>75</v>
      </c>
      <c r="I3646" s="6"/>
      <c r="J3646" s="6"/>
      <c r="K3646" s="6"/>
      <c r="L3646" s="6"/>
      <c r="M3646" s="6"/>
      <c r="N3646" s="6"/>
      <c r="O3646" s="6"/>
      <c r="P3646" s="6"/>
      <c r="Q3646">
        <v>0</v>
      </c>
      <c r="R3646">
        <f t="shared" si="280"/>
        <v>0</v>
      </c>
      <c r="S3646">
        <f t="shared" si="281"/>
        <v>0</v>
      </c>
      <c r="T3646">
        <f t="shared" si="282"/>
        <v>0</v>
      </c>
      <c r="U3646">
        <f t="shared" si="283"/>
        <v>0</v>
      </c>
      <c r="V3646">
        <f t="shared" si="284"/>
        <v>0</v>
      </c>
    </row>
    <row r="3647" spans="1:22" x14ac:dyDescent="0.25">
      <c r="A3647">
        <v>3644</v>
      </c>
      <c r="B3647" t="s">
        <v>26</v>
      </c>
      <c r="C3647" t="s">
        <v>1218</v>
      </c>
      <c r="D3647" s="4">
        <v>45404</v>
      </c>
      <c r="E3647" t="s">
        <v>2031</v>
      </c>
      <c r="F3647" t="s">
        <v>75</v>
      </c>
      <c r="I3647" s="6"/>
      <c r="J3647" s="6"/>
      <c r="K3647" s="6"/>
      <c r="L3647" s="6"/>
      <c r="M3647" s="6"/>
      <c r="N3647" s="6"/>
      <c r="O3647" s="6"/>
      <c r="P3647" s="6"/>
      <c r="Q3647">
        <v>0</v>
      </c>
      <c r="R3647">
        <f t="shared" si="280"/>
        <v>0</v>
      </c>
      <c r="S3647">
        <f t="shared" si="281"/>
        <v>0</v>
      </c>
      <c r="T3647">
        <f t="shared" si="282"/>
        <v>0</v>
      </c>
      <c r="U3647">
        <f t="shared" si="283"/>
        <v>0</v>
      </c>
      <c r="V3647">
        <f t="shared" si="284"/>
        <v>0</v>
      </c>
    </row>
    <row r="3648" spans="1:22" x14ac:dyDescent="0.25">
      <c r="A3648">
        <v>3645</v>
      </c>
      <c r="B3648" t="s">
        <v>26</v>
      </c>
      <c r="C3648" t="s">
        <v>1218</v>
      </c>
      <c r="D3648" s="4">
        <v>45404</v>
      </c>
      <c r="E3648" t="s">
        <v>1155</v>
      </c>
      <c r="F3648" t="s">
        <v>413</v>
      </c>
      <c r="G3648">
        <v>173</v>
      </c>
      <c r="I3648" s="6">
        <v>0</v>
      </c>
      <c r="J3648" s="6">
        <v>0</v>
      </c>
      <c r="K3648" s="6">
        <v>0</v>
      </c>
      <c r="L3648" s="6">
        <v>1</v>
      </c>
      <c r="M3648" s="6">
        <v>0</v>
      </c>
      <c r="N3648" s="6">
        <v>0</v>
      </c>
      <c r="O3648" s="6">
        <v>0</v>
      </c>
      <c r="P3648" s="6">
        <v>0</v>
      </c>
      <c r="Q3648">
        <v>1</v>
      </c>
      <c r="R3648">
        <f t="shared" si="280"/>
        <v>1</v>
      </c>
      <c r="S3648">
        <f t="shared" si="281"/>
        <v>0</v>
      </c>
      <c r="T3648">
        <f t="shared" si="282"/>
        <v>1</v>
      </c>
      <c r="U3648">
        <f t="shared" si="283"/>
        <v>1</v>
      </c>
      <c r="V3648">
        <f t="shared" si="284"/>
        <v>1</v>
      </c>
    </row>
    <row r="3649" spans="1:22" x14ac:dyDescent="0.25">
      <c r="A3649">
        <v>3646</v>
      </c>
      <c r="B3649" t="s">
        <v>26</v>
      </c>
      <c r="C3649" t="s">
        <v>1218</v>
      </c>
      <c r="D3649" s="4">
        <v>45404</v>
      </c>
      <c r="E3649" t="s">
        <v>1156</v>
      </c>
      <c r="F3649" t="s">
        <v>75</v>
      </c>
      <c r="I3649" s="6"/>
      <c r="J3649" s="6"/>
      <c r="K3649" s="6"/>
      <c r="L3649" s="6"/>
      <c r="M3649" s="6"/>
      <c r="N3649" s="6"/>
      <c r="O3649" s="6"/>
      <c r="P3649" s="6"/>
      <c r="Q3649">
        <v>0</v>
      </c>
      <c r="R3649">
        <f t="shared" si="280"/>
        <v>0</v>
      </c>
      <c r="S3649">
        <f t="shared" si="281"/>
        <v>0</v>
      </c>
      <c r="T3649">
        <f t="shared" si="282"/>
        <v>0</v>
      </c>
      <c r="U3649">
        <f t="shared" si="283"/>
        <v>0</v>
      </c>
      <c r="V3649">
        <f t="shared" si="284"/>
        <v>0</v>
      </c>
    </row>
    <row r="3650" spans="1:22" x14ac:dyDescent="0.25">
      <c r="A3650">
        <v>3647</v>
      </c>
      <c r="B3650" t="s">
        <v>26</v>
      </c>
      <c r="C3650" t="s">
        <v>1218</v>
      </c>
      <c r="D3650" s="4">
        <v>45404</v>
      </c>
      <c r="E3650" t="s">
        <v>2428</v>
      </c>
      <c r="F3650" t="s">
        <v>75</v>
      </c>
      <c r="I3650" s="6">
        <v>1</v>
      </c>
      <c r="J3650" s="6">
        <v>0</v>
      </c>
      <c r="K3650" s="6">
        <v>0</v>
      </c>
      <c r="L3650" s="6">
        <v>1</v>
      </c>
      <c r="M3650" s="6">
        <v>0</v>
      </c>
      <c r="N3650" s="6">
        <v>0</v>
      </c>
      <c r="O3650" s="6">
        <v>0</v>
      </c>
      <c r="P3650" s="6">
        <v>0</v>
      </c>
      <c r="Q3650">
        <v>1</v>
      </c>
      <c r="R3650">
        <f t="shared" si="280"/>
        <v>0</v>
      </c>
      <c r="S3650">
        <f t="shared" si="281"/>
        <v>1</v>
      </c>
      <c r="T3650">
        <f t="shared" si="282"/>
        <v>2</v>
      </c>
      <c r="U3650">
        <f t="shared" si="283"/>
        <v>1</v>
      </c>
      <c r="V3650">
        <f t="shared" si="284"/>
        <v>0</v>
      </c>
    </row>
    <row r="3651" spans="1:22" x14ac:dyDescent="0.25">
      <c r="A3651">
        <v>3648</v>
      </c>
      <c r="B3651" t="s">
        <v>26</v>
      </c>
      <c r="C3651" t="s">
        <v>1218</v>
      </c>
      <c r="D3651" s="4">
        <v>45404</v>
      </c>
      <c r="E3651" t="s">
        <v>2427</v>
      </c>
      <c r="F3651" t="s">
        <v>75</v>
      </c>
      <c r="I3651" s="6"/>
      <c r="J3651" s="6"/>
      <c r="K3651" s="6"/>
      <c r="L3651" s="6"/>
      <c r="M3651" s="6"/>
      <c r="N3651" s="6"/>
      <c r="O3651" s="6"/>
      <c r="P3651" s="6"/>
      <c r="Q3651">
        <v>0</v>
      </c>
      <c r="R3651">
        <f t="shared" ref="R3651:R3714" si="285">IF(AND(Q3651=1,F3651="ai_full"),1,0)</f>
        <v>0</v>
      </c>
      <c r="S3651">
        <f t="shared" ref="S3651:S3714" si="286">IF(AND(Q3651=1,F3651="conventional"),1,0)</f>
        <v>0</v>
      </c>
      <c r="T3651">
        <f t="shared" ref="T3651:T3714" si="287">SUM(I3651:P3651)</f>
        <v>0</v>
      </c>
      <c r="U3651">
        <f t="shared" ref="U3651:U3714" si="288">IF(T3651&gt;=1,1,0)</f>
        <v>0</v>
      </c>
      <c r="V3651">
        <f t="shared" ref="V3651:V3714" si="289">IF(F3651="ai_full",1,0)</f>
        <v>0</v>
      </c>
    </row>
    <row r="3652" spans="1:22" x14ac:dyDescent="0.25">
      <c r="A3652">
        <v>3649</v>
      </c>
      <c r="B3652" t="s">
        <v>26</v>
      </c>
      <c r="C3652" t="s">
        <v>1218</v>
      </c>
      <c r="D3652" s="4">
        <v>45405</v>
      </c>
      <c r="E3652" t="s">
        <v>303</v>
      </c>
      <c r="F3652" t="s">
        <v>75</v>
      </c>
      <c r="I3652" s="6">
        <v>0</v>
      </c>
      <c r="J3652" s="6">
        <v>0</v>
      </c>
      <c r="K3652" s="6">
        <v>0</v>
      </c>
      <c r="L3652" s="6">
        <v>1</v>
      </c>
      <c r="M3652" s="6">
        <v>0</v>
      </c>
      <c r="N3652" s="6">
        <v>1</v>
      </c>
      <c r="O3652" s="6">
        <v>0</v>
      </c>
      <c r="P3652" s="6">
        <v>0</v>
      </c>
      <c r="Q3652">
        <v>1</v>
      </c>
      <c r="R3652">
        <f t="shared" si="285"/>
        <v>0</v>
      </c>
      <c r="S3652">
        <f t="shared" si="286"/>
        <v>1</v>
      </c>
      <c r="T3652">
        <f t="shared" si="287"/>
        <v>2</v>
      </c>
      <c r="U3652">
        <f t="shared" si="288"/>
        <v>1</v>
      </c>
      <c r="V3652">
        <f t="shared" si="289"/>
        <v>0</v>
      </c>
    </row>
    <row r="3653" spans="1:22" x14ac:dyDescent="0.25">
      <c r="A3653">
        <v>3650</v>
      </c>
      <c r="B3653" t="s">
        <v>26</v>
      </c>
      <c r="C3653" t="s">
        <v>1218</v>
      </c>
      <c r="D3653" s="4">
        <v>45405</v>
      </c>
      <c r="E3653" t="s">
        <v>1072</v>
      </c>
      <c r="F3653" t="s">
        <v>75</v>
      </c>
      <c r="I3653" s="6"/>
      <c r="J3653" s="6"/>
      <c r="K3653" s="6"/>
      <c r="L3653" s="6"/>
      <c r="M3653" s="6"/>
      <c r="N3653" s="6"/>
      <c r="O3653" s="6"/>
      <c r="P3653" s="6"/>
      <c r="Q3653">
        <v>0</v>
      </c>
      <c r="R3653">
        <f t="shared" si="285"/>
        <v>0</v>
      </c>
      <c r="S3653">
        <f t="shared" si="286"/>
        <v>0</v>
      </c>
      <c r="T3653">
        <f t="shared" si="287"/>
        <v>0</v>
      </c>
      <c r="U3653">
        <f t="shared" si="288"/>
        <v>0</v>
      </c>
      <c r="V3653">
        <f t="shared" si="289"/>
        <v>0</v>
      </c>
    </row>
    <row r="3654" spans="1:22" x14ac:dyDescent="0.25">
      <c r="A3654">
        <v>3651</v>
      </c>
      <c r="B3654" t="s">
        <v>26</v>
      </c>
      <c r="C3654" t="s">
        <v>1218</v>
      </c>
      <c r="D3654" s="4">
        <v>45405</v>
      </c>
      <c r="E3654" t="s">
        <v>1157</v>
      </c>
      <c r="F3654" t="s">
        <v>75</v>
      </c>
      <c r="I3654" s="6">
        <v>0</v>
      </c>
      <c r="J3654" s="6">
        <v>0</v>
      </c>
      <c r="K3654" s="6">
        <v>0</v>
      </c>
      <c r="L3654" s="6">
        <v>1</v>
      </c>
      <c r="M3654" s="6">
        <v>0</v>
      </c>
      <c r="N3654" s="6">
        <v>0</v>
      </c>
      <c r="O3654" s="6">
        <v>0</v>
      </c>
      <c r="P3654" s="6">
        <v>0</v>
      </c>
      <c r="Q3654">
        <v>1</v>
      </c>
      <c r="R3654">
        <f t="shared" si="285"/>
        <v>0</v>
      </c>
      <c r="S3654">
        <f t="shared" si="286"/>
        <v>1</v>
      </c>
      <c r="T3654">
        <f t="shared" si="287"/>
        <v>1</v>
      </c>
      <c r="U3654">
        <f t="shared" si="288"/>
        <v>1</v>
      </c>
      <c r="V3654">
        <f t="shared" si="289"/>
        <v>0</v>
      </c>
    </row>
    <row r="3655" spans="1:22" x14ac:dyDescent="0.25">
      <c r="A3655">
        <v>3652</v>
      </c>
      <c r="B3655" t="s">
        <v>26</v>
      </c>
      <c r="C3655" t="s">
        <v>1218</v>
      </c>
      <c r="D3655" s="4">
        <v>45405</v>
      </c>
      <c r="E3655" t="s">
        <v>1379</v>
      </c>
      <c r="F3655" t="s">
        <v>413</v>
      </c>
      <c r="G3655">
        <v>174</v>
      </c>
      <c r="I3655" s="6">
        <v>1</v>
      </c>
      <c r="J3655" s="6">
        <v>0</v>
      </c>
      <c r="K3655" s="6">
        <v>0</v>
      </c>
      <c r="L3655" s="6">
        <v>1</v>
      </c>
      <c r="M3655" s="6">
        <v>0</v>
      </c>
      <c r="N3655" s="6">
        <v>0</v>
      </c>
      <c r="O3655" s="6">
        <v>0</v>
      </c>
      <c r="P3655" s="6">
        <v>0</v>
      </c>
      <c r="Q3655">
        <v>1</v>
      </c>
      <c r="R3655">
        <f t="shared" si="285"/>
        <v>1</v>
      </c>
      <c r="S3655">
        <f t="shared" si="286"/>
        <v>0</v>
      </c>
      <c r="T3655">
        <f t="shared" si="287"/>
        <v>2</v>
      </c>
      <c r="U3655">
        <f t="shared" si="288"/>
        <v>1</v>
      </c>
      <c r="V3655">
        <f t="shared" si="289"/>
        <v>1</v>
      </c>
    </row>
    <row r="3656" spans="1:22" x14ac:dyDescent="0.25">
      <c r="A3656">
        <v>3653</v>
      </c>
      <c r="B3656" t="s">
        <v>26</v>
      </c>
      <c r="C3656" t="s">
        <v>1218</v>
      </c>
      <c r="D3656" s="4">
        <v>45405</v>
      </c>
      <c r="E3656" t="s">
        <v>1380</v>
      </c>
      <c r="F3656" t="s">
        <v>75</v>
      </c>
      <c r="H3656" t="s">
        <v>1381</v>
      </c>
      <c r="I3656" s="6">
        <v>0</v>
      </c>
      <c r="J3656" s="6">
        <v>0</v>
      </c>
      <c r="K3656" s="6">
        <v>0</v>
      </c>
      <c r="L3656" s="6">
        <v>0</v>
      </c>
      <c r="M3656" s="6">
        <v>0</v>
      </c>
      <c r="N3656" s="6">
        <v>0</v>
      </c>
      <c r="O3656" s="6">
        <v>0</v>
      </c>
      <c r="P3656" s="6">
        <v>0</v>
      </c>
      <c r="Q3656">
        <v>1</v>
      </c>
      <c r="R3656">
        <f t="shared" si="285"/>
        <v>0</v>
      </c>
      <c r="S3656">
        <f t="shared" si="286"/>
        <v>1</v>
      </c>
      <c r="T3656">
        <f t="shared" si="287"/>
        <v>0</v>
      </c>
      <c r="U3656">
        <f t="shared" si="288"/>
        <v>0</v>
      </c>
      <c r="V3656">
        <f t="shared" si="289"/>
        <v>0</v>
      </c>
    </row>
    <row r="3657" spans="1:22" x14ac:dyDescent="0.25">
      <c r="A3657">
        <v>3654</v>
      </c>
      <c r="B3657" t="s">
        <v>26</v>
      </c>
      <c r="C3657" t="s">
        <v>1218</v>
      </c>
      <c r="D3657" s="4">
        <v>45406</v>
      </c>
      <c r="E3657" t="s">
        <v>977</v>
      </c>
      <c r="F3657" t="s">
        <v>75</v>
      </c>
      <c r="I3657" s="6"/>
      <c r="J3657" s="6"/>
      <c r="K3657" s="6"/>
      <c r="L3657" s="6"/>
      <c r="M3657" s="6"/>
      <c r="N3657" s="6"/>
      <c r="O3657" s="6"/>
      <c r="P3657" s="6"/>
      <c r="Q3657">
        <v>0</v>
      </c>
      <c r="R3657">
        <f t="shared" si="285"/>
        <v>0</v>
      </c>
      <c r="S3657">
        <f t="shared" si="286"/>
        <v>0</v>
      </c>
      <c r="T3657">
        <f t="shared" si="287"/>
        <v>0</v>
      </c>
      <c r="U3657">
        <f t="shared" si="288"/>
        <v>0</v>
      </c>
      <c r="V3657">
        <f t="shared" si="289"/>
        <v>0</v>
      </c>
    </row>
    <row r="3658" spans="1:22" x14ac:dyDescent="0.25">
      <c r="A3658">
        <v>3655</v>
      </c>
      <c r="B3658" t="s">
        <v>26</v>
      </c>
      <c r="C3658" t="s">
        <v>1218</v>
      </c>
      <c r="D3658" s="4">
        <v>45406</v>
      </c>
      <c r="E3658" t="s">
        <v>2426</v>
      </c>
      <c r="F3658" t="s">
        <v>75</v>
      </c>
      <c r="I3658" s="6"/>
      <c r="J3658" s="6"/>
      <c r="K3658" s="6"/>
      <c r="L3658" s="6"/>
      <c r="M3658" s="6"/>
      <c r="N3658" s="6"/>
      <c r="O3658" s="6"/>
      <c r="P3658" s="6"/>
      <c r="Q3658">
        <v>0</v>
      </c>
      <c r="R3658">
        <f t="shared" si="285"/>
        <v>0</v>
      </c>
      <c r="S3658">
        <f t="shared" si="286"/>
        <v>0</v>
      </c>
      <c r="T3658">
        <f t="shared" si="287"/>
        <v>0</v>
      </c>
      <c r="U3658">
        <f t="shared" si="288"/>
        <v>0</v>
      </c>
      <c r="V3658">
        <f t="shared" si="289"/>
        <v>0</v>
      </c>
    </row>
    <row r="3659" spans="1:22" x14ac:dyDescent="0.25">
      <c r="A3659">
        <v>3656</v>
      </c>
      <c r="B3659" t="s">
        <v>26</v>
      </c>
      <c r="C3659" t="s">
        <v>1218</v>
      </c>
      <c r="D3659" s="4">
        <v>45406</v>
      </c>
      <c r="E3659" t="s">
        <v>2425</v>
      </c>
      <c r="F3659" t="s">
        <v>75</v>
      </c>
      <c r="I3659" s="6"/>
      <c r="J3659" s="6"/>
      <c r="K3659" s="6"/>
      <c r="L3659" s="6"/>
      <c r="M3659" s="6"/>
      <c r="N3659" s="6"/>
      <c r="O3659" s="6"/>
      <c r="P3659" s="6"/>
      <c r="Q3659">
        <v>0</v>
      </c>
      <c r="R3659">
        <f t="shared" si="285"/>
        <v>0</v>
      </c>
      <c r="S3659">
        <f t="shared" si="286"/>
        <v>0</v>
      </c>
      <c r="T3659">
        <f t="shared" si="287"/>
        <v>0</v>
      </c>
      <c r="U3659">
        <f t="shared" si="288"/>
        <v>0</v>
      </c>
      <c r="V3659">
        <f t="shared" si="289"/>
        <v>0</v>
      </c>
    </row>
    <row r="3660" spans="1:22" x14ac:dyDescent="0.25">
      <c r="A3660">
        <v>3657</v>
      </c>
      <c r="B3660" t="s">
        <v>26</v>
      </c>
      <c r="C3660" t="s">
        <v>1218</v>
      </c>
      <c r="D3660" s="4">
        <v>45406</v>
      </c>
      <c r="E3660" t="s">
        <v>979</v>
      </c>
      <c r="F3660" t="s">
        <v>75</v>
      </c>
      <c r="I3660" s="6"/>
      <c r="J3660" s="6"/>
      <c r="K3660" s="6"/>
      <c r="L3660" s="6"/>
      <c r="M3660" s="6"/>
      <c r="N3660" s="6"/>
      <c r="O3660" s="6"/>
      <c r="P3660" s="6"/>
      <c r="Q3660">
        <v>0</v>
      </c>
      <c r="R3660">
        <f t="shared" si="285"/>
        <v>0</v>
      </c>
      <c r="S3660">
        <f t="shared" si="286"/>
        <v>0</v>
      </c>
      <c r="T3660">
        <f t="shared" si="287"/>
        <v>0</v>
      </c>
      <c r="U3660">
        <f t="shared" si="288"/>
        <v>0</v>
      </c>
      <c r="V3660">
        <f t="shared" si="289"/>
        <v>0</v>
      </c>
    </row>
    <row r="3661" spans="1:22" x14ac:dyDescent="0.25">
      <c r="A3661">
        <v>3658</v>
      </c>
      <c r="B3661" t="s">
        <v>26</v>
      </c>
      <c r="C3661" t="s">
        <v>1218</v>
      </c>
      <c r="D3661" s="4">
        <v>45406</v>
      </c>
      <c r="E3661" t="s">
        <v>2150</v>
      </c>
      <c r="F3661" t="s">
        <v>75</v>
      </c>
      <c r="I3661" s="6"/>
      <c r="J3661" s="6"/>
      <c r="K3661" s="6"/>
      <c r="L3661" s="6"/>
      <c r="M3661" s="6"/>
      <c r="N3661" s="6"/>
      <c r="O3661" s="6"/>
      <c r="P3661" s="6"/>
      <c r="Q3661">
        <v>0</v>
      </c>
      <c r="R3661">
        <f t="shared" si="285"/>
        <v>0</v>
      </c>
      <c r="S3661">
        <f t="shared" si="286"/>
        <v>0</v>
      </c>
      <c r="T3661">
        <f t="shared" si="287"/>
        <v>0</v>
      </c>
      <c r="U3661">
        <f t="shared" si="288"/>
        <v>0</v>
      </c>
      <c r="V3661">
        <f t="shared" si="289"/>
        <v>0</v>
      </c>
    </row>
    <row r="3662" spans="1:22" x14ac:dyDescent="0.25">
      <c r="A3662">
        <v>3659</v>
      </c>
      <c r="B3662" t="s">
        <v>26</v>
      </c>
      <c r="C3662" t="s">
        <v>1218</v>
      </c>
      <c r="D3662" s="4">
        <v>45406</v>
      </c>
      <c r="E3662" t="s">
        <v>1073</v>
      </c>
      <c r="F3662" t="s">
        <v>75</v>
      </c>
      <c r="I3662" s="6">
        <v>0</v>
      </c>
      <c r="J3662" s="6">
        <v>0</v>
      </c>
      <c r="K3662" s="6">
        <v>0</v>
      </c>
      <c r="L3662" s="6">
        <v>0</v>
      </c>
      <c r="M3662" s="6">
        <v>0</v>
      </c>
      <c r="N3662" s="6">
        <v>0</v>
      </c>
      <c r="O3662" s="6">
        <v>0</v>
      </c>
      <c r="P3662" s="6">
        <v>0</v>
      </c>
      <c r="Q3662">
        <v>1</v>
      </c>
      <c r="R3662">
        <f t="shared" si="285"/>
        <v>0</v>
      </c>
      <c r="S3662">
        <f t="shared" si="286"/>
        <v>1</v>
      </c>
      <c r="T3662">
        <f t="shared" si="287"/>
        <v>0</v>
      </c>
      <c r="U3662">
        <f t="shared" si="288"/>
        <v>0</v>
      </c>
      <c r="V3662">
        <f t="shared" si="289"/>
        <v>0</v>
      </c>
    </row>
    <row r="3663" spans="1:22" x14ac:dyDescent="0.25">
      <c r="A3663">
        <v>3660</v>
      </c>
      <c r="B3663" t="s">
        <v>26</v>
      </c>
      <c r="C3663" t="s">
        <v>1218</v>
      </c>
      <c r="D3663" s="4">
        <v>45406</v>
      </c>
      <c r="E3663" t="s">
        <v>2149</v>
      </c>
      <c r="F3663" t="s">
        <v>75</v>
      </c>
      <c r="I3663" s="6"/>
      <c r="J3663" s="6"/>
      <c r="K3663" s="6"/>
      <c r="L3663" s="6"/>
      <c r="M3663" s="6"/>
      <c r="N3663" s="6"/>
      <c r="O3663" s="6"/>
      <c r="P3663" s="6"/>
      <c r="Q3663">
        <v>0</v>
      </c>
      <c r="R3663">
        <f t="shared" si="285"/>
        <v>0</v>
      </c>
      <c r="S3663">
        <f t="shared" si="286"/>
        <v>0</v>
      </c>
      <c r="T3663">
        <f t="shared" si="287"/>
        <v>0</v>
      </c>
      <c r="U3663">
        <f t="shared" si="288"/>
        <v>0</v>
      </c>
      <c r="V3663">
        <f t="shared" si="289"/>
        <v>0</v>
      </c>
    </row>
    <row r="3664" spans="1:22" x14ac:dyDescent="0.25">
      <c r="A3664">
        <v>3661</v>
      </c>
      <c r="B3664" t="s">
        <v>26</v>
      </c>
      <c r="C3664" t="s">
        <v>1218</v>
      </c>
      <c r="D3664" s="4">
        <v>45406</v>
      </c>
      <c r="E3664" t="s">
        <v>1382</v>
      </c>
      <c r="F3664" t="s">
        <v>710</v>
      </c>
      <c r="G3664">
        <v>175</v>
      </c>
      <c r="I3664" s="6">
        <v>1</v>
      </c>
      <c r="J3664" s="6">
        <v>0</v>
      </c>
      <c r="K3664" s="6">
        <v>0</v>
      </c>
      <c r="L3664" s="6">
        <v>1</v>
      </c>
      <c r="M3664" s="6">
        <v>1</v>
      </c>
      <c r="N3664" s="6">
        <v>1</v>
      </c>
      <c r="O3664" s="6">
        <v>0</v>
      </c>
      <c r="P3664" s="6">
        <v>0</v>
      </c>
      <c r="Q3664">
        <v>1</v>
      </c>
      <c r="R3664">
        <f t="shared" si="285"/>
        <v>0</v>
      </c>
      <c r="S3664">
        <f t="shared" si="286"/>
        <v>0</v>
      </c>
      <c r="T3664">
        <f t="shared" si="287"/>
        <v>4</v>
      </c>
      <c r="U3664">
        <f t="shared" si="288"/>
        <v>1</v>
      </c>
      <c r="V3664">
        <f t="shared" si="289"/>
        <v>0</v>
      </c>
    </row>
    <row r="3665" spans="1:22" x14ac:dyDescent="0.25">
      <c r="A3665">
        <v>3662</v>
      </c>
      <c r="B3665" t="s">
        <v>26</v>
      </c>
      <c r="C3665" t="s">
        <v>1218</v>
      </c>
      <c r="D3665" s="4">
        <v>45406</v>
      </c>
      <c r="E3665" t="s">
        <v>1383</v>
      </c>
      <c r="F3665" t="s">
        <v>75</v>
      </c>
      <c r="I3665" s="6">
        <v>1</v>
      </c>
      <c r="J3665" s="6">
        <v>0</v>
      </c>
      <c r="K3665" s="6">
        <v>1</v>
      </c>
      <c r="L3665" s="6">
        <v>1</v>
      </c>
      <c r="M3665" s="6">
        <v>0</v>
      </c>
      <c r="N3665" s="6">
        <v>0</v>
      </c>
      <c r="O3665" s="6">
        <v>0</v>
      </c>
      <c r="P3665" s="6">
        <v>0</v>
      </c>
      <c r="Q3665">
        <v>1</v>
      </c>
      <c r="R3665">
        <f t="shared" si="285"/>
        <v>0</v>
      </c>
      <c r="S3665">
        <f t="shared" si="286"/>
        <v>1</v>
      </c>
      <c r="T3665">
        <f t="shared" si="287"/>
        <v>3</v>
      </c>
      <c r="U3665">
        <f t="shared" si="288"/>
        <v>1</v>
      </c>
      <c r="V3665">
        <f t="shared" si="289"/>
        <v>0</v>
      </c>
    </row>
    <row r="3666" spans="1:22" x14ac:dyDescent="0.25">
      <c r="A3666">
        <v>3663</v>
      </c>
      <c r="B3666" t="s">
        <v>26</v>
      </c>
      <c r="C3666" t="s">
        <v>1218</v>
      </c>
      <c r="D3666" s="4">
        <v>45406</v>
      </c>
      <c r="E3666" t="s">
        <v>2424</v>
      </c>
      <c r="F3666" t="s">
        <v>75</v>
      </c>
      <c r="I3666" s="6"/>
      <c r="J3666" s="6"/>
      <c r="K3666" s="6"/>
      <c r="L3666" s="6"/>
      <c r="M3666" s="6"/>
      <c r="N3666" s="6"/>
      <c r="O3666" s="6"/>
      <c r="P3666" s="6"/>
      <c r="Q3666">
        <v>0</v>
      </c>
      <c r="R3666">
        <f t="shared" si="285"/>
        <v>0</v>
      </c>
      <c r="S3666">
        <f t="shared" si="286"/>
        <v>0</v>
      </c>
      <c r="T3666">
        <f t="shared" si="287"/>
        <v>0</v>
      </c>
      <c r="U3666">
        <f t="shared" si="288"/>
        <v>0</v>
      </c>
      <c r="V3666">
        <f t="shared" si="289"/>
        <v>0</v>
      </c>
    </row>
    <row r="3667" spans="1:22" x14ac:dyDescent="0.25">
      <c r="A3667">
        <v>3664</v>
      </c>
      <c r="B3667" t="s">
        <v>26</v>
      </c>
      <c r="C3667" t="s">
        <v>1218</v>
      </c>
      <c r="D3667" s="4">
        <v>45406</v>
      </c>
      <c r="E3667" t="s">
        <v>2423</v>
      </c>
      <c r="F3667" t="s">
        <v>75</v>
      </c>
      <c r="I3667" s="6"/>
      <c r="J3667" s="6"/>
      <c r="K3667" s="6"/>
      <c r="L3667" s="6"/>
      <c r="M3667" s="6"/>
      <c r="N3667" s="6"/>
      <c r="O3667" s="6"/>
      <c r="P3667" s="6"/>
      <c r="Q3667">
        <v>0</v>
      </c>
      <c r="R3667">
        <f t="shared" si="285"/>
        <v>0</v>
      </c>
      <c r="S3667">
        <f t="shared" si="286"/>
        <v>0</v>
      </c>
      <c r="T3667">
        <f t="shared" si="287"/>
        <v>0</v>
      </c>
      <c r="U3667">
        <f t="shared" si="288"/>
        <v>0</v>
      </c>
      <c r="V3667">
        <f t="shared" si="289"/>
        <v>0</v>
      </c>
    </row>
    <row r="3668" spans="1:22" x14ac:dyDescent="0.25">
      <c r="A3668">
        <v>3665</v>
      </c>
      <c r="B3668" t="s">
        <v>26</v>
      </c>
      <c r="C3668" t="s">
        <v>1218</v>
      </c>
      <c r="D3668" s="4">
        <v>45407</v>
      </c>
      <c r="E3668" t="s">
        <v>304</v>
      </c>
      <c r="F3668" t="s">
        <v>75</v>
      </c>
      <c r="I3668" s="6"/>
      <c r="J3668" s="6"/>
      <c r="K3668" s="6"/>
      <c r="L3668" s="6"/>
      <c r="M3668" s="6"/>
      <c r="N3668" s="6"/>
      <c r="O3668" s="6"/>
      <c r="P3668" s="6"/>
      <c r="Q3668">
        <v>0</v>
      </c>
      <c r="R3668">
        <f t="shared" si="285"/>
        <v>0</v>
      </c>
      <c r="S3668">
        <f t="shared" si="286"/>
        <v>0</v>
      </c>
      <c r="T3668">
        <f t="shared" si="287"/>
        <v>0</v>
      </c>
      <c r="U3668">
        <f t="shared" si="288"/>
        <v>0</v>
      </c>
      <c r="V3668">
        <f t="shared" si="289"/>
        <v>0</v>
      </c>
    </row>
    <row r="3669" spans="1:22" x14ac:dyDescent="0.25">
      <c r="A3669">
        <v>3666</v>
      </c>
      <c r="B3669" t="s">
        <v>26</v>
      </c>
      <c r="C3669" t="s">
        <v>1218</v>
      </c>
      <c r="D3669" s="4">
        <v>45407</v>
      </c>
      <c r="E3669" t="s">
        <v>464</v>
      </c>
      <c r="F3669" t="s">
        <v>75</v>
      </c>
      <c r="I3669" s="6"/>
      <c r="J3669" s="6"/>
      <c r="K3669" s="6"/>
      <c r="L3669" s="6"/>
      <c r="M3669" s="6"/>
      <c r="N3669" s="6"/>
      <c r="O3669" s="6"/>
      <c r="P3669" s="6"/>
      <c r="Q3669">
        <v>0</v>
      </c>
      <c r="R3669">
        <f t="shared" si="285"/>
        <v>0</v>
      </c>
      <c r="S3669">
        <f t="shared" si="286"/>
        <v>0</v>
      </c>
      <c r="T3669">
        <f t="shared" si="287"/>
        <v>0</v>
      </c>
      <c r="U3669">
        <f t="shared" si="288"/>
        <v>0</v>
      </c>
      <c r="V3669">
        <f t="shared" si="289"/>
        <v>0</v>
      </c>
    </row>
    <row r="3670" spans="1:22" x14ac:dyDescent="0.25">
      <c r="A3670">
        <v>3667</v>
      </c>
      <c r="B3670" t="s">
        <v>26</v>
      </c>
      <c r="C3670" t="s">
        <v>1218</v>
      </c>
      <c r="D3670" s="4">
        <v>45407</v>
      </c>
      <c r="E3670" t="s">
        <v>1812</v>
      </c>
      <c r="F3670" t="s">
        <v>75</v>
      </c>
      <c r="I3670" s="6"/>
      <c r="J3670" s="6"/>
      <c r="K3670" s="6"/>
      <c r="L3670" s="6"/>
      <c r="M3670" s="6"/>
      <c r="N3670" s="6"/>
      <c r="O3670" s="6"/>
      <c r="P3670" s="6"/>
      <c r="Q3670">
        <v>0</v>
      </c>
      <c r="R3670">
        <f t="shared" si="285"/>
        <v>0</v>
      </c>
      <c r="S3670">
        <f t="shared" si="286"/>
        <v>0</v>
      </c>
      <c r="T3670">
        <f t="shared" si="287"/>
        <v>0</v>
      </c>
      <c r="U3670">
        <f t="shared" si="288"/>
        <v>0</v>
      </c>
      <c r="V3670">
        <f t="shared" si="289"/>
        <v>0</v>
      </c>
    </row>
    <row r="3671" spans="1:22" x14ac:dyDescent="0.25">
      <c r="A3671">
        <v>3668</v>
      </c>
      <c r="B3671" t="s">
        <v>26</v>
      </c>
      <c r="C3671" t="s">
        <v>1218</v>
      </c>
      <c r="D3671" s="4">
        <v>45407</v>
      </c>
      <c r="E3671" t="s">
        <v>1553</v>
      </c>
      <c r="F3671" t="s">
        <v>75</v>
      </c>
      <c r="I3671" s="6"/>
      <c r="J3671" s="6"/>
      <c r="K3671" s="6"/>
      <c r="L3671" s="6"/>
      <c r="M3671" s="6"/>
      <c r="N3671" s="6"/>
      <c r="O3671" s="6"/>
      <c r="P3671" s="6"/>
      <c r="Q3671">
        <v>0</v>
      </c>
      <c r="R3671">
        <f t="shared" si="285"/>
        <v>0</v>
      </c>
      <c r="S3671">
        <f t="shared" si="286"/>
        <v>0</v>
      </c>
      <c r="T3671">
        <f t="shared" si="287"/>
        <v>0</v>
      </c>
      <c r="U3671">
        <f t="shared" si="288"/>
        <v>0</v>
      </c>
      <c r="V3671">
        <f t="shared" si="289"/>
        <v>0</v>
      </c>
    </row>
    <row r="3672" spans="1:22" x14ac:dyDescent="0.25">
      <c r="A3672">
        <v>3669</v>
      </c>
      <c r="B3672" t="s">
        <v>26</v>
      </c>
      <c r="C3672" t="s">
        <v>1218</v>
      </c>
      <c r="D3672" s="4">
        <v>45407</v>
      </c>
      <c r="E3672" t="s">
        <v>2148</v>
      </c>
      <c r="F3672" t="s">
        <v>75</v>
      </c>
      <c r="I3672" s="6">
        <v>1</v>
      </c>
      <c r="J3672" s="6">
        <v>1</v>
      </c>
      <c r="K3672" s="6">
        <v>0</v>
      </c>
      <c r="L3672" s="6">
        <v>0</v>
      </c>
      <c r="M3672" s="6">
        <v>0</v>
      </c>
      <c r="N3672" s="6">
        <v>0</v>
      </c>
      <c r="O3672" s="6">
        <v>0</v>
      </c>
      <c r="P3672" s="6">
        <v>0</v>
      </c>
      <c r="Q3672">
        <v>1</v>
      </c>
      <c r="R3672">
        <f t="shared" si="285"/>
        <v>0</v>
      </c>
      <c r="S3672">
        <f t="shared" si="286"/>
        <v>1</v>
      </c>
      <c r="T3672">
        <f t="shared" si="287"/>
        <v>2</v>
      </c>
      <c r="U3672">
        <f t="shared" si="288"/>
        <v>1</v>
      </c>
      <c r="V3672">
        <f t="shared" si="289"/>
        <v>0</v>
      </c>
    </row>
    <row r="3673" spans="1:22" x14ac:dyDescent="0.25">
      <c r="A3673">
        <v>3670</v>
      </c>
      <c r="B3673" t="s">
        <v>26</v>
      </c>
      <c r="C3673" t="s">
        <v>1218</v>
      </c>
      <c r="D3673" s="4">
        <v>45407</v>
      </c>
      <c r="E3673" t="s">
        <v>2147</v>
      </c>
      <c r="F3673" t="s">
        <v>75</v>
      </c>
      <c r="I3673" s="6"/>
      <c r="J3673" s="6"/>
      <c r="K3673" s="6"/>
      <c r="L3673" s="6"/>
      <c r="M3673" s="6"/>
      <c r="N3673" s="6"/>
      <c r="O3673" s="6"/>
      <c r="P3673" s="6"/>
      <c r="Q3673">
        <v>0</v>
      </c>
      <c r="R3673">
        <f t="shared" si="285"/>
        <v>0</v>
      </c>
      <c r="S3673">
        <f t="shared" si="286"/>
        <v>0</v>
      </c>
      <c r="T3673">
        <f t="shared" si="287"/>
        <v>0</v>
      </c>
      <c r="U3673">
        <f t="shared" si="288"/>
        <v>0</v>
      </c>
      <c r="V3673">
        <f t="shared" si="289"/>
        <v>0</v>
      </c>
    </row>
    <row r="3674" spans="1:22" x14ac:dyDescent="0.25">
      <c r="A3674">
        <v>3671</v>
      </c>
      <c r="B3674" t="s">
        <v>26</v>
      </c>
      <c r="C3674" t="s">
        <v>1218</v>
      </c>
      <c r="D3674" s="4">
        <v>45407</v>
      </c>
      <c r="E3674" t="s">
        <v>1384</v>
      </c>
      <c r="F3674" t="s">
        <v>710</v>
      </c>
      <c r="G3674">
        <v>176</v>
      </c>
      <c r="I3674" s="6">
        <v>0</v>
      </c>
      <c r="J3674" s="6">
        <v>0</v>
      </c>
      <c r="K3674" s="6">
        <v>0</v>
      </c>
      <c r="L3674" s="6">
        <v>1</v>
      </c>
      <c r="M3674" s="6">
        <v>0</v>
      </c>
      <c r="N3674" s="6">
        <v>1</v>
      </c>
      <c r="O3674" s="6">
        <v>0</v>
      </c>
      <c r="P3674" s="6">
        <v>0</v>
      </c>
      <c r="Q3674">
        <v>1</v>
      </c>
      <c r="R3674">
        <f t="shared" si="285"/>
        <v>0</v>
      </c>
      <c r="S3674">
        <f t="shared" si="286"/>
        <v>0</v>
      </c>
      <c r="T3674">
        <f t="shared" si="287"/>
        <v>2</v>
      </c>
      <c r="U3674">
        <f t="shared" si="288"/>
        <v>1</v>
      </c>
      <c r="V3674">
        <f t="shared" si="289"/>
        <v>0</v>
      </c>
    </row>
    <row r="3675" spans="1:22" x14ac:dyDescent="0.25">
      <c r="A3675">
        <v>3672</v>
      </c>
      <c r="B3675" t="s">
        <v>26</v>
      </c>
      <c r="C3675" t="s">
        <v>1218</v>
      </c>
      <c r="D3675" s="4">
        <v>45408</v>
      </c>
      <c r="E3675" t="s">
        <v>305</v>
      </c>
      <c r="F3675" t="s">
        <v>75</v>
      </c>
      <c r="I3675" s="6"/>
      <c r="J3675" s="6"/>
      <c r="K3675" s="6"/>
      <c r="L3675" s="6"/>
      <c r="M3675" s="6"/>
      <c r="N3675" s="6"/>
      <c r="O3675" s="6"/>
      <c r="P3675" s="6"/>
      <c r="Q3675">
        <v>0</v>
      </c>
      <c r="R3675">
        <f t="shared" si="285"/>
        <v>0</v>
      </c>
      <c r="S3675">
        <f t="shared" si="286"/>
        <v>0</v>
      </c>
      <c r="T3675">
        <f t="shared" si="287"/>
        <v>0</v>
      </c>
      <c r="U3675">
        <f t="shared" si="288"/>
        <v>0</v>
      </c>
      <c r="V3675">
        <f t="shared" si="289"/>
        <v>0</v>
      </c>
    </row>
    <row r="3676" spans="1:22" x14ac:dyDescent="0.25">
      <c r="A3676">
        <v>3673</v>
      </c>
      <c r="B3676" t="s">
        <v>26</v>
      </c>
      <c r="C3676" t="s">
        <v>1218</v>
      </c>
      <c r="D3676" s="4">
        <v>45408</v>
      </c>
      <c r="E3676" t="s">
        <v>2422</v>
      </c>
      <c r="F3676" t="s">
        <v>75</v>
      </c>
      <c r="I3676" s="6"/>
      <c r="J3676" s="6"/>
      <c r="K3676" s="6"/>
      <c r="L3676" s="6"/>
      <c r="M3676" s="6"/>
      <c r="N3676" s="6"/>
      <c r="O3676" s="6"/>
      <c r="P3676" s="6"/>
      <c r="Q3676">
        <v>0</v>
      </c>
      <c r="R3676">
        <f t="shared" si="285"/>
        <v>0</v>
      </c>
      <c r="S3676">
        <f t="shared" si="286"/>
        <v>0</v>
      </c>
      <c r="T3676">
        <f t="shared" si="287"/>
        <v>0</v>
      </c>
      <c r="U3676">
        <f t="shared" si="288"/>
        <v>0</v>
      </c>
      <c r="V3676">
        <f t="shared" si="289"/>
        <v>0</v>
      </c>
    </row>
    <row r="3677" spans="1:22" x14ac:dyDescent="0.25">
      <c r="A3677">
        <v>3674</v>
      </c>
      <c r="B3677" t="s">
        <v>26</v>
      </c>
      <c r="C3677" t="s">
        <v>1218</v>
      </c>
      <c r="D3677" s="4">
        <v>45408</v>
      </c>
      <c r="E3677" t="s">
        <v>2421</v>
      </c>
      <c r="F3677" t="s">
        <v>75</v>
      </c>
      <c r="I3677" s="6"/>
      <c r="J3677" s="6"/>
      <c r="K3677" s="6"/>
      <c r="L3677" s="6"/>
      <c r="M3677" s="6"/>
      <c r="N3677" s="6"/>
      <c r="O3677" s="6"/>
      <c r="P3677" s="6"/>
      <c r="Q3677">
        <v>0</v>
      </c>
      <c r="R3677">
        <f t="shared" si="285"/>
        <v>0</v>
      </c>
      <c r="S3677">
        <f t="shared" si="286"/>
        <v>0</v>
      </c>
      <c r="T3677">
        <f t="shared" si="287"/>
        <v>0</v>
      </c>
      <c r="U3677">
        <f t="shared" si="288"/>
        <v>0</v>
      </c>
      <c r="V3677">
        <f t="shared" si="289"/>
        <v>0</v>
      </c>
    </row>
    <row r="3678" spans="1:22" x14ac:dyDescent="0.25">
      <c r="A3678">
        <v>3675</v>
      </c>
      <c r="B3678" t="s">
        <v>26</v>
      </c>
      <c r="C3678" t="s">
        <v>1218</v>
      </c>
      <c r="D3678" s="4">
        <v>45408</v>
      </c>
      <c r="E3678" t="s">
        <v>306</v>
      </c>
      <c r="F3678" t="s">
        <v>75</v>
      </c>
      <c r="I3678" s="6">
        <v>1</v>
      </c>
      <c r="J3678" s="6">
        <v>0</v>
      </c>
      <c r="K3678" s="6">
        <v>0</v>
      </c>
      <c r="L3678" s="6">
        <v>1</v>
      </c>
      <c r="M3678" s="6">
        <v>0</v>
      </c>
      <c r="N3678" s="6">
        <v>0</v>
      </c>
      <c r="O3678" s="6">
        <v>0</v>
      </c>
      <c r="P3678" s="6">
        <v>0</v>
      </c>
      <c r="Q3678">
        <v>1</v>
      </c>
      <c r="R3678">
        <f t="shared" si="285"/>
        <v>0</v>
      </c>
      <c r="S3678">
        <f t="shared" si="286"/>
        <v>1</v>
      </c>
      <c r="T3678">
        <f t="shared" si="287"/>
        <v>2</v>
      </c>
      <c r="U3678">
        <f t="shared" si="288"/>
        <v>1</v>
      </c>
      <c r="V3678">
        <f t="shared" si="289"/>
        <v>0</v>
      </c>
    </row>
    <row r="3679" spans="1:22" x14ac:dyDescent="0.25">
      <c r="A3679">
        <v>3676</v>
      </c>
      <c r="B3679" t="s">
        <v>26</v>
      </c>
      <c r="C3679" t="s">
        <v>1218</v>
      </c>
      <c r="D3679" s="4">
        <v>45408</v>
      </c>
      <c r="E3679" t="s">
        <v>307</v>
      </c>
      <c r="F3679" t="s">
        <v>75</v>
      </c>
      <c r="I3679" s="6"/>
      <c r="J3679" s="6"/>
      <c r="K3679" s="6"/>
      <c r="L3679" s="6"/>
      <c r="M3679" s="6"/>
      <c r="N3679" s="6"/>
      <c r="O3679" s="6"/>
      <c r="P3679" s="6"/>
      <c r="Q3679">
        <v>0</v>
      </c>
      <c r="R3679">
        <f t="shared" si="285"/>
        <v>0</v>
      </c>
      <c r="S3679">
        <f t="shared" si="286"/>
        <v>0</v>
      </c>
      <c r="T3679">
        <f t="shared" si="287"/>
        <v>0</v>
      </c>
      <c r="U3679">
        <f t="shared" si="288"/>
        <v>0</v>
      </c>
      <c r="V3679">
        <f t="shared" si="289"/>
        <v>0</v>
      </c>
    </row>
    <row r="3680" spans="1:22" x14ac:dyDescent="0.25">
      <c r="A3680">
        <v>3677</v>
      </c>
      <c r="B3680" t="s">
        <v>26</v>
      </c>
      <c r="C3680" t="s">
        <v>1218</v>
      </c>
      <c r="D3680" s="4">
        <v>45408</v>
      </c>
      <c r="E3680" t="s">
        <v>2028</v>
      </c>
      <c r="F3680" t="s">
        <v>75</v>
      </c>
      <c r="I3680" s="6"/>
      <c r="J3680" s="6"/>
      <c r="K3680" s="6"/>
      <c r="L3680" s="6"/>
      <c r="M3680" s="6"/>
      <c r="N3680" s="6"/>
      <c r="O3680" s="6"/>
      <c r="P3680" s="6"/>
      <c r="Q3680">
        <v>0</v>
      </c>
      <c r="R3680">
        <f t="shared" si="285"/>
        <v>0</v>
      </c>
      <c r="S3680">
        <f t="shared" si="286"/>
        <v>0</v>
      </c>
      <c r="T3680">
        <f t="shared" si="287"/>
        <v>0</v>
      </c>
      <c r="U3680">
        <f t="shared" si="288"/>
        <v>0</v>
      </c>
      <c r="V3680">
        <f t="shared" si="289"/>
        <v>0</v>
      </c>
    </row>
    <row r="3681" spans="1:22" x14ac:dyDescent="0.25">
      <c r="A3681">
        <v>3678</v>
      </c>
      <c r="B3681" t="s">
        <v>26</v>
      </c>
      <c r="C3681" t="s">
        <v>1218</v>
      </c>
      <c r="D3681" s="4">
        <v>45408</v>
      </c>
      <c r="E3681" t="s">
        <v>308</v>
      </c>
      <c r="F3681" t="s">
        <v>75</v>
      </c>
      <c r="I3681" s="6"/>
      <c r="J3681" s="6"/>
      <c r="K3681" s="6"/>
      <c r="L3681" s="6"/>
      <c r="M3681" s="6"/>
      <c r="N3681" s="6"/>
      <c r="O3681" s="6"/>
      <c r="P3681" s="6"/>
      <c r="Q3681">
        <v>0</v>
      </c>
      <c r="R3681">
        <f t="shared" si="285"/>
        <v>0</v>
      </c>
      <c r="S3681">
        <f t="shared" si="286"/>
        <v>0</v>
      </c>
      <c r="T3681">
        <f t="shared" si="287"/>
        <v>0</v>
      </c>
      <c r="U3681">
        <f t="shared" si="288"/>
        <v>0</v>
      </c>
      <c r="V3681">
        <f t="shared" si="289"/>
        <v>0</v>
      </c>
    </row>
    <row r="3682" spans="1:22" x14ac:dyDescent="0.25">
      <c r="A3682">
        <v>3679</v>
      </c>
      <c r="B3682" t="s">
        <v>26</v>
      </c>
      <c r="C3682" t="s">
        <v>1218</v>
      </c>
      <c r="D3682" s="4">
        <v>45408</v>
      </c>
      <c r="E3682" t="s">
        <v>2146</v>
      </c>
      <c r="F3682" t="s">
        <v>75</v>
      </c>
      <c r="I3682" s="6"/>
      <c r="J3682" s="6"/>
      <c r="K3682" s="6"/>
      <c r="L3682" s="6"/>
      <c r="M3682" s="6"/>
      <c r="N3682" s="6"/>
      <c r="O3682" s="6"/>
      <c r="P3682" s="6"/>
      <c r="Q3682">
        <v>0</v>
      </c>
      <c r="R3682">
        <f t="shared" si="285"/>
        <v>0</v>
      </c>
      <c r="S3682">
        <f t="shared" si="286"/>
        <v>0</v>
      </c>
      <c r="T3682">
        <f t="shared" si="287"/>
        <v>0</v>
      </c>
      <c r="U3682">
        <f t="shared" si="288"/>
        <v>0</v>
      </c>
      <c r="V3682">
        <f t="shared" si="289"/>
        <v>0</v>
      </c>
    </row>
    <row r="3683" spans="1:22" x14ac:dyDescent="0.25">
      <c r="A3683">
        <v>3680</v>
      </c>
      <c r="B3683" t="s">
        <v>26</v>
      </c>
      <c r="C3683" t="s">
        <v>1218</v>
      </c>
      <c r="D3683" s="4">
        <v>45408</v>
      </c>
      <c r="E3683" t="s">
        <v>2145</v>
      </c>
      <c r="F3683" t="s">
        <v>75</v>
      </c>
      <c r="I3683" s="6"/>
      <c r="J3683" s="6"/>
      <c r="K3683" s="6"/>
      <c r="L3683" s="6"/>
      <c r="M3683" s="6"/>
      <c r="N3683" s="6"/>
      <c r="O3683" s="6"/>
      <c r="P3683" s="6"/>
      <c r="Q3683">
        <v>0</v>
      </c>
      <c r="R3683">
        <f t="shared" si="285"/>
        <v>0</v>
      </c>
      <c r="S3683">
        <f t="shared" si="286"/>
        <v>0</v>
      </c>
      <c r="T3683">
        <f t="shared" si="287"/>
        <v>0</v>
      </c>
      <c r="U3683">
        <f t="shared" si="288"/>
        <v>0</v>
      </c>
      <c r="V3683">
        <f t="shared" si="289"/>
        <v>0</v>
      </c>
    </row>
    <row r="3684" spans="1:22" x14ac:dyDescent="0.25">
      <c r="A3684">
        <v>3681</v>
      </c>
      <c r="B3684" t="s">
        <v>26</v>
      </c>
      <c r="C3684" t="s">
        <v>1218</v>
      </c>
      <c r="D3684" s="4">
        <v>45408</v>
      </c>
      <c r="E3684" t="s">
        <v>2144</v>
      </c>
      <c r="F3684" t="s">
        <v>75</v>
      </c>
      <c r="I3684" s="6">
        <v>1</v>
      </c>
      <c r="J3684" s="6">
        <v>1</v>
      </c>
      <c r="K3684" s="6">
        <v>1</v>
      </c>
      <c r="L3684" s="6">
        <v>1</v>
      </c>
      <c r="M3684" s="6">
        <v>0</v>
      </c>
      <c r="N3684" s="6">
        <v>0</v>
      </c>
      <c r="O3684" s="6">
        <v>0</v>
      </c>
      <c r="P3684" s="6">
        <v>0</v>
      </c>
      <c r="Q3684">
        <v>1</v>
      </c>
      <c r="R3684">
        <f t="shared" si="285"/>
        <v>0</v>
      </c>
      <c r="S3684">
        <f t="shared" si="286"/>
        <v>1</v>
      </c>
      <c r="T3684">
        <f t="shared" si="287"/>
        <v>4</v>
      </c>
      <c r="U3684">
        <f t="shared" si="288"/>
        <v>1</v>
      </c>
      <c r="V3684">
        <f t="shared" si="289"/>
        <v>0</v>
      </c>
    </row>
    <row r="3685" spans="1:22" x14ac:dyDescent="0.25">
      <c r="A3685">
        <v>3682</v>
      </c>
      <c r="B3685" t="s">
        <v>26</v>
      </c>
      <c r="C3685" t="s">
        <v>1218</v>
      </c>
      <c r="D3685" s="4">
        <v>45408</v>
      </c>
      <c r="E3685" t="s">
        <v>1385</v>
      </c>
      <c r="F3685" t="s">
        <v>710</v>
      </c>
      <c r="G3685">
        <v>177</v>
      </c>
      <c r="I3685" s="6">
        <v>1</v>
      </c>
      <c r="J3685" s="6">
        <v>0</v>
      </c>
      <c r="K3685" s="6">
        <v>0</v>
      </c>
      <c r="L3685" s="6">
        <v>1</v>
      </c>
      <c r="M3685" s="6">
        <v>0</v>
      </c>
      <c r="N3685" s="6">
        <v>0</v>
      </c>
      <c r="O3685" s="6">
        <v>0</v>
      </c>
      <c r="P3685" s="6">
        <v>0</v>
      </c>
      <c r="Q3685">
        <v>1</v>
      </c>
      <c r="R3685">
        <f t="shared" si="285"/>
        <v>0</v>
      </c>
      <c r="S3685">
        <f t="shared" si="286"/>
        <v>0</v>
      </c>
      <c r="T3685">
        <f t="shared" si="287"/>
        <v>2</v>
      </c>
      <c r="U3685">
        <f t="shared" si="288"/>
        <v>1</v>
      </c>
      <c r="V3685">
        <f t="shared" si="289"/>
        <v>0</v>
      </c>
    </row>
    <row r="3686" spans="1:22" x14ac:dyDescent="0.25">
      <c r="A3686">
        <v>3683</v>
      </c>
      <c r="B3686" t="s">
        <v>26</v>
      </c>
      <c r="C3686" t="s">
        <v>1218</v>
      </c>
      <c r="D3686" s="4">
        <v>45409</v>
      </c>
      <c r="E3686" t="s">
        <v>1480</v>
      </c>
      <c r="F3686" t="s">
        <v>75</v>
      </c>
      <c r="I3686" s="6"/>
      <c r="J3686" s="6"/>
      <c r="K3686" s="6"/>
      <c r="L3686" s="6"/>
      <c r="M3686" s="6"/>
      <c r="N3686" s="6"/>
      <c r="O3686" s="6"/>
      <c r="P3686" s="6"/>
      <c r="Q3686">
        <v>0</v>
      </c>
      <c r="R3686">
        <f t="shared" si="285"/>
        <v>0</v>
      </c>
      <c r="S3686">
        <f t="shared" si="286"/>
        <v>0</v>
      </c>
      <c r="T3686">
        <f t="shared" si="287"/>
        <v>0</v>
      </c>
      <c r="U3686">
        <f t="shared" si="288"/>
        <v>0</v>
      </c>
      <c r="V3686">
        <f t="shared" si="289"/>
        <v>0</v>
      </c>
    </row>
    <row r="3687" spans="1:22" x14ac:dyDescent="0.25">
      <c r="A3687">
        <v>3684</v>
      </c>
      <c r="B3687" t="s">
        <v>26</v>
      </c>
      <c r="C3687" t="s">
        <v>1218</v>
      </c>
      <c r="D3687" s="4">
        <v>45409</v>
      </c>
      <c r="E3687" t="s">
        <v>309</v>
      </c>
      <c r="F3687" t="s">
        <v>75</v>
      </c>
      <c r="I3687" s="6"/>
      <c r="J3687" s="6"/>
      <c r="K3687" s="6"/>
      <c r="L3687" s="6"/>
      <c r="M3687" s="6"/>
      <c r="N3687" s="6"/>
      <c r="O3687" s="6"/>
      <c r="P3687" s="6"/>
      <c r="Q3687">
        <v>0</v>
      </c>
      <c r="R3687">
        <f t="shared" si="285"/>
        <v>0</v>
      </c>
      <c r="S3687">
        <f t="shared" si="286"/>
        <v>0</v>
      </c>
      <c r="T3687">
        <f t="shared" si="287"/>
        <v>0</v>
      </c>
      <c r="U3687">
        <f t="shared" si="288"/>
        <v>0</v>
      </c>
      <c r="V3687">
        <f t="shared" si="289"/>
        <v>0</v>
      </c>
    </row>
    <row r="3688" spans="1:22" x14ac:dyDescent="0.25">
      <c r="A3688">
        <v>3685</v>
      </c>
      <c r="B3688" t="s">
        <v>26</v>
      </c>
      <c r="C3688" t="s">
        <v>1218</v>
      </c>
      <c r="D3688" s="4">
        <v>45410</v>
      </c>
      <c r="E3688" t="s">
        <v>879</v>
      </c>
      <c r="F3688" t="s">
        <v>75</v>
      </c>
      <c r="I3688" s="6">
        <v>0</v>
      </c>
      <c r="J3688" s="6">
        <v>0</v>
      </c>
      <c r="K3688" s="6">
        <v>0</v>
      </c>
      <c r="L3688" s="6">
        <v>0</v>
      </c>
      <c r="M3688" s="6">
        <v>0</v>
      </c>
      <c r="N3688" s="6">
        <v>0</v>
      </c>
      <c r="O3688" s="6">
        <v>0</v>
      </c>
      <c r="P3688" s="6">
        <v>0</v>
      </c>
      <c r="Q3688">
        <v>1</v>
      </c>
      <c r="R3688">
        <f t="shared" si="285"/>
        <v>0</v>
      </c>
      <c r="S3688">
        <f t="shared" si="286"/>
        <v>1</v>
      </c>
      <c r="T3688">
        <f t="shared" si="287"/>
        <v>0</v>
      </c>
      <c r="U3688">
        <f t="shared" si="288"/>
        <v>0</v>
      </c>
      <c r="V3688">
        <f t="shared" si="289"/>
        <v>0</v>
      </c>
    </row>
    <row r="3689" spans="1:22" x14ac:dyDescent="0.25">
      <c r="A3689">
        <v>3686</v>
      </c>
      <c r="B3689" t="s">
        <v>26</v>
      </c>
      <c r="C3689" t="s">
        <v>1218</v>
      </c>
      <c r="D3689" s="4">
        <v>45411</v>
      </c>
      <c r="E3689" t="s">
        <v>1386</v>
      </c>
      <c r="F3689" t="s">
        <v>75</v>
      </c>
      <c r="I3689" s="6">
        <v>0</v>
      </c>
      <c r="J3689" s="6">
        <v>0</v>
      </c>
      <c r="K3689" s="6">
        <v>1</v>
      </c>
      <c r="L3689" s="6">
        <v>0</v>
      </c>
      <c r="M3689" s="6">
        <v>0</v>
      </c>
      <c r="N3689" s="6">
        <v>0</v>
      </c>
      <c r="O3689" s="6">
        <v>0</v>
      </c>
      <c r="P3689" s="6">
        <v>0</v>
      </c>
      <c r="Q3689">
        <v>1</v>
      </c>
      <c r="R3689">
        <f t="shared" si="285"/>
        <v>0</v>
      </c>
      <c r="S3689">
        <f t="shared" si="286"/>
        <v>1</v>
      </c>
      <c r="T3689">
        <f t="shared" si="287"/>
        <v>1</v>
      </c>
      <c r="U3689">
        <f t="shared" si="288"/>
        <v>1</v>
      </c>
      <c r="V3689">
        <f t="shared" si="289"/>
        <v>0</v>
      </c>
    </row>
    <row r="3690" spans="1:22" x14ac:dyDescent="0.25">
      <c r="A3690">
        <v>3687</v>
      </c>
      <c r="B3690" t="s">
        <v>26</v>
      </c>
      <c r="C3690" t="s">
        <v>1218</v>
      </c>
      <c r="D3690" s="4">
        <v>45411</v>
      </c>
      <c r="E3690" t="s">
        <v>1075</v>
      </c>
      <c r="F3690" t="s">
        <v>75</v>
      </c>
      <c r="I3690" s="6"/>
      <c r="J3690" s="6"/>
      <c r="K3690" s="6"/>
      <c r="L3690" s="6"/>
      <c r="M3690" s="6"/>
      <c r="N3690" s="6"/>
      <c r="O3690" s="6"/>
      <c r="P3690" s="6"/>
      <c r="Q3690">
        <v>0</v>
      </c>
      <c r="R3690">
        <f t="shared" si="285"/>
        <v>0</v>
      </c>
      <c r="S3690">
        <f t="shared" si="286"/>
        <v>0</v>
      </c>
      <c r="T3690">
        <f t="shared" si="287"/>
        <v>0</v>
      </c>
      <c r="U3690">
        <f t="shared" si="288"/>
        <v>0</v>
      </c>
      <c r="V3690">
        <f t="shared" si="289"/>
        <v>0</v>
      </c>
    </row>
    <row r="3691" spans="1:22" x14ac:dyDescent="0.25">
      <c r="A3691">
        <v>3688</v>
      </c>
      <c r="B3691" t="s">
        <v>26</v>
      </c>
      <c r="C3691" t="s">
        <v>1218</v>
      </c>
      <c r="D3691" s="4">
        <v>45411</v>
      </c>
      <c r="E3691" t="s">
        <v>1076</v>
      </c>
      <c r="F3691" t="s">
        <v>710</v>
      </c>
      <c r="G3691">
        <v>178</v>
      </c>
      <c r="I3691" s="6">
        <v>0</v>
      </c>
      <c r="J3691" s="6">
        <v>0</v>
      </c>
      <c r="K3691" s="6">
        <v>0</v>
      </c>
      <c r="L3691" s="6">
        <v>1</v>
      </c>
      <c r="M3691" s="6">
        <v>0</v>
      </c>
      <c r="N3691" s="6">
        <v>0</v>
      </c>
      <c r="O3691" s="6">
        <v>0</v>
      </c>
      <c r="P3691" s="6">
        <v>0</v>
      </c>
      <c r="Q3691">
        <v>1</v>
      </c>
      <c r="R3691">
        <f t="shared" si="285"/>
        <v>0</v>
      </c>
      <c r="S3691">
        <f t="shared" si="286"/>
        <v>0</v>
      </c>
      <c r="T3691">
        <f t="shared" si="287"/>
        <v>1</v>
      </c>
      <c r="U3691">
        <f t="shared" si="288"/>
        <v>1</v>
      </c>
      <c r="V3691">
        <f t="shared" si="289"/>
        <v>0</v>
      </c>
    </row>
    <row r="3692" spans="1:22" x14ac:dyDescent="0.25">
      <c r="A3692">
        <v>3689</v>
      </c>
      <c r="B3692" t="s">
        <v>26</v>
      </c>
      <c r="C3692" t="s">
        <v>1218</v>
      </c>
      <c r="D3692" s="4">
        <v>45411</v>
      </c>
      <c r="E3692" t="s">
        <v>1158</v>
      </c>
      <c r="F3692" t="s">
        <v>75</v>
      </c>
      <c r="I3692" s="6"/>
      <c r="J3692" s="6"/>
      <c r="K3692" s="6"/>
      <c r="L3692" s="6"/>
      <c r="M3692" s="6"/>
      <c r="N3692" s="6"/>
      <c r="O3692" s="6"/>
      <c r="P3692" s="6"/>
      <c r="Q3692">
        <v>0</v>
      </c>
      <c r="R3692">
        <f t="shared" si="285"/>
        <v>0</v>
      </c>
      <c r="S3692">
        <f t="shared" si="286"/>
        <v>0</v>
      </c>
      <c r="T3692">
        <f t="shared" si="287"/>
        <v>0</v>
      </c>
      <c r="U3692">
        <f t="shared" si="288"/>
        <v>0</v>
      </c>
      <c r="V3692">
        <f t="shared" si="289"/>
        <v>0</v>
      </c>
    </row>
    <row r="3693" spans="1:22" x14ac:dyDescent="0.25">
      <c r="A3693">
        <v>3690</v>
      </c>
      <c r="B3693" t="s">
        <v>26</v>
      </c>
      <c r="C3693" t="s">
        <v>1218</v>
      </c>
      <c r="D3693" s="4">
        <v>45411</v>
      </c>
      <c r="E3693" t="s">
        <v>1077</v>
      </c>
      <c r="F3693" t="s">
        <v>75</v>
      </c>
      <c r="I3693" s="6"/>
      <c r="J3693" s="6"/>
      <c r="K3693" s="6"/>
      <c r="L3693" s="6"/>
      <c r="M3693" s="6"/>
      <c r="N3693" s="6"/>
      <c r="O3693" s="6"/>
      <c r="P3693" s="6"/>
      <c r="Q3693">
        <v>0</v>
      </c>
      <c r="R3693">
        <f t="shared" si="285"/>
        <v>0</v>
      </c>
      <c r="S3693">
        <f t="shared" si="286"/>
        <v>0</v>
      </c>
      <c r="T3693">
        <f t="shared" si="287"/>
        <v>0</v>
      </c>
      <c r="U3693">
        <f t="shared" si="288"/>
        <v>0</v>
      </c>
      <c r="V3693">
        <f t="shared" si="289"/>
        <v>0</v>
      </c>
    </row>
    <row r="3694" spans="1:22" x14ac:dyDescent="0.25">
      <c r="A3694">
        <v>3691</v>
      </c>
      <c r="B3694" t="s">
        <v>26</v>
      </c>
      <c r="C3694" t="s">
        <v>1218</v>
      </c>
      <c r="D3694" s="4">
        <v>45411</v>
      </c>
      <c r="E3694" t="s">
        <v>1481</v>
      </c>
      <c r="F3694" t="s">
        <v>75</v>
      </c>
      <c r="I3694" s="6"/>
      <c r="J3694" s="6"/>
      <c r="K3694" s="6"/>
      <c r="L3694" s="6"/>
      <c r="M3694" s="6"/>
      <c r="N3694" s="6"/>
      <c r="O3694" s="6"/>
      <c r="P3694" s="6"/>
      <c r="Q3694">
        <v>0</v>
      </c>
      <c r="R3694">
        <f t="shared" si="285"/>
        <v>0</v>
      </c>
      <c r="S3694">
        <f t="shared" si="286"/>
        <v>0</v>
      </c>
      <c r="T3694">
        <f t="shared" si="287"/>
        <v>0</v>
      </c>
      <c r="U3694">
        <f t="shared" si="288"/>
        <v>0</v>
      </c>
      <c r="V3694">
        <f t="shared" si="289"/>
        <v>0</v>
      </c>
    </row>
    <row r="3695" spans="1:22" x14ac:dyDescent="0.25">
      <c r="A3695">
        <v>3692</v>
      </c>
      <c r="B3695" t="s">
        <v>26</v>
      </c>
      <c r="C3695" t="s">
        <v>1218</v>
      </c>
      <c r="D3695" s="4">
        <v>45411</v>
      </c>
      <c r="E3695" t="s">
        <v>1387</v>
      </c>
      <c r="F3695" t="s">
        <v>710</v>
      </c>
      <c r="G3695">
        <v>179</v>
      </c>
      <c r="I3695" s="6">
        <v>0</v>
      </c>
      <c r="J3695" s="6">
        <v>0</v>
      </c>
      <c r="K3695" s="6">
        <v>0</v>
      </c>
      <c r="L3695" s="6">
        <v>0</v>
      </c>
      <c r="M3695" s="6">
        <v>1</v>
      </c>
      <c r="N3695" s="6">
        <v>0</v>
      </c>
      <c r="O3695" s="6">
        <v>0</v>
      </c>
      <c r="P3695" s="6">
        <v>0</v>
      </c>
      <c r="Q3695">
        <v>1</v>
      </c>
      <c r="R3695">
        <f t="shared" si="285"/>
        <v>0</v>
      </c>
      <c r="S3695">
        <f t="shared" si="286"/>
        <v>0</v>
      </c>
      <c r="T3695">
        <f t="shared" si="287"/>
        <v>1</v>
      </c>
      <c r="U3695">
        <f t="shared" si="288"/>
        <v>1</v>
      </c>
      <c r="V3695">
        <f t="shared" si="289"/>
        <v>0</v>
      </c>
    </row>
    <row r="3696" spans="1:22" x14ac:dyDescent="0.25">
      <c r="A3696">
        <v>3693</v>
      </c>
      <c r="B3696" t="s">
        <v>26</v>
      </c>
      <c r="C3696" t="s">
        <v>1218</v>
      </c>
      <c r="D3696" s="4">
        <v>45412</v>
      </c>
      <c r="E3696" t="s">
        <v>1159</v>
      </c>
      <c r="F3696" t="s">
        <v>413</v>
      </c>
      <c r="G3696">
        <v>180</v>
      </c>
      <c r="H3696" t="s">
        <v>1388</v>
      </c>
      <c r="I3696" s="6">
        <v>1</v>
      </c>
      <c r="J3696" s="6">
        <v>0</v>
      </c>
      <c r="K3696" s="6">
        <v>0</v>
      </c>
      <c r="L3696" s="6">
        <v>1</v>
      </c>
      <c r="M3696" s="6">
        <v>0</v>
      </c>
      <c r="N3696" s="6">
        <v>0</v>
      </c>
      <c r="O3696" s="6">
        <v>0</v>
      </c>
      <c r="P3696" s="6">
        <v>0</v>
      </c>
      <c r="Q3696">
        <v>1</v>
      </c>
      <c r="R3696">
        <f t="shared" si="285"/>
        <v>1</v>
      </c>
      <c r="S3696">
        <f t="shared" si="286"/>
        <v>0</v>
      </c>
      <c r="T3696">
        <f t="shared" si="287"/>
        <v>2</v>
      </c>
      <c r="U3696">
        <f t="shared" si="288"/>
        <v>1</v>
      </c>
      <c r="V3696">
        <f t="shared" si="289"/>
        <v>1</v>
      </c>
    </row>
    <row r="3697" spans="1:22" x14ac:dyDescent="0.25">
      <c r="A3697">
        <v>3694</v>
      </c>
      <c r="B3697" t="s">
        <v>26</v>
      </c>
      <c r="C3697" t="s">
        <v>1218</v>
      </c>
      <c r="D3697" s="4">
        <v>45412</v>
      </c>
      <c r="E3697" t="s">
        <v>880</v>
      </c>
      <c r="F3697" t="s">
        <v>75</v>
      </c>
      <c r="I3697" s="6"/>
      <c r="J3697" s="6"/>
      <c r="K3697" s="6"/>
      <c r="L3697" s="6"/>
      <c r="M3697" s="6"/>
      <c r="N3697" s="6"/>
      <c r="O3697" s="6"/>
      <c r="P3697" s="6"/>
      <c r="Q3697">
        <v>0</v>
      </c>
      <c r="R3697">
        <f t="shared" si="285"/>
        <v>0</v>
      </c>
      <c r="S3697">
        <f t="shared" si="286"/>
        <v>0</v>
      </c>
      <c r="T3697">
        <f t="shared" si="287"/>
        <v>0</v>
      </c>
      <c r="U3697">
        <f t="shared" si="288"/>
        <v>0</v>
      </c>
      <c r="V3697">
        <f t="shared" si="289"/>
        <v>0</v>
      </c>
    </row>
    <row r="3698" spans="1:22" x14ac:dyDescent="0.25">
      <c r="A3698">
        <v>3695</v>
      </c>
      <c r="B3698" t="s">
        <v>26</v>
      </c>
      <c r="C3698" t="s">
        <v>1218</v>
      </c>
      <c r="D3698" s="4">
        <v>45412</v>
      </c>
      <c r="E3698" t="s">
        <v>1160</v>
      </c>
      <c r="F3698" t="s">
        <v>75</v>
      </c>
      <c r="I3698" s="6"/>
      <c r="J3698" s="6"/>
      <c r="K3698" s="6"/>
      <c r="L3698" s="6"/>
      <c r="M3698" s="6"/>
      <c r="N3698" s="6"/>
      <c r="O3698" s="6"/>
      <c r="P3698" s="6"/>
      <c r="Q3698">
        <v>0</v>
      </c>
      <c r="R3698">
        <f t="shared" si="285"/>
        <v>0</v>
      </c>
      <c r="S3698">
        <f t="shared" si="286"/>
        <v>0</v>
      </c>
      <c r="T3698">
        <f t="shared" si="287"/>
        <v>0</v>
      </c>
      <c r="U3698">
        <f t="shared" si="288"/>
        <v>0</v>
      </c>
      <c r="V3698">
        <f t="shared" si="289"/>
        <v>0</v>
      </c>
    </row>
    <row r="3699" spans="1:22" x14ac:dyDescent="0.25">
      <c r="A3699">
        <v>3696</v>
      </c>
      <c r="B3699" t="s">
        <v>26</v>
      </c>
      <c r="C3699" t="s">
        <v>1218</v>
      </c>
      <c r="D3699" s="4">
        <v>45412</v>
      </c>
      <c r="E3699" t="s">
        <v>2027</v>
      </c>
      <c r="F3699" t="s">
        <v>75</v>
      </c>
      <c r="I3699" s="6"/>
      <c r="J3699" s="6"/>
      <c r="K3699" s="6"/>
      <c r="L3699" s="6"/>
      <c r="M3699" s="6"/>
      <c r="N3699" s="6"/>
      <c r="O3699" s="6"/>
      <c r="P3699" s="6"/>
      <c r="Q3699">
        <v>0</v>
      </c>
      <c r="R3699">
        <f t="shared" si="285"/>
        <v>0</v>
      </c>
      <c r="S3699">
        <f t="shared" si="286"/>
        <v>0</v>
      </c>
      <c r="T3699">
        <f t="shared" si="287"/>
        <v>0</v>
      </c>
      <c r="U3699">
        <f t="shared" si="288"/>
        <v>0</v>
      </c>
      <c r="V3699">
        <f t="shared" si="289"/>
        <v>0</v>
      </c>
    </row>
    <row r="3700" spans="1:22" x14ac:dyDescent="0.25">
      <c r="A3700">
        <v>3697</v>
      </c>
      <c r="B3700" t="s">
        <v>26</v>
      </c>
      <c r="C3700" t="s">
        <v>1218</v>
      </c>
      <c r="D3700" s="4">
        <v>45412</v>
      </c>
      <c r="E3700" t="s">
        <v>1389</v>
      </c>
      <c r="F3700" t="s">
        <v>710</v>
      </c>
      <c r="G3700">
        <v>181</v>
      </c>
      <c r="I3700" s="6">
        <v>0</v>
      </c>
      <c r="J3700" s="6">
        <v>0</v>
      </c>
      <c r="K3700" s="6">
        <v>0</v>
      </c>
      <c r="L3700" s="6">
        <v>1</v>
      </c>
      <c r="M3700" s="6">
        <v>0</v>
      </c>
      <c r="N3700" s="6">
        <v>0</v>
      </c>
      <c r="O3700" s="6">
        <v>0</v>
      </c>
      <c r="P3700" s="6">
        <v>0</v>
      </c>
      <c r="Q3700">
        <v>1</v>
      </c>
      <c r="R3700">
        <f t="shared" si="285"/>
        <v>0</v>
      </c>
      <c r="S3700">
        <f t="shared" si="286"/>
        <v>0</v>
      </c>
      <c r="T3700">
        <f t="shared" si="287"/>
        <v>1</v>
      </c>
      <c r="U3700">
        <f t="shared" si="288"/>
        <v>1</v>
      </c>
      <c r="V3700">
        <f t="shared" si="289"/>
        <v>0</v>
      </c>
    </row>
    <row r="3701" spans="1:22" x14ac:dyDescent="0.25">
      <c r="A3701">
        <v>3698</v>
      </c>
      <c r="B3701" t="s">
        <v>26</v>
      </c>
      <c r="C3701" t="s">
        <v>1218</v>
      </c>
      <c r="D3701" s="4">
        <v>45412</v>
      </c>
      <c r="E3701" t="s">
        <v>2141</v>
      </c>
      <c r="F3701" t="s">
        <v>75</v>
      </c>
      <c r="I3701" s="6"/>
      <c r="J3701" s="6"/>
      <c r="K3701" s="6"/>
      <c r="L3701" s="6"/>
      <c r="M3701" s="6"/>
      <c r="N3701" s="6"/>
      <c r="O3701" s="6"/>
      <c r="P3701" s="6"/>
      <c r="Q3701">
        <v>0</v>
      </c>
      <c r="R3701">
        <f t="shared" si="285"/>
        <v>0</v>
      </c>
      <c r="S3701">
        <f t="shared" si="286"/>
        <v>0</v>
      </c>
      <c r="T3701">
        <f t="shared" si="287"/>
        <v>0</v>
      </c>
      <c r="U3701">
        <f t="shared" si="288"/>
        <v>0</v>
      </c>
      <c r="V3701">
        <f t="shared" si="289"/>
        <v>0</v>
      </c>
    </row>
    <row r="3702" spans="1:22" x14ac:dyDescent="0.25">
      <c r="A3702">
        <v>3699</v>
      </c>
      <c r="B3702" t="s">
        <v>26</v>
      </c>
      <c r="C3702" t="s">
        <v>1218</v>
      </c>
      <c r="D3702" s="4">
        <v>45413</v>
      </c>
      <c r="E3702" t="s">
        <v>467</v>
      </c>
      <c r="F3702" t="s">
        <v>710</v>
      </c>
      <c r="G3702">
        <v>182</v>
      </c>
      <c r="I3702" s="6">
        <v>0</v>
      </c>
      <c r="J3702" s="6">
        <v>0</v>
      </c>
      <c r="K3702" s="6">
        <v>0</v>
      </c>
      <c r="L3702" s="6">
        <v>1</v>
      </c>
      <c r="M3702" s="6">
        <v>0</v>
      </c>
      <c r="N3702" s="6">
        <v>0</v>
      </c>
      <c r="O3702" s="6">
        <v>0</v>
      </c>
      <c r="P3702" s="6">
        <v>0</v>
      </c>
      <c r="Q3702">
        <v>1</v>
      </c>
      <c r="R3702">
        <f t="shared" si="285"/>
        <v>0</v>
      </c>
      <c r="S3702">
        <f t="shared" si="286"/>
        <v>0</v>
      </c>
      <c r="T3702">
        <f t="shared" si="287"/>
        <v>1</v>
      </c>
      <c r="U3702">
        <f t="shared" si="288"/>
        <v>1</v>
      </c>
      <c r="V3702">
        <f t="shared" si="289"/>
        <v>0</v>
      </c>
    </row>
    <row r="3703" spans="1:22" x14ac:dyDescent="0.25">
      <c r="A3703">
        <v>3700</v>
      </c>
      <c r="B3703" t="s">
        <v>26</v>
      </c>
      <c r="C3703" t="s">
        <v>1218</v>
      </c>
      <c r="D3703" s="4">
        <v>45413</v>
      </c>
      <c r="E3703" t="s">
        <v>2420</v>
      </c>
      <c r="F3703" t="s">
        <v>75</v>
      </c>
      <c r="I3703" s="6"/>
      <c r="J3703" s="6"/>
      <c r="K3703" s="6"/>
      <c r="L3703" s="6"/>
      <c r="M3703" s="6"/>
      <c r="N3703" s="6"/>
      <c r="O3703" s="6"/>
      <c r="P3703" s="6"/>
      <c r="Q3703">
        <v>0</v>
      </c>
      <c r="R3703">
        <f t="shared" si="285"/>
        <v>0</v>
      </c>
      <c r="S3703">
        <f t="shared" si="286"/>
        <v>0</v>
      </c>
      <c r="T3703">
        <f t="shared" si="287"/>
        <v>0</v>
      </c>
      <c r="U3703">
        <f t="shared" si="288"/>
        <v>0</v>
      </c>
      <c r="V3703">
        <f t="shared" si="289"/>
        <v>0</v>
      </c>
    </row>
    <row r="3704" spans="1:22" x14ac:dyDescent="0.25">
      <c r="A3704">
        <v>3701</v>
      </c>
      <c r="B3704" t="s">
        <v>26</v>
      </c>
      <c r="C3704" t="s">
        <v>1218</v>
      </c>
      <c r="D3704" s="4">
        <v>45413</v>
      </c>
      <c r="E3704" t="s">
        <v>2419</v>
      </c>
      <c r="F3704" t="s">
        <v>75</v>
      </c>
      <c r="I3704" s="6"/>
      <c r="J3704" s="6"/>
      <c r="K3704" s="6"/>
      <c r="L3704" s="6"/>
      <c r="M3704" s="6"/>
      <c r="N3704" s="6"/>
      <c r="O3704" s="6"/>
      <c r="P3704" s="6"/>
      <c r="Q3704">
        <v>0</v>
      </c>
      <c r="R3704">
        <f t="shared" si="285"/>
        <v>0</v>
      </c>
      <c r="S3704">
        <f t="shared" si="286"/>
        <v>0</v>
      </c>
      <c r="T3704">
        <f t="shared" si="287"/>
        <v>0</v>
      </c>
      <c r="U3704">
        <f t="shared" si="288"/>
        <v>0</v>
      </c>
      <c r="V3704">
        <f t="shared" si="289"/>
        <v>0</v>
      </c>
    </row>
    <row r="3705" spans="1:22" x14ac:dyDescent="0.25">
      <c r="A3705">
        <v>3702</v>
      </c>
      <c r="B3705" t="s">
        <v>26</v>
      </c>
      <c r="C3705" t="s">
        <v>1218</v>
      </c>
      <c r="D3705" s="4">
        <v>45413</v>
      </c>
      <c r="E3705" t="s">
        <v>1161</v>
      </c>
      <c r="F3705" t="s">
        <v>75</v>
      </c>
      <c r="I3705" s="6"/>
      <c r="J3705" s="6"/>
      <c r="K3705" s="6"/>
      <c r="L3705" s="6"/>
      <c r="M3705" s="6"/>
      <c r="N3705" s="6"/>
      <c r="O3705" s="6"/>
      <c r="P3705" s="6"/>
      <c r="Q3705">
        <v>0</v>
      </c>
      <c r="R3705">
        <f t="shared" si="285"/>
        <v>0</v>
      </c>
      <c r="S3705">
        <f t="shared" si="286"/>
        <v>0</v>
      </c>
      <c r="T3705">
        <f t="shared" si="287"/>
        <v>0</v>
      </c>
      <c r="U3705">
        <f t="shared" si="288"/>
        <v>0</v>
      </c>
      <c r="V3705">
        <f t="shared" si="289"/>
        <v>0</v>
      </c>
    </row>
    <row r="3706" spans="1:22" x14ac:dyDescent="0.25">
      <c r="A3706">
        <v>3703</v>
      </c>
      <c r="B3706" t="s">
        <v>26</v>
      </c>
      <c r="C3706" t="s">
        <v>1218</v>
      </c>
      <c r="D3706" s="4">
        <v>45413</v>
      </c>
      <c r="E3706" t="s">
        <v>2418</v>
      </c>
      <c r="F3706" t="s">
        <v>75</v>
      </c>
      <c r="I3706" s="6"/>
      <c r="J3706" s="6"/>
      <c r="K3706" s="6"/>
      <c r="L3706" s="6"/>
      <c r="M3706" s="6"/>
      <c r="N3706" s="6"/>
      <c r="O3706" s="6"/>
      <c r="P3706" s="6"/>
      <c r="Q3706">
        <v>0</v>
      </c>
      <c r="R3706">
        <f t="shared" si="285"/>
        <v>0</v>
      </c>
      <c r="S3706">
        <f t="shared" si="286"/>
        <v>0</v>
      </c>
      <c r="T3706">
        <f t="shared" si="287"/>
        <v>0</v>
      </c>
      <c r="U3706">
        <f t="shared" si="288"/>
        <v>0</v>
      </c>
      <c r="V3706">
        <f t="shared" si="289"/>
        <v>0</v>
      </c>
    </row>
    <row r="3707" spans="1:22" x14ac:dyDescent="0.25">
      <c r="A3707">
        <v>3704</v>
      </c>
      <c r="B3707" t="s">
        <v>26</v>
      </c>
      <c r="C3707" t="s">
        <v>1218</v>
      </c>
      <c r="D3707" s="4">
        <v>45413</v>
      </c>
      <c r="E3707" t="s">
        <v>1390</v>
      </c>
      <c r="F3707" t="s">
        <v>75</v>
      </c>
      <c r="I3707" s="6">
        <v>0</v>
      </c>
      <c r="J3707" s="6">
        <v>0</v>
      </c>
      <c r="K3707" s="6">
        <v>0</v>
      </c>
      <c r="L3707" s="6">
        <v>0</v>
      </c>
      <c r="M3707" s="6">
        <v>0</v>
      </c>
      <c r="N3707" s="6">
        <v>0</v>
      </c>
      <c r="O3707" s="6">
        <v>0</v>
      </c>
      <c r="P3707" s="6">
        <v>0</v>
      </c>
      <c r="Q3707">
        <v>1</v>
      </c>
      <c r="R3707">
        <f t="shared" si="285"/>
        <v>0</v>
      </c>
      <c r="S3707">
        <f t="shared" si="286"/>
        <v>1</v>
      </c>
      <c r="T3707">
        <f t="shared" si="287"/>
        <v>0</v>
      </c>
      <c r="U3707">
        <f t="shared" si="288"/>
        <v>0</v>
      </c>
      <c r="V3707">
        <f t="shared" si="289"/>
        <v>0</v>
      </c>
    </row>
    <row r="3708" spans="1:22" x14ac:dyDescent="0.25">
      <c r="A3708">
        <v>3705</v>
      </c>
      <c r="B3708" t="s">
        <v>26</v>
      </c>
      <c r="C3708" t="s">
        <v>1218</v>
      </c>
      <c r="D3708" s="4">
        <v>45413</v>
      </c>
      <c r="E3708" t="s">
        <v>1391</v>
      </c>
      <c r="F3708" t="s">
        <v>710</v>
      </c>
      <c r="G3708">
        <v>183</v>
      </c>
      <c r="I3708" s="6">
        <v>0</v>
      </c>
      <c r="J3708" s="6">
        <v>0</v>
      </c>
      <c r="K3708" s="6">
        <v>0</v>
      </c>
      <c r="L3708" s="6">
        <v>0</v>
      </c>
      <c r="M3708" s="6">
        <v>1</v>
      </c>
      <c r="N3708" s="6">
        <v>0</v>
      </c>
      <c r="O3708" s="6">
        <v>0</v>
      </c>
      <c r="P3708" s="6">
        <v>0</v>
      </c>
      <c r="Q3708">
        <v>1</v>
      </c>
      <c r="R3708">
        <f t="shared" si="285"/>
        <v>0</v>
      </c>
      <c r="S3708">
        <f t="shared" si="286"/>
        <v>0</v>
      </c>
      <c r="T3708">
        <f t="shared" si="287"/>
        <v>1</v>
      </c>
      <c r="U3708">
        <f t="shared" si="288"/>
        <v>1</v>
      </c>
      <c r="V3708">
        <f t="shared" si="289"/>
        <v>0</v>
      </c>
    </row>
    <row r="3709" spans="1:22" x14ac:dyDescent="0.25">
      <c r="A3709">
        <v>3706</v>
      </c>
      <c r="B3709" t="s">
        <v>26</v>
      </c>
      <c r="C3709" t="s">
        <v>1218</v>
      </c>
      <c r="D3709" s="4">
        <v>45413</v>
      </c>
      <c r="E3709" t="s">
        <v>2417</v>
      </c>
      <c r="F3709" t="s">
        <v>75</v>
      </c>
      <c r="I3709" s="6"/>
      <c r="J3709" s="6"/>
      <c r="K3709" s="6"/>
      <c r="L3709" s="6"/>
      <c r="M3709" s="6"/>
      <c r="N3709" s="6"/>
      <c r="O3709" s="6"/>
      <c r="P3709" s="6"/>
      <c r="Q3709">
        <v>0</v>
      </c>
      <c r="R3709">
        <f t="shared" si="285"/>
        <v>0</v>
      </c>
      <c r="S3709">
        <f t="shared" si="286"/>
        <v>0</v>
      </c>
      <c r="T3709">
        <f t="shared" si="287"/>
        <v>0</v>
      </c>
      <c r="U3709">
        <f t="shared" si="288"/>
        <v>0</v>
      </c>
      <c r="V3709">
        <f t="shared" si="289"/>
        <v>0</v>
      </c>
    </row>
    <row r="3710" spans="1:22" x14ac:dyDescent="0.25">
      <c r="A3710">
        <v>3707</v>
      </c>
      <c r="B3710" t="s">
        <v>26</v>
      </c>
      <c r="C3710" t="s">
        <v>1218</v>
      </c>
      <c r="D3710" s="4">
        <v>45413</v>
      </c>
      <c r="E3710" t="s">
        <v>1392</v>
      </c>
      <c r="F3710" t="s">
        <v>75</v>
      </c>
      <c r="I3710" s="6">
        <v>0</v>
      </c>
      <c r="J3710" s="6">
        <v>0</v>
      </c>
      <c r="K3710" s="6">
        <v>0</v>
      </c>
      <c r="L3710" s="6">
        <v>0</v>
      </c>
      <c r="M3710" s="6">
        <v>0</v>
      </c>
      <c r="N3710" s="6">
        <v>0</v>
      </c>
      <c r="O3710" s="6">
        <v>0</v>
      </c>
      <c r="P3710" s="6">
        <v>0</v>
      </c>
      <c r="Q3710">
        <v>1</v>
      </c>
      <c r="R3710">
        <f t="shared" si="285"/>
        <v>0</v>
      </c>
      <c r="S3710">
        <f t="shared" si="286"/>
        <v>1</v>
      </c>
      <c r="T3710">
        <f t="shared" si="287"/>
        <v>0</v>
      </c>
      <c r="U3710">
        <f t="shared" si="288"/>
        <v>0</v>
      </c>
      <c r="V3710">
        <f t="shared" si="289"/>
        <v>0</v>
      </c>
    </row>
    <row r="3711" spans="1:22" x14ac:dyDescent="0.25">
      <c r="A3711">
        <v>3708</v>
      </c>
      <c r="B3711" t="s">
        <v>26</v>
      </c>
      <c r="C3711" t="s">
        <v>1218</v>
      </c>
      <c r="D3711" s="4">
        <v>45413</v>
      </c>
      <c r="E3711" t="s">
        <v>468</v>
      </c>
      <c r="F3711" t="s">
        <v>75</v>
      </c>
      <c r="I3711" s="6"/>
      <c r="J3711" s="6"/>
      <c r="K3711" s="6"/>
      <c r="L3711" s="6"/>
      <c r="M3711" s="6"/>
      <c r="N3711" s="6"/>
      <c r="O3711" s="6"/>
      <c r="P3711" s="6"/>
      <c r="Q3711">
        <v>0</v>
      </c>
      <c r="R3711">
        <f t="shared" si="285"/>
        <v>0</v>
      </c>
      <c r="S3711">
        <f t="shared" si="286"/>
        <v>0</v>
      </c>
      <c r="T3711">
        <f t="shared" si="287"/>
        <v>0</v>
      </c>
      <c r="U3711">
        <f t="shared" si="288"/>
        <v>0</v>
      </c>
      <c r="V3711">
        <f t="shared" si="289"/>
        <v>0</v>
      </c>
    </row>
    <row r="3712" spans="1:22" x14ac:dyDescent="0.25">
      <c r="A3712">
        <v>3709</v>
      </c>
      <c r="B3712" t="s">
        <v>26</v>
      </c>
      <c r="C3712" t="s">
        <v>1218</v>
      </c>
      <c r="D3712" s="4">
        <v>45413</v>
      </c>
      <c r="E3712" t="s">
        <v>1815</v>
      </c>
      <c r="F3712" t="s">
        <v>75</v>
      </c>
      <c r="I3712" s="6"/>
      <c r="J3712" s="6"/>
      <c r="K3712" s="6"/>
      <c r="L3712" s="6"/>
      <c r="M3712" s="6"/>
      <c r="N3712" s="6"/>
      <c r="O3712" s="6"/>
      <c r="P3712" s="6"/>
      <c r="Q3712">
        <v>0</v>
      </c>
      <c r="R3712">
        <f t="shared" si="285"/>
        <v>0</v>
      </c>
      <c r="S3712">
        <f t="shared" si="286"/>
        <v>0</v>
      </c>
      <c r="T3712">
        <f t="shared" si="287"/>
        <v>0</v>
      </c>
      <c r="U3712">
        <f t="shared" si="288"/>
        <v>0</v>
      </c>
      <c r="V3712">
        <f t="shared" si="289"/>
        <v>0</v>
      </c>
    </row>
    <row r="3713" spans="1:22" x14ac:dyDescent="0.25">
      <c r="A3713">
        <v>3710</v>
      </c>
      <c r="B3713" t="s">
        <v>26</v>
      </c>
      <c r="C3713" t="s">
        <v>1218</v>
      </c>
      <c r="D3713" s="4">
        <v>45413</v>
      </c>
      <c r="E3713" t="s">
        <v>2026</v>
      </c>
      <c r="F3713" t="s">
        <v>75</v>
      </c>
      <c r="I3713" s="6"/>
      <c r="J3713" s="6"/>
      <c r="K3713" s="6"/>
      <c r="L3713" s="6"/>
      <c r="M3713" s="6"/>
      <c r="N3713" s="6"/>
      <c r="O3713" s="6"/>
      <c r="P3713" s="6"/>
      <c r="Q3713">
        <v>0</v>
      </c>
      <c r="R3713">
        <f t="shared" si="285"/>
        <v>0</v>
      </c>
      <c r="S3713">
        <f t="shared" si="286"/>
        <v>0</v>
      </c>
      <c r="T3713">
        <f t="shared" si="287"/>
        <v>0</v>
      </c>
      <c r="U3713">
        <f t="shared" si="288"/>
        <v>0</v>
      </c>
      <c r="V3713">
        <f t="shared" si="289"/>
        <v>0</v>
      </c>
    </row>
    <row r="3714" spans="1:22" x14ac:dyDescent="0.25">
      <c r="A3714">
        <v>3711</v>
      </c>
      <c r="B3714" t="s">
        <v>26</v>
      </c>
      <c r="C3714" t="s">
        <v>1218</v>
      </c>
      <c r="D3714" s="4">
        <v>45413</v>
      </c>
      <c r="E3714" t="s">
        <v>1162</v>
      </c>
      <c r="F3714" t="s">
        <v>75</v>
      </c>
      <c r="I3714" s="6">
        <v>0</v>
      </c>
      <c r="J3714" s="6">
        <v>0</v>
      </c>
      <c r="K3714" s="6">
        <v>0</v>
      </c>
      <c r="L3714" s="6">
        <v>0</v>
      </c>
      <c r="M3714" s="6">
        <v>0</v>
      </c>
      <c r="N3714" s="6">
        <v>0</v>
      </c>
      <c r="O3714" s="6">
        <v>0</v>
      </c>
      <c r="P3714" s="6">
        <v>0</v>
      </c>
      <c r="Q3714">
        <v>1</v>
      </c>
      <c r="R3714">
        <f t="shared" si="285"/>
        <v>0</v>
      </c>
      <c r="S3714">
        <f t="shared" si="286"/>
        <v>1</v>
      </c>
      <c r="T3714">
        <f t="shared" si="287"/>
        <v>0</v>
      </c>
      <c r="U3714">
        <f t="shared" si="288"/>
        <v>0</v>
      </c>
      <c r="V3714">
        <f t="shared" si="289"/>
        <v>0</v>
      </c>
    </row>
    <row r="3715" spans="1:22" x14ac:dyDescent="0.25">
      <c r="A3715">
        <v>3712</v>
      </c>
      <c r="B3715" t="s">
        <v>26</v>
      </c>
      <c r="C3715" t="s">
        <v>1218</v>
      </c>
      <c r="D3715" s="4">
        <v>45413</v>
      </c>
      <c r="E3715" t="s">
        <v>1393</v>
      </c>
      <c r="F3715" t="s">
        <v>75</v>
      </c>
      <c r="I3715" s="6">
        <v>0</v>
      </c>
      <c r="J3715" s="6">
        <v>0</v>
      </c>
      <c r="K3715" s="6">
        <v>0</v>
      </c>
      <c r="L3715" s="6">
        <v>0</v>
      </c>
      <c r="M3715" s="6">
        <v>0</v>
      </c>
      <c r="N3715" s="6">
        <v>0</v>
      </c>
      <c r="O3715" s="6">
        <v>0</v>
      </c>
      <c r="P3715" s="6">
        <v>0</v>
      </c>
      <c r="Q3715">
        <v>1</v>
      </c>
      <c r="R3715">
        <f t="shared" ref="R3715:R3778" si="290">IF(AND(Q3715=1,F3715="ai_full"),1,0)</f>
        <v>0</v>
      </c>
      <c r="S3715">
        <f t="shared" ref="S3715:S3778" si="291">IF(AND(Q3715=1,F3715="conventional"),1,0)</f>
        <v>1</v>
      </c>
      <c r="T3715">
        <f t="shared" ref="T3715:T3778" si="292">SUM(I3715:P3715)</f>
        <v>0</v>
      </c>
      <c r="U3715">
        <f t="shared" ref="U3715:U3778" si="293">IF(T3715&gt;=1,1,0)</f>
        <v>0</v>
      </c>
      <c r="V3715">
        <f t="shared" ref="V3715:V3778" si="294">IF(F3715="ai_full",1,0)</f>
        <v>0</v>
      </c>
    </row>
    <row r="3716" spans="1:22" x14ac:dyDescent="0.25">
      <c r="A3716">
        <v>3713</v>
      </c>
      <c r="B3716" t="s">
        <v>26</v>
      </c>
      <c r="C3716" t="s">
        <v>1218</v>
      </c>
      <c r="D3716" s="4">
        <v>45413</v>
      </c>
      <c r="E3716" t="s">
        <v>2025</v>
      </c>
      <c r="F3716" t="s">
        <v>75</v>
      </c>
      <c r="I3716" s="6"/>
      <c r="J3716" s="6"/>
      <c r="K3716" s="6"/>
      <c r="L3716" s="6"/>
      <c r="M3716" s="6"/>
      <c r="N3716" s="6"/>
      <c r="O3716" s="6"/>
      <c r="P3716" s="6"/>
      <c r="Q3716">
        <v>0</v>
      </c>
      <c r="R3716">
        <f t="shared" si="290"/>
        <v>0</v>
      </c>
      <c r="S3716">
        <f t="shared" si="291"/>
        <v>0</v>
      </c>
      <c r="T3716">
        <f t="shared" si="292"/>
        <v>0</v>
      </c>
      <c r="U3716">
        <f t="shared" si="293"/>
        <v>0</v>
      </c>
      <c r="V3716">
        <f t="shared" si="294"/>
        <v>0</v>
      </c>
    </row>
    <row r="3717" spans="1:22" x14ac:dyDescent="0.25">
      <c r="A3717">
        <v>3714</v>
      </c>
      <c r="B3717" t="s">
        <v>26</v>
      </c>
      <c r="C3717" t="s">
        <v>1218</v>
      </c>
      <c r="D3717" s="4">
        <v>45413</v>
      </c>
      <c r="E3717" t="s">
        <v>2024</v>
      </c>
      <c r="F3717" t="s">
        <v>75</v>
      </c>
      <c r="I3717" s="6"/>
      <c r="J3717" s="6"/>
      <c r="K3717" s="6"/>
      <c r="L3717" s="6"/>
      <c r="M3717" s="6"/>
      <c r="N3717" s="6"/>
      <c r="O3717" s="6"/>
      <c r="P3717" s="6"/>
      <c r="Q3717">
        <v>0</v>
      </c>
      <c r="R3717">
        <f t="shared" si="290"/>
        <v>0</v>
      </c>
      <c r="S3717">
        <f t="shared" si="291"/>
        <v>0</v>
      </c>
      <c r="T3717">
        <f t="shared" si="292"/>
        <v>0</v>
      </c>
      <c r="U3717">
        <f t="shared" si="293"/>
        <v>0</v>
      </c>
      <c r="V3717">
        <f t="shared" si="294"/>
        <v>0</v>
      </c>
    </row>
    <row r="3718" spans="1:22" x14ac:dyDescent="0.25">
      <c r="A3718">
        <v>3715</v>
      </c>
      <c r="B3718" t="s">
        <v>26</v>
      </c>
      <c r="C3718" t="s">
        <v>1218</v>
      </c>
      <c r="D3718" s="4">
        <v>45413</v>
      </c>
      <c r="E3718" t="s">
        <v>2416</v>
      </c>
      <c r="F3718" t="s">
        <v>75</v>
      </c>
      <c r="I3718" s="6"/>
      <c r="J3718" s="6"/>
      <c r="K3718" s="6"/>
      <c r="L3718" s="6"/>
      <c r="M3718" s="6"/>
      <c r="N3718" s="6"/>
      <c r="O3718" s="6"/>
      <c r="P3718" s="6"/>
      <c r="Q3718">
        <v>0</v>
      </c>
      <c r="R3718">
        <f t="shared" si="290"/>
        <v>0</v>
      </c>
      <c r="S3718">
        <f t="shared" si="291"/>
        <v>0</v>
      </c>
      <c r="T3718">
        <f t="shared" si="292"/>
        <v>0</v>
      </c>
      <c r="U3718">
        <f t="shared" si="293"/>
        <v>0</v>
      </c>
      <c r="V3718">
        <f t="shared" si="294"/>
        <v>0</v>
      </c>
    </row>
    <row r="3719" spans="1:22" x14ac:dyDescent="0.25">
      <c r="A3719">
        <v>3716</v>
      </c>
      <c r="B3719" t="s">
        <v>26</v>
      </c>
      <c r="C3719" t="s">
        <v>1218</v>
      </c>
      <c r="D3719" s="4">
        <v>45414</v>
      </c>
      <c r="E3719" t="s">
        <v>313</v>
      </c>
      <c r="F3719" t="s">
        <v>75</v>
      </c>
      <c r="I3719" s="6"/>
      <c r="J3719" s="6"/>
      <c r="K3719" s="6"/>
      <c r="L3719" s="6"/>
      <c r="M3719" s="6"/>
      <c r="N3719" s="6"/>
      <c r="O3719" s="6"/>
      <c r="P3719" s="6"/>
      <c r="Q3719">
        <v>0</v>
      </c>
      <c r="R3719">
        <f t="shared" si="290"/>
        <v>0</v>
      </c>
      <c r="S3719">
        <f t="shared" si="291"/>
        <v>0</v>
      </c>
      <c r="T3719">
        <f t="shared" si="292"/>
        <v>0</v>
      </c>
      <c r="U3719">
        <f t="shared" si="293"/>
        <v>0</v>
      </c>
      <c r="V3719">
        <f t="shared" si="294"/>
        <v>0</v>
      </c>
    </row>
    <row r="3720" spans="1:22" x14ac:dyDescent="0.25">
      <c r="A3720">
        <v>3717</v>
      </c>
      <c r="B3720" t="s">
        <v>26</v>
      </c>
      <c r="C3720" t="s">
        <v>1218</v>
      </c>
      <c r="D3720" s="4">
        <v>45414</v>
      </c>
      <c r="E3720" t="s">
        <v>1394</v>
      </c>
      <c r="F3720" t="s">
        <v>710</v>
      </c>
      <c r="G3720">
        <v>184</v>
      </c>
      <c r="I3720" s="6">
        <v>0</v>
      </c>
      <c r="J3720" s="6">
        <v>0</v>
      </c>
      <c r="K3720" s="6">
        <v>1</v>
      </c>
      <c r="L3720" s="6">
        <v>0</v>
      </c>
      <c r="M3720" s="6">
        <v>0</v>
      </c>
      <c r="N3720" s="6">
        <v>0</v>
      </c>
      <c r="O3720" s="6">
        <v>0</v>
      </c>
      <c r="P3720" s="6">
        <v>0</v>
      </c>
      <c r="Q3720">
        <v>1</v>
      </c>
      <c r="R3720">
        <f t="shared" si="290"/>
        <v>0</v>
      </c>
      <c r="S3720">
        <f t="shared" si="291"/>
        <v>0</v>
      </c>
      <c r="T3720">
        <f t="shared" si="292"/>
        <v>1</v>
      </c>
      <c r="U3720">
        <f t="shared" si="293"/>
        <v>1</v>
      </c>
      <c r="V3720">
        <f t="shared" si="294"/>
        <v>0</v>
      </c>
    </row>
    <row r="3721" spans="1:22" x14ac:dyDescent="0.25">
      <c r="A3721">
        <v>3718</v>
      </c>
      <c r="B3721" t="s">
        <v>26</v>
      </c>
      <c r="C3721" t="s">
        <v>1218</v>
      </c>
      <c r="D3721" s="4">
        <v>45414</v>
      </c>
      <c r="E3721" t="s">
        <v>2023</v>
      </c>
      <c r="F3721" t="s">
        <v>75</v>
      </c>
      <c r="I3721" s="6">
        <v>0</v>
      </c>
      <c r="J3721" s="6">
        <v>0</v>
      </c>
      <c r="K3721" s="6">
        <v>0</v>
      </c>
      <c r="L3721" s="6">
        <v>0</v>
      </c>
      <c r="M3721" s="6">
        <v>0</v>
      </c>
      <c r="N3721" s="6">
        <v>1</v>
      </c>
      <c r="O3721" s="6">
        <v>0</v>
      </c>
      <c r="P3721" s="6">
        <v>0</v>
      </c>
      <c r="Q3721">
        <v>1</v>
      </c>
      <c r="R3721">
        <f t="shared" si="290"/>
        <v>0</v>
      </c>
      <c r="S3721">
        <f t="shared" si="291"/>
        <v>1</v>
      </c>
      <c r="T3721">
        <f t="shared" si="292"/>
        <v>1</v>
      </c>
      <c r="U3721">
        <f t="shared" si="293"/>
        <v>1</v>
      </c>
      <c r="V3721">
        <f t="shared" si="294"/>
        <v>0</v>
      </c>
    </row>
    <row r="3722" spans="1:22" x14ac:dyDescent="0.25">
      <c r="A3722">
        <v>3719</v>
      </c>
      <c r="B3722" t="s">
        <v>26</v>
      </c>
      <c r="C3722" t="s">
        <v>1218</v>
      </c>
      <c r="D3722" s="4">
        <v>45414</v>
      </c>
      <c r="E3722" t="s">
        <v>1816</v>
      </c>
      <c r="F3722" t="s">
        <v>75</v>
      </c>
      <c r="I3722" s="6">
        <v>0</v>
      </c>
      <c r="J3722" s="6">
        <v>0</v>
      </c>
      <c r="K3722" s="6">
        <v>0</v>
      </c>
      <c r="L3722" s="6">
        <v>0</v>
      </c>
      <c r="M3722" s="6">
        <v>0</v>
      </c>
      <c r="N3722" s="6">
        <v>1</v>
      </c>
      <c r="O3722" s="6">
        <v>0</v>
      </c>
      <c r="P3722" s="6">
        <v>0</v>
      </c>
      <c r="Q3722">
        <v>1</v>
      </c>
      <c r="R3722">
        <f t="shared" si="290"/>
        <v>0</v>
      </c>
      <c r="S3722">
        <f t="shared" si="291"/>
        <v>1</v>
      </c>
      <c r="T3722">
        <f t="shared" si="292"/>
        <v>1</v>
      </c>
      <c r="U3722">
        <f t="shared" si="293"/>
        <v>1</v>
      </c>
      <c r="V3722">
        <f t="shared" si="294"/>
        <v>0</v>
      </c>
    </row>
    <row r="3723" spans="1:22" x14ac:dyDescent="0.25">
      <c r="A3723">
        <v>3720</v>
      </c>
      <c r="B3723" t="s">
        <v>26</v>
      </c>
      <c r="C3723" t="s">
        <v>1218</v>
      </c>
      <c r="D3723" s="4">
        <v>45414</v>
      </c>
      <c r="E3723" t="s">
        <v>314</v>
      </c>
      <c r="F3723" t="s">
        <v>75</v>
      </c>
      <c r="I3723" s="6"/>
      <c r="J3723" s="6"/>
      <c r="K3723" s="6"/>
      <c r="L3723" s="6"/>
      <c r="M3723" s="6"/>
      <c r="N3723" s="6"/>
      <c r="O3723" s="6"/>
      <c r="P3723" s="6"/>
      <c r="Q3723">
        <v>0</v>
      </c>
      <c r="R3723">
        <f t="shared" si="290"/>
        <v>0</v>
      </c>
      <c r="S3723">
        <f t="shared" si="291"/>
        <v>0</v>
      </c>
      <c r="T3723">
        <f t="shared" si="292"/>
        <v>0</v>
      </c>
      <c r="U3723">
        <f t="shared" si="293"/>
        <v>0</v>
      </c>
      <c r="V3723">
        <f t="shared" si="294"/>
        <v>0</v>
      </c>
    </row>
    <row r="3724" spans="1:22" x14ac:dyDescent="0.25">
      <c r="A3724">
        <v>3721</v>
      </c>
      <c r="B3724" t="s">
        <v>26</v>
      </c>
      <c r="C3724" t="s">
        <v>1218</v>
      </c>
      <c r="D3724" s="4">
        <v>45414</v>
      </c>
      <c r="E3724" t="s">
        <v>989</v>
      </c>
      <c r="F3724" t="s">
        <v>75</v>
      </c>
      <c r="I3724" s="6"/>
      <c r="J3724" s="6"/>
      <c r="K3724" s="6"/>
      <c r="L3724" s="6"/>
      <c r="M3724" s="6"/>
      <c r="N3724" s="6"/>
      <c r="O3724" s="6"/>
      <c r="P3724" s="6"/>
      <c r="Q3724">
        <v>0</v>
      </c>
      <c r="R3724">
        <f t="shared" si="290"/>
        <v>0</v>
      </c>
      <c r="S3724">
        <f t="shared" si="291"/>
        <v>0</v>
      </c>
      <c r="T3724">
        <f t="shared" si="292"/>
        <v>0</v>
      </c>
      <c r="U3724">
        <f t="shared" si="293"/>
        <v>0</v>
      </c>
      <c r="V3724">
        <f t="shared" si="294"/>
        <v>0</v>
      </c>
    </row>
    <row r="3725" spans="1:22" x14ac:dyDescent="0.25">
      <c r="A3725">
        <v>3722</v>
      </c>
      <c r="B3725" t="s">
        <v>26</v>
      </c>
      <c r="C3725" t="s">
        <v>1218</v>
      </c>
      <c r="D3725" s="4">
        <v>45414</v>
      </c>
      <c r="E3725" t="s">
        <v>990</v>
      </c>
      <c r="F3725" t="s">
        <v>413</v>
      </c>
      <c r="G3725">
        <v>185</v>
      </c>
      <c r="H3725" t="s">
        <v>1388</v>
      </c>
      <c r="I3725" s="6">
        <v>1</v>
      </c>
      <c r="J3725" s="6">
        <v>0</v>
      </c>
      <c r="K3725" s="6">
        <v>0</v>
      </c>
      <c r="L3725" s="6">
        <v>1</v>
      </c>
      <c r="M3725" s="6">
        <v>0</v>
      </c>
      <c r="N3725" s="6">
        <v>0</v>
      </c>
      <c r="O3725" s="6">
        <v>0</v>
      </c>
      <c r="P3725" s="6">
        <v>0</v>
      </c>
      <c r="Q3725">
        <v>1</v>
      </c>
      <c r="R3725">
        <f t="shared" si="290"/>
        <v>1</v>
      </c>
      <c r="S3725">
        <f t="shared" si="291"/>
        <v>0</v>
      </c>
      <c r="T3725">
        <f t="shared" si="292"/>
        <v>2</v>
      </c>
      <c r="U3725">
        <f t="shared" si="293"/>
        <v>1</v>
      </c>
      <c r="V3725">
        <f t="shared" si="294"/>
        <v>1</v>
      </c>
    </row>
    <row r="3726" spans="1:22" x14ac:dyDescent="0.25">
      <c r="A3726">
        <v>3723</v>
      </c>
      <c r="B3726" t="s">
        <v>26</v>
      </c>
      <c r="C3726" t="s">
        <v>1218</v>
      </c>
      <c r="D3726" s="4">
        <v>45414</v>
      </c>
      <c r="E3726" t="s">
        <v>2021</v>
      </c>
      <c r="F3726" t="s">
        <v>75</v>
      </c>
      <c r="I3726" s="6"/>
      <c r="J3726" s="6"/>
      <c r="K3726" s="6"/>
      <c r="L3726" s="6"/>
      <c r="M3726" s="6"/>
      <c r="N3726" s="6"/>
      <c r="O3726" s="6"/>
      <c r="P3726" s="6"/>
      <c r="Q3726">
        <v>0</v>
      </c>
      <c r="R3726">
        <f t="shared" si="290"/>
        <v>0</v>
      </c>
      <c r="S3726">
        <f t="shared" si="291"/>
        <v>0</v>
      </c>
      <c r="T3726">
        <f t="shared" si="292"/>
        <v>0</v>
      </c>
      <c r="U3726">
        <f t="shared" si="293"/>
        <v>0</v>
      </c>
      <c r="V3726">
        <f t="shared" si="294"/>
        <v>0</v>
      </c>
    </row>
    <row r="3727" spans="1:22" x14ac:dyDescent="0.25">
      <c r="A3727">
        <v>3724</v>
      </c>
      <c r="B3727" t="s">
        <v>26</v>
      </c>
      <c r="C3727" t="s">
        <v>1218</v>
      </c>
      <c r="D3727" s="4">
        <v>45414</v>
      </c>
      <c r="E3727" t="s">
        <v>1395</v>
      </c>
      <c r="F3727" t="s">
        <v>75</v>
      </c>
      <c r="I3727" s="6">
        <v>0</v>
      </c>
      <c r="J3727" s="6">
        <v>0</v>
      </c>
      <c r="K3727" s="6">
        <v>0</v>
      </c>
      <c r="L3727" s="6">
        <v>0</v>
      </c>
      <c r="M3727" s="6">
        <v>0</v>
      </c>
      <c r="N3727" s="6">
        <v>0</v>
      </c>
      <c r="O3727" s="6">
        <v>0</v>
      </c>
      <c r="P3727" s="6">
        <v>0</v>
      </c>
      <c r="Q3727">
        <v>1</v>
      </c>
      <c r="R3727">
        <f t="shared" si="290"/>
        <v>0</v>
      </c>
      <c r="S3727">
        <f t="shared" si="291"/>
        <v>1</v>
      </c>
      <c r="T3727">
        <f t="shared" si="292"/>
        <v>0</v>
      </c>
      <c r="U3727">
        <f t="shared" si="293"/>
        <v>0</v>
      </c>
      <c r="V3727">
        <f t="shared" si="294"/>
        <v>0</v>
      </c>
    </row>
    <row r="3728" spans="1:22" x14ac:dyDescent="0.25">
      <c r="A3728">
        <v>3725</v>
      </c>
      <c r="B3728" t="s">
        <v>26</v>
      </c>
      <c r="C3728" t="s">
        <v>1218</v>
      </c>
      <c r="D3728" s="4">
        <v>45414</v>
      </c>
      <c r="E3728" t="s">
        <v>1164</v>
      </c>
      <c r="F3728" t="s">
        <v>75</v>
      </c>
      <c r="I3728" s="6">
        <v>1</v>
      </c>
      <c r="J3728" s="6">
        <v>0</v>
      </c>
      <c r="K3728" s="6">
        <v>1</v>
      </c>
      <c r="L3728" s="6">
        <v>0</v>
      </c>
      <c r="M3728" s="6">
        <v>0</v>
      </c>
      <c r="N3728" s="6">
        <v>0</v>
      </c>
      <c r="O3728" s="6">
        <v>0</v>
      </c>
      <c r="P3728" s="6">
        <v>0</v>
      </c>
      <c r="Q3728">
        <v>1</v>
      </c>
      <c r="R3728">
        <f t="shared" si="290"/>
        <v>0</v>
      </c>
      <c r="S3728">
        <f t="shared" si="291"/>
        <v>1</v>
      </c>
      <c r="T3728">
        <f t="shared" si="292"/>
        <v>2</v>
      </c>
      <c r="U3728">
        <f t="shared" si="293"/>
        <v>1</v>
      </c>
      <c r="V3728">
        <f t="shared" si="294"/>
        <v>0</v>
      </c>
    </row>
    <row r="3729" spans="1:22" x14ac:dyDescent="0.25">
      <c r="A3729">
        <v>3726</v>
      </c>
      <c r="B3729" t="s">
        <v>26</v>
      </c>
      <c r="C3729" t="s">
        <v>1218</v>
      </c>
      <c r="D3729" s="4">
        <v>45414</v>
      </c>
      <c r="E3729" t="s">
        <v>1396</v>
      </c>
      <c r="F3729" t="s">
        <v>710</v>
      </c>
      <c r="G3729">
        <v>186</v>
      </c>
      <c r="I3729" s="6">
        <v>1</v>
      </c>
      <c r="J3729" s="6">
        <v>0</v>
      </c>
      <c r="K3729" s="6">
        <v>1</v>
      </c>
      <c r="L3729" s="6">
        <v>0</v>
      </c>
      <c r="M3729" s="6">
        <v>0</v>
      </c>
      <c r="N3729" s="6">
        <v>0</v>
      </c>
      <c r="O3729" s="6">
        <v>0</v>
      </c>
      <c r="P3729" s="6">
        <v>0</v>
      </c>
      <c r="Q3729">
        <v>1</v>
      </c>
      <c r="R3729">
        <f t="shared" si="290"/>
        <v>0</v>
      </c>
      <c r="S3729">
        <f t="shared" si="291"/>
        <v>0</v>
      </c>
      <c r="T3729">
        <f t="shared" si="292"/>
        <v>2</v>
      </c>
      <c r="U3729">
        <f t="shared" si="293"/>
        <v>1</v>
      </c>
      <c r="V3729">
        <f t="shared" si="294"/>
        <v>0</v>
      </c>
    </row>
    <row r="3730" spans="1:22" x14ac:dyDescent="0.25">
      <c r="A3730">
        <v>3727</v>
      </c>
      <c r="B3730" t="s">
        <v>26</v>
      </c>
      <c r="C3730" t="s">
        <v>1218</v>
      </c>
      <c r="D3730" s="4">
        <v>45414</v>
      </c>
      <c r="E3730" t="s">
        <v>1165</v>
      </c>
      <c r="F3730" t="s">
        <v>75</v>
      </c>
      <c r="I3730" s="6"/>
      <c r="J3730" s="6"/>
      <c r="K3730" s="6"/>
      <c r="L3730" s="6"/>
      <c r="M3730" s="6"/>
      <c r="N3730" s="6"/>
      <c r="O3730" s="6"/>
      <c r="P3730" s="6"/>
      <c r="Q3730">
        <v>0</v>
      </c>
      <c r="R3730">
        <f t="shared" si="290"/>
        <v>0</v>
      </c>
      <c r="S3730">
        <f t="shared" si="291"/>
        <v>0</v>
      </c>
      <c r="T3730">
        <f t="shared" si="292"/>
        <v>0</v>
      </c>
      <c r="U3730">
        <f t="shared" si="293"/>
        <v>0</v>
      </c>
      <c r="V3730">
        <f t="shared" si="294"/>
        <v>0</v>
      </c>
    </row>
    <row r="3731" spans="1:22" x14ac:dyDescent="0.25">
      <c r="A3731">
        <v>3728</v>
      </c>
      <c r="B3731" t="s">
        <v>26</v>
      </c>
      <c r="C3731" t="s">
        <v>1218</v>
      </c>
      <c r="D3731" s="4">
        <v>45415</v>
      </c>
      <c r="E3731" t="s">
        <v>882</v>
      </c>
      <c r="F3731" t="s">
        <v>75</v>
      </c>
      <c r="I3731" s="6"/>
      <c r="J3731" s="6"/>
      <c r="K3731" s="6"/>
      <c r="L3731" s="6"/>
      <c r="M3731" s="6"/>
      <c r="N3731" s="6"/>
      <c r="O3731" s="6"/>
      <c r="P3731" s="6"/>
      <c r="Q3731">
        <v>0</v>
      </c>
      <c r="R3731">
        <f t="shared" si="290"/>
        <v>0</v>
      </c>
      <c r="S3731">
        <f t="shared" si="291"/>
        <v>0</v>
      </c>
      <c r="T3731">
        <f t="shared" si="292"/>
        <v>0</v>
      </c>
      <c r="U3731">
        <f t="shared" si="293"/>
        <v>0</v>
      </c>
      <c r="V3731">
        <f t="shared" si="294"/>
        <v>0</v>
      </c>
    </row>
    <row r="3732" spans="1:22" x14ac:dyDescent="0.25">
      <c r="A3732">
        <v>3729</v>
      </c>
      <c r="B3732" t="s">
        <v>26</v>
      </c>
      <c r="C3732" t="s">
        <v>1218</v>
      </c>
      <c r="D3732" s="4">
        <v>45415</v>
      </c>
      <c r="E3732" t="s">
        <v>883</v>
      </c>
      <c r="F3732" t="s">
        <v>75</v>
      </c>
      <c r="I3732" s="6"/>
      <c r="J3732" s="6"/>
      <c r="K3732" s="6"/>
      <c r="L3732" s="6"/>
      <c r="M3732" s="6"/>
      <c r="N3732" s="6"/>
      <c r="O3732" s="6"/>
      <c r="P3732" s="6"/>
      <c r="Q3732">
        <v>0</v>
      </c>
      <c r="R3732">
        <f t="shared" si="290"/>
        <v>0</v>
      </c>
      <c r="S3732">
        <f t="shared" si="291"/>
        <v>0</v>
      </c>
      <c r="T3732">
        <f t="shared" si="292"/>
        <v>0</v>
      </c>
      <c r="U3732">
        <f t="shared" si="293"/>
        <v>0</v>
      </c>
      <c r="V3732">
        <f t="shared" si="294"/>
        <v>0</v>
      </c>
    </row>
    <row r="3733" spans="1:22" x14ac:dyDescent="0.25">
      <c r="A3733">
        <v>3730</v>
      </c>
      <c r="B3733" t="s">
        <v>26</v>
      </c>
      <c r="C3733" t="s">
        <v>1218</v>
      </c>
      <c r="D3733" s="4">
        <v>45415</v>
      </c>
      <c r="E3733" t="s">
        <v>884</v>
      </c>
      <c r="F3733" t="s">
        <v>75</v>
      </c>
      <c r="I3733" s="6"/>
      <c r="J3733" s="6"/>
      <c r="K3733" s="6"/>
      <c r="L3733" s="6"/>
      <c r="M3733" s="6"/>
      <c r="N3733" s="6"/>
      <c r="O3733" s="6"/>
      <c r="P3733" s="6"/>
      <c r="Q3733">
        <v>0</v>
      </c>
      <c r="R3733">
        <f t="shared" si="290"/>
        <v>0</v>
      </c>
      <c r="S3733">
        <f t="shared" si="291"/>
        <v>0</v>
      </c>
      <c r="T3733">
        <f t="shared" si="292"/>
        <v>0</v>
      </c>
      <c r="U3733">
        <f t="shared" si="293"/>
        <v>0</v>
      </c>
      <c r="V3733">
        <f t="shared" si="294"/>
        <v>0</v>
      </c>
    </row>
    <row r="3734" spans="1:22" x14ac:dyDescent="0.25">
      <c r="A3734">
        <v>3731</v>
      </c>
      <c r="B3734" t="s">
        <v>26</v>
      </c>
      <c r="C3734" t="s">
        <v>1218</v>
      </c>
      <c r="D3734" s="4">
        <v>45415</v>
      </c>
      <c r="E3734" t="s">
        <v>1166</v>
      </c>
      <c r="F3734" t="s">
        <v>75</v>
      </c>
      <c r="I3734" s="6"/>
      <c r="J3734" s="6"/>
      <c r="K3734" s="6"/>
      <c r="L3734" s="6"/>
      <c r="M3734" s="6"/>
      <c r="N3734" s="6"/>
      <c r="O3734" s="6"/>
      <c r="P3734" s="6"/>
      <c r="Q3734">
        <v>0</v>
      </c>
      <c r="R3734">
        <f t="shared" si="290"/>
        <v>0</v>
      </c>
      <c r="S3734">
        <f t="shared" si="291"/>
        <v>0</v>
      </c>
      <c r="T3734">
        <f t="shared" si="292"/>
        <v>0</v>
      </c>
      <c r="U3734">
        <f t="shared" si="293"/>
        <v>0</v>
      </c>
      <c r="V3734">
        <f t="shared" si="294"/>
        <v>0</v>
      </c>
    </row>
    <row r="3735" spans="1:22" x14ac:dyDescent="0.25">
      <c r="A3735">
        <v>3732</v>
      </c>
      <c r="B3735" t="s">
        <v>26</v>
      </c>
      <c r="C3735" t="s">
        <v>1218</v>
      </c>
      <c r="D3735" s="4">
        <v>45415</v>
      </c>
      <c r="E3735" t="s">
        <v>1397</v>
      </c>
      <c r="F3735" t="s">
        <v>710</v>
      </c>
      <c r="G3735">
        <v>187</v>
      </c>
      <c r="H3735" t="s">
        <v>1398</v>
      </c>
      <c r="I3735" s="6">
        <v>0</v>
      </c>
      <c r="J3735" s="6">
        <v>0</v>
      </c>
      <c r="K3735" s="6">
        <v>0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>
        <v>1</v>
      </c>
      <c r="R3735">
        <f t="shared" si="290"/>
        <v>0</v>
      </c>
      <c r="S3735">
        <f t="shared" si="291"/>
        <v>0</v>
      </c>
      <c r="T3735">
        <f t="shared" si="292"/>
        <v>0</v>
      </c>
      <c r="U3735">
        <f t="shared" si="293"/>
        <v>0</v>
      </c>
      <c r="V3735">
        <f t="shared" si="294"/>
        <v>0</v>
      </c>
    </row>
    <row r="3736" spans="1:22" x14ac:dyDescent="0.25">
      <c r="A3736">
        <v>3733</v>
      </c>
      <c r="B3736" t="s">
        <v>26</v>
      </c>
      <c r="C3736" t="s">
        <v>1218</v>
      </c>
      <c r="D3736" s="4">
        <v>45415</v>
      </c>
      <c r="E3736" t="s">
        <v>1167</v>
      </c>
      <c r="F3736" t="s">
        <v>75</v>
      </c>
      <c r="I3736" s="6"/>
      <c r="J3736" s="6"/>
      <c r="K3736" s="6"/>
      <c r="L3736" s="6"/>
      <c r="M3736" s="6"/>
      <c r="N3736" s="6"/>
      <c r="O3736" s="6"/>
      <c r="P3736" s="6"/>
      <c r="Q3736">
        <v>0</v>
      </c>
      <c r="R3736">
        <f t="shared" si="290"/>
        <v>0</v>
      </c>
      <c r="S3736">
        <f t="shared" si="291"/>
        <v>0</v>
      </c>
      <c r="T3736">
        <f t="shared" si="292"/>
        <v>0</v>
      </c>
      <c r="U3736">
        <f t="shared" si="293"/>
        <v>0</v>
      </c>
      <c r="V3736">
        <f t="shared" si="294"/>
        <v>0</v>
      </c>
    </row>
    <row r="3737" spans="1:22" x14ac:dyDescent="0.25">
      <c r="A3737">
        <v>3734</v>
      </c>
      <c r="B3737" t="s">
        <v>26</v>
      </c>
      <c r="C3737" t="s">
        <v>1218</v>
      </c>
      <c r="D3737" s="4">
        <v>45415</v>
      </c>
      <c r="E3737" t="s">
        <v>2020</v>
      </c>
      <c r="F3737" t="s">
        <v>75</v>
      </c>
      <c r="I3737" s="6"/>
      <c r="J3737" s="6"/>
      <c r="K3737" s="6"/>
      <c r="L3737" s="6"/>
      <c r="M3737" s="6"/>
      <c r="N3737" s="6"/>
      <c r="O3737" s="6"/>
      <c r="P3737" s="6"/>
      <c r="Q3737">
        <v>0</v>
      </c>
      <c r="R3737">
        <f t="shared" si="290"/>
        <v>0</v>
      </c>
      <c r="S3737">
        <f t="shared" si="291"/>
        <v>0</v>
      </c>
      <c r="T3737">
        <f t="shared" si="292"/>
        <v>0</v>
      </c>
      <c r="U3737">
        <f t="shared" si="293"/>
        <v>0</v>
      </c>
      <c r="V3737">
        <f t="shared" si="294"/>
        <v>0</v>
      </c>
    </row>
    <row r="3738" spans="1:22" x14ac:dyDescent="0.25">
      <c r="A3738">
        <v>3735</v>
      </c>
      <c r="B3738" t="s">
        <v>26</v>
      </c>
      <c r="C3738" t="s">
        <v>1218</v>
      </c>
      <c r="D3738" s="4">
        <v>45415</v>
      </c>
      <c r="E3738" t="s">
        <v>1168</v>
      </c>
      <c r="F3738" t="s">
        <v>75</v>
      </c>
      <c r="I3738" s="6"/>
      <c r="J3738" s="6"/>
      <c r="K3738" s="6"/>
      <c r="L3738" s="6"/>
      <c r="M3738" s="6"/>
      <c r="N3738" s="6"/>
      <c r="O3738" s="6"/>
      <c r="P3738" s="6"/>
      <c r="Q3738">
        <v>0</v>
      </c>
      <c r="R3738">
        <f t="shared" si="290"/>
        <v>0</v>
      </c>
      <c r="S3738">
        <f t="shared" si="291"/>
        <v>0</v>
      </c>
      <c r="T3738">
        <f t="shared" si="292"/>
        <v>0</v>
      </c>
      <c r="U3738">
        <f t="shared" si="293"/>
        <v>0</v>
      </c>
      <c r="V3738">
        <f t="shared" si="294"/>
        <v>0</v>
      </c>
    </row>
    <row r="3739" spans="1:22" x14ac:dyDescent="0.25">
      <c r="A3739">
        <v>3736</v>
      </c>
      <c r="B3739" t="s">
        <v>26</v>
      </c>
      <c r="C3739" t="s">
        <v>1218</v>
      </c>
      <c r="D3739" s="4">
        <v>45415</v>
      </c>
      <c r="E3739" t="s">
        <v>1169</v>
      </c>
      <c r="F3739" t="s">
        <v>75</v>
      </c>
      <c r="I3739" s="6"/>
      <c r="J3739" s="6"/>
      <c r="K3739" s="6"/>
      <c r="L3739" s="6"/>
      <c r="M3739" s="6"/>
      <c r="N3739" s="6"/>
      <c r="O3739" s="6"/>
      <c r="P3739" s="6"/>
      <c r="Q3739">
        <v>0</v>
      </c>
      <c r="R3739">
        <f t="shared" si="290"/>
        <v>0</v>
      </c>
      <c r="S3739">
        <f t="shared" si="291"/>
        <v>0</v>
      </c>
      <c r="T3739">
        <f t="shared" si="292"/>
        <v>0</v>
      </c>
      <c r="U3739">
        <f t="shared" si="293"/>
        <v>0</v>
      </c>
      <c r="V3739">
        <f t="shared" si="294"/>
        <v>0</v>
      </c>
    </row>
    <row r="3740" spans="1:22" x14ac:dyDescent="0.25">
      <c r="A3740">
        <v>3737</v>
      </c>
      <c r="B3740" t="s">
        <v>26</v>
      </c>
      <c r="C3740" t="s">
        <v>1218</v>
      </c>
      <c r="D3740" s="4">
        <v>45416</v>
      </c>
      <c r="E3740" t="s">
        <v>1399</v>
      </c>
      <c r="F3740" t="s">
        <v>710</v>
      </c>
      <c r="G3740">
        <v>188</v>
      </c>
      <c r="H3740" t="s">
        <v>1400</v>
      </c>
      <c r="I3740" s="6">
        <v>0</v>
      </c>
      <c r="J3740" s="6">
        <v>0</v>
      </c>
      <c r="K3740" s="6">
        <v>0</v>
      </c>
      <c r="L3740" s="6">
        <v>0</v>
      </c>
      <c r="M3740" s="6">
        <v>0</v>
      </c>
      <c r="N3740" s="6">
        <v>0</v>
      </c>
      <c r="O3740" s="6">
        <v>0</v>
      </c>
      <c r="P3740" s="6">
        <v>0</v>
      </c>
      <c r="Q3740">
        <v>1</v>
      </c>
      <c r="R3740">
        <f t="shared" si="290"/>
        <v>0</v>
      </c>
      <c r="S3740">
        <f t="shared" si="291"/>
        <v>0</v>
      </c>
      <c r="T3740">
        <f t="shared" si="292"/>
        <v>0</v>
      </c>
      <c r="U3740">
        <f t="shared" si="293"/>
        <v>0</v>
      </c>
      <c r="V3740">
        <f t="shared" si="294"/>
        <v>0</v>
      </c>
    </row>
    <row r="3741" spans="1:22" x14ac:dyDescent="0.25">
      <c r="A3741">
        <v>3738</v>
      </c>
      <c r="B3741" t="s">
        <v>26</v>
      </c>
      <c r="C3741" t="s">
        <v>1218</v>
      </c>
      <c r="D3741" s="4">
        <v>45417</v>
      </c>
      <c r="E3741" t="s">
        <v>995</v>
      </c>
      <c r="F3741" t="s">
        <v>75</v>
      </c>
      <c r="I3741" s="6"/>
      <c r="J3741" s="6"/>
      <c r="K3741" s="6"/>
      <c r="L3741" s="6"/>
      <c r="M3741" s="6"/>
      <c r="N3741" s="6"/>
      <c r="O3741" s="6"/>
      <c r="P3741" s="6"/>
      <c r="Q3741">
        <v>0</v>
      </c>
      <c r="R3741">
        <f t="shared" si="290"/>
        <v>0</v>
      </c>
      <c r="S3741">
        <f t="shared" si="291"/>
        <v>0</v>
      </c>
      <c r="T3741">
        <f t="shared" si="292"/>
        <v>0</v>
      </c>
      <c r="U3741">
        <f t="shared" si="293"/>
        <v>0</v>
      </c>
      <c r="V3741">
        <f t="shared" si="294"/>
        <v>0</v>
      </c>
    </row>
    <row r="3742" spans="1:22" x14ac:dyDescent="0.25">
      <c r="A3742">
        <v>3739</v>
      </c>
      <c r="B3742" t="s">
        <v>26</v>
      </c>
      <c r="C3742" t="s">
        <v>1218</v>
      </c>
      <c r="D3742" s="4">
        <v>45417</v>
      </c>
      <c r="E3742" t="s">
        <v>996</v>
      </c>
      <c r="F3742" t="s">
        <v>75</v>
      </c>
      <c r="I3742" s="6"/>
      <c r="J3742" s="6"/>
      <c r="K3742" s="6"/>
      <c r="L3742" s="6"/>
      <c r="M3742" s="6"/>
      <c r="N3742" s="6"/>
      <c r="O3742" s="6"/>
      <c r="P3742" s="6"/>
      <c r="Q3742">
        <v>0</v>
      </c>
      <c r="R3742">
        <f t="shared" si="290"/>
        <v>0</v>
      </c>
      <c r="S3742">
        <f t="shared" si="291"/>
        <v>0</v>
      </c>
      <c r="T3742">
        <f t="shared" si="292"/>
        <v>0</v>
      </c>
      <c r="U3742">
        <f t="shared" si="293"/>
        <v>0</v>
      </c>
      <c r="V3742">
        <f t="shared" si="294"/>
        <v>0</v>
      </c>
    </row>
    <row r="3743" spans="1:22" x14ac:dyDescent="0.25">
      <c r="A3743">
        <v>3740</v>
      </c>
      <c r="B3743" t="s">
        <v>26</v>
      </c>
      <c r="C3743" t="s">
        <v>1218</v>
      </c>
      <c r="D3743" s="4">
        <v>45417</v>
      </c>
      <c r="E3743" t="s">
        <v>1079</v>
      </c>
      <c r="F3743" t="s">
        <v>75</v>
      </c>
      <c r="I3743" s="6">
        <v>0</v>
      </c>
      <c r="J3743" s="6">
        <v>0</v>
      </c>
      <c r="K3743" s="6">
        <v>0</v>
      </c>
      <c r="L3743" s="6">
        <v>1</v>
      </c>
      <c r="M3743" s="6">
        <v>0</v>
      </c>
      <c r="N3743" s="6">
        <v>1</v>
      </c>
      <c r="O3743" s="6">
        <v>0</v>
      </c>
      <c r="P3743" s="6">
        <v>0</v>
      </c>
      <c r="Q3743">
        <v>1</v>
      </c>
      <c r="R3743">
        <f t="shared" si="290"/>
        <v>0</v>
      </c>
      <c r="S3743">
        <f t="shared" si="291"/>
        <v>1</v>
      </c>
      <c r="T3743">
        <f t="shared" si="292"/>
        <v>2</v>
      </c>
      <c r="U3743">
        <f t="shared" si="293"/>
        <v>1</v>
      </c>
      <c r="V3743">
        <f t="shared" si="294"/>
        <v>0</v>
      </c>
    </row>
    <row r="3744" spans="1:22" x14ac:dyDescent="0.25">
      <c r="A3744">
        <v>3741</v>
      </c>
      <c r="B3744" t="s">
        <v>26</v>
      </c>
      <c r="C3744" t="s">
        <v>1218</v>
      </c>
      <c r="D3744" s="4">
        <v>45417</v>
      </c>
      <c r="E3744" t="s">
        <v>1555</v>
      </c>
      <c r="F3744" t="s">
        <v>75</v>
      </c>
      <c r="I3744" s="6"/>
      <c r="J3744" s="6"/>
      <c r="K3744" s="6"/>
      <c r="L3744" s="6"/>
      <c r="M3744" s="6"/>
      <c r="N3744" s="6"/>
      <c r="O3744" s="6"/>
      <c r="P3744" s="6"/>
      <c r="Q3744">
        <v>0</v>
      </c>
      <c r="R3744">
        <f t="shared" si="290"/>
        <v>0</v>
      </c>
      <c r="S3744">
        <f t="shared" si="291"/>
        <v>0</v>
      </c>
      <c r="T3744">
        <f t="shared" si="292"/>
        <v>0</v>
      </c>
      <c r="U3744">
        <f t="shared" si="293"/>
        <v>0</v>
      </c>
      <c r="V3744">
        <f t="shared" si="294"/>
        <v>0</v>
      </c>
    </row>
    <row r="3745" spans="1:22" x14ac:dyDescent="0.25">
      <c r="A3745">
        <v>3742</v>
      </c>
      <c r="B3745" t="s">
        <v>26</v>
      </c>
      <c r="C3745" t="s">
        <v>1218</v>
      </c>
      <c r="D3745" s="4">
        <v>45417</v>
      </c>
      <c r="E3745" t="s">
        <v>2138</v>
      </c>
      <c r="F3745" t="s">
        <v>75</v>
      </c>
      <c r="I3745" s="6"/>
      <c r="J3745" s="6"/>
      <c r="K3745" s="6"/>
      <c r="L3745" s="6"/>
      <c r="M3745" s="6"/>
      <c r="N3745" s="6"/>
      <c r="O3745" s="6"/>
      <c r="P3745" s="6"/>
      <c r="Q3745">
        <v>0</v>
      </c>
      <c r="R3745">
        <f t="shared" si="290"/>
        <v>0</v>
      </c>
      <c r="S3745">
        <f t="shared" si="291"/>
        <v>0</v>
      </c>
      <c r="T3745">
        <f t="shared" si="292"/>
        <v>0</v>
      </c>
      <c r="U3745">
        <f t="shared" si="293"/>
        <v>0</v>
      </c>
      <c r="V3745">
        <f t="shared" si="294"/>
        <v>0</v>
      </c>
    </row>
    <row r="3746" spans="1:22" x14ac:dyDescent="0.25">
      <c r="A3746">
        <v>3743</v>
      </c>
      <c r="B3746" t="s">
        <v>26</v>
      </c>
      <c r="C3746" t="s">
        <v>1218</v>
      </c>
      <c r="D3746" s="4">
        <v>45417</v>
      </c>
      <c r="E3746" t="s">
        <v>1401</v>
      </c>
      <c r="F3746" t="s">
        <v>710</v>
      </c>
      <c r="G3746">
        <v>189</v>
      </c>
      <c r="H3746" t="s">
        <v>1402</v>
      </c>
      <c r="I3746" s="6">
        <v>1</v>
      </c>
      <c r="J3746" s="6">
        <v>0</v>
      </c>
      <c r="K3746" s="6">
        <v>0</v>
      </c>
      <c r="L3746" s="6">
        <v>1</v>
      </c>
      <c r="M3746" s="6">
        <v>0</v>
      </c>
      <c r="N3746" s="6">
        <v>0</v>
      </c>
      <c r="O3746" s="6">
        <v>0</v>
      </c>
      <c r="P3746" s="6">
        <v>0</v>
      </c>
      <c r="Q3746">
        <v>1</v>
      </c>
      <c r="R3746">
        <f t="shared" si="290"/>
        <v>0</v>
      </c>
      <c r="S3746">
        <f t="shared" si="291"/>
        <v>0</v>
      </c>
      <c r="T3746">
        <f t="shared" si="292"/>
        <v>2</v>
      </c>
      <c r="U3746">
        <f t="shared" si="293"/>
        <v>1</v>
      </c>
      <c r="V3746">
        <f t="shared" si="294"/>
        <v>0</v>
      </c>
    </row>
    <row r="3747" spans="1:22" x14ac:dyDescent="0.25">
      <c r="A3747">
        <v>3744</v>
      </c>
      <c r="B3747" t="s">
        <v>26</v>
      </c>
      <c r="C3747" t="s">
        <v>1218</v>
      </c>
      <c r="D3747" s="4">
        <v>45418</v>
      </c>
      <c r="E3747" t="s">
        <v>317</v>
      </c>
      <c r="F3747" t="s">
        <v>75</v>
      </c>
      <c r="I3747" s="6">
        <v>0</v>
      </c>
      <c r="J3747" s="6">
        <v>0</v>
      </c>
      <c r="K3747" s="6">
        <v>0</v>
      </c>
      <c r="L3747" s="6">
        <v>0</v>
      </c>
      <c r="M3747" s="6">
        <v>0</v>
      </c>
      <c r="N3747" s="6">
        <v>0</v>
      </c>
      <c r="O3747" s="6">
        <v>0</v>
      </c>
      <c r="P3747" s="6">
        <v>0</v>
      </c>
      <c r="Q3747">
        <v>1</v>
      </c>
      <c r="R3747">
        <f t="shared" si="290"/>
        <v>0</v>
      </c>
      <c r="S3747">
        <f t="shared" si="291"/>
        <v>1</v>
      </c>
      <c r="T3747">
        <f t="shared" si="292"/>
        <v>0</v>
      </c>
      <c r="U3747">
        <f t="shared" si="293"/>
        <v>0</v>
      </c>
      <c r="V3747">
        <f t="shared" si="294"/>
        <v>0</v>
      </c>
    </row>
    <row r="3748" spans="1:22" x14ac:dyDescent="0.25">
      <c r="A3748">
        <v>3745</v>
      </c>
      <c r="B3748" t="s">
        <v>26</v>
      </c>
      <c r="C3748" t="s">
        <v>1218</v>
      </c>
      <c r="D3748" s="4">
        <v>45418</v>
      </c>
      <c r="E3748" t="s">
        <v>318</v>
      </c>
      <c r="F3748" t="s">
        <v>75</v>
      </c>
      <c r="I3748" s="6">
        <v>0</v>
      </c>
      <c r="J3748" s="6">
        <v>0</v>
      </c>
      <c r="K3748" s="6">
        <v>0</v>
      </c>
      <c r="L3748" s="6">
        <v>0</v>
      </c>
      <c r="M3748" s="6">
        <v>1</v>
      </c>
      <c r="N3748" s="6">
        <v>1</v>
      </c>
      <c r="O3748" s="6">
        <v>0</v>
      </c>
      <c r="P3748" s="6">
        <v>0</v>
      </c>
      <c r="Q3748">
        <v>1</v>
      </c>
      <c r="R3748">
        <f t="shared" si="290"/>
        <v>0</v>
      </c>
      <c r="S3748">
        <f t="shared" si="291"/>
        <v>1</v>
      </c>
      <c r="T3748">
        <f t="shared" si="292"/>
        <v>2</v>
      </c>
      <c r="U3748">
        <f t="shared" si="293"/>
        <v>1</v>
      </c>
      <c r="V3748">
        <f t="shared" si="294"/>
        <v>0</v>
      </c>
    </row>
    <row r="3749" spans="1:22" x14ac:dyDescent="0.25">
      <c r="A3749">
        <v>3746</v>
      </c>
      <c r="B3749" t="s">
        <v>26</v>
      </c>
      <c r="C3749" t="s">
        <v>1218</v>
      </c>
      <c r="D3749" s="4">
        <v>45418</v>
      </c>
      <c r="E3749" t="s">
        <v>319</v>
      </c>
      <c r="F3749" t="s">
        <v>75</v>
      </c>
      <c r="I3749" s="6"/>
      <c r="J3749" s="6"/>
      <c r="K3749" s="6"/>
      <c r="L3749" s="6"/>
      <c r="M3749" s="6"/>
      <c r="N3749" s="6"/>
      <c r="O3749" s="6"/>
      <c r="P3749" s="6"/>
      <c r="Q3749">
        <v>0</v>
      </c>
      <c r="R3749">
        <f t="shared" si="290"/>
        <v>0</v>
      </c>
      <c r="S3749">
        <f t="shared" si="291"/>
        <v>0</v>
      </c>
      <c r="T3749">
        <f t="shared" si="292"/>
        <v>0</v>
      </c>
      <c r="U3749">
        <f t="shared" si="293"/>
        <v>0</v>
      </c>
      <c r="V3749">
        <f t="shared" si="294"/>
        <v>0</v>
      </c>
    </row>
    <row r="3750" spans="1:22" x14ac:dyDescent="0.25">
      <c r="A3750">
        <v>3747</v>
      </c>
      <c r="B3750" t="s">
        <v>26</v>
      </c>
      <c r="C3750" t="s">
        <v>1218</v>
      </c>
      <c r="D3750" s="4">
        <v>45418</v>
      </c>
      <c r="E3750" t="s">
        <v>2137</v>
      </c>
      <c r="F3750" t="s">
        <v>75</v>
      </c>
      <c r="I3750" s="6"/>
      <c r="J3750" s="6"/>
      <c r="K3750" s="6"/>
      <c r="L3750" s="6"/>
      <c r="M3750" s="6"/>
      <c r="N3750" s="6"/>
      <c r="O3750" s="6"/>
      <c r="P3750" s="6"/>
      <c r="Q3750">
        <v>0</v>
      </c>
      <c r="R3750">
        <f t="shared" si="290"/>
        <v>0</v>
      </c>
      <c r="S3750">
        <f t="shared" si="291"/>
        <v>0</v>
      </c>
      <c r="T3750">
        <f t="shared" si="292"/>
        <v>0</v>
      </c>
      <c r="U3750">
        <f t="shared" si="293"/>
        <v>0</v>
      </c>
      <c r="V3750">
        <f t="shared" si="294"/>
        <v>0</v>
      </c>
    </row>
    <row r="3751" spans="1:22" x14ac:dyDescent="0.25">
      <c r="A3751">
        <v>3748</v>
      </c>
      <c r="B3751" t="s">
        <v>26</v>
      </c>
      <c r="C3751" t="s">
        <v>1218</v>
      </c>
      <c r="D3751" s="4">
        <v>45418</v>
      </c>
      <c r="E3751" t="s">
        <v>1174</v>
      </c>
      <c r="F3751" t="s">
        <v>75</v>
      </c>
      <c r="I3751" s="6"/>
      <c r="J3751" s="6"/>
      <c r="K3751" s="6"/>
      <c r="L3751" s="6"/>
      <c r="M3751" s="6"/>
      <c r="N3751" s="6"/>
      <c r="O3751" s="6"/>
      <c r="P3751" s="6"/>
      <c r="Q3751">
        <v>0</v>
      </c>
      <c r="R3751">
        <f t="shared" si="290"/>
        <v>0</v>
      </c>
      <c r="S3751">
        <f t="shared" si="291"/>
        <v>0</v>
      </c>
      <c r="T3751">
        <f t="shared" si="292"/>
        <v>0</v>
      </c>
      <c r="U3751">
        <f t="shared" si="293"/>
        <v>0</v>
      </c>
      <c r="V3751">
        <f t="shared" si="294"/>
        <v>0</v>
      </c>
    </row>
    <row r="3752" spans="1:22" x14ac:dyDescent="0.25">
      <c r="A3752">
        <v>3749</v>
      </c>
      <c r="B3752" t="s">
        <v>26</v>
      </c>
      <c r="C3752" t="s">
        <v>1218</v>
      </c>
      <c r="D3752" s="4">
        <v>45418</v>
      </c>
      <c r="E3752" t="s">
        <v>2312</v>
      </c>
      <c r="F3752" t="s">
        <v>75</v>
      </c>
      <c r="I3752" s="6">
        <v>1</v>
      </c>
      <c r="J3752" s="6">
        <v>0</v>
      </c>
      <c r="K3752" s="6">
        <v>0</v>
      </c>
      <c r="L3752" s="6">
        <v>0</v>
      </c>
      <c r="M3752" s="6">
        <v>1</v>
      </c>
      <c r="N3752" s="6">
        <v>0</v>
      </c>
      <c r="O3752" s="6">
        <v>0</v>
      </c>
      <c r="P3752" s="6">
        <v>0</v>
      </c>
      <c r="Q3752">
        <v>1</v>
      </c>
      <c r="R3752">
        <f t="shared" si="290"/>
        <v>0</v>
      </c>
      <c r="S3752">
        <f t="shared" si="291"/>
        <v>1</v>
      </c>
      <c r="T3752">
        <f t="shared" si="292"/>
        <v>2</v>
      </c>
      <c r="U3752">
        <f t="shared" si="293"/>
        <v>1</v>
      </c>
      <c r="V3752">
        <f t="shared" si="294"/>
        <v>0</v>
      </c>
    </row>
    <row r="3753" spans="1:22" x14ac:dyDescent="0.25">
      <c r="A3753">
        <v>3750</v>
      </c>
      <c r="B3753" t="s">
        <v>26</v>
      </c>
      <c r="C3753" t="s">
        <v>1218</v>
      </c>
      <c r="D3753" s="4">
        <v>45419</v>
      </c>
      <c r="E3753" t="s">
        <v>1080</v>
      </c>
      <c r="F3753" t="s">
        <v>75</v>
      </c>
      <c r="I3753" s="6"/>
      <c r="J3753" s="6"/>
      <c r="K3753" s="6"/>
      <c r="L3753" s="6"/>
      <c r="M3753" s="6"/>
      <c r="N3753" s="6"/>
      <c r="O3753" s="6"/>
      <c r="P3753" s="6"/>
      <c r="Q3753">
        <v>0</v>
      </c>
      <c r="R3753">
        <f t="shared" si="290"/>
        <v>0</v>
      </c>
      <c r="S3753">
        <f t="shared" si="291"/>
        <v>0</v>
      </c>
      <c r="T3753">
        <f t="shared" si="292"/>
        <v>0</v>
      </c>
      <c r="U3753">
        <f t="shared" si="293"/>
        <v>0</v>
      </c>
      <c r="V3753">
        <f t="shared" si="294"/>
        <v>0</v>
      </c>
    </row>
    <row r="3754" spans="1:22" x14ac:dyDescent="0.25">
      <c r="A3754">
        <v>3751</v>
      </c>
      <c r="B3754" t="s">
        <v>26</v>
      </c>
      <c r="C3754" t="s">
        <v>1218</v>
      </c>
      <c r="D3754" s="4">
        <v>45419</v>
      </c>
      <c r="E3754" t="s">
        <v>1403</v>
      </c>
      <c r="F3754" t="s">
        <v>75</v>
      </c>
      <c r="I3754" s="6">
        <v>0</v>
      </c>
      <c r="J3754" s="6">
        <v>0</v>
      </c>
      <c r="K3754" s="6">
        <v>0</v>
      </c>
      <c r="L3754" s="6">
        <v>0</v>
      </c>
      <c r="M3754" s="6">
        <v>0</v>
      </c>
      <c r="N3754" s="6">
        <v>0</v>
      </c>
      <c r="O3754" s="6">
        <v>0</v>
      </c>
      <c r="P3754" s="6">
        <v>0</v>
      </c>
      <c r="Q3754">
        <v>1</v>
      </c>
      <c r="R3754">
        <f t="shared" si="290"/>
        <v>0</v>
      </c>
      <c r="S3754">
        <f t="shared" si="291"/>
        <v>1</v>
      </c>
      <c r="T3754">
        <f t="shared" si="292"/>
        <v>0</v>
      </c>
      <c r="U3754">
        <f t="shared" si="293"/>
        <v>0</v>
      </c>
      <c r="V3754">
        <f t="shared" si="294"/>
        <v>0</v>
      </c>
    </row>
    <row r="3755" spans="1:22" x14ac:dyDescent="0.25">
      <c r="A3755">
        <v>3752</v>
      </c>
      <c r="B3755" t="s">
        <v>26</v>
      </c>
      <c r="C3755" t="s">
        <v>1218</v>
      </c>
      <c r="D3755" s="4">
        <v>45419</v>
      </c>
      <c r="E3755" t="s">
        <v>1404</v>
      </c>
      <c r="F3755" t="s">
        <v>75</v>
      </c>
      <c r="I3755" s="6">
        <v>0</v>
      </c>
      <c r="J3755" s="6">
        <v>0</v>
      </c>
      <c r="K3755" s="6">
        <v>0</v>
      </c>
      <c r="L3755" s="6">
        <v>0</v>
      </c>
      <c r="M3755" s="6">
        <v>0</v>
      </c>
      <c r="N3755" s="6">
        <v>0</v>
      </c>
      <c r="O3755" s="6">
        <v>0</v>
      </c>
      <c r="P3755" s="6">
        <v>0</v>
      </c>
      <c r="Q3755">
        <v>1</v>
      </c>
      <c r="R3755">
        <f t="shared" si="290"/>
        <v>0</v>
      </c>
      <c r="S3755">
        <f t="shared" si="291"/>
        <v>1</v>
      </c>
      <c r="T3755">
        <f t="shared" si="292"/>
        <v>0</v>
      </c>
      <c r="U3755">
        <f t="shared" si="293"/>
        <v>0</v>
      </c>
      <c r="V3755">
        <f t="shared" si="294"/>
        <v>0</v>
      </c>
    </row>
    <row r="3756" spans="1:22" x14ac:dyDescent="0.25">
      <c r="A3756">
        <v>3753</v>
      </c>
      <c r="B3756" t="s">
        <v>26</v>
      </c>
      <c r="C3756" t="s">
        <v>1218</v>
      </c>
      <c r="D3756" s="4">
        <v>45419</v>
      </c>
      <c r="E3756" t="s">
        <v>2415</v>
      </c>
      <c r="F3756" t="s">
        <v>75</v>
      </c>
      <c r="I3756" s="6"/>
      <c r="J3756" s="6"/>
      <c r="K3756" s="6"/>
      <c r="L3756" s="6"/>
      <c r="M3756" s="6"/>
      <c r="N3756" s="6"/>
      <c r="O3756" s="6"/>
      <c r="P3756" s="6"/>
      <c r="Q3756">
        <v>0</v>
      </c>
      <c r="R3756">
        <f t="shared" si="290"/>
        <v>0</v>
      </c>
      <c r="S3756">
        <f t="shared" si="291"/>
        <v>0</v>
      </c>
      <c r="T3756">
        <f t="shared" si="292"/>
        <v>0</v>
      </c>
      <c r="U3756">
        <f t="shared" si="293"/>
        <v>0</v>
      </c>
      <c r="V3756">
        <f t="shared" si="294"/>
        <v>0</v>
      </c>
    </row>
    <row r="3757" spans="1:22" x14ac:dyDescent="0.25">
      <c r="A3757">
        <v>3754</v>
      </c>
      <c r="B3757" t="s">
        <v>26</v>
      </c>
      <c r="C3757" t="s">
        <v>1218</v>
      </c>
      <c r="D3757" s="4">
        <v>45419</v>
      </c>
      <c r="E3757" t="s">
        <v>1175</v>
      </c>
      <c r="F3757" t="s">
        <v>75</v>
      </c>
      <c r="I3757" s="6"/>
      <c r="J3757" s="6"/>
      <c r="K3757" s="6"/>
      <c r="L3757" s="6"/>
      <c r="M3757" s="6"/>
      <c r="N3757" s="6"/>
      <c r="O3757" s="6"/>
      <c r="P3757" s="6"/>
      <c r="Q3757">
        <v>0</v>
      </c>
      <c r="R3757">
        <f t="shared" si="290"/>
        <v>0</v>
      </c>
      <c r="S3757">
        <f t="shared" si="291"/>
        <v>0</v>
      </c>
      <c r="T3757">
        <f t="shared" si="292"/>
        <v>0</v>
      </c>
      <c r="U3757">
        <f t="shared" si="293"/>
        <v>0</v>
      </c>
      <c r="V3757">
        <f t="shared" si="294"/>
        <v>0</v>
      </c>
    </row>
    <row r="3758" spans="1:22" x14ac:dyDescent="0.25">
      <c r="A3758">
        <v>3755</v>
      </c>
      <c r="B3758" t="s">
        <v>26</v>
      </c>
      <c r="C3758" t="s">
        <v>1218</v>
      </c>
      <c r="D3758" s="4">
        <v>45419</v>
      </c>
      <c r="E3758" t="s">
        <v>2414</v>
      </c>
      <c r="F3758" t="s">
        <v>75</v>
      </c>
      <c r="I3758" s="6"/>
      <c r="J3758" s="6"/>
      <c r="K3758" s="6"/>
      <c r="L3758" s="6"/>
      <c r="M3758" s="6"/>
      <c r="N3758" s="6"/>
      <c r="O3758" s="6"/>
      <c r="P3758" s="6"/>
      <c r="Q3758">
        <v>0</v>
      </c>
      <c r="R3758">
        <f t="shared" si="290"/>
        <v>0</v>
      </c>
      <c r="S3758">
        <f t="shared" si="291"/>
        <v>0</v>
      </c>
      <c r="T3758">
        <f t="shared" si="292"/>
        <v>0</v>
      </c>
      <c r="U3758">
        <f t="shared" si="293"/>
        <v>0</v>
      </c>
      <c r="V3758">
        <f t="shared" si="294"/>
        <v>0</v>
      </c>
    </row>
    <row r="3759" spans="1:22" x14ac:dyDescent="0.25">
      <c r="A3759">
        <v>3756</v>
      </c>
      <c r="B3759" t="s">
        <v>26</v>
      </c>
      <c r="C3759" t="s">
        <v>1218</v>
      </c>
      <c r="D3759" s="4">
        <v>45419</v>
      </c>
      <c r="E3759" t="s">
        <v>2413</v>
      </c>
      <c r="F3759" t="s">
        <v>75</v>
      </c>
      <c r="I3759" s="6"/>
      <c r="J3759" s="6"/>
      <c r="K3759" s="6"/>
      <c r="L3759" s="6"/>
      <c r="M3759" s="6"/>
      <c r="N3759" s="6"/>
      <c r="O3759" s="6"/>
      <c r="P3759" s="6"/>
      <c r="Q3759">
        <v>0</v>
      </c>
      <c r="R3759">
        <f t="shared" si="290"/>
        <v>0</v>
      </c>
      <c r="S3759">
        <f t="shared" si="291"/>
        <v>0</v>
      </c>
      <c r="T3759">
        <f t="shared" si="292"/>
        <v>0</v>
      </c>
      <c r="U3759">
        <f t="shared" si="293"/>
        <v>0</v>
      </c>
      <c r="V3759">
        <f t="shared" si="294"/>
        <v>0</v>
      </c>
    </row>
    <row r="3760" spans="1:22" x14ac:dyDescent="0.25">
      <c r="A3760">
        <v>3757</v>
      </c>
      <c r="B3760" t="s">
        <v>26</v>
      </c>
      <c r="C3760" t="s">
        <v>1218</v>
      </c>
      <c r="D3760" s="4">
        <v>45419</v>
      </c>
      <c r="E3760" t="s">
        <v>2412</v>
      </c>
      <c r="F3760" t="s">
        <v>75</v>
      </c>
      <c r="I3760" s="6"/>
      <c r="J3760" s="6"/>
      <c r="K3760" s="6"/>
      <c r="L3760" s="6"/>
      <c r="M3760" s="6"/>
      <c r="N3760" s="6"/>
      <c r="O3760" s="6"/>
      <c r="P3760" s="6"/>
      <c r="Q3760">
        <v>0</v>
      </c>
      <c r="R3760">
        <f t="shared" si="290"/>
        <v>0</v>
      </c>
      <c r="S3760">
        <f t="shared" si="291"/>
        <v>0</v>
      </c>
      <c r="T3760">
        <f t="shared" si="292"/>
        <v>0</v>
      </c>
      <c r="U3760">
        <f t="shared" si="293"/>
        <v>0</v>
      </c>
      <c r="V3760">
        <f t="shared" si="294"/>
        <v>0</v>
      </c>
    </row>
    <row r="3761" spans="1:22" x14ac:dyDescent="0.25">
      <c r="A3761">
        <v>3758</v>
      </c>
      <c r="B3761" t="s">
        <v>26</v>
      </c>
      <c r="C3761" t="s">
        <v>1218</v>
      </c>
      <c r="D3761" s="4">
        <v>45419</v>
      </c>
      <c r="E3761" t="s">
        <v>2411</v>
      </c>
      <c r="F3761" t="s">
        <v>75</v>
      </c>
      <c r="I3761" s="6"/>
      <c r="J3761" s="6"/>
      <c r="K3761" s="6"/>
      <c r="L3761" s="6"/>
      <c r="M3761" s="6"/>
      <c r="N3761" s="6"/>
      <c r="O3761" s="6"/>
      <c r="P3761" s="6"/>
      <c r="Q3761">
        <v>0</v>
      </c>
      <c r="R3761">
        <f t="shared" si="290"/>
        <v>0</v>
      </c>
      <c r="S3761">
        <f t="shared" si="291"/>
        <v>0</v>
      </c>
      <c r="T3761">
        <f t="shared" si="292"/>
        <v>0</v>
      </c>
      <c r="U3761">
        <f t="shared" si="293"/>
        <v>0</v>
      </c>
      <c r="V3761">
        <f t="shared" si="294"/>
        <v>0</v>
      </c>
    </row>
    <row r="3762" spans="1:22" x14ac:dyDescent="0.25">
      <c r="A3762">
        <v>3759</v>
      </c>
      <c r="B3762" t="s">
        <v>26</v>
      </c>
      <c r="C3762" t="s">
        <v>1218</v>
      </c>
      <c r="D3762" s="4">
        <v>45419</v>
      </c>
      <c r="E3762" t="s">
        <v>1176</v>
      </c>
      <c r="F3762" t="s">
        <v>75</v>
      </c>
      <c r="I3762" s="6"/>
      <c r="J3762" s="6"/>
      <c r="K3762" s="6"/>
      <c r="L3762" s="6"/>
      <c r="M3762" s="6"/>
      <c r="N3762" s="6"/>
      <c r="O3762" s="6"/>
      <c r="P3762" s="6"/>
      <c r="Q3762">
        <v>0</v>
      </c>
      <c r="R3762">
        <f t="shared" si="290"/>
        <v>0</v>
      </c>
      <c r="S3762">
        <f t="shared" si="291"/>
        <v>0</v>
      </c>
      <c r="T3762">
        <f t="shared" si="292"/>
        <v>0</v>
      </c>
      <c r="U3762">
        <f t="shared" si="293"/>
        <v>0</v>
      </c>
      <c r="V3762">
        <f t="shared" si="294"/>
        <v>0</v>
      </c>
    </row>
    <row r="3763" spans="1:22" x14ac:dyDescent="0.25">
      <c r="A3763">
        <v>3760</v>
      </c>
      <c r="B3763" t="s">
        <v>26</v>
      </c>
      <c r="C3763" t="s">
        <v>1218</v>
      </c>
      <c r="D3763" s="4">
        <v>45419</v>
      </c>
      <c r="E3763" t="s">
        <v>2410</v>
      </c>
      <c r="F3763" t="s">
        <v>75</v>
      </c>
      <c r="I3763" s="6"/>
      <c r="J3763" s="6"/>
      <c r="K3763" s="6"/>
      <c r="L3763" s="6"/>
      <c r="M3763" s="6"/>
      <c r="N3763" s="6"/>
      <c r="O3763" s="6"/>
      <c r="P3763" s="6"/>
      <c r="Q3763">
        <v>0</v>
      </c>
      <c r="R3763">
        <f t="shared" si="290"/>
        <v>0</v>
      </c>
      <c r="S3763">
        <f t="shared" si="291"/>
        <v>0</v>
      </c>
      <c r="T3763">
        <f t="shared" si="292"/>
        <v>0</v>
      </c>
      <c r="U3763">
        <f t="shared" si="293"/>
        <v>0</v>
      </c>
      <c r="V3763">
        <f t="shared" si="294"/>
        <v>0</v>
      </c>
    </row>
    <row r="3764" spans="1:22" x14ac:dyDescent="0.25">
      <c r="A3764">
        <v>3761</v>
      </c>
      <c r="B3764" t="s">
        <v>26</v>
      </c>
      <c r="C3764" t="s">
        <v>1218</v>
      </c>
      <c r="D3764" s="4">
        <v>45419</v>
      </c>
      <c r="E3764" t="s">
        <v>320</v>
      </c>
      <c r="F3764" t="s">
        <v>75</v>
      </c>
      <c r="I3764" s="6">
        <v>0</v>
      </c>
      <c r="J3764" s="6">
        <v>0</v>
      </c>
      <c r="K3764" s="6">
        <v>0</v>
      </c>
      <c r="L3764" s="6">
        <v>1</v>
      </c>
      <c r="M3764" s="6">
        <v>1</v>
      </c>
      <c r="N3764" s="6">
        <v>1</v>
      </c>
      <c r="O3764" s="6">
        <v>0</v>
      </c>
      <c r="P3764" s="6">
        <v>0</v>
      </c>
      <c r="Q3764">
        <v>1</v>
      </c>
      <c r="R3764">
        <f t="shared" si="290"/>
        <v>0</v>
      </c>
      <c r="S3764">
        <f t="shared" si="291"/>
        <v>1</v>
      </c>
      <c r="T3764">
        <f t="shared" si="292"/>
        <v>3</v>
      </c>
      <c r="U3764">
        <f t="shared" si="293"/>
        <v>1</v>
      </c>
      <c r="V3764">
        <f t="shared" si="294"/>
        <v>0</v>
      </c>
    </row>
    <row r="3765" spans="1:22" x14ac:dyDescent="0.25">
      <c r="A3765">
        <v>3762</v>
      </c>
      <c r="B3765" t="s">
        <v>26</v>
      </c>
      <c r="C3765" t="s">
        <v>1218</v>
      </c>
      <c r="D3765" s="4">
        <v>45419</v>
      </c>
      <c r="E3765" t="s">
        <v>2409</v>
      </c>
      <c r="F3765" t="s">
        <v>75</v>
      </c>
      <c r="I3765" s="6">
        <v>0</v>
      </c>
      <c r="J3765" s="6">
        <v>0</v>
      </c>
      <c r="K3765" s="6">
        <v>0</v>
      </c>
      <c r="L3765" s="6">
        <v>0</v>
      </c>
      <c r="M3765" s="6">
        <v>0</v>
      </c>
      <c r="N3765" s="6">
        <v>0</v>
      </c>
      <c r="O3765" s="6">
        <v>0</v>
      </c>
      <c r="P3765" s="6">
        <v>0</v>
      </c>
      <c r="Q3765">
        <v>1</v>
      </c>
      <c r="R3765">
        <f t="shared" si="290"/>
        <v>0</v>
      </c>
      <c r="S3765">
        <f t="shared" si="291"/>
        <v>1</v>
      </c>
      <c r="T3765">
        <f t="shared" si="292"/>
        <v>0</v>
      </c>
      <c r="U3765">
        <f t="shared" si="293"/>
        <v>0</v>
      </c>
      <c r="V3765">
        <f t="shared" si="294"/>
        <v>0</v>
      </c>
    </row>
    <row r="3766" spans="1:22" x14ac:dyDescent="0.25">
      <c r="A3766">
        <v>3763</v>
      </c>
      <c r="B3766" t="s">
        <v>26</v>
      </c>
      <c r="C3766" t="s">
        <v>1218</v>
      </c>
      <c r="D3766" s="4">
        <v>45419</v>
      </c>
      <c r="E3766" t="s">
        <v>1081</v>
      </c>
      <c r="F3766" t="s">
        <v>710</v>
      </c>
      <c r="G3766">
        <v>190</v>
      </c>
      <c r="I3766" s="6">
        <v>0</v>
      </c>
      <c r="J3766" s="6">
        <v>0</v>
      </c>
      <c r="K3766" s="6">
        <v>0</v>
      </c>
      <c r="L3766" s="6">
        <v>1</v>
      </c>
      <c r="M3766" s="6">
        <v>0</v>
      </c>
      <c r="N3766" s="6">
        <v>0</v>
      </c>
      <c r="O3766" s="6">
        <v>0</v>
      </c>
      <c r="P3766" s="6">
        <v>0</v>
      </c>
      <c r="Q3766">
        <v>1</v>
      </c>
      <c r="R3766">
        <f t="shared" si="290"/>
        <v>0</v>
      </c>
      <c r="S3766">
        <f t="shared" si="291"/>
        <v>0</v>
      </c>
      <c r="T3766">
        <f t="shared" si="292"/>
        <v>1</v>
      </c>
      <c r="U3766">
        <f t="shared" si="293"/>
        <v>1</v>
      </c>
      <c r="V3766">
        <f t="shared" si="294"/>
        <v>0</v>
      </c>
    </row>
    <row r="3767" spans="1:22" x14ac:dyDescent="0.25">
      <c r="A3767">
        <v>3764</v>
      </c>
      <c r="B3767" t="s">
        <v>26</v>
      </c>
      <c r="C3767" t="s">
        <v>1218</v>
      </c>
      <c r="D3767" s="4">
        <v>45419</v>
      </c>
      <c r="E3767" t="s">
        <v>1482</v>
      </c>
      <c r="F3767" t="s">
        <v>75</v>
      </c>
      <c r="I3767" s="6"/>
      <c r="J3767" s="6"/>
      <c r="K3767" s="6"/>
      <c r="L3767" s="6"/>
      <c r="M3767" s="6"/>
      <c r="N3767" s="6"/>
      <c r="O3767" s="6"/>
      <c r="P3767" s="6"/>
      <c r="Q3767">
        <v>0</v>
      </c>
      <c r="R3767">
        <f t="shared" si="290"/>
        <v>0</v>
      </c>
      <c r="S3767">
        <f t="shared" si="291"/>
        <v>0</v>
      </c>
      <c r="T3767">
        <f t="shared" si="292"/>
        <v>0</v>
      </c>
      <c r="U3767">
        <f t="shared" si="293"/>
        <v>0</v>
      </c>
      <c r="V3767">
        <f t="shared" si="294"/>
        <v>0</v>
      </c>
    </row>
    <row r="3768" spans="1:22" x14ac:dyDescent="0.25">
      <c r="A3768">
        <v>3765</v>
      </c>
      <c r="B3768" t="s">
        <v>26</v>
      </c>
      <c r="C3768" t="s">
        <v>1218</v>
      </c>
      <c r="D3768" s="4">
        <v>45419</v>
      </c>
      <c r="E3768" t="s">
        <v>1177</v>
      </c>
      <c r="F3768" t="s">
        <v>75</v>
      </c>
      <c r="I3768" s="6">
        <v>0</v>
      </c>
      <c r="J3768" s="6">
        <v>0</v>
      </c>
      <c r="K3768" s="6">
        <v>0</v>
      </c>
      <c r="L3768" s="6">
        <v>0</v>
      </c>
      <c r="M3768" s="6">
        <v>0</v>
      </c>
      <c r="N3768" s="6">
        <v>0</v>
      </c>
      <c r="O3768" s="6">
        <v>0</v>
      </c>
      <c r="P3768" s="6">
        <v>0</v>
      </c>
      <c r="Q3768">
        <v>1</v>
      </c>
      <c r="R3768">
        <f t="shared" si="290"/>
        <v>0</v>
      </c>
      <c r="S3768">
        <f t="shared" si="291"/>
        <v>1</v>
      </c>
      <c r="T3768">
        <f t="shared" si="292"/>
        <v>0</v>
      </c>
      <c r="U3768">
        <f t="shared" si="293"/>
        <v>0</v>
      </c>
      <c r="V3768">
        <f t="shared" si="294"/>
        <v>0</v>
      </c>
    </row>
    <row r="3769" spans="1:22" x14ac:dyDescent="0.25">
      <c r="A3769">
        <v>3766</v>
      </c>
      <c r="B3769" t="s">
        <v>26</v>
      </c>
      <c r="C3769" t="s">
        <v>1218</v>
      </c>
      <c r="D3769" s="4">
        <v>45419</v>
      </c>
      <c r="E3769" t="s">
        <v>1178</v>
      </c>
      <c r="F3769" t="s">
        <v>75</v>
      </c>
      <c r="I3769" s="6"/>
      <c r="J3769" s="6"/>
      <c r="K3769" s="6"/>
      <c r="L3769" s="6"/>
      <c r="M3769" s="6"/>
      <c r="N3769" s="6"/>
      <c r="O3769" s="6"/>
      <c r="P3769" s="6"/>
      <c r="Q3769">
        <v>0</v>
      </c>
      <c r="R3769">
        <f t="shared" si="290"/>
        <v>0</v>
      </c>
      <c r="S3769">
        <f t="shared" si="291"/>
        <v>0</v>
      </c>
      <c r="T3769">
        <f t="shared" si="292"/>
        <v>0</v>
      </c>
      <c r="U3769">
        <f t="shared" si="293"/>
        <v>0</v>
      </c>
      <c r="V3769">
        <f t="shared" si="294"/>
        <v>0</v>
      </c>
    </row>
    <row r="3770" spans="1:22" x14ac:dyDescent="0.25">
      <c r="A3770">
        <v>3767</v>
      </c>
      <c r="B3770" t="s">
        <v>26</v>
      </c>
      <c r="C3770" t="s">
        <v>1218</v>
      </c>
      <c r="D3770" s="4">
        <v>45419</v>
      </c>
      <c r="E3770" t="s">
        <v>2408</v>
      </c>
      <c r="F3770" t="s">
        <v>75</v>
      </c>
      <c r="I3770" s="6">
        <v>0</v>
      </c>
      <c r="J3770" s="6">
        <v>0</v>
      </c>
      <c r="K3770" s="6">
        <v>0</v>
      </c>
      <c r="L3770" s="6">
        <v>0</v>
      </c>
      <c r="M3770" s="6">
        <v>0</v>
      </c>
      <c r="N3770" s="6">
        <v>0</v>
      </c>
      <c r="O3770" s="6">
        <v>0</v>
      </c>
      <c r="P3770" s="6">
        <v>0</v>
      </c>
      <c r="Q3770">
        <v>1</v>
      </c>
      <c r="R3770">
        <f t="shared" si="290"/>
        <v>0</v>
      </c>
      <c r="S3770">
        <f t="shared" si="291"/>
        <v>1</v>
      </c>
      <c r="T3770">
        <f t="shared" si="292"/>
        <v>0</v>
      </c>
      <c r="U3770">
        <f t="shared" si="293"/>
        <v>0</v>
      </c>
      <c r="V3770">
        <f t="shared" si="294"/>
        <v>0</v>
      </c>
    </row>
    <row r="3771" spans="1:22" x14ac:dyDescent="0.25">
      <c r="A3771">
        <v>3768</v>
      </c>
      <c r="B3771" t="s">
        <v>26</v>
      </c>
      <c r="C3771" t="s">
        <v>1218</v>
      </c>
      <c r="D3771" s="4">
        <v>45419</v>
      </c>
      <c r="E3771" t="s">
        <v>2407</v>
      </c>
      <c r="F3771" t="s">
        <v>75</v>
      </c>
      <c r="I3771" s="6"/>
      <c r="J3771" s="6"/>
      <c r="K3771" s="6"/>
      <c r="L3771" s="6"/>
      <c r="M3771" s="6"/>
      <c r="N3771" s="6"/>
      <c r="O3771" s="6"/>
      <c r="P3771" s="6"/>
      <c r="Q3771">
        <v>0</v>
      </c>
      <c r="R3771">
        <f t="shared" si="290"/>
        <v>0</v>
      </c>
      <c r="S3771">
        <f t="shared" si="291"/>
        <v>0</v>
      </c>
      <c r="T3771">
        <f t="shared" si="292"/>
        <v>0</v>
      </c>
      <c r="U3771">
        <f t="shared" si="293"/>
        <v>0</v>
      </c>
      <c r="V3771">
        <f t="shared" si="294"/>
        <v>0</v>
      </c>
    </row>
    <row r="3772" spans="1:22" x14ac:dyDescent="0.25">
      <c r="A3772">
        <v>3769</v>
      </c>
      <c r="B3772" t="s">
        <v>26</v>
      </c>
      <c r="C3772" t="s">
        <v>1218</v>
      </c>
      <c r="D3772" s="4">
        <v>45419</v>
      </c>
      <c r="E3772" t="s">
        <v>2406</v>
      </c>
      <c r="F3772" t="s">
        <v>75</v>
      </c>
      <c r="I3772" s="6"/>
      <c r="J3772" s="6"/>
      <c r="K3772" s="6"/>
      <c r="L3772" s="6"/>
      <c r="M3772" s="6"/>
      <c r="N3772" s="6"/>
      <c r="O3772" s="6"/>
      <c r="P3772" s="6"/>
      <c r="Q3772">
        <v>0</v>
      </c>
      <c r="R3772">
        <f t="shared" si="290"/>
        <v>0</v>
      </c>
      <c r="S3772">
        <f t="shared" si="291"/>
        <v>0</v>
      </c>
      <c r="T3772">
        <f t="shared" si="292"/>
        <v>0</v>
      </c>
      <c r="U3772">
        <f t="shared" si="293"/>
        <v>0</v>
      </c>
      <c r="V3772">
        <f t="shared" si="294"/>
        <v>0</v>
      </c>
    </row>
    <row r="3773" spans="1:22" x14ac:dyDescent="0.25">
      <c r="A3773">
        <v>3770</v>
      </c>
      <c r="B3773" t="s">
        <v>26</v>
      </c>
      <c r="C3773" t="s">
        <v>1218</v>
      </c>
      <c r="D3773" s="4">
        <v>45420</v>
      </c>
      <c r="E3773" t="s">
        <v>471</v>
      </c>
      <c r="F3773" t="s">
        <v>75</v>
      </c>
      <c r="I3773" s="6">
        <v>0</v>
      </c>
      <c r="J3773" s="6">
        <v>0</v>
      </c>
      <c r="K3773" s="6">
        <v>0</v>
      </c>
      <c r="L3773" s="6">
        <v>1</v>
      </c>
      <c r="M3773" s="6">
        <v>0</v>
      </c>
      <c r="N3773" s="6">
        <v>0</v>
      </c>
      <c r="O3773" s="6">
        <v>0</v>
      </c>
      <c r="P3773" s="6">
        <v>0</v>
      </c>
      <c r="Q3773">
        <v>1</v>
      </c>
      <c r="R3773">
        <f t="shared" si="290"/>
        <v>0</v>
      </c>
      <c r="S3773">
        <f t="shared" si="291"/>
        <v>1</v>
      </c>
      <c r="T3773">
        <f t="shared" si="292"/>
        <v>1</v>
      </c>
      <c r="U3773">
        <f t="shared" si="293"/>
        <v>1</v>
      </c>
      <c r="V3773">
        <f t="shared" si="294"/>
        <v>0</v>
      </c>
    </row>
    <row r="3774" spans="1:22" x14ac:dyDescent="0.25">
      <c r="A3774">
        <v>3771</v>
      </c>
      <c r="B3774" t="s">
        <v>26</v>
      </c>
      <c r="C3774" t="s">
        <v>1218</v>
      </c>
      <c r="D3774" s="4">
        <v>45420</v>
      </c>
      <c r="E3774" t="s">
        <v>472</v>
      </c>
      <c r="F3774" t="s">
        <v>75</v>
      </c>
      <c r="I3774" s="6"/>
      <c r="J3774" s="6"/>
      <c r="K3774" s="6"/>
      <c r="L3774" s="6"/>
      <c r="M3774" s="6"/>
      <c r="N3774" s="6"/>
      <c r="O3774" s="6"/>
      <c r="P3774" s="6"/>
      <c r="Q3774">
        <v>0</v>
      </c>
      <c r="R3774">
        <f t="shared" si="290"/>
        <v>0</v>
      </c>
      <c r="S3774">
        <f t="shared" si="291"/>
        <v>0</v>
      </c>
      <c r="T3774">
        <f t="shared" si="292"/>
        <v>0</v>
      </c>
      <c r="U3774">
        <f t="shared" si="293"/>
        <v>0</v>
      </c>
      <c r="V3774">
        <f t="shared" si="294"/>
        <v>0</v>
      </c>
    </row>
    <row r="3775" spans="1:22" x14ac:dyDescent="0.25">
      <c r="A3775">
        <v>3772</v>
      </c>
      <c r="B3775" t="s">
        <v>26</v>
      </c>
      <c r="C3775" t="s">
        <v>1218</v>
      </c>
      <c r="D3775" s="4">
        <v>45420</v>
      </c>
      <c r="E3775" t="s">
        <v>473</v>
      </c>
      <c r="F3775" t="s">
        <v>75</v>
      </c>
      <c r="I3775" s="6">
        <v>0</v>
      </c>
      <c r="J3775" s="6">
        <v>0</v>
      </c>
      <c r="K3775" s="6">
        <v>0</v>
      </c>
      <c r="L3775" s="6">
        <v>1</v>
      </c>
      <c r="M3775" s="6">
        <v>0</v>
      </c>
      <c r="N3775" s="6">
        <v>0</v>
      </c>
      <c r="O3775" s="6">
        <v>0</v>
      </c>
      <c r="P3775" s="6">
        <v>0</v>
      </c>
      <c r="Q3775">
        <v>1</v>
      </c>
      <c r="R3775">
        <f t="shared" si="290"/>
        <v>0</v>
      </c>
      <c r="S3775">
        <f t="shared" si="291"/>
        <v>1</v>
      </c>
      <c r="T3775">
        <f t="shared" si="292"/>
        <v>1</v>
      </c>
      <c r="U3775">
        <f t="shared" si="293"/>
        <v>1</v>
      </c>
      <c r="V3775">
        <f t="shared" si="294"/>
        <v>0</v>
      </c>
    </row>
    <row r="3776" spans="1:22" x14ac:dyDescent="0.25">
      <c r="A3776">
        <v>3773</v>
      </c>
      <c r="B3776" t="s">
        <v>26</v>
      </c>
      <c r="C3776" t="s">
        <v>1218</v>
      </c>
      <c r="D3776" s="4">
        <v>45420</v>
      </c>
      <c r="E3776" t="s">
        <v>1082</v>
      </c>
      <c r="F3776" t="s">
        <v>75</v>
      </c>
      <c r="I3776" s="6"/>
      <c r="J3776" s="6"/>
      <c r="K3776" s="6"/>
      <c r="L3776" s="6"/>
      <c r="M3776" s="6"/>
      <c r="N3776" s="6"/>
      <c r="O3776" s="6"/>
      <c r="P3776" s="6"/>
      <c r="Q3776">
        <v>0</v>
      </c>
      <c r="R3776">
        <f t="shared" si="290"/>
        <v>0</v>
      </c>
      <c r="S3776">
        <f t="shared" si="291"/>
        <v>0</v>
      </c>
      <c r="T3776">
        <f t="shared" si="292"/>
        <v>0</v>
      </c>
      <c r="U3776">
        <f t="shared" si="293"/>
        <v>0</v>
      </c>
      <c r="V3776">
        <f t="shared" si="294"/>
        <v>0</v>
      </c>
    </row>
    <row r="3777" spans="1:22" x14ac:dyDescent="0.25">
      <c r="A3777">
        <v>3774</v>
      </c>
      <c r="B3777" t="s">
        <v>26</v>
      </c>
      <c r="C3777" t="s">
        <v>1218</v>
      </c>
      <c r="D3777" s="4">
        <v>45421</v>
      </c>
      <c r="E3777" t="s">
        <v>321</v>
      </c>
      <c r="F3777" t="s">
        <v>75</v>
      </c>
      <c r="I3777" s="6"/>
      <c r="J3777" s="6"/>
      <c r="K3777" s="6"/>
      <c r="L3777" s="6"/>
      <c r="M3777" s="6"/>
      <c r="N3777" s="6"/>
      <c r="O3777" s="6"/>
      <c r="P3777" s="6"/>
      <c r="Q3777">
        <v>0</v>
      </c>
      <c r="R3777">
        <f t="shared" si="290"/>
        <v>0</v>
      </c>
      <c r="S3777">
        <f t="shared" si="291"/>
        <v>0</v>
      </c>
      <c r="T3777">
        <f t="shared" si="292"/>
        <v>0</v>
      </c>
      <c r="U3777">
        <f t="shared" si="293"/>
        <v>0</v>
      </c>
      <c r="V3777">
        <f t="shared" si="294"/>
        <v>0</v>
      </c>
    </row>
    <row r="3778" spans="1:22" x14ac:dyDescent="0.25">
      <c r="A3778">
        <v>3775</v>
      </c>
      <c r="B3778" t="s">
        <v>26</v>
      </c>
      <c r="C3778" t="s">
        <v>1218</v>
      </c>
      <c r="D3778" s="4">
        <v>45421</v>
      </c>
      <c r="E3778" t="s">
        <v>322</v>
      </c>
      <c r="F3778" t="s">
        <v>75</v>
      </c>
      <c r="I3778" s="6"/>
      <c r="J3778" s="6"/>
      <c r="K3778" s="6"/>
      <c r="L3778" s="6"/>
      <c r="M3778" s="6"/>
      <c r="N3778" s="6"/>
      <c r="O3778" s="6"/>
      <c r="P3778" s="6"/>
      <c r="Q3778">
        <v>0</v>
      </c>
      <c r="R3778">
        <f t="shared" si="290"/>
        <v>0</v>
      </c>
      <c r="S3778">
        <f t="shared" si="291"/>
        <v>0</v>
      </c>
      <c r="T3778">
        <f t="shared" si="292"/>
        <v>0</v>
      </c>
      <c r="U3778">
        <f t="shared" si="293"/>
        <v>0</v>
      </c>
      <c r="V3778">
        <f t="shared" si="294"/>
        <v>0</v>
      </c>
    </row>
    <row r="3779" spans="1:22" x14ac:dyDescent="0.25">
      <c r="A3779">
        <v>3776</v>
      </c>
      <c r="B3779" t="s">
        <v>26</v>
      </c>
      <c r="C3779" t="s">
        <v>1218</v>
      </c>
      <c r="D3779" s="4">
        <v>45422</v>
      </c>
      <c r="E3779" t="s">
        <v>1087</v>
      </c>
      <c r="F3779" t="s">
        <v>75</v>
      </c>
      <c r="I3779" s="6"/>
      <c r="J3779" s="6"/>
      <c r="K3779" s="6"/>
      <c r="L3779" s="6"/>
      <c r="M3779" s="6"/>
      <c r="N3779" s="6"/>
      <c r="O3779" s="6"/>
      <c r="P3779" s="6"/>
      <c r="Q3779">
        <v>0</v>
      </c>
      <c r="R3779">
        <f t="shared" ref="R3779:R3842" si="295">IF(AND(Q3779=1,F3779="ai_full"),1,0)</f>
        <v>0</v>
      </c>
      <c r="S3779">
        <f t="shared" ref="S3779:S3842" si="296">IF(AND(Q3779=1,F3779="conventional"),1,0)</f>
        <v>0</v>
      </c>
      <c r="T3779">
        <f t="shared" ref="T3779:T3842" si="297">SUM(I3779:P3779)</f>
        <v>0</v>
      </c>
      <c r="U3779">
        <f t="shared" ref="U3779:U3842" si="298">IF(T3779&gt;=1,1,0)</f>
        <v>0</v>
      </c>
      <c r="V3779">
        <f t="shared" ref="V3779:V3842" si="299">IF(F3779="ai_full",1,0)</f>
        <v>0</v>
      </c>
    </row>
    <row r="3780" spans="1:22" x14ac:dyDescent="0.25">
      <c r="A3780">
        <v>3777</v>
      </c>
      <c r="B3780" t="s">
        <v>26</v>
      </c>
      <c r="C3780" t="s">
        <v>1218</v>
      </c>
      <c r="D3780" s="4">
        <v>45422</v>
      </c>
      <c r="E3780" t="s">
        <v>2405</v>
      </c>
      <c r="F3780" t="s">
        <v>75</v>
      </c>
      <c r="I3780" s="6"/>
      <c r="J3780" s="6"/>
      <c r="K3780" s="6"/>
      <c r="L3780" s="6"/>
      <c r="M3780" s="6"/>
      <c r="N3780" s="6"/>
      <c r="O3780" s="6"/>
      <c r="P3780" s="6"/>
      <c r="Q3780">
        <v>0</v>
      </c>
      <c r="R3780">
        <f t="shared" si="295"/>
        <v>0</v>
      </c>
      <c r="S3780">
        <f t="shared" si="296"/>
        <v>0</v>
      </c>
      <c r="T3780">
        <f t="shared" si="297"/>
        <v>0</v>
      </c>
      <c r="U3780">
        <f t="shared" si="298"/>
        <v>0</v>
      </c>
      <c r="V3780">
        <f t="shared" si="299"/>
        <v>0</v>
      </c>
    </row>
    <row r="3781" spans="1:22" x14ac:dyDescent="0.25">
      <c r="A3781">
        <v>3778</v>
      </c>
      <c r="B3781" t="s">
        <v>26</v>
      </c>
      <c r="C3781" t="s">
        <v>1218</v>
      </c>
      <c r="D3781" s="4">
        <v>45422</v>
      </c>
      <c r="E3781" t="s">
        <v>1088</v>
      </c>
      <c r="F3781" t="s">
        <v>75</v>
      </c>
      <c r="I3781" s="6"/>
      <c r="J3781" s="6"/>
      <c r="K3781" s="6"/>
      <c r="L3781" s="6"/>
      <c r="M3781" s="6"/>
      <c r="N3781" s="6"/>
      <c r="O3781" s="6"/>
      <c r="P3781" s="6"/>
      <c r="Q3781">
        <v>0</v>
      </c>
      <c r="R3781">
        <f t="shared" si="295"/>
        <v>0</v>
      </c>
      <c r="S3781">
        <f t="shared" si="296"/>
        <v>0</v>
      </c>
      <c r="T3781">
        <f t="shared" si="297"/>
        <v>0</v>
      </c>
      <c r="U3781">
        <f t="shared" si="298"/>
        <v>0</v>
      </c>
      <c r="V3781">
        <f t="shared" si="299"/>
        <v>0</v>
      </c>
    </row>
    <row r="3782" spans="1:22" x14ac:dyDescent="0.25">
      <c r="A3782">
        <v>3779</v>
      </c>
      <c r="B3782" t="s">
        <v>26</v>
      </c>
      <c r="C3782" t="s">
        <v>1218</v>
      </c>
      <c r="D3782" s="4">
        <v>45422</v>
      </c>
      <c r="E3782" t="s">
        <v>1089</v>
      </c>
      <c r="F3782" t="s">
        <v>75</v>
      </c>
      <c r="I3782" s="6"/>
      <c r="J3782" s="6"/>
      <c r="K3782" s="6"/>
      <c r="L3782" s="6"/>
      <c r="M3782" s="6"/>
      <c r="N3782" s="6"/>
      <c r="O3782" s="6"/>
      <c r="P3782" s="6"/>
      <c r="Q3782">
        <v>0</v>
      </c>
      <c r="R3782">
        <f t="shared" si="295"/>
        <v>0</v>
      </c>
      <c r="S3782">
        <f t="shared" si="296"/>
        <v>0</v>
      </c>
      <c r="T3782">
        <f t="shared" si="297"/>
        <v>0</v>
      </c>
      <c r="U3782">
        <f t="shared" si="298"/>
        <v>0</v>
      </c>
      <c r="V3782">
        <f t="shared" si="299"/>
        <v>0</v>
      </c>
    </row>
    <row r="3783" spans="1:22" x14ac:dyDescent="0.25">
      <c r="A3783">
        <v>3780</v>
      </c>
      <c r="B3783" t="s">
        <v>26</v>
      </c>
      <c r="C3783" t="s">
        <v>1218</v>
      </c>
      <c r="D3783" s="4">
        <v>45422</v>
      </c>
      <c r="E3783" t="s">
        <v>1183</v>
      </c>
      <c r="F3783" t="s">
        <v>75</v>
      </c>
      <c r="I3783" s="6"/>
      <c r="J3783" s="6"/>
      <c r="K3783" s="6"/>
      <c r="L3783" s="6"/>
      <c r="M3783" s="6"/>
      <c r="N3783" s="6"/>
      <c r="O3783" s="6"/>
      <c r="P3783" s="6"/>
      <c r="Q3783">
        <v>0</v>
      </c>
      <c r="R3783">
        <f t="shared" si="295"/>
        <v>0</v>
      </c>
      <c r="S3783">
        <f t="shared" si="296"/>
        <v>0</v>
      </c>
      <c r="T3783">
        <f t="shared" si="297"/>
        <v>0</v>
      </c>
      <c r="U3783">
        <f t="shared" si="298"/>
        <v>0</v>
      </c>
      <c r="V3783">
        <f t="shared" si="299"/>
        <v>0</v>
      </c>
    </row>
    <row r="3784" spans="1:22" x14ac:dyDescent="0.25">
      <c r="A3784">
        <v>3781</v>
      </c>
      <c r="B3784" t="s">
        <v>26</v>
      </c>
      <c r="C3784" t="s">
        <v>1218</v>
      </c>
      <c r="D3784" s="4">
        <v>45422</v>
      </c>
      <c r="E3784" t="s">
        <v>326</v>
      </c>
      <c r="F3784" t="s">
        <v>75</v>
      </c>
      <c r="I3784" s="6"/>
      <c r="J3784" s="6"/>
      <c r="K3784" s="6"/>
      <c r="L3784" s="6"/>
      <c r="M3784" s="6"/>
      <c r="N3784" s="6"/>
      <c r="O3784" s="6"/>
      <c r="P3784" s="6"/>
      <c r="Q3784">
        <v>0</v>
      </c>
      <c r="R3784">
        <f t="shared" si="295"/>
        <v>0</v>
      </c>
      <c r="S3784">
        <f t="shared" si="296"/>
        <v>0</v>
      </c>
      <c r="T3784">
        <f t="shared" si="297"/>
        <v>0</v>
      </c>
      <c r="U3784">
        <f t="shared" si="298"/>
        <v>0</v>
      </c>
      <c r="V3784">
        <f t="shared" si="299"/>
        <v>0</v>
      </c>
    </row>
    <row r="3785" spans="1:22" x14ac:dyDescent="0.25">
      <c r="A3785">
        <v>3782</v>
      </c>
      <c r="B3785" t="s">
        <v>26</v>
      </c>
      <c r="C3785" t="s">
        <v>1218</v>
      </c>
      <c r="D3785" s="4">
        <v>45422</v>
      </c>
      <c r="E3785" t="s">
        <v>327</v>
      </c>
      <c r="F3785" t="s">
        <v>75</v>
      </c>
      <c r="I3785" s="6"/>
      <c r="J3785" s="6"/>
      <c r="K3785" s="6"/>
      <c r="L3785" s="6"/>
      <c r="M3785" s="6"/>
      <c r="N3785" s="6"/>
      <c r="O3785" s="6"/>
      <c r="P3785" s="6"/>
      <c r="Q3785">
        <v>0</v>
      </c>
      <c r="R3785">
        <f t="shared" si="295"/>
        <v>0</v>
      </c>
      <c r="S3785">
        <f t="shared" si="296"/>
        <v>0</v>
      </c>
      <c r="T3785">
        <f t="shared" si="297"/>
        <v>0</v>
      </c>
      <c r="U3785">
        <f t="shared" si="298"/>
        <v>0</v>
      </c>
      <c r="V3785">
        <f t="shared" si="299"/>
        <v>0</v>
      </c>
    </row>
    <row r="3786" spans="1:22" x14ac:dyDescent="0.25">
      <c r="A3786">
        <v>3783</v>
      </c>
      <c r="B3786" t="s">
        <v>26</v>
      </c>
      <c r="C3786" t="s">
        <v>1218</v>
      </c>
      <c r="D3786" s="4">
        <v>45422</v>
      </c>
      <c r="E3786" t="s">
        <v>328</v>
      </c>
      <c r="F3786" t="s">
        <v>75</v>
      </c>
      <c r="I3786" s="6"/>
      <c r="J3786" s="6"/>
      <c r="K3786" s="6"/>
      <c r="L3786" s="6"/>
      <c r="M3786" s="6"/>
      <c r="N3786" s="6"/>
      <c r="O3786" s="6"/>
      <c r="P3786" s="6"/>
      <c r="Q3786">
        <v>0</v>
      </c>
      <c r="R3786">
        <f t="shared" si="295"/>
        <v>0</v>
      </c>
      <c r="S3786">
        <f t="shared" si="296"/>
        <v>0</v>
      </c>
      <c r="T3786">
        <f t="shared" si="297"/>
        <v>0</v>
      </c>
      <c r="U3786">
        <f t="shared" si="298"/>
        <v>0</v>
      </c>
      <c r="V3786">
        <f t="shared" si="299"/>
        <v>0</v>
      </c>
    </row>
    <row r="3787" spans="1:22" x14ac:dyDescent="0.25">
      <c r="A3787">
        <v>3784</v>
      </c>
      <c r="B3787" t="s">
        <v>26</v>
      </c>
      <c r="C3787" t="s">
        <v>1218</v>
      </c>
      <c r="D3787" s="4">
        <v>45422</v>
      </c>
      <c r="E3787" t="s">
        <v>1405</v>
      </c>
      <c r="F3787" t="s">
        <v>710</v>
      </c>
      <c r="G3787">
        <v>191</v>
      </c>
      <c r="I3787" s="6">
        <v>0</v>
      </c>
      <c r="J3787" s="6">
        <v>0</v>
      </c>
      <c r="K3787" s="6">
        <v>0</v>
      </c>
      <c r="L3787" s="6">
        <v>1</v>
      </c>
      <c r="M3787" s="6">
        <v>0</v>
      </c>
      <c r="N3787" s="6">
        <v>0</v>
      </c>
      <c r="O3787" s="6">
        <v>0</v>
      </c>
      <c r="P3787" s="6">
        <v>0</v>
      </c>
      <c r="Q3787">
        <v>1</v>
      </c>
      <c r="R3787">
        <f t="shared" si="295"/>
        <v>0</v>
      </c>
      <c r="S3787">
        <f t="shared" si="296"/>
        <v>0</v>
      </c>
      <c r="T3787">
        <f t="shared" si="297"/>
        <v>1</v>
      </c>
      <c r="U3787">
        <f t="shared" si="298"/>
        <v>1</v>
      </c>
      <c r="V3787">
        <f t="shared" si="299"/>
        <v>0</v>
      </c>
    </row>
    <row r="3788" spans="1:22" x14ac:dyDescent="0.25">
      <c r="A3788">
        <v>3785</v>
      </c>
      <c r="B3788" t="s">
        <v>26</v>
      </c>
      <c r="C3788" t="s">
        <v>1218</v>
      </c>
      <c r="D3788" s="4">
        <v>45422</v>
      </c>
      <c r="E3788" t="s">
        <v>2404</v>
      </c>
      <c r="F3788" t="s">
        <v>75</v>
      </c>
      <c r="I3788" s="6"/>
      <c r="J3788" s="6"/>
      <c r="K3788" s="6"/>
      <c r="L3788" s="6"/>
      <c r="M3788" s="6"/>
      <c r="N3788" s="6"/>
      <c r="O3788" s="6"/>
      <c r="P3788" s="6"/>
      <c r="Q3788">
        <v>0</v>
      </c>
      <c r="R3788">
        <f t="shared" si="295"/>
        <v>0</v>
      </c>
      <c r="S3788">
        <f t="shared" si="296"/>
        <v>0</v>
      </c>
      <c r="T3788">
        <f t="shared" si="297"/>
        <v>0</v>
      </c>
      <c r="U3788">
        <f t="shared" si="298"/>
        <v>0</v>
      </c>
      <c r="V3788">
        <f t="shared" si="299"/>
        <v>0</v>
      </c>
    </row>
    <row r="3789" spans="1:22" x14ac:dyDescent="0.25">
      <c r="A3789">
        <v>3786</v>
      </c>
      <c r="B3789" t="s">
        <v>26</v>
      </c>
      <c r="C3789" t="s">
        <v>1218</v>
      </c>
      <c r="D3789" s="4">
        <v>45423</v>
      </c>
      <c r="E3789" t="s">
        <v>329</v>
      </c>
      <c r="F3789" t="s">
        <v>75</v>
      </c>
      <c r="I3789" s="6"/>
      <c r="J3789" s="6"/>
      <c r="K3789" s="6"/>
      <c r="L3789" s="6"/>
      <c r="M3789" s="6"/>
      <c r="N3789" s="6"/>
      <c r="O3789" s="6"/>
      <c r="P3789" s="6"/>
      <c r="Q3789">
        <v>0</v>
      </c>
      <c r="R3789">
        <f t="shared" si="295"/>
        <v>0</v>
      </c>
      <c r="S3789">
        <f t="shared" si="296"/>
        <v>0</v>
      </c>
      <c r="T3789">
        <f t="shared" si="297"/>
        <v>0</v>
      </c>
      <c r="U3789">
        <f t="shared" si="298"/>
        <v>0</v>
      </c>
      <c r="V3789">
        <f t="shared" si="299"/>
        <v>0</v>
      </c>
    </row>
    <row r="3790" spans="1:22" x14ac:dyDescent="0.25">
      <c r="A3790">
        <v>3787</v>
      </c>
      <c r="B3790" t="s">
        <v>26</v>
      </c>
      <c r="C3790" t="s">
        <v>1218</v>
      </c>
      <c r="D3790" s="4">
        <v>45423</v>
      </c>
      <c r="E3790" t="s">
        <v>330</v>
      </c>
      <c r="F3790" t="s">
        <v>710</v>
      </c>
      <c r="G3790">
        <v>192</v>
      </c>
      <c r="H3790" t="s">
        <v>1406</v>
      </c>
      <c r="I3790" s="6">
        <v>1</v>
      </c>
      <c r="J3790" s="6">
        <v>0</v>
      </c>
      <c r="K3790" s="6">
        <v>1</v>
      </c>
      <c r="L3790" s="6">
        <v>1</v>
      </c>
      <c r="M3790" s="6">
        <v>0</v>
      </c>
      <c r="N3790" s="6">
        <v>0</v>
      </c>
      <c r="O3790" s="6">
        <v>0</v>
      </c>
      <c r="P3790" s="6">
        <v>0</v>
      </c>
      <c r="Q3790">
        <v>1</v>
      </c>
      <c r="R3790">
        <f t="shared" si="295"/>
        <v>0</v>
      </c>
      <c r="S3790">
        <f t="shared" si="296"/>
        <v>0</v>
      </c>
      <c r="T3790">
        <f t="shared" si="297"/>
        <v>3</v>
      </c>
      <c r="U3790">
        <f t="shared" si="298"/>
        <v>1</v>
      </c>
      <c r="V3790">
        <f t="shared" si="299"/>
        <v>0</v>
      </c>
    </row>
    <row r="3791" spans="1:22" x14ac:dyDescent="0.25">
      <c r="A3791">
        <v>3788</v>
      </c>
      <c r="B3791" t="s">
        <v>26</v>
      </c>
      <c r="C3791" t="s">
        <v>1218</v>
      </c>
      <c r="D3791" s="4">
        <v>45423</v>
      </c>
      <c r="E3791" t="s">
        <v>331</v>
      </c>
      <c r="F3791" t="s">
        <v>75</v>
      </c>
      <c r="I3791" s="6">
        <v>0</v>
      </c>
      <c r="J3791" s="6">
        <v>0</v>
      </c>
      <c r="K3791" s="6">
        <v>0</v>
      </c>
      <c r="L3791" s="6">
        <v>1</v>
      </c>
      <c r="M3791" s="6">
        <v>1</v>
      </c>
      <c r="N3791" s="6">
        <v>0</v>
      </c>
      <c r="O3791" s="6">
        <v>0</v>
      </c>
      <c r="P3791" s="6">
        <v>0</v>
      </c>
      <c r="Q3791">
        <v>1</v>
      </c>
      <c r="R3791">
        <f t="shared" si="295"/>
        <v>0</v>
      </c>
      <c r="S3791">
        <f t="shared" si="296"/>
        <v>1</v>
      </c>
      <c r="T3791">
        <f t="shared" si="297"/>
        <v>2</v>
      </c>
      <c r="U3791">
        <f t="shared" si="298"/>
        <v>1</v>
      </c>
      <c r="V3791">
        <f t="shared" si="299"/>
        <v>0</v>
      </c>
    </row>
    <row r="3792" spans="1:22" x14ac:dyDescent="0.25">
      <c r="A3792">
        <v>3789</v>
      </c>
      <c r="B3792" t="s">
        <v>26</v>
      </c>
      <c r="C3792" t="s">
        <v>1218</v>
      </c>
      <c r="D3792" s="4">
        <v>45424</v>
      </c>
      <c r="E3792" t="s">
        <v>1002</v>
      </c>
      <c r="F3792" t="s">
        <v>75</v>
      </c>
      <c r="I3792" s="6"/>
      <c r="J3792" s="6"/>
      <c r="K3792" s="6"/>
      <c r="L3792" s="6"/>
      <c r="M3792" s="6"/>
      <c r="N3792" s="6"/>
      <c r="O3792" s="6"/>
      <c r="P3792" s="6"/>
      <c r="Q3792">
        <v>0</v>
      </c>
      <c r="R3792">
        <f t="shared" si="295"/>
        <v>0</v>
      </c>
      <c r="S3792">
        <f t="shared" si="296"/>
        <v>0</v>
      </c>
      <c r="T3792">
        <f t="shared" si="297"/>
        <v>0</v>
      </c>
      <c r="U3792">
        <f t="shared" si="298"/>
        <v>0</v>
      </c>
      <c r="V3792">
        <f t="shared" si="299"/>
        <v>0</v>
      </c>
    </row>
    <row r="3793" spans="1:22" x14ac:dyDescent="0.25">
      <c r="A3793">
        <v>3790</v>
      </c>
      <c r="B3793" t="s">
        <v>26</v>
      </c>
      <c r="C3793" t="s">
        <v>1218</v>
      </c>
      <c r="D3793" s="4">
        <v>45425</v>
      </c>
      <c r="E3793" t="s">
        <v>333</v>
      </c>
      <c r="F3793" t="s">
        <v>75</v>
      </c>
      <c r="I3793" s="6"/>
      <c r="J3793" s="6"/>
      <c r="K3793" s="6"/>
      <c r="L3793" s="6"/>
      <c r="M3793" s="6"/>
      <c r="N3793" s="6"/>
      <c r="O3793" s="6"/>
      <c r="P3793" s="6"/>
      <c r="Q3793">
        <v>0</v>
      </c>
      <c r="R3793">
        <f t="shared" si="295"/>
        <v>0</v>
      </c>
      <c r="S3793">
        <f t="shared" si="296"/>
        <v>0</v>
      </c>
      <c r="T3793">
        <f t="shared" si="297"/>
        <v>0</v>
      </c>
      <c r="U3793">
        <f t="shared" si="298"/>
        <v>0</v>
      </c>
      <c r="V3793">
        <f t="shared" si="299"/>
        <v>0</v>
      </c>
    </row>
    <row r="3794" spans="1:22" x14ac:dyDescent="0.25">
      <c r="A3794">
        <v>3791</v>
      </c>
      <c r="B3794" t="s">
        <v>26</v>
      </c>
      <c r="C3794" t="s">
        <v>1218</v>
      </c>
      <c r="D3794" s="4">
        <v>45425</v>
      </c>
      <c r="E3794" t="s">
        <v>334</v>
      </c>
      <c r="F3794" t="s">
        <v>75</v>
      </c>
      <c r="I3794" s="6"/>
      <c r="J3794" s="6"/>
      <c r="K3794" s="6"/>
      <c r="L3794" s="6"/>
      <c r="M3794" s="6"/>
      <c r="N3794" s="6"/>
      <c r="O3794" s="6"/>
      <c r="P3794" s="6"/>
      <c r="Q3794">
        <v>0</v>
      </c>
      <c r="R3794">
        <f t="shared" si="295"/>
        <v>0</v>
      </c>
      <c r="S3794">
        <f t="shared" si="296"/>
        <v>0</v>
      </c>
      <c r="T3794">
        <f t="shared" si="297"/>
        <v>0</v>
      </c>
      <c r="U3794">
        <f t="shared" si="298"/>
        <v>0</v>
      </c>
      <c r="V3794">
        <f t="shared" si="299"/>
        <v>0</v>
      </c>
    </row>
    <row r="3795" spans="1:22" x14ac:dyDescent="0.25">
      <c r="A3795">
        <v>3792</v>
      </c>
      <c r="B3795" t="s">
        <v>26</v>
      </c>
      <c r="C3795" t="s">
        <v>1218</v>
      </c>
      <c r="D3795" s="4">
        <v>45425</v>
      </c>
      <c r="E3795" t="s">
        <v>1090</v>
      </c>
      <c r="F3795" t="s">
        <v>75</v>
      </c>
      <c r="I3795" s="6">
        <v>0</v>
      </c>
      <c r="J3795" s="6">
        <v>0</v>
      </c>
      <c r="K3795" s="6">
        <v>0</v>
      </c>
      <c r="L3795" s="6">
        <v>1</v>
      </c>
      <c r="M3795" s="6">
        <v>0</v>
      </c>
      <c r="N3795" s="6">
        <v>0</v>
      </c>
      <c r="O3795" s="6">
        <v>0</v>
      </c>
      <c r="P3795" s="6">
        <v>0</v>
      </c>
      <c r="Q3795">
        <v>1</v>
      </c>
      <c r="R3795">
        <f t="shared" si="295"/>
        <v>0</v>
      </c>
      <c r="S3795">
        <f t="shared" si="296"/>
        <v>1</v>
      </c>
      <c r="T3795">
        <f t="shared" si="297"/>
        <v>1</v>
      </c>
      <c r="U3795">
        <f t="shared" si="298"/>
        <v>1</v>
      </c>
      <c r="V3795">
        <f t="shared" si="299"/>
        <v>0</v>
      </c>
    </row>
    <row r="3796" spans="1:22" x14ac:dyDescent="0.25">
      <c r="A3796">
        <v>3793</v>
      </c>
      <c r="B3796" t="s">
        <v>26</v>
      </c>
      <c r="C3796" t="s">
        <v>1218</v>
      </c>
      <c r="D3796" s="4">
        <v>45425</v>
      </c>
      <c r="E3796" t="s">
        <v>2131</v>
      </c>
      <c r="F3796" t="s">
        <v>75</v>
      </c>
      <c r="I3796" s="6"/>
      <c r="J3796" s="6"/>
      <c r="K3796" s="6"/>
      <c r="L3796" s="6"/>
      <c r="M3796" s="6"/>
      <c r="N3796" s="6"/>
      <c r="O3796" s="6"/>
      <c r="P3796" s="6"/>
      <c r="Q3796">
        <v>0</v>
      </c>
      <c r="R3796">
        <f t="shared" si="295"/>
        <v>0</v>
      </c>
      <c r="S3796">
        <f t="shared" si="296"/>
        <v>0</v>
      </c>
      <c r="T3796">
        <f t="shared" si="297"/>
        <v>0</v>
      </c>
      <c r="U3796">
        <f t="shared" si="298"/>
        <v>0</v>
      </c>
      <c r="V3796">
        <f t="shared" si="299"/>
        <v>0</v>
      </c>
    </row>
    <row r="3797" spans="1:22" x14ac:dyDescent="0.25">
      <c r="A3797">
        <v>3794</v>
      </c>
      <c r="B3797" t="s">
        <v>26</v>
      </c>
      <c r="C3797" t="s">
        <v>1218</v>
      </c>
      <c r="D3797" s="4">
        <v>45425</v>
      </c>
      <c r="E3797" t="s">
        <v>1407</v>
      </c>
      <c r="F3797" t="s">
        <v>710</v>
      </c>
      <c r="G3797">
        <v>193</v>
      </c>
      <c r="I3797" s="6">
        <v>1</v>
      </c>
      <c r="J3797" s="6">
        <v>0</v>
      </c>
      <c r="K3797" s="6">
        <v>1</v>
      </c>
      <c r="L3797" s="6">
        <v>0</v>
      </c>
      <c r="M3797" s="6">
        <v>0</v>
      </c>
      <c r="N3797" s="6">
        <v>0</v>
      </c>
      <c r="O3797" s="6">
        <v>0</v>
      </c>
      <c r="P3797" s="6">
        <v>0</v>
      </c>
      <c r="Q3797">
        <v>1</v>
      </c>
      <c r="R3797">
        <f t="shared" si="295"/>
        <v>0</v>
      </c>
      <c r="S3797">
        <f t="shared" si="296"/>
        <v>0</v>
      </c>
      <c r="T3797">
        <f t="shared" si="297"/>
        <v>2</v>
      </c>
      <c r="U3797">
        <f t="shared" si="298"/>
        <v>1</v>
      </c>
      <c r="V3797">
        <f t="shared" si="299"/>
        <v>0</v>
      </c>
    </row>
    <row r="3798" spans="1:22" x14ac:dyDescent="0.25">
      <c r="A3798">
        <v>3795</v>
      </c>
      <c r="B3798" t="s">
        <v>26</v>
      </c>
      <c r="C3798" t="s">
        <v>1218</v>
      </c>
      <c r="D3798" s="4">
        <v>45425</v>
      </c>
      <c r="E3798" t="s">
        <v>2130</v>
      </c>
      <c r="F3798" t="s">
        <v>75</v>
      </c>
      <c r="I3798" s="6"/>
      <c r="J3798" s="6"/>
      <c r="K3798" s="6"/>
      <c r="L3798" s="6"/>
      <c r="M3798" s="6"/>
      <c r="N3798" s="6"/>
      <c r="O3798" s="6"/>
      <c r="P3798" s="6"/>
      <c r="Q3798">
        <v>0</v>
      </c>
      <c r="R3798">
        <f t="shared" si="295"/>
        <v>0</v>
      </c>
      <c r="S3798">
        <f t="shared" si="296"/>
        <v>0</v>
      </c>
      <c r="T3798">
        <f t="shared" si="297"/>
        <v>0</v>
      </c>
      <c r="U3798">
        <f t="shared" si="298"/>
        <v>0</v>
      </c>
      <c r="V3798">
        <f t="shared" si="299"/>
        <v>0</v>
      </c>
    </row>
    <row r="3799" spans="1:22" x14ac:dyDescent="0.25">
      <c r="A3799">
        <v>3796</v>
      </c>
      <c r="B3799" t="s">
        <v>26</v>
      </c>
      <c r="C3799" t="s">
        <v>1218</v>
      </c>
      <c r="D3799" s="4">
        <v>45426</v>
      </c>
      <c r="E3799" t="s">
        <v>335</v>
      </c>
      <c r="F3799" t="s">
        <v>710</v>
      </c>
      <c r="G3799">
        <v>194</v>
      </c>
      <c r="I3799" s="6">
        <v>0</v>
      </c>
      <c r="J3799" s="6">
        <v>0</v>
      </c>
      <c r="K3799" s="6">
        <v>0</v>
      </c>
      <c r="L3799" s="6">
        <v>0</v>
      </c>
      <c r="M3799" s="6">
        <v>1</v>
      </c>
      <c r="N3799" s="6">
        <v>0</v>
      </c>
      <c r="O3799" s="6">
        <v>0</v>
      </c>
      <c r="P3799" s="6">
        <v>0</v>
      </c>
      <c r="Q3799">
        <v>1</v>
      </c>
      <c r="R3799">
        <f t="shared" si="295"/>
        <v>0</v>
      </c>
      <c r="S3799">
        <f t="shared" si="296"/>
        <v>0</v>
      </c>
      <c r="T3799">
        <f t="shared" si="297"/>
        <v>1</v>
      </c>
      <c r="U3799">
        <f t="shared" si="298"/>
        <v>1</v>
      </c>
      <c r="V3799">
        <f t="shared" si="299"/>
        <v>0</v>
      </c>
    </row>
    <row r="3800" spans="1:22" x14ac:dyDescent="0.25">
      <c r="A3800">
        <v>3797</v>
      </c>
      <c r="B3800" t="s">
        <v>26</v>
      </c>
      <c r="C3800" t="s">
        <v>1218</v>
      </c>
      <c r="D3800" s="4">
        <v>45426</v>
      </c>
      <c r="E3800" t="s">
        <v>1185</v>
      </c>
      <c r="F3800" t="s">
        <v>75</v>
      </c>
      <c r="I3800" s="6"/>
      <c r="J3800" s="6"/>
      <c r="K3800" s="6"/>
      <c r="L3800" s="6"/>
      <c r="M3800" s="6"/>
      <c r="N3800" s="6"/>
      <c r="O3800" s="6"/>
      <c r="P3800" s="6"/>
      <c r="Q3800">
        <v>0</v>
      </c>
      <c r="R3800">
        <f t="shared" si="295"/>
        <v>0</v>
      </c>
      <c r="S3800">
        <f t="shared" si="296"/>
        <v>0</v>
      </c>
      <c r="T3800">
        <f t="shared" si="297"/>
        <v>0</v>
      </c>
      <c r="U3800">
        <f t="shared" si="298"/>
        <v>0</v>
      </c>
      <c r="V3800">
        <f t="shared" si="299"/>
        <v>0</v>
      </c>
    </row>
    <row r="3801" spans="1:22" x14ac:dyDescent="0.25">
      <c r="A3801">
        <v>3798</v>
      </c>
      <c r="B3801" t="s">
        <v>26</v>
      </c>
      <c r="C3801" t="s">
        <v>1218</v>
      </c>
      <c r="D3801" s="4">
        <v>45426</v>
      </c>
      <c r="E3801" t="s">
        <v>2019</v>
      </c>
      <c r="F3801" t="s">
        <v>75</v>
      </c>
      <c r="I3801" s="6"/>
      <c r="J3801" s="6"/>
      <c r="K3801" s="6"/>
      <c r="L3801" s="6"/>
      <c r="M3801" s="6"/>
      <c r="N3801" s="6"/>
      <c r="O3801" s="6"/>
      <c r="P3801" s="6"/>
      <c r="Q3801">
        <v>0</v>
      </c>
      <c r="R3801">
        <f t="shared" si="295"/>
        <v>0</v>
      </c>
      <c r="S3801">
        <f t="shared" si="296"/>
        <v>0</v>
      </c>
      <c r="T3801">
        <f t="shared" si="297"/>
        <v>0</v>
      </c>
      <c r="U3801">
        <f t="shared" si="298"/>
        <v>0</v>
      </c>
      <c r="V3801">
        <f t="shared" si="299"/>
        <v>0</v>
      </c>
    </row>
    <row r="3802" spans="1:22" x14ac:dyDescent="0.25">
      <c r="A3802">
        <v>3799</v>
      </c>
      <c r="B3802" t="s">
        <v>26</v>
      </c>
      <c r="C3802" t="s">
        <v>1218</v>
      </c>
      <c r="D3802" s="4">
        <v>45426</v>
      </c>
      <c r="E3802" t="s">
        <v>1186</v>
      </c>
      <c r="F3802" t="s">
        <v>75</v>
      </c>
      <c r="I3802" s="6"/>
      <c r="J3802" s="6"/>
      <c r="K3802" s="6"/>
      <c r="L3802" s="6"/>
      <c r="M3802" s="6"/>
      <c r="N3802" s="6"/>
      <c r="O3802" s="6"/>
      <c r="P3802" s="6"/>
      <c r="Q3802">
        <v>0</v>
      </c>
      <c r="R3802">
        <f t="shared" si="295"/>
        <v>0</v>
      </c>
      <c r="S3802">
        <f t="shared" si="296"/>
        <v>0</v>
      </c>
      <c r="T3802">
        <f t="shared" si="297"/>
        <v>0</v>
      </c>
      <c r="U3802">
        <f t="shared" si="298"/>
        <v>0</v>
      </c>
      <c r="V3802">
        <f t="shared" si="299"/>
        <v>0</v>
      </c>
    </row>
    <row r="3803" spans="1:22" x14ac:dyDescent="0.25">
      <c r="A3803">
        <v>3800</v>
      </c>
      <c r="B3803" t="s">
        <v>26</v>
      </c>
      <c r="C3803" t="s">
        <v>1218</v>
      </c>
      <c r="D3803" s="4">
        <v>45426</v>
      </c>
      <c r="E3803" t="s">
        <v>1408</v>
      </c>
      <c r="F3803" t="s">
        <v>710</v>
      </c>
      <c r="G3803">
        <v>195</v>
      </c>
      <c r="I3803" s="6">
        <v>1</v>
      </c>
      <c r="J3803" s="6">
        <v>1</v>
      </c>
      <c r="K3803" s="6">
        <v>1</v>
      </c>
      <c r="L3803" s="6">
        <v>0</v>
      </c>
      <c r="M3803" s="6">
        <v>0</v>
      </c>
      <c r="N3803" s="6">
        <v>0</v>
      </c>
      <c r="O3803" s="6">
        <v>0</v>
      </c>
      <c r="P3803" s="6">
        <v>0</v>
      </c>
      <c r="Q3803">
        <v>1</v>
      </c>
      <c r="R3803">
        <f t="shared" si="295"/>
        <v>0</v>
      </c>
      <c r="S3803">
        <f t="shared" si="296"/>
        <v>0</v>
      </c>
      <c r="T3803">
        <f t="shared" si="297"/>
        <v>3</v>
      </c>
      <c r="U3803">
        <f t="shared" si="298"/>
        <v>1</v>
      </c>
      <c r="V3803">
        <f t="shared" si="299"/>
        <v>0</v>
      </c>
    </row>
    <row r="3804" spans="1:22" x14ac:dyDescent="0.25">
      <c r="A3804">
        <v>3801</v>
      </c>
      <c r="B3804" t="s">
        <v>26</v>
      </c>
      <c r="C3804" t="s">
        <v>1218</v>
      </c>
      <c r="D3804" s="4">
        <v>45426</v>
      </c>
      <c r="E3804" t="s">
        <v>1558</v>
      </c>
      <c r="F3804" t="s">
        <v>75</v>
      </c>
      <c r="I3804" s="6"/>
      <c r="J3804" s="6"/>
      <c r="K3804" s="6"/>
      <c r="L3804" s="6"/>
      <c r="M3804" s="6"/>
      <c r="N3804" s="6"/>
      <c r="O3804" s="6"/>
      <c r="P3804" s="6"/>
      <c r="Q3804">
        <v>0</v>
      </c>
      <c r="R3804">
        <f t="shared" si="295"/>
        <v>0</v>
      </c>
      <c r="S3804">
        <f t="shared" si="296"/>
        <v>0</v>
      </c>
      <c r="T3804">
        <f t="shared" si="297"/>
        <v>0</v>
      </c>
      <c r="U3804">
        <f t="shared" si="298"/>
        <v>0</v>
      </c>
      <c r="V3804">
        <f t="shared" si="299"/>
        <v>0</v>
      </c>
    </row>
    <row r="3805" spans="1:22" x14ac:dyDescent="0.25">
      <c r="A3805">
        <v>3802</v>
      </c>
      <c r="B3805" t="s">
        <v>26</v>
      </c>
      <c r="C3805" t="s">
        <v>1218</v>
      </c>
      <c r="D3805" s="4">
        <v>45427</v>
      </c>
      <c r="E3805" t="s">
        <v>336</v>
      </c>
      <c r="F3805" t="s">
        <v>710</v>
      </c>
      <c r="G3805">
        <v>196</v>
      </c>
      <c r="I3805" s="6">
        <v>0</v>
      </c>
      <c r="J3805" s="6">
        <v>0</v>
      </c>
      <c r="K3805" s="6">
        <v>0</v>
      </c>
      <c r="L3805" s="6">
        <v>0</v>
      </c>
      <c r="M3805" s="6">
        <v>0</v>
      </c>
      <c r="N3805" s="6">
        <v>0</v>
      </c>
      <c r="O3805" s="6">
        <v>0</v>
      </c>
      <c r="P3805" s="6">
        <v>0</v>
      </c>
      <c r="Q3805">
        <v>1</v>
      </c>
      <c r="R3805">
        <f t="shared" si="295"/>
        <v>0</v>
      </c>
      <c r="S3805">
        <f t="shared" si="296"/>
        <v>0</v>
      </c>
      <c r="T3805">
        <f t="shared" si="297"/>
        <v>0</v>
      </c>
      <c r="U3805">
        <f t="shared" si="298"/>
        <v>0</v>
      </c>
      <c r="V3805">
        <f t="shared" si="299"/>
        <v>0</v>
      </c>
    </row>
    <row r="3806" spans="1:22" x14ac:dyDescent="0.25">
      <c r="A3806">
        <v>3803</v>
      </c>
      <c r="B3806" t="s">
        <v>26</v>
      </c>
      <c r="C3806" t="s">
        <v>1218</v>
      </c>
      <c r="D3806" s="4">
        <v>45427</v>
      </c>
      <c r="E3806" t="s">
        <v>337</v>
      </c>
      <c r="F3806" t="s">
        <v>75</v>
      </c>
      <c r="I3806" s="6"/>
      <c r="J3806" s="6"/>
      <c r="K3806" s="6"/>
      <c r="L3806" s="6"/>
      <c r="M3806" s="6"/>
      <c r="N3806" s="6"/>
      <c r="O3806" s="6"/>
      <c r="P3806" s="6"/>
      <c r="Q3806">
        <v>0</v>
      </c>
      <c r="R3806">
        <f t="shared" si="295"/>
        <v>0</v>
      </c>
      <c r="S3806">
        <f t="shared" si="296"/>
        <v>0</v>
      </c>
      <c r="T3806">
        <f t="shared" si="297"/>
        <v>0</v>
      </c>
      <c r="U3806">
        <f t="shared" si="298"/>
        <v>0</v>
      </c>
      <c r="V3806">
        <f t="shared" si="299"/>
        <v>0</v>
      </c>
    </row>
    <row r="3807" spans="1:22" x14ac:dyDescent="0.25">
      <c r="A3807">
        <v>3804</v>
      </c>
      <c r="B3807" t="s">
        <v>26</v>
      </c>
      <c r="C3807" t="s">
        <v>1218</v>
      </c>
      <c r="D3807" s="4">
        <v>45428</v>
      </c>
      <c r="E3807" t="s">
        <v>341</v>
      </c>
      <c r="F3807" t="s">
        <v>710</v>
      </c>
      <c r="G3807">
        <v>197</v>
      </c>
      <c r="I3807" s="6">
        <v>0</v>
      </c>
      <c r="J3807" s="6">
        <v>0</v>
      </c>
      <c r="K3807" s="6">
        <v>0</v>
      </c>
      <c r="L3807" s="6">
        <v>1</v>
      </c>
      <c r="M3807" s="6">
        <v>0</v>
      </c>
      <c r="N3807" s="6">
        <v>1</v>
      </c>
      <c r="O3807" s="6">
        <v>0</v>
      </c>
      <c r="P3807" s="6">
        <v>0</v>
      </c>
      <c r="Q3807">
        <v>1</v>
      </c>
      <c r="R3807">
        <f t="shared" si="295"/>
        <v>0</v>
      </c>
      <c r="S3807">
        <f t="shared" si="296"/>
        <v>0</v>
      </c>
      <c r="T3807">
        <f t="shared" si="297"/>
        <v>2</v>
      </c>
      <c r="U3807">
        <f t="shared" si="298"/>
        <v>1</v>
      </c>
      <c r="V3807">
        <f t="shared" si="299"/>
        <v>0</v>
      </c>
    </row>
    <row r="3808" spans="1:22" x14ac:dyDescent="0.25">
      <c r="A3808">
        <v>3805</v>
      </c>
      <c r="B3808" t="s">
        <v>26</v>
      </c>
      <c r="C3808" t="s">
        <v>1218</v>
      </c>
      <c r="D3808" s="4">
        <v>45428</v>
      </c>
      <c r="E3808" t="s">
        <v>342</v>
      </c>
      <c r="F3808" t="s">
        <v>75</v>
      </c>
      <c r="I3808" s="6"/>
      <c r="J3808" s="6"/>
      <c r="K3808" s="6"/>
      <c r="L3808" s="6"/>
      <c r="M3808" s="6"/>
      <c r="N3808" s="6"/>
      <c r="O3808" s="6"/>
      <c r="P3808" s="6"/>
      <c r="Q3808">
        <v>0</v>
      </c>
      <c r="R3808">
        <f t="shared" si="295"/>
        <v>0</v>
      </c>
      <c r="S3808">
        <f t="shared" si="296"/>
        <v>0</v>
      </c>
      <c r="T3808">
        <f t="shared" si="297"/>
        <v>0</v>
      </c>
      <c r="U3808">
        <f t="shared" si="298"/>
        <v>0</v>
      </c>
      <c r="V3808">
        <f t="shared" si="299"/>
        <v>0</v>
      </c>
    </row>
    <row r="3809" spans="1:22" x14ac:dyDescent="0.25">
      <c r="A3809">
        <v>3806</v>
      </c>
      <c r="B3809" t="s">
        <v>26</v>
      </c>
      <c r="C3809" t="s">
        <v>1218</v>
      </c>
      <c r="D3809" s="4">
        <v>45428</v>
      </c>
      <c r="E3809" t="s">
        <v>343</v>
      </c>
      <c r="F3809" t="s">
        <v>75</v>
      </c>
      <c r="I3809" s="6"/>
      <c r="J3809" s="6"/>
      <c r="K3809" s="6"/>
      <c r="L3809" s="6"/>
      <c r="M3809" s="6"/>
      <c r="N3809" s="6"/>
      <c r="O3809" s="6"/>
      <c r="P3809" s="6"/>
      <c r="Q3809">
        <v>0</v>
      </c>
      <c r="R3809">
        <f t="shared" si="295"/>
        <v>0</v>
      </c>
      <c r="S3809">
        <f t="shared" si="296"/>
        <v>0</v>
      </c>
      <c r="T3809">
        <f t="shared" si="297"/>
        <v>0</v>
      </c>
      <c r="U3809">
        <f t="shared" si="298"/>
        <v>0</v>
      </c>
      <c r="V3809">
        <f t="shared" si="299"/>
        <v>0</v>
      </c>
    </row>
    <row r="3810" spans="1:22" x14ac:dyDescent="0.25">
      <c r="A3810">
        <v>3807</v>
      </c>
      <c r="B3810" t="s">
        <v>26</v>
      </c>
      <c r="C3810" t="s">
        <v>1218</v>
      </c>
      <c r="D3810" s="4">
        <v>45428</v>
      </c>
      <c r="E3810" t="s">
        <v>344</v>
      </c>
      <c r="F3810" t="s">
        <v>75</v>
      </c>
      <c r="I3810" s="6"/>
      <c r="J3810" s="6"/>
      <c r="K3810" s="6"/>
      <c r="L3810" s="6"/>
      <c r="M3810" s="6"/>
      <c r="N3810" s="6"/>
      <c r="O3810" s="6"/>
      <c r="P3810" s="6"/>
      <c r="Q3810">
        <v>0</v>
      </c>
      <c r="R3810">
        <f t="shared" si="295"/>
        <v>0</v>
      </c>
      <c r="S3810">
        <f t="shared" si="296"/>
        <v>0</v>
      </c>
      <c r="T3810">
        <f t="shared" si="297"/>
        <v>0</v>
      </c>
      <c r="U3810">
        <f t="shared" si="298"/>
        <v>0</v>
      </c>
      <c r="V3810">
        <f t="shared" si="299"/>
        <v>0</v>
      </c>
    </row>
    <row r="3811" spans="1:22" x14ac:dyDescent="0.25">
      <c r="A3811">
        <v>3808</v>
      </c>
      <c r="B3811" t="s">
        <v>26</v>
      </c>
      <c r="C3811" t="s">
        <v>1218</v>
      </c>
      <c r="D3811" s="4">
        <v>45428</v>
      </c>
      <c r="E3811" t="s">
        <v>2123</v>
      </c>
      <c r="F3811" t="s">
        <v>75</v>
      </c>
      <c r="I3811" s="6"/>
      <c r="J3811" s="6"/>
      <c r="K3811" s="6"/>
      <c r="L3811" s="6"/>
      <c r="M3811" s="6"/>
      <c r="N3811" s="6"/>
      <c r="O3811" s="6"/>
      <c r="P3811" s="6"/>
      <c r="Q3811">
        <v>0</v>
      </c>
      <c r="R3811">
        <f t="shared" si="295"/>
        <v>0</v>
      </c>
      <c r="S3811">
        <f t="shared" si="296"/>
        <v>0</v>
      </c>
      <c r="T3811">
        <f t="shared" si="297"/>
        <v>0</v>
      </c>
      <c r="U3811">
        <f t="shared" si="298"/>
        <v>0</v>
      </c>
      <c r="V3811">
        <f t="shared" si="299"/>
        <v>0</v>
      </c>
    </row>
    <row r="3812" spans="1:22" x14ac:dyDescent="0.25">
      <c r="A3812">
        <v>3809</v>
      </c>
      <c r="B3812" t="s">
        <v>26</v>
      </c>
      <c r="C3812" t="s">
        <v>1218</v>
      </c>
      <c r="D3812" s="4">
        <v>45429</v>
      </c>
      <c r="E3812" t="s">
        <v>2120</v>
      </c>
      <c r="F3812" t="s">
        <v>75</v>
      </c>
      <c r="I3812" s="6"/>
      <c r="J3812" s="6"/>
      <c r="K3812" s="6"/>
      <c r="L3812" s="6"/>
      <c r="M3812" s="6"/>
      <c r="N3812" s="6"/>
      <c r="O3812" s="6"/>
      <c r="P3812" s="6"/>
      <c r="Q3812">
        <v>0</v>
      </c>
      <c r="R3812">
        <f t="shared" si="295"/>
        <v>0</v>
      </c>
      <c r="S3812">
        <f t="shared" si="296"/>
        <v>0</v>
      </c>
      <c r="T3812">
        <f t="shared" si="297"/>
        <v>0</v>
      </c>
      <c r="U3812">
        <f t="shared" si="298"/>
        <v>0</v>
      </c>
      <c r="V3812">
        <f t="shared" si="299"/>
        <v>0</v>
      </c>
    </row>
    <row r="3813" spans="1:22" x14ac:dyDescent="0.25">
      <c r="A3813">
        <v>3810</v>
      </c>
      <c r="B3813" t="s">
        <v>26</v>
      </c>
      <c r="C3813" t="s">
        <v>1218</v>
      </c>
      <c r="D3813" s="4">
        <v>45429</v>
      </c>
      <c r="E3813" t="s">
        <v>345</v>
      </c>
      <c r="F3813" t="s">
        <v>75</v>
      </c>
      <c r="I3813" s="6">
        <v>0</v>
      </c>
      <c r="J3813" s="6">
        <v>0</v>
      </c>
      <c r="K3813" s="6">
        <v>0</v>
      </c>
      <c r="L3813" s="6">
        <v>0</v>
      </c>
      <c r="M3813" s="6">
        <v>0</v>
      </c>
      <c r="N3813" s="6">
        <v>0</v>
      </c>
      <c r="O3813" s="6">
        <v>0</v>
      </c>
      <c r="P3813" s="6">
        <v>0</v>
      </c>
      <c r="Q3813">
        <v>1</v>
      </c>
      <c r="R3813">
        <f t="shared" si="295"/>
        <v>0</v>
      </c>
      <c r="S3813">
        <f t="shared" si="296"/>
        <v>1</v>
      </c>
      <c r="T3813">
        <f t="shared" si="297"/>
        <v>0</v>
      </c>
      <c r="U3813">
        <f t="shared" si="298"/>
        <v>0</v>
      </c>
      <c r="V3813">
        <f t="shared" si="299"/>
        <v>0</v>
      </c>
    </row>
    <row r="3814" spans="1:22" x14ac:dyDescent="0.25">
      <c r="A3814">
        <v>3811</v>
      </c>
      <c r="B3814" t="s">
        <v>26</v>
      </c>
      <c r="C3814" t="s">
        <v>1218</v>
      </c>
      <c r="D3814" s="4">
        <v>45429</v>
      </c>
      <c r="E3814" t="s">
        <v>1483</v>
      </c>
      <c r="F3814" t="s">
        <v>75</v>
      </c>
      <c r="I3814" s="6"/>
      <c r="J3814" s="6"/>
      <c r="K3814" s="6"/>
      <c r="L3814" s="6"/>
      <c r="M3814" s="6"/>
      <c r="N3814" s="6"/>
      <c r="O3814" s="6"/>
      <c r="P3814" s="6"/>
      <c r="Q3814">
        <v>0</v>
      </c>
      <c r="R3814">
        <f t="shared" si="295"/>
        <v>0</v>
      </c>
      <c r="S3814">
        <f t="shared" si="296"/>
        <v>0</v>
      </c>
      <c r="T3814">
        <f t="shared" si="297"/>
        <v>0</v>
      </c>
      <c r="U3814">
        <f t="shared" si="298"/>
        <v>0</v>
      </c>
      <c r="V3814">
        <f t="shared" si="299"/>
        <v>0</v>
      </c>
    </row>
    <row r="3815" spans="1:22" x14ac:dyDescent="0.25">
      <c r="A3815">
        <v>3812</v>
      </c>
      <c r="B3815" t="s">
        <v>26</v>
      </c>
      <c r="C3815" t="s">
        <v>1218</v>
      </c>
      <c r="D3815" s="4">
        <v>45429</v>
      </c>
      <c r="E3815" t="s">
        <v>346</v>
      </c>
      <c r="F3815" t="s">
        <v>75</v>
      </c>
      <c r="I3815" s="6"/>
      <c r="J3815" s="6"/>
      <c r="K3815" s="6"/>
      <c r="L3815" s="6"/>
      <c r="M3815" s="6"/>
      <c r="N3815" s="6"/>
      <c r="O3815" s="6"/>
      <c r="P3815" s="6"/>
      <c r="Q3815">
        <v>0</v>
      </c>
      <c r="R3815">
        <f t="shared" si="295"/>
        <v>0</v>
      </c>
      <c r="S3815">
        <f t="shared" si="296"/>
        <v>0</v>
      </c>
      <c r="T3815">
        <f t="shared" si="297"/>
        <v>0</v>
      </c>
      <c r="U3815">
        <f t="shared" si="298"/>
        <v>0</v>
      </c>
      <c r="V3815">
        <f t="shared" si="299"/>
        <v>0</v>
      </c>
    </row>
    <row r="3816" spans="1:22" x14ac:dyDescent="0.25">
      <c r="A3816">
        <v>3813</v>
      </c>
      <c r="B3816" t="s">
        <v>26</v>
      </c>
      <c r="C3816" t="s">
        <v>1218</v>
      </c>
      <c r="D3816" s="4">
        <v>45429</v>
      </c>
      <c r="E3816" t="s">
        <v>1409</v>
      </c>
      <c r="F3816" t="s">
        <v>710</v>
      </c>
      <c r="G3816">
        <v>198</v>
      </c>
      <c r="I3816" s="6">
        <v>0</v>
      </c>
      <c r="J3816" s="6">
        <v>0</v>
      </c>
      <c r="K3816" s="6">
        <v>0</v>
      </c>
      <c r="L3816" s="6">
        <v>1</v>
      </c>
      <c r="M3816" s="6">
        <v>0</v>
      </c>
      <c r="N3816" s="6">
        <v>1</v>
      </c>
      <c r="O3816" s="6">
        <v>0</v>
      </c>
      <c r="P3816" s="6">
        <v>0</v>
      </c>
      <c r="Q3816">
        <v>1</v>
      </c>
      <c r="R3816">
        <f t="shared" si="295"/>
        <v>0</v>
      </c>
      <c r="S3816">
        <f t="shared" si="296"/>
        <v>0</v>
      </c>
      <c r="T3816">
        <f t="shared" si="297"/>
        <v>2</v>
      </c>
      <c r="U3816">
        <f t="shared" si="298"/>
        <v>1</v>
      </c>
      <c r="V3816">
        <f t="shared" si="299"/>
        <v>0</v>
      </c>
    </row>
    <row r="3817" spans="1:22" x14ac:dyDescent="0.25">
      <c r="A3817">
        <v>3814</v>
      </c>
      <c r="B3817" t="s">
        <v>26</v>
      </c>
      <c r="C3817" t="s">
        <v>1218</v>
      </c>
      <c r="D3817" s="4">
        <v>45429</v>
      </c>
      <c r="E3817" t="s">
        <v>347</v>
      </c>
      <c r="F3817" t="s">
        <v>75</v>
      </c>
      <c r="I3817" s="6">
        <v>0</v>
      </c>
      <c r="J3817" s="6">
        <v>0</v>
      </c>
      <c r="K3817" s="6">
        <v>0</v>
      </c>
      <c r="L3817" s="6">
        <v>0</v>
      </c>
      <c r="M3817" s="6">
        <v>0</v>
      </c>
      <c r="N3817" s="6">
        <v>0</v>
      </c>
      <c r="O3817" s="6">
        <v>0</v>
      </c>
      <c r="P3817" s="6">
        <v>0</v>
      </c>
      <c r="Q3817">
        <v>1</v>
      </c>
      <c r="R3817">
        <f t="shared" si="295"/>
        <v>0</v>
      </c>
      <c r="S3817">
        <f t="shared" si="296"/>
        <v>1</v>
      </c>
      <c r="T3817">
        <f t="shared" si="297"/>
        <v>0</v>
      </c>
      <c r="U3817">
        <f t="shared" si="298"/>
        <v>0</v>
      </c>
      <c r="V3817">
        <f t="shared" si="299"/>
        <v>0</v>
      </c>
    </row>
    <row r="3818" spans="1:22" x14ac:dyDescent="0.25">
      <c r="A3818">
        <v>3815</v>
      </c>
      <c r="B3818" t="s">
        <v>26</v>
      </c>
      <c r="C3818" t="s">
        <v>1218</v>
      </c>
      <c r="D3818" s="4">
        <v>45431</v>
      </c>
      <c r="E3818" t="s">
        <v>353</v>
      </c>
      <c r="F3818" t="s">
        <v>75</v>
      </c>
      <c r="I3818" s="6"/>
      <c r="J3818" s="6"/>
      <c r="K3818" s="6"/>
      <c r="L3818" s="6"/>
      <c r="M3818" s="6"/>
      <c r="N3818" s="6"/>
      <c r="O3818" s="6"/>
      <c r="P3818" s="6"/>
      <c r="Q3818">
        <v>0</v>
      </c>
      <c r="R3818">
        <f t="shared" si="295"/>
        <v>0</v>
      </c>
      <c r="S3818">
        <f t="shared" si="296"/>
        <v>0</v>
      </c>
      <c r="T3818">
        <f t="shared" si="297"/>
        <v>0</v>
      </c>
      <c r="U3818">
        <f t="shared" si="298"/>
        <v>0</v>
      </c>
      <c r="V3818">
        <f t="shared" si="299"/>
        <v>0</v>
      </c>
    </row>
    <row r="3819" spans="1:22" x14ac:dyDescent="0.25">
      <c r="A3819">
        <v>3816</v>
      </c>
      <c r="B3819" t="s">
        <v>26</v>
      </c>
      <c r="C3819" t="s">
        <v>1218</v>
      </c>
      <c r="D3819" s="4">
        <v>45431</v>
      </c>
      <c r="E3819" t="s">
        <v>354</v>
      </c>
      <c r="F3819" t="s">
        <v>75</v>
      </c>
      <c r="I3819" s="6">
        <v>0</v>
      </c>
      <c r="J3819" s="6">
        <v>0</v>
      </c>
      <c r="K3819" s="6">
        <v>0</v>
      </c>
      <c r="L3819" s="6">
        <v>0</v>
      </c>
      <c r="M3819" s="6">
        <v>0</v>
      </c>
      <c r="N3819" s="6">
        <v>0</v>
      </c>
      <c r="O3819" s="6">
        <v>0</v>
      </c>
      <c r="P3819" s="6">
        <v>0</v>
      </c>
      <c r="Q3819">
        <v>1</v>
      </c>
      <c r="R3819">
        <f t="shared" si="295"/>
        <v>0</v>
      </c>
      <c r="S3819">
        <f t="shared" si="296"/>
        <v>1</v>
      </c>
      <c r="T3819">
        <f t="shared" si="297"/>
        <v>0</v>
      </c>
      <c r="U3819">
        <f t="shared" si="298"/>
        <v>0</v>
      </c>
      <c r="V3819">
        <f t="shared" si="299"/>
        <v>0</v>
      </c>
    </row>
    <row r="3820" spans="1:22" x14ac:dyDescent="0.25">
      <c r="A3820">
        <v>3817</v>
      </c>
      <c r="B3820" t="s">
        <v>26</v>
      </c>
      <c r="C3820" t="s">
        <v>1218</v>
      </c>
      <c r="D3820" s="4">
        <v>45432</v>
      </c>
      <c r="E3820" t="s">
        <v>1484</v>
      </c>
      <c r="F3820" t="s">
        <v>75</v>
      </c>
      <c r="I3820" s="6"/>
      <c r="J3820" s="6"/>
      <c r="K3820" s="6"/>
      <c r="L3820" s="6"/>
      <c r="M3820" s="6"/>
      <c r="N3820" s="6"/>
      <c r="O3820" s="6"/>
      <c r="P3820" s="6"/>
      <c r="Q3820">
        <v>0</v>
      </c>
      <c r="R3820">
        <f t="shared" si="295"/>
        <v>0</v>
      </c>
      <c r="S3820">
        <f t="shared" si="296"/>
        <v>0</v>
      </c>
      <c r="T3820">
        <f t="shared" si="297"/>
        <v>0</v>
      </c>
      <c r="U3820">
        <f t="shared" si="298"/>
        <v>0</v>
      </c>
      <c r="V3820">
        <f t="shared" si="299"/>
        <v>0</v>
      </c>
    </row>
    <row r="3821" spans="1:22" x14ac:dyDescent="0.25">
      <c r="A3821">
        <v>3818</v>
      </c>
      <c r="B3821" t="s">
        <v>26</v>
      </c>
      <c r="C3821" t="s">
        <v>1218</v>
      </c>
      <c r="D3821" s="4">
        <v>45432</v>
      </c>
      <c r="E3821" t="s">
        <v>356</v>
      </c>
      <c r="F3821" t="s">
        <v>413</v>
      </c>
      <c r="G3821">
        <v>199</v>
      </c>
      <c r="I3821" s="6">
        <v>0</v>
      </c>
      <c r="J3821" s="6">
        <v>0</v>
      </c>
      <c r="K3821" s="6">
        <v>0</v>
      </c>
      <c r="L3821" s="6">
        <v>0</v>
      </c>
      <c r="M3821" s="6">
        <v>0</v>
      </c>
      <c r="N3821" s="6">
        <v>0</v>
      </c>
      <c r="O3821" s="6">
        <v>0</v>
      </c>
      <c r="P3821" s="6">
        <v>0</v>
      </c>
      <c r="Q3821">
        <v>1</v>
      </c>
      <c r="R3821">
        <f t="shared" si="295"/>
        <v>1</v>
      </c>
      <c r="S3821">
        <f t="shared" si="296"/>
        <v>0</v>
      </c>
      <c r="T3821">
        <f t="shared" si="297"/>
        <v>0</v>
      </c>
      <c r="U3821">
        <f t="shared" si="298"/>
        <v>0</v>
      </c>
      <c r="V3821">
        <f t="shared" si="299"/>
        <v>1</v>
      </c>
    </row>
    <row r="3822" spans="1:22" x14ac:dyDescent="0.25">
      <c r="A3822">
        <v>3819</v>
      </c>
      <c r="B3822" t="s">
        <v>26</v>
      </c>
      <c r="C3822" t="s">
        <v>1218</v>
      </c>
      <c r="D3822" s="4">
        <v>45432</v>
      </c>
      <c r="E3822" t="s">
        <v>1093</v>
      </c>
      <c r="F3822" t="s">
        <v>75</v>
      </c>
      <c r="I3822" s="6">
        <v>0</v>
      </c>
      <c r="J3822" s="6">
        <v>0</v>
      </c>
      <c r="K3822" s="6">
        <v>0</v>
      </c>
      <c r="L3822" s="6">
        <v>0</v>
      </c>
      <c r="M3822" s="6">
        <v>0</v>
      </c>
      <c r="N3822" s="6">
        <v>0</v>
      </c>
      <c r="O3822" s="6">
        <v>0</v>
      </c>
      <c r="P3822" s="6">
        <v>0</v>
      </c>
      <c r="Q3822">
        <v>1</v>
      </c>
      <c r="R3822">
        <f t="shared" si="295"/>
        <v>0</v>
      </c>
      <c r="S3822">
        <f t="shared" si="296"/>
        <v>1</v>
      </c>
      <c r="T3822">
        <f t="shared" si="297"/>
        <v>0</v>
      </c>
      <c r="U3822">
        <f t="shared" si="298"/>
        <v>0</v>
      </c>
      <c r="V3822">
        <f t="shared" si="299"/>
        <v>0</v>
      </c>
    </row>
    <row r="3823" spans="1:22" x14ac:dyDescent="0.25">
      <c r="A3823">
        <v>3820</v>
      </c>
      <c r="B3823" t="s">
        <v>26</v>
      </c>
      <c r="C3823" t="s">
        <v>1218</v>
      </c>
      <c r="D3823" s="4">
        <v>45433</v>
      </c>
      <c r="E3823" t="s">
        <v>1234</v>
      </c>
      <c r="F3823" t="s">
        <v>75</v>
      </c>
      <c r="I3823" s="6">
        <v>0</v>
      </c>
      <c r="J3823" s="6">
        <v>0</v>
      </c>
      <c r="K3823" s="6">
        <v>0</v>
      </c>
      <c r="L3823" s="6">
        <v>1</v>
      </c>
      <c r="M3823" s="6">
        <v>0</v>
      </c>
      <c r="N3823" s="6">
        <v>0</v>
      </c>
      <c r="O3823" s="6">
        <v>0</v>
      </c>
      <c r="P3823" s="6">
        <v>0</v>
      </c>
      <c r="Q3823">
        <v>1</v>
      </c>
      <c r="R3823">
        <f t="shared" si="295"/>
        <v>0</v>
      </c>
      <c r="S3823">
        <f t="shared" si="296"/>
        <v>1</v>
      </c>
      <c r="T3823">
        <f t="shared" si="297"/>
        <v>1</v>
      </c>
      <c r="U3823">
        <f t="shared" si="298"/>
        <v>1</v>
      </c>
      <c r="V3823">
        <f t="shared" si="299"/>
        <v>0</v>
      </c>
    </row>
    <row r="3824" spans="1:22" x14ac:dyDescent="0.25">
      <c r="A3824">
        <v>3821</v>
      </c>
      <c r="B3824" t="s">
        <v>26</v>
      </c>
      <c r="C3824" t="s">
        <v>1218</v>
      </c>
      <c r="D3824" s="4">
        <v>45433</v>
      </c>
      <c r="E3824" t="s">
        <v>1095</v>
      </c>
      <c r="F3824" t="s">
        <v>75</v>
      </c>
      <c r="I3824" s="6"/>
      <c r="J3824" s="6"/>
      <c r="K3824" s="6"/>
      <c r="L3824" s="6"/>
      <c r="M3824" s="6"/>
      <c r="N3824" s="6"/>
      <c r="O3824" s="6"/>
      <c r="P3824" s="6"/>
      <c r="Q3824">
        <v>0</v>
      </c>
      <c r="R3824">
        <f t="shared" si="295"/>
        <v>0</v>
      </c>
      <c r="S3824">
        <f t="shared" si="296"/>
        <v>0</v>
      </c>
      <c r="T3824">
        <f t="shared" si="297"/>
        <v>0</v>
      </c>
      <c r="U3824">
        <f t="shared" si="298"/>
        <v>0</v>
      </c>
      <c r="V3824">
        <f t="shared" si="299"/>
        <v>0</v>
      </c>
    </row>
    <row r="3825" spans="1:22" x14ac:dyDescent="0.25">
      <c r="A3825">
        <v>3822</v>
      </c>
      <c r="B3825" t="s">
        <v>26</v>
      </c>
      <c r="C3825" t="s">
        <v>1218</v>
      </c>
      <c r="D3825" s="4">
        <v>45433</v>
      </c>
      <c r="E3825" t="s">
        <v>1485</v>
      </c>
      <c r="F3825" t="s">
        <v>75</v>
      </c>
      <c r="I3825" s="6"/>
      <c r="J3825" s="6"/>
      <c r="K3825" s="6"/>
      <c r="L3825" s="6"/>
      <c r="M3825" s="6"/>
      <c r="N3825" s="6"/>
      <c r="O3825" s="6"/>
      <c r="P3825" s="6"/>
      <c r="Q3825">
        <v>0</v>
      </c>
      <c r="R3825">
        <f t="shared" si="295"/>
        <v>0</v>
      </c>
      <c r="S3825">
        <f t="shared" si="296"/>
        <v>0</v>
      </c>
      <c r="T3825">
        <f t="shared" si="297"/>
        <v>0</v>
      </c>
      <c r="U3825">
        <f t="shared" si="298"/>
        <v>0</v>
      </c>
      <c r="V3825">
        <f t="shared" si="299"/>
        <v>0</v>
      </c>
    </row>
    <row r="3826" spans="1:22" x14ac:dyDescent="0.25">
      <c r="A3826">
        <v>3823</v>
      </c>
      <c r="B3826" t="s">
        <v>26</v>
      </c>
      <c r="C3826" t="s">
        <v>1218</v>
      </c>
      <c r="D3826" s="4">
        <v>45433</v>
      </c>
      <c r="E3826" t="s">
        <v>1096</v>
      </c>
      <c r="F3826" t="s">
        <v>710</v>
      </c>
      <c r="G3826">
        <v>200</v>
      </c>
      <c r="I3826" s="6">
        <v>0</v>
      </c>
      <c r="J3826" s="6">
        <v>0</v>
      </c>
      <c r="K3826" s="6">
        <v>0</v>
      </c>
      <c r="L3826" s="6">
        <v>1</v>
      </c>
      <c r="M3826" s="6">
        <v>1</v>
      </c>
      <c r="N3826" s="6">
        <v>0</v>
      </c>
      <c r="O3826" s="6">
        <v>0</v>
      </c>
      <c r="P3826" s="6">
        <v>0</v>
      </c>
      <c r="Q3826">
        <v>1</v>
      </c>
      <c r="R3826">
        <f t="shared" si="295"/>
        <v>0</v>
      </c>
      <c r="S3826">
        <f t="shared" si="296"/>
        <v>0</v>
      </c>
      <c r="T3826">
        <f t="shared" si="297"/>
        <v>2</v>
      </c>
      <c r="U3826">
        <f t="shared" si="298"/>
        <v>1</v>
      </c>
      <c r="V3826">
        <f t="shared" si="299"/>
        <v>0</v>
      </c>
    </row>
    <row r="3827" spans="1:22" x14ac:dyDescent="0.25">
      <c r="A3827">
        <v>3824</v>
      </c>
      <c r="B3827" t="s">
        <v>26</v>
      </c>
      <c r="C3827" t="s">
        <v>1218</v>
      </c>
      <c r="D3827" s="4">
        <v>45433</v>
      </c>
      <c r="E3827" t="s">
        <v>1097</v>
      </c>
      <c r="F3827" t="s">
        <v>75</v>
      </c>
      <c r="I3827" s="6"/>
      <c r="J3827" s="6"/>
      <c r="K3827" s="6"/>
      <c r="L3827" s="6"/>
      <c r="M3827" s="6"/>
      <c r="N3827" s="6"/>
      <c r="O3827" s="6"/>
      <c r="P3827" s="6"/>
      <c r="Q3827">
        <v>0</v>
      </c>
      <c r="R3827">
        <f t="shared" si="295"/>
        <v>0</v>
      </c>
      <c r="S3827">
        <f t="shared" si="296"/>
        <v>0</v>
      </c>
      <c r="T3827">
        <f t="shared" si="297"/>
        <v>0</v>
      </c>
      <c r="U3827">
        <f t="shared" si="298"/>
        <v>0</v>
      </c>
      <c r="V3827">
        <f t="shared" si="299"/>
        <v>0</v>
      </c>
    </row>
    <row r="3828" spans="1:22" x14ac:dyDescent="0.25">
      <c r="A3828">
        <v>3825</v>
      </c>
      <c r="B3828" t="s">
        <v>26</v>
      </c>
      <c r="C3828" t="s">
        <v>1218</v>
      </c>
      <c r="D3828" s="4">
        <v>45433</v>
      </c>
      <c r="E3828" t="s">
        <v>1189</v>
      </c>
      <c r="F3828" t="s">
        <v>710</v>
      </c>
      <c r="G3828">
        <v>201</v>
      </c>
      <c r="I3828" s="6">
        <v>1</v>
      </c>
      <c r="J3828" s="6">
        <v>0</v>
      </c>
      <c r="K3828" s="6">
        <v>1</v>
      </c>
      <c r="L3828" s="6">
        <v>0</v>
      </c>
      <c r="M3828" s="6">
        <v>0</v>
      </c>
      <c r="N3828" s="6">
        <v>0</v>
      </c>
      <c r="O3828" s="6">
        <v>0</v>
      </c>
      <c r="P3828" s="6">
        <v>1</v>
      </c>
      <c r="Q3828">
        <v>1</v>
      </c>
      <c r="R3828">
        <f t="shared" si="295"/>
        <v>0</v>
      </c>
      <c r="S3828">
        <f t="shared" si="296"/>
        <v>0</v>
      </c>
      <c r="T3828">
        <f t="shared" si="297"/>
        <v>3</v>
      </c>
      <c r="U3828">
        <f t="shared" si="298"/>
        <v>1</v>
      </c>
      <c r="V3828">
        <f t="shared" si="299"/>
        <v>0</v>
      </c>
    </row>
    <row r="3829" spans="1:22" x14ac:dyDescent="0.25">
      <c r="A3829">
        <v>3826</v>
      </c>
      <c r="B3829" t="s">
        <v>26</v>
      </c>
      <c r="C3829" t="s">
        <v>1218</v>
      </c>
      <c r="D3829" s="4">
        <v>45433</v>
      </c>
      <c r="E3829" t="s">
        <v>2117</v>
      </c>
      <c r="F3829" t="s">
        <v>75</v>
      </c>
      <c r="I3829" s="6"/>
      <c r="J3829" s="6"/>
      <c r="K3829" s="6"/>
      <c r="L3829" s="6"/>
      <c r="M3829" s="6"/>
      <c r="N3829" s="6"/>
      <c r="O3829" s="6"/>
      <c r="P3829" s="6"/>
      <c r="Q3829">
        <v>0</v>
      </c>
      <c r="R3829">
        <f t="shared" si="295"/>
        <v>0</v>
      </c>
      <c r="S3829">
        <f t="shared" si="296"/>
        <v>0</v>
      </c>
      <c r="T3829">
        <f t="shared" si="297"/>
        <v>0</v>
      </c>
      <c r="U3829">
        <f t="shared" si="298"/>
        <v>0</v>
      </c>
      <c r="V3829">
        <f t="shared" si="299"/>
        <v>0</v>
      </c>
    </row>
    <row r="3830" spans="1:22" x14ac:dyDescent="0.25">
      <c r="A3830">
        <v>3827</v>
      </c>
      <c r="B3830" t="s">
        <v>26</v>
      </c>
      <c r="C3830" t="s">
        <v>1218</v>
      </c>
      <c r="D3830" s="4">
        <v>45433</v>
      </c>
      <c r="E3830" t="s">
        <v>2403</v>
      </c>
      <c r="F3830" t="s">
        <v>75</v>
      </c>
      <c r="I3830" s="6"/>
      <c r="J3830" s="6"/>
      <c r="K3830" s="6"/>
      <c r="L3830" s="6"/>
      <c r="M3830" s="6"/>
      <c r="N3830" s="6"/>
      <c r="O3830" s="6"/>
      <c r="P3830" s="6"/>
      <c r="Q3830">
        <v>0</v>
      </c>
      <c r="R3830">
        <f t="shared" si="295"/>
        <v>0</v>
      </c>
      <c r="S3830">
        <f t="shared" si="296"/>
        <v>0</v>
      </c>
      <c r="T3830">
        <f t="shared" si="297"/>
        <v>0</v>
      </c>
      <c r="U3830">
        <f t="shared" si="298"/>
        <v>0</v>
      </c>
      <c r="V3830">
        <f t="shared" si="299"/>
        <v>0</v>
      </c>
    </row>
    <row r="3831" spans="1:22" x14ac:dyDescent="0.25">
      <c r="A3831">
        <v>3828</v>
      </c>
      <c r="B3831" t="s">
        <v>26</v>
      </c>
      <c r="C3831" t="s">
        <v>1218</v>
      </c>
      <c r="D3831" s="4">
        <v>45434</v>
      </c>
      <c r="E3831" t="s">
        <v>1011</v>
      </c>
      <c r="F3831" t="s">
        <v>710</v>
      </c>
      <c r="G3831">
        <v>202</v>
      </c>
      <c r="H3831" t="s">
        <v>1410</v>
      </c>
      <c r="I3831" s="6">
        <v>0</v>
      </c>
      <c r="J3831" s="6">
        <v>0</v>
      </c>
      <c r="K3831" s="6">
        <v>0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>
        <v>1</v>
      </c>
      <c r="R3831">
        <f t="shared" si="295"/>
        <v>0</v>
      </c>
      <c r="S3831">
        <f t="shared" si="296"/>
        <v>0</v>
      </c>
      <c r="T3831">
        <f t="shared" si="297"/>
        <v>0</v>
      </c>
      <c r="U3831">
        <f t="shared" si="298"/>
        <v>0</v>
      </c>
      <c r="V3831">
        <f t="shared" si="299"/>
        <v>0</v>
      </c>
    </row>
    <row r="3832" spans="1:22" x14ac:dyDescent="0.25">
      <c r="A3832">
        <v>3829</v>
      </c>
      <c r="B3832" t="s">
        <v>26</v>
      </c>
      <c r="C3832" t="s">
        <v>1218</v>
      </c>
      <c r="D3832" s="4">
        <v>45434</v>
      </c>
      <c r="E3832" t="s">
        <v>358</v>
      </c>
      <c r="F3832" t="s">
        <v>75</v>
      </c>
      <c r="I3832" s="6"/>
      <c r="J3832" s="6"/>
      <c r="K3832" s="6"/>
      <c r="L3832" s="6"/>
      <c r="M3832" s="6"/>
      <c r="N3832" s="6"/>
      <c r="O3832" s="6"/>
      <c r="P3832" s="6"/>
      <c r="Q3832">
        <v>0</v>
      </c>
      <c r="R3832">
        <f t="shared" si="295"/>
        <v>0</v>
      </c>
      <c r="S3832">
        <f t="shared" si="296"/>
        <v>0</v>
      </c>
      <c r="T3832">
        <f t="shared" si="297"/>
        <v>0</v>
      </c>
      <c r="U3832">
        <f t="shared" si="298"/>
        <v>0</v>
      </c>
      <c r="V3832">
        <f t="shared" si="299"/>
        <v>0</v>
      </c>
    </row>
    <row r="3833" spans="1:22" x14ac:dyDescent="0.25">
      <c r="A3833">
        <v>3830</v>
      </c>
      <c r="B3833" t="s">
        <v>26</v>
      </c>
      <c r="C3833" t="s">
        <v>1218</v>
      </c>
      <c r="D3833" s="4">
        <v>45434</v>
      </c>
      <c r="E3833" t="s">
        <v>359</v>
      </c>
      <c r="F3833" t="s">
        <v>75</v>
      </c>
      <c r="I3833" s="6"/>
      <c r="J3833" s="6"/>
      <c r="K3833" s="6"/>
      <c r="L3833" s="6"/>
      <c r="M3833" s="6"/>
      <c r="N3833" s="6"/>
      <c r="O3833" s="6"/>
      <c r="P3833" s="6"/>
      <c r="Q3833">
        <v>0</v>
      </c>
      <c r="R3833">
        <f t="shared" si="295"/>
        <v>0</v>
      </c>
      <c r="S3833">
        <f t="shared" si="296"/>
        <v>0</v>
      </c>
      <c r="T3833">
        <f t="shared" si="297"/>
        <v>0</v>
      </c>
      <c r="U3833">
        <f t="shared" si="298"/>
        <v>0</v>
      </c>
      <c r="V3833">
        <f t="shared" si="299"/>
        <v>0</v>
      </c>
    </row>
    <row r="3834" spans="1:22" x14ac:dyDescent="0.25">
      <c r="A3834">
        <v>3831</v>
      </c>
      <c r="B3834" t="s">
        <v>26</v>
      </c>
      <c r="C3834" t="s">
        <v>1218</v>
      </c>
      <c r="D3834" s="4">
        <v>45434</v>
      </c>
      <c r="E3834" t="s">
        <v>1411</v>
      </c>
      <c r="F3834" t="s">
        <v>710</v>
      </c>
      <c r="G3834">
        <v>203</v>
      </c>
      <c r="I3834" s="6">
        <v>1</v>
      </c>
      <c r="J3834" s="6">
        <v>0</v>
      </c>
      <c r="K3834" s="6">
        <v>0</v>
      </c>
      <c r="L3834" s="6">
        <v>1</v>
      </c>
      <c r="M3834" s="6">
        <v>0</v>
      </c>
      <c r="N3834" s="6">
        <v>0</v>
      </c>
      <c r="O3834" s="6">
        <v>0</v>
      </c>
      <c r="P3834" s="6">
        <v>0</v>
      </c>
      <c r="Q3834">
        <v>1</v>
      </c>
      <c r="R3834">
        <f t="shared" si="295"/>
        <v>0</v>
      </c>
      <c r="S3834">
        <f t="shared" si="296"/>
        <v>0</v>
      </c>
      <c r="T3834">
        <f t="shared" si="297"/>
        <v>2</v>
      </c>
      <c r="U3834">
        <f t="shared" si="298"/>
        <v>1</v>
      </c>
      <c r="V3834">
        <f t="shared" si="299"/>
        <v>0</v>
      </c>
    </row>
    <row r="3835" spans="1:22" x14ac:dyDescent="0.25">
      <c r="A3835">
        <v>3832</v>
      </c>
      <c r="B3835" t="s">
        <v>26</v>
      </c>
      <c r="C3835" t="s">
        <v>1218</v>
      </c>
      <c r="D3835" s="4">
        <v>45434</v>
      </c>
      <c r="E3835" t="s">
        <v>360</v>
      </c>
      <c r="F3835" t="s">
        <v>75</v>
      </c>
      <c r="I3835" s="6">
        <v>0</v>
      </c>
      <c r="J3835" s="6">
        <v>0</v>
      </c>
      <c r="K3835" s="6">
        <v>0</v>
      </c>
      <c r="L3835" s="6">
        <v>1</v>
      </c>
      <c r="M3835" s="6">
        <v>0</v>
      </c>
      <c r="N3835" s="6">
        <v>0</v>
      </c>
      <c r="O3835" s="6">
        <v>0</v>
      </c>
      <c r="P3835" s="6">
        <v>0</v>
      </c>
      <c r="Q3835">
        <v>1</v>
      </c>
      <c r="R3835">
        <f t="shared" si="295"/>
        <v>0</v>
      </c>
      <c r="S3835">
        <f t="shared" si="296"/>
        <v>1</v>
      </c>
      <c r="T3835">
        <f t="shared" si="297"/>
        <v>1</v>
      </c>
      <c r="U3835">
        <f t="shared" si="298"/>
        <v>1</v>
      </c>
      <c r="V3835">
        <f t="shared" si="299"/>
        <v>0</v>
      </c>
    </row>
    <row r="3836" spans="1:22" x14ac:dyDescent="0.25">
      <c r="A3836">
        <v>3833</v>
      </c>
      <c r="B3836" t="s">
        <v>26</v>
      </c>
      <c r="C3836" t="s">
        <v>1218</v>
      </c>
      <c r="D3836" s="4">
        <v>45434</v>
      </c>
      <c r="E3836" t="s">
        <v>1191</v>
      </c>
      <c r="F3836" t="s">
        <v>75</v>
      </c>
      <c r="I3836" s="6">
        <v>0</v>
      </c>
      <c r="J3836" s="6">
        <v>0</v>
      </c>
      <c r="K3836" s="6">
        <v>0</v>
      </c>
      <c r="L3836" s="6">
        <v>0</v>
      </c>
      <c r="M3836" s="6">
        <v>0</v>
      </c>
      <c r="N3836" s="6">
        <v>0</v>
      </c>
      <c r="O3836" s="6">
        <v>0</v>
      </c>
      <c r="P3836" s="6">
        <v>0</v>
      </c>
      <c r="Q3836">
        <v>1</v>
      </c>
      <c r="R3836">
        <f t="shared" si="295"/>
        <v>0</v>
      </c>
      <c r="S3836">
        <f t="shared" si="296"/>
        <v>1</v>
      </c>
      <c r="T3836">
        <f t="shared" si="297"/>
        <v>0</v>
      </c>
      <c r="U3836">
        <f t="shared" si="298"/>
        <v>0</v>
      </c>
      <c r="V3836">
        <f t="shared" si="299"/>
        <v>0</v>
      </c>
    </row>
    <row r="3837" spans="1:22" x14ac:dyDescent="0.25">
      <c r="A3837">
        <v>3834</v>
      </c>
      <c r="B3837" t="s">
        <v>26</v>
      </c>
      <c r="C3837" t="s">
        <v>1218</v>
      </c>
      <c r="D3837" s="4">
        <v>45435</v>
      </c>
      <c r="E3837" t="s">
        <v>361</v>
      </c>
      <c r="F3837" t="s">
        <v>75</v>
      </c>
      <c r="I3837" s="6"/>
      <c r="J3837" s="6"/>
      <c r="K3837" s="6"/>
      <c r="L3837" s="6"/>
      <c r="M3837" s="6"/>
      <c r="N3837" s="6"/>
      <c r="O3837" s="6"/>
      <c r="P3837" s="6"/>
      <c r="Q3837">
        <v>0</v>
      </c>
      <c r="R3837">
        <f t="shared" si="295"/>
        <v>0</v>
      </c>
      <c r="S3837">
        <f t="shared" si="296"/>
        <v>0</v>
      </c>
      <c r="T3837">
        <f t="shared" si="297"/>
        <v>0</v>
      </c>
      <c r="U3837">
        <f t="shared" si="298"/>
        <v>0</v>
      </c>
      <c r="V3837">
        <f t="shared" si="299"/>
        <v>0</v>
      </c>
    </row>
    <row r="3838" spans="1:22" x14ac:dyDescent="0.25">
      <c r="A3838">
        <v>3835</v>
      </c>
      <c r="B3838" t="s">
        <v>26</v>
      </c>
      <c r="C3838" t="s">
        <v>1218</v>
      </c>
      <c r="D3838" s="4">
        <v>45435</v>
      </c>
      <c r="E3838" t="s">
        <v>362</v>
      </c>
      <c r="F3838" t="s">
        <v>75</v>
      </c>
      <c r="I3838" s="6"/>
      <c r="J3838" s="6"/>
      <c r="K3838" s="6"/>
      <c r="L3838" s="6"/>
      <c r="M3838" s="6"/>
      <c r="N3838" s="6"/>
      <c r="O3838" s="6"/>
      <c r="P3838" s="6"/>
      <c r="Q3838">
        <v>0</v>
      </c>
      <c r="R3838">
        <f t="shared" si="295"/>
        <v>0</v>
      </c>
      <c r="S3838">
        <f t="shared" si="296"/>
        <v>0</v>
      </c>
      <c r="T3838">
        <f t="shared" si="297"/>
        <v>0</v>
      </c>
      <c r="U3838">
        <f t="shared" si="298"/>
        <v>0</v>
      </c>
      <c r="V3838">
        <f t="shared" si="299"/>
        <v>0</v>
      </c>
    </row>
    <row r="3839" spans="1:22" x14ac:dyDescent="0.25">
      <c r="A3839">
        <v>3836</v>
      </c>
      <c r="B3839" t="s">
        <v>26</v>
      </c>
      <c r="C3839" t="s">
        <v>1218</v>
      </c>
      <c r="D3839" s="4">
        <v>45435</v>
      </c>
      <c r="E3839" t="s">
        <v>1412</v>
      </c>
      <c r="F3839" t="s">
        <v>710</v>
      </c>
      <c r="G3839">
        <v>204</v>
      </c>
      <c r="I3839" s="6">
        <v>0</v>
      </c>
      <c r="J3839" s="6">
        <v>0</v>
      </c>
      <c r="K3839" s="6">
        <v>0</v>
      </c>
      <c r="L3839" s="6">
        <v>0</v>
      </c>
      <c r="M3839" s="6">
        <v>0</v>
      </c>
      <c r="N3839" s="6">
        <v>0</v>
      </c>
      <c r="O3839" s="6">
        <v>0</v>
      </c>
      <c r="P3839" s="6">
        <v>0</v>
      </c>
      <c r="Q3839">
        <v>1</v>
      </c>
      <c r="R3839">
        <f t="shared" si="295"/>
        <v>0</v>
      </c>
      <c r="S3839">
        <f t="shared" si="296"/>
        <v>0</v>
      </c>
      <c r="T3839">
        <f t="shared" si="297"/>
        <v>0</v>
      </c>
      <c r="U3839">
        <f t="shared" si="298"/>
        <v>0</v>
      </c>
      <c r="V3839">
        <f t="shared" si="299"/>
        <v>0</v>
      </c>
    </row>
    <row r="3840" spans="1:22" x14ac:dyDescent="0.25">
      <c r="A3840">
        <v>3837</v>
      </c>
      <c r="B3840" t="s">
        <v>26</v>
      </c>
      <c r="C3840" t="s">
        <v>1218</v>
      </c>
      <c r="D3840" s="4">
        <v>45435</v>
      </c>
      <c r="E3840" t="s">
        <v>2018</v>
      </c>
      <c r="F3840" t="s">
        <v>75</v>
      </c>
      <c r="I3840" s="6"/>
      <c r="J3840" s="6"/>
      <c r="K3840" s="6"/>
      <c r="L3840" s="6"/>
      <c r="M3840" s="6"/>
      <c r="N3840" s="6"/>
      <c r="O3840" s="6"/>
      <c r="P3840" s="6"/>
      <c r="Q3840">
        <v>0</v>
      </c>
      <c r="R3840">
        <f t="shared" si="295"/>
        <v>0</v>
      </c>
      <c r="S3840">
        <f t="shared" si="296"/>
        <v>0</v>
      </c>
      <c r="T3840">
        <f t="shared" si="297"/>
        <v>0</v>
      </c>
      <c r="U3840">
        <f t="shared" si="298"/>
        <v>0</v>
      </c>
      <c r="V3840">
        <f t="shared" si="299"/>
        <v>0</v>
      </c>
    </row>
    <row r="3841" spans="1:22" x14ac:dyDescent="0.25">
      <c r="A3841">
        <v>3838</v>
      </c>
      <c r="B3841" t="s">
        <v>26</v>
      </c>
      <c r="C3841" t="s">
        <v>1218</v>
      </c>
      <c r="D3841" s="4">
        <v>45435</v>
      </c>
      <c r="E3841" t="s">
        <v>1192</v>
      </c>
      <c r="F3841" t="s">
        <v>75</v>
      </c>
      <c r="I3841" s="6">
        <v>0</v>
      </c>
      <c r="J3841" s="6">
        <v>0</v>
      </c>
      <c r="K3841" s="6">
        <v>0</v>
      </c>
      <c r="L3841" s="6">
        <v>0</v>
      </c>
      <c r="M3841" s="6">
        <v>0</v>
      </c>
      <c r="N3841" s="6">
        <v>0</v>
      </c>
      <c r="O3841" s="6">
        <v>0</v>
      </c>
      <c r="P3841" s="6">
        <v>0</v>
      </c>
      <c r="Q3841">
        <v>1</v>
      </c>
      <c r="R3841">
        <f t="shared" si="295"/>
        <v>0</v>
      </c>
      <c r="S3841">
        <f t="shared" si="296"/>
        <v>1</v>
      </c>
      <c r="T3841">
        <f t="shared" si="297"/>
        <v>0</v>
      </c>
      <c r="U3841">
        <f t="shared" si="298"/>
        <v>0</v>
      </c>
      <c r="V3841">
        <f t="shared" si="299"/>
        <v>0</v>
      </c>
    </row>
    <row r="3842" spans="1:22" x14ac:dyDescent="0.25">
      <c r="A3842">
        <v>3839</v>
      </c>
      <c r="B3842" t="s">
        <v>26</v>
      </c>
      <c r="C3842" t="s">
        <v>1218</v>
      </c>
      <c r="D3842" s="4">
        <v>45435</v>
      </c>
      <c r="E3842" t="s">
        <v>1486</v>
      </c>
      <c r="F3842" t="s">
        <v>75</v>
      </c>
      <c r="I3842" s="6"/>
      <c r="J3842" s="6"/>
      <c r="K3842" s="6"/>
      <c r="L3842" s="6"/>
      <c r="M3842" s="6"/>
      <c r="N3842" s="6"/>
      <c r="O3842" s="6"/>
      <c r="P3842" s="6"/>
      <c r="Q3842">
        <v>0</v>
      </c>
      <c r="R3842">
        <f t="shared" si="295"/>
        <v>0</v>
      </c>
      <c r="S3842">
        <f t="shared" si="296"/>
        <v>0</v>
      </c>
      <c r="T3842">
        <f t="shared" si="297"/>
        <v>0</v>
      </c>
      <c r="U3842">
        <f t="shared" si="298"/>
        <v>0</v>
      </c>
      <c r="V3842">
        <f t="shared" si="299"/>
        <v>0</v>
      </c>
    </row>
    <row r="3843" spans="1:22" x14ac:dyDescent="0.25">
      <c r="A3843">
        <v>3840</v>
      </c>
      <c r="B3843" t="s">
        <v>26</v>
      </c>
      <c r="C3843" t="s">
        <v>1218</v>
      </c>
      <c r="D3843" s="4">
        <v>45435</v>
      </c>
      <c r="E3843" t="s">
        <v>1487</v>
      </c>
      <c r="F3843" t="s">
        <v>75</v>
      </c>
      <c r="I3843" s="6"/>
      <c r="J3843" s="6"/>
      <c r="K3843" s="6"/>
      <c r="L3843" s="6"/>
      <c r="M3843" s="6"/>
      <c r="N3843" s="6"/>
      <c r="O3843" s="6"/>
      <c r="P3843" s="6"/>
      <c r="Q3843">
        <v>0</v>
      </c>
      <c r="R3843">
        <f t="shared" ref="R3843:R3906" si="300">IF(AND(Q3843=1,F3843="ai_full"),1,0)</f>
        <v>0</v>
      </c>
      <c r="S3843">
        <f t="shared" ref="S3843:S3906" si="301">IF(AND(Q3843=1,F3843="conventional"),1,0)</f>
        <v>0</v>
      </c>
      <c r="T3843">
        <f t="shared" ref="T3843:T3906" si="302">SUM(I3843:P3843)</f>
        <v>0</v>
      </c>
      <c r="U3843">
        <f t="shared" ref="U3843:U3906" si="303">IF(T3843&gt;=1,1,0)</f>
        <v>0</v>
      </c>
      <c r="V3843">
        <f t="shared" ref="V3843:V3906" si="304">IF(F3843="ai_full",1,0)</f>
        <v>0</v>
      </c>
    </row>
    <row r="3844" spans="1:22" x14ac:dyDescent="0.25">
      <c r="A3844">
        <v>3841</v>
      </c>
      <c r="B3844" t="s">
        <v>26</v>
      </c>
      <c r="C3844" t="s">
        <v>1218</v>
      </c>
      <c r="D3844" s="4">
        <v>45435</v>
      </c>
      <c r="E3844" t="s">
        <v>1413</v>
      </c>
      <c r="F3844" t="s">
        <v>710</v>
      </c>
      <c r="G3844">
        <v>205</v>
      </c>
      <c r="H3844" t="s">
        <v>1414</v>
      </c>
      <c r="I3844" s="6">
        <v>0</v>
      </c>
      <c r="J3844" s="6">
        <v>0</v>
      </c>
      <c r="K3844" s="6">
        <v>0</v>
      </c>
      <c r="L3844" s="6">
        <v>0</v>
      </c>
      <c r="M3844" s="6">
        <v>1</v>
      </c>
      <c r="N3844" s="6">
        <v>1</v>
      </c>
      <c r="O3844" s="6">
        <v>0</v>
      </c>
      <c r="P3844" s="6">
        <v>0</v>
      </c>
      <c r="Q3844">
        <v>1</v>
      </c>
      <c r="R3844">
        <f t="shared" si="300"/>
        <v>0</v>
      </c>
      <c r="S3844">
        <f t="shared" si="301"/>
        <v>0</v>
      </c>
      <c r="T3844">
        <f t="shared" si="302"/>
        <v>2</v>
      </c>
      <c r="U3844">
        <f t="shared" si="303"/>
        <v>1</v>
      </c>
      <c r="V3844">
        <f t="shared" si="304"/>
        <v>0</v>
      </c>
    </row>
    <row r="3845" spans="1:22" x14ac:dyDescent="0.25">
      <c r="A3845">
        <v>3842</v>
      </c>
      <c r="B3845" t="s">
        <v>26</v>
      </c>
      <c r="C3845" t="s">
        <v>1218</v>
      </c>
      <c r="D3845" s="4">
        <v>45436</v>
      </c>
      <c r="E3845" t="s">
        <v>363</v>
      </c>
      <c r="F3845" t="s">
        <v>710</v>
      </c>
      <c r="G3845">
        <v>206</v>
      </c>
      <c r="I3845" s="6">
        <v>1</v>
      </c>
      <c r="J3845" s="6">
        <v>0</v>
      </c>
      <c r="K3845" s="6">
        <v>0</v>
      </c>
      <c r="L3845" s="6">
        <v>1</v>
      </c>
      <c r="M3845" s="6">
        <v>0</v>
      </c>
      <c r="N3845" s="6">
        <v>0</v>
      </c>
      <c r="O3845" s="6">
        <v>0</v>
      </c>
      <c r="P3845" s="6">
        <v>0</v>
      </c>
      <c r="Q3845">
        <v>1</v>
      </c>
      <c r="R3845">
        <f t="shared" si="300"/>
        <v>0</v>
      </c>
      <c r="S3845">
        <f t="shared" si="301"/>
        <v>0</v>
      </c>
      <c r="T3845">
        <f t="shared" si="302"/>
        <v>2</v>
      </c>
      <c r="U3845">
        <f t="shared" si="303"/>
        <v>1</v>
      </c>
      <c r="V3845">
        <f t="shared" si="304"/>
        <v>0</v>
      </c>
    </row>
    <row r="3846" spans="1:22" x14ac:dyDescent="0.25">
      <c r="A3846">
        <v>3843</v>
      </c>
      <c r="B3846" t="s">
        <v>26</v>
      </c>
      <c r="C3846" t="s">
        <v>1218</v>
      </c>
      <c r="D3846" s="4">
        <v>45436</v>
      </c>
      <c r="E3846" t="s">
        <v>1822</v>
      </c>
      <c r="F3846" t="s">
        <v>75</v>
      </c>
      <c r="I3846" s="6"/>
      <c r="J3846" s="6"/>
      <c r="K3846" s="6"/>
      <c r="L3846" s="6"/>
      <c r="M3846" s="6"/>
      <c r="N3846" s="6"/>
      <c r="O3846" s="6"/>
      <c r="P3846" s="6"/>
      <c r="Q3846">
        <v>0</v>
      </c>
      <c r="R3846">
        <f t="shared" si="300"/>
        <v>0</v>
      </c>
      <c r="S3846">
        <f t="shared" si="301"/>
        <v>0</v>
      </c>
      <c r="T3846">
        <f t="shared" si="302"/>
        <v>0</v>
      </c>
      <c r="U3846">
        <f t="shared" si="303"/>
        <v>0</v>
      </c>
      <c r="V3846">
        <f t="shared" si="304"/>
        <v>0</v>
      </c>
    </row>
    <row r="3847" spans="1:22" x14ac:dyDescent="0.25">
      <c r="A3847">
        <v>3844</v>
      </c>
      <c r="B3847" t="s">
        <v>26</v>
      </c>
      <c r="C3847" t="s">
        <v>1218</v>
      </c>
      <c r="D3847" s="4">
        <v>45436</v>
      </c>
      <c r="E3847" t="s">
        <v>2402</v>
      </c>
      <c r="F3847" t="s">
        <v>75</v>
      </c>
      <c r="I3847" s="6"/>
      <c r="J3847" s="6"/>
      <c r="K3847" s="6"/>
      <c r="L3847" s="6"/>
      <c r="M3847" s="6"/>
      <c r="N3847" s="6"/>
      <c r="O3847" s="6"/>
      <c r="P3847" s="6"/>
      <c r="Q3847">
        <v>0</v>
      </c>
      <c r="R3847">
        <f t="shared" si="300"/>
        <v>0</v>
      </c>
      <c r="S3847">
        <f t="shared" si="301"/>
        <v>0</v>
      </c>
      <c r="T3847">
        <f t="shared" si="302"/>
        <v>0</v>
      </c>
      <c r="U3847">
        <f t="shared" si="303"/>
        <v>0</v>
      </c>
      <c r="V3847">
        <f t="shared" si="304"/>
        <v>0</v>
      </c>
    </row>
    <row r="3848" spans="1:22" x14ac:dyDescent="0.25">
      <c r="A3848">
        <v>3845</v>
      </c>
      <c r="B3848" t="s">
        <v>26</v>
      </c>
      <c r="C3848" t="s">
        <v>1218</v>
      </c>
      <c r="D3848" s="4">
        <v>45436</v>
      </c>
      <c r="E3848" t="s">
        <v>1415</v>
      </c>
      <c r="F3848" t="s">
        <v>75</v>
      </c>
      <c r="I3848" s="6">
        <v>0</v>
      </c>
      <c r="J3848" s="6">
        <v>0</v>
      </c>
      <c r="K3848" s="6">
        <v>0</v>
      </c>
      <c r="L3848" s="6">
        <v>0</v>
      </c>
      <c r="M3848" s="6">
        <v>0</v>
      </c>
      <c r="N3848" s="6">
        <v>0</v>
      </c>
      <c r="O3848" s="6">
        <v>0</v>
      </c>
      <c r="P3848" s="6">
        <v>0</v>
      </c>
      <c r="Q3848">
        <v>1</v>
      </c>
      <c r="R3848">
        <f t="shared" si="300"/>
        <v>0</v>
      </c>
      <c r="S3848">
        <f t="shared" si="301"/>
        <v>1</v>
      </c>
      <c r="T3848">
        <f t="shared" si="302"/>
        <v>0</v>
      </c>
      <c r="U3848">
        <f t="shared" si="303"/>
        <v>0</v>
      </c>
      <c r="V3848">
        <f t="shared" si="304"/>
        <v>0</v>
      </c>
    </row>
    <row r="3849" spans="1:22" x14ac:dyDescent="0.25">
      <c r="A3849">
        <v>3846</v>
      </c>
      <c r="B3849" t="s">
        <v>26</v>
      </c>
      <c r="C3849" t="s">
        <v>1218</v>
      </c>
      <c r="D3849" s="4">
        <v>45436</v>
      </c>
      <c r="E3849" t="s">
        <v>2401</v>
      </c>
      <c r="F3849" t="s">
        <v>75</v>
      </c>
      <c r="I3849" s="6">
        <v>0</v>
      </c>
      <c r="J3849" s="6">
        <v>0</v>
      </c>
      <c r="K3849" s="6">
        <v>0</v>
      </c>
      <c r="L3849" s="6">
        <v>0</v>
      </c>
      <c r="M3849" s="6">
        <v>0</v>
      </c>
      <c r="N3849" s="6">
        <v>0</v>
      </c>
      <c r="O3849" s="6">
        <v>0</v>
      </c>
      <c r="P3849" s="6">
        <v>0</v>
      </c>
      <c r="Q3849">
        <v>1</v>
      </c>
      <c r="R3849">
        <f t="shared" si="300"/>
        <v>0</v>
      </c>
      <c r="S3849">
        <f t="shared" si="301"/>
        <v>1</v>
      </c>
      <c r="T3849">
        <f t="shared" si="302"/>
        <v>0</v>
      </c>
      <c r="U3849">
        <f t="shared" si="303"/>
        <v>0</v>
      </c>
      <c r="V3849">
        <f t="shared" si="304"/>
        <v>0</v>
      </c>
    </row>
    <row r="3850" spans="1:22" x14ac:dyDescent="0.25">
      <c r="A3850">
        <v>3847</v>
      </c>
      <c r="B3850" t="s">
        <v>26</v>
      </c>
      <c r="C3850" t="s">
        <v>1218</v>
      </c>
      <c r="D3850" s="4">
        <v>45436</v>
      </c>
      <c r="E3850" t="s">
        <v>1416</v>
      </c>
      <c r="F3850" t="s">
        <v>75</v>
      </c>
      <c r="I3850" s="6">
        <v>0</v>
      </c>
      <c r="J3850" s="6">
        <v>0</v>
      </c>
      <c r="K3850" s="6">
        <v>1</v>
      </c>
      <c r="L3850" s="6">
        <v>0</v>
      </c>
      <c r="M3850" s="6">
        <v>1</v>
      </c>
      <c r="N3850" s="6">
        <v>0</v>
      </c>
      <c r="O3850" s="6">
        <v>0</v>
      </c>
      <c r="P3850" s="6">
        <v>0</v>
      </c>
      <c r="Q3850">
        <v>1</v>
      </c>
      <c r="R3850">
        <f t="shared" si="300"/>
        <v>0</v>
      </c>
      <c r="S3850">
        <f t="shared" si="301"/>
        <v>1</v>
      </c>
      <c r="T3850">
        <f t="shared" si="302"/>
        <v>2</v>
      </c>
      <c r="U3850">
        <f t="shared" si="303"/>
        <v>1</v>
      </c>
      <c r="V3850">
        <f t="shared" si="304"/>
        <v>0</v>
      </c>
    </row>
    <row r="3851" spans="1:22" x14ac:dyDescent="0.25">
      <c r="A3851">
        <v>3848</v>
      </c>
      <c r="B3851" t="s">
        <v>26</v>
      </c>
      <c r="C3851" t="s">
        <v>1218</v>
      </c>
      <c r="D3851" s="4">
        <v>45436</v>
      </c>
      <c r="E3851" t="s">
        <v>2400</v>
      </c>
      <c r="F3851" t="s">
        <v>75</v>
      </c>
      <c r="I3851" s="6"/>
      <c r="J3851" s="6"/>
      <c r="K3851" s="6"/>
      <c r="L3851" s="6"/>
      <c r="M3851" s="6"/>
      <c r="N3851" s="6"/>
      <c r="O3851" s="6"/>
      <c r="P3851" s="6"/>
      <c r="Q3851">
        <v>0</v>
      </c>
      <c r="R3851">
        <f t="shared" si="300"/>
        <v>0</v>
      </c>
      <c r="S3851">
        <f t="shared" si="301"/>
        <v>0</v>
      </c>
      <c r="T3851">
        <f t="shared" si="302"/>
        <v>0</v>
      </c>
      <c r="U3851">
        <f t="shared" si="303"/>
        <v>0</v>
      </c>
      <c r="V3851">
        <f t="shared" si="304"/>
        <v>0</v>
      </c>
    </row>
    <row r="3852" spans="1:22" x14ac:dyDescent="0.25">
      <c r="A3852">
        <v>3849</v>
      </c>
      <c r="B3852" t="s">
        <v>26</v>
      </c>
      <c r="C3852" t="s">
        <v>1218</v>
      </c>
      <c r="D3852" s="4">
        <v>45436</v>
      </c>
      <c r="E3852" t="s">
        <v>2399</v>
      </c>
      <c r="F3852" t="s">
        <v>75</v>
      </c>
      <c r="I3852" s="6"/>
      <c r="J3852" s="6"/>
      <c r="K3852" s="6"/>
      <c r="L3852" s="6"/>
      <c r="M3852" s="6"/>
      <c r="N3852" s="6"/>
      <c r="O3852" s="6"/>
      <c r="P3852" s="6"/>
      <c r="Q3852">
        <v>0</v>
      </c>
      <c r="R3852">
        <f t="shared" si="300"/>
        <v>0</v>
      </c>
      <c r="S3852">
        <f t="shared" si="301"/>
        <v>0</v>
      </c>
      <c r="T3852">
        <f t="shared" si="302"/>
        <v>0</v>
      </c>
      <c r="U3852">
        <f t="shared" si="303"/>
        <v>0</v>
      </c>
      <c r="V3852">
        <f t="shared" si="304"/>
        <v>0</v>
      </c>
    </row>
    <row r="3853" spans="1:22" x14ac:dyDescent="0.25">
      <c r="A3853">
        <v>3850</v>
      </c>
      <c r="B3853" t="s">
        <v>26</v>
      </c>
      <c r="C3853" t="s">
        <v>1218</v>
      </c>
      <c r="D3853" s="4">
        <v>45436</v>
      </c>
      <c r="E3853" t="s">
        <v>2398</v>
      </c>
      <c r="F3853" t="s">
        <v>75</v>
      </c>
      <c r="I3853" s="6"/>
      <c r="J3853" s="6"/>
      <c r="K3853" s="6"/>
      <c r="L3853" s="6"/>
      <c r="M3853" s="6"/>
      <c r="N3853" s="6"/>
      <c r="O3853" s="6"/>
      <c r="P3853" s="6"/>
      <c r="Q3853">
        <v>0</v>
      </c>
      <c r="R3853">
        <f t="shared" si="300"/>
        <v>0</v>
      </c>
      <c r="S3853">
        <f t="shared" si="301"/>
        <v>0</v>
      </c>
      <c r="T3853">
        <f t="shared" si="302"/>
        <v>0</v>
      </c>
      <c r="U3853">
        <f t="shared" si="303"/>
        <v>0</v>
      </c>
      <c r="V3853">
        <f t="shared" si="304"/>
        <v>0</v>
      </c>
    </row>
    <row r="3854" spans="1:22" x14ac:dyDescent="0.25">
      <c r="A3854">
        <v>3851</v>
      </c>
      <c r="B3854" t="s">
        <v>26</v>
      </c>
      <c r="C3854" t="s">
        <v>1218</v>
      </c>
      <c r="D3854" s="4">
        <v>45436</v>
      </c>
      <c r="E3854" t="s">
        <v>2397</v>
      </c>
      <c r="F3854" t="s">
        <v>75</v>
      </c>
      <c r="I3854" s="6"/>
      <c r="J3854" s="6"/>
      <c r="K3854" s="6"/>
      <c r="L3854" s="6"/>
      <c r="M3854" s="6"/>
      <c r="N3854" s="6"/>
      <c r="O3854" s="6"/>
      <c r="P3854" s="6"/>
      <c r="Q3854">
        <v>0</v>
      </c>
      <c r="R3854">
        <f t="shared" si="300"/>
        <v>0</v>
      </c>
      <c r="S3854">
        <f t="shared" si="301"/>
        <v>0</v>
      </c>
      <c r="T3854">
        <f t="shared" si="302"/>
        <v>0</v>
      </c>
      <c r="U3854">
        <f t="shared" si="303"/>
        <v>0</v>
      </c>
      <c r="V3854">
        <f t="shared" si="304"/>
        <v>0</v>
      </c>
    </row>
    <row r="3855" spans="1:22" x14ac:dyDescent="0.25">
      <c r="A3855">
        <v>3852</v>
      </c>
      <c r="B3855" t="s">
        <v>26</v>
      </c>
      <c r="C3855" t="s">
        <v>1218</v>
      </c>
      <c r="D3855" s="4">
        <v>45436</v>
      </c>
      <c r="E3855" t="s">
        <v>2396</v>
      </c>
      <c r="F3855" t="s">
        <v>75</v>
      </c>
      <c r="I3855" s="6">
        <v>0</v>
      </c>
      <c r="J3855" s="6">
        <v>0</v>
      </c>
      <c r="K3855" s="6">
        <v>0</v>
      </c>
      <c r="L3855" s="6">
        <v>0</v>
      </c>
      <c r="M3855" s="6">
        <v>1</v>
      </c>
      <c r="N3855" s="6">
        <v>0</v>
      </c>
      <c r="O3855" s="6">
        <v>0</v>
      </c>
      <c r="P3855" s="6">
        <v>0</v>
      </c>
      <c r="Q3855">
        <v>1</v>
      </c>
      <c r="R3855">
        <f t="shared" si="300"/>
        <v>0</v>
      </c>
      <c r="S3855">
        <f t="shared" si="301"/>
        <v>1</v>
      </c>
      <c r="T3855">
        <f t="shared" si="302"/>
        <v>1</v>
      </c>
      <c r="U3855">
        <f t="shared" si="303"/>
        <v>1</v>
      </c>
      <c r="V3855">
        <f t="shared" si="304"/>
        <v>0</v>
      </c>
    </row>
    <row r="3856" spans="1:22" x14ac:dyDescent="0.25">
      <c r="A3856">
        <v>3853</v>
      </c>
      <c r="B3856" t="s">
        <v>26</v>
      </c>
      <c r="C3856" t="s">
        <v>1218</v>
      </c>
      <c r="D3856" s="4">
        <v>45436</v>
      </c>
      <c r="E3856" t="s">
        <v>893</v>
      </c>
      <c r="F3856" t="s">
        <v>75</v>
      </c>
      <c r="I3856" s="6"/>
      <c r="J3856" s="6"/>
      <c r="K3856" s="6"/>
      <c r="L3856" s="6"/>
      <c r="M3856" s="6"/>
      <c r="N3856" s="6"/>
      <c r="O3856" s="6"/>
      <c r="P3856" s="6"/>
      <c r="Q3856">
        <v>0</v>
      </c>
      <c r="R3856">
        <f t="shared" si="300"/>
        <v>0</v>
      </c>
      <c r="S3856">
        <f t="shared" si="301"/>
        <v>0</v>
      </c>
      <c r="T3856">
        <f t="shared" si="302"/>
        <v>0</v>
      </c>
      <c r="U3856">
        <f t="shared" si="303"/>
        <v>0</v>
      </c>
      <c r="V3856">
        <f t="shared" si="304"/>
        <v>0</v>
      </c>
    </row>
    <row r="3857" spans="1:22" x14ac:dyDescent="0.25">
      <c r="A3857">
        <v>3854</v>
      </c>
      <c r="B3857" t="s">
        <v>26</v>
      </c>
      <c r="C3857" t="s">
        <v>1218</v>
      </c>
      <c r="D3857" s="4">
        <v>45436</v>
      </c>
      <c r="E3857" t="s">
        <v>1417</v>
      </c>
      <c r="F3857" t="s">
        <v>75</v>
      </c>
      <c r="I3857" s="6">
        <v>1</v>
      </c>
      <c r="J3857" s="6">
        <v>0</v>
      </c>
      <c r="K3857" s="6">
        <v>0</v>
      </c>
      <c r="L3857" s="6">
        <v>1</v>
      </c>
      <c r="M3857" s="6">
        <v>0</v>
      </c>
      <c r="N3857" s="6">
        <v>0</v>
      </c>
      <c r="O3857" s="6">
        <v>0</v>
      </c>
      <c r="P3857" s="6">
        <v>0</v>
      </c>
      <c r="Q3857">
        <v>1</v>
      </c>
      <c r="R3857">
        <f t="shared" si="300"/>
        <v>0</v>
      </c>
      <c r="S3857">
        <f t="shared" si="301"/>
        <v>1</v>
      </c>
      <c r="T3857">
        <f t="shared" si="302"/>
        <v>2</v>
      </c>
      <c r="U3857">
        <f t="shared" si="303"/>
        <v>1</v>
      </c>
      <c r="V3857">
        <f t="shared" si="304"/>
        <v>0</v>
      </c>
    </row>
    <row r="3858" spans="1:22" x14ac:dyDescent="0.25">
      <c r="A3858">
        <v>3855</v>
      </c>
      <c r="B3858" t="s">
        <v>26</v>
      </c>
      <c r="C3858" t="s">
        <v>1218</v>
      </c>
      <c r="D3858" s="4">
        <v>45436</v>
      </c>
      <c r="E3858" t="s">
        <v>2395</v>
      </c>
      <c r="F3858" t="s">
        <v>75</v>
      </c>
      <c r="I3858" s="6"/>
      <c r="J3858" s="6"/>
      <c r="K3858" s="6"/>
      <c r="L3858" s="6"/>
      <c r="M3858" s="6"/>
      <c r="N3858" s="6"/>
      <c r="O3858" s="6"/>
      <c r="P3858" s="6"/>
      <c r="Q3858">
        <v>0</v>
      </c>
      <c r="R3858">
        <f t="shared" si="300"/>
        <v>0</v>
      </c>
      <c r="S3858">
        <f t="shared" si="301"/>
        <v>0</v>
      </c>
      <c r="T3858">
        <f t="shared" si="302"/>
        <v>0</v>
      </c>
      <c r="U3858">
        <f t="shared" si="303"/>
        <v>0</v>
      </c>
      <c r="V3858">
        <f t="shared" si="304"/>
        <v>0</v>
      </c>
    </row>
    <row r="3859" spans="1:22" x14ac:dyDescent="0.25">
      <c r="A3859">
        <v>3856</v>
      </c>
      <c r="B3859" t="s">
        <v>26</v>
      </c>
      <c r="C3859" t="s">
        <v>1218</v>
      </c>
      <c r="D3859" s="4">
        <v>45436</v>
      </c>
      <c r="E3859" t="s">
        <v>364</v>
      </c>
      <c r="F3859" t="s">
        <v>710</v>
      </c>
      <c r="G3859">
        <v>207</v>
      </c>
      <c r="I3859" s="6">
        <v>0</v>
      </c>
      <c r="J3859" s="6">
        <v>0</v>
      </c>
      <c r="K3859" s="6">
        <v>0</v>
      </c>
      <c r="L3859" s="6">
        <v>1</v>
      </c>
      <c r="M3859" s="6">
        <v>1</v>
      </c>
      <c r="N3859" s="6">
        <v>1</v>
      </c>
      <c r="O3859" s="6">
        <v>0</v>
      </c>
      <c r="P3859" s="6">
        <v>1</v>
      </c>
      <c r="Q3859">
        <v>1</v>
      </c>
      <c r="R3859">
        <f t="shared" si="300"/>
        <v>0</v>
      </c>
      <c r="S3859">
        <f t="shared" si="301"/>
        <v>0</v>
      </c>
      <c r="T3859">
        <f t="shared" si="302"/>
        <v>4</v>
      </c>
      <c r="U3859">
        <f t="shared" si="303"/>
        <v>1</v>
      </c>
      <c r="V3859">
        <f t="shared" si="304"/>
        <v>0</v>
      </c>
    </row>
    <row r="3860" spans="1:22" x14ac:dyDescent="0.25">
      <c r="A3860">
        <v>3857</v>
      </c>
      <c r="B3860" t="s">
        <v>26</v>
      </c>
      <c r="C3860" t="s">
        <v>1218</v>
      </c>
      <c r="D3860" s="4">
        <v>45436</v>
      </c>
      <c r="E3860" t="s">
        <v>365</v>
      </c>
      <c r="F3860" t="s">
        <v>75</v>
      </c>
      <c r="I3860" s="6"/>
      <c r="J3860" s="6"/>
      <c r="K3860" s="6"/>
      <c r="L3860" s="6"/>
      <c r="M3860" s="6"/>
      <c r="N3860" s="6"/>
      <c r="O3860" s="6"/>
      <c r="P3860" s="6"/>
      <c r="Q3860">
        <v>0</v>
      </c>
      <c r="R3860">
        <f t="shared" si="300"/>
        <v>0</v>
      </c>
      <c r="S3860">
        <f t="shared" si="301"/>
        <v>0</v>
      </c>
      <c r="T3860">
        <f t="shared" si="302"/>
        <v>0</v>
      </c>
      <c r="U3860">
        <f t="shared" si="303"/>
        <v>0</v>
      </c>
      <c r="V3860">
        <f t="shared" si="304"/>
        <v>0</v>
      </c>
    </row>
    <row r="3861" spans="1:22" x14ac:dyDescent="0.25">
      <c r="A3861">
        <v>3858</v>
      </c>
      <c r="B3861" t="s">
        <v>26</v>
      </c>
      <c r="C3861" t="s">
        <v>1218</v>
      </c>
      <c r="D3861" s="4">
        <v>45436</v>
      </c>
      <c r="E3861" t="s">
        <v>366</v>
      </c>
      <c r="F3861" t="s">
        <v>75</v>
      </c>
      <c r="I3861" s="6"/>
      <c r="J3861" s="6"/>
      <c r="K3861" s="6"/>
      <c r="L3861" s="6"/>
      <c r="M3861" s="6"/>
      <c r="N3861" s="6"/>
      <c r="O3861" s="6"/>
      <c r="P3861" s="6"/>
      <c r="Q3861">
        <v>0</v>
      </c>
      <c r="R3861">
        <f t="shared" si="300"/>
        <v>0</v>
      </c>
      <c r="S3861">
        <f t="shared" si="301"/>
        <v>0</v>
      </c>
      <c r="T3861">
        <f t="shared" si="302"/>
        <v>0</v>
      </c>
      <c r="U3861">
        <f t="shared" si="303"/>
        <v>0</v>
      </c>
      <c r="V3861">
        <f t="shared" si="304"/>
        <v>0</v>
      </c>
    </row>
    <row r="3862" spans="1:22" x14ac:dyDescent="0.25">
      <c r="A3862">
        <v>3859</v>
      </c>
      <c r="B3862" t="s">
        <v>26</v>
      </c>
      <c r="C3862" t="s">
        <v>1218</v>
      </c>
      <c r="D3862" s="4">
        <v>45436</v>
      </c>
      <c r="E3862" t="s">
        <v>367</v>
      </c>
      <c r="F3862" t="s">
        <v>75</v>
      </c>
      <c r="I3862" s="6">
        <v>0</v>
      </c>
      <c r="J3862" s="6">
        <v>0</v>
      </c>
      <c r="K3862" s="6">
        <v>0</v>
      </c>
      <c r="L3862" s="6">
        <v>0</v>
      </c>
      <c r="M3862" s="6">
        <v>0</v>
      </c>
      <c r="N3862" s="6">
        <v>0</v>
      </c>
      <c r="O3862" s="6">
        <v>0</v>
      </c>
      <c r="P3862" s="6">
        <v>0</v>
      </c>
      <c r="Q3862">
        <v>1</v>
      </c>
      <c r="R3862">
        <f t="shared" si="300"/>
        <v>0</v>
      </c>
      <c r="S3862">
        <f t="shared" si="301"/>
        <v>1</v>
      </c>
      <c r="T3862">
        <f t="shared" si="302"/>
        <v>0</v>
      </c>
      <c r="U3862">
        <f t="shared" si="303"/>
        <v>0</v>
      </c>
      <c r="V3862">
        <f t="shared" si="304"/>
        <v>0</v>
      </c>
    </row>
    <row r="3863" spans="1:22" x14ac:dyDescent="0.25">
      <c r="A3863">
        <v>3860</v>
      </c>
      <c r="B3863" t="s">
        <v>26</v>
      </c>
      <c r="C3863" t="s">
        <v>1218</v>
      </c>
      <c r="D3863" s="4">
        <v>45436</v>
      </c>
      <c r="E3863" t="s">
        <v>368</v>
      </c>
      <c r="F3863" t="s">
        <v>75</v>
      </c>
      <c r="I3863" s="6"/>
      <c r="J3863" s="6"/>
      <c r="K3863" s="6"/>
      <c r="L3863" s="6"/>
      <c r="M3863" s="6"/>
      <c r="N3863" s="6"/>
      <c r="O3863" s="6"/>
      <c r="P3863" s="6"/>
      <c r="Q3863">
        <v>0</v>
      </c>
      <c r="R3863">
        <f t="shared" si="300"/>
        <v>0</v>
      </c>
      <c r="S3863">
        <f t="shared" si="301"/>
        <v>0</v>
      </c>
      <c r="T3863">
        <f t="shared" si="302"/>
        <v>0</v>
      </c>
      <c r="U3863">
        <f t="shared" si="303"/>
        <v>0</v>
      </c>
      <c r="V3863">
        <f t="shared" si="304"/>
        <v>0</v>
      </c>
    </row>
    <row r="3864" spans="1:22" x14ac:dyDescent="0.25">
      <c r="A3864">
        <v>3861</v>
      </c>
      <c r="B3864" t="s">
        <v>26</v>
      </c>
      <c r="C3864" t="s">
        <v>1218</v>
      </c>
      <c r="D3864" s="4">
        <v>45436</v>
      </c>
      <c r="E3864" t="s">
        <v>1561</v>
      </c>
      <c r="F3864" t="s">
        <v>75</v>
      </c>
      <c r="I3864" s="6"/>
      <c r="J3864" s="6"/>
      <c r="K3864" s="6"/>
      <c r="L3864" s="6"/>
      <c r="M3864" s="6"/>
      <c r="N3864" s="6"/>
      <c r="O3864" s="6"/>
      <c r="P3864" s="6"/>
      <c r="Q3864">
        <v>0</v>
      </c>
      <c r="R3864">
        <f t="shared" si="300"/>
        <v>0</v>
      </c>
      <c r="S3864">
        <f t="shared" si="301"/>
        <v>0</v>
      </c>
      <c r="T3864">
        <f t="shared" si="302"/>
        <v>0</v>
      </c>
      <c r="U3864">
        <f t="shared" si="303"/>
        <v>0</v>
      </c>
      <c r="V3864">
        <f t="shared" si="304"/>
        <v>0</v>
      </c>
    </row>
    <row r="3865" spans="1:22" x14ac:dyDescent="0.25">
      <c r="A3865">
        <v>3862</v>
      </c>
      <c r="B3865" t="s">
        <v>26</v>
      </c>
      <c r="C3865" t="s">
        <v>1218</v>
      </c>
      <c r="D3865" s="4">
        <v>45436</v>
      </c>
      <c r="E3865" t="s">
        <v>2017</v>
      </c>
      <c r="F3865" t="s">
        <v>75</v>
      </c>
      <c r="I3865" s="6"/>
      <c r="J3865" s="6"/>
      <c r="K3865" s="6"/>
      <c r="L3865" s="6"/>
      <c r="M3865" s="6"/>
      <c r="N3865" s="6"/>
      <c r="O3865" s="6"/>
      <c r="P3865" s="6"/>
      <c r="Q3865">
        <v>0</v>
      </c>
      <c r="R3865">
        <f t="shared" si="300"/>
        <v>0</v>
      </c>
      <c r="S3865">
        <f t="shared" si="301"/>
        <v>0</v>
      </c>
      <c r="T3865">
        <f t="shared" si="302"/>
        <v>0</v>
      </c>
      <c r="U3865">
        <f t="shared" si="303"/>
        <v>0</v>
      </c>
      <c r="V3865">
        <f t="shared" si="304"/>
        <v>0</v>
      </c>
    </row>
    <row r="3866" spans="1:22" x14ac:dyDescent="0.25">
      <c r="A3866">
        <v>3863</v>
      </c>
      <c r="B3866" t="s">
        <v>26</v>
      </c>
      <c r="C3866" t="s">
        <v>1218</v>
      </c>
      <c r="D3866" s="4">
        <v>45437</v>
      </c>
      <c r="E3866" t="s">
        <v>1015</v>
      </c>
      <c r="F3866" t="s">
        <v>710</v>
      </c>
      <c r="G3866">
        <v>208</v>
      </c>
      <c r="I3866" s="6">
        <v>0</v>
      </c>
      <c r="J3866" s="6">
        <v>0</v>
      </c>
      <c r="K3866" s="6">
        <v>0</v>
      </c>
      <c r="L3866" s="6">
        <v>0</v>
      </c>
      <c r="M3866" s="6">
        <v>0</v>
      </c>
      <c r="N3866" s="6">
        <v>0</v>
      </c>
      <c r="O3866" s="6">
        <v>0</v>
      </c>
      <c r="P3866" s="6">
        <v>0</v>
      </c>
      <c r="Q3866">
        <v>1</v>
      </c>
      <c r="R3866">
        <f t="shared" si="300"/>
        <v>0</v>
      </c>
      <c r="S3866">
        <f t="shared" si="301"/>
        <v>0</v>
      </c>
      <c r="T3866">
        <f t="shared" si="302"/>
        <v>0</v>
      </c>
      <c r="U3866">
        <f t="shared" si="303"/>
        <v>0</v>
      </c>
      <c r="V3866">
        <f t="shared" si="304"/>
        <v>0</v>
      </c>
    </row>
    <row r="3867" spans="1:22" x14ac:dyDescent="0.25">
      <c r="A3867">
        <v>3864</v>
      </c>
      <c r="B3867" t="s">
        <v>26</v>
      </c>
      <c r="C3867" t="s">
        <v>1218</v>
      </c>
      <c r="D3867" s="4">
        <v>45437</v>
      </c>
      <c r="E3867" t="s">
        <v>1017</v>
      </c>
      <c r="F3867" t="s">
        <v>75</v>
      </c>
      <c r="I3867" s="6"/>
      <c r="J3867" s="6"/>
      <c r="K3867" s="6"/>
      <c r="L3867" s="6"/>
      <c r="M3867" s="6"/>
      <c r="N3867" s="6"/>
      <c r="O3867" s="6"/>
      <c r="P3867" s="6"/>
      <c r="Q3867">
        <v>0</v>
      </c>
      <c r="R3867">
        <f t="shared" si="300"/>
        <v>0</v>
      </c>
      <c r="S3867">
        <f t="shared" si="301"/>
        <v>0</v>
      </c>
      <c r="T3867">
        <f t="shared" si="302"/>
        <v>0</v>
      </c>
      <c r="U3867">
        <f t="shared" si="303"/>
        <v>0</v>
      </c>
      <c r="V3867">
        <f t="shared" si="304"/>
        <v>0</v>
      </c>
    </row>
    <row r="3868" spans="1:22" x14ac:dyDescent="0.25">
      <c r="A3868">
        <v>3865</v>
      </c>
      <c r="B3868" t="s">
        <v>26</v>
      </c>
      <c r="C3868" t="s">
        <v>1218</v>
      </c>
      <c r="D3868" s="4">
        <v>45437</v>
      </c>
      <c r="E3868" t="s">
        <v>1098</v>
      </c>
      <c r="F3868" t="s">
        <v>75</v>
      </c>
      <c r="I3868" s="6"/>
      <c r="J3868" s="6"/>
      <c r="K3868" s="6"/>
      <c r="L3868" s="6"/>
      <c r="M3868" s="6"/>
      <c r="N3868" s="6"/>
      <c r="O3868" s="6"/>
      <c r="P3868" s="6"/>
      <c r="Q3868">
        <v>0</v>
      </c>
      <c r="R3868">
        <f t="shared" si="300"/>
        <v>0</v>
      </c>
      <c r="S3868">
        <f t="shared" si="301"/>
        <v>0</v>
      </c>
      <c r="T3868">
        <f t="shared" si="302"/>
        <v>0</v>
      </c>
      <c r="U3868">
        <f t="shared" si="303"/>
        <v>0</v>
      </c>
      <c r="V3868">
        <f t="shared" si="304"/>
        <v>0</v>
      </c>
    </row>
    <row r="3869" spans="1:22" x14ac:dyDescent="0.25">
      <c r="A3869">
        <v>3866</v>
      </c>
      <c r="B3869" t="s">
        <v>26</v>
      </c>
      <c r="C3869" t="s">
        <v>1218</v>
      </c>
      <c r="D3869" s="4">
        <v>45438</v>
      </c>
      <c r="E3869" t="s">
        <v>1235</v>
      </c>
      <c r="F3869" t="s">
        <v>75</v>
      </c>
      <c r="I3869" s="6"/>
      <c r="J3869" s="6"/>
      <c r="K3869" s="6"/>
      <c r="L3869" s="6"/>
      <c r="M3869" s="6"/>
      <c r="N3869" s="6"/>
      <c r="O3869" s="6"/>
      <c r="P3869" s="6"/>
      <c r="Q3869">
        <v>0</v>
      </c>
      <c r="R3869">
        <f t="shared" si="300"/>
        <v>0</v>
      </c>
      <c r="S3869">
        <f t="shared" si="301"/>
        <v>0</v>
      </c>
      <c r="T3869">
        <f t="shared" si="302"/>
        <v>0</v>
      </c>
      <c r="U3869">
        <f t="shared" si="303"/>
        <v>0</v>
      </c>
      <c r="V3869">
        <f t="shared" si="304"/>
        <v>0</v>
      </c>
    </row>
    <row r="3870" spans="1:22" x14ac:dyDescent="0.25">
      <c r="A3870">
        <v>3867</v>
      </c>
      <c r="B3870" t="s">
        <v>26</v>
      </c>
      <c r="C3870" t="s">
        <v>1218</v>
      </c>
      <c r="D3870" s="4">
        <v>45439</v>
      </c>
      <c r="E3870" t="s">
        <v>1018</v>
      </c>
      <c r="F3870" t="s">
        <v>710</v>
      </c>
      <c r="G3870">
        <v>209</v>
      </c>
      <c r="H3870" t="s">
        <v>1418</v>
      </c>
      <c r="I3870" s="6">
        <v>1</v>
      </c>
      <c r="J3870" s="6">
        <v>1</v>
      </c>
      <c r="K3870" s="6">
        <v>1</v>
      </c>
      <c r="L3870" s="6">
        <v>1</v>
      </c>
      <c r="M3870" s="6">
        <v>0</v>
      </c>
      <c r="N3870" s="6">
        <v>0</v>
      </c>
      <c r="O3870" s="6">
        <v>0</v>
      </c>
      <c r="P3870" s="6">
        <v>0</v>
      </c>
      <c r="Q3870">
        <v>1</v>
      </c>
      <c r="R3870">
        <f t="shared" si="300"/>
        <v>0</v>
      </c>
      <c r="S3870">
        <f t="shared" si="301"/>
        <v>0</v>
      </c>
      <c r="T3870">
        <f t="shared" si="302"/>
        <v>4</v>
      </c>
      <c r="U3870">
        <f t="shared" si="303"/>
        <v>1</v>
      </c>
      <c r="V3870">
        <f t="shared" si="304"/>
        <v>0</v>
      </c>
    </row>
    <row r="3871" spans="1:22" x14ac:dyDescent="0.25">
      <c r="A3871">
        <v>3868</v>
      </c>
      <c r="B3871" t="s">
        <v>26</v>
      </c>
      <c r="C3871" t="s">
        <v>1218</v>
      </c>
      <c r="D3871" s="4">
        <v>45439</v>
      </c>
      <c r="E3871" t="s">
        <v>1197</v>
      </c>
      <c r="F3871" t="s">
        <v>75</v>
      </c>
      <c r="I3871" s="6"/>
      <c r="J3871" s="6"/>
      <c r="K3871" s="6"/>
      <c r="L3871" s="6"/>
      <c r="M3871" s="6"/>
      <c r="N3871" s="6"/>
      <c r="O3871" s="6"/>
      <c r="P3871" s="6"/>
      <c r="Q3871">
        <v>0</v>
      </c>
      <c r="R3871">
        <f t="shared" si="300"/>
        <v>0</v>
      </c>
      <c r="S3871">
        <f t="shared" si="301"/>
        <v>0</v>
      </c>
      <c r="T3871">
        <f t="shared" si="302"/>
        <v>0</v>
      </c>
      <c r="U3871">
        <f t="shared" si="303"/>
        <v>0</v>
      </c>
      <c r="V3871">
        <f t="shared" si="304"/>
        <v>0</v>
      </c>
    </row>
    <row r="3872" spans="1:22" x14ac:dyDescent="0.25">
      <c r="A3872">
        <v>3869</v>
      </c>
      <c r="B3872" t="s">
        <v>26</v>
      </c>
      <c r="C3872" t="s">
        <v>1218</v>
      </c>
      <c r="D3872" s="4">
        <v>45439</v>
      </c>
      <c r="E3872" t="s">
        <v>2394</v>
      </c>
      <c r="F3872" t="s">
        <v>75</v>
      </c>
      <c r="I3872" s="6">
        <v>0</v>
      </c>
      <c r="J3872" s="6">
        <v>0</v>
      </c>
      <c r="K3872" s="6">
        <v>0</v>
      </c>
      <c r="L3872" s="6">
        <v>0</v>
      </c>
      <c r="M3872" s="6">
        <v>0</v>
      </c>
      <c r="N3872" s="6">
        <v>1</v>
      </c>
      <c r="O3872" s="6">
        <v>0</v>
      </c>
      <c r="P3872" s="6">
        <v>0</v>
      </c>
      <c r="Q3872">
        <v>1</v>
      </c>
      <c r="R3872">
        <f t="shared" si="300"/>
        <v>0</v>
      </c>
      <c r="S3872">
        <f t="shared" si="301"/>
        <v>1</v>
      </c>
      <c r="T3872">
        <f t="shared" si="302"/>
        <v>1</v>
      </c>
      <c r="U3872">
        <f t="shared" si="303"/>
        <v>1</v>
      </c>
      <c r="V3872">
        <f t="shared" si="304"/>
        <v>0</v>
      </c>
    </row>
    <row r="3873" spans="1:22" x14ac:dyDescent="0.25">
      <c r="A3873">
        <v>3870</v>
      </c>
      <c r="B3873" t="s">
        <v>26</v>
      </c>
      <c r="C3873" t="s">
        <v>1218</v>
      </c>
      <c r="D3873" s="4">
        <v>45439</v>
      </c>
      <c r="E3873" t="s">
        <v>2393</v>
      </c>
      <c r="F3873" t="s">
        <v>75</v>
      </c>
      <c r="I3873" s="6"/>
      <c r="J3873" s="6"/>
      <c r="K3873" s="6"/>
      <c r="L3873" s="6"/>
      <c r="M3873" s="6"/>
      <c r="N3873" s="6"/>
      <c r="O3873" s="6"/>
      <c r="P3873" s="6"/>
      <c r="Q3873">
        <v>0</v>
      </c>
      <c r="R3873">
        <f t="shared" si="300"/>
        <v>0</v>
      </c>
      <c r="S3873">
        <f t="shared" si="301"/>
        <v>0</v>
      </c>
      <c r="T3873">
        <f t="shared" si="302"/>
        <v>0</v>
      </c>
      <c r="U3873">
        <f t="shared" si="303"/>
        <v>0</v>
      </c>
      <c r="V3873">
        <f t="shared" si="304"/>
        <v>0</v>
      </c>
    </row>
    <row r="3874" spans="1:22" x14ac:dyDescent="0.25">
      <c r="A3874">
        <v>3871</v>
      </c>
      <c r="B3874" t="s">
        <v>26</v>
      </c>
      <c r="C3874" t="s">
        <v>1218</v>
      </c>
      <c r="D3874" s="4">
        <v>45439</v>
      </c>
      <c r="E3874" t="s">
        <v>1019</v>
      </c>
      <c r="F3874" t="s">
        <v>75</v>
      </c>
      <c r="I3874" s="6"/>
      <c r="J3874" s="6"/>
      <c r="K3874" s="6"/>
      <c r="L3874" s="6"/>
      <c r="M3874" s="6"/>
      <c r="N3874" s="6"/>
      <c r="O3874" s="6"/>
      <c r="P3874" s="6"/>
      <c r="Q3874">
        <v>0</v>
      </c>
      <c r="R3874">
        <f t="shared" si="300"/>
        <v>0</v>
      </c>
      <c r="S3874">
        <f t="shared" si="301"/>
        <v>0</v>
      </c>
      <c r="T3874">
        <f t="shared" si="302"/>
        <v>0</v>
      </c>
      <c r="U3874">
        <f t="shared" si="303"/>
        <v>0</v>
      </c>
      <c r="V3874">
        <f t="shared" si="304"/>
        <v>0</v>
      </c>
    </row>
    <row r="3875" spans="1:22" x14ac:dyDescent="0.25">
      <c r="A3875">
        <v>3872</v>
      </c>
      <c r="B3875" t="s">
        <v>26</v>
      </c>
      <c r="C3875" t="s">
        <v>1218</v>
      </c>
      <c r="D3875" s="4">
        <v>45439</v>
      </c>
      <c r="E3875" t="s">
        <v>1198</v>
      </c>
      <c r="F3875" t="s">
        <v>75</v>
      </c>
      <c r="I3875" s="6"/>
      <c r="J3875" s="6"/>
      <c r="K3875" s="6"/>
      <c r="L3875" s="6"/>
      <c r="M3875" s="6"/>
      <c r="N3875" s="6"/>
      <c r="O3875" s="6"/>
      <c r="P3875" s="6"/>
      <c r="Q3875">
        <v>0</v>
      </c>
      <c r="R3875">
        <f t="shared" si="300"/>
        <v>0</v>
      </c>
      <c r="S3875">
        <f t="shared" si="301"/>
        <v>0</v>
      </c>
      <c r="T3875">
        <f t="shared" si="302"/>
        <v>0</v>
      </c>
      <c r="U3875">
        <f t="shared" si="303"/>
        <v>0</v>
      </c>
      <c r="V3875">
        <f t="shared" si="304"/>
        <v>0</v>
      </c>
    </row>
    <row r="3876" spans="1:22" x14ac:dyDescent="0.25">
      <c r="A3876">
        <v>3873</v>
      </c>
      <c r="B3876" t="s">
        <v>26</v>
      </c>
      <c r="C3876" t="s">
        <v>1218</v>
      </c>
      <c r="D3876" s="4">
        <v>45439</v>
      </c>
      <c r="E3876" t="s">
        <v>2108</v>
      </c>
      <c r="F3876" t="s">
        <v>75</v>
      </c>
      <c r="I3876" s="6"/>
      <c r="J3876" s="6"/>
      <c r="K3876" s="6"/>
      <c r="L3876" s="6"/>
      <c r="M3876" s="6"/>
      <c r="N3876" s="6"/>
      <c r="O3876" s="6"/>
      <c r="P3876" s="6"/>
      <c r="Q3876">
        <v>0</v>
      </c>
      <c r="R3876">
        <f t="shared" si="300"/>
        <v>0</v>
      </c>
      <c r="S3876">
        <f t="shared" si="301"/>
        <v>0</v>
      </c>
      <c r="T3876">
        <f t="shared" si="302"/>
        <v>0</v>
      </c>
      <c r="U3876">
        <f t="shared" si="303"/>
        <v>0</v>
      </c>
      <c r="V3876">
        <f t="shared" si="304"/>
        <v>0</v>
      </c>
    </row>
    <row r="3877" spans="1:22" x14ac:dyDescent="0.25">
      <c r="A3877">
        <v>3874</v>
      </c>
      <c r="B3877" t="s">
        <v>26</v>
      </c>
      <c r="C3877" t="s">
        <v>1218</v>
      </c>
      <c r="D3877" s="4">
        <v>45439</v>
      </c>
      <c r="E3877" t="s">
        <v>1489</v>
      </c>
      <c r="F3877" t="s">
        <v>75</v>
      </c>
      <c r="I3877" s="6"/>
      <c r="J3877" s="6"/>
      <c r="K3877" s="6"/>
      <c r="L3877" s="6"/>
      <c r="M3877" s="6"/>
      <c r="N3877" s="6"/>
      <c r="O3877" s="6"/>
      <c r="P3877" s="6"/>
      <c r="Q3877">
        <v>0</v>
      </c>
      <c r="R3877">
        <f t="shared" si="300"/>
        <v>0</v>
      </c>
      <c r="S3877">
        <f t="shared" si="301"/>
        <v>0</v>
      </c>
      <c r="T3877">
        <f t="shared" si="302"/>
        <v>0</v>
      </c>
      <c r="U3877">
        <f t="shared" si="303"/>
        <v>0</v>
      </c>
      <c r="V3877">
        <f t="shared" si="304"/>
        <v>0</v>
      </c>
    </row>
    <row r="3878" spans="1:22" x14ac:dyDescent="0.25">
      <c r="A3878">
        <v>3875</v>
      </c>
      <c r="B3878" t="s">
        <v>26</v>
      </c>
      <c r="C3878" t="s">
        <v>1218</v>
      </c>
      <c r="D3878" s="4">
        <v>45439</v>
      </c>
      <c r="E3878" t="s">
        <v>1419</v>
      </c>
      <c r="F3878" t="s">
        <v>75</v>
      </c>
      <c r="I3878" s="6">
        <v>0</v>
      </c>
      <c r="J3878" s="6">
        <v>0</v>
      </c>
      <c r="K3878" s="6">
        <v>0</v>
      </c>
      <c r="L3878" s="6">
        <v>0</v>
      </c>
      <c r="M3878" s="6">
        <v>0</v>
      </c>
      <c r="N3878" s="6">
        <v>1</v>
      </c>
      <c r="O3878" s="6">
        <v>0</v>
      </c>
      <c r="P3878" s="6">
        <v>0</v>
      </c>
      <c r="Q3878">
        <v>1</v>
      </c>
      <c r="R3878">
        <f t="shared" si="300"/>
        <v>0</v>
      </c>
      <c r="S3878">
        <f t="shared" si="301"/>
        <v>1</v>
      </c>
      <c r="T3878">
        <f t="shared" si="302"/>
        <v>1</v>
      </c>
      <c r="U3878">
        <f t="shared" si="303"/>
        <v>1</v>
      </c>
      <c r="V3878">
        <f t="shared" si="304"/>
        <v>0</v>
      </c>
    </row>
    <row r="3879" spans="1:22" x14ac:dyDescent="0.25">
      <c r="A3879">
        <v>3876</v>
      </c>
      <c r="B3879" t="s">
        <v>26</v>
      </c>
      <c r="C3879" t="s">
        <v>1218</v>
      </c>
      <c r="D3879" s="4">
        <v>45439</v>
      </c>
      <c r="E3879" t="s">
        <v>2107</v>
      </c>
      <c r="F3879" t="s">
        <v>75</v>
      </c>
      <c r="I3879" s="6"/>
      <c r="J3879" s="6"/>
      <c r="K3879" s="6"/>
      <c r="L3879" s="6"/>
      <c r="M3879" s="6"/>
      <c r="N3879" s="6"/>
      <c r="O3879" s="6"/>
      <c r="P3879" s="6"/>
      <c r="Q3879">
        <v>0</v>
      </c>
      <c r="R3879">
        <f t="shared" si="300"/>
        <v>0</v>
      </c>
      <c r="S3879">
        <f t="shared" si="301"/>
        <v>0</v>
      </c>
      <c r="T3879">
        <f t="shared" si="302"/>
        <v>0</v>
      </c>
      <c r="U3879">
        <f t="shared" si="303"/>
        <v>0</v>
      </c>
      <c r="V3879">
        <f t="shared" si="304"/>
        <v>0</v>
      </c>
    </row>
    <row r="3880" spans="1:22" x14ac:dyDescent="0.25">
      <c r="A3880">
        <v>3877</v>
      </c>
      <c r="B3880" t="s">
        <v>26</v>
      </c>
      <c r="C3880" t="s">
        <v>1218</v>
      </c>
      <c r="D3880" s="4">
        <v>45439</v>
      </c>
      <c r="E3880" t="s">
        <v>1199</v>
      </c>
      <c r="F3880" t="s">
        <v>710</v>
      </c>
      <c r="G3880">
        <v>210</v>
      </c>
      <c r="I3880" s="6">
        <v>1</v>
      </c>
      <c r="J3880" s="6">
        <v>0</v>
      </c>
      <c r="K3880" s="6">
        <v>1</v>
      </c>
      <c r="L3880" s="6">
        <v>0</v>
      </c>
      <c r="M3880" s="6">
        <v>0</v>
      </c>
      <c r="N3880" s="6">
        <v>0</v>
      </c>
      <c r="O3880" s="6">
        <v>0</v>
      </c>
      <c r="P3880" s="6">
        <v>0</v>
      </c>
      <c r="Q3880">
        <v>1</v>
      </c>
      <c r="R3880">
        <f t="shared" si="300"/>
        <v>0</v>
      </c>
      <c r="S3880">
        <f t="shared" si="301"/>
        <v>0</v>
      </c>
      <c r="T3880">
        <f t="shared" si="302"/>
        <v>2</v>
      </c>
      <c r="U3880">
        <f t="shared" si="303"/>
        <v>1</v>
      </c>
      <c r="V3880">
        <f t="shared" si="304"/>
        <v>0</v>
      </c>
    </row>
    <row r="3881" spans="1:22" x14ac:dyDescent="0.25">
      <c r="A3881">
        <v>3878</v>
      </c>
      <c r="B3881" t="s">
        <v>26</v>
      </c>
      <c r="C3881" t="s">
        <v>1218</v>
      </c>
      <c r="D3881" s="4">
        <v>45439</v>
      </c>
      <c r="E3881" t="s">
        <v>1420</v>
      </c>
      <c r="F3881" t="s">
        <v>75</v>
      </c>
      <c r="I3881" s="6">
        <v>1</v>
      </c>
      <c r="J3881" s="6">
        <v>0</v>
      </c>
      <c r="K3881" s="6">
        <v>1</v>
      </c>
      <c r="L3881" s="6">
        <v>1</v>
      </c>
      <c r="M3881" s="6">
        <v>0</v>
      </c>
      <c r="N3881" s="6">
        <v>0</v>
      </c>
      <c r="O3881" s="6">
        <v>0</v>
      </c>
      <c r="P3881" s="6">
        <v>1</v>
      </c>
      <c r="Q3881">
        <v>1</v>
      </c>
      <c r="R3881">
        <f t="shared" si="300"/>
        <v>0</v>
      </c>
      <c r="S3881">
        <f t="shared" si="301"/>
        <v>1</v>
      </c>
      <c r="T3881">
        <f t="shared" si="302"/>
        <v>4</v>
      </c>
      <c r="U3881">
        <f t="shared" si="303"/>
        <v>1</v>
      </c>
      <c r="V3881">
        <f t="shared" si="304"/>
        <v>0</v>
      </c>
    </row>
    <row r="3882" spans="1:22" x14ac:dyDescent="0.25">
      <c r="A3882">
        <v>3879</v>
      </c>
      <c r="B3882" t="s">
        <v>26</v>
      </c>
      <c r="C3882" t="s">
        <v>1218</v>
      </c>
      <c r="D3882" s="4">
        <v>45440</v>
      </c>
      <c r="E3882" t="s">
        <v>488</v>
      </c>
      <c r="F3882" t="s">
        <v>75</v>
      </c>
      <c r="I3882" s="6"/>
      <c r="J3882" s="6"/>
      <c r="K3882" s="6"/>
      <c r="L3882" s="6"/>
      <c r="M3882" s="6"/>
      <c r="N3882" s="6"/>
      <c r="O3882" s="6"/>
      <c r="P3882" s="6"/>
      <c r="Q3882">
        <v>0</v>
      </c>
      <c r="R3882">
        <f t="shared" si="300"/>
        <v>0</v>
      </c>
      <c r="S3882">
        <f t="shared" si="301"/>
        <v>0</v>
      </c>
      <c r="T3882">
        <f t="shared" si="302"/>
        <v>0</v>
      </c>
      <c r="U3882">
        <f t="shared" si="303"/>
        <v>0</v>
      </c>
      <c r="V3882">
        <f t="shared" si="304"/>
        <v>0</v>
      </c>
    </row>
    <row r="3883" spans="1:22" x14ac:dyDescent="0.25">
      <c r="A3883">
        <v>3880</v>
      </c>
      <c r="B3883" t="s">
        <v>26</v>
      </c>
      <c r="C3883" t="s">
        <v>1218</v>
      </c>
      <c r="D3883" s="4">
        <v>45440</v>
      </c>
      <c r="E3883" t="s">
        <v>371</v>
      </c>
      <c r="F3883" t="s">
        <v>75</v>
      </c>
      <c r="I3883" s="6"/>
      <c r="J3883" s="6"/>
      <c r="K3883" s="6"/>
      <c r="L3883" s="6"/>
      <c r="M3883" s="6"/>
      <c r="N3883" s="6"/>
      <c r="O3883" s="6"/>
      <c r="P3883" s="6"/>
      <c r="Q3883">
        <v>0</v>
      </c>
      <c r="R3883">
        <f t="shared" si="300"/>
        <v>0</v>
      </c>
      <c r="S3883">
        <f t="shared" si="301"/>
        <v>0</v>
      </c>
      <c r="T3883">
        <f t="shared" si="302"/>
        <v>0</v>
      </c>
      <c r="U3883">
        <f t="shared" si="303"/>
        <v>0</v>
      </c>
      <c r="V3883">
        <f t="shared" si="304"/>
        <v>0</v>
      </c>
    </row>
    <row r="3884" spans="1:22" x14ac:dyDescent="0.25">
      <c r="A3884">
        <v>3881</v>
      </c>
      <c r="B3884" t="s">
        <v>26</v>
      </c>
      <c r="C3884" t="s">
        <v>1218</v>
      </c>
      <c r="D3884" s="4">
        <v>45440</v>
      </c>
      <c r="E3884" t="s">
        <v>895</v>
      </c>
      <c r="F3884" t="s">
        <v>710</v>
      </c>
      <c r="G3884">
        <v>211</v>
      </c>
      <c r="I3884" s="6">
        <v>1</v>
      </c>
      <c r="J3884" s="6">
        <v>0</v>
      </c>
      <c r="K3884" s="6">
        <v>0</v>
      </c>
      <c r="L3884" s="6">
        <v>0</v>
      </c>
      <c r="M3884" s="6">
        <v>1</v>
      </c>
      <c r="N3884" s="6">
        <v>1</v>
      </c>
      <c r="O3884" s="6">
        <v>0</v>
      </c>
      <c r="P3884" s="6">
        <v>0</v>
      </c>
      <c r="Q3884">
        <v>1</v>
      </c>
      <c r="R3884">
        <f t="shared" si="300"/>
        <v>0</v>
      </c>
      <c r="S3884">
        <f t="shared" si="301"/>
        <v>0</v>
      </c>
      <c r="T3884">
        <f t="shared" si="302"/>
        <v>3</v>
      </c>
      <c r="U3884">
        <f t="shared" si="303"/>
        <v>1</v>
      </c>
      <c r="V3884">
        <f t="shared" si="304"/>
        <v>0</v>
      </c>
    </row>
    <row r="3885" spans="1:22" x14ac:dyDescent="0.25">
      <c r="A3885">
        <v>3882</v>
      </c>
      <c r="B3885" t="s">
        <v>26</v>
      </c>
      <c r="C3885" t="s">
        <v>1218</v>
      </c>
      <c r="D3885" s="4">
        <v>45440</v>
      </c>
      <c r="E3885" t="s">
        <v>372</v>
      </c>
      <c r="F3885" t="s">
        <v>75</v>
      </c>
      <c r="I3885" s="6"/>
      <c r="J3885" s="6"/>
      <c r="K3885" s="6"/>
      <c r="L3885" s="6"/>
      <c r="M3885" s="6"/>
      <c r="N3885" s="6"/>
      <c r="O3885" s="6"/>
      <c r="P3885" s="6"/>
      <c r="Q3885">
        <v>0</v>
      </c>
      <c r="R3885">
        <f t="shared" si="300"/>
        <v>0</v>
      </c>
      <c r="S3885">
        <f t="shared" si="301"/>
        <v>0</v>
      </c>
      <c r="T3885">
        <f t="shared" si="302"/>
        <v>0</v>
      </c>
      <c r="U3885">
        <f t="shared" si="303"/>
        <v>0</v>
      </c>
      <c r="V3885">
        <f t="shared" si="304"/>
        <v>0</v>
      </c>
    </row>
    <row r="3886" spans="1:22" x14ac:dyDescent="0.25">
      <c r="A3886">
        <v>3883</v>
      </c>
      <c r="B3886" t="s">
        <v>26</v>
      </c>
      <c r="C3886" t="s">
        <v>1218</v>
      </c>
      <c r="D3886" s="4">
        <v>45440</v>
      </c>
      <c r="E3886" t="s">
        <v>373</v>
      </c>
      <c r="F3886" t="s">
        <v>75</v>
      </c>
      <c r="I3886" s="6"/>
      <c r="J3886" s="6"/>
      <c r="K3886" s="6"/>
      <c r="L3886" s="6"/>
      <c r="M3886" s="6"/>
      <c r="N3886" s="6"/>
      <c r="O3886" s="6"/>
      <c r="P3886" s="6"/>
      <c r="Q3886">
        <v>0</v>
      </c>
      <c r="R3886">
        <f t="shared" si="300"/>
        <v>0</v>
      </c>
      <c r="S3886">
        <f t="shared" si="301"/>
        <v>0</v>
      </c>
      <c r="T3886">
        <f t="shared" si="302"/>
        <v>0</v>
      </c>
      <c r="U3886">
        <f t="shared" si="303"/>
        <v>0</v>
      </c>
      <c r="V3886">
        <f t="shared" si="304"/>
        <v>0</v>
      </c>
    </row>
    <row r="3887" spans="1:22" x14ac:dyDescent="0.25">
      <c r="A3887">
        <v>3884</v>
      </c>
      <c r="B3887" t="s">
        <v>26</v>
      </c>
      <c r="C3887" t="s">
        <v>1218</v>
      </c>
      <c r="D3887" s="4">
        <v>45440</v>
      </c>
      <c r="E3887" t="s">
        <v>1201</v>
      </c>
      <c r="F3887" t="s">
        <v>710</v>
      </c>
      <c r="G3887">
        <v>212</v>
      </c>
      <c r="I3887" s="6">
        <v>0</v>
      </c>
      <c r="J3887" s="6">
        <v>0</v>
      </c>
      <c r="K3887" s="6">
        <v>0</v>
      </c>
      <c r="L3887" s="6">
        <v>0</v>
      </c>
      <c r="M3887" s="6">
        <v>0</v>
      </c>
      <c r="N3887" s="6">
        <v>1</v>
      </c>
      <c r="O3887" s="6">
        <v>0</v>
      </c>
      <c r="P3887" s="6">
        <v>0</v>
      </c>
      <c r="Q3887">
        <v>1</v>
      </c>
      <c r="R3887">
        <f t="shared" si="300"/>
        <v>0</v>
      </c>
      <c r="S3887">
        <f t="shared" si="301"/>
        <v>0</v>
      </c>
      <c r="T3887">
        <f t="shared" si="302"/>
        <v>1</v>
      </c>
      <c r="U3887">
        <f t="shared" si="303"/>
        <v>1</v>
      </c>
      <c r="V3887">
        <f t="shared" si="304"/>
        <v>0</v>
      </c>
    </row>
    <row r="3888" spans="1:22" x14ac:dyDescent="0.25">
      <c r="A3888">
        <v>3885</v>
      </c>
      <c r="B3888" t="s">
        <v>26</v>
      </c>
      <c r="C3888" t="s">
        <v>1218</v>
      </c>
      <c r="D3888" s="4">
        <v>45441</v>
      </c>
      <c r="E3888" t="s">
        <v>374</v>
      </c>
      <c r="F3888" t="s">
        <v>75</v>
      </c>
      <c r="I3888" s="6"/>
      <c r="J3888" s="6"/>
      <c r="K3888" s="6"/>
      <c r="L3888" s="6"/>
      <c r="M3888" s="6"/>
      <c r="N3888" s="6"/>
      <c r="O3888" s="6"/>
      <c r="P3888" s="6"/>
      <c r="Q3888">
        <v>0</v>
      </c>
      <c r="R3888">
        <f t="shared" si="300"/>
        <v>0</v>
      </c>
      <c r="S3888">
        <f t="shared" si="301"/>
        <v>0</v>
      </c>
      <c r="T3888">
        <f t="shared" si="302"/>
        <v>0</v>
      </c>
      <c r="U3888">
        <f t="shared" si="303"/>
        <v>0</v>
      </c>
      <c r="V3888">
        <f t="shared" si="304"/>
        <v>0</v>
      </c>
    </row>
    <row r="3889" spans="1:22" x14ac:dyDescent="0.25">
      <c r="A3889">
        <v>3886</v>
      </c>
      <c r="B3889" t="s">
        <v>26</v>
      </c>
      <c r="C3889" t="s">
        <v>1218</v>
      </c>
      <c r="D3889" s="4">
        <v>45441</v>
      </c>
      <c r="E3889" t="s">
        <v>375</v>
      </c>
      <c r="F3889" t="s">
        <v>75</v>
      </c>
      <c r="I3889" s="6">
        <v>0</v>
      </c>
      <c r="J3889" s="6">
        <v>0</v>
      </c>
      <c r="K3889" s="6">
        <v>0</v>
      </c>
      <c r="L3889" s="6">
        <v>0</v>
      </c>
      <c r="M3889" s="6">
        <v>1</v>
      </c>
      <c r="N3889" s="6">
        <v>0</v>
      </c>
      <c r="O3889" s="6">
        <v>0</v>
      </c>
      <c r="P3889" s="6">
        <v>0</v>
      </c>
      <c r="Q3889">
        <v>1</v>
      </c>
      <c r="R3889">
        <f t="shared" si="300"/>
        <v>0</v>
      </c>
      <c r="S3889">
        <f t="shared" si="301"/>
        <v>1</v>
      </c>
      <c r="T3889">
        <f t="shared" si="302"/>
        <v>1</v>
      </c>
      <c r="U3889">
        <f t="shared" si="303"/>
        <v>1</v>
      </c>
      <c r="V3889">
        <f t="shared" si="304"/>
        <v>0</v>
      </c>
    </row>
    <row r="3890" spans="1:22" x14ac:dyDescent="0.25">
      <c r="A3890">
        <v>3887</v>
      </c>
      <c r="B3890" t="s">
        <v>26</v>
      </c>
      <c r="C3890" t="s">
        <v>1218</v>
      </c>
      <c r="D3890" s="4">
        <v>45441</v>
      </c>
      <c r="E3890" t="s">
        <v>489</v>
      </c>
      <c r="F3890" t="s">
        <v>75</v>
      </c>
      <c r="I3890" s="6"/>
      <c r="J3890" s="6"/>
      <c r="K3890" s="6"/>
      <c r="L3890" s="6"/>
      <c r="M3890" s="6"/>
      <c r="N3890" s="6"/>
      <c r="O3890" s="6"/>
      <c r="P3890" s="6"/>
      <c r="Q3890">
        <v>0</v>
      </c>
      <c r="R3890">
        <f t="shared" si="300"/>
        <v>0</v>
      </c>
      <c r="S3890">
        <f t="shared" si="301"/>
        <v>0</v>
      </c>
      <c r="T3890">
        <f t="shared" si="302"/>
        <v>0</v>
      </c>
      <c r="U3890">
        <f t="shared" si="303"/>
        <v>0</v>
      </c>
      <c r="V3890">
        <f t="shared" si="304"/>
        <v>0</v>
      </c>
    </row>
    <row r="3891" spans="1:22" x14ac:dyDescent="0.25">
      <c r="A3891">
        <v>3888</v>
      </c>
      <c r="B3891" t="s">
        <v>26</v>
      </c>
      <c r="C3891" t="s">
        <v>1218</v>
      </c>
      <c r="D3891" s="4">
        <v>45441</v>
      </c>
      <c r="E3891" t="s">
        <v>1563</v>
      </c>
      <c r="F3891" t="s">
        <v>75</v>
      </c>
      <c r="I3891" s="6"/>
      <c r="J3891" s="6"/>
      <c r="K3891" s="6"/>
      <c r="L3891" s="6"/>
      <c r="M3891" s="6"/>
      <c r="N3891" s="6"/>
      <c r="O3891" s="6"/>
      <c r="P3891" s="6"/>
      <c r="Q3891">
        <v>0</v>
      </c>
      <c r="R3891">
        <f t="shared" si="300"/>
        <v>0</v>
      </c>
      <c r="S3891">
        <f t="shared" si="301"/>
        <v>0</v>
      </c>
      <c r="T3891">
        <f t="shared" si="302"/>
        <v>0</v>
      </c>
      <c r="U3891">
        <f t="shared" si="303"/>
        <v>0</v>
      </c>
      <c r="V3891">
        <f t="shared" si="304"/>
        <v>0</v>
      </c>
    </row>
    <row r="3892" spans="1:22" x14ac:dyDescent="0.25">
      <c r="A3892">
        <v>3889</v>
      </c>
      <c r="B3892" t="s">
        <v>26</v>
      </c>
      <c r="C3892" t="s">
        <v>1218</v>
      </c>
      <c r="D3892" s="4">
        <v>45442</v>
      </c>
      <c r="E3892" t="s">
        <v>1099</v>
      </c>
      <c r="F3892" t="s">
        <v>75</v>
      </c>
      <c r="I3892" s="6"/>
      <c r="J3892" s="6"/>
      <c r="K3892" s="6"/>
      <c r="L3892" s="6"/>
      <c r="M3892" s="6"/>
      <c r="N3892" s="6"/>
      <c r="O3892" s="6"/>
      <c r="P3892" s="6"/>
      <c r="Q3892">
        <v>0</v>
      </c>
      <c r="R3892">
        <f t="shared" si="300"/>
        <v>0</v>
      </c>
      <c r="S3892">
        <f t="shared" si="301"/>
        <v>0</v>
      </c>
      <c r="T3892">
        <f t="shared" si="302"/>
        <v>0</v>
      </c>
      <c r="U3892">
        <f t="shared" si="303"/>
        <v>0</v>
      </c>
      <c r="V3892">
        <f t="shared" si="304"/>
        <v>0</v>
      </c>
    </row>
    <row r="3893" spans="1:22" x14ac:dyDescent="0.25">
      <c r="A3893">
        <v>3890</v>
      </c>
      <c r="B3893" t="s">
        <v>26</v>
      </c>
      <c r="C3893" t="s">
        <v>1218</v>
      </c>
      <c r="D3893" s="4">
        <v>45442</v>
      </c>
      <c r="E3893" t="s">
        <v>490</v>
      </c>
      <c r="F3893" t="s">
        <v>75</v>
      </c>
      <c r="I3893" s="6">
        <v>0</v>
      </c>
      <c r="J3893" s="6">
        <v>0</v>
      </c>
      <c r="K3893" s="6">
        <v>0</v>
      </c>
      <c r="L3893" s="6">
        <v>0</v>
      </c>
      <c r="M3893" s="6">
        <v>0</v>
      </c>
      <c r="N3893" s="6">
        <v>0</v>
      </c>
      <c r="O3893" s="6">
        <v>0</v>
      </c>
      <c r="P3893" s="6">
        <v>0</v>
      </c>
      <c r="Q3893">
        <v>1</v>
      </c>
      <c r="R3893">
        <f t="shared" si="300"/>
        <v>0</v>
      </c>
      <c r="S3893">
        <f t="shared" si="301"/>
        <v>1</v>
      </c>
      <c r="T3893">
        <f t="shared" si="302"/>
        <v>0</v>
      </c>
      <c r="U3893">
        <f t="shared" si="303"/>
        <v>0</v>
      </c>
      <c r="V3893">
        <f t="shared" si="304"/>
        <v>0</v>
      </c>
    </row>
    <row r="3894" spans="1:22" x14ac:dyDescent="0.25">
      <c r="A3894">
        <v>3891</v>
      </c>
      <c r="B3894" t="s">
        <v>26</v>
      </c>
      <c r="C3894" t="s">
        <v>1218</v>
      </c>
      <c r="D3894" s="4">
        <v>45442</v>
      </c>
      <c r="E3894" t="s">
        <v>1100</v>
      </c>
      <c r="F3894" t="s">
        <v>75</v>
      </c>
      <c r="I3894" s="6"/>
      <c r="J3894" s="6"/>
      <c r="K3894" s="6"/>
      <c r="L3894" s="6"/>
      <c r="M3894" s="6"/>
      <c r="N3894" s="6"/>
      <c r="O3894" s="6"/>
      <c r="P3894" s="6"/>
      <c r="Q3894">
        <v>0</v>
      </c>
      <c r="R3894">
        <f t="shared" si="300"/>
        <v>0</v>
      </c>
      <c r="S3894">
        <f t="shared" si="301"/>
        <v>0</v>
      </c>
      <c r="T3894">
        <f t="shared" si="302"/>
        <v>0</v>
      </c>
      <c r="U3894">
        <f t="shared" si="303"/>
        <v>0</v>
      </c>
      <c r="V3894">
        <f t="shared" si="304"/>
        <v>0</v>
      </c>
    </row>
    <row r="3895" spans="1:22" x14ac:dyDescent="0.25">
      <c r="A3895">
        <v>3892</v>
      </c>
      <c r="B3895" t="s">
        <v>26</v>
      </c>
      <c r="C3895" t="s">
        <v>1218</v>
      </c>
      <c r="D3895" s="4">
        <v>45442</v>
      </c>
      <c r="E3895" t="s">
        <v>1101</v>
      </c>
      <c r="F3895" t="s">
        <v>75</v>
      </c>
      <c r="I3895" s="6"/>
      <c r="J3895" s="6"/>
      <c r="K3895" s="6"/>
      <c r="L3895" s="6"/>
      <c r="M3895" s="6"/>
      <c r="N3895" s="6"/>
      <c r="O3895" s="6"/>
      <c r="P3895" s="6"/>
      <c r="Q3895">
        <v>0</v>
      </c>
      <c r="R3895">
        <f t="shared" si="300"/>
        <v>0</v>
      </c>
      <c r="S3895">
        <f t="shared" si="301"/>
        <v>0</v>
      </c>
      <c r="T3895">
        <f t="shared" si="302"/>
        <v>0</v>
      </c>
      <c r="U3895">
        <f t="shared" si="303"/>
        <v>0</v>
      </c>
      <c r="V3895">
        <f t="shared" si="304"/>
        <v>0</v>
      </c>
    </row>
    <row r="3896" spans="1:22" x14ac:dyDescent="0.25">
      <c r="A3896">
        <v>3893</v>
      </c>
      <c r="B3896" t="s">
        <v>26</v>
      </c>
      <c r="C3896" t="s">
        <v>1218</v>
      </c>
      <c r="D3896" s="4">
        <v>45442</v>
      </c>
      <c r="E3896" t="s">
        <v>1490</v>
      </c>
      <c r="F3896" t="s">
        <v>75</v>
      </c>
      <c r="I3896" s="6"/>
      <c r="J3896" s="6"/>
      <c r="K3896" s="6"/>
      <c r="L3896" s="6"/>
      <c r="M3896" s="6"/>
      <c r="N3896" s="6"/>
      <c r="O3896" s="6"/>
      <c r="P3896" s="6"/>
      <c r="Q3896">
        <v>0</v>
      </c>
      <c r="R3896">
        <f t="shared" si="300"/>
        <v>0</v>
      </c>
      <c r="S3896">
        <f t="shared" si="301"/>
        <v>0</v>
      </c>
      <c r="T3896">
        <f t="shared" si="302"/>
        <v>0</v>
      </c>
      <c r="U3896">
        <f t="shared" si="303"/>
        <v>0</v>
      </c>
      <c r="V3896">
        <f t="shared" si="304"/>
        <v>0</v>
      </c>
    </row>
    <row r="3897" spans="1:22" x14ac:dyDescent="0.25">
      <c r="A3897">
        <v>3894</v>
      </c>
      <c r="B3897" t="s">
        <v>26</v>
      </c>
      <c r="C3897" t="s">
        <v>1218</v>
      </c>
      <c r="D3897" s="4">
        <v>45442</v>
      </c>
      <c r="E3897" t="s">
        <v>1204</v>
      </c>
      <c r="F3897" t="s">
        <v>75</v>
      </c>
      <c r="I3897" s="6"/>
      <c r="J3897" s="6"/>
      <c r="K3897" s="6"/>
      <c r="L3897" s="6"/>
      <c r="M3897" s="6"/>
      <c r="N3897" s="6"/>
      <c r="O3897" s="6"/>
      <c r="P3897" s="6"/>
      <c r="Q3897">
        <v>0</v>
      </c>
      <c r="R3897">
        <f t="shared" si="300"/>
        <v>0</v>
      </c>
      <c r="S3897">
        <f t="shared" si="301"/>
        <v>0</v>
      </c>
      <c r="T3897">
        <f t="shared" si="302"/>
        <v>0</v>
      </c>
      <c r="U3897">
        <f t="shared" si="303"/>
        <v>0</v>
      </c>
      <c r="V3897">
        <f t="shared" si="304"/>
        <v>0</v>
      </c>
    </row>
    <row r="3898" spans="1:22" x14ac:dyDescent="0.25">
      <c r="A3898">
        <v>3895</v>
      </c>
      <c r="B3898" t="s">
        <v>26</v>
      </c>
      <c r="C3898" t="s">
        <v>1218</v>
      </c>
      <c r="D3898" s="4">
        <v>45443</v>
      </c>
      <c r="E3898" t="s">
        <v>896</v>
      </c>
      <c r="F3898" t="s">
        <v>75</v>
      </c>
      <c r="I3898" s="6"/>
      <c r="J3898" s="6"/>
      <c r="K3898" s="6"/>
      <c r="L3898" s="6"/>
      <c r="M3898" s="6"/>
      <c r="N3898" s="6"/>
      <c r="O3898" s="6"/>
      <c r="P3898" s="6"/>
      <c r="Q3898">
        <v>0</v>
      </c>
      <c r="R3898">
        <f t="shared" si="300"/>
        <v>0</v>
      </c>
      <c r="S3898">
        <f t="shared" si="301"/>
        <v>0</v>
      </c>
      <c r="T3898">
        <f t="shared" si="302"/>
        <v>0</v>
      </c>
      <c r="U3898">
        <f t="shared" si="303"/>
        <v>0</v>
      </c>
      <c r="V3898">
        <f t="shared" si="304"/>
        <v>0</v>
      </c>
    </row>
    <row r="3899" spans="1:22" x14ac:dyDescent="0.25">
      <c r="A3899">
        <v>3896</v>
      </c>
      <c r="B3899" t="s">
        <v>26</v>
      </c>
      <c r="C3899" t="s">
        <v>1218</v>
      </c>
      <c r="D3899" s="4">
        <v>45443</v>
      </c>
      <c r="E3899" t="s">
        <v>897</v>
      </c>
      <c r="F3899" t="s">
        <v>75</v>
      </c>
      <c r="H3899" t="s">
        <v>1421</v>
      </c>
      <c r="I3899" s="6">
        <v>0</v>
      </c>
      <c r="J3899" s="6">
        <v>0</v>
      </c>
      <c r="K3899" s="6">
        <v>0</v>
      </c>
      <c r="L3899" s="6">
        <v>0</v>
      </c>
      <c r="M3899" s="6">
        <v>0</v>
      </c>
      <c r="N3899" s="6">
        <v>0</v>
      </c>
      <c r="O3899" s="6">
        <v>0</v>
      </c>
      <c r="P3899" s="6">
        <v>0</v>
      </c>
      <c r="Q3899">
        <v>1</v>
      </c>
      <c r="R3899">
        <f t="shared" si="300"/>
        <v>0</v>
      </c>
      <c r="S3899">
        <f t="shared" si="301"/>
        <v>1</v>
      </c>
      <c r="T3899">
        <f t="shared" si="302"/>
        <v>0</v>
      </c>
      <c r="U3899">
        <f t="shared" si="303"/>
        <v>0</v>
      </c>
      <c r="V3899">
        <f t="shared" si="304"/>
        <v>0</v>
      </c>
    </row>
    <row r="3900" spans="1:22" x14ac:dyDescent="0.25">
      <c r="A3900">
        <v>3897</v>
      </c>
      <c r="B3900" t="s">
        <v>26</v>
      </c>
      <c r="C3900" t="s">
        <v>1218</v>
      </c>
      <c r="D3900" s="4">
        <v>45443</v>
      </c>
      <c r="E3900" t="s">
        <v>898</v>
      </c>
      <c r="F3900" t="s">
        <v>710</v>
      </c>
      <c r="G3900">
        <v>213</v>
      </c>
      <c r="I3900" s="6">
        <v>1</v>
      </c>
      <c r="J3900" s="6">
        <v>0</v>
      </c>
      <c r="K3900" s="6">
        <v>0</v>
      </c>
      <c r="L3900" s="6">
        <v>0</v>
      </c>
      <c r="M3900" s="6">
        <v>0</v>
      </c>
      <c r="N3900" s="6">
        <v>0</v>
      </c>
      <c r="O3900" s="6">
        <v>0</v>
      </c>
      <c r="P3900" s="6">
        <v>0</v>
      </c>
      <c r="Q3900">
        <v>1</v>
      </c>
      <c r="R3900">
        <f t="shared" si="300"/>
        <v>0</v>
      </c>
      <c r="S3900">
        <f t="shared" si="301"/>
        <v>0</v>
      </c>
      <c r="T3900">
        <f t="shared" si="302"/>
        <v>1</v>
      </c>
      <c r="U3900">
        <f t="shared" si="303"/>
        <v>1</v>
      </c>
      <c r="V3900">
        <f t="shared" si="304"/>
        <v>0</v>
      </c>
    </row>
    <row r="3901" spans="1:22" x14ac:dyDescent="0.25">
      <c r="A3901">
        <v>3898</v>
      </c>
      <c r="B3901" t="s">
        <v>26</v>
      </c>
      <c r="C3901" t="s">
        <v>1218</v>
      </c>
      <c r="D3901" s="4">
        <v>45443</v>
      </c>
      <c r="E3901" t="s">
        <v>1491</v>
      </c>
      <c r="F3901" t="s">
        <v>75</v>
      </c>
      <c r="I3901" s="6">
        <v>1</v>
      </c>
      <c r="J3901" s="6">
        <v>0</v>
      </c>
      <c r="K3901" s="6">
        <v>0</v>
      </c>
      <c r="L3901" s="6">
        <v>0</v>
      </c>
      <c r="M3901" s="6">
        <v>0</v>
      </c>
      <c r="N3901" s="6">
        <v>0</v>
      </c>
      <c r="O3901" s="6">
        <v>0</v>
      </c>
      <c r="P3901" s="6">
        <v>0</v>
      </c>
      <c r="Q3901">
        <v>1</v>
      </c>
      <c r="R3901">
        <f t="shared" si="300"/>
        <v>0</v>
      </c>
      <c r="S3901">
        <f t="shared" si="301"/>
        <v>1</v>
      </c>
      <c r="T3901">
        <f t="shared" si="302"/>
        <v>1</v>
      </c>
      <c r="U3901">
        <f t="shared" si="303"/>
        <v>1</v>
      </c>
      <c r="V3901">
        <f t="shared" si="304"/>
        <v>0</v>
      </c>
    </row>
    <row r="3902" spans="1:22" x14ac:dyDescent="0.25">
      <c r="A3902">
        <v>3899</v>
      </c>
      <c r="B3902" t="s">
        <v>26</v>
      </c>
      <c r="C3902" t="s">
        <v>1218</v>
      </c>
      <c r="D3902" s="4">
        <v>45443</v>
      </c>
      <c r="E3902" t="s">
        <v>2099</v>
      </c>
      <c r="F3902" t="s">
        <v>75</v>
      </c>
      <c r="I3902" s="6"/>
      <c r="J3902" s="6"/>
      <c r="K3902" s="6"/>
      <c r="L3902" s="6"/>
      <c r="M3902" s="6"/>
      <c r="N3902" s="6"/>
      <c r="O3902" s="6"/>
      <c r="P3902" s="6"/>
      <c r="Q3902">
        <v>0</v>
      </c>
      <c r="R3902">
        <f t="shared" si="300"/>
        <v>0</v>
      </c>
      <c r="S3902">
        <f t="shared" si="301"/>
        <v>0</v>
      </c>
      <c r="T3902">
        <f t="shared" si="302"/>
        <v>0</v>
      </c>
      <c r="U3902">
        <f t="shared" si="303"/>
        <v>0</v>
      </c>
      <c r="V3902">
        <f t="shared" si="304"/>
        <v>0</v>
      </c>
    </row>
    <row r="3903" spans="1:22" x14ac:dyDescent="0.25">
      <c r="A3903">
        <v>3900</v>
      </c>
      <c r="B3903" t="s">
        <v>26</v>
      </c>
      <c r="C3903" t="s">
        <v>1218</v>
      </c>
      <c r="D3903" s="4">
        <v>45443</v>
      </c>
      <c r="E3903" t="s">
        <v>1422</v>
      </c>
      <c r="F3903" t="s">
        <v>75</v>
      </c>
      <c r="I3903" s="6">
        <v>0</v>
      </c>
      <c r="J3903" s="6">
        <v>0</v>
      </c>
      <c r="K3903" s="6">
        <v>0</v>
      </c>
      <c r="L3903" s="6">
        <v>1</v>
      </c>
      <c r="M3903" s="6">
        <v>1</v>
      </c>
      <c r="N3903" s="6">
        <v>0</v>
      </c>
      <c r="O3903" s="6">
        <v>0</v>
      </c>
      <c r="P3903" s="6">
        <v>1</v>
      </c>
      <c r="Q3903">
        <v>1</v>
      </c>
      <c r="R3903">
        <f t="shared" si="300"/>
        <v>0</v>
      </c>
      <c r="S3903">
        <f t="shared" si="301"/>
        <v>1</v>
      </c>
      <c r="T3903">
        <f t="shared" si="302"/>
        <v>3</v>
      </c>
      <c r="U3903">
        <f t="shared" si="303"/>
        <v>1</v>
      </c>
      <c r="V3903">
        <f t="shared" si="304"/>
        <v>0</v>
      </c>
    </row>
    <row r="3904" spans="1:22" x14ac:dyDescent="0.25">
      <c r="A3904">
        <v>3901</v>
      </c>
      <c r="B3904" t="s">
        <v>26</v>
      </c>
      <c r="C3904" t="s">
        <v>1218</v>
      </c>
      <c r="D3904" s="4">
        <v>45443</v>
      </c>
      <c r="E3904" t="s">
        <v>2098</v>
      </c>
      <c r="F3904" t="s">
        <v>75</v>
      </c>
      <c r="I3904" s="6">
        <v>0</v>
      </c>
      <c r="J3904" s="6">
        <v>0</v>
      </c>
      <c r="K3904" s="6">
        <v>0</v>
      </c>
      <c r="L3904" s="6">
        <v>0</v>
      </c>
      <c r="M3904" s="6">
        <v>0</v>
      </c>
      <c r="N3904" s="6">
        <v>0</v>
      </c>
      <c r="O3904" s="6">
        <v>0</v>
      </c>
      <c r="P3904" s="6">
        <v>0</v>
      </c>
      <c r="Q3904">
        <v>1</v>
      </c>
      <c r="R3904">
        <f t="shared" si="300"/>
        <v>0</v>
      </c>
      <c r="S3904">
        <f t="shared" si="301"/>
        <v>1</v>
      </c>
      <c r="T3904">
        <f t="shared" si="302"/>
        <v>0</v>
      </c>
      <c r="U3904">
        <f t="shared" si="303"/>
        <v>0</v>
      </c>
      <c r="V3904">
        <f t="shared" si="304"/>
        <v>0</v>
      </c>
    </row>
    <row r="3905" spans="1:22" x14ac:dyDescent="0.25">
      <c r="A3905">
        <v>3902</v>
      </c>
      <c r="B3905" t="s">
        <v>26</v>
      </c>
      <c r="C3905" t="s">
        <v>1218</v>
      </c>
      <c r="D3905" s="4">
        <v>45443</v>
      </c>
      <c r="E3905" t="s">
        <v>1209</v>
      </c>
      <c r="F3905" t="s">
        <v>75</v>
      </c>
      <c r="I3905" s="6"/>
      <c r="J3905" s="6"/>
      <c r="K3905" s="6"/>
      <c r="L3905" s="6"/>
      <c r="M3905" s="6"/>
      <c r="N3905" s="6"/>
      <c r="O3905" s="6"/>
      <c r="P3905" s="6"/>
      <c r="Q3905">
        <v>0</v>
      </c>
      <c r="R3905">
        <f t="shared" si="300"/>
        <v>0</v>
      </c>
      <c r="S3905">
        <f t="shared" si="301"/>
        <v>0</v>
      </c>
      <c r="T3905">
        <f t="shared" si="302"/>
        <v>0</v>
      </c>
      <c r="U3905">
        <f t="shared" si="303"/>
        <v>0</v>
      </c>
      <c r="V3905">
        <f t="shared" si="304"/>
        <v>0</v>
      </c>
    </row>
    <row r="3906" spans="1:22" x14ac:dyDescent="0.25">
      <c r="A3906">
        <v>3903</v>
      </c>
      <c r="B3906" t="s">
        <v>26</v>
      </c>
      <c r="C3906" t="s">
        <v>1218</v>
      </c>
      <c r="D3906" s="4">
        <v>45443</v>
      </c>
      <c r="E3906" t="s">
        <v>1210</v>
      </c>
      <c r="F3906" t="s">
        <v>75</v>
      </c>
      <c r="I3906" s="6"/>
      <c r="J3906" s="6"/>
      <c r="K3906" s="6"/>
      <c r="L3906" s="6"/>
      <c r="M3906" s="6"/>
      <c r="N3906" s="6"/>
      <c r="O3906" s="6"/>
      <c r="P3906" s="6"/>
      <c r="Q3906">
        <v>0</v>
      </c>
      <c r="R3906">
        <f t="shared" si="300"/>
        <v>0</v>
      </c>
      <c r="S3906">
        <f t="shared" si="301"/>
        <v>0</v>
      </c>
      <c r="T3906">
        <f t="shared" si="302"/>
        <v>0</v>
      </c>
      <c r="U3906">
        <f t="shared" si="303"/>
        <v>0</v>
      </c>
      <c r="V3906">
        <f t="shared" si="304"/>
        <v>0</v>
      </c>
    </row>
    <row r="3907" spans="1:22" x14ac:dyDescent="0.25">
      <c r="A3907">
        <v>3904</v>
      </c>
      <c r="B3907" t="s">
        <v>26</v>
      </c>
      <c r="C3907" t="s">
        <v>1218</v>
      </c>
      <c r="D3907" s="4">
        <v>45444</v>
      </c>
      <c r="E3907" t="s">
        <v>376</v>
      </c>
      <c r="F3907" t="s">
        <v>75</v>
      </c>
      <c r="I3907" s="6"/>
      <c r="J3907" s="6"/>
      <c r="K3907" s="6"/>
      <c r="L3907" s="6"/>
      <c r="M3907" s="6"/>
      <c r="N3907" s="6"/>
      <c r="O3907" s="6"/>
      <c r="P3907" s="6"/>
      <c r="Q3907">
        <v>0</v>
      </c>
      <c r="R3907">
        <f t="shared" ref="R3907:R3970" si="305">IF(AND(Q3907=1,F3907="ai_full"),1,0)</f>
        <v>0</v>
      </c>
      <c r="S3907">
        <f t="shared" ref="S3907:S3970" si="306">IF(AND(Q3907=1,F3907="conventional"),1,0)</f>
        <v>0</v>
      </c>
      <c r="T3907">
        <f t="shared" ref="T3907:T3970" si="307">SUM(I3907:P3907)</f>
        <v>0</v>
      </c>
      <c r="U3907">
        <f t="shared" ref="U3907:U3970" si="308">IF(T3907&gt;=1,1,0)</f>
        <v>0</v>
      </c>
      <c r="V3907">
        <f t="shared" ref="V3907:V3970" si="309">IF(F3907="ai_full",1,0)</f>
        <v>0</v>
      </c>
    </row>
    <row r="3908" spans="1:22" x14ac:dyDescent="0.25">
      <c r="A3908">
        <v>3905</v>
      </c>
      <c r="B3908" t="s">
        <v>26</v>
      </c>
      <c r="C3908" t="s">
        <v>1218</v>
      </c>
      <c r="D3908" s="4">
        <v>45444</v>
      </c>
      <c r="E3908" t="s">
        <v>899</v>
      </c>
      <c r="F3908" t="s">
        <v>710</v>
      </c>
      <c r="G3908">
        <v>214</v>
      </c>
      <c r="I3908" s="6">
        <v>1</v>
      </c>
      <c r="J3908" s="6">
        <v>0</v>
      </c>
      <c r="K3908" s="6">
        <v>1</v>
      </c>
      <c r="L3908" s="6">
        <v>1</v>
      </c>
      <c r="M3908" s="6">
        <v>1</v>
      </c>
      <c r="N3908" s="6">
        <v>1</v>
      </c>
      <c r="O3908" s="6">
        <v>0</v>
      </c>
      <c r="P3908" s="6">
        <v>0</v>
      </c>
      <c r="Q3908">
        <v>1</v>
      </c>
      <c r="R3908">
        <f t="shared" si="305"/>
        <v>0</v>
      </c>
      <c r="S3908">
        <f t="shared" si="306"/>
        <v>0</v>
      </c>
      <c r="T3908">
        <f t="shared" si="307"/>
        <v>5</v>
      </c>
      <c r="U3908">
        <f t="shared" si="308"/>
        <v>1</v>
      </c>
      <c r="V3908">
        <f t="shared" si="309"/>
        <v>0</v>
      </c>
    </row>
    <row r="3909" spans="1:22" x14ac:dyDescent="0.25">
      <c r="A3909">
        <v>3906</v>
      </c>
      <c r="B3909" t="s">
        <v>26</v>
      </c>
      <c r="C3909" t="s">
        <v>1218</v>
      </c>
      <c r="D3909" s="4">
        <v>45444</v>
      </c>
      <c r="E3909" t="s">
        <v>377</v>
      </c>
      <c r="F3909" t="s">
        <v>75</v>
      </c>
      <c r="I3909" s="6"/>
      <c r="J3909" s="6"/>
      <c r="K3909" s="6"/>
      <c r="L3909" s="6"/>
      <c r="M3909" s="6"/>
      <c r="N3909" s="6"/>
      <c r="O3909" s="6"/>
      <c r="P3909" s="6"/>
      <c r="Q3909">
        <v>0</v>
      </c>
      <c r="R3909">
        <f t="shared" si="305"/>
        <v>0</v>
      </c>
      <c r="S3909">
        <f t="shared" si="306"/>
        <v>0</v>
      </c>
      <c r="T3909">
        <f t="shared" si="307"/>
        <v>0</v>
      </c>
      <c r="U3909">
        <f t="shared" si="308"/>
        <v>0</v>
      </c>
      <c r="V3909">
        <f t="shared" si="309"/>
        <v>0</v>
      </c>
    </row>
    <row r="3910" spans="1:22" x14ac:dyDescent="0.25">
      <c r="A3910">
        <v>3907</v>
      </c>
      <c r="B3910" t="s">
        <v>26</v>
      </c>
      <c r="C3910" t="s">
        <v>1218</v>
      </c>
      <c r="D3910" s="4">
        <v>45444</v>
      </c>
      <c r="E3910" t="s">
        <v>378</v>
      </c>
      <c r="F3910" t="s">
        <v>75</v>
      </c>
      <c r="I3910" s="6"/>
      <c r="J3910" s="6"/>
      <c r="K3910" s="6"/>
      <c r="L3910" s="6"/>
      <c r="M3910" s="6"/>
      <c r="N3910" s="6"/>
      <c r="O3910" s="6"/>
      <c r="P3910" s="6"/>
      <c r="Q3910">
        <v>0</v>
      </c>
      <c r="R3910">
        <f t="shared" si="305"/>
        <v>0</v>
      </c>
      <c r="S3910">
        <f t="shared" si="306"/>
        <v>0</v>
      </c>
      <c r="T3910">
        <f t="shared" si="307"/>
        <v>0</v>
      </c>
      <c r="U3910">
        <f t="shared" si="308"/>
        <v>0</v>
      </c>
      <c r="V3910">
        <f t="shared" si="309"/>
        <v>0</v>
      </c>
    </row>
    <row r="3911" spans="1:22" x14ac:dyDescent="0.25">
      <c r="A3911">
        <v>3908</v>
      </c>
      <c r="B3911" t="s">
        <v>26</v>
      </c>
      <c r="C3911" t="s">
        <v>1218</v>
      </c>
      <c r="D3911" s="4">
        <v>45445</v>
      </c>
      <c r="E3911" t="s">
        <v>380</v>
      </c>
      <c r="F3911" t="s">
        <v>75</v>
      </c>
      <c r="I3911" s="6"/>
      <c r="J3911" s="6"/>
      <c r="K3911" s="6"/>
      <c r="L3911" s="6"/>
      <c r="M3911" s="6"/>
      <c r="N3911" s="6"/>
      <c r="O3911" s="6"/>
      <c r="P3911" s="6"/>
      <c r="Q3911">
        <v>0</v>
      </c>
      <c r="R3911">
        <f t="shared" si="305"/>
        <v>0</v>
      </c>
      <c r="S3911">
        <f t="shared" si="306"/>
        <v>0</v>
      </c>
      <c r="T3911">
        <f t="shared" si="307"/>
        <v>0</v>
      </c>
      <c r="U3911">
        <f t="shared" si="308"/>
        <v>0</v>
      </c>
      <c r="V3911">
        <f t="shared" si="309"/>
        <v>0</v>
      </c>
    </row>
    <row r="3912" spans="1:22" x14ac:dyDescent="0.25">
      <c r="A3912">
        <v>3909</v>
      </c>
      <c r="B3912" t="s">
        <v>26</v>
      </c>
      <c r="C3912" t="s">
        <v>1218</v>
      </c>
      <c r="D3912" s="4">
        <v>45445</v>
      </c>
      <c r="E3912" t="s">
        <v>2095</v>
      </c>
      <c r="F3912" t="s">
        <v>75</v>
      </c>
      <c r="I3912" s="6"/>
      <c r="J3912" s="6"/>
      <c r="K3912" s="6"/>
      <c r="L3912" s="6"/>
      <c r="M3912" s="6"/>
      <c r="N3912" s="6"/>
      <c r="O3912" s="6"/>
      <c r="P3912" s="6"/>
      <c r="Q3912">
        <v>0</v>
      </c>
      <c r="R3912">
        <f t="shared" si="305"/>
        <v>0</v>
      </c>
      <c r="S3912">
        <f t="shared" si="306"/>
        <v>0</v>
      </c>
      <c r="T3912">
        <f t="shared" si="307"/>
        <v>0</v>
      </c>
      <c r="U3912">
        <f t="shared" si="308"/>
        <v>0</v>
      </c>
      <c r="V3912">
        <f t="shared" si="309"/>
        <v>0</v>
      </c>
    </row>
    <row r="3913" spans="1:22" x14ac:dyDescent="0.25">
      <c r="A3913">
        <v>3910</v>
      </c>
      <c r="B3913" t="s">
        <v>26</v>
      </c>
      <c r="C3913" t="s">
        <v>1218</v>
      </c>
      <c r="D3913" s="4">
        <v>45445</v>
      </c>
      <c r="E3913" t="s">
        <v>2094</v>
      </c>
      <c r="F3913" t="s">
        <v>75</v>
      </c>
      <c r="I3913" s="6"/>
      <c r="J3913" s="6"/>
      <c r="K3913" s="6"/>
      <c r="L3913" s="6"/>
      <c r="M3913" s="6"/>
      <c r="N3913" s="6"/>
      <c r="O3913" s="6"/>
      <c r="P3913" s="6"/>
      <c r="Q3913">
        <v>0</v>
      </c>
      <c r="R3913">
        <f t="shared" si="305"/>
        <v>0</v>
      </c>
      <c r="S3913">
        <f t="shared" si="306"/>
        <v>0</v>
      </c>
      <c r="T3913">
        <f t="shared" si="307"/>
        <v>0</v>
      </c>
      <c r="U3913">
        <f t="shared" si="308"/>
        <v>0</v>
      </c>
      <c r="V3913">
        <f t="shared" si="309"/>
        <v>0</v>
      </c>
    </row>
    <row r="3914" spans="1:22" x14ac:dyDescent="0.25">
      <c r="A3914">
        <v>3911</v>
      </c>
      <c r="B3914" t="s">
        <v>26</v>
      </c>
      <c r="C3914" t="s">
        <v>1218</v>
      </c>
      <c r="D3914" s="4">
        <v>45445</v>
      </c>
      <c r="E3914" t="s">
        <v>2392</v>
      </c>
      <c r="F3914" t="s">
        <v>75</v>
      </c>
      <c r="I3914" s="6"/>
      <c r="J3914" s="6"/>
      <c r="K3914" s="6"/>
      <c r="L3914" s="6"/>
      <c r="M3914" s="6"/>
      <c r="N3914" s="6"/>
      <c r="O3914" s="6"/>
      <c r="P3914" s="6"/>
      <c r="Q3914">
        <v>0</v>
      </c>
      <c r="R3914">
        <f t="shared" si="305"/>
        <v>0</v>
      </c>
      <c r="S3914">
        <f t="shared" si="306"/>
        <v>0</v>
      </c>
      <c r="T3914">
        <f t="shared" si="307"/>
        <v>0</v>
      </c>
      <c r="U3914">
        <f t="shared" si="308"/>
        <v>0</v>
      </c>
      <c r="V3914">
        <f t="shared" si="309"/>
        <v>0</v>
      </c>
    </row>
    <row r="3915" spans="1:22" x14ac:dyDescent="0.25">
      <c r="A3915">
        <v>3912</v>
      </c>
      <c r="B3915" t="s">
        <v>26</v>
      </c>
      <c r="C3915" t="s">
        <v>1218</v>
      </c>
      <c r="D3915" s="4">
        <v>45445</v>
      </c>
      <c r="E3915" t="s">
        <v>2391</v>
      </c>
      <c r="F3915" t="s">
        <v>75</v>
      </c>
      <c r="I3915" s="6"/>
      <c r="J3915" s="6"/>
      <c r="K3915" s="6"/>
      <c r="L3915" s="6"/>
      <c r="M3915" s="6"/>
      <c r="N3915" s="6"/>
      <c r="O3915" s="6"/>
      <c r="P3915" s="6"/>
      <c r="Q3915">
        <v>0</v>
      </c>
      <c r="R3915">
        <f t="shared" si="305"/>
        <v>0</v>
      </c>
      <c r="S3915">
        <f t="shared" si="306"/>
        <v>0</v>
      </c>
      <c r="T3915">
        <f t="shared" si="307"/>
        <v>0</v>
      </c>
      <c r="U3915">
        <f t="shared" si="308"/>
        <v>0</v>
      </c>
      <c r="V3915">
        <f t="shared" si="309"/>
        <v>0</v>
      </c>
    </row>
    <row r="3916" spans="1:22" x14ac:dyDescent="0.25">
      <c r="A3916">
        <v>3913</v>
      </c>
      <c r="B3916" t="s">
        <v>26</v>
      </c>
      <c r="C3916" t="s">
        <v>1218</v>
      </c>
      <c r="D3916" s="4">
        <v>45445</v>
      </c>
      <c r="E3916" t="s">
        <v>2390</v>
      </c>
      <c r="F3916" t="s">
        <v>75</v>
      </c>
      <c r="I3916" s="6"/>
      <c r="J3916" s="6"/>
      <c r="K3916" s="6"/>
      <c r="L3916" s="6"/>
      <c r="M3916" s="6"/>
      <c r="N3916" s="6"/>
      <c r="O3916" s="6"/>
      <c r="P3916" s="6"/>
      <c r="Q3916">
        <v>0</v>
      </c>
      <c r="R3916">
        <f t="shared" si="305"/>
        <v>0</v>
      </c>
      <c r="S3916">
        <f t="shared" si="306"/>
        <v>0</v>
      </c>
      <c r="T3916">
        <f t="shared" si="307"/>
        <v>0</v>
      </c>
      <c r="U3916">
        <f t="shared" si="308"/>
        <v>0</v>
      </c>
      <c r="V3916">
        <f t="shared" si="309"/>
        <v>0</v>
      </c>
    </row>
    <row r="3917" spans="1:22" x14ac:dyDescent="0.25">
      <c r="A3917">
        <v>3914</v>
      </c>
      <c r="B3917" t="s">
        <v>26</v>
      </c>
      <c r="C3917" t="s">
        <v>1218</v>
      </c>
      <c r="D3917" s="4">
        <v>45445</v>
      </c>
      <c r="E3917" t="s">
        <v>2389</v>
      </c>
      <c r="F3917" t="s">
        <v>75</v>
      </c>
      <c r="I3917" s="6"/>
      <c r="J3917" s="6"/>
      <c r="K3917" s="6"/>
      <c r="L3917" s="6"/>
      <c r="M3917" s="6"/>
      <c r="N3917" s="6"/>
      <c r="O3917" s="6"/>
      <c r="P3917" s="6"/>
      <c r="Q3917">
        <v>0</v>
      </c>
      <c r="R3917">
        <f t="shared" si="305"/>
        <v>0</v>
      </c>
      <c r="S3917">
        <f t="shared" si="306"/>
        <v>0</v>
      </c>
      <c r="T3917">
        <f t="shared" si="307"/>
        <v>0</v>
      </c>
      <c r="U3917">
        <f t="shared" si="308"/>
        <v>0</v>
      </c>
      <c r="V3917">
        <f t="shared" si="309"/>
        <v>0</v>
      </c>
    </row>
    <row r="3918" spans="1:22" x14ac:dyDescent="0.25">
      <c r="A3918">
        <v>3915</v>
      </c>
      <c r="B3918" t="s">
        <v>26</v>
      </c>
      <c r="C3918" t="s">
        <v>1218</v>
      </c>
      <c r="D3918" s="4">
        <v>45445</v>
      </c>
      <c r="E3918" t="s">
        <v>2388</v>
      </c>
      <c r="F3918" t="s">
        <v>75</v>
      </c>
      <c r="I3918" s="6"/>
      <c r="J3918" s="6"/>
      <c r="K3918" s="6"/>
      <c r="L3918" s="6"/>
      <c r="M3918" s="6"/>
      <c r="N3918" s="6"/>
      <c r="O3918" s="6"/>
      <c r="P3918" s="6"/>
      <c r="Q3918">
        <v>0</v>
      </c>
      <c r="R3918">
        <f t="shared" si="305"/>
        <v>0</v>
      </c>
      <c r="S3918">
        <f t="shared" si="306"/>
        <v>0</v>
      </c>
      <c r="T3918">
        <f t="shared" si="307"/>
        <v>0</v>
      </c>
      <c r="U3918">
        <f t="shared" si="308"/>
        <v>0</v>
      </c>
      <c r="V3918">
        <f t="shared" si="309"/>
        <v>0</v>
      </c>
    </row>
    <row r="3919" spans="1:22" x14ac:dyDescent="0.25">
      <c r="A3919">
        <v>3916</v>
      </c>
      <c r="B3919" t="s">
        <v>26</v>
      </c>
      <c r="C3919" t="s">
        <v>1218</v>
      </c>
      <c r="D3919" s="4">
        <v>45445</v>
      </c>
      <c r="E3919" t="s">
        <v>2387</v>
      </c>
      <c r="F3919" t="s">
        <v>75</v>
      </c>
      <c r="I3919" s="6"/>
      <c r="J3919" s="6"/>
      <c r="K3919" s="6"/>
      <c r="L3919" s="6"/>
      <c r="M3919" s="6"/>
      <c r="N3919" s="6"/>
      <c r="O3919" s="6"/>
      <c r="P3919" s="6"/>
      <c r="Q3919">
        <v>0</v>
      </c>
      <c r="R3919">
        <f t="shared" si="305"/>
        <v>0</v>
      </c>
      <c r="S3919">
        <f t="shared" si="306"/>
        <v>0</v>
      </c>
      <c r="T3919">
        <f t="shared" si="307"/>
        <v>0</v>
      </c>
      <c r="U3919">
        <f t="shared" si="308"/>
        <v>0</v>
      </c>
      <c r="V3919">
        <f t="shared" si="309"/>
        <v>0</v>
      </c>
    </row>
    <row r="3920" spans="1:22" x14ac:dyDescent="0.25">
      <c r="A3920">
        <v>3917</v>
      </c>
      <c r="B3920" t="s">
        <v>26</v>
      </c>
      <c r="C3920" t="s">
        <v>1218</v>
      </c>
      <c r="D3920" s="4">
        <v>45445</v>
      </c>
      <c r="E3920" t="s">
        <v>2386</v>
      </c>
      <c r="F3920" t="s">
        <v>75</v>
      </c>
      <c r="I3920" s="6"/>
      <c r="J3920" s="6"/>
      <c r="K3920" s="6"/>
      <c r="L3920" s="6"/>
      <c r="M3920" s="6"/>
      <c r="N3920" s="6"/>
      <c r="O3920" s="6"/>
      <c r="P3920" s="6"/>
      <c r="Q3920">
        <v>0</v>
      </c>
      <c r="R3920">
        <f t="shared" si="305"/>
        <v>0</v>
      </c>
      <c r="S3920">
        <f t="shared" si="306"/>
        <v>0</v>
      </c>
      <c r="T3920">
        <f t="shared" si="307"/>
        <v>0</v>
      </c>
      <c r="U3920">
        <f t="shared" si="308"/>
        <v>0</v>
      </c>
      <c r="V3920">
        <f t="shared" si="309"/>
        <v>0</v>
      </c>
    </row>
    <row r="3921" spans="1:22" x14ac:dyDescent="0.25">
      <c r="A3921">
        <v>3918</v>
      </c>
      <c r="B3921" t="s">
        <v>26</v>
      </c>
      <c r="C3921" t="s">
        <v>1218</v>
      </c>
      <c r="D3921" s="4">
        <v>45445</v>
      </c>
      <c r="E3921" t="s">
        <v>381</v>
      </c>
      <c r="F3921" t="s">
        <v>75</v>
      </c>
      <c r="I3921" s="6"/>
      <c r="J3921" s="6"/>
      <c r="K3921" s="6"/>
      <c r="L3921" s="6"/>
      <c r="M3921" s="6"/>
      <c r="N3921" s="6"/>
      <c r="O3921" s="6"/>
      <c r="P3921" s="6"/>
      <c r="Q3921">
        <v>0</v>
      </c>
      <c r="R3921">
        <f t="shared" si="305"/>
        <v>0</v>
      </c>
      <c r="S3921">
        <f t="shared" si="306"/>
        <v>0</v>
      </c>
      <c r="T3921">
        <f t="shared" si="307"/>
        <v>0</v>
      </c>
      <c r="U3921">
        <f t="shared" si="308"/>
        <v>0</v>
      </c>
      <c r="V3921">
        <f t="shared" si="309"/>
        <v>0</v>
      </c>
    </row>
    <row r="3922" spans="1:22" x14ac:dyDescent="0.25">
      <c r="A3922">
        <v>3919</v>
      </c>
      <c r="B3922" t="s">
        <v>26</v>
      </c>
      <c r="C3922" t="s">
        <v>1218</v>
      </c>
      <c r="D3922" s="4">
        <v>45445</v>
      </c>
      <c r="E3922" t="s">
        <v>382</v>
      </c>
      <c r="F3922" t="s">
        <v>75</v>
      </c>
      <c r="I3922" s="6"/>
      <c r="J3922" s="6"/>
      <c r="K3922" s="6"/>
      <c r="L3922" s="6"/>
      <c r="M3922" s="6"/>
      <c r="N3922" s="6"/>
      <c r="O3922" s="6"/>
      <c r="P3922" s="6"/>
      <c r="Q3922">
        <v>0</v>
      </c>
      <c r="R3922">
        <f t="shared" si="305"/>
        <v>0</v>
      </c>
      <c r="S3922">
        <f t="shared" si="306"/>
        <v>0</v>
      </c>
      <c r="T3922">
        <f t="shared" si="307"/>
        <v>0</v>
      </c>
      <c r="U3922">
        <f t="shared" si="308"/>
        <v>0</v>
      </c>
      <c r="V3922">
        <f t="shared" si="309"/>
        <v>0</v>
      </c>
    </row>
    <row r="3923" spans="1:22" x14ac:dyDescent="0.25">
      <c r="A3923">
        <v>3920</v>
      </c>
      <c r="B3923" t="s">
        <v>26</v>
      </c>
      <c r="C3923" t="s">
        <v>1218</v>
      </c>
      <c r="D3923" s="4">
        <v>45445</v>
      </c>
      <c r="E3923" t="s">
        <v>2093</v>
      </c>
      <c r="F3923" t="s">
        <v>75</v>
      </c>
      <c r="I3923" s="6">
        <v>0</v>
      </c>
      <c r="J3923" s="6">
        <v>0</v>
      </c>
      <c r="K3923" s="6">
        <v>0</v>
      </c>
      <c r="L3923" s="6">
        <v>0</v>
      </c>
      <c r="M3923" s="6">
        <v>0</v>
      </c>
      <c r="N3923" s="6">
        <v>0</v>
      </c>
      <c r="O3923" s="6">
        <v>0</v>
      </c>
      <c r="P3923" s="6">
        <v>0</v>
      </c>
      <c r="Q3923">
        <v>1</v>
      </c>
      <c r="R3923">
        <f t="shared" si="305"/>
        <v>0</v>
      </c>
      <c r="S3923">
        <f t="shared" si="306"/>
        <v>1</v>
      </c>
      <c r="T3923">
        <f t="shared" si="307"/>
        <v>0</v>
      </c>
      <c r="U3923">
        <f t="shared" si="308"/>
        <v>0</v>
      </c>
      <c r="V3923">
        <f t="shared" si="309"/>
        <v>0</v>
      </c>
    </row>
    <row r="3924" spans="1:22" x14ac:dyDescent="0.25">
      <c r="A3924">
        <v>3921</v>
      </c>
      <c r="B3924" t="s">
        <v>26</v>
      </c>
      <c r="C3924" t="s">
        <v>1218</v>
      </c>
      <c r="D3924" s="4">
        <v>45445</v>
      </c>
      <c r="E3924" t="s">
        <v>1102</v>
      </c>
      <c r="F3924" t="s">
        <v>75</v>
      </c>
      <c r="I3924" s="6"/>
      <c r="J3924" s="6"/>
      <c r="K3924" s="6"/>
      <c r="L3924" s="6"/>
      <c r="M3924" s="6"/>
      <c r="N3924" s="6"/>
      <c r="O3924" s="6"/>
      <c r="P3924" s="6"/>
      <c r="Q3924">
        <v>0</v>
      </c>
      <c r="R3924">
        <f t="shared" si="305"/>
        <v>0</v>
      </c>
      <c r="S3924">
        <f t="shared" si="306"/>
        <v>0</v>
      </c>
      <c r="T3924">
        <f t="shared" si="307"/>
        <v>0</v>
      </c>
      <c r="U3924">
        <f t="shared" si="308"/>
        <v>0</v>
      </c>
      <c r="V3924">
        <f t="shared" si="309"/>
        <v>0</v>
      </c>
    </row>
    <row r="3925" spans="1:22" x14ac:dyDescent="0.25">
      <c r="A3925">
        <v>3922</v>
      </c>
      <c r="B3925" t="s">
        <v>26</v>
      </c>
      <c r="C3925" t="s">
        <v>1218</v>
      </c>
      <c r="D3925" s="4">
        <v>45445</v>
      </c>
      <c r="E3925" t="s">
        <v>1103</v>
      </c>
      <c r="F3925" t="s">
        <v>75</v>
      </c>
      <c r="I3925" s="6"/>
      <c r="J3925" s="6"/>
      <c r="K3925" s="6"/>
      <c r="L3925" s="6"/>
      <c r="M3925" s="6"/>
      <c r="N3925" s="6"/>
      <c r="O3925" s="6"/>
      <c r="P3925" s="6"/>
      <c r="Q3925">
        <v>0</v>
      </c>
      <c r="R3925">
        <f t="shared" si="305"/>
        <v>0</v>
      </c>
      <c r="S3925">
        <f t="shared" si="306"/>
        <v>0</v>
      </c>
      <c r="T3925">
        <f t="shared" si="307"/>
        <v>0</v>
      </c>
      <c r="U3925">
        <f t="shared" si="308"/>
        <v>0</v>
      </c>
      <c r="V3925">
        <f t="shared" si="309"/>
        <v>0</v>
      </c>
    </row>
    <row r="3926" spans="1:22" x14ac:dyDescent="0.25">
      <c r="A3926">
        <v>3923</v>
      </c>
      <c r="B3926" t="s">
        <v>26</v>
      </c>
      <c r="C3926" t="s">
        <v>1218</v>
      </c>
      <c r="D3926" s="4">
        <v>45445</v>
      </c>
      <c r="E3926" t="s">
        <v>2092</v>
      </c>
      <c r="F3926" t="s">
        <v>75</v>
      </c>
      <c r="I3926" s="6"/>
      <c r="J3926" s="6"/>
      <c r="K3926" s="6"/>
      <c r="L3926" s="6"/>
      <c r="M3926" s="6"/>
      <c r="N3926" s="6"/>
      <c r="O3926" s="6"/>
      <c r="P3926" s="6"/>
      <c r="Q3926">
        <v>0</v>
      </c>
      <c r="R3926">
        <f t="shared" si="305"/>
        <v>0</v>
      </c>
      <c r="S3926">
        <f t="shared" si="306"/>
        <v>0</v>
      </c>
      <c r="T3926">
        <f t="shared" si="307"/>
        <v>0</v>
      </c>
      <c r="U3926">
        <f t="shared" si="308"/>
        <v>0</v>
      </c>
      <c r="V3926">
        <f t="shared" si="309"/>
        <v>0</v>
      </c>
    </row>
    <row r="3927" spans="1:22" x14ac:dyDescent="0.25">
      <c r="A3927">
        <v>3924</v>
      </c>
      <c r="B3927" t="s">
        <v>26</v>
      </c>
      <c r="C3927" t="s">
        <v>1218</v>
      </c>
      <c r="D3927" s="4">
        <v>45445</v>
      </c>
      <c r="E3927" t="s">
        <v>2091</v>
      </c>
      <c r="F3927" t="s">
        <v>75</v>
      </c>
      <c r="I3927" s="6"/>
      <c r="J3927" s="6"/>
      <c r="K3927" s="6"/>
      <c r="L3927" s="6"/>
      <c r="M3927" s="6"/>
      <c r="N3927" s="6"/>
      <c r="O3927" s="6"/>
      <c r="P3927" s="6"/>
      <c r="Q3927">
        <v>0</v>
      </c>
      <c r="R3927">
        <f t="shared" si="305"/>
        <v>0</v>
      </c>
      <c r="S3927">
        <f t="shared" si="306"/>
        <v>0</v>
      </c>
      <c r="T3927">
        <f t="shared" si="307"/>
        <v>0</v>
      </c>
      <c r="U3927">
        <f t="shared" si="308"/>
        <v>0</v>
      </c>
      <c r="V3927">
        <f t="shared" si="309"/>
        <v>0</v>
      </c>
    </row>
    <row r="3928" spans="1:22" x14ac:dyDescent="0.25">
      <c r="A3928">
        <v>3925</v>
      </c>
      <c r="B3928" t="s">
        <v>26</v>
      </c>
      <c r="C3928" t="s">
        <v>1218</v>
      </c>
      <c r="D3928" s="4">
        <v>45445</v>
      </c>
      <c r="E3928" t="s">
        <v>1423</v>
      </c>
      <c r="F3928" t="s">
        <v>75</v>
      </c>
      <c r="I3928" s="6">
        <v>0</v>
      </c>
      <c r="J3928" s="6">
        <v>0</v>
      </c>
      <c r="K3928" s="6">
        <v>0</v>
      </c>
      <c r="L3928" s="6">
        <v>0</v>
      </c>
      <c r="M3928" s="6">
        <v>0</v>
      </c>
      <c r="N3928" s="6">
        <v>0</v>
      </c>
      <c r="O3928" s="6">
        <v>0</v>
      </c>
      <c r="P3928" s="6">
        <v>0</v>
      </c>
      <c r="Q3928">
        <v>1</v>
      </c>
      <c r="R3928">
        <f t="shared" si="305"/>
        <v>0</v>
      </c>
      <c r="S3928">
        <f t="shared" si="306"/>
        <v>1</v>
      </c>
      <c r="T3928">
        <f t="shared" si="307"/>
        <v>0</v>
      </c>
      <c r="U3928">
        <f t="shared" si="308"/>
        <v>0</v>
      </c>
      <c r="V3928">
        <f t="shared" si="309"/>
        <v>0</v>
      </c>
    </row>
    <row r="3929" spans="1:22" x14ac:dyDescent="0.25">
      <c r="A3929">
        <v>3926</v>
      </c>
      <c r="B3929" t="s">
        <v>26</v>
      </c>
      <c r="C3929" t="s">
        <v>1218</v>
      </c>
      <c r="D3929" s="4">
        <v>45446</v>
      </c>
      <c r="E3929" t="s">
        <v>383</v>
      </c>
      <c r="F3929" t="s">
        <v>75</v>
      </c>
      <c r="I3929" s="6"/>
      <c r="J3929" s="6"/>
      <c r="K3929" s="6"/>
      <c r="L3929" s="6"/>
      <c r="M3929" s="6"/>
      <c r="N3929" s="6"/>
      <c r="O3929" s="6"/>
      <c r="P3929" s="6"/>
      <c r="Q3929">
        <v>0</v>
      </c>
      <c r="R3929">
        <f t="shared" si="305"/>
        <v>0</v>
      </c>
      <c r="S3929">
        <f t="shared" si="306"/>
        <v>0</v>
      </c>
      <c r="T3929">
        <f t="shared" si="307"/>
        <v>0</v>
      </c>
      <c r="U3929">
        <f t="shared" si="308"/>
        <v>0</v>
      </c>
      <c r="V3929">
        <f t="shared" si="309"/>
        <v>0</v>
      </c>
    </row>
    <row r="3930" spans="1:22" x14ac:dyDescent="0.25">
      <c r="A3930">
        <v>3927</v>
      </c>
      <c r="B3930" t="s">
        <v>26</v>
      </c>
      <c r="C3930" t="s">
        <v>1218</v>
      </c>
      <c r="D3930" s="4">
        <v>45446</v>
      </c>
      <c r="E3930" t="s">
        <v>384</v>
      </c>
      <c r="F3930" t="s">
        <v>75</v>
      </c>
      <c r="I3930" s="6"/>
      <c r="J3930" s="6"/>
      <c r="K3930" s="6"/>
      <c r="L3930" s="6"/>
      <c r="M3930" s="6"/>
      <c r="N3930" s="6"/>
      <c r="O3930" s="6"/>
      <c r="P3930" s="6"/>
      <c r="Q3930">
        <v>0</v>
      </c>
      <c r="R3930">
        <f t="shared" si="305"/>
        <v>0</v>
      </c>
      <c r="S3930">
        <f t="shared" si="306"/>
        <v>0</v>
      </c>
      <c r="T3930">
        <f t="shared" si="307"/>
        <v>0</v>
      </c>
      <c r="U3930">
        <f t="shared" si="308"/>
        <v>0</v>
      </c>
      <c r="V3930">
        <f t="shared" si="309"/>
        <v>0</v>
      </c>
    </row>
    <row r="3931" spans="1:22" x14ac:dyDescent="0.25">
      <c r="A3931">
        <v>3928</v>
      </c>
      <c r="B3931" t="s">
        <v>26</v>
      </c>
      <c r="C3931" t="s">
        <v>1218</v>
      </c>
      <c r="D3931" s="4">
        <v>45446</v>
      </c>
      <c r="E3931" t="s">
        <v>385</v>
      </c>
      <c r="F3931" t="s">
        <v>75</v>
      </c>
      <c r="I3931" s="6"/>
      <c r="J3931" s="6"/>
      <c r="K3931" s="6"/>
      <c r="L3931" s="6"/>
      <c r="M3931" s="6"/>
      <c r="N3931" s="6"/>
      <c r="O3931" s="6"/>
      <c r="P3931" s="6"/>
      <c r="Q3931">
        <v>0</v>
      </c>
      <c r="R3931">
        <f t="shared" si="305"/>
        <v>0</v>
      </c>
      <c r="S3931">
        <f t="shared" si="306"/>
        <v>0</v>
      </c>
      <c r="T3931">
        <f t="shared" si="307"/>
        <v>0</v>
      </c>
      <c r="U3931">
        <f t="shared" si="308"/>
        <v>0</v>
      </c>
      <c r="V3931">
        <f t="shared" si="309"/>
        <v>0</v>
      </c>
    </row>
    <row r="3932" spans="1:22" x14ac:dyDescent="0.25">
      <c r="A3932">
        <v>3929</v>
      </c>
      <c r="B3932" t="s">
        <v>26</v>
      </c>
      <c r="C3932" t="s">
        <v>1218</v>
      </c>
      <c r="D3932" s="4">
        <v>45446</v>
      </c>
      <c r="E3932" t="s">
        <v>386</v>
      </c>
      <c r="F3932" t="s">
        <v>75</v>
      </c>
      <c r="I3932" s="6"/>
      <c r="J3932" s="6"/>
      <c r="K3932" s="6"/>
      <c r="L3932" s="6"/>
      <c r="M3932" s="6"/>
      <c r="N3932" s="6"/>
      <c r="O3932" s="6"/>
      <c r="P3932" s="6"/>
      <c r="Q3932">
        <v>0</v>
      </c>
      <c r="R3932">
        <f t="shared" si="305"/>
        <v>0</v>
      </c>
      <c r="S3932">
        <f t="shared" si="306"/>
        <v>0</v>
      </c>
      <c r="T3932">
        <f t="shared" si="307"/>
        <v>0</v>
      </c>
      <c r="U3932">
        <f t="shared" si="308"/>
        <v>0</v>
      </c>
      <c r="V3932">
        <f t="shared" si="309"/>
        <v>0</v>
      </c>
    </row>
    <row r="3933" spans="1:22" x14ac:dyDescent="0.25">
      <c r="A3933">
        <v>3930</v>
      </c>
      <c r="B3933" t="s">
        <v>26</v>
      </c>
      <c r="C3933" t="s">
        <v>1218</v>
      </c>
      <c r="D3933" s="4">
        <v>45446</v>
      </c>
      <c r="E3933" t="s">
        <v>492</v>
      </c>
      <c r="F3933" t="s">
        <v>75</v>
      </c>
      <c r="I3933" s="6"/>
      <c r="J3933" s="6"/>
      <c r="K3933" s="6"/>
      <c r="L3933" s="6"/>
      <c r="M3933" s="6"/>
      <c r="N3933" s="6"/>
      <c r="O3933" s="6"/>
      <c r="P3933" s="6"/>
      <c r="Q3933">
        <v>0</v>
      </c>
      <c r="R3933">
        <f t="shared" si="305"/>
        <v>0</v>
      </c>
      <c r="S3933">
        <f t="shared" si="306"/>
        <v>0</v>
      </c>
      <c r="T3933">
        <f t="shared" si="307"/>
        <v>0</v>
      </c>
      <c r="U3933">
        <f t="shared" si="308"/>
        <v>0</v>
      </c>
      <c r="V3933">
        <f t="shared" si="309"/>
        <v>0</v>
      </c>
    </row>
    <row r="3934" spans="1:22" x14ac:dyDescent="0.25">
      <c r="A3934">
        <v>3931</v>
      </c>
      <c r="B3934" t="s">
        <v>26</v>
      </c>
      <c r="C3934" t="s">
        <v>1218</v>
      </c>
      <c r="D3934" s="4">
        <v>45447</v>
      </c>
      <c r="E3934" t="s">
        <v>387</v>
      </c>
      <c r="F3934" t="s">
        <v>75</v>
      </c>
      <c r="H3934" t="s">
        <v>1424</v>
      </c>
      <c r="I3934" s="6">
        <v>0</v>
      </c>
      <c r="J3934" s="6">
        <v>0</v>
      </c>
      <c r="K3934" s="6">
        <v>0</v>
      </c>
      <c r="L3934" s="6">
        <v>1</v>
      </c>
      <c r="M3934" s="6">
        <v>1</v>
      </c>
      <c r="N3934" s="6">
        <v>1</v>
      </c>
      <c r="O3934" s="6">
        <v>0</v>
      </c>
      <c r="P3934" s="6">
        <v>0</v>
      </c>
      <c r="Q3934">
        <v>1</v>
      </c>
      <c r="R3934">
        <f t="shared" si="305"/>
        <v>0</v>
      </c>
      <c r="S3934">
        <f t="shared" si="306"/>
        <v>1</v>
      </c>
      <c r="T3934">
        <f t="shared" si="307"/>
        <v>3</v>
      </c>
      <c r="U3934">
        <f t="shared" si="308"/>
        <v>1</v>
      </c>
      <c r="V3934">
        <f t="shared" si="309"/>
        <v>0</v>
      </c>
    </row>
    <row r="3935" spans="1:22" x14ac:dyDescent="0.25">
      <c r="A3935">
        <v>3932</v>
      </c>
      <c r="B3935" t="s">
        <v>26</v>
      </c>
      <c r="C3935" t="s">
        <v>1218</v>
      </c>
      <c r="D3935" s="4">
        <v>45447</v>
      </c>
      <c r="E3935" t="s">
        <v>494</v>
      </c>
      <c r="F3935" t="s">
        <v>75</v>
      </c>
      <c r="I3935" s="6"/>
      <c r="J3935" s="6"/>
      <c r="K3935" s="6"/>
      <c r="L3935" s="6"/>
      <c r="M3935" s="6"/>
      <c r="N3935" s="6"/>
      <c r="O3935" s="6"/>
      <c r="P3935" s="6"/>
      <c r="Q3935">
        <v>0</v>
      </c>
      <c r="R3935">
        <f t="shared" si="305"/>
        <v>0</v>
      </c>
      <c r="S3935">
        <f t="shared" si="306"/>
        <v>0</v>
      </c>
      <c r="T3935">
        <f t="shared" si="307"/>
        <v>0</v>
      </c>
      <c r="U3935">
        <f t="shared" si="308"/>
        <v>0</v>
      </c>
      <c r="V3935">
        <f t="shared" si="309"/>
        <v>0</v>
      </c>
    </row>
    <row r="3936" spans="1:22" x14ac:dyDescent="0.25">
      <c r="A3936">
        <v>3933</v>
      </c>
      <c r="B3936" t="s">
        <v>26</v>
      </c>
      <c r="C3936" t="s">
        <v>1218</v>
      </c>
      <c r="D3936" s="4">
        <v>45447</v>
      </c>
      <c r="E3936" t="s">
        <v>900</v>
      </c>
      <c r="F3936" t="s">
        <v>75</v>
      </c>
      <c r="I3936" s="6">
        <v>0</v>
      </c>
      <c r="J3936" s="6">
        <v>0</v>
      </c>
      <c r="K3936" s="6">
        <v>0</v>
      </c>
      <c r="L3936" s="6">
        <v>0</v>
      </c>
      <c r="M3936" s="6">
        <v>0</v>
      </c>
      <c r="N3936" s="6">
        <v>0</v>
      </c>
      <c r="O3936" s="6">
        <v>0</v>
      </c>
      <c r="P3936" s="6">
        <v>0</v>
      </c>
      <c r="Q3936">
        <v>1</v>
      </c>
      <c r="R3936">
        <f t="shared" si="305"/>
        <v>0</v>
      </c>
      <c r="S3936">
        <f t="shared" si="306"/>
        <v>1</v>
      </c>
      <c r="T3936">
        <f t="shared" si="307"/>
        <v>0</v>
      </c>
      <c r="U3936">
        <f t="shared" si="308"/>
        <v>0</v>
      </c>
      <c r="V3936">
        <f t="shared" si="309"/>
        <v>0</v>
      </c>
    </row>
    <row r="3937" spans="1:22" x14ac:dyDescent="0.25">
      <c r="A3937">
        <v>3934</v>
      </c>
      <c r="B3937" t="s">
        <v>26</v>
      </c>
      <c r="C3937" t="s">
        <v>1218</v>
      </c>
      <c r="D3937" s="4">
        <v>45447</v>
      </c>
      <c r="E3937" t="s">
        <v>1029</v>
      </c>
      <c r="F3937" t="s">
        <v>75</v>
      </c>
      <c r="I3937" s="6"/>
      <c r="J3937" s="6"/>
      <c r="K3937" s="6"/>
      <c r="L3937" s="6"/>
      <c r="M3937" s="6"/>
      <c r="N3937" s="6"/>
      <c r="O3937" s="6"/>
      <c r="P3937" s="6"/>
      <c r="Q3937">
        <v>0</v>
      </c>
      <c r="R3937">
        <f t="shared" si="305"/>
        <v>0</v>
      </c>
      <c r="S3937">
        <f t="shared" si="306"/>
        <v>0</v>
      </c>
      <c r="T3937">
        <f t="shared" si="307"/>
        <v>0</v>
      </c>
      <c r="U3937">
        <f t="shared" si="308"/>
        <v>0</v>
      </c>
      <c r="V3937">
        <f t="shared" si="309"/>
        <v>0</v>
      </c>
    </row>
    <row r="3938" spans="1:22" x14ac:dyDescent="0.25">
      <c r="A3938">
        <v>3935</v>
      </c>
      <c r="B3938" t="s">
        <v>26</v>
      </c>
      <c r="C3938" t="s">
        <v>1218</v>
      </c>
      <c r="D3938" s="4">
        <v>45447</v>
      </c>
      <c r="E3938" t="s">
        <v>495</v>
      </c>
      <c r="F3938" t="s">
        <v>75</v>
      </c>
      <c r="I3938" s="6"/>
      <c r="J3938" s="6"/>
      <c r="K3938" s="6"/>
      <c r="L3938" s="6"/>
      <c r="M3938" s="6"/>
      <c r="N3938" s="6"/>
      <c r="O3938" s="6"/>
      <c r="P3938" s="6"/>
      <c r="Q3938">
        <v>0</v>
      </c>
      <c r="R3938">
        <f t="shared" si="305"/>
        <v>0</v>
      </c>
      <c r="S3938">
        <f t="shared" si="306"/>
        <v>0</v>
      </c>
      <c r="T3938">
        <f t="shared" si="307"/>
        <v>0</v>
      </c>
      <c r="U3938">
        <f t="shared" si="308"/>
        <v>0</v>
      </c>
      <c r="V3938">
        <f t="shared" si="309"/>
        <v>0</v>
      </c>
    </row>
    <row r="3939" spans="1:22" x14ac:dyDescent="0.25">
      <c r="A3939">
        <v>3936</v>
      </c>
      <c r="B3939" t="s">
        <v>26</v>
      </c>
      <c r="C3939" t="s">
        <v>1218</v>
      </c>
      <c r="D3939" s="4">
        <v>45447</v>
      </c>
      <c r="E3939" t="s">
        <v>496</v>
      </c>
      <c r="F3939" t="s">
        <v>75</v>
      </c>
      <c r="I3939" s="6">
        <v>1</v>
      </c>
      <c r="J3939" s="6">
        <v>0</v>
      </c>
      <c r="K3939" s="6">
        <v>0</v>
      </c>
      <c r="L3939" s="6">
        <v>0</v>
      </c>
      <c r="M3939" s="6">
        <v>0</v>
      </c>
      <c r="N3939" s="6">
        <v>0</v>
      </c>
      <c r="O3939" s="6">
        <v>0</v>
      </c>
      <c r="P3939" s="6">
        <v>0</v>
      </c>
      <c r="Q3939">
        <v>1</v>
      </c>
      <c r="R3939">
        <f t="shared" si="305"/>
        <v>0</v>
      </c>
      <c r="S3939">
        <f t="shared" si="306"/>
        <v>1</v>
      </c>
      <c r="T3939">
        <f t="shared" si="307"/>
        <v>1</v>
      </c>
      <c r="U3939">
        <f t="shared" si="308"/>
        <v>1</v>
      </c>
      <c r="V3939">
        <f t="shared" si="309"/>
        <v>0</v>
      </c>
    </row>
    <row r="3940" spans="1:22" x14ac:dyDescent="0.25">
      <c r="A3940">
        <v>3937</v>
      </c>
      <c r="B3940" t="s">
        <v>26</v>
      </c>
      <c r="C3940" t="s">
        <v>1218</v>
      </c>
      <c r="D3940" s="4">
        <v>45447</v>
      </c>
      <c r="E3940" t="s">
        <v>2087</v>
      </c>
      <c r="F3940" t="s">
        <v>75</v>
      </c>
      <c r="I3940" s="6"/>
      <c r="J3940" s="6"/>
      <c r="K3940" s="6"/>
      <c r="L3940" s="6"/>
      <c r="M3940" s="6"/>
      <c r="N3940" s="6"/>
      <c r="O3940" s="6"/>
      <c r="P3940" s="6"/>
      <c r="Q3940">
        <v>0</v>
      </c>
      <c r="R3940">
        <f t="shared" si="305"/>
        <v>0</v>
      </c>
      <c r="S3940">
        <f t="shared" si="306"/>
        <v>0</v>
      </c>
      <c r="T3940">
        <f t="shared" si="307"/>
        <v>0</v>
      </c>
      <c r="U3940">
        <f t="shared" si="308"/>
        <v>0</v>
      </c>
      <c r="V3940">
        <f t="shared" si="309"/>
        <v>0</v>
      </c>
    </row>
    <row r="3941" spans="1:22" x14ac:dyDescent="0.25">
      <c r="A3941">
        <v>3938</v>
      </c>
      <c r="B3941" t="s">
        <v>26</v>
      </c>
      <c r="C3941" t="s">
        <v>1218</v>
      </c>
      <c r="D3941" s="4">
        <v>45448</v>
      </c>
      <c r="E3941" t="s">
        <v>497</v>
      </c>
      <c r="F3941" t="s">
        <v>710</v>
      </c>
      <c r="G3941">
        <v>215</v>
      </c>
      <c r="H3941" t="s">
        <v>1425</v>
      </c>
      <c r="I3941" s="6">
        <v>0</v>
      </c>
      <c r="J3941" s="6">
        <v>0</v>
      </c>
      <c r="K3941" s="6">
        <v>0</v>
      </c>
      <c r="L3941" s="6">
        <v>1</v>
      </c>
      <c r="M3941" s="6">
        <v>0</v>
      </c>
      <c r="N3941" s="6">
        <v>0</v>
      </c>
      <c r="O3941" s="6">
        <v>0</v>
      </c>
      <c r="P3941" s="6">
        <v>0</v>
      </c>
      <c r="Q3941">
        <v>1</v>
      </c>
      <c r="R3941">
        <f t="shared" si="305"/>
        <v>0</v>
      </c>
      <c r="S3941">
        <f t="shared" si="306"/>
        <v>0</v>
      </c>
      <c r="T3941">
        <f t="shared" si="307"/>
        <v>1</v>
      </c>
      <c r="U3941">
        <f t="shared" si="308"/>
        <v>1</v>
      </c>
      <c r="V3941">
        <f t="shared" si="309"/>
        <v>0</v>
      </c>
    </row>
    <row r="3942" spans="1:22" x14ac:dyDescent="0.25">
      <c r="A3942">
        <v>3939</v>
      </c>
      <c r="B3942" t="s">
        <v>26</v>
      </c>
      <c r="C3942" t="s">
        <v>1218</v>
      </c>
      <c r="D3942" s="4">
        <v>45448</v>
      </c>
      <c r="E3942" t="s">
        <v>388</v>
      </c>
      <c r="F3942" t="s">
        <v>75</v>
      </c>
      <c r="I3942" s="6"/>
      <c r="J3942" s="6"/>
      <c r="K3942" s="6"/>
      <c r="L3942" s="6"/>
      <c r="M3942" s="6"/>
      <c r="N3942" s="6"/>
      <c r="O3942" s="6"/>
      <c r="P3942" s="6"/>
      <c r="Q3942">
        <v>0</v>
      </c>
      <c r="R3942">
        <f t="shared" si="305"/>
        <v>0</v>
      </c>
      <c r="S3942">
        <f t="shared" si="306"/>
        <v>0</v>
      </c>
      <c r="T3942">
        <f t="shared" si="307"/>
        <v>0</v>
      </c>
      <c r="U3942">
        <f t="shared" si="308"/>
        <v>0</v>
      </c>
      <c r="V3942">
        <f t="shared" si="309"/>
        <v>0</v>
      </c>
    </row>
    <row r="3943" spans="1:22" x14ac:dyDescent="0.25">
      <c r="A3943">
        <v>3940</v>
      </c>
      <c r="B3943" t="s">
        <v>26</v>
      </c>
      <c r="C3943" t="s">
        <v>1218</v>
      </c>
      <c r="D3943" s="4">
        <v>45448</v>
      </c>
      <c r="E3943" t="s">
        <v>500</v>
      </c>
      <c r="F3943" t="s">
        <v>75</v>
      </c>
      <c r="I3943" s="6"/>
      <c r="J3943" s="6"/>
      <c r="K3943" s="6"/>
      <c r="L3943" s="6"/>
      <c r="M3943" s="6"/>
      <c r="N3943" s="6"/>
      <c r="O3943" s="6"/>
      <c r="P3943" s="6"/>
      <c r="Q3943">
        <v>0</v>
      </c>
      <c r="R3943">
        <f t="shared" si="305"/>
        <v>0</v>
      </c>
      <c r="S3943">
        <f t="shared" si="306"/>
        <v>0</v>
      </c>
      <c r="T3943">
        <f t="shared" si="307"/>
        <v>0</v>
      </c>
      <c r="U3943">
        <f t="shared" si="308"/>
        <v>0</v>
      </c>
      <c r="V3943">
        <f t="shared" si="309"/>
        <v>0</v>
      </c>
    </row>
    <row r="3944" spans="1:22" x14ac:dyDescent="0.25">
      <c r="A3944">
        <v>3941</v>
      </c>
      <c r="B3944" t="s">
        <v>26</v>
      </c>
      <c r="C3944" t="s">
        <v>1218</v>
      </c>
      <c r="D3944" s="4">
        <v>45449</v>
      </c>
      <c r="E3944" t="s">
        <v>389</v>
      </c>
      <c r="F3944" t="s">
        <v>75</v>
      </c>
      <c r="I3944" s="6"/>
      <c r="J3944" s="6"/>
      <c r="K3944" s="6"/>
      <c r="L3944" s="6"/>
      <c r="M3944" s="6"/>
      <c r="N3944" s="6"/>
      <c r="O3944" s="6"/>
      <c r="P3944" s="6"/>
      <c r="Q3944">
        <v>0</v>
      </c>
      <c r="R3944">
        <f t="shared" si="305"/>
        <v>0</v>
      </c>
      <c r="S3944">
        <f t="shared" si="306"/>
        <v>0</v>
      </c>
      <c r="T3944">
        <f t="shared" si="307"/>
        <v>0</v>
      </c>
      <c r="U3944">
        <f t="shared" si="308"/>
        <v>0</v>
      </c>
      <c r="V3944">
        <f t="shared" si="309"/>
        <v>0</v>
      </c>
    </row>
    <row r="3945" spans="1:22" x14ac:dyDescent="0.25">
      <c r="A3945">
        <v>3942</v>
      </c>
      <c r="B3945" t="s">
        <v>26</v>
      </c>
      <c r="C3945" t="s">
        <v>1218</v>
      </c>
      <c r="D3945" s="4">
        <v>45449</v>
      </c>
      <c r="E3945" t="s">
        <v>507</v>
      </c>
      <c r="F3945" t="s">
        <v>75</v>
      </c>
      <c r="I3945" s="6"/>
      <c r="J3945" s="6"/>
      <c r="K3945" s="6"/>
      <c r="L3945" s="6"/>
      <c r="M3945" s="6"/>
      <c r="N3945" s="6"/>
      <c r="O3945" s="6"/>
      <c r="P3945" s="6"/>
      <c r="Q3945">
        <v>0</v>
      </c>
      <c r="R3945">
        <f t="shared" si="305"/>
        <v>0</v>
      </c>
      <c r="S3945">
        <f t="shared" si="306"/>
        <v>0</v>
      </c>
      <c r="T3945">
        <f t="shared" si="307"/>
        <v>0</v>
      </c>
      <c r="U3945">
        <f t="shared" si="308"/>
        <v>0</v>
      </c>
      <c r="V3945">
        <f t="shared" si="309"/>
        <v>0</v>
      </c>
    </row>
    <row r="3946" spans="1:22" x14ac:dyDescent="0.25">
      <c r="A3946">
        <v>3943</v>
      </c>
      <c r="B3946" t="s">
        <v>26</v>
      </c>
      <c r="C3946" t="s">
        <v>1218</v>
      </c>
      <c r="D3946" s="4">
        <v>45449</v>
      </c>
      <c r="E3946" t="s">
        <v>390</v>
      </c>
      <c r="F3946" t="s">
        <v>75</v>
      </c>
      <c r="I3946" s="6"/>
      <c r="J3946" s="6"/>
      <c r="K3946" s="6"/>
      <c r="L3946" s="6"/>
      <c r="M3946" s="6"/>
      <c r="N3946" s="6"/>
      <c r="O3946" s="6"/>
      <c r="P3946" s="6"/>
      <c r="Q3946">
        <v>0</v>
      </c>
      <c r="R3946">
        <f t="shared" si="305"/>
        <v>0</v>
      </c>
      <c r="S3946">
        <f t="shared" si="306"/>
        <v>0</v>
      </c>
      <c r="T3946">
        <f t="shared" si="307"/>
        <v>0</v>
      </c>
      <c r="U3946">
        <f t="shared" si="308"/>
        <v>0</v>
      </c>
      <c r="V3946">
        <f t="shared" si="309"/>
        <v>0</v>
      </c>
    </row>
    <row r="3947" spans="1:22" x14ac:dyDescent="0.25">
      <c r="A3947">
        <v>3944</v>
      </c>
      <c r="B3947" t="s">
        <v>26</v>
      </c>
      <c r="C3947" t="s">
        <v>1218</v>
      </c>
      <c r="D3947" s="4">
        <v>45450</v>
      </c>
      <c r="E3947" t="s">
        <v>392</v>
      </c>
      <c r="F3947" t="s">
        <v>75</v>
      </c>
      <c r="I3947" s="6"/>
      <c r="J3947" s="6"/>
      <c r="K3947" s="6"/>
      <c r="L3947" s="6"/>
      <c r="M3947" s="6"/>
      <c r="N3947" s="6"/>
      <c r="O3947" s="6"/>
      <c r="P3947" s="6"/>
      <c r="Q3947">
        <v>0</v>
      </c>
      <c r="R3947">
        <f t="shared" si="305"/>
        <v>0</v>
      </c>
      <c r="S3947">
        <f t="shared" si="306"/>
        <v>0</v>
      </c>
      <c r="T3947">
        <f t="shared" si="307"/>
        <v>0</v>
      </c>
      <c r="U3947">
        <f t="shared" si="308"/>
        <v>0</v>
      </c>
      <c r="V3947">
        <f t="shared" si="309"/>
        <v>0</v>
      </c>
    </row>
    <row r="3948" spans="1:22" x14ac:dyDescent="0.25">
      <c r="A3948">
        <v>3945</v>
      </c>
      <c r="B3948" t="s">
        <v>26</v>
      </c>
      <c r="C3948" t="s">
        <v>1218</v>
      </c>
      <c r="D3948" s="4">
        <v>45450</v>
      </c>
      <c r="E3948" t="s">
        <v>515</v>
      </c>
      <c r="F3948" t="s">
        <v>75</v>
      </c>
      <c r="I3948" s="6"/>
      <c r="J3948" s="6"/>
      <c r="K3948" s="6"/>
      <c r="L3948" s="6"/>
      <c r="M3948" s="6"/>
      <c r="N3948" s="6"/>
      <c r="O3948" s="6"/>
      <c r="P3948" s="6"/>
      <c r="Q3948">
        <v>0</v>
      </c>
      <c r="R3948">
        <f t="shared" si="305"/>
        <v>0</v>
      </c>
      <c r="S3948">
        <f t="shared" si="306"/>
        <v>0</v>
      </c>
      <c r="T3948">
        <f t="shared" si="307"/>
        <v>0</v>
      </c>
      <c r="U3948">
        <f t="shared" si="308"/>
        <v>0</v>
      </c>
      <c r="V3948">
        <f t="shared" si="309"/>
        <v>0</v>
      </c>
    </row>
    <row r="3949" spans="1:22" x14ac:dyDescent="0.25">
      <c r="A3949">
        <v>3946</v>
      </c>
      <c r="B3949" t="s">
        <v>26</v>
      </c>
      <c r="C3949" t="s">
        <v>1218</v>
      </c>
      <c r="D3949" s="4">
        <v>45450</v>
      </c>
      <c r="E3949" t="s">
        <v>516</v>
      </c>
      <c r="F3949" t="s">
        <v>75</v>
      </c>
      <c r="I3949" s="6"/>
      <c r="J3949" s="6"/>
      <c r="K3949" s="6"/>
      <c r="L3949" s="6"/>
      <c r="M3949" s="6"/>
      <c r="N3949" s="6"/>
      <c r="O3949" s="6"/>
      <c r="P3949" s="6"/>
      <c r="Q3949">
        <v>0</v>
      </c>
      <c r="R3949">
        <f t="shared" si="305"/>
        <v>0</v>
      </c>
      <c r="S3949">
        <f t="shared" si="306"/>
        <v>0</v>
      </c>
      <c r="T3949">
        <f t="shared" si="307"/>
        <v>0</v>
      </c>
      <c r="U3949">
        <f t="shared" si="308"/>
        <v>0</v>
      </c>
      <c r="V3949">
        <f t="shared" si="309"/>
        <v>0</v>
      </c>
    </row>
    <row r="3950" spans="1:22" x14ac:dyDescent="0.25">
      <c r="A3950">
        <v>3947</v>
      </c>
      <c r="B3950" t="s">
        <v>26</v>
      </c>
      <c r="C3950" t="s">
        <v>1218</v>
      </c>
      <c r="D3950" s="4">
        <v>45450</v>
      </c>
      <c r="E3950" t="s">
        <v>517</v>
      </c>
      <c r="F3950" t="s">
        <v>75</v>
      </c>
      <c r="I3950" s="6"/>
      <c r="J3950" s="6"/>
      <c r="K3950" s="6"/>
      <c r="L3950" s="6"/>
      <c r="M3950" s="6"/>
      <c r="N3950" s="6"/>
      <c r="O3950" s="6"/>
      <c r="P3950" s="6"/>
      <c r="Q3950">
        <v>0</v>
      </c>
      <c r="R3950">
        <f t="shared" si="305"/>
        <v>0</v>
      </c>
      <c r="S3950">
        <f t="shared" si="306"/>
        <v>0</v>
      </c>
      <c r="T3950">
        <f t="shared" si="307"/>
        <v>0</v>
      </c>
      <c r="U3950">
        <f t="shared" si="308"/>
        <v>0</v>
      </c>
      <c r="V3950">
        <f t="shared" si="309"/>
        <v>0</v>
      </c>
    </row>
    <row r="3951" spans="1:22" x14ac:dyDescent="0.25">
      <c r="A3951">
        <v>3948</v>
      </c>
      <c r="B3951" t="s">
        <v>26</v>
      </c>
      <c r="C3951" t="s">
        <v>1218</v>
      </c>
      <c r="D3951" s="4">
        <v>45450</v>
      </c>
      <c r="E3951" t="s">
        <v>518</v>
      </c>
      <c r="F3951" t="s">
        <v>75</v>
      </c>
      <c r="I3951" s="6"/>
      <c r="J3951" s="6"/>
      <c r="K3951" s="6"/>
      <c r="L3951" s="6"/>
      <c r="M3951" s="6"/>
      <c r="N3951" s="6"/>
      <c r="O3951" s="6"/>
      <c r="P3951" s="6"/>
      <c r="Q3951">
        <v>0</v>
      </c>
      <c r="R3951">
        <f t="shared" si="305"/>
        <v>0</v>
      </c>
      <c r="S3951">
        <f t="shared" si="306"/>
        <v>0</v>
      </c>
      <c r="T3951">
        <f t="shared" si="307"/>
        <v>0</v>
      </c>
      <c r="U3951">
        <f t="shared" si="308"/>
        <v>0</v>
      </c>
      <c r="V3951">
        <f t="shared" si="309"/>
        <v>0</v>
      </c>
    </row>
    <row r="3952" spans="1:22" x14ac:dyDescent="0.25">
      <c r="A3952">
        <v>3949</v>
      </c>
      <c r="B3952" t="s">
        <v>26</v>
      </c>
      <c r="C3952" t="s">
        <v>1218</v>
      </c>
      <c r="D3952" s="4">
        <v>45450</v>
      </c>
      <c r="E3952" t="s">
        <v>519</v>
      </c>
      <c r="F3952" t="s">
        <v>710</v>
      </c>
      <c r="G3952">
        <v>216</v>
      </c>
      <c r="I3952" s="6">
        <v>1</v>
      </c>
      <c r="J3952" s="6">
        <v>0</v>
      </c>
      <c r="K3952" s="6">
        <v>0</v>
      </c>
      <c r="L3952" s="6">
        <v>0</v>
      </c>
      <c r="M3952" s="6">
        <v>1</v>
      </c>
      <c r="N3952" s="6">
        <v>0</v>
      </c>
      <c r="O3952" s="6">
        <v>0</v>
      </c>
      <c r="P3952" s="6">
        <v>0</v>
      </c>
      <c r="Q3952">
        <v>1</v>
      </c>
      <c r="R3952">
        <f t="shared" si="305"/>
        <v>0</v>
      </c>
      <c r="S3952">
        <f t="shared" si="306"/>
        <v>0</v>
      </c>
      <c r="T3952">
        <f t="shared" si="307"/>
        <v>2</v>
      </c>
      <c r="U3952">
        <f t="shared" si="308"/>
        <v>1</v>
      </c>
      <c r="V3952">
        <f t="shared" si="309"/>
        <v>0</v>
      </c>
    </row>
    <row r="3953" spans="1:22" x14ac:dyDescent="0.25">
      <c r="A3953">
        <v>3950</v>
      </c>
      <c r="B3953" t="s">
        <v>26</v>
      </c>
      <c r="C3953" t="s">
        <v>1218</v>
      </c>
      <c r="D3953" s="4">
        <v>45452</v>
      </c>
      <c r="E3953" t="s">
        <v>522</v>
      </c>
      <c r="F3953" t="s">
        <v>75</v>
      </c>
      <c r="I3953" s="6">
        <v>0</v>
      </c>
      <c r="J3953" s="6">
        <v>0</v>
      </c>
      <c r="K3953" s="6">
        <v>0</v>
      </c>
      <c r="L3953" s="6">
        <v>0</v>
      </c>
      <c r="M3953" s="6">
        <v>0</v>
      </c>
      <c r="N3953" s="6">
        <v>0</v>
      </c>
      <c r="O3953" s="6">
        <v>0</v>
      </c>
      <c r="P3953" s="6">
        <v>0</v>
      </c>
      <c r="Q3953">
        <v>1</v>
      </c>
      <c r="R3953">
        <f t="shared" si="305"/>
        <v>0</v>
      </c>
      <c r="S3953">
        <f t="shared" si="306"/>
        <v>1</v>
      </c>
      <c r="T3953">
        <f t="shared" si="307"/>
        <v>0</v>
      </c>
      <c r="U3953">
        <f t="shared" si="308"/>
        <v>0</v>
      </c>
      <c r="V3953">
        <f t="shared" si="309"/>
        <v>0</v>
      </c>
    </row>
    <row r="3954" spans="1:22" x14ac:dyDescent="0.25">
      <c r="A3954">
        <v>3951</v>
      </c>
      <c r="B3954" t="s">
        <v>26</v>
      </c>
      <c r="C3954" t="s">
        <v>1218</v>
      </c>
      <c r="D3954" s="4">
        <v>45453</v>
      </c>
      <c r="E3954" t="s">
        <v>2015</v>
      </c>
      <c r="F3954" t="s">
        <v>75</v>
      </c>
      <c r="I3954" s="6"/>
      <c r="J3954" s="6"/>
      <c r="K3954" s="6"/>
      <c r="L3954" s="6"/>
      <c r="M3954" s="6"/>
      <c r="N3954" s="6"/>
      <c r="O3954" s="6"/>
      <c r="P3954" s="6"/>
      <c r="Q3954">
        <v>0</v>
      </c>
      <c r="R3954">
        <f t="shared" si="305"/>
        <v>0</v>
      </c>
      <c r="S3954">
        <f t="shared" si="306"/>
        <v>0</v>
      </c>
      <c r="T3954">
        <f t="shared" si="307"/>
        <v>0</v>
      </c>
      <c r="U3954">
        <f t="shared" si="308"/>
        <v>0</v>
      </c>
      <c r="V3954">
        <f t="shared" si="309"/>
        <v>0</v>
      </c>
    </row>
    <row r="3955" spans="1:22" x14ac:dyDescent="0.25">
      <c r="A3955">
        <v>3952</v>
      </c>
      <c r="B3955" t="s">
        <v>26</v>
      </c>
      <c r="C3955" t="s">
        <v>1218</v>
      </c>
      <c r="D3955" s="4">
        <v>45453</v>
      </c>
      <c r="E3955" t="s">
        <v>2385</v>
      </c>
      <c r="F3955" t="s">
        <v>75</v>
      </c>
      <c r="I3955" s="6"/>
      <c r="J3955" s="6"/>
      <c r="K3955" s="6"/>
      <c r="L3955" s="6"/>
      <c r="M3955" s="6"/>
      <c r="N3955" s="6"/>
      <c r="O3955" s="6"/>
      <c r="P3955" s="6"/>
      <c r="Q3955">
        <v>0</v>
      </c>
      <c r="R3955">
        <f t="shared" si="305"/>
        <v>0</v>
      </c>
      <c r="S3955">
        <f t="shared" si="306"/>
        <v>0</v>
      </c>
      <c r="T3955">
        <f t="shared" si="307"/>
        <v>0</v>
      </c>
      <c r="U3955">
        <f t="shared" si="308"/>
        <v>0</v>
      </c>
      <c r="V3955">
        <f t="shared" si="309"/>
        <v>0</v>
      </c>
    </row>
    <row r="3956" spans="1:22" x14ac:dyDescent="0.25">
      <c r="A3956">
        <v>3953</v>
      </c>
      <c r="B3956" t="s">
        <v>26</v>
      </c>
      <c r="C3956" t="s">
        <v>1218</v>
      </c>
      <c r="D3956" s="4">
        <v>45454</v>
      </c>
      <c r="E3956" t="s">
        <v>1759</v>
      </c>
      <c r="F3956" t="s">
        <v>75</v>
      </c>
      <c r="I3956" s="6"/>
      <c r="J3956" s="6"/>
      <c r="K3956" s="6"/>
      <c r="L3956" s="6"/>
      <c r="M3956" s="6"/>
      <c r="N3956" s="6"/>
      <c r="O3956" s="6"/>
      <c r="P3956" s="6"/>
      <c r="Q3956">
        <v>0</v>
      </c>
      <c r="R3956">
        <f t="shared" si="305"/>
        <v>0</v>
      </c>
      <c r="S3956">
        <f t="shared" si="306"/>
        <v>0</v>
      </c>
      <c r="T3956">
        <f t="shared" si="307"/>
        <v>0</v>
      </c>
      <c r="U3956">
        <f t="shared" si="308"/>
        <v>0</v>
      </c>
      <c r="V3956">
        <f t="shared" si="309"/>
        <v>0</v>
      </c>
    </row>
    <row r="3957" spans="1:22" x14ac:dyDescent="0.25">
      <c r="A3957">
        <v>3954</v>
      </c>
      <c r="B3957" t="s">
        <v>26</v>
      </c>
      <c r="C3957" t="s">
        <v>1218</v>
      </c>
      <c r="D3957" s="4">
        <v>45454</v>
      </c>
      <c r="E3957" t="s">
        <v>1760</v>
      </c>
      <c r="F3957" t="s">
        <v>75</v>
      </c>
      <c r="I3957" s="6"/>
      <c r="J3957" s="6"/>
      <c r="K3957" s="6"/>
      <c r="L3957" s="6"/>
      <c r="M3957" s="6"/>
      <c r="N3957" s="6"/>
      <c r="O3957" s="6"/>
      <c r="P3957" s="6"/>
      <c r="Q3957">
        <v>0</v>
      </c>
      <c r="R3957">
        <f t="shared" si="305"/>
        <v>0</v>
      </c>
      <c r="S3957">
        <f t="shared" si="306"/>
        <v>0</v>
      </c>
      <c r="T3957">
        <f t="shared" si="307"/>
        <v>0</v>
      </c>
      <c r="U3957">
        <f t="shared" si="308"/>
        <v>0</v>
      </c>
      <c r="V3957">
        <f t="shared" si="309"/>
        <v>0</v>
      </c>
    </row>
    <row r="3958" spans="1:22" x14ac:dyDescent="0.25">
      <c r="A3958">
        <v>3955</v>
      </c>
      <c r="B3958" t="s">
        <v>26</v>
      </c>
      <c r="C3958" t="s">
        <v>1218</v>
      </c>
      <c r="D3958" s="4">
        <v>45454</v>
      </c>
      <c r="E3958" t="s">
        <v>1761</v>
      </c>
      <c r="F3958" t="s">
        <v>75</v>
      </c>
      <c r="I3958" s="6"/>
      <c r="J3958" s="6"/>
      <c r="K3958" s="6"/>
      <c r="L3958" s="6"/>
      <c r="M3958" s="6"/>
      <c r="N3958" s="6"/>
      <c r="O3958" s="6"/>
      <c r="P3958" s="6"/>
      <c r="Q3958">
        <v>0</v>
      </c>
      <c r="R3958">
        <f t="shared" si="305"/>
        <v>0</v>
      </c>
      <c r="S3958">
        <f t="shared" si="306"/>
        <v>0</v>
      </c>
      <c r="T3958">
        <f t="shared" si="307"/>
        <v>0</v>
      </c>
      <c r="U3958">
        <f t="shared" si="308"/>
        <v>0</v>
      </c>
      <c r="V3958">
        <f t="shared" si="309"/>
        <v>0</v>
      </c>
    </row>
    <row r="3959" spans="1:22" x14ac:dyDescent="0.25">
      <c r="A3959">
        <v>3956</v>
      </c>
      <c r="B3959" t="s">
        <v>26</v>
      </c>
      <c r="C3959" t="s">
        <v>1218</v>
      </c>
      <c r="D3959" s="4">
        <v>45454</v>
      </c>
      <c r="E3959" t="s">
        <v>2014</v>
      </c>
      <c r="F3959" t="s">
        <v>75</v>
      </c>
      <c r="I3959" s="6"/>
      <c r="J3959" s="6"/>
      <c r="K3959" s="6"/>
      <c r="L3959" s="6"/>
      <c r="M3959" s="6"/>
      <c r="N3959" s="6"/>
      <c r="O3959" s="6"/>
      <c r="P3959" s="6"/>
      <c r="Q3959">
        <v>0</v>
      </c>
      <c r="R3959">
        <f t="shared" si="305"/>
        <v>0</v>
      </c>
      <c r="S3959">
        <f t="shared" si="306"/>
        <v>0</v>
      </c>
      <c r="T3959">
        <f t="shared" si="307"/>
        <v>0</v>
      </c>
      <c r="U3959">
        <f t="shared" si="308"/>
        <v>0</v>
      </c>
      <c r="V3959">
        <f t="shared" si="309"/>
        <v>0</v>
      </c>
    </row>
    <row r="3960" spans="1:22" x14ac:dyDescent="0.25">
      <c r="A3960">
        <v>3957</v>
      </c>
      <c r="B3960" t="s">
        <v>26</v>
      </c>
      <c r="C3960" t="s">
        <v>1218</v>
      </c>
      <c r="D3960" s="4">
        <v>45454</v>
      </c>
      <c r="E3960" t="s">
        <v>2384</v>
      </c>
      <c r="F3960" t="s">
        <v>75</v>
      </c>
      <c r="I3960" s="6">
        <v>0</v>
      </c>
      <c r="J3960" s="6">
        <v>0</v>
      </c>
      <c r="K3960" s="6">
        <v>0</v>
      </c>
      <c r="L3960" s="6">
        <v>0</v>
      </c>
      <c r="M3960" s="6">
        <v>0</v>
      </c>
      <c r="N3960" s="6">
        <v>0</v>
      </c>
      <c r="O3960" s="6">
        <v>0</v>
      </c>
      <c r="P3960" s="6">
        <v>0</v>
      </c>
      <c r="Q3960">
        <v>1</v>
      </c>
      <c r="R3960">
        <f t="shared" si="305"/>
        <v>0</v>
      </c>
      <c r="S3960">
        <f t="shared" si="306"/>
        <v>1</v>
      </c>
      <c r="T3960">
        <f t="shared" si="307"/>
        <v>0</v>
      </c>
      <c r="U3960">
        <f t="shared" si="308"/>
        <v>0</v>
      </c>
      <c r="V3960">
        <f t="shared" si="309"/>
        <v>0</v>
      </c>
    </row>
    <row r="3961" spans="1:22" x14ac:dyDescent="0.25">
      <c r="A3961">
        <v>3958</v>
      </c>
      <c r="B3961" t="s">
        <v>26</v>
      </c>
      <c r="C3961" t="s">
        <v>1218</v>
      </c>
      <c r="D3961" s="4">
        <v>45455</v>
      </c>
      <c r="E3961" t="s">
        <v>1762</v>
      </c>
      <c r="F3961" t="s">
        <v>75</v>
      </c>
      <c r="I3961" s="6"/>
      <c r="J3961" s="6"/>
      <c r="K3961" s="6"/>
      <c r="L3961" s="6"/>
      <c r="M3961" s="6"/>
      <c r="N3961" s="6"/>
      <c r="O3961" s="6"/>
      <c r="P3961" s="6"/>
      <c r="Q3961">
        <v>0</v>
      </c>
      <c r="R3961">
        <f t="shared" si="305"/>
        <v>0</v>
      </c>
      <c r="S3961">
        <f t="shared" si="306"/>
        <v>0</v>
      </c>
      <c r="T3961">
        <f t="shared" si="307"/>
        <v>0</v>
      </c>
      <c r="U3961">
        <f t="shared" si="308"/>
        <v>0</v>
      </c>
      <c r="V3961">
        <f t="shared" si="309"/>
        <v>0</v>
      </c>
    </row>
    <row r="3962" spans="1:22" x14ac:dyDescent="0.25">
      <c r="A3962">
        <v>3959</v>
      </c>
      <c r="B3962" t="s">
        <v>26</v>
      </c>
      <c r="C3962" t="s">
        <v>1218</v>
      </c>
      <c r="D3962" s="4">
        <v>45455</v>
      </c>
      <c r="E3962" t="s">
        <v>1763</v>
      </c>
      <c r="F3962" t="s">
        <v>75</v>
      </c>
      <c r="I3962" s="6"/>
      <c r="J3962" s="6"/>
      <c r="K3962" s="6"/>
      <c r="L3962" s="6"/>
      <c r="M3962" s="6"/>
      <c r="N3962" s="6"/>
      <c r="O3962" s="6"/>
      <c r="P3962" s="6"/>
      <c r="Q3962">
        <v>0</v>
      </c>
      <c r="R3962">
        <f t="shared" si="305"/>
        <v>0</v>
      </c>
      <c r="S3962">
        <f t="shared" si="306"/>
        <v>0</v>
      </c>
      <c r="T3962">
        <f t="shared" si="307"/>
        <v>0</v>
      </c>
      <c r="U3962">
        <f t="shared" si="308"/>
        <v>0</v>
      </c>
      <c r="V3962">
        <f t="shared" si="309"/>
        <v>0</v>
      </c>
    </row>
    <row r="3963" spans="1:22" x14ac:dyDescent="0.25">
      <c r="A3963">
        <v>3960</v>
      </c>
      <c r="B3963" t="s">
        <v>26</v>
      </c>
      <c r="C3963" t="s">
        <v>1218</v>
      </c>
      <c r="D3963" s="4">
        <v>45455</v>
      </c>
      <c r="E3963" t="s">
        <v>1826</v>
      </c>
      <c r="F3963" t="s">
        <v>75</v>
      </c>
      <c r="I3963" s="6"/>
      <c r="J3963" s="6"/>
      <c r="K3963" s="6"/>
      <c r="L3963" s="6"/>
      <c r="M3963" s="6"/>
      <c r="N3963" s="6"/>
      <c r="O3963" s="6"/>
      <c r="P3963" s="6"/>
      <c r="Q3963">
        <v>0</v>
      </c>
      <c r="R3963">
        <f t="shared" si="305"/>
        <v>0</v>
      </c>
      <c r="S3963">
        <f t="shared" si="306"/>
        <v>0</v>
      </c>
      <c r="T3963">
        <f t="shared" si="307"/>
        <v>0</v>
      </c>
      <c r="U3963">
        <f t="shared" si="308"/>
        <v>0</v>
      </c>
      <c r="V3963">
        <f t="shared" si="309"/>
        <v>0</v>
      </c>
    </row>
    <row r="3964" spans="1:22" x14ac:dyDescent="0.25">
      <c r="A3964">
        <v>3961</v>
      </c>
      <c r="B3964" t="s">
        <v>26</v>
      </c>
      <c r="C3964" t="s">
        <v>1218</v>
      </c>
      <c r="D3964" s="4">
        <v>45455</v>
      </c>
      <c r="E3964" t="s">
        <v>1426</v>
      </c>
      <c r="F3964" t="s">
        <v>75</v>
      </c>
      <c r="I3964" s="6">
        <v>0</v>
      </c>
      <c r="J3964" s="6">
        <v>1</v>
      </c>
      <c r="K3964" s="6">
        <v>0</v>
      </c>
      <c r="L3964" s="6">
        <v>0</v>
      </c>
      <c r="M3964" s="6">
        <v>0</v>
      </c>
      <c r="N3964" s="6">
        <v>0</v>
      </c>
      <c r="O3964" s="6">
        <v>0</v>
      </c>
      <c r="P3964" s="6">
        <v>1</v>
      </c>
      <c r="Q3964">
        <v>1</v>
      </c>
      <c r="R3964">
        <f t="shared" si="305"/>
        <v>0</v>
      </c>
      <c r="S3964">
        <f t="shared" si="306"/>
        <v>1</v>
      </c>
      <c r="T3964">
        <f t="shared" si="307"/>
        <v>2</v>
      </c>
      <c r="U3964">
        <f t="shared" si="308"/>
        <v>1</v>
      </c>
      <c r="V3964">
        <f t="shared" si="309"/>
        <v>0</v>
      </c>
    </row>
    <row r="3965" spans="1:22" x14ac:dyDescent="0.25">
      <c r="A3965">
        <v>3962</v>
      </c>
      <c r="B3965" t="s">
        <v>26</v>
      </c>
      <c r="C3965" t="s">
        <v>1218</v>
      </c>
      <c r="D3965" s="4">
        <v>45456</v>
      </c>
      <c r="E3965" t="s">
        <v>1827</v>
      </c>
      <c r="F3965" t="s">
        <v>75</v>
      </c>
      <c r="I3965" s="6"/>
      <c r="J3965" s="6"/>
      <c r="K3965" s="6"/>
      <c r="L3965" s="6"/>
      <c r="M3965" s="6"/>
      <c r="N3965" s="6"/>
      <c r="O3965" s="6"/>
      <c r="P3965" s="6"/>
      <c r="Q3965">
        <v>0</v>
      </c>
      <c r="R3965">
        <f t="shared" si="305"/>
        <v>0</v>
      </c>
      <c r="S3965">
        <f t="shared" si="306"/>
        <v>0</v>
      </c>
      <c r="T3965">
        <f t="shared" si="307"/>
        <v>0</v>
      </c>
      <c r="U3965">
        <f t="shared" si="308"/>
        <v>0</v>
      </c>
      <c r="V3965">
        <f t="shared" si="309"/>
        <v>0</v>
      </c>
    </row>
    <row r="3966" spans="1:22" x14ac:dyDescent="0.25">
      <c r="A3966">
        <v>3963</v>
      </c>
      <c r="B3966" t="s">
        <v>26</v>
      </c>
      <c r="C3966" t="s">
        <v>1218</v>
      </c>
      <c r="D3966" s="4">
        <v>45456</v>
      </c>
      <c r="E3966" t="s">
        <v>2013</v>
      </c>
      <c r="F3966" t="s">
        <v>75</v>
      </c>
      <c r="I3966" s="6"/>
      <c r="J3966" s="6"/>
      <c r="K3966" s="6"/>
      <c r="L3966" s="6"/>
      <c r="M3966" s="6"/>
      <c r="N3966" s="6"/>
      <c r="O3966" s="6"/>
      <c r="P3966" s="6"/>
      <c r="Q3966">
        <v>0</v>
      </c>
      <c r="R3966">
        <f t="shared" si="305"/>
        <v>0</v>
      </c>
      <c r="S3966">
        <f t="shared" si="306"/>
        <v>0</v>
      </c>
      <c r="T3966">
        <f t="shared" si="307"/>
        <v>0</v>
      </c>
      <c r="U3966">
        <f t="shared" si="308"/>
        <v>0</v>
      </c>
      <c r="V3966">
        <f t="shared" si="309"/>
        <v>0</v>
      </c>
    </row>
    <row r="3967" spans="1:22" x14ac:dyDescent="0.25">
      <c r="A3967">
        <v>3964</v>
      </c>
      <c r="B3967" t="s">
        <v>26</v>
      </c>
      <c r="C3967" t="s">
        <v>1218</v>
      </c>
      <c r="D3967" s="4">
        <v>45456</v>
      </c>
      <c r="E3967" t="s">
        <v>2012</v>
      </c>
      <c r="F3967" t="s">
        <v>75</v>
      </c>
      <c r="I3967" s="6"/>
      <c r="J3967" s="6"/>
      <c r="K3967" s="6"/>
      <c r="L3967" s="6"/>
      <c r="M3967" s="6"/>
      <c r="N3967" s="6"/>
      <c r="O3967" s="6"/>
      <c r="P3967" s="6"/>
      <c r="Q3967">
        <v>0</v>
      </c>
      <c r="R3967">
        <f t="shared" si="305"/>
        <v>0</v>
      </c>
      <c r="S3967">
        <f t="shared" si="306"/>
        <v>0</v>
      </c>
      <c r="T3967">
        <f t="shared" si="307"/>
        <v>0</v>
      </c>
      <c r="U3967">
        <f t="shared" si="308"/>
        <v>0</v>
      </c>
      <c r="V3967">
        <f t="shared" si="309"/>
        <v>0</v>
      </c>
    </row>
    <row r="3968" spans="1:22" x14ac:dyDescent="0.25">
      <c r="A3968">
        <v>3965</v>
      </c>
      <c r="B3968" t="s">
        <v>26</v>
      </c>
      <c r="C3968" t="s">
        <v>1218</v>
      </c>
      <c r="D3968" s="4">
        <v>45457</v>
      </c>
      <c r="E3968" t="s">
        <v>1764</v>
      </c>
      <c r="F3968" t="s">
        <v>75</v>
      </c>
      <c r="I3968" s="6"/>
      <c r="J3968" s="6"/>
      <c r="K3968" s="6"/>
      <c r="L3968" s="6"/>
      <c r="M3968" s="6"/>
      <c r="N3968" s="6"/>
      <c r="O3968" s="6"/>
      <c r="P3968" s="6"/>
      <c r="Q3968">
        <v>0</v>
      </c>
      <c r="R3968">
        <f t="shared" si="305"/>
        <v>0</v>
      </c>
      <c r="S3968">
        <f t="shared" si="306"/>
        <v>0</v>
      </c>
      <c r="T3968">
        <f t="shared" si="307"/>
        <v>0</v>
      </c>
      <c r="U3968">
        <f t="shared" si="308"/>
        <v>0</v>
      </c>
      <c r="V3968">
        <f t="shared" si="309"/>
        <v>0</v>
      </c>
    </row>
    <row r="3969" spans="1:22" x14ac:dyDescent="0.25">
      <c r="A3969">
        <v>3966</v>
      </c>
      <c r="B3969" t="s">
        <v>26</v>
      </c>
      <c r="C3969" t="s">
        <v>1218</v>
      </c>
      <c r="D3969" s="4">
        <v>45457</v>
      </c>
      <c r="E3969" t="s">
        <v>1765</v>
      </c>
      <c r="F3969" t="s">
        <v>75</v>
      </c>
      <c r="I3969" s="6"/>
      <c r="J3969" s="6"/>
      <c r="K3969" s="6"/>
      <c r="L3969" s="6"/>
      <c r="M3969" s="6"/>
      <c r="N3969" s="6"/>
      <c r="O3969" s="6"/>
      <c r="P3969" s="6"/>
      <c r="Q3969">
        <v>0</v>
      </c>
      <c r="R3969">
        <f t="shared" si="305"/>
        <v>0</v>
      </c>
      <c r="S3969">
        <f t="shared" si="306"/>
        <v>0</v>
      </c>
      <c r="T3969">
        <f t="shared" si="307"/>
        <v>0</v>
      </c>
      <c r="U3969">
        <f t="shared" si="308"/>
        <v>0</v>
      </c>
      <c r="V3969">
        <f t="shared" si="309"/>
        <v>0</v>
      </c>
    </row>
    <row r="3970" spans="1:22" x14ac:dyDescent="0.25">
      <c r="A3970">
        <v>3967</v>
      </c>
      <c r="B3970" t="s">
        <v>26</v>
      </c>
      <c r="C3970" t="s">
        <v>1218</v>
      </c>
      <c r="D3970" s="4">
        <v>45457</v>
      </c>
      <c r="E3970" t="s">
        <v>1829</v>
      </c>
      <c r="F3970" t="s">
        <v>75</v>
      </c>
      <c r="I3970" s="6"/>
      <c r="J3970" s="6"/>
      <c r="K3970" s="6"/>
      <c r="L3970" s="6"/>
      <c r="M3970" s="6"/>
      <c r="N3970" s="6"/>
      <c r="O3970" s="6"/>
      <c r="P3970" s="6"/>
      <c r="Q3970">
        <v>0</v>
      </c>
      <c r="R3970">
        <f t="shared" si="305"/>
        <v>0</v>
      </c>
      <c r="S3970">
        <f t="shared" si="306"/>
        <v>0</v>
      </c>
      <c r="T3970">
        <f t="shared" si="307"/>
        <v>0</v>
      </c>
      <c r="U3970">
        <f t="shared" si="308"/>
        <v>0</v>
      </c>
      <c r="V3970">
        <f t="shared" si="309"/>
        <v>0</v>
      </c>
    </row>
    <row r="3971" spans="1:22" x14ac:dyDescent="0.25">
      <c r="A3971">
        <v>3968</v>
      </c>
      <c r="B3971" t="s">
        <v>26</v>
      </c>
      <c r="C3971" t="s">
        <v>1218</v>
      </c>
      <c r="D3971" s="4">
        <v>45457</v>
      </c>
      <c r="E3971" t="s">
        <v>2011</v>
      </c>
      <c r="F3971" t="s">
        <v>75</v>
      </c>
      <c r="I3971" s="6"/>
      <c r="J3971" s="6"/>
      <c r="K3971" s="6"/>
      <c r="L3971" s="6"/>
      <c r="M3971" s="6"/>
      <c r="N3971" s="6"/>
      <c r="O3971" s="6"/>
      <c r="P3971" s="6"/>
      <c r="Q3971">
        <v>0</v>
      </c>
      <c r="R3971">
        <f t="shared" ref="R3971:R4034" si="310">IF(AND(Q3971=1,F3971="ai_full"),1,0)</f>
        <v>0</v>
      </c>
      <c r="S3971">
        <f t="shared" ref="S3971:S4034" si="311">IF(AND(Q3971=1,F3971="conventional"),1,0)</f>
        <v>0</v>
      </c>
      <c r="T3971">
        <f t="shared" ref="T3971:T4034" si="312">SUM(I3971:P3971)</f>
        <v>0</v>
      </c>
      <c r="U3971">
        <f t="shared" ref="U3971:U4034" si="313">IF(T3971&gt;=1,1,0)</f>
        <v>0</v>
      </c>
      <c r="V3971">
        <f t="shared" ref="V3971:V4034" si="314">IF(F3971="ai_full",1,0)</f>
        <v>0</v>
      </c>
    </row>
    <row r="3972" spans="1:22" x14ac:dyDescent="0.25">
      <c r="A3972">
        <v>3969</v>
      </c>
      <c r="B3972" t="s">
        <v>26</v>
      </c>
      <c r="C3972" t="s">
        <v>1218</v>
      </c>
      <c r="D3972" s="4">
        <v>45458</v>
      </c>
      <c r="E3972" t="s">
        <v>1248</v>
      </c>
      <c r="F3972" t="s">
        <v>75</v>
      </c>
      <c r="I3972" s="6"/>
      <c r="J3972" s="6"/>
      <c r="K3972" s="6"/>
      <c r="L3972" s="6"/>
      <c r="M3972" s="6"/>
      <c r="N3972" s="6"/>
      <c r="O3972" s="6"/>
      <c r="P3972" s="6"/>
      <c r="Q3972">
        <v>0</v>
      </c>
      <c r="R3972">
        <f t="shared" si="310"/>
        <v>0</v>
      </c>
      <c r="S3972">
        <f t="shared" si="311"/>
        <v>0</v>
      </c>
      <c r="T3972">
        <f t="shared" si="312"/>
        <v>0</v>
      </c>
      <c r="U3972">
        <f t="shared" si="313"/>
        <v>0</v>
      </c>
      <c r="V3972">
        <f t="shared" si="314"/>
        <v>0</v>
      </c>
    </row>
    <row r="3973" spans="1:22" x14ac:dyDescent="0.25">
      <c r="A3973">
        <v>3970</v>
      </c>
      <c r="B3973" t="s">
        <v>26</v>
      </c>
      <c r="C3973" t="s">
        <v>1218</v>
      </c>
      <c r="D3973" s="4">
        <v>45458</v>
      </c>
      <c r="E3973" t="s">
        <v>1249</v>
      </c>
      <c r="F3973" t="s">
        <v>75</v>
      </c>
      <c r="I3973" s="6">
        <v>0</v>
      </c>
      <c r="J3973" s="6">
        <v>0</v>
      </c>
      <c r="K3973" s="6">
        <v>0</v>
      </c>
      <c r="L3973" s="6">
        <v>0</v>
      </c>
      <c r="M3973" s="6">
        <v>1</v>
      </c>
      <c r="N3973" s="6">
        <v>0</v>
      </c>
      <c r="O3973" s="6">
        <v>0</v>
      </c>
      <c r="P3973" s="6">
        <v>0</v>
      </c>
      <c r="Q3973">
        <v>1</v>
      </c>
      <c r="R3973">
        <f t="shared" si="310"/>
        <v>0</v>
      </c>
      <c r="S3973">
        <f t="shared" si="311"/>
        <v>1</v>
      </c>
      <c r="T3973">
        <f t="shared" si="312"/>
        <v>1</v>
      </c>
      <c r="U3973">
        <f t="shared" si="313"/>
        <v>1</v>
      </c>
      <c r="V3973">
        <f t="shared" si="314"/>
        <v>0</v>
      </c>
    </row>
    <row r="3974" spans="1:22" x14ac:dyDescent="0.25">
      <c r="A3974">
        <v>3971</v>
      </c>
      <c r="B3974" t="s">
        <v>26</v>
      </c>
      <c r="C3974" t="s">
        <v>1218</v>
      </c>
      <c r="D3974" s="4">
        <v>45458</v>
      </c>
      <c r="E3974" t="s">
        <v>2007</v>
      </c>
      <c r="F3974" t="s">
        <v>75</v>
      </c>
      <c r="I3974" s="6"/>
      <c r="J3974" s="6"/>
      <c r="K3974" s="6"/>
      <c r="L3974" s="6"/>
      <c r="M3974" s="6"/>
      <c r="N3974" s="6"/>
      <c r="O3974" s="6"/>
      <c r="P3974" s="6"/>
      <c r="Q3974">
        <v>0</v>
      </c>
      <c r="R3974">
        <f t="shared" si="310"/>
        <v>0</v>
      </c>
      <c r="S3974">
        <f t="shared" si="311"/>
        <v>0</v>
      </c>
      <c r="T3974">
        <f t="shared" si="312"/>
        <v>0</v>
      </c>
      <c r="U3974">
        <f t="shared" si="313"/>
        <v>0</v>
      </c>
      <c r="V3974">
        <f t="shared" si="314"/>
        <v>0</v>
      </c>
    </row>
    <row r="3975" spans="1:22" x14ac:dyDescent="0.25">
      <c r="A3975">
        <v>3972</v>
      </c>
      <c r="B3975" t="s">
        <v>26</v>
      </c>
      <c r="C3975" t="s">
        <v>1218</v>
      </c>
      <c r="D3975" s="4">
        <v>45459</v>
      </c>
      <c r="E3975" t="s">
        <v>1766</v>
      </c>
      <c r="F3975" t="s">
        <v>75</v>
      </c>
      <c r="I3975" s="6"/>
      <c r="J3975" s="6"/>
      <c r="K3975" s="6"/>
      <c r="L3975" s="6"/>
      <c r="M3975" s="6"/>
      <c r="N3975" s="6"/>
      <c r="O3975" s="6"/>
      <c r="P3975" s="6"/>
      <c r="Q3975">
        <v>0</v>
      </c>
      <c r="R3975">
        <f t="shared" si="310"/>
        <v>0</v>
      </c>
      <c r="S3975">
        <f t="shared" si="311"/>
        <v>0</v>
      </c>
      <c r="T3975">
        <f t="shared" si="312"/>
        <v>0</v>
      </c>
      <c r="U3975">
        <f t="shared" si="313"/>
        <v>0</v>
      </c>
      <c r="V3975">
        <f t="shared" si="314"/>
        <v>0</v>
      </c>
    </row>
    <row r="3976" spans="1:22" x14ac:dyDescent="0.25">
      <c r="A3976">
        <v>3973</v>
      </c>
      <c r="B3976" t="s">
        <v>26</v>
      </c>
      <c r="C3976" t="s">
        <v>1218</v>
      </c>
      <c r="D3976" s="4">
        <v>45459</v>
      </c>
      <c r="E3976" t="s">
        <v>1767</v>
      </c>
      <c r="F3976" t="s">
        <v>75</v>
      </c>
      <c r="I3976" s="6"/>
      <c r="J3976" s="6"/>
      <c r="K3976" s="6"/>
      <c r="L3976" s="6"/>
      <c r="M3976" s="6"/>
      <c r="N3976" s="6"/>
      <c r="O3976" s="6"/>
      <c r="P3976" s="6"/>
      <c r="Q3976">
        <v>0</v>
      </c>
      <c r="R3976">
        <f t="shared" si="310"/>
        <v>0</v>
      </c>
      <c r="S3976">
        <f t="shared" si="311"/>
        <v>0</v>
      </c>
      <c r="T3976">
        <f t="shared" si="312"/>
        <v>0</v>
      </c>
      <c r="U3976">
        <f t="shared" si="313"/>
        <v>0</v>
      </c>
      <c r="V3976">
        <f t="shared" si="314"/>
        <v>0</v>
      </c>
    </row>
    <row r="3977" spans="1:22" x14ac:dyDescent="0.25">
      <c r="A3977">
        <v>3974</v>
      </c>
      <c r="B3977" t="s">
        <v>26</v>
      </c>
      <c r="C3977" t="s">
        <v>1218</v>
      </c>
      <c r="D3977" s="4">
        <v>45459</v>
      </c>
      <c r="E3977" t="s">
        <v>1768</v>
      </c>
      <c r="F3977" t="s">
        <v>75</v>
      </c>
      <c r="I3977" s="6"/>
      <c r="J3977" s="6"/>
      <c r="K3977" s="6"/>
      <c r="L3977" s="6"/>
      <c r="M3977" s="6"/>
      <c r="N3977" s="6"/>
      <c r="O3977" s="6"/>
      <c r="P3977" s="6"/>
      <c r="Q3977">
        <v>0</v>
      </c>
      <c r="R3977">
        <f t="shared" si="310"/>
        <v>0</v>
      </c>
      <c r="S3977">
        <f t="shared" si="311"/>
        <v>0</v>
      </c>
      <c r="T3977">
        <f t="shared" si="312"/>
        <v>0</v>
      </c>
      <c r="U3977">
        <f t="shared" si="313"/>
        <v>0</v>
      </c>
      <c r="V3977">
        <f t="shared" si="314"/>
        <v>0</v>
      </c>
    </row>
    <row r="3978" spans="1:22" x14ac:dyDescent="0.25">
      <c r="A3978">
        <v>3975</v>
      </c>
      <c r="B3978" t="s">
        <v>26</v>
      </c>
      <c r="C3978" t="s">
        <v>1218</v>
      </c>
      <c r="D3978" s="4">
        <v>45459</v>
      </c>
      <c r="E3978" t="s">
        <v>2383</v>
      </c>
      <c r="F3978" t="s">
        <v>75</v>
      </c>
      <c r="I3978" s="6"/>
      <c r="J3978" s="6"/>
      <c r="K3978" s="6"/>
      <c r="L3978" s="6"/>
      <c r="M3978" s="6"/>
      <c r="N3978" s="6"/>
      <c r="O3978" s="6"/>
      <c r="P3978" s="6"/>
      <c r="Q3978">
        <v>0</v>
      </c>
      <c r="R3978">
        <f t="shared" si="310"/>
        <v>0</v>
      </c>
      <c r="S3978">
        <f t="shared" si="311"/>
        <v>0</v>
      </c>
      <c r="T3978">
        <f t="shared" si="312"/>
        <v>0</v>
      </c>
      <c r="U3978">
        <f t="shared" si="313"/>
        <v>0</v>
      </c>
      <c r="V3978">
        <f t="shared" si="314"/>
        <v>0</v>
      </c>
    </row>
    <row r="3979" spans="1:22" x14ac:dyDescent="0.25">
      <c r="A3979">
        <v>3976</v>
      </c>
      <c r="B3979" t="s">
        <v>26</v>
      </c>
      <c r="C3979" t="s">
        <v>1218</v>
      </c>
      <c r="D3979" s="4">
        <v>45460</v>
      </c>
      <c r="E3979" t="s">
        <v>1250</v>
      </c>
      <c r="F3979" t="s">
        <v>75</v>
      </c>
      <c r="I3979" s="6"/>
      <c r="J3979" s="6"/>
      <c r="K3979" s="6"/>
      <c r="L3979" s="6"/>
      <c r="M3979" s="6"/>
      <c r="N3979" s="6"/>
      <c r="O3979" s="6"/>
      <c r="P3979" s="6"/>
      <c r="Q3979">
        <v>0</v>
      </c>
      <c r="R3979">
        <f t="shared" si="310"/>
        <v>0</v>
      </c>
      <c r="S3979">
        <f t="shared" si="311"/>
        <v>0</v>
      </c>
      <c r="T3979">
        <f t="shared" si="312"/>
        <v>0</v>
      </c>
      <c r="U3979">
        <f t="shared" si="313"/>
        <v>0</v>
      </c>
      <c r="V3979">
        <f t="shared" si="314"/>
        <v>0</v>
      </c>
    </row>
    <row r="3980" spans="1:22" x14ac:dyDescent="0.25">
      <c r="A3980">
        <v>3977</v>
      </c>
      <c r="B3980" t="s">
        <v>26</v>
      </c>
      <c r="C3980" t="s">
        <v>1218</v>
      </c>
      <c r="D3980" s="4">
        <v>45460</v>
      </c>
      <c r="E3980" t="s">
        <v>1251</v>
      </c>
      <c r="F3980" t="s">
        <v>75</v>
      </c>
      <c r="I3980" s="6"/>
      <c r="J3980" s="6"/>
      <c r="K3980" s="6"/>
      <c r="L3980" s="6"/>
      <c r="M3980" s="6"/>
      <c r="N3980" s="6"/>
      <c r="O3980" s="6"/>
      <c r="P3980" s="6"/>
      <c r="Q3980">
        <v>0</v>
      </c>
      <c r="R3980">
        <f t="shared" si="310"/>
        <v>0</v>
      </c>
      <c r="S3980">
        <f t="shared" si="311"/>
        <v>0</v>
      </c>
      <c r="T3980">
        <f t="shared" si="312"/>
        <v>0</v>
      </c>
      <c r="U3980">
        <f t="shared" si="313"/>
        <v>0</v>
      </c>
      <c r="V3980">
        <f t="shared" si="314"/>
        <v>0</v>
      </c>
    </row>
    <row r="3981" spans="1:22" x14ac:dyDescent="0.25">
      <c r="A3981">
        <v>3978</v>
      </c>
      <c r="B3981" t="s">
        <v>26</v>
      </c>
      <c r="C3981" t="s">
        <v>1218</v>
      </c>
      <c r="D3981" s="4">
        <v>45460</v>
      </c>
      <c r="E3981" t="s">
        <v>2004</v>
      </c>
      <c r="F3981" t="s">
        <v>75</v>
      </c>
      <c r="I3981" s="6"/>
      <c r="J3981" s="6"/>
      <c r="K3981" s="6"/>
      <c r="L3981" s="6"/>
      <c r="M3981" s="6"/>
      <c r="N3981" s="6"/>
      <c r="O3981" s="6"/>
      <c r="P3981" s="6"/>
      <c r="Q3981">
        <v>0</v>
      </c>
      <c r="R3981">
        <f t="shared" si="310"/>
        <v>0</v>
      </c>
      <c r="S3981">
        <f t="shared" si="311"/>
        <v>0</v>
      </c>
      <c r="T3981">
        <f t="shared" si="312"/>
        <v>0</v>
      </c>
      <c r="U3981">
        <f t="shared" si="313"/>
        <v>0</v>
      </c>
      <c r="V3981">
        <f t="shared" si="314"/>
        <v>0</v>
      </c>
    </row>
    <row r="3982" spans="1:22" x14ac:dyDescent="0.25">
      <c r="A3982">
        <v>3979</v>
      </c>
      <c r="B3982" t="s">
        <v>26</v>
      </c>
      <c r="C3982" t="s">
        <v>1218</v>
      </c>
      <c r="D3982" s="4">
        <v>45460</v>
      </c>
      <c r="E3982" t="s">
        <v>2003</v>
      </c>
      <c r="F3982" t="s">
        <v>75</v>
      </c>
      <c r="I3982" s="6"/>
      <c r="J3982" s="6"/>
      <c r="K3982" s="6"/>
      <c r="L3982" s="6"/>
      <c r="M3982" s="6"/>
      <c r="N3982" s="6"/>
      <c r="O3982" s="6"/>
      <c r="P3982" s="6"/>
      <c r="Q3982">
        <v>0</v>
      </c>
      <c r="R3982">
        <f t="shared" si="310"/>
        <v>0</v>
      </c>
      <c r="S3982">
        <f t="shared" si="311"/>
        <v>0</v>
      </c>
      <c r="T3982">
        <f t="shared" si="312"/>
        <v>0</v>
      </c>
      <c r="U3982">
        <f t="shared" si="313"/>
        <v>0</v>
      </c>
      <c r="V3982">
        <f t="shared" si="314"/>
        <v>0</v>
      </c>
    </row>
    <row r="3983" spans="1:22" x14ac:dyDescent="0.25">
      <c r="A3983">
        <v>3980</v>
      </c>
      <c r="B3983" t="s">
        <v>26</v>
      </c>
      <c r="C3983" t="s">
        <v>1218</v>
      </c>
      <c r="D3983" s="4">
        <v>45460</v>
      </c>
      <c r="E3983" t="s">
        <v>1830</v>
      </c>
      <c r="F3983" t="s">
        <v>75</v>
      </c>
      <c r="I3983" s="6"/>
      <c r="J3983" s="6"/>
      <c r="K3983" s="6"/>
      <c r="L3983" s="6"/>
      <c r="M3983" s="6"/>
      <c r="N3983" s="6"/>
      <c r="O3983" s="6"/>
      <c r="P3983" s="6"/>
      <c r="Q3983">
        <v>0</v>
      </c>
      <c r="R3983">
        <f t="shared" si="310"/>
        <v>0</v>
      </c>
      <c r="S3983">
        <f t="shared" si="311"/>
        <v>0</v>
      </c>
      <c r="T3983">
        <f t="shared" si="312"/>
        <v>0</v>
      </c>
      <c r="U3983">
        <f t="shared" si="313"/>
        <v>0</v>
      </c>
      <c r="V3983">
        <f t="shared" si="314"/>
        <v>0</v>
      </c>
    </row>
    <row r="3984" spans="1:22" x14ac:dyDescent="0.25">
      <c r="A3984">
        <v>3981</v>
      </c>
      <c r="B3984" t="s">
        <v>26</v>
      </c>
      <c r="C3984" t="s">
        <v>1218</v>
      </c>
      <c r="D3984" s="4">
        <v>45460</v>
      </c>
      <c r="E3984" t="s">
        <v>1831</v>
      </c>
      <c r="F3984" t="s">
        <v>75</v>
      </c>
      <c r="I3984" s="6"/>
      <c r="J3984" s="6"/>
      <c r="K3984" s="6"/>
      <c r="L3984" s="6"/>
      <c r="M3984" s="6"/>
      <c r="N3984" s="6"/>
      <c r="O3984" s="6"/>
      <c r="P3984" s="6"/>
      <c r="Q3984">
        <v>0</v>
      </c>
      <c r="R3984">
        <f t="shared" si="310"/>
        <v>0</v>
      </c>
      <c r="S3984">
        <f t="shared" si="311"/>
        <v>0</v>
      </c>
      <c r="T3984">
        <f t="shared" si="312"/>
        <v>0</v>
      </c>
      <c r="U3984">
        <f t="shared" si="313"/>
        <v>0</v>
      </c>
      <c r="V3984">
        <f t="shared" si="314"/>
        <v>0</v>
      </c>
    </row>
    <row r="3985" spans="1:22" x14ac:dyDescent="0.25">
      <c r="A3985">
        <v>3982</v>
      </c>
      <c r="B3985" t="s">
        <v>26</v>
      </c>
      <c r="C3985" t="s">
        <v>1218</v>
      </c>
      <c r="D3985" s="4">
        <v>45460</v>
      </c>
      <c r="E3985" t="s">
        <v>2382</v>
      </c>
      <c r="F3985" t="s">
        <v>75</v>
      </c>
      <c r="I3985" s="6"/>
      <c r="J3985" s="6"/>
      <c r="K3985" s="6"/>
      <c r="L3985" s="6"/>
      <c r="M3985" s="6"/>
      <c r="N3985" s="6"/>
      <c r="O3985" s="6"/>
      <c r="P3985" s="6"/>
      <c r="Q3985">
        <v>0</v>
      </c>
      <c r="R3985">
        <f t="shared" si="310"/>
        <v>0</v>
      </c>
      <c r="S3985">
        <f t="shared" si="311"/>
        <v>0</v>
      </c>
      <c r="T3985">
        <f t="shared" si="312"/>
        <v>0</v>
      </c>
      <c r="U3985">
        <f t="shared" si="313"/>
        <v>0</v>
      </c>
      <c r="V3985">
        <f t="shared" si="314"/>
        <v>0</v>
      </c>
    </row>
    <row r="3986" spans="1:22" x14ac:dyDescent="0.25">
      <c r="A3986">
        <v>3983</v>
      </c>
      <c r="B3986" t="s">
        <v>26</v>
      </c>
      <c r="C3986" t="s">
        <v>1218</v>
      </c>
      <c r="D3986" s="4">
        <v>45461</v>
      </c>
      <c r="E3986" t="s">
        <v>1769</v>
      </c>
      <c r="F3986" t="s">
        <v>75</v>
      </c>
      <c r="I3986" s="6"/>
      <c r="J3986" s="6"/>
      <c r="K3986" s="6"/>
      <c r="L3986" s="6"/>
      <c r="M3986" s="6"/>
      <c r="N3986" s="6"/>
      <c r="O3986" s="6"/>
      <c r="P3986" s="6"/>
      <c r="Q3986">
        <v>0</v>
      </c>
      <c r="R3986">
        <f t="shared" si="310"/>
        <v>0</v>
      </c>
      <c r="S3986">
        <f t="shared" si="311"/>
        <v>0</v>
      </c>
      <c r="T3986">
        <f t="shared" si="312"/>
        <v>0</v>
      </c>
      <c r="U3986">
        <f t="shared" si="313"/>
        <v>0</v>
      </c>
      <c r="V3986">
        <f t="shared" si="314"/>
        <v>0</v>
      </c>
    </row>
    <row r="3987" spans="1:22" x14ac:dyDescent="0.25">
      <c r="A3987">
        <v>3984</v>
      </c>
      <c r="B3987" t="s">
        <v>26</v>
      </c>
      <c r="C3987" t="s">
        <v>1218</v>
      </c>
      <c r="D3987" s="4">
        <v>45461</v>
      </c>
      <c r="E3987" t="s">
        <v>1770</v>
      </c>
      <c r="F3987" t="s">
        <v>75</v>
      </c>
      <c r="I3987" s="6"/>
      <c r="J3987" s="6"/>
      <c r="K3987" s="6"/>
      <c r="L3987" s="6"/>
      <c r="M3987" s="6"/>
      <c r="N3987" s="6"/>
      <c r="O3987" s="6"/>
      <c r="P3987" s="6"/>
      <c r="Q3987">
        <v>0</v>
      </c>
      <c r="R3987">
        <f t="shared" si="310"/>
        <v>0</v>
      </c>
      <c r="S3987">
        <f t="shared" si="311"/>
        <v>0</v>
      </c>
      <c r="T3987">
        <f t="shared" si="312"/>
        <v>0</v>
      </c>
      <c r="U3987">
        <f t="shared" si="313"/>
        <v>0</v>
      </c>
      <c r="V3987">
        <f t="shared" si="314"/>
        <v>0</v>
      </c>
    </row>
    <row r="3988" spans="1:22" x14ac:dyDescent="0.25">
      <c r="A3988">
        <v>3985</v>
      </c>
      <c r="B3988" t="s">
        <v>26</v>
      </c>
      <c r="C3988" t="s">
        <v>1218</v>
      </c>
      <c r="D3988" s="4">
        <v>45461</v>
      </c>
      <c r="E3988" t="s">
        <v>1427</v>
      </c>
      <c r="F3988" t="s">
        <v>75</v>
      </c>
      <c r="I3988" s="6">
        <v>0</v>
      </c>
      <c r="J3988" s="6">
        <v>0</v>
      </c>
      <c r="K3988" s="6">
        <v>0</v>
      </c>
      <c r="L3988" s="6">
        <v>0</v>
      </c>
      <c r="M3988" s="6">
        <v>0</v>
      </c>
      <c r="N3988" s="6">
        <v>0</v>
      </c>
      <c r="O3988" s="6">
        <v>0</v>
      </c>
      <c r="P3988" s="6">
        <v>0</v>
      </c>
      <c r="Q3988">
        <v>1</v>
      </c>
      <c r="R3988">
        <f t="shared" si="310"/>
        <v>0</v>
      </c>
      <c r="S3988">
        <f t="shared" si="311"/>
        <v>1</v>
      </c>
      <c r="T3988">
        <f t="shared" si="312"/>
        <v>0</v>
      </c>
      <c r="U3988">
        <f t="shared" si="313"/>
        <v>0</v>
      </c>
      <c r="V3988">
        <f t="shared" si="314"/>
        <v>0</v>
      </c>
    </row>
    <row r="3989" spans="1:22" x14ac:dyDescent="0.25">
      <c r="A3989">
        <v>3986</v>
      </c>
      <c r="B3989" t="s">
        <v>26</v>
      </c>
      <c r="C3989" t="s">
        <v>1218</v>
      </c>
      <c r="D3989" s="4">
        <v>45461</v>
      </c>
      <c r="E3989" t="s">
        <v>1832</v>
      </c>
      <c r="F3989" t="s">
        <v>75</v>
      </c>
      <c r="I3989" s="6">
        <v>0</v>
      </c>
      <c r="J3989" s="6">
        <v>0</v>
      </c>
      <c r="K3989" s="6">
        <v>1</v>
      </c>
      <c r="L3989" s="6">
        <v>0</v>
      </c>
      <c r="M3989" s="6">
        <v>1</v>
      </c>
      <c r="N3989" s="6">
        <v>0</v>
      </c>
      <c r="O3989" s="6">
        <v>0</v>
      </c>
      <c r="P3989" s="6">
        <v>0</v>
      </c>
      <c r="Q3989">
        <v>1</v>
      </c>
      <c r="R3989">
        <f t="shared" si="310"/>
        <v>0</v>
      </c>
      <c r="S3989">
        <f t="shared" si="311"/>
        <v>1</v>
      </c>
      <c r="T3989">
        <f t="shared" si="312"/>
        <v>2</v>
      </c>
      <c r="U3989">
        <f t="shared" si="313"/>
        <v>1</v>
      </c>
      <c r="V3989">
        <f t="shared" si="314"/>
        <v>0</v>
      </c>
    </row>
    <row r="3990" spans="1:22" x14ac:dyDescent="0.25">
      <c r="A3990">
        <v>3987</v>
      </c>
      <c r="B3990" t="s">
        <v>26</v>
      </c>
      <c r="C3990" t="s">
        <v>1218</v>
      </c>
      <c r="D3990" s="4">
        <v>45461</v>
      </c>
      <c r="E3990" t="s">
        <v>1833</v>
      </c>
      <c r="F3990" t="s">
        <v>75</v>
      </c>
      <c r="I3990" s="6"/>
      <c r="J3990" s="6"/>
      <c r="K3990" s="6"/>
      <c r="L3990" s="6"/>
      <c r="M3990" s="6"/>
      <c r="N3990" s="6"/>
      <c r="O3990" s="6"/>
      <c r="P3990" s="6"/>
      <c r="Q3990">
        <v>0</v>
      </c>
      <c r="R3990">
        <f t="shared" si="310"/>
        <v>0</v>
      </c>
      <c r="S3990">
        <f t="shared" si="311"/>
        <v>0</v>
      </c>
      <c r="T3990">
        <f t="shared" si="312"/>
        <v>0</v>
      </c>
      <c r="U3990">
        <f t="shared" si="313"/>
        <v>0</v>
      </c>
      <c r="V3990">
        <f t="shared" si="314"/>
        <v>0</v>
      </c>
    </row>
    <row r="3991" spans="1:22" x14ac:dyDescent="0.25">
      <c r="A3991">
        <v>3988</v>
      </c>
      <c r="B3991" t="s">
        <v>26</v>
      </c>
      <c r="C3991" t="s">
        <v>1218</v>
      </c>
      <c r="D3991" s="4">
        <v>45461</v>
      </c>
      <c r="E3991" t="s">
        <v>1834</v>
      </c>
      <c r="F3991" t="s">
        <v>75</v>
      </c>
      <c r="I3991" s="6"/>
      <c r="J3991" s="6"/>
      <c r="K3991" s="6"/>
      <c r="L3991" s="6"/>
      <c r="M3991" s="6"/>
      <c r="N3991" s="6"/>
      <c r="O3991" s="6"/>
      <c r="P3991" s="6"/>
      <c r="Q3991">
        <v>0</v>
      </c>
      <c r="R3991">
        <f t="shared" si="310"/>
        <v>0</v>
      </c>
      <c r="S3991">
        <f t="shared" si="311"/>
        <v>0</v>
      </c>
      <c r="T3991">
        <f t="shared" si="312"/>
        <v>0</v>
      </c>
      <c r="U3991">
        <f t="shared" si="313"/>
        <v>0</v>
      </c>
      <c r="V3991">
        <f t="shared" si="314"/>
        <v>0</v>
      </c>
    </row>
    <row r="3992" spans="1:22" x14ac:dyDescent="0.25">
      <c r="A3992">
        <v>3989</v>
      </c>
      <c r="B3992" t="s">
        <v>26</v>
      </c>
      <c r="C3992" t="s">
        <v>1218</v>
      </c>
      <c r="D3992" s="4">
        <v>45461</v>
      </c>
      <c r="E3992" t="s">
        <v>1428</v>
      </c>
      <c r="F3992" t="s">
        <v>75</v>
      </c>
      <c r="I3992" s="6">
        <v>1</v>
      </c>
      <c r="J3992" s="6">
        <v>0</v>
      </c>
      <c r="K3992" s="6">
        <v>0</v>
      </c>
      <c r="L3992" s="6">
        <v>0</v>
      </c>
      <c r="M3992" s="6">
        <v>0</v>
      </c>
      <c r="N3992" s="6">
        <v>0</v>
      </c>
      <c r="O3992" s="6">
        <v>0</v>
      </c>
      <c r="P3992" s="6">
        <v>0</v>
      </c>
      <c r="Q3992">
        <v>1</v>
      </c>
      <c r="R3992">
        <f t="shared" si="310"/>
        <v>0</v>
      </c>
      <c r="S3992">
        <f t="shared" si="311"/>
        <v>1</v>
      </c>
      <c r="T3992">
        <f t="shared" si="312"/>
        <v>1</v>
      </c>
      <c r="U3992">
        <f t="shared" si="313"/>
        <v>1</v>
      </c>
      <c r="V3992">
        <f t="shared" si="314"/>
        <v>0</v>
      </c>
    </row>
    <row r="3993" spans="1:22" x14ac:dyDescent="0.25">
      <c r="A3993">
        <v>3990</v>
      </c>
      <c r="B3993" t="s">
        <v>26</v>
      </c>
      <c r="C3993" t="s">
        <v>1218</v>
      </c>
      <c r="D3993" s="4">
        <v>45461</v>
      </c>
      <c r="E3993" t="s">
        <v>2381</v>
      </c>
      <c r="F3993" t="s">
        <v>75</v>
      </c>
      <c r="I3993" s="6"/>
      <c r="J3993" s="6"/>
      <c r="K3993" s="6"/>
      <c r="L3993" s="6"/>
      <c r="M3993" s="6"/>
      <c r="N3993" s="6"/>
      <c r="O3993" s="6"/>
      <c r="P3993" s="6"/>
      <c r="Q3993">
        <v>0</v>
      </c>
      <c r="R3993">
        <f t="shared" si="310"/>
        <v>0</v>
      </c>
      <c r="S3993">
        <f t="shared" si="311"/>
        <v>0</v>
      </c>
      <c r="T3993">
        <f t="shared" si="312"/>
        <v>0</v>
      </c>
      <c r="U3993">
        <f t="shared" si="313"/>
        <v>0</v>
      </c>
      <c r="V3993">
        <f t="shared" si="314"/>
        <v>0</v>
      </c>
    </row>
    <row r="3994" spans="1:22" x14ac:dyDescent="0.25">
      <c r="A3994">
        <v>3991</v>
      </c>
      <c r="B3994" t="s">
        <v>26</v>
      </c>
      <c r="C3994" t="s">
        <v>1218</v>
      </c>
      <c r="D3994" s="4">
        <v>45461</v>
      </c>
      <c r="E3994" t="s">
        <v>2380</v>
      </c>
      <c r="F3994" t="s">
        <v>75</v>
      </c>
      <c r="I3994" s="6"/>
      <c r="J3994" s="6"/>
      <c r="K3994" s="6"/>
      <c r="L3994" s="6"/>
      <c r="M3994" s="6"/>
      <c r="N3994" s="6"/>
      <c r="O3994" s="6"/>
      <c r="P3994" s="6"/>
      <c r="Q3994">
        <v>0</v>
      </c>
      <c r="R3994">
        <f t="shared" si="310"/>
        <v>0</v>
      </c>
      <c r="S3994">
        <f t="shared" si="311"/>
        <v>0</v>
      </c>
      <c r="T3994">
        <f t="shared" si="312"/>
        <v>0</v>
      </c>
      <c r="U3994">
        <f t="shared" si="313"/>
        <v>0</v>
      </c>
      <c r="V3994">
        <f t="shared" si="314"/>
        <v>0</v>
      </c>
    </row>
    <row r="3995" spans="1:22" x14ac:dyDescent="0.25">
      <c r="A3995">
        <v>3992</v>
      </c>
      <c r="B3995" t="s">
        <v>26</v>
      </c>
      <c r="C3995" t="s">
        <v>1218</v>
      </c>
      <c r="D3995" s="4">
        <v>45462</v>
      </c>
      <c r="E3995" t="s">
        <v>2002</v>
      </c>
      <c r="F3995" t="s">
        <v>75</v>
      </c>
      <c r="I3995" s="6"/>
      <c r="J3995" s="6"/>
      <c r="K3995" s="6"/>
      <c r="L3995" s="6"/>
      <c r="M3995" s="6"/>
      <c r="N3995" s="6"/>
      <c r="O3995" s="6"/>
      <c r="P3995" s="6"/>
      <c r="Q3995">
        <v>0</v>
      </c>
      <c r="R3995">
        <f t="shared" si="310"/>
        <v>0</v>
      </c>
      <c r="S3995">
        <f t="shared" si="311"/>
        <v>0</v>
      </c>
      <c r="T3995">
        <f t="shared" si="312"/>
        <v>0</v>
      </c>
      <c r="U3995">
        <f t="shared" si="313"/>
        <v>0</v>
      </c>
      <c r="V3995">
        <f t="shared" si="314"/>
        <v>0</v>
      </c>
    </row>
    <row r="3996" spans="1:22" x14ac:dyDescent="0.25">
      <c r="A3996">
        <v>3993</v>
      </c>
      <c r="B3996" t="s">
        <v>26</v>
      </c>
      <c r="C3996" t="s">
        <v>1218</v>
      </c>
      <c r="D3996" s="4">
        <v>45462</v>
      </c>
      <c r="E3996" t="s">
        <v>1835</v>
      </c>
      <c r="F3996" t="s">
        <v>75</v>
      </c>
      <c r="I3996" s="6"/>
      <c r="J3996" s="6"/>
      <c r="K3996" s="6"/>
      <c r="L3996" s="6"/>
      <c r="M3996" s="6"/>
      <c r="N3996" s="6"/>
      <c r="O3996" s="6"/>
      <c r="P3996" s="6"/>
      <c r="Q3996">
        <v>0</v>
      </c>
      <c r="R3996">
        <f t="shared" si="310"/>
        <v>0</v>
      </c>
      <c r="S3996">
        <f t="shared" si="311"/>
        <v>0</v>
      </c>
      <c r="T3996">
        <f t="shared" si="312"/>
        <v>0</v>
      </c>
      <c r="U3996">
        <f t="shared" si="313"/>
        <v>0</v>
      </c>
      <c r="V3996">
        <f t="shared" si="314"/>
        <v>0</v>
      </c>
    </row>
    <row r="3997" spans="1:22" x14ac:dyDescent="0.25">
      <c r="A3997">
        <v>3994</v>
      </c>
      <c r="B3997" t="s">
        <v>26</v>
      </c>
      <c r="C3997" t="s">
        <v>1218</v>
      </c>
      <c r="D3997" s="4">
        <v>45462</v>
      </c>
      <c r="E3997" t="s">
        <v>1836</v>
      </c>
      <c r="F3997" t="s">
        <v>75</v>
      </c>
      <c r="I3997" s="6"/>
      <c r="J3997" s="6"/>
      <c r="K3997" s="6"/>
      <c r="L3997" s="6"/>
      <c r="M3997" s="6"/>
      <c r="N3997" s="6"/>
      <c r="O3997" s="6"/>
      <c r="P3997" s="6"/>
      <c r="Q3997">
        <v>0</v>
      </c>
      <c r="R3997">
        <f t="shared" si="310"/>
        <v>0</v>
      </c>
      <c r="S3997">
        <f t="shared" si="311"/>
        <v>0</v>
      </c>
      <c r="T3997">
        <f t="shared" si="312"/>
        <v>0</v>
      </c>
      <c r="U3997">
        <f t="shared" si="313"/>
        <v>0</v>
      </c>
      <c r="V3997">
        <f t="shared" si="314"/>
        <v>0</v>
      </c>
    </row>
    <row r="3998" spans="1:22" x14ac:dyDescent="0.25">
      <c r="A3998">
        <v>3995</v>
      </c>
      <c r="B3998" t="s">
        <v>26</v>
      </c>
      <c r="C3998" t="s">
        <v>1218</v>
      </c>
      <c r="D3998" s="4">
        <v>45462</v>
      </c>
      <c r="E3998" t="s">
        <v>1837</v>
      </c>
      <c r="F3998" t="s">
        <v>75</v>
      </c>
      <c r="I3998" s="6">
        <v>0</v>
      </c>
      <c r="J3998" s="6">
        <v>1</v>
      </c>
      <c r="K3998" s="6">
        <v>1</v>
      </c>
      <c r="L3998" s="6">
        <v>0</v>
      </c>
      <c r="M3998" s="6">
        <v>0</v>
      </c>
      <c r="N3998" s="6">
        <v>0</v>
      </c>
      <c r="O3998" s="6">
        <v>1</v>
      </c>
      <c r="P3998" s="6">
        <v>0</v>
      </c>
      <c r="Q3998">
        <v>1</v>
      </c>
      <c r="R3998">
        <f t="shared" si="310"/>
        <v>0</v>
      </c>
      <c r="S3998">
        <f t="shared" si="311"/>
        <v>1</v>
      </c>
      <c r="T3998">
        <f t="shared" si="312"/>
        <v>3</v>
      </c>
      <c r="U3998">
        <f t="shared" si="313"/>
        <v>1</v>
      </c>
      <c r="V3998">
        <f t="shared" si="314"/>
        <v>0</v>
      </c>
    </row>
    <row r="3999" spans="1:22" x14ac:dyDescent="0.25">
      <c r="A3999">
        <v>3996</v>
      </c>
      <c r="B3999" t="s">
        <v>26</v>
      </c>
      <c r="C3999" t="s">
        <v>1218</v>
      </c>
      <c r="D3999" s="4">
        <v>45462</v>
      </c>
      <c r="E3999" t="s">
        <v>1838</v>
      </c>
      <c r="F3999" t="s">
        <v>75</v>
      </c>
      <c r="I3999" s="6"/>
      <c r="J3999" s="6"/>
      <c r="K3999" s="6"/>
      <c r="L3999" s="6"/>
      <c r="M3999" s="6"/>
      <c r="N3999" s="6"/>
      <c r="O3999" s="6"/>
      <c r="P3999" s="6"/>
      <c r="Q3999">
        <v>0</v>
      </c>
      <c r="R3999">
        <f t="shared" si="310"/>
        <v>0</v>
      </c>
      <c r="S3999">
        <f t="shared" si="311"/>
        <v>0</v>
      </c>
      <c r="T3999">
        <f t="shared" si="312"/>
        <v>0</v>
      </c>
      <c r="U3999">
        <f t="shared" si="313"/>
        <v>0</v>
      </c>
      <c r="V3999">
        <f t="shared" si="314"/>
        <v>0</v>
      </c>
    </row>
    <row r="4000" spans="1:22" x14ac:dyDescent="0.25">
      <c r="A4000">
        <v>3997</v>
      </c>
      <c r="B4000" t="s">
        <v>26</v>
      </c>
      <c r="C4000" t="s">
        <v>1218</v>
      </c>
      <c r="D4000" s="4">
        <v>45462</v>
      </c>
      <c r="E4000" t="s">
        <v>2379</v>
      </c>
      <c r="F4000" t="s">
        <v>75</v>
      </c>
      <c r="I4000" s="6"/>
      <c r="J4000" s="6"/>
      <c r="K4000" s="6"/>
      <c r="L4000" s="6"/>
      <c r="M4000" s="6"/>
      <c r="N4000" s="6"/>
      <c r="O4000" s="6"/>
      <c r="P4000" s="6"/>
      <c r="Q4000">
        <v>0</v>
      </c>
      <c r="R4000">
        <f t="shared" si="310"/>
        <v>0</v>
      </c>
      <c r="S4000">
        <f t="shared" si="311"/>
        <v>0</v>
      </c>
      <c r="T4000">
        <f t="shared" si="312"/>
        <v>0</v>
      </c>
      <c r="U4000">
        <f t="shared" si="313"/>
        <v>0</v>
      </c>
      <c r="V4000">
        <f t="shared" si="314"/>
        <v>0</v>
      </c>
    </row>
    <row r="4001" spans="1:22" x14ac:dyDescent="0.25">
      <c r="A4001">
        <v>3998</v>
      </c>
      <c r="B4001" t="s">
        <v>26</v>
      </c>
      <c r="C4001" t="s">
        <v>1218</v>
      </c>
      <c r="D4001" s="4">
        <v>45463</v>
      </c>
      <c r="E4001" t="s">
        <v>1429</v>
      </c>
      <c r="F4001" t="s">
        <v>75</v>
      </c>
      <c r="H4001" t="s">
        <v>1430</v>
      </c>
      <c r="I4001" s="6">
        <v>0</v>
      </c>
      <c r="J4001" s="6">
        <v>0</v>
      </c>
      <c r="K4001" s="6">
        <v>0</v>
      </c>
      <c r="L4001" s="6">
        <v>0</v>
      </c>
      <c r="M4001" s="6">
        <v>0</v>
      </c>
      <c r="N4001" s="6">
        <v>0</v>
      </c>
      <c r="O4001" s="6">
        <v>0</v>
      </c>
      <c r="P4001" s="6">
        <v>0</v>
      </c>
      <c r="Q4001">
        <v>1</v>
      </c>
      <c r="R4001">
        <f t="shared" si="310"/>
        <v>0</v>
      </c>
      <c r="S4001">
        <f t="shared" si="311"/>
        <v>1</v>
      </c>
      <c r="T4001">
        <f t="shared" si="312"/>
        <v>0</v>
      </c>
      <c r="U4001">
        <f t="shared" si="313"/>
        <v>0</v>
      </c>
      <c r="V4001">
        <f t="shared" si="314"/>
        <v>0</v>
      </c>
    </row>
    <row r="4002" spans="1:22" x14ac:dyDescent="0.25">
      <c r="A4002">
        <v>3999</v>
      </c>
      <c r="B4002" t="s">
        <v>26</v>
      </c>
      <c r="C4002" t="s">
        <v>1218</v>
      </c>
      <c r="D4002" s="4">
        <v>45463</v>
      </c>
      <c r="E4002" t="s">
        <v>1771</v>
      </c>
      <c r="F4002" t="s">
        <v>75</v>
      </c>
      <c r="I4002" s="6"/>
      <c r="J4002" s="6"/>
      <c r="K4002" s="6"/>
      <c r="L4002" s="6"/>
      <c r="M4002" s="6"/>
      <c r="N4002" s="6"/>
      <c r="O4002" s="6"/>
      <c r="P4002" s="6"/>
      <c r="Q4002">
        <v>0</v>
      </c>
      <c r="R4002">
        <f t="shared" si="310"/>
        <v>0</v>
      </c>
      <c r="S4002">
        <f t="shared" si="311"/>
        <v>0</v>
      </c>
      <c r="T4002">
        <f t="shared" si="312"/>
        <v>0</v>
      </c>
      <c r="U4002">
        <f t="shared" si="313"/>
        <v>0</v>
      </c>
      <c r="V4002">
        <f t="shared" si="314"/>
        <v>0</v>
      </c>
    </row>
    <row r="4003" spans="1:22" x14ac:dyDescent="0.25">
      <c r="A4003">
        <v>4000</v>
      </c>
      <c r="B4003" t="s">
        <v>26</v>
      </c>
      <c r="C4003" t="s">
        <v>1218</v>
      </c>
      <c r="D4003" s="4">
        <v>45463</v>
      </c>
      <c r="E4003" t="s">
        <v>1772</v>
      </c>
      <c r="F4003" t="s">
        <v>75</v>
      </c>
      <c r="I4003" s="6"/>
      <c r="J4003" s="6"/>
      <c r="K4003" s="6"/>
      <c r="L4003" s="6"/>
      <c r="M4003" s="6"/>
      <c r="N4003" s="6"/>
      <c r="O4003" s="6"/>
      <c r="P4003" s="6"/>
      <c r="Q4003">
        <v>0</v>
      </c>
      <c r="R4003">
        <f t="shared" si="310"/>
        <v>0</v>
      </c>
      <c r="S4003">
        <f t="shared" si="311"/>
        <v>0</v>
      </c>
      <c r="T4003">
        <f t="shared" si="312"/>
        <v>0</v>
      </c>
      <c r="U4003">
        <f t="shared" si="313"/>
        <v>0</v>
      </c>
      <c r="V4003">
        <f t="shared" si="314"/>
        <v>0</v>
      </c>
    </row>
    <row r="4004" spans="1:22" x14ac:dyDescent="0.25">
      <c r="A4004">
        <v>4001</v>
      </c>
      <c r="B4004" t="s">
        <v>26</v>
      </c>
      <c r="C4004" t="s">
        <v>1218</v>
      </c>
      <c r="D4004" s="4">
        <v>45463</v>
      </c>
      <c r="E4004" t="s">
        <v>2001</v>
      </c>
      <c r="F4004" t="s">
        <v>75</v>
      </c>
      <c r="I4004" s="6"/>
      <c r="J4004" s="6"/>
      <c r="K4004" s="6"/>
      <c r="L4004" s="6"/>
      <c r="M4004" s="6"/>
      <c r="N4004" s="6"/>
      <c r="O4004" s="6"/>
      <c r="P4004" s="6"/>
      <c r="Q4004">
        <v>0</v>
      </c>
      <c r="R4004">
        <f t="shared" si="310"/>
        <v>0</v>
      </c>
      <c r="S4004">
        <f t="shared" si="311"/>
        <v>0</v>
      </c>
      <c r="T4004">
        <f t="shared" si="312"/>
        <v>0</v>
      </c>
      <c r="U4004">
        <f t="shared" si="313"/>
        <v>0</v>
      </c>
      <c r="V4004">
        <f t="shared" si="314"/>
        <v>0</v>
      </c>
    </row>
    <row r="4005" spans="1:22" x14ac:dyDescent="0.25">
      <c r="A4005">
        <v>4002</v>
      </c>
      <c r="B4005" t="s">
        <v>26</v>
      </c>
      <c r="C4005" t="s">
        <v>1218</v>
      </c>
      <c r="D4005" s="4">
        <v>45463</v>
      </c>
      <c r="E4005" t="s">
        <v>1839</v>
      </c>
      <c r="F4005" t="s">
        <v>75</v>
      </c>
      <c r="I4005" s="6"/>
      <c r="J4005" s="6"/>
      <c r="K4005" s="6"/>
      <c r="L4005" s="6"/>
      <c r="M4005" s="6"/>
      <c r="N4005" s="6"/>
      <c r="O4005" s="6"/>
      <c r="P4005" s="6"/>
      <c r="Q4005">
        <v>0</v>
      </c>
      <c r="R4005">
        <f t="shared" si="310"/>
        <v>0</v>
      </c>
      <c r="S4005">
        <f t="shared" si="311"/>
        <v>0</v>
      </c>
      <c r="T4005">
        <f t="shared" si="312"/>
        <v>0</v>
      </c>
      <c r="U4005">
        <f t="shared" si="313"/>
        <v>0</v>
      </c>
      <c r="V4005">
        <f t="shared" si="314"/>
        <v>0</v>
      </c>
    </row>
    <row r="4006" spans="1:22" x14ac:dyDescent="0.25">
      <c r="A4006">
        <v>4003</v>
      </c>
      <c r="B4006" t="s">
        <v>26</v>
      </c>
      <c r="C4006" t="s">
        <v>1218</v>
      </c>
      <c r="D4006" s="4">
        <v>45463</v>
      </c>
      <c r="E4006" t="s">
        <v>2000</v>
      </c>
      <c r="F4006" t="s">
        <v>75</v>
      </c>
      <c r="I4006" s="6"/>
      <c r="J4006" s="6"/>
      <c r="K4006" s="6"/>
      <c r="L4006" s="6"/>
      <c r="M4006" s="6"/>
      <c r="N4006" s="6"/>
      <c r="O4006" s="6"/>
      <c r="P4006" s="6"/>
      <c r="Q4006">
        <v>0</v>
      </c>
      <c r="R4006">
        <f t="shared" si="310"/>
        <v>0</v>
      </c>
      <c r="S4006">
        <f t="shared" si="311"/>
        <v>0</v>
      </c>
      <c r="T4006">
        <f t="shared" si="312"/>
        <v>0</v>
      </c>
      <c r="U4006">
        <f t="shared" si="313"/>
        <v>0</v>
      </c>
      <c r="V4006">
        <f t="shared" si="314"/>
        <v>0</v>
      </c>
    </row>
    <row r="4007" spans="1:22" x14ac:dyDescent="0.25">
      <c r="A4007">
        <v>4004</v>
      </c>
      <c r="B4007" t="s">
        <v>26</v>
      </c>
      <c r="C4007" t="s">
        <v>1218</v>
      </c>
      <c r="D4007" s="4">
        <v>45463</v>
      </c>
      <c r="E4007" t="s">
        <v>1999</v>
      </c>
      <c r="F4007" t="s">
        <v>75</v>
      </c>
      <c r="I4007" s="6"/>
      <c r="J4007" s="6"/>
      <c r="K4007" s="6"/>
      <c r="L4007" s="6"/>
      <c r="M4007" s="6"/>
      <c r="N4007" s="6"/>
      <c r="O4007" s="6"/>
      <c r="P4007" s="6"/>
      <c r="Q4007">
        <v>0</v>
      </c>
      <c r="R4007">
        <f t="shared" si="310"/>
        <v>0</v>
      </c>
      <c r="S4007">
        <f t="shared" si="311"/>
        <v>0</v>
      </c>
      <c r="T4007">
        <f t="shared" si="312"/>
        <v>0</v>
      </c>
      <c r="U4007">
        <f t="shared" si="313"/>
        <v>0</v>
      </c>
      <c r="V4007">
        <f t="shared" si="314"/>
        <v>0</v>
      </c>
    </row>
    <row r="4008" spans="1:22" x14ac:dyDescent="0.25">
      <c r="A4008">
        <v>4005</v>
      </c>
      <c r="B4008" t="s">
        <v>26</v>
      </c>
      <c r="C4008" t="s">
        <v>1218</v>
      </c>
      <c r="D4008" s="4">
        <v>45463</v>
      </c>
      <c r="E4008" t="s">
        <v>2378</v>
      </c>
      <c r="F4008" t="s">
        <v>75</v>
      </c>
      <c r="I4008" s="6">
        <v>0</v>
      </c>
      <c r="J4008" s="6">
        <v>0</v>
      </c>
      <c r="K4008" s="6">
        <v>0</v>
      </c>
      <c r="L4008" s="6">
        <v>0</v>
      </c>
      <c r="M4008" s="6">
        <v>1</v>
      </c>
      <c r="N4008" s="6">
        <v>0</v>
      </c>
      <c r="O4008" s="6">
        <v>0</v>
      </c>
      <c r="P4008" s="6">
        <v>0</v>
      </c>
      <c r="Q4008">
        <v>1</v>
      </c>
      <c r="R4008">
        <f t="shared" si="310"/>
        <v>0</v>
      </c>
      <c r="S4008">
        <f t="shared" si="311"/>
        <v>1</v>
      </c>
      <c r="T4008">
        <f t="shared" si="312"/>
        <v>1</v>
      </c>
      <c r="U4008">
        <f t="shared" si="313"/>
        <v>1</v>
      </c>
      <c r="V4008">
        <f t="shared" si="314"/>
        <v>0</v>
      </c>
    </row>
    <row r="4009" spans="1:22" x14ac:dyDescent="0.25">
      <c r="A4009">
        <v>4006</v>
      </c>
      <c r="B4009" t="s">
        <v>26</v>
      </c>
      <c r="C4009" t="s">
        <v>1218</v>
      </c>
      <c r="D4009" s="4">
        <v>45463</v>
      </c>
      <c r="E4009" t="s">
        <v>1431</v>
      </c>
      <c r="F4009" t="s">
        <v>75</v>
      </c>
      <c r="I4009" s="6">
        <v>0</v>
      </c>
      <c r="J4009" s="6">
        <v>0</v>
      </c>
      <c r="K4009" s="6">
        <v>0</v>
      </c>
      <c r="L4009" s="6">
        <v>0</v>
      </c>
      <c r="M4009" s="6">
        <v>1</v>
      </c>
      <c r="N4009" s="6">
        <v>0</v>
      </c>
      <c r="O4009" s="6">
        <v>0</v>
      </c>
      <c r="P4009" s="6">
        <v>0</v>
      </c>
      <c r="Q4009">
        <v>1</v>
      </c>
      <c r="R4009">
        <f t="shared" si="310"/>
        <v>0</v>
      </c>
      <c r="S4009">
        <f t="shared" si="311"/>
        <v>1</v>
      </c>
      <c r="T4009">
        <f t="shared" si="312"/>
        <v>1</v>
      </c>
      <c r="U4009">
        <f t="shared" si="313"/>
        <v>1</v>
      </c>
      <c r="V4009">
        <f t="shared" si="314"/>
        <v>0</v>
      </c>
    </row>
    <row r="4010" spans="1:22" x14ac:dyDescent="0.25">
      <c r="A4010">
        <v>4007</v>
      </c>
      <c r="B4010" t="s">
        <v>26</v>
      </c>
      <c r="C4010" t="s">
        <v>1218</v>
      </c>
      <c r="D4010" s="4">
        <v>45464</v>
      </c>
      <c r="E4010" t="s">
        <v>1254</v>
      </c>
      <c r="F4010" t="s">
        <v>75</v>
      </c>
      <c r="I4010" s="6"/>
      <c r="J4010" s="6"/>
      <c r="K4010" s="6"/>
      <c r="L4010" s="6"/>
      <c r="M4010" s="6"/>
      <c r="N4010" s="6"/>
      <c r="O4010" s="6"/>
      <c r="P4010" s="6"/>
      <c r="Q4010">
        <v>0</v>
      </c>
      <c r="R4010">
        <f t="shared" si="310"/>
        <v>0</v>
      </c>
      <c r="S4010">
        <f t="shared" si="311"/>
        <v>0</v>
      </c>
      <c r="T4010">
        <f t="shared" si="312"/>
        <v>0</v>
      </c>
      <c r="U4010">
        <f t="shared" si="313"/>
        <v>0</v>
      </c>
      <c r="V4010">
        <f t="shared" si="314"/>
        <v>0</v>
      </c>
    </row>
    <row r="4011" spans="1:22" x14ac:dyDescent="0.25">
      <c r="A4011">
        <v>4008</v>
      </c>
      <c r="B4011" t="s">
        <v>26</v>
      </c>
      <c r="C4011" t="s">
        <v>1218</v>
      </c>
      <c r="D4011" s="4">
        <v>45464</v>
      </c>
      <c r="E4011" t="s">
        <v>1256</v>
      </c>
      <c r="F4011" t="s">
        <v>75</v>
      </c>
      <c r="I4011" s="6"/>
      <c r="J4011" s="6"/>
      <c r="K4011" s="6"/>
      <c r="L4011" s="6"/>
      <c r="M4011" s="6"/>
      <c r="N4011" s="6"/>
      <c r="O4011" s="6"/>
      <c r="P4011" s="6"/>
      <c r="Q4011">
        <v>0</v>
      </c>
      <c r="R4011">
        <f t="shared" si="310"/>
        <v>0</v>
      </c>
      <c r="S4011">
        <f t="shared" si="311"/>
        <v>0</v>
      </c>
      <c r="T4011">
        <f t="shared" si="312"/>
        <v>0</v>
      </c>
      <c r="U4011">
        <f t="shared" si="313"/>
        <v>0</v>
      </c>
      <c r="V4011">
        <f t="shared" si="314"/>
        <v>0</v>
      </c>
    </row>
    <row r="4012" spans="1:22" x14ac:dyDescent="0.25">
      <c r="A4012">
        <v>4009</v>
      </c>
      <c r="B4012" t="s">
        <v>26</v>
      </c>
      <c r="C4012" t="s">
        <v>1218</v>
      </c>
      <c r="D4012" s="4">
        <v>45464</v>
      </c>
      <c r="E4012" t="s">
        <v>1998</v>
      </c>
      <c r="F4012" t="s">
        <v>75</v>
      </c>
      <c r="I4012" s="6"/>
      <c r="J4012" s="6"/>
      <c r="K4012" s="6"/>
      <c r="L4012" s="6"/>
      <c r="M4012" s="6"/>
      <c r="N4012" s="6"/>
      <c r="O4012" s="6"/>
      <c r="P4012" s="6"/>
      <c r="Q4012">
        <v>0</v>
      </c>
      <c r="R4012">
        <f t="shared" si="310"/>
        <v>0</v>
      </c>
      <c r="S4012">
        <f t="shared" si="311"/>
        <v>0</v>
      </c>
      <c r="T4012">
        <f t="shared" si="312"/>
        <v>0</v>
      </c>
      <c r="U4012">
        <f t="shared" si="313"/>
        <v>0</v>
      </c>
      <c r="V4012">
        <f t="shared" si="314"/>
        <v>0</v>
      </c>
    </row>
    <row r="4013" spans="1:22" x14ac:dyDescent="0.25">
      <c r="A4013">
        <v>4010</v>
      </c>
      <c r="B4013" t="s">
        <v>26</v>
      </c>
      <c r="C4013" t="s">
        <v>1218</v>
      </c>
      <c r="D4013" s="4">
        <v>45464</v>
      </c>
      <c r="E4013" t="s">
        <v>1997</v>
      </c>
      <c r="F4013" t="s">
        <v>75</v>
      </c>
      <c r="I4013" s="6"/>
      <c r="J4013" s="6"/>
      <c r="K4013" s="6"/>
      <c r="L4013" s="6"/>
      <c r="M4013" s="6"/>
      <c r="N4013" s="6"/>
      <c r="O4013" s="6"/>
      <c r="P4013" s="6"/>
      <c r="Q4013">
        <v>0</v>
      </c>
      <c r="R4013">
        <f t="shared" si="310"/>
        <v>0</v>
      </c>
      <c r="S4013">
        <f t="shared" si="311"/>
        <v>0</v>
      </c>
      <c r="T4013">
        <f t="shared" si="312"/>
        <v>0</v>
      </c>
      <c r="U4013">
        <f t="shared" si="313"/>
        <v>0</v>
      </c>
      <c r="V4013">
        <f t="shared" si="314"/>
        <v>0</v>
      </c>
    </row>
    <row r="4014" spans="1:22" x14ac:dyDescent="0.25">
      <c r="A4014">
        <v>4011</v>
      </c>
      <c r="B4014" t="s">
        <v>26</v>
      </c>
      <c r="C4014" t="s">
        <v>1218</v>
      </c>
      <c r="D4014" s="4">
        <v>45464</v>
      </c>
      <c r="E4014" t="s">
        <v>1996</v>
      </c>
      <c r="F4014" t="s">
        <v>75</v>
      </c>
      <c r="I4014" s="6">
        <v>0</v>
      </c>
      <c r="J4014" s="6">
        <v>0</v>
      </c>
      <c r="K4014" s="6">
        <v>1</v>
      </c>
      <c r="L4014" s="6">
        <v>0</v>
      </c>
      <c r="M4014" s="6">
        <v>1</v>
      </c>
      <c r="N4014" s="6">
        <v>0</v>
      </c>
      <c r="O4014" s="6">
        <v>0</v>
      </c>
      <c r="P4014" s="6">
        <v>0</v>
      </c>
      <c r="Q4014">
        <v>1</v>
      </c>
      <c r="R4014">
        <f t="shared" si="310"/>
        <v>0</v>
      </c>
      <c r="S4014">
        <f t="shared" si="311"/>
        <v>1</v>
      </c>
      <c r="T4014">
        <f t="shared" si="312"/>
        <v>2</v>
      </c>
      <c r="U4014">
        <f t="shared" si="313"/>
        <v>1</v>
      </c>
      <c r="V4014">
        <f t="shared" si="314"/>
        <v>0</v>
      </c>
    </row>
    <row r="4015" spans="1:22" x14ac:dyDescent="0.25">
      <c r="A4015">
        <v>4012</v>
      </c>
      <c r="B4015" t="s">
        <v>26</v>
      </c>
      <c r="C4015" t="s">
        <v>1218</v>
      </c>
      <c r="D4015" s="4">
        <v>45464</v>
      </c>
      <c r="E4015" t="s">
        <v>1432</v>
      </c>
      <c r="F4015" t="s">
        <v>75</v>
      </c>
      <c r="I4015" s="6">
        <v>0</v>
      </c>
      <c r="J4015" s="6">
        <v>0</v>
      </c>
      <c r="K4015" s="6">
        <v>0</v>
      </c>
      <c r="L4015" s="6">
        <v>0</v>
      </c>
      <c r="M4015" s="6">
        <v>1</v>
      </c>
      <c r="N4015" s="6">
        <v>1</v>
      </c>
      <c r="O4015" s="6">
        <v>0</v>
      </c>
      <c r="P4015" s="6">
        <v>0</v>
      </c>
      <c r="Q4015">
        <v>1</v>
      </c>
      <c r="R4015">
        <f t="shared" si="310"/>
        <v>0</v>
      </c>
      <c r="S4015">
        <f t="shared" si="311"/>
        <v>1</v>
      </c>
      <c r="T4015">
        <f t="shared" si="312"/>
        <v>2</v>
      </c>
      <c r="U4015">
        <f t="shared" si="313"/>
        <v>1</v>
      </c>
      <c r="V4015">
        <f t="shared" si="314"/>
        <v>0</v>
      </c>
    </row>
    <row r="4016" spans="1:22" x14ac:dyDescent="0.25">
      <c r="A4016">
        <v>4013</v>
      </c>
      <c r="B4016" t="s">
        <v>26</v>
      </c>
      <c r="C4016" t="s">
        <v>1218</v>
      </c>
      <c r="D4016" s="4">
        <v>45464</v>
      </c>
      <c r="E4016" t="s">
        <v>1995</v>
      </c>
      <c r="F4016" t="s">
        <v>75</v>
      </c>
      <c r="I4016" s="6"/>
      <c r="J4016" s="6"/>
      <c r="K4016" s="6"/>
      <c r="L4016" s="6"/>
      <c r="M4016" s="6"/>
      <c r="N4016" s="6"/>
      <c r="O4016" s="6"/>
      <c r="P4016" s="6"/>
      <c r="Q4016">
        <v>0</v>
      </c>
      <c r="R4016">
        <f t="shared" si="310"/>
        <v>0</v>
      </c>
      <c r="S4016">
        <f t="shared" si="311"/>
        <v>0</v>
      </c>
      <c r="T4016">
        <f t="shared" si="312"/>
        <v>0</v>
      </c>
      <c r="U4016">
        <f t="shared" si="313"/>
        <v>0</v>
      </c>
      <c r="V4016">
        <f t="shared" si="314"/>
        <v>0</v>
      </c>
    </row>
    <row r="4017" spans="1:22" x14ac:dyDescent="0.25">
      <c r="A4017">
        <v>4014</v>
      </c>
      <c r="B4017" t="s">
        <v>26</v>
      </c>
      <c r="C4017" t="s">
        <v>1218</v>
      </c>
      <c r="D4017" s="4">
        <v>45464</v>
      </c>
      <c r="E4017" t="s">
        <v>2377</v>
      </c>
      <c r="F4017" t="s">
        <v>75</v>
      </c>
      <c r="I4017" s="6"/>
      <c r="J4017" s="6"/>
      <c r="K4017" s="6"/>
      <c r="L4017" s="6"/>
      <c r="M4017" s="6"/>
      <c r="N4017" s="6"/>
      <c r="O4017" s="6"/>
      <c r="P4017" s="6"/>
      <c r="Q4017">
        <v>0</v>
      </c>
      <c r="R4017">
        <f t="shared" si="310"/>
        <v>0</v>
      </c>
      <c r="S4017">
        <f t="shared" si="311"/>
        <v>0</v>
      </c>
      <c r="T4017">
        <f t="shared" si="312"/>
        <v>0</v>
      </c>
      <c r="U4017">
        <f t="shared" si="313"/>
        <v>0</v>
      </c>
      <c r="V4017">
        <f t="shared" si="314"/>
        <v>0</v>
      </c>
    </row>
    <row r="4018" spans="1:22" x14ac:dyDescent="0.25">
      <c r="A4018">
        <v>4015</v>
      </c>
      <c r="B4018" t="s">
        <v>26</v>
      </c>
      <c r="C4018" t="s">
        <v>1218</v>
      </c>
      <c r="D4018" s="4">
        <v>45465</v>
      </c>
      <c r="E4018" t="s">
        <v>1257</v>
      </c>
      <c r="F4018" t="s">
        <v>75</v>
      </c>
      <c r="I4018" s="6"/>
      <c r="J4018" s="6"/>
      <c r="K4018" s="6"/>
      <c r="L4018" s="6"/>
      <c r="M4018" s="6"/>
      <c r="N4018" s="6"/>
      <c r="O4018" s="6"/>
      <c r="P4018" s="6"/>
      <c r="Q4018">
        <v>0</v>
      </c>
      <c r="R4018">
        <f t="shared" si="310"/>
        <v>0</v>
      </c>
      <c r="S4018">
        <f t="shared" si="311"/>
        <v>0</v>
      </c>
      <c r="T4018">
        <f t="shared" si="312"/>
        <v>0</v>
      </c>
      <c r="U4018">
        <f t="shared" si="313"/>
        <v>0</v>
      </c>
      <c r="V4018">
        <f t="shared" si="314"/>
        <v>0</v>
      </c>
    </row>
    <row r="4019" spans="1:22" x14ac:dyDescent="0.25">
      <c r="A4019">
        <v>4016</v>
      </c>
      <c r="B4019" t="s">
        <v>26</v>
      </c>
      <c r="C4019" t="s">
        <v>1218</v>
      </c>
      <c r="D4019" s="4">
        <v>45465</v>
      </c>
      <c r="E4019" t="s">
        <v>1258</v>
      </c>
      <c r="F4019" t="s">
        <v>75</v>
      </c>
      <c r="I4019" s="6"/>
      <c r="J4019" s="6"/>
      <c r="K4019" s="6"/>
      <c r="L4019" s="6"/>
      <c r="M4019" s="6"/>
      <c r="N4019" s="6"/>
      <c r="O4019" s="6"/>
      <c r="P4019" s="6"/>
      <c r="Q4019">
        <v>0</v>
      </c>
      <c r="R4019">
        <f t="shared" si="310"/>
        <v>0</v>
      </c>
      <c r="S4019">
        <f t="shared" si="311"/>
        <v>0</v>
      </c>
      <c r="T4019">
        <f t="shared" si="312"/>
        <v>0</v>
      </c>
      <c r="U4019">
        <f t="shared" si="313"/>
        <v>0</v>
      </c>
      <c r="V4019">
        <f t="shared" si="314"/>
        <v>0</v>
      </c>
    </row>
    <row r="4020" spans="1:22" x14ac:dyDescent="0.25">
      <c r="A4020">
        <v>4017</v>
      </c>
      <c r="B4020" t="s">
        <v>26</v>
      </c>
      <c r="C4020" t="s">
        <v>1218</v>
      </c>
      <c r="D4020" s="4">
        <v>45467</v>
      </c>
      <c r="E4020" t="s">
        <v>1993</v>
      </c>
      <c r="F4020" t="s">
        <v>75</v>
      </c>
      <c r="I4020" s="6"/>
      <c r="J4020" s="6"/>
      <c r="K4020" s="6"/>
      <c r="L4020" s="6"/>
      <c r="M4020" s="6"/>
      <c r="N4020" s="6"/>
      <c r="O4020" s="6"/>
      <c r="P4020" s="6"/>
      <c r="Q4020">
        <v>0</v>
      </c>
      <c r="R4020">
        <f t="shared" si="310"/>
        <v>0</v>
      </c>
      <c r="S4020">
        <f t="shared" si="311"/>
        <v>0</v>
      </c>
      <c r="T4020">
        <f t="shared" si="312"/>
        <v>0</v>
      </c>
      <c r="U4020">
        <f t="shared" si="313"/>
        <v>0</v>
      </c>
      <c r="V4020">
        <f t="shared" si="314"/>
        <v>0</v>
      </c>
    </row>
    <row r="4021" spans="1:22" x14ac:dyDescent="0.25">
      <c r="A4021">
        <v>4018</v>
      </c>
      <c r="B4021" t="s">
        <v>26</v>
      </c>
      <c r="C4021" t="s">
        <v>1218</v>
      </c>
      <c r="D4021" s="4">
        <v>45467</v>
      </c>
      <c r="E4021" t="s">
        <v>1992</v>
      </c>
      <c r="F4021" t="s">
        <v>75</v>
      </c>
      <c r="I4021" s="6">
        <v>0</v>
      </c>
      <c r="J4021" s="6">
        <v>0</v>
      </c>
      <c r="K4021" s="6">
        <v>0</v>
      </c>
      <c r="L4021" s="6">
        <v>0</v>
      </c>
      <c r="M4021" s="6">
        <v>0</v>
      </c>
      <c r="N4021" s="6">
        <v>0</v>
      </c>
      <c r="O4021" s="6">
        <v>0</v>
      </c>
      <c r="P4021" s="6">
        <v>0</v>
      </c>
      <c r="Q4021">
        <v>1</v>
      </c>
      <c r="R4021">
        <f t="shared" si="310"/>
        <v>0</v>
      </c>
      <c r="S4021">
        <f t="shared" si="311"/>
        <v>1</v>
      </c>
      <c r="T4021">
        <f t="shared" si="312"/>
        <v>0</v>
      </c>
      <c r="U4021">
        <f t="shared" si="313"/>
        <v>0</v>
      </c>
      <c r="V4021">
        <f t="shared" si="314"/>
        <v>0</v>
      </c>
    </row>
    <row r="4022" spans="1:22" x14ac:dyDescent="0.25">
      <c r="A4022">
        <v>4019</v>
      </c>
      <c r="B4022" t="s">
        <v>26</v>
      </c>
      <c r="C4022" t="s">
        <v>1218</v>
      </c>
      <c r="D4022" s="4">
        <v>45467</v>
      </c>
      <c r="E4022" t="s">
        <v>1433</v>
      </c>
      <c r="F4022" t="s">
        <v>75</v>
      </c>
      <c r="I4022" s="6">
        <v>0</v>
      </c>
      <c r="J4022" s="6">
        <v>0</v>
      </c>
      <c r="K4022" s="6">
        <v>1</v>
      </c>
      <c r="L4022" s="6">
        <v>0</v>
      </c>
      <c r="M4022" s="6">
        <v>1</v>
      </c>
      <c r="N4022" s="6">
        <v>0</v>
      </c>
      <c r="O4022" s="6">
        <v>0</v>
      </c>
      <c r="P4022" s="6">
        <v>0</v>
      </c>
      <c r="Q4022">
        <v>1</v>
      </c>
      <c r="R4022">
        <f t="shared" si="310"/>
        <v>0</v>
      </c>
      <c r="S4022">
        <f t="shared" si="311"/>
        <v>1</v>
      </c>
      <c r="T4022">
        <f t="shared" si="312"/>
        <v>2</v>
      </c>
      <c r="U4022">
        <f t="shared" si="313"/>
        <v>1</v>
      </c>
      <c r="V4022">
        <f t="shared" si="314"/>
        <v>0</v>
      </c>
    </row>
    <row r="4023" spans="1:22" x14ac:dyDescent="0.25">
      <c r="A4023">
        <v>4020</v>
      </c>
      <c r="B4023" t="s">
        <v>26</v>
      </c>
      <c r="C4023" t="s">
        <v>1218</v>
      </c>
      <c r="D4023" s="4">
        <v>45467</v>
      </c>
      <c r="E4023" t="s">
        <v>1991</v>
      </c>
      <c r="F4023" t="s">
        <v>75</v>
      </c>
      <c r="I4023" s="6"/>
      <c r="J4023" s="6"/>
      <c r="K4023" s="6"/>
      <c r="L4023" s="6"/>
      <c r="M4023" s="6"/>
      <c r="N4023" s="6"/>
      <c r="O4023" s="6"/>
      <c r="P4023" s="6"/>
      <c r="Q4023">
        <v>0</v>
      </c>
      <c r="R4023">
        <f t="shared" si="310"/>
        <v>0</v>
      </c>
      <c r="S4023">
        <f t="shared" si="311"/>
        <v>0</v>
      </c>
      <c r="T4023">
        <f t="shared" si="312"/>
        <v>0</v>
      </c>
      <c r="U4023">
        <f t="shared" si="313"/>
        <v>0</v>
      </c>
      <c r="V4023">
        <f t="shared" si="314"/>
        <v>0</v>
      </c>
    </row>
    <row r="4024" spans="1:22" x14ac:dyDescent="0.25">
      <c r="A4024">
        <v>4021</v>
      </c>
      <c r="B4024" t="s">
        <v>26</v>
      </c>
      <c r="C4024" t="s">
        <v>1218</v>
      </c>
      <c r="D4024" s="4">
        <v>45467</v>
      </c>
      <c r="E4024" t="s">
        <v>1990</v>
      </c>
      <c r="F4024" t="s">
        <v>75</v>
      </c>
      <c r="I4024" s="6">
        <v>1</v>
      </c>
      <c r="J4024" s="6">
        <v>0</v>
      </c>
      <c r="K4024" s="6">
        <v>0</v>
      </c>
      <c r="L4024" s="6">
        <v>0</v>
      </c>
      <c r="M4024" s="6">
        <v>0</v>
      </c>
      <c r="N4024" s="6">
        <v>0</v>
      </c>
      <c r="O4024" s="6">
        <v>0</v>
      </c>
      <c r="P4024" s="6">
        <v>0</v>
      </c>
      <c r="Q4024">
        <v>1</v>
      </c>
      <c r="R4024">
        <f t="shared" si="310"/>
        <v>0</v>
      </c>
      <c r="S4024">
        <f t="shared" si="311"/>
        <v>1</v>
      </c>
      <c r="T4024">
        <f t="shared" si="312"/>
        <v>1</v>
      </c>
      <c r="U4024">
        <f t="shared" si="313"/>
        <v>1</v>
      </c>
      <c r="V4024">
        <f t="shared" si="314"/>
        <v>0</v>
      </c>
    </row>
    <row r="4025" spans="1:22" x14ac:dyDescent="0.25">
      <c r="A4025">
        <v>4022</v>
      </c>
      <c r="B4025" t="s">
        <v>26</v>
      </c>
      <c r="C4025" t="s">
        <v>1218</v>
      </c>
      <c r="D4025" s="4">
        <v>45468</v>
      </c>
      <c r="E4025" t="s">
        <v>1776</v>
      </c>
      <c r="F4025" t="s">
        <v>75</v>
      </c>
      <c r="I4025" s="6"/>
      <c r="J4025" s="6"/>
      <c r="K4025" s="6"/>
      <c r="L4025" s="6"/>
      <c r="M4025" s="6"/>
      <c r="N4025" s="6"/>
      <c r="O4025" s="6"/>
      <c r="P4025" s="6"/>
      <c r="Q4025">
        <v>0</v>
      </c>
      <c r="R4025">
        <f t="shared" si="310"/>
        <v>0</v>
      </c>
      <c r="S4025">
        <f t="shared" si="311"/>
        <v>0</v>
      </c>
      <c r="T4025">
        <f t="shared" si="312"/>
        <v>0</v>
      </c>
      <c r="U4025">
        <f t="shared" si="313"/>
        <v>0</v>
      </c>
      <c r="V4025">
        <f t="shared" si="314"/>
        <v>0</v>
      </c>
    </row>
    <row r="4026" spans="1:22" x14ac:dyDescent="0.25">
      <c r="A4026">
        <v>4023</v>
      </c>
      <c r="B4026" t="s">
        <v>26</v>
      </c>
      <c r="C4026" t="s">
        <v>1218</v>
      </c>
      <c r="D4026" s="4">
        <v>45468</v>
      </c>
      <c r="E4026" t="s">
        <v>1777</v>
      </c>
      <c r="F4026" t="s">
        <v>75</v>
      </c>
      <c r="I4026" s="6"/>
      <c r="J4026" s="6"/>
      <c r="K4026" s="6"/>
      <c r="L4026" s="6"/>
      <c r="M4026" s="6"/>
      <c r="N4026" s="6"/>
      <c r="O4026" s="6"/>
      <c r="P4026" s="6"/>
      <c r="Q4026">
        <v>0</v>
      </c>
      <c r="R4026">
        <f t="shared" si="310"/>
        <v>0</v>
      </c>
      <c r="S4026">
        <f t="shared" si="311"/>
        <v>0</v>
      </c>
      <c r="T4026">
        <f t="shared" si="312"/>
        <v>0</v>
      </c>
      <c r="U4026">
        <f t="shared" si="313"/>
        <v>0</v>
      </c>
      <c r="V4026">
        <f t="shared" si="314"/>
        <v>0</v>
      </c>
    </row>
    <row r="4027" spans="1:22" x14ac:dyDescent="0.25">
      <c r="A4027">
        <v>4024</v>
      </c>
      <c r="B4027" t="s">
        <v>26</v>
      </c>
      <c r="C4027" t="s">
        <v>1218</v>
      </c>
      <c r="D4027" s="4">
        <v>45468</v>
      </c>
      <c r="E4027" t="s">
        <v>1778</v>
      </c>
      <c r="F4027" t="s">
        <v>75</v>
      </c>
      <c r="I4027" s="6"/>
      <c r="J4027" s="6"/>
      <c r="K4027" s="6"/>
      <c r="L4027" s="6"/>
      <c r="M4027" s="6"/>
      <c r="N4027" s="6"/>
      <c r="O4027" s="6"/>
      <c r="P4027" s="6"/>
      <c r="Q4027">
        <v>0</v>
      </c>
      <c r="R4027">
        <f t="shared" si="310"/>
        <v>0</v>
      </c>
      <c r="S4027">
        <f t="shared" si="311"/>
        <v>0</v>
      </c>
      <c r="T4027">
        <f t="shared" si="312"/>
        <v>0</v>
      </c>
      <c r="U4027">
        <f t="shared" si="313"/>
        <v>0</v>
      </c>
      <c r="V4027">
        <f t="shared" si="314"/>
        <v>0</v>
      </c>
    </row>
    <row r="4028" spans="1:22" x14ac:dyDescent="0.25">
      <c r="A4028">
        <v>4025</v>
      </c>
      <c r="B4028" t="s">
        <v>26</v>
      </c>
      <c r="C4028" t="s">
        <v>1218</v>
      </c>
      <c r="D4028" s="4">
        <v>45468</v>
      </c>
      <c r="E4028" t="s">
        <v>1779</v>
      </c>
      <c r="F4028" t="s">
        <v>75</v>
      </c>
      <c r="I4028" s="6"/>
      <c r="J4028" s="6"/>
      <c r="K4028" s="6"/>
      <c r="L4028" s="6"/>
      <c r="M4028" s="6"/>
      <c r="N4028" s="6"/>
      <c r="O4028" s="6"/>
      <c r="P4028" s="6"/>
      <c r="Q4028">
        <v>0</v>
      </c>
      <c r="R4028">
        <f t="shared" si="310"/>
        <v>0</v>
      </c>
      <c r="S4028">
        <f t="shared" si="311"/>
        <v>0</v>
      </c>
      <c r="T4028">
        <f t="shared" si="312"/>
        <v>0</v>
      </c>
      <c r="U4028">
        <f t="shared" si="313"/>
        <v>0</v>
      </c>
      <c r="V4028">
        <f t="shared" si="314"/>
        <v>0</v>
      </c>
    </row>
    <row r="4029" spans="1:22" x14ac:dyDescent="0.25">
      <c r="A4029">
        <v>4026</v>
      </c>
      <c r="B4029" t="s">
        <v>26</v>
      </c>
      <c r="C4029" t="s">
        <v>1218</v>
      </c>
      <c r="D4029" s="4">
        <v>45468</v>
      </c>
      <c r="E4029" t="s">
        <v>2376</v>
      </c>
      <c r="F4029" t="s">
        <v>75</v>
      </c>
      <c r="I4029" s="6">
        <v>1</v>
      </c>
      <c r="J4029" s="6">
        <v>0</v>
      </c>
      <c r="K4029" s="6">
        <v>1</v>
      </c>
      <c r="L4029" s="6">
        <v>0</v>
      </c>
      <c r="M4029" s="6">
        <v>1</v>
      </c>
      <c r="N4029" s="6">
        <v>0</v>
      </c>
      <c r="O4029" s="6">
        <v>0</v>
      </c>
      <c r="P4029" s="6">
        <v>0</v>
      </c>
      <c r="Q4029">
        <v>1</v>
      </c>
      <c r="R4029">
        <f t="shared" si="310"/>
        <v>0</v>
      </c>
      <c r="S4029">
        <f t="shared" si="311"/>
        <v>1</v>
      </c>
      <c r="T4029">
        <f t="shared" si="312"/>
        <v>3</v>
      </c>
      <c r="U4029">
        <f t="shared" si="313"/>
        <v>1</v>
      </c>
      <c r="V4029">
        <f t="shared" si="314"/>
        <v>0</v>
      </c>
    </row>
    <row r="4030" spans="1:22" x14ac:dyDescent="0.25">
      <c r="A4030">
        <v>4027</v>
      </c>
      <c r="B4030" t="s">
        <v>26</v>
      </c>
      <c r="C4030" t="s">
        <v>1218</v>
      </c>
      <c r="D4030" s="4">
        <v>45468</v>
      </c>
      <c r="E4030" t="s">
        <v>2375</v>
      </c>
      <c r="F4030" t="s">
        <v>75</v>
      </c>
      <c r="I4030" s="6"/>
      <c r="J4030" s="6"/>
      <c r="K4030" s="6"/>
      <c r="L4030" s="6"/>
      <c r="M4030" s="6"/>
      <c r="N4030" s="6"/>
      <c r="O4030" s="6"/>
      <c r="P4030" s="6"/>
      <c r="Q4030">
        <v>0</v>
      </c>
      <c r="R4030">
        <f t="shared" si="310"/>
        <v>0</v>
      </c>
      <c r="S4030">
        <f t="shared" si="311"/>
        <v>0</v>
      </c>
      <c r="T4030">
        <f t="shared" si="312"/>
        <v>0</v>
      </c>
      <c r="U4030">
        <f t="shared" si="313"/>
        <v>0</v>
      </c>
      <c r="V4030">
        <f t="shared" si="314"/>
        <v>0</v>
      </c>
    </row>
    <row r="4031" spans="1:22" x14ac:dyDescent="0.25">
      <c r="A4031">
        <v>4028</v>
      </c>
      <c r="B4031" t="s">
        <v>26</v>
      </c>
      <c r="C4031" t="s">
        <v>1218</v>
      </c>
      <c r="D4031" s="4">
        <v>45468</v>
      </c>
      <c r="E4031" t="s">
        <v>2374</v>
      </c>
      <c r="F4031" t="s">
        <v>75</v>
      </c>
      <c r="I4031" s="6"/>
      <c r="J4031" s="6"/>
      <c r="K4031" s="6"/>
      <c r="L4031" s="6"/>
      <c r="M4031" s="6"/>
      <c r="N4031" s="6"/>
      <c r="O4031" s="6"/>
      <c r="P4031" s="6"/>
      <c r="Q4031">
        <v>0</v>
      </c>
      <c r="R4031">
        <f t="shared" si="310"/>
        <v>0</v>
      </c>
      <c r="S4031">
        <f t="shared" si="311"/>
        <v>0</v>
      </c>
      <c r="T4031">
        <f t="shared" si="312"/>
        <v>0</v>
      </c>
      <c r="U4031">
        <f t="shared" si="313"/>
        <v>0</v>
      </c>
      <c r="V4031">
        <f t="shared" si="314"/>
        <v>0</v>
      </c>
    </row>
    <row r="4032" spans="1:22" x14ac:dyDescent="0.25">
      <c r="A4032">
        <v>4029</v>
      </c>
      <c r="B4032" t="s">
        <v>26</v>
      </c>
      <c r="C4032" t="s">
        <v>1218</v>
      </c>
      <c r="D4032" s="4">
        <v>45468</v>
      </c>
      <c r="E4032" t="s">
        <v>1434</v>
      </c>
      <c r="F4032" t="s">
        <v>75</v>
      </c>
      <c r="I4032" s="6">
        <v>0</v>
      </c>
      <c r="J4032" s="6">
        <v>0</v>
      </c>
      <c r="K4032" s="6">
        <v>0</v>
      </c>
      <c r="L4032" s="6">
        <v>1</v>
      </c>
      <c r="M4032" s="6">
        <v>0</v>
      </c>
      <c r="N4032" s="6">
        <v>0</v>
      </c>
      <c r="O4032" s="6">
        <v>0</v>
      </c>
      <c r="P4032" s="6">
        <v>0</v>
      </c>
      <c r="Q4032">
        <v>1</v>
      </c>
      <c r="R4032">
        <f t="shared" si="310"/>
        <v>0</v>
      </c>
      <c r="S4032">
        <f t="shared" si="311"/>
        <v>1</v>
      </c>
      <c r="T4032">
        <f t="shared" si="312"/>
        <v>1</v>
      </c>
      <c r="U4032">
        <f t="shared" si="313"/>
        <v>1</v>
      </c>
      <c r="V4032">
        <f t="shared" si="314"/>
        <v>0</v>
      </c>
    </row>
    <row r="4033" spans="1:22" x14ac:dyDescent="0.25">
      <c r="A4033">
        <v>4030</v>
      </c>
      <c r="B4033" t="s">
        <v>26</v>
      </c>
      <c r="C4033" t="s">
        <v>1218</v>
      </c>
      <c r="D4033" s="4">
        <v>45469</v>
      </c>
      <c r="E4033" t="s">
        <v>2373</v>
      </c>
      <c r="F4033" t="s">
        <v>75</v>
      </c>
      <c r="I4033" s="6">
        <v>0</v>
      </c>
      <c r="J4033" s="6">
        <v>0</v>
      </c>
      <c r="K4033" s="6">
        <v>0</v>
      </c>
      <c r="L4033" s="6">
        <v>0</v>
      </c>
      <c r="M4033" s="6">
        <v>1</v>
      </c>
      <c r="N4033" s="6">
        <v>0</v>
      </c>
      <c r="O4033" s="6">
        <v>0</v>
      </c>
      <c r="P4033" s="6">
        <v>0</v>
      </c>
      <c r="Q4033">
        <v>1</v>
      </c>
      <c r="R4033">
        <f t="shared" si="310"/>
        <v>0</v>
      </c>
      <c r="S4033">
        <f t="shared" si="311"/>
        <v>1</v>
      </c>
      <c r="T4033">
        <f t="shared" si="312"/>
        <v>1</v>
      </c>
      <c r="U4033">
        <f t="shared" si="313"/>
        <v>1</v>
      </c>
      <c r="V4033">
        <f t="shared" si="314"/>
        <v>0</v>
      </c>
    </row>
    <row r="4034" spans="1:22" x14ac:dyDescent="0.25">
      <c r="A4034">
        <v>4031</v>
      </c>
      <c r="B4034" t="s">
        <v>26</v>
      </c>
      <c r="C4034" t="s">
        <v>1218</v>
      </c>
      <c r="D4034" s="4">
        <v>45469</v>
      </c>
      <c r="E4034" t="s">
        <v>2372</v>
      </c>
      <c r="F4034" t="s">
        <v>75</v>
      </c>
      <c r="I4034" s="6"/>
      <c r="J4034" s="6"/>
      <c r="K4034" s="6"/>
      <c r="L4034" s="6"/>
      <c r="M4034" s="6"/>
      <c r="N4034" s="6"/>
      <c r="O4034" s="6"/>
      <c r="P4034" s="6"/>
      <c r="Q4034">
        <v>0</v>
      </c>
      <c r="R4034">
        <f t="shared" si="310"/>
        <v>0</v>
      </c>
      <c r="S4034">
        <f t="shared" si="311"/>
        <v>0</v>
      </c>
      <c r="T4034">
        <f t="shared" si="312"/>
        <v>0</v>
      </c>
      <c r="U4034">
        <f t="shared" si="313"/>
        <v>0</v>
      </c>
      <c r="V4034">
        <f t="shared" si="314"/>
        <v>0</v>
      </c>
    </row>
    <row r="4035" spans="1:22" x14ac:dyDescent="0.25">
      <c r="A4035">
        <v>4032</v>
      </c>
      <c r="B4035" t="s">
        <v>26</v>
      </c>
      <c r="C4035" t="s">
        <v>1218</v>
      </c>
      <c r="D4035" s="4">
        <v>45469</v>
      </c>
      <c r="E4035" t="s">
        <v>2371</v>
      </c>
      <c r="F4035" t="s">
        <v>75</v>
      </c>
      <c r="I4035" s="6"/>
      <c r="J4035" s="6"/>
      <c r="K4035" s="6"/>
      <c r="L4035" s="6"/>
      <c r="M4035" s="6"/>
      <c r="N4035" s="6"/>
      <c r="O4035" s="6"/>
      <c r="P4035" s="6"/>
      <c r="Q4035">
        <v>0</v>
      </c>
      <c r="R4035">
        <f t="shared" ref="R4035:R4098" si="315">IF(AND(Q4035=1,F4035="ai_full"),1,0)</f>
        <v>0</v>
      </c>
      <c r="S4035">
        <f t="shared" ref="S4035:S4098" si="316">IF(AND(Q4035=1,F4035="conventional"),1,0)</f>
        <v>0</v>
      </c>
      <c r="T4035">
        <f t="shared" ref="T4035:T4098" si="317">SUM(I4035:P4035)</f>
        <v>0</v>
      </c>
      <c r="U4035">
        <f t="shared" ref="U4035:U4098" si="318">IF(T4035&gt;=1,1,0)</f>
        <v>0</v>
      </c>
      <c r="V4035">
        <f t="shared" ref="V4035:V4098" si="319">IF(F4035="ai_full",1,0)</f>
        <v>0</v>
      </c>
    </row>
    <row r="4036" spans="1:22" x14ac:dyDescent="0.25">
      <c r="A4036">
        <v>4033</v>
      </c>
      <c r="B4036" t="s">
        <v>26</v>
      </c>
      <c r="C4036" t="s">
        <v>1218</v>
      </c>
      <c r="D4036" s="4">
        <v>45469</v>
      </c>
      <c r="E4036" t="s">
        <v>2370</v>
      </c>
      <c r="F4036" t="s">
        <v>75</v>
      </c>
      <c r="I4036" s="6">
        <v>0</v>
      </c>
      <c r="J4036" s="6">
        <v>0</v>
      </c>
      <c r="K4036" s="6">
        <v>1</v>
      </c>
      <c r="L4036" s="6">
        <v>0</v>
      </c>
      <c r="M4036" s="6">
        <v>0</v>
      </c>
      <c r="N4036" s="6">
        <v>0</v>
      </c>
      <c r="O4036" s="6">
        <v>0</v>
      </c>
      <c r="P4036" s="6">
        <v>0</v>
      </c>
      <c r="Q4036">
        <v>1</v>
      </c>
      <c r="R4036">
        <f t="shared" si="315"/>
        <v>0</v>
      </c>
      <c r="S4036">
        <f t="shared" si="316"/>
        <v>1</v>
      </c>
      <c r="T4036">
        <f t="shared" si="317"/>
        <v>1</v>
      </c>
      <c r="U4036">
        <f t="shared" si="318"/>
        <v>1</v>
      </c>
      <c r="V4036">
        <f t="shared" si="319"/>
        <v>0</v>
      </c>
    </row>
    <row r="4037" spans="1:22" x14ac:dyDescent="0.25">
      <c r="A4037">
        <v>4034</v>
      </c>
      <c r="B4037" t="s">
        <v>26</v>
      </c>
      <c r="C4037" t="s">
        <v>1218</v>
      </c>
      <c r="D4037" s="4">
        <v>45469</v>
      </c>
      <c r="E4037" t="s">
        <v>2369</v>
      </c>
      <c r="F4037" t="s">
        <v>75</v>
      </c>
      <c r="I4037" s="6"/>
      <c r="J4037" s="6"/>
      <c r="K4037" s="6"/>
      <c r="L4037" s="6"/>
      <c r="M4037" s="6"/>
      <c r="N4037" s="6"/>
      <c r="O4037" s="6"/>
      <c r="P4037" s="6"/>
      <c r="Q4037">
        <v>0</v>
      </c>
      <c r="R4037">
        <f t="shared" si="315"/>
        <v>0</v>
      </c>
      <c r="S4037">
        <f t="shared" si="316"/>
        <v>0</v>
      </c>
      <c r="T4037">
        <f t="shared" si="317"/>
        <v>0</v>
      </c>
      <c r="U4037">
        <f t="shared" si="318"/>
        <v>0</v>
      </c>
      <c r="V4037">
        <f t="shared" si="319"/>
        <v>0</v>
      </c>
    </row>
    <row r="4038" spans="1:22" x14ac:dyDescent="0.25">
      <c r="A4038">
        <v>4035</v>
      </c>
      <c r="B4038" t="s">
        <v>26</v>
      </c>
      <c r="C4038" t="s">
        <v>1218</v>
      </c>
      <c r="D4038" s="4">
        <v>45469</v>
      </c>
      <c r="E4038" t="s">
        <v>2368</v>
      </c>
      <c r="F4038" t="s">
        <v>75</v>
      </c>
      <c r="I4038" s="6"/>
      <c r="J4038" s="6"/>
      <c r="K4038" s="6"/>
      <c r="L4038" s="6"/>
      <c r="M4038" s="6"/>
      <c r="N4038" s="6"/>
      <c r="O4038" s="6"/>
      <c r="P4038" s="6"/>
      <c r="Q4038">
        <v>0</v>
      </c>
      <c r="R4038">
        <f t="shared" si="315"/>
        <v>0</v>
      </c>
      <c r="S4038">
        <f t="shared" si="316"/>
        <v>0</v>
      </c>
      <c r="T4038">
        <f t="shared" si="317"/>
        <v>0</v>
      </c>
      <c r="U4038">
        <f t="shared" si="318"/>
        <v>0</v>
      </c>
      <c r="V4038">
        <f t="shared" si="319"/>
        <v>0</v>
      </c>
    </row>
    <row r="4039" spans="1:22" x14ac:dyDescent="0.25">
      <c r="A4039">
        <v>4036</v>
      </c>
      <c r="B4039" t="s">
        <v>26</v>
      </c>
      <c r="C4039" t="s">
        <v>1218</v>
      </c>
      <c r="D4039" s="4">
        <v>45469</v>
      </c>
      <c r="E4039" t="s">
        <v>2367</v>
      </c>
      <c r="F4039" t="s">
        <v>75</v>
      </c>
      <c r="I4039" s="6"/>
      <c r="J4039" s="6"/>
      <c r="K4039" s="6"/>
      <c r="L4039" s="6"/>
      <c r="M4039" s="6"/>
      <c r="N4039" s="6"/>
      <c r="O4039" s="6"/>
      <c r="P4039" s="6"/>
      <c r="Q4039">
        <v>0</v>
      </c>
      <c r="R4039">
        <f t="shared" si="315"/>
        <v>0</v>
      </c>
      <c r="S4039">
        <f t="shared" si="316"/>
        <v>0</v>
      </c>
      <c r="T4039">
        <f t="shared" si="317"/>
        <v>0</v>
      </c>
      <c r="U4039">
        <f t="shared" si="318"/>
        <v>0</v>
      </c>
      <c r="V4039">
        <f t="shared" si="319"/>
        <v>0</v>
      </c>
    </row>
    <row r="4040" spans="1:22" x14ac:dyDescent="0.25">
      <c r="A4040">
        <v>4037</v>
      </c>
      <c r="B4040" t="s">
        <v>26</v>
      </c>
      <c r="C4040" t="s">
        <v>1218</v>
      </c>
      <c r="D4040" s="4">
        <v>45469</v>
      </c>
      <c r="E4040" t="s">
        <v>2366</v>
      </c>
      <c r="F4040" t="s">
        <v>75</v>
      </c>
      <c r="I4040" s="6">
        <v>0</v>
      </c>
      <c r="J4040" s="6">
        <v>0</v>
      </c>
      <c r="K4040" s="6">
        <v>0</v>
      </c>
      <c r="L4040" s="6">
        <v>0</v>
      </c>
      <c r="M4040" s="6">
        <v>0</v>
      </c>
      <c r="N4040" s="6">
        <v>0</v>
      </c>
      <c r="O4040" s="6">
        <v>1</v>
      </c>
      <c r="P4040" s="6">
        <v>0</v>
      </c>
      <c r="Q4040">
        <v>1</v>
      </c>
      <c r="R4040">
        <f t="shared" si="315"/>
        <v>0</v>
      </c>
      <c r="S4040">
        <f t="shared" si="316"/>
        <v>1</v>
      </c>
      <c r="T4040">
        <f t="shared" si="317"/>
        <v>1</v>
      </c>
      <c r="U4040">
        <f t="shared" si="318"/>
        <v>1</v>
      </c>
      <c r="V4040">
        <f t="shared" si="319"/>
        <v>0</v>
      </c>
    </row>
    <row r="4041" spans="1:22" x14ac:dyDescent="0.25">
      <c r="A4041">
        <v>4038</v>
      </c>
      <c r="B4041" t="s">
        <v>26</v>
      </c>
      <c r="C4041" t="s">
        <v>1218</v>
      </c>
      <c r="D4041" s="4">
        <v>45469</v>
      </c>
      <c r="E4041" t="s">
        <v>2365</v>
      </c>
      <c r="F4041" t="s">
        <v>75</v>
      </c>
      <c r="I4041" s="6"/>
      <c r="J4041" s="6"/>
      <c r="K4041" s="6"/>
      <c r="L4041" s="6"/>
      <c r="M4041" s="6"/>
      <c r="N4041" s="6"/>
      <c r="O4041" s="6"/>
      <c r="P4041" s="6"/>
      <c r="Q4041">
        <v>0</v>
      </c>
      <c r="R4041">
        <f t="shared" si="315"/>
        <v>0</v>
      </c>
      <c r="S4041">
        <f t="shared" si="316"/>
        <v>0</v>
      </c>
      <c r="T4041">
        <f t="shared" si="317"/>
        <v>0</v>
      </c>
      <c r="U4041">
        <f t="shared" si="318"/>
        <v>0</v>
      </c>
      <c r="V4041">
        <f t="shared" si="319"/>
        <v>0</v>
      </c>
    </row>
    <row r="4042" spans="1:22" x14ac:dyDescent="0.25">
      <c r="A4042">
        <v>4039</v>
      </c>
      <c r="B4042" t="s">
        <v>26</v>
      </c>
      <c r="C4042" t="s">
        <v>1218</v>
      </c>
      <c r="D4042" s="4">
        <v>45469</v>
      </c>
      <c r="E4042" t="s">
        <v>2364</v>
      </c>
      <c r="F4042" t="s">
        <v>75</v>
      </c>
      <c r="I4042" s="6"/>
      <c r="J4042" s="6"/>
      <c r="K4042" s="6"/>
      <c r="L4042" s="6"/>
      <c r="M4042" s="6"/>
      <c r="N4042" s="6"/>
      <c r="O4042" s="6"/>
      <c r="P4042" s="6"/>
      <c r="Q4042">
        <v>0</v>
      </c>
      <c r="R4042">
        <f t="shared" si="315"/>
        <v>0</v>
      </c>
      <c r="S4042">
        <f t="shared" si="316"/>
        <v>0</v>
      </c>
      <c r="T4042">
        <f t="shared" si="317"/>
        <v>0</v>
      </c>
      <c r="U4042">
        <f t="shared" si="318"/>
        <v>0</v>
      </c>
      <c r="V4042">
        <f t="shared" si="319"/>
        <v>0</v>
      </c>
    </row>
    <row r="4043" spans="1:22" x14ac:dyDescent="0.25">
      <c r="A4043">
        <v>4040</v>
      </c>
      <c r="B4043" t="s">
        <v>26</v>
      </c>
      <c r="C4043" t="s">
        <v>1218</v>
      </c>
      <c r="D4043" s="4">
        <v>45469</v>
      </c>
      <c r="E4043" t="s">
        <v>2363</v>
      </c>
      <c r="F4043" t="s">
        <v>75</v>
      </c>
      <c r="I4043" s="6"/>
      <c r="J4043" s="6"/>
      <c r="K4043" s="6"/>
      <c r="L4043" s="6"/>
      <c r="M4043" s="6"/>
      <c r="N4043" s="6"/>
      <c r="O4043" s="6"/>
      <c r="P4043" s="6"/>
      <c r="Q4043">
        <v>0</v>
      </c>
      <c r="R4043">
        <f t="shared" si="315"/>
        <v>0</v>
      </c>
      <c r="S4043">
        <f t="shared" si="316"/>
        <v>0</v>
      </c>
      <c r="T4043">
        <f t="shared" si="317"/>
        <v>0</v>
      </c>
      <c r="U4043">
        <f t="shared" si="318"/>
        <v>0</v>
      </c>
      <c r="V4043">
        <f t="shared" si="319"/>
        <v>0</v>
      </c>
    </row>
    <row r="4044" spans="1:22" x14ac:dyDescent="0.25">
      <c r="A4044">
        <v>4041</v>
      </c>
      <c r="B4044" t="s">
        <v>26</v>
      </c>
      <c r="C4044" t="s">
        <v>1218</v>
      </c>
      <c r="D4044" s="4">
        <v>45470</v>
      </c>
      <c r="E4044" t="s">
        <v>1260</v>
      </c>
      <c r="F4044" t="s">
        <v>75</v>
      </c>
      <c r="I4044" s="6">
        <v>1</v>
      </c>
      <c r="J4044" s="6">
        <v>0</v>
      </c>
      <c r="K4044" s="6">
        <v>1</v>
      </c>
      <c r="L4044" s="6">
        <v>0</v>
      </c>
      <c r="M4044" s="6">
        <v>1</v>
      </c>
      <c r="N4044" s="6">
        <v>0</v>
      </c>
      <c r="O4044" s="6">
        <v>0</v>
      </c>
      <c r="P4044" s="6">
        <v>0</v>
      </c>
      <c r="Q4044">
        <v>1</v>
      </c>
      <c r="R4044">
        <f t="shared" si="315"/>
        <v>0</v>
      </c>
      <c r="S4044">
        <f t="shared" si="316"/>
        <v>1</v>
      </c>
      <c r="T4044">
        <f t="shared" si="317"/>
        <v>3</v>
      </c>
      <c r="U4044">
        <f t="shared" si="318"/>
        <v>1</v>
      </c>
      <c r="V4044">
        <f t="shared" si="319"/>
        <v>0</v>
      </c>
    </row>
    <row r="4045" spans="1:22" x14ac:dyDescent="0.25">
      <c r="A4045">
        <v>4042</v>
      </c>
      <c r="B4045" t="s">
        <v>26</v>
      </c>
      <c r="C4045" t="s">
        <v>1218</v>
      </c>
      <c r="D4045" s="4">
        <v>45470</v>
      </c>
      <c r="E4045" t="s">
        <v>1435</v>
      </c>
      <c r="F4045" t="s">
        <v>75</v>
      </c>
      <c r="I4045" s="6">
        <v>0</v>
      </c>
      <c r="J4045" s="6">
        <v>0</v>
      </c>
      <c r="K4045" s="6">
        <v>0</v>
      </c>
      <c r="L4045" s="6">
        <v>1</v>
      </c>
      <c r="M4045" s="6">
        <v>0</v>
      </c>
      <c r="N4045" s="6">
        <v>0</v>
      </c>
      <c r="O4045" s="6">
        <v>1</v>
      </c>
      <c r="P4045" s="6">
        <v>0</v>
      </c>
      <c r="Q4045">
        <v>1</v>
      </c>
      <c r="R4045">
        <f t="shared" si="315"/>
        <v>0</v>
      </c>
      <c r="S4045">
        <f t="shared" si="316"/>
        <v>1</v>
      </c>
      <c r="T4045">
        <f t="shared" si="317"/>
        <v>2</v>
      </c>
      <c r="U4045">
        <f t="shared" si="318"/>
        <v>1</v>
      </c>
      <c r="V4045">
        <f t="shared" si="319"/>
        <v>0</v>
      </c>
    </row>
    <row r="4046" spans="1:22" x14ac:dyDescent="0.25">
      <c r="A4046">
        <v>4043</v>
      </c>
      <c r="B4046" t="s">
        <v>26</v>
      </c>
      <c r="C4046" t="s">
        <v>1218</v>
      </c>
      <c r="D4046" s="4">
        <v>45470</v>
      </c>
      <c r="E4046" t="s">
        <v>1261</v>
      </c>
      <c r="F4046" t="s">
        <v>75</v>
      </c>
      <c r="I4046" s="6">
        <v>1</v>
      </c>
      <c r="J4046" s="6">
        <v>0</v>
      </c>
      <c r="K4046" s="6">
        <v>0</v>
      </c>
      <c r="L4046" s="6">
        <v>0</v>
      </c>
      <c r="M4046" s="6">
        <v>0</v>
      </c>
      <c r="N4046" s="6">
        <v>0</v>
      </c>
      <c r="O4046" s="6">
        <v>0</v>
      </c>
      <c r="P4046" s="6">
        <v>0</v>
      </c>
      <c r="Q4046">
        <v>1</v>
      </c>
      <c r="R4046">
        <f t="shared" si="315"/>
        <v>0</v>
      </c>
      <c r="S4046">
        <f t="shared" si="316"/>
        <v>1</v>
      </c>
      <c r="T4046">
        <f t="shared" si="317"/>
        <v>1</v>
      </c>
      <c r="U4046">
        <f t="shared" si="318"/>
        <v>1</v>
      </c>
      <c r="V4046">
        <f t="shared" si="319"/>
        <v>0</v>
      </c>
    </row>
    <row r="4047" spans="1:22" x14ac:dyDescent="0.25">
      <c r="A4047">
        <v>4044</v>
      </c>
      <c r="B4047" t="s">
        <v>26</v>
      </c>
      <c r="C4047" t="s">
        <v>1218</v>
      </c>
      <c r="D4047" s="4">
        <v>45470</v>
      </c>
      <c r="E4047" t="s">
        <v>1843</v>
      </c>
      <c r="F4047" t="s">
        <v>75</v>
      </c>
      <c r="I4047" s="6"/>
      <c r="J4047" s="6"/>
      <c r="K4047" s="6"/>
      <c r="L4047" s="6"/>
      <c r="M4047" s="6"/>
      <c r="N4047" s="6"/>
      <c r="O4047" s="6"/>
      <c r="P4047" s="6"/>
      <c r="Q4047">
        <v>0</v>
      </c>
      <c r="R4047">
        <f t="shared" si="315"/>
        <v>0</v>
      </c>
      <c r="S4047">
        <f t="shared" si="316"/>
        <v>0</v>
      </c>
      <c r="T4047">
        <f t="shared" si="317"/>
        <v>0</v>
      </c>
      <c r="U4047">
        <f t="shared" si="318"/>
        <v>0</v>
      </c>
      <c r="V4047">
        <f t="shared" si="319"/>
        <v>0</v>
      </c>
    </row>
    <row r="4048" spans="1:22" x14ac:dyDescent="0.25">
      <c r="A4048">
        <v>4045</v>
      </c>
      <c r="B4048" t="s">
        <v>26</v>
      </c>
      <c r="C4048" t="s">
        <v>1218</v>
      </c>
      <c r="D4048" s="4">
        <v>45470</v>
      </c>
      <c r="E4048" t="s">
        <v>1436</v>
      </c>
      <c r="F4048" t="s">
        <v>75</v>
      </c>
      <c r="I4048" s="6">
        <v>0</v>
      </c>
      <c r="J4048" s="6">
        <v>0</v>
      </c>
      <c r="K4048" s="6">
        <v>0</v>
      </c>
      <c r="L4048" s="6">
        <v>0</v>
      </c>
      <c r="M4048" s="6">
        <v>1</v>
      </c>
      <c r="N4048" s="6">
        <v>0</v>
      </c>
      <c r="O4048" s="6">
        <v>0</v>
      </c>
      <c r="P4048" s="6">
        <v>0</v>
      </c>
      <c r="Q4048">
        <v>1</v>
      </c>
      <c r="R4048">
        <f t="shared" si="315"/>
        <v>0</v>
      </c>
      <c r="S4048">
        <f t="shared" si="316"/>
        <v>1</v>
      </c>
      <c r="T4048">
        <f t="shared" si="317"/>
        <v>1</v>
      </c>
      <c r="U4048">
        <f t="shared" si="318"/>
        <v>1</v>
      </c>
      <c r="V4048">
        <f t="shared" si="319"/>
        <v>0</v>
      </c>
    </row>
    <row r="4049" spans="1:22" x14ac:dyDescent="0.25">
      <c r="A4049">
        <v>4046</v>
      </c>
      <c r="B4049" t="s">
        <v>26</v>
      </c>
      <c r="C4049" t="s">
        <v>1218</v>
      </c>
      <c r="D4049" s="4">
        <v>45470</v>
      </c>
      <c r="E4049" t="s">
        <v>2362</v>
      </c>
      <c r="F4049" t="s">
        <v>75</v>
      </c>
      <c r="I4049" s="6"/>
      <c r="J4049" s="6"/>
      <c r="K4049" s="6"/>
      <c r="L4049" s="6"/>
      <c r="M4049" s="6"/>
      <c r="N4049" s="6"/>
      <c r="O4049" s="6"/>
      <c r="P4049" s="6"/>
      <c r="Q4049">
        <v>0</v>
      </c>
      <c r="R4049">
        <f t="shared" si="315"/>
        <v>0</v>
      </c>
      <c r="S4049">
        <f t="shared" si="316"/>
        <v>0</v>
      </c>
      <c r="T4049">
        <f t="shared" si="317"/>
        <v>0</v>
      </c>
      <c r="U4049">
        <f t="shared" si="318"/>
        <v>0</v>
      </c>
      <c r="V4049">
        <f t="shared" si="319"/>
        <v>0</v>
      </c>
    </row>
    <row r="4050" spans="1:22" x14ac:dyDescent="0.25">
      <c r="A4050">
        <v>4047</v>
      </c>
      <c r="B4050" t="s">
        <v>26</v>
      </c>
      <c r="C4050" t="s">
        <v>1218</v>
      </c>
      <c r="D4050" s="4">
        <v>45470</v>
      </c>
      <c r="E4050" t="s">
        <v>2361</v>
      </c>
      <c r="F4050" t="s">
        <v>75</v>
      </c>
      <c r="I4050" s="6">
        <v>0</v>
      </c>
      <c r="J4050" s="6">
        <v>0</v>
      </c>
      <c r="K4050" s="6">
        <v>1</v>
      </c>
      <c r="L4050" s="6">
        <v>0</v>
      </c>
      <c r="M4050" s="6">
        <v>0</v>
      </c>
      <c r="N4050" s="6">
        <v>0</v>
      </c>
      <c r="O4050" s="6">
        <v>0</v>
      </c>
      <c r="P4050" s="6">
        <v>0</v>
      </c>
      <c r="Q4050">
        <v>1</v>
      </c>
      <c r="R4050">
        <f t="shared" si="315"/>
        <v>0</v>
      </c>
      <c r="S4050">
        <f t="shared" si="316"/>
        <v>1</v>
      </c>
      <c r="T4050">
        <f t="shared" si="317"/>
        <v>1</v>
      </c>
      <c r="U4050">
        <f t="shared" si="318"/>
        <v>1</v>
      </c>
      <c r="V4050">
        <f t="shared" si="319"/>
        <v>0</v>
      </c>
    </row>
    <row r="4051" spans="1:22" x14ac:dyDescent="0.25">
      <c r="A4051">
        <v>4048</v>
      </c>
      <c r="B4051" t="s">
        <v>26</v>
      </c>
      <c r="C4051" t="s">
        <v>1218</v>
      </c>
      <c r="D4051" s="4">
        <v>45470</v>
      </c>
      <c r="E4051" t="s">
        <v>2360</v>
      </c>
      <c r="F4051" t="s">
        <v>75</v>
      </c>
      <c r="I4051" s="6"/>
      <c r="J4051" s="6"/>
      <c r="K4051" s="6"/>
      <c r="L4051" s="6"/>
      <c r="M4051" s="6"/>
      <c r="N4051" s="6"/>
      <c r="O4051" s="6"/>
      <c r="P4051" s="6"/>
      <c r="Q4051">
        <v>0</v>
      </c>
      <c r="R4051">
        <f t="shared" si="315"/>
        <v>0</v>
      </c>
      <c r="S4051">
        <f t="shared" si="316"/>
        <v>0</v>
      </c>
      <c r="T4051">
        <f t="shared" si="317"/>
        <v>0</v>
      </c>
      <c r="U4051">
        <f t="shared" si="318"/>
        <v>0</v>
      </c>
      <c r="V4051">
        <f t="shared" si="319"/>
        <v>0</v>
      </c>
    </row>
    <row r="4052" spans="1:22" x14ac:dyDescent="0.25">
      <c r="A4052">
        <v>4049</v>
      </c>
      <c r="B4052" t="s">
        <v>26</v>
      </c>
      <c r="C4052" t="s">
        <v>1218</v>
      </c>
      <c r="D4052" s="4">
        <v>45470</v>
      </c>
      <c r="E4052" t="s">
        <v>2359</v>
      </c>
      <c r="F4052" t="s">
        <v>75</v>
      </c>
      <c r="I4052" s="6">
        <v>1</v>
      </c>
      <c r="J4052" s="6">
        <v>0</v>
      </c>
      <c r="K4052" s="6">
        <v>1</v>
      </c>
      <c r="L4052" s="6">
        <v>0</v>
      </c>
      <c r="M4052" s="6">
        <v>1</v>
      </c>
      <c r="N4052" s="6">
        <v>0</v>
      </c>
      <c r="O4052" s="6">
        <v>0</v>
      </c>
      <c r="P4052" s="6">
        <v>0</v>
      </c>
      <c r="Q4052">
        <v>1</v>
      </c>
      <c r="R4052">
        <f t="shared" si="315"/>
        <v>0</v>
      </c>
      <c r="S4052">
        <f t="shared" si="316"/>
        <v>1</v>
      </c>
      <c r="T4052">
        <f t="shared" si="317"/>
        <v>3</v>
      </c>
      <c r="U4052">
        <f t="shared" si="318"/>
        <v>1</v>
      </c>
      <c r="V4052">
        <f t="shared" si="319"/>
        <v>0</v>
      </c>
    </row>
    <row r="4053" spans="1:22" x14ac:dyDescent="0.25">
      <c r="A4053">
        <v>4050</v>
      </c>
      <c r="B4053" t="s">
        <v>26</v>
      </c>
      <c r="C4053" t="s">
        <v>1218</v>
      </c>
      <c r="D4053" s="4">
        <v>45470</v>
      </c>
      <c r="E4053" t="s">
        <v>2358</v>
      </c>
      <c r="F4053" t="s">
        <v>75</v>
      </c>
      <c r="I4053" s="6">
        <v>0</v>
      </c>
      <c r="J4053" s="6">
        <v>0</v>
      </c>
      <c r="K4053" s="6">
        <v>0</v>
      </c>
      <c r="L4053" s="6">
        <v>0</v>
      </c>
      <c r="M4053" s="6">
        <v>1</v>
      </c>
      <c r="N4053" s="6">
        <v>0</v>
      </c>
      <c r="O4053" s="6">
        <v>0</v>
      </c>
      <c r="P4053" s="6">
        <v>0</v>
      </c>
      <c r="Q4053">
        <v>1</v>
      </c>
      <c r="R4053">
        <f t="shared" si="315"/>
        <v>0</v>
      </c>
      <c r="S4053">
        <f t="shared" si="316"/>
        <v>1</v>
      </c>
      <c r="T4053">
        <f t="shared" si="317"/>
        <v>1</v>
      </c>
      <c r="U4053">
        <f t="shared" si="318"/>
        <v>1</v>
      </c>
      <c r="V4053">
        <f t="shared" si="319"/>
        <v>0</v>
      </c>
    </row>
    <row r="4054" spans="1:22" x14ac:dyDescent="0.25">
      <c r="A4054">
        <v>4051</v>
      </c>
      <c r="B4054" t="s">
        <v>26</v>
      </c>
      <c r="C4054" t="s">
        <v>1218</v>
      </c>
      <c r="D4054" s="4">
        <v>45471</v>
      </c>
      <c r="E4054" t="s">
        <v>1437</v>
      </c>
      <c r="F4054" t="s">
        <v>75</v>
      </c>
      <c r="I4054" s="6">
        <v>1</v>
      </c>
      <c r="J4054" s="6">
        <v>0</v>
      </c>
      <c r="K4054" s="6">
        <v>1</v>
      </c>
      <c r="L4054" s="6">
        <v>0</v>
      </c>
      <c r="M4054" s="6">
        <v>1</v>
      </c>
      <c r="N4054" s="6">
        <v>0</v>
      </c>
      <c r="O4054" s="6">
        <v>0</v>
      </c>
      <c r="P4054" s="6">
        <v>0</v>
      </c>
      <c r="Q4054">
        <v>1</v>
      </c>
      <c r="R4054">
        <f t="shared" si="315"/>
        <v>0</v>
      </c>
      <c r="S4054">
        <f t="shared" si="316"/>
        <v>1</v>
      </c>
      <c r="T4054">
        <f t="shared" si="317"/>
        <v>3</v>
      </c>
      <c r="U4054">
        <f t="shared" si="318"/>
        <v>1</v>
      </c>
      <c r="V4054">
        <f t="shared" si="319"/>
        <v>0</v>
      </c>
    </row>
    <row r="4055" spans="1:22" x14ac:dyDescent="0.25">
      <c r="A4055">
        <v>4052</v>
      </c>
      <c r="B4055" t="s">
        <v>26</v>
      </c>
      <c r="C4055" t="s">
        <v>1218</v>
      </c>
      <c r="D4055" s="4">
        <v>45471</v>
      </c>
      <c r="E4055" t="s">
        <v>1438</v>
      </c>
      <c r="F4055" t="s">
        <v>75</v>
      </c>
      <c r="I4055" s="6">
        <v>0</v>
      </c>
      <c r="J4055" s="6">
        <v>0</v>
      </c>
      <c r="K4055" s="6">
        <v>0</v>
      </c>
      <c r="L4055" s="6">
        <v>0</v>
      </c>
      <c r="M4055" s="6">
        <v>0</v>
      </c>
      <c r="N4055" s="6">
        <v>0</v>
      </c>
      <c r="O4055" s="6">
        <v>0</v>
      </c>
      <c r="P4055" s="6">
        <v>0</v>
      </c>
      <c r="Q4055">
        <v>1</v>
      </c>
      <c r="R4055">
        <f t="shared" si="315"/>
        <v>0</v>
      </c>
      <c r="S4055">
        <f t="shared" si="316"/>
        <v>1</v>
      </c>
      <c r="T4055">
        <f t="shared" si="317"/>
        <v>0</v>
      </c>
      <c r="U4055">
        <f t="shared" si="318"/>
        <v>0</v>
      </c>
      <c r="V4055">
        <f t="shared" si="319"/>
        <v>0</v>
      </c>
    </row>
    <row r="4056" spans="1:22" x14ac:dyDescent="0.25">
      <c r="A4056">
        <v>4053</v>
      </c>
      <c r="B4056" t="s">
        <v>26</v>
      </c>
      <c r="C4056" t="s">
        <v>1218</v>
      </c>
      <c r="D4056" s="4">
        <v>45471</v>
      </c>
      <c r="E4056" t="s">
        <v>1439</v>
      </c>
      <c r="F4056" t="s">
        <v>75</v>
      </c>
      <c r="I4056" s="6">
        <v>0</v>
      </c>
      <c r="J4056" s="6">
        <v>0</v>
      </c>
      <c r="K4056" s="6">
        <v>1</v>
      </c>
      <c r="L4056" s="6">
        <v>0</v>
      </c>
      <c r="M4056" s="6">
        <v>1</v>
      </c>
      <c r="N4056" s="6">
        <v>0</v>
      </c>
      <c r="O4056" s="6">
        <v>1</v>
      </c>
      <c r="P4056" s="6">
        <v>0</v>
      </c>
      <c r="Q4056">
        <v>1</v>
      </c>
      <c r="R4056">
        <f t="shared" si="315"/>
        <v>0</v>
      </c>
      <c r="S4056">
        <f t="shared" si="316"/>
        <v>1</v>
      </c>
      <c r="T4056">
        <f t="shared" si="317"/>
        <v>3</v>
      </c>
      <c r="U4056">
        <f t="shared" si="318"/>
        <v>1</v>
      </c>
      <c r="V4056">
        <f t="shared" si="319"/>
        <v>0</v>
      </c>
    </row>
    <row r="4057" spans="1:22" x14ac:dyDescent="0.25">
      <c r="A4057">
        <v>4054</v>
      </c>
      <c r="B4057" t="s">
        <v>26</v>
      </c>
      <c r="C4057" t="s">
        <v>1218</v>
      </c>
      <c r="D4057" s="4">
        <v>45471</v>
      </c>
      <c r="E4057" t="s">
        <v>1440</v>
      </c>
      <c r="F4057" t="s">
        <v>75</v>
      </c>
      <c r="I4057" s="6">
        <v>0</v>
      </c>
      <c r="J4057" s="6">
        <v>0</v>
      </c>
      <c r="K4057" s="6">
        <v>0</v>
      </c>
      <c r="L4057" s="6">
        <v>1</v>
      </c>
      <c r="M4057" s="6">
        <v>0</v>
      </c>
      <c r="N4057" s="6">
        <v>0</v>
      </c>
      <c r="O4057" s="6">
        <v>0</v>
      </c>
      <c r="P4057" s="6">
        <v>0</v>
      </c>
      <c r="Q4057">
        <v>1</v>
      </c>
      <c r="R4057">
        <f t="shared" si="315"/>
        <v>0</v>
      </c>
      <c r="S4057">
        <f t="shared" si="316"/>
        <v>1</v>
      </c>
      <c r="T4057">
        <f t="shared" si="317"/>
        <v>1</v>
      </c>
      <c r="U4057">
        <f t="shared" si="318"/>
        <v>1</v>
      </c>
      <c r="V4057">
        <f t="shared" si="319"/>
        <v>0</v>
      </c>
    </row>
    <row r="4058" spans="1:22" x14ac:dyDescent="0.25">
      <c r="A4058">
        <v>4055</v>
      </c>
      <c r="B4058" t="s">
        <v>26</v>
      </c>
      <c r="C4058" t="s">
        <v>1218</v>
      </c>
      <c r="D4058" s="4">
        <v>45471</v>
      </c>
      <c r="E4058" t="s">
        <v>2357</v>
      </c>
      <c r="F4058" t="s">
        <v>75</v>
      </c>
      <c r="I4058" s="6"/>
      <c r="J4058" s="6"/>
      <c r="K4058" s="6"/>
      <c r="L4058" s="6"/>
      <c r="M4058" s="6"/>
      <c r="N4058" s="6"/>
      <c r="O4058" s="6"/>
      <c r="P4058" s="6"/>
      <c r="Q4058">
        <v>0</v>
      </c>
      <c r="R4058">
        <f t="shared" si="315"/>
        <v>0</v>
      </c>
      <c r="S4058">
        <f t="shared" si="316"/>
        <v>0</v>
      </c>
      <c r="T4058">
        <f t="shared" si="317"/>
        <v>0</v>
      </c>
      <c r="U4058">
        <f t="shared" si="318"/>
        <v>0</v>
      </c>
      <c r="V4058">
        <f t="shared" si="319"/>
        <v>0</v>
      </c>
    </row>
    <row r="4059" spans="1:22" x14ac:dyDescent="0.25">
      <c r="A4059">
        <v>4056</v>
      </c>
      <c r="B4059" t="s">
        <v>26</v>
      </c>
      <c r="C4059" t="s">
        <v>1218</v>
      </c>
      <c r="D4059" s="4">
        <v>45471</v>
      </c>
      <c r="E4059" t="s">
        <v>1441</v>
      </c>
      <c r="F4059" t="s">
        <v>75</v>
      </c>
      <c r="I4059" s="6">
        <v>0</v>
      </c>
      <c r="J4059" s="6">
        <v>0</v>
      </c>
      <c r="K4059" s="6">
        <v>0</v>
      </c>
      <c r="L4059" s="6">
        <v>0</v>
      </c>
      <c r="M4059" s="6">
        <v>0</v>
      </c>
      <c r="N4059" s="6">
        <v>0</v>
      </c>
      <c r="O4059" s="6">
        <v>0</v>
      </c>
      <c r="P4059" s="6">
        <v>0</v>
      </c>
      <c r="Q4059">
        <v>1</v>
      </c>
      <c r="R4059">
        <f t="shared" si="315"/>
        <v>0</v>
      </c>
      <c r="S4059">
        <f t="shared" si="316"/>
        <v>1</v>
      </c>
      <c r="T4059">
        <f t="shared" si="317"/>
        <v>0</v>
      </c>
      <c r="U4059">
        <f t="shared" si="318"/>
        <v>0</v>
      </c>
      <c r="V4059">
        <f t="shared" si="319"/>
        <v>0</v>
      </c>
    </row>
    <row r="4060" spans="1:22" x14ac:dyDescent="0.25">
      <c r="A4060">
        <v>4057</v>
      </c>
      <c r="B4060" t="s">
        <v>26</v>
      </c>
      <c r="C4060" t="s">
        <v>1218</v>
      </c>
      <c r="D4060" s="4">
        <v>45471</v>
      </c>
      <c r="E4060" t="s">
        <v>2356</v>
      </c>
      <c r="F4060" t="s">
        <v>75</v>
      </c>
      <c r="I4060" s="6">
        <v>0</v>
      </c>
      <c r="J4060" s="6">
        <v>0</v>
      </c>
      <c r="K4060" s="6">
        <v>0</v>
      </c>
      <c r="L4060" s="6">
        <v>0</v>
      </c>
      <c r="M4060" s="6">
        <v>0</v>
      </c>
      <c r="N4060" s="6">
        <v>0</v>
      </c>
      <c r="O4060" s="6">
        <v>0</v>
      </c>
      <c r="P4060" s="6">
        <v>0</v>
      </c>
      <c r="Q4060">
        <v>1</v>
      </c>
      <c r="R4060">
        <f t="shared" si="315"/>
        <v>0</v>
      </c>
      <c r="S4060">
        <f t="shared" si="316"/>
        <v>1</v>
      </c>
      <c r="T4060">
        <f t="shared" si="317"/>
        <v>0</v>
      </c>
      <c r="U4060">
        <f t="shared" si="318"/>
        <v>0</v>
      </c>
      <c r="V4060">
        <f t="shared" si="319"/>
        <v>0</v>
      </c>
    </row>
    <row r="4061" spans="1:22" x14ac:dyDescent="0.25">
      <c r="A4061">
        <v>4058</v>
      </c>
      <c r="B4061" t="s">
        <v>26</v>
      </c>
      <c r="C4061" t="s">
        <v>1218</v>
      </c>
      <c r="D4061" s="4">
        <v>45472</v>
      </c>
      <c r="E4061" t="s">
        <v>1442</v>
      </c>
      <c r="F4061" t="s">
        <v>75</v>
      </c>
      <c r="H4061" t="s">
        <v>1443</v>
      </c>
      <c r="I4061" s="6">
        <v>0</v>
      </c>
      <c r="J4061" s="6">
        <v>0</v>
      </c>
      <c r="K4061" s="6">
        <v>0</v>
      </c>
      <c r="L4061" s="6">
        <v>0</v>
      </c>
      <c r="M4061" s="6">
        <v>0</v>
      </c>
      <c r="N4061" s="6">
        <v>0</v>
      </c>
      <c r="O4061" s="6">
        <v>0</v>
      </c>
      <c r="P4061" s="6">
        <v>0</v>
      </c>
      <c r="Q4061">
        <v>1</v>
      </c>
      <c r="R4061">
        <f t="shared" si="315"/>
        <v>0</v>
      </c>
      <c r="S4061">
        <f t="shared" si="316"/>
        <v>1</v>
      </c>
      <c r="T4061">
        <f t="shared" si="317"/>
        <v>0</v>
      </c>
      <c r="U4061">
        <f t="shared" si="318"/>
        <v>0</v>
      </c>
      <c r="V4061">
        <f t="shared" si="319"/>
        <v>0</v>
      </c>
    </row>
    <row r="4062" spans="1:22" x14ac:dyDescent="0.25">
      <c r="A4062">
        <v>4059</v>
      </c>
      <c r="B4062" t="s">
        <v>26</v>
      </c>
      <c r="C4062" t="s">
        <v>1218</v>
      </c>
      <c r="D4062" s="4">
        <v>45472</v>
      </c>
      <c r="E4062" t="s">
        <v>1781</v>
      </c>
      <c r="F4062" t="s">
        <v>75</v>
      </c>
      <c r="I4062" s="6"/>
      <c r="J4062" s="6"/>
      <c r="K4062" s="6"/>
      <c r="L4062" s="6"/>
      <c r="M4062" s="6"/>
      <c r="N4062" s="6"/>
      <c r="O4062" s="6"/>
      <c r="P4062" s="6"/>
      <c r="Q4062">
        <v>0</v>
      </c>
      <c r="R4062">
        <f t="shared" si="315"/>
        <v>0</v>
      </c>
      <c r="S4062">
        <f t="shared" si="316"/>
        <v>0</v>
      </c>
      <c r="T4062">
        <f t="shared" si="317"/>
        <v>0</v>
      </c>
      <c r="U4062">
        <f t="shared" si="318"/>
        <v>0</v>
      </c>
      <c r="V4062">
        <f t="shared" si="319"/>
        <v>0</v>
      </c>
    </row>
    <row r="4063" spans="1:22" x14ac:dyDescent="0.25">
      <c r="A4063">
        <v>4060</v>
      </c>
      <c r="B4063" t="s">
        <v>26</v>
      </c>
      <c r="C4063" t="s">
        <v>1218</v>
      </c>
      <c r="D4063" s="4">
        <v>45472</v>
      </c>
      <c r="E4063" t="s">
        <v>1844</v>
      </c>
      <c r="F4063" t="s">
        <v>75</v>
      </c>
      <c r="I4063" s="6"/>
      <c r="J4063" s="6"/>
      <c r="K4063" s="6"/>
      <c r="L4063" s="6"/>
      <c r="M4063" s="6"/>
      <c r="N4063" s="6"/>
      <c r="O4063" s="6"/>
      <c r="P4063" s="6"/>
      <c r="Q4063">
        <v>0</v>
      </c>
      <c r="R4063">
        <f t="shared" si="315"/>
        <v>0</v>
      </c>
      <c r="S4063">
        <f t="shared" si="316"/>
        <v>0</v>
      </c>
      <c r="T4063">
        <f t="shared" si="317"/>
        <v>0</v>
      </c>
      <c r="U4063">
        <f t="shared" si="318"/>
        <v>0</v>
      </c>
      <c r="V4063">
        <f t="shared" si="319"/>
        <v>0</v>
      </c>
    </row>
    <row r="4064" spans="1:22" x14ac:dyDescent="0.25">
      <c r="A4064">
        <v>4061</v>
      </c>
      <c r="B4064" t="s">
        <v>26</v>
      </c>
      <c r="C4064" t="s">
        <v>1218</v>
      </c>
      <c r="D4064" s="4">
        <v>45472</v>
      </c>
      <c r="E4064" t="s">
        <v>2355</v>
      </c>
      <c r="F4064" t="s">
        <v>75</v>
      </c>
      <c r="I4064" s="6"/>
      <c r="J4064" s="6"/>
      <c r="K4064" s="6"/>
      <c r="L4064" s="6"/>
      <c r="M4064" s="6"/>
      <c r="N4064" s="6"/>
      <c r="O4064" s="6"/>
      <c r="P4064" s="6"/>
      <c r="Q4064">
        <v>0</v>
      </c>
      <c r="R4064">
        <f t="shared" si="315"/>
        <v>0</v>
      </c>
      <c r="S4064">
        <f t="shared" si="316"/>
        <v>0</v>
      </c>
      <c r="T4064">
        <f t="shared" si="317"/>
        <v>0</v>
      </c>
      <c r="U4064">
        <f t="shared" si="318"/>
        <v>0</v>
      </c>
      <c r="V4064">
        <f t="shared" si="319"/>
        <v>0</v>
      </c>
    </row>
    <row r="4065" spans="1:22" x14ac:dyDescent="0.25">
      <c r="A4065">
        <v>4062</v>
      </c>
      <c r="B4065" t="s">
        <v>26</v>
      </c>
      <c r="C4065" t="s">
        <v>1218</v>
      </c>
      <c r="D4065" s="4">
        <v>45472</v>
      </c>
      <c r="E4065" t="s">
        <v>2354</v>
      </c>
      <c r="F4065" t="s">
        <v>75</v>
      </c>
      <c r="I4065" s="6">
        <v>0</v>
      </c>
      <c r="J4065" s="6">
        <v>0</v>
      </c>
      <c r="K4065" s="6">
        <v>0</v>
      </c>
      <c r="L4065" s="6">
        <v>1</v>
      </c>
      <c r="M4065" s="6">
        <v>0</v>
      </c>
      <c r="N4065" s="6">
        <v>0</v>
      </c>
      <c r="O4065" s="6">
        <v>0</v>
      </c>
      <c r="P4065" s="6">
        <v>0</v>
      </c>
      <c r="Q4065">
        <v>1</v>
      </c>
      <c r="R4065">
        <f t="shared" si="315"/>
        <v>0</v>
      </c>
      <c r="S4065">
        <f t="shared" si="316"/>
        <v>1</v>
      </c>
      <c r="T4065">
        <f t="shared" si="317"/>
        <v>1</v>
      </c>
      <c r="U4065">
        <f t="shared" si="318"/>
        <v>1</v>
      </c>
      <c r="V4065">
        <f t="shared" si="319"/>
        <v>0</v>
      </c>
    </row>
    <row r="4066" spans="1:22" x14ac:dyDescent="0.25">
      <c r="A4066">
        <v>4063</v>
      </c>
      <c r="B4066" t="s">
        <v>26</v>
      </c>
      <c r="C4066" t="s">
        <v>1218</v>
      </c>
      <c r="D4066" s="4">
        <v>45472</v>
      </c>
      <c r="E4066" t="s">
        <v>2353</v>
      </c>
      <c r="F4066" t="s">
        <v>75</v>
      </c>
      <c r="I4066" s="6"/>
      <c r="J4066" s="6"/>
      <c r="K4066" s="6"/>
      <c r="L4066" s="6"/>
      <c r="M4066" s="6"/>
      <c r="N4066" s="6"/>
      <c r="O4066" s="6"/>
      <c r="P4066" s="6"/>
      <c r="Q4066">
        <v>0</v>
      </c>
      <c r="R4066">
        <f t="shared" si="315"/>
        <v>0</v>
      </c>
      <c r="S4066">
        <f t="shared" si="316"/>
        <v>0</v>
      </c>
      <c r="T4066">
        <f t="shared" si="317"/>
        <v>0</v>
      </c>
      <c r="U4066">
        <f t="shared" si="318"/>
        <v>0</v>
      </c>
      <c r="V4066">
        <f t="shared" si="319"/>
        <v>0</v>
      </c>
    </row>
    <row r="4067" spans="1:22" x14ac:dyDescent="0.25">
      <c r="A4067">
        <v>4064</v>
      </c>
      <c r="B4067" t="s">
        <v>26</v>
      </c>
      <c r="C4067" t="s">
        <v>1218</v>
      </c>
      <c r="D4067" s="4">
        <v>45473</v>
      </c>
      <c r="E4067" t="s">
        <v>1264</v>
      </c>
      <c r="F4067" t="s">
        <v>75</v>
      </c>
      <c r="I4067" s="6"/>
      <c r="J4067" s="6"/>
      <c r="K4067" s="6"/>
      <c r="L4067" s="6"/>
      <c r="M4067" s="6"/>
      <c r="N4067" s="6"/>
      <c r="O4067" s="6"/>
      <c r="P4067" s="6"/>
      <c r="Q4067">
        <v>0</v>
      </c>
      <c r="R4067">
        <f t="shared" si="315"/>
        <v>0</v>
      </c>
      <c r="S4067">
        <f t="shared" si="316"/>
        <v>0</v>
      </c>
      <c r="T4067">
        <f t="shared" si="317"/>
        <v>0</v>
      </c>
      <c r="U4067">
        <f t="shared" si="318"/>
        <v>0</v>
      </c>
      <c r="V4067">
        <f t="shared" si="319"/>
        <v>0</v>
      </c>
    </row>
    <row r="4068" spans="1:22" x14ac:dyDescent="0.25">
      <c r="A4068">
        <v>4065</v>
      </c>
      <c r="B4068" t="s">
        <v>26</v>
      </c>
      <c r="C4068" t="s">
        <v>1218</v>
      </c>
      <c r="D4068" s="4">
        <v>45474</v>
      </c>
      <c r="E4068" t="s">
        <v>1265</v>
      </c>
      <c r="F4068" t="s">
        <v>75</v>
      </c>
      <c r="I4068" s="6"/>
      <c r="J4068" s="6"/>
      <c r="K4068" s="6"/>
      <c r="L4068" s="6"/>
      <c r="M4068" s="6"/>
      <c r="N4068" s="6"/>
      <c r="O4068" s="6"/>
      <c r="P4068" s="6"/>
      <c r="Q4068">
        <v>0</v>
      </c>
      <c r="R4068">
        <f t="shared" si="315"/>
        <v>0</v>
      </c>
      <c r="S4068">
        <f t="shared" si="316"/>
        <v>0</v>
      </c>
      <c r="T4068">
        <f t="shared" si="317"/>
        <v>0</v>
      </c>
      <c r="U4068">
        <f t="shared" si="318"/>
        <v>0</v>
      </c>
      <c r="V4068">
        <f t="shared" si="319"/>
        <v>0</v>
      </c>
    </row>
    <row r="4069" spans="1:22" x14ac:dyDescent="0.25">
      <c r="A4069">
        <v>4066</v>
      </c>
      <c r="B4069" t="s">
        <v>26</v>
      </c>
      <c r="C4069" t="s">
        <v>1218</v>
      </c>
      <c r="D4069" s="4">
        <v>45474</v>
      </c>
      <c r="E4069" t="s">
        <v>1266</v>
      </c>
      <c r="F4069" t="s">
        <v>75</v>
      </c>
      <c r="I4069" s="6"/>
      <c r="J4069" s="6"/>
      <c r="K4069" s="6"/>
      <c r="L4069" s="6"/>
      <c r="M4069" s="6"/>
      <c r="N4069" s="6"/>
      <c r="O4069" s="6"/>
      <c r="P4069" s="6"/>
      <c r="Q4069">
        <v>0</v>
      </c>
      <c r="R4069">
        <f t="shared" si="315"/>
        <v>0</v>
      </c>
      <c r="S4069">
        <f t="shared" si="316"/>
        <v>0</v>
      </c>
      <c r="T4069">
        <f t="shared" si="317"/>
        <v>0</v>
      </c>
      <c r="U4069">
        <f t="shared" si="318"/>
        <v>0</v>
      </c>
      <c r="V4069">
        <f t="shared" si="319"/>
        <v>0</v>
      </c>
    </row>
    <row r="4070" spans="1:22" x14ac:dyDescent="0.25">
      <c r="A4070">
        <v>4067</v>
      </c>
      <c r="B4070" t="s">
        <v>26</v>
      </c>
      <c r="C4070" t="s">
        <v>1218</v>
      </c>
      <c r="D4070" s="4">
        <v>45474</v>
      </c>
      <c r="E4070" t="s">
        <v>2352</v>
      </c>
      <c r="F4070" t="s">
        <v>75</v>
      </c>
      <c r="I4070" s="6">
        <v>0</v>
      </c>
      <c r="J4070" s="6">
        <v>0</v>
      </c>
      <c r="K4070" s="6">
        <v>0</v>
      </c>
      <c r="L4070" s="6">
        <v>0</v>
      </c>
      <c r="M4070" s="6">
        <v>0</v>
      </c>
      <c r="N4070" s="6">
        <v>0</v>
      </c>
      <c r="O4070" s="6">
        <v>0</v>
      </c>
      <c r="P4070" s="6">
        <v>0</v>
      </c>
      <c r="Q4070">
        <v>1</v>
      </c>
      <c r="R4070">
        <f t="shared" si="315"/>
        <v>0</v>
      </c>
      <c r="S4070">
        <f t="shared" si="316"/>
        <v>1</v>
      </c>
      <c r="T4070">
        <f t="shared" si="317"/>
        <v>0</v>
      </c>
      <c r="U4070">
        <f t="shared" si="318"/>
        <v>0</v>
      </c>
      <c r="V4070">
        <f t="shared" si="319"/>
        <v>0</v>
      </c>
    </row>
    <row r="4071" spans="1:22" x14ac:dyDescent="0.25">
      <c r="A4071">
        <v>4068</v>
      </c>
      <c r="B4071" t="s">
        <v>26</v>
      </c>
      <c r="C4071" t="s">
        <v>1218</v>
      </c>
      <c r="D4071" s="4">
        <v>45474</v>
      </c>
      <c r="E4071" t="s">
        <v>2351</v>
      </c>
      <c r="F4071" t="s">
        <v>75</v>
      </c>
      <c r="I4071" s="6"/>
      <c r="J4071" s="6"/>
      <c r="K4071" s="6"/>
      <c r="L4071" s="6"/>
      <c r="M4071" s="6"/>
      <c r="N4071" s="6"/>
      <c r="O4071" s="6"/>
      <c r="P4071" s="6"/>
      <c r="Q4071">
        <v>0</v>
      </c>
      <c r="R4071">
        <f t="shared" si="315"/>
        <v>0</v>
      </c>
      <c r="S4071">
        <f t="shared" si="316"/>
        <v>0</v>
      </c>
      <c r="T4071">
        <f t="shared" si="317"/>
        <v>0</v>
      </c>
      <c r="U4071">
        <f t="shared" si="318"/>
        <v>0</v>
      </c>
      <c r="V4071">
        <f t="shared" si="319"/>
        <v>0</v>
      </c>
    </row>
    <row r="4072" spans="1:22" x14ac:dyDescent="0.25">
      <c r="A4072">
        <v>4069</v>
      </c>
      <c r="B4072" t="s">
        <v>26</v>
      </c>
      <c r="C4072" t="s">
        <v>1218</v>
      </c>
      <c r="D4072" s="4">
        <v>45474</v>
      </c>
      <c r="E4072" t="s">
        <v>2350</v>
      </c>
      <c r="F4072" t="s">
        <v>75</v>
      </c>
      <c r="I4072" s="6"/>
      <c r="J4072" s="6"/>
      <c r="K4072" s="6"/>
      <c r="L4072" s="6"/>
      <c r="M4072" s="6"/>
      <c r="N4072" s="6"/>
      <c r="O4072" s="6"/>
      <c r="P4072" s="6"/>
      <c r="Q4072">
        <v>0</v>
      </c>
      <c r="R4072">
        <f t="shared" si="315"/>
        <v>0</v>
      </c>
      <c r="S4072">
        <f t="shared" si="316"/>
        <v>0</v>
      </c>
      <c r="T4072">
        <f t="shared" si="317"/>
        <v>0</v>
      </c>
      <c r="U4072">
        <f t="shared" si="318"/>
        <v>0</v>
      </c>
      <c r="V4072">
        <f t="shared" si="319"/>
        <v>0</v>
      </c>
    </row>
    <row r="4073" spans="1:22" x14ac:dyDescent="0.25">
      <c r="A4073">
        <v>4070</v>
      </c>
      <c r="B4073" t="s">
        <v>26</v>
      </c>
      <c r="C4073" t="s">
        <v>1218</v>
      </c>
      <c r="D4073" s="4">
        <v>45474</v>
      </c>
      <c r="E4073" t="s">
        <v>2349</v>
      </c>
      <c r="F4073" t="s">
        <v>75</v>
      </c>
      <c r="I4073" s="6"/>
      <c r="J4073" s="6"/>
      <c r="K4073" s="6"/>
      <c r="L4073" s="6"/>
      <c r="M4073" s="6"/>
      <c r="N4073" s="6"/>
      <c r="O4073" s="6"/>
      <c r="P4073" s="6"/>
      <c r="Q4073">
        <v>0</v>
      </c>
      <c r="R4073">
        <f t="shared" si="315"/>
        <v>0</v>
      </c>
      <c r="S4073">
        <f t="shared" si="316"/>
        <v>0</v>
      </c>
      <c r="T4073">
        <f t="shared" si="317"/>
        <v>0</v>
      </c>
      <c r="U4073">
        <f t="shared" si="318"/>
        <v>0</v>
      </c>
      <c r="V4073">
        <f t="shared" si="319"/>
        <v>0</v>
      </c>
    </row>
    <row r="4074" spans="1:22" x14ac:dyDescent="0.25">
      <c r="A4074">
        <v>4071</v>
      </c>
      <c r="B4074" t="s">
        <v>26</v>
      </c>
      <c r="C4074" t="s">
        <v>1218</v>
      </c>
      <c r="D4074" s="4">
        <v>45474</v>
      </c>
      <c r="E4074" t="s">
        <v>2348</v>
      </c>
      <c r="F4074" t="s">
        <v>75</v>
      </c>
      <c r="I4074" s="6"/>
      <c r="J4074" s="6"/>
      <c r="K4074" s="6"/>
      <c r="L4074" s="6"/>
      <c r="M4074" s="6"/>
      <c r="N4074" s="6"/>
      <c r="O4074" s="6"/>
      <c r="P4074" s="6"/>
      <c r="Q4074">
        <v>0</v>
      </c>
      <c r="R4074">
        <f t="shared" si="315"/>
        <v>0</v>
      </c>
      <c r="S4074">
        <f t="shared" si="316"/>
        <v>0</v>
      </c>
      <c r="T4074">
        <f t="shared" si="317"/>
        <v>0</v>
      </c>
      <c r="U4074">
        <f t="shared" si="318"/>
        <v>0</v>
      </c>
      <c r="V4074">
        <f t="shared" si="319"/>
        <v>0</v>
      </c>
    </row>
    <row r="4075" spans="1:22" x14ac:dyDescent="0.25">
      <c r="A4075">
        <v>4072</v>
      </c>
      <c r="B4075" t="s">
        <v>26</v>
      </c>
      <c r="C4075" t="s">
        <v>1218</v>
      </c>
      <c r="D4075" s="4">
        <v>45475</v>
      </c>
      <c r="E4075" t="s">
        <v>1985</v>
      </c>
      <c r="F4075" t="s">
        <v>75</v>
      </c>
      <c r="I4075" s="6">
        <v>0</v>
      </c>
      <c r="J4075" s="6">
        <v>0</v>
      </c>
      <c r="K4075" s="6">
        <v>1</v>
      </c>
      <c r="L4075" s="6">
        <v>0</v>
      </c>
      <c r="M4075" s="6">
        <v>0</v>
      </c>
      <c r="N4075" s="6">
        <v>0</v>
      </c>
      <c r="O4075" s="6">
        <v>0</v>
      </c>
      <c r="P4075" s="6">
        <v>0</v>
      </c>
      <c r="Q4075">
        <v>1</v>
      </c>
      <c r="R4075">
        <f t="shared" si="315"/>
        <v>0</v>
      </c>
      <c r="S4075">
        <f t="shared" si="316"/>
        <v>1</v>
      </c>
      <c r="T4075">
        <f t="shared" si="317"/>
        <v>1</v>
      </c>
      <c r="U4075">
        <f t="shared" si="318"/>
        <v>1</v>
      </c>
      <c r="V4075">
        <f t="shared" si="319"/>
        <v>0</v>
      </c>
    </row>
    <row r="4076" spans="1:22" x14ac:dyDescent="0.25">
      <c r="A4076">
        <v>4073</v>
      </c>
      <c r="B4076" t="s">
        <v>26</v>
      </c>
      <c r="C4076" t="s">
        <v>1218</v>
      </c>
      <c r="D4076" s="4">
        <v>45475</v>
      </c>
      <c r="E4076" t="s">
        <v>2347</v>
      </c>
      <c r="F4076" t="s">
        <v>75</v>
      </c>
      <c r="I4076" s="6"/>
      <c r="J4076" s="6"/>
      <c r="K4076" s="6"/>
      <c r="L4076" s="6"/>
      <c r="M4076" s="6"/>
      <c r="N4076" s="6"/>
      <c r="O4076" s="6"/>
      <c r="P4076" s="6"/>
      <c r="Q4076">
        <v>0</v>
      </c>
      <c r="R4076">
        <f t="shared" si="315"/>
        <v>0</v>
      </c>
      <c r="S4076">
        <f t="shared" si="316"/>
        <v>0</v>
      </c>
      <c r="T4076">
        <f t="shared" si="317"/>
        <v>0</v>
      </c>
      <c r="U4076">
        <f t="shared" si="318"/>
        <v>0</v>
      </c>
      <c r="V4076">
        <f t="shared" si="319"/>
        <v>0</v>
      </c>
    </row>
    <row r="4077" spans="1:22" x14ac:dyDescent="0.25">
      <c r="A4077">
        <v>4074</v>
      </c>
      <c r="B4077" t="s">
        <v>26</v>
      </c>
      <c r="C4077" t="s">
        <v>1218</v>
      </c>
      <c r="D4077" s="4">
        <v>45475</v>
      </c>
      <c r="E4077" t="s">
        <v>2346</v>
      </c>
      <c r="F4077" t="s">
        <v>75</v>
      </c>
      <c r="I4077" s="6"/>
      <c r="J4077" s="6"/>
      <c r="K4077" s="6"/>
      <c r="L4077" s="6"/>
      <c r="M4077" s="6"/>
      <c r="N4077" s="6"/>
      <c r="O4077" s="6"/>
      <c r="P4077" s="6"/>
      <c r="Q4077">
        <v>0</v>
      </c>
      <c r="R4077">
        <f t="shared" si="315"/>
        <v>0</v>
      </c>
      <c r="S4077">
        <f t="shared" si="316"/>
        <v>0</v>
      </c>
      <c r="T4077">
        <f t="shared" si="317"/>
        <v>0</v>
      </c>
      <c r="U4077">
        <f t="shared" si="318"/>
        <v>0</v>
      </c>
      <c r="V4077">
        <f t="shared" si="319"/>
        <v>0</v>
      </c>
    </row>
    <row r="4078" spans="1:22" x14ac:dyDescent="0.25">
      <c r="A4078">
        <v>4075</v>
      </c>
      <c r="B4078" t="s">
        <v>26</v>
      </c>
      <c r="C4078" t="s">
        <v>1218</v>
      </c>
      <c r="D4078" s="4">
        <v>45475</v>
      </c>
      <c r="E4078" t="s">
        <v>2345</v>
      </c>
      <c r="F4078" t="s">
        <v>357</v>
      </c>
      <c r="I4078" s="6"/>
      <c r="J4078" s="6"/>
      <c r="K4078" s="6"/>
      <c r="L4078" s="6"/>
      <c r="M4078" s="6"/>
      <c r="N4078" s="6"/>
      <c r="O4078" s="6"/>
      <c r="P4078" s="6"/>
      <c r="Q4078">
        <v>0</v>
      </c>
      <c r="R4078">
        <f t="shared" si="315"/>
        <v>0</v>
      </c>
      <c r="S4078">
        <f t="shared" si="316"/>
        <v>0</v>
      </c>
      <c r="T4078">
        <f t="shared" si="317"/>
        <v>0</v>
      </c>
      <c r="U4078">
        <f t="shared" si="318"/>
        <v>0</v>
      </c>
      <c r="V4078">
        <f t="shared" si="319"/>
        <v>0</v>
      </c>
    </row>
    <row r="4079" spans="1:22" x14ac:dyDescent="0.25">
      <c r="A4079">
        <v>4076</v>
      </c>
      <c r="B4079" t="s">
        <v>26</v>
      </c>
      <c r="C4079" t="s">
        <v>1218</v>
      </c>
      <c r="D4079" s="4">
        <v>45475</v>
      </c>
      <c r="E4079" t="s">
        <v>1984</v>
      </c>
      <c r="F4079" t="s">
        <v>75</v>
      </c>
      <c r="I4079" s="6">
        <v>0</v>
      </c>
      <c r="J4079" s="6">
        <v>0</v>
      </c>
      <c r="K4079" s="6">
        <v>0</v>
      </c>
      <c r="L4079" s="6">
        <v>0</v>
      </c>
      <c r="M4079" s="6">
        <v>0</v>
      </c>
      <c r="N4079" s="6">
        <v>0</v>
      </c>
      <c r="O4079" s="6">
        <v>0</v>
      </c>
      <c r="P4079" s="6">
        <v>0</v>
      </c>
      <c r="Q4079">
        <v>1</v>
      </c>
      <c r="R4079">
        <f t="shared" si="315"/>
        <v>0</v>
      </c>
      <c r="S4079">
        <f t="shared" si="316"/>
        <v>1</v>
      </c>
      <c r="T4079">
        <f t="shared" si="317"/>
        <v>0</v>
      </c>
      <c r="U4079">
        <f t="shared" si="318"/>
        <v>0</v>
      </c>
      <c r="V4079">
        <f t="shared" si="319"/>
        <v>0</v>
      </c>
    </row>
    <row r="4080" spans="1:22" x14ac:dyDescent="0.25">
      <c r="A4080">
        <v>4077</v>
      </c>
      <c r="B4080" t="s">
        <v>26</v>
      </c>
      <c r="C4080" t="s">
        <v>1218</v>
      </c>
      <c r="D4080" s="4">
        <v>45475</v>
      </c>
      <c r="E4080" t="s">
        <v>1444</v>
      </c>
      <c r="F4080" t="s">
        <v>75</v>
      </c>
      <c r="I4080" s="6">
        <v>0</v>
      </c>
      <c r="J4080" s="6">
        <v>0</v>
      </c>
      <c r="K4080" s="6">
        <v>0</v>
      </c>
      <c r="L4080" s="6">
        <v>0</v>
      </c>
      <c r="M4080" s="6">
        <v>1</v>
      </c>
      <c r="N4080" s="6">
        <v>0</v>
      </c>
      <c r="O4080" s="6">
        <v>0</v>
      </c>
      <c r="P4080" s="6">
        <v>0</v>
      </c>
      <c r="Q4080">
        <v>1</v>
      </c>
      <c r="R4080">
        <f t="shared" si="315"/>
        <v>0</v>
      </c>
      <c r="S4080">
        <f t="shared" si="316"/>
        <v>1</v>
      </c>
      <c r="T4080">
        <f t="shared" si="317"/>
        <v>1</v>
      </c>
      <c r="U4080">
        <f t="shared" si="318"/>
        <v>1</v>
      </c>
      <c r="V4080">
        <f t="shared" si="319"/>
        <v>0</v>
      </c>
    </row>
    <row r="4081" spans="1:22" x14ac:dyDescent="0.25">
      <c r="A4081">
        <v>4078</v>
      </c>
      <c r="B4081" t="s">
        <v>26</v>
      </c>
      <c r="C4081" t="s">
        <v>1218</v>
      </c>
      <c r="D4081" s="4">
        <v>45475</v>
      </c>
      <c r="E4081" t="s">
        <v>1847</v>
      </c>
      <c r="F4081" t="s">
        <v>75</v>
      </c>
      <c r="I4081" s="6"/>
      <c r="J4081" s="6"/>
      <c r="K4081" s="6"/>
      <c r="L4081" s="6"/>
      <c r="M4081" s="6"/>
      <c r="N4081" s="6"/>
      <c r="O4081" s="6"/>
      <c r="P4081" s="6"/>
      <c r="Q4081">
        <v>0</v>
      </c>
      <c r="R4081">
        <f t="shared" si="315"/>
        <v>0</v>
      </c>
      <c r="S4081">
        <f t="shared" si="316"/>
        <v>0</v>
      </c>
      <c r="T4081">
        <f t="shared" si="317"/>
        <v>0</v>
      </c>
      <c r="U4081">
        <f t="shared" si="318"/>
        <v>0</v>
      </c>
      <c r="V4081">
        <f t="shared" si="319"/>
        <v>0</v>
      </c>
    </row>
    <row r="4082" spans="1:22" x14ac:dyDescent="0.25">
      <c r="A4082">
        <v>4079</v>
      </c>
      <c r="B4082" t="s">
        <v>26</v>
      </c>
      <c r="C4082" t="s">
        <v>1218</v>
      </c>
      <c r="D4082" s="4">
        <v>45475</v>
      </c>
      <c r="E4082" t="s">
        <v>1983</v>
      </c>
      <c r="F4082" t="s">
        <v>75</v>
      </c>
      <c r="I4082" s="6"/>
      <c r="J4082" s="6"/>
      <c r="K4082" s="6"/>
      <c r="L4082" s="6"/>
      <c r="M4082" s="6"/>
      <c r="N4082" s="6"/>
      <c r="O4082" s="6"/>
      <c r="P4082" s="6"/>
      <c r="Q4082">
        <v>0</v>
      </c>
      <c r="R4082">
        <f t="shared" si="315"/>
        <v>0</v>
      </c>
      <c r="S4082">
        <f t="shared" si="316"/>
        <v>0</v>
      </c>
      <c r="T4082">
        <f t="shared" si="317"/>
        <v>0</v>
      </c>
      <c r="U4082">
        <f t="shared" si="318"/>
        <v>0</v>
      </c>
      <c r="V4082">
        <f t="shared" si="319"/>
        <v>0</v>
      </c>
    </row>
    <row r="4083" spans="1:22" x14ac:dyDescent="0.25">
      <c r="A4083">
        <v>4080</v>
      </c>
      <c r="B4083" t="s">
        <v>26</v>
      </c>
      <c r="C4083" t="s">
        <v>1218</v>
      </c>
      <c r="D4083" s="4">
        <v>45475</v>
      </c>
      <c r="E4083" t="s">
        <v>1982</v>
      </c>
      <c r="F4083" t="s">
        <v>75</v>
      </c>
      <c r="I4083" s="6"/>
      <c r="J4083" s="6"/>
      <c r="K4083" s="6"/>
      <c r="L4083" s="6"/>
      <c r="M4083" s="6"/>
      <c r="N4083" s="6"/>
      <c r="O4083" s="6"/>
      <c r="P4083" s="6"/>
      <c r="Q4083">
        <v>0</v>
      </c>
      <c r="R4083">
        <f t="shared" si="315"/>
        <v>0</v>
      </c>
      <c r="S4083">
        <f t="shared" si="316"/>
        <v>0</v>
      </c>
      <c r="T4083">
        <f t="shared" si="317"/>
        <v>0</v>
      </c>
      <c r="U4083">
        <f t="shared" si="318"/>
        <v>0</v>
      </c>
      <c r="V4083">
        <f t="shared" si="319"/>
        <v>0</v>
      </c>
    </row>
    <row r="4084" spans="1:22" x14ac:dyDescent="0.25">
      <c r="A4084">
        <v>4081</v>
      </c>
      <c r="B4084" t="s">
        <v>26</v>
      </c>
      <c r="C4084" t="s">
        <v>1218</v>
      </c>
      <c r="D4084" s="4">
        <v>45475</v>
      </c>
      <c r="E4084" t="s">
        <v>1981</v>
      </c>
      <c r="F4084" t="s">
        <v>75</v>
      </c>
      <c r="I4084" s="6"/>
      <c r="J4084" s="6"/>
      <c r="K4084" s="6"/>
      <c r="L4084" s="6"/>
      <c r="M4084" s="6"/>
      <c r="N4084" s="6"/>
      <c r="O4084" s="6"/>
      <c r="P4084" s="6"/>
      <c r="Q4084">
        <v>0</v>
      </c>
      <c r="R4084">
        <f t="shared" si="315"/>
        <v>0</v>
      </c>
      <c r="S4084">
        <f t="shared" si="316"/>
        <v>0</v>
      </c>
      <c r="T4084">
        <f t="shared" si="317"/>
        <v>0</v>
      </c>
      <c r="U4084">
        <f t="shared" si="318"/>
        <v>0</v>
      </c>
      <c r="V4084">
        <f t="shared" si="319"/>
        <v>0</v>
      </c>
    </row>
    <row r="4085" spans="1:22" x14ac:dyDescent="0.25">
      <c r="A4085">
        <v>4082</v>
      </c>
      <c r="B4085" t="s">
        <v>26</v>
      </c>
      <c r="C4085" t="s">
        <v>1218</v>
      </c>
      <c r="D4085" s="4">
        <v>45475</v>
      </c>
      <c r="E4085" t="s">
        <v>1445</v>
      </c>
      <c r="F4085" t="s">
        <v>357</v>
      </c>
      <c r="I4085" s="6">
        <v>0</v>
      </c>
      <c r="J4085" s="6">
        <v>0</v>
      </c>
      <c r="K4085" s="6">
        <v>0</v>
      </c>
      <c r="L4085" s="6">
        <v>0</v>
      </c>
      <c r="M4085" s="6">
        <v>0</v>
      </c>
      <c r="N4085" s="6">
        <v>0</v>
      </c>
      <c r="O4085" s="6">
        <v>0</v>
      </c>
      <c r="P4085" s="6">
        <v>0</v>
      </c>
      <c r="Q4085">
        <v>1</v>
      </c>
      <c r="R4085">
        <f t="shared" si="315"/>
        <v>0</v>
      </c>
      <c r="S4085">
        <f t="shared" si="316"/>
        <v>0</v>
      </c>
      <c r="T4085">
        <f t="shared" si="317"/>
        <v>0</v>
      </c>
      <c r="U4085">
        <f t="shared" si="318"/>
        <v>0</v>
      </c>
      <c r="V4085">
        <f t="shared" si="319"/>
        <v>0</v>
      </c>
    </row>
    <row r="4086" spans="1:22" x14ac:dyDescent="0.25">
      <c r="A4086">
        <v>4083</v>
      </c>
      <c r="B4086" t="s">
        <v>26</v>
      </c>
      <c r="C4086" t="s">
        <v>1218</v>
      </c>
      <c r="D4086" s="4">
        <v>45475</v>
      </c>
      <c r="E4086" t="s">
        <v>2344</v>
      </c>
      <c r="F4086" t="s">
        <v>75</v>
      </c>
      <c r="I4086" s="6"/>
      <c r="J4086" s="6"/>
      <c r="K4086" s="6"/>
      <c r="L4086" s="6"/>
      <c r="M4086" s="6"/>
      <c r="N4086" s="6"/>
      <c r="O4086" s="6"/>
      <c r="P4086" s="6"/>
      <c r="Q4086">
        <v>0</v>
      </c>
      <c r="R4086">
        <f t="shared" si="315"/>
        <v>0</v>
      </c>
      <c r="S4086">
        <f t="shared" si="316"/>
        <v>0</v>
      </c>
      <c r="T4086">
        <f t="shared" si="317"/>
        <v>0</v>
      </c>
      <c r="U4086">
        <f t="shared" si="318"/>
        <v>0</v>
      </c>
      <c r="V4086">
        <f t="shared" si="319"/>
        <v>0</v>
      </c>
    </row>
    <row r="4087" spans="1:22" x14ac:dyDescent="0.25">
      <c r="A4087">
        <v>4084</v>
      </c>
      <c r="B4087" t="s">
        <v>26</v>
      </c>
      <c r="C4087" t="s">
        <v>1218</v>
      </c>
      <c r="D4087" s="4">
        <v>45476</v>
      </c>
      <c r="E4087" t="s">
        <v>1783</v>
      </c>
      <c r="F4087" t="s">
        <v>75</v>
      </c>
      <c r="I4087" s="6"/>
      <c r="J4087" s="6"/>
      <c r="K4087" s="6"/>
      <c r="L4087" s="6"/>
      <c r="M4087" s="6"/>
      <c r="N4087" s="6"/>
      <c r="O4087" s="6"/>
      <c r="P4087" s="6"/>
      <c r="Q4087">
        <v>0</v>
      </c>
      <c r="R4087">
        <f t="shared" si="315"/>
        <v>0</v>
      </c>
      <c r="S4087">
        <f t="shared" si="316"/>
        <v>0</v>
      </c>
      <c r="T4087">
        <f t="shared" si="317"/>
        <v>0</v>
      </c>
      <c r="U4087">
        <f t="shared" si="318"/>
        <v>0</v>
      </c>
      <c r="V4087">
        <f t="shared" si="319"/>
        <v>0</v>
      </c>
    </row>
    <row r="4088" spans="1:22" x14ac:dyDescent="0.25">
      <c r="A4088">
        <v>4085</v>
      </c>
      <c r="B4088" t="s">
        <v>26</v>
      </c>
      <c r="C4088" t="s">
        <v>1218</v>
      </c>
      <c r="D4088" s="4">
        <v>45476</v>
      </c>
      <c r="E4088" t="s">
        <v>2343</v>
      </c>
      <c r="F4088" t="s">
        <v>75</v>
      </c>
      <c r="I4088" s="6"/>
      <c r="J4088" s="6"/>
      <c r="K4088" s="6"/>
      <c r="L4088" s="6"/>
      <c r="M4088" s="6"/>
      <c r="N4088" s="6"/>
      <c r="O4088" s="6"/>
      <c r="P4088" s="6"/>
      <c r="Q4088">
        <v>0</v>
      </c>
      <c r="R4088">
        <f t="shared" si="315"/>
        <v>0</v>
      </c>
      <c r="S4088">
        <f t="shared" si="316"/>
        <v>0</v>
      </c>
      <c r="T4088">
        <f t="shared" si="317"/>
        <v>0</v>
      </c>
      <c r="U4088">
        <f t="shared" si="318"/>
        <v>0</v>
      </c>
      <c r="V4088">
        <f t="shared" si="319"/>
        <v>0</v>
      </c>
    </row>
    <row r="4089" spans="1:22" x14ac:dyDescent="0.25">
      <c r="A4089">
        <v>4086</v>
      </c>
      <c r="B4089" t="s">
        <v>26</v>
      </c>
      <c r="C4089" t="s">
        <v>1218</v>
      </c>
      <c r="D4089" s="4">
        <v>45476</v>
      </c>
      <c r="E4089" t="s">
        <v>1446</v>
      </c>
      <c r="F4089" t="s">
        <v>75</v>
      </c>
      <c r="I4089" s="6">
        <v>0</v>
      </c>
      <c r="J4089" s="6">
        <v>0</v>
      </c>
      <c r="K4089" s="6">
        <v>0</v>
      </c>
      <c r="L4089" s="6">
        <v>0</v>
      </c>
      <c r="M4089" s="6">
        <v>0</v>
      </c>
      <c r="N4089" s="6">
        <v>0</v>
      </c>
      <c r="O4089" s="6">
        <v>0</v>
      </c>
      <c r="P4089" s="6">
        <v>0</v>
      </c>
      <c r="Q4089">
        <v>1</v>
      </c>
      <c r="R4089">
        <f t="shared" si="315"/>
        <v>0</v>
      </c>
      <c r="S4089">
        <f t="shared" si="316"/>
        <v>1</v>
      </c>
      <c r="T4089">
        <f t="shared" si="317"/>
        <v>0</v>
      </c>
      <c r="U4089">
        <f t="shared" si="318"/>
        <v>0</v>
      </c>
      <c r="V4089">
        <f t="shared" si="319"/>
        <v>0</v>
      </c>
    </row>
    <row r="4090" spans="1:22" x14ac:dyDescent="0.25">
      <c r="A4090">
        <v>4087</v>
      </c>
      <c r="B4090" t="s">
        <v>26</v>
      </c>
      <c r="C4090" t="s">
        <v>1218</v>
      </c>
      <c r="D4090" s="4">
        <v>45476</v>
      </c>
      <c r="E4090" t="s">
        <v>2342</v>
      </c>
      <c r="F4090" t="s">
        <v>75</v>
      </c>
      <c r="I4090" s="6"/>
      <c r="J4090" s="6"/>
      <c r="K4090" s="6"/>
      <c r="L4090" s="6"/>
      <c r="M4090" s="6"/>
      <c r="N4090" s="6"/>
      <c r="O4090" s="6"/>
      <c r="P4090" s="6"/>
      <c r="Q4090">
        <v>0</v>
      </c>
      <c r="R4090">
        <f t="shared" si="315"/>
        <v>0</v>
      </c>
      <c r="S4090">
        <f t="shared" si="316"/>
        <v>0</v>
      </c>
      <c r="T4090">
        <f t="shared" si="317"/>
        <v>0</v>
      </c>
      <c r="U4090">
        <f t="shared" si="318"/>
        <v>0</v>
      </c>
      <c r="V4090">
        <f t="shared" si="319"/>
        <v>0</v>
      </c>
    </row>
    <row r="4091" spans="1:22" x14ac:dyDescent="0.25">
      <c r="A4091">
        <v>4088</v>
      </c>
      <c r="B4091" t="s">
        <v>26</v>
      </c>
      <c r="C4091" t="s">
        <v>1218</v>
      </c>
      <c r="D4091" s="4">
        <v>45476</v>
      </c>
      <c r="E4091" t="s">
        <v>2341</v>
      </c>
      <c r="F4091" t="s">
        <v>75</v>
      </c>
      <c r="I4091" s="6">
        <v>1</v>
      </c>
      <c r="J4091" s="6">
        <v>0</v>
      </c>
      <c r="K4091" s="6">
        <v>1</v>
      </c>
      <c r="L4091" s="6">
        <v>0</v>
      </c>
      <c r="M4091" s="6">
        <v>0</v>
      </c>
      <c r="N4091" s="6">
        <v>0</v>
      </c>
      <c r="O4091" s="6">
        <v>0</v>
      </c>
      <c r="P4091" s="6">
        <v>0</v>
      </c>
      <c r="Q4091">
        <v>1</v>
      </c>
      <c r="R4091">
        <f t="shared" si="315"/>
        <v>0</v>
      </c>
      <c r="S4091">
        <f t="shared" si="316"/>
        <v>1</v>
      </c>
      <c r="T4091">
        <f t="shared" si="317"/>
        <v>2</v>
      </c>
      <c r="U4091">
        <f t="shared" si="318"/>
        <v>1</v>
      </c>
      <c r="V4091">
        <f t="shared" si="319"/>
        <v>0</v>
      </c>
    </row>
    <row r="4092" spans="1:22" x14ac:dyDescent="0.25">
      <c r="A4092">
        <v>4089</v>
      </c>
      <c r="B4092" t="s">
        <v>26</v>
      </c>
      <c r="C4092" t="s">
        <v>1218</v>
      </c>
      <c r="D4092" s="4">
        <v>45476</v>
      </c>
      <c r="E4092" t="s">
        <v>1784</v>
      </c>
      <c r="F4092" t="s">
        <v>75</v>
      </c>
      <c r="I4092" s="6"/>
      <c r="J4092" s="6"/>
      <c r="K4092" s="6"/>
      <c r="L4092" s="6"/>
      <c r="M4092" s="6"/>
      <c r="N4092" s="6"/>
      <c r="O4092" s="6"/>
      <c r="P4092" s="6"/>
      <c r="Q4092">
        <v>0</v>
      </c>
      <c r="R4092">
        <f t="shared" si="315"/>
        <v>0</v>
      </c>
      <c r="S4092">
        <f t="shared" si="316"/>
        <v>0</v>
      </c>
      <c r="T4092">
        <f t="shared" si="317"/>
        <v>0</v>
      </c>
      <c r="U4092">
        <f t="shared" si="318"/>
        <v>0</v>
      </c>
      <c r="V4092">
        <f t="shared" si="319"/>
        <v>0</v>
      </c>
    </row>
    <row r="4093" spans="1:22" x14ac:dyDescent="0.25">
      <c r="A4093">
        <v>4090</v>
      </c>
      <c r="B4093" t="s">
        <v>26</v>
      </c>
      <c r="C4093" t="s">
        <v>1218</v>
      </c>
      <c r="D4093" s="4">
        <v>45476</v>
      </c>
      <c r="E4093" t="s">
        <v>1980</v>
      </c>
      <c r="F4093" t="s">
        <v>75</v>
      </c>
      <c r="I4093" s="6"/>
      <c r="J4093" s="6"/>
      <c r="K4093" s="6"/>
      <c r="L4093" s="6"/>
      <c r="M4093" s="6"/>
      <c r="N4093" s="6"/>
      <c r="O4093" s="6"/>
      <c r="P4093" s="6"/>
      <c r="Q4093">
        <v>0</v>
      </c>
      <c r="R4093">
        <f t="shared" si="315"/>
        <v>0</v>
      </c>
      <c r="S4093">
        <f t="shared" si="316"/>
        <v>0</v>
      </c>
      <c r="T4093">
        <f t="shared" si="317"/>
        <v>0</v>
      </c>
      <c r="U4093">
        <f t="shared" si="318"/>
        <v>0</v>
      </c>
      <c r="V4093">
        <f t="shared" si="319"/>
        <v>0</v>
      </c>
    </row>
    <row r="4094" spans="1:22" x14ac:dyDescent="0.25">
      <c r="A4094">
        <v>4091</v>
      </c>
      <c r="B4094" t="s">
        <v>26</v>
      </c>
      <c r="C4094" t="s">
        <v>1218</v>
      </c>
      <c r="D4094" s="4">
        <v>45476</v>
      </c>
      <c r="E4094" t="s">
        <v>2340</v>
      </c>
      <c r="F4094" t="s">
        <v>75</v>
      </c>
      <c r="I4094" s="6"/>
      <c r="J4094" s="6"/>
      <c r="K4094" s="6"/>
      <c r="L4094" s="6"/>
      <c r="M4094" s="6"/>
      <c r="N4094" s="6"/>
      <c r="O4094" s="6"/>
      <c r="P4094" s="6"/>
      <c r="Q4094">
        <v>0</v>
      </c>
      <c r="R4094">
        <f t="shared" si="315"/>
        <v>0</v>
      </c>
      <c r="S4094">
        <f t="shared" si="316"/>
        <v>0</v>
      </c>
      <c r="T4094">
        <f t="shared" si="317"/>
        <v>0</v>
      </c>
      <c r="U4094">
        <f t="shared" si="318"/>
        <v>0</v>
      </c>
      <c r="V4094">
        <f t="shared" si="319"/>
        <v>0</v>
      </c>
    </row>
    <row r="4095" spans="1:22" x14ac:dyDescent="0.25">
      <c r="A4095">
        <v>4092</v>
      </c>
      <c r="B4095" t="s">
        <v>26</v>
      </c>
      <c r="C4095" t="s">
        <v>1218</v>
      </c>
      <c r="D4095" s="4">
        <v>45476</v>
      </c>
      <c r="E4095" t="s">
        <v>2339</v>
      </c>
      <c r="F4095" t="s">
        <v>75</v>
      </c>
      <c r="I4095" s="6"/>
      <c r="J4095" s="6"/>
      <c r="K4095" s="6"/>
      <c r="L4095" s="6"/>
      <c r="M4095" s="6"/>
      <c r="N4095" s="6"/>
      <c r="O4095" s="6"/>
      <c r="P4095" s="6"/>
      <c r="Q4095">
        <v>0</v>
      </c>
      <c r="R4095">
        <f t="shared" si="315"/>
        <v>0</v>
      </c>
      <c r="S4095">
        <f t="shared" si="316"/>
        <v>0</v>
      </c>
      <c r="T4095">
        <f t="shared" si="317"/>
        <v>0</v>
      </c>
      <c r="U4095">
        <f t="shared" si="318"/>
        <v>0</v>
      </c>
      <c r="V4095">
        <f t="shared" si="319"/>
        <v>0</v>
      </c>
    </row>
    <row r="4096" spans="1:22" x14ac:dyDescent="0.25">
      <c r="A4096">
        <v>4093</v>
      </c>
      <c r="B4096" t="s">
        <v>26</v>
      </c>
      <c r="C4096" t="s">
        <v>1218</v>
      </c>
      <c r="D4096" s="4">
        <v>45476</v>
      </c>
      <c r="E4096" t="s">
        <v>2338</v>
      </c>
      <c r="F4096" t="s">
        <v>357</v>
      </c>
      <c r="I4096" s="6"/>
      <c r="J4096" s="6"/>
      <c r="K4096" s="6"/>
      <c r="L4096" s="6"/>
      <c r="M4096" s="6"/>
      <c r="N4096" s="6"/>
      <c r="O4096" s="6"/>
      <c r="P4096" s="6"/>
      <c r="Q4096">
        <v>0</v>
      </c>
      <c r="R4096">
        <f t="shared" si="315"/>
        <v>0</v>
      </c>
      <c r="S4096">
        <f t="shared" si="316"/>
        <v>0</v>
      </c>
      <c r="T4096">
        <f t="shared" si="317"/>
        <v>0</v>
      </c>
      <c r="U4096">
        <f t="shared" si="318"/>
        <v>0</v>
      </c>
      <c r="V4096">
        <f t="shared" si="319"/>
        <v>0</v>
      </c>
    </row>
    <row r="4097" spans="1:22" x14ac:dyDescent="0.25">
      <c r="A4097">
        <v>4094</v>
      </c>
      <c r="B4097" t="s">
        <v>26</v>
      </c>
      <c r="C4097" t="s">
        <v>1218</v>
      </c>
      <c r="D4097" s="4">
        <v>45476</v>
      </c>
      <c r="E4097" t="s">
        <v>2337</v>
      </c>
      <c r="F4097" t="s">
        <v>75</v>
      </c>
      <c r="I4097" s="6"/>
      <c r="J4097" s="6"/>
      <c r="K4097" s="6"/>
      <c r="L4097" s="6"/>
      <c r="M4097" s="6"/>
      <c r="N4097" s="6"/>
      <c r="O4097" s="6"/>
      <c r="P4097" s="6"/>
      <c r="Q4097">
        <v>0</v>
      </c>
      <c r="R4097">
        <f t="shared" si="315"/>
        <v>0</v>
      </c>
      <c r="S4097">
        <f t="shared" si="316"/>
        <v>0</v>
      </c>
      <c r="T4097">
        <f t="shared" si="317"/>
        <v>0</v>
      </c>
      <c r="U4097">
        <f t="shared" si="318"/>
        <v>0</v>
      </c>
      <c r="V4097">
        <f t="shared" si="319"/>
        <v>0</v>
      </c>
    </row>
    <row r="4098" spans="1:22" x14ac:dyDescent="0.25">
      <c r="A4098">
        <v>4095</v>
      </c>
      <c r="B4098" t="s">
        <v>26</v>
      </c>
      <c r="C4098" t="s">
        <v>1218</v>
      </c>
      <c r="D4098" s="4">
        <v>45476</v>
      </c>
      <c r="E4098" t="s">
        <v>2336</v>
      </c>
      <c r="F4098" t="s">
        <v>357</v>
      </c>
      <c r="I4098" s="6"/>
      <c r="J4098" s="6"/>
      <c r="K4098" s="6"/>
      <c r="L4098" s="6"/>
      <c r="M4098" s="6"/>
      <c r="N4098" s="6"/>
      <c r="O4098" s="6"/>
      <c r="P4098" s="6"/>
      <c r="Q4098">
        <v>0</v>
      </c>
      <c r="R4098">
        <f t="shared" si="315"/>
        <v>0</v>
      </c>
      <c r="S4098">
        <f t="shared" si="316"/>
        <v>0</v>
      </c>
      <c r="T4098">
        <f t="shared" si="317"/>
        <v>0</v>
      </c>
      <c r="U4098">
        <f t="shared" si="318"/>
        <v>0</v>
      </c>
      <c r="V4098">
        <f t="shared" si="319"/>
        <v>0</v>
      </c>
    </row>
    <row r="4099" spans="1:22" x14ac:dyDescent="0.25">
      <c r="A4099">
        <v>4096</v>
      </c>
      <c r="B4099" t="s">
        <v>26</v>
      </c>
      <c r="C4099" t="s">
        <v>1218</v>
      </c>
      <c r="D4099" s="4">
        <v>45476</v>
      </c>
      <c r="E4099" t="s">
        <v>2335</v>
      </c>
      <c r="F4099" t="s">
        <v>75</v>
      </c>
      <c r="I4099" s="6"/>
      <c r="J4099" s="6"/>
      <c r="K4099" s="6"/>
      <c r="L4099" s="6"/>
      <c r="M4099" s="6"/>
      <c r="N4099" s="6"/>
      <c r="O4099" s="6"/>
      <c r="P4099" s="6"/>
      <c r="Q4099">
        <v>0</v>
      </c>
      <c r="R4099">
        <f t="shared" ref="R4099:R4162" si="320">IF(AND(Q4099=1,F4099="ai_full"),1,0)</f>
        <v>0</v>
      </c>
      <c r="S4099">
        <f t="shared" ref="S4099:S4162" si="321">IF(AND(Q4099=1,F4099="conventional"),1,0)</f>
        <v>0</v>
      </c>
      <c r="T4099">
        <f t="shared" ref="T4099:T4162" si="322">SUM(I4099:P4099)</f>
        <v>0</v>
      </c>
      <c r="U4099">
        <f t="shared" ref="U4099:U4162" si="323">IF(T4099&gt;=1,1,0)</f>
        <v>0</v>
      </c>
      <c r="V4099">
        <f t="shared" ref="V4099:V4162" si="324">IF(F4099="ai_full",1,0)</f>
        <v>0</v>
      </c>
    </row>
    <row r="4100" spans="1:22" x14ac:dyDescent="0.25">
      <c r="A4100">
        <v>4097</v>
      </c>
      <c r="B4100" t="s">
        <v>26</v>
      </c>
      <c r="C4100" t="s">
        <v>1218</v>
      </c>
      <c r="D4100" s="4">
        <v>45477</v>
      </c>
      <c r="E4100" t="s">
        <v>1785</v>
      </c>
      <c r="F4100" t="s">
        <v>75</v>
      </c>
      <c r="I4100" s="6"/>
      <c r="J4100" s="6"/>
      <c r="K4100" s="6"/>
      <c r="L4100" s="6"/>
      <c r="M4100" s="6"/>
      <c r="N4100" s="6"/>
      <c r="O4100" s="6"/>
      <c r="P4100" s="6"/>
      <c r="Q4100">
        <v>0</v>
      </c>
      <c r="R4100">
        <f t="shared" si="320"/>
        <v>0</v>
      </c>
      <c r="S4100">
        <f t="shared" si="321"/>
        <v>0</v>
      </c>
      <c r="T4100">
        <f t="shared" si="322"/>
        <v>0</v>
      </c>
      <c r="U4100">
        <f t="shared" si="323"/>
        <v>0</v>
      </c>
      <c r="V4100">
        <f t="shared" si="324"/>
        <v>0</v>
      </c>
    </row>
    <row r="4101" spans="1:22" x14ac:dyDescent="0.25">
      <c r="A4101">
        <v>4098</v>
      </c>
      <c r="B4101" t="s">
        <v>26</v>
      </c>
      <c r="C4101" t="s">
        <v>1218</v>
      </c>
      <c r="D4101" s="4">
        <v>45477</v>
      </c>
      <c r="E4101" t="s">
        <v>2334</v>
      </c>
      <c r="F4101" t="s">
        <v>75</v>
      </c>
      <c r="I4101" s="6"/>
      <c r="J4101" s="6"/>
      <c r="K4101" s="6"/>
      <c r="L4101" s="6"/>
      <c r="M4101" s="6"/>
      <c r="N4101" s="6"/>
      <c r="O4101" s="6"/>
      <c r="P4101" s="6"/>
      <c r="Q4101">
        <v>0</v>
      </c>
      <c r="R4101">
        <f t="shared" si="320"/>
        <v>0</v>
      </c>
      <c r="S4101">
        <f t="shared" si="321"/>
        <v>0</v>
      </c>
      <c r="T4101">
        <f t="shared" si="322"/>
        <v>0</v>
      </c>
      <c r="U4101">
        <f t="shared" si="323"/>
        <v>0</v>
      </c>
      <c r="V4101">
        <f t="shared" si="324"/>
        <v>0</v>
      </c>
    </row>
    <row r="4102" spans="1:22" x14ac:dyDescent="0.25">
      <c r="A4102">
        <v>4099</v>
      </c>
      <c r="B4102" t="s">
        <v>26</v>
      </c>
      <c r="C4102" t="s">
        <v>1218</v>
      </c>
      <c r="D4102" s="4">
        <v>45477</v>
      </c>
      <c r="E4102" t="s">
        <v>2333</v>
      </c>
      <c r="F4102" t="s">
        <v>75</v>
      </c>
      <c r="I4102" s="6"/>
      <c r="J4102" s="6"/>
      <c r="K4102" s="6"/>
      <c r="L4102" s="6"/>
      <c r="M4102" s="6"/>
      <c r="N4102" s="6"/>
      <c r="O4102" s="6"/>
      <c r="P4102" s="6"/>
      <c r="Q4102">
        <v>0</v>
      </c>
      <c r="R4102">
        <f t="shared" si="320"/>
        <v>0</v>
      </c>
      <c r="S4102">
        <f t="shared" si="321"/>
        <v>0</v>
      </c>
      <c r="T4102">
        <f t="shared" si="322"/>
        <v>0</v>
      </c>
      <c r="U4102">
        <f t="shared" si="323"/>
        <v>0</v>
      </c>
      <c r="V4102">
        <f t="shared" si="324"/>
        <v>0</v>
      </c>
    </row>
    <row r="4103" spans="1:22" x14ac:dyDescent="0.25">
      <c r="A4103">
        <v>4100</v>
      </c>
      <c r="B4103" t="s">
        <v>26</v>
      </c>
      <c r="C4103" t="s">
        <v>1218</v>
      </c>
      <c r="D4103" s="4">
        <v>45477</v>
      </c>
      <c r="E4103" t="s">
        <v>2332</v>
      </c>
      <c r="F4103" t="s">
        <v>75</v>
      </c>
      <c r="I4103" s="6"/>
      <c r="J4103" s="6"/>
      <c r="K4103" s="6"/>
      <c r="L4103" s="6"/>
      <c r="M4103" s="6"/>
      <c r="N4103" s="6"/>
      <c r="O4103" s="6"/>
      <c r="P4103" s="6"/>
      <c r="Q4103">
        <v>0</v>
      </c>
      <c r="R4103">
        <f t="shared" si="320"/>
        <v>0</v>
      </c>
      <c r="S4103">
        <f t="shared" si="321"/>
        <v>0</v>
      </c>
      <c r="T4103">
        <f t="shared" si="322"/>
        <v>0</v>
      </c>
      <c r="U4103">
        <f t="shared" si="323"/>
        <v>0</v>
      </c>
      <c r="V4103">
        <f t="shared" si="324"/>
        <v>0</v>
      </c>
    </row>
    <row r="4104" spans="1:22" x14ac:dyDescent="0.25">
      <c r="A4104">
        <v>4101</v>
      </c>
      <c r="B4104" t="s">
        <v>26</v>
      </c>
      <c r="C4104" t="s">
        <v>1218</v>
      </c>
      <c r="D4104" s="4">
        <v>45477</v>
      </c>
      <c r="E4104" t="s">
        <v>1786</v>
      </c>
      <c r="F4104" t="s">
        <v>75</v>
      </c>
      <c r="I4104" s="6">
        <v>0</v>
      </c>
      <c r="J4104" s="6">
        <v>0</v>
      </c>
      <c r="K4104" s="6">
        <v>1</v>
      </c>
      <c r="L4104" s="6">
        <v>0</v>
      </c>
      <c r="M4104" s="6">
        <v>0</v>
      </c>
      <c r="N4104" s="6">
        <v>0</v>
      </c>
      <c r="O4104" s="6">
        <v>0</v>
      </c>
      <c r="P4104" s="6">
        <v>0</v>
      </c>
      <c r="Q4104">
        <v>1</v>
      </c>
      <c r="R4104">
        <f t="shared" si="320"/>
        <v>0</v>
      </c>
      <c r="S4104">
        <f t="shared" si="321"/>
        <v>1</v>
      </c>
      <c r="T4104">
        <f t="shared" si="322"/>
        <v>1</v>
      </c>
      <c r="U4104">
        <f t="shared" si="323"/>
        <v>1</v>
      </c>
      <c r="V4104">
        <f t="shared" si="324"/>
        <v>0</v>
      </c>
    </row>
    <row r="4105" spans="1:22" x14ac:dyDescent="0.25">
      <c r="A4105">
        <v>4102</v>
      </c>
      <c r="B4105" t="s">
        <v>26</v>
      </c>
      <c r="C4105" t="s">
        <v>1218</v>
      </c>
      <c r="D4105" s="4">
        <v>45477</v>
      </c>
      <c r="E4105" t="s">
        <v>1787</v>
      </c>
      <c r="F4105" t="s">
        <v>75</v>
      </c>
      <c r="I4105" s="6"/>
      <c r="J4105" s="6"/>
      <c r="K4105" s="6"/>
      <c r="L4105" s="6"/>
      <c r="M4105" s="6"/>
      <c r="N4105" s="6"/>
      <c r="O4105" s="6"/>
      <c r="P4105" s="6"/>
      <c r="Q4105">
        <v>0</v>
      </c>
      <c r="R4105">
        <f t="shared" si="320"/>
        <v>0</v>
      </c>
      <c r="S4105">
        <f t="shared" si="321"/>
        <v>0</v>
      </c>
      <c r="T4105">
        <f t="shared" si="322"/>
        <v>0</v>
      </c>
      <c r="U4105">
        <f t="shared" si="323"/>
        <v>0</v>
      </c>
      <c r="V4105">
        <f t="shared" si="324"/>
        <v>0</v>
      </c>
    </row>
    <row r="4106" spans="1:22" x14ac:dyDescent="0.25">
      <c r="A4106">
        <v>4103</v>
      </c>
      <c r="B4106" t="s">
        <v>26</v>
      </c>
      <c r="C4106" t="s">
        <v>1218</v>
      </c>
      <c r="D4106" s="4">
        <v>45477</v>
      </c>
      <c r="E4106" t="s">
        <v>1447</v>
      </c>
      <c r="F4106" t="s">
        <v>357</v>
      </c>
      <c r="I4106" s="6">
        <v>0</v>
      </c>
      <c r="J4106" s="6">
        <v>0</v>
      </c>
      <c r="K4106" s="6">
        <v>0</v>
      </c>
      <c r="L4106" s="6">
        <v>0</v>
      </c>
      <c r="M4106" s="6">
        <v>0</v>
      </c>
      <c r="N4106" s="6">
        <v>0</v>
      </c>
      <c r="O4106" s="6">
        <v>0</v>
      </c>
      <c r="P4106" s="6">
        <v>0</v>
      </c>
      <c r="Q4106">
        <v>1</v>
      </c>
      <c r="R4106">
        <f t="shared" si="320"/>
        <v>0</v>
      </c>
      <c r="S4106">
        <f t="shared" si="321"/>
        <v>0</v>
      </c>
      <c r="T4106">
        <f t="shared" si="322"/>
        <v>0</v>
      </c>
      <c r="U4106">
        <f t="shared" si="323"/>
        <v>0</v>
      </c>
      <c r="V4106">
        <f t="shared" si="324"/>
        <v>0</v>
      </c>
    </row>
    <row r="4107" spans="1:22" x14ac:dyDescent="0.25">
      <c r="A4107">
        <v>4104</v>
      </c>
      <c r="B4107" t="s">
        <v>26</v>
      </c>
      <c r="C4107" t="s">
        <v>1218</v>
      </c>
      <c r="D4107" s="4">
        <v>45477</v>
      </c>
      <c r="E4107" t="s">
        <v>1788</v>
      </c>
      <c r="F4107" t="s">
        <v>75</v>
      </c>
      <c r="I4107" s="6"/>
      <c r="J4107" s="6"/>
      <c r="K4107" s="6"/>
      <c r="L4107" s="6"/>
      <c r="M4107" s="6"/>
      <c r="N4107" s="6"/>
      <c r="O4107" s="6"/>
      <c r="P4107" s="6"/>
      <c r="Q4107">
        <v>0</v>
      </c>
      <c r="R4107">
        <f t="shared" si="320"/>
        <v>0</v>
      </c>
      <c r="S4107">
        <f t="shared" si="321"/>
        <v>0</v>
      </c>
      <c r="T4107">
        <f t="shared" si="322"/>
        <v>0</v>
      </c>
      <c r="U4107">
        <f t="shared" si="323"/>
        <v>0</v>
      </c>
      <c r="V4107">
        <f t="shared" si="324"/>
        <v>0</v>
      </c>
    </row>
    <row r="4108" spans="1:22" x14ac:dyDescent="0.25">
      <c r="A4108">
        <v>4105</v>
      </c>
      <c r="B4108" t="s">
        <v>26</v>
      </c>
      <c r="C4108" t="s">
        <v>1218</v>
      </c>
      <c r="D4108" s="4">
        <v>45477</v>
      </c>
      <c r="E4108" t="s">
        <v>1789</v>
      </c>
      <c r="F4108" t="s">
        <v>75</v>
      </c>
      <c r="I4108" s="6"/>
      <c r="J4108" s="6"/>
      <c r="K4108" s="6"/>
      <c r="L4108" s="6"/>
      <c r="M4108" s="6"/>
      <c r="N4108" s="6"/>
      <c r="O4108" s="6"/>
      <c r="P4108" s="6"/>
      <c r="Q4108">
        <v>0</v>
      </c>
      <c r="R4108">
        <f t="shared" si="320"/>
        <v>0</v>
      </c>
      <c r="S4108">
        <f t="shared" si="321"/>
        <v>0</v>
      </c>
      <c r="T4108">
        <f t="shared" si="322"/>
        <v>0</v>
      </c>
      <c r="U4108">
        <f t="shared" si="323"/>
        <v>0</v>
      </c>
      <c r="V4108">
        <f t="shared" si="324"/>
        <v>0</v>
      </c>
    </row>
    <row r="4109" spans="1:22" x14ac:dyDescent="0.25">
      <c r="A4109">
        <v>4106</v>
      </c>
      <c r="B4109" t="s">
        <v>26</v>
      </c>
      <c r="C4109" t="s">
        <v>1218</v>
      </c>
      <c r="D4109" s="4">
        <v>45477</v>
      </c>
      <c r="E4109" t="s">
        <v>1790</v>
      </c>
      <c r="F4109" t="s">
        <v>75</v>
      </c>
      <c r="I4109" s="6"/>
      <c r="J4109" s="6"/>
      <c r="K4109" s="6"/>
      <c r="L4109" s="6"/>
      <c r="M4109" s="6"/>
      <c r="N4109" s="6"/>
      <c r="O4109" s="6"/>
      <c r="P4109" s="6"/>
      <c r="Q4109">
        <v>0</v>
      </c>
      <c r="R4109">
        <f t="shared" si="320"/>
        <v>0</v>
      </c>
      <c r="S4109">
        <f t="shared" si="321"/>
        <v>0</v>
      </c>
      <c r="T4109">
        <f t="shared" si="322"/>
        <v>0</v>
      </c>
      <c r="U4109">
        <f t="shared" si="323"/>
        <v>0</v>
      </c>
      <c r="V4109">
        <f t="shared" si="324"/>
        <v>0</v>
      </c>
    </row>
    <row r="4110" spans="1:22" x14ac:dyDescent="0.25">
      <c r="A4110">
        <v>4107</v>
      </c>
      <c r="B4110" t="s">
        <v>26</v>
      </c>
      <c r="C4110" t="s">
        <v>1218</v>
      </c>
      <c r="D4110" s="4">
        <v>45477</v>
      </c>
      <c r="E4110" t="s">
        <v>1848</v>
      </c>
      <c r="F4110" t="s">
        <v>75</v>
      </c>
      <c r="I4110" s="6"/>
      <c r="J4110" s="6"/>
      <c r="K4110" s="6"/>
      <c r="L4110" s="6"/>
      <c r="M4110" s="6"/>
      <c r="N4110" s="6"/>
      <c r="O4110" s="6"/>
      <c r="P4110" s="6"/>
      <c r="Q4110">
        <v>0</v>
      </c>
      <c r="R4110">
        <f t="shared" si="320"/>
        <v>0</v>
      </c>
      <c r="S4110">
        <f t="shared" si="321"/>
        <v>0</v>
      </c>
      <c r="T4110">
        <f t="shared" si="322"/>
        <v>0</v>
      </c>
      <c r="U4110">
        <f t="shared" si="323"/>
        <v>0</v>
      </c>
      <c r="V4110">
        <f t="shared" si="324"/>
        <v>0</v>
      </c>
    </row>
    <row r="4111" spans="1:22" x14ac:dyDescent="0.25">
      <c r="A4111">
        <v>4108</v>
      </c>
      <c r="B4111" t="s">
        <v>26</v>
      </c>
      <c r="C4111" t="s">
        <v>1218</v>
      </c>
      <c r="D4111" s="4">
        <v>45477</v>
      </c>
      <c r="E4111" t="s">
        <v>1849</v>
      </c>
      <c r="F4111" t="s">
        <v>75</v>
      </c>
      <c r="I4111" s="6"/>
      <c r="J4111" s="6"/>
      <c r="K4111" s="6"/>
      <c r="L4111" s="6"/>
      <c r="M4111" s="6"/>
      <c r="N4111" s="6"/>
      <c r="O4111" s="6"/>
      <c r="P4111" s="6"/>
      <c r="Q4111">
        <v>0</v>
      </c>
      <c r="R4111">
        <f t="shared" si="320"/>
        <v>0</v>
      </c>
      <c r="S4111">
        <f t="shared" si="321"/>
        <v>0</v>
      </c>
      <c r="T4111">
        <f t="shared" si="322"/>
        <v>0</v>
      </c>
      <c r="U4111">
        <f t="shared" si="323"/>
        <v>0</v>
      </c>
      <c r="V4111">
        <f t="shared" si="324"/>
        <v>0</v>
      </c>
    </row>
    <row r="4112" spans="1:22" x14ac:dyDescent="0.25">
      <c r="A4112">
        <v>4109</v>
      </c>
      <c r="B4112" t="s">
        <v>26</v>
      </c>
      <c r="C4112" t="s">
        <v>1218</v>
      </c>
      <c r="D4112" s="4">
        <v>45478</v>
      </c>
      <c r="E4112" t="s">
        <v>1269</v>
      </c>
      <c r="F4112" t="s">
        <v>75</v>
      </c>
      <c r="I4112" s="6"/>
      <c r="J4112" s="6"/>
      <c r="K4112" s="6"/>
      <c r="L4112" s="6"/>
      <c r="M4112" s="6"/>
      <c r="N4112" s="6"/>
      <c r="O4112" s="6"/>
      <c r="P4112" s="6"/>
      <c r="Q4112">
        <v>0</v>
      </c>
      <c r="R4112">
        <f t="shared" si="320"/>
        <v>0</v>
      </c>
      <c r="S4112">
        <f t="shared" si="321"/>
        <v>0</v>
      </c>
      <c r="T4112">
        <f t="shared" si="322"/>
        <v>0</v>
      </c>
      <c r="U4112">
        <f t="shared" si="323"/>
        <v>0</v>
      </c>
      <c r="V4112">
        <f t="shared" si="324"/>
        <v>0</v>
      </c>
    </row>
    <row r="4113" spans="1:22" x14ac:dyDescent="0.25">
      <c r="A4113">
        <v>4110</v>
      </c>
      <c r="B4113" t="s">
        <v>26</v>
      </c>
      <c r="C4113" t="s">
        <v>1218</v>
      </c>
      <c r="D4113" s="4">
        <v>45478</v>
      </c>
      <c r="E4113" t="s">
        <v>2331</v>
      </c>
      <c r="F4113" t="s">
        <v>75</v>
      </c>
      <c r="I4113" s="6"/>
      <c r="J4113" s="6"/>
      <c r="K4113" s="6"/>
      <c r="L4113" s="6"/>
      <c r="M4113" s="6"/>
      <c r="N4113" s="6"/>
      <c r="O4113" s="6"/>
      <c r="P4113" s="6"/>
      <c r="Q4113">
        <v>0</v>
      </c>
      <c r="R4113">
        <f t="shared" si="320"/>
        <v>0</v>
      </c>
      <c r="S4113">
        <f t="shared" si="321"/>
        <v>0</v>
      </c>
      <c r="T4113">
        <f t="shared" si="322"/>
        <v>0</v>
      </c>
      <c r="U4113">
        <f t="shared" si="323"/>
        <v>0</v>
      </c>
      <c r="V4113">
        <f t="shared" si="324"/>
        <v>0</v>
      </c>
    </row>
    <row r="4114" spans="1:22" x14ac:dyDescent="0.25">
      <c r="A4114">
        <v>4111</v>
      </c>
      <c r="B4114" t="s">
        <v>26</v>
      </c>
      <c r="C4114" t="s">
        <v>1218</v>
      </c>
      <c r="D4114" s="4">
        <v>45478</v>
      </c>
      <c r="E4114" t="s">
        <v>2330</v>
      </c>
      <c r="F4114" t="s">
        <v>75</v>
      </c>
      <c r="I4114" s="6">
        <v>0</v>
      </c>
      <c r="J4114" s="6">
        <v>0</v>
      </c>
      <c r="K4114" s="6">
        <v>0</v>
      </c>
      <c r="L4114" s="6">
        <v>0</v>
      </c>
      <c r="M4114" s="6">
        <v>0</v>
      </c>
      <c r="N4114" s="6">
        <v>0</v>
      </c>
      <c r="O4114" s="6">
        <v>0</v>
      </c>
      <c r="P4114" s="6">
        <v>0</v>
      </c>
      <c r="Q4114">
        <v>1</v>
      </c>
      <c r="R4114">
        <f t="shared" si="320"/>
        <v>0</v>
      </c>
      <c r="S4114">
        <f t="shared" si="321"/>
        <v>1</v>
      </c>
      <c r="T4114">
        <f t="shared" si="322"/>
        <v>0</v>
      </c>
      <c r="U4114">
        <f t="shared" si="323"/>
        <v>0</v>
      </c>
      <c r="V4114">
        <f t="shared" si="324"/>
        <v>0</v>
      </c>
    </row>
    <row r="4115" spans="1:22" x14ac:dyDescent="0.25">
      <c r="A4115">
        <v>4112</v>
      </c>
      <c r="B4115" t="s">
        <v>26</v>
      </c>
      <c r="C4115" t="s">
        <v>1218</v>
      </c>
      <c r="D4115" s="4">
        <v>45478</v>
      </c>
      <c r="E4115" t="s">
        <v>2329</v>
      </c>
      <c r="F4115" t="s">
        <v>75</v>
      </c>
      <c r="I4115" s="6">
        <v>0</v>
      </c>
      <c r="J4115" s="6">
        <v>0</v>
      </c>
      <c r="K4115" s="6">
        <v>0</v>
      </c>
      <c r="L4115" s="6">
        <v>0</v>
      </c>
      <c r="M4115" s="6">
        <v>0</v>
      </c>
      <c r="N4115" s="6">
        <v>0</v>
      </c>
      <c r="O4115" s="6">
        <v>0</v>
      </c>
      <c r="P4115" s="6">
        <v>0</v>
      </c>
      <c r="Q4115">
        <v>1</v>
      </c>
      <c r="R4115">
        <f t="shared" si="320"/>
        <v>0</v>
      </c>
      <c r="S4115">
        <f t="shared" si="321"/>
        <v>1</v>
      </c>
      <c r="T4115">
        <f t="shared" si="322"/>
        <v>0</v>
      </c>
      <c r="U4115">
        <f t="shared" si="323"/>
        <v>0</v>
      </c>
      <c r="V4115">
        <f t="shared" si="324"/>
        <v>0</v>
      </c>
    </row>
    <row r="4116" spans="1:22" x14ac:dyDescent="0.25">
      <c r="A4116">
        <v>4113</v>
      </c>
      <c r="B4116" t="s">
        <v>26</v>
      </c>
      <c r="C4116" t="s">
        <v>1218</v>
      </c>
      <c r="D4116" s="4">
        <v>45478</v>
      </c>
      <c r="E4116" t="s">
        <v>1448</v>
      </c>
      <c r="F4116" t="s">
        <v>75</v>
      </c>
      <c r="H4116" t="s">
        <v>1449</v>
      </c>
      <c r="I4116" s="6">
        <v>0</v>
      </c>
      <c r="J4116" s="6">
        <v>0</v>
      </c>
      <c r="K4116" s="6">
        <v>0</v>
      </c>
      <c r="L4116" s="6">
        <v>0</v>
      </c>
      <c r="M4116" s="6">
        <v>0</v>
      </c>
      <c r="N4116" s="6">
        <v>0</v>
      </c>
      <c r="O4116" s="6">
        <v>0</v>
      </c>
      <c r="P4116" s="6">
        <v>0</v>
      </c>
      <c r="Q4116">
        <v>1</v>
      </c>
      <c r="R4116">
        <f t="shared" si="320"/>
        <v>0</v>
      </c>
      <c r="S4116">
        <f t="shared" si="321"/>
        <v>1</v>
      </c>
      <c r="T4116">
        <f t="shared" si="322"/>
        <v>0</v>
      </c>
      <c r="U4116">
        <f t="shared" si="323"/>
        <v>0</v>
      </c>
      <c r="V4116">
        <f t="shared" si="324"/>
        <v>0</v>
      </c>
    </row>
    <row r="4117" spans="1:22" x14ac:dyDescent="0.25">
      <c r="A4117">
        <v>4114</v>
      </c>
      <c r="B4117" t="s">
        <v>26</v>
      </c>
      <c r="C4117" t="s">
        <v>1218</v>
      </c>
      <c r="D4117" s="4">
        <v>45478</v>
      </c>
      <c r="E4117" t="s">
        <v>2328</v>
      </c>
      <c r="F4117" t="s">
        <v>75</v>
      </c>
      <c r="I4117" s="6"/>
      <c r="J4117" s="6"/>
      <c r="K4117" s="6"/>
      <c r="L4117" s="6"/>
      <c r="M4117" s="6"/>
      <c r="N4117" s="6"/>
      <c r="O4117" s="6"/>
      <c r="P4117" s="6"/>
      <c r="Q4117">
        <v>0</v>
      </c>
      <c r="R4117">
        <f t="shared" si="320"/>
        <v>0</v>
      </c>
      <c r="S4117">
        <f t="shared" si="321"/>
        <v>0</v>
      </c>
      <c r="T4117">
        <f t="shared" si="322"/>
        <v>0</v>
      </c>
      <c r="U4117">
        <f t="shared" si="323"/>
        <v>0</v>
      </c>
      <c r="V4117">
        <f t="shared" si="324"/>
        <v>0</v>
      </c>
    </row>
    <row r="4118" spans="1:22" x14ac:dyDescent="0.25">
      <c r="A4118">
        <v>4115</v>
      </c>
      <c r="B4118" t="s">
        <v>26</v>
      </c>
      <c r="C4118" t="s">
        <v>1218</v>
      </c>
      <c r="D4118" s="4">
        <v>45478</v>
      </c>
      <c r="E4118" t="s">
        <v>2327</v>
      </c>
      <c r="F4118" t="s">
        <v>75</v>
      </c>
      <c r="I4118" s="6">
        <v>0</v>
      </c>
      <c r="J4118" s="6">
        <v>0</v>
      </c>
      <c r="K4118" s="6">
        <v>0</v>
      </c>
      <c r="L4118" s="6">
        <v>0</v>
      </c>
      <c r="M4118" s="6">
        <v>0</v>
      </c>
      <c r="N4118" s="6">
        <v>0</v>
      </c>
      <c r="O4118" s="6">
        <v>0</v>
      </c>
      <c r="P4118" s="6">
        <v>0</v>
      </c>
      <c r="Q4118">
        <v>1</v>
      </c>
      <c r="R4118">
        <f t="shared" si="320"/>
        <v>0</v>
      </c>
      <c r="S4118">
        <f t="shared" si="321"/>
        <v>1</v>
      </c>
      <c r="T4118">
        <f t="shared" si="322"/>
        <v>0</v>
      </c>
      <c r="U4118">
        <f t="shared" si="323"/>
        <v>0</v>
      </c>
      <c r="V4118">
        <f t="shared" si="324"/>
        <v>0</v>
      </c>
    </row>
    <row r="4119" spans="1:22" x14ac:dyDescent="0.25">
      <c r="A4119">
        <v>4116</v>
      </c>
      <c r="B4119" t="s">
        <v>26</v>
      </c>
      <c r="C4119" t="s">
        <v>1218</v>
      </c>
      <c r="D4119" s="4">
        <v>45478</v>
      </c>
      <c r="E4119" t="s">
        <v>2326</v>
      </c>
      <c r="F4119" t="s">
        <v>75</v>
      </c>
      <c r="I4119" s="6"/>
      <c r="J4119" s="6"/>
      <c r="K4119" s="6"/>
      <c r="L4119" s="6"/>
      <c r="M4119" s="6"/>
      <c r="N4119" s="6"/>
      <c r="O4119" s="6"/>
      <c r="P4119" s="6"/>
      <c r="Q4119">
        <v>0</v>
      </c>
      <c r="R4119">
        <f t="shared" si="320"/>
        <v>0</v>
      </c>
      <c r="S4119">
        <f t="shared" si="321"/>
        <v>0</v>
      </c>
      <c r="T4119">
        <f t="shared" si="322"/>
        <v>0</v>
      </c>
      <c r="U4119">
        <f t="shared" si="323"/>
        <v>0</v>
      </c>
      <c r="V4119">
        <f t="shared" si="324"/>
        <v>0</v>
      </c>
    </row>
    <row r="4120" spans="1:22" x14ac:dyDescent="0.25">
      <c r="A4120">
        <v>4117</v>
      </c>
      <c r="B4120" t="s">
        <v>26</v>
      </c>
      <c r="C4120" t="s">
        <v>1218</v>
      </c>
      <c r="D4120" s="4">
        <v>45478</v>
      </c>
      <c r="E4120" t="s">
        <v>1270</v>
      </c>
      <c r="F4120" t="s">
        <v>75</v>
      </c>
      <c r="I4120" s="6"/>
      <c r="J4120" s="6"/>
      <c r="K4120" s="6"/>
      <c r="L4120" s="6"/>
      <c r="M4120" s="6"/>
      <c r="N4120" s="6"/>
      <c r="O4120" s="6"/>
      <c r="P4120" s="6"/>
      <c r="Q4120">
        <v>0</v>
      </c>
      <c r="R4120">
        <f t="shared" si="320"/>
        <v>0</v>
      </c>
      <c r="S4120">
        <f t="shared" si="321"/>
        <v>0</v>
      </c>
      <c r="T4120">
        <f t="shared" si="322"/>
        <v>0</v>
      </c>
      <c r="U4120">
        <f t="shared" si="323"/>
        <v>0</v>
      </c>
      <c r="V4120">
        <f t="shared" si="324"/>
        <v>0</v>
      </c>
    </row>
    <row r="4121" spans="1:22" x14ac:dyDescent="0.25">
      <c r="A4121">
        <v>4118</v>
      </c>
      <c r="B4121" t="s">
        <v>26</v>
      </c>
      <c r="C4121" t="s">
        <v>1218</v>
      </c>
      <c r="D4121" s="4">
        <v>45478</v>
      </c>
      <c r="E4121" t="s">
        <v>2325</v>
      </c>
      <c r="F4121" t="s">
        <v>75</v>
      </c>
      <c r="I4121" s="6">
        <v>0</v>
      </c>
      <c r="J4121" s="6">
        <v>0</v>
      </c>
      <c r="K4121" s="6">
        <v>1</v>
      </c>
      <c r="L4121" s="6">
        <v>0</v>
      </c>
      <c r="M4121" s="6">
        <v>0</v>
      </c>
      <c r="N4121" s="6">
        <v>0</v>
      </c>
      <c r="O4121" s="6">
        <v>0</v>
      </c>
      <c r="P4121" s="6">
        <v>0</v>
      </c>
      <c r="Q4121">
        <v>1</v>
      </c>
      <c r="R4121">
        <f t="shared" si="320"/>
        <v>0</v>
      </c>
      <c r="S4121">
        <f t="shared" si="321"/>
        <v>1</v>
      </c>
      <c r="T4121">
        <f t="shared" si="322"/>
        <v>1</v>
      </c>
      <c r="U4121">
        <f t="shared" si="323"/>
        <v>1</v>
      </c>
      <c r="V4121">
        <f t="shared" si="324"/>
        <v>0</v>
      </c>
    </row>
    <row r="4122" spans="1:22" x14ac:dyDescent="0.25">
      <c r="A4122">
        <v>4119</v>
      </c>
      <c r="B4122" t="s">
        <v>26</v>
      </c>
      <c r="C4122" t="s">
        <v>1218</v>
      </c>
      <c r="D4122" s="4">
        <v>45478</v>
      </c>
      <c r="E4122" t="s">
        <v>2324</v>
      </c>
      <c r="F4122" t="s">
        <v>75</v>
      </c>
      <c r="I4122" s="6">
        <v>0</v>
      </c>
      <c r="J4122" s="6">
        <v>0</v>
      </c>
      <c r="K4122" s="6">
        <v>0</v>
      </c>
      <c r="L4122" s="6">
        <v>0</v>
      </c>
      <c r="M4122" s="6">
        <v>0</v>
      </c>
      <c r="N4122" s="6">
        <v>0</v>
      </c>
      <c r="O4122" s="6">
        <v>0</v>
      </c>
      <c r="P4122" s="6">
        <v>0</v>
      </c>
      <c r="Q4122">
        <v>1</v>
      </c>
      <c r="R4122">
        <f t="shared" si="320"/>
        <v>0</v>
      </c>
      <c r="S4122">
        <f t="shared" si="321"/>
        <v>1</v>
      </c>
      <c r="T4122">
        <f t="shared" si="322"/>
        <v>0</v>
      </c>
      <c r="U4122">
        <f t="shared" si="323"/>
        <v>0</v>
      </c>
      <c r="V4122">
        <f t="shared" si="324"/>
        <v>0</v>
      </c>
    </row>
    <row r="4123" spans="1:22" x14ac:dyDescent="0.25">
      <c r="A4123">
        <v>4120</v>
      </c>
      <c r="B4123" t="s">
        <v>26</v>
      </c>
      <c r="C4123" t="s">
        <v>1218</v>
      </c>
      <c r="D4123" s="4">
        <v>45478</v>
      </c>
      <c r="E4123" t="s">
        <v>1450</v>
      </c>
      <c r="F4123" t="s">
        <v>75</v>
      </c>
      <c r="I4123" s="6">
        <v>0</v>
      </c>
      <c r="J4123" s="6">
        <v>0</v>
      </c>
      <c r="K4123" s="6">
        <v>0</v>
      </c>
      <c r="L4123" s="6">
        <v>0</v>
      </c>
      <c r="M4123" s="6">
        <v>0</v>
      </c>
      <c r="N4123" s="6">
        <v>0</v>
      </c>
      <c r="O4123" s="6">
        <v>0</v>
      </c>
      <c r="P4123" s="6">
        <v>0</v>
      </c>
      <c r="Q4123">
        <v>1</v>
      </c>
      <c r="R4123">
        <f t="shared" si="320"/>
        <v>0</v>
      </c>
      <c r="S4123">
        <f t="shared" si="321"/>
        <v>1</v>
      </c>
      <c r="T4123">
        <f t="shared" si="322"/>
        <v>0</v>
      </c>
      <c r="U4123">
        <f t="shared" si="323"/>
        <v>0</v>
      </c>
      <c r="V4123">
        <f t="shared" si="324"/>
        <v>0</v>
      </c>
    </row>
    <row r="4124" spans="1:22" x14ac:dyDescent="0.25">
      <c r="A4124">
        <v>4121</v>
      </c>
      <c r="B4124" t="s">
        <v>26</v>
      </c>
      <c r="C4124" t="s">
        <v>1218</v>
      </c>
      <c r="D4124" s="4">
        <v>45478</v>
      </c>
      <c r="E4124" t="s">
        <v>1451</v>
      </c>
      <c r="F4124" t="s">
        <v>357</v>
      </c>
      <c r="I4124" s="6">
        <v>0</v>
      </c>
      <c r="J4124" s="6">
        <v>0</v>
      </c>
      <c r="K4124" s="6">
        <v>0</v>
      </c>
      <c r="L4124" s="6">
        <v>0</v>
      </c>
      <c r="M4124" s="6">
        <v>0</v>
      </c>
      <c r="N4124" s="6">
        <v>0</v>
      </c>
      <c r="O4124" s="6">
        <v>0</v>
      </c>
      <c r="P4124" s="6">
        <v>0</v>
      </c>
      <c r="Q4124">
        <v>1</v>
      </c>
      <c r="R4124">
        <f t="shared" si="320"/>
        <v>0</v>
      </c>
      <c r="S4124">
        <f t="shared" si="321"/>
        <v>0</v>
      </c>
      <c r="T4124">
        <f t="shared" si="322"/>
        <v>0</v>
      </c>
      <c r="U4124">
        <f t="shared" si="323"/>
        <v>0</v>
      </c>
      <c r="V4124">
        <f t="shared" si="324"/>
        <v>0</v>
      </c>
    </row>
    <row r="4125" spans="1:22" x14ac:dyDescent="0.25">
      <c r="A4125">
        <v>4122</v>
      </c>
      <c r="B4125" t="s">
        <v>26</v>
      </c>
      <c r="C4125" t="s">
        <v>1218</v>
      </c>
      <c r="D4125" s="4">
        <v>45478</v>
      </c>
      <c r="E4125" t="s">
        <v>2323</v>
      </c>
      <c r="F4125" t="s">
        <v>75</v>
      </c>
      <c r="I4125" s="6"/>
      <c r="J4125" s="6"/>
      <c r="K4125" s="6"/>
      <c r="L4125" s="6"/>
      <c r="M4125" s="6"/>
      <c r="N4125" s="6"/>
      <c r="O4125" s="6"/>
      <c r="P4125" s="6"/>
      <c r="Q4125">
        <v>0</v>
      </c>
      <c r="R4125">
        <f t="shared" si="320"/>
        <v>0</v>
      </c>
      <c r="S4125">
        <f t="shared" si="321"/>
        <v>0</v>
      </c>
      <c r="T4125">
        <f t="shared" si="322"/>
        <v>0</v>
      </c>
      <c r="U4125">
        <f t="shared" si="323"/>
        <v>0</v>
      </c>
      <c r="V4125">
        <f t="shared" si="324"/>
        <v>0</v>
      </c>
    </row>
    <row r="4126" spans="1:22" x14ac:dyDescent="0.25">
      <c r="A4126">
        <v>4123</v>
      </c>
      <c r="B4126" t="s">
        <v>26</v>
      </c>
      <c r="C4126" t="s">
        <v>1218</v>
      </c>
      <c r="D4126" s="4">
        <v>45478</v>
      </c>
      <c r="E4126" t="s">
        <v>2322</v>
      </c>
      <c r="F4126" t="s">
        <v>75</v>
      </c>
      <c r="I4126" s="6"/>
      <c r="J4126" s="6"/>
      <c r="K4126" s="6"/>
      <c r="L4126" s="6"/>
      <c r="M4126" s="6"/>
      <c r="N4126" s="6"/>
      <c r="O4126" s="6"/>
      <c r="P4126" s="6"/>
      <c r="Q4126">
        <v>0</v>
      </c>
      <c r="R4126">
        <f t="shared" si="320"/>
        <v>0</v>
      </c>
      <c r="S4126">
        <f t="shared" si="321"/>
        <v>0</v>
      </c>
      <c r="T4126">
        <f t="shared" si="322"/>
        <v>0</v>
      </c>
      <c r="U4126">
        <f t="shared" si="323"/>
        <v>0</v>
      </c>
      <c r="V4126">
        <f t="shared" si="324"/>
        <v>0</v>
      </c>
    </row>
    <row r="4127" spans="1:22" x14ac:dyDescent="0.25">
      <c r="A4127">
        <v>4124</v>
      </c>
      <c r="B4127" t="s">
        <v>26</v>
      </c>
      <c r="C4127" t="s">
        <v>1218</v>
      </c>
      <c r="D4127" s="4">
        <v>45478</v>
      </c>
      <c r="E4127" t="s">
        <v>1452</v>
      </c>
      <c r="F4127" t="s">
        <v>75</v>
      </c>
      <c r="I4127" s="6">
        <v>0</v>
      </c>
      <c r="J4127" s="6">
        <v>0</v>
      </c>
      <c r="K4127" s="6">
        <v>1</v>
      </c>
      <c r="L4127" s="6">
        <v>0</v>
      </c>
      <c r="M4127" s="6">
        <v>0</v>
      </c>
      <c r="N4127" s="6">
        <v>0</v>
      </c>
      <c r="O4127" s="6">
        <v>1</v>
      </c>
      <c r="P4127" s="6">
        <v>0</v>
      </c>
      <c r="Q4127">
        <v>1</v>
      </c>
      <c r="R4127">
        <f t="shared" si="320"/>
        <v>0</v>
      </c>
      <c r="S4127">
        <f t="shared" si="321"/>
        <v>1</v>
      </c>
      <c r="T4127">
        <f t="shared" si="322"/>
        <v>2</v>
      </c>
      <c r="U4127">
        <f t="shared" si="323"/>
        <v>1</v>
      </c>
      <c r="V4127">
        <f t="shared" si="324"/>
        <v>0</v>
      </c>
    </row>
    <row r="4128" spans="1:22" x14ac:dyDescent="0.25">
      <c r="A4128">
        <v>4125</v>
      </c>
      <c r="B4128" t="s">
        <v>26</v>
      </c>
      <c r="C4128" t="s">
        <v>1218</v>
      </c>
      <c r="D4128" s="4">
        <v>45479</v>
      </c>
      <c r="E4128" t="s">
        <v>1453</v>
      </c>
      <c r="F4128" t="s">
        <v>75</v>
      </c>
      <c r="I4128" s="6">
        <v>0</v>
      </c>
      <c r="J4128" s="6">
        <v>1</v>
      </c>
      <c r="K4128" s="6">
        <v>0</v>
      </c>
      <c r="L4128" s="6">
        <v>1</v>
      </c>
      <c r="M4128" s="6">
        <v>0</v>
      </c>
      <c r="N4128" s="6">
        <v>0</v>
      </c>
      <c r="O4128" s="6">
        <v>0</v>
      </c>
      <c r="P4128" s="6">
        <v>0</v>
      </c>
      <c r="Q4128">
        <v>1</v>
      </c>
      <c r="R4128">
        <f t="shared" si="320"/>
        <v>0</v>
      </c>
      <c r="S4128">
        <f t="shared" si="321"/>
        <v>1</v>
      </c>
      <c r="T4128">
        <f t="shared" si="322"/>
        <v>2</v>
      </c>
      <c r="U4128">
        <f t="shared" si="323"/>
        <v>1</v>
      </c>
      <c r="V4128">
        <f t="shared" si="324"/>
        <v>0</v>
      </c>
    </row>
    <row r="4129" spans="1:22" x14ac:dyDescent="0.25">
      <c r="A4129">
        <v>4126</v>
      </c>
      <c r="B4129" t="s">
        <v>26</v>
      </c>
      <c r="C4129" t="s">
        <v>1218</v>
      </c>
      <c r="D4129" s="4">
        <v>45479</v>
      </c>
      <c r="E4129" t="s">
        <v>2321</v>
      </c>
      <c r="F4129" t="s">
        <v>75</v>
      </c>
      <c r="I4129" s="6"/>
      <c r="J4129" s="6"/>
      <c r="K4129" s="6"/>
      <c r="L4129" s="6"/>
      <c r="M4129" s="6"/>
      <c r="N4129" s="6"/>
      <c r="O4129" s="6"/>
      <c r="P4129" s="6"/>
      <c r="Q4129">
        <v>0</v>
      </c>
      <c r="R4129">
        <f t="shared" si="320"/>
        <v>0</v>
      </c>
      <c r="S4129">
        <f t="shared" si="321"/>
        <v>0</v>
      </c>
      <c r="T4129">
        <f t="shared" si="322"/>
        <v>0</v>
      </c>
      <c r="U4129">
        <f t="shared" si="323"/>
        <v>0</v>
      </c>
      <c r="V4129">
        <f t="shared" si="324"/>
        <v>0</v>
      </c>
    </row>
    <row r="4130" spans="1:22" x14ac:dyDescent="0.25">
      <c r="A4130">
        <v>4127</v>
      </c>
      <c r="B4130" t="s">
        <v>26</v>
      </c>
      <c r="C4130" t="s">
        <v>1218</v>
      </c>
      <c r="D4130" s="4">
        <v>45479</v>
      </c>
      <c r="E4130" t="s">
        <v>2320</v>
      </c>
      <c r="F4130" t="s">
        <v>75</v>
      </c>
      <c r="I4130" s="6"/>
      <c r="J4130" s="6"/>
      <c r="K4130" s="6"/>
      <c r="L4130" s="6"/>
      <c r="M4130" s="6"/>
      <c r="N4130" s="6"/>
      <c r="O4130" s="6"/>
      <c r="P4130" s="6"/>
      <c r="Q4130">
        <v>0</v>
      </c>
      <c r="R4130">
        <f t="shared" si="320"/>
        <v>0</v>
      </c>
      <c r="S4130">
        <f t="shared" si="321"/>
        <v>0</v>
      </c>
      <c r="T4130">
        <f t="shared" si="322"/>
        <v>0</v>
      </c>
      <c r="U4130">
        <f t="shared" si="323"/>
        <v>0</v>
      </c>
      <c r="V4130">
        <f t="shared" si="324"/>
        <v>0</v>
      </c>
    </row>
    <row r="4131" spans="1:22" x14ac:dyDescent="0.25">
      <c r="A4131">
        <v>4128</v>
      </c>
      <c r="B4131" t="s">
        <v>26</v>
      </c>
      <c r="C4131" t="s">
        <v>1218</v>
      </c>
      <c r="D4131" s="4">
        <v>45479</v>
      </c>
      <c r="E4131" t="s">
        <v>2319</v>
      </c>
      <c r="F4131" t="s">
        <v>75</v>
      </c>
      <c r="I4131" s="6"/>
      <c r="J4131" s="6"/>
      <c r="K4131" s="6"/>
      <c r="L4131" s="6"/>
      <c r="M4131" s="6"/>
      <c r="N4131" s="6"/>
      <c r="O4131" s="6"/>
      <c r="P4131" s="6"/>
      <c r="Q4131">
        <v>0</v>
      </c>
      <c r="R4131">
        <f t="shared" si="320"/>
        <v>0</v>
      </c>
      <c r="S4131">
        <f t="shared" si="321"/>
        <v>0</v>
      </c>
      <c r="T4131">
        <f t="shared" si="322"/>
        <v>0</v>
      </c>
      <c r="U4131">
        <f t="shared" si="323"/>
        <v>0</v>
      </c>
      <c r="V4131">
        <f t="shared" si="324"/>
        <v>0</v>
      </c>
    </row>
    <row r="4132" spans="1:22" x14ac:dyDescent="0.25">
      <c r="A4132">
        <v>4129</v>
      </c>
      <c r="B4132" t="s">
        <v>26</v>
      </c>
      <c r="C4132" t="s">
        <v>1218</v>
      </c>
      <c r="D4132" s="4">
        <v>45479</v>
      </c>
      <c r="E4132" t="s">
        <v>2318</v>
      </c>
      <c r="F4132" t="s">
        <v>75</v>
      </c>
      <c r="I4132" s="6"/>
      <c r="J4132" s="6"/>
      <c r="K4132" s="6"/>
      <c r="L4132" s="6"/>
      <c r="M4132" s="6"/>
      <c r="N4132" s="6"/>
      <c r="O4132" s="6"/>
      <c r="P4132" s="6"/>
      <c r="Q4132">
        <v>0</v>
      </c>
      <c r="R4132">
        <f t="shared" si="320"/>
        <v>0</v>
      </c>
      <c r="S4132">
        <f t="shared" si="321"/>
        <v>0</v>
      </c>
      <c r="T4132">
        <f t="shared" si="322"/>
        <v>0</v>
      </c>
      <c r="U4132">
        <f t="shared" si="323"/>
        <v>0</v>
      </c>
      <c r="V4132">
        <f t="shared" si="324"/>
        <v>0</v>
      </c>
    </row>
    <row r="4133" spans="1:22" x14ac:dyDescent="0.25">
      <c r="A4133">
        <v>4130</v>
      </c>
      <c r="B4133" t="s">
        <v>26</v>
      </c>
      <c r="C4133" t="s">
        <v>1218</v>
      </c>
      <c r="D4133" s="4">
        <v>45479</v>
      </c>
      <c r="E4133" t="s">
        <v>2317</v>
      </c>
      <c r="F4133" t="s">
        <v>75</v>
      </c>
      <c r="I4133" s="6"/>
      <c r="J4133" s="6"/>
      <c r="K4133" s="6"/>
      <c r="L4133" s="6"/>
      <c r="M4133" s="6"/>
      <c r="N4133" s="6"/>
      <c r="O4133" s="6"/>
      <c r="P4133" s="6"/>
      <c r="Q4133">
        <v>0</v>
      </c>
      <c r="R4133">
        <f t="shared" si="320"/>
        <v>0</v>
      </c>
      <c r="S4133">
        <f t="shared" si="321"/>
        <v>0</v>
      </c>
      <c r="T4133">
        <f t="shared" si="322"/>
        <v>0</v>
      </c>
      <c r="U4133">
        <f t="shared" si="323"/>
        <v>0</v>
      </c>
      <c r="V4133">
        <f t="shared" si="324"/>
        <v>0</v>
      </c>
    </row>
    <row r="4134" spans="1:22" x14ac:dyDescent="0.25">
      <c r="A4134">
        <v>4131</v>
      </c>
      <c r="B4134" t="s">
        <v>26</v>
      </c>
      <c r="C4134" t="s">
        <v>1218</v>
      </c>
      <c r="D4134" s="4">
        <v>45479</v>
      </c>
      <c r="E4134" t="s">
        <v>1454</v>
      </c>
      <c r="F4134" t="s">
        <v>413</v>
      </c>
      <c r="G4134">
        <v>217</v>
      </c>
      <c r="I4134" s="6">
        <v>0</v>
      </c>
      <c r="J4134" s="6">
        <v>0</v>
      </c>
      <c r="K4134" s="6">
        <v>0</v>
      </c>
      <c r="L4134" s="6">
        <v>0</v>
      </c>
      <c r="M4134" s="6">
        <v>0</v>
      </c>
      <c r="N4134" s="6">
        <v>0</v>
      </c>
      <c r="O4134" s="6">
        <v>0</v>
      </c>
      <c r="P4134" s="6">
        <v>0</v>
      </c>
      <c r="Q4134">
        <v>1</v>
      </c>
      <c r="R4134">
        <f t="shared" si="320"/>
        <v>1</v>
      </c>
      <c r="S4134">
        <f t="shared" si="321"/>
        <v>0</v>
      </c>
      <c r="T4134">
        <f t="shared" si="322"/>
        <v>0</v>
      </c>
      <c r="U4134">
        <f t="shared" si="323"/>
        <v>0</v>
      </c>
      <c r="V4134">
        <f t="shared" si="324"/>
        <v>1</v>
      </c>
    </row>
    <row r="4135" spans="1:22" x14ac:dyDescent="0.25">
      <c r="A4135">
        <v>4132</v>
      </c>
      <c r="B4135" t="s">
        <v>26</v>
      </c>
      <c r="C4135" t="s">
        <v>1218</v>
      </c>
      <c r="D4135" s="4">
        <v>45479</v>
      </c>
      <c r="E4135" t="s">
        <v>2316</v>
      </c>
      <c r="F4135" t="s">
        <v>75</v>
      </c>
      <c r="I4135" s="6"/>
      <c r="J4135" s="6"/>
      <c r="K4135" s="6"/>
      <c r="L4135" s="6"/>
      <c r="M4135" s="6"/>
      <c r="N4135" s="6"/>
      <c r="O4135" s="6"/>
      <c r="P4135" s="6"/>
      <c r="Q4135">
        <v>0</v>
      </c>
      <c r="R4135">
        <f t="shared" si="320"/>
        <v>0</v>
      </c>
      <c r="S4135">
        <f t="shared" si="321"/>
        <v>0</v>
      </c>
      <c r="T4135">
        <f t="shared" si="322"/>
        <v>0</v>
      </c>
      <c r="U4135">
        <f t="shared" si="323"/>
        <v>0</v>
      </c>
      <c r="V4135">
        <f t="shared" si="324"/>
        <v>0</v>
      </c>
    </row>
    <row r="4136" spans="1:22" x14ac:dyDescent="0.25">
      <c r="A4136">
        <v>4133</v>
      </c>
      <c r="B4136" t="s">
        <v>26</v>
      </c>
      <c r="C4136" t="s">
        <v>1218</v>
      </c>
      <c r="D4136" s="4">
        <v>45479</v>
      </c>
      <c r="E4136" t="s">
        <v>2315</v>
      </c>
      <c r="F4136" t="s">
        <v>75</v>
      </c>
      <c r="I4136" s="6"/>
      <c r="J4136" s="6"/>
      <c r="K4136" s="6"/>
      <c r="L4136" s="6"/>
      <c r="M4136" s="6"/>
      <c r="N4136" s="6"/>
      <c r="O4136" s="6"/>
      <c r="P4136" s="6"/>
      <c r="Q4136">
        <v>0</v>
      </c>
      <c r="R4136">
        <f t="shared" si="320"/>
        <v>0</v>
      </c>
      <c r="S4136">
        <f t="shared" si="321"/>
        <v>0</v>
      </c>
      <c r="T4136">
        <f t="shared" si="322"/>
        <v>0</v>
      </c>
      <c r="U4136">
        <f t="shared" si="323"/>
        <v>0</v>
      </c>
      <c r="V4136">
        <f t="shared" si="324"/>
        <v>0</v>
      </c>
    </row>
    <row r="4137" spans="1:22" x14ac:dyDescent="0.25">
      <c r="A4137">
        <v>4134</v>
      </c>
      <c r="B4137" t="s">
        <v>30</v>
      </c>
      <c r="C4137" t="s">
        <v>1455</v>
      </c>
      <c r="D4137" s="4">
        <v>45329</v>
      </c>
      <c r="E4137" t="s">
        <v>403</v>
      </c>
      <c r="F4137" t="s">
        <v>75</v>
      </c>
      <c r="I4137" s="6">
        <v>1</v>
      </c>
      <c r="J4137" s="6">
        <v>0</v>
      </c>
      <c r="K4137" s="6">
        <v>1</v>
      </c>
      <c r="L4137" s="6">
        <v>0</v>
      </c>
      <c r="M4137" s="6">
        <v>0</v>
      </c>
      <c r="N4137" s="6">
        <v>0</v>
      </c>
      <c r="O4137" s="6">
        <v>0</v>
      </c>
      <c r="P4137" s="6">
        <v>0</v>
      </c>
      <c r="Q4137">
        <v>1</v>
      </c>
      <c r="R4137">
        <f t="shared" si="320"/>
        <v>0</v>
      </c>
      <c r="S4137">
        <f t="shared" si="321"/>
        <v>1</v>
      </c>
      <c r="T4137">
        <f t="shared" si="322"/>
        <v>2</v>
      </c>
      <c r="U4137">
        <f t="shared" si="323"/>
        <v>1</v>
      </c>
      <c r="V4137">
        <f t="shared" si="324"/>
        <v>0</v>
      </c>
    </row>
    <row r="4138" spans="1:22" x14ac:dyDescent="0.25">
      <c r="A4138">
        <v>4135</v>
      </c>
      <c r="B4138" t="s">
        <v>30</v>
      </c>
      <c r="C4138" t="s">
        <v>1455</v>
      </c>
      <c r="D4138" s="4">
        <v>45329</v>
      </c>
      <c r="E4138" t="s">
        <v>404</v>
      </c>
      <c r="F4138" t="s">
        <v>75</v>
      </c>
      <c r="I4138" s="6">
        <v>0</v>
      </c>
      <c r="J4138" s="6">
        <v>0</v>
      </c>
      <c r="K4138" s="6">
        <v>0</v>
      </c>
      <c r="L4138" s="6">
        <v>0</v>
      </c>
      <c r="M4138" s="6">
        <v>0</v>
      </c>
      <c r="N4138" s="6">
        <v>0</v>
      </c>
      <c r="O4138" s="6">
        <v>0</v>
      </c>
      <c r="P4138" s="6">
        <v>0</v>
      </c>
      <c r="Q4138">
        <v>1</v>
      </c>
      <c r="R4138">
        <f t="shared" si="320"/>
        <v>0</v>
      </c>
      <c r="S4138">
        <f t="shared" si="321"/>
        <v>1</v>
      </c>
      <c r="T4138">
        <f t="shared" si="322"/>
        <v>0</v>
      </c>
      <c r="U4138">
        <f t="shared" si="323"/>
        <v>0</v>
      </c>
      <c r="V4138">
        <f t="shared" si="324"/>
        <v>0</v>
      </c>
    </row>
    <row r="4139" spans="1:22" x14ac:dyDescent="0.25">
      <c r="A4139">
        <v>4136</v>
      </c>
      <c r="B4139" t="s">
        <v>30</v>
      </c>
      <c r="C4139" t="s">
        <v>1455</v>
      </c>
      <c r="D4139" s="4">
        <v>45329</v>
      </c>
      <c r="E4139" t="s">
        <v>405</v>
      </c>
      <c r="F4139" t="s">
        <v>413</v>
      </c>
      <c r="G4139">
        <v>285</v>
      </c>
      <c r="I4139" s="6">
        <v>1</v>
      </c>
      <c r="J4139" s="6">
        <v>0</v>
      </c>
      <c r="K4139" s="6">
        <v>1</v>
      </c>
      <c r="L4139" s="6">
        <v>0</v>
      </c>
      <c r="M4139" s="6">
        <v>0</v>
      </c>
      <c r="N4139" s="6">
        <v>0</v>
      </c>
      <c r="O4139" s="6">
        <v>0</v>
      </c>
      <c r="P4139" s="6">
        <v>0</v>
      </c>
      <c r="Q4139">
        <v>1</v>
      </c>
      <c r="R4139">
        <f t="shared" si="320"/>
        <v>1</v>
      </c>
      <c r="S4139">
        <f t="shared" si="321"/>
        <v>0</v>
      </c>
      <c r="T4139">
        <f t="shared" si="322"/>
        <v>2</v>
      </c>
      <c r="U4139">
        <f t="shared" si="323"/>
        <v>1</v>
      </c>
      <c r="V4139">
        <f t="shared" si="324"/>
        <v>1</v>
      </c>
    </row>
    <row r="4140" spans="1:22" x14ac:dyDescent="0.25">
      <c r="A4140">
        <v>4137</v>
      </c>
      <c r="B4140" t="s">
        <v>30</v>
      </c>
      <c r="C4140" t="s">
        <v>1455</v>
      </c>
      <c r="D4140" s="4">
        <v>45329</v>
      </c>
      <c r="E4140" t="s">
        <v>1501</v>
      </c>
      <c r="F4140" t="s">
        <v>75</v>
      </c>
      <c r="I4140" s="6">
        <v>0</v>
      </c>
      <c r="J4140" s="6">
        <v>0</v>
      </c>
      <c r="K4140" s="6">
        <v>1</v>
      </c>
      <c r="L4140" s="6">
        <v>0</v>
      </c>
      <c r="M4140" s="6">
        <v>0</v>
      </c>
      <c r="N4140" s="6">
        <v>0</v>
      </c>
      <c r="O4140" s="6">
        <v>0</v>
      </c>
      <c r="P4140" s="6">
        <v>0</v>
      </c>
      <c r="Q4140">
        <v>1</v>
      </c>
      <c r="R4140">
        <f t="shared" si="320"/>
        <v>0</v>
      </c>
      <c r="S4140">
        <f t="shared" si="321"/>
        <v>1</v>
      </c>
      <c r="T4140">
        <f t="shared" si="322"/>
        <v>1</v>
      </c>
      <c r="U4140">
        <f t="shared" si="323"/>
        <v>1</v>
      </c>
      <c r="V4140">
        <f t="shared" si="324"/>
        <v>0</v>
      </c>
    </row>
    <row r="4141" spans="1:22" x14ac:dyDescent="0.25">
      <c r="A4141">
        <v>4138</v>
      </c>
      <c r="B4141" t="s">
        <v>30</v>
      </c>
      <c r="C4141" t="s">
        <v>1455</v>
      </c>
      <c r="D4141" s="4">
        <v>45329</v>
      </c>
      <c r="E4141" t="s">
        <v>1456</v>
      </c>
      <c r="F4141" t="s">
        <v>75</v>
      </c>
      <c r="I4141" s="6">
        <v>1</v>
      </c>
      <c r="J4141" s="6">
        <v>0</v>
      </c>
      <c r="K4141" s="6">
        <v>1</v>
      </c>
      <c r="L4141" s="6">
        <v>0</v>
      </c>
      <c r="M4141" s="6">
        <v>0</v>
      </c>
      <c r="N4141" s="6">
        <v>0</v>
      </c>
      <c r="O4141" s="6">
        <v>0</v>
      </c>
      <c r="P4141" s="6">
        <v>0</v>
      </c>
      <c r="Q4141">
        <v>1</v>
      </c>
      <c r="R4141">
        <f t="shared" si="320"/>
        <v>0</v>
      </c>
      <c r="S4141">
        <f t="shared" si="321"/>
        <v>1</v>
      </c>
      <c r="T4141">
        <f t="shared" si="322"/>
        <v>2</v>
      </c>
      <c r="U4141">
        <f t="shared" si="323"/>
        <v>1</v>
      </c>
      <c r="V4141">
        <f t="shared" si="324"/>
        <v>0</v>
      </c>
    </row>
    <row r="4142" spans="1:22" x14ac:dyDescent="0.25">
      <c r="A4142">
        <v>4139</v>
      </c>
      <c r="B4142" t="s">
        <v>30</v>
      </c>
      <c r="C4142" t="s">
        <v>1455</v>
      </c>
      <c r="D4142" s="4">
        <v>45330</v>
      </c>
      <c r="E4142" t="s">
        <v>836</v>
      </c>
      <c r="F4142" t="s">
        <v>75</v>
      </c>
      <c r="I4142" s="6"/>
      <c r="J4142" s="6"/>
      <c r="K4142" s="6"/>
      <c r="L4142" s="6"/>
      <c r="M4142" s="6"/>
      <c r="N4142" s="6"/>
      <c r="O4142" s="6"/>
      <c r="P4142" s="6"/>
      <c r="Q4142">
        <v>0</v>
      </c>
      <c r="R4142">
        <f t="shared" si="320"/>
        <v>0</v>
      </c>
      <c r="S4142">
        <f t="shared" si="321"/>
        <v>0</v>
      </c>
      <c r="T4142">
        <f t="shared" si="322"/>
        <v>0</v>
      </c>
      <c r="U4142">
        <f t="shared" si="323"/>
        <v>0</v>
      </c>
      <c r="V4142">
        <f t="shared" si="324"/>
        <v>0</v>
      </c>
    </row>
    <row r="4143" spans="1:22" x14ac:dyDescent="0.25">
      <c r="A4143">
        <v>4140</v>
      </c>
      <c r="B4143" t="s">
        <v>30</v>
      </c>
      <c r="C4143" t="s">
        <v>1455</v>
      </c>
      <c r="D4143" s="4">
        <v>45330</v>
      </c>
      <c r="E4143" t="s">
        <v>406</v>
      </c>
      <c r="F4143" t="s">
        <v>75</v>
      </c>
      <c r="I4143" s="6">
        <v>1</v>
      </c>
      <c r="J4143" s="6">
        <v>0</v>
      </c>
      <c r="K4143" s="6">
        <v>1</v>
      </c>
      <c r="L4143" s="6">
        <v>0</v>
      </c>
      <c r="M4143" s="6">
        <v>1</v>
      </c>
      <c r="N4143" s="6">
        <v>0</v>
      </c>
      <c r="O4143" s="6">
        <v>0</v>
      </c>
      <c r="P4143" s="6">
        <v>0</v>
      </c>
      <c r="Q4143">
        <v>1</v>
      </c>
      <c r="R4143">
        <f t="shared" si="320"/>
        <v>0</v>
      </c>
      <c r="S4143">
        <f t="shared" si="321"/>
        <v>1</v>
      </c>
      <c r="T4143">
        <f t="shared" si="322"/>
        <v>3</v>
      </c>
      <c r="U4143">
        <f t="shared" si="323"/>
        <v>1</v>
      </c>
      <c r="V4143">
        <f t="shared" si="324"/>
        <v>0</v>
      </c>
    </row>
    <row r="4144" spans="1:22" x14ac:dyDescent="0.25">
      <c r="A4144">
        <v>4141</v>
      </c>
      <c r="B4144" t="s">
        <v>30</v>
      </c>
      <c r="C4144" t="s">
        <v>1455</v>
      </c>
      <c r="D4144" s="4">
        <v>45330</v>
      </c>
      <c r="E4144" t="s">
        <v>407</v>
      </c>
      <c r="F4144" t="s">
        <v>75</v>
      </c>
      <c r="I4144" s="6">
        <v>0</v>
      </c>
      <c r="J4144" s="6">
        <v>0</v>
      </c>
      <c r="K4144" s="6">
        <v>0</v>
      </c>
      <c r="L4144" s="6">
        <v>0</v>
      </c>
      <c r="M4144" s="6">
        <v>0</v>
      </c>
      <c r="N4144" s="6">
        <v>0</v>
      </c>
      <c r="O4144" s="6">
        <v>0</v>
      </c>
      <c r="P4144" s="6">
        <v>0</v>
      </c>
      <c r="Q4144">
        <v>1</v>
      </c>
      <c r="R4144">
        <f t="shared" si="320"/>
        <v>0</v>
      </c>
      <c r="S4144">
        <f t="shared" si="321"/>
        <v>1</v>
      </c>
      <c r="T4144">
        <f t="shared" si="322"/>
        <v>0</v>
      </c>
      <c r="U4144">
        <f t="shared" si="323"/>
        <v>0</v>
      </c>
      <c r="V4144">
        <f t="shared" si="324"/>
        <v>0</v>
      </c>
    </row>
    <row r="4145" spans="1:22" x14ac:dyDescent="0.25">
      <c r="A4145">
        <v>4142</v>
      </c>
      <c r="B4145" t="s">
        <v>30</v>
      </c>
      <c r="C4145" t="s">
        <v>1455</v>
      </c>
      <c r="D4145" s="4">
        <v>45330</v>
      </c>
      <c r="E4145" t="s">
        <v>2302</v>
      </c>
      <c r="F4145" t="s">
        <v>75</v>
      </c>
      <c r="I4145" s="6">
        <v>0</v>
      </c>
      <c r="J4145" s="6">
        <v>0</v>
      </c>
      <c r="K4145" s="6">
        <v>1</v>
      </c>
      <c r="L4145" s="6">
        <v>0</v>
      </c>
      <c r="M4145" s="6">
        <v>0</v>
      </c>
      <c r="N4145" s="6">
        <v>0</v>
      </c>
      <c r="O4145" s="6">
        <v>0</v>
      </c>
      <c r="P4145" s="6">
        <v>0</v>
      </c>
      <c r="Q4145">
        <v>1</v>
      </c>
      <c r="R4145">
        <f t="shared" si="320"/>
        <v>0</v>
      </c>
      <c r="S4145">
        <f t="shared" si="321"/>
        <v>1</v>
      </c>
      <c r="T4145">
        <f t="shared" si="322"/>
        <v>1</v>
      </c>
      <c r="U4145">
        <f t="shared" si="323"/>
        <v>1</v>
      </c>
      <c r="V4145">
        <f t="shared" si="324"/>
        <v>0</v>
      </c>
    </row>
    <row r="4146" spans="1:22" x14ac:dyDescent="0.25">
      <c r="A4146">
        <v>4143</v>
      </c>
      <c r="B4146" t="s">
        <v>30</v>
      </c>
      <c r="C4146" t="s">
        <v>1455</v>
      </c>
      <c r="D4146" s="4">
        <v>45331</v>
      </c>
      <c r="E4146" t="s">
        <v>1039</v>
      </c>
      <c r="F4146" t="s">
        <v>75</v>
      </c>
      <c r="I4146" s="6">
        <v>0</v>
      </c>
      <c r="J4146" s="6">
        <v>0</v>
      </c>
      <c r="K4146" s="6">
        <v>0</v>
      </c>
      <c r="L4146" s="6">
        <v>1</v>
      </c>
      <c r="M4146" s="6">
        <v>0</v>
      </c>
      <c r="N4146" s="6">
        <v>1</v>
      </c>
      <c r="O4146" s="6">
        <v>0</v>
      </c>
      <c r="P4146" s="6">
        <v>0</v>
      </c>
      <c r="Q4146">
        <v>1</v>
      </c>
      <c r="R4146">
        <f t="shared" si="320"/>
        <v>0</v>
      </c>
      <c r="S4146">
        <f t="shared" si="321"/>
        <v>1</v>
      </c>
      <c r="T4146">
        <f t="shared" si="322"/>
        <v>2</v>
      </c>
      <c r="U4146">
        <f t="shared" si="323"/>
        <v>1</v>
      </c>
      <c r="V4146">
        <f t="shared" si="324"/>
        <v>0</v>
      </c>
    </row>
    <row r="4147" spans="1:22" x14ac:dyDescent="0.25">
      <c r="A4147">
        <v>4144</v>
      </c>
      <c r="B4147" t="s">
        <v>30</v>
      </c>
      <c r="C4147" t="s">
        <v>1455</v>
      </c>
      <c r="D4147" s="4">
        <v>45331</v>
      </c>
      <c r="E4147" t="s">
        <v>1105</v>
      </c>
      <c r="F4147" t="s">
        <v>75</v>
      </c>
      <c r="I4147" s="6">
        <v>0</v>
      </c>
      <c r="J4147" s="6">
        <v>0</v>
      </c>
      <c r="K4147" s="6">
        <v>0</v>
      </c>
      <c r="L4147" s="6">
        <v>0</v>
      </c>
      <c r="M4147" s="6">
        <v>1</v>
      </c>
      <c r="N4147" s="6">
        <v>1</v>
      </c>
      <c r="O4147" s="6">
        <v>0</v>
      </c>
      <c r="P4147" s="6">
        <v>0</v>
      </c>
      <c r="Q4147">
        <v>1</v>
      </c>
      <c r="R4147">
        <f t="shared" si="320"/>
        <v>0</v>
      </c>
      <c r="S4147">
        <f t="shared" si="321"/>
        <v>1</v>
      </c>
      <c r="T4147">
        <f t="shared" si="322"/>
        <v>2</v>
      </c>
      <c r="U4147">
        <f t="shared" si="323"/>
        <v>1</v>
      </c>
      <c r="V4147">
        <f t="shared" si="324"/>
        <v>0</v>
      </c>
    </row>
    <row r="4148" spans="1:22" x14ac:dyDescent="0.25">
      <c r="A4148">
        <v>4145</v>
      </c>
      <c r="B4148" t="s">
        <v>30</v>
      </c>
      <c r="C4148" t="s">
        <v>1455</v>
      </c>
      <c r="D4148" s="4">
        <v>45331</v>
      </c>
      <c r="E4148" t="s">
        <v>2300</v>
      </c>
      <c r="F4148" t="s">
        <v>75</v>
      </c>
      <c r="I4148" s="6">
        <v>0</v>
      </c>
      <c r="J4148" s="6">
        <v>0</v>
      </c>
      <c r="K4148" s="6">
        <v>1</v>
      </c>
      <c r="L4148" s="6">
        <v>0</v>
      </c>
      <c r="M4148" s="6">
        <v>1</v>
      </c>
      <c r="N4148" s="6">
        <v>0</v>
      </c>
      <c r="O4148" s="6">
        <v>0</v>
      </c>
      <c r="P4148" s="6">
        <v>0</v>
      </c>
      <c r="Q4148">
        <v>1</v>
      </c>
      <c r="R4148">
        <f t="shared" si="320"/>
        <v>0</v>
      </c>
      <c r="S4148">
        <f t="shared" si="321"/>
        <v>1</v>
      </c>
      <c r="T4148">
        <f t="shared" si="322"/>
        <v>2</v>
      </c>
      <c r="U4148">
        <f t="shared" si="323"/>
        <v>1</v>
      </c>
      <c r="V4148">
        <f t="shared" si="324"/>
        <v>0</v>
      </c>
    </row>
    <row r="4149" spans="1:22" x14ac:dyDescent="0.25">
      <c r="A4149">
        <v>4146</v>
      </c>
      <c r="B4149" t="s">
        <v>30</v>
      </c>
      <c r="C4149" t="s">
        <v>1455</v>
      </c>
      <c r="D4149" s="4">
        <v>45332</v>
      </c>
      <c r="E4149" t="s">
        <v>409</v>
      </c>
      <c r="F4149" t="s">
        <v>75</v>
      </c>
      <c r="I4149" s="6"/>
      <c r="J4149" s="6"/>
      <c r="K4149" s="6"/>
      <c r="L4149" s="6"/>
      <c r="M4149" s="6"/>
      <c r="N4149" s="6"/>
      <c r="O4149" s="6"/>
      <c r="P4149" s="6"/>
      <c r="Q4149">
        <v>0</v>
      </c>
      <c r="R4149">
        <f t="shared" si="320"/>
        <v>0</v>
      </c>
      <c r="S4149">
        <f t="shared" si="321"/>
        <v>0</v>
      </c>
      <c r="T4149">
        <f t="shared" si="322"/>
        <v>0</v>
      </c>
      <c r="U4149">
        <f t="shared" si="323"/>
        <v>0</v>
      </c>
      <c r="V4149">
        <f t="shared" si="324"/>
        <v>0</v>
      </c>
    </row>
    <row r="4150" spans="1:22" x14ac:dyDescent="0.25">
      <c r="A4150">
        <v>4147</v>
      </c>
      <c r="B4150" t="s">
        <v>30</v>
      </c>
      <c r="C4150" t="s">
        <v>1455</v>
      </c>
      <c r="D4150" s="4">
        <v>45333</v>
      </c>
      <c r="E4150" t="s">
        <v>904</v>
      </c>
      <c r="F4150" t="s">
        <v>75</v>
      </c>
      <c r="I4150" s="6">
        <v>0</v>
      </c>
      <c r="J4150" s="6">
        <v>0</v>
      </c>
      <c r="K4150" s="6">
        <v>0</v>
      </c>
      <c r="L4150" s="6">
        <v>1</v>
      </c>
      <c r="M4150" s="6">
        <v>0</v>
      </c>
      <c r="N4150" s="6">
        <v>0</v>
      </c>
      <c r="O4150" s="6">
        <v>0</v>
      </c>
      <c r="P4150" s="6">
        <v>0</v>
      </c>
      <c r="Q4150">
        <v>1</v>
      </c>
      <c r="R4150">
        <f t="shared" si="320"/>
        <v>0</v>
      </c>
      <c r="S4150">
        <f t="shared" si="321"/>
        <v>1</v>
      </c>
      <c r="T4150">
        <f t="shared" si="322"/>
        <v>1</v>
      </c>
      <c r="U4150">
        <f t="shared" si="323"/>
        <v>1</v>
      </c>
      <c r="V4150">
        <f t="shared" si="324"/>
        <v>0</v>
      </c>
    </row>
    <row r="4151" spans="1:22" x14ac:dyDescent="0.25">
      <c r="A4151">
        <v>4148</v>
      </c>
      <c r="B4151" t="s">
        <v>30</v>
      </c>
      <c r="C4151" t="s">
        <v>1455</v>
      </c>
      <c r="D4151" s="4">
        <v>45333</v>
      </c>
      <c r="E4151" t="s">
        <v>905</v>
      </c>
      <c r="F4151" t="s">
        <v>75</v>
      </c>
      <c r="I4151" s="6">
        <v>1</v>
      </c>
      <c r="J4151" s="6">
        <v>0</v>
      </c>
      <c r="K4151" s="6">
        <v>1</v>
      </c>
      <c r="L4151" s="6">
        <v>0</v>
      </c>
      <c r="M4151" s="6">
        <v>0</v>
      </c>
      <c r="N4151" s="6">
        <v>0</v>
      </c>
      <c r="O4151" s="6">
        <v>0</v>
      </c>
      <c r="P4151" s="6">
        <v>0</v>
      </c>
      <c r="Q4151">
        <v>1</v>
      </c>
      <c r="R4151">
        <f t="shared" si="320"/>
        <v>0</v>
      </c>
      <c r="S4151">
        <f t="shared" si="321"/>
        <v>1</v>
      </c>
      <c r="T4151">
        <f t="shared" si="322"/>
        <v>2</v>
      </c>
      <c r="U4151">
        <f t="shared" si="323"/>
        <v>1</v>
      </c>
      <c r="V4151">
        <f t="shared" si="324"/>
        <v>0</v>
      </c>
    </row>
    <row r="4152" spans="1:22" x14ac:dyDescent="0.25">
      <c r="A4152">
        <v>4149</v>
      </c>
      <c r="B4152" t="s">
        <v>30</v>
      </c>
      <c r="C4152" t="s">
        <v>1455</v>
      </c>
      <c r="D4152" s="4">
        <v>45333</v>
      </c>
      <c r="E4152" t="s">
        <v>1505</v>
      </c>
      <c r="F4152" t="s">
        <v>75</v>
      </c>
      <c r="I4152" s="6"/>
      <c r="J4152" s="6"/>
      <c r="K4152" s="6"/>
      <c r="L4152" s="6"/>
      <c r="M4152" s="6"/>
      <c r="N4152" s="6"/>
      <c r="O4152" s="6"/>
      <c r="P4152" s="6"/>
      <c r="Q4152">
        <v>0</v>
      </c>
      <c r="R4152">
        <f t="shared" si="320"/>
        <v>0</v>
      </c>
      <c r="S4152">
        <f t="shared" si="321"/>
        <v>0</v>
      </c>
      <c r="T4152">
        <f t="shared" si="322"/>
        <v>0</v>
      </c>
      <c r="U4152">
        <f t="shared" si="323"/>
        <v>0</v>
      </c>
      <c r="V4152">
        <f t="shared" si="324"/>
        <v>0</v>
      </c>
    </row>
    <row r="4153" spans="1:22" x14ac:dyDescent="0.25">
      <c r="A4153">
        <v>4150</v>
      </c>
      <c r="B4153" t="s">
        <v>30</v>
      </c>
      <c r="C4153" t="s">
        <v>1455</v>
      </c>
      <c r="D4153" s="4">
        <v>45333</v>
      </c>
      <c r="E4153" t="s">
        <v>2292</v>
      </c>
      <c r="F4153" t="s">
        <v>75</v>
      </c>
      <c r="I4153" s="6">
        <v>0</v>
      </c>
      <c r="J4153" s="6">
        <v>0</v>
      </c>
      <c r="K4153" s="6">
        <v>0</v>
      </c>
      <c r="L4153" s="6">
        <v>1</v>
      </c>
      <c r="M4153" s="6">
        <v>0</v>
      </c>
      <c r="N4153" s="6">
        <v>0</v>
      </c>
      <c r="O4153" s="6">
        <v>0</v>
      </c>
      <c r="P4153" s="6">
        <v>0</v>
      </c>
      <c r="Q4153">
        <v>1</v>
      </c>
      <c r="R4153">
        <f t="shared" si="320"/>
        <v>0</v>
      </c>
      <c r="S4153">
        <f t="shared" si="321"/>
        <v>1</v>
      </c>
      <c r="T4153">
        <f t="shared" si="322"/>
        <v>1</v>
      </c>
      <c r="U4153">
        <f t="shared" si="323"/>
        <v>1</v>
      </c>
      <c r="V4153">
        <f t="shared" si="324"/>
        <v>0</v>
      </c>
    </row>
    <row r="4154" spans="1:22" x14ac:dyDescent="0.25">
      <c r="A4154">
        <v>4151</v>
      </c>
      <c r="B4154" t="s">
        <v>30</v>
      </c>
      <c r="C4154" t="s">
        <v>1455</v>
      </c>
      <c r="D4154" s="4">
        <v>45334</v>
      </c>
      <c r="E4154" t="s">
        <v>2291</v>
      </c>
      <c r="F4154" t="s">
        <v>75</v>
      </c>
      <c r="I4154" s="6"/>
      <c r="J4154" s="6"/>
      <c r="K4154" s="6"/>
      <c r="L4154" s="6"/>
      <c r="M4154" s="6"/>
      <c r="N4154" s="6"/>
      <c r="O4154" s="6"/>
      <c r="P4154" s="6"/>
      <c r="Q4154">
        <v>0</v>
      </c>
      <c r="R4154">
        <f t="shared" si="320"/>
        <v>0</v>
      </c>
      <c r="S4154">
        <f t="shared" si="321"/>
        <v>0</v>
      </c>
      <c r="T4154">
        <f t="shared" si="322"/>
        <v>0</v>
      </c>
      <c r="U4154">
        <f t="shared" si="323"/>
        <v>0</v>
      </c>
      <c r="V4154">
        <f t="shared" si="324"/>
        <v>0</v>
      </c>
    </row>
    <row r="4155" spans="1:22" x14ac:dyDescent="0.25">
      <c r="A4155">
        <v>4152</v>
      </c>
      <c r="B4155" t="s">
        <v>30</v>
      </c>
      <c r="C4155" t="s">
        <v>1455</v>
      </c>
      <c r="D4155" s="4">
        <v>45334</v>
      </c>
      <c r="E4155" t="s">
        <v>2290</v>
      </c>
      <c r="F4155" t="s">
        <v>75</v>
      </c>
      <c r="I4155" s="6">
        <v>0</v>
      </c>
      <c r="J4155" s="6">
        <v>0</v>
      </c>
      <c r="K4155" s="6">
        <v>0</v>
      </c>
      <c r="L4155" s="6">
        <v>0</v>
      </c>
      <c r="M4155" s="6">
        <v>0</v>
      </c>
      <c r="N4155" s="6">
        <v>0</v>
      </c>
      <c r="O4155" s="6">
        <v>0</v>
      </c>
      <c r="P4155" s="6">
        <v>0</v>
      </c>
      <c r="Q4155">
        <v>1</v>
      </c>
      <c r="R4155">
        <f t="shared" si="320"/>
        <v>0</v>
      </c>
      <c r="S4155">
        <f t="shared" si="321"/>
        <v>1</v>
      </c>
      <c r="T4155">
        <f t="shared" si="322"/>
        <v>0</v>
      </c>
      <c r="U4155">
        <f t="shared" si="323"/>
        <v>0</v>
      </c>
      <c r="V4155">
        <f t="shared" si="324"/>
        <v>0</v>
      </c>
    </row>
    <row r="4156" spans="1:22" x14ac:dyDescent="0.25">
      <c r="A4156">
        <v>4153</v>
      </c>
      <c r="B4156" t="s">
        <v>30</v>
      </c>
      <c r="C4156" t="s">
        <v>1455</v>
      </c>
      <c r="D4156" s="4">
        <v>45334</v>
      </c>
      <c r="E4156" t="s">
        <v>1273</v>
      </c>
      <c r="F4156" t="s">
        <v>75</v>
      </c>
      <c r="I4156" s="6">
        <v>0</v>
      </c>
      <c r="J4156" s="6">
        <v>0</v>
      </c>
      <c r="K4156" s="6">
        <v>0</v>
      </c>
      <c r="L4156" s="6">
        <v>0</v>
      </c>
      <c r="M4156" s="6">
        <v>0</v>
      </c>
      <c r="N4156" s="6">
        <v>0</v>
      </c>
      <c r="O4156" s="6">
        <v>0</v>
      </c>
      <c r="P4156" s="6">
        <v>0</v>
      </c>
      <c r="Q4156">
        <v>1</v>
      </c>
      <c r="R4156">
        <f t="shared" si="320"/>
        <v>0</v>
      </c>
      <c r="S4156">
        <f t="shared" si="321"/>
        <v>1</v>
      </c>
      <c r="T4156">
        <f t="shared" si="322"/>
        <v>0</v>
      </c>
      <c r="U4156">
        <f t="shared" si="323"/>
        <v>0</v>
      </c>
      <c r="V4156">
        <f t="shared" si="324"/>
        <v>0</v>
      </c>
    </row>
    <row r="4157" spans="1:22" x14ac:dyDescent="0.25">
      <c r="A4157">
        <v>4154</v>
      </c>
      <c r="B4157" t="s">
        <v>30</v>
      </c>
      <c r="C4157" t="s">
        <v>1455</v>
      </c>
      <c r="D4157" s="4">
        <v>45334</v>
      </c>
      <c r="E4157" t="s">
        <v>2289</v>
      </c>
      <c r="F4157" t="s">
        <v>75</v>
      </c>
      <c r="I4157" s="6"/>
      <c r="J4157" s="6"/>
      <c r="K4157" s="6"/>
      <c r="L4157" s="6"/>
      <c r="M4157" s="6"/>
      <c r="N4157" s="6"/>
      <c r="O4157" s="6"/>
      <c r="P4157" s="6"/>
      <c r="Q4157">
        <v>0</v>
      </c>
      <c r="R4157">
        <f t="shared" si="320"/>
        <v>0</v>
      </c>
      <c r="S4157">
        <f t="shared" si="321"/>
        <v>0</v>
      </c>
      <c r="T4157">
        <f t="shared" si="322"/>
        <v>0</v>
      </c>
      <c r="U4157">
        <f t="shared" si="323"/>
        <v>0</v>
      </c>
      <c r="V4157">
        <f t="shared" si="324"/>
        <v>0</v>
      </c>
    </row>
    <row r="4158" spans="1:22" x14ac:dyDescent="0.25">
      <c r="A4158">
        <v>4155</v>
      </c>
      <c r="B4158" t="s">
        <v>30</v>
      </c>
      <c r="C4158" t="s">
        <v>1455</v>
      </c>
      <c r="D4158" s="4">
        <v>45334</v>
      </c>
      <c r="E4158" t="s">
        <v>1274</v>
      </c>
      <c r="F4158" t="s">
        <v>75</v>
      </c>
      <c r="I4158" s="6">
        <v>0</v>
      </c>
      <c r="J4158" s="6">
        <v>0</v>
      </c>
      <c r="K4158" s="6">
        <v>1</v>
      </c>
      <c r="L4158" s="6">
        <v>0</v>
      </c>
      <c r="M4158" s="6">
        <v>0</v>
      </c>
      <c r="N4158" s="6">
        <v>0</v>
      </c>
      <c r="O4158" s="6">
        <v>0</v>
      </c>
      <c r="P4158" s="6">
        <v>0</v>
      </c>
      <c r="Q4158">
        <v>1</v>
      </c>
      <c r="R4158">
        <f t="shared" si="320"/>
        <v>0</v>
      </c>
      <c r="S4158">
        <f t="shared" si="321"/>
        <v>1</v>
      </c>
      <c r="T4158">
        <f t="shared" si="322"/>
        <v>1</v>
      </c>
      <c r="U4158">
        <f t="shared" si="323"/>
        <v>1</v>
      </c>
      <c r="V4158">
        <f t="shared" si="324"/>
        <v>0</v>
      </c>
    </row>
    <row r="4159" spans="1:22" x14ac:dyDescent="0.25">
      <c r="A4159">
        <v>4156</v>
      </c>
      <c r="B4159" t="s">
        <v>30</v>
      </c>
      <c r="C4159" t="s">
        <v>1455</v>
      </c>
      <c r="D4159" s="4">
        <v>45334</v>
      </c>
      <c r="E4159" t="s">
        <v>1275</v>
      </c>
      <c r="F4159" t="s">
        <v>75</v>
      </c>
      <c r="I4159" s="6">
        <v>1</v>
      </c>
      <c r="J4159" s="6">
        <v>0</v>
      </c>
      <c r="K4159" s="6">
        <v>1</v>
      </c>
      <c r="L4159" s="6">
        <v>0</v>
      </c>
      <c r="M4159" s="6">
        <v>0</v>
      </c>
      <c r="N4159" s="6">
        <v>0</v>
      </c>
      <c r="O4159" s="6">
        <v>0</v>
      </c>
      <c r="P4159" s="6">
        <v>0</v>
      </c>
      <c r="Q4159">
        <v>1</v>
      </c>
      <c r="R4159">
        <f t="shared" si="320"/>
        <v>0</v>
      </c>
      <c r="S4159">
        <f t="shared" si="321"/>
        <v>1</v>
      </c>
      <c r="T4159">
        <f t="shared" si="322"/>
        <v>2</v>
      </c>
      <c r="U4159">
        <f t="shared" si="323"/>
        <v>1</v>
      </c>
      <c r="V4159">
        <f t="shared" si="324"/>
        <v>0</v>
      </c>
    </row>
    <row r="4160" spans="1:22" x14ac:dyDescent="0.25">
      <c r="A4160">
        <v>4157</v>
      </c>
      <c r="B4160" t="s">
        <v>30</v>
      </c>
      <c r="C4160" t="s">
        <v>1455</v>
      </c>
      <c r="D4160" s="4">
        <v>45335</v>
      </c>
      <c r="E4160" t="s">
        <v>411</v>
      </c>
      <c r="F4160" t="s">
        <v>75</v>
      </c>
      <c r="I4160" s="6">
        <v>0</v>
      </c>
      <c r="J4160" s="6">
        <v>0</v>
      </c>
      <c r="K4160" s="6">
        <v>0</v>
      </c>
      <c r="L4160" s="6">
        <v>1</v>
      </c>
      <c r="M4160" s="6">
        <v>1</v>
      </c>
      <c r="N4160" s="6">
        <v>1</v>
      </c>
      <c r="O4160" s="6">
        <v>0</v>
      </c>
      <c r="P4160" s="6">
        <v>0</v>
      </c>
      <c r="Q4160">
        <v>1</v>
      </c>
      <c r="R4160">
        <f t="shared" si="320"/>
        <v>0</v>
      </c>
      <c r="S4160">
        <f t="shared" si="321"/>
        <v>1</v>
      </c>
      <c r="T4160">
        <f t="shared" si="322"/>
        <v>3</v>
      </c>
      <c r="U4160">
        <f t="shared" si="323"/>
        <v>1</v>
      </c>
      <c r="V4160">
        <f t="shared" si="324"/>
        <v>0</v>
      </c>
    </row>
    <row r="4161" spans="1:22" x14ac:dyDescent="0.25">
      <c r="A4161">
        <v>4158</v>
      </c>
      <c r="B4161" t="s">
        <v>30</v>
      </c>
      <c r="C4161" t="s">
        <v>1455</v>
      </c>
      <c r="D4161" s="4">
        <v>45335</v>
      </c>
      <c r="E4161" t="s">
        <v>412</v>
      </c>
      <c r="F4161" t="s">
        <v>75</v>
      </c>
      <c r="I4161" s="6"/>
      <c r="J4161" s="6"/>
      <c r="K4161" s="6"/>
      <c r="L4161" s="6"/>
      <c r="M4161" s="6"/>
      <c r="N4161" s="6"/>
      <c r="O4161" s="6"/>
      <c r="P4161" s="6"/>
      <c r="Q4161">
        <v>0</v>
      </c>
      <c r="R4161">
        <f t="shared" si="320"/>
        <v>0</v>
      </c>
      <c r="S4161">
        <f t="shared" si="321"/>
        <v>0</v>
      </c>
      <c r="T4161">
        <f t="shared" si="322"/>
        <v>0</v>
      </c>
      <c r="U4161">
        <f t="shared" si="323"/>
        <v>0</v>
      </c>
      <c r="V4161">
        <f t="shared" si="324"/>
        <v>0</v>
      </c>
    </row>
    <row r="4162" spans="1:22" x14ac:dyDescent="0.25">
      <c r="A4162">
        <v>4159</v>
      </c>
      <c r="B4162" t="s">
        <v>30</v>
      </c>
      <c r="C4162" t="s">
        <v>1455</v>
      </c>
      <c r="D4162" s="4">
        <v>45335</v>
      </c>
      <c r="E4162" t="s">
        <v>414</v>
      </c>
      <c r="F4162" t="s">
        <v>75</v>
      </c>
      <c r="I4162" s="6"/>
      <c r="J4162" s="6"/>
      <c r="K4162" s="6"/>
      <c r="L4162" s="6"/>
      <c r="M4162" s="6"/>
      <c r="N4162" s="6"/>
      <c r="O4162" s="6"/>
      <c r="P4162" s="6"/>
      <c r="Q4162">
        <v>0</v>
      </c>
      <c r="R4162">
        <f t="shared" si="320"/>
        <v>0</v>
      </c>
      <c r="S4162">
        <f t="shared" si="321"/>
        <v>0</v>
      </c>
      <c r="T4162">
        <f t="shared" si="322"/>
        <v>0</v>
      </c>
      <c r="U4162">
        <f t="shared" si="323"/>
        <v>0</v>
      </c>
      <c r="V4162">
        <f t="shared" si="324"/>
        <v>0</v>
      </c>
    </row>
    <row r="4163" spans="1:22" x14ac:dyDescent="0.25">
      <c r="A4163">
        <v>4160</v>
      </c>
      <c r="B4163" t="s">
        <v>30</v>
      </c>
      <c r="C4163" t="s">
        <v>1455</v>
      </c>
      <c r="D4163" s="4">
        <v>45336</v>
      </c>
      <c r="E4163" t="s">
        <v>415</v>
      </c>
      <c r="F4163" t="s">
        <v>75</v>
      </c>
      <c r="I4163" s="6">
        <v>0</v>
      </c>
      <c r="J4163" s="6">
        <v>0</v>
      </c>
      <c r="K4163" s="6">
        <v>0</v>
      </c>
      <c r="L4163" s="6">
        <v>0</v>
      </c>
      <c r="M4163" s="6">
        <v>0</v>
      </c>
      <c r="N4163" s="6">
        <v>0</v>
      </c>
      <c r="O4163" s="6">
        <v>0</v>
      </c>
      <c r="P4163" s="6">
        <v>0</v>
      </c>
      <c r="Q4163">
        <v>1</v>
      </c>
      <c r="R4163">
        <f t="shared" ref="R4163:R4226" si="325">IF(AND(Q4163=1,F4163="ai_full"),1,0)</f>
        <v>0</v>
      </c>
      <c r="S4163">
        <f t="shared" ref="S4163:S4226" si="326">IF(AND(Q4163=1,F4163="conventional"),1,0)</f>
        <v>1</v>
      </c>
      <c r="T4163">
        <f t="shared" ref="T4163:T4226" si="327">SUM(I4163:P4163)</f>
        <v>0</v>
      </c>
      <c r="U4163">
        <f t="shared" ref="U4163:U4226" si="328">IF(T4163&gt;=1,1,0)</f>
        <v>0</v>
      </c>
      <c r="V4163">
        <f t="shared" ref="V4163:V4226" si="329">IF(F4163="ai_full",1,0)</f>
        <v>0</v>
      </c>
    </row>
    <row r="4164" spans="1:22" x14ac:dyDescent="0.25">
      <c r="A4164">
        <v>4161</v>
      </c>
      <c r="B4164" t="s">
        <v>30</v>
      </c>
      <c r="C4164" t="s">
        <v>1455</v>
      </c>
      <c r="D4164" s="4">
        <v>45336</v>
      </c>
      <c r="E4164" t="s">
        <v>416</v>
      </c>
      <c r="F4164" t="s">
        <v>75</v>
      </c>
      <c r="I4164" s="6">
        <v>0</v>
      </c>
      <c r="J4164" s="6">
        <v>0</v>
      </c>
      <c r="K4164" s="6">
        <v>0</v>
      </c>
      <c r="L4164" s="6">
        <v>0</v>
      </c>
      <c r="M4164" s="6">
        <v>0</v>
      </c>
      <c r="N4164" s="6">
        <v>0</v>
      </c>
      <c r="O4164" s="6">
        <v>0</v>
      </c>
      <c r="P4164" s="6">
        <v>0</v>
      </c>
      <c r="Q4164">
        <v>1</v>
      </c>
      <c r="R4164">
        <f t="shared" si="325"/>
        <v>0</v>
      </c>
      <c r="S4164">
        <f t="shared" si="326"/>
        <v>1</v>
      </c>
      <c r="T4164">
        <f t="shared" si="327"/>
        <v>0</v>
      </c>
      <c r="U4164">
        <f t="shared" si="328"/>
        <v>0</v>
      </c>
      <c r="V4164">
        <f t="shared" si="329"/>
        <v>0</v>
      </c>
    </row>
    <row r="4165" spans="1:22" x14ac:dyDescent="0.25">
      <c r="A4165">
        <v>4162</v>
      </c>
      <c r="B4165" t="s">
        <v>30</v>
      </c>
      <c r="C4165" t="s">
        <v>1455</v>
      </c>
      <c r="D4165" s="4">
        <v>45336</v>
      </c>
      <c r="E4165" t="s">
        <v>2286</v>
      </c>
      <c r="F4165" t="s">
        <v>75</v>
      </c>
      <c r="I4165" s="6"/>
      <c r="J4165" s="6"/>
      <c r="K4165" s="6"/>
      <c r="L4165" s="6"/>
      <c r="M4165" s="6"/>
      <c r="N4165" s="6"/>
      <c r="O4165" s="6"/>
      <c r="P4165" s="6"/>
      <c r="Q4165">
        <v>0</v>
      </c>
      <c r="R4165">
        <f t="shared" si="325"/>
        <v>0</v>
      </c>
      <c r="S4165">
        <f t="shared" si="326"/>
        <v>0</v>
      </c>
      <c r="T4165">
        <f t="shared" si="327"/>
        <v>0</v>
      </c>
      <c r="U4165">
        <f t="shared" si="328"/>
        <v>0</v>
      </c>
      <c r="V4165">
        <f t="shared" si="329"/>
        <v>0</v>
      </c>
    </row>
    <row r="4166" spans="1:22" x14ac:dyDescent="0.25">
      <c r="A4166">
        <v>4163</v>
      </c>
      <c r="B4166" t="s">
        <v>30</v>
      </c>
      <c r="C4166" t="s">
        <v>1455</v>
      </c>
      <c r="D4166" s="4">
        <v>45336</v>
      </c>
      <c r="E4166" t="s">
        <v>1108</v>
      </c>
      <c r="F4166" t="s">
        <v>75</v>
      </c>
      <c r="I4166" s="6"/>
      <c r="J4166" s="6"/>
      <c r="K4166" s="6"/>
      <c r="L4166" s="6"/>
      <c r="M4166" s="6"/>
      <c r="N4166" s="6"/>
      <c r="O4166" s="6"/>
      <c r="P4166" s="6"/>
      <c r="Q4166">
        <v>0</v>
      </c>
      <c r="R4166">
        <f t="shared" si="325"/>
        <v>0</v>
      </c>
      <c r="S4166">
        <f t="shared" si="326"/>
        <v>0</v>
      </c>
      <c r="T4166">
        <f t="shared" si="327"/>
        <v>0</v>
      </c>
      <c r="U4166">
        <f t="shared" si="328"/>
        <v>0</v>
      </c>
      <c r="V4166">
        <f t="shared" si="329"/>
        <v>0</v>
      </c>
    </row>
    <row r="4167" spans="1:22" x14ac:dyDescent="0.25">
      <c r="A4167">
        <v>4164</v>
      </c>
      <c r="B4167" t="s">
        <v>30</v>
      </c>
      <c r="C4167" t="s">
        <v>1455</v>
      </c>
      <c r="D4167" s="4">
        <v>45336</v>
      </c>
      <c r="E4167" t="s">
        <v>1109</v>
      </c>
      <c r="F4167" t="s">
        <v>75</v>
      </c>
      <c r="I4167" s="6"/>
      <c r="J4167" s="6"/>
      <c r="K4167" s="6"/>
      <c r="L4167" s="6"/>
      <c r="M4167" s="6"/>
      <c r="N4167" s="6"/>
      <c r="O4167" s="6"/>
      <c r="P4167" s="6"/>
      <c r="Q4167">
        <v>0</v>
      </c>
      <c r="R4167">
        <f t="shared" si="325"/>
        <v>0</v>
      </c>
      <c r="S4167">
        <f t="shared" si="326"/>
        <v>0</v>
      </c>
      <c r="T4167">
        <f t="shared" si="327"/>
        <v>0</v>
      </c>
      <c r="U4167">
        <f t="shared" si="328"/>
        <v>0</v>
      </c>
      <c r="V4167">
        <f t="shared" si="329"/>
        <v>0</v>
      </c>
    </row>
    <row r="4168" spans="1:22" x14ac:dyDescent="0.25">
      <c r="A4168">
        <v>4165</v>
      </c>
      <c r="B4168" t="s">
        <v>30</v>
      </c>
      <c r="C4168" t="s">
        <v>1455</v>
      </c>
      <c r="D4168" s="4">
        <v>45337</v>
      </c>
      <c r="E4168" t="s">
        <v>1110</v>
      </c>
      <c r="F4168" t="s">
        <v>75</v>
      </c>
      <c r="I4168" s="6">
        <v>0</v>
      </c>
      <c r="J4168" s="6">
        <v>0</v>
      </c>
      <c r="K4168" s="6">
        <v>0</v>
      </c>
      <c r="L4168" s="6">
        <v>0</v>
      </c>
      <c r="M4168" s="6">
        <v>1</v>
      </c>
      <c r="N4168" s="6">
        <v>0</v>
      </c>
      <c r="O4168" s="6">
        <v>0</v>
      </c>
      <c r="P4168" s="6">
        <v>1</v>
      </c>
      <c r="Q4168">
        <v>1</v>
      </c>
      <c r="R4168">
        <f t="shared" si="325"/>
        <v>0</v>
      </c>
      <c r="S4168">
        <f t="shared" si="326"/>
        <v>1</v>
      </c>
      <c r="T4168">
        <f t="shared" si="327"/>
        <v>2</v>
      </c>
      <c r="U4168">
        <f t="shared" si="328"/>
        <v>1</v>
      </c>
      <c r="V4168">
        <f t="shared" si="329"/>
        <v>0</v>
      </c>
    </row>
    <row r="4169" spans="1:22" x14ac:dyDescent="0.25">
      <c r="A4169">
        <v>4166</v>
      </c>
      <c r="B4169" t="s">
        <v>30</v>
      </c>
      <c r="C4169" t="s">
        <v>1455</v>
      </c>
      <c r="D4169" s="4">
        <v>45337</v>
      </c>
      <c r="E4169" t="s">
        <v>2284</v>
      </c>
      <c r="F4169" t="s">
        <v>75</v>
      </c>
      <c r="I4169" s="6">
        <v>0</v>
      </c>
      <c r="J4169" s="6">
        <v>0</v>
      </c>
      <c r="K4169" s="6">
        <v>0</v>
      </c>
      <c r="L4169" s="6">
        <v>0</v>
      </c>
      <c r="M4169" s="6">
        <v>1</v>
      </c>
      <c r="N4169" s="6">
        <v>0</v>
      </c>
      <c r="O4169" s="6">
        <v>0</v>
      </c>
      <c r="P4169" s="6">
        <v>0</v>
      </c>
      <c r="Q4169">
        <v>1</v>
      </c>
      <c r="R4169">
        <f t="shared" si="325"/>
        <v>0</v>
      </c>
      <c r="S4169">
        <f t="shared" si="326"/>
        <v>1</v>
      </c>
      <c r="T4169">
        <f t="shared" si="327"/>
        <v>1</v>
      </c>
      <c r="U4169">
        <f t="shared" si="328"/>
        <v>1</v>
      </c>
      <c r="V4169">
        <f t="shared" si="329"/>
        <v>0</v>
      </c>
    </row>
    <row r="4170" spans="1:22" x14ac:dyDescent="0.25">
      <c r="A4170">
        <v>4167</v>
      </c>
      <c r="B4170" t="s">
        <v>30</v>
      </c>
      <c r="C4170" t="s">
        <v>1455</v>
      </c>
      <c r="D4170" s="4">
        <v>45337</v>
      </c>
      <c r="E4170" t="s">
        <v>1043</v>
      </c>
      <c r="F4170" t="s">
        <v>75</v>
      </c>
      <c r="I4170" s="6">
        <v>1</v>
      </c>
      <c r="J4170" s="6">
        <v>0</v>
      </c>
      <c r="K4170" s="6">
        <v>1</v>
      </c>
      <c r="L4170" s="6">
        <v>0</v>
      </c>
      <c r="M4170" s="6">
        <v>0</v>
      </c>
      <c r="N4170" s="6">
        <v>0</v>
      </c>
      <c r="O4170" s="6">
        <v>0</v>
      </c>
      <c r="P4170" s="6">
        <v>0</v>
      </c>
      <c r="Q4170">
        <v>1</v>
      </c>
      <c r="R4170">
        <f t="shared" si="325"/>
        <v>0</v>
      </c>
      <c r="S4170">
        <f t="shared" si="326"/>
        <v>1</v>
      </c>
      <c r="T4170">
        <f t="shared" si="327"/>
        <v>2</v>
      </c>
      <c r="U4170">
        <f t="shared" si="328"/>
        <v>1</v>
      </c>
      <c r="V4170">
        <f t="shared" si="329"/>
        <v>0</v>
      </c>
    </row>
    <row r="4171" spans="1:22" x14ac:dyDescent="0.25">
      <c r="A4171">
        <v>4168</v>
      </c>
      <c r="B4171" t="s">
        <v>30</v>
      </c>
      <c r="C4171" t="s">
        <v>1455</v>
      </c>
      <c r="D4171" s="4">
        <v>45337</v>
      </c>
      <c r="E4171" t="s">
        <v>1457</v>
      </c>
      <c r="F4171" t="s">
        <v>75</v>
      </c>
      <c r="I4171" s="6">
        <v>0</v>
      </c>
      <c r="J4171" s="6">
        <v>0</v>
      </c>
      <c r="K4171" s="6">
        <v>0</v>
      </c>
      <c r="L4171" s="6">
        <v>1</v>
      </c>
      <c r="M4171" s="6">
        <v>1</v>
      </c>
      <c r="N4171" s="6">
        <v>1</v>
      </c>
      <c r="O4171" s="6">
        <v>0</v>
      </c>
      <c r="P4171" s="6">
        <v>0</v>
      </c>
      <c r="Q4171">
        <v>1</v>
      </c>
      <c r="R4171">
        <f t="shared" si="325"/>
        <v>0</v>
      </c>
      <c r="S4171">
        <f t="shared" si="326"/>
        <v>1</v>
      </c>
      <c r="T4171">
        <f t="shared" si="327"/>
        <v>3</v>
      </c>
      <c r="U4171">
        <f t="shared" si="328"/>
        <v>1</v>
      </c>
      <c r="V4171">
        <f t="shared" si="329"/>
        <v>0</v>
      </c>
    </row>
    <row r="4172" spans="1:22" x14ac:dyDescent="0.25">
      <c r="A4172">
        <v>4169</v>
      </c>
      <c r="B4172" t="s">
        <v>30</v>
      </c>
      <c r="C4172" t="s">
        <v>1455</v>
      </c>
      <c r="D4172" s="4">
        <v>45338</v>
      </c>
      <c r="E4172" t="s">
        <v>1044</v>
      </c>
      <c r="F4172" t="s">
        <v>75</v>
      </c>
      <c r="I4172" s="6"/>
      <c r="J4172" s="6"/>
      <c r="K4172" s="6"/>
      <c r="L4172" s="6"/>
      <c r="M4172" s="6"/>
      <c r="N4172" s="6"/>
      <c r="O4172" s="6"/>
      <c r="P4172" s="6"/>
      <c r="Q4172">
        <v>0</v>
      </c>
      <c r="R4172">
        <f t="shared" si="325"/>
        <v>0</v>
      </c>
      <c r="S4172">
        <f t="shared" si="326"/>
        <v>0</v>
      </c>
      <c r="T4172">
        <f t="shared" si="327"/>
        <v>0</v>
      </c>
      <c r="U4172">
        <f t="shared" si="328"/>
        <v>0</v>
      </c>
      <c r="V4172">
        <f t="shared" si="329"/>
        <v>0</v>
      </c>
    </row>
    <row r="4173" spans="1:22" x14ac:dyDescent="0.25">
      <c r="A4173">
        <v>4170</v>
      </c>
      <c r="B4173" t="s">
        <v>30</v>
      </c>
      <c r="C4173" t="s">
        <v>1455</v>
      </c>
      <c r="D4173" s="4">
        <v>45338</v>
      </c>
      <c r="E4173" t="s">
        <v>1045</v>
      </c>
      <c r="F4173" t="s">
        <v>75</v>
      </c>
      <c r="I4173" s="6"/>
      <c r="J4173" s="6"/>
      <c r="K4173" s="6"/>
      <c r="L4173" s="6"/>
      <c r="M4173" s="6"/>
      <c r="N4173" s="6"/>
      <c r="O4173" s="6"/>
      <c r="P4173" s="6"/>
      <c r="Q4173">
        <v>0</v>
      </c>
      <c r="R4173">
        <f t="shared" si="325"/>
        <v>0</v>
      </c>
      <c r="S4173">
        <f t="shared" si="326"/>
        <v>0</v>
      </c>
      <c r="T4173">
        <f t="shared" si="327"/>
        <v>0</v>
      </c>
      <c r="U4173">
        <f t="shared" si="328"/>
        <v>0</v>
      </c>
      <c r="V4173">
        <f t="shared" si="329"/>
        <v>0</v>
      </c>
    </row>
    <row r="4174" spans="1:22" x14ac:dyDescent="0.25">
      <c r="A4174">
        <v>4171</v>
      </c>
      <c r="B4174" t="s">
        <v>30</v>
      </c>
      <c r="C4174" t="s">
        <v>1455</v>
      </c>
      <c r="D4174" s="4">
        <v>45338</v>
      </c>
      <c r="E4174" t="s">
        <v>907</v>
      </c>
      <c r="F4174" t="s">
        <v>75</v>
      </c>
      <c r="I4174" s="6"/>
      <c r="J4174" s="6"/>
      <c r="K4174" s="6"/>
      <c r="L4174" s="6"/>
      <c r="M4174" s="6"/>
      <c r="N4174" s="6"/>
      <c r="O4174" s="6"/>
      <c r="P4174" s="6"/>
      <c r="Q4174">
        <v>0</v>
      </c>
      <c r="R4174">
        <f t="shared" si="325"/>
        <v>0</v>
      </c>
      <c r="S4174">
        <f t="shared" si="326"/>
        <v>0</v>
      </c>
      <c r="T4174">
        <f t="shared" si="327"/>
        <v>0</v>
      </c>
      <c r="U4174">
        <f t="shared" si="328"/>
        <v>0</v>
      </c>
      <c r="V4174">
        <f t="shared" si="329"/>
        <v>0</v>
      </c>
    </row>
    <row r="4175" spans="1:22" x14ac:dyDescent="0.25">
      <c r="A4175">
        <v>4172</v>
      </c>
      <c r="B4175" t="s">
        <v>30</v>
      </c>
      <c r="C4175" t="s">
        <v>1455</v>
      </c>
      <c r="D4175" s="4">
        <v>45338</v>
      </c>
      <c r="E4175" t="s">
        <v>1046</v>
      </c>
      <c r="F4175" t="s">
        <v>75</v>
      </c>
      <c r="I4175" s="6">
        <v>1</v>
      </c>
      <c r="J4175" s="6">
        <v>0</v>
      </c>
      <c r="K4175" s="6">
        <v>0</v>
      </c>
      <c r="L4175" s="6">
        <v>0</v>
      </c>
      <c r="M4175" s="6">
        <v>0</v>
      </c>
      <c r="N4175" s="6">
        <v>0</v>
      </c>
      <c r="O4175" s="6">
        <v>0</v>
      </c>
      <c r="P4175" s="6">
        <v>0</v>
      </c>
      <c r="Q4175">
        <v>1</v>
      </c>
      <c r="R4175">
        <f t="shared" si="325"/>
        <v>0</v>
      </c>
      <c r="S4175">
        <f t="shared" si="326"/>
        <v>1</v>
      </c>
      <c r="T4175">
        <f t="shared" si="327"/>
        <v>1</v>
      </c>
      <c r="U4175">
        <f t="shared" si="328"/>
        <v>1</v>
      </c>
      <c r="V4175">
        <f t="shared" si="329"/>
        <v>0</v>
      </c>
    </row>
    <row r="4176" spans="1:22" x14ac:dyDescent="0.25">
      <c r="A4176">
        <v>4173</v>
      </c>
      <c r="B4176" t="s">
        <v>30</v>
      </c>
      <c r="C4176" t="s">
        <v>1455</v>
      </c>
      <c r="D4176" s="4">
        <v>45338</v>
      </c>
      <c r="E4176" t="s">
        <v>1112</v>
      </c>
      <c r="F4176" t="s">
        <v>75</v>
      </c>
      <c r="I4176" s="6">
        <v>0</v>
      </c>
      <c r="J4176" s="6">
        <v>0</v>
      </c>
      <c r="K4176" s="6">
        <v>0</v>
      </c>
      <c r="L4176" s="6">
        <v>0</v>
      </c>
      <c r="M4176" s="6">
        <v>0</v>
      </c>
      <c r="N4176" s="6">
        <v>0</v>
      </c>
      <c r="O4176" s="6">
        <v>0</v>
      </c>
      <c r="P4176" s="6">
        <v>0</v>
      </c>
      <c r="Q4176">
        <v>1</v>
      </c>
      <c r="R4176">
        <f t="shared" si="325"/>
        <v>0</v>
      </c>
      <c r="S4176">
        <f t="shared" si="326"/>
        <v>1</v>
      </c>
      <c r="T4176">
        <f t="shared" si="327"/>
        <v>0</v>
      </c>
      <c r="U4176">
        <f t="shared" si="328"/>
        <v>0</v>
      </c>
      <c r="V4176">
        <f t="shared" si="329"/>
        <v>0</v>
      </c>
    </row>
    <row r="4177" spans="1:22" x14ac:dyDescent="0.25">
      <c r="A4177">
        <v>4174</v>
      </c>
      <c r="B4177" t="s">
        <v>30</v>
      </c>
      <c r="C4177" t="s">
        <v>1455</v>
      </c>
      <c r="D4177" s="4">
        <v>45338</v>
      </c>
      <c r="E4177" t="s">
        <v>1507</v>
      </c>
      <c r="F4177" t="s">
        <v>75</v>
      </c>
      <c r="I4177" s="6">
        <v>0</v>
      </c>
      <c r="J4177" s="6">
        <v>0</v>
      </c>
      <c r="K4177" s="6">
        <v>1</v>
      </c>
      <c r="L4177" s="6">
        <v>0</v>
      </c>
      <c r="M4177" s="6">
        <v>0</v>
      </c>
      <c r="N4177" s="6">
        <v>0</v>
      </c>
      <c r="O4177" s="6">
        <v>0</v>
      </c>
      <c r="P4177" s="6">
        <v>0</v>
      </c>
      <c r="Q4177">
        <v>1</v>
      </c>
      <c r="R4177">
        <f t="shared" si="325"/>
        <v>0</v>
      </c>
      <c r="S4177">
        <f t="shared" si="326"/>
        <v>1</v>
      </c>
      <c r="T4177">
        <f t="shared" si="327"/>
        <v>1</v>
      </c>
      <c r="U4177">
        <f t="shared" si="328"/>
        <v>1</v>
      </c>
      <c r="V4177">
        <f t="shared" si="329"/>
        <v>0</v>
      </c>
    </row>
    <row r="4178" spans="1:22" x14ac:dyDescent="0.25">
      <c r="A4178">
        <v>4175</v>
      </c>
      <c r="B4178" t="s">
        <v>30</v>
      </c>
      <c r="C4178" t="s">
        <v>1455</v>
      </c>
      <c r="D4178" s="4">
        <v>45339</v>
      </c>
      <c r="E4178" t="s">
        <v>2282</v>
      </c>
      <c r="F4178" t="s">
        <v>75</v>
      </c>
      <c r="I4178" s="6"/>
      <c r="J4178" s="6"/>
      <c r="K4178" s="6"/>
      <c r="L4178" s="6"/>
      <c r="M4178" s="6"/>
      <c r="N4178" s="6"/>
      <c r="O4178" s="6"/>
      <c r="P4178" s="6"/>
      <c r="Q4178">
        <v>0</v>
      </c>
      <c r="R4178">
        <f t="shared" si="325"/>
        <v>0</v>
      </c>
      <c r="S4178">
        <f t="shared" si="326"/>
        <v>0</v>
      </c>
      <c r="T4178">
        <f t="shared" si="327"/>
        <v>0</v>
      </c>
      <c r="U4178">
        <f t="shared" si="328"/>
        <v>0</v>
      </c>
      <c r="V4178">
        <f t="shared" si="329"/>
        <v>0</v>
      </c>
    </row>
    <row r="4179" spans="1:22" x14ac:dyDescent="0.25">
      <c r="A4179">
        <v>4176</v>
      </c>
      <c r="B4179" t="s">
        <v>30</v>
      </c>
      <c r="C4179" t="s">
        <v>1455</v>
      </c>
      <c r="D4179" s="4">
        <v>45339</v>
      </c>
      <c r="E4179" t="s">
        <v>2281</v>
      </c>
      <c r="F4179" t="s">
        <v>75</v>
      </c>
      <c r="I4179" s="6">
        <v>0</v>
      </c>
      <c r="J4179" s="6">
        <v>0</v>
      </c>
      <c r="K4179" s="6">
        <v>0</v>
      </c>
      <c r="L4179" s="6">
        <v>0</v>
      </c>
      <c r="M4179" s="6">
        <v>0</v>
      </c>
      <c r="N4179" s="6">
        <v>0</v>
      </c>
      <c r="O4179" s="6">
        <v>0</v>
      </c>
      <c r="P4179" s="6">
        <v>0</v>
      </c>
      <c r="Q4179">
        <v>1</v>
      </c>
      <c r="R4179">
        <f t="shared" si="325"/>
        <v>0</v>
      </c>
      <c r="S4179">
        <f t="shared" si="326"/>
        <v>1</v>
      </c>
      <c r="T4179">
        <f t="shared" si="327"/>
        <v>0</v>
      </c>
      <c r="U4179">
        <f t="shared" si="328"/>
        <v>0</v>
      </c>
      <c r="V4179">
        <f t="shared" si="329"/>
        <v>0</v>
      </c>
    </row>
    <row r="4180" spans="1:22" x14ac:dyDescent="0.25">
      <c r="A4180">
        <v>4177</v>
      </c>
      <c r="B4180" t="s">
        <v>30</v>
      </c>
      <c r="C4180" t="s">
        <v>1455</v>
      </c>
      <c r="D4180" s="4">
        <v>45339</v>
      </c>
      <c r="E4180" t="s">
        <v>2280</v>
      </c>
      <c r="F4180" t="s">
        <v>75</v>
      </c>
      <c r="I4180" s="6">
        <v>0</v>
      </c>
      <c r="J4180" s="6">
        <v>0</v>
      </c>
      <c r="K4180" s="6">
        <v>0</v>
      </c>
      <c r="L4180" s="6">
        <v>0</v>
      </c>
      <c r="M4180" s="6">
        <v>1</v>
      </c>
      <c r="N4180" s="6">
        <v>0</v>
      </c>
      <c r="O4180" s="6">
        <v>0</v>
      </c>
      <c r="P4180" s="6">
        <v>0</v>
      </c>
      <c r="Q4180">
        <v>1</v>
      </c>
      <c r="R4180">
        <f t="shared" si="325"/>
        <v>0</v>
      </c>
      <c r="S4180">
        <f t="shared" si="326"/>
        <v>1</v>
      </c>
      <c r="T4180">
        <f t="shared" si="327"/>
        <v>1</v>
      </c>
      <c r="U4180">
        <f t="shared" si="328"/>
        <v>1</v>
      </c>
      <c r="V4180">
        <f t="shared" si="329"/>
        <v>0</v>
      </c>
    </row>
    <row r="4181" spans="1:22" x14ac:dyDescent="0.25">
      <c r="A4181">
        <v>4178</v>
      </c>
      <c r="B4181" t="s">
        <v>30</v>
      </c>
      <c r="C4181" t="s">
        <v>1455</v>
      </c>
      <c r="D4181" s="4">
        <v>45339</v>
      </c>
      <c r="E4181" t="s">
        <v>2279</v>
      </c>
      <c r="F4181" t="s">
        <v>75</v>
      </c>
      <c r="I4181" s="6">
        <v>0</v>
      </c>
      <c r="J4181" s="6">
        <v>0</v>
      </c>
      <c r="K4181" s="6">
        <v>0</v>
      </c>
      <c r="L4181" s="6">
        <v>1</v>
      </c>
      <c r="M4181" s="6">
        <v>0</v>
      </c>
      <c r="N4181" s="6">
        <v>0</v>
      </c>
      <c r="O4181" s="6">
        <v>0</v>
      </c>
      <c r="P4181" s="6">
        <v>0</v>
      </c>
      <c r="Q4181">
        <v>1</v>
      </c>
      <c r="R4181">
        <f t="shared" si="325"/>
        <v>0</v>
      </c>
      <c r="S4181">
        <f t="shared" si="326"/>
        <v>1</v>
      </c>
      <c r="T4181">
        <f t="shared" si="327"/>
        <v>1</v>
      </c>
      <c r="U4181">
        <f t="shared" si="328"/>
        <v>1</v>
      </c>
      <c r="V4181">
        <f t="shared" si="329"/>
        <v>0</v>
      </c>
    </row>
    <row r="4182" spans="1:22" x14ac:dyDescent="0.25">
      <c r="A4182">
        <v>4179</v>
      </c>
      <c r="B4182" t="s">
        <v>30</v>
      </c>
      <c r="C4182" t="s">
        <v>1455</v>
      </c>
      <c r="D4182" s="4">
        <v>45340</v>
      </c>
      <c r="E4182" t="s">
        <v>1280</v>
      </c>
      <c r="F4182" t="s">
        <v>75</v>
      </c>
      <c r="I4182" s="6">
        <v>0</v>
      </c>
      <c r="J4182" s="6">
        <v>0</v>
      </c>
      <c r="K4182" s="6">
        <v>0</v>
      </c>
      <c r="L4182" s="6">
        <v>1</v>
      </c>
      <c r="M4182" s="6">
        <v>1</v>
      </c>
      <c r="N4182" s="6">
        <v>0</v>
      </c>
      <c r="O4182" s="6">
        <v>0</v>
      </c>
      <c r="P4182" s="6">
        <v>0</v>
      </c>
      <c r="Q4182">
        <v>1</v>
      </c>
      <c r="R4182">
        <f t="shared" si="325"/>
        <v>0</v>
      </c>
      <c r="S4182">
        <f t="shared" si="326"/>
        <v>1</v>
      </c>
      <c r="T4182">
        <f t="shared" si="327"/>
        <v>2</v>
      </c>
      <c r="U4182">
        <f t="shared" si="328"/>
        <v>1</v>
      </c>
      <c r="V4182">
        <f t="shared" si="329"/>
        <v>0</v>
      </c>
    </row>
    <row r="4183" spans="1:22" x14ac:dyDescent="0.25">
      <c r="A4183">
        <v>4180</v>
      </c>
      <c r="B4183" t="s">
        <v>30</v>
      </c>
      <c r="C4183" t="s">
        <v>1455</v>
      </c>
      <c r="D4183" s="4">
        <v>45340</v>
      </c>
      <c r="E4183" t="s">
        <v>1113</v>
      </c>
      <c r="F4183" t="s">
        <v>75</v>
      </c>
      <c r="I4183" s="6"/>
      <c r="J4183" s="6"/>
      <c r="K4183" s="6"/>
      <c r="L4183" s="6"/>
      <c r="M4183" s="6"/>
      <c r="N4183" s="6"/>
      <c r="O4183" s="6"/>
      <c r="P4183" s="6"/>
      <c r="Q4183">
        <v>0</v>
      </c>
      <c r="R4183">
        <f t="shared" si="325"/>
        <v>0</v>
      </c>
      <c r="S4183">
        <f t="shared" si="326"/>
        <v>0</v>
      </c>
      <c r="T4183">
        <f t="shared" si="327"/>
        <v>0</v>
      </c>
      <c r="U4183">
        <f t="shared" si="328"/>
        <v>0</v>
      </c>
      <c r="V4183">
        <f t="shared" si="329"/>
        <v>0</v>
      </c>
    </row>
    <row r="4184" spans="1:22" x14ac:dyDescent="0.25">
      <c r="A4184">
        <v>4181</v>
      </c>
      <c r="B4184" t="s">
        <v>30</v>
      </c>
      <c r="C4184" t="s">
        <v>1455</v>
      </c>
      <c r="D4184" s="4">
        <v>45341</v>
      </c>
      <c r="E4184" t="s">
        <v>1458</v>
      </c>
      <c r="F4184" t="s">
        <v>75</v>
      </c>
      <c r="I4184" s="6">
        <v>0</v>
      </c>
      <c r="J4184" s="6">
        <v>0</v>
      </c>
      <c r="K4184" s="6">
        <v>1</v>
      </c>
      <c r="L4184" s="6">
        <v>0</v>
      </c>
      <c r="M4184" s="6">
        <v>0</v>
      </c>
      <c r="N4184" s="6">
        <v>0</v>
      </c>
      <c r="O4184" s="6">
        <v>0</v>
      </c>
      <c r="P4184" s="6">
        <v>0</v>
      </c>
      <c r="Q4184">
        <v>1</v>
      </c>
      <c r="R4184">
        <f t="shared" si="325"/>
        <v>0</v>
      </c>
      <c r="S4184">
        <f t="shared" si="326"/>
        <v>1</v>
      </c>
      <c r="T4184">
        <f t="shared" si="327"/>
        <v>1</v>
      </c>
      <c r="U4184">
        <f t="shared" si="328"/>
        <v>1</v>
      </c>
      <c r="V4184">
        <f t="shared" si="329"/>
        <v>0</v>
      </c>
    </row>
    <row r="4185" spans="1:22" x14ac:dyDescent="0.25">
      <c r="A4185">
        <v>4182</v>
      </c>
      <c r="B4185" t="s">
        <v>30</v>
      </c>
      <c r="C4185" t="s">
        <v>1455</v>
      </c>
      <c r="D4185" s="4">
        <v>45341</v>
      </c>
      <c r="E4185" t="s">
        <v>2274</v>
      </c>
      <c r="F4185" t="s">
        <v>75</v>
      </c>
      <c r="I4185" s="6"/>
      <c r="J4185" s="6"/>
      <c r="K4185" s="6"/>
      <c r="L4185" s="6"/>
      <c r="M4185" s="6"/>
      <c r="N4185" s="6"/>
      <c r="O4185" s="6"/>
      <c r="P4185" s="6"/>
      <c r="Q4185">
        <v>0</v>
      </c>
      <c r="R4185">
        <f t="shared" si="325"/>
        <v>0</v>
      </c>
      <c r="S4185">
        <f t="shared" si="326"/>
        <v>0</v>
      </c>
      <c r="T4185">
        <f t="shared" si="327"/>
        <v>0</v>
      </c>
      <c r="U4185">
        <f t="shared" si="328"/>
        <v>0</v>
      </c>
      <c r="V4185">
        <f t="shared" si="329"/>
        <v>0</v>
      </c>
    </row>
    <row r="4186" spans="1:22" x14ac:dyDescent="0.25">
      <c r="A4186">
        <v>4183</v>
      </c>
      <c r="B4186" t="s">
        <v>30</v>
      </c>
      <c r="C4186" t="s">
        <v>1455</v>
      </c>
      <c r="D4186" s="4">
        <v>45341</v>
      </c>
      <c r="E4186" t="s">
        <v>1508</v>
      </c>
      <c r="F4186" t="s">
        <v>75</v>
      </c>
      <c r="I4186" s="6"/>
      <c r="J4186" s="6"/>
      <c r="K4186" s="6"/>
      <c r="L4186" s="6"/>
      <c r="M4186" s="6"/>
      <c r="N4186" s="6"/>
      <c r="O4186" s="6"/>
      <c r="P4186" s="6"/>
      <c r="Q4186">
        <v>0</v>
      </c>
      <c r="R4186">
        <f t="shared" si="325"/>
        <v>0</v>
      </c>
      <c r="S4186">
        <f t="shared" si="326"/>
        <v>0</v>
      </c>
      <c r="T4186">
        <f t="shared" si="327"/>
        <v>0</v>
      </c>
      <c r="U4186">
        <f t="shared" si="328"/>
        <v>0</v>
      </c>
      <c r="V4186">
        <f t="shared" si="329"/>
        <v>0</v>
      </c>
    </row>
    <row r="4187" spans="1:22" x14ac:dyDescent="0.25">
      <c r="A4187">
        <v>4184</v>
      </c>
      <c r="B4187" t="s">
        <v>30</v>
      </c>
      <c r="C4187" t="s">
        <v>1455</v>
      </c>
      <c r="D4187" s="4">
        <v>45341</v>
      </c>
      <c r="E4187" t="s">
        <v>1459</v>
      </c>
      <c r="F4187" t="s">
        <v>75</v>
      </c>
      <c r="I4187" s="6">
        <v>0</v>
      </c>
      <c r="J4187" s="6">
        <v>0</v>
      </c>
      <c r="K4187" s="6">
        <v>0</v>
      </c>
      <c r="L4187" s="6">
        <v>1</v>
      </c>
      <c r="M4187" s="6">
        <v>0</v>
      </c>
      <c r="N4187" s="6">
        <v>0</v>
      </c>
      <c r="O4187" s="6">
        <v>0</v>
      </c>
      <c r="P4187" s="6">
        <v>0</v>
      </c>
      <c r="Q4187">
        <v>1</v>
      </c>
      <c r="R4187">
        <f t="shared" si="325"/>
        <v>0</v>
      </c>
      <c r="S4187">
        <f t="shared" si="326"/>
        <v>1</v>
      </c>
      <c r="T4187">
        <f t="shared" si="327"/>
        <v>1</v>
      </c>
      <c r="U4187">
        <f t="shared" si="328"/>
        <v>1</v>
      </c>
      <c r="V4187">
        <f t="shared" si="329"/>
        <v>0</v>
      </c>
    </row>
    <row r="4188" spans="1:22" x14ac:dyDescent="0.25">
      <c r="A4188">
        <v>4185</v>
      </c>
      <c r="B4188" t="s">
        <v>30</v>
      </c>
      <c r="C4188" t="s">
        <v>1455</v>
      </c>
      <c r="D4188" s="4">
        <v>45342</v>
      </c>
      <c r="E4188" t="s">
        <v>1509</v>
      </c>
      <c r="F4188" t="s">
        <v>75</v>
      </c>
      <c r="I4188" s="6"/>
      <c r="J4188" s="6"/>
      <c r="K4188" s="6"/>
      <c r="L4188" s="6"/>
      <c r="M4188" s="6"/>
      <c r="N4188" s="6"/>
      <c r="O4188" s="6"/>
      <c r="P4188" s="6"/>
      <c r="Q4188">
        <v>0</v>
      </c>
      <c r="R4188">
        <f t="shared" si="325"/>
        <v>0</v>
      </c>
      <c r="S4188">
        <f t="shared" si="326"/>
        <v>0</v>
      </c>
      <c r="T4188">
        <f t="shared" si="327"/>
        <v>0</v>
      </c>
      <c r="U4188">
        <f t="shared" si="328"/>
        <v>0</v>
      </c>
      <c r="V4188">
        <f t="shared" si="329"/>
        <v>0</v>
      </c>
    </row>
    <row r="4189" spans="1:22" x14ac:dyDescent="0.25">
      <c r="A4189">
        <v>4186</v>
      </c>
      <c r="B4189" t="s">
        <v>30</v>
      </c>
      <c r="C4189" t="s">
        <v>1455</v>
      </c>
      <c r="D4189" s="4">
        <v>45342</v>
      </c>
      <c r="E4189" t="s">
        <v>1460</v>
      </c>
      <c r="F4189" t="s">
        <v>75</v>
      </c>
      <c r="I4189" s="6">
        <v>0</v>
      </c>
      <c r="J4189" s="6">
        <v>0</v>
      </c>
      <c r="K4189" s="6">
        <v>0</v>
      </c>
      <c r="L4189" s="6">
        <v>0</v>
      </c>
      <c r="M4189" s="6">
        <v>0</v>
      </c>
      <c r="N4189" s="6">
        <v>0</v>
      </c>
      <c r="O4189" s="6">
        <v>0</v>
      </c>
      <c r="P4189" s="6">
        <v>0</v>
      </c>
      <c r="Q4189">
        <v>1</v>
      </c>
      <c r="R4189">
        <f t="shared" si="325"/>
        <v>0</v>
      </c>
      <c r="S4189">
        <f t="shared" si="326"/>
        <v>1</v>
      </c>
      <c r="T4189">
        <f t="shared" si="327"/>
        <v>0</v>
      </c>
      <c r="U4189">
        <f t="shared" si="328"/>
        <v>0</v>
      </c>
      <c r="V4189">
        <f t="shared" si="329"/>
        <v>0</v>
      </c>
    </row>
    <row r="4190" spans="1:22" x14ac:dyDescent="0.25">
      <c r="A4190">
        <v>4187</v>
      </c>
      <c r="B4190" t="s">
        <v>30</v>
      </c>
      <c r="C4190" t="s">
        <v>1455</v>
      </c>
      <c r="D4190" s="4">
        <v>45342</v>
      </c>
      <c r="E4190" t="s">
        <v>1114</v>
      </c>
      <c r="F4190" t="s">
        <v>75</v>
      </c>
      <c r="I4190" s="6"/>
      <c r="J4190" s="6"/>
      <c r="K4190" s="6"/>
      <c r="L4190" s="6"/>
      <c r="M4190" s="6"/>
      <c r="N4190" s="6"/>
      <c r="O4190" s="6"/>
      <c r="P4190" s="6"/>
      <c r="Q4190">
        <v>0</v>
      </c>
      <c r="R4190">
        <f t="shared" si="325"/>
        <v>0</v>
      </c>
      <c r="S4190">
        <f t="shared" si="326"/>
        <v>0</v>
      </c>
      <c r="T4190">
        <f t="shared" si="327"/>
        <v>0</v>
      </c>
      <c r="U4190">
        <f t="shared" si="328"/>
        <v>0</v>
      </c>
      <c r="V4190">
        <f t="shared" si="329"/>
        <v>0</v>
      </c>
    </row>
    <row r="4191" spans="1:22" x14ac:dyDescent="0.25">
      <c r="A4191">
        <v>4188</v>
      </c>
      <c r="B4191" t="s">
        <v>30</v>
      </c>
      <c r="C4191" t="s">
        <v>1455</v>
      </c>
      <c r="D4191" s="4">
        <v>45342</v>
      </c>
      <c r="E4191" t="s">
        <v>1115</v>
      </c>
      <c r="F4191" t="s">
        <v>75</v>
      </c>
      <c r="I4191" s="6"/>
      <c r="J4191" s="6"/>
      <c r="K4191" s="6"/>
      <c r="L4191" s="6"/>
      <c r="M4191" s="6"/>
      <c r="N4191" s="6"/>
      <c r="O4191" s="6"/>
      <c r="P4191" s="6"/>
      <c r="Q4191">
        <v>0</v>
      </c>
      <c r="R4191">
        <f t="shared" si="325"/>
        <v>0</v>
      </c>
      <c r="S4191">
        <f t="shared" si="326"/>
        <v>0</v>
      </c>
      <c r="T4191">
        <f t="shared" si="327"/>
        <v>0</v>
      </c>
      <c r="U4191">
        <f t="shared" si="328"/>
        <v>0</v>
      </c>
      <c r="V4191">
        <f t="shared" si="329"/>
        <v>0</v>
      </c>
    </row>
    <row r="4192" spans="1:22" x14ac:dyDescent="0.25">
      <c r="A4192">
        <v>4189</v>
      </c>
      <c r="B4192" t="s">
        <v>30</v>
      </c>
      <c r="C4192" t="s">
        <v>1455</v>
      </c>
      <c r="D4192" s="4">
        <v>45343</v>
      </c>
      <c r="E4192" t="s">
        <v>1117</v>
      </c>
      <c r="F4192" t="s">
        <v>75</v>
      </c>
      <c r="I4192" s="6"/>
      <c r="J4192" s="6"/>
      <c r="K4192" s="6"/>
      <c r="L4192" s="6"/>
      <c r="M4192" s="6"/>
      <c r="N4192" s="6"/>
      <c r="O4192" s="6"/>
      <c r="P4192" s="6"/>
      <c r="Q4192">
        <v>0</v>
      </c>
      <c r="R4192">
        <f t="shared" si="325"/>
        <v>0</v>
      </c>
      <c r="S4192">
        <f t="shared" si="326"/>
        <v>0</v>
      </c>
      <c r="T4192">
        <f t="shared" si="327"/>
        <v>0</v>
      </c>
      <c r="U4192">
        <f t="shared" si="328"/>
        <v>0</v>
      </c>
      <c r="V4192">
        <f t="shared" si="329"/>
        <v>0</v>
      </c>
    </row>
    <row r="4193" spans="1:22" x14ac:dyDescent="0.25">
      <c r="A4193">
        <v>4190</v>
      </c>
      <c r="B4193" t="s">
        <v>30</v>
      </c>
      <c r="C4193" t="s">
        <v>1455</v>
      </c>
      <c r="D4193" s="4">
        <v>45343</v>
      </c>
      <c r="E4193" t="s">
        <v>1461</v>
      </c>
      <c r="F4193" t="s">
        <v>75</v>
      </c>
      <c r="I4193" s="6">
        <v>0</v>
      </c>
      <c r="J4193" s="6">
        <v>0</v>
      </c>
      <c r="K4193" s="6">
        <v>0</v>
      </c>
      <c r="L4193" s="6">
        <v>0</v>
      </c>
      <c r="M4193" s="6">
        <v>0</v>
      </c>
      <c r="N4193" s="6">
        <v>0</v>
      </c>
      <c r="O4193" s="6">
        <v>0</v>
      </c>
      <c r="P4193" s="6">
        <v>0</v>
      </c>
      <c r="Q4193">
        <v>1</v>
      </c>
      <c r="R4193">
        <f t="shared" si="325"/>
        <v>0</v>
      </c>
      <c r="S4193">
        <f t="shared" si="326"/>
        <v>1</v>
      </c>
      <c r="T4193">
        <f t="shared" si="327"/>
        <v>0</v>
      </c>
      <c r="U4193">
        <f t="shared" si="328"/>
        <v>0</v>
      </c>
      <c r="V4193">
        <f t="shared" si="329"/>
        <v>0</v>
      </c>
    </row>
    <row r="4194" spans="1:22" x14ac:dyDescent="0.25">
      <c r="A4194">
        <v>4191</v>
      </c>
      <c r="B4194" t="s">
        <v>30</v>
      </c>
      <c r="C4194" t="s">
        <v>1455</v>
      </c>
      <c r="D4194" s="4">
        <v>45343</v>
      </c>
      <c r="E4194" t="s">
        <v>2271</v>
      </c>
      <c r="F4194" t="s">
        <v>75</v>
      </c>
      <c r="I4194" s="6">
        <v>0</v>
      </c>
      <c r="J4194" s="6">
        <v>0</v>
      </c>
      <c r="K4194" s="6">
        <v>0</v>
      </c>
      <c r="L4194" s="6">
        <v>0</v>
      </c>
      <c r="M4194" s="6">
        <v>0</v>
      </c>
      <c r="N4194" s="6">
        <v>0</v>
      </c>
      <c r="O4194" s="6">
        <v>0</v>
      </c>
      <c r="P4194" s="6">
        <v>0</v>
      </c>
      <c r="Q4194">
        <v>1</v>
      </c>
      <c r="R4194">
        <f t="shared" si="325"/>
        <v>0</v>
      </c>
      <c r="S4194">
        <f t="shared" si="326"/>
        <v>1</v>
      </c>
      <c r="T4194">
        <f t="shared" si="327"/>
        <v>0</v>
      </c>
      <c r="U4194">
        <f t="shared" si="328"/>
        <v>0</v>
      </c>
      <c r="V4194">
        <f t="shared" si="329"/>
        <v>0</v>
      </c>
    </row>
    <row r="4195" spans="1:22" x14ac:dyDescent="0.25">
      <c r="A4195">
        <v>4192</v>
      </c>
      <c r="B4195" t="s">
        <v>30</v>
      </c>
      <c r="C4195" t="s">
        <v>1455</v>
      </c>
      <c r="D4195" s="4">
        <v>45344</v>
      </c>
      <c r="E4195" t="s">
        <v>1511</v>
      </c>
      <c r="F4195" t="s">
        <v>75</v>
      </c>
      <c r="I4195" s="6"/>
      <c r="J4195" s="6"/>
      <c r="K4195" s="6"/>
      <c r="L4195" s="6"/>
      <c r="M4195" s="6"/>
      <c r="N4195" s="6"/>
      <c r="O4195" s="6"/>
      <c r="P4195" s="6"/>
      <c r="Q4195">
        <v>0</v>
      </c>
      <c r="R4195">
        <f t="shared" si="325"/>
        <v>0</v>
      </c>
      <c r="S4195">
        <f t="shared" si="326"/>
        <v>0</v>
      </c>
      <c r="T4195">
        <f t="shared" si="327"/>
        <v>0</v>
      </c>
      <c r="U4195">
        <f t="shared" si="328"/>
        <v>0</v>
      </c>
      <c r="V4195">
        <f t="shared" si="329"/>
        <v>0</v>
      </c>
    </row>
    <row r="4196" spans="1:22" x14ac:dyDescent="0.25">
      <c r="A4196">
        <v>4193</v>
      </c>
      <c r="B4196" t="s">
        <v>30</v>
      </c>
      <c r="C4196" t="s">
        <v>1455</v>
      </c>
      <c r="D4196" s="4">
        <v>45344</v>
      </c>
      <c r="E4196" t="s">
        <v>1048</v>
      </c>
      <c r="F4196" t="s">
        <v>75</v>
      </c>
      <c r="I4196" s="6">
        <v>0</v>
      </c>
      <c r="J4196" s="6">
        <v>0</v>
      </c>
      <c r="K4196" s="6">
        <v>0</v>
      </c>
      <c r="L4196" s="6">
        <v>0</v>
      </c>
      <c r="M4196" s="6">
        <v>1</v>
      </c>
      <c r="N4196" s="6">
        <v>0</v>
      </c>
      <c r="O4196" s="6">
        <v>0</v>
      </c>
      <c r="P4196" s="6">
        <v>0</v>
      </c>
      <c r="Q4196">
        <v>1</v>
      </c>
      <c r="R4196">
        <f t="shared" si="325"/>
        <v>0</v>
      </c>
      <c r="S4196">
        <f t="shared" si="326"/>
        <v>1</v>
      </c>
      <c r="T4196">
        <f t="shared" si="327"/>
        <v>1</v>
      </c>
      <c r="U4196">
        <f t="shared" si="328"/>
        <v>1</v>
      </c>
      <c r="V4196">
        <f t="shared" si="329"/>
        <v>0</v>
      </c>
    </row>
    <row r="4197" spans="1:22" x14ac:dyDescent="0.25">
      <c r="A4197">
        <v>4194</v>
      </c>
      <c r="B4197" t="s">
        <v>30</v>
      </c>
      <c r="C4197" t="s">
        <v>1455</v>
      </c>
      <c r="D4197" s="4">
        <v>45344</v>
      </c>
      <c r="E4197" t="s">
        <v>1285</v>
      </c>
      <c r="F4197" t="s">
        <v>413</v>
      </c>
      <c r="G4197">
        <v>218</v>
      </c>
      <c r="I4197" s="6">
        <v>1</v>
      </c>
      <c r="J4197" s="6">
        <v>0</v>
      </c>
      <c r="K4197" s="6">
        <v>1</v>
      </c>
      <c r="L4197" s="6">
        <v>0</v>
      </c>
      <c r="M4197" s="6">
        <v>0</v>
      </c>
      <c r="N4197" s="6">
        <v>0</v>
      </c>
      <c r="O4197" s="6">
        <v>0</v>
      </c>
      <c r="P4197" s="6">
        <v>0</v>
      </c>
      <c r="Q4197">
        <v>1</v>
      </c>
      <c r="R4197">
        <f t="shared" si="325"/>
        <v>1</v>
      </c>
      <c r="S4197">
        <f t="shared" si="326"/>
        <v>0</v>
      </c>
      <c r="T4197">
        <f t="shared" si="327"/>
        <v>2</v>
      </c>
      <c r="U4197">
        <f t="shared" si="328"/>
        <v>1</v>
      </c>
      <c r="V4197">
        <f t="shared" si="329"/>
        <v>1</v>
      </c>
    </row>
    <row r="4198" spans="1:22" x14ac:dyDescent="0.25">
      <c r="A4198">
        <v>4195</v>
      </c>
      <c r="B4198" t="s">
        <v>30</v>
      </c>
      <c r="C4198" t="s">
        <v>1455</v>
      </c>
      <c r="D4198" s="4">
        <v>45344</v>
      </c>
      <c r="E4198" t="s">
        <v>1286</v>
      </c>
      <c r="F4198" t="s">
        <v>75</v>
      </c>
      <c r="I4198" s="6">
        <v>0</v>
      </c>
      <c r="J4198" s="6">
        <v>0</v>
      </c>
      <c r="K4198" s="6">
        <v>0</v>
      </c>
      <c r="L4198" s="6">
        <v>0</v>
      </c>
      <c r="M4198" s="6">
        <v>0</v>
      </c>
      <c r="N4198" s="6">
        <v>1</v>
      </c>
      <c r="O4198" s="6">
        <v>0</v>
      </c>
      <c r="P4198" s="6">
        <v>0</v>
      </c>
      <c r="Q4198">
        <v>1</v>
      </c>
      <c r="R4198">
        <f t="shared" si="325"/>
        <v>0</v>
      </c>
      <c r="S4198">
        <f t="shared" si="326"/>
        <v>1</v>
      </c>
      <c r="T4198">
        <f t="shared" si="327"/>
        <v>1</v>
      </c>
      <c r="U4198">
        <f t="shared" si="328"/>
        <v>1</v>
      </c>
      <c r="V4198">
        <f t="shared" si="329"/>
        <v>0</v>
      </c>
    </row>
    <row r="4199" spans="1:22" x14ac:dyDescent="0.25">
      <c r="A4199">
        <v>4196</v>
      </c>
      <c r="B4199" t="s">
        <v>30</v>
      </c>
      <c r="C4199" t="s">
        <v>1455</v>
      </c>
      <c r="D4199" s="4">
        <v>45344</v>
      </c>
      <c r="E4199" t="s">
        <v>2267</v>
      </c>
      <c r="F4199" t="s">
        <v>75</v>
      </c>
      <c r="I4199" s="6"/>
      <c r="J4199" s="6"/>
      <c r="K4199" s="6"/>
      <c r="L4199" s="6"/>
      <c r="M4199" s="6"/>
      <c r="N4199" s="6"/>
      <c r="O4199" s="6"/>
      <c r="P4199" s="6"/>
      <c r="Q4199">
        <v>0</v>
      </c>
      <c r="R4199">
        <f t="shared" si="325"/>
        <v>0</v>
      </c>
      <c r="S4199">
        <f t="shared" si="326"/>
        <v>0</v>
      </c>
      <c r="T4199">
        <f t="shared" si="327"/>
        <v>0</v>
      </c>
      <c r="U4199">
        <f t="shared" si="328"/>
        <v>0</v>
      </c>
      <c r="V4199">
        <f t="shared" si="329"/>
        <v>0</v>
      </c>
    </row>
    <row r="4200" spans="1:22" x14ac:dyDescent="0.25">
      <c r="A4200">
        <v>4197</v>
      </c>
      <c r="B4200" t="s">
        <v>30</v>
      </c>
      <c r="C4200" t="s">
        <v>1455</v>
      </c>
      <c r="D4200" s="4">
        <v>45344</v>
      </c>
      <c r="E4200" t="s">
        <v>1462</v>
      </c>
      <c r="F4200" t="s">
        <v>75</v>
      </c>
      <c r="I4200" s="6">
        <v>0</v>
      </c>
      <c r="J4200" s="6">
        <v>0</v>
      </c>
      <c r="K4200" s="6">
        <v>0</v>
      </c>
      <c r="L4200" s="6">
        <v>0</v>
      </c>
      <c r="M4200" s="6">
        <v>0</v>
      </c>
      <c r="N4200" s="6">
        <v>0</v>
      </c>
      <c r="O4200" s="6">
        <v>0</v>
      </c>
      <c r="P4200" s="6">
        <v>0</v>
      </c>
      <c r="Q4200">
        <v>1</v>
      </c>
      <c r="R4200">
        <f t="shared" si="325"/>
        <v>0</v>
      </c>
      <c r="S4200">
        <f t="shared" si="326"/>
        <v>1</v>
      </c>
      <c r="T4200">
        <f t="shared" si="327"/>
        <v>0</v>
      </c>
      <c r="U4200">
        <f t="shared" si="328"/>
        <v>0</v>
      </c>
      <c r="V4200">
        <f t="shared" si="329"/>
        <v>0</v>
      </c>
    </row>
    <row r="4201" spans="1:22" x14ac:dyDescent="0.25">
      <c r="A4201">
        <v>4198</v>
      </c>
      <c r="B4201" t="s">
        <v>30</v>
      </c>
      <c r="C4201" t="s">
        <v>1455</v>
      </c>
      <c r="D4201" s="4">
        <v>45345</v>
      </c>
      <c r="E4201" t="s">
        <v>1049</v>
      </c>
      <c r="F4201" t="s">
        <v>75</v>
      </c>
      <c r="I4201" s="6"/>
      <c r="J4201" s="6"/>
      <c r="K4201" s="6"/>
      <c r="L4201" s="6"/>
      <c r="M4201" s="6"/>
      <c r="N4201" s="6"/>
      <c r="O4201" s="6"/>
      <c r="P4201" s="6"/>
      <c r="Q4201">
        <v>0</v>
      </c>
      <c r="R4201">
        <f t="shared" si="325"/>
        <v>0</v>
      </c>
      <c r="S4201">
        <f t="shared" si="326"/>
        <v>0</v>
      </c>
      <c r="T4201">
        <f t="shared" si="327"/>
        <v>0</v>
      </c>
      <c r="U4201">
        <f t="shared" si="328"/>
        <v>0</v>
      </c>
      <c r="V4201">
        <f t="shared" si="329"/>
        <v>0</v>
      </c>
    </row>
    <row r="4202" spans="1:22" x14ac:dyDescent="0.25">
      <c r="A4202">
        <v>4199</v>
      </c>
      <c r="B4202" t="s">
        <v>30</v>
      </c>
      <c r="C4202" t="s">
        <v>1455</v>
      </c>
      <c r="D4202" s="4">
        <v>45345</v>
      </c>
      <c r="E4202" t="s">
        <v>2265</v>
      </c>
      <c r="F4202" t="s">
        <v>75</v>
      </c>
      <c r="I4202" s="6">
        <v>0</v>
      </c>
      <c r="J4202" s="6">
        <v>0</v>
      </c>
      <c r="K4202" s="6">
        <v>0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>
        <v>1</v>
      </c>
      <c r="R4202">
        <f t="shared" si="325"/>
        <v>0</v>
      </c>
      <c r="S4202">
        <f t="shared" si="326"/>
        <v>1</v>
      </c>
      <c r="T4202">
        <f t="shared" si="327"/>
        <v>0</v>
      </c>
      <c r="U4202">
        <f t="shared" si="328"/>
        <v>0</v>
      </c>
      <c r="V4202">
        <f t="shared" si="329"/>
        <v>0</v>
      </c>
    </row>
    <row r="4203" spans="1:22" x14ac:dyDescent="0.25">
      <c r="A4203">
        <v>4200</v>
      </c>
      <c r="B4203" t="s">
        <v>30</v>
      </c>
      <c r="C4203" t="s">
        <v>1455</v>
      </c>
      <c r="D4203" s="4">
        <v>45345</v>
      </c>
      <c r="E4203" t="s">
        <v>1463</v>
      </c>
      <c r="F4203" t="s">
        <v>75</v>
      </c>
      <c r="I4203" s="6">
        <v>0</v>
      </c>
      <c r="J4203" s="6">
        <v>0</v>
      </c>
      <c r="K4203" s="6">
        <v>0</v>
      </c>
      <c r="L4203" s="6">
        <v>0</v>
      </c>
      <c r="M4203" s="6">
        <v>0</v>
      </c>
      <c r="N4203" s="6">
        <v>0</v>
      </c>
      <c r="O4203" s="6">
        <v>0</v>
      </c>
      <c r="P4203" s="6">
        <v>0</v>
      </c>
      <c r="Q4203">
        <v>1</v>
      </c>
      <c r="R4203">
        <f t="shared" si="325"/>
        <v>0</v>
      </c>
      <c r="S4203">
        <f t="shared" si="326"/>
        <v>1</v>
      </c>
      <c r="T4203">
        <f t="shared" si="327"/>
        <v>0</v>
      </c>
      <c r="U4203">
        <f t="shared" si="328"/>
        <v>0</v>
      </c>
      <c r="V4203">
        <f t="shared" si="329"/>
        <v>0</v>
      </c>
    </row>
    <row r="4204" spans="1:22" x14ac:dyDescent="0.25">
      <c r="A4204">
        <v>4201</v>
      </c>
      <c r="B4204" t="s">
        <v>30</v>
      </c>
      <c r="C4204" t="s">
        <v>1455</v>
      </c>
      <c r="D4204" s="4">
        <v>45345</v>
      </c>
      <c r="E4204" t="s">
        <v>1464</v>
      </c>
      <c r="F4204" t="s">
        <v>75</v>
      </c>
      <c r="I4204" s="6">
        <v>0</v>
      </c>
      <c r="J4204" s="6">
        <v>0</v>
      </c>
      <c r="K4204" s="6">
        <v>0</v>
      </c>
      <c r="L4204" s="6">
        <v>0</v>
      </c>
      <c r="M4204" s="6">
        <v>0</v>
      </c>
      <c r="N4204" s="6">
        <v>0</v>
      </c>
      <c r="O4204" s="6">
        <v>0</v>
      </c>
      <c r="P4204" s="6">
        <v>0</v>
      </c>
      <c r="Q4204">
        <v>1</v>
      </c>
      <c r="R4204">
        <f t="shared" si="325"/>
        <v>0</v>
      </c>
      <c r="S4204">
        <f t="shared" si="326"/>
        <v>1</v>
      </c>
      <c r="T4204">
        <f t="shared" si="327"/>
        <v>0</v>
      </c>
      <c r="U4204">
        <f t="shared" si="328"/>
        <v>0</v>
      </c>
      <c r="V4204">
        <f t="shared" si="329"/>
        <v>0</v>
      </c>
    </row>
    <row r="4205" spans="1:22" x14ac:dyDescent="0.25">
      <c r="A4205">
        <v>4202</v>
      </c>
      <c r="B4205" t="s">
        <v>30</v>
      </c>
      <c r="C4205" t="s">
        <v>1455</v>
      </c>
      <c r="D4205" s="4">
        <v>45346</v>
      </c>
      <c r="E4205" t="s">
        <v>1050</v>
      </c>
      <c r="F4205" t="s">
        <v>75</v>
      </c>
      <c r="I4205" s="6"/>
      <c r="J4205" s="6"/>
      <c r="K4205" s="6"/>
      <c r="L4205" s="6"/>
      <c r="M4205" s="6"/>
      <c r="N4205" s="6"/>
      <c r="O4205" s="6"/>
      <c r="P4205" s="6"/>
      <c r="Q4205">
        <v>0</v>
      </c>
      <c r="R4205">
        <f t="shared" si="325"/>
        <v>0</v>
      </c>
      <c r="S4205">
        <f t="shared" si="326"/>
        <v>0</v>
      </c>
      <c r="T4205">
        <f t="shared" si="327"/>
        <v>0</v>
      </c>
      <c r="U4205">
        <f t="shared" si="328"/>
        <v>0</v>
      </c>
      <c r="V4205">
        <f t="shared" si="329"/>
        <v>0</v>
      </c>
    </row>
    <row r="4206" spans="1:22" x14ac:dyDescent="0.25">
      <c r="A4206">
        <v>4203</v>
      </c>
      <c r="B4206" t="s">
        <v>30</v>
      </c>
      <c r="C4206" t="s">
        <v>1455</v>
      </c>
      <c r="D4206" s="4">
        <v>45346</v>
      </c>
      <c r="E4206" t="s">
        <v>1051</v>
      </c>
      <c r="F4206" t="s">
        <v>75</v>
      </c>
      <c r="I4206" s="6"/>
      <c r="J4206" s="6"/>
      <c r="K4206" s="6"/>
      <c r="L4206" s="6"/>
      <c r="M4206" s="6"/>
      <c r="N4206" s="6"/>
      <c r="O4206" s="6"/>
      <c r="P4206" s="6"/>
      <c r="Q4206">
        <v>0</v>
      </c>
      <c r="R4206">
        <f t="shared" si="325"/>
        <v>0</v>
      </c>
      <c r="S4206">
        <f t="shared" si="326"/>
        <v>0</v>
      </c>
      <c r="T4206">
        <f t="shared" si="327"/>
        <v>0</v>
      </c>
      <c r="U4206">
        <f t="shared" si="328"/>
        <v>0</v>
      </c>
      <c r="V4206">
        <f t="shared" si="329"/>
        <v>0</v>
      </c>
    </row>
    <row r="4207" spans="1:22" x14ac:dyDescent="0.25">
      <c r="A4207">
        <v>4204</v>
      </c>
      <c r="B4207" t="s">
        <v>30</v>
      </c>
      <c r="C4207" t="s">
        <v>1455</v>
      </c>
      <c r="D4207" s="4">
        <v>45346</v>
      </c>
      <c r="E4207" t="s">
        <v>1513</v>
      </c>
      <c r="F4207" t="s">
        <v>75</v>
      </c>
      <c r="I4207" s="6">
        <v>0</v>
      </c>
      <c r="J4207" s="6">
        <v>0</v>
      </c>
      <c r="K4207" s="6">
        <v>1</v>
      </c>
      <c r="L4207" s="6">
        <v>0</v>
      </c>
      <c r="M4207" s="6">
        <v>0</v>
      </c>
      <c r="N4207" s="6">
        <v>0</v>
      </c>
      <c r="O4207" s="6">
        <v>0</v>
      </c>
      <c r="P4207" s="6">
        <v>0</v>
      </c>
      <c r="Q4207">
        <v>1</v>
      </c>
      <c r="R4207">
        <f t="shared" si="325"/>
        <v>0</v>
      </c>
      <c r="S4207">
        <f t="shared" si="326"/>
        <v>1</v>
      </c>
      <c r="T4207">
        <f t="shared" si="327"/>
        <v>1</v>
      </c>
      <c r="U4207">
        <f t="shared" si="328"/>
        <v>1</v>
      </c>
      <c r="V4207">
        <f t="shared" si="329"/>
        <v>0</v>
      </c>
    </row>
    <row r="4208" spans="1:22" x14ac:dyDescent="0.25">
      <c r="A4208">
        <v>4205</v>
      </c>
      <c r="B4208" t="s">
        <v>30</v>
      </c>
      <c r="C4208" t="s">
        <v>1455</v>
      </c>
      <c r="D4208" s="4">
        <v>45346</v>
      </c>
      <c r="E4208" t="s">
        <v>1118</v>
      </c>
      <c r="F4208" t="s">
        <v>75</v>
      </c>
      <c r="I4208" s="6">
        <v>0</v>
      </c>
      <c r="J4208" s="6">
        <v>0</v>
      </c>
      <c r="K4208" s="6">
        <v>1</v>
      </c>
      <c r="L4208" s="6">
        <v>1</v>
      </c>
      <c r="M4208" s="6">
        <v>1</v>
      </c>
      <c r="N4208" s="6">
        <v>0</v>
      </c>
      <c r="O4208" s="6">
        <v>0</v>
      </c>
      <c r="P4208" s="6">
        <v>0</v>
      </c>
      <c r="Q4208">
        <v>1</v>
      </c>
      <c r="R4208">
        <f t="shared" si="325"/>
        <v>0</v>
      </c>
      <c r="S4208">
        <f t="shared" si="326"/>
        <v>1</v>
      </c>
      <c r="T4208">
        <f t="shared" si="327"/>
        <v>3</v>
      </c>
      <c r="U4208">
        <f t="shared" si="328"/>
        <v>1</v>
      </c>
      <c r="V4208">
        <f t="shared" si="329"/>
        <v>0</v>
      </c>
    </row>
    <row r="4209" spans="1:22" x14ac:dyDescent="0.25">
      <c r="A4209">
        <v>4206</v>
      </c>
      <c r="B4209" t="s">
        <v>30</v>
      </c>
      <c r="C4209" t="s">
        <v>1455</v>
      </c>
      <c r="D4209" s="4">
        <v>45347</v>
      </c>
      <c r="E4209" t="s">
        <v>252</v>
      </c>
      <c r="F4209" t="s">
        <v>75</v>
      </c>
      <c r="I4209" s="6">
        <v>0</v>
      </c>
      <c r="J4209" s="6">
        <v>0</v>
      </c>
      <c r="K4209" s="6">
        <v>0</v>
      </c>
      <c r="L4209" s="6">
        <v>0</v>
      </c>
      <c r="M4209" s="6">
        <v>1</v>
      </c>
      <c r="N4209" s="6">
        <v>0</v>
      </c>
      <c r="O4209" s="6">
        <v>0</v>
      </c>
      <c r="P4209" s="6">
        <v>0</v>
      </c>
      <c r="Q4209">
        <v>1</v>
      </c>
      <c r="R4209">
        <f t="shared" si="325"/>
        <v>0</v>
      </c>
      <c r="S4209">
        <f t="shared" si="326"/>
        <v>1</v>
      </c>
      <c r="T4209">
        <f t="shared" si="327"/>
        <v>1</v>
      </c>
      <c r="U4209">
        <f t="shared" si="328"/>
        <v>1</v>
      </c>
      <c r="V4209">
        <f t="shared" si="329"/>
        <v>0</v>
      </c>
    </row>
    <row r="4210" spans="1:22" x14ac:dyDescent="0.25">
      <c r="A4210">
        <v>4207</v>
      </c>
      <c r="B4210" t="s">
        <v>30</v>
      </c>
      <c r="C4210" t="s">
        <v>1455</v>
      </c>
      <c r="D4210" s="4">
        <v>45348</v>
      </c>
      <c r="E4210" t="s">
        <v>1293</v>
      </c>
      <c r="F4210" t="s">
        <v>75</v>
      </c>
      <c r="I4210" s="6"/>
      <c r="J4210" s="6"/>
      <c r="K4210" s="6"/>
      <c r="L4210" s="6"/>
      <c r="M4210" s="6"/>
      <c r="N4210" s="6"/>
      <c r="O4210" s="6"/>
      <c r="P4210" s="6"/>
      <c r="Q4210">
        <v>0</v>
      </c>
      <c r="R4210">
        <f t="shared" si="325"/>
        <v>0</v>
      </c>
      <c r="S4210">
        <f t="shared" si="326"/>
        <v>0</v>
      </c>
      <c r="T4210">
        <f t="shared" si="327"/>
        <v>0</v>
      </c>
      <c r="U4210">
        <f t="shared" si="328"/>
        <v>0</v>
      </c>
      <c r="V4210">
        <f t="shared" si="329"/>
        <v>0</v>
      </c>
    </row>
    <row r="4211" spans="1:22" x14ac:dyDescent="0.25">
      <c r="A4211">
        <v>4208</v>
      </c>
      <c r="B4211" t="s">
        <v>30</v>
      </c>
      <c r="C4211" t="s">
        <v>1455</v>
      </c>
      <c r="D4211" s="4">
        <v>45348</v>
      </c>
      <c r="E4211" t="s">
        <v>912</v>
      </c>
      <c r="F4211" t="s">
        <v>75</v>
      </c>
      <c r="I4211" s="6">
        <v>0</v>
      </c>
      <c r="J4211" s="6">
        <v>0</v>
      </c>
      <c r="K4211" s="6">
        <v>1</v>
      </c>
      <c r="L4211" s="6">
        <v>0</v>
      </c>
      <c r="M4211" s="6">
        <v>0</v>
      </c>
      <c r="N4211" s="6">
        <v>0</v>
      </c>
      <c r="O4211" s="6">
        <v>0</v>
      </c>
      <c r="P4211" s="6">
        <v>0</v>
      </c>
      <c r="Q4211">
        <v>1</v>
      </c>
      <c r="R4211">
        <f t="shared" si="325"/>
        <v>0</v>
      </c>
      <c r="S4211">
        <f t="shared" si="326"/>
        <v>1</v>
      </c>
      <c r="T4211">
        <f t="shared" si="327"/>
        <v>1</v>
      </c>
      <c r="U4211">
        <f t="shared" si="328"/>
        <v>1</v>
      </c>
      <c r="V4211">
        <f t="shared" si="329"/>
        <v>0</v>
      </c>
    </row>
    <row r="4212" spans="1:22" x14ac:dyDescent="0.25">
      <c r="A4212">
        <v>4209</v>
      </c>
      <c r="B4212" t="s">
        <v>30</v>
      </c>
      <c r="C4212" t="s">
        <v>1455</v>
      </c>
      <c r="D4212" s="4">
        <v>45348</v>
      </c>
      <c r="E4212" t="s">
        <v>1296</v>
      </c>
      <c r="F4212" t="s">
        <v>75</v>
      </c>
      <c r="I4212" s="6"/>
      <c r="J4212" s="6"/>
      <c r="K4212" s="6"/>
      <c r="L4212" s="6"/>
      <c r="M4212" s="6"/>
      <c r="N4212" s="6"/>
      <c r="O4212" s="6"/>
      <c r="P4212" s="6"/>
      <c r="Q4212">
        <v>0</v>
      </c>
      <c r="R4212">
        <f t="shared" si="325"/>
        <v>0</v>
      </c>
      <c r="S4212">
        <f t="shared" si="326"/>
        <v>0</v>
      </c>
      <c r="T4212">
        <f t="shared" si="327"/>
        <v>0</v>
      </c>
      <c r="U4212">
        <f t="shared" si="328"/>
        <v>0</v>
      </c>
      <c r="V4212">
        <f t="shared" si="329"/>
        <v>0</v>
      </c>
    </row>
    <row r="4213" spans="1:22" x14ac:dyDescent="0.25">
      <c r="A4213">
        <v>4210</v>
      </c>
      <c r="B4213" t="s">
        <v>30</v>
      </c>
      <c r="C4213" t="s">
        <v>1455</v>
      </c>
      <c r="D4213" s="4">
        <v>45349</v>
      </c>
      <c r="E4213" t="s">
        <v>1515</v>
      </c>
      <c r="F4213" t="s">
        <v>75</v>
      </c>
      <c r="I4213" s="6">
        <v>0</v>
      </c>
      <c r="J4213" s="6">
        <v>0</v>
      </c>
      <c r="K4213" s="6">
        <v>0</v>
      </c>
      <c r="L4213" s="6">
        <v>0</v>
      </c>
      <c r="M4213" s="6">
        <v>0</v>
      </c>
      <c r="N4213" s="6">
        <v>0</v>
      </c>
      <c r="O4213" s="6">
        <v>0</v>
      </c>
      <c r="P4213" s="6">
        <v>0</v>
      </c>
      <c r="Q4213">
        <v>1</v>
      </c>
      <c r="R4213">
        <f t="shared" si="325"/>
        <v>0</v>
      </c>
      <c r="S4213">
        <f t="shared" si="326"/>
        <v>1</v>
      </c>
      <c r="T4213">
        <f t="shared" si="327"/>
        <v>0</v>
      </c>
      <c r="U4213">
        <f t="shared" si="328"/>
        <v>0</v>
      </c>
      <c r="V4213">
        <f t="shared" si="329"/>
        <v>0</v>
      </c>
    </row>
    <row r="4214" spans="1:22" x14ac:dyDescent="0.25">
      <c r="A4214">
        <v>4211</v>
      </c>
      <c r="B4214" t="s">
        <v>30</v>
      </c>
      <c r="C4214" t="s">
        <v>1455</v>
      </c>
      <c r="D4214" s="4">
        <v>45349</v>
      </c>
      <c r="E4214" t="s">
        <v>1465</v>
      </c>
      <c r="F4214" t="s">
        <v>75</v>
      </c>
      <c r="I4214" s="6">
        <v>0</v>
      </c>
      <c r="J4214" s="6">
        <v>0</v>
      </c>
      <c r="K4214" s="6">
        <v>1</v>
      </c>
      <c r="L4214" s="6">
        <v>0</v>
      </c>
      <c r="M4214" s="6">
        <v>1</v>
      </c>
      <c r="N4214" s="6">
        <v>0</v>
      </c>
      <c r="O4214" s="6">
        <v>0</v>
      </c>
      <c r="P4214" s="6">
        <v>0</v>
      </c>
      <c r="Q4214">
        <v>1</v>
      </c>
      <c r="R4214">
        <f t="shared" si="325"/>
        <v>0</v>
      </c>
      <c r="S4214">
        <f t="shared" si="326"/>
        <v>1</v>
      </c>
      <c r="T4214">
        <f t="shared" si="327"/>
        <v>2</v>
      </c>
      <c r="U4214">
        <f t="shared" si="328"/>
        <v>1</v>
      </c>
      <c r="V4214">
        <f t="shared" si="329"/>
        <v>0</v>
      </c>
    </row>
    <row r="4215" spans="1:22" x14ac:dyDescent="0.25">
      <c r="A4215">
        <v>4212</v>
      </c>
      <c r="B4215" t="s">
        <v>30</v>
      </c>
      <c r="C4215" t="s">
        <v>1455</v>
      </c>
      <c r="D4215" s="4">
        <v>45350</v>
      </c>
      <c r="E4215" t="s">
        <v>1119</v>
      </c>
      <c r="F4215" t="s">
        <v>75</v>
      </c>
      <c r="I4215" s="6"/>
      <c r="J4215" s="6"/>
      <c r="K4215" s="6"/>
      <c r="L4215" s="6"/>
      <c r="M4215" s="6"/>
      <c r="N4215" s="6"/>
      <c r="O4215" s="6"/>
      <c r="P4215" s="6"/>
      <c r="Q4215">
        <v>0</v>
      </c>
      <c r="R4215">
        <f t="shared" si="325"/>
        <v>0</v>
      </c>
      <c r="S4215">
        <f t="shared" si="326"/>
        <v>0</v>
      </c>
      <c r="T4215">
        <f t="shared" si="327"/>
        <v>0</v>
      </c>
      <c r="U4215">
        <f t="shared" si="328"/>
        <v>0</v>
      </c>
      <c r="V4215">
        <f t="shared" si="329"/>
        <v>0</v>
      </c>
    </row>
    <row r="4216" spans="1:22" x14ac:dyDescent="0.25">
      <c r="A4216">
        <v>4213</v>
      </c>
      <c r="B4216" t="s">
        <v>30</v>
      </c>
      <c r="C4216" t="s">
        <v>1455</v>
      </c>
      <c r="D4216" s="4">
        <v>45350</v>
      </c>
      <c r="E4216" t="s">
        <v>1466</v>
      </c>
      <c r="F4216" t="s">
        <v>75</v>
      </c>
      <c r="I4216" s="6">
        <v>0</v>
      </c>
      <c r="J4216" s="6">
        <v>0</v>
      </c>
      <c r="K4216" s="6">
        <v>1</v>
      </c>
      <c r="L4216" s="6">
        <v>0</v>
      </c>
      <c r="M4216" s="6">
        <v>0</v>
      </c>
      <c r="N4216" s="6">
        <v>0</v>
      </c>
      <c r="O4216" s="6">
        <v>0</v>
      </c>
      <c r="P4216" s="6">
        <v>0</v>
      </c>
      <c r="Q4216">
        <v>1</v>
      </c>
      <c r="R4216">
        <f t="shared" si="325"/>
        <v>0</v>
      </c>
      <c r="S4216">
        <f t="shared" si="326"/>
        <v>1</v>
      </c>
      <c r="T4216">
        <f t="shared" si="327"/>
        <v>1</v>
      </c>
      <c r="U4216">
        <f t="shared" si="328"/>
        <v>1</v>
      </c>
      <c r="V4216">
        <f t="shared" si="329"/>
        <v>0</v>
      </c>
    </row>
    <row r="4217" spans="1:22" x14ac:dyDescent="0.25">
      <c r="A4217">
        <v>4214</v>
      </c>
      <c r="B4217" t="s">
        <v>30</v>
      </c>
      <c r="C4217" t="s">
        <v>1455</v>
      </c>
      <c r="D4217" s="4">
        <v>45350</v>
      </c>
      <c r="E4217" t="s">
        <v>1120</v>
      </c>
      <c r="F4217" t="s">
        <v>413</v>
      </c>
      <c r="G4217">
        <v>219</v>
      </c>
      <c r="I4217" s="6">
        <v>0</v>
      </c>
      <c r="J4217" s="6">
        <v>1</v>
      </c>
      <c r="K4217" s="6">
        <v>1</v>
      </c>
      <c r="L4217" s="6">
        <v>0</v>
      </c>
      <c r="M4217" s="6">
        <v>0</v>
      </c>
      <c r="N4217" s="6">
        <v>0</v>
      </c>
      <c r="O4217" s="6">
        <v>0</v>
      </c>
      <c r="P4217" s="6">
        <v>0</v>
      </c>
      <c r="Q4217">
        <v>1</v>
      </c>
      <c r="R4217">
        <f t="shared" si="325"/>
        <v>1</v>
      </c>
      <c r="S4217">
        <f t="shared" si="326"/>
        <v>0</v>
      </c>
      <c r="T4217">
        <f t="shared" si="327"/>
        <v>2</v>
      </c>
      <c r="U4217">
        <f t="shared" si="328"/>
        <v>1</v>
      </c>
      <c r="V4217">
        <f t="shared" si="329"/>
        <v>1</v>
      </c>
    </row>
    <row r="4218" spans="1:22" x14ac:dyDescent="0.25">
      <c r="A4218">
        <v>4215</v>
      </c>
      <c r="B4218" t="s">
        <v>30</v>
      </c>
      <c r="C4218" t="s">
        <v>1455</v>
      </c>
      <c r="D4218" s="4">
        <v>45351</v>
      </c>
      <c r="E4218" t="s">
        <v>1121</v>
      </c>
      <c r="F4218" t="s">
        <v>75</v>
      </c>
      <c r="I4218" s="6">
        <v>0</v>
      </c>
      <c r="J4218" s="6">
        <v>0</v>
      </c>
      <c r="K4218" s="6">
        <v>1</v>
      </c>
      <c r="L4218" s="6">
        <v>0</v>
      </c>
      <c r="M4218" s="6">
        <v>0</v>
      </c>
      <c r="N4218" s="6">
        <v>0</v>
      </c>
      <c r="O4218" s="6">
        <v>0</v>
      </c>
      <c r="P4218" s="6">
        <v>0</v>
      </c>
      <c r="Q4218">
        <v>1</v>
      </c>
      <c r="R4218">
        <f t="shared" si="325"/>
        <v>0</v>
      </c>
      <c r="S4218">
        <f t="shared" si="326"/>
        <v>1</v>
      </c>
      <c r="T4218">
        <f t="shared" si="327"/>
        <v>1</v>
      </c>
      <c r="U4218">
        <f t="shared" si="328"/>
        <v>1</v>
      </c>
      <c r="V4218">
        <f t="shared" si="329"/>
        <v>0</v>
      </c>
    </row>
    <row r="4219" spans="1:22" x14ac:dyDescent="0.25">
      <c r="A4219">
        <v>4216</v>
      </c>
      <c r="B4219" t="s">
        <v>30</v>
      </c>
      <c r="C4219" t="s">
        <v>1455</v>
      </c>
      <c r="D4219" s="4">
        <v>45351</v>
      </c>
      <c r="E4219" t="s">
        <v>1122</v>
      </c>
      <c r="F4219" t="s">
        <v>75</v>
      </c>
      <c r="I4219" s="6">
        <v>0</v>
      </c>
      <c r="J4219" s="6">
        <v>0</v>
      </c>
      <c r="K4219" s="6">
        <v>0</v>
      </c>
      <c r="L4219" s="6">
        <v>0</v>
      </c>
      <c r="M4219" s="6">
        <v>0</v>
      </c>
      <c r="N4219" s="6">
        <v>0</v>
      </c>
      <c r="O4219" s="6">
        <v>0</v>
      </c>
      <c r="P4219" s="6">
        <v>0</v>
      </c>
      <c r="Q4219">
        <v>1</v>
      </c>
      <c r="R4219">
        <f t="shared" si="325"/>
        <v>0</v>
      </c>
      <c r="S4219">
        <f t="shared" si="326"/>
        <v>1</v>
      </c>
      <c r="T4219">
        <f t="shared" si="327"/>
        <v>0</v>
      </c>
      <c r="U4219">
        <f t="shared" si="328"/>
        <v>0</v>
      </c>
      <c r="V4219">
        <f t="shared" si="329"/>
        <v>0</v>
      </c>
    </row>
    <row r="4220" spans="1:22" x14ac:dyDescent="0.25">
      <c r="A4220">
        <v>4217</v>
      </c>
      <c r="B4220" t="s">
        <v>30</v>
      </c>
      <c r="C4220" t="s">
        <v>1455</v>
      </c>
      <c r="D4220" s="4">
        <v>45351</v>
      </c>
      <c r="E4220" t="s">
        <v>1301</v>
      </c>
      <c r="F4220" t="s">
        <v>75</v>
      </c>
      <c r="I4220" s="6"/>
      <c r="J4220" s="6"/>
      <c r="K4220" s="6"/>
      <c r="L4220" s="6"/>
      <c r="M4220" s="6"/>
      <c r="N4220" s="6"/>
      <c r="O4220" s="6"/>
      <c r="P4220" s="6"/>
      <c r="Q4220">
        <v>0</v>
      </c>
      <c r="R4220">
        <f t="shared" si="325"/>
        <v>0</v>
      </c>
      <c r="S4220">
        <f t="shared" si="326"/>
        <v>0</v>
      </c>
      <c r="T4220">
        <f t="shared" si="327"/>
        <v>0</v>
      </c>
      <c r="U4220">
        <f t="shared" si="328"/>
        <v>0</v>
      </c>
      <c r="V4220">
        <f t="shared" si="329"/>
        <v>0</v>
      </c>
    </row>
    <row r="4221" spans="1:22" x14ac:dyDescent="0.25">
      <c r="A4221">
        <v>4218</v>
      </c>
      <c r="B4221" t="s">
        <v>30</v>
      </c>
      <c r="C4221" t="s">
        <v>1455</v>
      </c>
      <c r="D4221" s="4">
        <v>45351</v>
      </c>
      <c r="E4221" t="s">
        <v>2251</v>
      </c>
      <c r="F4221" t="s">
        <v>75</v>
      </c>
      <c r="I4221" s="6">
        <v>0</v>
      </c>
      <c r="J4221" s="6">
        <v>0</v>
      </c>
      <c r="K4221" s="6">
        <v>0</v>
      </c>
      <c r="L4221" s="6">
        <v>0</v>
      </c>
      <c r="M4221" s="6">
        <v>0</v>
      </c>
      <c r="N4221" s="6">
        <v>0</v>
      </c>
      <c r="O4221" s="6">
        <v>0</v>
      </c>
      <c r="P4221" s="6">
        <v>0</v>
      </c>
      <c r="Q4221">
        <v>1</v>
      </c>
      <c r="R4221">
        <f t="shared" si="325"/>
        <v>0</v>
      </c>
      <c r="S4221">
        <f t="shared" si="326"/>
        <v>1</v>
      </c>
      <c r="T4221">
        <f t="shared" si="327"/>
        <v>0</v>
      </c>
      <c r="U4221">
        <f t="shared" si="328"/>
        <v>0</v>
      </c>
      <c r="V4221">
        <f t="shared" si="329"/>
        <v>0</v>
      </c>
    </row>
    <row r="4222" spans="1:22" x14ac:dyDescent="0.25">
      <c r="A4222">
        <v>4219</v>
      </c>
      <c r="B4222" t="s">
        <v>30</v>
      </c>
      <c r="C4222" t="s">
        <v>1455</v>
      </c>
      <c r="D4222" s="4">
        <v>45352</v>
      </c>
      <c r="E4222" t="s">
        <v>1303</v>
      </c>
      <c r="F4222" t="s">
        <v>75</v>
      </c>
      <c r="I4222" s="6">
        <v>0</v>
      </c>
      <c r="J4222" s="6">
        <v>0</v>
      </c>
      <c r="K4222" s="6">
        <v>1</v>
      </c>
      <c r="L4222" s="6">
        <v>0</v>
      </c>
      <c r="M4222" s="6">
        <v>0</v>
      </c>
      <c r="N4222" s="6">
        <v>0</v>
      </c>
      <c r="O4222" s="6">
        <v>0</v>
      </c>
      <c r="P4222" s="6">
        <v>0</v>
      </c>
      <c r="Q4222">
        <v>1</v>
      </c>
      <c r="R4222">
        <f t="shared" si="325"/>
        <v>0</v>
      </c>
      <c r="S4222">
        <f t="shared" si="326"/>
        <v>1</v>
      </c>
      <c r="T4222">
        <f t="shared" si="327"/>
        <v>1</v>
      </c>
      <c r="U4222">
        <f t="shared" si="328"/>
        <v>1</v>
      </c>
      <c r="V4222">
        <f t="shared" si="329"/>
        <v>0</v>
      </c>
    </row>
    <row r="4223" spans="1:22" x14ac:dyDescent="0.25">
      <c r="A4223">
        <v>4220</v>
      </c>
      <c r="B4223" t="s">
        <v>30</v>
      </c>
      <c r="C4223" t="s">
        <v>1455</v>
      </c>
      <c r="D4223" s="4">
        <v>45352</v>
      </c>
      <c r="E4223" t="s">
        <v>1518</v>
      </c>
      <c r="F4223" t="s">
        <v>75</v>
      </c>
      <c r="I4223" s="6"/>
      <c r="J4223" s="6"/>
      <c r="K4223" s="6"/>
      <c r="L4223" s="6"/>
      <c r="M4223" s="6"/>
      <c r="N4223" s="6"/>
      <c r="O4223" s="6"/>
      <c r="P4223" s="6"/>
      <c r="Q4223">
        <v>0</v>
      </c>
      <c r="R4223">
        <f t="shared" si="325"/>
        <v>0</v>
      </c>
      <c r="S4223">
        <f t="shared" si="326"/>
        <v>0</v>
      </c>
      <c r="T4223">
        <f t="shared" si="327"/>
        <v>0</v>
      </c>
      <c r="U4223">
        <f t="shared" si="328"/>
        <v>0</v>
      </c>
      <c r="V4223">
        <f t="shared" si="329"/>
        <v>0</v>
      </c>
    </row>
    <row r="4224" spans="1:22" x14ac:dyDescent="0.25">
      <c r="A4224">
        <v>4221</v>
      </c>
      <c r="B4224" t="s">
        <v>30</v>
      </c>
      <c r="C4224" t="s">
        <v>1455</v>
      </c>
      <c r="D4224" s="4">
        <v>45352</v>
      </c>
      <c r="E4224" t="s">
        <v>2248</v>
      </c>
      <c r="F4224" t="s">
        <v>75</v>
      </c>
      <c r="I4224" s="6">
        <v>1</v>
      </c>
      <c r="J4224" s="6">
        <v>0</v>
      </c>
      <c r="K4224" s="6">
        <v>0</v>
      </c>
      <c r="L4224" s="6">
        <v>0</v>
      </c>
      <c r="M4224" s="6">
        <v>0</v>
      </c>
      <c r="N4224" s="6">
        <v>0</v>
      </c>
      <c r="O4224" s="6">
        <v>0</v>
      </c>
      <c r="P4224" s="6">
        <v>0</v>
      </c>
      <c r="Q4224">
        <v>1</v>
      </c>
      <c r="R4224">
        <f t="shared" si="325"/>
        <v>0</v>
      </c>
      <c r="S4224">
        <f t="shared" si="326"/>
        <v>1</v>
      </c>
      <c r="T4224">
        <f t="shared" si="327"/>
        <v>1</v>
      </c>
      <c r="U4224">
        <f t="shared" si="328"/>
        <v>1</v>
      </c>
      <c r="V4224">
        <f t="shared" si="329"/>
        <v>0</v>
      </c>
    </row>
    <row r="4225" spans="1:22" x14ac:dyDescent="0.25">
      <c r="A4225">
        <v>4222</v>
      </c>
      <c r="B4225" t="s">
        <v>30</v>
      </c>
      <c r="C4225" t="s">
        <v>1455</v>
      </c>
      <c r="D4225" s="4">
        <v>45353</v>
      </c>
      <c r="E4225" t="s">
        <v>255</v>
      </c>
      <c r="F4225" t="s">
        <v>75</v>
      </c>
      <c r="I4225" s="6">
        <v>0</v>
      </c>
      <c r="J4225" s="6">
        <v>0</v>
      </c>
      <c r="K4225" s="6">
        <v>0</v>
      </c>
      <c r="L4225" s="6">
        <v>0</v>
      </c>
      <c r="M4225" s="6">
        <v>0</v>
      </c>
      <c r="N4225" s="6">
        <v>0</v>
      </c>
      <c r="O4225" s="6">
        <v>0</v>
      </c>
      <c r="P4225" s="6">
        <v>0</v>
      </c>
      <c r="Q4225">
        <v>1</v>
      </c>
      <c r="R4225">
        <f t="shared" si="325"/>
        <v>0</v>
      </c>
      <c r="S4225">
        <f t="shared" si="326"/>
        <v>1</v>
      </c>
      <c r="T4225">
        <f t="shared" si="327"/>
        <v>0</v>
      </c>
      <c r="U4225">
        <f t="shared" si="328"/>
        <v>0</v>
      </c>
      <c r="V4225">
        <f t="shared" si="329"/>
        <v>0</v>
      </c>
    </row>
    <row r="4226" spans="1:22" x14ac:dyDescent="0.25">
      <c r="A4226">
        <v>4223</v>
      </c>
      <c r="B4226" t="s">
        <v>30</v>
      </c>
      <c r="C4226" t="s">
        <v>1455</v>
      </c>
      <c r="D4226" s="4">
        <v>45353</v>
      </c>
      <c r="E4226" t="s">
        <v>256</v>
      </c>
      <c r="F4226" t="s">
        <v>75</v>
      </c>
      <c r="I4226" s="6">
        <v>0</v>
      </c>
      <c r="J4226" s="6">
        <v>0</v>
      </c>
      <c r="K4226" s="6">
        <v>0</v>
      </c>
      <c r="L4226" s="6">
        <v>0</v>
      </c>
      <c r="M4226" s="6">
        <v>1</v>
      </c>
      <c r="N4226" s="6">
        <v>0</v>
      </c>
      <c r="O4226" s="6">
        <v>0</v>
      </c>
      <c r="P4226" s="6">
        <v>0</v>
      </c>
      <c r="Q4226">
        <v>1</v>
      </c>
      <c r="R4226">
        <f t="shared" si="325"/>
        <v>0</v>
      </c>
      <c r="S4226">
        <f t="shared" si="326"/>
        <v>1</v>
      </c>
      <c r="T4226">
        <f t="shared" si="327"/>
        <v>1</v>
      </c>
      <c r="U4226">
        <f t="shared" si="328"/>
        <v>1</v>
      </c>
      <c r="V4226">
        <f t="shared" si="329"/>
        <v>0</v>
      </c>
    </row>
    <row r="4227" spans="1:22" x14ac:dyDescent="0.25">
      <c r="A4227">
        <v>4224</v>
      </c>
      <c r="B4227" t="s">
        <v>30</v>
      </c>
      <c r="C4227" t="s">
        <v>1455</v>
      </c>
      <c r="D4227" s="4">
        <v>45353</v>
      </c>
      <c r="E4227" t="s">
        <v>257</v>
      </c>
      <c r="F4227" t="s">
        <v>75</v>
      </c>
      <c r="I4227" s="6">
        <v>0</v>
      </c>
      <c r="J4227" s="6">
        <v>0</v>
      </c>
      <c r="K4227" s="6">
        <v>0</v>
      </c>
      <c r="L4227" s="6">
        <v>0</v>
      </c>
      <c r="M4227" s="6">
        <v>0</v>
      </c>
      <c r="N4227" s="6">
        <v>1</v>
      </c>
      <c r="O4227" s="6">
        <v>0</v>
      </c>
      <c r="P4227" s="6">
        <v>0</v>
      </c>
      <c r="Q4227">
        <v>1</v>
      </c>
      <c r="R4227">
        <f t="shared" ref="R4227:R4290" si="330">IF(AND(Q4227=1,F4227="ai_full"),1,0)</f>
        <v>0</v>
      </c>
      <c r="S4227">
        <f t="shared" ref="S4227:S4290" si="331">IF(AND(Q4227=1,F4227="conventional"),1,0)</f>
        <v>1</v>
      </c>
      <c r="T4227">
        <f t="shared" ref="T4227:T4290" si="332">SUM(I4227:P4227)</f>
        <v>1</v>
      </c>
      <c r="U4227">
        <f t="shared" ref="U4227:U4290" si="333">IF(T4227&gt;=1,1,0)</f>
        <v>1</v>
      </c>
      <c r="V4227">
        <f t="shared" ref="V4227:V4290" si="334">IF(F4227="ai_full",1,0)</f>
        <v>0</v>
      </c>
    </row>
    <row r="4228" spans="1:22" x14ac:dyDescent="0.25">
      <c r="A4228">
        <v>4225</v>
      </c>
      <c r="B4228" t="s">
        <v>30</v>
      </c>
      <c r="C4228" t="s">
        <v>1455</v>
      </c>
      <c r="D4228" s="4">
        <v>45353</v>
      </c>
      <c r="E4228" t="s">
        <v>258</v>
      </c>
      <c r="F4228" t="s">
        <v>75</v>
      </c>
      <c r="I4228" s="6"/>
      <c r="J4228" s="6"/>
      <c r="K4228" s="6"/>
      <c r="L4228" s="6"/>
      <c r="M4228" s="6"/>
      <c r="N4228" s="6"/>
      <c r="O4228" s="6"/>
      <c r="P4228" s="6"/>
      <c r="Q4228">
        <v>0</v>
      </c>
      <c r="R4228">
        <f t="shared" si="330"/>
        <v>0</v>
      </c>
      <c r="S4228">
        <f t="shared" si="331"/>
        <v>0</v>
      </c>
      <c r="T4228">
        <f t="shared" si="332"/>
        <v>0</v>
      </c>
      <c r="U4228">
        <f t="shared" si="333"/>
        <v>0</v>
      </c>
      <c r="V4228">
        <f t="shared" si="334"/>
        <v>0</v>
      </c>
    </row>
    <row r="4229" spans="1:22" x14ac:dyDescent="0.25">
      <c r="A4229">
        <v>4226</v>
      </c>
      <c r="B4229" t="s">
        <v>30</v>
      </c>
      <c r="C4229" t="s">
        <v>1455</v>
      </c>
      <c r="D4229" s="4">
        <v>45353</v>
      </c>
      <c r="E4229" t="s">
        <v>1521</v>
      </c>
      <c r="F4229" t="s">
        <v>75</v>
      </c>
      <c r="I4229" s="6"/>
      <c r="J4229" s="6"/>
      <c r="K4229" s="6"/>
      <c r="L4229" s="6"/>
      <c r="M4229" s="6"/>
      <c r="N4229" s="6"/>
      <c r="O4229" s="6"/>
      <c r="P4229" s="6"/>
      <c r="Q4229">
        <v>0</v>
      </c>
      <c r="R4229">
        <f t="shared" si="330"/>
        <v>0</v>
      </c>
      <c r="S4229">
        <f t="shared" si="331"/>
        <v>0</v>
      </c>
      <c r="T4229">
        <f t="shared" si="332"/>
        <v>0</v>
      </c>
      <c r="U4229">
        <f t="shared" si="333"/>
        <v>0</v>
      </c>
      <c r="V4229">
        <f t="shared" si="334"/>
        <v>0</v>
      </c>
    </row>
    <row r="4230" spans="1:22" x14ac:dyDescent="0.25">
      <c r="A4230">
        <v>4227</v>
      </c>
      <c r="B4230" t="s">
        <v>30</v>
      </c>
      <c r="C4230" t="s">
        <v>1455</v>
      </c>
      <c r="D4230" s="4">
        <v>45354</v>
      </c>
      <c r="E4230" t="s">
        <v>421</v>
      </c>
      <c r="F4230" t="s">
        <v>75</v>
      </c>
      <c r="I4230" s="6">
        <v>0</v>
      </c>
      <c r="J4230" s="6">
        <v>0</v>
      </c>
      <c r="K4230" s="6">
        <v>0</v>
      </c>
      <c r="L4230" s="6">
        <v>0</v>
      </c>
      <c r="M4230" s="6">
        <v>0</v>
      </c>
      <c r="N4230" s="6">
        <v>0</v>
      </c>
      <c r="O4230" s="6">
        <v>0</v>
      </c>
      <c r="P4230" s="6">
        <v>0</v>
      </c>
      <c r="Q4230">
        <v>1</v>
      </c>
      <c r="R4230">
        <f t="shared" si="330"/>
        <v>0</v>
      </c>
      <c r="S4230">
        <f t="shared" si="331"/>
        <v>1</v>
      </c>
      <c r="T4230">
        <f t="shared" si="332"/>
        <v>0</v>
      </c>
      <c r="U4230">
        <f t="shared" si="333"/>
        <v>0</v>
      </c>
      <c r="V4230">
        <f t="shared" si="334"/>
        <v>0</v>
      </c>
    </row>
    <row r="4231" spans="1:22" x14ac:dyDescent="0.25">
      <c r="A4231">
        <v>4228</v>
      </c>
      <c r="B4231" t="s">
        <v>30</v>
      </c>
      <c r="C4231" t="s">
        <v>1455</v>
      </c>
      <c r="D4231" s="4">
        <v>45355</v>
      </c>
      <c r="E4231" t="s">
        <v>840</v>
      </c>
      <c r="F4231" t="s">
        <v>75</v>
      </c>
      <c r="I4231" s="6">
        <v>0</v>
      </c>
      <c r="J4231" s="6">
        <v>0</v>
      </c>
      <c r="K4231" s="6">
        <v>0</v>
      </c>
      <c r="L4231" s="6">
        <v>0</v>
      </c>
      <c r="M4231" s="6">
        <v>0</v>
      </c>
      <c r="N4231" s="6">
        <v>0</v>
      </c>
      <c r="O4231" s="6">
        <v>0</v>
      </c>
      <c r="P4231" s="6">
        <v>0</v>
      </c>
      <c r="Q4231">
        <v>1</v>
      </c>
      <c r="R4231">
        <f t="shared" si="330"/>
        <v>0</v>
      </c>
      <c r="S4231">
        <f t="shared" si="331"/>
        <v>1</v>
      </c>
      <c r="T4231">
        <f t="shared" si="332"/>
        <v>0</v>
      </c>
      <c r="U4231">
        <f t="shared" si="333"/>
        <v>0</v>
      </c>
      <c r="V4231">
        <f t="shared" si="334"/>
        <v>0</v>
      </c>
    </row>
    <row r="4232" spans="1:22" x14ac:dyDescent="0.25">
      <c r="A4232">
        <v>4229</v>
      </c>
      <c r="B4232" t="s">
        <v>30</v>
      </c>
      <c r="C4232" t="s">
        <v>1455</v>
      </c>
      <c r="D4232" s="4">
        <v>45355</v>
      </c>
      <c r="E4232" t="s">
        <v>259</v>
      </c>
      <c r="F4232" t="s">
        <v>75</v>
      </c>
      <c r="I4232" s="6">
        <v>0</v>
      </c>
      <c r="J4232" s="6">
        <v>0</v>
      </c>
      <c r="K4232" s="6">
        <v>0</v>
      </c>
      <c r="L4232" s="6">
        <v>0</v>
      </c>
      <c r="M4232" s="6">
        <v>0</v>
      </c>
      <c r="N4232" s="6">
        <v>0</v>
      </c>
      <c r="O4232" s="6">
        <v>0</v>
      </c>
      <c r="P4232" s="6">
        <v>0</v>
      </c>
      <c r="Q4232">
        <v>1</v>
      </c>
      <c r="R4232">
        <f t="shared" si="330"/>
        <v>0</v>
      </c>
      <c r="S4232">
        <f t="shared" si="331"/>
        <v>1</v>
      </c>
      <c r="T4232">
        <f t="shared" si="332"/>
        <v>0</v>
      </c>
      <c r="U4232">
        <f t="shared" si="333"/>
        <v>0</v>
      </c>
      <c r="V4232">
        <f t="shared" si="334"/>
        <v>0</v>
      </c>
    </row>
    <row r="4233" spans="1:22" x14ac:dyDescent="0.25">
      <c r="A4233">
        <v>4230</v>
      </c>
      <c r="B4233" t="s">
        <v>30</v>
      </c>
      <c r="C4233" t="s">
        <v>1455</v>
      </c>
      <c r="D4233" s="4">
        <v>45356</v>
      </c>
      <c r="E4233" t="s">
        <v>841</v>
      </c>
      <c r="F4233" t="s">
        <v>75</v>
      </c>
      <c r="I4233" s="6">
        <v>0</v>
      </c>
      <c r="J4233" s="6">
        <v>0</v>
      </c>
      <c r="K4233" s="6">
        <v>0</v>
      </c>
      <c r="L4233" s="6">
        <v>0</v>
      </c>
      <c r="M4233" s="6">
        <v>1</v>
      </c>
      <c r="N4233" s="6">
        <v>0</v>
      </c>
      <c r="O4233" s="6">
        <v>0</v>
      </c>
      <c r="P4233" s="6">
        <v>0</v>
      </c>
      <c r="Q4233">
        <v>1</v>
      </c>
      <c r="R4233">
        <f t="shared" si="330"/>
        <v>0</v>
      </c>
      <c r="S4233">
        <f t="shared" si="331"/>
        <v>1</v>
      </c>
      <c r="T4233">
        <f t="shared" si="332"/>
        <v>1</v>
      </c>
      <c r="U4233">
        <f t="shared" si="333"/>
        <v>1</v>
      </c>
      <c r="V4233">
        <f t="shared" si="334"/>
        <v>0</v>
      </c>
    </row>
    <row r="4234" spans="1:22" x14ac:dyDescent="0.25">
      <c r="A4234">
        <v>4231</v>
      </c>
      <c r="B4234" t="s">
        <v>30</v>
      </c>
      <c r="C4234" t="s">
        <v>1455</v>
      </c>
      <c r="D4234" s="4">
        <v>45356</v>
      </c>
      <c r="E4234" t="s">
        <v>842</v>
      </c>
      <c r="F4234" t="s">
        <v>75</v>
      </c>
      <c r="I4234" s="6">
        <v>0</v>
      </c>
      <c r="J4234" s="6">
        <v>0</v>
      </c>
      <c r="K4234" s="6">
        <v>0</v>
      </c>
      <c r="L4234" s="6">
        <v>0</v>
      </c>
      <c r="M4234" s="6">
        <v>1</v>
      </c>
      <c r="N4234" s="6">
        <v>0</v>
      </c>
      <c r="O4234" s="6">
        <v>0</v>
      </c>
      <c r="P4234" s="6">
        <v>0</v>
      </c>
      <c r="Q4234">
        <v>1</v>
      </c>
      <c r="R4234">
        <f t="shared" si="330"/>
        <v>0</v>
      </c>
      <c r="S4234">
        <f t="shared" si="331"/>
        <v>1</v>
      </c>
      <c r="T4234">
        <f t="shared" si="332"/>
        <v>1</v>
      </c>
      <c r="U4234">
        <f t="shared" si="333"/>
        <v>1</v>
      </c>
      <c r="V4234">
        <f t="shared" si="334"/>
        <v>0</v>
      </c>
    </row>
    <row r="4235" spans="1:22" x14ac:dyDescent="0.25">
      <c r="A4235">
        <v>4232</v>
      </c>
      <c r="B4235" t="s">
        <v>30</v>
      </c>
      <c r="C4235" t="s">
        <v>1455</v>
      </c>
      <c r="D4235" s="4">
        <v>45356</v>
      </c>
      <c r="E4235" t="s">
        <v>2235</v>
      </c>
      <c r="F4235" t="s">
        <v>75</v>
      </c>
      <c r="I4235" s="6">
        <v>0</v>
      </c>
      <c r="J4235" s="6">
        <v>0</v>
      </c>
      <c r="K4235" s="6">
        <v>0</v>
      </c>
      <c r="L4235" s="6">
        <v>0</v>
      </c>
      <c r="M4235" s="6">
        <v>0</v>
      </c>
      <c r="N4235" s="6">
        <v>0</v>
      </c>
      <c r="O4235" s="6">
        <v>0</v>
      </c>
      <c r="P4235" s="6">
        <v>0</v>
      </c>
      <c r="Q4235">
        <v>1</v>
      </c>
      <c r="R4235">
        <f t="shared" si="330"/>
        <v>0</v>
      </c>
      <c r="S4235">
        <f t="shared" si="331"/>
        <v>1</v>
      </c>
      <c r="T4235">
        <f t="shared" si="332"/>
        <v>0</v>
      </c>
      <c r="U4235">
        <f t="shared" si="333"/>
        <v>0</v>
      </c>
      <c r="V4235">
        <f t="shared" si="334"/>
        <v>0</v>
      </c>
    </row>
    <row r="4236" spans="1:22" x14ac:dyDescent="0.25">
      <c r="A4236">
        <v>4233</v>
      </c>
      <c r="B4236" t="s">
        <v>30</v>
      </c>
      <c r="C4236" t="s">
        <v>1455</v>
      </c>
      <c r="D4236" s="4">
        <v>45357</v>
      </c>
      <c r="E4236" t="s">
        <v>1220</v>
      </c>
      <c r="F4236" t="s">
        <v>75</v>
      </c>
      <c r="I4236" s="6">
        <v>0</v>
      </c>
      <c r="J4236" s="6">
        <v>0</v>
      </c>
      <c r="K4236" s="6">
        <v>1</v>
      </c>
      <c r="L4236" s="6">
        <v>0</v>
      </c>
      <c r="M4236" s="6">
        <v>0</v>
      </c>
      <c r="N4236" s="6">
        <v>0</v>
      </c>
      <c r="O4236" s="6">
        <v>0</v>
      </c>
      <c r="P4236" s="6">
        <v>0</v>
      </c>
      <c r="Q4236">
        <v>1</v>
      </c>
      <c r="R4236">
        <f t="shared" si="330"/>
        <v>0</v>
      </c>
      <c r="S4236">
        <f t="shared" si="331"/>
        <v>1</v>
      </c>
      <c r="T4236">
        <f t="shared" si="332"/>
        <v>1</v>
      </c>
      <c r="U4236">
        <f t="shared" si="333"/>
        <v>1</v>
      </c>
      <c r="V4236">
        <f t="shared" si="334"/>
        <v>0</v>
      </c>
    </row>
    <row r="4237" spans="1:22" x14ac:dyDescent="0.25">
      <c r="A4237">
        <v>4234</v>
      </c>
      <c r="B4237" t="s">
        <v>30</v>
      </c>
      <c r="C4237" t="s">
        <v>1455</v>
      </c>
      <c r="D4237" s="4">
        <v>45358</v>
      </c>
      <c r="E4237" t="s">
        <v>2228</v>
      </c>
      <c r="F4237" t="s">
        <v>75</v>
      </c>
      <c r="I4237" s="6"/>
      <c r="J4237" s="6"/>
      <c r="K4237" s="6"/>
      <c r="L4237" s="6"/>
      <c r="M4237" s="6"/>
      <c r="N4237" s="6"/>
      <c r="O4237" s="6"/>
      <c r="P4237" s="6"/>
      <c r="Q4237">
        <v>0</v>
      </c>
      <c r="R4237">
        <f t="shared" si="330"/>
        <v>0</v>
      </c>
      <c r="S4237">
        <f t="shared" si="331"/>
        <v>0</v>
      </c>
      <c r="T4237">
        <f t="shared" si="332"/>
        <v>0</v>
      </c>
      <c r="U4237">
        <f t="shared" si="333"/>
        <v>0</v>
      </c>
      <c r="V4237">
        <f t="shared" si="334"/>
        <v>0</v>
      </c>
    </row>
    <row r="4238" spans="1:22" x14ac:dyDescent="0.25">
      <c r="A4238">
        <v>4235</v>
      </c>
      <c r="B4238" t="s">
        <v>30</v>
      </c>
      <c r="C4238" t="s">
        <v>1455</v>
      </c>
      <c r="D4238" s="4">
        <v>45358</v>
      </c>
      <c r="E4238" t="s">
        <v>1317</v>
      </c>
      <c r="F4238" t="s">
        <v>75</v>
      </c>
      <c r="I4238" s="6"/>
      <c r="J4238" s="6"/>
      <c r="K4238" s="6"/>
      <c r="L4238" s="6"/>
      <c r="M4238" s="6"/>
      <c r="N4238" s="6"/>
      <c r="O4238" s="6"/>
      <c r="P4238" s="6"/>
      <c r="Q4238">
        <v>0</v>
      </c>
      <c r="R4238">
        <f t="shared" si="330"/>
        <v>0</v>
      </c>
      <c r="S4238">
        <f t="shared" si="331"/>
        <v>0</v>
      </c>
      <c r="T4238">
        <f t="shared" si="332"/>
        <v>0</v>
      </c>
      <c r="U4238">
        <f t="shared" si="333"/>
        <v>0</v>
      </c>
      <c r="V4238">
        <f t="shared" si="334"/>
        <v>0</v>
      </c>
    </row>
    <row r="4239" spans="1:22" x14ac:dyDescent="0.25">
      <c r="A4239">
        <v>4236</v>
      </c>
      <c r="B4239" t="s">
        <v>30</v>
      </c>
      <c r="C4239" t="s">
        <v>1455</v>
      </c>
      <c r="D4239" s="4">
        <v>45358</v>
      </c>
      <c r="E4239" t="s">
        <v>1527</v>
      </c>
      <c r="F4239" t="s">
        <v>75</v>
      </c>
      <c r="I4239" s="6">
        <v>0</v>
      </c>
      <c r="J4239" s="6">
        <v>0</v>
      </c>
      <c r="K4239" s="6">
        <v>0</v>
      </c>
      <c r="L4239" s="6">
        <v>0</v>
      </c>
      <c r="M4239" s="6">
        <v>0</v>
      </c>
      <c r="N4239" s="6">
        <v>0</v>
      </c>
      <c r="O4239" s="6">
        <v>0</v>
      </c>
      <c r="P4239" s="6">
        <v>0</v>
      </c>
      <c r="Q4239">
        <v>1</v>
      </c>
      <c r="R4239">
        <f t="shared" si="330"/>
        <v>0</v>
      </c>
      <c r="S4239">
        <f t="shared" si="331"/>
        <v>1</v>
      </c>
      <c r="T4239">
        <f t="shared" si="332"/>
        <v>0</v>
      </c>
      <c r="U4239">
        <f t="shared" si="333"/>
        <v>0</v>
      </c>
      <c r="V4239">
        <f t="shared" si="334"/>
        <v>0</v>
      </c>
    </row>
    <row r="4240" spans="1:22" x14ac:dyDescent="0.25">
      <c r="A4240">
        <v>4237</v>
      </c>
      <c r="B4240" t="s">
        <v>30</v>
      </c>
      <c r="C4240" t="s">
        <v>1455</v>
      </c>
      <c r="D4240" s="4">
        <v>45358</v>
      </c>
      <c r="E4240" t="s">
        <v>1467</v>
      </c>
      <c r="F4240" t="s">
        <v>75</v>
      </c>
      <c r="I4240" s="6">
        <v>0</v>
      </c>
      <c r="J4240" s="6">
        <v>0</v>
      </c>
      <c r="K4240" s="6">
        <v>0</v>
      </c>
      <c r="L4240" s="6">
        <v>0</v>
      </c>
      <c r="M4240" s="6">
        <v>0</v>
      </c>
      <c r="N4240" s="6">
        <v>0</v>
      </c>
      <c r="O4240" s="6">
        <v>0</v>
      </c>
      <c r="P4240" s="6">
        <v>0</v>
      </c>
      <c r="Q4240">
        <v>1</v>
      </c>
      <c r="R4240">
        <f t="shared" si="330"/>
        <v>0</v>
      </c>
      <c r="S4240">
        <f t="shared" si="331"/>
        <v>1</v>
      </c>
      <c r="T4240">
        <f t="shared" si="332"/>
        <v>0</v>
      </c>
      <c r="U4240">
        <f t="shared" si="333"/>
        <v>0</v>
      </c>
      <c r="V4240">
        <f t="shared" si="334"/>
        <v>0</v>
      </c>
    </row>
    <row r="4241" spans="1:22" x14ac:dyDescent="0.25">
      <c r="A4241">
        <v>4238</v>
      </c>
      <c r="B4241" t="s">
        <v>30</v>
      </c>
      <c r="C4241" t="s">
        <v>1455</v>
      </c>
      <c r="D4241" s="4">
        <v>45358</v>
      </c>
      <c r="E4241" t="s">
        <v>2227</v>
      </c>
      <c r="F4241" t="s">
        <v>75</v>
      </c>
      <c r="I4241" s="6"/>
      <c r="J4241" s="6"/>
      <c r="K4241" s="6"/>
      <c r="L4241" s="6"/>
      <c r="M4241" s="6"/>
      <c r="N4241" s="6"/>
      <c r="O4241" s="6"/>
      <c r="P4241" s="6"/>
      <c r="Q4241">
        <v>0</v>
      </c>
      <c r="R4241">
        <f t="shared" si="330"/>
        <v>0</v>
      </c>
      <c r="S4241">
        <f t="shared" si="331"/>
        <v>0</v>
      </c>
      <c r="T4241">
        <f t="shared" si="332"/>
        <v>0</v>
      </c>
      <c r="U4241">
        <f t="shared" si="333"/>
        <v>0</v>
      </c>
      <c r="V4241">
        <f t="shared" si="334"/>
        <v>0</v>
      </c>
    </row>
    <row r="4242" spans="1:22" x14ac:dyDescent="0.25">
      <c r="A4242">
        <v>4239</v>
      </c>
      <c r="B4242" t="s">
        <v>30</v>
      </c>
      <c r="C4242" t="s">
        <v>1455</v>
      </c>
      <c r="D4242" s="4">
        <v>45358</v>
      </c>
      <c r="E4242" t="s">
        <v>1468</v>
      </c>
      <c r="F4242" t="s">
        <v>75</v>
      </c>
      <c r="I4242" s="6">
        <v>0</v>
      </c>
      <c r="J4242" s="6">
        <v>0</v>
      </c>
      <c r="K4242" s="6">
        <v>0</v>
      </c>
      <c r="L4242" s="6">
        <v>0</v>
      </c>
      <c r="M4242" s="6">
        <v>0</v>
      </c>
      <c r="N4242" s="6">
        <v>0</v>
      </c>
      <c r="O4242" s="6">
        <v>0</v>
      </c>
      <c r="P4242" s="6">
        <v>0</v>
      </c>
      <c r="Q4242">
        <v>1</v>
      </c>
      <c r="R4242">
        <f t="shared" si="330"/>
        <v>0</v>
      </c>
      <c r="S4242">
        <f t="shared" si="331"/>
        <v>1</v>
      </c>
      <c r="T4242">
        <f t="shared" si="332"/>
        <v>0</v>
      </c>
      <c r="U4242">
        <f t="shared" si="333"/>
        <v>0</v>
      </c>
      <c r="V4242">
        <f t="shared" si="334"/>
        <v>0</v>
      </c>
    </row>
    <row r="4243" spans="1:22" x14ac:dyDescent="0.25">
      <c r="A4243">
        <v>4240</v>
      </c>
      <c r="B4243" t="s">
        <v>30</v>
      </c>
      <c r="C4243" t="s">
        <v>1455</v>
      </c>
      <c r="D4243" s="4">
        <v>45359</v>
      </c>
      <c r="E4243" t="s">
        <v>844</v>
      </c>
      <c r="F4243" t="s">
        <v>75</v>
      </c>
      <c r="I4243" s="6">
        <v>0</v>
      </c>
      <c r="J4243" s="6">
        <v>0</v>
      </c>
      <c r="K4243" s="6">
        <v>0</v>
      </c>
      <c r="L4243" s="6">
        <v>0</v>
      </c>
      <c r="M4243" s="6">
        <v>0</v>
      </c>
      <c r="N4243" s="6">
        <v>0</v>
      </c>
      <c r="O4243" s="6">
        <v>1</v>
      </c>
      <c r="P4243" s="6">
        <v>0</v>
      </c>
      <c r="Q4243">
        <v>1</v>
      </c>
      <c r="R4243">
        <f t="shared" si="330"/>
        <v>0</v>
      </c>
      <c r="S4243">
        <f t="shared" si="331"/>
        <v>1</v>
      </c>
      <c r="T4243">
        <f t="shared" si="332"/>
        <v>1</v>
      </c>
      <c r="U4243">
        <f t="shared" si="333"/>
        <v>1</v>
      </c>
      <c r="V4243">
        <f t="shared" si="334"/>
        <v>0</v>
      </c>
    </row>
    <row r="4244" spans="1:22" x14ac:dyDescent="0.25">
      <c r="A4244">
        <v>4241</v>
      </c>
      <c r="B4244" t="s">
        <v>30</v>
      </c>
      <c r="C4244" t="s">
        <v>1455</v>
      </c>
      <c r="D4244" s="4">
        <v>45359</v>
      </c>
      <c r="E4244" t="s">
        <v>845</v>
      </c>
      <c r="F4244" t="s">
        <v>75</v>
      </c>
      <c r="I4244" s="6">
        <v>0</v>
      </c>
      <c r="J4244" s="6">
        <v>0</v>
      </c>
      <c r="K4244" s="6">
        <v>0</v>
      </c>
      <c r="L4244" s="6">
        <v>0</v>
      </c>
      <c r="M4244" s="6">
        <v>0</v>
      </c>
      <c r="N4244" s="6">
        <v>0</v>
      </c>
      <c r="O4244" s="6">
        <v>0</v>
      </c>
      <c r="P4244" s="6">
        <v>0</v>
      </c>
      <c r="Q4244">
        <v>1</v>
      </c>
      <c r="R4244">
        <f t="shared" si="330"/>
        <v>0</v>
      </c>
      <c r="S4244">
        <f t="shared" si="331"/>
        <v>1</v>
      </c>
      <c r="T4244">
        <f t="shared" si="332"/>
        <v>0</v>
      </c>
      <c r="U4244">
        <f t="shared" si="333"/>
        <v>0</v>
      </c>
      <c r="V4244">
        <f t="shared" si="334"/>
        <v>0</v>
      </c>
    </row>
    <row r="4245" spans="1:22" x14ac:dyDescent="0.25">
      <c r="A4245">
        <v>4242</v>
      </c>
      <c r="B4245" t="s">
        <v>30</v>
      </c>
      <c r="C4245" t="s">
        <v>1455</v>
      </c>
      <c r="D4245" s="4">
        <v>45359</v>
      </c>
      <c r="E4245" t="s">
        <v>2225</v>
      </c>
      <c r="F4245" t="s">
        <v>75</v>
      </c>
      <c r="I4245" s="6"/>
      <c r="J4245" s="6"/>
      <c r="K4245" s="6"/>
      <c r="L4245" s="6"/>
      <c r="M4245" s="6"/>
      <c r="N4245" s="6"/>
      <c r="O4245" s="6"/>
      <c r="P4245" s="6"/>
      <c r="Q4245">
        <v>0</v>
      </c>
      <c r="R4245">
        <f t="shared" si="330"/>
        <v>0</v>
      </c>
      <c r="S4245">
        <f t="shared" si="331"/>
        <v>0</v>
      </c>
      <c r="T4245">
        <f t="shared" si="332"/>
        <v>0</v>
      </c>
      <c r="U4245">
        <f t="shared" si="333"/>
        <v>0</v>
      </c>
      <c r="V4245">
        <f t="shared" si="334"/>
        <v>0</v>
      </c>
    </row>
    <row r="4246" spans="1:22" x14ac:dyDescent="0.25">
      <c r="A4246">
        <v>4243</v>
      </c>
      <c r="B4246" t="s">
        <v>30</v>
      </c>
      <c r="C4246" t="s">
        <v>1455</v>
      </c>
      <c r="D4246" s="4">
        <v>45360</v>
      </c>
      <c r="E4246" t="s">
        <v>1126</v>
      </c>
      <c r="F4246" t="s">
        <v>75</v>
      </c>
      <c r="I4246" s="6">
        <v>0</v>
      </c>
      <c r="J4246" s="6">
        <v>0</v>
      </c>
      <c r="K4246" s="6">
        <v>0</v>
      </c>
      <c r="L4246" s="6">
        <v>0</v>
      </c>
      <c r="M4246" s="6">
        <v>0</v>
      </c>
      <c r="N4246" s="6">
        <v>0</v>
      </c>
      <c r="O4246" s="6">
        <v>0</v>
      </c>
      <c r="P4246" s="6">
        <v>0</v>
      </c>
      <c r="Q4246">
        <v>1</v>
      </c>
      <c r="R4246">
        <f t="shared" si="330"/>
        <v>0</v>
      </c>
      <c r="S4246">
        <f t="shared" si="331"/>
        <v>1</v>
      </c>
      <c r="T4246">
        <f t="shared" si="332"/>
        <v>0</v>
      </c>
      <c r="U4246">
        <f t="shared" si="333"/>
        <v>0</v>
      </c>
      <c r="V4246">
        <f t="shared" si="334"/>
        <v>0</v>
      </c>
    </row>
    <row r="4247" spans="1:22" x14ac:dyDescent="0.25">
      <c r="A4247">
        <v>4244</v>
      </c>
      <c r="B4247" t="s">
        <v>30</v>
      </c>
      <c r="C4247" t="s">
        <v>1455</v>
      </c>
      <c r="D4247" s="4">
        <v>45360</v>
      </c>
      <c r="E4247" t="s">
        <v>261</v>
      </c>
      <c r="F4247" t="s">
        <v>75</v>
      </c>
      <c r="I4247" s="6"/>
      <c r="J4247" s="6"/>
      <c r="K4247" s="6"/>
      <c r="L4247" s="6"/>
      <c r="M4247" s="6"/>
      <c r="N4247" s="6"/>
      <c r="O4247" s="6"/>
      <c r="P4247" s="6"/>
      <c r="Q4247">
        <v>0</v>
      </c>
      <c r="R4247">
        <f t="shared" si="330"/>
        <v>0</v>
      </c>
      <c r="S4247">
        <f t="shared" si="331"/>
        <v>0</v>
      </c>
      <c r="T4247">
        <f t="shared" si="332"/>
        <v>0</v>
      </c>
      <c r="U4247">
        <f t="shared" si="333"/>
        <v>0</v>
      </c>
      <c r="V4247">
        <f t="shared" si="334"/>
        <v>0</v>
      </c>
    </row>
    <row r="4248" spans="1:22" x14ac:dyDescent="0.25">
      <c r="A4248">
        <v>4245</v>
      </c>
      <c r="B4248" t="s">
        <v>30</v>
      </c>
      <c r="C4248" t="s">
        <v>1455</v>
      </c>
      <c r="D4248" s="4">
        <v>45361</v>
      </c>
      <c r="E4248" t="s">
        <v>920</v>
      </c>
      <c r="F4248" t="s">
        <v>75</v>
      </c>
      <c r="I4248" s="6">
        <v>0</v>
      </c>
      <c r="J4248" s="6">
        <v>0</v>
      </c>
      <c r="K4248" s="6">
        <v>0</v>
      </c>
      <c r="L4248" s="6">
        <v>0</v>
      </c>
      <c r="M4248" s="6">
        <v>0</v>
      </c>
      <c r="N4248" s="6">
        <v>0</v>
      </c>
      <c r="O4248" s="6">
        <v>0</v>
      </c>
      <c r="P4248" s="6">
        <v>0</v>
      </c>
      <c r="Q4248">
        <v>1</v>
      </c>
      <c r="R4248">
        <f t="shared" si="330"/>
        <v>0</v>
      </c>
      <c r="S4248">
        <f t="shared" si="331"/>
        <v>1</v>
      </c>
      <c r="T4248">
        <f t="shared" si="332"/>
        <v>0</v>
      </c>
      <c r="U4248">
        <f t="shared" si="333"/>
        <v>0</v>
      </c>
      <c r="V4248">
        <f t="shared" si="334"/>
        <v>0</v>
      </c>
    </row>
    <row r="4249" spans="1:22" x14ac:dyDescent="0.25">
      <c r="A4249">
        <v>4246</v>
      </c>
      <c r="B4249" t="s">
        <v>30</v>
      </c>
      <c r="C4249" t="s">
        <v>1455</v>
      </c>
      <c r="D4249" s="4">
        <v>45362</v>
      </c>
      <c r="E4249" t="s">
        <v>1318</v>
      </c>
      <c r="F4249" t="s">
        <v>75</v>
      </c>
      <c r="I4249" s="6"/>
      <c r="J4249" s="6"/>
      <c r="K4249" s="6"/>
      <c r="L4249" s="6"/>
      <c r="M4249" s="6"/>
      <c r="N4249" s="6"/>
      <c r="O4249" s="6"/>
      <c r="P4249" s="6"/>
      <c r="Q4249">
        <v>0</v>
      </c>
      <c r="R4249">
        <f t="shared" si="330"/>
        <v>0</v>
      </c>
      <c r="S4249">
        <f t="shared" si="331"/>
        <v>0</v>
      </c>
      <c r="T4249">
        <f t="shared" si="332"/>
        <v>0</v>
      </c>
      <c r="U4249">
        <f t="shared" si="333"/>
        <v>0</v>
      </c>
      <c r="V4249">
        <f t="shared" si="334"/>
        <v>0</v>
      </c>
    </row>
    <row r="4250" spans="1:22" x14ac:dyDescent="0.25">
      <c r="A4250">
        <v>4247</v>
      </c>
      <c r="B4250" t="s">
        <v>30</v>
      </c>
      <c r="C4250" t="s">
        <v>1455</v>
      </c>
      <c r="D4250" s="4">
        <v>45362</v>
      </c>
      <c r="E4250" t="s">
        <v>266</v>
      </c>
      <c r="F4250" t="s">
        <v>75</v>
      </c>
      <c r="I4250" s="6">
        <v>0</v>
      </c>
      <c r="J4250" s="6">
        <v>0</v>
      </c>
      <c r="K4250" s="6">
        <v>0</v>
      </c>
      <c r="L4250" s="6">
        <v>0</v>
      </c>
      <c r="M4250" s="6">
        <v>0</v>
      </c>
      <c r="N4250" s="6">
        <v>0</v>
      </c>
      <c r="O4250" s="6">
        <v>0</v>
      </c>
      <c r="P4250" s="6">
        <v>0</v>
      </c>
      <c r="Q4250">
        <v>1</v>
      </c>
      <c r="R4250">
        <f t="shared" si="330"/>
        <v>0</v>
      </c>
      <c r="S4250">
        <f t="shared" si="331"/>
        <v>1</v>
      </c>
      <c r="T4250">
        <f t="shared" si="332"/>
        <v>0</v>
      </c>
      <c r="U4250">
        <f t="shared" si="333"/>
        <v>0</v>
      </c>
      <c r="V4250">
        <f t="shared" si="334"/>
        <v>0</v>
      </c>
    </row>
    <row r="4251" spans="1:22" x14ac:dyDescent="0.25">
      <c r="A4251">
        <v>4248</v>
      </c>
      <c r="B4251" t="s">
        <v>30</v>
      </c>
      <c r="C4251" t="s">
        <v>1455</v>
      </c>
      <c r="D4251" s="4">
        <v>45362</v>
      </c>
      <c r="E4251" t="s">
        <v>2052</v>
      </c>
      <c r="F4251" t="s">
        <v>75</v>
      </c>
      <c r="I4251" s="6"/>
      <c r="J4251" s="6"/>
      <c r="K4251" s="6"/>
      <c r="L4251" s="6"/>
      <c r="M4251" s="6"/>
      <c r="N4251" s="6"/>
      <c r="O4251" s="6"/>
      <c r="P4251" s="6"/>
      <c r="Q4251">
        <v>0</v>
      </c>
      <c r="R4251">
        <f t="shared" si="330"/>
        <v>0</v>
      </c>
      <c r="S4251">
        <f t="shared" si="331"/>
        <v>0</v>
      </c>
      <c r="T4251">
        <f t="shared" si="332"/>
        <v>0</v>
      </c>
      <c r="U4251">
        <f t="shared" si="333"/>
        <v>0</v>
      </c>
      <c r="V4251">
        <f t="shared" si="334"/>
        <v>0</v>
      </c>
    </row>
    <row r="4252" spans="1:22" x14ac:dyDescent="0.25">
      <c r="A4252">
        <v>4249</v>
      </c>
      <c r="B4252" t="s">
        <v>30</v>
      </c>
      <c r="C4252" t="s">
        <v>1455</v>
      </c>
      <c r="D4252" s="4">
        <v>45363</v>
      </c>
      <c r="E4252" t="s">
        <v>847</v>
      </c>
      <c r="F4252" t="s">
        <v>75</v>
      </c>
      <c r="I4252" s="6">
        <v>0</v>
      </c>
      <c r="J4252" s="6">
        <v>0</v>
      </c>
      <c r="K4252" s="6">
        <v>0</v>
      </c>
      <c r="L4252" s="6">
        <v>0</v>
      </c>
      <c r="M4252" s="6">
        <v>0</v>
      </c>
      <c r="N4252" s="6">
        <v>0</v>
      </c>
      <c r="O4252" s="6">
        <v>0</v>
      </c>
      <c r="P4252" s="6">
        <v>0</v>
      </c>
      <c r="Q4252">
        <v>1</v>
      </c>
      <c r="R4252">
        <f t="shared" si="330"/>
        <v>0</v>
      </c>
      <c r="S4252">
        <f t="shared" si="331"/>
        <v>1</v>
      </c>
      <c r="T4252">
        <f t="shared" si="332"/>
        <v>0</v>
      </c>
      <c r="U4252">
        <f t="shared" si="333"/>
        <v>0</v>
      </c>
      <c r="V4252">
        <f t="shared" si="334"/>
        <v>0</v>
      </c>
    </row>
    <row r="4253" spans="1:22" x14ac:dyDescent="0.25">
      <c r="A4253">
        <v>4250</v>
      </c>
      <c r="B4253" t="s">
        <v>30</v>
      </c>
      <c r="C4253" t="s">
        <v>1455</v>
      </c>
      <c r="D4253" s="4">
        <v>45363</v>
      </c>
      <c r="E4253" t="s">
        <v>848</v>
      </c>
      <c r="F4253" t="s">
        <v>75</v>
      </c>
      <c r="I4253" s="6">
        <v>0</v>
      </c>
      <c r="J4253" s="6">
        <v>0</v>
      </c>
      <c r="K4253" s="6">
        <v>0</v>
      </c>
      <c r="L4253" s="6">
        <v>0</v>
      </c>
      <c r="M4253" s="6">
        <v>0</v>
      </c>
      <c r="N4253" s="6">
        <v>0</v>
      </c>
      <c r="O4253" s="6">
        <v>0</v>
      </c>
      <c r="P4253" s="6">
        <v>0</v>
      </c>
      <c r="Q4253">
        <v>1</v>
      </c>
      <c r="R4253">
        <f t="shared" si="330"/>
        <v>0</v>
      </c>
      <c r="S4253">
        <f t="shared" si="331"/>
        <v>1</v>
      </c>
      <c r="T4253">
        <f t="shared" si="332"/>
        <v>0</v>
      </c>
      <c r="U4253">
        <f t="shared" si="333"/>
        <v>0</v>
      </c>
      <c r="V4253">
        <f t="shared" si="334"/>
        <v>0</v>
      </c>
    </row>
    <row r="4254" spans="1:22" x14ac:dyDescent="0.25">
      <c r="A4254">
        <v>4251</v>
      </c>
      <c r="B4254" t="s">
        <v>30</v>
      </c>
      <c r="C4254" t="s">
        <v>1455</v>
      </c>
      <c r="D4254" s="4">
        <v>45363</v>
      </c>
      <c r="E4254" t="s">
        <v>1469</v>
      </c>
      <c r="F4254" t="s">
        <v>75</v>
      </c>
      <c r="I4254" s="6">
        <v>0</v>
      </c>
      <c r="J4254" s="6">
        <v>0</v>
      </c>
      <c r="K4254" s="6">
        <v>0</v>
      </c>
      <c r="L4254" s="6">
        <v>1</v>
      </c>
      <c r="M4254" s="6">
        <v>1</v>
      </c>
      <c r="N4254" s="6">
        <v>1</v>
      </c>
      <c r="O4254" s="6">
        <v>0</v>
      </c>
      <c r="P4254" s="6">
        <v>0</v>
      </c>
      <c r="Q4254">
        <v>1</v>
      </c>
      <c r="R4254">
        <f t="shared" si="330"/>
        <v>0</v>
      </c>
      <c r="S4254">
        <f t="shared" si="331"/>
        <v>1</v>
      </c>
      <c r="T4254">
        <f t="shared" si="332"/>
        <v>3</v>
      </c>
      <c r="U4254">
        <f t="shared" si="333"/>
        <v>1</v>
      </c>
      <c r="V4254">
        <f t="shared" si="334"/>
        <v>0</v>
      </c>
    </row>
    <row r="4255" spans="1:22" x14ac:dyDescent="0.25">
      <c r="A4255">
        <v>4252</v>
      </c>
      <c r="B4255" t="s">
        <v>30</v>
      </c>
      <c r="C4255" t="s">
        <v>1455</v>
      </c>
      <c r="D4255" s="4">
        <v>45363</v>
      </c>
      <c r="E4255" t="s">
        <v>1792</v>
      </c>
      <c r="F4255" t="s">
        <v>75</v>
      </c>
      <c r="I4255" s="6"/>
      <c r="J4255" s="6"/>
      <c r="K4255" s="6"/>
      <c r="L4255" s="6"/>
      <c r="M4255" s="6"/>
      <c r="N4255" s="6"/>
      <c r="O4255" s="6"/>
      <c r="P4255" s="6"/>
      <c r="Q4255">
        <v>0</v>
      </c>
      <c r="R4255">
        <f t="shared" si="330"/>
        <v>0</v>
      </c>
      <c r="S4255">
        <f t="shared" si="331"/>
        <v>0</v>
      </c>
      <c r="T4255">
        <f t="shared" si="332"/>
        <v>0</v>
      </c>
      <c r="U4255">
        <f t="shared" si="333"/>
        <v>0</v>
      </c>
      <c r="V4255">
        <f t="shared" si="334"/>
        <v>0</v>
      </c>
    </row>
    <row r="4256" spans="1:22" x14ac:dyDescent="0.25">
      <c r="A4256">
        <v>4253</v>
      </c>
      <c r="B4256" t="s">
        <v>30</v>
      </c>
      <c r="C4256" t="s">
        <v>1455</v>
      </c>
      <c r="D4256" s="4">
        <v>45364</v>
      </c>
      <c r="E4256" t="s">
        <v>1127</v>
      </c>
      <c r="F4256" t="s">
        <v>75</v>
      </c>
      <c r="I4256" s="6"/>
      <c r="J4256" s="6"/>
      <c r="K4256" s="6"/>
      <c r="L4256" s="6"/>
      <c r="M4256" s="6"/>
      <c r="N4256" s="6"/>
      <c r="O4256" s="6"/>
      <c r="P4256" s="6"/>
      <c r="Q4256">
        <v>0</v>
      </c>
      <c r="R4256">
        <f t="shared" si="330"/>
        <v>0</v>
      </c>
      <c r="S4256">
        <f t="shared" si="331"/>
        <v>0</v>
      </c>
      <c r="T4256">
        <f t="shared" si="332"/>
        <v>0</v>
      </c>
      <c r="U4256">
        <f t="shared" si="333"/>
        <v>0</v>
      </c>
      <c r="V4256">
        <f t="shared" si="334"/>
        <v>0</v>
      </c>
    </row>
    <row r="4257" spans="1:22" x14ac:dyDescent="0.25">
      <c r="A4257">
        <v>4254</v>
      </c>
      <c r="B4257" t="s">
        <v>30</v>
      </c>
      <c r="C4257" t="s">
        <v>1455</v>
      </c>
      <c r="D4257" s="4">
        <v>45364</v>
      </c>
      <c r="E4257" t="s">
        <v>849</v>
      </c>
      <c r="F4257" t="s">
        <v>75</v>
      </c>
      <c r="I4257" s="6">
        <v>1</v>
      </c>
      <c r="J4257" s="6">
        <v>1</v>
      </c>
      <c r="K4257" s="6">
        <v>0</v>
      </c>
      <c r="L4257" s="6">
        <v>0</v>
      </c>
      <c r="M4257" s="6">
        <v>0</v>
      </c>
      <c r="N4257" s="6">
        <v>0</v>
      </c>
      <c r="O4257" s="6">
        <v>1</v>
      </c>
      <c r="P4257" s="6">
        <v>0</v>
      </c>
      <c r="Q4257">
        <v>1</v>
      </c>
      <c r="R4257">
        <f t="shared" si="330"/>
        <v>0</v>
      </c>
      <c r="S4257">
        <f t="shared" si="331"/>
        <v>1</v>
      </c>
      <c r="T4257">
        <f t="shared" si="332"/>
        <v>3</v>
      </c>
      <c r="U4257">
        <f t="shared" si="333"/>
        <v>1</v>
      </c>
      <c r="V4257">
        <f t="shared" si="334"/>
        <v>0</v>
      </c>
    </row>
    <row r="4258" spans="1:22" x14ac:dyDescent="0.25">
      <c r="A4258">
        <v>4255</v>
      </c>
      <c r="B4258" t="s">
        <v>30</v>
      </c>
      <c r="C4258" t="s">
        <v>1455</v>
      </c>
      <c r="D4258" s="4">
        <v>45364</v>
      </c>
      <c r="E4258" t="s">
        <v>850</v>
      </c>
      <c r="F4258" t="s">
        <v>75</v>
      </c>
      <c r="I4258" s="6">
        <v>0</v>
      </c>
      <c r="J4258" s="6">
        <v>0</v>
      </c>
      <c r="K4258" s="6">
        <v>0</v>
      </c>
      <c r="L4258" s="6">
        <v>0</v>
      </c>
      <c r="M4258" s="6">
        <v>1</v>
      </c>
      <c r="N4258" s="6">
        <v>0</v>
      </c>
      <c r="O4258" s="6">
        <v>0</v>
      </c>
      <c r="P4258" s="6">
        <v>0</v>
      </c>
      <c r="Q4258">
        <v>1</v>
      </c>
      <c r="R4258">
        <f t="shared" si="330"/>
        <v>0</v>
      </c>
      <c r="S4258">
        <f t="shared" si="331"/>
        <v>1</v>
      </c>
      <c r="T4258">
        <f t="shared" si="332"/>
        <v>1</v>
      </c>
      <c r="U4258">
        <f t="shared" si="333"/>
        <v>1</v>
      </c>
      <c r="V4258">
        <f t="shared" si="334"/>
        <v>0</v>
      </c>
    </row>
    <row r="4259" spans="1:22" x14ac:dyDescent="0.25">
      <c r="A4259">
        <v>4256</v>
      </c>
      <c r="B4259" t="s">
        <v>30</v>
      </c>
      <c r="C4259" t="s">
        <v>1455</v>
      </c>
      <c r="D4259" s="4">
        <v>45364</v>
      </c>
      <c r="E4259" t="s">
        <v>2217</v>
      </c>
      <c r="F4259" t="s">
        <v>75</v>
      </c>
      <c r="I4259" s="6">
        <v>0</v>
      </c>
      <c r="J4259" s="6">
        <v>0</v>
      </c>
      <c r="K4259" s="6">
        <v>1</v>
      </c>
      <c r="L4259" s="6">
        <v>0</v>
      </c>
      <c r="M4259" s="6">
        <v>0</v>
      </c>
      <c r="N4259" s="6">
        <v>0</v>
      </c>
      <c r="O4259" s="6">
        <v>1</v>
      </c>
      <c r="P4259" s="6">
        <v>0</v>
      </c>
      <c r="Q4259">
        <v>1</v>
      </c>
      <c r="R4259">
        <f t="shared" si="330"/>
        <v>0</v>
      </c>
      <c r="S4259">
        <f t="shared" si="331"/>
        <v>1</v>
      </c>
      <c r="T4259">
        <f t="shared" si="332"/>
        <v>2</v>
      </c>
      <c r="U4259">
        <f t="shared" si="333"/>
        <v>1</v>
      </c>
      <c r="V4259">
        <f t="shared" si="334"/>
        <v>0</v>
      </c>
    </row>
    <row r="4260" spans="1:22" x14ac:dyDescent="0.25">
      <c r="A4260">
        <v>4257</v>
      </c>
      <c r="B4260" t="s">
        <v>30</v>
      </c>
      <c r="C4260" t="s">
        <v>1455</v>
      </c>
      <c r="D4260" s="4">
        <v>45364</v>
      </c>
      <c r="E4260" t="s">
        <v>2216</v>
      </c>
      <c r="F4260" t="s">
        <v>75</v>
      </c>
      <c r="I4260" s="6"/>
      <c r="J4260" s="6"/>
      <c r="K4260" s="6"/>
      <c r="L4260" s="6"/>
      <c r="M4260" s="6"/>
      <c r="N4260" s="6"/>
      <c r="O4260" s="6"/>
      <c r="P4260" s="6"/>
      <c r="Q4260">
        <v>0</v>
      </c>
      <c r="R4260">
        <f t="shared" si="330"/>
        <v>0</v>
      </c>
      <c r="S4260">
        <f t="shared" si="331"/>
        <v>0</v>
      </c>
      <c r="T4260">
        <f t="shared" si="332"/>
        <v>0</v>
      </c>
      <c r="U4260">
        <f t="shared" si="333"/>
        <v>0</v>
      </c>
      <c r="V4260">
        <f t="shared" si="334"/>
        <v>0</v>
      </c>
    </row>
    <row r="4261" spans="1:22" x14ac:dyDescent="0.25">
      <c r="A4261">
        <v>4258</v>
      </c>
      <c r="B4261" t="s">
        <v>30</v>
      </c>
      <c r="C4261" t="s">
        <v>1455</v>
      </c>
      <c r="D4261" s="4">
        <v>45366</v>
      </c>
      <c r="E4261" t="s">
        <v>928</v>
      </c>
      <c r="F4261" t="s">
        <v>75</v>
      </c>
      <c r="I4261" s="6">
        <v>0</v>
      </c>
      <c r="J4261" s="6">
        <v>0</v>
      </c>
      <c r="K4261" s="6">
        <v>0</v>
      </c>
      <c r="L4261" s="6">
        <v>0</v>
      </c>
      <c r="M4261" s="6">
        <v>0</v>
      </c>
      <c r="N4261" s="6">
        <v>0</v>
      </c>
      <c r="O4261" s="6">
        <v>0</v>
      </c>
      <c r="P4261" s="6">
        <v>0</v>
      </c>
      <c r="Q4261">
        <v>1</v>
      </c>
      <c r="R4261">
        <f t="shared" si="330"/>
        <v>0</v>
      </c>
      <c r="S4261">
        <f t="shared" si="331"/>
        <v>1</v>
      </c>
      <c r="T4261">
        <f t="shared" si="332"/>
        <v>0</v>
      </c>
      <c r="U4261">
        <f t="shared" si="333"/>
        <v>0</v>
      </c>
      <c r="V4261">
        <f t="shared" si="334"/>
        <v>0</v>
      </c>
    </row>
    <row r="4262" spans="1:22" x14ac:dyDescent="0.25">
      <c r="A4262">
        <v>4259</v>
      </c>
      <c r="B4262" t="s">
        <v>30</v>
      </c>
      <c r="C4262" t="s">
        <v>1455</v>
      </c>
      <c r="D4262" s="4">
        <v>45366</v>
      </c>
      <c r="E4262" t="s">
        <v>930</v>
      </c>
      <c r="F4262" t="s">
        <v>75</v>
      </c>
      <c r="I4262" s="6">
        <v>0</v>
      </c>
      <c r="J4262" s="6">
        <v>0</v>
      </c>
      <c r="K4262" s="6">
        <v>0</v>
      </c>
      <c r="L4262" s="6">
        <v>0</v>
      </c>
      <c r="M4262" s="6">
        <v>0</v>
      </c>
      <c r="N4262" s="6">
        <v>0</v>
      </c>
      <c r="O4262" s="6">
        <v>0</v>
      </c>
      <c r="P4262" s="6">
        <v>1</v>
      </c>
      <c r="Q4262">
        <v>1</v>
      </c>
      <c r="R4262">
        <f t="shared" si="330"/>
        <v>0</v>
      </c>
      <c r="S4262">
        <f t="shared" si="331"/>
        <v>1</v>
      </c>
      <c r="T4262">
        <f t="shared" si="332"/>
        <v>1</v>
      </c>
      <c r="U4262">
        <f t="shared" si="333"/>
        <v>1</v>
      </c>
      <c r="V4262">
        <f t="shared" si="334"/>
        <v>0</v>
      </c>
    </row>
    <row r="4263" spans="1:22" x14ac:dyDescent="0.25">
      <c r="A4263">
        <v>4260</v>
      </c>
      <c r="B4263" t="s">
        <v>30</v>
      </c>
      <c r="C4263" t="s">
        <v>1455</v>
      </c>
      <c r="D4263" s="4">
        <v>45367</v>
      </c>
      <c r="E4263" t="s">
        <v>425</v>
      </c>
      <c r="F4263" t="s">
        <v>75</v>
      </c>
      <c r="I4263" s="6">
        <v>0</v>
      </c>
      <c r="J4263" s="6">
        <v>0</v>
      </c>
      <c r="K4263" s="6">
        <v>0</v>
      </c>
      <c r="L4263" s="6">
        <v>0</v>
      </c>
      <c r="M4263" s="6">
        <v>0</v>
      </c>
      <c r="N4263" s="6">
        <v>0</v>
      </c>
      <c r="O4263" s="6">
        <v>0</v>
      </c>
      <c r="P4263" s="6">
        <v>0</v>
      </c>
      <c r="Q4263">
        <v>1</v>
      </c>
      <c r="R4263">
        <f t="shared" si="330"/>
        <v>0</v>
      </c>
      <c r="S4263">
        <f t="shared" si="331"/>
        <v>1</v>
      </c>
      <c r="T4263">
        <f t="shared" si="332"/>
        <v>0</v>
      </c>
      <c r="U4263">
        <f t="shared" si="333"/>
        <v>0</v>
      </c>
      <c r="V4263">
        <f t="shared" si="334"/>
        <v>0</v>
      </c>
    </row>
    <row r="4264" spans="1:22" x14ac:dyDescent="0.25">
      <c r="A4264">
        <v>4261</v>
      </c>
      <c r="B4264" t="s">
        <v>30</v>
      </c>
      <c r="C4264" t="s">
        <v>1455</v>
      </c>
      <c r="D4264" s="4">
        <v>45367</v>
      </c>
      <c r="E4264" t="s">
        <v>426</v>
      </c>
      <c r="F4264" t="s">
        <v>75</v>
      </c>
      <c r="I4264" s="6">
        <v>0</v>
      </c>
      <c r="J4264" s="6">
        <v>0</v>
      </c>
      <c r="K4264" s="6">
        <v>0</v>
      </c>
      <c r="L4264" s="6">
        <v>1</v>
      </c>
      <c r="M4264" s="6">
        <v>0</v>
      </c>
      <c r="N4264" s="6">
        <v>0</v>
      </c>
      <c r="O4264" s="6">
        <v>0</v>
      </c>
      <c r="P4264" s="6">
        <v>0</v>
      </c>
      <c r="Q4264">
        <v>1</v>
      </c>
      <c r="R4264">
        <f t="shared" si="330"/>
        <v>0</v>
      </c>
      <c r="S4264">
        <f t="shared" si="331"/>
        <v>1</v>
      </c>
      <c r="T4264">
        <f t="shared" si="332"/>
        <v>1</v>
      </c>
      <c r="U4264">
        <f t="shared" si="333"/>
        <v>1</v>
      </c>
      <c r="V4264">
        <f t="shared" si="334"/>
        <v>0</v>
      </c>
    </row>
    <row r="4265" spans="1:22" x14ac:dyDescent="0.25">
      <c r="A4265">
        <v>4262</v>
      </c>
      <c r="B4265" t="s">
        <v>30</v>
      </c>
      <c r="C4265" t="s">
        <v>1455</v>
      </c>
      <c r="D4265" s="4">
        <v>45367</v>
      </c>
      <c r="E4265" t="s">
        <v>1470</v>
      </c>
      <c r="F4265" t="s">
        <v>75</v>
      </c>
      <c r="I4265" s="6">
        <v>0</v>
      </c>
      <c r="J4265" s="6">
        <v>0</v>
      </c>
      <c r="K4265" s="6">
        <v>0</v>
      </c>
      <c r="L4265" s="6">
        <v>0</v>
      </c>
      <c r="M4265" s="6">
        <v>0</v>
      </c>
      <c r="N4265" s="6">
        <v>0</v>
      </c>
      <c r="O4265" s="6">
        <v>0</v>
      </c>
      <c r="P4265" s="6">
        <v>0</v>
      </c>
      <c r="Q4265">
        <v>1</v>
      </c>
      <c r="R4265">
        <f t="shared" si="330"/>
        <v>0</v>
      </c>
      <c r="S4265">
        <f t="shared" si="331"/>
        <v>1</v>
      </c>
      <c r="T4265">
        <f t="shared" si="332"/>
        <v>0</v>
      </c>
      <c r="U4265">
        <f t="shared" si="333"/>
        <v>0</v>
      </c>
      <c r="V4265">
        <f t="shared" si="334"/>
        <v>0</v>
      </c>
    </row>
    <row r="4266" spans="1:22" x14ac:dyDescent="0.25">
      <c r="A4266">
        <v>4263</v>
      </c>
      <c r="B4266" t="s">
        <v>30</v>
      </c>
      <c r="C4266" t="s">
        <v>1455</v>
      </c>
      <c r="D4266" s="4">
        <v>45368</v>
      </c>
      <c r="E4266" t="s">
        <v>1794</v>
      </c>
      <c r="F4266" t="s">
        <v>75</v>
      </c>
      <c r="I4266" s="6"/>
      <c r="J4266" s="6"/>
      <c r="K4266" s="6"/>
      <c r="L4266" s="6"/>
      <c r="M4266" s="6"/>
      <c r="N4266" s="6"/>
      <c r="O4266" s="6"/>
      <c r="P4266" s="6"/>
      <c r="Q4266">
        <v>0</v>
      </c>
      <c r="R4266">
        <f t="shared" si="330"/>
        <v>0</v>
      </c>
      <c r="S4266">
        <f t="shared" si="331"/>
        <v>0</v>
      </c>
      <c r="T4266">
        <f t="shared" si="332"/>
        <v>0</v>
      </c>
      <c r="U4266">
        <f t="shared" si="333"/>
        <v>0</v>
      </c>
      <c r="V4266">
        <f t="shared" si="334"/>
        <v>0</v>
      </c>
    </row>
    <row r="4267" spans="1:22" x14ac:dyDescent="0.25">
      <c r="A4267">
        <v>4264</v>
      </c>
      <c r="B4267" t="s">
        <v>30</v>
      </c>
      <c r="C4267" t="s">
        <v>1455</v>
      </c>
      <c r="D4267" s="4">
        <v>45368</v>
      </c>
      <c r="E4267" t="s">
        <v>2043</v>
      </c>
      <c r="F4267" t="s">
        <v>75</v>
      </c>
      <c r="I4267" s="6">
        <v>0</v>
      </c>
      <c r="J4267" s="6">
        <v>0</v>
      </c>
      <c r="K4267" s="6">
        <v>0</v>
      </c>
      <c r="L4267" s="6">
        <v>0</v>
      </c>
      <c r="M4267" s="6">
        <v>0</v>
      </c>
      <c r="N4267" s="6">
        <v>0</v>
      </c>
      <c r="O4267" s="6">
        <v>0</v>
      </c>
      <c r="P4267" s="6">
        <v>0</v>
      </c>
      <c r="Q4267">
        <v>1</v>
      </c>
      <c r="R4267">
        <f t="shared" si="330"/>
        <v>0</v>
      </c>
      <c r="S4267">
        <f t="shared" si="331"/>
        <v>1</v>
      </c>
      <c r="T4267">
        <f t="shared" si="332"/>
        <v>0</v>
      </c>
      <c r="U4267">
        <f t="shared" si="333"/>
        <v>0</v>
      </c>
      <c r="V4267">
        <f t="shared" si="334"/>
        <v>0</v>
      </c>
    </row>
    <row r="4268" spans="1:22" x14ac:dyDescent="0.25">
      <c r="A4268">
        <v>4265</v>
      </c>
      <c r="B4268" t="s">
        <v>30</v>
      </c>
      <c r="C4268" t="s">
        <v>1455</v>
      </c>
      <c r="D4268" s="4">
        <v>45369</v>
      </c>
      <c r="E4268" t="s">
        <v>854</v>
      </c>
      <c r="F4268" t="s">
        <v>357</v>
      </c>
      <c r="I4268" s="6"/>
      <c r="J4268" s="6"/>
      <c r="K4268" s="6"/>
      <c r="L4268" s="6"/>
      <c r="M4268" s="6"/>
      <c r="N4268" s="6"/>
      <c r="O4268" s="6"/>
      <c r="P4268" s="6"/>
      <c r="Q4268">
        <v>0</v>
      </c>
      <c r="R4268">
        <f t="shared" si="330"/>
        <v>0</v>
      </c>
      <c r="S4268">
        <f t="shared" si="331"/>
        <v>0</v>
      </c>
      <c r="T4268">
        <f t="shared" si="332"/>
        <v>0</v>
      </c>
      <c r="U4268">
        <f t="shared" si="333"/>
        <v>0</v>
      </c>
      <c r="V4268">
        <f t="shared" si="334"/>
        <v>0</v>
      </c>
    </row>
    <row r="4269" spans="1:22" x14ac:dyDescent="0.25">
      <c r="A4269">
        <v>4266</v>
      </c>
      <c r="B4269" t="s">
        <v>30</v>
      </c>
      <c r="C4269" t="s">
        <v>1455</v>
      </c>
      <c r="D4269" s="4">
        <v>45369</v>
      </c>
      <c r="E4269" t="s">
        <v>855</v>
      </c>
      <c r="F4269" t="s">
        <v>357</v>
      </c>
      <c r="I4269" s="6">
        <v>0</v>
      </c>
      <c r="J4269" s="6">
        <v>1</v>
      </c>
      <c r="K4269" s="6">
        <v>0</v>
      </c>
      <c r="L4269" s="6">
        <v>0</v>
      </c>
      <c r="M4269" s="6">
        <v>0</v>
      </c>
      <c r="N4269" s="6">
        <v>0</v>
      </c>
      <c r="O4269" s="6">
        <v>0</v>
      </c>
      <c r="P4269" s="6">
        <v>0</v>
      </c>
      <c r="Q4269">
        <v>1</v>
      </c>
      <c r="R4269">
        <f t="shared" si="330"/>
        <v>0</v>
      </c>
      <c r="S4269">
        <f t="shared" si="331"/>
        <v>0</v>
      </c>
      <c r="T4269">
        <f t="shared" si="332"/>
        <v>1</v>
      </c>
      <c r="U4269">
        <f t="shared" si="333"/>
        <v>1</v>
      </c>
      <c r="V4269">
        <f t="shared" si="334"/>
        <v>0</v>
      </c>
    </row>
    <row r="4270" spans="1:22" x14ac:dyDescent="0.25">
      <c r="A4270">
        <v>4267</v>
      </c>
      <c r="B4270" t="s">
        <v>30</v>
      </c>
      <c r="C4270" t="s">
        <v>1455</v>
      </c>
      <c r="D4270" s="4">
        <v>45370</v>
      </c>
      <c r="E4270" t="s">
        <v>935</v>
      </c>
      <c r="F4270" t="s">
        <v>75</v>
      </c>
      <c r="I4270" s="6">
        <v>0</v>
      </c>
      <c r="J4270" s="6">
        <v>0</v>
      </c>
      <c r="K4270" s="6">
        <v>0</v>
      </c>
      <c r="L4270" s="6">
        <v>0</v>
      </c>
      <c r="M4270" s="6">
        <v>0</v>
      </c>
      <c r="N4270" s="6">
        <v>0</v>
      </c>
      <c r="O4270" s="6">
        <v>1</v>
      </c>
      <c r="P4270" s="6">
        <v>0</v>
      </c>
      <c r="Q4270">
        <v>1</v>
      </c>
      <c r="R4270">
        <f t="shared" si="330"/>
        <v>0</v>
      </c>
      <c r="S4270">
        <f t="shared" si="331"/>
        <v>1</v>
      </c>
      <c r="T4270">
        <f t="shared" si="332"/>
        <v>1</v>
      </c>
      <c r="U4270">
        <f t="shared" si="333"/>
        <v>1</v>
      </c>
      <c r="V4270">
        <f t="shared" si="334"/>
        <v>0</v>
      </c>
    </row>
    <row r="4271" spans="1:22" x14ac:dyDescent="0.25">
      <c r="A4271">
        <v>4268</v>
      </c>
      <c r="B4271" t="s">
        <v>30</v>
      </c>
      <c r="C4271" t="s">
        <v>1455</v>
      </c>
      <c r="D4271" s="4">
        <v>45370</v>
      </c>
      <c r="E4271" t="s">
        <v>937</v>
      </c>
      <c r="F4271" t="s">
        <v>75</v>
      </c>
      <c r="I4271" s="6"/>
      <c r="J4271" s="6"/>
      <c r="K4271" s="6"/>
      <c r="L4271" s="6"/>
      <c r="M4271" s="6"/>
      <c r="N4271" s="6"/>
      <c r="O4271" s="6"/>
      <c r="P4271" s="6"/>
      <c r="Q4271">
        <v>0</v>
      </c>
      <c r="R4271">
        <f t="shared" si="330"/>
        <v>0</v>
      </c>
      <c r="S4271">
        <f t="shared" si="331"/>
        <v>0</v>
      </c>
      <c r="T4271">
        <f t="shared" si="332"/>
        <v>0</v>
      </c>
      <c r="U4271">
        <f t="shared" si="333"/>
        <v>0</v>
      </c>
      <c r="V4271">
        <f t="shared" si="334"/>
        <v>0</v>
      </c>
    </row>
    <row r="4272" spans="1:22" x14ac:dyDescent="0.25">
      <c r="A4272">
        <v>4269</v>
      </c>
      <c r="B4272" t="s">
        <v>30</v>
      </c>
      <c r="C4272" t="s">
        <v>1455</v>
      </c>
      <c r="D4272" s="4">
        <v>45371</v>
      </c>
      <c r="E4272" t="s">
        <v>856</v>
      </c>
      <c r="F4272" t="s">
        <v>75</v>
      </c>
      <c r="I4272" s="6">
        <v>0</v>
      </c>
      <c r="J4272" s="6">
        <v>1</v>
      </c>
      <c r="K4272" s="6">
        <v>1</v>
      </c>
      <c r="L4272" s="6">
        <v>0</v>
      </c>
      <c r="M4272" s="6">
        <v>0</v>
      </c>
      <c r="N4272" s="6">
        <v>0</v>
      </c>
      <c r="O4272" s="6">
        <v>0</v>
      </c>
      <c r="P4272" s="6">
        <v>0</v>
      </c>
      <c r="Q4272">
        <v>1</v>
      </c>
      <c r="R4272">
        <f t="shared" si="330"/>
        <v>0</v>
      </c>
      <c r="S4272">
        <f t="shared" si="331"/>
        <v>1</v>
      </c>
      <c r="T4272">
        <f t="shared" si="332"/>
        <v>2</v>
      </c>
      <c r="U4272">
        <f t="shared" si="333"/>
        <v>1</v>
      </c>
      <c r="V4272">
        <f t="shared" si="334"/>
        <v>0</v>
      </c>
    </row>
    <row r="4273" spans="1:22" x14ac:dyDescent="0.25">
      <c r="A4273">
        <v>4270</v>
      </c>
      <c r="B4273" t="s">
        <v>30</v>
      </c>
      <c r="C4273" t="s">
        <v>1455</v>
      </c>
      <c r="D4273" s="4">
        <v>45372</v>
      </c>
      <c r="E4273" t="s">
        <v>940</v>
      </c>
      <c r="F4273" t="s">
        <v>75</v>
      </c>
      <c r="I4273" s="6">
        <v>0</v>
      </c>
      <c r="J4273" s="6">
        <v>0</v>
      </c>
      <c r="K4273" s="6">
        <v>0</v>
      </c>
      <c r="L4273" s="6">
        <v>0</v>
      </c>
      <c r="M4273" s="6">
        <v>0</v>
      </c>
      <c r="N4273" s="6">
        <v>0</v>
      </c>
      <c r="O4273" s="6">
        <v>0</v>
      </c>
      <c r="P4273" s="6">
        <v>0</v>
      </c>
      <c r="Q4273">
        <v>1</v>
      </c>
      <c r="R4273">
        <f t="shared" si="330"/>
        <v>0</v>
      </c>
      <c r="S4273">
        <f t="shared" si="331"/>
        <v>1</v>
      </c>
      <c r="T4273">
        <f t="shared" si="332"/>
        <v>0</v>
      </c>
      <c r="U4273">
        <f t="shared" si="333"/>
        <v>0</v>
      </c>
      <c r="V4273">
        <f t="shared" si="334"/>
        <v>0</v>
      </c>
    </row>
    <row r="4274" spans="1:22" x14ac:dyDescent="0.25">
      <c r="A4274">
        <v>4271</v>
      </c>
      <c r="B4274" t="s">
        <v>30</v>
      </c>
      <c r="C4274" t="s">
        <v>1455</v>
      </c>
      <c r="D4274" s="4">
        <v>45372</v>
      </c>
      <c r="E4274" t="s">
        <v>269</v>
      </c>
      <c r="F4274" t="s">
        <v>75</v>
      </c>
      <c r="I4274" s="6">
        <v>0</v>
      </c>
      <c r="J4274" s="6">
        <v>0</v>
      </c>
      <c r="K4274" s="6">
        <v>1</v>
      </c>
      <c r="L4274" s="6">
        <v>0</v>
      </c>
      <c r="M4274" s="6">
        <v>0</v>
      </c>
      <c r="N4274" s="6">
        <v>0</v>
      </c>
      <c r="O4274" s="6">
        <v>0</v>
      </c>
      <c r="P4274" s="6">
        <v>0</v>
      </c>
      <c r="Q4274">
        <v>1</v>
      </c>
      <c r="R4274">
        <f t="shared" si="330"/>
        <v>0</v>
      </c>
      <c r="S4274">
        <f t="shared" si="331"/>
        <v>1</v>
      </c>
      <c r="T4274">
        <f t="shared" si="332"/>
        <v>1</v>
      </c>
      <c r="U4274">
        <f t="shared" si="333"/>
        <v>1</v>
      </c>
      <c r="V4274">
        <f t="shared" si="334"/>
        <v>0</v>
      </c>
    </row>
    <row r="4275" spans="1:22" x14ac:dyDescent="0.25">
      <c r="A4275">
        <v>4272</v>
      </c>
      <c r="B4275" t="s">
        <v>30</v>
      </c>
      <c r="C4275" t="s">
        <v>1455</v>
      </c>
      <c r="D4275" s="4">
        <v>45372</v>
      </c>
      <c r="E4275" t="s">
        <v>1471</v>
      </c>
      <c r="F4275" t="s">
        <v>75</v>
      </c>
      <c r="I4275" s="6">
        <v>0</v>
      </c>
      <c r="J4275" s="6">
        <v>0</v>
      </c>
      <c r="K4275" s="6">
        <v>0</v>
      </c>
      <c r="L4275" s="6">
        <v>1</v>
      </c>
      <c r="M4275" s="6">
        <v>0</v>
      </c>
      <c r="N4275" s="6">
        <v>0</v>
      </c>
      <c r="O4275" s="6">
        <v>0</v>
      </c>
      <c r="P4275" s="6">
        <v>1</v>
      </c>
      <c r="Q4275">
        <v>1</v>
      </c>
      <c r="R4275">
        <f t="shared" si="330"/>
        <v>0</v>
      </c>
      <c r="S4275">
        <f t="shared" si="331"/>
        <v>1</v>
      </c>
      <c r="T4275">
        <f t="shared" si="332"/>
        <v>2</v>
      </c>
      <c r="U4275">
        <f t="shared" si="333"/>
        <v>1</v>
      </c>
      <c r="V4275">
        <f t="shared" si="334"/>
        <v>0</v>
      </c>
    </row>
    <row r="4276" spans="1:22" x14ac:dyDescent="0.25">
      <c r="A4276">
        <v>4273</v>
      </c>
      <c r="B4276" t="s">
        <v>30</v>
      </c>
      <c r="C4276" t="s">
        <v>1455</v>
      </c>
      <c r="D4276" s="4">
        <v>45373</v>
      </c>
      <c r="E4276" t="s">
        <v>857</v>
      </c>
      <c r="F4276" t="s">
        <v>75</v>
      </c>
      <c r="I4276" s="6">
        <v>0</v>
      </c>
      <c r="J4276" s="6">
        <v>0</v>
      </c>
      <c r="K4276" s="6">
        <v>0</v>
      </c>
      <c r="L4276" s="6">
        <v>0</v>
      </c>
      <c r="M4276" s="6">
        <v>1</v>
      </c>
      <c r="N4276" s="6">
        <v>0</v>
      </c>
      <c r="O4276" s="6">
        <v>0</v>
      </c>
      <c r="P4276" s="6">
        <v>0</v>
      </c>
      <c r="Q4276">
        <v>1</v>
      </c>
      <c r="R4276">
        <f t="shared" si="330"/>
        <v>0</v>
      </c>
      <c r="S4276">
        <f t="shared" si="331"/>
        <v>1</v>
      </c>
      <c r="T4276">
        <f t="shared" si="332"/>
        <v>1</v>
      </c>
      <c r="U4276">
        <f t="shared" si="333"/>
        <v>1</v>
      </c>
      <c r="V4276">
        <f t="shared" si="334"/>
        <v>0</v>
      </c>
    </row>
    <row r="4277" spans="1:22" x14ac:dyDescent="0.25">
      <c r="A4277">
        <v>4274</v>
      </c>
      <c r="B4277" t="s">
        <v>30</v>
      </c>
      <c r="C4277" t="s">
        <v>1455</v>
      </c>
      <c r="D4277" s="4">
        <v>45374</v>
      </c>
      <c r="E4277" t="s">
        <v>430</v>
      </c>
      <c r="F4277" t="s">
        <v>75</v>
      </c>
      <c r="I4277" s="6"/>
      <c r="J4277" s="6"/>
      <c r="K4277" s="6"/>
      <c r="L4277" s="6"/>
      <c r="M4277" s="6"/>
      <c r="N4277" s="6"/>
      <c r="O4277" s="6"/>
      <c r="P4277" s="6"/>
      <c r="Q4277">
        <v>0</v>
      </c>
      <c r="R4277">
        <f t="shared" si="330"/>
        <v>0</v>
      </c>
      <c r="S4277">
        <f t="shared" si="331"/>
        <v>0</v>
      </c>
      <c r="T4277">
        <f t="shared" si="332"/>
        <v>0</v>
      </c>
      <c r="U4277">
        <f t="shared" si="333"/>
        <v>0</v>
      </c>
      <c r="V4277">
        <f t="shared" si="334"/>
        <v>0</v>
      </c>
    </row>
    <row r="4278" spans="1:22" x14ac:dyDescent="0.25">
      <c r="A4278">
        <v>4275</v>
      </c>
      <c r="B4278" t="s">
        <v>30</v>
      </c>
      <c r="C4278" t="s">
        <v>1455</v>
      </c>
      <c r="D4278" s="4">
        <v>45374</v>
      </c>
      <c r="E4278" t="s">
        <v>2314</v>
      </c>
      <c r="F4278" t="s">
        <v>75</v>
      </c>
      <c r="I4278" s="6"/>
      <c r="J4278" s="6"/>
      <c r="K4278" s="6"/>
      <c r="L4278" s="6"/>
      <c r="M4278" s="6"/>
      <c r="N4278" s="6"/>
      <c r="O4278" s="6"/>
      <c r="P4278" s="6"/>
      <c r="Q4278">
        <v>0</v>
      </c>
      <c r="R4278">
        <f t="shared" si="330"/>
        <v>0</v>
      </c>
      <c r="S4278">
        <f t="shared" si="331"/>
        <v>0</v>
      </c>
      <c r="T4278">
        <f t="shared" si="332"/>
        <v>0</v>
      </c>
      <c r="U4278">
        <f t="shared" si="333"/>
        <v>0</v>
      </c>
      <c r="V4278">
        <f t="shared" si="334"/>
        <v>0</v>
      </c>
    </row>
    <row r="4279" spans="1:22" x14ac:dyDescent="0.25">
      <c r="A4279">
        <v>4276</v>
      </c>
      <c r="B4279" t="s">
        <v>30</v>
      </c>
      <c r="C4279" t="s">
        <v>1455</v>
      </c>
      <c r="D4279" s="4">
        <v>45374</v>
      </c>
      <c r="E4279" t="s">
        <v>431</v>
      </c>
      <c r="F4279" t="s">
        <v>75</v>
      </c>
      <c r="I4279" s="6"/>
      <c r="J4279" s="6"/>
      <c r="K4279" s="6"/>
      <c r="L4279" s="6"/>
      <c r="M4279" s="6"/>
      <c r="N4279" s="6"/>
      <c r="O4279" s="6"/>
      <c r="P4279" s="6"/>
      <c r="Q4279">
        <v>0</v>
      </c>
      <c r="R4279">
        <f t="shared" si="330"/>
        <v>0</v>
      </c>
      <c r="S4279">
        <f t="shared" si="331"/>
        <v>0</v>
      </c>
      <c r="T4279">
        <f t="shared" si="332"/>
        <v>0</v>
      </c>
      <c r="U4279">
        <f t="shared" si="333"/>
        <v>0</v>
      </c>
      <c r="V4279">
        <f t="shared" si="334"/>
        <v>0</v>
      </c>
    </row>
    <row r="4280" spans="1:22" x14ac:dyDescent="0.25">
      <c r="A4280">
        <v>4277</v>
      </c>
      <c r="B4280" t="s">
        <v>30</v>
      </c>
      <c r="C4280" t="s">
        <v>1455</v>
      </c>
      <c r="D4280" s="4">
        <v>45374</v>
      </c>
      <c r="E4280" t="s">
        <v>432</v>
      </c>
      <c r="F4280" t="s">
        <v>75</v>
      </c>
      <c r="I4280" s="6"/>
      <c r="J4280" s="6"/>
      <c r="K4280" s="6"/>
      <c r="L4280" s="6"/>
      <c r="M4280" s="6"/>
      <c r="N4280" s="6"/>
      <c r="O4280" s="6"/>
      <c r="P4280" s="6"/>
      <c r="Q4280">
        <v>0</v>
      </c>
      <c r="R4280">
        <f t="shared" si="330"/>
        <v>0</v>
      </c>
      <c r="S4280">
        <f t="shared" si="331"/>
        <v>0</v>
      </c>
      <c r="T4280">
        <f t="shared" si="332"/>
        <v>0</v>
      </c>
      <c r="U4280">
        <f t="shared" si="333"/>
        <v>0</v>
      </c>
      <c r="V4280">
        <f t="shared" si="334"/>
        <v>0</v>
      </c>
    </row>
    <row r="4281" spans="1:22" x14ac:dyDescent="0.25">
      <c r="A4281">
        <v>4278</v>
      </c>
      <c r="B4281" t="s">
        <v>30</v>
      </c>
      <c r="C4281" t="s">
        <v>1455</v>
      </c>
      <c r="D4281" s="4">
        <v>45374</v>
      </c>
      <c r="E4281" t="s">
        <v>2201</v>
      </c>
      <c r="F4281" t="s">
        <v>75</v>
      </c>
      <c r="I4281" s="6"/>
      <c r="J4281" s="6"/>
      <c r="K4281" s="6"/>
      <c r="L4281" s="6"/>
      <c r="M4281" s="6"/>
      <c r="N4281" s="6"/>
      <c r="O4281" s="6"/>
      <c r="P4281" s="6"/>
      <c r="Q4281">
        <v>0</v>
      </c>
      <c r="R4281">
        <f t="shared" si="330"/>
        <v>0</v>
      </c>
      <c r="S4281">
        <f t="shared" si="331"/>
        <v>0</v>
      </c>
      <c r="T4281">
        <f t="shared" si="332"/>
        <v>0</v>
      </c>
      <c r="U4281">
        <f t="shared" si="333"/>
        <v>0</v>
      </c>
      <c r="V4281">
        <f t="shared" si="334"/>
        <v>0</v>
      </c>
    </row>
    <row r="4282" spans="1:22" x14ac:dyDescent="0.25">
      <c r="A4282">
        <v>4279</v>
      </c>
      <c r="B4282" t="s">
        <v>30</v>
      </c>
      <c r="C4282" t="s">
        <v>1455</v>
      </c>
      <c r="D4282" s="4">
        <v>45374</v>
      </c>
      <c r="E4282" t="s">
        <v>2200</v>
      </c>
      <c r="F4282" t="s">
        <v>75</v>
      </c>
      <c r="I4282" s="6">
        <v>0</v>
      </c>
      <c r="J4282" s="6">
        <v>0</v>
      </c>
      <c r="K4282" s="6">
        <v>0</v>
      </c>
      <c r="L4282" s="6">
        <v>1</v>
      </c>
      <c r="M4282" s="6">
        <v>0</v>
      </c>
      <c r="N4282" s="6">
        <v>0</v>
      </c>
      <c r="O4282" s="6">
        <v>0</v>
      </c>
      <c r="P4282" s="6">
        <v>0</v>
      </c>
      <c r="Q4282">
        <v>1</v>
      </c>
      <c r="R4282">
        <f t="shared" si="330"/>
        <v>0</v>
      </c>
      <c r="S4282">
        <f t="shared" si="331"/>
        <v>1</v>
      </c>
      <c r="T4282">
        <f t="shared" si="332"/>
        <v>1</v>
      </c>
      <c r="U4282">
        <f t="shared" si="333"/>
        <v>1</v>
      </c>
      <c r="V4282">
        <f t="shared" si="334"/>
        <v>0</v>
      </c>
    </row>
    <row r="4283" spans="1:22" x14ac:dyDescent="0.25">
      <c r="A4283">
        <v>4280</v>
      </c>
      <c r="B4283" t="s">
        <v>30</v>
      </c>
      <c r="C4283" t="s">
        <v>1455</v>
      </c>
      <c r="D4283" s="4">
        <v>45374</v>
      </c>
      <c r="E4283" t="s">
        <v>2199</v>
      </c>
      <c r="F4283" t="s">
        <v>75</v>
      </c>
      <c r="I4283" s="6"/>
      <c r="J4283" s="6"/>
      <c r="K4283" s="6"/>
      <c r="L4283" s="6"/>
      <c r="M4283" s="6"/>
      <c r="N4283" s="6"/>
      <c r="O4283" s="6"/>
      <c r="P4283" s="6"/>
      <c r="Q4283">
        <v>0</v>
      </c>
      <c r="R4283">
        <f t="shared" si="330"/>
        <v>0</v>
      </c>
      <c r="S4283">
        <f t="shared" si="331"/>
        <v>0</v>
      </c>
      <c r="T4283">
        <f t="shared" si="332"/>
        <v>0</v>
      </c>
      <c r="U4283">
        <f t="shared" si="333"/>
        <v>0</v>
      </c>
      <c r="V4283">
        <f t="shared" si="334"/>
        <v>0</v>
      </c>
    </row>
    <row r="4284" spans="1:22" x14ac:dyDescent="0.25">
      <c r="A4284">
        <v>4281</v>
      </c>
      <c r="B4284" t="s">
        <v>30</v>
      </c>
      <c r="C4284" t="s">
        <v>1455</v>
      </c>
      <c r="D4284" s="4">
        <v>45374</v>
      </c>
      <c r="E4284" t="s">
        <v>2313</v>
      </c>
      <c r="F4284" t="s">
        <v>75</v>
      </c>
      <c r="I4284" s="6"/>
      <c r="J4284" s="6"/>
      <c r="K4284" s="6"/>
      <c r="L4284" s="6"/>
      <c r="M4284" s="6"/>
      <c r="N4284" s="6"/>
      <c r="O4284" s="6"/>
      <c r="P4284" s="6"/>
      <c r="Q4284">
        <v>0</v>
      </c>
      <c r="R4284">
        <f t="shared" si="330"/>
        <v>0</v>
      </c>
      <c r="S4284">
        <f t="shared" si="331"/>
        <v>0</v>
      </c>
      <c r="T4284">
        <f t="shared" si="332"/>
        <v>0</v>
      </c>
      <c r="U4284">
        <f t="shared" si="333"/>
        <v>0</v>
      </c>
      <c r="V4284">
        <f t="shared" si="334"/>
        <v>0</v>
      </c>
    </row>
    <row r="4285" spans="1:22" x14ac:dyDescent="0.25">
      <c r="A4285">
        <v>4282</v>
      </c>
      <c r="B4285" t="s">
        <v>30</v>
      </c>
      <c r="C4285" t="s">
        <v>1455</v>
      </c>
      <c r="D4285" s="4">
        <v>45374</v>
      </c>
      <c r="E4285" t="s">
        <v>1472</v>
      </c>
      <c r="F4285" t="s">
        <v>75</v>
      </c>
      <c r="I4285" s="6">
        <v>1</v>
      </c>
      <c r="J4285" s="6">
        <v>0</v>
      </c>
      <c r="K4285" s="6">
        <v>0</v>
      </c>
      <c r="L4285" s="6">
        <v>0</v>
      </c>
      <c r="M4285" s="6">
        <v>0</v>
      </c>
      <c r="N4285" s="6">
        <v>0</v>
      </c>
      <c r="O4285" s="6">
        <v>0</v>
      </c>
      <c r="P4285" s="6">
        <v>0</v>
      </c>
      <c r="Q4285">
        <v>1</v>
      </c>
      <c r="R4285">
        <f t="shared" si="330"/>
        <v>0</v>
      </c>
      <c r="S4285">
        <f t="shared" si="331"/>
        <v>1</v>
      </c>
      <c r="T4285">
        <f t="shared" si="332"/>
        <v>1</v>
      </c>
      <c r="U4285">
        <f t="shared" si="333"/>
        <v>1</v>
      </c>
      <c r="V4285">
        <f t="shared" si="334"/>
        <v>0</v>
      </c>
    </row>
    <row r="4286" spans="1:22" x14ac:dyDescent="0.25">
      <c r="A4286">
        <v>4283</v>
      </c>
      <c r="B4286" t="s">
        <v>30</v>
      </c>
      <c r="C4286" t="s">
        <v>1455</v>
      </c>
      <c r="D4286" s="4">
        <v>45374</v>
      </c>
      <c r="E4286" t="s">
        <v>1473</v>
      </c>
      <c r="F4286" t="s">
        <v>75</v>
      </c>
      <c r="I4286" s="6">
        <v>0</v>
      </c>
      <c r="J4286" s="6">
        <v>0</v>
      </c>
      <c r="K4286" s="6">
        <v>0</v>
      </c>
      <c r="L4286" s="6">
        <v>1</v>
      </c>
      <c r="M4286" s="6">
        <v>0</v>
      </c>
      <c r="N4286" s="6">
        <v>0</v>
      </c>
      <c r="O4286" s="6">
        <v>0</v>
      </c>
      <c r="P4286" s="6">
        <v>0</v>
      </c>
      <c r="Q4286">
        <v>1</v>
      </c>
      <c r="R4286">
        <f t="shared" si="330"/>
        <v>0</v>
      </c>
      <c r="S4286">
        <f t="shared" si="331"/>
        <v>1</v>
      </c>
      <c r="T4286">
        <f t="shared" si="332"/>
        <v>1</v>
      </c>
      <c r="U4286">
        <f t="shared" si="333"/>
        <v>1</v>
      </c>
      <c r="V4286">
        <f t="shared" si="334"/>
        <v>0</v>
      </c>
    </row>
    <row r="4287" spans="1:22" x14ac:dyDescent="0.25">
      <c r="A4287">
        <v>4284</v>
      </c>
      <c r="B4287" t="s">
        <v>30</v>
      </c>
      <c r="C4287" t="s">
        <v>1455</v>
      </c>
      <c r="D4287" s="4">
        <v>45375</v>
      </c>
      <c r="E4287" t="s">
        <v>859</v>
      </c>
      <c r="F4287" t="s">
        <v>75</v>
      </c>
      <c r="I4287" s="6">
        <v>0</v>
      </c>
      <c r="J4287" s="6">
        <v>0</v>
      </c>
      <c r="K4287" s="6">
        <v>0</v>
      </c>
      <c r="L4287" s="6">
        <v>0</v>
      </c>
      <c r="M4287" s="6">
        <v>0</v>
      </c>
      <c r="N4287" s="6">
        <v>0</v>
      </c>
      <c r="O4287" s="6">
        <v>0</v>
      </c>
      <c r="P4287" s="6">
        <v>1</v>
      </c>
      <c r="Q4287">
        <v>1</v>
      </c>
      <c r="R4287">
        <f t="shared" si="330"/>
        <v>0</v>
      </c>
      <c r="S4287">
        <f t="shared" si="331"/>
        <v>1</v>
      </c>
      <c r="T4287">
        <f t="shared" si="332"/>
        <v>1</v>
      </c>
      <c r="U4287">
        <f t="shared" si="333"/>
        <v>1</v>
      </c>
      <c r="V4287">
        <f t="shared" si="334"/>
        <v>0</v>
      </c>
    </row>
    <row r="4288" spans="1:22" x14ac:dyDescent="0.25">
      <c r="A4288">
        <v>4285</v>
      </c>
      <c r="B4288" t="s">
        <v>30</v>
      </c>
      <c r="C4288" t="s">
        <v>1455</v>
      </c>
      <c r="D4288" s="4">
        <v>45375</v>
      </c>
      <c r="E4288" t="s">
        <v>860</v>
      </c>
      <c r="F4288" t="s">
        <v>75</v>
      </c>
      <c r="I4288" s="6">
        <v>1</v>
      </c>
      <c r="J4288" s="6">
        <v>0</v>
      </c>
      <c r="K4288" s="6">
        <v>0</v>
      </c>
      <c r="L4288" s="6">
        <v>0</v>
      </c>
      <c r="M4288" s="6">
        <v>0</v>
      </c>
      <c r="N4288" s="6">
        <v>0</v>
      </c>
      <c r="O4288" s="6">
        <v>0</v>
      </c>
      <c r="P4288" s="6">
        <v>0</v>
      </c>
      <c r="Q4288">
        <v>1</v>
      </c>
      <c r="R4288">
        <f t="shared" si="330"/>
        <v>0</v>
      </c>
      <c r="S4288">
        <f t="shared" si="331"/>
        <v>1</v>
      </c>
      <c r="T4288">
        <f t="shared" si="332"/>
        <v>1</v>
      </c>
      <c r="U4288">
        <f t="shared" si="333"/>
        <v>1</v>
      </c>
      <c r="V4288">
        <f t="shared" si="334"/>
        <v>0</v>
      </c>
    </row>
    <row r="4289" spans="1:22" x14ac:dyDescent="0.25">
      <c r="A4289">
        <v>4286</v>
      </c>
      <c r="B4289" t="s">
        <v>30</v>
      </c>
      <c r="C4289" t="s">
        <v>1455</v>
      </c>
      <c r="D4289" s="4">
        <v>45375</v>
      </c>
      <c r="E4289" t="s">
        <v>861</v>
      </c>
      <c r="F4289" t="s">
        <v>75</v>
      </c>
      <c r="I4289" s="6"/>
      <c r="J4289" s="6"/>
      <c r="K4289" s="6"/>
      <c r="L4289" s="6"/>
      <c r="M4289" s="6"/>
      <c r="N4289" s="6"/>
      <c r="O4289" s="6"/>
      <c r="P4289" s="6"/>
      <c r="Q4289">
        <v>0</v>
      </c>
      <c r="R4289">
        <f t="shared" si="330"/>
        <v>0</v>
      </c>
      <c r="S4289">
        <f t="shared" si="331"/>
        <v>0</v>
      </c>
      <c r="T4289">
        <f t="shared" si="332"/>
        <v>0</v>
      </c>
      <c r="U4289">
        <f t="shared" si="333"/>
        <v>0</v>
      </c>
      <c r="V4289">
        <f t="shared" si="334"/>
        <v>0</v>
      </c>
    </row>
    <row r="4290" spans="1:22" x14ac:dyDescent="0.25">
      <c r="A4290">
        <v>4287</v>
      </c>
      <c r="B4290" t="s">
        <v>30</v>
      </c>
      <c r="C4290" t="s">
        <v>1455</v>
      </c>
      <c r="D4290" s="4">
        <v>45375</v>
      </c>
      <c r="E4290" t="s">
        <v>2041</v>
      </c>
      <c r="F4290" t="s">
        <v>75</v>
      </c>
      <c r="I4290" s="6">
        <v>0</v>
      </c>
      <c r="J4290" s="6">
        <v>0</v>
      </c>
      <c r="K4290" s="6">
        <v>0</v>
      </c>
      <c r="L4290" s="6">
        <v>1</v>
      </c>
      <c r="M4290" s="6">
        <v>0</v>
      </c>
      <c r="N4290" s="6">
        <v>0</v>
      </c>
      <c r="O4290" s="6">
        <v>0</v>
      </c>
      <c r="P4290" s="6">
        <v>0</v>
      </c>
      <c r="Q4290">
        <v>1</v>
      </c>
      <c r="R4290">
        <f t="shared" si="330"/>
        <v>0</v>
      </c>
      <c r="S4290">
        <f t="shared" si="331"/>
        <v>1</v>
      </c>
      <c r="T4290">
        <f t="shared" si="332"/>
        <v>1</v>
      </c>
      <c r="U4290">
        <f t="shared" si="333"/>
        <v>1</v>
      </c>
      <c r="V4290">
        <f t="shared" si="334"/>
        <v>0</v>
      </c>
    </row>
    <row r="4291" spans="1:22" x14ac:dyDescent="0.25">
      <c r="A4291">
        <v>4288</v>
      </c>
      <c r="B4291" t="s">
        <v>30</v>
      </c>
      <c r="C4291" t="s">
        <v>1455</v>
      </c>
      <c r="D4291" s="4">
        <v>45375</v>
      </c>
      <c r="E4291" t="s">
        <v>1799</v>
      </c>
      <c r="F4291" t="s">
        <v>75</v>
      </c>
      <c r="I4291" s="6">
        <v>1</v>
      </c>
      <c r="J4291" s="6">
        <v>0</v>
      </c>
      <c r="K4291" s="6">
        <v>0</v>
      </c>
      <c r="L4291" s="6">
        <v>0</v>
      </c>
      <c r="M4291" s="6">
        <v>0</v>
      </c>
      <c r="N4291" s="6">
        <v>0</v>
      </c>
      <c r="O4291" s="6">
        <v>0</v>
      </c>
      <c r="P4291" s="6">
        <v>0</v>
      </c>
      <c r="Q4291">
        <v>1</v>
      </c>
      <c r="R4291">
        <f t="shared" ref="R4291:R4354" si="335">IF(AND(Q4291=1,F4291="ai_full"),1,0)</f>
        <v>0</v>
      </c>
      <c r="S4291">
        <f t="shared" ref="S4291:S4354" si="336">IF(AND(Q4291=1,F4291="conventional"),1,0)</f>
        <v>1</v>
      </c>
      <c r="T4291">
        <f t="shared" ref="T4291:T4354" si="337">SUM(I4291:P4291)</f>
        <v>1</v>
      </c>
      <c r="U4291">
        <f t="shared" ref="U4291:U4354" si="338">IF(T4291&gt;=1,1,0)</f>
        <v>1</v>
      </c>
      <c r="V4291">
        <f t="shared" ref="V4291:V4354" si="339">IF(F4291="ai_full",1,0)</f>
        <v>0</v>
      </c>
    </row>
    <row r="4292" spans="1:22" x14ac:dyDescent="0.25">
      <c r="A4292">
        <v>4289</v>
      </c>
      <c r="B4292" t="s">
        <v>30</v>
      </c>
      <c r="C4292" t="s">
        <v>1455</v>
      </c>
      <c r="D4292" s="4">
        <v>45376</v>
      </c>
      <c r="E4292" t="s">
        <v>434</v>
      </c>
      <c r="F4292" t="s">
        <v>75</v>
      </c>
      <c r="I4292" s="6">
        <v>1</v>
      </c>
      <c r="J4292" s="6">
        <v>0</v>
      </c>
      <c r="K4292" s="6">
        <v>0</v>
      </c>
      <c r="L4292" s="6">
        <v>1</v>
      </c>
      <c r="M4292" s="6">
        <v>0</v>
      </c>
      <c r="N4292" s="6">
        <v>0</v>
      </c>
      <c r="O4292" s="6">
        <v>0</v>
      </c>
      <c r="P4292" s="6">
        <v>0</v>
      </c>
      <c r="Q4292">
        <v>1</v>
      </c>
      <c r="R4292">
        <f t="shared" si="335"/>
        <v>0</v>
      </c>
      <c r="S4292">
        <f t="shared" si="336"/>
        <v>1</v>
      </c>
      <c r="T4292">
        <f t="shared" si="337"/>
        <v>2</v>
      </c>
      <c r="U4292">
        <f t="shared" si="338"/>
        <v>1</v>
      </c>
      <c r="V4292">
        <f t="shared" si="339"/>
        <v>0</v>
      </c>
    </row>
    <row r="4293" spans="1:22" x14ac:dyDescent="0.25">
      <c r="A4293">
        <v>4290</v>
      </c>
      <c r="B4293" t="s">
        <v>30</v>
      </c>
      <c r="C4293" t="s">
        <v>1455</v>
      </c>
      <c r="D4293" s="4">
        <v>45376</v>
      </c>
      <c r="E4293" t="s">
        <v>435</v>
      </c>
      <c r="F4293" t="s">
        <v>75</v>
      </c>
      <c r="I4293" s="6">
        <v>0</v>
      </c>
      <c r="J4293" s="6">
        <v>0</v>
      </c>
      <c r="K4293" s="6">
        <v>0</v>
      </c>
      <c r="L4293" s="6">
        <v>0</v>
      </c>
      <c r="M4293" s="6">
        <v>0</v>
      </c>
      <c r="N4293" s="6">
        <v>0</v>
      </c>
      <c r="O4293" s="6">
        <v>0</v>
      </c>
      <c r="P4293" s="6">
        <v>0</v>
      </c>
      <c r="Q4293">
        <v>1</v>
      </c>
      <c r="R4293">
        <f t="shared" si="335"/>
        <v>0</v>
      </c>
      <c r="S4293">
        <f t="shared" si="336"/>
        <v>1</v>
      </c>
      <c r="T4293">
        <f t="shared" si="337"/>
        <v>0</v>
      </c>
      <c r="U4293">
        <f t="shared" si="338"/>
        <v>0</v>
      </c>
      <c r="V4293">
        <f t="shared" si="339"/>
        <v>0</v>
      </c>
    </row>
    <row r="4294" spans="1:22" x14ac:dyDescent="0.25">
      <c r="A4294">
        <v>4291</v>
      </c>
      <c r="B4294" t="s">
        <v>30</v>
      </c>
      <c r="C4294" t="s">
        <v>1455</v>
      </c>
      <c r="D4294" s="4">
        <v>45376</v>
      </c>
      <c r="E4294" t="s">
        <v>436</v>
      </c>
      <c r="F4294" t="s">
        <v>75</v>
      </c>
      <c r="H4294" t="s">
        <v>1474</v>
      </c>
      <c r="I4294" s="6">
        <v>1</v>
      </c>
      <c r="J4294" s="6">
        <v>0</v>
      </c>
      <c r="K4294" s="6">
        <v>0</v>
      </c>
      <c r="L4294" s="6">
        <v>0</v>
      </c>
      <c r="M4294" s="6">
        <v>0</v>
      </c>
      <c r="N4294" s="6">
        <v>0</v>
      </c>
      <c r="O4294" s="6">
        <v>0</v>
      </c>
      <c r="P4294" s="6">
        <v>0</v>
      </c>
      <c r="Q4294">
        <v>1</v>
      </c>
      <c r="R4294">
        <f t="shared" si="335"/>
        <v>0</v>
      </c>
      <c r="S4294">
        <f t="shared" si="336"/>
        <v>1</v>
      </c>
      <c r="T4294">
        <f t="shared" si="337"/>
        <v>1</v>
      </c>
      <c r="U4294">
        <f t="shared" si="338"/>
        <v>1</v>
      </c>
      <c r="V4294">
        <f t="shared" si="339"/>
        <v>0</v>
      </c>
    </row>
    <row r="4295" spans="1:22" x14ac:dyDescent="0.25">
      <c r="A4295">
        <v>4292</v>
      </c>
      <c r="B4295" t="s">
        <v>30</v>
      </c>
      <c r="C4295" t="s">
        <v>1455</v>
      </c>
      <c r="D4295" s="4">
        <v>45377</v>
      </c>
      <c r="E4295" t="s">
        <v>437</v>
      </c>
      <c r="F4295" t="s">
        <v>75</v>
      </c>
      <c r="I4295" s="6"/>
      <c r="J4295" s="6"/>
      <c r="K4295" s="6"/>
      <c r="L4295" s="6"/>
      <c r="M4295" s="6"/>
      <c r="N4295" s="6"/>
      <c r="O4295" s="6"/>
      <c r="P4295" s="6"/>
      <c r="Q4295">
        <v>0</v>
      </c>
      <c r="R4295">
        <f t="shared" si="335"/>
        <v>0</v>
      </c>
      <c r="S4295">
        <f t="shared" si="336"/>
        <v>0</v>
      </c>
      <c r="T4295">
        <f t="shared" si="337"/>
        <v>0</v>
      </c>
      <c r="U4295">
        <f t="shared" si="338"/>
        <v>0</v>
      </c>
      <c r="V4295">
        <f t="shared" si="339"/>
        <v>0</v>
      </c>
    </row>
    <row r="4296" spans="1:22" x14ac:dyDescent="0.25">
      <c r="A4296">
        <v>4293</v>
      </c>
      <c r="B4296" t="s">
        <v>30</v>
      </c>
      <c r="C4296" t="s">
        <v>1455</v>
      </c>
      <c r="D4296" s="4">
        <v>45377</v>
      </c>
      <c r="E4296" t="s">
        <v>1534</v>
      </c>
      <c r="F4296" t="s">
        <v>75</v>
      </c>
      <c r="I4296" s="6">
        <v>0</v>
      </c>
      <c r="J4296" s="6">
        <v>0</v>
      </c>
      <c r="K4296" s="6">
        <v>0</v>
      </c>
      <c r="L4296" s="6">
        <v>1</v>
      </c>
      <c r="M4296" s="6">
        <v>0</v>
      </c>
      <c r="N4296" s="6">
        <v>0</v>
      </c>
      <c r="O4296" s="6">
        <v>0</v>
      </c>
      <c r="P4296" s="6">
        <v>0</v>
      </c>
      <c r="Q4296">
        <v>1</v>
      </c>
      <c r="R4296">
        <f t="shared" si="335"/>
        <v>0</v>
      </c>
      <c r="S4296">
        <f t="shared" si="336"/>
        <v>1</v>
      </c>
      <c r="T4296">
        <f t="shared" si="337"/>
        <v>1</v>
      </c>
      <c r="U4296">
        <f t="shared" si="338"/>
        <v>1</v>
      </c>
      <c r="V4296">
        <f t="shared" si="339"/>
        <v>0</v>
      </c>
    </row>
    <row r="4297" spans="1:22" x14ac:dyDescent="0.25">
      <c r="A4297">
        <v>4294</v>
      </c>
      <c r="B4297" t="s">
        <v>30</v>
      </c>
      <c r="C4297" t="s">
        <v>1455</v>
      </c>
      <c r="D4297" s="4">
        <v>45377</v>
      </c>
      <c r="E4297" t="s">
        <v>2194</v>
      </c>
      <c r="F4297" t="s">
        <v>75</v>
      </c>
      <c r="I4297" s="6"/>
      <c r="J4297" s="6"/>
      <c r="K4297" s="6"/>
      <c r="L4297" s="6"/>
      <c r="M4297" s="6"/>
      <c r="N4297" s="6"/>
      <c r="O4297" s="6"/>
      <c r="P4297" s="6"/>
      <c r="Q4297">
        <v>0</v>
      </c>
      <c r="R4297">
        <f t="shared" si="335"/>
        <v>0</v>
      </c>
      <c r="S4297">
        <f t="shared" si="336"/>
        <v>0</v>
      </c>
      <c r="T4297">
        <f t="shared" si="337"/>
        <v>0</v>
      </c>
      <c r="U4297">
        <f t="shared" si="338"/>
        <v>0</v>
      </c>
      <c r="V4297">
        <f t="shared" si="339"/>
        <v>0</v>
      </c>
    </row>
    <row r="4298" spans="1:22" x14ac:dyDescent="0.25">
      <c r="A4298">
        <v>4295</v>
      </c>
      <c r="B4298" t="s">
        <v>30</v>
      </c>
      <c r="C4298" t="s">
        <v>1455</v>
      </c>
      <c r="D4298" s="4">
        <v>45377</v>
      </c>
      <c r="E4298" t="s">
        <v>2193</v>
      </c>
      <c r="F4298" t="s">
        <v>75</v>
      </c>
      <c r="I4298" s="6"/>
      <c r="J4298" s="6"/>
      <c r="K4298" s="6"/>
      <c r="L4298" s="6"/>
      <c r="M4298" s="6"/>
      <c r="N4298" s="6"/>
      <c r="O4298" s="6"/>
      <c r="P4298" s="6"/>
      <c r="Q4298">
        <v>0</v>
      </c>
      <c r="R4298">
        <f t="shared" si="335"/>
        <v>0</v>
      </c>
      <c r="S4298">
        <f t="shared" si="336"/>
        <v>0</v>
      </c>
      <c r="T4298">
        <f t="shared" si="337"/>
        <v>0</v>
      </c>
      <c r="U4298">
        <f t="shared" si="338"/>
        <v>0</v>
      </c>
      <c r="V4298">
        <f t="shared" si="339"/>
        <v>0</v>
      </c>
    </row>
    <row r="4299" spans="1:22" x14ac:dyDescent="0.25">
      <c r="A4299">
        <v>4296</v>
      </c>
      <c r="B4299" t="s">
        <v>30</v>
      </c>
      <c r="C4299" t="s">
        <v>1455</v>
      </c>
      <c r="D4299" s="4">
        <v>45377</v>
      </c>
      <c r="E4299" t="s">
        <v>2192</v>
      </c>
      <c r="F4299" t="s">
        <v>75</v>
      </c>
      <c r="I4299" s="6"/>
      <c r="J4299" s="6"/>
      <c r="K4299" s="6"/>
      <c r="L4299" s="6"/>
      <c r="M4299" s="6"/>
      <c r="N4299" s="6"/>
      <c r="O4299" s="6"/>
      <c r="P4299" s="6"/>
      <c r="Q4299">
        <v>0</v>
      </c>
      <c r="R4299">
        <f t="shared" si="335"/>
        <v>0</v>
      </c>
      <c r="S4299">
        <f t="shared" si="336"/>
        <v>0</v>
      </c>
      <c r="T4299">
        <f t="shared" si="337"/>
        <v>0</v>
      </c>
      <c r="U4299">
        <f t="shared" si="338"/>
        <v>0</v>
      </c>
      <c r="V4299">
        <f t="shared" si="339"/>
        <v>0</v>
      </c>
    </row>
    <row r="4300" spans="1:22" x14ac:dyDescent="0.25">
      <c r="A4300">
        <v>4297</v>
      </c>
      <c r="B4300" t="s">
        <v>30</v>
      </c>
      <c r="C4300" t="s">
        <v>1455</v>
      </c>
      <c r="D4300" s="4">
        <v>45378</v>
      </c>
      <c r="E4300" t="s">
        <v>273</v>
      </c>
      <c r="F4300" t="s">
        <v>75</v>
      </c>
      <c r="I4300" s="6">
        <v>0</v>
      </c>
      <c r="J4300" s="6">
        <v>0</v>
      </c>
      <c r="K4300" s="6">
        <v>0</v>
      </c>
      <c r="L4300" s="6">
        <v>1</v>
      </c>
      <c r="M4300" s="6">
        <v>0</v>
      </c>
      <c r="N4300" s="6">
        <v>0</v>
      </c>
      <c r="O4300" s="6">
        <v>0</v>
      </c>
      <c r="P4300" s="6">
        <v>0</v>
      </c>
      <c r="Q4300">
        <v>1</v>
      </c>
      <c r="R4300">
        <f t="shared" si="335"/>
        <v>0</v>
      </c>
      <c r="S4300">
        <f t="shared" si="336"/>
        <v>1</v>
      </c>
      <c r="T4300">
        <f t="shared" si="337"/>
        <v>1</v>
      </c>
      <c r="U4300">
        <f t="shared" si="338"/>
        <v>1</v>
      </c>
      <c r="V4300">
        <f t="shared" si="339"/>
        <v>0</v>
      </c>
    </row>
    <row r="4301" spans="1:22" x14ac:dyDescent="0.25">
      <c r="A4301">
        <v>4298</v>
      </c>
      <c r="B4301" t="s">
        <v>30</v>
      </c>
      <c r="C4301" t="s">
        <v>1455</v>
      </c>
      <c r="D4301" s="4">
        <v>45379</v>
      </c>
      <c r="E4301" t="s">
        <v>440</v>
      </c>
      <c r="F4301" t="s">
        <v>75</v>
      </c>
      <c r="I4301" s="6"/>
      <c r="J4301" s="6"/>
      <c r="K4301" s="6"/>
      <c r="L4301" s="6"/>
      <c r="M4301" s="6"/>
      <c r="N4301" s="6"/>
      <c r="O4301" s="6"/>
      <c r="P4301" s="6"/>
      <c r="Q4301">
        <v>0</v>
      </c>
      <c r="R4301">
        <f t="shared" si="335"/>
        <v>0</v>
      </c>
      <c r="S4301">
        <f t="shared" si="336"/>
        <v>0</v>
      </c>
      <c r="T4301">
        <f t="shared" si="337"/>
        <v>0</v>
      </c>
      <c r="U4301">
        <f t="shared" si="338"/>
        <v>0</v>
      </c>
      <c r="V4301">
        <f t="shared" si="339"/>
        <v>0</v>
      </c>
    </row>
    <row r="4302" spans="1:22" x14ac:dyDescent="0.25">
      <c r="A4302">
        <v>4299</v>
      </c>
      <c r="B4302" t="s">
        <v>30</v>
      </c>
      <c r="C4302" t="s">
        <v>1455</v>
      </c>
      <c r="D4302" s="4">
        <v>45379</v>
      </c>
      <c r="E4302" t="s">
        <v>441</v>
      </c>
      <c r="F4302" t="s">
        <v>75</v>
      </c>
      <c r="I4302" s="6">
        <v>0</v>
      </c>
      <c r="J4302" s="6">
        <v>0</v>
      </c>
      <c r="K4302" s="6">
        <v>1</v>
      </c>
      <c r="L4302" s="6">
        <v>0</v>
      </c>
      <c r="M4302" s="6">
        <v>0</v>
      </c>
      <c r="N4302" s="6">
        <v>0</v>
      </c>
      <c r="O4302" s="6">
        <v>0</v>
      </c>
      <c r="P4302" s="6">
        <v>0</v>
      </c>
      <c r="Q4302">
        <v>1</v>
      </c>
      <c r="R4302">
        <f t="shared" si="335"/>
        <v>0</v>
      </c>
      <c r="S4302">
        <f t="shared" si="336"/>
        <v>1</v>
      </c>
      <c r="T4302">
        <f t="shared" si="337"/>
        <v>1</v>
      </c>
      <c r="U4302">
        <f t="shared" si="338"/>
        <v>1</v>
      </c>
      <c r="V4302">
        <f t="shared" si="339"/>
        <v>0</v>
      </c>
    </row>
    <row r="4303" spans="1:22" x14ac:dyDescent="0.25">
      <c r="A4303">
        <v>4300</v>
      </c>
      <c r="B4303" t="s">
        <v>30</v>
      </c>
      <c r="C4303" t="s">
        <v>1455</v>
      </c>
      <c r="D4303" s="4">
        <v>45379</v>
      </c>
      <c r="E4303" t="s">
        <v>442</v>
      </c>
      <c r="F4303" t="s">
        <v>75</v>
      </c>
      <c r="I4303" s="6">
        <v>1</v>
      </c>
      <c r="J4303" s="6">
        <v>0</v>
      </c>
      <c r="K4303" s="6">
        <v>0</v>
      </c>
      <c r="L4303" s="6">
        <v>1</v>
      </c>
      <c r="M4303" s="6">
        <v>0</v>
      </c>
      <c r="N4303" s="6">
        <v>0</v>
      </c>
      <c r="O4303" s="6">
        <v>0</v>
      </c>
      <c r="P4303" s="6">
        <v>0</v>
      </c>
      <c r="Q4303">
        <v>1</v>
      </c>
      <c r="R4303">
        <f t="shared" si="335"/>
        <v>0</v>
      </c>
      <c r="S4303">
        <f t="shared" si="336"/>
        <v>1</v>
      </c>
      <c r="T4303">
        <f t="shared" si="337"/>
        <v>2</v>
      </c>
      <c r="U4303">
        <f t="shared" si="338"/>
        <v>1</v>
      </c>
      <c r="V4303">
        <f t="shared" si="339"/>
        <v>0</v>
      </c>
    </row>
    <row r="4304" spans="1:22" x14ac:dyDescent="0.25">
      <c r="A4304">
        <v>4301</v>
      </c>
      <c r="B4304" t="s">
        <v>30</v>
      </c>
      <c r="C4304" t="s">
        <v>1455</v>
      </c>
      <c r="D4304" s="4">
        <v>45379</v>
      </c>
      <c r="E4304" t="s">
        <v>2185</v>
      </c>
      <c r="F4304" t="s">
        <v>75</v>
      </c>
      <c r="I4304" s="6"/>
      <c r="J4304" s="6"/>
      <c r="K4304" s="6"/>
      <c r="L4304" s="6"/>
      <c r="M4304" s="6"/>
      <c r="N4304" s="6"/>
      <c r="O4304" s="6"/>
      <c r="P4304" s="6"/>
      <c r="Q4304">
        <v>0</v>
      </c>
      <c r="R4304">
        <f t="shared" si="335"/>
        <v>0</v>
      </c>
      <c r="S4304">
        <f t="shared" si="336"/>
        <v>0</v>
      </c>
      <c r="T4304">
        <f t="shared" si="337"/>
        <v>0</v>
      </c>
      <c r="U4304">
        <f t="shared" si="338"/>
        <v>0</v>
      </c>
      <c r="V4304">
        <f t="shared" si="339"/>
        <v>0</v>
      </c>
    </row>
    <row r="4305" spans="1:22" x14ac:dyDescent="0.25">
      <c r="A4305">
        <v>4302</v>
      </c>
      <c r="B4305" t="s">
        <v>30</v>
      </c>
      <c r="C4305" t="s">
        <v>1455</v>
      </c>
      <c r="D4305" s="4">
        <v>45380</v>
      </c>
      <c r="E4305" t="s">
        <v>948</v>
      </c>
      <c r="F4305" t="s">
        <v>75</v>
      </c>
      <c r="I4305" s="6">
        <v>0</v>
      </c>
      <c r="J4305" s="6">
        <v>0</v>
      </c>
      <c r="K4305" s="6">
        <v>0</v>
      </c>
      <c r="L4305" s="6">
        <v>0</v>
      </c>
      <c r="M4305" s="6">
        <v>1</v>
      </c>
      <c r="N4305" s="6">
        <v>0</v>
      </c>
      <c r="O4305" s="6">
        <v>0</v>
      </c>
      <c r="P4305" s="6">
        <v>0</v>
      </c>
      <c r="Q4305">
        <v>1</v>
      </c>
      <c r="R4305">
        <f t="shared" si="335"/>
        <v>0</v>
      </c>
      <c r="S4305">
        <f t="shared" si="336"/>
        <v>1</v>
      </c>
      <c r="T4305">
        <f t="shared" si="337"/>
        <v>1</v>
      </c>
      <c r="U4305">
        <f t="shared" si="338"/>
        <v>1</v>
      </c>
      <c r="V4305">
        <f t="shared" si="339"/>
        <v>0</v>
      </c>
    </row>
    <row r="4306" spans="1:22" x14ac:dyDescent="0.25">
      <c r="A4306">
        <v>4303</v>
      </c>
      <c r="B4306" t="s">
        <v>30</v>
      </c>
      <c r="C4306" t="s">
        <v>1455</v>
      </c>
      <c r="D4306" s="4">
        <v>45380</v>
      </c>
      <c r="E4306" t="s">
        <v>443</v>
      </c>
      <c r="F4306" t="s">
        <v>75</v>
      </c>
      <c r="I4306" s="6"/>
      <c r="J4306" s="6"/>
      <c r="K4306" s="6"/>
      <c r="L4306" s="6"/>
      <c r="M4306" s="6"/>
      <c r="N4306" s="6"/>
      <c r="O4306" s="6"/>
      <c r="P4306" s="6"/>
      <c r="Q4306">
        <v>0</v>
      </c>
      <c r="R4306">
        <f t="shared" si="335"/>
        <v>0</v>
      </c>
      <c r="S4306">
        <f t="shared" si="336"/>
        <v>0</v>
      </c>
      <c r="T4306">
        <f t="shared" si="337"/>
        <v>0</v>
      </c>
      <c r="U4306">
        <f t="shared" si="338"/>
        <v>0</v>
      </c>
      <c r="V4306">
        <f t="shared" si="339"/>
        <v>0</v>
      </c>
    </row>
    <row r="4307" spans="1:22" x14ac:dyDescent="0.25">
      <c r="A4307">
        <v>4304</v>
      </c>
      <c r="B4307" t="s">
        <v>30</v>
      </c>
      <c r="C4307" t="s">
        <v>1455</v>
      </c>
      <c r="D4307" s="4">
        <v>45381</v>
      </c>
      <c r="E4307" t="s">
        <v>444</v>
      </c>
      <c r="F4307" t="s">
        <v>75</v>
      </c>
      <c r="I4307" s="6">
        <v>0</v>
      </c>
      <c r="J4307" s="6">
        <v>0</v>
      </c>
      <c r="K4307" s="6">
        <v>1</v>
      </c>
      <c r="L4307" s="6">
        <v>0</v>
      </c>
      <c r="M4307" s="6">
        <v>0</v>
      </c>
      <c r="N4307" s="6">
        <v>0</v>
      </c>
      <c r="O4307" s="6">
        <v>0</v>
      </c>
      <c r="P4307" s="6">
        <v>0</v>
      </c>
      <c r="Q4307">
        <v>1</v>
      </c>
      <c r="R4307">
        <f t="shared" si="335"/>
        <v>0</v>
      </c>
      <c r="S4307">
        <f t="shared" si="336"/>
        <v>1</v>
      </c>
      <c r="T4307">
        <f t="shared" si="337"/>
        <v>1</v>
      </c>
      <c r="U4307">
        <f t="shared" si="338"/>
        <v>1</v>
      </c>
      <c r="V4307">
        <f t="shared" si="339"/>
        <v>0</v>
      </c>
    </row>
    <row r="4308" spans="1:22" x14ac:dyDescent="0.25">
      <c r="A4308">
        <v>4305</v>
      </c>
      <c r="B4308" t="s">
        <v>30</v>
      </c>
      <c r="C4308" t="s">
        <v>1455</v>
      </c>
      <c r="D4308" s="4">
        <v>45381</v>
      </c>
      <c r="E4308" t="s">
        <v>1801</v>
      </c>
      <c r="F4308" t="s">
        <v>75</v>
      </c>
      <c r="I4308" s="6"/>
      <c r="J4308" s="6"/>
      <c r="K4308" s="6"/>
      <c r="L4308" s="6"/>
      <c r="M4308" s="6"/>
      <c r="N4308" s="6"/>
      <c r="O4308" s="6"/>
      <c r="P4308" s="6"/>
      <c r="Q4308">
        <v>0</v>
      </c>
      <c r="R4308">
        <f t="shared" si="335"/>
        <v>0</v>
      </c>
      <c r="S4308">
        <f t="shared" si="336"/>
        <v>0</v>
      </c>
      <c r="T4308">
        <f t="shared" si="337"/>
        <v>0</v>
      </c>
      <c r="U4308">
        <f t="shared" si="338"/>
        <v>0</v>
      </c>
      <c r="V4308">
        <f t="shared" si="339"/>
        <v>0</v>
      </c>
    </row>
    <row r="4309" spans="1:22" x14ac:dyDescent="0.25">
      <c r="A4309">
        <v>4306</v>
      </c>
      <c r="B4309" t="s">
        <v>30</v>
      </c>
      <c r="C4309" t="s">
        <v>1455</v>
      </c>
      <c r="D4309" s="4">
        <v>45382</v>
      </c>
      <c r="E4309" t="s">
        <v>950</v>
      </c>
      <c r="F4309" t="s">
        <v>75</v>
      </c>
      <c r="I4309" s="6">
        <v>0</v>
      </c>
      <c r="J4309" s="6">
        <v>0</v>
      </c>
      <c r="K4309" s="6">
        <v>0</v>
      </c>
      <c r="L4309" s="6">
        <v>0</v>
      </c>
      <c r="M4309" s="6">
        <v>0</v>
      </c>
      <c r="N4309" s="6">
        <v>0</v>
      </c>
      <c r="O4309" s="6">
        <v>0</v>
      </c>
      <c r="P4309" s="6">
        <v>0</v>
      </c>
      <c r="Q4309">
        <v>1</v>
      </c>
      <c r="R4309">
        <f t="shared" si="335"/>
        <v>0</v>
      </c>
      <c r="S4309">
        <f t="shared" si="336"/>
        <v>1</v>
      </c>
      <c r="T4309">
        <f t="shared" si="337"/>
        <v>0</v>
      </c>
      <c r="U4309">
        <f t="shared" si="338"/>
        <v>0</v>
      </c>
      <c r="V4309">
        <f t="shared" si="339"/>
        <v>0</v>
      </c>
    </row>
    <row r="4310" spans="1:22" x14ac:dyDescent="0.25">
      <c r="A4310">
        <v>4307</v>
      </c>
      <c r="B4310" t="s">
        <v>30</v>
      </c>
      <c r="C4310" t="s">
        <v>1455</v>
      </c>
      <c r="D4310" s="4">
        <v>45383</v>
      </c>
      <c r="E4310" t="s">
        <v>445</v>
      </c>
      <c r="F4310" t="s">
        <v>75</v>
      </c>
      <c r="I4310" s="6"/>
      <c r="J4310" s="6"/>
      <c r="K4310" s="6"/>
      <c r="L4310" s="6"/>
      <c r="M4310" s="6"/>
      <c r="N4310" s="6"/>
      <c r="O4310" s="6"/>
      <c r="P4310" s="6"/>
      <c r="Q4310">
        <v>0</v>
      </c>
      <c r="R4310">
        <f t="shared" si="335"/>
        <v>0</v>
      </c>
      <c r="S4310">
        <f t="shared" si="336"/>
        <v>0</v>
      </c>
      <c r="T4310">
        <f t="shared" si="337"/>
        <v>0</v>
      </c>
      <c r="U4310">
        <f t="shared" si="338"/>
        <v>0</v>
      </c>
      <c r="V4310">
        <f t="shared" si="339"/>
        <v>0</v>
      </c>
    </row>
    <row r="4311" spans="1:22" x14ac:dyDescent="0.25">
      <c r="A4311">
        <v>4308</v>
      </c>
      <c r="B4311" t="s">
        <v>30</v>
      </c>
      <c r="C4311" t="s">
        <v>1455</v>
      </c>
      <c r="D4311" s="4">
        <v>45384</v>
      </c>
      <c r="E4311" t="s">
        <v>446</v>
      </c>
      <c r="F4311" t="s">
        <v>75</v>
      </c>
      <c r="I4311" s="6">
        <v>0</v>
      </c>
      <c r="J4311" s="6">
        <v>0</v>
      </c>
      <c r="K4311" s="6">
        <v>0</v>
      </c>
      <c r="L4311" s="6">
        <v>1</v>
      </c>
      <c r="M4311" s="6">
        <v>0</v>
      </c>
      <c r="N4311" s="6">
        <v>0</v>
      </c>
      <c r="O4311" s="6">
        <v>0</v>
      </c>
      <c r="P4311" s="6">
        <v>0</v>
      </c>
      <c r="Q4311">
        <v>1</v>
      </c>
      <c r="R4311">
        <f t="shared" si="335"/>
        <v>0</v>
      </c>
      <c r="S4311">
        <f t="shared" si="336"/>
        <v>1</v>
      </c>
      <c r="T4311">
        <f t="shared" si="337"/>
        <v>1</v>
      </c>
      <c r="U4311">
        <f t="shared" si="338"/>
        <v>1</v>
      </c>
      <c r="V4311">
        <f t="shared" si="339"/>
        <v>0</v>
      </c>
    </row>
    <row r="4312" spans="1:22" x14ac:dyDescent="0.25">
      <c r="A4312">
        <v>4309</v>
      </c>
      <c r="B4312" t="s">
        <v>30</v>
      </c>
      <c r="C4312" t="s">
        <v>1455</v>
      </c>
      <c r="D4312" s="4">
        <v>45384</v>
      </c>
      <c r="E4312" t="s">
        <v>447</v>
      </c>
      <c r="F4312" t="s">
        <v>75</v>
      </c>
      <c r="I4312" s="6"/>
      <c r="J4312" s="6"/>
      <c r="K4312" s="6"/>
      <c r="L4312" s="6"/>
      <c r="M4312" s="6"/>
      <c r="N4312" s="6"/>
      <c r="O4312" s="6"/>
      <c r="P4312" s="6"/>
      <c r="Q4312">
        <v>0</v>
      </c>
      <c r="R4312">
        <f t="shared" si="335"/>
        <v>0</v>
      </c>
      <c r="S4312">
        <f t="shared" si="336"/>
        <v>0</v>
      </c>
      <c r="T4312">
        <f t="shared" si="337"/>
        <v>0</v>
      </c>
      <c r="U4312">
        <f t="shared" si="338"/>
        <v>0</v>
      </c>
      <c r="V4312">
        <f t="shared" si="339"/>
        <v>0</v>
      </c>
    </row>
    <row r="4313" spans="1:22" x14ac:dyDescent="0.25">
      <c r="A4313">
        <v>4310</v>
      </c>
      <c r="B4313" t="s">
        <v>30</v>
      </c>
      <c r="C4313" t="s">
        <v>1455</v>
      </c>
      <c r="D4313" s="4">
        <v>45384</v>
      </c>
      <c r="E4313" t="s">
        <v>2038</v>
      </c>
      <c r="F4313" t="s">
        <v>75</v>
      </c>
      <c r="I4313" s="6"/>
      <c r="J4313" s="6"/>
      <c r="K4313" s="6"/>
      <c r="L4313" s="6"/>
      <c r="M4313" s="6"/>
      <c r="N4313" s="6"/>
      <c r="O4313" s="6"/>
      <c r="P4313" s="6"/>
      <c r="Q4313">
        <v>0</v>
      </c>
      <c r="R4313">
        <f t="shared" si="335"/>
        <v>0</v>
      </c>
      <c r="S4313">
        <f t="shared" si="336"/>
        <v>0</v>
      </c>
      <c r="T4313">
        <f t="shared" si="337"/>
        <v>0</v>
      </c>
      <c r="U4313">
        <f t="shared" si="338"/>
        <v>0</v>
      </c>
      <c r="V4313">
        <f t="shared" si="339"/>
        <v>0</v>
      </c>
    </row>
    <row r="4314" spans="1:22" x14ac:dyDescent="0.25">
      <c r="A4314">
        <v>4311</v>
      </c>
      <c r="B4314" t="s">
        <v>30</v>
      </c>
      <c r="C4314" t="s">
        <v>1455</v>
      </c>
      <c r="D4314" s="4">
        <v>45384</v>
      </c>
      <c r="E4314" t="s">
        <v>1541</v>
      </c>
      <c r="F4314" t="s">
        <v>75</v>
      </c>
      <c r="I4314" s="6">
        <v>0</v>
      </c>
      <c r="J4314" s="6">
        <v>0</v>
      </c>
      <c r="K4314" s="6">
        <v>0</v>
      </c>
      <c r="L4314" s="6">
        <v>0</v>
      </c>
      <c r="M4314" s="6">
        <v>1</v>
      </c>
      <c r="N4314" s="6">
        <v>0</v>
      </c>
      <c r="O4314" s="6">
        <v>0</v>
      </c>
      <c r="P4314" s="6">
        <v>0</v>
      </c>
      <c r="Q4314">
        <v>1</v>
      </c>
      <c r="R4314">
        <f t="shared" si="335"/>
        <v>0</v>
      </c>
      <c r="S4314">
        <f t="shared" si="336"/>
        <v>1</v>
      </c>
      <c r="T4314">
        <f t="shared" si="337"/>
        <v>1</v>
      </c>
      <c r="U4314">
        <f t="shared" si="338"/>
        <v>1</v>
      </c>
      <c r="V4314">
        <f t="shared" si="339"/>
        <v>0</v>
      </c>
    </row>
    <row r="4315" spans="1:22" x14ac:dyDescent="0.25">
      <c r="A4315">
        <v>4312</v>
      </c>
      <c r="B4315" t="s">
        <v>30</v>
      </c>
      <c r="C4315" t="s">
        <v>1455</v>
      </c>
      <c r="D4315" s="4">
        <v>45385</v>
      </c>
      <c r="E4315" t="s">
        <v>865</v>
      </c>
      <c r="F4315" t="s">
        <v>75</v>
      </c>
      <c r="I4315" s="6">
        <v>0</v>
      </c>
      <c r="J4315" s="6">
        <v>0</v>
      </c>
      <c r="K4315" s="6">
        <v>0</v>
      </c>
      <c r="L4315" s="6">
        <v>0</v>
      </c>
      <c r="M4315" s="6">
        <v>0</v>
      </c>
      <c r="N4315" s="6">
        <v>0</v>
      </c>
      <c r="O4315" s="6">
        <v>0</v>
      </c>
      <c r="P4315" s="6">
        <v>0</v>
      </c>
      <c r="Q4315">
        <v>1</v>
      </c>
      <c r="R4315">
        <f t="shared" si="335"/>
        <v>0</v>
      </c>
      <c r="S4315">
        <f t="shared" si="336"/>
        <v>1</v>
      </c>
      <c r="T4315">
        <f t="shared" si="337"/>
        <v>0</v>
      </c>
      <c r="U4315">
        <f t="shared" si="338"/>
        <v>0</v>
      </c>
      <c r="V4315">
        <f t="shared" si="339"/>
        <v>0</v>
      </c>
    </row>
    <row r="4316" spans="1:22" x14ac:dyDescent="0.25">
      <c r="A4316">
        <v>4313</v>
      </c>
      <c r="B4316" t="s">
        <v>30</v>
      </c>
      <c r="C4316" t="s">
        <v>1455</v>
      </c>
      <c r="D4316" s="4">
        <v>45385</v>
      </c>
      <c r="E4316" t="s">
        <v>956</v>
      </c>
      <c r="F4316" t="s">
        <v>75</v>
      </c>
      <c r="I4316" s="6">
        <v>0</v>
      </c>
      <c r="J4316" s="6">
        <v>0</v>
      </c>
      <c r="K4316" s="6">
        <v>0</v>
      </c>
      <c r="L4316" s="6">
        <v>1</v>
      </c>
      <c r="M4316" s="6">
        <v>1</v>
      </c>
      <c r="N4316" s="6">
        <v>0</v>
      </c>
      <c r="O4316" s="6">
        <v>0</v>
      </c>
      <c r="P4316" s="6">
        <v>1</v>
      </c>
      <c r="Q4316">
        <v>1</v>
      </c>
      <c r="R4316">
        <f t="shared" si="335"/>
        <v>0</v>
      </c>
      <c r="S4316">
        <f t="shared" si="336"/>
        <v>1</v>
      </c>
      <c r="T4316">
        <f t="shared" si="337"/>
        <v>3</v>
      </c>
      <c r="U4316">
        <f t="shared" si="338"/>
        <v>1</v>
      </c>
      <c r="V4316">
        <f t="shared" si="339"/>
        <v>0</v>
      </c>
    </row>
    <row r="4317" spans="1:22" x14ac:dyDescent="0.25">
      <c r="A4317">
        <v>4314</v>
      </c>
      <c r="B4317" t="s">
        <v>30</v>
      </c>
      <c r="C4317" t="s">
        <v>1455</v>
      </c>
      <c r="D4317" s="4">
        <v>45386</v>
      </c>
      <c r="E4317" t="s">
        <v>281</v>
      </c>
      <c r="F4317" t="s">
        <v>75</v>
      </c>
      <c r="I4317" s="6"/>
      <c r="J4317" s="6"/>
      <c r="K4317" s="6"/>
      <c r="L4317" s="6"/>
      <c r="M4317" s="6"/>
      <c r="N4317" s="6"/>
      <c r="O4317" s="6"/>
      <c r="P4317" s="6"/>
      <c r="Q4317">
        <v>0</v>
      </c>
      <c r="R4317">
        <f t="shared" si="335"/>
        <v>0</v>
      </c>
      <c r="S4317">
        <f t="shared" si="336"/>
        <v>0</v>
      </c>
      <c r="T4317">
        <f t="shared" si="337"/>
        <v>0</v>
      </c>
      <c r="U4317">
        <f t="shared" si="338"/>
        <v>0</v>
      </c>
      <c r="V4317">
        <f t="shared" si="339"/>
        <v>0</v>
      </c>
    </row>
    <row r="4318" spans="1:22" x14ac:dyDescent="0.25">
      <c r="A4318">
        <v>4315</v>
      </c>
      <c r="B4318" t="s">
        <v>30</v>
      </c>
      <c r="C4318" t="s">
        <v>1455</v>
      </c>
      <c r="D4318" s="4">
        <v>45386</v>
      </c>
      <c r="E4318" t="s">
        <v>282</v>
      </c>
      <c r="F4318" t="s">
        <v>75</v>
      </c>
      <c r="I4318" s="6">
        <v>0</v>
      </c>
      <c r="J4318" s="6">
        <v>0</v>
      </c>
      <c r="K4318" s="6">
        <v>0</v>
      </c>
      <c r="L4318" s="6">
        <v>0</v>
      </c>
      <c r="M4318" s="6">
        <v>0</v>
      </c>
      <c r="N4318" s="6">
        <v>0</v>
      </c>
      <c r="O4318" s="6">
        <v>0</v>
      </c>
      <c r="P4318" s="6">
        <v>0</v>
      </c>
      <c r="Q4318">
        <v>1</v>
      </c>
      <c r="R4318">
        <f t="shared" si="335"/>
        <v>0</v>
      </c>
      <c r="S4318">
        <f t="shared" si="336"/>
        <v>1</v>
      </c>
      <c r="T4318">
        <f t="shared" si="337"/>
        <v>0</v>
      </c>
      <c r="U4318">
        <f t="shared" si="338"/>
        <v>0</v>
      </c>
      <c r="V4318">
        <f t="shared" si="339"/>
        <v>0</v>
      </c>
    </row>
    <row r="4319" spans="1:22" x14ac:dyDescent="0.25">
      <c r="A4319">
        <v>4316</v>
      </c>
      <c r="B4319" t="s">
        <v>30</v>
      </c>
      <c r="C4319" t="s">
        <v>1455</v>
      </c>
      <c r="D4319" s="4">
        <v>45386</v>
      </c>
      <c r="E4319" t="s">
        <v>958</v>
      </c>
      <c r="F4319" t="s">
        <v>75</v>
      </c>
      <c r="I4319" s="6"/>
      <c r="J4319" s="6"/>
      <c r="K4319" s="6"/>
      <c r="L4319" s="6"/>
      <c r="M4319" s="6"/>
      <c r="N4319" s="6"/>
      <c r="O4319" s="6"/>
      <c r="P4319" s="6"/>
      <c r="Q4319">
        <v>0</v>
      </c>
      <c r="R4319">
        <f t="shared" si="335"/>
        <v>0</v>
      </c>
      <c r="S4319">
        <f t="shared" si="336"/>
        <v>0</v>
      </c>
      <c r="T4319">
        <f t="shared" si="337"/>
        <v>0</v>
      </c>
      <c r="U4319">
        <f t="shared" si="338"/>
        <v>0</v>
      </c>
      <c r="V4319">
        <f t="shared" si="339"/>
        <v>0</v>
      </c>
    </row>
    <row r="4320" spans="1:22" x14ac:dyDescent="0.25">
      <c r="A4320">
        <v>4317</v>
      </c>
      <c r="B4320" t="s">
        <v>30</v>
      </c>
      <c r="C4320" t="s">
        <v>1455</v>
      </c>
      <c r="D4320" s="4">
        <v>45386</v>
      </c>
      <c r="E4320" t="s">
        <v>1545</v>
      </c>
      <c r="F4320" t="s">
        <v>357</v>
      </c>
      <c r="I4320" s="6"/>
      <c r="J4320" s="6"/>
      <c r="K4320" s="6"/>
      <c r="L4320" s="6"/>
      <c r="M4320" s="6"/>
      <c r="N4320" s="6"/>
      <c r="O4320" s="6"/>
      <c r="P4320" s="6"/>
      <c r="Q4320">
        <v>0</v>
      </c>
      <c r="R4320">
        <f t="shared" si="335"/>
        <v>0</v>
      </c>
      <c r="S4320">
        <f t="shared" si="336"/>
        <v>0</v>
      </c>
      <c r="T4320">
        <f t="shared" si="337"/>
        <v>0</v>
      </c>
      <c r="U4320">
        <f t="shared" si="338"/>
        <v>0</v>
      </c>
      <c r="V4320">
        <f t="shared" si="339"/>
        <v>0</v>
      </c>
    </row>
    <row r="4321" spans="1:22" x14ac:dyDescent="0.25">
      <c r="A4321">
        <v>4318</v>
      </c>
      <c r="B4321" t="s">
        <v>30</v>
      </c>
      <c r="C4321" t="s">
        <v>1455</v>
      </c>
      <c r="D4321" s="4">
        <v>45386</v>
      </c>
      <c r="E4321" t="s">
        <v>2169</v>
      </c>
      <c r="F4321" t="s">
        <v>75</v>
      </c>
      <c r="I4321" s="6">
        <v>0</v>
      </c>
      <c r="J4321" s="6">
        <v>0</v>
      </c>
      <c r="K4321" s="6">
        <v>0</v>
      </c>
      <c r="L4321" s="6">
        <v>0</v>
      </c>
      <c r="M4321" s="6">
        <v>1</v>
      </c>
      <c r="N4321" s="6">
        <v>0</v>
      </c>
      <c r="O4321" s="6">
        <v>0</v>
      </c>
      <c r="P4321" s="6">
        <v>0</v>
      </c>
      <c r="Q4321">
        <v>1</v>
      </c>
      <c r="R4321">
        <f t="shared" si="335"/>
        <v>0</v>
      </c>
      <c r="S4321">
        <f t="shared" si="336"/>
        <v>1</v>
      </c>
      <c r="T4321">
        <f t="shared" si="337"/>
        <v>1</v>
      </c>
      <c r="U4321">
        <f t="shared" si="338"/>
        <v>1</v>
      </c>
      <c r="V4321">
        <f t="shared" si="339"/>
        <v>0</v>
      </c>
    </row>
    <row r="4322" spans="1:22" x14ac:dyDescent="0.25">
      <c r="A4322">
        <v>4319</v>
      </c>
      <c r="B4322" t="s">
        <v>30</v>
      </c>
      <c r="C4322" t="s">
        <v>1455</v>
      </c>
      <c r="D4322" s="4">
        <v>45387</v>
      </c>
      <c r="E4322" t="s">
        <v>283</v>
      </c>
      <c r="F4322" t="s">
        <v>75</v>
      </c>
      <c r="I4322" s="6"/>
      <c r="J4322" s="6"/>
      <c r="K4322" s="6"/>
      <c r="L4322" s="6"/>
      <c r="M4322" s="6"/>
      <c r="N4322" s="6"/>
      <c r="O4322" s="6"/>
      <c r="P4322" s="6"/>
      <c r="Q4322">
        <v>0</v>
      </c>
      <c r="R4322">
        <f t="shared" si="335"/>
        <v>0</v>
      </c>
      <c r="S4322">
        <f t="shared" si="336"/>
        <v>0</v>
      </c>
      <c r="T4322">
        <f t="shared" si="337"/>
        <v>0</v>
      </c>
      <c r="U4322">
        <f t="shared" si="338"/>
        <v>0</v>
      </c>
      <c r="V4322">
        <f t="shared" si="339"/>
        <v>0</v>
      </c>
    </row>
    <row r="4323" spans="1:22" x14ac:dyDescent="0.25">
      <c r="A4323">
        <v>4320</v>
      </c>
      <c r="B4323" t="s">
        <v>30</v>
      </c>
      <c r="C4323" t="s">
        <v>1455</v>
      </c>
      <c r="D4323" s="4">
        <v>45387</v>
      </c>
      <c r="E4323" t="s">
        <v>284</v>
      </c>
      <c r="F4323" t="s">
        <v>75</v>
      </c>
      <c r="I4323" s="6">
        <v>0</v>
      </c>
      <c r="J4323" s="6">
        <v>0</v>
      </c>
      <c r="K4323" s="6">
        <v>0</v>
      </c>
      <c r="L4323" s="6">
        <v>0</v>
      </c>
      <c r="M4323" s="6">
        <v>0</v>
      </c>
      <c r="N4323" s="6">
        <v>0</v>
      </c>
      <c r="O4323" s="6">
        <v>0</v>
      </c>
      <c r="P4323" s="6">
        <v>0</v>
      </c>
      <c r="Q4323">
        <v>1</v>
      </c>
      <c r="R4323">
        <f t="shared" si="335"/>
        <v>0</v>
      </c>
      <c r="S4323">
        <f t="shared" si="336"/>
        <v>1</v>
      </c>
      <c r="T4323">
        <f t="shared" si="337"/>
        <v>0</v>
      </c>
      <c r="U4323">
        <f t="shared" si="338"/>
        <v>0</v>
      </c>
      <c r="V4323">
        <f t="shared" si="339"/>
        <v>0</v>
      </c>
    </row>
    <row r="4324" spans="1:22" x14ac:dyDescent="0.25">
      <c r="A4324">
        <v>4321</v>
      </c>
      <c r="B4324" t="s">
        <v>30</v>
      </c>
      <c r="C4324" t="s">
        <v>1455</v>
      </c>
      <c r="D4324" s="4">
        <v>45387</v>
      </c>
      <c r="E4324" t="s">
        <v>449</v>
      </c>
      <c r="F4324" t="s">
        <v>75</v>
      </c>
      <c r="I4324" s="6">
        <v>0</v>
      </c>
      <c r="J4324" s="6">
        <v>0</v>
      </c>
      <c r="K4324" s="6">
        <v>0</v>
      </c>
      <c r="L4324" s="6">
        <v>0</v>
      </c>
      <c r="M4324" s="6">
        <v>1</v>
      </c>
      <c r="N4324" s="6">
        <v>0</v>
      </c>
      <c r="O4324" s="6">
        <v>0</v>
      </c>
      <c r="P4324" s="6">
        <v>0</v>
      </c>
      <c r="Q4324">
        <v>1</v>
      </c>
      <c r="R4324">
        <f t="shared" si="335"/>
        <v>0</v>
      </c>
      <c r="S4324">
        <f t="shared" si="336"/>
        <v>1</v>
      </c>
      <c r="T4324">
        <f t="shared" si="337"/>
        <v>1</v>
      </c>
      <c r="U4324">
        <f t="shared" si="338"/>
        <v>1</v>
      </c>
      <c r="V4324">
        <f t="shared" si="339"/>
        <v>0</v>
      </c>
    </row>
    <row r="4325" spans="1:22" x14ac:dyDescent="0.25">
      <c r="A4325">
        <v>4322</v>
      </c>
      <c r="B4325" t="s">
        <v>30</v>
      </c>
      <c r="C4325" t="s">
        <v>1455</v>
      </c>
      <c r="D4325" s="4">
        <v>45387</v>
      </c>
      <c r="E4325" t="s">
        <v>1475</v>
      </c>
      <c r="F4325" t="s">
        <v>75</v>
      </c>
      <c r="I4325" s="6">
        <v>0</v>
      </c>
      <c r="J4325" s="6">
        <v>0</v>
      </c>
      <c r="K4325" s="6">
        <v>0</v>
      </c>
      <c r="L4325" s="6">
        <v>0</v>
      </c>
      <c r="M4325" s="6">
        <v>1</v>
      </c>
      <c r="N4325" s="6">
        <v>0</v>
      </c>
      <c r="O4325" s="6">
        <v>0</v>
      </c>
      <c r="P4325" s="6">
        <v>0</v>
      </c>
      <c r="Q4325">
        <v>1</v>
      </c>
      <c r="R4325">
        <f t="shared" si="335"/>
        <v>0</v>
      </c>
      <c r="S4325">
        <f t="shared" si="336"/>
        <v>1</v>
      </c>
      <c r="T4325">
        <f t="shared" si="337"/>
        <v>1</v>
      </c>
      <c r="U4325">
        <f t="shared" si="338"/>
        <v>1</v>
      </c>
      <c r="V4325">
        <f t="shared" si="339"/>
        <v>0</v>
      </c>
    </row>
    <row r="4326" spans="1:22" x14ac:dyDescent="0.25">
      <c r="A4326">
        <v>4323</v>
      </c>
      <c r="B4326" t="s">
        <v>30</v>
      </c>
      <c r="C4326" t="s">
        <v>1455</v>
      </c>
      <c r="D4326" s="4">
        <v>45387</v>
      </c>
      <c r="E4326" t="s">
        <v>1546</v>
      </c>
      <c r="F4326" t="s">
        <v>75</v>
      </c>
      <c r="I4326" s="6"/>
      <c r="J4326" s="6"/>
      <c r="K4326" s="6"/>
      <c r="L4326" s="6"/>
      <c r="M4326" s="6"/>
      <c r="N4326" s="6"/>
      <c r="O4326" s="6"/>
      <c r="P4326" s="6"/>
      <c r="Q4326">
        <v>0</v>
      </c>
      <c r="R4326">
        <f t="shared" si="335"/>
        <v>0</v>
      </c>
      <c r="S4326">
        <f t="shared" si="336"/>
        <v>0</v>
      </c>
      <c r="T4326">
        <f t="shared" si="337"/>
        <v>0</v>
      </c>
      <c r="U4326">
        <f t="shared" si="338"/>
        <v>0</v>
      </c>
      <c r="V4326">
        <f t="shared" si="339"/>
        <v>0</v>
      </c>
    </row>
    <row r="4327" spans="1:22" x14ac:dyDescent="0.25">
      <c r="A4327">
        <v>4324</v>
      </c>
      <c r="B4327" t="s">
        <v>30</v>
      </c>
      <c r="C4327" t="s">
        <v>1455</v>
      </c>
      <c r="D4327" s="4">
        <v>45387</v>
      </c>
      <c r="E4327" t="s">
        <v>1356</v>
      </c>
      <c r="F4327" t="s">
        <v>75</v>
      </c>
      <c r="I4327" s="6"/>
      <c r="J4327" s="6"/>
      <c r="K4327" s="6"/>
      <c r="L4327" s="6"/>
      <c r="M4327" s="6"/>
      <c r="N4327" s="6"/>
      <c r="O4327" s="6"/>
      <c r="P4327" s="6"/>
      <c r="Q4327">
        <v>0</v>
      </c>
      <c r="R4327">
        <f t="shared" si="335"/>
        <v>0</v>
      </c>
      <c r="S4327">
        <f t="shared" si="336"/>
        <v>0</v>
      </c>
      <c r="T4327">
        <f t="shared" si="337"/>
        <v>0</v>
      </c>
      <c r="U4327">
        <f t="shared" si="338"/>
        <v>0</v>
      </c>
      <c r="V4327">
        <f t="shared" si="339"/>
        <v>0</v>
      </c>
    </row>
    <row r="4328" spans="1:22" x14ac:dyDescent="0.25">
      <c r="A4328">
        <v>4325</v>
      </c>
      <c r="B4328" t="s">
        <v>30</v>
      </c>
      <c r="C4328" t="s">
        <v>1455</v>
      </c>
      <c r="D4328" s="4">
        <v>45387</v>
      </c>
      <c r="E4328" t="s">
        <v>2168</v>
      </c>
      <c r="F4328" t="s">
        <v>75</v>
      </c>
      <c r="I4328" s="6"/>
      <c r="J4328" s="6"/>
      <c r="K4328" s="6"/>
      <c r="L4328" s="6"/>
      <c r="M4328" s="6"/>
      <c r="N4328" s="6"/>
      <c r="O4328" s="6"/>
      <c r="P4328" s="6"/>
      <c r="Q4328">
        <v>0</v>
      </c>
      <c r="R4328">
        <f t="shared" si="335"/>
        <v>0</v>
      </c>
      <c r="S4328">
        <f t="shared" si="336"/>
        <v>0</v>
      </c>
      <c r="T4328">
        <f t="shared" si="337"/>
        <v>0</v>
      </c>
      <c r="U4328">
        <f t="shared" si="338"/>
        <v>0</v>
      </c>
      <c r="V4328">
        <f t="shared" si="339"/>
        <v>0</v>
      </c>
    </row>
    <row r="4329" spans="1:22" x14ac:dyDescent="0.25">
      <c r="A4329">
        <v>4326</v>
      </c>
      <c r="B4329" t="s">
        <v>30</v>
      </c>
      <c r="C4329" t="s">
        <v>1455</v>
      </c>
      <c r="D4329" s="4">
        <v>45388</v>
      </c>
      <c r="E4329" t="s">
        <v>1057</v>
      </c>
      <c r="F4329" t="s">
        <v>357</v>
      </c>
      <c r="I4329" s="6"/>
      <c r="J4329" s="6"/>
      <c r="K4329" s="6"/>
      <c r="L4329" s="6"/>
      <c r="M4329" s="6"/>
      <c r="N4329" s="6"/>
      <c r="O4329" s="6"/>
      <c r="P4329" s="6"/>
      <c r="Q4329">
        <v>0</v>
      </c>
      <c r="R4329">
        <f t="shared" si="335"/>
        <v>0</v>
      </c>
      <c r="S4329">
        <f t="shared" si="336"/>
        <v>0</v>
      </c>
      <c r="T4329">
        <f t="shared" si="337"/>
        <v>0</v>
      </c>
      <c r="U4329">
        <f t="shared" si="338"/>
        <v>0</v>
      </c>
      <c r="V4329">
        <f t="shared" si="339"/>
        <v>0</v>
      </c>
    </row>
    <row r="4330" spans="1:22" x14ac:dyDescent="0.25">
      <c r="A4330">
        <v>4327</v>
      </c>
      <c r="B4330" t="s">
        <v>30</v>
      </c>
      <c r="C4330" t="s">
        <v>1455</v>
      </c>
      <c r="D4330" s="4">
        <v>45388</v>
      </c>
      <c r="E4330" t="s">
        <v>1222</v>
      </c>
      <c r="F4330" t="s">
        <v>75</v>
      </c>
      <c r="I4330" s="6">
        <v>0</v>
      </c>
      <c r="J4330" s="6">
        <v>0</v>
      </c>
      <c r="K4330" s="6">
        <v>0</v>
      </c>
      <c r="L4330" s="6">
        <v>0</v>
      </c>
      <c r="M4330" s="6">
        <v>0</v>
      </c>
      <c r="N4330" s="6">
        <v>0</v>
      </c>
      <c r="O4330" s="6">
        <v>0</v>
      </c>
      <c r="P4330" s="6">
        <v>0</v>
      </c>
      <c r="Q4330">
        <v>1</v>
      </c>
      <c r="R4330">
        <f t="shared" si="335"/>
        <v>0</v>
      </c>
      <c r="S4330">
        <f t="shared" si="336"/>
        <v>1</v>
      </c>
      <c r="T4330">
        <f t="shared" si="337"/>
        <v>0</v>
      </c>
      <c r="U4330">
        <f t="shared" si="338"/>
        <v>0</v>
      </c>
      <c r="V4330">
        <f t="shared" si="339"/>
        <v>0</v>
      </c>
    </row>
    <row r="4331" spans="1:22" x14ac:dyDescent="0.25">
      <c r="A4331">
        <v>4328</v>
      </c>
      <c r="B4331" t="s">
        <v>30</v>
      </c>
      <c r="C4331" t="s">
        <v>1455</v>
      </c>
      <c r="D4331" s="4">
        <v>45388</v>
      </c>
      <c r="E4331" t="s">
        <v>1058</v>
      </c>
      <c r="F4331" t="s">
        <v>75</v>
      </c>
      <c r="I4331" s="6"/>
      <c r="J4331" s="6"/>
      <c r="K4331" s="6"/>
      <c r="L4331" s="6"/>
      <c r="M4331" s="6"/>
      <c r="N4331" s="6"/>
      <c r="O4331" s="6"/>
      <c r="P4331" s="6"/>
      <c r="Q4331">
        <v>0</v>
      </c>
      <c r="R4331">
        <f t="shared" si="335"/>
        <v>0</v>
      </c>
      <c r="S4331">
        <f t="shared" si="336"/>
        <v>0</v>
      </c>
      <c r="T4331">
        <f t="shared" si="337"/>
        <v>0</v>
      </c>
      <c r="U4331">
        <f t="shared" si="338"/>
        <v>0</v>
      </c>
      <c r="V4331">
        <f t="shared" si="339"/>
        <v>0</v>
      </c>
    </row>
    <row r="4332" spans="1:22" x14ac:dyDescent="0.25">
      <c r="A4332">
        <v>4329</v>
      </c>
      <c r="B4332" t="s">
        <v>30</v>
      </c>
      <c r="C4332" t="s">
        <v>1455</v>
      </c>
      <c r="D4332" s="4">
        <v>45388</v>
      </c>
      <c r="E4332" t="s">
        <v>2167</v>
      </c>
      <c r="F4332" t="s">
        <v>75</v>
      </c>
      <c r="I4332" s="6">
        <v>0</v>
      </c>
      <c r="J4332" s="6">
        <v>0</v>
      </c>
      <c r="K4332" s="6">
        <v>0</v>
      </c>
      <c r="L4332" s="6">
        <v>0</v>
      </c>
      <c r="M4332" s="6">
        <v>1</v>
      </c>
      <c r="N4332" s="6">
        <v>0</v>
      </c>
      <c r="O4332" s="6">
        <v>0</v>
      </c>
      <c r="P4332" s="6">
        <v>0</v>
      </c>
      <c r="Q4332">
        <v>1</v>
      </c>
      <c r="R4332">
        <f t="shared" si="335"/>
        <v>0</v>
      </c>
      <c r="S4332">
        <f t="shared" si="336"/>
        <v>1</v>
      </c>
      <c r="T4332">
        <f t="shared" si="337"/>
        <v>1</v>
      </c>
      <c r="U4332">
        <f t="shared" si="338"/>
        <v>1</v>
      </c>
      <c r="V4332">
        <f t="shared" si="339"/>
        <v>0</v>
      </c>
    </row>
    <row r="4333" spans="1:22" x14ac:dyDescent="0.25">
      <c r="A4333">
        <v>4330</v>
      </c>
      <c r="B4333" t="s">
        <v>30</v>
      </c>
      <c r="C4333" t="s">
        <v>1455</v>
      </c>
      <c r="D4333" s="4">
        <v>45388</v>
      </c>
      <c r="E4333" t="s">
        <v>1132</v>
      </c>
      <c r="F4333" t="s">
        <v>75</v>
      </c>
      <c r="I4333" s="6">
        <v>0</v>
      </c>
      <c r="J4333" s="6">
        <v>0</v>
      </c>
      <c r="K4333" s="6">
        <v>0</v>
      </c>
      <c r="L4333" s="6">
        <v>0</v>
      </c>
      <c r="M4333" s="6">
        <v>1</v>
      </c>
      <c r="N4333" s="6">
        <v>0</v>
      </c>
      <c r="O4333" s="6">
        <v>0</v>
      </c>
      <c r="P4333" s="6">
        <v>0</v>
      </c>
      <c r="Q4333">
        <v>1</v>
      </c>
      <c r="R4333">
        <f t="shared" si="335"/>
        <v>0</v>
      </c>
      <c r="S4333">
        <f t="shared" si="336"/>
        <v>1</v>
      </c>
      <c r="T4333">
        <f t="shared" si="337"/>
        <v>1</v>
      </c>
      <c r="U4333">
        <f t="shared" si="338"/>
        <v>1</v>
      </c>
      <c r="V4333">
        <f t="shared" si="339"/>
        <v>0</v>
      </c>
    </row>
    <row r="4334" spans="1:22" x14ac:dyDescent="0.25">
      <c r="A4334">
        <v>4331</v>
      </c>
      <c r="B4334" t="s">
        <v>30</v>
      </c>
      <c r="C4334" t="s">
        <v>1455</v>
      </c>
      <c r="D4334" s="4">
        <v>45388</v>
      </c>
      <c r="E4334" t="s">
        <v>1476</v>
      </c>
      <c r="F4334" t="s">
        <v>75</v>
      </c>
      <c r="I4334" s="6">
        <v>0</v>
      </c>
      <c r="J4334" s="6">
        <v>0</v>
      </c>
      <c r="K4334" s="6">
        <v>0</v>
      </c>
      <c r="L4334" s="6">
        <v>1</v>
      </c>
      <c r="M4334" s="6">
        <v>0</v>
      </c>
      <c r="N4334" s="6">
        <v>0</v>
      </c>
      <c r="O4334" s="6">
        <v>0</v>
      </c>
      <c r="P4334" s="6">
        <v>0</v>
      </c>
      <c r="Q4334">
        <v>1</v>
      </c>
      <c r="R4334">
        <f t="shared" si="335"/>
        <v>0</v>
      </c>
      <c r="S4334">
        <f t="shared" si="336"/>
        <v>1</v>
      </c>
      <c r="T4334">
        <f t="shared" si="337"/>
        <v>1</v>
      </c>
      <c r="U4334">
        <f t="shared" si="338"/>
        <v>1</v>
      </c>
      <c r="V4334">
        <f t="shared" si="339"/>
        <v>0</v>
      </c>
    </row>
    <row r="4335" spans="1:22" x14ac:dyDescent="0.25">
      <c r="A4335">
        <v>4332</v>
      </c>
      <c r="B4335" t="s">
        <v>30</v>
      </c>
      <c r="C4335" t="s">
        <v>1455</v>
      </c>
      <c r="D4335" s="4">
        <v>45389</v>
      </c>
      <c r="E4335" t="s">
        <v>450</v>
      </c>
      <c r="F4335" t="s">
        <v>75</v>
      </c>
      <c r="I4335" s="6">
        <v>0</v>
      </c>
      <c r="J4335" s="6">
        <v>0</v>
      </c>
      <c r="K4335" s="6">
        <v>0</v>
      </c>
      <c r="L4335" s="6">
        <v>0</v>
      </c>
      <c r="M4335" s="6">
        <v>1</v>
      </c>
      <c r="N4335" s="6">
        <v>0</v>
      </c>
      <c r="O4335" s="6">
        <v>0</v>
      </c>
      <c r="P4335" s="6">
        <v>0</v>
      </c>
      <c r="Q4335">
        <v>1</v>
      </c>
      <c r="R4335">
        <f t="shared" si="335"/>
        <v>0</v>
      </c>
      <c r="S4335">
        <f t="shared" si="336"/>
        <v>1</v>
      </c>
      <c r="T4335">
        <f t="shared" si="337"/>
        <v>1</v>
      </c>
      <c r="U4335">
        <f t="shared" si="338"/>
        <v>1</v>
      </c>
      <c r="V4335">
        <f t="shared" si="339"/>
        <v>0</v>
      </c>
    </row>
    <row r="4336" spans="1:22" x14ac:dyDescent="0.25">
      <c r="A4336">
        <v>4333</v>
      </c>
      <c r="B4336" t="s">
        <v>30</v>
      </c>
      <c r="C4336" t="s">
        <v>1455</v>
      </c>
      <c r="D4336" s="4">
        <v>45389</v>
      </c>
      <c r="E4336" t="s">
        <v>1223</v>
      </c>
      <c r="F4336" t="s">
        <v>75</v>
      </c>
      <c r="I4336" s="6">
        <v>0</v>
      </c>
      <c r="J4336" s="6">
        <v>0</v>
      </c>
      <c r="K4336" s="6">
        <v>0</v>
      </c>
      <c r="L4336" s="6">
        <v>0</v>
      </c>
      <c r="M4336" s="6">
        <v>1</v>
      </c>
      <c r="N4336" s="6">
        <v>0</v>
      </c>
      <c r="O4336" s="6">
        <v>0</v>
      </c>
      <c r="P4336" s="6">
        <v>0</v>
      </c>
      <c r="Q4336">
        <v>1</v>
      </c>
      <c r="R4336">
        <f t="shared" si="335"/>
        <v>0</v>
      </c>
      <c r="S4336">
        <f t="shared" si="336"/>
        <v>1</v>
      </c>
      <c r="T4336">
        <f t="shared" si="337"/>
        <v>1</v>
      </c>
      <c r="U4336">
        <f t="shared" si="338"/>
        <v>1</v>
      </c>
      <c r="V4336">
        <f t="shared" si="339"/>
        <v>0</v>
      </c>
    </row>
    <row r="4337" spans="1:22" x14ac:dyDescent="0.25">
      <c r="A4337">
        <v>4334</v>
      </c>
      <c r="B4337" t="s">
        <v>30</v>
      </c>
      <c r="C4337" t="s">
        <v>1455</v>
      </c>
      <c r="D4337" s="4">
        <v>45389</v>
      </c>
      <c r="E4337" t="s">
        <v>1059</v>
      </c>
      <c r="F4337" t="s">
        <v>75</v>
      </c>
      <c r="I4337" s="6">
        <v>0</v>
      </c>
      <c r="J4337" s="6">
        <v>0</v>
      </c>
      <c r="K4337" s="6">
        <v>0</v>
      </c>
      <c r="L4337" s="6">
        <v>0</v>
      </c>
      <c r="M4337" s="6">
        <v>1</v>
      </c>
      <c r="N4337" s="6">
        <v>0</v>
      </c>
      <c r="O4337" s="6">
        <v>0</v>
      </c>
      <c r="P4337" s="6">
        <v>0</v>
      </c>
      <c r="Q4337">
        <v>1</v>
      </c>
      <c r="R4337">
        <f t="shared" si="335"/>
        <v>0</v>
      </c>
      <c r="S4337">
        <f t="shared" si="336"/>
        <v>1</v>
      </c>
      <c r="T4337">
        <f t="shared" si="337"/>
        <v>1</v>
      </c>
      <c r="U4337">
        <f t="shared" si="338"/>
        <v>1</v>
      </c>
      <c r="V4337">
        <f t="shared" si="339"/>
        <v>0</v>
      </c>
    </row>
    <row r="4338" spans="1:22" x14ac:dyDescent="0.25">
      <c r="A4338">
        <v>4335</v>
      </c>
      <c r="B4338" t="s">
        <v>30</v>
      </c>
      <c r="C4338" t="s">
        <v>1455</v>
      </c>
      <c r="D4338" s="4">
        <v>45390</v>
      </c>
      <c r="E4338" t="s">
        <v>1477</v>
      </c>
      <c r="F4338" t="s">
        <v>75</v>
      </c>
      <c r="I4338" s="6">
        <v>0</v>
      </c>
      <c r="J4338" s="6">
        <v>0</v>
      </c>
      <c r="K4338" s="6">
        <v>0</v>
      </c>
      <c r="L4338" s="6">
        <v>0</v>
      </c>
      <c r="M4338" s="6">
        <v>1</v>
      </c>
      <c r="N4338" s="6">
        <v>0</v>
      </c>
      <c r="O4338" s="6">
        <v>0</v>
      </c>
      <c r="P4338" s="6">
        <v>0</v>
      </c>
      <c r="Q4338">
        <v>1</v>
      </c>
      <c r="R4338">
        <f t="shared" si="335"/>
        <v>0</v>
      </c>
      <c r="S4338">
        <f t="shared" si="336"/>
        <v>1</v>
      </c>
      <c r="T4338">
        <f t="shared" si="337"/>
        <v>1</v>
      </c>
      <c r="U4338">
        <f t="shared" si="338"/>
        <v>1</v>
      </c>
      <c r="V4338">
        <f t="shared" si="339"/>
        <v>0</v>
      </c>
    </row>
    <row r="4339" spans="1:22" x14ac:dyDescent="0.25">
      <c r="A4339">
        <v>4336</v>
      </c>
      <c r="B4339" t="s">
        <v>30</v>
      </c>
      <c r="C4339" t="s">
        <v>1455</v>
      </c>
      <c r="D4339" s="4">
        <v>45390</v>
      </c>
      <c r="E4339" t="s">
        <v>1060</v>
      </c>
      <c r="F4339" t="s">
        <v>75</v>
      </c>
      <c r="I4339" s="6"/>
      <c r="J4339" s="6"/>
      <c r="K4339" s="6"/>
      <c r="L4339" s="6"/>
      <c r="M4339" s="6"/>
      <c r="N4339" s="6"/>
      <c r="O4339" s="6"/>
      <c r="P4339" s="6"/>
      <c r="Q4339">
        <v>0</v>
      </c>
      <c r="R4339">
        <f t="shared" si="335"/>
        <v>0</v>
      </c>
      <c r="S4339">
        <f t="shared" si="336"/>
        <v>0</v>
      </c>
      <c r="T4339">
        <f t="shared" si="337"/>
        <v>0</v>
      </c>
      <c r="U4339">
        <f t="shared" si="338"/>
        <v>0</v>
      </c>
      <c r="V4339">
        <f t="shared" si="339"/>
        <v>0</v>
      </c>
    </row>
    <row r="4340" spans="1:22" x14ac:dyDescent="0.25">
      <c r="A4340">
        <v>4337</v>
      </c>
      <c r="B4340" t="s">
        <v>30</v>
      </c>
      <c r="C4340" t="s">
        <v>1455</v>
      </c>
      <c r="D4340" s="4">
        <v>45390</v>
      </c>
      <c r="E4340" t="s">
        <v>1803</v>
      </c>
      <c r="F4340" t="s">
        <v>75</v>
      </c>
      <c r="I4340" s="6"/>
      <c r="J4340" s="6"/>
      <c r="K4340" s="6"/>
      <c r="L4340" s="6"/>
      <c r="M4340" s="6"/>
      <c r="N4340" s="6"/>
      <c r="O4340" s="6"/>
      <c r="P4340" s="6"/>
      <c r="Q4340">
        <v>0</v>
      </c>
      <c r="R4340">
        <f t="shared" si="335"/>
        <v>0</v>
      </c>
      <c r="S4340">
        <f t="shared" si="336"/>
        <v>0</v>
      </c>
      <c r="T4340">
        <f t="shared" si="337"/>
        <v>0</v>
      </c>
      <c r="U4340">
        <f t="shared" si="338"/>
        <v>0</v>
      </c>
      <c r="V4340">
        <f t="shared" si="339"/>
        <v>0</v>
      </c>
    </row>
    <row r="4341" spans="1:22" x14ac:dyDescent="0.25">
      <c r="A4341">
        <v>4338</v>
      </c>
      <c r="B4341" t="s">
        <v>30</v>
      </c>
      <c r="C4341" t="s">
        <v>1455</v>
      </c>
      <c r="D4341" s="4">
        <v>45391</v>
      </c>
      <c r="E4341" t="s">
        <v>868</v>
      </c>
      <c r="F4341" t="s">
        <v>75</v>
      </c>
      <c r="I4341" s="6"/>
      <c r="J4341" s="6"/>
      <c r="K4341" s="6"/>
      <c r="L4341" s="6"/>
      <c r="M4341" s="6"/>
      <c r="N4341" s="6"/>
      <c r="O4341" s="6"/>
      <c r="P4341" s="6"/>
      <c r="Q4341">
        <v>0</v>
      </c>
      <c r="R4341">
        <f t="shared" si="335"/>
        <v>0</v>
      </c>
      <c r="S4341">
        <f t="shared" si="336"/>
        <v>0</v>
      </c>
      <c r="T4341">
        <f t="shared" si="337"/>
        <v>0</v>
      </c>
      <c r="U4341">
        <f t="shared" si="338"/>
        <v>0</v>
      </c>
      <c r="V4341">
        <f t="shared" si="339"/>
        <v>0</v>
      </c>
    </row>
    <row r="4342" spans="1:22" x14ac:dyDescent="0.25">
      <c r="A4342">
        <v>4339</v>
      </c>
      <c r="B4342" t="s">
        <v>30</v>
      </c>
      <c r="C4342" t="s">
        <v>1455</v>
      </c>
      <c r="D4342" s="4">
        <v>45391</v>
      </c>
      <c r="E4342" t="s">
        <v>869</v>
      </c>
      <c r="F4342" t="s">
        <v>75</v>
      </c>
      <c r="I4342" s="6">
        <v>0</v>
      </c>
      <c r="J4342" s="6">
        <v>0</v>
      </c>
      <c r="K4342" s="6">
        <v>0</v>
      </c>
      <c r="L4342" s="6">
        <v>0</v>
      </c>
      <c r="M4342" s="6">
        <v>1</v>
      </c>
      <c r="N4342" s="6">
        <v>0</v>
      </c>
      <c r="O4342" s="6">
        <v>0</v>
      </c>
      <c r="P4342" s="6">
        <v>0</v>
      </c>
      <c r="Q4342">
        <v>1</v>
      </c>
      <c r="R4342">
        <f t="shared" si="335"/>
        <v>0</v>
      </c>
      <c r="S4342">
        <f t="shared" si="336"/>
        <v>1</v>
      </c>
      <c r="T4342">
        <f t="shared" si="337"/>
        <v>1</v>
      </c>
      <c r="U4342">
        <f t="shared" si="338"/>
        <v>1</v>
      </c>
      <c r="V4342">
        <f t="shared" si="339"/>
        <v>0</v>
      </c>
    </row>
    <row r="4343" spans="1:22" x14ac:dyDescent="0.25">
      <c r="A4343">
        <v>4340</v>
      </c>
      <c r="B4343" t="s">
        <v>30</v>
      </c>
      <c r="C4343" t="s">
        <v>1455</v>
      </c>
      <c r="D4343" s="4">
        <v>45391</v>
      </c>
      <c r="E4343" t="s">
        <v>1363</v>
      </c>
      <c r="F4343" t="s">
        <v>75</v>
      </c>
      <c r="I4343" s="6"/>
      <c r="J4343" s="6"/>
      <c r="K4343" s="6"/>
      <c r="L4343" s="6"/>
      <c r="M4343" s="6"/>
      <c r="N4343" s="6"/>
      <c r="O4343" s="6"/>
      <c r="P4343" s="6"/>
      <c r="Q4343">
        <v>0</v>
      </c>
      <c r="R4343">
        <f t="shared" si="335"/>
        <v>0</v>
      </c>
      <c r="S4343">
        <f t="shared" si="336"/>
        <v>0</v>
      </c>
      <c r="T4343">
        <f t="shared" si="337"/>
        <v>0</v>
      </c>
      <c r="U4343">
        <f t="shared" si="338"/>
        <v>0</v>
      </c>
      <c r="V4343">
        <f t="shared" si="339"/>
        <v>0</v>
      </c>
    </row>
    <row r="4344" spans="1:22" x14ac:dyDescent="0.25">
      <c r="A4344">
        <v>4341</v>
      </c>
      <c r="B4344" t="s">
        <v>30</v>
      </c>
      <c r="C4344" t="s">
        <v>1455</v>
      </c>
      <c r="D4344" s="4">
        <v>45392</v>
      </c>
      <c r="E4344" t="s">
        <v>452</v>
      </c>
      <c r="F4344" t="s">
        <v>413</v>
      </c>
      <c r="G4344">
        <v>221</v>
      </c>
      <c r="I4344" s="6">
        <v>0</v>
      </c>
      <c r="J4344" s="6">
        <v>0</v>
      </c>
      <c r="K4344" s="6">
        <v>0</v>
      </c>
      <c r="L4344" s="6">
        <v>0</v>
      </c>
      <c r="M4344" s="6">
        <v>1</v>
      </c>
      <c r="N4344" s="6">
        <v>0</v>
      </c>
      <c r="O4344" s="6">
        <v>0</v>
      </c>
      <c r="P4344" s="6">
        <v>0</v>
      </c>
      <c r="Q4344">
        <v>1</v>
      </c>
      <c r="R4344">
        <f t="shared" si="335"/>
        <v>1</v>
      </c>
      <c r="S4344">
        <f t="shared" si="336"/>
        <v>0</v>
      </c>
      <c r="T4344">
        <f t="shared" si="337"/>
        <v>1</v>
      </c>
      <c r="U4344">
        <f t="shared" si="338"/>
        <v>1</v>
      </c>
      <c r="V4344">
        <f t="shared" si="339"/>
        <v>1</v>
      </c>
    </row>
    <row r="4345" spans="1:22" x14ac:dyDescent="0.25">
      <c r="A4345">
        <v>4342</v>
      </c>
      <c r="B4345" t="s">
        <v>30</v>
      </c>
      <c r="C4345" t="s">
        <v>1455</v>
      </c>
      <c r="D4345" s="4">
        <v>45392</v>
      </c>
      <c r="E4345" t="s">
        <v>453</v>
      </c>
      <c r="F4345" t="s">
        <v>75</v>
      </c>
      <c r="I4345" s="6">
        <v>0</v>
      </c>
      <c r="J4345" s="6">
        <v>0</v>
      </c>
      <c r="K4345" s="6">
        <v>0</v>
      </c>
      <c r="L4345" s="6">
        <v>0</v>
      </c>
      <c r="M4345" s="6">
        <v>0</v>
      </c>
      <c r="N4345" s="6">
        <v>0</v>
      </c>
      <c r="O4345" s="6">
        <v>0</v>
      </c>
      <c r="P4345" s="6">
        <v>0</v>
      </c>
      <c r="Q4345">
        <v>1</v>
      </c>
      <c r="R4345">
        <f t="shared" si="335"/>
        <v>0</v>
      </c>
      <c r="S4345">
        <f t="shared" si="336"/>
        <v>1</v>
      </c>
      <c r="T4345">
        <f t="shared" si="337"/>
        <v>0</v>
      </c>
      <c r="U4345">
        <f t="shared" si="338"/>
        <v>0</v>
      </c>
      <c r="V4345">
        <f t="shared" si="339"/>
        <v>0</v>
      </c>
    </row>
    <row r="4346" spans="1:22" x14ac:dyDescent="0.25">
      <c r="A4346">
        <v>4343</v>
      </c>
      <c r="B4346" t="s">
        <v>30</v>
      </c>
      <c r="C4346" t="s">
        <v>1455</v>
      </c>
      <c r="D4346" s="4">
        <v>45392</v>
      </c>
      <c r="E4346" t="s">
        <v>1061</v>
      </c>
      <c r="F4346" t="s">
        <v>75</v>
      </c>
      <c r="I4346" s="6">
        <v>1</v>
      </c>
      <c r="J4346" s="6">
        <v>0</v>
      </c>
      <c r="K4346" s="6">
        <v>0</v>
      </c>
      <c r="L4346" s="6">
        <v>1</v>
      </c>
      <c r="M4346" s="6">
        <v>0</v>
      </c>
      <c r="N4346" s="6">
        <v>0</v>
      </c>
      <c r="O4346" s="6">
        <v>0</v>
      </c>
      <c r="P4346" s="6">
        <v>0</v>
      </c>
      <c r="Q4346">
        <v>1</v>
      </c>
      <c r="R4346">
        <f t="shared" si="335"/>
        <v>0</v>
      </c>
      <c r="S4346">
        <f t="shared" si="336"/>
        <v>1</v>
      </c>
      <c r="T4346">
        <f t="shared" si="337"/>
        <v>2</v>
      </c>
      <c r="U4346">
        <f t="shared" si="338"/>
        <v>1</v>
      </c>
      <c r="V4346">
        <f t="shared" si="339"/>
        <v>0</v>
      </c>
    </row>
    <row r="4347" spans="1:22" x14ac:dyDescent="0.25">
      <c r="A4347">
        <v>4344</v>
      </c>
      <c r="B4347" t="s">
        <v>30</v>
      </c>
      <c r="C4347" t="s">
        <v>1455</v>
      </c>
      <c r="D4347" s="4">
        <v>45393</v>
      </c>
      <c r="E4347" t="s">
        <v>287</v>
      </c>
      <c r="F4347" t="s">
        <v>75</v>
      </c>
      <c r="I4347" s="6">
        <v>0</v>
      </c>
      <c r="J4347" s="6">
        <v>0</v>
      </c>
      <c r="K4347" s="6">
        <v>0</v>
      </c>
      <c r="L4347" s="6">
        <v>0</v>
      </c>
      <c r="M4347" s="6">
        <v>1</v>
      </c>
      <c r="N4347" s="6">
        <v>0</v>
      </c>
      <c r="O4347" s="6">
        <v>0</v>
      </c>
      <c r="P4347" s="6">
        <v>0</v>
      </c>
      <c r="Q4347">
        <v>1</v>
      </c>
      <c r="R4347">
        <f t="shared" si="335"/>
        <v>0</v>
      </c>
      <c r="S4347">
        <f t="shared" si="336"/>
        <v>1</v>
      </c>
      <c r="T4347">
        <f t="shared" si="337"/>
        <v>1</v>
      </c>
      <c r="U4347">
        <f t="shared" si="338"/>
        <v>1</v>
      </c>
      <c r="V4347">
        <f t="shared" si="339"/>
        <v>0</v>
      </c>
    </row>
    <row r="4348" spans="1:22" x14ac:dyDescent="0.25">
      <c r="A4348">
        <v>4345</v>
      </c>
      <c r="B4348" t="s">
        <v>30</v>
      </c>
      <c r="C4348" t="s">
        <v>1455</v>
      </c>
      <c r="D4348" s="4">
        <v>45394</v>
      </c>
      <c r="E4348" t="s">
        <v>966</v>
      </c>
      <c r="F4348" t="s">
        <v>75</v>
      </c>
      <c r="I4348" s="6"/>
      <c r="J4348" s="6"/>
      <c r="K4348" s="6"/>
      <c r="L4348" s="6"/>
      <c r="M4348" s="6"/>
      <c r="N4348" s="6"/>
      <c r="O4348" s="6"/>
      <c r="P4348" s="6"/>
      <c r="Q4348">
        <v>0</v>
      </c>
      <c r="R4348">
        <f t="shared" si="335"/>
        <v>0</v>
      </c>
      <c r="S4348">
        <f t="shared" si="336"/>
        <v>0</v>
      </c>
      <c r="T4348">
        <f t="shared" si="337"/>
        <v>0</v>
      </c>
      <c r="U4348">
        <f t="shared" si="338"/>
        <v>0</v>
      </c>
      <c r="V4348">
        <f t="shared" si="339"/>
        <v>0</v>
      </c>
    </row>
    <row r="4349" spans="1:22" x14ac:dyDescent="0.25">
      <c r="A4349">
        <v>4346</v>
      </c>
      <c r="B4349" t="s">
        <v>30</v>
      </c>
      <c r="C4349" t="s">
        <v>1455</v>
      </c>
      <c r="D4349" s="4">
        <v>45394</v>
      </c>
      <c r="E4349" t="s">
        <v>870</v>
      </c>
      <c r="F4349" t="s">
        <v>75</v>
      </c>
      <c r="I4349" s="6">
        <v>0</v>
      </c>
      <c r="J4349" s="6">
        <v>0</v>
      </c>
      <c r="K4349" s="6">
        <v>0</v>
      </c>
      <c r="L4349" s="6">
        <v>0</v>
      </c>
      <c r="M4349" s="6">
        <v>1</v>
      </c>
      <c r="N4349" s="6">
        <v>0</v>
      </c>
      <c r="O4349" s="6">
        <v>0</v>
      </c>
      <c r="P4349" s="6">
        <v>0</v>
      </c>
      <c r="Q4349">
        <v>1</v>
      </c>
      <c r="R4349">
        <f t="shared" si="335"/>
        <v>0</v>
      </c>
      <c r="S4349">
        <f t="shared" si="336"/>
        <v>1</v>
      </c>
      <c r="T4349">
        <f t="shared" si="337"/>
        <v>1</v>
      </c>
      <c r="U4349">
        <f t="shared" si="338"/>
        <v>1</v>
      </c>
      <c r="V4349">
        <f t="shared" si="339"/>
        <v>0</v>
      </c>
    </row>
    <row r="4350" spans="1:22" x14ac:dyDescent="0.25">
      <c r="A4350">
        <v>4347</v>
      </c>
      <c r="B4350" t="s">
        <v>30</v>
      </c>
      <c r="C4350" t="s">
        <v>1455</v>
      </c>
      <c r="D4350" s="4">
        <v>45394</v>
      </c>
      <c r="E4350" t="s">
        <v>871</v>
      </c>
      <c r="F4350" t="s">
        <v>75</v>
      </c>
      <c r="I4350" s="6">
        <v>0</v>
      </c>
      <c r="J4350" s="6">
        <v>1</v>
      </c>
      <c r="K4350" s="6">
        <v>0</v>
      </c>
      <c r="L4350" s="6">
        <v>1</v>
      </c>
      <c r="M4350" s="6">
        <v>0</v>
      </c>
      <c r="N4350" s="6">
        <v>0</v>
      </c>
      <c r="O4350" s="6">
        <v>0</v>
      </c>
      <c r="P4350" s="6">
        <v>0</v>
      </c>
      <c r="Q4350">
        <v>1</v>
      </c>
      <c r="R4350">
        <f t="shared" si="335"/>
        <v>0</v>
      </c>
      <c r="S4350">
        <f t="shared" si="336"/>
        <v>1</v>
      </c>
      <c r="T4350">
        <f t="shared" si="337"/>
        <v>2</v>
      </c>
      <c r="U4350">
        <f t="shared" si="338"/>
        <v>1</v>
      </c>
      <c r="V4350">
        <f t="shared" si="339"/>
        <v>0</v>
      </c>
    </row>
    <row r="4351" spans="1:22" x14ac:dyDescent="0.25">
      <c r="A4351">
        <v>4348</v>
      </c>
      <c r="B4351" t="s">
        <v>30</v>
      </c>
      <c r="C4351" t="s">
        <v>1455</v>
      </c>
      <c r="D4351" s="4">
        <v>45395</v>
      </c>
      <c r="E4351" t="s">
        <v>872</v>
      </c>
      <c r="F4351" t="s">
        <v>75</v>
      </c>
      <c r="I4351" s="6">
        <v>0</v>
      </c>
      <c r="J4351" s="6">
        <v>0</v>
      </c>
      <c r="K4351" s="6">
        <v>0</v>
      </c>
      <c r="L4351" s="6">
        <v>0</v>
      </c>
      <c r="M4351" s="6">
        <v>0</v>
      </c>
      <c r="N4351" s="6">
        <v>0</v>
      </c>
      <c r="O4351" s="6">
        <v>0</v>
      </c>
      <c r="P4351" s="6">
        <v>0</v>
      </c>
      <c r="Q4351">
        <v>1</v>
      </c>
      <c r="R4351">
        <f t="shared" si="335"/>
        <v>0</v>
      </c>
      <c r="S4351">
        <f t="shared" si="336"/>
        <v>1</v>
      </c>
      <c r="T4351">
        <f t="shared" si="337"/>
        <v>0</v>
      </c>
      <c r="U4351">
        <f t="shared" si="338"/>
        <v>0</v>
      </c>
      <c r="V4351">
        <f t="shared" si="339"/>
        <v>0</v>
      </c>
    </row>
    <row r="4352" spans="1:22" x14ac:dyDescent="0.25">
      <c r="A4352">
        <v>4349</v>
      </c>
      <c r="B4352" t="s">
        <v>30</v>
      </c>
      <c r="C4352" t="s">
        <v>1455</v>
      </c>
      <c r="D4352" s="4">
        <v>45395</v>
      </c>
      <c r="E4352" t="s">
        <v>873</v>
      </c>
      <c r="F4352" t="s">
        <v>75</v>
      </c>
      <c r="I4352" s="6">
        <v>0</v>
      </c>
      <c r="J4352" s="6">
        <v>0</v>
      </c>
      <c r="K4352" s="6">
        <v>0</v>
      </c>
      <c r="L4352" s="6">
        <v>0</v>
      </c>
      <c r="M4352" s="6">
        <v>1</v>
      </c>
      <c r="N4352" s="6">
        <v>0</v>
      </c>
      <c r="O4352" s="6">
        <v>0</v>
      </c>
      <c r="P4352" s="6">
        <v>0</v>
      </c>
      <c r="Q4352">
        <v>1</v>
      </c>
      <c r="R4352">
        <f t="shared" si="335"/>
        <v>0</v>
      </c>
      <c r="S4352">
        <f t="shared" si="336"/>
        <v>1</v>
      </c>
      <c r="T4352">
        <f t="shared" si="337"/>
        <v>1</v>
      </c>
      <c r="U4352">
        <f t="shared" si="338"/>
        <v>1</v>
      </c>
      <c r="V4352">
        <f t="shared" si="339"/>
        <v>0</v>
      </c>
    </row>
    <row r="4353" spans="1:22" x14ac:dyDescent="0.25">
      <c r="A4353">
        <v>4350</v>
      </c>
      <c r="B4353" t="s">
        <v>30</v>
      </c>
      <c r="C4353" t="s">
        <v>1455</v>
      </c>
      <c r="D4353" s="4">
        <v>45396</v>
      </c>
      <c r="E4353" t="s">
        <v>874</v>
      </c>
      <c r="F4353" t="s">
        <v>75</v>
      </c>
      <c r="I4353" s="6">
        <v>0</v>
      </c>
      <c r="J4353" s="6">
        <v>0</v>
      </c>
      <c r="K4353" s="6">
        <v>0</v>
      </c>
      <c r="L4353" s="6">
        <v>0</v>
      </c>
      <c r="M4353" s="6">
        <v>0</v>
      </c>
      <c r="N4353" s="6">
        <v>0</v>
      </c>
      <c r="O4353" s="6">
        <v>0</v>
      </c>
      <c r="P4353" s="6">
        <v>1</v>
      </c>
      <c r="Q4353">
        <v>1</v>
      </c>
      <c r="R4353">
        <f t="shared" si="335"/>
        <v>0</v>
      </c>
      <c r="S4353">
        <f t="shared" si="336"/>
        <v>1</v>
      </c>
      <c r="T4353">
        <f t="shared" si="337"/>
        <v>1</v>
      </c>
      <c r="U4353">
        <f t="shared" si="338"/>
        <v>1</v>
      </c>
      <c r="V4353">
        <f t="shared" si="339"/>
        <v>0</v>
      </c>
    </row>
    <row r="4354" spans="1:22" x14ac:dyDescent="0.25">
      <c r="A4354">
        <v>4351</v>
      </c>
      <c r="B4354" t="s">
        <v>30</v>
      </c>
      <c r="C4354" t="s">
        <v>1455</v>
      </c>
      <c r="D4354" s="4">
        <v>45396</v>
      </c>
      <c r="E4354" t="s">
        <v>875</v>
      </c>
      <c r="F4354" t="s">
        <v>75</v>
      </c>
      <c r="I4354" s="6"/>
      <c r="J4354" s="6"/>
      <c r="K4354" s="6"/>
      <c r="L4354" s="6"/>
      <c r="M4354" s="6"/>
      <c r="N4354" s="6"/>
      <c r="O4354" s="6"/>
      <c r="P4354" s="6"/>
      <c r="Q4354">
        <v>0</v>
      </c>
      <c r="R4354">
        <f t="shared" si="335"/>
        <v>0</v>
      </c>
      <c r="S4354">
        <f t="shared" si="336"/>
        <v>0</v>
      </c>
      <c r="T4354">
        <f t="shared" si="337"/>
        <v>0</v>
      </c>
      <c r="U4354">
        <f t="shared" si="338"/>
        <v>0</v>
      </c>
      <c r="V4354">
        <f t="shared" si="339"/>
        <v>0</v>
      </c>
    </row>
    <row r="4355" spans="1:22" x14ac:dyDescent="0.25">
      <c r="A4355">
        <v>4352</v>
      </c>
      <c r="B4355" t="s">
        <v>30</v>
      </c>
      <c r="C4355" t="s">
        <v>1455</v>
      </c>
      <c r="D4355" s="4">
        <v>45397</v>
      </c>
      <c r="E4355" t="s">
        <v>1068</v>
      </c>
      <c r="F4355" t="s">
        <v>75</v>
      </c>
      <c r="I4355" s="6">
        <v>0</v>
      </c>
      <c r="J4355" s="6">
        <v>0</v>
      </c>
      <c r="K4355" s="6">
        <v>0</v>
      </c>
      <c r="L4355" s="6">
        <v>0</v>
      </c>
      <c r="M4355" s="6">
        <v>0</v>
      </c>
      <c r="N4355" s="6">
        <v>0</v>
      </c>
      <c r="O4355" s="6">
        <v>0</v>
      </c>
      <c r="P4355" s="6">
        <v>0</v>
      </c>
      <c r="Q4355">
        <v>1</v>
      </c>
      <c r="R4355">
        <f t="shared" ref="R4355:R4418" si="340">IF(AND(Q4355=1,F4355="ai_full"),1,0)</f>
        <v>0</v>
      </c>
      <c r="S4355">
        <f t="shared" ref="S4355:S4418" si="341">IF(AND(Q4355=1,F4355="conventional"),1,0)</f>
        <v>1</v>
      </c>
      <c r="T4355">
        <f t="shared" ref="T4355:T4418" si="342">SUM(I4355:P4355)</f>
        <v>0</v>
      </c>
      <c r="U4355">
        <f t="shared" ref="U4355:U4418" si="343">IF(T4355&gt;=1,1,0)</f>
        <v>0</v>
      </c>
      <c r="V4355">
        <f t="shared" ref="V4355:V4418" si="344">IF(F4355="ai_full",1,0)</f>
        <v>0</v>
      </c>
    </row>
    <row r="4356" spans="1:22" x14ac:dyDescent="0.25">
      <c r="A4356">
        <v>4353</v>
      </c>
      <c r="B4356" t="s">
        <v>30</v>
      </c>
      <c r="C4356" t="s">
        <v>1455</v>
      </c>
      <c r="D4356" s="4">
        <v>45397</v>
      </c>
      <c r="E4356" t="s">
        <v>1069</v>
      </c>
      <c r="F4356" t="s">
        <v>75</v>
      </c>
      <c r="I4356" s="6">
        <v>0</v>
      </c>
      <c r="J4356" s="6">
        <v>0</v>
      </c>
      <c r="K4356" s="6">
        <v>0</v>
      </c>
      <c r="L4356" s="6">
        <v>0</v>
      </c>
      <c r="M4356" s="6">
        <v>1</v>
      </c>
      <c r="N4356" s="6">
        <v>0</v>
      </c>
      <c r="O4356" s="6">
        <v>0</v>
      </c>
      <c r="P4356" s="6">
        <v>0</v>
      </c>
      <c r="Q4356">
        <v>1</v>
      </c>
      <c r="R4356">
        <f t="shared" si="340"/>
        <v>0</v>
      </c>
      <c r="S4356">
        <f t="shared" si="341"/>
        <v>1</v>
      </c>
      <c r="T4356">
        <f t="shared" si="342"/>
        <v>1</v>
      </c>
      <c r="U4356">
        <f t="shared" si="343"/>
        <v>1</v>
      </c>
      <c r="V4356">
        <f t="shared" si="344"/>
        <v>0</v>
      </c>
    </row>
    <row r="4357" spans="1:22" x14ac:dyDescent="0.25">
      <c r="A4357">
        <v>4354</v>
      </c>
      <c r="B4357" t="s">
        <v>30</v>
      </c>
      <c r="C4357" t="s">
        <v>1455</v>
      </c>
      <c r="D4357" s="4">
        <v>45398</v>
      </c>
      <c r="E4357" t="s">
        <v>290</v>
      </c>
      <c r="F4357" t="s">
        <v>75</v>
      </c>
      <c r="I4357" s="6">
        <v>0</v>
      </c>
      <c r="J4357" s="6">
        <v>0</v>
      </c>
      <c r="K4357" s="6">
        <v>0</v>
      </c>
      <c r="L4357" s="6">
        <v>0</v>
      </c>
      <c r="M4357" s="6">
        <v>0</v>
      </c>
      <c r="N4357" s="6">
        <v>1</v>
      </c>
      <c r="O4357" s="6">
        <v>0</v>
      </c>
      <c r="P4357" s="6">
        <v>0</v>
      </c>
      <c r="Q4357">
        <v>1</v>
      </c>
      <c r="R4357">
        <f t="shared" si="340"/>
        <v>0</v>
      </c>
      <c r="S4357">
        <f t="shared" si="341"/>
        <v>1</v>
      </c>
      <c r="T4357">
        <f t="shared" si="342"/>
        <v>1</v>
      </c>
      <c r="U4357">
        <f t="shared" si="343"/>
        <v>1</v>
      </c>
      <c r="V4357">
        <f t="shared" si="344"/>
        <v>0</v>
      </c>
    </row>
    <row r="4358" spans="1:22" x14ac:dyDescent="0.25">
      <c r="A4358">
        <v>4355</v>
      </c>
      <c r="B4358" t="s">
        <v>30</v>
      </c>
      <c r="C4358" t="s">
        <v>1455</v>
      </c>
      <c r="D4358" s="4">
        <v>45398</v>
      </c>
      <c r="E4358" t="s">
        <v>291</v>
      </c>
      <c r="F4358" t="s">
        <v>75</v>
      </c>
      <c r="I4358" s="6"/>
      <c r="J4358" s="6"/>
      <c r="K4358" s="6"/>
      <c r="L4358" s="6"/>
      <c r="M4358" s="6"/>
      <c r="N4358" s="6"/>
      <c r="O4358" s="6"/>
      <c r="P4358" s="6"/>
      <c r="Q4358">
        <v>0</v>
      </c>
      <c r="R4358">
        <f t="shared" si="340"/>
        <v>0</v>
      </c>
      <c r="S4358">
        <f t="shared" si="341"/>
        <v>0</v>
      </c>
      <c r="T4358">
        <f t="shared" si="342"/>
        <v>0</v>
      </c>
      <c r="U4358">
        <f t="shared" si="343"/>
        <v>0</v>
      </c>
      <c r="V4358">
        <f t="shared" si="344"/>
        <v>0</v>
      </c>
    </row>
    <row r="4359" spans="1:22" x14ac:dyDescent="0.25">
      <c r="A4359">
        <v>4356</v>
      </c>
      <c r="B4359" t="s">
        <v>30</v>
      </c>
      <c r="C4359" t="s">
        <v>1455</v>
      </c>
      <c r="D4359" s="4">
        <v>45398</v>
      </c>
      <c r="E4359" t="s">
        <v>292</v>
      </c>
      <c r="F4359" t="s">
        <v>357</v>
      </c>
      <c r="I4359" s="6"/>
      <c r="J4359" s="6"/>
      <c r="K4359" s="6"/>
      <c r="L4359" s="6"/>
      <c r="M4359" s="6"/>
      <c r="N4359" s="6"/>
      <c r="O4359" s="6"/>
      <c r="P4359" s="6"/>
      <c r="Q4359">
        <v>0</v>
      </c>
      <c r="R4359">
        <f t="shared" si="340"/>
        <v>0</v>
      </c>
      <c r="S4359">
        <f t="shared" si="341"/>
        <v>0</v>
      </c>
      <c r="T4359">
        <f t="shared" si="342"/>
        <v>0</v>
      </c>
      <c r="U4359">
        <f t="shared" si="343"/>
        <v>0</v>
      </c>
      <c r="V4359">
        <f t="shared" si="344"/>
        <v>0</v>
      </c>
    </row>
    <row r="4360" spans="1:22" x14ac:dyDescent="0.25">
      <c r="A4360">
        <v>4357</v>
      </c>
      <c r="B4360" t="s">
        <v>30</v>
      </c>
      <c r="C4360" t="s">
        <v>1455</v>
      </c>
      <c r="D4360" s="4">
        <v>45399</v>
      </c>
      <c r="E4360" t="s">
        <v>294</v>
      </c>
      <c r="F4360" t="s">
        <v>75</v>
      </c>
      <c r="I4360" s="6">
        <v>1</v>
      </c>
      <c r="J4360" s="6">
        <v>0</v>
      </c>
      <c r="K4360" s="6">
        <v>0</v>
      </c>
      <c r="L4360" s="6">
        <v>0</v>
      </c>
      <c r="M4360" s="6">
        <v>0</v>
      </c>
      <c r="N4360" s="6">
        <v>0</v>
      </c>
      <c r="O4360" s="6">
        <v>0</v>
      </c>
      <c r="P4360" s="6">
        <v>0</v>
      </c>
      <c r="Q4360">
        <v>1</v>
      </c>
      <c r="R4360">
        <f t="shared" si="340"/>
        <v>0</v>
      </c>
      <c r="S4360">
        <f t="shared" si="341"/>
        <v>1</v>
      </c>
      <c r="T4360">
        <f t="shared" si="342"/>
        <v>1</v>
      </c>
      <c r="U4360">
        <f t="shared" si="343"/>
        <v>1</v>
      </c>
      <c r="V4360">
        <f t="shared" si="344"/>
        <v>0</v>
      </c>
    </row>
    <row r="4361" spans="1:22" x14ac:dyDescent="0.25">
      <c r="A4361">
        <v>4358</v>
      </c>
      <c r="B4361" t="s">
        <v>30</v>
      </c>
      <c r="C4361" t="s">
        <v>1455</v>
      </c>
      <c r="D4361" s="4">
        <v>45399</v>
      </c>
      <c r="E4361" t="s">
        <v>295</v>
      </c>
      <c r="F4361" t="s">
        <v>75</v>
      </c>
      <c r="I4361" s="6">
        <v>0</v>
      </c>
      <c r="J4361" s="6">
        <v>0</v>
      </c>
      <c r="K4361" s="6">
        <v>0</v>
      </c>
      <c r="L4361" s="6">
        <v>0</v>
      </c>
      <c r="M4361" s="6">
        <v>1</v>
      </c>
      <c r="N4361" s="6">
        <v>0</v>
      </c>
      <c r="O4361" s="6">
        <v>0</v>
      </c>
      <c r="P4361" s="6">
        <v>0</v>
      </c>
      <c r="Q4361">
        <v>1</v>
      </c>
      <c r="R4361">
        <f t="shared" si="340"/>
        <v>0</v>
      </c>
      <c r="S4361">
        <f t="shared" si="341"/>
        <v>1</v>
      </c>
      <c r="T4361">
        <f t="shared" si="342"/>
        <v>1</v>
      </c>
      <c r="U4361">
        <f t="shared" si="343"/>
        <v>1</v>
      </c>
      <c r="V4361">
        <f t="shared" si="344"/>
        <v>0</v>
      </c>
    </row>
    <row r="4362" spans="1:22" x14ac:dyDescent="0.25">
      <c r="A4362">
        <v>4359</v>
      </c>
      <c r="B4362" t="s">
        <v>30</v>
      </c>
      <c r="C4362" t="s">
        <v>1455</v>
      </c>
      <c r="D4362" s="4">
        <v>45400</v>
      </c>
      <c r="E4362" t="s">
        <v>876</v>
      </c>
      <c r="F4362" t="s">
        <v>75</v>
      </c>
      <c r="I4362" s="6">
        <v>0</v>
      </c>
      <c r="J4362" s="6">
        <v>0</v>
      </c>
      <c r="K4362" s="6">
        <v>0</v>
      </c>
      <c r="L4362" s="6">
        <v>1</v>
      </c>
      <c r="M4362" s="6">
        <v>1</v>
      </c>
      <c r="N4362" s="6">
        <v>1</v>
      </c>
      <c r="O4362" s="6">
        <v>0</v>
      </c>
      <c r="P4362" s="6">
        <v>0</v>
      </c>
      <c r="Q4362">
        <v>1</v>
      </c>
      <c r="R4362">
        <f t="shared" si="340"/>
        <v>0</v>
      </c>
      <c r="S4362">
        <f t="shared" si="341"/>
        <v>1</v>
      </c>
      <c r="T4362">
        <f t="shared" si="342"/>
        <v>3</v>
      </c>
      <c r="U4362">
        <f t="shared" si="343"/>
        <v>1</v>
      </c>
      <c r="V4362">
        <f t="shared" si="344"/>
        <v>0</v>
      </c>
    </row>
    <row r="4363" spans="1:22" x14ac:dyDescent="0.25">
      <c r="A4363">
        <v>4360</v>
      </c>
      <c r="B4363" t="s">
        <v>30</v>
      </c>
      <c r="C4363" t="s">
        <v>1455</v>
      </c>
      <c r="D4363" s="4">
        <v>45400</v>
      </c>
      <c r="E4363" t="s">
        <v>296</v>
      </c>
      <c r="F4363" t="s">
        <v>75</v>
      </c>
      <c r="I4363" s="6"/>
      <c r="J4363" s="6"/>
      <c r="K4363" s="6"/>
      <c r="L4363" s="6"/>
      <c r="M4363" s="6"/>
      <c r="N4363" s="6"/>
      <c r="O4363" s="6"/>
      <c r="P4363" s="6"/>
      <c r="Q4363">
        <v>0</v>
      </c>
      <c r="R4363">
        <f t="shared" si="340"/>
        <v>0</v>
      </c>
      <c r="S4363">
        <f t="shared" si="341"/>
        <v>0</v>
      </c>
      <c r="T4363">
        <f t="shared" si="342"/>
        <v>0</v>
      </c>
      <c r="U4363">
        <f t="shared" si="343"/>
        <v>0</v>
      </c>
      <c r="V4363">
        <f t="shared" si="344"/>
        <v>0</v>
      </c>
    </row>
    <row r="4364" spans="1:22" x14ac:dyDescent="0.25">
      <c r="A4364">
        <v>4361</v>
      </c>
      <c r="B4364" t="s">
        <v>30</v>
      </c>
      <c r="C4364" t="s">
        <v>1455</v>
      </c>
      <c r="D4364" s="4">
        <v>45400</v>
      </c>
      <c r="E4364" t="s">
        <v>297</v>
      </c>
      <c r="F4364" t="s">
        <v>75</v>
      </c>
      <c r="I4364" s="6">
        <v>0</v>
      </c>
      <c r="J4364" s="6">
        <v>0</v>
      </c>
      <c r="K4364" s="6">
        <v>0</v>
      </c>
      <c r="L4364" s="6">
        <v>0</v>
      </c>
      <c r="M4364" s="6">
        <v>0</v>
      </c>
      <c r="N4364" s="6">
        <v>0</v>
      </c>
      <c r="O4364" s="6">
        <v>0</v>
      </c>
      <c r="P4364" s="6">
        <v>0</v>
      </c>
      <c r="Q4364">
        <v>1</v>
      </c>
      <c r="R4364">
        <f t="shared" si="340"/>
        <v>0</v>
      </c>
      <c r="S4364">
        <f t="shared" si="341"/>
        <v>1</v>
      </c>
      <c r="T4364">
        <f t="shared" si="342"/>
        <v>0</v>
      </c>
      <c r="U4364">
        <f t="shared" si="343"/>
        <v>0</v>
      </c>
      <c r="V4364">
        <f t="shared" si="344"/>
        <v>0</v>
      </c>
    </row>
    <row r="4365" spans="1:22" x14ac:dyDescent="0.25">
      <c r="A4365">
        <v>4362</v>
      </c>
      <c r="B4365" t="s">
        <v>30</v>
      </c>
      <c r="C4365" t="s">
        <v>1455</v>
      </c>
      <c r="D4365" s="4">
        <v>45400</v>
      </c>
      <c r="E4365" t="s">
        <v>1070</v>
      </c>
      <c r="F4365" t="s">
        <v>75</v>
      </c>
      <c r="I4365" s="6"/>
      <c r="J4365" s="6"/>
      <c r="K4365" s="6"/>
      <c r="L4365" s="6"/>
      <c r="M4365" s="6"/>
      <c r="N4365" s="6"/>
      <c r="O4365" s="6"/>
      <c r="P4365" s="6"/>
      <c r="Q4365">
        <v>0</v>
      </c>
      <c r="R4365">
        <f t="shared" si="340"/>
        <v>0</v>
      </c>
      <c r="S4365">
        <f t="shared" si="341"/>
        <v>0</v>
      </c>
      <c r="T4365">
        <f t="shared" si="342"/>
        <v>0</v>
      </c>
      <c r="U4365">
        <f t="shared" si="343"/>
        <v>0</v>
      </c>
      <c r="V4365">
        <f t="shared" si="344"/>
        <v>0</v>
      </c>
    </row>
    <row r="4366" spans="1:22" x14ac:dyDescent="0.25">
      <c r="A4366">
        <v>4363</v>
      </c>
      <c r="B4366" t="s">
        <v>30</v>
      </c>
      <c r="C4366" t="s">
        <v>1455</v>
      </c>
      <c r="D4366" s="4">
        <v>45400</v>
      </c>
      <c r="E4366" t="s">
        <v>1550</v>
      </c>
      <c r="F4366" t="s">
        <v>75</v>
      </c>
      <c r="I4366" s="6"/>
      <c r="J4366" s="6"/>
      <c r="K4366" s="6"/>
      <c r="L4366" s="6"/>
      <c r="M4366" s="6"/>
      <c r="N4366" s="6"/>
      <c r="O4366" s="6"/>
      <c r="P4366" s="6"/>
      <c r="Q4366">
        <v>0</v>
      </c>
      <c r="R4366">
        <f t="shared" si="340"/>
        <v>0</v>
      </c>
      <c r="S4366">
        <f t="shared" si="341"/>
        <v>0</v>
      </c>
      <c r="T4366">
        <f t="shared" si="342"/>
        <v>0</v>
      </c>
      <c r="U4366">
        <f t="shared" si="343"/>
        <v>0</v>
      </c>
      <c r="V4366">
        <f t="shared" si="344"/>
        <v>0</v>
      </c>
    </row>
    <row r="4367" spans="1:22" x14ac:dyDescent="0.25">
      <c r="A4367">
        <v>4364</v>
      </c>
      <c r="B4367" t="s">
        <v>30</v>
      </c>
      <c r="C4367" t="s">
        <v>1455</v>
      </c>
      <c r="D4367" s="4">
        <v>45400</v>
      </c>
      <c r="E4367" t="s">
        <v>2153</v>
      </c>
      <c r="F4367" t="s">
        <v>75</v>
      </c>
      <c r="I4367" s="6"/>
      <c r="J4367" s="6"/>
      <c r="K4367" s="6"/>
      <c r="L4367" s="6"/>
      <c r="M4367" s="6"/>
      <c r="N4367" s="6"/>
      <c r="O4367" s="6"/>
      <c r="P4367" s="6"/>
      <c r="Q4367">
        <v>0</v>
      </c>
      <c r="R4367">
        <f t="shared" si="340"/>
        <v>0</v>
      </c>
      <c r="S4367">
        <f t="shared" si="341"/>
        <v>0</v>
      </c>
      <c r="T4367">
        <f t="shared" si="342"/>
        <v>0</v>
      </c>
      <c r="U4367">
        <f t="shared" si="343"/>
        <v>0</v>
      </c>
      <c r="V4367">
        <f t="shared" si="344"/>
        <v>0</v>
      </c>
    </row>
    <row r="4368" spans="1:22" x14ac:dyDescent="0.25">
      <c r="A4368">
        <v>4365</v>
      </c>
      <c r="B4368" t="s">
        <v>30</v>
      </c>
      <c r="C4368" t="s">
        <v>1455</v>
      </c>
      <c r="D4368" s="4">
        <v>45400</v>
      </c>
      <c r="E4368" t="s">
        <v>1478</v>
      </c>
      <c r="F4368" t="s">
        <v>75</v>
      </c>
      <c r="I4368" s="6">
        <v>0</v>
      </c>
      <c r="J4368" s="6">
        <v>0</v>
      </c>
      <c r="K4368" s="6">
        <v>0</v>
      </c>
      <c r="L4368" s="6">
        <v>0</v>
      </c>
      <c r="M4368" s="6">
        <v>0</v>
      </c>
      <c r="N4368" s="6">
        <v>0</v>
      </c>
      <c r="O4368" s="6">
        <v>0</v>
      </c>
      <c r="P4368" s="6">
        <v>0</v>
      </c>
      <c r="Q4368">
        <v>1</v>
      </c>
      <c r="R4368">
        <f t="shared" si="340"/>
        <v>0</v>
      </c>
      <c r="S4368">
        <f t="shared" si="341"/>
        <v>1</v>
      </c>
      <c r="T4368">
        <f t="shared" si="342"/>
        <v>0</v>
      </c>
      <c r="U4368">
        <f t="shared" si="343"/>
        <v>0</v>
      </c>
      <c r="V4368">
        <f t="shared" si="344"/>
        <v>0</v>
      </c>
    </row>
    <row r="4369" spans="1:22" x14ac:dyDescent="0.25">
      <c r="A4369">
        <v>4366</v>
      </c>
      <c r="B4369" t="s">
        <v>30</v>
      </c>
      <c r="C4369" t="s">
        <v>1455</v>
      </c>
      <c r="D4369" s="4">
        <v>45401</v>
      </c>
      <c r="E4369" t="s">
        <v>298</v>
      </c>
      <c r="F4369" t="s">
        <v>75</v>
      </c>
      <c r="I4369" s="6">
        <v>0</v>
      </c>
      <c r="J4369" s="6">
        <v>0</v>
      </c>
      <c r="K4369" s="6">
        <v>0</v>
      </c>
      <c r="L4369" s="6">
        <v>0</v>
      </c>
      <c r="M4369" s="6">
        <v>1</v>
      </c>
      <c r="N4369" s="6">
        <v>0</v>
      </c>
      <c r="O4369" s="6">
        <v>0</v>
      </c>
      <c r="P4369" s="6">
        <v>0</v>
      </c>
      <c r="Q4369">
        <v>1</v>
      </c>
      <c r="R4369">
        <f t="shared" si="340"/>
        <v>0</v>
      </c>
      <c r="S4369">
        <f t="shared" si="341"/>
        <v>1</v>
      </c>
      <c r="T4369">
        <f t="shared" si="342"/>
        <v>1</v>
      </c>
      <c r="U4369">
        <f t="shared" si="343"/>
        <v>1</v>
      </c>
      <c r="V4369">
        <f t="shared" si="344"/>
        <v>0</v>
      </c>
    </row>
    <row r="4370" spans="1:22" x14ac:dyDescent="0.25">
      <c r="A4370">
        <v>4367</v>
      </c>
      <c r="B4370" t="s">
        <v>30</v>
      </c>
      <c r="C4370" t="s">
        <v>1455</v>
      </c>
      <c r="D4370" s="4">
        <v>45401</v>
      </c>
      <c r="E4370" t="s">
        <v>459</v>
      </c>
      <c r="F4370" t="s">
        <v>75</v>
      </c>
      <c r="I4370" s="6">
        <v>0</v>
      </c>
      <c r="J4370" s="6">
        <v>0</v>
      </c>
      <c r="K4370" s="6">
        <v>0</v>
      </c>
      <c r="L4370" s="6">
        <v>0</v>
      </c>
      <c r="M4370" s="6">
        <v>0</v>
      </c>
      <c r="N4370" s="6">
        <v>0</v>
      </c>
      <c r="O4370" s="6">
        <v>0</v>
      </c>
      <c r="P4370" s="6">
        <v>0</v>
      </c>
      <c r="Q4370">
        <v>1</v>
      </c>
      <c r="R4370">
        <f t="shared" si="340"/>
        <v>0</v>
      </c>
      <c r="S4370">
        <f t="shared" si="341"/>
        <v>1</v>
      </c>
      <c r="T4370">
        <f t="shared" si="342"/>
        <v>0</v>
      </c>
      <c r="U4370">
        <f t="shared" si="343"/>
        <v>0</v>
      </c>
      <c r="V4370">
        <f t="shared" si="344"/>
        <v>0</v>
      </c>
    </row>
    <row r="4371" spans="1:22" x14ac:dyDescent="0.25">
      <c r="A4371">
        <v>4368</v>
      </c>
      <c r="B4371" t="s">
        <v>30</v>
      </c>
      <c r="C4371" t="s">
        <v>1455</v>
      </c>
      <c r="D4371" s="4">
        <v>45401</v>
      </c>
      <c r="E4371" t="s">
        <v>877</v>
      </c>
      <c r="F4371" t="s">
        <v>75</v>
      </c>
      <c r="I4371" s="6"/>
      <c r="J4371" s="6"/>
      <c r="K4371" s="6"/>
      <c r="L4371" s="6"/>
      <c r="M4371" s="6"/>
      <c r="N4371" s="6"/>
      <c r="O4371" s="6"/>
      <c r="P4371" s="6"/>
      <c r="Q4371">
        <v>0</v>
      </c>
      <c r="R4371">
        <f t="shared" si="340"/>
        <v>0</v>
      </c>
      <c r="S4371">
        <f t="shared" si="341"/>
        <v>0</v>
      </c>
      <c r="T4371">
        <f t="shared" si="342"/>
        <v>0</v>
      </c>
      <c r="U4371">
        <f t="shared" si="343"/>
        <v>0</v>
      </c>
      <c r="V4371">
        <f t="shared" si="344"/>
        <v>0</v>
      </c>
    </row>
    <row r="4372" spans="1:22" x14ac:dyDescent="0.25">
      <c r="A4372">
        <v>4369</v>
      </c>
      <c r="B4372" t="s">
        <v>30</v>
      </c>
      <c r="C4372" t="s">
        <v>1455</v>
      </c>
      <c r="D4372" s="4">
        <v>45401</v>
      </c>
      <c r="E4372" t="s">
        <v>1479</v>
      </c>
      <c r="F4372" t="s">
        <v>75</v>
      </c>
      <c r="I4372" s="6">
        <v>0</v>
      </c>
      <c r="J4372" s="6">
        <v>0</v>
      </c>
      <c r="K4372" s="6">
        <v>0</v>
      </c>
      <c r="L4372" s="6">
        <v>0</v>
      </c>
      <c r="M4372" s="6">
        <v>0</v>
      </c>
      <c r="N4372" s="6">
        <v>0</v>
      </c>
      <c r="O4372" s="6">
        <v>0</v>
      </c>
      <c r="P4372" s="6">
        <v>0</v>
      </c>
      <c r="Q4372">
        <v>1</v>
      </c>
      <c r="R4372">
        <f t="shared" si="340"/>
        <v>0</v>
      </c>
      <c r="S4372">
        <f t="shared" si="341"/>
        <v>1</v>
      </c>
      <c r="T4372">
        <f t="shared" si="342"/>
        <v>0</v>
      </c>
      <c r="U4372">
        <f t="shared" si="343"/>
        <v>0</v>
      </c>
      <c r="V4372">
        <f t="shared" si="344"/>
        <v>0</v>
      </c>
    </row>
    <row r="4373" spans="1:22" x14ac:dyDescent="0.25">
      <c r="A4373">
        <v>4370</v>
      </c>
      <c r="B4373" t="s">
        <v>30</v>
      </c>
      <c r="C4373" t="s">
        <v>1455</v>
      </c>
      <c r="D4373" s="4">
        <v>45401</v>
      </c>
      <c r="E4373" t="s">
        <v>1153</v>
      </c>
      <c r="F4373" t="s">
        <v>75</v>
      </c>
      <c r="I4373" s="6">
        <v>0</v>
      </c>
      <c r="J4373" s="6">
        <v>0</v>
      </c>
      <c r="K4373" s="6">
        <v>0</v>
      </c>
      <c r="L4373" s="6">
        <v>0</v>
      </c>
      <c r="M4373" s="6">
        <v>1</v>
      </c>
      <c r="N4373" s="6">
        <v>0</v>
      </c>
      <c r="O4373" s="6">
        <v>0</v>
      </c>
      <c r="P4373" s="6">
        <v>0</v>
      </c>
      <c r="Q4373">
        <v>1</v>
      </c>
      <c r="R4373">
        <f t="shared" si="340"/>
        <v>0</v>
      </c>
      <c r="S4373">
        <f t="shared" si="341"/>
        <v>1</v>
      </c>
      <c r="T4373">
        <f t="shared" si="342"/>
        <v>1</v>
      </c>
      <c r="U4373">
        <f t="shared" si="343"/>
        <v>1</v>
      </c>
      <c r="V4373">
        <f t="shared" si="344"/>
        <v>0</v>
      </c>
    </row>
    <row r="4374" spans="1:22" x14ac:dyDescent="0.25">
      <c r="A4374">
        <v>4371</v>
      </c>
      <c r="B4374" t="s">
        <v>30</v>
      </c>
      <c r="C4374" t="s">
        <v>1455</v>
      </c>
      <c r="D4374" s="4">
        <v>45404</v>
      </c>
      <c r="E4374" t="s">
        <v>301</v>
      </c>
      <c r="F4374" t="s">
        <v>75</v>
      </c>
      <c r="I4374" s="6">
        <v>0</v>
      </c>
      <c r="J4374" s="6">
        <v>0</v>
      </c>
      <c r="K4374" s="6">
        <v>0</v>
      </c>
      <c r="L4374" s="6">
        <v>0</v>
      </c>
      <c r="M4374" s="6">
        <v>1</v>
      </c>
      <c r="N4374" s="6">
        <v>1</v>
      </c>
      <c r="O4374" s="6">
        <v>0</v>
      </c>
      <c r="P4374" s="6">
        <v>0</v>
      </c>
      <c r="Q4374">
        <v>1</v>
      </c>
      <c r="R4374">
        <f t="shared" si="340"/>
        <v>0</v>
      </c>
      <c r="S4374">
        <f t="shared" si="341"/>
        <v>1</v>
      </c>
      <c r="T4374">
        <f t="shared" si="342"/>
        <v>2</v>
      </c>
      <c r="U4374">
        <f t="shared" si="343"/>
        <v>1</v>
      </c>
      <c r="V4374">
        <f t="shared" si="344"/>
        <v>0</v>
      </c>
    </row>
    <row r="4375" spans="1:22" x14ac:dyDescent="0.25">
      <c r="A4375">
        <v>4372</v>
      </c>
      <c r="B4375" t="s">
        <v>30</v>
      </c>
      <c r="C4375" t="s">
        <v>1455</v>
      </c>
      <c r="D4375" s="4">
        <v>45404</v>
      </c>
      <c r="E4375" t="s">
        <v>302</v>
      </c>
      <c r="F4375" t="s">
        <v>75</v>
      </c>
      <c r="I4375" s="6"/>
      <c r="J4375" s="6"/>
      <c r="K4375" s="6"/>
      <c r="L4375" s="6"/>
      <c r="M4375" s="6"/>
      <c r="N4375" s="6"/>
      <c r="O4375" s="6"/>
      <c r="P4375" s="6"/>
      <c r="Q4375">
        <v>0</v>
      </c>
      <c r="R4375">
        <f t="shared" si="340"/>
        <v>0</v>
      </c>
      <c r="S4375">
        <f t="shared" si="341"/>
        <v>0</v>
      </c>
      <c r="T4375">
        <f t="shared" si="342"/>
        <v>0</v>
      </c>
      <c r="U4375">
        <f t="shared" si="343"/>
        <v>0</v>
      </c>
      <c r="V4375">
        <f t="shared" si="344"/>
        <v>0</v>
      </c>
    </row>
    <row r="4376" spans="1:22" x14ac:dyDescent="0.25">
      <c r="A4376">
        <v>4373</v>
      </c>
      <c r="B4376" t="s">
        <v>30</v>
      </c>
      <c r="C4376" t="s">
        <v>1455</v>
      </c>
      <c r="D4376" s="4">
        <v>45404</v>
      </c>
      <c r="E4376" t="s">
        <v>2031</v>
      </c>
      <c r="F4376" t="s">
        <v>75</v>
      </c>
      <c r="I4376" s="6"/>
      <c r="J4376" s="6"/>
      <c r="K4376" s="6"/>
      <c r="L4376" s="6"/>
      <c r="M4376" s="6"/>
      <c r="N4376" s="6"/>
      <c r="O4376" s="6"/>
      <c r="P4376" s="6"/>
      <c r="Q4376">
        <v>0</v>
      </c>
      <c r="R4376">
        <f t="shared" si="340"/>
        <v>0</v>
      </c>
      <c r="S4376">
        <f t="shared" si="341"/>
        <v>0</v>
      </c>
      <c r="T4376">
        <f t="shared" si="342"/>
        <v>0</v>
      </c>
      <c r="U4376">
        <f t="shared" si="343"/>
        <v>0</v>
      </c>
      <c r="V4376">
        <f t="shared" si="344"/>
        <v>0</v>
      </c>
    </row>
    <row r="4377" spans="1:22" x14ac:dyDescent="0.25">
      <c r="A4377">
        <v>4374</v>
      </c>
      <c r="B4377" t="s">
        <v>30</v>
      </c>
      <c r="C4377" t="s">
        <v>1455</v>
      </c>
      <c r="D4377" s="4">
        <v>45404</v>
      </c>
      <c r="E4377" t="s">
        <v>1155</v>
      </c>
      <c r="F4377" t="s">
        <v>75</v>
      </c>
      <c r="I4377" s="6">
        <v>0</v>
      </c>
      <c r="J4377" s="6">
        <v>0</v>
      </c>
      <c r="K4377" s="6">
        <v>0</v>
      </c>
      <c r="L4377" s="6">
        <v>0</v>
      </c>
      <c r="M4377" s="6">
        <v>0</v>
      </c>
      <c r="N4377" s="6">
        <v>0</v>
      </c>
      <c r="O4377" s="6">
        <v>0</v>
      </c>
      <c r="P4377" s="6">
        <v>0</v>
      </c>
      <c r="Q4377">
        <v>1</v>
      </c>
      <c r="R4377">
        <f t="shared" si="340"/>
        <v>0</v>
      </c>
      <c r="S4377">
        <f t="shared" si="341"/>
        <v>1</v>
      </c>
      <c r="T4377">
        <f t="shared" si="342"/>
        <v>0</v>
      </c>
      <c r="U4377">
        <f t="shared" si="343"/>
        <v>0</v>
      </c>
      <c r="V4377">
        <f t="shared" si="344"/>
        <v>0</v>
      </c>
    </row>
    <row r="4378" spans="1:22" x14ac:dyDescent="0.25">
      <c r="A4378">
        <v>4375</v>
      </c>
      <c r="B4378" t="s">
        <v>30</v>
      </c>
      <c r="C4378" t="s">
        <v>1455</v>
      </c>
      <c r="D4378" s="4">
        <v>45404</v>
      </c>
      <c r="E4378" t="s">
        <v>1156</v>
      </c>
      <c r="F4378" t="s">
        <v>75</v>
      </c>
      <c r="I4378" s="6">
        <v>0</v>
      </c>
      <c r="J4378" s="6">
        <v>0</v>
      </c>
      <c r="K4378" s="6">
        <v>1</v>
      </c>
      <c r="L4378" s="6">
        <v>0</v>
      </c>
      <c r="M4378" s="6">
        <v>0</v>
      </c>
      <c r="N4378" s="6">
        <v>0</v>
      </c>
      <c r="O4378" s="6">
        <v>0</v>
      </c>
      <c r="P4378" s="6">
        <v>0</v>
      </c>
      <c r="Q4378">
        <v>1</v>
      </c>
      <c r="R4378">
        <f t="shared" si="340"/>
        <v>0</v>
      </c>
      <c r="S4378">
        <f t="shared" si="341"/>
        <v>1</v>
      </c>
      <c r="T4378">
        <f t="shared" si="342"/>
        <v>1</v>
      </c>
      <c r="U4378">
        <f t="shared" si="343"/>
        <v>1</v>
      </c>
      <c r="V4378">
        <f t="shared" si="344"/>
        <v>0</v>
      </c>
    </row>
    <row r="4379" spans="1:22" x14ac:dyDescent="0.25">
      <c r="A4379">
        <v>4376</v>
      </c>
      <c r="B4379" t="s">
        <v>30</v>
      </c>
      <c r="C4379" t="s">
        <v>1455</v>
      </c>
      <c r="D4379" s="4">
        <v>45405</v>
      </c>
      <c r="E4379" t="s">
        <v>463</v>
      </c>
      <c r="F4379" t="s">
        <v>75</v>
      </c>
      <c r="I4379" s="6"/>
      <c r="J4379" s="6"/>
      <c r="K4379" s="6"/>
      <c r="L4379" s="6"/>
      <c r="M4379" s="6"/>
      <c r="N4379" s="6"/>
      <c r="O4379" s="6"/>
      <c r="P4379" s="6"/>
      <c r="Q4379">
        <v>0</v>
      </c>
      <c r="R4379">
        <f t="shared" si="340"/>
        <v>0</v>
      </c>
      <c r="S4379">
        <f t="shared" si="341"/>
        <v>0</v>
      </c>
      <c r="T4379">
        <f t="shared" si="342"/>
        <v>0</v>
      </c>
      <c r="U4379">
        <f t="shared" si="343"/>
        <v>0</v>
      </c>
      <c r="V4379">
        <f t="shared" si="344"/>
        <v>0</v>
      </c>
    </row>
    <row r="4380" spans="1:22" x14ac:dyDescent="0.25">
      <c r="A4380">
        <v>4377</v>
      </c>
      <c r="B4380" t="s">
        <v>30</v>
      </c>
      <c r="C4380" t="s">
        <v>1455</v>
      </c>
      <c r="D4380" s="4">
        <v>45406</v>
      </c>
      <c r="E4380" t="s">
        <v>977</v>
      </c>
      <c r="F4380" t="s">
        <v>75</v>
      </c>
      <c r="I4380" s="6">
        <v>0</v>
      </c>
      <c r="J4380" s="6">
        <v>0</v>
      </c>
      <c r="K4380" s="6">
        <v>0</v>
      </c>
      <c r="L4380" s="6">
        <v>0</v>
      </c>
      <c r="M4380" s="6">
        <v>0</v>
      </c>
      <c r="N4380" s="6">
        <v>0</v>
      </c>
      <c r="O4380" s="6">
        <v>0</v>
      </c>
      <c r="P4380" s="6">
        <v>0</v>
      </c>
      <c r="Q4380">
        <v>1</v>
      </c>
      <c r="R4380">
        <f t="shared" si="340"/>
        <v>0</v>
      </c>
      <c r="S4380">
        <f t="shared" si="341"/>
        <v>1</v>
      </c>
      <c r="T4380">
        <f t="shared" si="342"/>
        <v>0</v>
      </c>
      <c r="U4380">
        <f t="shared" si="343"/>
        <v>0</v>
      </c>
      <c r="V4380">
        <f t="shared" si="344"/>
        <v>0</v>
      </c>
    </row>
    <row r="4381" spans="1:22" x14ac:dyDescent="0.25">
      <c r="A4381">
        <v>4378</v>
      </c>
      <c r="B4381" t="s">
        <v>30</v>
      </c>
      <c r="C4381" t="s">
        <v>1455</v>
      </c>
      <c r="D4381" s="4">
        <v>45406</v>
      </c>
      <c r="E4381" t="s">
        <v>979</v>
      </c>
      <c r="F4381" t="s">
        <v>75</v>
      </c>
      <c r="I4381" s="6">
        <v>0</v>
      </c>
      <c r="J4381" s="6">
        <v>0</v>
      </c>
      <c r="K4381" s="6">
        <v>0</v>
      </c>
      <c r="L4381" s="6">
        <v>0</v>
      </c>
      <c r="M4381" s="6">
        <v>0</v>
      </c>
      <c r="N4381" s="6">
        <v>1</v>
      </c>
      <c r="O4381" s="6">
        <v>0</v>
      </c>
      <c r="P4381" s="6">
        <v>0</v>
      </c>
      <c r="Q4381">
        <v>1</v>
      </c>
      <c r="R4381">
        <f t="shared" si="340"/>
        <v>0</v>
      </c>
      <c r="S4381">
        <f t="shared" si="341"/>
        <v>1</v>
      </c>
      <c r="T4381">
        <f t="shared" si="342"/>
        <v>1</v>
      </c>
      <c r="U4381">
        <f t="shared" si="343"/>
        <v>1</v>
      </c>
      <c r="V4381">
        <f t="shared" si="344"/>
        <v>0</v>
      </c>
    </row>
    <row r="4382" spans="1:22" x14ac:dyDescent="0.25">
      <c r="A4382">
        <v>4379</v>
      </c>
      <c r="B4382" t="s">
        <v>30</v>
      </c>
      <c r="C4382" t="s">
        <v>1455</v>
      </c>
      <c r="D4382" s="4">
        <v>45407</v>
      </c>
      <c r="E4382" t="s">
        <v>304</v>
      </c>
      <c r="F4382" t="s">
        <v>75</v>
      </c>
      <c r="I4382" s="6">
        <v>0</v>
      </c>
      <c r="J4382" s="6">
        <v>0</v>
      </c>
      <c r="K4382" s="6">
        <v>0</v>
      </c>
      <c r="L4382" s="6">
        <v>1</v>
      </c>
      <c r="M4382" s="6">
        <v>0</v>
      </c>
      <c r="N4382" s="6">
        <v>0</v>
      </c>
      <c r="O4382" s="6">
        <v>0</v>
      </c>
      <c r="P4382" s="6">
        <v>0</v>
      </c>
      <c r="Q4382">
        <v>1</v>
      </c>
      <c r="R4382">
        <f t="shared" si="340"/>
        <v>0</v>
      </c>
      <c r="S4382">
        <f t="shared" si="341"/>
        <v>1</v>
      </c>
      <c r="T4382">
        <f t="shared" si="342"/>
        <v>1</v>
      </c>
      <c r="U4382">
        <f t="shared" si="343"/>
        <v>1</v>
      </c>
      <c r="V4382">
        <f t="shared" si="344"/>
        <v>0</v>
      </c>
    </row>
    <row r="4383" spans="1:22" x14ac:dyDescent="0.25">
      <c r="A4383">
        <v>4380</v>
      </c>
      <c r="B4383" t="s">
        <v>30</v>
      </c>
      <c r="C4383" t="s">
        <v>1455</v>
      </c>
      <c r="D4383" s="4">
        <v>45407</v>
      </c>
      <c r="E4383" t="s">
        <v>464</v>
      </c>
      <c r="F4383" t="s">
        <v>75</v>
      </c>
      <c r="I4383" s="6"/>
      <c r="J4383" s="6"/>
      <c r="K4383" s="6"/>
      <c r="L4383" s="6"/>
      <c r="M4383" s="6"/>
      <c r="N4383" s="6"/>
      <c r="O4383" s="6"/>
      <c r="P4383" s="6"/>
      <c r="Q4383">
        <v>0</v>
      </c>
      <c r="R4383">
        <f t="shared" si="340"/>
        <v>0</v>
      </c>
      <c r="S4383">
        <f t="shared" si="341"/>
        <v>0</v>
      </c>
      <c r="T4383">
        <f t="shared" si="342"/>
        <v>0</v>
      </c>
      <c r="U4383">
        <f t="shared" si="343"/>
        <v>0</v>
      </c>
      <c r="V4383">
        <f t="shared" si="344"/>
        <v>0</v>
      </c>
    </row>
    <row r="4384" spans="1:22" x14ac:dyDescent="0.25">
      <c r="A4384">
        <v>4381</v>
      </c>
      <c r="B4384" t="s">
        <v>30</v>
      </c>
      <c r="C4384" t="s">
        <v>1455</v>
      </c>
      <c r="D4384" s="4">
        <v>45407</v>
      </c>
      <c r="E4384" t="s">
        <v>1812</v>
      </c>
      <c r="F4384" t="s">
        <v>75</v>
      </c>
      <c r="I4384" s="6">
        <v>0</v>
      </c>
      <c r="J4384" s="6">
        <v>0</v>
      </c>
      <c r="K4384" s="6">
        <v>0</v>
      </c>
      <c r="L4384" s="6">
        <v>0</v>
      </c>
      <c r="M4384" s="6">
        <v>0</v>
      </c>
      <c r="N4384" s="6">
        <v>0</v>
      </c>
      <c r="O4384" s="6">
        <v>0</v>
      </c>
      <c r="P4384" s="6">
        <v>1</v>
      </c>
      <c r="Q4384">
        <v>1</v>
      </c>
      <c r="R4384">
        <f t="shared" si="340"/>
        <v>0</v>
      </c>
      <c r="S4384">
        <f t="shared" si="341"/>
        <v>1</v>
      </c>
      <c r="T4384">
        <f t="shared" si="342"/>
        <v>1</v>
      </c>
      <c r="U4384">
        <f t="shared" si="343"/>
        <v>1</v>
      </c>
      <c r="V4384">
        <f t="shared" si="344"/>
        <v>0</v>
      </c>
    </row>
    <row r="4385" spans="1:22" x14ac:dyDescent="0.25">
      <c r="A4385">
        <v>4382</v>
      </c>
      <c r="B4385" t="s">
        <v>30</v>
      </c>
      <c r="C4385" t="s">
        <v>1455</v>
      </c>
      <c r="D4385" s="4">
        <v>45407</v>
      </c>
      <c r="E4385" t="s">
        <v>1553</v>
      </c>
      <c r="F4385" t="s">
        <v>75</v>
      </c>
      <c r="I4385" s="6"/>
      <c r="J4385" s="6"/>
      <c r="K4385" s="6"/>
      <c r="L4385" s="6"/>
      <c r="M4385" s="6"/>
      <c r="N4385" s="6"/>
      <c r="O4385" s="6"/>
      <c r="P4385" s="6"/>
      <c r="Q4385">
        <v>0</v>
      </c>
      <c r="R4385">
        <f t="shared" si="340"/>
        <v>0</v>
      </c>
      <c r="S4385">
        <f t="shared" si="341"/>
        <v>0</v>
      </c>
      <c r="T4385">
        <f t="shared" si="342"/>
        <v>0</v>
      </c>
      <c r="U4385">
        <f t="shared" si="343"/>
        <v>0</v>
      </c>
      <c r="V4385">
        <f t="shared" si="344"/>
        <v>0</v>
      </c>
    </row>
    <row r="4386" spans="1:22" x14ac:dyDescent="0.25">
      <c r="A4386">
        <v>4383</v>
      </c>
      <c r="B4386" t="s">
        <v>30</v>
      </c>
      <c r="C4386" t="s">
        <v>1455</v>
      </c>
      <c r="D4386" s="4">
        <v>45407</v>
      </c>
      <c r="E4386" t="s">
        <v>2148</v>
      </c>
      <c r="F4386" t="s">
        <v>75</v>
      </c>
      <c r="I4386" s="6"/>
      <c r="J4386" s="6"/>
      <c r="K4386" s="6"/>
      <c r="L4386" s="6"/>
      <c r="M4386" s="6"/>
      <c r="N4386" s="6"/>
      <c r="O4386" s="6"/>
      <c r="P4386" s="6"/>
      <c r="Q4386">
        <v>0</v>
      </c>
      <c r="R4386">
        <f t="shared" si="340"/>
        <v>0</v>
      </c>
      <c r="S4386">
        <f t="shared" si="341"/>
        <v>0</v>
      </c>
      <c r="T4386">
        <f t="shared" si="342"/>
        <v>0</v>
      </c>
      <c r="U4386">
        <f t="shared" si="343"/>
        <v>0</v>
      </c>
      <c r="V4386">
        <f t="shared" si="344"/>
        <v>0</v>
      </c>
    </row>
    <row r="4387" spans="1:22" x14ac:dyDescent="0.25">
      <c r="A4387">
        <v>4384</v>
      </c>
      <c r="B4387" t="s">
        <v>30</v>
      </c>
      <c r="C4387" t="s">
        <v>1455</v>
      </c>
      <c r="D4387" s="4">
        <v>45407</v>
      </c>
      <c r="E4387" t="s">
        <v>2147</v>
      </c>
      <c r="F4387" t="s">
        <v>75</v>
      </c>
      <c r="I4387" s="6">
        <v>0</v>
      </c>
      <c r="J4387" s="6">
        <v>0</v>
      </c>
      <c r="K4387" s="6">
        <v>0</v>
      </c>
      <c r="L4387" s="6">
        <v>1</v>
      </c>
      <c r="M4387" s="6">
        <v>0</v>
      </c>
      <c r="N4387" s="6">
        <v>0</v>
      </c>
      <c r="O4387" s="6">
        <v>0</v>
      </c>
      <c r="P4387" s="6">
        <v>0</v>
      </c>
      <c r="Q4387">
        <v>1</v>
      </c>
      <c r="R4387">
        <f t="shared" si="340"/>
        <v>0</v>
      </c>
      <c r="S4387">
        <f t="shared" si="341"/>
        <v>1</v>
      </c>
      <c r="T4387">
        <f t="shared" si="342"/>
        <v>1</v>
      </c>
      <c r="U4387">
        <f t="shared" si="343"/>
        <v>1</v>
      </c>
      <c r="V4387">
        <f t="shared" si="344"/>
        <v>0</v>
      </c>
    </row>
    <row r="4388" spans="1:22" x14ac:dyDescent="0.25">
      <c r="A4388">
        <v>4385</v>
      </c>
      <c r="B4388" t="s">
        <v>30</v>
      </c>
      <c r="C4388" t="s">
        <v>1455</v>
      </c>
      <c r="D4388" s="4">
        <v>45408</v>
      </c>
      <c r="E4388" t="s">
        <v>305</v>
      </c>
      <c r="F4388" t="s">
        <v>75</v>
      </c>
      <c r="I4388" s="6"/>
      <c r="J4388" s="6"/>
      <c r="K4388" s="6"/>
      <c r="L4388" s="6"/>
      <c r="M4388" s="6"/>
      <c r="N4388" s="6"/>
      <c r="O4388" s="6"/>
      <c r="P4388" s="6"/>
      <c r="Q4388">
        <v>0</v>
      </c>
      <c r="R4388">
        <f t="shared" si="340"/>
        <v>0</v>
      </c>
      <c r="S4388">
        <f t="shared" si="341"/>
        <v>0</v>
      </c>
      <c r="T4388">
        <f t="shared" si="342"/>
        <v>0</v>
      </c>
      <c r="U4388">
        <f t="shared" si="343"/>
        <v>0</v>
      </c>
      <c r="V4388">
        <f t="shared" si="344"/>
        <v>0</v>
      </c>
    </row>
    <row r="4389" spans="1:22" x14ac:dyDescent="0.25">
      <c r="A4389">
        <v>4386</v>
      </c>
      <c r="B4389" t="s">
        <v>30</v>
      </c>
      <c r="C4389" t="s">
        <v>1455</v>
      </c>
      <c r="D4389" s="4">
        <v>45408</v>
      </c>
      <c r="E4389" t="s">
        <v>306</v>
      </c>
      <c r="F4389" t="s">
        <v>75</v>
      </c>
      <c r="I4389" s="6">
        <v>0</v>
      </c>
      <c r="J4389" s="6">
        <v>0</v>
      </c>
      <c r="K4389" s="6">
        <v>0</v>
      </c>
      <c r="L4389" s="6">
        <v>0</v>
      </c>
      <c r="M4389" s="6">
        <v>1</v>
      </c>
      <c r="N4389" s="6">
        <v>0</v>
      </c>
      <c r="O4389" s="6">
        <v>0</v>
      </c>
      <c r="P4389" s="6">
        <v>0</v>
      </c>
      <c r="Q4389">
        <v>1</v>
      </c>
      <c r="R4389">
        <f t="shared" si="340"/>
        <v>0</v>
      </c>
      <c r="S4389">
        <f t="shared" si="341"/>
        <v>1</v>
      </c>
      <c r="T4389">
        <f t="shared" si="342"/>
        <v>1</v>
      </c>
      <c r="U4389">
        <f t="shared" si="343"/>
        <v>1</v>
      </c>
      <c r="V4389">
        <f t="shared" si="344"/>
        <v>0</v>
      </c>
    </row>
    <row r="4390" spans="1:22" x14ac:dyDescent="0.25">
      <c r="A4390">
        <v>4387</v>
      </c>
      <c r="B4390" t="s">
        <v>30</v>
      </c>
      <c r="C4390" t="s">
        <v>1455</v>
      </c>
      <c r="D4390" s="4">
        <v>45408</v>
      </c>
      <c r="E4390" t="s">
        <v>307</v>
      </c>
      <c r="F4390" t="s">
        <v>75</v>
      </c>
      <c r="I4390" s="6"/>
      <c r="J4390" s="6"/>
      <c r="K4390" s="6"/>
      <c r="L4390" s="6"/>
      <c r="M4390" s="6"/>
      <c r="N4390" s="6"/>
      <c r="O4390" s="6"/>
      <c r="P4390" s="6"/>
      <c r="Q4390">
        <v>0</v>
      </c>
      <c r="R4390">
        <f t="shared" si="340"/>
        <v>0</v>
      </c>
      <c r="S4390">
        <f t="shared" si="341"/>
        <v>0</v>
      </c>
      <c r="T4390">
        <f t="shared" si="342"/>
        <v>0</v>
      </c>
      <c r="U4390">
        <f t="shared" si="343"/>
        <v>0</v>
      </c>
      <c r="V4390">
        <f t="shared" si="344"/>
        <v>0</v>
      </c>
    </row>
    <row r="4391" spans="1:22" x14ac:dyDescent="0.25">
      <c r="A4391">
        <v>4388</v>
      </c>
      <c r="B4391" t="s">
        <v>30</v>
      </c>
      <c r="C4391" t="s">
        <v>1455</v>
      </c>
      <c r="D4391" s="4">
        <v>45408</v>
      </c>
      <c r="E4391" t="s">
        <v>2028</v>
      </c>
      <c r="F4391" t="s">
        <v>75</v>
      </c>
      <c r="I4391" s="6"/>
      <c r="J4391" s="6"/>
      <c r="K4391" s="6"/>
      <c r="L4391" s="6"/>
      <c r="M4391" s="6"/>
      <c r="N4391" s="6"/>
      <c r="O4391" s="6"/>
      <c r="P4391" s="6"/>
      <c r="Q4391">
        <v>0</v>
      </c>
      <c r="R4391">
        <f t="shared" si="340"/>
        <v>0</v>
      </c>
      <c r="S4391">
        <f t="shared" si="341"/>
        <v>0</v>
      </c>
      <c r="T4391">
        <f t="shared" si="342"/>
        <v>0</v>
      </c>
      <c r="U4391">
        <f t="shared" si="343"/>
        <v>0</v>
      </c>
      <c r="V4391">
        <f t="shared" si="344"/>
        <v>0</v>
      </c>
    </row>
    <row r="4392" spans="1:22" x14ac:dyDescent="0.25">
      <c r="A4392">
        <v>4389</v>
      </c>
      <c r="B4392" t="s">
        <v>30</v>
      </c>
      <c r="C4392" t="s">
        <v>1455</v>
      </c>
      <c r="D4392" s="4">
        <v>45409</v>
      </c>
      <c r="E4392" t="s">
        <v>1480</v>
      </c>
      <c r="F4392" t="s">
        <v>75</v>
      </c>
      <c r="I4392" s="6">
        <v>0</v>
      </c>
      <c r="J4392" s="6">
        <v>0</v>
      </c>
      <c r="K4392" s="6">
        <v>0</v>
      </c>
      <c r="L4392" s="6">
        <v>0</v>
      </c>
      <c r="M4392" s="6">
        <v>0</v>
      </c>
      <c r="N4392" s="6">
        <v>0</v>
      </c>
      <c r="O4392" s="6">
        <v>0</v>
      </c>
      <c r="P4392" s="6">
        <v>0</v>
      </c>
      <c r="Q4392">
        <v>1</v>
      </c>
      <c r="R4392">
        <f t="shared" si="340"/>
        <v>0</v>
      </c>
      <c r="S4392">
        <f t="shared" si="341"/>
        <v>1</v>
      </c>
      <c r="T4392">
        <f t="shared" si="342"/>
        <v>0</v>
      </c>
      <c r="U4392">
        <f t="shared" si="343"/>
        <v>0</v>
      </c>
      <c r="V4392">
        <f t="shared" si="344"/>
        <v>0</v>
      </c>
    </row>
    <row r="4393" spans="1:22" x14ac:dyDescent="0.25">
      <c r="A4393">
        <v>4390</v>
      </c>
      <c r="B4393" t="s">
        <v>30</v>
      </c>
      <c r="C4393" t="s">
        <v>1455</v>
      </c>
      <c r="D4393" s="4">
        <v>45409</v>
      </c>
      <c r="E4393" t="s">
        <v>309</v>
      </c>
      <c r="F4393" t="s">
        <v>75</v>
      </c>
      <c r="I4393" s="6">
        <v>0</v>
      </c>
      <c r="J4393" s="6">
        <v>0</v>
      </c>
      <c r="K4393" s="6">
        <v>0</v>
      </c>
      <c r="L4393" s="6">
        <v>0</v>
      </c>
      <c r="M4393" s="6">
        <v>0</v>
      </c>
      <c r="N4393" s="6">
        <v>0</v>
      </c>
      <c r="O4393" s="6">
        <v>0</v>
      </c>
      <c r="P4393" s="6">
        <v>0</v>
      </c>
      <c r="Q4393">
        <v>1</v>
      </c>
      <c r="R4393">
        <f t="shared" si="340"/>
        <v>0</v>
      </c>
      <c r="S4393">
        <f t="shared" si="341"/>
        <v>1</v>
      </c>
      <c r="T4393">
        <f t="shared" si="342"/>
        <v>0</v>
      </c>
      <c r="U4393">
        <f t="shared" si="343"/>
        <v>0</v>
      </c>
      <c r="V4393">
        <f t="shared" si="344"/>
        <v>0</v>
      </c>
    </row>
    <row r="4394" spans="1:22" x14ac:dyDescent="0.25">
      <c r="A4394">
        <v>4391</v>
      </c>
      <c r="B4394" t="s">
        <v>30</v>
      </c>
      <c r="C4394" t="s">
        <v>1455</v>
      </c>
      <c r="D4394" s="4">
        <v>45410</v>
      </c>
      <c r="E4394" t="s">
        <v>465</v>
      </c>
      <c r="F4394" t="s">
        <v>75</v>
      </c>
      <c r="I4394" s="6">
        <v>0</v>
      </c>
      <c r="J4394" s="6">
        <v>0</v>
      </c>
      <c r="K4394" s="6">
        <v>0</v>
      </c>
      <c r="L4394" s="6">
        <v>0</v>
      </c>
      <c r="M4394" s="6">
        <v>0</v>
      </c>
      <c r="N4394" s="6">
        <v>0</v>
      </c>
      <c r="O4394" s="6">
        <v>0</v>
      </c>
      <c r="P4394" s="6">
        <v>0</v>
      </c>
      <c r="Q4394">
        <v>1</v>
      </c>
      <c r="R4394">
        <f t="shared" si="340"/>
        <v>0</v>
      </c>
      <c r="S4394">
        <f t="shared" si="341"/>
        <v>1</v>
      </c>
      <c r="T4394">
        <f t="shared" si="342"/>
        <v>0</v>
      </c>
      <c r="U4394">
        <f t="shared" si="343"/>
        <v>0</v>
      </c>
      <c r="V4394">
        <f t="shared" si="344"/>
        <v>0</v>
      </c>
    </row>
    <row r="4395" spans="1:22" x14ac:dyDescent="0.25">
      <c r="A4395">
        <v>4392</v>
      </c>
      <c r="B4395" t="s">
        <v>30</v>
      </c>
      <c r="C4395" t="s">
        <v>1455</v>
      </c>
      <c r="D4395" s="4">
        <v>45410</v>
      </c>
      <c r="E4395" t="s">
        <v>466</v>
      </c>
      <c r="F4395" t="s">
        <v>75</v>
      </c>
      <c r="I4395" s="6"/>
      <c r="J4395" s="6"/>
      <c r="K4395" s="6"/>
      <c r="L4395" s="6"/>
      <c r="M4395" s="6"/>
      <c r="N4395" s="6"/>
      <c r="O4395" s="6"/>
      <c r="P4395" s="6"/>
      <c r="Q4395">
        <v>0</v>
      </c>
      <c r="R4395">
        <f t="shared" si="340"/>
        <v>0</v>
      </c>
      <c r="S4395">
        <f t="shared" si="341"/>
        <v>0</v>
      </c>
      <c r="T4395">
        <f t="shared" si="342"/>
        <v>0</v>
      </c>
      <c r="U4395">
        <f t="shared" si="343"/>
        <v>0</v>
      </c>
      <c r="V4395">
        <f t="shared" si="344"/>
        <v>0</v>
      </c>
    </row>
    <row r="4396" spans="1:22" x14ac:dyDescent="0.25">
      <c r="A4396">
        <v>4393</v>
      </c>
      <c r="B4396" t="s">
        <v>30</v>
      </c>
      <c r="C4396" t="s">
        <v>1455</v>
      </c>
      <c r="D4396" s="4">
        <v>45411</v>
      </c>
      <c r="E4396" t="s">
        <v>1386</v>
      </c>
      <c r="F4396" t="s">
        <v>75</v>
      </c>
      <c r="I4396" s="6">
        <v>0</v>
      </c>
      <c r="J4396" s="6">
        <v>0</v>
      </c>
      <c r="K4396" s="6">
        <v>0</v>
      </c>
      <c r="L4396" s="6">
        <v>0</v>
      </c>
      <c r="M4396" s="6">
        <v>0</v>
      </c>
      <c r="N4396" s="6">
        <v>0</v>
      </c>
      <c r="O4396" s="6">
        <v>0</v>
      </c>
      <c r="P4396" s="6">
        <v>0</v>
      </c>
      <c r="Q4396">
        <v>1</v>
      </c>
      <c r="R4396">
        <f t="shared" si="340"/>
        <v>0</v>
      </c>
      <c r="S4396">
        <f t="shared" si="341"/>
        <v>1</v>
      </c>
      <c r="T4396">
        <f t="shared" si="342"/>
        <v>0</v>
      </c>
      <c r="U4396">
        <f t="shared" si="343"/>
        <v>0</v>
      </c>
      <c r="V4396">
        <f t="shared" si="344"/>
        <v>0</v>
      </c>
    </row>
    <row r="4397" spans="1:22" x14ac:dyDescent="0.25">
      <c r="A4397">
        <v>4394</v>
      </c>
      <c r="B4397" t="s">
        <v>30</v>
      </c>
      <c r="C4397" t="s">
        <v>1455</v>
      </c>
      <c r="D4397" s="4">
        <v>45411</v>
      </c>
      <c r="E4397" t="s">
        <v>1075</v>
      </c>
      <c r="F4397" t="s">
        <v>75</v>
      </c>
      <c r="I4397" s="6">
        <v>0</v>
      </c>
      <c r="J4397" s="6">
        <v>0</v>
      </c>
      <c r="K4397" s="6">
        <v>0</v>
      </c>
      <c r="L4397" s="6">
        <v>0</v>
      </c>
      <c r="M4397" s="6">
        <v>0</v>
      </c>
      <c r="N4397" s="6">
        <v>0</v>
      </c>
      <c r="O4397" s="6">
        <v>0</v>
      </c>
      <c r="P4397" s="6">
        <v>0</v>
      </c>
      <c r="Q4397">
        <v>1</v>
      </c>
      <c r="R4397">
        <f t="shared" si="340"/>
        <v>0</v>
      </c>
      <c r="S4397">
        <f t="shared" si="341"/>
        <v>1</v>
      </c>
      <c r="T4397">
        <f t="shared" si="342"/>
        <v>0</v>
      </c>
      <c r="U4397">
        <f t="shared" si="343"/>
        <v>0</v>
      </c>
      <c r="V4397">
        <f t="shared" si="344"/>
        <v>0</v>
      </c>
    </row>
    <row r="4398" spans="1:22" x14ac:dyDescent="0.25">
      <c r="A4398">
        <v>4395</v>
      </c>
      <c r="B4398" t="s">
        <v>30</v>
      </c>
      <c r="C4398" t="s">
        <v>1455</v>
      </c>
      <c r="D4398" s="4">
        <v>45411</v>
      </c>
      <c r="E4398" t="s">
        <v>1076</v>
      </c>
      <c r="F4398" t="s">
        <v>75</v>
      </c>
      <c r="I4398" s="6"/>
      <c r="J4398" s="6"/>
      <c r="K4398" s="6"/>
      <c r="L4398" s="6"/>
      <c r="M4398" s="6"/>
      <c r="N4398" s="6"/>
      <c r="O4398" s="6"/>
      <c r="P4398" s="6"/>
      <c r="Q4398">
        <v>0</v>
      </c>
      <c r="R4398">
        <f t="shared" si="340"/>
        <v>0</v>
      </c>
      <c r="S4398">
        <f t="shared" si="341"/>
        <v>0</v>
      </c>
      <c r="T4398">
        <f t="shared" si="342"/>
        <v>0</v>
      </c>
      <c r="U4398">
        <f t="shared" si="343"/>
        <v>0</v>
      </c>
      <c r="V4398">
        <f t="shared" si="344"/>
        <v>0</v>
      </c>
    </row>
    <row r="4399" spans="1:22" x14ac:dyDescent="0.25">
      <c r="A4399">
        <v>4396</v>
      </c>
      <c r="B4399" t="s">
        <v>30</v>
      </c>
      <c r="C4399" t="s">
        <v>1455</v>
      </c>
      <c r="D4399" s="4">
        <v>45411</v>
      </c>
      <c r="E4399" t="s">
        <v>1158</v>
      </c>
      <c r="F4399" t="s">
        <v>75</v>
      </c>
      <c r="I4399" s="6">
        <v>1</v>
      </c>
      <c r="J4399" s="6">
        <v>0</v>
      </c>
      <c r="K4399" s="6">
        <v>0</v>
      </c>
      <c r="L4399" s="6">
        <v>1</v>
      </c>
      <c r="M4399" s="6">
        <v>0</v>
      </c>
      <c r="N4399" s="6">
        <v>0</v>
      </c>
      <c r="O4399" s="6">
        <v>0</v>
      </c>
      <c r="P4399" s="6">
        <v>1</v>
      </c>
      <c r="Q4399">
        <v>1</v>
      </c>
      <c r="R4399">
        <f t="shared" si="340"/>
        <v>0</v>
      </c>
      <c r="S4399">
        <f t="shared" si="341"/>
        <v>1</v>
      </c>
      <c r="T4399">
        <f t="shared" si="342"/>
        <v>3</v>
      </c>
      <c r="U4399">
        <f t="shared" si="343"/>
        <v>1</v>
      </c>
      <c r="V4399">
        <f t="shared" si="344"/>
        <v>0</v>
      </c>
    </row>
    <row r="4400" spans="1:22" x14ac:dyDescent="0.25">
      <c r="A4400">
        <v>4397</v>
      </c>
      <c r="B4400" t="s">
        <v>30</v>
      </c>
      <c r="C4400" t="s">
        <v>1455</v>
      </c>
      <c r="D4400" s="4">
        <v>45411</v>
      </c>
      <c r="E4400" t="s">
        <v>1077</v>
      </c>
      <c r="F4400" t="s">
        <v>75</v>
      </c>
      <c r="I4400" s="6">
        <v>0</v>
      </c>
      <c r="J4400" s="6">
        <v>0</v>
      </c>
      <c r="K4400" s="6">
        <v>0</v>
      </c>
      <c r="L4400" s="6">
        <v>0</v>
      </c>
      <c r="M4400" s="6">
        <v>0</v>
      </c>
      <c r="N4400" s="6">
        <v>0</v>
      </c>
      <c r="O4400" s="6">
        <v>0</v>
      </c>
      <c r="P4400" s="6">
        <v>0</v>
      </c>
      <c r="Q4400">
        <v>1</v>
      </c>
      <c r="R4400">
        <f t="shared" si="340"/>
        <v>0</v>
      </c>
      <c r="S4400">
        <f t="shared" si="341"/>
        <v>1</v>
      </c>
      <c r="T4400">
        <f t="shared" si="342"/>
        <v>0</v>
      </c>
      <c r="U4400">
        <f t="shared" si="343"/>
        <v>0</v>
      </c>
      <c r="V4400">
        <f t="shared" si="344"/>
        <v>0</v>
      </c>
    </row>
    <row r="4401" spans="1:22" x14ac:dyDescent="0.25">
      <c r="A4401">
        <v>4398</v>
      </c>
      <c r="B4401" t="s">
        <v>30</v>
      </c>
      <c r="C4401" t="s">
        <v>1455</v>
      </c>
      <c r="D4401" s="4">
        <v>45411</v>
      </c>
      <c r="E4401" t="s">
        <v>1481</v>
      </c>
      <c r="F4401" t="s">
        <v>75</v>
      </c>
      <c r="I4401" s="6">
        <v>1</v>
      </c>
      <c r="J4401" s="6">
        <v>0</v>
      </c>
      <c r="K4401" s="6">
        <v>0</v>
      </c>
      <c r="L4401" s="6">
        <v>0</v>
      </c>
      <c r="M4401" s="6">
        <v>0</v>
      </c>
      <c r="N4401" s="6">
        <v>0</v>
      </c>
      <c r="O4401" s="6">
        <v>0</v>
      </c>
      <c r="P4401" s="6">
        <v>0</v>
      </c>
      <c r="Q4401">
        <v>1</v>
      </c>
      <c r="R4401">
        <f t="shared" si="340"/>
        <v>0</v>
      </c>
      <c r="S4401">
        <f t="shared" si="341"/>
        <v>1</v>
      </c>
      <c r="T4401">
        <f t="shared" si="342"/>
        <v>1</v>
      </c>
      <c r="U4401">
        <f t="shared" si="343"/>
        <v>1</v>
      </c>
      <c r="V4401">
        <f t="shared" si="344"/>
        <v>0</v>
      </c>
    </row>
    <row r="4402" spans="1:22" x14ac:dyDescent="0.25">
      <c r="A4402">
        <v>4399</v>
      </c>
      <c r="B4402" t="s">
        <v>30</v>
      </c>
      <c r="C4402" t="s">
        <v>1455</v>
      </c>
      <c r="D4402" s="4">
        <v>45411</v>
      </c>
      <c r="E4402" t="s">
        <v>1387</v>
      </c>
      <c r="F4402" t="s">
        <v>75</v>
      </c>
      <c r="I4402" s="6">
        <v>0</v>
      </c>
      <c r="J4402" s="6">
        <v>0</v>
      </c>
      <c r="K4402" s="6">
        <v>0</v>
      </c>
      <c r="L4402" s="6">
        <v>0</v>
      </c>
      <c r="M4402" s="6">
        <v>0</v>
      </c>
      <c r="N4402" s="6">
        <v>0</v>
      </c>
      <c r="O4402" s="6">
        <v>0</v>
      </c>
      <c r="P4402" s="6">
        <v>0</v>
      </c>
      <c r="Q4402">
        <v>1</v>
      </c>
      <c r="R4402">
        <f t="shared" si="340"/>
        <v>0</v>
      </c>
      <c r="S4402">
        <f t="shared" si="341"/>
        <v>1</v>
      </c>
      <c r="T4402">
        <f t="shared" si="342"/>
        <v>0</v>
      </c>
      <c r="U4402">
        <f t="shared" si="343"/>
        <v>0</v>
      </c>
      <c r="V4402">
        <f t="shared" si="344"/>
        <v>0</v>
      </c>
    </row>
    <row r="4403" spans="1:22" x14ac:dyDescent="0.25">
      <c r="A4403">
        <v>4400</v>
      </c>
      <c r="B4403" t="s">
        <v>30</v>
      </c>
      <c r="C4403" t="s">
        <v>1455</v>
      </c>
      <c r="D4403" s="4">
        <v>45412</v>
      </c>
      <c r="E4403" t="s">
        <v>1159</v>
      </c>
      <c r="F4403" t="s">
        <v>75</v>
      </c>
      <c r="I4403" s="6"/>
      <c r="J4403" s="6"/>
      <c r="K4403" s="6"/>
      <c r="L4403" s="6"/>
      <c r="M4403" s="6"/>
      <c r="N4403" s="6"/>
      <c r="O4403" s="6"/>
      <c r="P4403" s="6"/>
      <c r="Q4403">
        <v>0</v>
      </c>
      <c r="R4403">
        <f t="shared" si="340"/>
        <v>0</v>
      </c>
      <c r="S4403">
        <f t="shared" si="341"/>
        <v>0</v>
      </c>
      <c r="T4403">
        <f t="shared" si="342"/>
        <v>0</v>
      </c>
      <c r="U4403">
        <f t="shared" si="343"/>
        <v>0</v>
      </c>
      <c r="V4403">
        <f t="shared" si="344"/>
        <v>0</v>
      </c>
    </row>
    <row r="4404" spans="1:22" x14ac:dyDescent="0.25">
      <c r="A4404">
        <v>4401</v>
      </c>
      <c r="B4404" t="s">
        <v>30</v>
      </c>
      <c r="C4404" t="s">
        <v>1455</v>
      </c>
      <c r="D4404" s="4">
        <v>45412</v>
      </c>
      <c r="E4404" t="s">
        <v>880</v>
      </c>
      <c r="F4404" t="s">
        <v>75</v>
      </c>
      <c r="I4404" s="6">
        <v>0</v>
      </c>
      <c r="J4404" s="6">
        <v>0</v>
      </c>
      <c r="K4404" s="6">
        <v>0</v>
      </c>
      <c r="L4404" s="6">
        <v>0</v>
      </c>
      <c r="M4404" s="6">
        <v>0</v>
      </c>
      <c r="N4404" s="6">
        <v>0</v>
      </c>
      <c r="O4404" s="6">
        <v>0</v>
      </c>
      <c r="P4404" s="6">
        <v>0</v>
      </c>
      <c r="Q4404">
        <v>1</v>
      </c>
      <c r="R4404">
        <f t="shared" si="340"/>
        <v>0</v>
      </c>
      <c r="S4404">
        <f t="shared" si="341"/>
        <v>1</v>
      </c>
      <c r="T4404">
        <f t="shared" si="342"/>
        <v>0</v>
      </c>
      <c r="U4404">
        <f t="shared" si="343"/>
        <v>0</v>
      </c>
      <c r="V4404">
        <f t="shared" si="344"/>
        <v>0</v>
      </c>
    </row>
    <row r="4405" spans="1:22" x14ac:dyDescent="0.25">
      <c r="A4405">
        <v>4402</v>
      </c>
      <c r="B4405" t="s">
        <v>30</v>
      </c>
      <c r="C4405" t="s">
        <v>1455</v>
      </c>
      <c r="D4405" s="4">
        <v>45412</v>
      </c>
      <c r="E4405" t="s">
        <v>1160</v>
      </c>
      <c r="F4405" t="s">
        <v>75</v>
      </c>
      <c r="I4405" s="6">
        <v>0</v>
      </c>
      <c r="J4405" s="6">
        <v>0</v>
      </c>
      <c r="K4405" s="6">
        <v>0</v>
      </c>
      <c r="L4405" s="6">
        <v>0</v>
      </c>
      <c r="M4405" s="6">
        <v>0</v>
      </c>
      <c r="N4405" s="6">
        <v>0</v>
      </c>
      <c r="O4405" s="6">
        <v>1</v>
      </c>
      <c r="P4405" s="6">
        <v>0</v>
      </c>
      <c r="Q4405">
        <v>1</v>
      </c>
      <c r="R4405">
        <f t="shared" si="340"/>
        <v>0</v>
      </c>
      <c r="S4405">
        <f t="shared" si="341"/>
        <v>1</v>
      </c>
      <c r="T4405">
        <f t="shared" si="342"/>
        <v>1</v>
      </c>
      <c r="U4405">
        <f t="shared" si="343"/>
        <v>1</v>
      </c>
      <c r="V4405">
        <f t="shared" si="344"/>
        <v>0</v>
      </c>
    </row>
    <row r="4406" spans="1:22" x14ac:dyDescent="0.25">
      <c r="A4406">
        <v>4403</v>
      </c>
      <c r="B4406" t="s">
        <v>30</v>
      </c>
      <c r="C4406" t="s">
        <v>1455</v>
      </c>
      <c r="D4406" s="4">
        <v>45413</v>
      </c>
      <c r="E4406" t="s">
        <v>467</v>
      </c>
      <c r="F4406" t="s">
        <v>75</v>
      </c>
      <c r="I4406" s="6"/>
      <c r="J4406" s="6"/>
      <c r="K4406" s="6"/>
      <c r="L4406" s="6"/>
      <c r="M4406" s="6"/>
      <c r="N4406" s="6"/>
      <c r="O4406" s="6"/>
      <c r="P4406" s="6"/>
      <c r="Q4406">
        <v>0</v>
      </c>
      <c r="R4406">
        <f t="shared" si="340"/>
        <v>0</v>
      </c>
      <c r="S4406">
        <f t="shared" si="341"/>
        <v>0</v>
      </c>
      <c r="T4406">
        <f t="shared" si="342"/>
        <v>0</v>
      </c>
      <c r="U4406">
        <f t="shared" si="343"/>
        <v>0</v>
      </c>
      <c r="V4406">
        <f t="shared" si="344"/>
        <v>0</v>
      </c>
    </row>
    <row r="4407" spans="1:22" x14ac:dyDescent="0.25">
      <c r="A4407">
        <v>4404</v>
      </c>
      <c r="B4407" t="s">
        <v>30</v>
      </c>
      <c r="C4407" t="s">
        <v>1455</v>
      </c>
      <c r="D4407" s="4">
        <v>45413</v>
      </c>
      <c r="E4407" t="s">
        <v>468</v>
      </c>
      <c r="F4407" t="s">
        <v>75</v>
      </c>
      <c r="I4407" s="6">
        <v>0</v>
      </c>
      <c r="J4407" s="6">
        <v>0</v>
      </c>
      <c r="K4407" s="6">
        <v>0</v>
      </c>
      <c r="L4407" s="6">
        <v>0</v>
      </c>
      <c r="M4407" s="6">
        <v>0</v>
      </c>
      <c r="N4407" s="6">
        <v>0</v>
      </c>
      <c r="O4407" s="6">
        <v>0</v>
      </c>
      <c r="P4407" s="6">
        <v>0</v>
      </c>
      <c r="Q4407">
        <v>1</v>
      </c>
      <c r="R4407">
        <f t="shared" si="340"/>
        <v>0</v>
      </c>
      <c r="S4407">
        <f t="shared" si="341"/>
        <v>1</v>
      </c>
      <c r="T4407">
        <f t="shared" si="342"/>
        <v>0</v>
      </c>
      <c r="U4407">
        <f t="shared" si="343"/>
        <v>0</v>
      </c>
      <c r="V4407">
        <f t="shared" si="344"/>
        <v>0</v>
      </c>
    </row>
    <row r="4408" spans="1:22" x14ac:dyDescent="0.25">
      <c r="A4408">
        <v>4405</v>
      </c>
      <c r="B4408" t="s">
        <v>30</v>
      </c>
      <c r="C4408" t="s">
        <v>1455</v>
      </c>
      <c r="D4408" s="4">
        <v>45413</v>
      </c>
      <c r="E4408" t="s">
        <v>1815</v>
      </c>
      <c r="F4408" t="s">
        <v>75</v>
      </c>
      <c r="I4408" s="6">
        <v>1</v>
      </c>
      <c r="J4408" s="6">
        <v>0</v>
      </c>
      <c r="K4408" s="6">
        <v>0</v>
      </c>
      <c r="L4408" s="6">
        <v>1</v>
      </c>
      <c r="M4408" s="6">
        <v>0</v>
      </c>
      <c r="N4408" s="6">
        <v>0</v>
      </c>
      <c r="O4408" s="6">
        <v>0</v>
      </c>
      <c r="P4408" s="6">
        <v>0</v>
      </c>
      <c r="Q4408">
        <v>1</v>
      </c>
      <c r="R4408">
        <f t="shared" si="340"/>
        <v>0</v>
      </c>
      <c r="S4408">
        <f t="shared" si="341"/>
        <v>1</v>
      </c>
      <c r="T4408">
        <f t="shared" si="342"/>
        <v>2</v>
      </c>
      <c r="U4408">
        <f t="shared" si="343"/>
        <v>1</v>
      </c>
      <c r="V4408">
        <f t="shared" si="344"/>
        <v>0</v>
      </c>
    </row>
    <row r="4409" spans="1:22" x14ac:dyDescent="0.25">
      <c r="A4409">
        <v>4406</v>
      </c>
      <c r="B4409" t="s">
        <v>30</v>
      </c>
      <c r="C4409" t="s">
        <v>1455</v>
      </c>
      <c r="D4409" s="4">
        <v>45413</v>
      </c>
      <c r="E4409" t="s">
        <v>2026</v>
      </c>
      <c r="F4409" t="s">
        <v>75</v>
      </c>
      <c r="I4409" s="6"/>
      <c r="J4409" s="6"/>
      <c r="K4409" s="6"/>
      <c r="L4409" s="6"/>
      <c r="M4409" s="6"/>
      <c r="N4409" s="6"/>
      <c r="O4409" s="6"/>
      <c r="P4409" s="6"/>
      <c r="Q4409">
        <v>0</v>
      </c>
      <c r="R4409">
        <f t="shared" si="340"/>
        <v>0</v>
      </c>
      <c r="S4409">
        <f t="shared" si="341"/>
        <v>0</v>
      </c>
      <c r="T4409">
        <f t="shared" si="342"/>
        <v>0</v>
      </c>
      <c r="U4409">
        <f t="shared" si="343"/>
        <v>0</v>
      </c>
      <c r="V4409">
        <f t="shared" si="344"/>
        <v>0</v>
      </c>
    </row>
    <row r="4410" spans="1:22" x14ac:dyDescent="0.25">
      <c r="A4410">
        <v>4407</v>
      </c>
      <c r="B4410" t="s">
        <v>30</v>
      </c>
      <c r="C4410" t="s">
        <v>1455</v>
      </c>
      <c r="D4410" s="4">
        <v>45413</v>
      </c>
      <c r="E4410" t="s">
        <v>1162</v>
      </c>
      <c r="F4410" t="s">
        <v>75</v>
      </c>
      <c r="I4410" s="6"/>
      <c r="J4410" s="6"/>
      <c r="K4410" s="6"/>
      <c r="L4410" s="6"/>
      <c r="M4410" s="6"/>
      <c r="N4410" s="6"/>
      <c r="O4410" s="6"/>
      <c r="P4410" s="6"/>
      <c r="Q4410">
        <v>0</v>
      </c>
      <c r="R4410">
        <f t="shared" si="340"/>
        <v>0</v>
      </c>
      <c r="S4410">
        <f t="shared" si="341"/>
        <v>0</v>
      </c>
      <c r="T4410">
        <f t="shared" si="342"/>
        <v>0</v>
      </c>
      <c r="U4410">
        <f t="shared" si="343"/>
        <v>0</v>
      </c>
      <c r="V4410">
        <f t="shared" si="344"/>
        <v>0</v>
      </c>
    </row>
    <row r="4411" spans="1:22" x14ac:dyDescent="0.25">
      <c r="A4411">
        <v>4408</v>
      </c>
      <c r="B4411" t="s">
        <v>30</v>
      </c>
      <c r="C4411" t="s">
        <v>1455</v>
      </c>
      <c r="D4411" s="4">
        <v>45414</v>
      </c>
      <c r="E4411" t="s">
        <v>313</v>
      </c>
      <c r="F4411" t="s">
        <v>75</v>
      </c>
      <c r="I4411" s="6">
        <v>0</v>
      </c>
      <c r="J4411" s="6">
        <v>0</v>
      </c>
      <c r="K4411" s="6">
        <v>0</v>
      </c>
      <c r="L4411" s="6">
        <v>0</v>
      </c>
      <c r="M4411" s="6">
        <v>0</v>
      </c>
      <c r="N4411" s="6">
        <v>0</v>
      </c>
      <c r="O4411" s="6">
        <v>0</v>
      </c>
      <c r="P4411" s="6">
        <v>0</v>
      </c>
      <c r="Q4411">
        <v>1</v>
      </c>
      <c r="R4411">
        <f t="shared" si="340"/>
        <v>0</v>
      </c>
      <c r="S4411">
        <f t="shared" si="341"/>
        <v>1</v>
      </c>
      <c r="T4411">
        <f t="shared" si="342"/>
        <v>0</v>
      </c>
      <c r="U4411">
        <f t="shared" si="343"/>
        <v>0</v>
      </c>
      <c r="V4411">
        <f t="shared" si="344"/>
        <v>0</v>
      </c>
    </row>
    <row r="4412" spans="1:22" x14ac:dyDescent="0.25">
      <c r="A4412">
        <v>4409</v>
      </c>
      <c r="B4412" t="s">
        <v>30</v>
      </c>
      <c r="C4412" t="s">
        <v>1455</v>
      </c>
      <c r="D4412" s="4">
        <v>45414</v>
      </c>
      <c r="E4412" t="s">
        <v>314</v>
      </c>
      <c r="F4412" t="s">
        <v>75</v>
      </c>
      <c r="I4412" s="6">
        <v>0</v>
      </c>
      <c r="J4412" s="6">
        <v>0</v>
      </c>
      <c r="K4412" s="6">
        <v>0</v>
      </c>
      <c r="L4412" s="6">
        <v>0</v>
      </c>
      <c r="M4412" s="6">
        <v>0</v>
      </c>
      <c r="N4412" s="6">
        <v>0</v>
      </c>
      <c r="O4412" s="6">
        <v>0</v>
      </c>
      <c r="P4412" s="6">
        <v>0</v>
      </c>
      <c r="Q4412">
        <v>1</v>
      </c>
      <c r="R4412">
        <f t="shared" si="340"/>
        <v>0</v>
      </c>
      <c r="S4412">
        <f t="shared" si="341"/>
        <v>1</v>
      </c>
      <c r="T4412">
        <f t="shared" si="342"/>
        <v>0</v>
      </c>
      <c r="U4412">
        <f t="shared" si="343"/>
        <v>0</v>
      </c>
      <c r="V4412">
        <f t="shared" si="344"/>
        <v>0</v>
      </c>
    </row>
    <row r="4413" spans="1:22" x14ac:dyDescent="0.25">
      <c r="A4413">
        <v>4410</v>
      </c>
      <c r="B4413" t="s">
        <v>30</v>
      </c>
      <c r="C4413" t="s">
        <v>1455</v>
      </c>
      <c r="D4413" s="4">
        <v>45414</v>
      </c>
      <c r="E4413" t="s">
        <v>989</v>
      </c>
      <c r="F4413" t="s">
        <v>75</v>
      </c>
      <c r="I4413" s="6"/>
      <c r="J4413" s="6"/>
      <c r="K4413" s="6"/>
      <c r="L4413" s="6"/>
      <c r="M4413" s="6"/>
      <c r="N4413" s="6"/>
      <c r="O4413" s="6"/>
      <c r="P4413" s="6"/>
      <c r="Q4413">
        <v>0</v>
      </c>
      <c r="R4413">
        <f t="shared" si="340"/>
        <v>0</v>
      </c>
      <c r="S4413">
        <f t="shared" si="341"/>
        <v>0</v>
      </c>
      <c r="T4413">
        <f t="shared" si="342"/>
        <v>0</v>
      </c>
      <c r="U4413">
        <f t="shared" si="343"/>
        <v>0</v>
      </c>
      <c r="V4413">
        <f t="shared" si="344"/>
        <v>0</v>
      </c>
    </row>
    <row r="4414" spans="1:22" x14ac:dyDescent="0.25">
      <c r="A4414">
        <v>4411</v>
      </c>
      <c r="B4414" t="s">
        <v>30</v>
      </c>
      <c r="C4414" t="s">
        <v>1455</v>
      </c>
      <c r="D4414" s="4">
        <v>45414</v>
      </c>
      <c r="E4414" t="s">
        <v>990</v>
      </c>
      <c r="F4414" t="s">
        <v>75</v>
      </c>
      <c r="I4414" s="6">
        <v>0</v>
      </c>
      <c r="J4414" s="6">
        <v>0</v>
      </c>
      <c r="K4414" s="6">
        <v>0</v>
      </c>
      <c r="L4414" s="6">
        <v>0</v>
      </c>
      <c r="M4414" s="6">
        <v>0</v>
      </c>
      <c r="N4414" s="6">
        <v>0</v>
      </c>
      <c r="O4414" s="6">
        <v>0</v>
      </c>
      <c r="P4414" s="6">
        <v>0</v>
      </c>
      <c r="Q4414">
        <v>1</v>
      </c>
      <c r="R4414">
        <f t="shared" si="340"/>
        <v>0</v>
      </c>
      <c r="S4414">
        <f t="shared" si="341"/>
        <v>1</v>
      </c>
      <c r="T4414">
        <f t="shared" si="342"/>
        <v>0</v>
      </c>
      <c r="U4414">
        <f t="shared" si="343"/>
        <v>0</v>
      </c>
      <c r="V4414">
        <f t="shared" si="344"/>
        <v>0</v>
      </c>
    </row>
    <row r="4415" spans="1:22" x14ac:dyDescent="0.25">
      <c r="A4415">
        <v>4412</v>
      </c>
      <c r="B4415" t="s">
        <v>30</v>
      </c>
      <c r="C4415" t="s">
        <v>1455</v>
      </c>
      <c r="D4415" s="4">
        <v>45415</v>
      </c>
      <c r="E4415" t="s">
        <v>882</v>
      </c>
      <c r="F4415" t="s">
        <v>75</v>
      </c>
      <c r="I4415" s="6"/>
      <c r="J4415" s="6"/>
      <c r="K4415" s="6"/>
      <c r="L4415" s="6"/>
      <c r="M4415" s="6"/>
      <c r="N4415" s="6"/>
      <c r="O4415" s="6"/>
      <c r="P4415" s="6"/>
      <c r="Q4415">
        <v>0</v>
      </c>
      <c r="R4415">
        <f t="shared" si="340"/>
        <v>0</v>
      </c>
      <c r="S4415">
        <f t="shared" si="341"/>
        <v>0</v>
      </c>
      <c r="T4415">
        <f t="shared" si="342"/>
        <v>0</v>
      </c>
      <c r="U4415">
        <f t="shared" si="343"/>
        <v>0</v>
      </c>
      <c r="V4415">
        <f t="shared" si="344"/>
        <v>0</v>
      </c>
    </row>
    <row r="4416" spans="1:22" x14ac:dyDescent="0.25">
      <c r="A4416">
        <v>4413</v>
      </c>
      <c r="B4416" t="s">
        <v>30</v>
      </c>
      <c r="C4416" t="s">
        <v>1455</v>
      </c>
      <c r="D4416" s="4">
        <v>45415</v>
      </c>
      <c r="E4416" t="s">
        <v>883</v>
      </c>
      <c r="F4416" t="s">
        <v>75</v>
      </c>
      <c r="I4416" s="6"/>
      <c r="J4416" s="6"/>
      <c r="K4416" s="6"/>
      <c r="L4416" s="6"/>
      <c r="M4416" s="6"/>
      <c r="N4416" s="6"/>
      <c r="O4416" s="6"/>
      <c r="P4416" s="6"/>
      <c r="Q4416">
        <v>0</v>
      </c>
      <c r="R4416">
        <f t="shared" si="340"/>
        <v>0</v>
      </c>
      <c r="S4416">
        <f t="shared" si="341"/>
        <v>0</v>
      </c>
      <c r="T4416">
        <f t="shared" si="342"/>
        <v>0</v>
      </c>
      <c r="U4416">
        <f t="shared" si="343"/>
        <v>0</v>
      </c>
      <c r="V4416">
        <f t="shared" si="344"/>
        <v>0</v>
      </c>
    </row>
    <row r="4417" spans="1:22" x14ac:dyDescent="0.25">
      <c r="A4417">
        <v>4414</v>
      </c>
      <c r="B4417" t="s">
        <v>30</v>
      </c>
      <c r="C4417" t="s">
        <v>1455</v>
      </c>
      <c r="D4417" s="4">
        <v>45415</v>
      </c>
      <c r="E4417" t="s">
        <v>884</v>
      </c>
      <c r="F4417" t="s">
        <v>75</v>
      </c>
      <c r="I4417" s="6">
        <v>0</v>
      </c>
      <c r="J4417" s="6">
        <v>0</v>
      </c>
      <c r="K4417" s="6">
        <v>0</v>
      </c>
      <c r="L4417" s="6">
        <v>0</v>
      </c>
      <c r="M4417" s="6">
        <v>0</v>
      </c>
      <c r="N4417" s="6">
        <v>0</v>
      </c>
      <c r="O4417" s="6">
        <v>0</v>
      </c>
      <c r="P4417" s="6">
        <v>0</v>
      </c>
      <c r="Q4417">
        <v>1</v>
      </c>
      <c r="R4417">
        <f t="shared" si="340"/>
        <v>0</v>
      </c>
      <c r="S4417">
        <f t="shared" si="341"/>
        <v>1</v>
      </c>
      <c r="T4417">
        <f t="shared" si="342"/>
        <v>0</v>
      </c>
      <c r="U4417">
        <f t="shared" si="343"/>
        <v>0</v>
      </c>
      <c r="V4417">
        <f t="shared" si="344"/>
        <v>0</v>
      </c>
    </row>
    <row r="4418" spans="1:22" x14ac:dyDescent="0.25">
      <c r="A4418">
        <v>4415</v>
      </c>
      <c r="B4418" t="s">
        <v>30</v>
      </c>
      <c r="C4418" t="s">
        <v>1455</v>
      </c>
      <c r="D4418" s="4">
        <v>45415</v>
      </c>
      <c r="E4418" t="s">
        <v>1166</v>
      </c>
      <c r="F4418" t="s">
        <v>75</v>
      </c>
      <c r="I4418" s="6"/>
      <c r="J4418" s="6"/>
      <c r="K4418" s="6"/>
      <c r="L4418" s="6"/>
      <c r="M4418" s="6"/>
      <c r="N4418" s="6"/>
      <c r="O4418" s="6"/>
      <c r="P4418" s="6"/>
      <c r="Q4418">
        <v>0</v>
      </c>
      <c r="R4418">
        <f t="shared" si="340"/>
        <v>0</v>
      </c>
      <c r="S4418">
        <f t="shared" si="341"/>
        <v>0</v>
      </c>
      <c r="T4418">
        <f t="shared" si="342"/>
        <v>0</v>
      </c>
      <c r="U4418">
        <f t="shared" si="343"/>
        <v>0</v>
      </c>
      <c r="V4418">
        <f t="shared" si="344"/>
        <v>0</v>
      </c>
    </row>
    <row r="4419" spans="1:22" x14ac:dyDescent="0.25">
      <c r="A4419">
        <v>4416</v>
      </c>
      <c r="B4419" t="s">
        <v>30</v>
      </c>
      <c r="C4419" t="s">
        <v>1455</v>
      </c>
      <c r="D4419" s="4">
        <v>45415</v>
      </c>
      <c r="E4419" t="s">
        <v>1397</v>
      </c>
      <c r="F4419" t="s">
        <v>357</v>
      </c>
      <c r="I4419" s="6"/>
      <c r="J4419" s="6"/>
      <c r="K4419" s="6"/>
      <c r="L4419" s="6"/>
      <c r="M4419" s="6"/>
      <c r="N4419" s="6"/>
      <c r="O4419" s="6"/>
      <c r="P4419" s="6"/>
      <c r="Q4419">
        <v>0</v>
      </c>
      <c r="R4419">
        <f t="shared" ref="R4419:R4482" si="345">IF(AND(Q4419=1,F4419="ai_full"),1,0)</f>
        <v>0</v>
      </c>
      <c r="S4419">
        <f t="shared" ref="S4419:S4482" si="346">IF(AND(Q4419=1,F4419="conventional"),1,0)</f>
        <v>0</v>
      </c>
      <c r="T4419">
        <f t="shared" ref="T4419:T4482" si="347">SUM(I4419:P4419)</f>
        <v>0</v>
      </c>
      <c r="U4419">
        <f t="shared" ref="U4419:U4482" si="348">IF(T4419&gt;=1,1,0)</f>
        <v>0</v>
      </c>
      <c r="V4419">
        <f t="shared" ref="V4419:V4482" si="349">IF(F4419="ai_full",1,0)</f>
        <v>0</v>
      </c>
    </row>
    <row r="4420" spans="1:22" x14ac:dyDescent="0.25">
      <c r="A4420">
        <v>4417</v>
      </c>
      <c r="B4420" t="s">
        <v>30</v>
      </c>
      <c r="C4420" t="s">
        <v>1455</v>
      </c>
      <c r="D4420" s="4">
        <v>45415</v>
      </c>
      <c r="E4420" t="s">
        <v>1167</v>
      </c>
      <c r="F4420" t="s">
        <v>75</v>
      </c>
      <c r="I4420" s="6">
        <v>0</v>
      </c>
      <c r="J4420" s="6">
        <v>0</v>
      </c>
      <c r="K4420" s="6">
        <v>0</v>
      </c>
      <c r="L4420" s="6">
        <v>0</v>
      </c>
      <c r="M4420" s="6">
        <v>0</v>
      </c>
      <c r="N4420" s="6">
        <v>0</v>
      </c>
      <c r="O4420" s="6">
        <v>1</v>
      </c>
      <c r="P4420" s="6">
        <v>0</v>
      </c>
      <c r="Q4420">
        <v>1</v>
      </c>
      <c r="R4420">
        <f t="shared" si="345"/>
        <v>0</v>
      </c>
      <c r="S4420">
        <f t="shared" si="346"/>
        <v>1</v>
      </c>
      <c r="T4420">
        <f t="shared" si="347"/>
        <v>1</v>
      </c>
      <c r="U4420">
        <f t="shared" si="348"/>
        <v>1</v>
      </c>
      <c r="V4420">
        <f t="shared" si="349"/>
        <v>0</v>
      </c>
    </row>
    <row r="4421" spans="1:22" x14ac:dyDescent="0.25">
      <c r="A4421">
        <v>4418</v>
      </c>
      <c r="B4421" t="s">
        <v>30</v>
      </c>
      <c r="C4421" t="s">
        <v>1455</v>
      </c>
      <c r="D4421" s="4">
        <v>45415</v>
      </c>
      <c r="E4421" t="s">
        <v>2020</v>
      </c>
      <c r="F4421" t="s">
        <v>75</v>
      </c>
      <c r="I4421" s="6"/>
      <c r="J4421" s="6"/>
      <c r="K4421" s="6"/>
      <c r="L4421" s="6"/>
      <c r="M4421" s="6"/>
      <c r="N4421" s="6"/>
      <c r="O4421" s="6"/>
      <c r="P4421" s="6"/>
      <c r="Q4421">
        <v>0</v>
      </c>
      <c r="R4421">
        <f t="shared" si="345"/>
        <v>0</v>
      </c>
      <c r="S4421">
        <f t="shared" si="346"/>
        <v>0</v>
      </c>
      <c r="T4421">
        <f t="shared" si="347"/>
        <v>0</v>
      </c>
      <c r="U4421">
        <f t="shared" si="348"/>
        <v>0</v>
      </c>
      <c r="V4421">
        <f t="shared" si="349"/>
        <v>0</v>
      </c>
    </row>
    <row r="4422" spans="1:22" x14ac:dyDescent="0.25">
      <c r="A4422">
        <v>4419</v>
      </c>
      <c r="B4422" t="s">
        <v>30</v>
      </c>
      <c r="C4422" t="s">
        <v>1455</v>
      </c>
      <c r="D4422" s="4">
        <v>45416</v>
      </c>
      <c r="E4422" t="s">
        <v>315</v>
      </c>
      <c r="F4422" t="s">
        <v>75</v>
      </c>
      <c r="I4422" s="6">
        <v>0</v>
      </c>
      <c r="J4422" s="6">
        <v>0</v>
      </c>
      <c r="K4422" s="6">
        <v>0</v>
      </c>
      <c r="L4422" s="6">
        <v>0</v>
      </c>
      <c r="M4422" s="6">
        <v>0</v>
      </c>
      <c r="N4422" s="6">
        <v>0</v>
      </c>
      <c r="O4422" s="6">
        <v>0</v>
      </c>
      <c r="P4422" s="6">
        <v>0</v>
      </c>
      <c r="Q4422">
        <v>1</v>
      </c>
      <c r="R4422">
        <f t="shared" si="345"/>
        <v>0</v>
      </c>
      <c r="S4422">
        <f t="shared" si="346"/>
        <v>1</v>
      </c>
      <c r="T4422">
        <f t="shared" si="347"/>
        <v>0</v>
      </c>
      <c r="U4422">
        <f t="shared" si="348"/>
        <v>0</v>
      </c>
      <c r="V4422">
        <f t="shared" si="349"/>
        <v>0</v>
      </c>
    </row>
    <row r="4423" spans="1:22" x14ac:dyDescent="0.25">
      <c r="A4423">
        <v>4420</v>
      </c>
      <c r="B4423" t="s">
        <v>30</v>
      </c>
      <c r="C4423" t="s">
        <v>1455</v>
      </c>
      <c r="D4423" s="4">
        <v>45416</v>
      </c>
      <c r="E4423" t="s">
        <v>316</v>
      </c>
      <c r="F4423" t="s">
        <v>75</v>
      </c>
      <c r="I4423" s="6"/>
      <c r="J4423" s="6"/>
      <c r="K4423" s="6"/>
      <c r="L4423" s="6"/>
      <c r="M4423" s="6"/>
      <c r="N4423" s="6"/>
      <c r="O4423" s="6"/>
      <c r="P4423" s="6"/>
      <c r="Q4423">
        <v>0</v>
      </c>
      <c r="R4423">
        <f t="shared" si="345"/>
        <v>0</v>
      </c>
      <c r="S4423">
        <f t="shared" si="346"/>
        <v>0</v>
      </c>
      <c r="T4423">
        <f t="shared" si="347"/>
        <v>0</v>
      </c>
      <c r="U4423">
        <f t="shared" si="348"/>
        <v>0</v>
      </c>
      <c r="V4423">
        <f t="shared" si="349"/>
        <v>0</v>
      </c>
    </row>
    <row r="4424" spans="1:22" x14ac:dyDescent="0.25">
      <c r="A4424">
        <v>4421</v>
      </c>
      <c r="B4424" t="s">
        <v>30</v>
      </c>
      <c r="C4424" t="s">
        <v>1455</v>
      </c>
      <c r="D4424" s="4">
        <v>45416</v>
      </c>
      <c r="E4424" t="s">
        <v>469</v>
      </c>
      <c r="F4424" t="s">
        <v>75</v>
      </c>
      <c r="I4424" s="6"/>
      <c r="J4424" s="6"/>
      <c r="K4424" s="6"/>
      <c r="L4424" s="6"/>
      <c r="M4424" s="6"/>
      <c r="N4424" s="6"/>
      <c r="O4424" s="6"/>
      <c r="P4424" s="6"/>
      <c r="Q4424">
        <v>0</v>
      </c>
      <c r="R4424">
        <f t="shared" si="345"/>
        <v>0</v>
      </c>
      <c r="S4424">
        <f t="shared" si="346"/>
        <v>0</v>
      </c>
      <c r="T4424">
        <f t="shared" si="347"/>
        <v>0</v>
      </c>
      <c r="U4424">
        <f t="shared" si="348"/>
        <v>0</v>
      </c>
      <c r="V4424">
        <f t="shared" si="349"/>
        <v>0</v>
      </c>
    </row>
    <row r="4425" spans="1:22" x14ac:dyDescent="0.25">
      <c r="A4425">
        <v>4422</v>
      </c>
      <c r="B4425" t="s">
        <v>30</v>
      </c>
      <c r="C4425" t="s">
        <v>1455</v>
      </c>
      <c r="D4425" s="4">
        <v>45417</v>
      </c>
      <c r="E4425" t="s">
        <v>995</v>
      </c>
      <c r="F4425" t="s">
        <v>75</v>
      </c>
      <c r="I4425" s="6"/>
      <c r="J4425" s="6"/>
      <c r="K4425" s="6"/>
      <c r="L4425" s="6"/>
      <c r="M4425" s="6"/>
      <c r="N4425" s="6"/>
      <c r="O4425" s="6"/>
      <c r="P4425" s="6"/>
      <c r="Q4425">
        <v>0</v>
      </c>
      <c r="R4425">
        <f t="shared" si="345"/>
        <v>0</v>
      </c>
      <c r="S4425">
        <f t="shared" si="346"/>
        <v>0</v>
      </c>
      <c r="T4425">
        <f t="shared" si="347"/>
        <v>0</v>
      </c>
      <c r="U4425">
        <f t="shared" si="348"/>
        <v>0</v>
      </c>
      <c r="V4425">
        <f t="shared" si="349"/>
        <v>0</v>
      </c>
    </row>
    <row r="4426" spans="1:22" x14ac:dyDescent="0.25">
      <c r="A4426">
        <v>4423</v>
      </c>
      <c r="B4426" t="s">
        <v>30</v>
      </c>
      <c r="C4426" t="s">
        <v>1455</v>
      </c>
      <c r="D4426" s="4">
        <v>45417</v>
      </c>
      <c r="E4426" t="s">
        <v>996</v>
      </c>
      <c r="F4426" t="s">
        <v>75</v>
      </c>
      <c r="I4426" s="6">
        <v>0</v>
      </c>
      <c r="J4426" s="6">
        <v>0</v>
      </c>
      <c r="K4426" s="6">
        <v>0</v>
      </c>
      <c r="L4426" s="6">
        <v>0</v>
      </c>
      <c r="M4426" s="6">
        <v>1</v>
      </c>
      <c r="N4426" s="6">
        <v>0</v>
      </c>
      <c r="O4426" s="6">
        <v>0</v>
      </c>
      <c r="P4426" s="6">
        <v>0</v>
      </c>
      <c r="Q4426">
        <v>1</v>
      </c>
      <c r="R4426">
        <f t="shared" si="345"/>
        <v>0</v>
      </c>
      <c r="S4426">
        <f t="shared" si="346"/>
        <v>1</v>
      </c>
      <c r="T4426">
        <f t="shared" si="347"/>
        <v>1</v>
      </c>
      <c r="U4426">
        <f t="shared" si="348"/>
        <v>1</v>
      </c>
      <c r="V4426">
        <f t="shared" si="349"/>
        <v>0</v>
      </c>
    </row>
    <row r="4427" spans="1:22" x14ac:dyDescent="0.25">
      <c r="A4427">
        <v>4424</v>
      </c>
      <c r="B4427" t="s">
        <v>30</v>
      </c>
      <c r="C4427" t="s">
        <v>1455</v>
      </c>
      <c r="D4427" s="4">
        <v>45417</v>
      </c>
      <c r="E4427" t="s">
        <v>1079</v>
      </c>
      <c r="F4427" t="s">
        <v>75</v>
      </c>
      <c r="I4427" s="6">
        <v>0</v>
      </c>
      <c r="J4427" s="6">
        <v>0</v>
      </c>
      <c r="K4427" s="6">
        <v>0</v>
      </c>
      <c r="L4427" s="6">
        <v>0</v>
      </c>
      <c r="M4427" s="6">
        <v>0</v>
      </c>
      <c r="N4427" s="6">
        <v>0</v>
      </c>
      <c r="O4427" s="6">
        <v>0</v>
      </c>
      <c r="P4427" s="6">
        <v>1</v>
      </c>
      <c r="Q4427">
        <v>1</v>
      </c>
      <c r="R4427">
        <f t="shared" si="345"/>
        <v>0</v>
      </c>
      <c r="S4427">
        <f t="shared" si="346"/>
        <v>1</v>
      </c>
      <c r="T4427">
        <f t="shared" si="347"/>
        <v>1</v>
      </c>
      <c r="U4427">
        <f t="shared" si="348"/>
        <v>1</v>
      </c>
      <c r="V4427">
        <f t="shared" si="349"/>
        <v>0</v>
      </c>
    </row>
    <row r="4428" spans="1:22" x14ac:dyDescent="0.25">
      <c r="A4428">
        <v>4425</v>
      </c>
      <c r="B4428" t="s">
        <v>30</v>
      </c>
      <c r="C4428" t="s">
        <v>1455</v>
      </c>
      <c r="D4428" s="4">
        <v>45418</v>
      </c>
      <c r="E4428" t="s">
        <v>317</v>
      </c>
      <c r="F4428" t="s">
        <v>75</v>
      </c>
      <c r="I4428" s="6"/>
      <c r="J4428" s="6"/>
      <c r="K4428" s="6"/>
      <c r="L4428" s="6"/>
      <c r="M4428" s="6"/>
      <c r="N4428" s="6"/>
      <c r="O4428" s="6"/>
      <c r="P4428" s="6"/>
      <c r="Q4428">
        <v>0</v>
      </c>
      <c r="R4428">
        <f t="shared" si="345"/>
        <v>0</v>
      </c>
      <c r="S4428">
        <f t="shared" si="346"/>
        <v>0</v>
      </c>
      <c r="T4428">
        <f t="shared" si="347"/>
        <v>0</v>
      </c>
      <c r="U4428">
        <f t="shared" si="348"/>
        <v>0</v>
      </c>
      <c r="V4428">
        <f t="shared" si="349"/>
        <v>0</v>
      </c>
    </row>
    <row r="4429" spans="1:22" x14ac:dyDescent="0.25">
      <c r="A4429">
        <v>4426</v>
      </c>
      <c r="B4429" t="s">
        <v>30</v>
      </c>
      <c r="C4429" t="s">
        <v>1455</v>
      </c>
      <c r="D4429" s="4">
        <v>45418</v>
      </c>
      <c r="E4429" t="s">
        <v>318</v>
      </c>
      <c r="F4429" t="s">
        <v>75</v>
      </c>
      <c r="I4429" s="6"/>
      <c r="J4429" s="6"/>
      <c r="K4429" s="6"/>
      <c r="L4429" s="6"/>
      <c r="M4429" s="6"/>
      <c r="N4429" s="6"/>
      <c r="O4429" s="6"/>
      <c r="P4429" s="6"/>
      <c r="Q4429">
        <v>0</v>
      </c>
      <c r="R4429">
        <f t="shared" si="345"/>
        <v>0</v>
      </c>
      <c r="S4429">
        <f t="shared" si="346"/>
        <v>0</v>
      </c>
      <c r="T4429">
        <f t="shared" si="347"/>
        <v>0</v>
      </c>
      <c r="U4429">
        <f t="shared" si="348"/>
        <v>0</v>
      </c>
      <c r="V4429">
        <f t="shared" si="349"/>
        <v>0</v>
      </c>
    </row>
    <row r="4430" spans="1:22" x14ac:dyDescent="0.25">
      <c r="A4430">
        <v>4427</v>
      </c>
      <c r="B4430" t="s">
        <v>30</v>
      </c>
      <c r="C4430" t="s">
        <v>1455</v>
      </c>
      <c r="D4430" s="4">
        <v>45418</v>
      </c>
      <c r="E4430" t="s">
        <v>319</v>
      </c>
      <c r="F4430" t="s">
        <v>75</v>
      </c>
      <c r="I4430" s="6">
        <v>0</v>
      </c>
      <c r="J4430" s="6">
        <v>0</v>
      </c>
      <c r="K4430" s="6">
        <v>0</v>
      </c>
      <c r="L4430" s="6">
        <v>1</v>
      </c>
      <c r="M4430" s="6">
        <v>0</v>
      </c>
      <c r="N4430" s="6">
        <v>0</v>
      </c>
      <c r="O4430" s="6">
        <v>0</v>
      </c>
      <c r="P4430" s="6">
        <v>0</v>
      </c>
      <c r="Q4430">
        <v>1</v>
      </c>
      <c r="R4430">
        <f t="shared" si="345"/>
        <v>0</v>
      </c>
      <c r="S4430">
        <f t="shared" si="346"/>
        <v>1</v>
      </c>
      <c r="T4430">
        <f t="shared" si="347"/>
        <v>1</v>
      </c>
      <c r="U4430">
        <f t="shared" si="348"/>
        <v>1</v>
      </c>
      <c r="V4430">
        <f t="shared" si="349"/>
        <v>0</v>
      </c>
    </row>
    <row r="4431" spans="1:22" x14ac:dyDescent="0.25">
      <c r="A4431">
        <v>4428</v>
      </c>
      <c r="B4431" t="s">
        <v>30</v>
      </c>
      <c r="C4431" t="s">
        <v>1455</v>
      </c>
      <c r="D4431" s="4">
        <v>45418</v>
      </c>
      <c r="E4431" t="s">
        <v>2137</v>
      </c>
      <c r="F4431" t="s">
        <v>75</v>
      </c>
      <c r="I4431" s="6"/>
      <c r="J4431" s="6"/>
      <c r="K4431" s="6"/>
      <c r="L4431" s="6"/>
      <c r="M4431" s="6"/>
      <c r="N4431" s="6"/>
      <c r="O4431" s="6"/>
      <c r="P4431" s="6"/>
      <c r="Q4431">
        <v>0</v>
      </c>
      <c r="R4431">
        <f t="shared" si="345"/>
        <v>0</v>
      </c>
      <c r="S4431">
        <f t="shared" si="346"/>
        <v>0</v>
      </c>
      <c r="T4431">
        <f t="shared" si="347"/>
        <v>0</v>
      </c>
      <c r="U4431">
        <f t="shared" si="348"/>
        <v>0</v>
      </c>
      <c r="V4431">
        <f t="shared" si="349"/>
        <v>0</v>
      </c>
    </row>
    <row r="4432" spans="1:22" x14ac:dyDescent="0.25">
      <c r="A4432">
        <v>4429</v>
      </c>
      <c r="B4432" t="s">
        <v>30</v>
      </c>
      <c r="C4432" t="s">
        <v>1455</v>
      </c>
      <c r="D4432" s="4">
        <v>45418</v>
      </c>
      <c r="E4432" t="s">
        <v>1174</v>
      </c>
      <c r="F4432" t="s">
        <v>75</v>
      </c>
      <c r="I4432" s="6"/>
      <c r="J4432" s="6"/>
      <c r="K4432" s="6"/>
      <c r="L4432" s="6"/>
      <c r="M4432" s="6"/>
      <c r="N4432" s="6"/>
      <c r="O4432" s="6"/>
      <c r="P4432" s="6"/>
      <c r="Q4432">
        <v>0</v>
      </c>
      <c r="R4432">
        <f t="shared" si="345"/>
        <v>0</v>
      </c>
      <c r="S4432">
        <f t="shared" si="346"/>
        <v>0</v>
      </c>
      <c r="T4432">
        <f t="shared" si="347"/>
        <v>0</v>
      </c>
      <c r="U4432">
        <f t="shared" si="348"/>
        <v>0</v>
      </c>
      <c r="V4432">
        <f t="shared" si="349"/>
        <v>0</v>
      </c>
    </row>
    <row r="4433" spans="1:22" x14ac:dyDescent="0.25">
      <c r="A4433">
        <v>4430</v>
      </c>
      <c r="B4433" t="s">
        <v>30</v>
      </c>
      <c r="C4433" t="s">
        <v>1455</v>
      </c>
      <c r="D4433" s="4">
        <v>45418</v>
      </c>
      <c r="E4433" t="s">
        <v>2312</v>
      </c>
      <c r="F4433" t="s">
        <v>75</v>
      </c>
      <c r="I4433" s="6"/>
      <c r="J4433" s="6"/>
      <c r="K4433" s="6"/>
      <c r="L4433" s="6"/>
      <c r="M4433" s="6"/>
      <c r="N4433" s="6"/>
      <c r="O4433" s="6"/>
      <c r="P4433" s="6"/>
      <c r="Q4433">
        <v>0</v>
      </c>
      <c r="R4433">
        <f t="shared" si="345"/>
        <v>0</v>
      </c>
      <c r="S4433">
        <f t="shared" si="346"/>
        <v>0</v>
      </c>
      <c r="T4433">
        <f t="shared" si="347"/>
        <v>0</v>
      </c>
      <c r="U4433">
        <f t="shared" si="348"/>
        <v>0</v>
      </c>
      <c r="V4433">
        <f t="shared" si="349"/>
        <v>0</v>
      </c>
    </row>
    <row r="4434" spans="1:22" x14ac:dyDescent="0.25">
      <c r="A4434">
        <v>4431</v>
      </c>
      <c r="B4434" t="s">
        <v>30</v>
      </c>
      <c r="C4434" t="s">
        <v>1455</v>
      </c>
      <c r="D4434" s="4">
        <v>45419</v>
      </c>
      <c r="E4434" t="s">
        <v>1080</v>
      </c>
      <c r="F4434" t="s">
        <v>75</v>
      </c>
      <c r="I4434" s="6">
        <v>1</v>
      </c>
      <c r="J4434" s="6">
        <v>0</v>
      </c>
      <c r="K4434" s="6">
        <v>0</v>
      </c>
      <c r="L4434" s="6">
        <v>0</v>
      </c>
      <c r="M4434" s="6">
        <v>0</v>
      </c>
      <c r="N4434" s="6">
        <v>0</v>
      </c>
      <c r="O4434" s="6">
        <v>0</v>
      </c>
      <c r="P4434" s="6">
        <v>0</v>
      </c>
      <c r="Q4434">
        <v>1</v>
      </c>
      <c r="R4434">
        <f t="shared" si="345"/>
        <v>0</v>
      </c>
      <c r="S4434">
        <f t="shared" si="346"/>
        <v>1</v>
      </c>
      <c r="T4434">
        <f t="shared" si="347"/>
        <v>1</v>
      </c>
      <c r="U4434">
        <f t="shared" si="348"/>
        <v>1</v>
      </c>
      <c r="V4434">
        <f t="shared" si="349"/>
        <v>0</v>
      </c>
    </row>
    <row r="4435" spans="1:22" x14ac:dyDescent="0.25">
      <c r="A4435">
        <v>4432</v>
      </c>
      <c r="B4435" t="s">
        <v>30</v>
      </c>
      <c r="C4435" t="s">
        <v>1455</v>
      </c>
      <c r="D4435" s="4">
        <v>45419</v>
      </c>
      <c r="E4435" t="s">
        <v>320</v>
      </c>
      <c r="F4435" t="s">
        <v>75</v>
      </c>
      <c r="I4435" s="6">
        <v>0</v>
      </c>
      <c r="J4435" s="6">
        <v>0</v>
      </c>
      <c r="K4435" s="6">
        <v>0</v>
      </c>
      <c r="L4435" s="6">
        <v>1</v>
      </c>
      <c r="M4435" s="6">
        <v>0</v>
      </c>
      <c r="N4435" s="6">
        <v>0</v>
      </c>
      <c r="O4435" s="6">
        <v>0</v>
      </c>
      <c r="P4435" s="6">
        <v>1</v>
      </c>
      <c r="Q4435">
        <v>1</v>
      </c>
      <c r="R4435">
        <f t="shared" si="345"/>
        <v>0</v>
      </c>
      <c r="S4435">
        <f t="shared" si="346"/>
        <v>1</v>
      </c>
      <c r="T4435">
        <f t="shared" si="347"/>
        <v>2</v>
      </c>
      <c r="U4435">
        <f t="shared" si="348"/>
        <v>1</v>
      </c>
      <c r="V4435">
        <f t="shared" si="349"/>
        <v>0</v>
      </c>
    </row>
    <row r="4436" spans="1:22" x14ac:dyDescent="0.25">
      <c r="A4436">
        <v>4433</v>
      </c>
      <c r="B4436" t="s">
        <v>30</v>
      </c>
      <c r="C4436" t="s">
        <v>1455</v>
      </c>
      <c r="D4436" s="4">
        <v>45419</v>
      </c>
      <c r="E4436" t="s">
        <v>1081</v>
      </c>
      <c r="F4436" t="s">
        <v>75</v>
      </c>
      <c r="I4436" s="6">
        <v>0</v>
      </c>
      <c r="J4436" s="6">
        <v>0</v>
      </c>
      <c r="K4436" s="6">
        <v>0</v>
      </c>
      <c r="L4436" s="6">
        <v>0</v>
      </c>
      <c r="M4436" s="6">
        <v>1</v>
      </c>
      <c r="N4436" s="6">
        <v>0</v>
      </c>
      <c r="O4436" s="6">
        <v>0</v>
      </c>
      <c r="P4436" s="6">
        <v>0</v>
      </c>
      <c r="Q4436">
        <v>1</v>
      </c>
      <c r="R4436">
        <f t="shared" si="345"/>
        <v>0</v>
      </c>
      <c r="S4436">
        <f t="shared" si="346"/>
        <v>1</v>
      </c>
      <c r="T4436">
        <f t="shared" si="347"/>
        <v>1</v>
      </c>
      <c r="U4436">
        <f t="shared" si="348"/>
        <v>1</v>
      </c>
      <c r="V4436">
        <f t="shared" si="349"/>
        <v>0</v>
      </c>
    </row>
    <row r="4437" spans="1:22" x14ac:dyDescent="0.25">
      <c r="A4437">
        <v>4434</v>
      </c>
      <c r="B4437" t="s">
        <v>30</v>
      </c>
      <c r="C4437" t="s">
        <v>1455</v>
      </c>
      <c r="D4437" s="4">
        <v>45419</v>
      </c>
      <c r="E4437" t="s">
        <v>1482</v>
      </c>
      <c r="F4437" t="s">
        <v>75</v>
      </c>
      <c r="I4437" s="6">
        <v>0</v>
      </c>
      <c r="J4437" s="6">
        <v>0</v>
      </c>
      <c r="K4437" s="6">
        <v>0</v>
      </c>
      <c r="L4437" s="6">
        <v>0</v>
      </c>
      <c r="M4437" s="6">
        <v>1</v>
      </c>
      <c r="N4437" s="6">
        <v>0</v>
      </c>
      <c r="O4437" s="6">
        <v>0</v>
      </c>
      <c r="P4437" s="6">
        <v>0</v>
      </c>
      <c r="Q4437">
        <v>1</v>
      </c>
      <c r="R4437">
        <f t="shared" si="345"/>
        <v>0</v>
      </c>
      <c r="S4437">
        <f t="shared" si="346"/>
        <v>1</v>
      </c>
      <c r="T4437">
        <f t="shared" si="347"/>
        <v>1</v>
      </c>
      <c r="U4437">
        <f t="shared" si="348"/>
        <v>1</v>
      </c>
      <c r="V4437">
        <f t="shared" si="349"/>
        <v>0</v>
      </c>
    </row>
    <row r="4438" spans="1:22" x14ac:dyDescent="0.25">
      <c r="A4438">
        <v>4435</v>
      </c>
      <c r="B4438" t="s">
        <v>30</v>
      </c>
      <c r="C4438" t="s">
        <v>1455</v>
      </c>
      <c r="D4438" s="4">
        <v>45419</v>
      </c>
      <c r="E4438" t="s">
        <v>1177</v>
      </c>
      <c r="F4438" t="s">
        <v>75</v>
      </c>
      <c r="I4438" s="6"/>
      <c r="J4438" s="6"/>
      <c r="K4438" s="6"/>
      <c r="L4438" s="6"/>
      <c r="M4438" s="6"/>
      <c r="N4438" s="6"/>
      <c r="O4438" s="6"/>
      <c r="P4438" s="6"/>
      <c r="Q4438">
        <v>0</v>
      </c>
      <c r="R4438">
        <f t="shared" si="345"/>
        <v>0</v>
      </c>
      <c r="S4438">
        <f t="shared" si="346"/>
        <v>0</v>
      </c>
      <c r="T4438">
        <f t="shared" si="347"/>
        <v>0</v>
      </c>
      <c r="U4438">
        <f t="shared" si="348"/>
        <v>0</v>
      </c>
      <c r="V4438">
        <f t="shared" si="349"/>
        <v>0</v>
      </c>
    </row>
    <row r="4439" spans="1:22" x14ac:dyDescent="0.25">
      <c r="A4439">
        <v>4436</v>
      </c>
      <c r="B4439" t="s">
        <v>30</v>
      </c>
      <c r="C4439" t="s">
        <v>1455</v>
      </c>
      <c r="D4439" s="4">
        <v>45420</v>
      </c>
      <c r="E4439" t="s">
        <v>1230</v>
      </c>
      <c r="F4439" t="s">
        <v>75</v>
      </c>
      <c r="I4439" s="6">
        <v>0</v>
      </c>
      <c r="J4439" s="6">
        <v>0</v>
      </c>
      <c r="K4439" s="6">
        <v>0</v>
      </c>
      <c r="L4439" s="6">
        <v>0</v>
      </c>
      <c r="M4439" s="6">
        <v>0</v>
      </c>
      <c r="N4439" s="6">
        <v>0</v>
      </c>
      <c r="O4439" s="6">
        <v>0</v>
      </c>
      <c r="P4439" s="6">
        <v>1</v>
      </c>
      <c r="Q4439">
        <v>1</v>
      </c>
      <c r="R4439">
        <f t="shared" si="345"/>
        <v>0</v>
      </c>
      <c r="S4439">
        <f t="shared" si="346"/>
        <v>1</v>
      </c>
      <c r="T4439">
        <f t="shared" si="347"/>
        <v>1</v>
      </c>
      <c r="U4439">
        <f t="shared" si="348"/>
        <v>1</v>
      </c>
      <c r="V4439">
        <f t="shared" si="349"/>
        <v>0</v>
      </c>
    </row>
    <row r="4440" spans="1:22" x14ac:dyDescent="0.25">
      <c r="A4440">
        <v>4437</v>
      </c>
      <c r="B4440" t="s">
        <v>30</v>
      </c>
      <c r="C4440" t="s">
        <v>1455</v>
      </c>
      <c r="D4440" s="4">
        <v>45421</v>
      </c>
      <c r="E4440" t="s">
        <v>1231</v>
      </c>
      <c r="F4440" t="s">
        <v>413</v>
      </c>
      <c r="G4440">
        <v>222</v>
      </c>
      <c r="I4440" s="6">
        <v>0</v>
      </c>
      <c r="J4440" s="6">
        <v>0</v>
      </c>
      <c r="K4440" s="6">
        <v>0</v>
      </c>
      <c r="L4440" s="6">
        <v>1</v>
      </c>
      <c r="M4440" s="6">
        <v>0</v>
      </c>
      <c r="N4440" s="6">
        <v>0</v>
      </c>
      <c r="O4440" s="6">
        <v>0</v>
      </c>
      <c r="P4440" s="6">
        <v>1</v>
      </c>
      <c r="Q4440">
        <v>1</v>
      </c>
      <c r="R4440">
        <f t="shared" si="345"/>
        <v>1</v>
      </c>
      <c r="S4440">
        <f t="shared" si="346"/>
        <v>0</v>
      </c>
      <c r="T4440">
        <f t="shared" si="347"/>
        <v>2</v>
      </c>
      <c r="U4440">
        <f t="shared" si="348"/>
        <v>1</v>
      </c>
      <c r="V4440">
        <f t="shared" si="349"/>
        <v>1</v>
      </c>
    </row>
    <row r="4441" spans="1:22" x14ac:dyDescent="0.25">
      <c r="A4441">
        <v>4438</v>
      </c>
      <c r="B4441" t="s">
        <v>30</v>
      </c>
      <c r="C4441" t="s">
        <v>1455</v>
      </c>
      <c r="D4441" s="4">
        <v>45422</v>
      </c>
      <c r="E4441" t="s">
        <v>1087</v>
      </c>
      <c r="F4441" t="s">
        <v>75</v>
      </c>
      <c r="I4441" s="6">
        <v>0</v>
      </c>
      <c r="J4441" s="6">
        <v>0</v>
      </c>
      <c r="K4441" s="6">
        <v>0</v>
      </c>
      <c r="L4441" s="6">
        <v>0</v>
      </c>
      <c r="M4441" s="6">
        <v>0</v>
      </c>
      <c r="N4441" s="6">
        <v>0</v>
      </c>
      <c r="O4441" s="6">
        <v>0</v>
      </c>
      <c r="P4441" s="6">
        <v>0</v>
      </c>
      <c r="Q4441">
        <v>1</v>
      </c>
      <c r="R4441">
        <f t="shared" si="345"/>
        <v>0</v>
      </c>
      <c r="S4441">
        <f t="shared" si="346"/>
        <v>1</v>
      </c>
      <c r="T4441">
        <f t="shared" si="347"/>
        <v>0</v>
      </c>
      <c r="U4441">
        <f t="shared" si="348"/>
        <v>0</v>
      </c>
      <c r="V4441">
        <f t="shared" si="349"/>
        <v>0</v>
      </c>
    </row>
    <row r="4442" spans="1:22" x14ac:dyDescent="0.25">
      <c r="A4442">
        <v>4439</v>
      </c>
      <c r="B4442" t="s">
        <v>30</v>
      </c>
      <c r="C4442" t="s">
        <v>1455</v>
      </c>
      <c r="D4442" s="4">
        <v>45422</v>
      </c>
      <c r="E4442" t="s">
        <v>1088</v>
      </c>
      <c r="F4442" t="s">
        <v>75</v>
      </c>
      <c r="I4442" s="6">
        <v>0</v>
      </c>
      <c r="J4442" s="6">
        <v>0</v>
      </c>
      <c r="K4442" s="6">
        <v>0</v>
      </c>
      <c r="L4442" s="6">
        <v>0</v>
      </c>
      <c r="M4442" s="6">
        <v>0</v>
      </c>
      <c r="N4442" s="6">
        <v>0</v>
      </c>
      <c r="O4442" s="6">
        <v>0</v>
      </c>
      <c r="P4442" s="6">
        <v>0</v>
      </c>
      <c r="Q4442">
        <v>1</v>
      </c>
      <c r="R4442">
        <f t="shared" si="345"/>
        <v>0</v>
      </c>
      <c r="S4442">
        <f t="shared" si="346"/>
        <v>1</v>
      </c>
      <c r="T4442">
        <f t="shared" si="347"/>
        <v>0</v>
      </c>
      <c r="U4442">
        <f t="shared" si="348"/>
        <v>0</v>
      </c>
      <c r="V4442">
        <f t="shared" si="349"/>
        <v>0</v>
      </c>
    </row>
    <row r="4443" spans="1:22" x14ac:dyDescent="0.25">
      <c r="A4443">
        <v>4440</v>
      </c>
      <c r="B4443" t="s">
        <v>30</v>
      </c>
      <c r="C4443" t="s">
        <v>1455</v>
      </c>
      <c r="D4443" s="4">
        <v>45422</v>
      </c>
      <c r="E4443" t="s">
        <v>1089</v>
      </c>
      <c r="F4443" t="s">
        <v>75</v>
      </c>
      <c r="I4443" s="6"/>
      <c r="J4443" s="6"/>
      <c r="K4443" s="6"/>
      <c r="L4443" s="6"/>
      <c r="M4443" s="6"/>
      <c r="N4443" s="6"/>
      <c r="O4443" s="6"/>
      <c r="P4443" s="6"/>
      <c r="Q4443">
        <v>0</v>
      </c>
      <c r="R4443">
        <f t="shared" si="345"/>
        <v>0</v>
      </c>
      <c r="S4443">
        <f t="shared" si="346"/>
        <v>0</v>
      </c>
      <c r="T4443">
        <f t="shared" si="347"/>
        <v>0</v>
      </c>
      <c r="U4443">
        <f t="shared" si="348"/>
        <v>0</v>
      </c>
      <c r="V4443">
        <f t="shared" si="349"/>
        <v>0</v>
      </c>
    </row>
    <row r="4444" spans="1:22" x14ac:dyDescent="0.25">
      <c r="A4444">
        <v>4441</v>
      </c>
      <c r="B4444" t="s">
        <v>30</v>
      </c>
      <c r="C4444" t="s">
        <v>1455</v>
      </c>
      <c r="D4444" s="4">
        <v>45422</v>
      </c>
      <c r="E4444" t="s">
        <v>1183</v>
      </c>
      <c r="F4444" t="s">
        <v>75</v>
      </c>
      <c r="I4444" s="6"/>
      <c r="J4444" s="6"/>
      <c r="K4444" s="6"/>
      <c r="L4444" s="6"/>
      <c r="M4444" s="6"/>
      <c r="N4444" s="6"/>
      <c r="O4444" s="6"/>
      <c r="P4444" s="6"/>
      <c r="Q4444">
        <v>0</v>
      </c>
      <c r="R4444">
        <f t="shared" si="345"/>
        <v>0</v>
      </c>
      <c r="S4444">
        <f t="shared" si="346"/>
        <v>0</v>
      </c>
      <c r="T4444">
        <f t="shared" si="347"/>
        <v>0</v>
      </c>
      <c r="U4444">
        <f t="shared" si="348"/>
        <v>0</v>
      </c>
      <c r="V4444">
        <f t="shared" si="349"/>
        <v>0</v>
      </c>
    </row>
    <row r="4445" spans="1:22" x14ac:dyDescent="0.25">
      <c r="A4445">
        <v>4442</v>
      </c>
      <c r="B4445" t="s">
        <v>30</v>
      </c>
      <c r="C4445" t="s">
        <v>1455</v>
      </c>
      <c r="D4445" s="4">
        <v>45422</v>
      </c>
      <c r="E4445" t="s">
        <v>326</v>
      </c>
      <c r="F4445" t="s">
        <v>75</v>
      </c>
      <c r="I4445" s="6">
        <v>0</v>
      </c>
      <c r="J4445" s="6">
        <v>0</v>
      </c>
      <c r="K4445" s="6">
        <v>0</v>
      </c>
      <c r="L4445" s="6">
        <v>0</v>
      </c>
      <c r="M4445" s="6">
        <v>0</v>
      </c>
      <c r="N4445" s="6">
        <v>0</v>
      </c>
      <c r="O4445" s="6">
        <v>0</v>
      </c>
      <c r="P4445" s="6">
        <v>0</v>
      </c>
      <c r="Q4445">
        <v>1</v>
      </c>
      <c r="R4445">
        <f t="shared" si="345"/>
        <v>0</v>
      </c>
      <c r="S4445">
        <f t="shared" si="346"/>
        <v>1</v>
      </c>
      <c r="T4445">
        <f t="shared" si="347"/>
        <v>0</v>
      </c>
      <c r="U4445">
        <f t="shared" si="348"/>
        <v>0</v>
      </c>
      <c r="V4445">
        <f t="shared" si="349"/>
        <v>0</v>
      </c>
    </row>
    <row r="4446" spans="1:22" x14ac:dyDescent="0.25">
      <c r="A4446">
        <v>4443</v>
      </c>
      <c r="B4446" t="s">
        <v>30</v>
      </c>
      <c r="C4446" t="s">
        <v>1455</v>
      </c>
      <c r="D4446" s="4">
        <v>45423</v>
      </c>
      <c r="E4446" t="s">
        <v>329</v>
      </c>
      <c r="F4446" t="s">
        <v>75</v>
      </c>
      <c r="I4446" s="6">
        <v>0</v>
      </c>
      <c r="J4446" s="6">
        <v>0</v>
      </c>
      <c r="K4446" s="6">
        <v>0</v>
      </c>
      <c r="L4446" s="6">
        <v>0</v>
      </c>
      <c r="M4446" s="6">
        <v>0</v>
      </c>
      <c r="N4446" s="6">
        <v>0</v>
      </c>
      <c r="O4446" s="6">
        <v>0</v>
      </c>
      <c r="P4446" s="6">
        <v>0</v>
      </c>
      <c r="Q4446">
        <v>1</v>
      </c>
      <c r="R4446">
        <f t="shared" si="345"/>
        <v>0</v>
      </c>
      <c r="S4446">
        <f t="shared" si="346"/>
        <v>1</v>
      </c>
      <c r="T4446">
        <f t="shared" si="347"/>
        <v>0</v>
      </c>
      <c r="U4446">
        <f t="shared" si="348"/>
        <v>0</v>
      </c>
      <c r="V4446">
        <f t="shared" si="349"/>
        <v>0</v>
      </c>
    </row>
    <row r="4447" spans="1:22" x14ac:dyDescent="0.25">
      <c r="A4447">
        <v>4444</v>
      </c>
      <c r="B4447" t="s">
        <v>30</v>
      </c>
      <c r="C4447" t="s">
        <v>1455</v>
      </c>
      <c r="D4447" s="4">
        <v>45423</v>
      </c>
      <c r="E4447" t="s">
        <v>330</v>
      </c>
      <c r="F4447" t="s">
        <v>75</v>
      </c>
      <c r="I4447" s="6">
        <v>0</v>
      </c>
      <c r="J4447" s="6">
        <v>0</v>
      </c>
      <c r="K4447" s="6">
        <v>0</v>
      </c>
      <c r="L4447" s="6">
        <v>0</v>
      </c>
      <c r="M4447" s="6">
        <v>0</v>
      </c>
      <c r="N4447" s="6">
        <v>0</v>
      </c>
      <c r="O4447" s="6">
        <v>0</v>
      </c>
      <c r="P4447" s="6">
        <v>0</v>
      </c>
      <c r="Q4447">
        <v>1</v>
      </c>
      <c r="R4447">
        <f t="shared" si="345"/>
        <v>0</v>
      </c>
      <c r="S4447">
        <f t="shared" si="346"/>
        <v>1</v>
      </c>
      <c r="T4447">
        <f t="shared" si="347"/>
        <v>0</v>
      </c>
      <c r="U4447">
        <f t="shared" si="348"/>
        <v>0</v>
      </c>
      <c r="V4447">
        <f t="shared" si="349"/>
        <v>0</v>
      </c>
    </row>
    <row r="4448" spans="1:22" x14ac:dyDescent="0.25">
      <c r="A4448">
        <v>4445</v>
      </c>
      <c r="B4448" t="s">
        <v>30</v>
      </c>
      <c r="C4448" t="s">
        <v>1455</v>
      </c>
      <c r="D4448" s="4">
        <v>45424</v>
      </c>
      <c r="E4448" t="s">
        <v>475</v>
      </c>
      <c r="F4448" t="s">
        <v>75</v>
      </c>
      <c r="I4448" s="6"/>
      <c r="J4448" s="6"/>
      <c r="K4448" s="6"/>
      <c r="L4448" s="6"/>
      <c r="M4448" s="6"/>
      <c r="N4448" s="6"/>
      <c r="O4448" s="6"/>
      <c r="P4448" s="6"/>
      <c r="Q4448">
        <v>0</v>
      </c>
      <c r="R4448">
        <f t="shared" si="345"/>
        <v>0</v>
      </c>
      <c r="S4448">
        <f t="shared" si="346"/>
        <v>0</v>
      </c>
      <c r="T4448">
        <f t="shared" si="347"/>
        <v>0</v>
      </c>
      <c r="U4448">
        <f t="shared" si="348"/>
        <v>0</v>
      </c>
      <c r="V4448">
        <f t="shared" si="349"/>
        <v>0</v>
      </c>
    </row>
    <row r="4449" spans="1:22" x14ac:dyDescent="0.25">
      <c r="A4449">
        <v>4446</v>
      </c>
      <c r="B4449" t="s">
        <v>30</v>
      </c>
      <c r="C4449" t="s">
        <v>1455</v>
      </c>
      <c r="D4449" s="4">
        <v>45424</v>
      </c>
      <c r="E4449" t="s">
        <v>476</v>
      </c>
      <c r="F4449" t="s">
        <v>75</v>
      </c>
      <c r="I4449" s="6">
        <v>0</v>
      </c>
      <c r="J4449" s="6">
        <v>0</v>
      </c>
      <c r="K4449" s="6">
        <v>0</v>
      </c>
      <c r="L4449" s="6">
        <v>0</v>
      </c>
      <c r="M4449" s="6">
        <v>0</v>
      </c>
      <c r="N4449" s="6">
        <v>0</v>
      </c>
      <c r="O4449" s="6">
        <v>0</v>
      </c>
      <c r="P4449" s="6">
        <v>0</v>
      </c>
      <c r="Q4449">
        <v>1</v>
      </c>
      <c r="R4449">
        <f t="shared" si="345"/>
        <v>0</v>
      </c>
      <c r="S4449">
        <f t="shared" si="346"/>
        <v>1</v>
      </c>
      <c r="T4449">
        <f t="shared" si="347"/>
        <v>0</v>
      </c>
      <c r="U4449">
        <f t="shared" si="348"/>
        <v>0</v>
      </c>
      <c r="V4449">
        <f t="shared" si="349"/>
        <v>0</v>
      </c>
    </row>
    <row r="4450" spans="1:22" x14ac:dyDescent="0.25">
      <c r="A4450">
        <v>4447</v>
      </c>
      <c r="B4450" t="s">
        <v>30</v>
      </c>
      <c r="C4450" t="s">
        <v>1455</v>
      </c>
      <c r="D4450" s="4">
        <v>45424</v>
      </c>
      <c r="E4450" t="s">
        <v>477</v>
      </c>
      <c r="F4450" t="s">
        <v>75</v>
      </c>
      <c r="I4450" s="6">
        <v>0</v>
      </c>
      <c r="J4450" s="6">
        <v>0</v>
      </c>
      <c r="K4450" s="6">
        <v>0</v>
      </c>
      <c r="L4450" s="6">
        <v>1</v>
      </c>
      <c r="M4450" s="6">
        <v>0</v>
      </c>
      <c r="N4450" s="6">
        <v>0</v>
      </c>
      <c r="O4450" s="6">
        <v>0</v>
      </c>
      <c r="P4450" s="6">
        <v>0</v>
      </c>
      <c r="Q4450">
        <v>1</v>
      </c>
      <c r="R4450">
        <f t="shared" si="345"/>
        <v>0</v>
      </c>
      <c r="S4450">
        <f t="shared" si="346"/>
        <v>1</v>
      </c>
      <c r="T4450">
        <f t="shared" si="347"/>
        <v>1</v>
      </c>
      <c r="U4450">
        <f t="shared" si="348"/>
        <v>1</v>
      </c>
      <c r="V4450">
        <f t="shared" si="349"/>
        <v>0</v>
      </c>
    </row>
    <row r="4451" spans="1:22" x14ac:dyDescent="0.25">
      <c r="A4451">
        <v>4448</v>
      </c>
      <c r="B4451" t="s">
        <v>30</v>
      </c>
      <c r="C4451" t="s">
        <v>1455</v>
      </c>
      <c r="D4451" s="4">
        <v>45424</v>
      </c>
      <c r="E4451" t="s">
        <v>478</v>
      </c>
      <c r="F4451" t="s">
        <v>75</v>
      </c>
      <c r="I4451" s="6"/>
      <c r="J4451" s="6"/>
      <c r="K4451" s="6"/>
      <c r="L4451" s="6"/>
      <c r="M4451" s="6"/>
      <c r="N4451" s="6"/>
      <c r="O4451" s="6"/>
      <c r="P4451" s="6"/>
      <c r="Q4451">
        <v>0</v>
      </c>
      <c r="R4451">
        <f t="shared" si="345"/>
        <v>0</v>
      </c>
      <c r="S4451">
        <f t="shared" si="346"/>
        <v>0</v>
      </c>
      <c r="T4451">
        <f t="shared" si="347"/>
        <v>0</v>
      </c>
      <c r="U4451">
        <f t="shared" si="348"/>
        <v>0</v>
      </c>
      <c r="V4451">
        <f t="shared" si="349"/>
        <v>0</v>
      </c>
    </row>
    <row r="4452" spans="1:22" x14ac:dyDescent="0.25">
      <c r="A4452">
        <v>4449</v>
      </c>
      <c r="B4452" t="s">
        <v>30</v>
      </c>
      <c r="C4452" t="s">
        <v>1455</v>
      </c>
      <c r="D4452" s="4">
        <v>45424</v>
      </c>
      <c r="E4452" t="s">
        <v>2133</v>
      </c>
      <c r="F4452" t="s">
        <v>75</v>
      </c>
      <c r="I4452" s="6">
        <v>0</v>
      </c>
      <c r="J4452" s="6">
        <v>0</v>
      </c>
      <c r="K4452" s="6">
        <v>1</v>
      </c>
      <c r="L4452" s="6">
        <v>0</v>
      </c>
      <c r="M4452" s="6">
        <v>0</v>
      </c>
      <c r="N4452" s="6">
        <v>0</v>
      </c>
      <c r="O4452" s="6">
        <v>0</v>
      </c>
      <c r="P4452" s="6">
        <v>0</v>
      </c>
      <c r="Q4452">
        <v>1</v>
      </c>
      <c r="R4452">
        <f t="shared" si="345"/>
        <v>0</v>
      </c>
      <c r="S4452">
        <f t="shared" si="346"/>
        <v>1</v>
      </c>
      <c r="T4452">
        <f t="shared" si="347"/>
        <v>1</v>
      </c>
      <c r="U4452">
        <f t="shared" si="348"/>
        <v>1</v>
      </c>
      <c r="V4452">
        <f t="shared" si="349"/>
        <v>0</v>
      </c>
    </row>
    <row r="4453" spans="1:22" x14ac:dyDescent="0.25">
      <c r="A4453">
        <v>4450</v>
      </c>
      <c r="B4453" t="s">
        <v>30</v>
      </c>
      <c r="C4453" t="s">
        <v>1455</v>
      </c>
      <c r="D4453" s="4">
        <v>45424</v>
      </c>
      <c r="E4453" t="s">
        <v>2132</v>
      </c>
      <c r="F4453" t="s">
        <v>75</v>
      </c>
      <c r="I4453" s="6"/>
      <c r="J4453" s="6"/>
      <c r="K4453" s="6"/>
      <c r="L4453" s="6"/>
      <c r="M4453" s="6"/>
      <c r="N4453" s="6"/>
      <c r="O4453" s="6"/>
      <c r="P4453" s="6"/>
      <c r="Q4453">
        <v>0</v>
      </c>
      <c r="R4453">
        <f t="shared" si="345"/>
        <v>0</v>
      </c>
      <c r="S4453">
        <f t="shared" si="346"/>
        <v>0</v>
      </c>
      <c r="T4453">
        <f t="shared" si="347"/>
        <v>0</v>
      </c>
      <c r="U4453">
        <f t="shared" si="348"/>
        <v>0</v>
      </c>
      <c r="V4453">
        <f t="shared" si="349"/>
        <v>0</v>
      </c>
    </row>
    <row r="4454" spans="1:22" x14ac:dyDescent="0.25">
      <c r="A4454">
        <v>4451</v>
      </c>
      <c r="B4454" t="s">
        <v>30</v>
      </c>
      <c r="C4454" t="s">
        <v>1455</v>
      </c>
      <c r="D4454" s="4">
        <v>45424</v>
      </c>
      <c r="E4454" t="s">
        <v>2311</v>
      </c>
      <c r="F4454" t="s">
        <v>75</v>
      </c>
      <c r="I4454" s="6">
        <v>0</v>
      </c>
      <c r="J4454" s="6">
        <v>0</v>
      </c>
      <c r="K4454" s="6">
        <v>0</v>
      </c>
      <c r="L4454" s="6">
        <v>0</v>
      </c>
      <c r="M4454" s="6">
        <v>0</v>
      </c>
      <c r="N4454" s="6">
        <v>0</v>
      </c>
      <c r="O4454" s="6">
        <v>0</v>
      </c>
      <c r="P4454" s="6">
        <v>0</v>
      </c>
      <c r="Q4454">
        <v>1</v>
      </c>
      <c r="R4454">
        <f t="shared" si="345"/>
        <v>0</v>
      </c>
      <c r="S4454">
        <f t="shared" si="346"/>
        <v>1</v>
      </c>
      <c r="T4454">
        <f t="shared" si="347"/>
        <v>0</v>
      </c>
      <c r="U4454">
        <f t="shared" si="348"/>
        <v>0</v>
      </c>
      <c r="V4454">
        <f t="shared" si="349"/>
        <v>0</v>
      </c>
    </row>
    <row r="4455" spans="1:22" x14ac:dyDescent="0.25">
      <c r="A4455">
        <v>4452</v>
      </c>
      <c r="B4455" t="s">
        <v>30</v>
      </c>
      <c r="C4455" t="s">
        <v>1455</v>
      </c>
      <c r="D4455" s="4">
        <v>45425</v>
      </c>
      <c r="E4455" t="s">
        <v>333</v>
      </c>
      <c r="F4455" t="s">
        <v>75</v>
      </c>
      <c r="I4455" s="6">
        <v>0</v>
      </c>
      <c r="J4455" s="6">
        <v>0</v>
      </c>
      <c r="K4455" s="6">
        <v>0</v>
      </c>
      <c r="L4455" s="6">
        <v>0</v>
      </c>
      <c r="M4455" s="6">
        <v>0</v>
      </c>
      <c r="N4455" s="6">
        <v>0</v>
      </c>
      <c r="O4455" s="6">
        <v>0</v>
      </c>
      <c r="P4455" s="6">
        <v>0</v>
      </c>
      <c r="Q4455">
        <v>1</v>
      </c>
      <c r="R4455">
        <f t="shared" si="345"/>
        <v>0</v>
      </c>
      <c r="S4455">
        <f t="shared" si="346"/>
        <v>1</v>
      </c>
      <c r="T4455">
        <f t="shared" si="347"/>
        <v>0</v>
      </c>
      <c r="U4455">
        <f t="shared" si="348"/>
        <v>0</v>
      </c>
      <c r="V4455">
        <f t="shared" si="349"/>
        <v>0</v>
      </c>
    </row>
    <row r="4456" spans="1:22" x14ac:dyDescent="0.25">
      <c r="A4456">
        <v>4453</v>
      </c>
      <c r="B4456" t="s">
        <v>30</v>
      </c>
      <c r="C4456" t="s">
        <v>1455</v>
      </c>
      <c r="D4456" s="4">
        <v>45425</v>
      </c>
      <c r="E4456" t="s">
        <v>334</v>
      </c>
      <c r="F4456" t="s">
        <v>75</v>
      </c>
      <c r="I4456" s="6"/>
      <c r="J4456" s="6"/>
      <c r="K4456" s="6"/>
      <c r="L4456" s="6"/>
      <c r="M4456" s="6"/>
      <c r="N4456" s="6"/>
      <c r="O4456" s="6"/>
      <c r="P4456" s="6"/>
      <c r="Q4456">
        <v>0</v>
      </c>
      <c r="R4456">
        <f t="shared" si="345"/>
        <v>0</v>
      </c>
      <c r="S4456">
        <f t="shared" si="346"/>
        <v>0</v>
      </c>
      <c r="T4456">
        <f t="shared" si="347"/>
        <v>0</v>
      </c>
      <c r="U4456">
        <f t="shared" si="348"/>
        <v>0</v>
      </c>
      <c r="V4456">
        <f t="shared" si="349"/>
        <v>0</v>
      </c>
    </row>
    <row r="4457" spans="1:22" x14ac:dyDescent="0.25">
      <c r="A4457">
        <v>4454</v>
      </c>
      <c r="B4457" t="s">
        <v>30</v>
      </c>
      <c r="C4457" t="s">
        <v>1455</v>
      </c>
      <c r="D4457" s="4">
        <v>45425</v>
      </c>
      <c r="E4457" t="s">
        <v>1090</v>
      </c>
      <c r="F4457" t="s">
        <v>75</v>
      </c>
      <c r="I4457" s="6"/>
      <c r="J4457" s="6"/>
      <c r="K4457" s="6"/>
      <c r="L4457" s="6"/>
      <c r="M4457" s="6"/>
      <c r="N4457" s="6"/>
      <c r="O4457" s="6"/>
      <c r="P4457" s="6"/>
      <c r="Q4457">
        <v>0</v>
      </c>
      <c r="R4457">
        <f t="shared" si="345"/>
        <v>0</v>
      </c>
      <c r="S4457">
        <f t="shared" si="346"/>
        <v>0</v>
      </c>
      <c r="T4457">
        <f t="shared" si="347"/>
        <v>0</v>
      </c>
      <c r="U4457">
        <f t="shared" si="348"/>
        <v>0</v>
      </c>
      <c r="V4457">
        <f t="shared" si="349"/>
        <v>0</v>
      </c>
    </row>
    <row r="4458" spans="1:22" x14ac:dyDescent="0.25">
      <c r="A4458">
        <v>4455</v>
      </c>
      <c r="B4458" t="s">
        <v>30</v>
      </c>
      <c r="C4458" t="s">
        <v>1455</v>
      </c>
      <c r="D4458" s="4">
        <v>45425</v>
      </c>
      <c r="E4458" t="s">
        <v>2131</v>
      </c>
      <c r="F4458" t="s">
        <v>75</v>
      </c>
      <c r="I4458" s="6"/>
      <c r="J4458" s="6"/>
      <c r="K4458" s="6"/>
      <c r="L4458" s="6"/>
      <c r="M4458" s="6"/>
      <c r="N4458" s="6"/>
      <c r="O4458" s="6"/>
      <c r="P4458" s="6"/>
      <c r="Q4458">
        <v>0</v>
      </c>
      <c r="R4458">
        <f t="shared" si="345"/>
        <v>0</v>
      </c>
      <c r="S4458">
        <f t="shared" si="346"/>
        <v>0</v>
      </c>
      <c r="T4458">
        <f t="shared" si="347"/>
        <v>0</v>
      </c>
      <c r="U4458">
        <f t="shared" si="348"/>
        <v>0</v>
      </c>
      <c r="V4458">
        <f t="shared" si="349"/>
        <v>0</v>
      </c>
    </row>
    <row r="4459" spans="1:22" x14ac:dyDescent="0.25">
      <c r="A4459">
        <v>4456</v>
      </c>
      <c r="B4459" t="s">
        <v>30</v>
      </c>
      <c r="C4459" t="s">
        <v>1455</v>
      </c>
      <c r="D4459" s="4">
        <v>45425</v>
      </c>
      <c r="E4459" t="s">
        <v>1407</v>
      </c>
      <c r="F4459" t="s">
        <v>75</v>
      </c>
      <c r="I4459" s="6">
        <v>0</v>
      </c>
      <c r="J4459" s="6">
        <v>0</v>
      </c>
      <c r="K4459" s="6">
        <v>0</v>
      </c>
      <c r="L4459" s="6">
        <v>0</v>
      </c>
      <c r="M4459" s="6">
        <v>0</v>
      </c>
      <c r="N4459" s="6">
        <v>0</v>
      </c>
      <c r="O4459" s="6">
        <v>0</v>
      </c>
      <c r="P4459" s="6">
        <v>0</v>
      </c>
      <c r="Q4459">
        <v>1</v>
      </c>
      <c r="R4459">
        <f t="shared" si="345"/>
        <v>0</v>
      </c>
      <c r="S4459">
        <f t="shared" si="346"/>
        <v>1</v>
      </c>
      <c r="T4459">
        <f t="shared" si="347"/>
        <v>0</v>
      </c>
      <c r="U4459">
        <f t="shared" si="348"/>
        <v>0</v>
      </c>
      <c r="V4459">
        <f t="shared" si="349"/>
        <v>0</v>
      </c>
    </row>
    <row r="4460" spans="1:22" x14ac:dyDescent="0.25">
      <c r="A4460">
        <v>4457</v>
      </c>
      <c r="B4460" t="s">
        <v>30</v>
      </c>
      <c r="C4460" t="s">
        <v>1455</v>
      </c>
      <c r="D4460" s="4">
        <v>45425</v>
      </c>
      <c r="E4460" t="s">
        <v>2130</v>
      </c>
      <c r="F4460" t="s">
        <v>75</v>
      </c>
      <c r="I4460" s="6">
        <v>0</v>
      </c>
      <c r="J4460" s="6">
        <v>0</v>
      </c>
      <c r="K4460" s="6">
        <v>0</v>
      </c>
      <c r="L4460" s="6">
        <v>0</v>
      </c>
      <c r="M4460" s="6">
        <v>0</v>
      </c>
      <c r="N4460" s="6">
        <v>0</v>
      </c>
      <c r="O4460" s="6">
        <v>0</v>
      </c>
      <c r="P4460" s="6">
        <v>1</v>
      </c>
      <c r="Q4460">
        <v>1</v>
      </c>
      <c r="R4460">
        <f t="shared" si="345"/>
        <v>0</v>
      </c>
      <c r="S4460">
        <f t="shared" si="346"/>
        <v>1</v>
      </c>
      <c r="T4460">
        <f t="shared" si="347"/>
        <v>1</v>
      </c>
      <c r="U4460">
        <f t="shared" si="348"/>
        <v>1</v>
      </c>
      <c r="V4460">
        <f t="shared" si="349"/>
        <v>0</v>
      </c>
    </row>
    <row r="4461" spans="1:22" x14ac:dyDescent="0.25">
      <c r="A4461">
        <v>4458</v>
      </c>
      <c r="B4461" t="s">
        <v>30</v>
      </c>
      <c r="C4461" t="s">
        <v>1455</v>
      </c>
      <c r="D4461" s="4">
        <v>45426</v>
      </c>
      <c r="E4461" t="s">
        <v>335</v>
      </c>
      <c r="F4461" t="s">
        <v>75</v>
      </c>
      <c r="I4461" s="6">
        <v>0</v>
      </c>
      <c r="J4461" s="6">
        <v>0</v>
      </c>
      <c r="K4461" s="6">
        <v>0</v>
      </c>
      <c r="L4461" s="6">
        <v>0</v>
      </c>
      <c r="M4461" s="6">
        <v>0</v>
      </c>
      <c r="N4461" s="6">
        <v>0</v>
      </c>
      <c r="O4461" s="6">
        <v>0</v>
      </c>
      <c r="P4461" s="6">
        <v>0</v>
      </c>
      <c r="Q4461">
        <v>1</v>
      </c>
      <c r="R4461">
        <f t="shared" si="345"/>
        <v>0</v>
      </c>
      <c r="S4461">
        <f t="shared" si="346"/>
        <v>1</v>
      </c>
      <c r="T4461">
        <f t="shared" si="347"/>
        <v>0</v>
      </c>
      <c r="U4461">
        <f t="shared" si="348"/>
        <v>0</v>
      </c>
      <c r="V4461">
        <f t="shared" si="349"/>
        <v>0</v>
      </c>
    </row>
    <row r="4462" spans="1:22" x14ac:dyDescent="0.25">
      <c r="A4462">
        <v>4459</v>
      </c>
      <c r="B4462" t="s">
        <v>30</v>
      </c>
      <c r="C4462" t="s">
        <v>1455</v>
      </c>
      <c r="D4462" s="4">
        <v>45426</v>
      </c>
      <c r="E4462" t="s">
        <v>1185</v>
      </c>
      <c r="F4462" t="s">
        <v>75</v>
      </c>
      <c r="I4462" s="6">
        <v>0</v>
      </c>
      <c r="J4462" s="6">
        <v>0</v>
      </c>
      <c r="K4462" s="6">
        <v>0</v>
      </c>
      <c r="L4462" s="6">
        <v>0</v>
      </c>
      <c r="M4462" s="6">
        <v>1</v>
      </c>
      <c r="N4462" s="6">
        <v>1</v>
      </c>
      <c r="O4462" s="6">
        <v>0</v>
      </c>
      <c r="P4462" s="6">
        <v>0</v>
      </c>
      <c r="Q4462">
        <v>1</v>
      </c>
      <c r="R4462">
        <f t="shared" si="345"/>
        <v>0</v>
      </c>
      <c r="S4462">
        <f t="shared" si="346"/>
        <v>1</v>
      </c>
      <c r="T4462">
        <f t="shared" si="347"/>
        <v>2</v>
      </c>
      <c r="U4462">
        <f t="shared" si="348"/>
        <v>1</v>
      </c>
      <c r="V4462">
        <f t="shared" si="349"/>
        <v>0</v>
      </c>
    </row>
    <row r="4463" spans="1:22" x14ac:dyDescent="0.25">
      <c r="A4463">
        <v>4460</v>
      </c>
      <c r="B4463" t="s">
        <v>30</v>
      </c>
      <c r="C4463" t="s">
        <v>1455</v>
      </c>
      <c r="D4463" s="4">
        <v>45426</v>
      </c>
      <c r="E4463" t="s">
        <v>2019</v>
      </c>
      <c r="F4463" t="s">
        <v>75</v>
      </c>
      <c r="I4463" s="6">
        <v>0</v>
      </c>
      <c r="J4463" s="6">
        <v>0</v>
      </c>
      <c r="K4463" s="6">
        <v>0</v>
      </c>
      <c r="L4463" s="6">
        <v>0</v>
      </c>
      <c r="M4463" s="6">
        <v>0</v>
      </c>
      <c r="N4463" s="6">
        <v>0</v>
      </c>
      <c r="O4463" s="6">
        <v>1</v>
      </c>
      <c r="P4463" s="6">
        <v>0</v>
      </c>
      <c r="Q4463">
        <v>1</v>
      </c>
      <c r="R4463">
        <f t="shared" si="345"/>
        <v>0</v>
      </c>
      <c r="S4463">
        <f t="shared" si="346"/>
        <v>1</v>
      </c>
      <c r="T4463">
        <f t="shared" si="347"/>
        <v>1</v>
      </c>
      <c r="U4463">
        <f t="shared" si="348"/>
        <v>1</v>
      </c>
      <c r="V4463">
        <f t="shared" si="349"/>
        <v>0</v>
      </c>
    </row>
    <row r="4464" spans="1:22" x14ac:dyDescent="0.25">
      <c r="A4464">
        <v>4461</v>
      </c>
      <c r="B4464" t="s">
        <v>30</v>
      </c>
      <c r="C4464" t="s">
        <v>1455</v>
      </c>
      <c r="D4464" s="4">
        <v>45427</v>
      </c>
      <c r="E4464" t="s">
        <v>336</v>
      </c>
      <c r="F4464" t="s">
        <v>75</v>
      </c>
      <c r="I4464" s="6"/>
      <c r="J4464" s="6"/>
      <c r="K4464" s="6"/>
      <c r="L4464" s="6"/>
      <c r="M4464" s="6"/>
      <c r="N4464" s="6"/>
      <c r="O4464" s="6"/>
      <c r="P4464" s="6"/>
      <c r="Q4464">
        <v>0</v>
      </c>
      <c r="R4464">
        <f t="shared" si="345"/>
        <v>0</v>
      </c>
      <c r="S4464">
        <f t="shared" si="346"/>
        <v>0</v>
      </c>
      <c r="T4464">
        <f t="shared" si="347"/>
        <v>0</v>
      </c>
      <c r="U4464">
        <f t="shared" si="348"/>
        <v>0</v>
      </c>
      <c r="V4464">
        <f t="shared" si="349"/>
        <v>0</v>
      </c>
    </row>
    <row r="4465" spans="1:22" x14ac:dyDescent="0.25">
      <c r="A4465">
        <v>4462</v>
      </c>
      <c r="B4465" t="s">
        <v>30</v>
      </c>
      <c r="C4465" t="s">
        <v>1455</v>
      </c>
      <c r="D4465" s="4">
        <v>45427</v>
      </c>
      <c r="E4465" t="s">
        <v>337</v>
      </c>
      <c r="F4465" t="s">
        <v>75</v>
      </c>
      <c r="I4465" s="6">
        <v>0</v>
      </c>
      <c r="J4465" s="6">
        <v>0</v>
      </c>
      <c r="K4465" s="6">
        <v>0</v>
      </c>
      <c r="L4465" s="6">
        <v>0</v>
      </c>
      <c r="M4465" s="6">
        <v>0</v>
      </c>
      <c r="N4465" s="6">
        <v>0</v>
      </c>
      <c r="O4465" s="6">
        <v>0</v>
      </c>
      <c r="P4465" s="6">
        <v>0</v>
      </c>
      <c r="Q4465">
        <v>1</v>
      </c>
      <c r="R4465">
        <f t="shared" si="345"/>
        <v>0</v>
      </c>
      <c r="S4465">
        <f t="shared" si="346"/>
        <v>1</v>
      </c>
      <c r="T4465">
        <f t="shared" si="347"/>
        <v>0</v>
      </c>
      <c r="U4465">
        <f t="shared" si="348"/>
        <v>0</v>
      </c>
      <c r="V4465">
        <f t="shared" si="349"/>
        <v>0</v>
      </c>
    </row>
    <row r="4466" spans="1:22" x14ac:dyDescent="0.25">
      <c r="A4466">
        <v>4463</v>
      </c>
      <c r="B4466" t="s">
        <v>30</v>
      </c>
      <c r="C4466" t="s">
        <v>1455</v>
      </c>
      <c r="D4466" s="4">
        <v>45427</v>
      </c>
      <c r="E4466" t="s">
        <v>338</v>
      </c>
      <c r="F4466" t="s">
        <v>75</v>
      </c>
      <c r="I4466" s="6">
        <v>0</v>
      </c>
      <c r="J4466" s="6">
        <v>0</v>
      </c>
      <c r="K4466" s="6">
        <v>0</v>
      </c>
      <c r="L4466" s="6">
        <v>1</v>
      </c>
      <c r="M4466" s="6">
        <v>0</v>
      </c>
      <c r="N4466" s="6">
        <v>0</v>
      </c>
      <c r="O4466" s="6">
        <v>0</v>
      </c>
      <c r="P4466" s="6">
        <v>0</v>
      </c>
      <c r="Q4466">
        <v>1</v>
      </c>
      <c r="R4466">
        <f t="shared" si="345"/>
        <v>0</v>
      </c>
      <c r="S4466">
        <f t="shared" si="346"/>
        <v>1</v>
      </c>
      <c r="T4466">
        <f t="shared" si="347"/>
        <v>1</v>
      </c>
      <c r="U4466">
        <f t="shared" si="348"/>
        <v>1</v>
      </c>
      <c r="V4466">
        <f t="shared" si="349"/>
        <v>0</v>
      </c>
    </row>
    <row r="4467" spans="1:22" x14ac:dyDescent="0.25">
      <c r="A4467">
        <v>4464</v>
      </c>
      <c r="B4467" t="s">
        <v>30</v>
      </c>
      <c r="C4467" t="s">
        <v>1455</v>
      </c>
      <c r="D4467" s="4">
        <v>45427</v>
      </c>
      <c r="E4467" t="s">
        <v>339</v>
      </c>
      <c r="F4467" t="s">
        <v>75</v>
      </c>
      <c r="I4467" s="6">
        <v>0</v>
      </c>
      <c r="J4467" s="6">
        <v>0</v>
      </c>
      <c r="K4467" s="6">
        <v>0</v>
      </c>
      <c r="L4467" s="6">
        <v>0</v>
      </c>
      <c r="M4467" s="6">
        <v>0</v>
      </c>
      <c r="N4467" s="6">
        <v>0</v>
      </c>
      <c r="O4467" s="6">
        <v>0</v>
      </c>
      <c r="P4467" s="6">
        <v>0</v>
      </c>
      <c r="Q4467">
        <v>1</v>
      </c>
      <c r="R4467">
        <f t="shared" si="345"/>
        <v>0</v>
      </c>
      <c r="S4467">
        <f t="shared" si="346"/>
        <v>1</v>
      </c>
      <c r="T4467">
        <f t="shared" si="347"/>
        <v>0</v>
      </c>
      <c r="U4467">
        <f t="shared" si="348"/>
        <v>0</v>
      </c>
      <c r="V4467">
        <f t="shared" si="349"/>
        <v>0</v>
      </c>
    </row>
    <row r="4468" spans="1:22" x14ac:dyDescent="0.25">
      <c r="A4468">
        <v>4465</v>
      </c>
      <c r="B4468" t="s">
        <v>30</v>
      </c>
      <c r="C4468" t="s">
        <v>1455</v>
      </c>
      <c r="D4468" s="4">
        <v>45427</v>
      </c>
      <c r="E4468" t="s">
        <v>2126</v>
      </c>
      <c r="F4468" t="s">
        <v>75</v>
      </c>
      <c r="I4468" s="6"/>
      <c r="J4468" s="6"/>
      <c r="K4468" s="6"/>
      <c r="L4468" s="6"/>
      <c r="M4468" s="6"/>
      <c r="N4468" s="6"/>
      <c r="O4468" s="6"/>
      <c r="P4468" s="6"/>
      <c r="Q4468">
        <v>0</v>
      </c>
      <c r="R4468">
        <f t="shared" si="345"/>
        <v>0</v>
      </c>
      <c r="S4468">
        <f t="shared" si="346"/>
        <v>0</v>
      </c>
      <c r="T4468">
        <f t="shared" si="347"/>
        <v>0</v>
      </c>
      <c r="U4468">
        <f t="shared" si="348"/>
        <v>0</v>
      </c>
      <c r="V4468">
        <f t="shared" si="349"/>
        <v>0</v>
      </c>
    </row>
    <row r="4469" spans="1:22" x14ac:dyDescent="0.25">
      <c r="A4469">
        <v>4466</v>
      </c>
      <c r="B4469" t="s">
        <v>30</v>
      </c>
      <c r="C4469" t="s">
        <v>1455</v>
      </c>
      <c r="D4469" s="4">
        <v>45428</v>
      </c>
      <c r="E4469" t="s">
        <v>341</v>
      </c>
      <c r="F4469" t="s">
        <v>75</v>
      </c>
      <c r="I4469" s="6">
        <v>0</v>
      </c>
      <c r="J4469" s="6">
        <v>0</v>
      </c>
      <c r="K4469" s="6">
        <v>0</v>
      </c>
      <c r="L4469" s="6">
        <v>0</v>
      </c>
      <c r="M4469" s="6">
        <v>0</v>
      </c>
      <c r="N4469" s="6">
        <v>0</v>
      </c>
      <c r="O4469" s="6">
        <v>0</v>
      </c>
      <c r="P4469" s="6">
        <v>0</v>
      </c>
      <c r="Q4469">
        <v>1</v>
      </c>
      <c r="R4469">
        <f t="shared" si="345"/>
        <v>0</v>
      </c>
      <c r="S4469">
        <f t="shared" si="346"/>
        <v>1</v>
      </c>
      <c r="T4469">
        <f t="shared" si="347"/>
        <v>0</v>
      </c>
      <c r="U4469">
        <f t="shared" si="348"/>
        <v>0</v>
      </c>
      <c r="V4469">
        <f t="shared" si="349"/>
        <v>0</v>
      </c>
    </row>
    <row r="4470" spans="1:22" x14ac:dyDescent="0.25">
      <c r="A4470">
        <v>4467</v>
      </c>
      <c r="B4470" t="s">
        <v>30</v>
      </c>
      <c r="C4470" t="s">
        <v>1455</v>
      </c>
      <c r="D4470" s="4">
        <v>45428</v>
      </c>
      <c r="E4470" t="s">
        <v>342</v>
      </c>
      <c r="F4470" t="s">
        <v>75</v>
      </c>
      <c r="I4470" s="6">
        <v>0</v>
      </c>
      <c r="J4470" s="6">
        <v>0</v>
      </c>
      <c r="K4470" s="6">
        <v>0</v>
      </c>
      <c r="L4470" s="6">
        <v>0</v>
      </c>
      <c r="M4470" s="6">
        <v>0</v>
      </c>
      <c r="N4470" s="6">
        <v>0</v>
      </c>
      <c r="O4470" s="6">
        <v>0</v>
      </c>
      <c r="P4470" s="6">
        <v>0</v>
      </c>
      <c r="Q4470">
        <v>1</v>
      </c>
      <c r="R4470">
        <f t="shared" si="345"/>
        <v>0</v>
      </c>
      <c r="S4470">
        <f t="shared" si="346"/>
        <v>1</v>
      </c>
      <c r="T4470">
        <f t="shared" si="347"/>
        <v>0</v>
      </c>
      <c r="U4470">
        <f t="shared" si="348"/>
        <v>0</v>
      </c>
      <c r="V4470">
        <f t="shared" si="349"/>
        <v>0</v>
      </c>
    </row>
    <row r="4471" spans="1:22" x14ac:dyDescent="0.25">
      <c r="A4471">
        <v>4468</v>
      </c>
      <c r="B4471" t="s">
        <v>30</v>
      </c>
      <c r="C4471" t="s">
        <v>1455</v>
      </c>
      <c r="D4471" s="4">
        <v>45428</v>
      </c>
      <c r="E4471" t="s">
        <v>343</v>
      </c>
      <c r="F4471" t="s">
        <v>75</v>
      </c>
      <c r="I4471" s="6"/>
      <c r="J4471" s="6"/>
      <c r="K4471" s="6"/>
      <c r="L4471" s="6"/>
      <c r="M4471" s="6"/>
      <c r="N4471" s="6"/>
      <c r="O4471" s="6"/>
      <c r="P4471" s="6"/>
      <c r="Q4471">
        <v>0</v>
      </c>
      <c r="R4471">
        <f t="shared" si="345"/>
        <v>0</v>
      </c>
      <c r="S4471">
        <f t="shared" si="346"/>
        <v>0</v>
      </c>
      <c r="T4471">
        <f t="shared" si="347"/>
        <v>0</v>
      </c>
      <c r="U4471">
        <f t="shared" si="348"/>
        <v>0</v>
      </c>
      <c r="V4471">
        <f t="shared" si="349"/>
        <v>0</v>
      </c>
    </row>
    <row r="4472" spans="1:22" x14ac:dyDescent="0.25">
      <c r="A4472">
        <v>4469</v>
      </c>
      <c r="B4472" t="s">
        <v>30</v>
      </c>
      <c r="C4472" t="s">
        <v>1455</v>
      </c>
      <c r="D4472" s="4">
        <v>45428</v>
      </c>
      <c r="E4472" t="s">
        <v>344</v>
      </c>
      <c r="F4472" t="s">
        <v>75</v>
      </c>
      <c r="I4472" s="6">
        <v>0</v>
      </c>
      <c r="J4472" s="6">
        <v>0</v>
      </c>
      <c r="K4472" s="6">
        <v>0</v>
      </c>
      <c r="L4472" s="6">
        <v>0</v>
      </c>
      <c r="M4472" s="6">
        <v>1</v>
      </c>
      <c r="N4472" s="6">
        <v>0</v>
      </c>
      <c r="O4472" s="6">
        <v>0</v>
      </c>
      <c r="P4472" s="6">
        <v>0</v>
      </c>
      <c r="Q4472">
        <v>1</v>
      </c>
      <c r="R4472">
        <f t="shared" si="345"/>
        <v>0</v>
      </c>
      <c r="S4472">
        <f t="shared" si="346"/>
        <v>1</v>
      </c>
      <c r="T4472">
        <f t="shared" si="347"/>
        <v>1</v>
      </c>
      <c r="U4472">
        <f t="shared" si="348"/>
        <v>1</v>
      </c>
      <c r="V4472">
        <f t="shared" si="349"/>
        <v>0</v>
      </c>
    </row>
    <row r="4473" spans="1:22" x14ac:dyDescent="0.25">
      <c r="A4473">
        <v>4470</v>
      </c>
      <c r="B4473" t="s">
        <v>30</v>
      </c>
      <c r="C4473" t="s">
        <v>1455</v>
      </c>
      <c r="D4473" s="4">
        <v>45429</v>
      </c>
      <c r="E4473" t="s">
        <v>2120</v>
      </c>
      <c r="F4473" t="s">
        <v>75</v>
      </c>
      <c r="I4473" s="6"/>
      <c r="J4473" s="6"/>
      <c r="K4473" s="6"/>
      <c r="L4473" s="6"/>
      <c r="M4473" s="6"/>
      <c r="N4473" s="6"/>
      <c r="O4473" s="6"/>
      <c r="P4473" s="6"/>
      <c r="Q4473">
        <v>0</v>
      </c>
      <c r="R4473">
        <f t="shared" si="345"/>
        <v>0</v>
      </c>
      <c r="S4473">
        <f t="shared" si="346"/>
        <v>0</v>
      </c>
      <c r="T4473">
        <f t="shared" si="347"/>
        <v>0</v>
      </c>
      <c r="U4473">
        <f t="shared" si="348"/>
        <v>0</v>
      </c>
      <c r="V4473">
        <f t="shared" si="349"/>
        <v>0</v>
      </c>
    </row>
    <row r="4474" spans="1:22" x14ac:dyDescent="0.25">
      <c r="A4474">
        <v>4471</v>
      </c>
      <c r="B4474" t="s">
        <v>30</v>
      </c>
      <c r="C4474" t="s">
        <v>1455</v>
      </c>
      <c r="D4474" s="4">
        <v>45429</v>
      </c>
      <c r="E4474" t="s">
        <v>345</v>
      </c>
      <c r="F4474" t="s">
        <v>75</v>
      </c>
      <c r="I4474" s="6">
        <v>0</v>
      </c>
      <c r="J4474" s="6">
        <v>0</v>
      </c>
      <c r="K4474" s="6">
        <v>0</v>
      </c>
      <c r="L4474" s="6">
        <v>0</v>
      </c>
      <c r="M4474" s="6">
        <v>0</v>
      </c>
      <c r="N4474" s="6">
        <v>0</v>
      </c>
      <c r="O4474" s="6">
        <v>0</v>
      </c>
      <c r="P4474" s="6">
        <v>0</v>
      </c>
      <c r="Q4474">
        <v>1</v>
      </c>
      <c r="R4474">
        <f t="shared" si="345"/>
        <v>0</v>
      </c>
      <c r="S4474">
        <f t="shared" si="346"/>
        <v>1</v>
      </c>
      <c r="T4474">
        <f t="shared" si="347"/>
        <v>0</v>
      </c>
      <c r="U4474">
        <f t="shared" si="348"/>
        <v>0</v>
      </c>
      <c r="V4474">
        <f t="shared" si="349"/>
        <v>0</v>
      </c>
    </row>
    <row r="4475" spans="1:22" x14ac:dyDescent="0.25">
      <c r="A4475">
        <v>4472</v>
      </c>
      <c r="B4475" t="s">
        <v>30</v>
      </c>
      <c r="C4475" t="s">
        <v>1455</v>
      </c>
      <c r="D4475" s="4">
        <v>45429</v>
      </c>
      <c r="E4475" t="s">
        <v>1483</v>
      </c>
      <c r="F4475" t="s">
        <v>75</v>
      </c>
      <c r="I4475" s="6">
        <v>0</v>
      </c>
      <c r="J4475" s="6">
        <v>0</v>
      </c>
      <c r="K4475" s="6">
        <v>0</v>
      </c>
      <c r="L4475" s="6">
        <v>0</v>
      </c>
      <c r="M4475" s="6">
        <v>1</v>
      </c>
      <c r="N4475" s="6">
        <v>0</v>
      </c>
      <c r="O4475" s="6">
        <v>0</v>
      </c>
      <c r="P4475" s="6">
        <v>0</v>
      </c>
      <c r="Q4475">
        <v>1</v>
      </c>
      <c r="R4475">
        <f t="shared" si="345"/>
        <v>0</v>
      </c>
      <c r="S4475">
        <f t="shared" si="346"/>
        <v>1</v>
      </c>
      <c r="T4475">
        <f t="shared" si="347"/>
        <v>1</v>
      </c>
      <c r="U4475">
        <f t="shared" si="348"/>
        <v>1</v>
      </c>
      <c r="V4475">
        <f t="shared" si="349"/>
        <v>0</v>
      </c>
    </row>
    <row r="4476" spans="1:22" x14ac:dyDescent="0.25">
      <c r="A4476">
        <v>4473</v>
      </c>
      <c r="B4476" t="s">
        <v>30</v>
      </c>
      <c r="C4476" t="s">
        <v>1455</v>
      </c>
      <c r="D4476" s="4">
        <v>45429</v>
      </c>
      <c r="E4476" t="s">
        <v>346</v>
      </c>
      <c r="F4476" t="s">
        <v>75</v>
      </c>
      <c r="I4476" s="6">
        <v>0</v>
      </c>
      <c r="J4476" s="6">
        <v>0</v>
      </c>
      <c r="K4476" s="6">
        <v>0</v>
      </c>
      <c r="L4476" s="6">
        <v>0</v>
      </c>
      <c r="M4476" s="6">
        <v>1</v>
      </c>
      <c r="N4476" s="6">
        <v>0</v>
      </c>
      <c r="O4476" s="6">
        <v>0</v>
      </c>
      <c r="P4476" s="6">
        <v>0</v>
      </c>
      <c r="Q4476">
        <v>1</v>
      </c>
      <c r="R4476">
        <f t="shared" si="345"/>
        <v>0</v>
      </c>
      <c r="S4476">
        <f t="shared" si="346"/>
        <v>1</v>
      </c>
      <c r="T4476">
        <f t="shared" si="347"/>
        <v>1</v>
      </c>
      <c r="U4476">
        <f t="shared" si="348"/>
        <v>1</v>
      </c>
      <c r="V4476">
        <f t="shared" si="349"/>
        <v>0</v>
      </c>
    </row>
    <row r="4477" spans="1:22" x14ac:dyDescent="0.25">
      <c r="A4477">
        <v>4474</v>
      </c>
      <c r="B4477" t="s">
        <v>30</v>
      </c>
      <c r="C4477" t="s">
        <v>1455</v>
      </c>
      <c r="D4477" s="4">
        <v>45429</v>
      </c>
      <c r="E4477" t="s">
        <v>1409</v>
      </c>
      <c r="F4477" t="s">
        <v>75</v>
      </c>
      <c r="I4477" s="6">
        <v>0</v>
      </c>
      <c r="J4477" s="6">
        <v>0</v>
      </c>
      <c r="K4477" s="6">
        <v>0</v>
      </c>
      <c r="L4477" s="6">
        <v>0</v>
      </c>
      <c r="M4477" s="6">
        <v>1</v>
      </c>
      <c r="N4477" s="6">
        <v>0</v>
      </c>
      <c r="O4477" s="6">
        <v>0</v>
      </c>
      <c r="P4477" s="6">
        <v>0</v>
      </c>
      <c r="Q4477">
        <v>1</v>
      </c>
      <c r="R4477">
        <f t="shared" si="345"/>
        <v>0</v>
      </c>
      <c r="S4477">
        <f t="shared" si="346"/>
        <v>1</v>
      </c>
      <c r="T4477">
        <f t="shared" si="347"/>
        <v>1</v>
      </c>
      <c r="U4477">
        <f t="shared" si="348"/>
        <v>1</v>
      </c>
      <c r="V4477">
        <f t="shared" si="349"/>
        <v>0</v>
      </c>
    </row>
    <row r="4478" spans="1:22" x14ac:dyDescent="0.25">
      <c r="A4478">
        <v>4475</v>
      </c>
      <c r="B4478" t="s">
        <v>30</v>
      </c>
      <c r="C4478" t="s">
        <v>1455</v>
      </c>
      <c r="D4478" s="4">
        <v>45429</v>
      </c>
      <c r="E4478" t="s">
        <v>347</v>
      </c>
      <c r="F4478" t="s">
        <v>75</v>
      </c>
      <c r="I4478" s="6">
        <v>0</v>
      </c>
      <c r="J4478" s="6">
        <v>0</v>
      </c>
      <c r="K4478" s="6">
        <v>0</v>
      </c>
      <c r="L4478" s="6">
        <v>1</v>
      </c>
      <c r="M4478" s="6">
        <v>0</v>
      </c>
      <c r="N4478" s="6">
        <v>0</v>
      </c>
      <c r="O4478" s="6">
        <v>0</v>
      </c>
      <c r="P4478" s="6">
        <v>0</v>
      </c>
      <c r="Q4478">
        <v>1</v>
      </c>
      <c r="R4478">
        <f t="shared" si="345"/>
        <v>0</v>
      </c>
      <c r="S4478">
        <f t="shared" si="346"/>
        <v>1</v>
      </c>
      <c r="T4478">
        <f t="shared" si="347"/>
        <v>1</v>
      </c>
      <c r="U4478">
        <f t="shared" si="348"/>
        <v>1</v>
      </c>
      <c r="V4478">
        <f t="shared" si="349"/>
        <v>0</v>
      </c>
    </row>
    <row r="4479" spans="1:22" x14ac:dyDescent="0.25">
      <c r="A4479">
        <v>4476</v>
      </c>
      <c r="B4479" t="s">
        <v>30</v>
      </c>
      <c r="C4479" t="s">
        <v>1455</v>
      </c>
      <c r="D4479" s="4">
        <v>45430</v>
      </c>
      <c r="E4479" t="s">
        <v>891</v>
      </c>
      <c r="F4479" t="s">
        <v>75</v>
      </c>
      <c r="I4479" s="6">
        <v>0</v>
      </c>
      <c r="J4479" s="6">
        <v>0</v>
      </c>
      <c r="K4479" s="6">
        <v>0</v>
      </c>
      <c r="L4479" s="6">
        <v>0</v>
      </c>
      <c r="M4479" s="6">
        <v>0</v>
      </c>
      <c r="N4479" s="6">
        <v>0</v>
      </c>
      <c r="O4479" s="6">
        <v>0</v>
      </c>
      <c r="P4479" s="6">
        <v>0</v>
      </c>
      <c r="Q4479">
        <v>1</v>
      </c>
      <c r="R4479">
        <f t="shared" si="345"/>
        <v>0</v>
      </c>
      <c r="S4479">
        <f t="shared" si="346"/>
        <v>1</v>
      </c>
      <c r="T4479">
        <f t="shared" si="347"/>
        <v>0</v>
      </c>
      <c r="U4479">
        <f t="shared" si="348"/>
        <v>0</v>
      </c>
      <c r="V4479">
        <f t="shared" si="349"/>
        <v>0</v>
      </c>
    </row>
    <row r="4480" spans="1:22" x14ac:dyDescent="0.25">
      <c r="A4480">
        <v>4477</v>
      </c>
      <c r="B4480" t="s">
        <v>30</v>
      </c>
      <c r="C4480" t="s">
        <v>1455</v>
      </c>
      <c r="D4480" s="4">
        <v>45430</v>
      </c>
      <c r="E4480" t="s">
        <v>349</v>
      </c>
      <c r="F4480" t="s">
        <v>75</v>
      </c>
      <c r="I4480" s="6">
        <v>0</v>
      </c>
      <c r="J4480" s="6">
        <v>0</v>
      </c>
      <c r="K4480" s="6">
        <v>0</v>
      </c>
      <c r="L4480" s="6">
        <v>1</v>
      </c>
      <c r="M4480" s="6">
        <v>0</v>
      </c>
      <c r="N4480" s="6">
        <v>0</v>
      </c>
      <c r="O4480" s="6">
        <v>0</v>
      </c>
      <c r="P4480" s="6">
        <v>0</v>
      </c>
      <c r="Q4480">
        <v>1</v>
      </c>
      <c r="R4480">
        <f t="shared" si="345"/>
        <v>0</v>
      </c>
      <c r="S4480">
        <f t="shared" si="346"/>
        <v>1</v>
      </c>
      <c r="T4480">
        <f t="shared" si="347"/>
        <v>1</v>
      </c>
      <c r="U4480">
        <f t="shared" si="348"/>
        <v>1</v>
      </c>
      <c r="V4480">
        <f t="shared" si="349"/>
        <v>0</v>
      </c>
    </row>
    <row r="4481" spans="1:22" x14ac:dyDescent="0.25">
      <c r="A4481">
        <v>4478</v>
      </c>
      <c r="B4481" t="s">
        <v>30</v>
      </c>
      <c r="C4481" t="s">
        <v>1455</v>
      </c>
      <c r="D4481" s="4">
        <v>45430</v>
      </c>
      <c r="E4481" t="s">
        <v>350</v>
      </c>
      <c r="F4481" t="s">
        <v>75</v>
      </c>
      <c r="I4481" s="6"/>
      <c r="J4481" s="6"/>
      <c r="K4481" s="6"/>
      <c r="L4481" s="6"/>
      <c r="M4481" s="6"/>
      <c r="N4481" s="6"/>
      <c r="O4481" s="6"/>
      <c r="P4481" s="6"/>
      <c r="Q4481">
        <v>0</v>
      </c>
      <c r="R4481">
        <f t="shared" si="345"/>
        <v>0</v>
      </c>
      <c r="S4481">
        <f t="shared" si="346"/>
        <v>0</v>
      </c>
      <c r="T4481">
        <f t="shared" si="347"/>
        <v>0</v>
      </c>
      <c r="U4481">
        <f t="shared" si="348"/>
        <v>0</v>
      </c>
      <c r="V4481">
        <f t="shared" si="349"/>
        <v>0</v>
      </c>
    </row>
    <row r="4482" spans="1:22" x14ac:dyDescent="0.25">
      <c r="A4482">
        <v>4479</v>
      </c>
      <c r="B4482" t="s">
        <v>30</v>
      </c>
      <c r="C4482" t="s">
        <v>1455</v>
      </c>
      <c r="D4482" s="4">
        <v>45430</v>
      </c>
      <c r="E4482" t="s">
        <v>351</v>
      </c>
      <c r="F4482" t="s">
        <v>75</v>
      </c>
      <c r="I4482" s="6">
        <v>0</v>
      </c>
      <c r="J4482" s="6">
        <v>0</v>
      </c>
      <c r="K4482" s="6">
        <v>0</v>
      </c>
      <c r="L4482" s="6">
        <v>0</v>
      </c>
      <c r="M4482" s="6">
        <v>1</v>
      </c>
      <c r="N4482" s="6">
        <v>1</v>
      </c>
      <c r="O4482" s="6">
        <v>0</v>
      </c>
      <c r="P4482" s="6">
        <v>0</v>
      </c>
      <c r="Q4482">
        <v>1</v>
      </c>
      <c r="R4482">
        <f t="shared" si="345"/>
        <v>0</v>
      </c>
      <c r="S4482">
        <f t="shared" si="346"/>
        <v>1</v>
      </c>
      <c r="T4482">
        <f t="shared" si="347"/>
        <v>2</v>
      </c>
      <c r="U4482">
        <f t="shared" si="348"/>
        <v>1</v>
      </c>
      <c r="V4482">
        <f t="shared" si="349"/>
        <v>0</v>
      </c>
    </row>
    <row r="4483" spans="1:22" x14ac:dyDescent="0.25">
      <c r="A4483">
        <v>4480</v>
      </c>
      <c r="B4483" t="s">
        <v>30</v>
      </c>
      <c r="C4483" t="s">
        <v>1455</v>
      </c>
      <c r="D4483" s="4">
        <v>45431</v>
      </c>
      <c r="E4483" t="s">
        <v>353</v>
      </c>
      <c r="F4483" t="s">
        <v>75</v>
      </c>
      <c r="I4483" s="6">
        <v>0</v>
      </c>
      <c r="J4483" s="6">
        <v>0</v>
      </c>
      <c r="K4483" s="6">
        <v>0</v>
      </c>
      <c r="L4483" s="6">
        <v>0</v>
      </c>
      <c r="M4483" s="6">
        <v>0</v>
      </c>
      <c r="N4483" s="6">
        <v>0</v>
      </c>
      <c r="O4483" s="6">
        <v>0</v>
      </c>
      <c r="P4483" s="6">
        <v>0</v>
      </c>
      <c r="Q4483">
        <v>1</v>
      </c>
      <c r="R4483">
        <f t="shared" ref="R4483:R4546" si="350">IF(AND(Q4483=1,F4483="ai_full"),1,0)</f>
        <v>0</v>
      </c>
      <c r="S4483">
        <f t="shared" ref="S4483:S4546" si="351">IF(AND(Q4483=1,F4483="conventional"),1,0)</f>
        <v>1</v>
      </c>
      <c r="T4483">
        <f t="shared" ref="T4483:T4546" si="352">SUM(I4483:P4483)</f>
        <v>0</v>
      </c>
      <c r="U4483">
        <f t="shared" ref="U4483:U4546" si="353">IF(T4483&gt;=1,1,0)</f>
        <v>0</v>
      </c>
      <c r="V4483">
        <f t="shared" ref="V4483:V4546" si="354">IF(F4483="ai_full",1,0)</f>
        <v>0</v>
      </c>
    </row>
    <row r="4484" spans="1:22" x14ac:dyDescent="0.25">
      <c r="A4484">
        <v>4481</v>
      </c>
      <c r="B4484" t="s">
        <v>30</v>
      </c>
      <c r="C4484" t="s">
        <v>1455</v>
      </c>
      <c r="D4484" s="4">
        <v>45431</v>
      </c>
      <c r="E4484" t="s">
        <v>354</v>
      </c>
      <c r="F4484" t="s">
        <v>75</v>
      </c>
      <c r="I4484" s="6"/>
      <c r="J4484" s="6"/>
      <c r="K4484" s="6"/>
      <c r="L4484" s="6"/>
      <c r="M4484" s="6"/>
      <c r="N4484" s="6"/>
      <c r="O4484" s="6"/>
      <c r="P4484" s="6"/>
      <c r="Q4484">
        <v>0</v>
      </c>
      <c r="R4484">
        <f t="shared" si="350"/>
        <v>0</v>
      </c>
      <c r="S4484">
        <f t="shared" si="351"/>
        <v>0</v>
      </c>
      <c r="T4484">
        <f t="shared" si="352"/>
        <v>0</v>
      </c>
      <c r="U4484">
        <f t="shared" si="353"/>
        <v>0</v>
      </c>
      <c r="V4484">
        <f t="shared" si="354"/>
        <v>0</v>
      </c>
    </row>
    <row r="4485" spans="1:22" x14ac:dyDescent="0.25">
      <c r="A4485">
        <v>4482</v>
      </c>
      <c r="B4485" t="s">
        <v>30</v>
      </c>
      <c r="C4485" t="s">
        <v>1455</v>
      </c>
      <c r="D4485" s="4">
        <v>45431</v>
      </c>
      <c r="E4485" t="s">
        <v>1091</v>
      </c>
      <c r="F4485" t="s">
        <v>75</v>
      </c>
      <c r="I4485" s="6">
        <v>0</v>
      </c>
      <c r="J4485" s="6">
        <v>0</v>
      </c>
      <c r="K4485" s="6">
        <v>0</v>
      </c>
      <c r="L4485" s="6">
        <v>0</v>
      </c>
      <c r="M4485" s="6">
        <v>0</v>
      </c>
      <c r="N4485" s="6">
        <v>0</v>
      </c>
      <c r="O4485" s="6">
        <v>0</v>
      </c>
      <c r="P4485" s="6">
        <v>0</v>
      </c>
      <c r="Q4485">
        <v>1</v>
      </c>
      <c r="R4485">
        <f t="shared" si="350"/>
        <v>0</v>
      </c>
      <c r="S4485">
        <f t="shared" si="351"/>
        <v>1</v>
      </c>
      <c r="T4485">
        <f t="shared" si="352"/>
        <v>0</v>
      </c>
      <c r="U4485">
        <f t="shared" si="353"/>
        <v>0</v>
      </c>
      <c r="V4485">
        <f t="shared" si="354"/>
        <v>0</v>
      </c>
    </row>
    <row r="4486" spans="1:22" x14ac:dyDescent="0.25">
      <c r="A4486">
        <v>4483</v>
      </c>
      <c r="B4486" t="s">
        <v>30</v>
      </c>
      <c r="C4486" t="s">
        <v>1455</v>
      </c>
      <c r="D4486" s="4">
        <v>45431</v>
      </c>
      <c r="E4486" t="s">
        <v>1092</v>
      </c>
      <c r="F4486" t="s">
        <v>75</v>
      </c>
      <c r="I4486" s="6">
        <v>0</v>
      </c>
      <c r="J4486" s="6">
        <v>0</v>
      </c>
      <c r="K4486" s="6">
        <v>0</v>
      </c>
      <c r="L4486" s="6">
        <v>0</v>
      </c>
      <c r="M4486" s="6">
        <v>1</v>
      </c>
      <c r="N4486" s="6">
        <v>0</v>
      </c>
      <c r="O4486" s="6">
        <v>0</v>
      </c>
      <c r="P4486" s="6">
        <v>0</v>
      </c>
      <c r="Q4486">
        <v>1</v>
      </c>
      <c r="R4486">
        <f t="shared" si="350"/>
        <v>0</v>
      </c>
      <c r="S4486">
        <f t="shared" si="351"/>
        <v>1</v>
      </c>
      <c r="T4486">
        <f t="shared" si="352"/>
        <v>1</v>
      </c>
      <c r="U4486">
        <f t="shared" si="353"/>
        <v>1</v>
      </c>
      <c r="V4486">
        <f t="shared" si="354"/>
        <v>0</v>
      </c>
    </row>
    <row r="4487" spans="1:22" x14ac:dyDescent="0.25">
      <c r="A4487">
        <v>4484</v>
      </c>
      <c r="B4487" t="s">
        <v>30</v>
      </c>
      <c r="C4487" t="s">
        <v>1455</v>
      </c>
      <c r="D4487" s="4">
        <v>45431</v>
      </c>
      <c r="E4487" t="s">
        <v>355</v>
      </c>
      <c r="F4487" t="s">
        <v>75</v>
      </c>
      <c r="I4487" s="6"/>
      <c r="J4487" s="6"/>
      <c r="K4487" s="6"/>
      <c r="L4487" s="6"/>
      <c r="M4487" s="6"/>
      <c r="N4487" s="6"/>
      <c r="O4487" s="6"/>
      <c r="P4487" s="6"/>
      <c r="Q4487">
        <v>0</v>
      </c>
      <c r="R4487">
        <f t="shared" si="350"/>
        <v>0</v>
      </c>
      <c r="S4487">
        <f t="shared" si="351"/>
        <v>0</v>
      </c>
      <c r="T4487">
        <f t="shared" si="352"/>
        <v>0</v>
      </c>
      <c r="U4487">
        <f t="shared" si="353"/>
        <v>0</v>
      </c>
      <c r="V4487">
        <f t="shared" si="354"/>
        <v>0</v>
      </c>
    </row>
    <row r="4488" spans="1:22" x14ac:dyDescent="0.25">
      <c r="A4488">
        <v>4485</v>
      </c>
      <c r="B4488" t="s">
        <v>30</v>
      </c>
      <c r="C4488" t="s">
        <v>1455</v>
      </c>
      <c r="D4488" s="4">
        <v>45432</v>
      </c>
      <c r="E4488" t="s">
        <v>1484</v>
      </c>
      <c r="F4488" t="s">
        <v>75</v>
      </c>
      <c r="I4488" s="6">
        <v>0</v>
      </c>
      <c r="J4488" s="6">
        <v>0</v>
      </c>
      <c r="K4488" s="6">
        <v>0</v>
      </c>
      <c r="L4488" s="6">
        <v>0</v>
      </c>
      <c r="M4488" s="6">
        <v>0</v>
      </c>
      <c r="N4488" s="6">
        <v>0</v>
      </c>
      <c r="O4488" s="6">
        <v>0</v>
      </c>
      <c r="P4488" s="6">
        <v>0</v>
      </c>
      <c r="Q4488">
        <v>1</v>
      </c>
      <c r="R4488">
        <f t="shared" si="350"/>
        <v>0</v>
      </c>
      <c r="S4488">
        <f t="shared" si="351"/>
        <v>1</v>
      </c>
      <c r="T4488">
        <f t="shared" si="352"/>
        <v>0</v>
      </c>
      <c r="U4488">
        <f t="shared" si="353"/>
        <v>0</v>
      </c>
      <c r="V4488">
        <f t="shared" si="354"/>
        <v>0</v>
      </c>
    </row>
    <row r="4489" spans="1:22" x14ac:dyDescent="0.25">
      <c r="A4489">
        <v>4486</v>
      </c>
      <c r="B4489" t="s">
        <v>30</v>
      </c>
      <c r="C4489" t="s">
        <v>1455</v>
      </c>
      <c r="D4489" s="4">
        <v>45432</v>
      </c>
      <c r="E4489" t="s">
        <v>356</v>
      </c>
      <c r="F4489" t="s">
        <v>75</v>
      </c>
      <c r="I4489" s="6">
        <v>0</v>
      </c>
      <c r="J4489" s="6">
        <v>0</v>
      </c>
      <c r="K4489" s="6">
        <v>0</v>
      </c>
      <c r="L4489" s="6">
        <v>0</v>
      </c>
      <c r="M4489" s="6">
        <v>0</v>
      </c>
      <c r="N4489" s="6">
        <v>0</v>
      </c>
      <c r="O4489" s="6">
        <v>0</v>
      </c>
      <c r="P4489" s="6">
        <v>0</v>
      </c>
      <c r="Q4489">
        <v>1</v>
      </c>
      <c r="R4489">
        <f t="shared" si="350"/>
        <v>0</v>
      </c>
      <c r="S4489">
        <f t="shared" si="351"/>
        <v>1</v>
      </c>
      <c r="T4489">
        <f t="shared" si="352"/>
        <v>0</v>
      </c>
      <c r="U4489">
        <f t="shared" si="353"/>
        <v>0</v>
      </c>
      <c r="V4489">
        <f t="shared" si="354"/>
        <v>0</v>
      </c>
    </row>
    <row r="4490" spans="1:22" x14ac:dyDescent="0.25">
      <c r="A4490">
        <v>4487</v>
      </c>
      <c r="B4490" t="s">
        <v>30</v>
      </c>
      <c r="C4490" t="s">
        <v>1455</v>
      </c>
      <c r="D4490" s="4">
        <v>45432</v>
      </c>
      <c r="E4490" t="s">
        <v>1093</v>
      </c>
      <c r="F4490" t="s">
        <v>75</v>
      </c>
      <c r="I4490" s="6"/>
      <c r="J4490" s="6"/>
      <c r="K4490" s="6"/>
      <c r="L4490" s="6"/>
      <c r="M4490" s="6"/>
      <c r="N4490" s="6"/>
      <c r="O4490" s="6"/>
      <c r="P4490" s="6"/>
      <c r="Q4490">
        <v>0</v>
      </c>
      <c r="R4490">
        <f t="shared" si="350"/>
        <v>0</v>
      </c>
      <c r="S4490">
        <f t="shared" si="351"/>
        <v>0</v>
      </c>
      <c r="T4490">
        <f t="shared" si="352"/>
        <v>0</v>
      </c>
      <c r="U4490">
        <f t="shared" si="353"/>
        <v>0</v>
      </c>
      <c r="V4490">
        <f t="shared" si="354"/>
        <v>0</v>
      </c>
    </row>
    <row r="4491" spans="1:22" x14ac:dyDescent="0.25">
      <c r="A4491">
        <v>4488</v>
      </c>
      <c r="B4491" t="s">
        <v>30</v>
      </c>
      <c r="C4491" t="s">
        <v>1455</v>
      </c>
      <c r="D4491" s="4">
        <v>45432</v>
      </c>
      <c r="E4491" t="s">
        <v>1094</v>
      </c>
      <c r="F4491" t="s">
        <v>75</v>
      </c>
      <c r="I4491" s="6"/>
      <c r="J4491" s="6"/>
      <c r="K4491" s="6"/>
      <c r="L4491" s="6"/>
      <c r="M4491" s="6"/>
      <c r="N4491" s="6"/>
      <c r="O4491" s="6"/>
      <c r="P4491" s="6"/>
      <c r="Q4491">
        <v>0</v>
      </c>
      <c r="R4491">
        <f t="shared" si="350"/>
        <v>0</v>
      </c>
      <c r="S4491">
        <f t="shared" si="351"/>
        <v>0</v>
      </c>
      <c r="T4491">
        <f t="shared" si="352"/>
        <v>0</v>
      </c>
      <c r="U4491">
        <f t="shared" si="353"/>
        <v>0</v>
      </c>
      <c r="V4491">
        <f t="shared" si="354"/>
        <v>0</v>
      </c>
    </row>
    <row r="4492" spans="1:22" x14ac:dyDescent="0.25">
      <c r="A4492">
        <v>4489</v>
      </c>
      <c r="B4492" t="s">
        <v>30</v>
      </c>
      <c r="C4492" t="s">
        <v>1455</v>
      </c>
      <c r="D4492" s="4">
        <v>45433</v>
      </c>
      <c r="E4492" t="s">
        <v>1234</v>
      </c>
      <c r="F4492" t="s">
        <v>75</v>
      </c>
      <c r="I4492" s="6">
        <v>0</v>
      </c>
      <c r="J4492" s="6">
        <v>0</v>
      </c>
      <c r="K4492" s="6">
        <v>0</v>
      </c>
      <c r="L4492" s="6">
        <v>0</v>
      </c>
      <c r="M4492" s="6">
        <v>0</v>
      </c>
      <c r="N4492" s="6">
        <v>0</v>
      </c>
      <c r="O4492" s="6">
        <v>0</v>
      </c>
      <c r="P4492" s="6">
        <v>0</v>
      </c>
      <c r="Q4492">
        <v>1</v>
      </c>
      <c r="R4492">
        <f t="shared" si="350"/>
        <v>0</v>
      </c>
      <c r="S4492">
        <f t="shared" si="351"/>
        <v>1</v>
      </c>
      <c r="T4492">
        <f t="shared" si="352"/>
        <v>0</v>
      </c>
      <c r="U4492">
        <f t="shared" si="353"/>
        <v>0</v>
      </c>
      <c r="V4492">
        <f t="shared" si="354"/>
        <v>0</v>
      </c>
    </row>
    <row r="4493" spans="1:22" x14ac:dyDescent="0.25">
      <c r="A4493">
        <v>4490</v>
      </c>
      <c r="B4493" t="s">
        <v>30</v>
      </c>
      <c r="C4493" t="s">
        <v>1455</v>
      </c>
      <c r="D4493" s="4">
        <v>45433</v>
      </c>
      <c r="E4493" t="s">
        <v>1095</v>
      </c>
      <c r="F4493" t="s">
        <v>75</v>
      </c>
      <c r="I4493" s="6">
        <v>0</v>
      </c>
      <c r="J4493" s="6">
        <v>0</v>
      </c>
      <c r="K4493" s="6">
        <v>0</v>
      </c>
      <c r="L4493" s="6">
        <v>0</v>
      </c>
      <c r="M4493" s="6">
        <v>1</v>
      </c>
      <c r="N4493" s="6">
        <v>0</v>
      </c>
      <c r="O4493" s="6">
        <v>0</v>
      </c>
      <c r="P4493" s="6">
        <v>0</v>
      </c>
      <c r="Q4493">
        <v>1</v>
      </c>
      <c r="R4493">
        <f t="shared" si="350"/>
        <v>0</v>
      </c>
      <c r="S4493">
        <f t="shared" si="351"/>
        <v>1</v>
      </c>
      <c r="T4493">
        <f t="shared" si="352"/>
        <v>1</v>
      </c>
      <c r="U4493">
        <f t="shared" si="353"/>
        <v>1</v>
      </c>
      <c r="V4493">
        <f t="shared" si="354"/>
        <v>0</v>
      </c>
    </row>
    <row r="4494" spans="1:22" x14ac:dyDescent="0.25">
      <c r="A4494">
        <v>4491</v>
      </c>
      <c r="B4494" t="s">
        <v>30</v>
      </c>
      <c r="C4494" t="s">
        <v>1455</v>
      </c>
      <c r="D4494" s="4">
        <v>45433</v>
      </c>
      <c r="E4494" t="s">
        <v>1485</v>
      </c>
      <c r="F4494" t="s">
        <v>75</v>
      </c>
      <c r="I4494" s="6">
        <v>0</v>
      </c>
      <c r="J4494" s="6">
        <v>0</v>
      </c>
      <c r="K4494" s="6">
        <v>0</v>
      </c>
      <c r="L4494" s="6">
        <v>0</v>
      </c>
      <c r="M4494" s="6">
        <v>0</v>
      </c>
      <c r="N4494" s="6">
        <v>0</v>
      </c>
      <c r="O4494" s="6">
        <v>0</v>
      </c>
      <c r="P4494" s="6">
        <v>1</v>
      </c>
      <c r="Q4494">
        <v>1</v>
      </c>
      <c r="R4494">
        <f t="shared" si="350"/>
        <v>0</v>
      </c>
      <c r="S4494">
        <f t="shared" si="351"/>
        <v>1</v>
      </c>
      <c r="T4494">
        <f t="shared" si="352"/>
        <v>1</v>
      </c>
      <c r="U4494">
        <f t="shared" si="353"/>
        <v>1</v>
      </c>
      <c r="V4494">
        <f t="shared" si="354"/>
        <v>0</v>
      </c>
    </row>
    <row r="4495" spans="1:22" x14ac:dyDescent="0.25">
      <c r="A4495">
        <v>4492</v>
      </c>
      <c r="B4495" t="s">
        <v>30</v>
      </c>
      <c r="C4495" t="s">
        <v>1455</v>
      </c>
      <c r="D4495" s="4">
        <v>45433</v>
      </c>
      <c r="E4495" t="s">
        <v>1096</v>
      </c>
      <c r="F4495" t="s">
        <v>75</v>
      </c>
      <c r="I4495" s="6">
        <v>0</v>
      </c>
      <c r="J4495" s="6">
        <v>0</v>
      </c>
      <c r="K4495" s="6">
        <v>0</v>
      </c>
      <c r="L4495" s="6">
        <v>0</v>
      </c>
      <c r="M4495" s="6">
        <v>0</v>
      </c>
      <c r="N4495" s="6">
        <v>0</v>
      </c>
      <c r="O4495" s="6">
        <v>0</v>
      </c>
      <c r="P4495" s="6">
        <v>0</v>
      </c>
      <c r="Q4495">
        <v>1</v>
      </c>
      <c r="R4495">
        <f t="shared" si="350"/>
        <v>0</v>
      </c>
      <c r="S4495">
        <f t="shared" si="351"/>
        <v>1</v>
      </c>
      <c r="T4495">
        <f t="shared" si="352"/>
        <v>0</v>
      </c>
      <c r="U4495">
        <f t="shared" si="353"/>
        <v>0</v>
      </c>
      <c r="V4495">
        <f t="shared" si="354"/>
        <v>0</v>
      </c>
    </row>
    <row r="4496" spans="1:22" x14ac:dyDescent="0.25">
      <c r="A4496">
        <v>4493</v>
      </c>
      <c r="B4496" t="s">
        <v>30</v>
      </c>
      <c r="C4496" t="s">
        <v>1455</v>
      </c>
      <c r="D4496" s="4">
        <v>45433</v>
      </c>
      <c r="E4496" t="s">
        <v>1097</v>
      </c>
      <c r="F4496" t="s">
        <v>75</v>
      </c>
      <c r="I4496" s="6">
        <v>0</v>
      </c>
      <c r="J4496" s="6">
        <v>0</v>
      </c>
      <c r="K4496" s="6">
        <v>0</v>
      </c>
      <c r="L4496" s="6">
        <v>0</v>
      </c>
      <c r="M4496" s="6">
        <v>0</v>
      </c>
      <c r="N4496" s="6">
        <v>0</v>
      </c>
      <c r="O4496" s="6">
        <v>0</v>
      </c>
      <c r="P4496" s="6">
        <v>0</v>
      </c>
      <c r="Q4496">
        <v>1</v>
      </c>
      <c r="R4496">
        <f t="shared" si="350"/>
        <v>0</v>
      </c>
      <c r="S4496">
        <f t="shared" si="351"/>
        <v>1</v>
      </c>
      <c r="T4496">
        <f t="shared" si="352"/>
        <v>0</v>
      </c>
      <c r="U4496">
        <f t="shared" si="353"/>
        <v>0</v>
      </c>
      <c r="V4496">
        <f t="shared" si="354"/>
        <v>0</v>
      </c>
    </row>
    <row r="4497" spans="1:22" x14ac:dyDescent="0.25">
      <c r="A4497">
        <v>4494</v>
      </c>
      <c r="B4497" t="s">
        <v>30</v>
      </c>
      <c r="C4497" t="s">
        <v>1455</v>
      </c>
      <c r="D4497" s="4">
        <v>45434</v>
      </c>
      <c r="E4497" t="s">
        <v>481</v>
      </c>
      <c r="F4497" t="s">
        <v>75</v>
      </c>
      <c r="I4497" s="6">
        <v>0</v>
      </c>
      <c r="J4497" s="6">
        <v>0</v>
      </c>
      <c r="K4497" s="6">
        <v>0</v>
      </c>
      <c r="L4497" s="6">
        <v>0</v>
      </c>
      <c r="M4497" s="6">
        <v>0</v>
      </c>
      <c r="N4497" s="6">
        <v>0</v>
      </c>
      <c r="O4497" s="6">
        <v>0</v>
      </c>
      <c r="P4497" s="6">
        <v>0</v>
      </c>
      <c r="Q4497">
        <v>1</v>
      </c>
      <c r="R4497">
        <f t="shared" si="350"/>
        <v>0</v>
      </c>
      <c r="S4497">
        <f t="shared" si="351"/>
        <v>1</v>
      </c>
      <c r="T4497">
        <f t="shared" si="352"/>
        <v>0</v>
      </c>
      <c r="U4497">
        <f t="shared" si="353"/>
        <v>0</v>
      </c>
      <c r="V4497">
        <f t="shared" si="354"/>
        <v>0</v>
      </c>
    </row>
    <row r="4498" spans="1:22" x14ac:dyDescent="0.25">
      <c r="A4498">
        <v>4495</v>
      </c>
      <c r="B4498" t="s">
        <v>30</v>
      </c>
      <c r="C4498" t="s">
        <v>1455</v>
      </c>
      <c r="D4498" s="4">
        <v>45435</v>
      </c>
      <c r="E4498" t="s">
        <v>361</v>
      </c>
      <c r="F4498" t="s">
        <v>75</v>
      </c>
      <c r="I4498" s="6">
        <v>0</v>
      </c>
      <c r="J4498" s="6">
        <v>0</v>
      </c>
      <c r="K4498" s="6">
        <v>0</v>
      </c>
      <c r="L4498" s="6">
        <v>0</v>
      </c>
      <c r="M4498" s="6">
        <v>0</v>
      </c>
      <c r="N4498" s="6">
        <v>0</v>
      </c>
      <c r="O4498" s="6">
        <v>0</v>
      </c>
      <c r="P4498" s="6">
        <v>0</v>
      </c>
      <c r="Q4498">
        <v>1</v>
      </c>
      <c r="R4498">
        <f t="shared" si="350"/>
        <v>0</v>
      </c>
      <c r="S4498">
        <f t="shared" si="351"/>
        <v>1</v>
      </c>
      <c r="T4498">
        <f t="shared" si="352"/>
        <v>0</v>
      </c>
      <c r="U4498">
        <f t="shared" si="353"/>
        <v>0</v>
      </c>
      <c r="V4498">
        <f t="shared" si="354"/>
        <v>0</v>
      </c>
    </row>
    <row r="4499" spans="1:22" x14ac:dyDescent="0.25">
      <c r="A4499">
        <v>4496</v>
      </c>
      <c r="B4499" t="s">
        <v>30</v>
      </c>
      <c r="C4499" t="s">
        <v>1455</v>
      </c>
      <c r="D4499" s="4">
        <v>45435</v>
      </c>
      <c r="E4499" t="s">
        <v>362</v>
      </c>
      <c r="F4499" t="s">
        <v>75</v>
      </c>
      <c r="I4499" s="6"/>
      <c r="J4499" s="6"/>
      <c r="K4499" s="6"/>
      <c r="L4499" s="6"/>
      <c r="M4499" s="6"/>
      <c r="N4499" s="6"/>
      <c r="O4499" s="6"/>
      <c r="P4499" s="6"/>
      <c r="Q4499">
        <v>0</v>
      </c>
      <c r="R4499">
        <f t="shared" si="350"/>
        <v>0</v>
      </c>
      <c r="S4499">
        <f t="shared" si="351"/>
        <v>0</v>
      </c>
      <c r="T4499">
        <f t="shared" si="352"/>
        <v>0</v>
      </c>
      <c r="U4499">
        <f t="shared" si="353"/>
        <v>0</v>
      </c>
      <c r="V4499">
        <f t="shared" si="354"/>
        <v>0</v>
      </c>
    </row>
    <row r="4500" spans="1:22" x14ac:dyDescent="0.25">
      <c r="A4500">
        <v>4497</v>
      </c>
      <c r="B4500" t="s">
        <v>30</v>
      </c>
      <c r="C4500" t="s">
        <v>1455</v>
      </c>
      <c r="D4500" s="4">
        <v>45435</v>
      </c>
      <c r="E4500" t="s">
        <v>1412</v>
      </c>
      <c r="F4500" t="s">
        <v>75</v>
      </c>
      <c r="I4500" s="6"/>
      <c r="J4500" s="6"/>
      <c r="K4500" s="6"/>
      <c r="L4500" s="6"/>
      <c r="M4500" s="6"/>
      <c r="N4500" s="6"/>
      <c r="O4500" s="6"/>
      <c r="P4500" s="6"/>
      <c r="Q4500">
        <v>0</v>
      </c>
      <c r="R4500">
        <f t="shared" si="350"/>
        <v>0</v>
      </c>
      <c r="S4500">
        <f t="shared" si="351"/>
        <v>0</v>
      </c>
      <c r="T4500">
        <f t="shared" si="352"/>
        <v>0</v>
      </c>
      <c r="U4500">
        <f t="shared" si="353"/>
        <v>0</v>
      </c>
      <c r="V4500">
        <f t="shared" si="354"/>
        <v>0</v>
      </c>
    </row>
    <row r="4501" spans="1:22" x14ac:dyDescent="0.25">
      <c r="A4501">
        <v>4498</v>
      </c>
      <c r="B4501" t="s">
        <v>30</v>
      </c>
      <c r="C4501" t="s">
        <v>1455</v>
      </c>
      <c r="D4501" s="4">
        <v>45435</v>
      </c>
      <c r="E4501" t="s">
        <v>2018</v>
      </c>
      <c r="F4501" t="s">
        <v>75</v>
      </c>
      <c r="I4501" s="6"/>
      <c r="J4501" s="6"/>
      <c r="K4501" s="6"/>
      <c r="L4501" s="6"/>
      <c r="M4501" s="6"/>
      <c r="N4501" s="6"/>
      <c r="O4501" s="6"/>
      <c r="P4501" s="6"/>
      <c r="Q4501">
        <v>0</v>
      </c>
      <c r="R4501">
        <f t="shared" si="350"/>
        <v>0</v>
      </c>
      <c r="S4501">
        <f t="shared" si="351"/>
        <v>0</v>
      </c>
      <c r="T4501">
        <f t="shared" si="352"/>
        <v>0</v>
      </c>
      <c r="U4501">
        <f t="shared" si="353"/>
        <v>0</v>
      </c>
      <c r="V4501">
        <f t="shared" si="354"/>
        <v>0</v>
      </c>
    </row>
    <row r="4502" spans="1:22" x14ac:dyDescent="0.25">
      <c r="A4502">
        <v>4499</v>
      </c>
      <c r="B4502" t="s">
        <v>30</v>
      </c>
      <c r="C4502" t="s">
        <v>1455</v>
      </c>
      <c r="D4502" s="4">
        <v>45435</v>
      </c>
      <c r="E4502" t="s">
        <v>1192</v>
      </c>
      <c r="F4502" t="s">
        <v>75</v>
      </c>
      <c r="I4502" s="6">
        <v>0</v>
      </c>
      <c r="J4502" s="6">
        <v>0</v>
      </c>
      <c r="K4502" s="6">
        <v>0</v>
      </c>
      <c r="L4502" s="6">
        <v>0</v>
      </c>
      <c r="M4502" s="6">
        <v>0</v>
      </c>
      <c r="N4502" s="6">
        <v>0</v>
      </c>
      <c r="O4502" s="6">
        <v>0</v>
      </c>
      <c r="P4502" s="6">
        <v>0</v>
      </c>
      <c r="Q4502">
        <v>1</v>
      </c>
      <c r="R4502">
        <f t="shared" si="350"/>
        <v>0</v>
      </c>
      <c r="S4502">
        <f t="shared" si="351"/>
        <v>1</v>
      </c>
      <c r="T4502">
        <f t="shared" si="352"/>
        <v>0</v>
      </c>
      <c r="U4502">
        <f t="shared" si="353"/>
        <v>0</v>
      </c>
      <c r="V4502">
        <f t="shared" si="354"/>
        <v>0</v>
      </c>
    </row>
    <row r="4503" spans="1:22" x14ac:dyDescent="0.25">
      <c r="A4503">
        <v>4500</v>
      </c>
      <c r="B4503" t="s">
        <v>30</v>
      </c>
      <c r="C4503" t="s">
        <v>1455</v>
      </c>
      <c r="D4503" s="4">
        <v>45435</v>
      </c>
      <c r="E4503" t="s">
        <v>1486</v>
      </c>
      <c r="F4503" t="s">
        <v>75</v>
      </c>
      <c r="I4503" s="6">
        <v>0</v>
      </c>
      <c r="J4503" s="6">
        <v>0</v>
      </c>
      <c r="K4503" s="6">
        <v>0</v>
      </c>
      <c r="L4503" s="6">
        <v>1</v>
      </c>
      <c r="M4503" s="6">
        <v>0</v>
      </c>
      <c r="N4503" s="6">
        <v>0</v>
      </c>
      <c r="O4503" s="6">
        <v>0</v>
      </c>
      <c r="P4503" s="6">
        <v>0</v>
      </c>
      <c r="Q4503">
        <v>1</v>
      </c>
      <c r="R4503">
        <f t="shared" si="350"/>
        <v>0</v>
      </c>
      <c r="S4503">
        <f t="shared" si="351"/>
        <v>1</v>
      </c>
      <c r="T4503">
        <f t="shared" si="352"/>
        <v>1</v>
      </c>
      <c r="U4503">
        <f t="shared" si="353"/>
        <v>1</v>
      </c>
      <c r="V4503">
        <f t="shared" si="354"/>
        <v>0</v>
      </c>
    </row>
    <row r="4504" spans="1:22" x14ac:dyDescent="0.25">
      <c r="A4504">
        <v>4501</v>
      </c>
      <c r="B4504" t="s">
        <v>30</v>
      </c>
      <c r="C4504" t="s">
        <v>1455</v>
      </c>
      <c r="D4504" s="4">
        <v>45435</v>
      </c>
      <c r="E4504" t="s">
        <v>1487</v>
      </c>
      <c r="F4504" t="s">
        <v>75</v>
      </c>
      <c r="I4504" s="6">
        <v>0</v>
      </c>
      <c r="J4504" s="6">
        <v>0</v>
      </c>
      <c r="K4504" s="6">
        <v>0</v>
      </c>
      <c r="L4504" s="6">
        <v>0</v>
      </c>
      <c r="M4504" s="6">
        <v>0</v>
      </c>
      <c r="N4504" s="6">
        <v>1</v>
      </c>
      <c r="O4504" s="6">
        <v>0</v>
      </c>
      <c r="P4504" s="6">
        <v>0</v>
      </c>
      <c r="Q4504">
        <v>1</v>
      </c>
      <c r="R4504">
        <f t="shared" si="350"/>
        <v>0</v>
      </c>
      <c r="S4504">
        <f t="shared" si="351"/>
        <v>1</v>
      </c>
      <c r="T4504">
        <f t="shared" si="352"/>
        <v>1</v>
      </c>
      <c r="U4504">
        <f t="shared" si="353"/>
        <v>1</v>
      </c>
      <c r="V4504">
        <f t="shared" si="354"/>
        <v>0</v>
      </c>
    </row>
    <row r="4505" spans="1:22" x14ac:dyDescent="0.25">
      <c r="A4505">
        <v>4502</v>
      </c>
      <c r="B4505" t="s">
        <v>30</v>
      </c>
      <c r="C4505" t="s">
        <v>1455</v>
      </c>
      <c r="D4505" s="4">
        <v>45435</v>
      </c>
      <c r="E4505" t="s">
        <v>1413</v>
      </c>
      <c r="F4505" t="s">
        <v>75</v>
      </c>
      <c r="I4505" s="6"/>
      <c r="J4505" s="6"/>
      <c r="K4505" s="6"/>
      <c r="L4505" s="6"/>
      <c r="M4505" s="6"/>
      <c r="N4505" s="6"/>
      <c r="O4505" s="6"/>
      <c r="P4505" s="6"/>
      <c r="Q4505">
        <v>0</v>
      </c>
      <c r="R4505">
        <f t="shared" si="350"/>
        <v>0</v>
      </c>
      <c r="S4505">
        <f t="shared" si="351"/>
        <v>0</v>
      </c>
      <c r="T4505">
        <f t="shared" si="352"/>
        <v>0</v>
      </c>
      <c r="U4505">
        <f t="shared" si="353"/>
        <v>0</v>
      </c>
      <c r="V4505">
        <f t="shared" si="354"/>
        <v>0</v>
      </c>
    </row>
    <row r="4506" spans="1:22" x14ac:dyDescent="0.25">
      <c r="A4506">
        <v>4503</v>
      </c>
      <c r="B4506" t="s">
        <v>30</v>
      </c>
      <c r="C4506" t="s">
        <v>1455</v>
      </c>
      <c r="D4506" s="4">
        <v>45435</v>
      </c>
      <c r="E4506" t="s">
        <v>2112</v>
      </c>
      <c r="F4506" t="s">
        <v>75</v>
      </c>
      <c r="I4506" s="6">
        <v>0</v>
      </c>
      <c r="J4506" s="6">
        <v>0</v>
      </c>
      <c r="K4506" s="6">
        <v>0</v>
      </c>
      <c r="L4506" s="6">
        <v>0</v>
      </c>
      <c r="M4506" s="6">
        <v>1</v>
      </c>
      <c r="N4506" s="6">
        <v>0</v>
      </c>
      <c r="O4506" s="6">
        <v>0</v>
      </c>
      <c r="P4506" s="6">
        <v>0</v>
      </c>
      <c r="Q4506">
        <v>1</v>
      </c>
      <c r="R4506">
        <f t="shared" si="350"/>
        <v>0</v>
      </c>
      <c r="S4506">
        <f t="shared" si="351"/>
        <v>1</v>
      </c>
      <c r="T4506">
        <f t="shared" si="352"/>
        <v>1</v>
      </c>
      <c r="U4506">
        <f t="shared" si="353"/>
        <v>1</v>
      </c>
      <c r="V4506">
        <f t="shared" si="354"/>
        <v>0</v>
      </c>
    </row>
    <row r="4507" spans="1:22" x14ac:dyDescent="0.25">
      <c r="A4507">
        <v>4504</v>
      </c>
      <c r="B4507" t="s">
        <v>30</v>
      </c>
      <c r="C4507" t="s">
        <v>1455</v>
      </c>
      <c r="D4507" s="4">
        <v>45436</v>
      </c>
      <c r="E4507" t="s">
        <v>363</v>
      </c>
      <c r="F4507" t="s">
        <v>75</v>
      </c>
      <c r="I4507" s="6"/>
      <c r="J4507" s="6"/>
      <c r="K4507" s="6"/>
      <c r="L4507" s="6"/>
      <c r="M4507" s="6"/>
      <c r="N4507" s="6"/>
      <c r="O4507" s="6"/>
      <c r="P4507" s="6"/>
      <c r="Q4507">
        <v>0</v>
      </c>
      <c r="R4507">
        <f t="shared" si="350"/>
        <v>0</v>
      </c>
      <c r="S4507">
        <f t="shared" si="351"/>
        <v>0</v>
      </c>
      <c r="T4507">
        <f t="shared" si="352"/>
        <v>0</v>
      </c>
      <c r="U4507">
        <f t="shared" si="353"/>
        <v>0</v>
      </c>
      <c r="V4507">
        <f t="shared" si="354"/>
        <v>0</v>
      </c>
    </row>
    <row r="4508" spans="1:22" x14ac:dyDescent="0.25">
      <c r="A4508">
        <v>4505</v>
      </c>
      <c r="B4508" t="s">
        <v>30</v>
      </c>
      <c r="C4508" t="s">
        <v>1455</v>
      </c>
      <c r="D4508" s="4">
        <v>45436</v>
      </c>
      <c r="E4508" t="s">
        <v>893</v>
      </c>
      <c r="F4508" t="s">
        <v>75</v>
      </c>
      <c r="I4508" s="6"/>
      <c r="J4508" s="6"/>
      <c r="K4508" s="6"/>
      <c r="L4508" s="6"/>
      <c r="M4508" s="6"/>
      <c r="N4508" s="6"/>
      <c r="O4508" s="6"/>
      <c r="P4508" s="6"/>
      <c r="Q4508">
        <v>0</v>
      </c>
      <c r="R4508">
        <f t="shared" si="350"/>
        <v>0</v>
      </c>
      <c r="S4508">
        <f t="shared" si="351"/>
        <v>0</v>
      </c>
      <c r="T4508">
        <f t="shared" si="352"/>
        <v>0</v>
      </c>
      <c r="U4508">
        <f t="shared" si="353"/>
        <v>0</v>
      </c>
      <c r="V4508">
        <f t="shared" si="354"/>
        <v>0</v>
      </c>
    </row>
    <row r="4509" spans="1:22" x14ac:dyDescent="0.25">
      <c r="A4509">
        <v>4506</v>
      </c>
      <c r="B4509" t="s">
        <v>30</v>
      </c>
      <c r="C4509" t="s">
        <v>1455</v>
      </c>
      <c r="D4509" s="4">
        <v>45436</v>
      </c>
      <c r="E4509" t="s">
        <v>364</v>
      </c>
      <c r="F4509" t="s">
        <v>75</v>
      </c>
      <c r="I4509" s="6">
        <v>0</v>
      </c>
      <c r="J4509" s="6">
        <v>0</v>
      </c>
      <c r="K4509" s="6">
        <v>0</v>
      </c>
      <c r="L4509" s="6">
        <v>0</v>
      </c>
      <c r="M4509" s="6">
        <v>1</v>
      </c>
      <c r="N4509" s="6">
        <v>0</v>
      </c>
      <c r="O4509" s="6">
        <v>0</v>
      </c>
      <c r="P4509" s="6">
        <v>0</v>
      </c>
      <c r="Q4509">
        <v>1</v>
      </c>
      <c r="R4509">
        <f t="shared" si="350"/>
        <v>0</v>
      </c>
      <c r="S4509">
        <f t="shared" si="351"/>
        <v>1</v>
      </c>
      <c r="T4509">
        <f t="shared" si="352"/>
        <v>1</v>
      </c>
      <c r="U4509">
        <f t="shared" si="353"/>
        <v>1</v>
      </c>
      <c r="V4509">
        <f t="shared" si="354"/>
        <v>0</v>
      </c>
    </row>
    <row r="4510" spans="1:22" x14ac:dyDescent="0.25">
      <c r="A4510">
        <v>4507</v>
      </c>
      <c r="B4510" t="s">
        <v>30</v>
      </c>
      <c r="C4510" t="s">
        <v>1455</v>
      </c>
      <c r="D4510" s="4">
        <v>45436</v>
      </c>
      <c r="E4510" t="s">
        <v>365</v>
      </c>
      <c r="F4510" t="s">
        <v>75</v>
      </c>
      <c r="I4510" s="6">
        <v>0</v>
      </c>
      <c r="J4510" s="6">
        <v>0</v>
      </c>
      <c r="K4510" s="6">
        <v>0</v>
      </c>
      <c r="L4510" s="6">
        <v>0</v>
      </c>
      <c r="M4510" s="6">
        <v>0</v>
      </c>
      <c r="N4510" s="6">
        <v>0</v>
      </c>
      <c r="O4510" s="6">
        <v>1</v>
      </c>
      <c r="P4510" s="6">
        <v>0</v>
      </c>
      <c r="Q4510">
        <v>1</v>
      </c>
      <c r="R4510">
        <f t="shared" si="350"/>
        <v>0</v>
      </c>
      <c r="S4510">
        <f t="shared" si="351"/>
        <v>1</v>
      </c>
      <c r="T4510">
        <f t="shared" si="352"/>
        <v>1</v>
      </c>
      <c r="U4510">
        <f t="shared" si="353"/>
        <v>1</v>
      </c>
      <c r="V4510">
        <f t="shared" si="354"/>
        <v>0</v>
      </c>
    </row>
    <row r="4511" spans="1:22" x14ac:dyDescent="0.25">
      <c r="A4511">
        <v>4508</v>
      </c>
      <c r="B4511" t="s">
        <v>30</v>
      </c>
      <c r="C4511" t="s">
        <v>1455</v>
      </c>
      <c r="D4511" s="4">
        <v>45437</v>
      </c>
      <c r="E4511" t="s">
        <v>1015</v>
      </c>
      <c r="F4511" t="s">
        <v>75</v>
      </c>
      <c r="I4511" s="6">
        <v>0</v>
      </c>
      <c r="J4511" s="6">
        <v>0</v>
      </c>
      <c r="K4511" s="6">
        <v>0</v>
      </c>
      <c r="L4511" s="6">
        <v>0</v>
      </c>
      <c r="M4511" s="6">
        <v>0</v>
      </c>
      <c r="N4511" s="6">
        <v>0</v>
      </c>
      <c r="O4511" s="6">
        <v>0</v>
      </c>
      <c r="P4511" s="6">
        <v>0</v>
      </c>
      <c r="Q4511">
        <v>1</v>
      </c>
      <c r="R4511">
        <f t="shared" si="350"/>
        <v>0</v>
      </c>
      <c r="S4511">
        <f t="shared" si="351"/>
        <v>1</v>
      </c>
      <c r="T4511">
        <f t="shared" si="352"/>
        <v>0</v>
      </c>
      <c r="U4511">
        <f t="shared" si="353"/>
        <v>0</v>
      </c>
      <c r="V4511">
        <f t="shared" si="354"/>
        <v>0</v>
      </c>
    </row>
    <row r="4512" spans="1:22" x14ac:dyDescent="0.25">
      <c r="A4512">
        <v>4509</v>
      </c>
      <c r="B4512" t="s">
        <v>30</v>
      </c>
      <c r="C4512" t="s">
        <v>1455</v>
      </c>
      <c r="D4512" s="4">
        <v>45437</v>
      </c>
      <c r="E4512" t="s">
        <v>1017</v>
      </c>
      <c r="F4512" t="s">
        <v>75</v>
      </c>
      <c r="I4512" s="6">
        <v>0</v>
      </c>
      <c r="J4512" s="6">
        <v>0</v>
      </c>
      <c r="K4512" s="6">
        <v>0</v>
      </c>
      <c r="L4512" s="6">
        <v>0</v>
      </c>
      <c r="M4512" s="6">
        <v>1</v>
      </c>
      <c r="N4512" s="6">
        <v>0</v>
      </c>
      <c r="O4512" s="6">
        <v>0</v>
      </c>
      <c r="P4512" s="6">
        <v>0</v>
      </c>
      <c r="Q4512">
        <v>1</v>
      </c>
      <c r="R4512">
        <f t="shared" si="350"/>
        <v>0</v>
      </c>
      <c r="S4512">
        <f t="shared" si="351"/>
        <v>1</v>
      </c>
      <c r="T4512">
        <f t="shared" si="352"/>
        <v>1</v>
      </c>
      <c r="U4512">
        <f t="shared" si="353"/>
        <v>1</v>
      </c>
      <c r="V4512">
        <f t="shared" si="354"/>
        <v>0</v>
      </c>
    </row>
    <row r="4513" spans="1:22" x14ac:dyDescent="0.25">
      <c r="A4513">
        <v>4510</v>
      </c>
      <c r="B4513" t="s">
        <v>30</v>
      </c>
      <c r="C4513" t="s">
        <v>1455</v>
      </c>
      <c r="D4513" s="4">
        <v>45437</v>
      </c>
      <c r="E4513" t="s">
        <v>1098</v>
      </c>
      <c r="F4513" t="s">
        <v>75</v>
      </c>
      <c r="I4513" s="6"/>
      <c r="J4513" s="6"/>
      <c r="K4513" s="6"/>
      <c r="L4513" s="6"/>
      <c r="M4513" s="6"/>
      <c r="N4513" s="6"/>
      <c r="O4513" s="6"/>
      <c r="P4513" s="6"/>
      <c r="Q4513">
        <v>0</v>
      </c>
      <c r="R4513">
        <f t="shared" si="350"/>
        <v>0</v>
      </c>
      <c r="S4513">
        <f t="shared" si="351"/>
        <v>0</v>
      </c>
      <c r="T4513">
        <f t="shared" si="352"/>
        <v>0</v>
      </c>
      <c r="U4513">
        <f t="shared" si="353"/>
        <v>0</v>
      </c>
      <c r="V4513">
        <f t="shared" si="354"/>
        <v>0</v>
      </c>
    </row>
    <row r="4514" spans="1:22" x14ac:dyDescent="0.25">
      <c r="A4514">
        <v>4511</v>
      </c>
      <c r="B4514" t="s">
        <v>30</v>
      </c>
      <c r="C4514" t="s">
        <v>1455</v>
      </c>
      <c r="D4514" s="4">
        <v>45437</v>
      </c>
      <c r="E4514" t="s">
        <v>2016</v>
      </c>
      <c r="F4514" t="s">
        <v>75</v>
      </c>
      <c r="I4514" s="6"/>
      <c r="J4514" s="6"/>
      <c r="K4514" s="6"/>
      <c r="L4514" s="6"/>
      <c r="M4514" s="6"/>
      <c r="N4514" s="6"/>
      <c r="O4514" s="6"/>
      <c r="P4514" s="6"/>
      <c r="Q4514">
        <v>0</v>
      </c>
      <c r="R4514">
        <f t="shared" si="350"/>
        <v>0</v>
      </c>
      <c r="S4514">
        <f t="shared" si="351"/>
        <v>0</v>
      </c>
      <c r="T4514">
        <f t="shared" si="352"/>
        <v>0</v>
      </c>
      <c r="U4514">
        <f t="shared" si="353"/>
        <v>0</v>
      </c>
      <c r="V4514">
        <f t="shared" si="354"/>
        <v>0</v>
      </c>
    </row>
    <row r="4515" spans="1:22" x14ac:dyDescent="0.25">
      <c r="A4515">
        <v>4512</v>
      </c>
      <c r="B4515" t="s">
        <v>30</v>
      </c>
      <c r="C4515" t="s">
        <v>1455</v>
      </c>
      <c r="D4515" s="4">
        <v>45437</v>
      </c>
      <c r="E4515" t="s">
        <v>2111</v>
      </c>
      <c r="F4515" t="s">
        <v>75</v>
      </c>
      <c r="I4515" s="6">
        <v>0</v>
      </c>
      <c r="J4515" s="6">
        <v>0</v>
      </c>
      <c r="K4515" s="6">
        <v>0</v>
      </c>
      <c r="L4515" s="6">
        <v>0</v>
      </c>
      <c r="M4515" s="6">
        <v>1</v>
      </c>
      <c r="N4515" s="6">
        <v>0</v>
      </c>
      <c r="O4515" s="6">
        <v>0</v>
      </c>
      <c r="P4515" s="6">
        <v>0</v>
      </c>
      <c r="Q4515">
        <v>1</v>
      </c>
      <c r="R4515">
        <f t="shared" si="350"/>
        <v>0</v>
      </c>
      <c r="S4515">
        <f t="shared" si="351"/>
        <v>1</v>
      </c>
      <c r="T4515">
        <f t="shared" si="352"/>
        <v>1</v>
      </c>
      <c r="U4515">
        <f t="shared" si="353"/>
        <v>1</v>
      </c>
      <c r="V4515">
        <f t="shared" si="354"/>
        <v>0</v>
      </c>
    </row>
    <row r="4516" spans="1:22" x14ac:dyDescent="0.25">
      <c r="A4516">
        <v>4513</v>
      </c>
      <c r="B4516" t="s">
        <v>30</v>
      </c>
      <c r="C4516" t="s">
        <v>1455</v>
      </c>
      <c r="D4516" s="4">
        <v>45437</v>
      </c>
      <c r="E4516" t="s">
        <v>1193</v>
      </c>
      <c r="F4516" t="s">
        <v>75</v>
      </c>
      <c r="I4516" s="6">
        <v>0</v>
      </c>
      <c r="J4516" s="6">
        <v>0</v>
      </c>
      <c r="K4516" s="6">
        <v>0</v>
      </c>
      <c r="L4516" s="6">
        <v>0</v>
      </c>
      <c r="M4516" s="6">
        <v>1</v>
      </c>
      <c r="N4516" s="6">
        <v>0</v>
      </c>
      <c r="O4516" s="6">
        <v>0</v>
      </c>
      <c r="P4516" s="6">
        <v>0</v>
      </c>
      <c r="Q4516">
        <v>1</v>
      </c>
      <c r="R4516">
        <f t="shared" si="350"/>
        <v>0</v>
      </c>
      <c r="S4516">
        <f t="shared" si="351"/>
        <v>1</v>
      </c>
      <c r="T4516">
        <f t="shared" si="352"/>
        <v>1</v>
      </c>
      <c r="U4516">
        <f t="shared" si="353"/>
        <v>1</v>
      </c>
      <c r="V4516">
        <f t="shared" si="354"/>
        <v>0</v>
      </c>
    </row>
    <row r="4517" spans="1:22" x14ac:dyDescent="0.25">
      <c r="A4517">
        <v>4514</v>
      </c>
      <c r="B4517" t="s">
        <v>30</v>
      </c>
      <c r="C4517" t="s">
        <v>1455</v>
      </c>
      <c r="D4517" s="4">
        <v>45437</v>
      </c>
      <c r="E4517" t="s">
        <v>2110</v>
      </c>
      <c r="F4517" t="s">
        <v>75</v>
      </c>
      <c r="I4517" s="6"/>
      <c r="J4517" s="6"/>
      <c r="K4517" s="6"/>
      <c r="L4517" s="6"/>
      <c r="M4517" s="6"/>
      <c r="N4517" s="6"/>
      <c r="O4517" s="6"/>
      <c r="P4517" s="6"/>
      <c r="Q4517">
        <v>0</v>
      </c>
      <c r="R4517">
        <f t="shared" si="350"/>
        <v>0</v>
      </c>
      <c r="S4517">
        <f t="shared" si="351"/>
        <v>0</v>
      </c>
      <c r="T4517">
        <f t="shared" si="352"/>
        <v>0</v>
      </c>
      <c r="U4517">
        <f t="shared" si="353"/>
        <v>0</v>
      </c>
      <c r="V4517">
        <f t="shared" si="354"/>
        <v>0</v>
      </c>
    </row>
    <row r="4518" spans="1:22" x14ac:dyDescent="0.25">
      <c r="A4518">
        <v>4515</v>
      </c>
      <c r="B4518" t="s">
        <v>30</v>
      </c>
      <c r="C4518" t="s">
        <v>1455</v>
      </c>
      <c r="D4518" s="4">
        <v>45438</v>
      </c>
      <c r="E4518" t="s">
        <v>484</v>
      </c>
      <c r="F4518" t="s">
        <v>75</v>
      </c>
      <c r="I4518" s="6">
        <v>0</v>
      </c>
      <c r="J4518" s="6">
        <v>0</v>
      </c>
      <c r="K4518" s="6">
        <v>0</v>
      </c>
      <c r="L4518" s="6">
        <v>0</v>
      </c>
      <c r="M4518" s="6">
        <v>0</v>
      </c>
      <c r="N4518" s="6">
        <v>0</v>
      </c>
      <c r="O4518" s="6">
        <v>0</v>
      </c>
      <c r="P4518" s="6">
        <v>0</v>
      </c>
      <c r="Q4518">
        <v>1</v>
      </c>
      <c r="R4518">
        <f t="shared" si="350"/>
        <v>0</v>
      </c>
      <c r="S4518">
        <f t="shared" si="351"/>
        <v>1</v>
      </c>
      <c r="T4518">
        <f t="shared" si="352"/>
        <v>0</v>
      </c>
      <c r="U4518">
        <f t="shared" si="353"/>
        <v>0</v>
      </c>
      <c r="V4518">
        <f t="shared" si="354"/>
        <v>0</v>
      </c>
    </row>
    <row r="4519" spans="1:22" x14ac:dyDescent="0.25">
      <c r="A4519">
        <v>4516</v>
      </c>
      <c r="B4519" t="s">
        <v>30</v>
      </c>
      <c r="C4519" t="s">
        <v>1455</v>
      </c>
      <c r="D4519" s="4">
        <v>45438</v>
      </c>
      <c r="E4519" t="s">
        <v>369</v>
      </c>
      <c r="F4519" t="s">
        <v>75</v>
      </c>
      <c r="I4519" s="6">
        <v>0</v>
      </c>
      <c r="J4519" s="6">
        <v>0</v>
      </c>
      <c r="K4519" s="6">
        <v>0</v>
      </c>
      <c r="L4519" s="6">
        <v>1</v>
      </c>
      <c r="M4519" s="6">
        <v>0</v>
      </c>
      <c r="N4519" s="6">
        <v>0</v>
      </c>
      <c r="O4519" s="6">
        <v>0</v>
      </c>
      <c r="P4519" s="6">
        <v>0</v>
      </c>
      <c r="Q4519">
        <v>1</v>
      </c>
      <c r="R4519">
        <f t="shared" si="350"/>
        <v>0</v>
      </c>
      <c r="S4519">
        <f t="shared" si="351"/>
        <v>1</v>
      </c>
      <c r="T4519">
        <f t="shared" si="352"/>
        <v>1</v>
      </c>
      <c r="U4519">
        <f t="shared" si="353"/>
        <v>1</v>
      </c>
      <c r="V4519">
        <f t="shared" si="354"/>
        <v>0</v>
      </c>
    </row>
    <row r="4520" spans="1:22" x14ac:dyDescent="0.25">
      <c r="A4520">
        <v>4517</v>
      </c>
      <c r="B4520" t="s">
        <v>30</v>
      </c>
      <c r="C4520" t="s">
        <v>1455</v>
      </c>
      <c r="D4520" s="4">
        <v>45438</v>
      </c>
      <c r="E4520" t="s">
        <v>485</v>
      </c>
      <c r="F4520" t="s">
        <v>75</v>
      </c>
      <c r="I4520" s="6"/>
      <c r="J4520" s="6"/>
      <c r="K4520" s="6"/>
      <c r="L4520" s="6"/>
      <c r="M4520" s="6"/>
      <c r="N4520" s="6"/>
      <c r="O4520" s="6"/>
      <c r="P4520" s="6"/>
      <c r="Q4520">
        <v>0</v>
      </c>
      <c r="R4520">
        <f t="shared" si="350"/>
        <v>0</v>
      </c>
      <c r="S4520">
        <f t="shared" si="351"/>
        <v>0</v>
      </c>
      <c r="T4520">
        <f t="shared" si="352"/>
        <v>0</v>
      </c>
      <c r="U4520">
        <f t="shared" si="353"/>
        <v>0</v>
      </c>
      <c r="V4520">
        <f t="shared" si="354"/>
        <v>0</v>
      </c>
    </row>
    <row r="4521" spans="1:22" x14ac:dyDescent="0.25">
      <c r="A4521">
        <v>4518</v>
      </c>
      <c r="B4521" t="s">
        <v>30</v>
      </c>
      <c r="C4521" t="s">
        <v>1455</v>
      </c>
      <c r="D4521" s="4">
        <v>45438</v>
      </c>
      <c r="E4521" t="s">
        <v>486</v>
      </c>
      <c r="F4521" t="s">
        <v>75</v>
      </c>
      <c r="I4521" s="6"/>
      <c r="J4521" s="6"/>
      <c r="K4521" s="6"/>
      <c r="L4521" s="6"/>
      <c r="M4521" s="6"/>
      <c r="N4521" s="6"/>
      <c r="O4521" s="6"/>
      <c r="P4521" s="6"/>
      <c r="Q4521">
        <v>0</v>
      </c>
      <c r="R4521">
        <f t="shared" si="350"/>
        <v>0</v>
      </c>
      <c r="S4521">
        <f t="shared" si="351"/>
        <v>0</v>
      </c>
      <c r="T4521">
        <f t="shared" si="352"/>
        <v>0</v>
      </c>
      <c r="U4521">
        <f t="shared" si="353"/>
        <v>0</v>
      </c>
      <c r="V4521">
        <f t="shared" si="354"/>
        <v>0</v>
      </c>
    </row>
    <row r="4522" spans="1:22" x14ac:dyDescent="0.25">
      <c r="A4522">
        <v>4519</v>
      </c>
      <c r="B4522" t="s">
        <v>30</v>
      </c>
      <c r="C4522" t="s">
        <v>1455</v>
      </c>
      <c r="D4522" s="4">
        <v>45438</v>
      </c>
      <c r="E4522" t="s">
        <v>487</v>
      </c>
      <c r="F4522" t="s">
        <v>75</v>
      </c>
      <c r="I4522" s="6"/>
      <c r="J4522" s="6"/>
      <c r="K4522" s="6"/>
      <c r="L4522" s="6"/>
      <c r="M4522" s="6"/>
      <c r="N4522" s="6"/>
      <c r="O4522" s="6"/>
      <c r="P4522" s="6"/>
      <c r="Q4522">
        <v>0</v>
      </c>
      <c r="R4522">
        <f t="shared" si="350"/>
        <v>0</v>
      </c>
      <c r="S4522">
        <f t="shared" si="351"/>
        <v>0</v>
      </c>
      <c r="T4522">
        <f t="shared" si="352"/>
        <v>0</v>
      </c>
      <c r="U4522">
        <f t="shared" si="353"/>
        <v>0</v>
      </c>
      <c r="V4522">
        <f t="shared" si="354"/>
        <v>0</v>
      </c>
    </row>
    <row r="4523" spans="1:22" x14ac:dyDescent="0.25">
      <c r="A4523">
        <v>4520</v>
      </c>
      <c r="B4523" t="s">
        <v>30</v>
      </c>
      <c r="C4523" t="s">
        <v>1455</v>
      </c>
      <c r="D4523" s="4">
        <v>45438</v>
      </c>
      <c r="E4523" t="s">
        <v>1488</v>
      </c>
      <c r="F4523" t="s">
        <v>75</v>
      </c>
      <c r="I4523" s="6">
        <v>0</v>
      </c>
      <c r="J4523" s="6">
        <v>0</v>
      </c>
      <c r="K4523" s="6">
        <v>0</v>
      </c>
      <c r="L4523" s="6">
        <v>0</v>
      </c>
      <c r="M4523" s="6">
        <v>0</v>
      </c>
      <c r="N4523" s="6">
        <v>0</v>
      </c>
      <c r="O4523" s="6">
        <v>0</v>
      </c>
      <c r="P4523" s="6">
        <v>0</v>
      </c>
      <c r="Q4523">
        <v>1</v>
      </c>
      <c r="R4523">
        <f t="shared" si="350"/>
        <v>0</v>
      </c>
      <c r="S4523">
        <f t="shared" si="351"/>
        <v>1</v>
      </c>
      <c r="T4523">
        <f t="shared" si="352"/>
        <v>0</v>
      </c>
      <c r="U4523">
        <f t="shared" si="353"/>
        <v>0</v>
      </c>
      <c r="V4523">
        <f t="shared" si="354"/>
        <v>0</v>
      </c>
    </row>
    <row r="4524" spans="1:22" x14ac:dyDescent="0.25">
      <c r="A4524">
        <v>4521</v>
      </c>
      <c r="B4524" t="s">
        <v>30</v>
      </c>
      <c r="C4524" t="s">
        <v>1455</v>
      </c>
      <c r="D4524" s="4">
        <v>45438</v>
      </c>
      <c r="E4524" t="s">
        <v>1196</v>
      </c>
      <c r="F4524" t="s">
        <v>75</v>
      </c>
      <c r="I4524" s="6">
        <v>0</v>
      </c>
      <c r="J4524" s="6">
        <v>0</v>
      </c>
      <c r="K4524" s="6">
        <v>0</v>
      </c>
      <c r="L4524" s="6">
        <v>0</v>
      </c>
      <c r="M4524" s="6">
        <v>0</v>
      </c>
      <c r="N4524" s="6">
        <v>0</v>
      </c>
      <c r="O4524" s="6">
        <v>0</v>
      </c>
      <c r="P4524" s="6">
        <v>0</v>
      </c>
      <c r="Q4524">
        <v>1</v>
      </c>
      <c r="R4524">
        <f t="shared" si="350"/>
        <v>0</v>
      </c>
      <c r="S4524">
        <f t="shared" si="351"/>
        <v>1</v>
      </c>
      <c r="T4524">
        <f t="shared" si="352"/>
        <v>0</v>
      </c>
      <c r="U4524">
        <f t="shared" si="353"/>
        <v>0</v>
      </c>
      <c r="V4524">
        <f t="shared" si="354"/>
        <v>0</v>
      </c>
    </row>
    <row r="4525" spans="1:22" x14ac:dyDescent="0.25">
      <c r="A4525">
        <v>4522</v>
      </c>
      <c r="B4525" t="s">
        <v>30</v>
      </c>
      <c r="C4525" t="s">
        <v>1455</v>
      </c>
      <c r="D4525" s="4">
        <v>45438</v>
      </c>
      <c r="E4525" t="s">
        <v>2310</v>
      </c>
      <c r="F4525" t="s">
        <v>75</v>
      </c>
      <c r="I4525" s="6">
        <v>0</v>
      </c>
      <c r="J4525" s="6">
        <v>0</v>
      </c>
      <c r="K4525" s="6">
        <v>0</v>
      </c>
      <c r="L4525" s="6">
        <v>0</v>
      </c>
      <c r="M4525" s="6">
        <v>0</v>
      </c>
      <c r="N4525" s="6">
        <v>0</v>
      </c>
      <c r="O4525" s="6">
        <v>0</v>
      </c>
      <c r="P4525" s="6">
        <v>0</v>
      </c>
      <c r="Q4525">
        <v>1</v>
      </c>
      <c r="R4525">
        <f t="shared" si="350"/>
        <v>0</v>
      </c>
      <c r="S4525">
        <f t="shared" si="351"/>
        <v>1</v>
      </c>
      <c r="T4525">
        <f t="shared" si="352"/>
        <v>0</v>
      </c>
      <c r="U4525">
        <f t="shared" si="353"/>
        <v>0</v>
      </c>
      <c r="V4525">
        <f t="shared" si="354"/>
        <v>0</v>
      </c>
    </row>
    <row r="4526" spans="1:22" x14ac:dyDescent="0.25">
      <c r="A4526">
        <v>4523</v>
      </c>
      <c r="B4526" t="s">
        <v>30</v>
      </c>
      <c r="C4526" t="s">
        <v>1455</v>
      </c>
      <c r="D4526" s="4">
        <v>45439</v>
      </c>
      <c r="E4526" t="s">
        <v>1018</v>
      </c>
      <c r="F4526" t="s">
        <v>75</v>
      </c>
      <c r="I4526" s="6">
        <v>0</v>
      </c>
      <c r="J4526" s="6">
        <v>0</v>
      </c>
      <c r="K4526" s="6">
        <v>0</v>
      </c>
      <c r="L4526" s="6">
        <v>0</v>
      </c>
      <c r="M4526" s="6">
        <v>0</v>
      </c>
      <c r="N4526" s="6">
        <v>0</v>
      </c>
      <c r="O4526" s="6">
        <v>0</v>
      </c>
      <c r="P4526" s="6">
        <v>0</v>
      </c>
      <c r="Q4526">
        <v>1</v>
      </c>
      <c r="R4526">
        <f t="shared" si="350"/>
        <v>0</v>
      </c>
      <c r="S4526">
        <f t="shared" si="351"/>
        <v>1</v>
      </c>
      <c r="T4526">
        <f t="shared" si="352"/>
        <v>0</v>
      </c>
      <c r="U4526">
        <f t="shared" si="353"/>
        <v>0</v>
      </c>
      <c r="V4526">
        <f t="shared" si="354"/>
        <v>0</v>
      </c>
    </row>
    <row r="4527" spans="1:22" x14ac:dyDescent="0.25">
      <c r="A4527">
        <v>4524</v>
      </c>
      <c r="B4527" t="s">
        <v>30</v>
      </c>
      <c r="C4527" t="s">
        <v>1455</v>
      </c>
      <c r="D4527" s="4">
        <v>45439</v>
      </c>
      <c r="E4527" t="s">
        <v>1019</v>
      </c>
      <c r="F4527" t="s">
        <v>75</v>
      </c>
      <c r="I4527" s="6">
        <v>0</v>
      </c>
      <c r="J4527" s="6">
        <v>0</v>
      </c>
      <c r="K4527" s="6">
        <v>1</v>
      </c>
      <c r="L4527" s="6">
        <v>0</v>
      </c>
      <c r="M4527" s="6">
        <v>1</v>
      </c>
      <c r="N4527" s="6">
        <v>0</v>
      </c>
      <c r="O4527" s="6">
        <v>0</v>
      </c>
      <c r="P4527" s="6">
        <v>0</v>
      </c>
      <c r="Q4527">
        <v>1</v>
      </c>
      <c r="R4527">
        <f t="shared" si="350"/>
        <v>0</v>
      </c>
      <c r="S4527">
        <f t="shared" si="351"/>
        <v>1</v>
      </c>
      <c r="T4527">
        <f t="shared" si="352"/>
        <v>2</v>
      </c>
      <c r="U4527">
        <f t="shared" si="353"/>
        <v>1</v>
      </c>
      <c r="V4527">
        <f t="shared" si="354"/>
        <v>0</v>
      </c>
    </row>
    <row r="4528" spans="1:22" x14ac:dyDescent="0.25">
      <c r="A4528">
        <v>4525</v>
      </c>
      <c r="B4528" t="s">
        <v>30</v>
      </c>
      <c r="C4528" t="s">
        <v>1455</v>
      </c>
      <c r="D4528" s="4">
        <v>45439</v>
      </c>
      <c r="E4528" t="s">
        <v>1198</v>
      </c>
      <c r="F4528" t="s">
        <v>75</v>
      </c>
      <c r="I4528" s="6">
        <v>0</v>
      </c>
      <c r="J4528" s="6">
        <v>0</v>
      </c>
      <c r="K4528" s="6">
        <v>0</v>
      </c>
      <c r="L4528" s="6">
        <v>1</v>
      </c>
      <c r="M4528" s="6">
        <v>1</v>
      </c>
      <c r="N4528" s="6">
        <v>1</v>
      </c>
      <c r="O4528" s="6">
        <v>0</v>
      </c>
      <c r="P4528" s="6">
        <v>0</v>
      </c>
      <c r="Q4528">
        <v>1</v>
      </c>
      <c r="R4528">
        <f t="shared" si="350"/>
        <v>0</v>
      </c>
      <c r="S4528">
        <f t="shared" si="351"/>
        <v>1</v>
      </c>
      <c r="T4528">
        <f t="shared" si="352"/>
        <v>3</v>
      </c>
      <c r="U4528">
        <f t="shared" si="353"/>
        <v>1</v>
      </c>
      <c r="V4528">
        <f t="shared" si="354"/>
        <v>0</v>
      </c>
    </row>
    <row r="4529" spans="1:22" x14ac:dyDescent="0.25">
      <c r="A4529">
        <v>4526</v>
      </c>
      <c r="B4529" t="s">
        <v>30</v>
      </c>
      <c r="C4529" t="s">
        <v>1455</v>
      </c>
      <c r="D4529" s="4">
        <v>45439</v>
      </c>
      <c r="E4529" t="s">
        <v>2108</v>
      </c>
      <c r="F4529" t="s">
        <v>75</v>
      </c>
      <c r="I4529" s="6">
        <v>0</v>
      </c>
      <c r="J4529" s="6">
        <v>0</v>
      </c>
      <c r="K4529" s="6">
        <v>0</v>
      </c>
      <c r="L4529" s="6">
        <v>1</v>
      </c>
      <c r="M4529" s="6">
        <v>0</v>
      </c>
      <c r="N4529" s="6">
        <v>0</v>
      </c>
      <c r="O4529" s="6">
        <v>0</v>
      </c>
      <c r="P4529" s="6">
        <v>0</v>
      </c>
      <c r="Q4529">
        <v>1</v>
      </c>
      <c r="R4529">
        <f t="shared" si="350"/>
        <v>0</v>
      </c>
      <c r="S4529">
        <f t="shared" si="351"/>
        <v>1</v>
      </c>
      <c r="T4529">
        <f t="shared" si="352"/>
        <v>1</v>
      </c>
      <c r="U4529">
        <f t="shared" si="353"/>
        <v>1</v>
      </c>
      <c r="V4529">
        <f t="shared" si="354"/>
        <v>0</v>
      </c>
    </row>
    <row r="4530" spans="1:22" x14ac:dyDescent="0.25">
      <c r="A4530">
        <v>4527</v>
      </c>
      <c r="B4530" t="s">
        <v>30</v>
      </c>
      <c r="C4530" t="s">
        <v>1455</v>
      </c>
      <c r="D4530" s="4">
        <v>45439</v>
      </c>
      <c r="E4530" t="s">
        <v>1489</v>
      </c>
      <c r="F4530" t="s">
        <v>75</v>
      </c>
      <c r="I4530" s="6">
        <v>0</v>
      </c>
      <c r="J4530" s="6">
        <v>0</v>
      </c>
      <c r="K4530" s="6">
        <v>0</v>
      </c>
      <c r="L4530" s="6">
        <v>1</v>
      </c>
      <c r="M4530" s="6">
        <v>0</v>
      </c>
      <c r="N4530" s="6">
        <v>0</v>
      </c>
      <c r="O4530" s="6">
        <v>0</v>
      </c>
      <c r="P4530" s="6">
        <v>0</v>
      </c>
      <c r="Q4530">
        <v>1</v>
      </c>
      <c r="R4530">
        <f t="shared" si="350"/>
        <v>0</v>
      </c>
      <c r="S4530">
        <f t="shared" si="351"/>
        <v>1</v>
      </c>
      <c r="T4530">
        <f t="shared" si="352"/>
        <v>1</v>
      </c>
      <c r="U4530">
        <f t="shared" si="353"/>
        <v>1</v>
      </c>
      <c r="V4530">
        <f t="shared" si="354"/>
        <v>0</v>
      </c>
    </row>
    <row r="4531" spans="1:22" x14ac:dyDescent="0.25">
      <c r="A4531">
        <v>4528</v>
      </c>
      <c r="B4531" t="s">
        <v>30</v>
      </c>
      <c r="C4531" t="s">
        <v>1455</v>
      </c>
      <c r="D4531" s="4">
        <v>45439</v>
      </c>
      <c r="E4531" t="s">
        <v>1419</v>
      </c>
      <c r="F4531" t="s">
        <v>75</v>
      </c>
      <c r="I4531" s="6"/>
      <c r="J4531" s="6"/>
      <c r="K4531" s="6"/>
      <c r="L4531" s="6"/>
      <c r="M4531" s="6"/>
      <c r="N4531" s="6"/>
      <c r="O4531" s="6"/>
      <c r="P4531" s="6"/>
      <c r="Q4531">
        <v>0</v>
      </c>
      <c r="R4531">
        <f t="shared" si="350"/>
        <v>0</v>
      </c>
      <c r="S4531">
        <f t="shared" si="351"/>
        <v>0</v>
      </c>
      <c r="T4531">
        <f t="shared" si="352"/>
        <v>0</v>
      </c>
      <c r="U4531">
        <f t="shared" si="353"/>
        <v>0</v>
      </c>
      <c r="V4531">
        <f t="shared" si="354"/>
        <v>0</v>
      </c>
    </row>
    <row r="4532" spans="1:22" x14ac:dyDescent="0.25">
      <c r="A4532">
        <v>4529</v>
      </c>
      <c r="B4532" t="s">
        <v>30</v>
      </c>
      <c r="C4532" t="s">
        <v>1455</v>
      </c>
      <c r="D4532" s="4">
        <v>45440</v>
      </c>
      <c r="E4532" t="s">
        <v>488</v>
      </c>
      <c r="F4532" t="s">
        <v>75</v>
      </c>
      <c r="I4532" s="6">
        <v>0</v>
      </c>
      <c r="J4532" s="6">
        <v>0</v>
      </c>
      <c r="K4532" s="6">
        <v>0</v>
      </c>
      <c r="L4532" s="6">
        <v>0</v>
      </c>
      <c r="M4532" s="6">
        <v>0</v>
      </c>
      <c r="N4532" s="6">
        <v>0</v>
      </c>
      <c r="O4532" s="6">
        <v>0</v>
      </c>
      <c r="P4532" s="6">
        <v>0</v>
      </c>
      <c r="Q4532">
        <v>1</v>
      </c>
      <c r="R4532">
        <f t="shared" si="350"/>
        <v>0</v>
      </c>
      <c r="S4532">
        <f t="shared" si="351"/>
        <v>1</v>
      </c>
      <c r="T4532">
        <f t="shared" si="352"/>
        <v>0</v>
      </c>
      <c r="U4532">
        <f t="shared" si="353"/>
        <v>0</v>
      </c>
      <c r="V4532">
        <f t="shared" si="354"/>
        <v>0</v>
      </c>
    </row>
    <row r="4533" spans="1:22" x14ac:dyDescent="0.25">
      <c r="A4533">
        <v>4530</v>
      </c>
      <c r="B4533" t="s">
        <v>30</v>
      </c>
      <c r="C4533" t="s">
        <v>1455</v>
      </c>
      <c r="D4533" s="4">
        <v>45440</v>
      </c>
      <c r="E4533" t="s">
        <v>371</v>
      </c>
      <c r="F4533" t="s">
        <v>75</v>
      </c>
      <c r="I4533" s="6">
        <v>0</v>
      </c>
      <c r="J4533" s="6">
        <v>0</v>
      </c>
      <c r="K4533" s="6">
        <v>0</v>
      </c>
      <c r="L4533" s="6">
        <v>0</v>
      </c>
      <c r="M4533" s="6">
        <v>0</v>
      </c>
      <c r="N4533" s="6">
        <v>0</v>
      </c>
      <c r="O4533" s="6">
        <v>0</v>
      </c>
      <c r="P4533" s="6">
        <v>1</v>
      </c>
      <c r="Q4533">
        <v>1</v>
      </c>
      <c r="R4533">
        <f t="shared" si="350"/>
        <v>0</v>
      </c>
      <c r="S4533">
        <f t="shared" si="351"/>
        <v>1</v>
      </c>
      <c r="T4533">
        <f t="shared" si="352"/>
        <v>1</v>
      </c>
      <c r="U4533">
        <f t="shared" si="353"/>
        <v>1</v>
      </c>
      <c r="V4533">
        <f t="shared" si="354"/>
        <v>0</v>
      </c>
    </row>
    <row r="4534" spans="1:22" x14ac:dyDescent="0.25">
      <c r="A4534">
        <v>4531</v>
      </c>
      <c r="B4534" t="s">
        <v>30</v>
      </c>
      <c r="C4534" t="s">
        <v>1455</v>
      </c>
      <c r="D4534" s="4">
        <v>45440</v>
      </c>
      <c r="E4534" t="s">
        <v>895</v>
      </c>
      <c r="F4534" t="s">
        <v>75</v>
      </c>
      <c r="I4534" s="6"/>
      <c r="J4534" s="6"/>
      <c r="K4534" s="6"/>
      <c r="L4534" s="6"/>
      <c r="M4534" s="6"/>
      <c r="N4534" s="6"/>
      <c r="O4534" s="6"/>
      <c r="P4534" s="6"/>
      <c r="Q4534">
        <v>0</v>
      </c>
      <c r="R4534">
        <f t="shared" si="350"/>
        <v>0</v>
      </c>
      <c r="S4534">
        <f t="shared" si="351"/>
        <v>0</v>
      </c>
      <c r="T4534">
        <f t="shared" si="352"/>
        <v>0</v>
      </c>
      <c r="U4534">
        <f t="shared" si="353"/>
        <v>0</v>
      </c>
      <c r="V4534">
        <f t="shared" si="354"/>
        <v>0</v>
      </c>
    </row>
    <row r="4535" spans="1:22" x14ac:dyDescent="0.25">
      <c r="A4535">
        <v>4532</v>
      </c>
      <c r="B4535" t="s">
        <v>30</v>
      </c>
      <c r="C4535" t="s">
        <v>1455</v>
      </c>
      <c r="D4535" s="4">
        <v>45440</v>
      </c>
      <c r="E4535" t="s">
        <v>372</v>
      </c>
      <c r="F4535" t="s">
        <v>75</v>
      </c>
      <c r="I4535" s="6">
        <v>1</v>
      </c>
      <c r="J4535" s="6">
        <v>0</v>
      </c>
      <c r="K4535" s="6">
        <v>0</v>
      </c>
      <c r="L4535" s="6">
        <v>0</v>
      </c>
      <c r="M4535" s="6">
        <v>0</v>
      </c>
      <c r="N4535" s="6">
        <v>0</v>
      </c>
      <c r="O4535" s="6">
        <v>0</v>
      </c>
      <c r="P4535" s="6">
        <v>0</v>
      </c>
      <c r="Q4535">
        <v>1</v>
      </c>
      <c r="R4535">
        <f t="shared" si="350"/>
        <v>0</v>
      </c>
      <c r="S4535">
        <f t="shared" si="351"/>
        <v>1</v>
      </c>
      <c r="T4535">
        <f t="shared" si="352"/>
        <v>1</v>
      </c>
      <c r="U4535">
        <f t="shared" si="353"/>
        <v>1</v>
      </c>
      <c r="V4535">
        <f t="shared" si="354"/>
        <v>0</v>
      </c>
    </row>
    <row r="4536" spans="1:22" x14ac:dyDescent="0.25">
      <c r="A4536">
        <v>4533</v>
      </c>
      <c r="B4536" t="s">
        <v>30</v>
      </c>
      <c r="C4536" t="s">
        <v>1455</v>
      </c>
      <c r="D4536" s="4">
        <v>45441</v>
      </c>
      <c r="E4536" t="s">
        <v>374</v>
      </c>
      <c r="F4536" t="s">
        <v>75</v>
      </c>
      <c r="I4536" s="6"/>
      <c r="J4536" s="6"/>
      <c r="K4536" s="6"/>
      <c r="L4536" s="6"/>
      <c r="M4536" s="6"/>
      <c r="N4536" s="6"/>
      <c r="O4536" s="6"/>
      <c r="P4536" s="6"/>
      <c r="Q4536">
        <v>0</v>
      </c>
      <c r="R4536">
        <f t="shared" si="350"/>
        <v>0</v>
      </c>
      <c r="S4536">
        <f t="shared" si="351"/>
        <v>0</v>
      </c>
      <c r="T4536">
        <f t="shared" si="352"/>
        <v>0</v>
      </c>
      <c r="U4536">
        <f t="shared" si="353"/>
        <v>0</v>
      </c>
      <c r="V4536">
        <f t="shared" si="354"/>
        <v>0</v>
      </c>
    </row>
    <row r="4537" spans="1:22" x14ac:dyDescent="0.25">
      <c r="A4537">
        <v>4534</v>
      </c>
      <c r="B4537" t="s">
        <v>30</v>
      </c>
      <c r="C4537" t="s">
        <v>1455</v>
      </c>
      <c r="D4537" s="4">
        <v>45441</v>
      </c>
      <c r="E4537" t="s">
        <v>375</v>
      </c>
      <c r="F4537" t="s">
        <v>75</v>
      </c>
      <c r="I4537" s="6">
        <v>0</v>
      </c>
      <c r="J4537" s="6">
        <v>0</v>
      </c>
      <c r="K4537" s="6">
        <v>0</v>
      </c>
      <c r="L4537" s="6">
        <v>0</v>
      </c>
      <c r="M4537" s="6">
        <v>0</v>
      </c>
      <c r="N4537" s="6">
        <v>0</v>
      </c>
      <c r="O4537" s="6">
        <v>0</v>
      </c>
      <c r="P4537" s="6">
        <v>0</v>
      </c>
      <c r="Q4537">
        <v>1</v>
      </c>
      <c r="R4537">
        <f t="shared" si="350"/>
        <v>0</v>
      </c>
      <c r="S4537">
        <f t="shared" si="351"/>
        <v>1</v>
      </c>
      <c r="T4537">
        <f t="shared" si="352"/>
        <v>0</v>
      </c>
      <c r="U4537">
        <f t="shared" si="353"/>
        <v>0</v>
      </c>
      <c r="V4537">
        <f t="shared" si="354"/>
        <v>0</v>
      </c>
    </row>
    <row r="4538" spans="1:22" x14ac:dyDescent="0.25">
      <c r="A4538">
        <v>4535</v>
      </c>
      <c r="B4538" t="s">
        <v>30</v>
      </c>
      <c r="C4538" t="s">
        <v>1455</v>
      </c>
      <c r="D4538" s="4">
        <v>45442</v>
      </c>
      <c r="E4538" t="s">
        <v>1099</v>
      </c>
      <c r="F4538" t="s">
        <v>75</v>
      </c>
      <c r="I4538" s="6">
        <v>0</v>
      </c>
      <c r="J4538" s="6">
        <v>0</v>
      </c>
      <c r="K4538" s="6">
        <v>0</v>
      </c>
      <c r="L4538" s="6">
        <v>0</v>
      </c>
      <c r="M4538" s="6">
        <v>0</v>
      </c>
      <c r="N4538" s="6">
        <v>0</v>
      </c>
      <c r="O4538" s="6">
        <v>0</v>
      </c>
      <c r="P4538" s="6">
        <v>0</v>
      </c>
      <c r="Q4538">
        <v>1</v>
      </c>
      <c r="R4538">
        <f t="shared" si="350"/>
        <v>0</v>
      </c>
      <c r="S4538">
        <f t="shared" si="351"/>
        <v>1</v>
      </c>
      <c r="T4538">
        <f t="shared" si="352"/>
        <v>0</v>
      </c>
      <c r="U4538">
        <f t="shared" si="353"/>
        <v>0</v>
      </c>
      <c r="V4538">
        <f t="shared" si="354"/>
        <v>0</v>
      </c>
    </row>
    <row r="4539" spans="1:22" x14ac:dyDescent="0.25">
      <c r="A4539">
        <v>4536</v>
      </c>
      <c r="B4539" t="s">
        <v>30</v>
      </c>
      <c r="C4539" t="s">
        <v>1455</v>
      </c>
      <c r="D4539" s="4">
        <v>45442</v>
      </c>
      <c r="E4539" t="s">
        <v>490</v>
      </c>
      <c r="F4539" t="s">
        <v>75</v>
      </c>
      <c r="I4539" s="6">
        <v>0</v>
      </c>
      <c r="J4539" s="6">
        <v>0</v>
      </c>
      <c r="K4539" s="6">
        <v>1</v>
      </c>
      <c r="L4539" s="6">
        <v>0</v>
      </c>
      <c r="M4539" s="6">
        <v>0</v>
      </c>
      <c r="N4539" s="6">
        <v>0</v>
      </c>
      <c r="O4539" s="6">
        <v>0</v>
      </c>
      <c r="P4539" s="6">
        <v>0</v>
      </c>
      <c r="Q4539">
        <v>1</v>
      </c>
      <c r="R4539">
        <f t="shared" si="350"/>
        <v>0</v>
      </c>
      <c r="S4539">
        <f t="shared" si="351"/>
        <v>1</v>
      </c>
      <c r="T4539">
        <f t="shared" si="352"/>
        <v>1</v>
      </c>
      <c r="U4539">
        <f t="shared" si="353"/>
        <v>1</v>
      </c>
      <c r="V4539">
        <f t="shared" si="354"/>
        <v>0</v>
      </c>
    </row>
    <row r="4540" spans="1:22" x14ac:dyDescent="0.25">
      <c r="A4540">
        <v>4537</v>
      </c>
      <c r="B4540" t="s">
        <v>30</v>
      </c>
      <c r="C4540" t="s">
        <v>1455</v>
      </c>
      <c r="D4540" s="4">
        <v>45442</v>
      </c>
      <c r="E4540" t="s">
        <v>1100</v>
      </c>
      <c r="F4540" t="s">
        <v>75</v>
      </c>
      <c r="I4540" s="6">
        <v>0</v>
      </c>
      <c r="J4540" s="6">
        <v>0</v>
      </c>
      <c r="K4540" s="6">
        <v>0</v>
      </c>
      <c r="L4540" s="6">
        <v>0</v>
      </c>
      <c r="M4540" s="6">
        <v>1</v>
      </c>
      <c r="N4540" s="6">
        <v>0</v>
      </c>
      <c r="O4540" s="6">
        <v>0</v>
      </c>
      <c r="P4540" s="6">
        <v>0</v>
      </c>
      <c r="Q4540">
        <v>1</v>
      </c>
      <c r="R4540">
        <f t="shared" si="350"/>
        <v>0</v>
      </c>
      <c r="S4540">
        <f t="shared" si="351"/>
        <v>1</v>
      </c>
      <c r="T4540">
        <f t="shared" si="352"/>
        <v>1</v>
      </c>
      <c r="U4540">
        <f t="shared" si="353"/>
        <v>1</v>
      </c>
      <c r="V4540">
        <f t="shared" si="354"/>
        <v>0</v>
      </c>
    </row>
    <row r="4541" spans="1:22" x14ac:dyDescent="0.25">
      <c r="A4541">
        <v>4538</v>
      </c>
      <c r="B4541" t="s">
        <v>30</v>
      </c>
      <c r="C4541" t="s">
        <v>1455</v>
      </c>
      <c r="D4541" s="4">
        <v>45442</v>
      </c>
      <c r="E4541" t="s">
        <v>1101</v>
      </c>
      <c r="F4541" t="s">
        <v>75</v>
      </c>
      <c r="I4541" s="6">
        <v>0</v>
      </c>
      <c r="J4541" s="6">
        <v>0</v>
      </c>
      <c r="K4541" s="6">
        <v>0</v>
      </c>
      <c r="L4541" s="6">
        <v>0</v>
      </c>
      <c r="M4541" s="6">
        <v>1</v>
      </c>
      <c r="N4541" s="6">
        <v>0</v>
      </c>
      <c r="O4541" s="6">
        <v>0</v>
      </c>
      <c r="P4541" s="6">
        <v>0</v>
      </c>
      <c r="Q4541">
        <v>1</v>
      </c>
      <c r="R4541">
        <f t="shared" si="350"/>
        <v>0</v>
      </c>
      <c r="S4541">
        <f t="shared" si="351"/>
        <v>1</v>
      </c>
      <c r="T4541">
        <f t="shared" si="352"/>
        <v>1</v>
      </c>
      <c r="U4541">
        <f t="shared" si="353"/>
        <v>1</v>
      </c>
      <c r="V4541">
        <f t="shared" si="354"/>
        <v>0</v>
      </c>
    </row>
    <row r="4542" spans="1:22" x14ac:dyDescent="0.25">
      <c r="A4542">
        <v>4539</v>
      </c>
      <c r="B4542" t="s">
        <v>30</v>
      </c>
      <c r="C4542" t="s">
        <v>1455</v>
      </c>
      <c r="D4542" s="4">
        <v>45442</v>
      </c>
      <c r="E4542" t="s">
        <v>1490</v>
      </c>
      <c r="F4542" t="s">
        <v>75</v>
      </c>
      <c r="I4542" s="6">
        <v>0</v>
      </c>
      <c r="J4542" s="6">
        <v>0</v>
      </c>
      <c r="K4542" s="6">
        <v>0</v>
      </c>
      <c r="L4542" s="6">
        <v>0</v>
      </c>
      <c r="M4542" s="6">
        <v>1</v>
      </c>
      <c r="N4542" s="6">
        <v>0</v>
      </c>
      <c r="O4542" s="6">
        <v>0</v>
      </c>
      <c r="P4542" s="6">
        <v>0</v>
      </c>
      <c r="Q4542">
        <v>1</v>
      </c>
      <c r="R4542">
        <f t="shared" si="350"/>
        <v>0</v>
      </c>
      <c r="S4542">
        <f t="shared" si="351"/>
        <v>1</v>
      </c>
      <c r="T4542">
        <f t="shared" si="352"/>
        <v>1</v>
      </c>
      <c r="U4542">
        <f t="shared" si="353"/>
        <v>1</v>
      </c>
      <c r="V4542">
        <f t="shared" si="354"/>
        <v>0</v>
      </c>
    </row>
    <row r="4543" spans="1:22" x14ac:dyDescent="0.25">
      <c r="A4543">
        <v>4540</v>
      </c>
      <c r="B4543" t="s">
        <v>30</v>
      </c>
      <c r="C4543" t="s">
        <v>1455</v>
      </c>
      <c r="D4543" s="4">
        <v>45442</v>
      </c>
      <c r="E4543" t="s">
        <v>1204</v>
      </c>
      <c r="F4543" t="s">
        <v>75</v>
      </c>
      <c r="I4543" s="6">
        <v>0</v>
      </c>
      <c r="J4543" s="6">
        <v>0</v>
      </c>
      <c r="K4543" s="6">
        <v>0</v>
      </c>
      <c r="L4543" s="6">
        <v>1</v>
      </c>
      <c r="M4543" s="6">
        <v>0</v>
      </c>
      <c r="N4543" s="6">
        <v>0</v>
      </c>
      <c r="O4543" s="6">
        <v>0</v>
      </c>
      <c r="P4543" s="6">
        <v>0</v>
      </c>
      <c r="Q4543">
        <v>1</v>
      </c>
      <c r="R4543">
        <f t="shared" si="350"/>
        <v>0</v>
      </c>
      <c r="S4543">
        <f t="shared" si="351"/>
        <v>1</v>
      </c>
      <c r="T4543">
        <f t="shared" si="352"/>
        <v>1</v>
      </c>
      <c r="U4543">
        <f t="shared" si="353"/>
        <v>1</v>
      </c>
      <c r="V4543">
        <f t="shared" si="354"/>
        <v>0</v>
      </c>
    </row>
    <row r="4544" spans="1:22" x14ac:dyDescent="0.25">
      <c r="A4544">
        <v>4541</v>
      </c>
      <c r="B4544" t="s">
        <v>30</v>
      </c>
      <c r="C4544" t="s">
        <v>1455</v>
      </c>
      <c r="D4544" s="4">
        <v>45443</v>
      </c>
      <c r="E4544" t="s">
        <v>896</v>
      </c>
      <c r="F4544" t="s">
        <v>75</v>
      </c>
      <c r="I4544" s="6"/>
      <c r="J4544" s="6"/>
      <c r="K4544" s="6"/>
      <c r="L4544" s="6"/>
      <c r="M4544" s="6"/>
      <c r="N4544" s="6"/>
      <c r="O4544" s="6"/>
      <c r="P4544" s="6"/>
      <c r="Q4544">
        <v>0</v>
      </c>
      <c r="R4544">
        <f t="shared" si="350"/>
        <v>0</v>
      </c>
      <c r="S4544">
        <f t="shared" si="351"/>
        <v>0</v>
      </c>
      <c r="T4544">
        <f t="shared" si="352"/>
        <v>0</v>
      </c>
      <c r="U4544">
        <f t="shared" si="353"/>
        <v>0</v>
      </c>
      <c r="V4544">
        <f t="shared" si="354"/>
        <v>0</v>
      </c>
    </row>
    <row r="4545" spans="1:22" x14ac:dyDescent="0.25">
      <c r="A4545">
        <v>4542</v>
      </c>
      <c r="B4545" t="s">
        <v>30</v>
      </c>
      <c r="C4545" t="s">
        <v>1455</v>
      </c>
      <c r="D4545" s="4">
        <v>45443</v>
      </c>
      <c r="E4545" t="s">
        <v>897</v>
      </c>
      <c r="F4545" t="s">
        <v>75</v>
      </c>
      <c r="I4545" s="6"/>
      <c r="J4545" s="6"/>
      <c r="K4545" s="6"/>
      <c r="L4545" s="6"/>
      <c r="M4545" s="6"/>
      <c r="N4545" s="6"/>
      <c r="O4545" s="6"/>
      <c r="P4545" s="6"/>
      <c r="Q4545">
        <v>0</v>
      </c>
      <c r="R4545">
        <f t="shared" si="350"/>
        <v>0</v>
      </c>
      <c r="S4545">
        <f t="shared" si="351"/>
        <v>0</v>
      </c>
      <c r="T4545">
        <f t="shared" si="352"/>
        <v>0</v>
      </c>
      <c r="U4545">
        <f t="shared" si="353"/>
        <v>0</v>
      </c>
      <c r="V4545">
        <f t="shared" si="354"/>
        <v>0</v>
      </c>
    </row>
    <row r="4546" spans="1:22" x14ac:dyDescent="0.25">
      <c r="A4546">
        <v>4543</v>
      </c>
      <c r="B4546" t="s">
        <v>30</v>
      </c>
      <c r="C4546" t="s">
        <v>1455</v>
      </c>
      <c r="D4546" s="4">
        <v>45443</v>
      </c>
      <c r="E4546" t="s">
        <v>898</v>
      </c>
      <c r="F4546" t="s">
        <v>75</v>
      </c>
      <c r="I4546" s="6">
        <v>0</v>
      </c>
      <c r="J4546" s="6">
        <v>0</v>
      </c>
      <c r="K4546" s="6">
        <v>0</v>
      </c>
      <c r="L4546" s="6">
        <v>0</v>
      </c>
      <c r="M4546" s="6">
        <v>1</v>
      </c>
      <c r="N4546" s="6">
        <v>0</v>
      </c>
      <c r="O4546" s="6">
        <v>0</v>
      </c>
      <c r="P4546" s="6">
        <v>0</v>
      </c>
      <c r="Q4546">
        <v>1</v>
      </c>
      <c r="R4546">
        <f t="shared" si="350"/>
        <v>0</v>
      </c>
      <c r="S4546">
        <f t="shared" si="351"/>
        <v>1</v>
      </c>
      <c r="T4546">
        <f t="shared" si="352"/>
        <v>1</v>
      </c>
      <c r="U4546">
        <f t="shared" si="353"/>
        <v>1</v>
      </c>
      <c r="V4546">
        <f t="shared" si="354"/>
        <v>0</v>
      </c>
    </row>
    <row r="4547" spans="1:22" x14ac:dyDescent="0.25">
      <c r="A4547">
        <v>4544</v>
      </c>
      <c r="B4547" t="s">
        <v>30</v>
      </c>
      <c r="C4547" t="s">
        <v>1455</v>
      </c>
      <c r="D4547" s="4">
        <v>45443</v>
      </c>
      <c r="E4547" t="s">
        <v>1491</v>
      </c>
      <c r="F4547" t="s">
        <v>75</v>
      </c>
      <c r="I4547" s="6">
        <v>0</v>
      </c>
      <c r="J4547" s="6">
        <v>0</v>
      </c>
      <c r="K4547" s="6">
        <v>0</v>
      </c>
      <c r="L4547" s="6">
        <v>0</v>
      </c>
      <c r="M4547" s="6">
        <v>0</v>
      </c>
      <c r="N4547" s="6">
        <v>0</v>
      </c>
      <c r="O4547" s="6">
        <v>0</v>
      </c>
      <c r="P4547" s="6">
        <v>0</v>
      </c>
      <c r="Q4547">
        <v>1</v>
      </c>
      <c r="R4547">
        <f t="shared" ref="R4547:R4610" si="355">IF(AND(Q4547=1,F4547="ai_full"),1,0)</f>
        <v>0</v>
      </c>
      <c r="S4547">
        <f t="shared" ref="S4547:S4610" si="356">IF(AND(Q4547=1,F4547="conventional"),1,0)</f>
        <v>1</v>
      </c>
      <c r="T4547">
        <f t="shared" ref="T4547:T4610" si="357">SUM(I4547:P4547)</f>
        <v>0</v>
      </c>
      <c r="U4547">
        <f t="shared" ref="U4547:U4610" si="358">IF(T4547&gt;=1,1,0)</f>
        <v>0</v>
      </c>
      <c r="V4547">
        <f t="shared" ref="V4547:V4610" si="359">IF(F4547="ai_full",1,0)</f>
        <v>0</v>
      </c>
    </row>
    <row r="4548" spans="1:22" x14ac:dyDescent="0.25">
      <c r="A4548">
        <v>4545</v>
      </c>
      <c r="B4548" t="s">
        <v>30</v>
      </c>
      <c r="C4548" t="s">
        <v>1455</v>
      </c>
      <c r="D4548" s="4">
        <v>45443</v>
      </c>
      <c r="E4548" t="s">
        <v>2099</v>
      </c>
      <c r="F4548" t="s">
        <v>75</v>
      </c>
      <c r="I4548" s="6"/>
      <c r="J4548" s="6"/>
      <c r="K4548" s="6"/>
      <c r="L4548" s="6"/>
      <c r="M4548" s="6"/>
      <c r="N4548" s="6"/>
      <c r="O4548" s="6"/>
      <c r="P4548" s="6"/>
      <c r="Q4548">
        <v>0</v>
      </c>
      <c r="R4548">
        <f t="shared" si="355"/>
        <v>0</v>
      </c>
      <c r="S4548">
        <f t="shared" si="356"/>
        <v>0</v>
      </c>
      <c r="T4548">
        <f t="shared" si="357"/>
        <v>0</v>
      </c>
      <c r="U4548">
        <f t="shared" si="358"/>
        <v>0</v>
      </c>
      <c r="V4548">
        <f t="shared" si="359"/>
        <v>0</v>
      </c>
    </row>
    <row r="4549" spans="1:22" x14ac:dyDescent="0.25">
      <c r="A4549">
        <v>4546</v>
      </c>
      <c r="B4549" t="s">
        <v>30</v>
      </c>
      <c r="C4549" t="s">
        <v>1455</v>
      </c>
      <c r="D4549" s="4">
        <v>45444</v>
      </c>
      <c r="E4549" t="s">
        <v>376</v>
      </c>
      <c r="F4549" t="s">
        <v>75</v>
      </c>
      <c r="I4549" s="6">
        <v>1</v>
      </c>
      <c r="J4549" s="6">
        <v>1</v>
      </c>
      <c r="K4549" s="6">
        <v>0</v>
      </c>
      <c r="L4549" s="6">
        <v>1</v>
      </c>
      <c r="M4549" s="6">
        <v>0</v>
      </c>
      <c r="N4549" s="6">
        <v>0</v>
      </c>
      <c r="O4549" s="6">
        <v>0</v>
      </c>
      <c r="P4549" s="6">
        <v>0</v>
      </c>
      <c r="Q4549">
        <v>1</v>
      </c>
      <c r="R4549">
        <f t="shared" si="355"/>
        <v>0</v>
      </c>
      <c r="S4549">
        <f t="shared" si="356"/>
        <v>1</v>
      </c>
      <c r="T4549">
        <f t="shared" si="357"/>
        <v>3</v>
      </c>
      <c r="U4549">
        <f t="shared" si="358"/>
        <v>1</v>
      </c>
      <c r="V4549">
        <f t="shared" si="359"/>
        <v>0</v>
      </c>
    </row>
    <row r="4550" spans="1:22" x14ac:dyDescent="0.25">
      <c r="A4550">
        <v>4547</v>
      </c>
      <c r="B4550" t="s">
        <v>30</v>
      </c>
      <c r="C4550" t="s">
        <v>1455</v>
      </c>
      <c r="D4550" s="4">
        <v>45444</v>
      </c>
      <c r="E4550" t="s">
        <v>1211</v>
      </c>
      <c r="F4550" t="s">
        <v>75</v>
      </c>
      <c r="I4550" s="6">
        <v>0</v>
      </c>
      <c r="J4550" s="6">
        <v>0</v>
      </c>
      <c r="K4550" s="6">
        <v>0</v>
      </c>
      <c r="L4550" s="6">
        <v>0</v>
      </c>
      <c r="M4550" s="6">
        <v>0</v>
      </c>
      <c r="N4550" s="6">
        <v>0</v>
      </c>
      <c r="O4550" s="6">
        <v>0</v>
      </c>
      <c r="P4550" s="6">
        <v>0</v>
      </c>
      <c r="Q4550">
        <v>1</v>
      </c>
      <c r="R4550">
        <f t="shared" si="355"/>
        <v>0</v>
      </c>
      <c r="S4550">
        <f t="shared" si="356"/>
        <v>1</v>
      </c>
      <c r="T4550">
        <f t="shared" si="357"/>
        <v>0</v>
      </c>
      <c r="U4550">
        <f t="shared" si="358"/>
        <v>0</v>
      </c>
      <c r="V4550">
        <f t="shared" si="359"/>
        <v>0</v>
      </c>
    </row>
    <row r="4551" spans="1:22" x14ac:dyDescent="0.25">
      <c r="A4551">
        <v>4548</v>
      </c>
      <c r="B4551" t="s">
        <v>30</v>
      </c>
      <c r="C4551" t="s">
        <v>1455</v>
      </c>
      <c r="D4551" s="4">
        <v>45444</v>
      </c>
      <c r="E4551" t="s">
        <v>1492</v>
      </c>
      <c r="F4551" t="s">
        <v>75</v>
      </c>
      <c r="I4551" s="6">
        <v>0</v>
      </c>
      <c r="J4551" s="6">
        <v>0</v>
      </c>
      <c r="K4551" s="6">
        <v>0</v>
      </c>
      <c r="L4551" s="6">
        <v>0</v>
      </c>
      <c r="M4551" s="6">
        <v>1</v>
      </c>
      <c r="N4551" s="6">
        <v>1</v>
      </c>
      <c r="O4551" s="6">
        <v>0</v>
      </c>
      <c r="P4551" s="6">
        <v>0</v>
      </c>
      <c r="Q4551">
        <v>1</v>
      </c>
      <c r="R4551">
        <f t="shared" si="355"/>
        <v>0</v>
      </c>
      <c r="S4551">
        <f t="shared" si="356"/>
        <v>1</v>
      </c>
      <c r="T4551">
        <f t="shared" si="357"/>
        <v>2</v>
      </c>
      <c r="U4551">
        <f t="shared" si="358"/>
        <v>1</v>
      </c>
      <c r="V4551">
        <f t="shared" si="359"/>
        <v>0</v>
      </c>
    </row>
    <row r="4552" spans="1:22" x14ac:dyDescent="0.25">
      <c r="A4552">
        <v>4549</v>
      </c>
      <c r="B4552" t="s">
        <v>30</v>
      </c>
      <c r="C4552" t="s">
        <v>1455</v>
      </c>
      <c r="D4552" s="4">
        <v>45444</v>
      </c>
      <c r="E4552" t="s">
        <v>2309</v>
      </c>
      <c r="F4552" t="s">
        <v>75</v>
      </c>
      <c r="I4552" s="6"/>
      <c r="J4552" s="6"/>
      <c r="K4552" s="6"/>
      <c r="L4552" s="6"/>
      <c r="M4552" s="6"/>
      <c r="N4552" s="6"/>
      <c r="O4552" s="6"/>
      <c r="P4552" s="6"/>
      <c r="Q4552">
        <v>0</v>
      </c>
      <c r="R4552">
        <f t="shared" si="355"/>
        <v>0</v>
      </c>
      <c r="S4552">
        <f t="shared" si="356"/>
        <v>0</v>
      </c>
      <c r="T4552">
        <f t="shared" si="357"/>
        <v>0</v>
      </c>
      <c r="U4552">
        <f t="shared" si="358"/>
        <v>0</v>
      </c>
      <c r="V4552">
        <f t="shared" si="359"/>
        <v>0</v>
      </c>
    </row>
    <row r="4553" spans="1:22" x14ac:dyDescent="0.25">
      <c r="A4553">
        <v>4550</v>
      </c>
      <c r="B4553" t="s">
        <v>30</v>
      </c>
      <c r="C4553" t="s">
        <v>1455</v>
      </c>
      <c r="D4553" s="4">
        <v>45444</v>
      </c>
      <c r="E4553" t="s">
        <v>1493</v>
      </c>
      <c r="F4553" t="s">
        <v>75</v>
      </c>
      <c r="I4553" s="6">
        <v>0</v>
      </c>
      <c r="J4553" s="6">
        <v>0</v>
      </c>
      <c r="K4553" s="6">
        <v>0</v>
      </c>
      <c r="L4553" s="6">
        <v>0</v>
      </c>
      <c r="M4553" s="6">
        <v>0</v>
      </c>
      <c r="N4553" s="6">
        <v>0</v>
      </c>
      <c r="O4553" s="6">
        <v>0</v>
      </c>
      <c r="P4553" s="6">
        <v>1</v>
      </c>
      <c r="Q4553">
        <v>1</v>
      </c>
      <c r="R4553">
        <f t="shared" si="355"/>
        <v>0</v>
      </c>
      <c r="S4553">
        <f t="shared" si="356"/>
        <v>1</v>
      </c>
      <c r="T4553">
        <f t="shared" si="357"/>
        <v>1</v>
      </c>
      <c r="U4553">
        <f t="shared" si="358"/>
        <v>1</v>
      </c>
      <c r="V4553">
        <f t="shared" si="359"/>
        <v>0</v>
      </c>
    </row>
    <row r="4554" spans="1:22" x14ac:dyDescent="0.25">
      <c r="A4554">
        <v>4551</v>
      </c>
      <c r="B4554" t="s">
        <v>30</v>
      </c>
      <c r="C4554" t="s">
        <v>1455</v>
      </c>
      <c r="D4554" s="4">
        <v>45444</v>
      </c>
      <c r="E4554" t="s">
        <v>2308</v>
      </c>
      <c r="F4554" t="s">
        <v>75</v>
      </c>
      <c r="I4554" s="6"/>
      <c r="J4554" s="6"/>
      <c r="K4554" s="6"/>
      <c r="L4554" s="6"/>
      <c r="M4554" s="6"/>
      <c r="N4554" s="6"/>
      <c r="O4554" s="6"/>
      <c r="P4554" s="6"/>
      <c r="Q4554">
        <v>0</v>
      </c>
      <c r="R4554">
        <f t="shared" si="355"/>
        <v>0</v>
      </c>
      <c r="S4554">
        <f t="shared" si="356"/>
        <v>0</v>
      </c>
      <c r="T4554">
        <f t="shared" si="357"/>
        <v>0</v>
      </c>
      <c r="U4554">
        <f t="shared" si="358"/>
        <v>0</v>
      </c>
      <c r="V4554">
        <f t="shared" si="359"/>
        <v>0</v>
      </c>
    </row>
    <row r="4555" spans="1:22" x14ac:dyDescent="0.25">
      <c r="A4555">
        <v>4552</v>
      </c>
      <c r="B4555" t="s">
        <v>30</v>
      </c>
      <c r="C4555" t="s">
        <v>1455</v>
      </c>
      <c r="D4555" s="4">
        <v>45444</v>
      </c>
      <c r="E4555" t="s">
        <v>1494</v>
      </c>
      <c r="F4555" t="s">
        <v>75</v>
      </c>
      <c r="I4555" s="6">
        <v>0</v>
      </c>
      <c r="J4555" s="6">
        <v>0</v>
      </c>
      <c r="K4555" s="6">
        <v>0</v>
      </c>
      <c r="L4555" s="6">
        <v>0</v>
      </c>
      <c r="M4555" s="6">
        <v>0</v>
      </c>
      <c r="N4555" s="6">
        <v>0</v>
      </c>
      <c r="O4555" s="6">
        <v>0</v>
      </c>
      <c r="P4555" s="6">
        <v>0</v>
      </c>
      <c r="Q4555">
        <v>1</v>
      </c>
      <c r="R4555">
        <f t="shared" si="355"/>
        <v>0</v>
      </c>
      <c r="S4555">
        <f t="shared" si="356"/>
        <v>1</v>
      </c>
      <c r="T4555">
        <f t="shared" si="357"/>
        <v>0</v>
      </c>
      <c r="U4555">
        <f t="shared" si="358"/>
        <v>0</v>
      </c>
      <c r="V4555">
        <f t="shared" si="359"/>
        <v>0</v>
      </c>
    </row>
    <row r="4556" spans="1:22" x14ac:dyDescent="0.25">
      <c r="A4556">
        <v>4553</v>
      </c>
      <c r="B4556" t="s">
        <v>30</v>
      </c>
      <c r="C4556" t="s">
        <v>1455</v>
      </c>
      <c r="D4556" s="4">
        <v>45444</v>
      </c>
      <c r="E4556" t="s">
        <v>2307</v>
      </c>
      <c r="F4556" t="s">
        <v>75</v>
      </c>
      <c r="I4556" s="6"/>
      <c r="J4556" s="6"/>
      <c r="K4556" s="6"/>
      <c r="L4556" s="6"/>
      <c r="M4556" s="6"/>
      <c r="N4556" s="6"/>
      <c r="O4556" s="6"/>
      <c r="P4556" s="6"/>
      <c r="Q4556">
        <v>0</v>
      </c>
      <c r="R4556">
        <f t="shared" si="355"/>
        <v>0</v>
      </c>
      <c r="S4556">
        <f t="shared" si="356"/>
        <v>0</v>
      </c>
      <c r="T4556">
        <f t="shared" si="357"/>
        <v>0</v>
      </c>
      <c r="U4556">
        <f t="shared" si="358"/>
        <v>0</v>
      </c>
      <c r="V4556">
        <f t="shared" si="359"/>
        <v>0</v>
      </c>
    </row>
    <row r="4557" spans="1:22" x14ac:dyDescent="0.25">
      <c r="A4557">
        <v>4554</v>
      </c>
      <c r="B4557" t="s">
        <v>30</v>
      </c>
      <c r="C4557" t="s">
        <v>1455</v>
      </c>
      <c r="D4557" s="4">
        <v>45444</v>
      </c>
      <c r="E4557" t="s">
        <v>2306</v>
      </c>
      <c r="F4557" t="s">
        <v>75</v>
      </c>
      <c r="I4557" s="6">
        <v>1</v>
      </c>
      <c r="J4557" s="6">
        <v>0</v>
      </c>
      <c r="K4557" s="6">
        <v>0</v>
      </c>
      <c r="L4557" s="6">
        <v>1</v>
      </c>
      <c r="M4557" s="6">
        <v>1</v>
      </c>
      <c r="N4557" s="6">
        <v>0</v>
      </c>
      <c r="O4557" s="6">
        <v>0</v>
      </c>
      <c r="P4557" s="6">
        <v>0</v>
      </c>
      <c r="Q4557">
        <v>1</v>
      </c>
      <c r="R4557">
        <f t="shared" si="355"/>
        <v>0</v>
      </c>
      <c r="S4557">
        <f t="shared" si="356"/>
        <v>1</v>
      </c>
      <c r="T4557">
        <f t="shared" si="357"/>
        <v>3</v>
      </c>
      <c r="U4557">
        <f t="shared" si="358"/>
        <v>1</v>
      </c>
      <c r="V4557">
        <f t="shared" si="359"/>
        <v>0</v>
      </c>
    </row>
    <row r="4558" spans="1:22" x14ac:dyDescent="0.25">
      <c r="A4558">
        <v>4555</v>
      </c>
      <c r="B4558" t="s">
        <v>30</v>
      </c>
      <c r="C4558" t="s">
        <v>1455</v>
      </c>
      <c r="D4558" s="4">
        <v>45444</v>
      </c>
      <c r="E4558" t="s">
        <v>2305</v>
      </c>
      <c r="F4558" t="s">
        <v>75</v>
      </c>
      <c r="I4558" s="6"/>
      <c r="J4558" s="6"/>
      <c r="K4558" s="6"/>
      <c r="L4558" s="6"/>
      <c r="M4558" s="6"/>
      <c r="N4558" s="6"/>
      <c r="O4558" s="6"/>
      <c r="P4558" s="6"/>
      <c r="Q4558">
        <v>0</v>
      </c>
      <c r="R4558">
        <f t="shared" si="355"/>
        <v>0</v>
      </c>
      <c r="S4558">
        <f t="shared" si="356"/>
        <v>0</v>
      </c>
      <c r="T4558">
        <f t="shared" si="357"/>
        <v>0</v>
      </c>
      <c r="U4558">
        <f t="shared" si="358"/>
        <v>0</v>
      </c>
      <c r="V4558">
        <f t="shared" si="359"/>
        <v>0</v>
      </c>
    </row>
    <row r="4559" spans="1:22" x14ac:dyDescent="0.25">
      <c r="A4559">
        <v>4556</v>
      </c>
      <c r="B4559" t="s">
        <v>30</v>
      </c>
      <c r="C4559" t="s">
        <v>1455</v>
      </c>
      <c r="D4559" s="4">
        <v>45444</v>
      </c>
      <c r="E4559" t="s">
        <v>899</v>
      </c>
      <c r="F4559" t="s">
        <v>75</v>
      </c>
      <c r="I4559" s="6">
        <v>0</v>
      </c>
      <c r="J4559" s="6">
        <v>0</v>
      </c>
      <c r="K4559" s="6">
        <v>0</v>
      </c>
      <c r="L4559" s="6">
        <v>0</v>
      </c>
      <c r="M4559" s="6">
        <v>0</v>
      </c>
      <c r="N4559" s="6">
        <v>0</v>
      </c>
      <c r="O4559" s="6">
        <v>0</v>
      </c>
      <c r="P4559" s="6">
        <v>0</v>
      </c>
      <c r="Q4559">
        <v>1</v>
      </c>
      <c r="R4559">
        <f t="shared" si="355"/>
        <v>0</v>
      </c>
      <c r="S4559">
        <f t="shared" si="356"/>
        <v>1</v>
      </c>
      <c r="T4559">
        <f t="shared" si="357"/>
        <v>0</v>
      </c>
      <c r="U4559">
        <f t="shared" si="358"/>
        <v>0</v>
      </c>
      <c r="V4559">
        <f t="shared" si="359"/>
        <v>0</v>
      </c>
    </row>
    <row r="4560" spans="1:22" x14ac:dyDescent="0.25">
      <c r="A4560">
        <v>4557</v>
      </c>
      <c r="B4560" t="s">
        <v>30</v>
      </c>
      <c r="C4560" t="s">
        <v>1455</v>
      </c>
      <c r="D4560" s="4">
        <v>45444</v>
      </c>
      <c r="E4560" t="s">
        <v>377</v>
      </c>
      <c r="F4560" t="s">
        <v>75</v>
      </c>
      <c r="I4560" s="6">
        <v>0</v>
      </c>
      <c r="J4560" s="6">
        <v>0</v>
      </c>
      <c r="K4560" s="6">
        <v>0</v>
      </c>
      <c r="L4560" s="6">
        <v>1</v>
      </c>
      <c r="M4560" s="6">
        <v>0</v>
      </c>
      <c r="N4560" s="6">
        <v>0</v>
      </c>
      <c r="O4560" s="6">
        <v>0</v>
      </c>
      <c r="P4560" s="6">
        <v>0</v>
      </c>
      <c r="Q4560">
        <v>1</v>
      </c>
      <c r="R4560">
        <f t="shared" si="355"/>
        <v>0</v>
      </c>
      <c r="S4560">
        <f t="shared" si="356"/>
        <v>1</v>
      </c>
      <c r="T4560">
        <f t="shared" si="357"/>
        <v>1</v>
      </c>
      <c r="U4560">
        <f t="shared" si="358"/>
        <v>1</v>
      </c>
      <c r="V4560">
        <f t="shared" si="359"/>
        <v>0</v>
      </c>
    </row>
    <row r="4561" spans="1:22" x14ac:dyDescent="0.25">
      <c r="A4561">
        <v>4558</v>
      </c>
      <c r="B4561" t="s">
        <v>30</v>
      </c>
      <c r="C4561" t="s">
        <v>1455</v>
      </c>
      <c r="D4561" s="4">
        <v>45444</v>
      </c>
      <c r="E4561" t="s">
        <v>378</v>
      </c>
      <c r="F4561" t="s">
        <v>75</v>
      </c>
      <c r="I4561" s="6"/>
      <c r="J4561" s="6"/>
      <c r="K4561" s="6"/>
      <c r="L4561" s="6"/>
      <c r="M4561" s="6"/>
      <c r="N4561" s="6"/>
      <c r="O4561" s="6"/>
      <c r="P4561" s="6"/>
      <c r="Q4561">
        <v>0</v>
      </c>
      <c r="R4561">
        <f t="shared" si="355"/>
        <v>0</v>
      </c>
      <c r="S4561">
        <f t="shared" si="356"/>
        <v>0</v>
      </c>
      <c r="T4561">
        <f t="shared" si="357"/>
        <v>0</v>
      </c>
      <c r="U4561">
        <f t="shared" si="358"/>
        <v>0</v>
      </c>
      <c r="V4561">
        <f t="shared" si="359"/>
        <v>0</v>
      </c>
    </row>
    <row r="4562" spans="1:22" x14ac:dyDescent="0.25">
      <c r="A4562">
        <v>4559</v>
      </c>
      <c r="B4562" t="s">
        <v>30</v>
      </c>
      <c r="C4562" t="s">
        <v>1455</v>
      </c>
      <c r="D4562" s="4">
        <v>45444</v>
      </c>
      <c r="E4562" t="s">
        <v>379</v>
      </c>
      <c r="F4562" t="s">
        <v>75</v>
      </c>
      <c r="I4562" s="6"/>
      <c r="J4562" s="6"/>
      <c r="K4562" s="6"/>
      <c r="L4562" s="6"/>
      <c r="M4562" s="6"/>
      <c r="N4562" s="6"/>
      <c r="O4562" s="6"/>
      <c r="P4562" s="6"/>
      <c r="Q4562">
        <v>0</v>
      </c>
      <c r="R4562">
        <f t="shared" si="355"/>
        <v>0</v>
      </c>
      <c r="S4562">
        <f t="shared" si="356"/>
        <v>0</v>
      </c>
      <c r="T4562">
        <f t="shared" si="357"/>
        <v>0</v>
      </c>
      <c r="U4562">
        <f t="shared" si="358"/>
        <v>0</v>
      </c>
      <c r="V4562">
        <f t="shared" si="359"/>
        <v>0</v>
      </c>
    </row>
    <row r="4563" spans="1:22" x14ac:dyDescent="0.25">
      <c r="A4563">
        <v>4560</v>
      </c>
      <c r="B4563" t="s">
        <v>30</v>
      </c>
      <c r="C4563" t="s">
        <v>1455</v>
      </c>
      <c r="D4563" s="4">
        <v>45444</v>
      </c>
      <c r="E4563" t="s">
        <v>1495</v>
      </c>
      <c r="F4563" t="s">
        <v>75</v>
      </c>
      <c r="I4563" s="6">
        <v>0</v>
      </c>
      <c r="J4563" s="6">
        <v>0</v>
      </c>
      <c r="K4563" s="6">
        <v>0</v>
      </c>
      <c r="L4563" s="6">
        <v>1</v>
      </c>
      <c r="M4563" s="6">
        <v>0</v>
      </c>
      <c r="N4563" s="6">
        <v>1</v>
      </c>
      <c r="O4563" s="6">
        <v>0</v>
      </c>
      <c r="P4563" s="6">
        <v>0</v>
      </c>
      <c r="Q4563">
        <v>1</v>
      </c>
      <c r="R4563">
        <f t="shared" si="355"/>
        <v>0</v>
      </c>
      <c r="S4563">
        <f t="shared" si="356"/>
        <v>1</v>
      </c>
      <c r="T4563">
        <f t="shared" si="357"/>
        <v>2</v>
      </c>
      <c r="U4563">
        <f t="shared" si="358"/>
        <v>1</v>
      </c>
      <c r="V4563">
        <f t="shared" si="359"/>
        <v>0</v>
      </c>
    </row>
    <row r="4564" spans="1:22" x14ac:dyDescent="0.25">
      <c r="A4564">
        <v>4561</v>
      </c>
      <c r="B4564" t="s">
        <v>30</v>
      </c>
      <c r="C4564" t="s">
        <v>1455</v>
      </c>
      <c r="D4564" s="4">
        <v>45444</v>
      </c>
      <c r="E4564" t="s">
        <v>2097</v>
      </c>
      <c r="F4564" t="s">
        <v>75</v>
      </c>
      <c r="I4564" s="6"/>
      <c r="J4564" s="6"/>
      <c r="K4564" s="6"/>
      <c r="L4564" s="6"/>
      <c r="M4564" s="6"/>
      <c r="N4564" s="6"/>
      <c r="O4564" s="6"/>
      <c r="P4564" s="6"/>
      <c r="Q4564">
        <v>0</v>
      </c>
      <c r="R4564">
        <f t="shared" si="355"/>
        <v>0</v>
      </c>
      <c r="S4564">
        <f t="shared" si="356"/>
        <v>0</v>
      </c>
      <c r="T4564">
        <f t="shared" si="357"/>
        <v>0</v>
      </c>
      <c r="U4564">
        <f t="shared" si="358"/>
        <v>0</v>
      </c>
      <c r="V4564">
        <f t="shared" si="359"/>
        <v>0</v>
      </c>
    </row>
    <row r="4565" spans="1:22" x14ac:dyDescent="0.25">
      <c r="A4565">
        <v>4562</v>
      </c>
      <c r="B4565" t="s">
        <v>30</v>
      </c>
      <c r="C4565" t="s">
        <v>1455</v>
      </c>
      <c r="D4565" s="4">
        <v>45444</v>
      </c>
      <c r="E4565" t="s">
        <v>1496</v>
      </c>
      <c r="F4565" t="s">
        <v>75</v>
      </c>
      <c r="I4565" s="6">
        <v>0</v>
      </c>
      <c r="J4565" s="6">
        <v>0</v>
      </c>
      <c r="K4565" s="6">
        <v>0</v>
      </c>
      <c r="L4565" s="6">
        <v>1</v>
      </c>
      <c r="M4565" s="6">
        <v>0</v>
      </c>
      <c r="N4565" s="6">
        <v>0</v>
      </c>
      <c r="O4565" s="6">
        <v>0</v>
      </c>
      <c r="P4565" s="6">
        <v>0</v>
      </c>
      <c r="Q4565">
        <v>1</v>
      </c>
      <c r="R4565">
        <f t="shared" si="355"/>
        <v>0</v>
      </c>
      <c r="S4565">
        <f t="shared" si="356"/>
        <v>1</v>
      </c>
      <c r="T4565">
        <f t="shared" si="357"/>
        <v>1</v>
      </c>
      <c r="U4565">
        <f t="shared" si="358"/>
        <v>1</v>
      </c>
      <c r="V4565">
        <f t="shared" si="359"/>
        <v>0</v>
      </c>
    </row>
    <row r="4566" spans="1:22" x14ac:dyDescent="0.25">
      <c r="A4566">
        <v>4563</v>
      </c>
      <c r="B4566" t="s">
        <v>30</v>
      </c>
      <c r="C4566" t="s">
        <v>1455</v>
      </c>
      <c r="D4566" s="4">
        <v>45444</v>
      </c>
      <c r="E4566" t="s">
        <v>2096</v>
      </c>
      <c r="F4566" t="s">
        <v>75</v>
      </c>
      <c r="I4566" s="6">
        <v>0</v>
      </c>
      <c r="J4566" s="6">
        <v>0</v>
      </c>
      <c r="K4566" s="6">
        <v>0</v>
      </c>
      <c r="L4566" s="6">
        <v>0</v>
      </c>
      <c r="M4566" s="6">
        <v>1</v>
      </c>
      <c r="N4566" s="6">
        <v>0</v>
      </c>
      <c r="O4566" s="6">
        <v>0</v>
      </c>
      <c r="P4566" s="6">
        <v>0</v>
      </c>
      <c r="Q4566">
        <v>1</v>
      </c>
      <c r="R4566">
        <f t="shared" si="355"/>
        <v>0</v>
      </c>
      <c r="S4566">
        <f t="shared" si="356"/>
        <v>1</v>
      </c>
      <c r="T4566">
        <f t="shared" si="357"/>
        <v>1</v>
      </c>
      <c r="U4566">
        <f t="shared" si="358"/>
        <v>1</v>
      </c>
      <c r="V4566">
        <f t="shared" si="359"/>
        <v>0</v>
      </c>
    </row>
    <row r="4567" spans="1:22" x14ac:dyDescent="0.25">
      <c r="A4567">
        <v>4564</v>
      </c>
      <c r="B4567" t="s">
        <v>30</v>
      </c>
      <c r="C4567" t="s">
        <v>1455</v>
      </c>
      <c r="D4567" s="4">
        <v>45445</v>
      </c>
      <c r="E4567" t="s">
        <v>380</v>
      </c>
      <c r="F4567" t="s">
        <v>75</v>
      </c>
      <c r="I4567" s="6">
        <v>0</v>
      </c>
      <c r="J4567" s="6">
        <v>0</v>
      </c>
      <c r="K4567" s="6">
        <v>0</v>
      </c>
      <c r="L4567" s="6">
        <v>1</v>
      </c>
      <c r="M4567" s="6">
        <v>0</v>
      </c>
      <c r="N4567" s="6">
        <v>0</v>
      </c>
      <c r="O4567" s="6">
        <v>0</v>
      </c>
      <c r="P4567" s="6">
        <v>0</v>
      </c>
      <c r="Q4567">
        <v>1</v>
      </c>
      <c r="R4567">
        <f t="shared" si="355"/>
        <v>0</v>
      </c>
      <c r="S4567">
        <f t="shared" si="356"/>
        <v>1</v>
      </c>
      <c r="T4567">
        <f t="shared" si="357"/>
        <v>1</v>
      </c>
      <c r="U4567">
        <f t="shared" si="358"/>
        <v>1</v>
      </c>
      <c r="V4567">
        <f t="shared" si="359"/>
        <v>0</v>
      </c>
    </row>
    <row r="4568" spans="1:22" x14ac:dyDescent="0.25">
      <c r="A4568">
        <v>4565</v>
      </c>
      <c r="B4568" t="s">
        <v>30</v>
      </c>
      <c r="C4568" t="s">
        <v>1455</v>
      </c>
      <c r="D4568" s="4">
        <v>45445</v>
      </c>
      <c r="E4568" t="s">
        <v>381</v>
      </c>
      <c r="F4568" t="s">
        <v>75</v>
      </c>
      <c r="I4568" s="6"/>
      <c r="J4568" s="6"/>
      <c r="K4568" s="6"/>
      <c r="L4568" s="6"/>
      <c r="M4568" s="6"/>
      <c r="N4568" s="6"/>
      <c r="O4568" s="6"/>
      <c r="P4568" s="6"/>
      <c r="Q4568">
        <v>0</v>
      </c>
      <c r="R4568">
        <f t="shared" si="355"/>
        <v>0</v>
      </c>
      <c r="S4568">
        <f t="shared" si="356"/>
        <v>0</v>
      </c>
      <c r="T4568">
        <f t="shared" si="357"/>
        <v>0</v>
      </c>
      <c r="U4568">
        <f t="shared" si="358"/>
        <v>0</v>
      </c>
      <c r="V4568">
        <f t="shared" si="359"/>
        <v>0</v>
      </c>
    </row>
    <row r="4569" spans="1:22" x14ac:dyDescent="0.25">
      <c r="A4569">
        <v>4566</v>
      </c>
      <c r="B4569" t="s">
        <v>30</v>
      </c>
      <c r="C4569" t="s">
        <v>1455</v>
      </c>
      <c r="D4569" s="4">
        <v>45445</v>
      </c>
      <c r="E4569" t="s">
        <v>382</v>
      </c>
      <c r="F4569" t="s">
        <v>75</v>
      </c>
      <c r="I4569" s="6"/>
      <c r="J4569" s="6"/>
      <c r="K4569" s="6"/>
      <c r="L4569" s="6"/>
      <c r="M4569" s="6"/>
      <c r="N4569" s="6"/>
      <c r="O4569" s="6"/>
      <c r="P4569" s="6"/>
      <c r="Q4569">
        <v>0</v>
      </c>
      <c r="R4569">
        <f t="shared" si="355"/>
        <v>0</v>
      </c>
      <c r="S4569">
        <f t="shared" si="356"/>
        <v>0</v>
      </c>
      <c r="T4569">
        <f t="shared" si="357"/>
        <v>0</v>
      </c>
      <c r="U4569">
        <f t="shared" si="358"/>
        <v>0</v>
      </c>
      <c r="V4569">
        <f t="shared" si="359"/>
        <v>0</v>
      </c>
    </row>
    <row r="4570" spans="1:22" x14ac:dyDescent="0.25">
      <c r="A4570">
        <v>4567</v>
      </c>
      <c r="B4570" t="s">
        <v>30</v>
      </c>
      <c r="C4570" t="s">
        <v>1455</v>
      </c>
      <c r="D4570" s="4">
        <v>45446</v>
      </c>
      <c r="E4570" t="s">
        <v>383</v>
      </c>
      <c r="F4570" t="s">
        <v>75</v>
      </c>
      <c r="I4570" s="6">
        <v>0</v>
      </c>
      <c r="J4570" s="6">
        <v>0</v>
      </c>
      <c r="K4570" s="6">
        <v>0</v>
      </c>
      <c r="L4570" s="6">
        <v>1</v>
      </c>
      <c r="M4570" s="6">
        <v>0</v>
      </c>
      <c r="N4570" s="6">
        <v>0</v>
      </c>
      <c r="O4570" s="6">
        <v>0</v>
      </c>
      <c r="P4570" s="6">
        <v>1</v>
      </c>
      <c r="Q4570">
        <v>1</v>
      </c>
      <c r="R4570">
        <f t="shared" si="355"/>
        <v>0</v>
      </c>
      <c r="S4570">
        <f t="shared" si="356"/>
        <v>1</v>
      </c>
      <c r="T4570">
        <f t="shared" si="357"/>
        <v>2</v>
      </c>
      <c r="U4570">
        <f t="shared" si="358"/>
        <v>1</v>
      </c>
      <c r="V4570">
        <f t="shared" si="359"/>
        <v>0</v>
      </c>
    </row>
    <row r="4571" spans="1:22" x14ac:dyDescent="0.25">
      <c r="A4571">
        <v>4568</v>
      </c>
      <c r="B4571" t="s">
        <v>30</v>
      </c>
      <c r="C4571" t="s">
        <v>1455</v>
      </c>
      <c r="D4571" s="4">
        <v>45446</v>
      </c>
      <c r="E4571" t="s">
        <v>384</v>
      </c>
      <c r="F4571" t="s">
        <v>75</v>
      </c>
      <c r="I4571" s="6">
        <v>0</v>
      </c>
      <c r="J4571" s="6">
        <v>0</v>
      </c>
      <c r="K4571" s="6">
        <v>0</v>
      </c>
      <c r="L4571" s="6">
        <v>0</v>
      </c>
      <c r="M4571" s="6">
        <v>0</v>
      </c>
      <c r="N4571" s="6">
        <v>0</v>
      </c>
      <c r="O4571" s="6">
        <v>0</v>
      </c>
      <c r="P4571" s="6">
        <v>0</v>
      </c>
      <c r="Q4571">
        <v>1</v>
      </c>
      <c r="R4571">
        <f t="shared" si="355"/>
        <v>0</v>
      </c>
      <c r="S4571">
        <f t="shared" si="356"/>
        <v>1</v>
      </c>
      <c r="T4571">
        <f t="shared" si="357"/>
        <v>0</v>
      </c>
      <c r="U4571">
        <f t="shared" si="358"/>
        <v>0</v>
      </c>
      <c r="V4571">
        <f t="shared" si="359"/>
        <v>0</v>
      </c>
    </row>
    <row r="4572" spans="1:22" x14ac:dyDescent="0.25">
      <c r="A4572">
        <v>4569</v>
      </c>
      <c r="B4572" t="s">
        <v>30</v>
      </c>
      <c r="C4572" t="s">
        <v>1455</v>
      </c>
      <c r="D4572" s="4">
        <v>45446</v>
      </c>
      <c r="E4572" t="s">
        <v>385</v>
      </c>
      <c r="F4572" t="s">
        <v>75</v>
      </c>
      <c r="I4572" s="6"/>
      <c r="J4572" s="6"/>
      <c r="K4572" s="6"/>
      <c r="L4572" s="6"/>
      <c r="M4572" s="6"/>
      <c r="N4572" s="6"/>
      <c r="O4572" s="6"/>
      <c r="P4572" s="6"/>
      <c r="Q4572">
        <v>0</v>
      </c>
      <c r="R4572">
        <f t="shared" si="355"/>
        <v>0</v>
      </c>
      <c r="S4572">
        <f t="shared" si="356"/>
        <v>0</v>
      </c>
      <c r="T4572">
        <f t="shared" si="357"/>
        <v>0</v>
      </c>
      <c r="U4572">
        <f t="shared" si="358"/>
        <v>0</v>
      </c>
      <c r="V4572">
        <f t="shared" si="359"/>
        <v>0</v>
      </c>
    </row>
    <row r="4573" spans="1:22" x14ac:dyDescent="0.25">
      <c r="A4573">
        <v>4570</v>
      </c>
      <c r="B4573" t="s">
        <v>30</v>
      </c>
      <c r="C4573" t="s">
        <v>1455</v>
      </c>
      <c r="D4573" s="4">
        <v>45446</v>
      </c>
      <c r="E4573" t="s">
        <v>386</v>
      </c>
      <c r="F4573" t="s">
        <v>75</v>
      </c>
      <c r="I4573" s="6"/>
      <c r="J4573" s="6"/>
      <c r="K4573" s="6"/>
      <c r="L4573" s="6"/>
      <c r="M4573" s="6"/>
      <c r="N4573" s="6"/>
      <c r="O4573" s="6"/>
      <c r="P4573" s="6"/>
      <c r="Q4573">
        <v>0</v>
      </c>
      <c r="R4573">
        <f t="shared" si="355"/>
        <v>0</v>
      </c>
      <c r="S4573">
        <f t="shared" si="356"/>
        <v>0</v>
      </c>
      <c r="T4573">
        <f t="shared" si="357"/>
        <v>0</v>
      </c>
      <c r="U4573">
        <f t="shared" si="358"/>
        <v>0</v>
      </c>
      <c r="V4573">
        <f t="shared" si="359"/>
        <v>0</v>
      </c>
    </row>
    <row r="4574" spans="1:22" x14ac:dyDescent="0.25">
      <c r="A4574">
        <v>4571</v>
      </c>
      <c r="B4574" t="s">
        <v>30</v>
      </c>
      <c r="C4574" t="s">
        <v>1455</v>
      </c>
      <c r="D4574" s="4">
        <v>45446</v>
      </c>
      <c r="E4574" t="s">
        <v>492</v>
      </c>
      <c r="F4574" t="s">
        <v>75</v>
      </c>
      <c r="I4574" s="6">
        <v>0</v>
      </c>
      <c r="J4574" s="6">
        <v>0</v>
      </c>
      <c r="K4574" s="6">
        <v>0</v>
      </c>
      <c r="L4574" s="6">
        <v>1</v>
      </c>
      <c r="M4574" s="6">
        <v>0</v>
      </c>
      <c r="N4574" s="6">
        <v>0</v>
      </c>
      <c r="O4574" s="6">
        <v>0</v>
      </c>
      <c r="P4574" s="6">
        <v>0</v>
      </c>
      <c r="Q4574">
        <v>1</v>
      </c>
      <c r="R4574">
        <f t="shared" si="355"/>
        <v>0</v>
      </c>
      <c r="S4574">
        <f t="shared" si="356"/>
        <v>1</v>
      </c>
      <c r="T4574">
        <f t="shared" si="357"/>
        <v>1</v>
      </c>
      <c r="U4574">
        <f t="shared" si="358"/>
        <v>1</v>
      </c>
      <c r="V4574">
        <f t="shared" si="359"/>
        <v>0</v>
      </c>
    </row>
    <row r="4575" spans="1:22" x14ac:dyDescent="0.25">
      <c r="A4575">
        <v>4572</v>
      </c>
      <c r="B4575" t="s">
        <v>30</v>
      </c>
      <c r="C4575" t="s">
        <v>1455</v>
      </c>
      <c r="D4575" s="4">
        <v>45446</v>
      </c>
      <c r="E4575" t="s">
        <v>493</v>
      </c>
      <c r="F4575" t="s">
        <v>75</v>
      </c>
      <c r="I4575" s="6">
        <v>0</v>
      </c>
      <c r="J4575" s="6">
        <v>0</v>
      </c>
      <c r="K4575" s="6">
        <v>0</v>
      </c>
      <c r="L4575" s="6">
        <v>0</v>
      </c>
      <c r="M4575" s="6">
        <v>0</v>
      </c>
      <c r="N4575" s="6">
        <v>0</v>
      </c>
      <c r="O4575" s="6">
        <v>0</v>
      </c>
      <c r="P4575" s="6">
        <v>1</v>
      </c>
      <c r="Q4575">
        <v>1</v>
      </c>
      <c r="R4575">
        <f t="shared" si="355"/>
        <v>0</v>
      </c>
      <c r="S4575">
        <f t="shared" si="356"/>
        <v>1</v>
      </c>
      <c r="T4575">
        <f t="shared" si="357"/>
        <v>1</v>
      </c>
      <c r="U4575">
        <f t="shared" si="358"/>
        <v>1</v>
      </c>
      <c r="V4575">
        <f t="shared" si="359"/>
        <v>0</v>
      </c>
    </row>
    <row r="4576" spans="1:22" x14ac:dyDescent="0.25">
      <c r="A4576">
        <v>4573</v>
      </c>
      <c r="B4576" t="s">
        <v>30</v>
      </c>
      <c r="C4576" t="s">
        <v>1455</v>
      </c>
      <c r="D4576" s="4">
        <v>45446</v>
      </c>
      <c r="E4576" t="s">
        <v>1497</v>
      </c>
      <c r="F4576" t="s">
        <v>75</v>
      </c>
      <c r="I4576" s="6">
        <v>1</v>
      </c>
      <c r="J4576" s="6">
        <v>0</v>
      </c>
      <c r="K4576" s="6">
        <v>1</v>
      </c>
      <c r="L4576" s="6">
        <v>1</v>
      </c>
      <c r="M4576" s="6">
        <v>0</v>
      </c>
      <c r="N4576" s="6">
        <v>0</v>
      </c>
      <c r="O4576" s="6">
        <v>0</v>
      </c>
      <c r="P4576" s="6">
        <v>0</v>
      </c>
      <c r="Q4576">
        <v>1</v>
      </c>
      <c r="R4576">
        <f t="shared" si="355"/>
        <v>0</v>
      </c>
      <c r="S4576">
        <f t="shared" si="356"/>
        <v>1</v>
      </c>
      <c r="T4576">
        <f t="shared" si="357"/>
        <v>3</v>
      </c>
      <c r="U4576">
        <f t="shared" si="358"/>
        <v>1</v>
      </c>
      <c r="V4576">
        <f t="shared" si="359"/>
        <v>0</v>
      </c>
    </row>
    <row r="4577" spans="1:22" x14ac:dyDescent="0.25">
      <c r="A4577">
        <v>4574</v>
      </c>
      <c r="B4577" t="s">
        <v>30</v>
      </c>
      <c r="C4577" t="s">
        <v>1455</v>
      </c>
      <c r="D4577" s="4">
        <v>45446</v>
      </c>
      <c r="E4577" t="s">
        <v>1498</v>
      </c>
      <c r="F4577" t="s">
        <v>75</v>
      </c>
      <c r="I4577" s="6">
        <v>0</v>
      </c>
      <c r="J4577" s="6">
        <v>0</v>
      </c>
      <c r="K4577" s="6">
        <v>0</v>
      </c>
      <c r="L4577" s="6">
        <v>0</v>
      </c>
      <c r="M4577" s="6">
        <v>0</v>
      </c>
      <c r="N4577" s="6">
        <v>0</v>
      </c>
      <c r="O4577" s="6">
        <v>0</v>
      </c>
      <c r="P4577" s="6">
        <v>0</v>
      </c>
      <c r="Q4577">
        <v>1</v>
      </c>
      <c r="R4577">
        <f t="shared" si="355"/>
        <v>0</v>
      </c>
      <c r="S4577">
        <f t="shared" si="356"/>
        <v>1</v>
      </c>
      <c r="T4577">
        <f t="shared" si="357"/>
        <v>0</v>
      </c>
      <c r="U4577">
        <f t="shared" si="358"/>
        <v>0</v>
      </c>
      <c r="V4577">
        <f t="shared" si="359"/>
        <v>0</v>
      </c>
    </row>
    <row r="4578" spans="1:22" x14ac:dyDescent="0.25">
      <c r="A4578">
        <v>4575</v>
      </c>
      <c r="B4578" t="s">
        <v>30</v>
      </c>
      <c r="C4578" t="s">
        <v>1455</v>
      </c>
      <c r="D4578" s="4">
        <v>45447</v>
      </c>
      <c r="E4578" t="s">
        <v>387</v>
      </c>
      <c r="F4578" t="s">
        <v>75</v>
      </c>
      <c r="I4578" s="6">
        <v>0</v>
      </c>
      <c r="J4578" s="6">
        <v>0</v>
      </c>
      <c r="K4578" s="6">
        <v>0</v>
      </c>
      <c r="L4578" s="6">
        <v>0</v>
      </c>
      <c r="M4578" s="6">
        <v>0</v>
      </c>
      <c r="N4578" s="6">
        <v>0</v>
      </c>
      <c r="O4578" s="6">
        <v>0</v>
      </c>
      <c r="P4578" s="6">
        <v>0</v>
      </c>
      <c r="Q4578">
        <v>1</v>
      </c>
      <c r="R4578">
        <f t="shared" si="355"/>
        <v>0</v>
      </c>
      <c r="S4578">
        <f t="shared" si="356"/>
        <v>1</v>
      </c>
      <c r="T4578">
        <f t="shared" si="357"/>
        <v>0</v>
      </c>
      <c r="U4578">
        <f t="shared" si="358"/>
        <v>0</v>
      </c>
      <c r="V4578">
        <f t="shared" si="359"/>
        <v>0</v>
      </c>
    </row>
    <row r="4579" spans="1:22" x14ac:dyDescent="0.25">
      <c r="A4579">
        <v>4576</v>
      </c>
      <c r="B4579" t="s">
        <v>30</v>
      </c>
      <c r="C4579" t="s">
        <v>1455</v>
      </c>
      <c r="D4579" s="4">
        <v>45447</v>
      </c>
      <c r="E4579" t="s">
        <v>494</v>
      </c>
      <c r="F4579" t="s">
        <v>75</v>
      </c>
      <c r="I4579" s="6"/>
      <c r="J4579" s="6"/>
      <c r="K4579" s="6"/>
      <c r="L4579" s="6"/>
      <c r="M4579" s="6"/>
      <c r="N4579" s="6"/>
      <c r="O4579" s="6"/>
      <c r="P4579" s="6"/>
      <c r="Q4579">
        <v>0</v>
      </c>
      <c r="R4579">
        <f t="shared" si="355"/>
        <v>0</v>
      </c>
      <c r="S4579">
        <f t="shared" si="356"/>
        <v>0</v>
      </c>
      <c r="T4579">
        <f t="shared" si="357"/>
        <v>0</v>
      </c>
      <c r="U4579">
        <f t="shared" si="358"/>
        <v>0</v>
      </c>
      <c r="V4579">
        <f t="shared" si="359"/>
        <v>0</v>
      </c>
    </row>
    <row r="4580" spans="1:22" x14ac:dyDescent="0.25">
      <c r="A4580">
        <v>4577</v>
      </c>
      <c r="B4580" t="s">
        <v>30</v>
      </c>
      <c r="C4580" t="s">
        <v>1455</v>
      </c>
      <c r="D4580" s="4">
        <v>45447</v>
      </c>
      <c r="E4580" t="s">
        <v>900</v>
      </c>
      <c r="F4580" t="s">
        <v>413</v>
      </c>
      <c r="G4580">
        <v>223</v>
      </c>
      <c r="I4580" s="6">
        <v>0</v>
      </c>
      <c r="J4580" s="6">
        <v>0</v>
      </c>
      <c r="K4580" s="6">
        <v>0</v>
      </c>
      <c r="L4580" s="6">
        <v>0</v>
      </c>
      <c r="M4580" s="6">
        <v>0</v>
      </c>
      <c r="N4580" s="6">
        <v>0</v>
      </c>
      <c r="O4580" s="6">
        <v>0</v>
      </c>
      <c r="P4580" s="6">
        <v>1</v>
      </c>
      <c r="Q4580">
        <v>1</v>
      </c>
      <c r="R4580">
        <f t="shared" si="355"/>
        <v>1</v>
      </c>
      <c r="S4580">
        <f t="shared" si="356"/>
        <v>0</v>
      </c>
      <c r="T4580">
        <f t="shared" si="357"/>
        <v>1</v>
      </c>
      <c r="U4580">
        <f t="shared" si="358"/>
        <v>1</v>
      </c>
      <c r="V4580">
        <f t="shared" si="359"/>
        <v>1</v>
      </c>
    </row>
    <row r="4581" spans="1:22" x14ac:dyDescent="0.25">
      <c r="A4581">
        <v>4578</v>
      </c>
      <c r="B4581" t="s">
        <v>30</v>
      </c>
      <c r="C4581" t="s">
        <v>1455</v>
      </c>
      <c r="D4581" s="4">
        <v>45447</v>
      </c>
      <c r="E4581" t="s">
        <v>1029</v>
      </c>
      <c r="F4581" t="s">
        <v>75</v>
      </c>
      <c r="I4581" s="6">
        <v>0</v>
      </c>
      <c r="J4581" s="6">
        <v>0</v>
      </c>
      <c r="K4581" s="6">
        <v>0</v>
      </c>
      <c r="L4581" s="6">
        <v>0</v>
      </c>
      <c r="M4581" s="6">
        <v>0</v>
      </c>
      <c r="N4581" s="6">
        <v>0</v>
      </c>
      <c r="O4581" s="6">
        <v>0</v>
      </c>
      <c r="P4581" s="6">
        <v>0</v>
      </c>
      <c r="Q4581">
        <v>1</v>
      </c>
      <c r="R4581">
        <f t="shared" si="355"/>
        <v>0</v>
      </c>
      <c r="S4581">
        <f t="shared" si="356"/>
        <v>1</v>
      </c>
      <c r="T4581">
        <f t="shared" si="357"/>
        <v>0</v>
      </c>
      <c r="U4581">
        <f t="shared" si="358"/>
        <v>0</v>
      </c>
      <c r="V4581">
        <f t="shared" si="359"/>
        <v>0</v>
      </c>
    </row>
    <row r="4582" spans="1:22" x14ac:dyDescent="0.25">
      <c r="A4582">
        <v>4579</v>
      </c>
      <c r="B4582" t="s">
        <v>30</v>
      </c>
      <c r="C4582" t="s">
        <v>1455</v>
      </c>
      <c r="D4582" s="4">
        <v>45447</v>
      </c>
      <c r="E4582" t="s">
        <v>495</v>
      </c>
      <c r="F4582" t="s">
        <v>75</v>
      </c>
      <c r="I4582" s="6"/>
      <c r="J4582" s="6"/>
      <c r="K4582" s="6"/>
      <c r="L4582" s="6"/>
      <c r="M4582" s="6"/>
      <c r="N4582" s="6"/>
      <c r="O4582" s="6"/>
      <c r="P4582" s="6"/>
      <c r="Q4582">
        <v>0</v>
      </c>
      <c r="R4582">
        <f t="shared" si="355"/>
        <v>0</v>
      </c>
      <c r="S4582">
        <f t="shared" si="356"/>
        <v>0</v>
      </c>
      <c r="T4582">
        <f t="shared" si="357"/>
        <v>0</v>
      </c>
      <c r="U4582">
        <f t="shared" si="358"/>
        <v>0</v>
      </c>
      <c r="V4582">
        <f t="shared" si="359"/>
        <v>0</v>
      </c>
    </row>
    <row r="4583" spans="1:22" x14ac:dyDescent="0.25">
      <c r="A4583">
        <v>4580</v>
      </c>
      <c r="B4583" t="s">
        <v>30</v>
      </c>
      <c r="C4583" t="s">
        <v>1455</v>
      </c>
      <c r="D4583" s="4">
        <v>45447</v>
      </c>
      <c r="E4583" t="s">
        <v>496</v>
      </c>
      <c r="F4583" t="s">
        <v>413</v>
      </c>
      <c r="G4583">
        <v>224</v>
      </c>
      <c r="I4583" s="6">
        <v>0</v>
      </c>
      <c r="J4583" s="6">
        <v>0</v>
      </c>
      <c r="K4583" s="6">
        <v>0</v>
      </c>
      <c r="L4583" s="6">
        <v>0</v>
      </c>
      <c r="M4583" s="6">
        <v>0</v>
      </c>
      <c r="N4583" s="6">
        <v>0</v>
      </c>
      <c r="O4583" s="6">
        <v>0</v>
      </c>
      <c r="P4583" s="6">
        <v>1</v>
      </c>
      <c r="Q4583">
        <v>1</v>
      </c>
      <c r="R4583">
        <f t="shared" si="355"/>
        <v>1</v>
      </c>
      <c r="S4583">
        <f t="shared" si="356"/>
        <v>0</v>
      </c>
      <c r="T4583">
        <f t="shared" si="357"/>
        <v>1</v>
      </c>
      <c r="U4583">
        <f t="shared" si="358"/>
        <v>1</v>
      </c>
      <c r="V4583">
        <f t="shared" si="359"/>
        <v>1</v>
      </c>
    </row>
    <row r="4584" spans="1:22" x14ac:dyDescent="0.25">
      <c r="A4584">
        <v>4581</v>
      </c>
      <c r="B4584" t="s">
        <v>30</v>
      </c>
      <c r="C4584" t="s">
        <v>1455</v>
      </c>
      <c r="D4584" s="4">
        <v>45447</v>
      </c>
      <c r="E4584" t="s">
        <v>2087</v>
      </c>
      <c r="F4584" t="s">
        <v>75</v>
      </c>
      <c r="I4584" s="6">
        <v>0</v>
      </c>
      <c r="J4584" s="6">
        <v>0</v>
      </c>
      <c r="K4584" s="6">
        <v>0</v>
      </c>
      <c r="L4584" s="6">
        <v>0</v>
      </c>
      <c r="M4584" s="6">
        <v>1</v>
      </c>
      <c r="N4584" s="6">
        <v>0</v>
      </c>
      <c r="O4584" s="6">
        <v>0</v>
      </c>
      <c r="P4584" s="6">
        <v>0</v>
      </c>
      <c r="Q4584">
        <v>1</v>
      </c>
      <c r="R4584">
        <f t="shared" si="355"/>
        <v>0</v>
      </c>
      <c r="S4584">
        <f t="shared" si="356"/>
        <v>1</v>
      </c>
      <c r="T4584">
        <f t="shared" si="357"/>
        <v>1</v>
      </c>
      <c r="U4584">
        <f t="shared" si="358"/>
        <v>1</v>
      </c>
      <c r="V4584">
        <f t="shared" si="359"/>
        <v>0</v>
      </c>
    </row>
    <row r="4585" spans="1:22" x14ac:dyDescent="0.25">
      <c r="A4585">
        <v>4582</v>
      </c>
      <c r="B4585" t="s">
        <v>30</v>
      </c>
      <c r="C4585" t="s">
        <v>1455</v>
      </c>
      <c r="D4585" s="4">
        <v>45448</v>
      </c>
      <c r="E4585" t="s">
        <v>497</v>
      </c>
      <c r="F4585" t="s">
        <v>75</v>
      </c>
      <c r="I4585" s="6">
        <v>0</v>
      </c>
      <c r="J4585" s="6">
        <v>0</v>
      </c>
      <c r="K4585" s="6">
        <v>0</v>
      </c>
      <c r="L4585" s="6">
        <v>0</v>
      </c>
      <c r="M4585" s="6">
        <v>1</v>
      </c>
      <c r="N4585" s="6">
        <v>1</v>
      </c>
      <c r="O4585" s="6">
        <v>0</v>
      </c>
      <c r="P4585" s="6">
        <v>0</v>
      </c>
      <c r="Q4585">
        <v>1</v>
      </c>
      <c r="R4585">
        <f t="shared" si="355"/>
        <v>0</v>
      </c>
      <c r="S4585">
        <f t="shared" si="356"/>
        <v>1</v>
      </c>
      <c r="T4585">
        <f t="shared" si="357"/>
        <v>2</v>
      </c>
      <c r="U4585">
        <f t="shared" si="358"/>
        <v>1</v>
      </c>
      <c r="V4585">
        <f t="shared" si="359"/>
        <v>0</v>
      </c>
    </row>
    <row r="4586" spans="1:22" x14ac:dyDescent="0.25">
      <c r="A4586">
        <v>4583</v>
      </c>
      <c r="B4586" t="s">
        <v>30</v>
      </c>
      <c r="C4586" t="s">
        <v>1455</v>
      </c>
      <c r="D4586" s="4">
        <v>45448</v>
      </c>
      <c r="E4586" t="s">
        <v>388</v>
      </c>
      <c r="F4586" t="s">
        <v>75</v>
      </c>
      <c r="I4586" s="6">
        <v>0</v>
      </c>
      <c r="J4586" s="6">
        <v>0</v>
      </c>
      <c r="K4586" s="6">
        <v>0</v>
      </c>
      <c r="L4586" s="6">
        <v>0</v>
      </c>
      <c r="M4586" s="6">
        <v>0</v>
      </c>
      <c r="N4586" s="6">
        <v>0</v>
      </c>
      <c r="O4586" s="6">
        <v>0</v>
      </c>
      <c r="P4586" s="6">
        <v>0</v>
      </c>
      <c r="Q4586">
        <v>1</v>
      </c>
      <c r="R4586">
        <f t="shared" si="355"/>
        <v>0</v>
      </c>
      <c r="S4586">
        <f t="shared" si="356"/>
        <v>1</v>
      </c>
      <c r="T4586">
        <f t="shared" si="357"/>
        <v>0</v>
      </c>
      <c r="U4586">
        <f t="shared" si="358"/>
        <v>0</v>
      </c>
      <c r="V4586">
        <f t="shared" si="359"/>
        <v>0</v>
      </c>
    </row>
    <row r="4587" spans="1:22" x14ac:dyDescent="0.25">
      <c r="A4587">
        <v>4584</v>
      </c>
      <c r="B4587" t="s">
        <v>30</v>
      </c>
      <c r="C4587" t="s">
        <v>1455</v>
      </c>
      <c r="D4587" s="4">
        <v>45448</v>
      </c>
      <c r="E4587" t="s">
        <v>500</v>
      </c>
      <c r="F4587" t="s">
        <v>75</v>
      </c>
      <c r="I4587" s="6">
        <v>0</v>
      </c>
      <c r="J4587" s="6">
        <v>0</v>
      </c>
      <c r="K4587" s="6">
        <v>0</v>
      </c>
      <c r="L4587" s="6">
        <v>0</v>
      </c>
      <c r="M4587" s="6">
        <v>0</v>
      </c>
      <c r="N4587" s="6">
        <v>0</v>
      </c>
      <c r="O4587" s="6">
        <v>0</v>
      </c>
      <c r="P4587" s="6">
        <v>0</v>
      </c>
      <c r="Q4587">
        <v>1</v>
      </c>
      <c r="R4587">
        <f t="shared" si="355"/>
        <v>0</v>
      </c>
      <c r="S4587">
        <f t="shared" si="356"/>
        <v>1</v>
      </c>
      <c r="T4587">
        <f t="shared" si="357"/>
        <v>0</v>
      </c>
      <c r="U4587">
        <f t="shared" si="358"/>
        <v>0</v>
      </c>
      <c r="V4587">
        <f t="shared" si="359"/>
        <v>0</v>
      </c>
    </row>
    <row r="4588" spans="1:22" x14ac:dyDescent="0.25">
      <c r="A4588">
        <v>4585</v>
      </c>
      <c r="B4588" t="s">
        <v>30</v>
      </c>
      <c r="C4588" t="s">
        <v>1455</v>
      </c>
      <c r="D4588" s="4">
        <v>45448</v>
      </c>
      <c r="E4588" t="s">
        <v>501</v>
      </c>
      <c r="F4588" t="s">
        <v>75</v>
      </c>
      <c r="I4588" s="6">
        <v>0</v>
      </c>
      <c r="J4588" s="6">
        <v>0</v>
      </c>
      <c r="K4588" s="6">
        <v>0</v>
      </c>
      <c r="L4588" s="6">
        <v>1</v>
      </c>
      <c r="M4588" s="6">
        <v>1</v>
      </c>
      <c r="N4588" s="6">
        <v>1</v>
      </c>
      <c r="O4588" s="6">
        <v>0</v>
      </c>
      <c r="P4588" s="6">
        <v>0</v>
      </c>
      <c r="Q4588">
        <v>1</v>
      </c>
      <c r="R4588">
        <f t="shared" si="355"/>
        <v>0</v>
      </c>
      <c r="S4588">
        <f t="shared" si="356"/>
        <v>1</v>
      </c>
      <c r="T4588">
        <f t="shared" si="357"/>
        <v>3</v>
      </c>
      <c r="U4588">
        <f t="shared" si="358"/>
        <v>1</v>
      </c>
      <c r="V4588">
        <f t="shared" si="359"/>
        <v>0</v>
      </c>
    </row>
    <row r="4589" spans="1:22" x14ac:dyDescent="0.25">
      <c r="A4589">
        <v>4586</v>
      </c>
      <c r="B4589" t="s">
        <v>30</v>
      </c>
      <c r="C4589" t="s">
        <v>1455</v>
      </c>
      <c r="D4589" s="4">
        <v>45448</v>
      </c>
      <c r="E4589" t="s">
        <v>502</v>
      </c>
      <c r="F4589" t="s">
        <v>75</v>
      </c>
      <c r="I4589" s="6">
        <v>0</v>
      </c>
      <c r="J4589" s="6">
        <v>0</v>
      </c>
      <c r="K4589" s="6">
        <v>0</v>
      </c>
      <c r="L4589" s="6">
        <v>0</v>
      </c>
      <c r="M4589" s="6">
        <v>0</v>
      </c>
      <c r="N4589" s="6">
        <v>0</v>
      </c>
      <c r="O4589" s="6">
        <v>0</v>
      </c>
      <c r="P4589" s="6">
        <v>0</v>
      </c>
      <c r="Q4589">
        <v>1</v>
      </c>
      <c r="R4589">
        <f t="shared" si="355"/>
        <v>0</v>
      </c>
      <c r="S4589">
        <f t="shared" si="356"/>
        <v>1</v>
      </c>
      <c r="T4589">
        <f t="shared" si="357"/>
        <v>0</v>
      </c>
      <c r="U4589">
        <f t="shared" si="358"/>
        <v>0</v>
      </c>
      <c r="V4589">
        <f t="shared" si="359"/>
        <v>0</v>
      </c>
    </row>
    <row r="4590" spans="1:22" x14ac:dyDescent="0.25">
      <c r="A4590">
        <v>4587</v>
      </c>
      <c r="B4590" t="s">
        <v>30</v>
      </c>
      <c r="C4590" t="s">
        <v>1455</v>
      </c>
      <c r="D4590" s="4">
        <v>45448</v>
      </c>
      <c r="E4590" t="s">
        <v>503</v>
      </c>
      <c r="F4590" t="s">
        <v>75</v>
      </c>
      <c r="I4590" s="6">
        <v>1</v>
      </c>
      <c r="J4590" s="6">
        <v>0</v>
      </c>
      <c r="K4590" s="6">
        <v>0</v>
      </c>
      <c r="L4590" s="6">
        <v>0</v>
      </c>
      <c r="M4590" s="6">
        <v>0</v>
      </c>
      <c r="N4590" s="6">
        <v>0</v>
      </c>
      <c r="O4590" s="6">
        <v>0</v>
      </c>
      <c r="P4590" s="6">
        <v>0</v>
      </c>
      <c r="Q4590">
        <v>1</v>
      </c>
      <c r="R4590">
        <f t="shared" si="355"/>
        <v>0</v>
      </c>
      <c r="S4590">
        <f t="shared" si="356"/>
        <v>1</v>
      </c>
      <c r="T4590">
        <f t="shared" si="357"/>
        <v>1</v>
      </c>
      <c r="U4590">
        <f t="shared" si="358"/>
        <v>1</v>
      </c>
      <c r="V4590">
        <f t="shared" si="359"/>
        <v>0</v>
      </c>
    </row>
    <row r="4591" spans="1:22" x14ac:dyDescent="0.25">
      <c r="A4591">
        <v>4588</v>
      </c>
      <c r="B4591" t="s">
        <v>30</v>
      </c>
      <c r="C4591" t="s">
        <v>1455</v>
      </c>
      <c r="D4591" s="4">
        <v>45448</v>
      </c>
      <c r="E4591" t="s">
        <v>504</v>
      </c>
      <c r="F4591" t="s">
        <v>75</v>
      </c>
      <c r="I4591" s="6"/>
      <c r="J4591" s="6"/>
      <c r="K4591" s="6"/>
      <c r="L4591" s="6"/>
      <c r="M4591" s="6"/>
      <c r="N4591" s="6"/>
      <c r="O4591" s="6"/>
      <c r="P4591" s="6"/>
      <c r="Q4591">
        <v>0</v>
      </c>
      <c r="R4591">
        <f t="shared" si="355"/>
        <v>0</v>
      </c>
      <c r="S4591">
        <f t="shared" si="356"/>
        <v>0</v>
      </c>
      <c r="T4591">
        <f t="shared" si="357"/>
        <v>0</v>
      </c>
      <c r="U4591">
        <f t="shared" si="358"/>
        <v>0</v>
      </c>
      <c r="V4591">
        <f t="shared" si="359"/>
        <v>0</v>
      </c>
    </row>
    <row r="4592" spans="1:22" x14ac:dyDescent="0.25">
      <c r="A4592">
        <v>4589</v>
      </c>
      <c r="B4592" t="s">
        <v>30</v>
      </c>
      <c r="C4592" t="s">
        <v>1455</v>
      </c>
      <c r="D4592" s="4">
        <v>45448</v>
      </c>
      <c r="E4592" t="s">
        <v>1215</v>
      </c>
      <c r="F4592" t="s">
        <v>75</v>
      </c>
      <c r="I4592" s="6">
        <v>0</v>
      </c>
      <c r="J4592" s="6">
        <v>0</v>
      </c>
      <c r="K4592" s="6">
        <v>0</v>
      </c>
      <c r="L4592" s="6">
        <v>1</v>
      </c>
      <c r="M4592" s="6">
        <v>0</v>
      </c>
      <c r="N4592" s="6">
        <v>0</v>
      </c>
      <c r="O4592" s="6">
        <v>0</v>
      </c>
      <c r="P4592" s="6">
        <v>0</v>
      </c>
      <c r="Q4592">
        <v>1</v>
      </c>
      <c r="R4592">
        <f t="shared" si="355"/>
        <v>0</v>
      </c>
      <c r="S4592">
        <f t="shared" si="356"/>
        <v>1</v>
      </c>
      <c r="T4592">
        <f t="shared" si="357"/>
        <v>1</v>
      </c>
      <c r="U4592">
        <f t="shared" si="358"/>
        <v>1</v>
      </c>
      <c r="V4592">
        <f t="shared" si="359"/>
        <v>0</v>
      </c>
    </row>
    <row r="4593" spans="1:22" x14ac:dyDescent="0.25">
      <c r="A4593">
        <v>4590</v>
      </c>
      <c r="B4593" t="s">
        <v>30</v>
      </c>
      <c r="C4593" t="s">
        <v>1455</v>
      </c>
      <c r="D4593" s="4">
        <v>45448</v>
      </c>
      <c r="E4593" t="s">
        <v>505</v>
      </c>
      <c r="F4593" t="s">
        <v>75</v>
      </c>
      <c r="I4593" s="6"/>
      <c r="J4593" s="6"/>
      <c r="K4593" s="6"/>
      <c r="L4593" s="6"/>
      <c r="M4593" s="6"/>
      <c r="N4593" s="6"/>
      <c r="O4593" s="6"/>
      <c r="P4593" s="6"/>
      <c r="Q4593">
        <v>0</v>
      </c>
      <c r="R4593">
        <f t="shared" si="355"/>
        <v>0</v>
      </c>
      <c r="S4593">
        <f t="shared" si="356"/>
        <v>0</v>
      </c>
      <c r="T4593">
        <f t="shared" si="357"/>
        <v>0</v>
      </c>
      <c r="U4593">
        <f t="shared" si="358"/>
        <v>0</v>
      </c>
      <c r="V4593">
        <f t="shared" si="359"/>
        <v>0</v>
      </c>
    </row>
    <row r="4594" spans="1:22" x14ac:dyDescent="0.25">
      <c r="A4594">
        <v>4591</v>
      </c>
      <c r="B4594" t="s">
        <v>30</v>
      </c>
      <c r="C4594" t="s">
        <v>1455</v>
      </c>
      <c r="D4594" s="4">
        <v>45449</v>
      </c>
      <c r="E4594" t="s">
        <v>389</v>
      </c>
      <c r="F4594" t="s">
        <v>75</v>
      </c>
      <c r="I4594" s="6"/>
      <c r="J4594" s="6"/>
      <c r="K4594" s="6"/>
      <c r="L4594" s="6"/>
      <c r="M4594" s="6"/>
      <c r="N4594" s="6"/>
      <c r="O4594" s="6"/>
      <c r="P4594" s="6"/>
      <c r="Q4594">
        <v>0</v>
      </c>
      <c r="R4594">
        <f t="shared" si="355"/>
        <v>0</v>
      </c>
      <c r="S4594">
        <f t="shared" si="356"/>
        <v>0</v>
      </c>
      <c r="T4594">
        <f t="shared" si="357"/>
        <v>0</v>
      </c>
      <c r="U4594">
        <f t="shared" si="358"/>
        <v>0</v>
      </c>
      <c r="V4594">
        <f t="shared" si="359"/>
        <v>0</v>
      </c>
    </row>
    <row r="4595" spans="1:22" x14ac:dyDescent="0.25">
      <c r="A4595">
        <v>4592</v>
      </c>
      <c r="B4595" t="s">
        <v>30</v>
      </c>
      <c r="C4595" t="s">
        <v>1455</v>
      </c>
      <c r="D4595" s="4">
        <v>45449</v>
      </c>
      <c r="E4595" t="s">
        <v>506</v>
      </c>
      <c r="F4595" t="s">
        <v>75</v>
      </c>
      <c r="I4595" s="6"/>
      <c r="J4595" s="6"/>
      <c r="K4595" s="6"/>
      <c r="L4595" s="6"/>
      <c r="M4595" s="6"/>
      <c r="N4595" s="6"/>
      <c r="O4595" s="6"/>
      <c r="P4595" s="6"/>
      <c r="Q4595">
        <v>0</v>
      </c>
      <c r="R4595">
        <f t="shared" si="355"/>
        <v>0</v>
      </c>
      <c r="S4595">
        <f t="shared" si="356"/>
        <v>0</v>
      </c>
      <c r="T4595">
        <f t="shared" si="357"/>
        <v>0</v>
      </c>
      <c r="U4595">
        <f t="shared" si="358"/>
        <v>0</v>
      </c>
      <c r="V4595">
        <f t="shared" si="359"/>
        <v>0</v>
      </c>
    </row>
    <row r="4596" spans="1:22" x14ac:dyDescent="0.25">
      <c r="A4596">
        <v>4593</v>
      </c>
      <c r="B4596" t="s">
        <v>30</v>
      </c>
      <c r="C4596" t="s">
        <v>1455</v>
      </c>
      <c r="D4596" s="4">
        <v>45449</v>
      </c>
      <c r="E4596" t="s">
        <v>1216</v>
      </c>
      <c r="F4596" t="s">
        <v>75</v>
      </c>
      <c r="I4596" s="6"/>
      <c r="J4596" s="6"/>
      <c r="K4596" s="6"/>
      <c r="L4596" s="6"/>
      <c r="M4596" s="6"/>
      <c r="N4596" s="6"/>
      <c r="O4596" s="6"/>
      <c r="P4596" s="6"/>
      <c r="Q4596">
        <v>0</v>
      </c>
      <c r="R4596">
        <f t="shared" si="355"/>
        <v>0</v>
      </c>
      <c r="S4596">
        <f t="shared" si="356"/>
        <v>0</v>
      </c>
      <c r="T4596">
        <f t="shared" si="357"/>
        <v>0</v>
      </c>
      <c r="U4596">
        <f t="shared" si="358"/>
        <v>0</v>
      </c>
      <c r="V4596">
        <f t="shared" si="359"/>
        <v>0</v>
      </c>
    </row>
    <row r="4597" spans="1:22" x14ac:dyDescent="0.25">
      <c r="A4597">
        <v>4594</v>
      </c>
      <c r="B4597" t="s">
        <v>30</v>
      </c>
      <c r="C4597" t="s">
        <v>1455</v>
      </c>
      <c r="D4597" s="4">
        <v>45449</v>
      </c>
      <c r="E4597" t="s">
        <v>2304</v>
      </c>
      <c r="F4597" t="s">
        <v>75</v>
      </c>
      <c r="I4597" s="6"/>
      <c r="J4597" s="6"/>
      <c r="K4597" s="6"/>
      <c r="L4597" s="6"/>
      <c r="M4597" s="6"/>
      <c r="N4597" s="6"/>
      <c r="O4597" s="6"/>
      <c r="P4597" s="6"/>
      <c r="Q4597">
        <v>0</v>
      </c>
      <c r="R4597">
        <f t="shared" si="355"/>
        <v>0</v>
      </c>
      <c r="S4597">
        <f t="shared" si="356"/>
        <v>0</v>
      </c>
      <c r="T4597">
        <f t="shared" si="357"/>
        <v>0</v>
      </c>
      <c r="U4597">
        <f t="shared" si="358"/>
        <v>0</v>
      </c>
      <c r="V4597">
        <f t="shared" si="359"/>
        <v>0</v>
      </c>
    </row>
    <row r="4598" spans="1:22" x14ac:dyDescent="0.25">
      <c r="A4598">
        <v>4595</v>
      </c>
      <c r="B4598" t="s">
        <v>30</v>
      </c>
      <c r="C4598" t="s">
        <v>1455</v>
      </c>
      <c r="D4598" s="4">
        <v>45449</v>
      </c>
      <c r="E4598" t="s">
        <v>507</v>
      </c>
      <c r="F4598" t="s">
        <v>75</v>
      </c>
      <c r="I4598" s="6"/>
      <c r="J4598" s="6"/>
      <c r="K4598" s="6"/>
      <c r="L4598" s="6"/>
      <c r="M4598" s="6"/>
      <c r="N4598" s="6"/>
      <c r="O4598" s="6"/>
      <c r="P4598" s="6"/>
      <c r="Q4598">
        <v>0</v>
      </c>
      <c r="R4598">
        <f t="shared" si="355"/>
        <v>0</v>
      </c>
      <c r="S4598">
        <f t="shared" si="356"/>
        <v>0</v>
      </c>
      <c r="T4598">
        <f t="shared" si="357"/>
        <v>0</v>
      </c>
      <c r="U4598">
        <f t="shared" si="358"/>
        <v>0</v>
      </c>
      <c r="V4598">
        <f t="shared" si="359"/>
        <v>0</v>
      </c>
    </row>
    <row r="4599" spans="1:22" x14ac:dyDescent="0.25">
      <c r="A4599">
        <v>4596</v>
      </c>
      <c r="B4599" t="s">
        <v>30</v>
      </c>
      <c r="C4599" t="s">
        <v>1455</v>
      </c>
      <c r="D4599" s="4">
        <v>45449</v>
      </c>
      <c r="E4599" t="s">
        <v>390</v>
      </c>
      <c r="F4599" t="s">
        <v>75</v>
      </c>
      <c r="I4599" s="6">
        <v>0</v>
      </c>
      <c r="J4599" s="6">
        <v>0</v>
      </c>
      <c r="K4599" s="6">
        <v>0</v>
      </c>
      <c r="L4599" s="6">
        <v>1</v>
      </c>
      <c r="M4599" s="6">
        <v>1</v>
      </c>
      <c r="N4599" s="6">
        <v>1</v>
      </c>
      <c r="O4599" s="6">
        <v>0</v>
      </c>
      <c r="P4599" s="6">
        <v>0</v>
      </c>
      <c r="Q4599">
        <v>1</v>
      </c>
      <c r="R4599">
        <f t="shared" si="355"/>
        <v>0</v>
      </c>
      <c r="S4599">
        <f t="shared" si="356"/>
        <v>1</v>
      </c>
      <c r="T4599">
        <f t="shared" si="357"/>
        <v>3</v>
      </c>
      <c r="U4599">
        <f t="shared" si="358"/>
        <v>1</v>
      </c>
      <c r="V4599">
        <f t="shared" si="359"/>
        <v>0</v>
      </c>
    </row>
    <row r="4600" spans="1:22" x14ac:dyDescent="0.25">
      <c r="A4600">
        <v>4597</v>
      </c>
      <c r="B4600" t="s">
        <v>30</v>
      </c>
      <c r="C4600" t="s">
        <v>1455</v>
      </c>
      <c r="D4600" s="4">
        <v>45449</v>
      </c>
      <c r="E4600" t="s">
        <v>391</v>
      </c>
      <c r="F4600" t="s">
        <v>413</v>
      </c>
      <c r="G4600">
        <v>225</v>
      </c>
      <c r="I4600" s="6">
        <v>0</v>
      </c>
      <c r="J4600" s="6">
        <v>0</v>
      </c>
      <c r="K4600" s="6">
        <v>0</v>
      </c>
      <c r="L4600" s="6">
        <v>0</v>
      </c>
      <c r="M4600" s="6">
        <v>0</v>
      </c>
      <c r="N4600" s="6">
        <v>1</v>
      </c>
      <c r="O4600" s="6">
        <v>0</v>
      </c>
      <c r="P4600" s="6">
        <v>0</v>
      </c>
      <c r="Q4600">
        <v>1</v>
      </c>
      <c r="R4600">
        <f t="shared" si="355"/>
        <v>1</v>
      </c>
      <c r="S4600">
        <f t="shared" si="356"/>
        <v>0</v>
      </c>
      <c r="T4600">
        <f t="shared" si="357"/>
        <v>1</v>
      </c>
      <c r="U4600">
        <f t="shared" si="358"/>
        <v>1</v>
      </c>
      <c r="V4600">
        <f t="shared" si="359"/>
        <v>1</v>
      </c>
    </row>
    <row r="4601" spans="1:22" x14ac:dyDescent="0.25">
      <c r="A4601">
        <v>4598</v>
      </c>
      <c r="B4601" t="s">
        <v>30</v>
      </c>
      <c r="C4601" t="s">
        <v>1455</v>
      </c>
      <c r="D4601" s="4">
        <v>45449</v>
      </c>
      <c r="E4601" t="s">
        <v>508</v>
      </c>
      <c r="F4601" t="s">
        <v>75</v>
      </c>
      <c r="I4601" s="6"/>
      <c r="J4601" s="6"/>
      <c r="K4601" s="6"/>
      <c r="L4601" s="6"/>
      <c r="M4601" s="6"/>
      <c r="N4601" s="6"/>
      <c r="O4601" s="6"/>
      <c r="P4601" s="6"/>
      <c r="Q4601">
        <v>0</v>
      </c>
      <c r="R4601">
        <f t="shared" si="355"/>
        <v>0</v>
      </c>
      <c r="S4601">
        <f t="shared" si="356"/>
        <v>0</v>
      </c>
      <c r="T4601">
        <f t="shared" si="357"/>
        <v>0</v>
      </c>
      <c r="U4601">
        <f t="shared" si="358"/>
        <v>0</v>
      </c>
      <c r="V4601">
        <f t="shared" si="359"/>
        <v>0</v>
      </c>
    </row>
    <row r="4602" spans="1:22" x14ac:dyDescent="0.25">
      <c r="A4602">
        <v>4599</v>
      </c>
      <c r="B4602" t="s">
        <v>30</v>
      </c>
      <c r="C4602" t="s">
        <v>1455</v>
      </c>
      <c r="D4602" s="4">
        <v>45449</v>
      </c>
      <c r="E4602" t="s">
        <v>509</v>
      </c>
      <c r="F4602" t="s">
        <v>75</v>
      </c>
      <c r="I4602" s="6">
        <v>0</v>
      </c>
      <c r="J4602" s="6">
        <v>0</v>
      </c>
      <c r="K4602" s="6">
        <v>0</v>
      </c>
      <c r="L4602" s="6">
        <v>1</v>
      </c>
      <c r="M4602" s="6">
        <v>0</v>
      </c>
      <c r="N4602" s="6">
        <v>0</v>
      </c>
      <c r="O4602" s="6">
        <v>0</v>
      </c>
      <c r="P4602" s="6">
        <v>0</v>
      </c>
      <c r="Q4602">
        <v>1</v>
      </c>
      <c r="R4602">
        <f t="shared" si="355"/>
        <v>0</v>
      </c>
      <c r="S4602">
        <f t="shared" si="356"/>
        <v>1</v>
      </c>
      <c r="T4602">
        <f t="shared" si="357"/>
        <v>1</v>
      </c>
      <c r="U4602">
        <f t="shared" si="358"/>
        <v>1</v>
      </c>
      <c r="V4602">
        <f t="shared" si="359"/>
        <v>0</v>
      </c>
    </row>
    <row r="4603" spans="1:22" x14ac:dyDescent="0.25">
      <c r="A4603">
        <v>4600</v>
      </c>
      <c r="B4603" t="s">
        <v>30</v>
      </c>
      <c r="C4603" t="s">
        <v>1455</v>
      </c>
      <c r="D4603" s="4">
        <v>45449</v>
      </c>
      <c r="E4603" t="s">
        <v>510</v>
      </c>
      <c r="F4603" t="s">
        <v>75</v>
      </c>
      <c r="I4603" s="6">
        <v>0</v>
      </c>
      <c r="J4603" s="6">
        <v>0</v>
      </c>
      <c r="K4603" s="6">
        <v>0</v>
      </c>
      <c r="L4603" s="6">
        <v>1</v>
      </c>
      <c r="M4603" s="6">
        <v>0</v>
      </c>
      <c r="N4603" s="6">
        <v>0</v>
      </c>
      <c r="O4603" s="6">
        <v>0</v>
      </c>
      <c r="P4603" s="6">
        <v>0</v>
      </c>
      <c r="Q4603">
        <v>1</v>
      </c>
      <c r="R4603">
        <f t="shared" si="355"/>
        <v>0</v>
      </c>
      <c r="S4603">
        <f t="shared" si="356"/>
        <v>1</v>
      </c>
      <c r="T4603">
        <f t="shared" si="357"/>
        <v>1</v>
      </c>
      <c r="U4603">
        <f t="shared" si="358"/>
        <v>1</v>
      </c>
      <c r="V4603">
        <f t="shared" si="359"/>
        <v>0</v>
      </c>
    </row>
    <row r="4604" spans="1:22" x14ac:dyDescent="0.25">
      <c r="A4604">
        <v>4601</v>
      </c>
      <c r="B4604" t="s">
        <v>30</v>
      </c>
      <c r="C4604" t="s">
        <v>1455</v>
      </c>
      <c r="D4604" s="4">
        <v>45449</v>
      </c>
      <c r="E4604" t="s">
        <v>511</v>
      </c>
      <c r="F4604" t="s">
        <v>75</v>
      </c>
      <c r="I4604" s="6">
        <v>0</v>
      </c>
      <c r="J4604" s="6">
        <v>0</v>
      </c>
      <c r="K4604" s="6">
        <v>0</v>
      </c>
      <c r="L4604" s="6">
        <v>0</v>
      </c>
      <c r="M4604" s="6">
        <v>1</v>
      </c>
      <c r="N4604" s="6">
        <v>0</v>
      </c>
      <c r="O4604" s="6">
        <v>0</v>
      </c>
      <c r="P4604" s="6">
        <v>0</v>
      </c>
      <c r="Q4604">
        <v>1</v>
      </c>
      <c r="R4604">
        <f t="shared" si="355"/>
        <v>0</v>
      </c>
      <c r="S4604">
        <f t="shared" si="356"/>
        <v>1</v>
      </c>
      <c r="T4604">
        <f t="shared" si="357"/>
        <v>1</v>
      </c>
      <c r="U4604">
        <f t="shared" si="358"/>
        <v>1</v>
      </c>
      <c r="V4604">
        <f t="shared" si="359"/>
        <v>0</v>
      </c>
    </row>
    <row r="4605" spans="1:22" x14ac:dyDescent="0.25">
      <c r="A4605">
        <v>4602</v>
      </c>
      <c r="B4605" t="s">
        <v>30</v>
      </c>
      <c r="C4605" t="s">
        <v>1455</v>
      </c>
      <c r="D4605" s="4">
        <v>45449</v>
      </c>
      <c r="E4605" t="s">
        <v>512</v>
      </c>
      <c r="F4605" t="s">
        <v>75</v>
      </c>
      <c r="I4605" s="6">
        <v>0</v>
      </c>
      <c r="J4605" s="6">
        <v>0</v>
      </c>
      <c r="K4605" s="6">
        <v>0</v>
      </c>
      <c r="L4605" s="6">
        <v>0</v>
      </c>
      <c r="M4605" s="6">
        <v>1</v>
      </c>
      <c r="N4605" s="6">
        <v>1</v>
      </c>
      <c r="O4605" s="6">
        <v>0</v>
      </c>
      <c r="P4605" s="6">
        <v>0</v>
      </c>
      <c r="Q4605">
        <v>1</v>
      </c>
      <c r="R4605">
        <f t="shared" si="355"/>
        <v>0</v>
      </c>
      <c r="S4605">
        <f t="shared" si="356"/>
        <v>1</v>
      </c>
      <c r="T4605">
        <f t="shared" si="357"/>
        <v>2</v>
      </c>
      <c r="U4605">
        <f t="shared" si="358"/>
        <v>1</v>
      </c>
      <c r="V4605">
        <f t="shared" si="359"/>
        <v>0</v>
      </c>
    </row>
    <row r="4606" spans="1:22" x14ac:dyDescent="0.25">
      <c r="A4606">
        <v>4603</v>
      </c>
      <c r="B4606" t="s">
        <v>30</v>
      </c>
      <c r="C4606" t="s">
        <v>1455</v>
      </c>
      <c r="D4606" s="4">
        <v>45450</v>
      </c>
      <c r="E4606" t="s">
        <v>392</v>
      </c>
      <c r="F4606" t="s">
        <v>75</v>
      </c>
      <c r="I4606" s="6">
        <v>0</v>
      </c>
      <c r="J4606" s="6">
        <v>0</v>
      </c>
      <c r="K4606" s="6">
        <v>0</v>
      </c>
      <c r="L4606" s="6">
        <v>0</v>
      </c>
      <c r="M4606" s="6">
        <v>0</v>
      </c>
      <c r="N4606" s="6">
        <v>0</v>
      </c>
      <c r="O4606" s="6">
        <v>0</v>
      </c>
      <c r="P4606" s="6">
        <v>0</v>
      </c>
      <c r="Q4606">
        <v>1</v>
      </c>
      <c r="R4606">
        <f t="shared" si="355"/>
        <v>0</v>
      </c>
      <c r="S4606">
        <f t="shared" si="356"/>
        <v>1</v>
      </c>
      <c r="T4606">
        <f t="shared" si="357"/>
        <v>0</v>
      </c>
      <c r="U4606">
        <f t="shared" si="358"/>
        <v>0</v>
      </c>
      <c r="V4606">
        <f t="shared" si="359"/>
        <v>0</v>
      </c>
    </row>
    <row r="4607" spans="1:22" x14ac:dyDescent="0.25">
      <c r="A4607">
        <v>4604</v>
      </c>
      <c r="B4607" t="s">
        <v>30</v>
      </c>
      <c r="C4607" t="s">
        <v>1455</v>
      </c>
      <c r="D4607" s="4">
        <v>45450</v>
      </c>
      <c r="E4607" t="s">
        <v>513</v>
      </c>
      <c r="F4607" t="s">
        <v>75</v>
      </c>
      <c r="I4607" s="6"/>
      <c r="J4607" s="6"/>
      <c r="K4607" s="6"/>
      <c r="L4607" s="6"/>
      <c r="M4607" s="6"/>
      <c r="N4607" s="6"/>
      <c r="O4607" s="6"/>
      <c r="P4607" s="6"/>
      <c r="Q4607">
        <v>0</v>
      </c>
      <c r="R4607">
        <f t="shared" si="355"/>
        <v>0</v>
      </c>
      <c r="S4607">
        <f t="shared" si="356"/>
        <v>0</v>
      </c>
      <c r="T4607">
        <f t="shared" si="357"/>
        <v>0</v>
      </c>
      <c r="U4607">
        <f t="shared" si="358"/>
        <v>0</v>
      </c>
      <c r="V4607">
        <f t="shared" si="359"/>
        <v>0</v>
      </c>
    </row>
    <row r="4608" spans="1:22" x14ac:dyDescent="0.25">
      <c r="A4608">
        <v>4605</v>
      </c>
      <c r="B4608" t="s">
        <v>30</v>
      </c>
      <c r="C4608" t="s">
        <v>1455</v>
      </c>
      <c r="D4608" s="4">
        <v>45450</v>
      </c>
      <c r="E4608" t="s">
        <v>515</v>
      </c>
      <c r="F4608" t="s">
        <v>75</v>
      </c>
      <c r="I4608" s="6"/>
      <c r="J4608" s="6"/>
      <c r="K4608" s="6"/>
      <c r="L4608" s="6"/>
      <c r="M4608" s="6"/>
      <c r="N4608" s="6"/>
      <c r="O4608" s="6"/>
      <c r="P4608" s="6"/>
      <c r="Q4608">
        <v>0</v>
      </c>
      <c r="R4608">
        <f t="shared" si="355"/>
        <v>0</v>
      </c>
      <c r="S4608">
        <f t="shared" si="356"/>
        <v>0</v>
      </c>
      <c r="T4608">
        <f t="shared" si="357"/>
        <v>0</v>
      </c>
      <c r="U4608">
        <f t="shared" si="358"/>
        <v>0</v>
      </c>
      <c r="V4608">
        <f t="shared" si="359"/>
        <v>0</v>
      </c>
    </row>
    <row r="4609" spans="1:22" x14ac:dyDescent="0.25">
      <c r="A4609">
        <v>4606</v>
      </c>
      <c r="B4609" t="s">
        <v>30</v>
      </c>
      <c r="C4609" t="s">
        <v>1455</v>
      </c>
      <c r="D4609" s="4">
        <v>45450</v>
      </c>
      <c r="E4609" t="s">
        <v>516</v>
      </c>
      <c r="F4609" t="s">
        <v>75</v>
      </c>
      <c r="I4609" s="6">
        <v>0</v>
      </c>
      <c r="J4609" s="6">
        <v>0</v>
      </c>
      <c r="K4609" s="6">
        <v>0</v>
      </c>
      <c r="L4609" s="6">
        <v>0</v>
      </c>
      <c r="M4609" s="6">
        <v>0</v>
      </c>
      <c r="N4609" s="6">
        <v>0</v>
      </c>
      <c r="O4609" s="6">
        <v>0</v>
      </c>
      <c r="P4609" s="6">
        <v>0</v>
      </c>
      <c r="Q4609">
        <v>1</v>
      </c>
      <c r="R4609">
        <f t="shared" si="355"/>
        <v>0</v>
      </c>
      <c r="S4609">
        <f t="shared" si="356"/>
        <v>1</v>
      </c>
      <c r="T4609">
        <f t="shared" si="357"/>
        <v>0</v>
      </c>
      <c r="U4609">
        <f t="shared" si="358"/>
        <v>0</v>
      </c>
      <c r="V4609">
        <f t="shared" si="359"/>
        <v>0</v>
      </c>
    </row>
    <row r="4610" spans="1:22" x14ac:dyDescent="0.25">
      <c r="A4610">
        <v>4607</v>
      </c>
      <c r="B4610" t="s">
        <v>30</v>
      </c>
      <c r="C4610" t="s">
        <v>1455</v>
      </c>
      <c r="D4610" s="4">
        <v>45450</v>
      </c>
      <c r="E4610" t="s">
        <v>517</v>
      </c>
      <c r="F4610" t="s">
        <v>75</v>
      </c>
      <c r="I4610" s="6"/>
      <c r="J4610" s="6"/>
      <c r="K4610" s="6"/>
      <c r="L4610" s="6"/>
      <c r="M4610" s="6"/>
      <c r="N4610" s="6"/>
      <c r="O4610" s="6"/>
      <c r="P4610" s="6"/>
      <c r="Q4610">
        <v>0</v>
      </c>
      <c r="R4610">
        <f t="shared" si="355"/>
        <v>0</v>
      </c>
      <c r="S4610">
        <f t="shared" si="356"/>
        <v>0</v>
      </c>
      <c r="T4610">
        <f t="shared" si="357"/>
        <v>0</v>
      </c>
      <c r="U4610">
        <f t="shared" si="358"/>
        <v>0</v>
      </c>
      <c r="V4610">
        <f t="shared" si="359"/>
        <v>0</v>
      </c>
    </row>
    <row r="4611" spans="1:22" x14ac:dyDescent="0.25">
      <c r="A4611">
        <v>4608</v>
      </c>
      <c r="B4611" t="s">
        <v>30</v>
      </c>
      <c r="C4611" t="s">
        <v>1455</v>
      </c>
      <c r="D4611" s="4">
        <v>45450</v>
      </c>
      <c r="E4611" t="s">
        <v>518</v>
      </c>
      <c r="F4611" t="s">
        <v>413</v>
      </c>
      <c r="G4611">
        <v>226</v>
      </c>
      <c r="I4611" s="6">
        <v>0</v>
      </c>
      <c r="J4611" s="6">
        <v>1</v>
      </c>
      <c r="K4611" s="6">
        <v>0</v>
      </c>
      <c r="L4611" s="6">
        <v>1</v>
      </c>
      <c r="M4611" s="6">
        <v>0</v>
      </c>
      <c r="N4611" s="6">
        <v>0</v>
      </c>
      <c r="O4611" s="6">
        <v>1</v>
      </c>
      <c r="P4611" s="6">
        <v>0</v>
      </c>
      <c r="Q4611">
        <v>1</v>
      </c>
      <c r="R4611">
        <f t="shared" ref="R4611:R4674" si="360">IF(AND(Q4611=1,F4611="ai_full"),1,0)</f>
        <v>1</v>
      </c>
      <c r="S4611">
        <f t="shared" ref="S4611:S4674" si="361">IF(AND(Q4611=1,F4611="conventional"),1,0)</f>
        <v>0</v>
      </c>
      <c r="T4611">
        <f t="shared" ref="T4611:T4674" si="362">SUM(I4611:P4611)</f>
        <v>3</v>
      </c>
      <c r="U4611">
        <f t="shared" ref="U4611:U4674" si="363">IF(T4611&gt;=1,1,0)</f>
        <v>1</v>
      </c>
      <c r="V4611">
        <f t="shared" ref="V4611:V4674" si="364">IF(F4611="ai_full",1,0)</f>
        <v>1</v>
      </c>
    </row>
    <row r="4612" spans="1:22" x14ac:dyDescent="0.25">
      <c r="A4612">
        <v>4609</v>
      </c>
      <c r="B4612" t="s">
        <v>30</v>
      </c>
      <c r="C4612" t="s">
        <v>1455</v>
      </c>
      <c r="D4612" s="4">
        <v>45450</v>
      </c>
      <c r="E4612" t="s">
        <v>519</v>
      </c>
      <c r="F4612" t="s">
        <v>75</v>
      </c>
      <c r="I4612" s="6">
        <v>0</v>
      </c>
      <c r="J4612" s="6">
        <v>0</v>
      </c>
      <c r="K4612" s="6">
        <v>0</v>
      </c>
      <c r="L4612" s="6">
        <v>0</v>
      </c>
      <c r="M4612" s="6">
        <v>0</v>
      </c>
      <c r="N4612" s="6">
        <v>0</v>
      </c>
      <c r="O4612" s="6">
        <v>0</v>
      </c>
      <c r="P4612" s="6">
        <v>0</v>
      </c>
      <c r="Q4612">
        <v>1</v>
      </c>
      <c r="R4612">
        <f t="shared" si="360"/>
        <v>0</v>
      </c>
      <c r="S4612">
        <f t="shared" si="361"/>
        <v>1</v>
      </c>
      <c r="T4612">
        <f t="shared" si="362"/>
        <v>0</v>
      </c>
      <c r="U4612">
        <f t="shared" si="363"/>
        <v>0</v>
      </c>
      <c r="V4612">
        <f t="shared" si="364"/>
        <v>0</v>
      </c>
    </row>
    <row r="4613" spans="1:22" x14ac:dyDescent="0.25">
      <c r="A4613">
        <v>4610</v>
      </c>
      <c r="B4613" t="s">
        <v>30</v>
      </c>
      <c r="C4613" t="s">
        <v>1455</v>
      </c>
      <c r="D4613" s="4">
        <v>45450</v>
      </c>
      <c r="E4613" t="s">
        <v>1499</v>
      </c>
      <c r="F4613" t="s">
        <v>75</v>
      </c>
      <c r="H4613" t="s">
        <v>1500</v>
      </c>
      <c r="I4613" s="6">
        <v>0</v>
      </c>
      <c r="J4613" s="6">
        <v>0</v>
      </c>
      <c r="K4613" s="6">
        <v>0</v>
      </c>
      <c r="L4613" s="6">
        <v>0</v>
      </c>
      <c r="M4613" s="6">
        <v>0</v>
      </c>
      <c r="N4613" s="6">
        <v>0</v>
      </c>
      <c r="O4613" s="6">
        <v>0</v>
      </c>
      <c r="P4613" s="6">
        <v>0</v>
      </c>
      <c r="Q4613">
        <v>1</v>
      </c>
      <c r="R4613">
        <f t="shared" si="360"/>
        <v>0</v>
      </c>
      <c r="S4613">
        <f t="shared" si="361"/>
        <v>1</v>
      </c>
      <c r="T4613">
        <f t="shared" si="362"/>
        <v>0</v>
      </c>
      <c r="U4613">
        <f t="shared" si="363"/>
        <v>0</v>
      </c>
      <c r="V4613">
        <f t="shared" si="364"/>
        <v>0</v>
      </c>
    </row>
    <row r="4614" spans="1:22" x14ac:dyDescent="0.25">
      <c r="A4614">
        <v>4611</v>
      </c>
      <c r="B4614" t="s">
        <v>30</v>
      </c>
      <c r="C4614" t="s">
        <v>1455</v>
      </c>
      <c r="D4614" s="4">
        <v>45450</v>
      </c>
      <c r="E4614" t="s">
        <v>520</v>
      </c>
      <c r="F4614" t="s">
        <v>75</v>
      </c>
      <c r="I4614" s="6">
        <v>0</v>
      </c>
      <c r="J4614" s="6">
        <v>0</v>
      </c>
      <c r="K4614" s="6">
        <v>0</v>
      </c>
      <c r="L4614" s="6">
        <v>0</v>
      </c>
      <c r="M4614" s="6">
        <v>0</v>
      </c>
      <c r="N4614" s="6">
        <v>0</v>
      </c>
      <c r="O4614" s="6">
        <v>0</v>
      </c>
      <c r="P4614" s="6">
        <v>1</v>
      </c>
      <c r="Q4614">
        <v>1</v>
      </c>
      <c r="R4614">
        <f t="shared" si="360"/>
        <v>0</v>
      </c>
      <c r="S4614">
        <f t="shared" si="361"/>
        <v>1</v>
      </c>
      <c r="T4614">
        <f t="shared" si="362"/>
        <v>1</v>
      </c>
      <c r="U4614">
        <f t="shared" si="363"/>
        <v>1</v>
      </c>
      <c r="V4614">
        <f t="shared" si="364"/>
        <v>0</v>
      </c>
    </row>
    <row r="4615" spans="1:22" x14ac:dyDescent="0.25">
      <c r="A4615">
        <v>4612</v>
      </c>
      <c r="B4615" t="s">
        <v>30</v>
      </c>
      <c r="C4615" t="s">
        <v>1455</v>
      </c>
      <c r="D4615" s="4">
        <v>45450</v>
      </c>
      <c r="E4615" t="s">
        <v>1569</v>
      </c>
      <c r="F4615" t="s">
        <v>75</v>
      </c>
      <c r="I4615" s="6">
        <v>0</v>
      </c>
      <c r="J4615" s="6">
        <v>0</v>
      </c>
      <c r="K4615" s="6">
        <v>0</v>
      </c>
      <c r="L4615" s="6">
        <v>0</v>
      </c>
      <c r="M4615" s="6">
        <v>0</v>
      </c>
      <c r="N4615" s="6">
        <v>0</v>
      </c>
      <c r="O4615" s="6">
        <v>0</v>
      </c>
      <c r="P4615" s="6">
        <v>0</v>
      </c>
      <c r="Q4615">
        <v>1</v>
      </c>
      <c r="R4615">
        <f t="shared" si="360"/>
        <v>0</v>
      </c>
      <c r="S4615">
        <f t="shared" si="361"/>
        <v>1</v>
      </c>
      <c r="T4615">
        <f t="shared" si="362"/>
        <v>0</v>
      </c>
      <c r="U4615">
        <f t="shared" si="363"/>
        <v>0</v>
      </c>
      <c r="V4615">
        <f t="shared" si="364"/>
        <v>0</v>
      </c>
    </row>
    <row r="4616" spans="1:22" x14ac:dyDescent="0.25">
      <c r="A4616">
        <v>4613</v>
      </c>
      <c r="B4616" t="s">
        <v>30</v>
      </c>
      <c r="C4616" t="s">
        <v>1455</v>
      </c>
      <c r="D4616" s="4">
        <v>45451</v>
      </c>
      <c r="E4616" t="s">
        <v>393</v>
      </c>
      <c r="F4616" t="s">
        <v>75</v>
      </c>
      <c r="I4616" s="6"/>
      <c r="J4616" s="6"/>
      <c r="K4616" s="6"/>
      <c r="L4616" s="6"/>
      <c r="M4616" s="6"/>
      <c r="N4616" s="6"/>
      <c r="O4616" s="6"/>
      <c r="P4616" s="6"/>
      <c r="Q4616">
        <v>0</v>
      </c>
      <c r="R4616">
        <f t="shared" si="360"/>
        <v>0</v>
      </c>
      <c r="S4616">
        <f t="shared" si="361"/>
        <v>0</v>
      </c>
      <c r="T4616">
        <f t="shared" si="362"/>
        <v>0</v>
      </c>
      <c r="U4616">
        <f t="shared" si="363"/>
        <v>0</v>
      </c>
      <c r="V4616">
        <f t="shared" si="364"/>
        <v>0</v>
      </c>
    </row>
    <row r="4617" spans="1:22" x14ac:dyDescent="0.25">
      <c r="A4617">
        <v>4614</v>
      </c>
      <c r="B4617" t="s">
        <v>30</v>
      </c>
      <c r="C4617" t="s">
        <v>1455</v>
      </c>
      <c r="D4617" s="4">
        <v>45451</v>
      </c>
      <c r="E4617" t="s">
        <v>394</v>
      </c>
      <c r="F4617" t="s">
        <v>75</v>
      </c>
      <c r="I4617" s="6">
        <v>1</v>
      </c>
      <c r="J4617" s="6">
        <v>0</v>
      </c>
      <c r="K4617" s="6">
        <v>0</v>
      </c>
      <c r="L4617" s="6">
        <v>1</v>
      </c>
      <c r="M4617" s="6">
        <v>0</v>
      </c>
      <c r="N4617" s="6">
        <v>1</v>
      </c>
      <c r="O4617" s="6">
        <v>1</v>
      </c>
      <c r="P4617" s="6">
        <v>1</v>
      </c>
      <c r="Q4617">
        <v>1</v>
      </c>
      <c r="R4617">
        <f t="shared" si="360"/>
        <v>0</v>
      </c>
      <c r="S4617">
        <f t="shared" si="361"/>
        <v>1</v>
      </c>
      <c r="T4617">
        <f t="shared" si="362"/>
        <v>5</v>
      </c>
      <c r="U4617">
        <f t="shared" si="363"/>
        <v>1</v>
      </c>
      <c r="V4617">
        <f t="shared" si="364"/>
        <v>0</v>
      </c>
    </row>
    <row r="4618" spans="1:22" x14ac:dyDescent="0.25">
      <c r="A4618">
        <v>4615</v>
      </c>
      <c r="B4618" t="s">
        <v>30</v>
      </c>
      <c r="C4618" t="s">
        <v>1455</v>
      </c>
      <c r="D4618" s="4">
        <v>45451</v>
      </c>
      <c r="E4618" t="s">
        <v>395</v>
      </c>
      <c r="F4618" t="s">
        <v>75</v>
      </c>
      <c r="I4618" s="6">
        <v>0</v>
      </c>
      <c r="J4618" s="6">
        <v>0</v>
      </c>
      <c r="K4618" s="6">
        <v>0</v>
      </c>
      <c r="L4618" s="6">
        <v>0</v>
      </c>
      <c r="M4618" s="6">
        <v>0</v>
      </c>
      <c r="N4618" s="6">
        <v>0</v>
      </c>
      <c r="O4618" s="6">
        <v>0</v>
      </c>
      <c r="P4618" s="6">
        <v>0</v>
      </c>
      <c r="Q4618">
        <v>1</v>
      </c>
      <c r="R4618">
        <f t="shared" si="360"/>
        <v>0</v>
      </c>
      <c r="S4618">
        <f t="shared" si="361"/>
        <v>1</v>
      </c>
      <c r="T4618">
        <f t="shared" si="362"/>
        <v>0</v>
      </c>
      <c r="U4618">
        <f t="shared" si="363"/>
        <v>0</v>
      </c>
      <c r="V4618">
        <f t="shared" si="364"/>
        <v>0</v>
      </c>
    </row>
    <row r="4619" spans="1:22" x14ac:dyDescent="0.25">
      <c r="A4619">
        <v>4616</v>
      </c>
      <c r="B4619" t="s">
        <v>30</v>
      </c>
      <c r="C4619" t="s">
        <v>1455</v>
      </c>
      <c r="D4619" s="4">
        <v>45451</v>
      </c>
      <c r="E4619" t="s">
        <v>396</v>
      </c>
      <c r="F4619" t="s">
        <v>75</v>
      </c>
      <c r="I4619" s="6">
        <v>0</v>
      </c>
      <c r="J4619" s="6">
        <v>0</v>
      </c>
      <c r="K4619" s="6">
        <v>0</v>
      </c>
      <c r="L4619" s="6">
        <v>0</v>
      </c>
      <c r="M4619" s="6">
        <v>0</v>
      </c>
      <c r="N4619" s="6">
        <v>0</v>
      </c>
      <c r="O4619" s="6">
        <v>0</v>
      </c>
      <c r="P4619" s="6">
        <v>0</v>
      </c>
      <c r="Q4619">
        <v>1</v>
      </c>
      <c r="R4619">
        <f t="shared" si="360"/>
        <v>0</v>
      </c>
      <c r="S4619">
        <f t="shared" si="361"/>
        <v>1</v>
      </c>
      <c r="T4619">
        <f t="shared" si="362"/>
        <v>0</v>
      </c>
      <c r="U4619">
        <f t="shared" si="363"/>
        <v>0</v>
      </c>
      <c r="V4619">
        <f t="shared" si="364"/>
        <v>0</v>
      </c>
    </row>
    <row r="4620" spans="1:22" x14ac:dyDescent="0.25">
      <c r="A4620">
        <v>4617</v>
      </c>
      <c r="B4620" t="s">
        <v>30</v>
      </c>
      <c r="C4620" t="s">
        <v>1455</v>
      </c>
      <c r="D4620" s="4">
        <v>45451</v>
      </c>
      <c r="E4620" t="s">
        <v>521</v>
      </c>
      <c r="F4620" t="s">
        <v>75</v>
      </c>
      <c r="I4620" s="6"/>
      <c r="J4620" s="6"/>
      <c r="K4620" s="6"/>
      <c r="L4620" s="6"/>
      <c r="M4620" s="6"/>
      <c r="N4620" s="6"/>
      <c r="O4620" s="6"/>
      <c r="P4620" s="6"/>
      <c r="Q4620">
        <v>0</v>
      </c>
      <c r="R4620">
        <f t="shared" si="360"/>
        <v>0</v>
      </c>
      <c r="S4620">
        <f t="shared" si="361"/>
        <v>0</v>
      </c>
      <c r="T4620">
        <f t="shared" si="362"/>
        <v>0</v>
      </c>
      <c r="U4620">
        <f t="shared" si="363"/>
        <v>0</v>
      </c>
      <c r="V4620">
        <f t="shared" si="364"/>
        <v>0</v>
      </c>
    </row>
    <row r="4621" spans="1:22" x14ac:dyDescent="0.25">
      <c r="A4621">
        <v>4618</v>
      </c>
      <c r="B4621" t="s">
        <v>30</v>
      </c>
      <c r="C4621" t="s">
        <v>1455</v>
      </c>
      <c r="D4621" s="4">
        <v>45451</v>
      </c>
      <c r="E4621" t="s">
        <v>397</v>
      </c>
      <c r="F4621" t="s">
        <v>75</v>
      </c>
      <c r="I4621" s="6">
        <v>0</v>
      </c>
      <c r="J4621" s="6">
        <v>0</v>
      </c>
      <c r="K4621" s="6">
        <v>0</v>
      </c>
      <c r="L4621" s="6">
        <v>0</v>
      </c>
      <c r="M4621" s="6">
        <v>0</v>
      </c>
      <c r="N4621" s="6">
        <v>0</v>
      </c>
      <c r="O4621" s="6">
        <v>0</v>
      </c>
      <c r="P4621" s="6">
        <v>0</v>
      </c>
      <c r="Q4621">
        <v>1</v>
      </c>
      <c r="R4621">
        <f t="shared" si="360"/>
        <v>0</v>
      </c>
      <c r="S4621">
        <f t="shared" si="361"/>
        <v>1</v>
      </c>
      <c r="T4621">
        <f t="shared" si="362"/>
        <v>0</v>
      </c>
      <c r="U4621">
        <f t="shared" si="363"/>
        <v>0</v>
      </c>
      <c r="V4621">
        <f t="shared" si="364"/>
        <v>0</v>
      </c>
    </row>
    <row r="4622" spans="1:22" x14ac:dyDescent="0.25">
      <c r="A4622">
        <v>4619</v>
      </c>
      <c r="B4622" t="s">
        <v>30</v>
      </c>
      <c r="C4622" t="s">
        <v>1455</v>
      </c>
      <c r="D4622" s="4">
        <v>45452</v>
      </c>
      <c r="E4622" t="s">
        <v>398</v>
      </c>
      <c r="F4622" t="s">
        <v>75</v>
      </c>
      <c r="I4622" s="6">
        <v>0</v>
      </c>
      <c r="J4622" s="6">
        <v>0</v>
      </c>
      <c r="K4622" s="6">
        <v>0</v>
      </c>
      <c r="L4622" s="6">
        <v>1</v>
      </c>
      <c r="M4622" s="6">
        <v>0</v>
      </c>
      <c r="N4622" s="6">
        <v>0</v>
      </c>
      <c r="O4622" s="6">
        <v>1</v>
      </c>
      <c r="P4622" s="6">
        <v>0</v>
      </c>
      <c r="Q4622">
        <v>1</v>
      </c>
      <c r="R4622">
        <f t="shared" si="360"/>
        <v>0</v>
      </c>
      <c r="S4622">
        <f t="shared" si="361"/>
        <v>1</v>
      </c>
      <c r="T4622">
        <f t="shared" si="362"/>
        <v>2</v>
      </c>
      <c r="U4622">
        <f t="shared" si="363"/>
        <v>1</v>
      </c>
      <c r="V4622">
        <f t="shared" si="364"/>
        <v>0</v>
      </c>
    </row>
    <row r="4623" spans="1:22" x14ac:dyDescent="0.25">
      <c r="A4623">
        <v>4620</v>
      </c>
      <c r="B4623" t="s">
        <v>30</v>
      </c>
      <c r="C4623" t="s">
        <v>1455</v>
      </c>
      <c r="D4623" s="4">
        <v>45452</v>
      </c>
      <c r="E4623" t="s">
        <v>399</v>
      </c>
      <c r="F4623" t="s">
        <v>75</v>
      </c>
      <c r="I4623" s="6">
        <v>0</v>
      </c>
      <c r="J4623" s="6">
        <v>0</v>
      </c>
      <c r="K4623" s="6">
        <v>1</v>
      </c>
      <c r="L4623" s="6">
        <v>1</v>
      </c>
      <c r="M4623" s="6">
        <v>1</v>
      </c>
      <c r="N4623" s="6">
        <v>1</v>
      </c>
      <c r="O4623" s="6">
        <v>1</v>
      </c>
      <c r="P4623" s="6">
        <v>0</v>
      </c>
      <c r="Q4623">
        <v>1</v>
      </c>
      <c r="R4623">
        <f t="shared" si="360"/>
        <v>0</v>
      </c>
      <c r="S4623">
        <f t="shared" si="361"/>
        <v>1</v>
      </c>
      <c r="T4623">
        <f t="shared" si="362"/>
        <v>5</v>
      </c>
      <c r="U4623">
        <f t="shared" si="363"/>
        <v>1</v>
      </c>
      <c r="V4623">
        <f t="shared" si="364"/>
        <v>0</v>
      </c>
    </row>
    <row r="4624" spans="1:22" x14ac:dyDescent="0.25">
      <c r="A4624">
        <v>4621</v>
      </c>
      <c r="B4624" t="s">
        <v>30</v>
      </c>
      <c r="C4624" t="s">
        <v>1455</v>
      </c>
      <c r="D4624" s="4">
        <v>45452</v>
      </c>
      <c r="E4624" t="s">
        <v>902</v>
      </c>
      <c r="F4624" t="s">
        <v>75</v>
      </c>
      <c r="I4624" s="6">
        <v>0</v>
      </c>
      <c r="J4624" s="6">
        <v>0</v>
      </c>
      <c r="K4624" s="6">
        <v>0</v>
      </c>
      <c r="L4624" s="6">
        <v>0</v>
      </c>
      <c r="M4624" s="6">
        <v>0</v>
      </c>
      <c r="N4624" s="6">
        <v>0</v>
      </c>
      <c r="O4624" s="6">
        <v>0</v>
      </c>
      <c r="P4624" s="6">
        <v>1</v>
      </c>
      <c r="Q4624">
        <v>1</v>
      </c>
      <c r="R4624">
        <f t="shared" si="360"/>
        <v>0</v>
      </c>
      <c r="S4624">
        <f t="shared" si="361"/>
        <v>1</v>
      </c>
      <c r="T4624">
        <f t="shared" si="362"/>
        <v>1</v>
      </c>
      <c r="U4624">
        <f t="shared" si="363"/>
        <v>1</v>
      </c>
      <c r="V4624">
        <f t="shared" si="364"/>
        <v>0</v>
      </c>
    </row>
    <row r="4625" spans="1:22" x14ac:dyDescent="0.25">
      <c r="A4625">
        <v>4622</v>
      </c>
      <c r="B4625" t="s">
        <v>32</v>
      </c>
      <c r="C4625" t="s">
        <v>1455</v>
      </c>
      <c r="D4625" s="4">
        <v>45329</v>
      </c>
      <c r="E4625" t="s">
        <v>403</v>
      </c>
      <c r="F4625" t="s">
        <v>75</v>
      </c>
      <c r="I4625" s="6">
        <v>0</v>
      </c>
      <c r="J4625" s="6">
        <v>0</v>
      </c>
      <c r="K4625" s="6">
        <v>1</v>
      </c>
      <c r="L4625" s="6">
        <v>0</v>
      </c>
      <c r="M4625" s="6">
        <v>0</v>
      </c>
      <c r="N4625" s="6">
        <v>0</v>
      </c>
      <c r="O4625" s="6">
        <v>0</v>
      </c>
      <c r="P4625" s="6">
        <v>0</v>
      </c>
      <c r="Q4625">
        <v>1</v>
      </c>
      <c r="R4625">
        <f t="shared" si="360"/>
        <v>0</v>
      </c>
      <c r="S4625">
        <f t="shared" si="361"/>
        <v>1</v>
      </c>
      <c r="T4625">
        <f t="shared" si="362"/>
        <v>1</v>
      </c>
      <c r="U4625">
        <f t="shared" si="363"/>
        <v>1</v>
      </c>
      <c r="V4625">
        <f t="shared" si="364"/>
        <v>0</v>
      </c>
    </row>
    <row r="4626" spans="1:22" x14ac:dyDescent="0.25">
      <c r="A4626">
        <v>4623</v>
      </c>
      <c r="B4626" t="s">
        <v>32</v>
      </c>
      <c r="C4626" t="s">
        <v>1455</v>
      </c>
      <c r="D4626" s="4">
        <v>45329</v>
      </c>
      <c r="E4626" t="s">
        <v>404</v>
      </c>
      <c r="F4626" t="s">
        <v>75</v>
      </c>
      <c r="I4626" s="6"/>
      <c r="J4626" s="6"/>
      <c r="K4626" s="6"/>
      <c r="L4626" s="6"/>
      <c r="M4626" s="6"/>
      <c r="N4626" s="6"/>
      <c r="O4626" s="6"/>
      <c r="P4626" s="6"/>
      <c r="Q4626">
        <v>0</v>
      </c>
      <c r="R4626">
        <f t="shared" si="360"/>
        <v>0</v>
      </c>
      <c r="S4626">
        <f t="shared" si="361"/>
        <v>0</v>
      </c>
      <c r="T4626">
        <f t="shared" si="362"/>
        <v>0</v>
      </c>
      <c r="U4626">
        <f t="shared" si="363"/>
        <v>0</v>
      </c>
      <c r="V4626">
        <f t="shared" si="364"/>
        <v>0</v>
      </c>
    </row>
    <row r="4627" spans="1:22" x14ac:dyDescent="0.25">
      <c r="A4627">
        <v>4624</v>
      </c>
      <c r="B4627" t="s">
        <v>32</v>
      </c>
      <c r="C4627" t="s">
        <v>1455</v>
      </c>
      <c r="D4627" s="4">
        <v>45329</v>
      </c>
      <c r="E4627" t="s">
        <v>405</v>
      </c>
      <c r="F4627" t="s">
        <v>75</v>
      </c>
      <c r="I4627" s="6">
        <v>0</v>
      </c>
      <c r="J4627" s="6">
        <v>0</v>
      </c>
      <c r="K4627" s="6">
        <v>1</v>
      </c>
      <c r="L4627" s="6">
        <v>0</v>
      </c>
      <c r="M4627" s="6">
        <v>0</v>
      </c>
      <c r="N4627" s="6">
        <v>1</v>
      </c>
      <c r="O4627" s="6">
        <v>0</v>
      </c>
      <c r="P4627" s="6">
        <v>0</v>
      </c>
      <c r="Q4627">
        <v>1</v>
      </c>
      <c r="R4627">
        <f t="shared" si="360"/>
        <v>0</v>
      </c>
      <c r="S4627">
        <f t="shared" si="361"/>
        <v>1</v>
      </c>
      <c r="T4627">
        <f t="shared" si="362"/>
        <v>2</v>
      </c>
      <c r="U4627">
        <f t="shared" si="363"/>
        <v>1</v>
      </c>
      <c r="V4627">
        <f t="shared" si="364"/>
        <v>0</v>
      </c>
    </row>
    <row r="4628" spans="1:22" x14ac:dyDescent="0.25">
      <c r="A4628">
        <v>4625</v>
      </c>
      <c r="B4628" t="s">
        <v>32</v>
      </c>
      <c r="C4628" t="s">
        <v>1455</v>
      </c>
      <c r="D4628" s="4">
        <v>45329</v>
      </c>
      <c r="E4628" t="s">
        <v>1501</v>
      </c>
      <c r="F4628" t="s">
        <v>75</v>
      </c>
      <c r="I4628" s="6">
        <v>0</v>
      </c>
      <c r="J4628" s="6">
        <v>0</v>
      </c>
      <c r="K4628" s="6">
        <v>0</v>
      </c>
      <c r="L4628" s="6">
        <v>0</v>
      </c>
      <c r="M4628" s="6">
        <v>0</v>
      </c>
      <c r="N4628" s="6">
        <v>0</v>
      </c>
      <c r="O4628" s="6">
        <v>0</v>
      </c>
      <c r="P4628" s="6">
        <v>0</v>
      </c>
      <c r="Q4628">
        <v>1</v>
      </c>
      <c r="R4628">
        <f t="shared" si="360"/>
        <v>0</v>
      </c>
      <c r="S4628">
        <f t="shared" si="361"/>
        <v>1</v>
      </c>
      <c r="T4628">
        <f t="shared" si="362"/>
        <v>0</v>
      </c>
      <c r="U4628">
        <f t="shared" si="363"/>
        <v>0</v>
      </c>
      <c r="V4628">
        <f t="shared" si="364"/>
        <v>0</v>
      </c>
    </row>
    <row r="4629" spans="1:22" x14ac:dyDescent="0.25">
      <c r="A4629">
        <v>4626</v>
      </c>
      <c r="B4629" t="s">
        <v>32</v>
      </c>
      <c r="C4629" t="s">
        <v>1455</v>
      </c>
      <c r="D4629" s="4">
        <v>45329</v>
      </c>
      <c r="E4629" t="s">
        <v>1456</v>
      </c>
      <c r="F4629" t="s">
        <v>75</v>
      </c>
      <c r="I4629" s="6"/>
      <c r="J4629" s="6"/>
      <c r="K4629" s="6"/>
      <c r="L4629" s="6"/>
      <c r="M4629" s="6"/>
      <c r="N4629" s="6"/>
      <c r="O4629" s="6"/>
      <c r="P4629" s="6"/>
      <c r="Q4629">
        <v>0</v>
      </c>
      <c r="R4629">
        <f t="shared" si="360"/>
        <v>0</v>
      </c>
      <c r="S4629">
        <f t="shared" si="361"/>
        <v>0</v>
      </c>
      <c r="T4629">
        <f t="shared" si="362"/>
        <v>0</v>
      </c>
      <c r="U4629">
        <f t="shared" si="363"/>
        <v>0</v>
      </c>
      <c r="V4629">
        <f t="shared" si="364"/>
        <v>0</v>
      </c>
    </row>
    <row r="4630" spans="1:22" x14ac:dyDescent="0.25">
      <c r="A4630">
        <v>4627</v>
      </c>
      <c r="B4630" t="s">
        <v>32</v>
      </c>
      <c r="C4630" t="s">
        <v>1455</v>
      </c>
      <c r="D4630" s="4">
        <v>45329</v>
      </c>
      <c r="E4630" t="s">
        <v>2303</v>
      </c>
      <c r="F4630" t="s">
        <v>75</v>
      </c>
      <c r="I4630" s="6">
        <v>0</v>
      </c>
      <c r="J4630" s="6">
        <v>0</v>
      </c>
      <c r="K4630" s="6">
        <v>0</v>
      </c>
      <c r="L4630" s="6">
        <v>0</v>
      </c>
      <c r="M4630" s="6">
        <v>1</v>
      </c>
      <c r="N4630" s="6">
        <v>0</v>
      </c>
      <c r="O4630" s="6">
        <v>0</v>
      </c>
      <c r="P4630" s="6">
        <v>0</v>
      </c>
      <c r="Q4630">
        <v>1</v>
      </c>
      <c r="R4630">
        <f t="shared" si="360"/>
        <v>0</v>
      </c>
      <c r="S4630">
        <f t="shared" si="361"/>
        <v>1</v>
      </c>
      <c r="T4630">
        <f t="shared" si="362"/>
        <v>1</v>
      </c>
      <c r="U4630">
        <f t="shared" si="363"/>
        <v>1</v>
      </c>
      <c r="V4630">
        <f t="shared" si="364"/>
        <v>0</v>
      </c>
    </row>
    <row r="4631" spans="1:22" x14ac:dyDescent="0.25">
      <c r="A4631">
        <v>4628</v>
      </c>
      <c r="B4631" t="s">
        <v>32</v>
      </c>
      <c r="C4631" t="s">
        <v>1455</v>
      </c>
      <c r="D4631" s="4">
        <v>45330</v>
      </c>
      <c r="E4631" t="s">
        <v>836</v>
      </c>
      <c r="F4631" t="s">
        <v>75</v>
      </c>
      <c r="I4631" s="6">
        <v>0</v>
      </c>
      <c r="J4631" s="6">
        <v>0</v>
      </c>
      <c r="K4631" s="6">
        <v>1</v>
      </c>
      <c r="L4631" s="6">
        <v>0</v>
      </c>
      <c r="M4631" s="6">
        <v>0</v>
      </c>
      <c r="N4631" s="6">
        <v>0</v>
      </c>
      <c r="O4631" s="6">
        <v>0</v>
      </c>
      <c r="P4631" s="6">
        <v>0</v>
      </c>
      <c r="Q4631">
        <v>1</v>
      </c>
      <c r="R4631">
        <f t="shared" si="360"/>
        <v>0</v>
      </c>
      <c r="S4631">
        <f t="shared" si="361"/>
        <v>1</v>
      </c>
      <c r="T4631">
        <f t="shared" si="362"/>
        <v>1</v>
      </c>
      <c r="U4631">
        <f t="shared" si="363"/>
        <v>1</v>
      </c>
      <c r="V4631">
        <f t="shared" si="364"/>
        <v>0</v>
      </c>
    </row>
    <row r="4632" spans="1:22" x14ac:dyDescent="0.25">
      <c r="A4632">
        <v>4629</v>
      </c>
      <c r="B4632" t="s">
        <v>32</v>
      </c>
      <c r="C4632" t="s">
        <v>1455</v>
      </c>
      <c r="D4632" s="4">
        <v>45330</v>
      </c>
      <c r="E4632" t="s">
        <v>406</v>
      </c>
      <c r="F4632" t="s">
        <v>75</v>
      </c>
      <c r="I4632" s="6"/>
      <c r="J4632" s="6"/>
      <c r="K4632" s="6"/>
      <c r="L4632" s="6"/>
      <c r="M4632" s="6"/>
      <c r="N4632" s="6"/>
      <c r="O4632" s="6"/>
      <c r="P4632" s="6"/>
      <c r="Q4632">
        <v>0</v>
      </c>
      <c r="R4632">
        <f t="shared" si="360"/>
        <v>0</v>
      </c>
      <c r="S4632">
        <f t="shared" si="361"/>
        <v>0</v>
      </c>
      <c r="T4632">
        <f t="shared" si="362"/>
        <v>0</v>
      </c>
      <c r="U4632">
        <f t="shared" si="363"/>
        <v>0</v>
      </c>
      <c r="V4632">
        <f t="shared" si="364"/>
        <v>0</v>
      </c>
    </row>
    <row r="4633" spans="1:22" x14ac:dyDescent="0.25">
      <c r="A4633">
        <v>4630</v>
      </c>
      <c r="B4633" t="s">
        <v>32</v>
      </c>
      <c r="C4633" t="s">
        <v>1455</v>
      </c>
      <c r="D4633" s="4">
        <v>45330</v>
      </c>
      <c r="E4633" t="s">
        <v>407</v>
      </c>
      <c r="F4633" t="s">
        <v>75</v>
      </c>
      <c r="I4633" s="6">
        <v>0</v>
      </c>
      <c r="J4633" s="6">
        <v>0</v>
      </c>
      <c r="K4633" s="6">
        <v>0</v>
      </c>
      <c r="L4633" s="6">
        <v>1</v>
      </c>
      <c r="M4633" s="6">
        <v>0</v>
      </c>
      <c r="N4633" s="6">
        <v>1</v>
      </c>
      <c r="O4633" s="6">
        <v>0</v>
      </c>
      <c r="P4633" s="6">
        <v>0</v>
      </c>
      <c r="Q4633">
        <v>1</v>
      </c>
      <c r="R4633">
        <f t="shared" si="360"/>
        <v>0</v>
      </c>
      <c r="S4633">
        <f t="shared" si="361"/>
        <v>1</v>
      </c>
      <c r="T4633">
        <f t="shared" si="362"/>
        <v>2</v>
      </c>
      <c r="U4633">
        <f t="shared" si="363"/>
        <v>1</v>
      </c>
      <c r="V4633">
        <f t="shared" si="364"/>
        <v>0</v>
      </c>
    </row>
    <row r="4634" spans="1:22" x14ac:dyDescent="0.25">
      <c r="A4634">
        <v>4631</v>
      </c>
      <c r="B4634" t="s">
        <v>32</v>
      </c>
      <c r="C4634" t="s">
        <v>1455</v>
      </c>
      <c r="D4634" s="4">
        <v>45330</v>
      </c>
      <c r="E4634" t="s">
        <v>2302</v>
      </c>
      <c r="F4634" t="s">
        <v>75</v>
      </c>
      <c r="I4634" s="6"/>
      <c r="J4634" s="6"/>
      <c r="K4634" s="6"/>
      <c r="L4634" s="6"/>
      <c r="M4634" s="6"/>
      <c r="N4634" s="6"/>
      <c r="O4634" s="6"/>
      <c r="P4634" s="6"/>
      <c r="Q4634">
        <v>0</v>
      </c>
      <c r="R4634">
        <f t="shared" si="360"/>
        <v>0</v>
      </c>
      <c r="S4634">
        <f t="shared" si="361"/>
        <v>0</v>
      </c>
      <c r="T4634">
        <f t="shared" si="362"/>
        <v>0</v>
      </c>
      <c r="U4634">
        <f t="shared" si="363"/>
        <v>0</v>
      </c>
      <c r="V4634">
        <f t="shared" si="364"/>
        <v>0</v>
      </c>
    </row>
    <row r="4635" spans="1:22" x14ac:dyDescent="0.25">
      <c r="A4635">
        <v>4632</v>
      </c>
      <c r="B4635" t="s">
        <v>32</v>
      </c>
      <c r="C4635" t="s">
        <v>1455</v>
      </c>
      <c r="D4635" s="4">
        <v>45330</v>
      </c>
      <c r="E4635" t="s">
        <v>2301</v>
      </c>
      <c r="F4635" t="s">
        <v>75</v>
      </c>
      <c r="I4635" s="6"/>
      <c r="J4635" s="6"/>
      <c r="K4635" s="6"/>
      <c r="L4635" s="6"/>
      <c r="M4635" s="6"/>
      <c r="N4635" s="6"/>
      <c r="O4635" s="6"/>
      <c r="P4635" s="6"/>
      <c r="Q4635">
        <v>0</v>
      </c>
      <c r="R4635">
        <f t="shared" si="360"/>
        <v>0</v>
      </c>
      <c r="S4635">
        <f t="shared" si="361"/>
        <v>0</v>
      </c>
      <c r="T4635">
        <f t="shared" si="362"/>
        <v>0</v>
      </c>
      <c r="U4635">
        <f t="shared" si="363"/>
        <v>0</v>
      </c>
      <c r="V4635">
        <f t="shared" si="364"/>
        <v>0</v>
      </c>
    </row>
    <row r="4636" spans="1:22" x14ac:dyDescent="0.25">
      <c r="A4636">
        <v>4633</v>
      </c>
      <c r="B4636" t="s">
        <v>32</v>
      </c>
      <c r="C4636" t="s">
        <v>1455</v>
      </c>
      <c r="D4636" s="4">
        <v>45330</v>
      </c>
      <c r="E4636" t="s">
        <v>1502</v>
      </c>
      <c r="F4636" t="s">
        <v>75</v>
      </c>
      <c r="I4636" s="6">
        <v>0</v>
      </c>
      <c r="J4636" s="6">
        <v>0</v>
      </c>
      <c r="K4636" s="6">
        <v>0</v>
      </c>
      <c r="L4636" s="6">
        <v>1</v>
      </c>
      <c r="M4636" s="6">
        <v>0</v>
      </c>
      <c r="N4636" s="6">
        <v>1</v>
      </c>
      <c r="O4636" s="6">
        <v>0</v>
      </c>
      <c r="P4636" s="6">
        <v>0</v>
      </c>
      <c r="Q4636">
        <v>1</v>
      </c>
      <c r="R4636">
        <f t="shared" si="360"/>
        <v>0</v>
      </c>
      <c r="S4636">
        <f t="shared" si="361"/>
        <v>1</v>
      </c>
      <c r="T4636">
        <f t="shared" si="362"/>
        <v>2</v>
      </c>
      <c r="U4636">
        <f t="shared" si="363"/>
        <v>1</v>
      </c>
      <c r="V4636">
        <f t="shared" si="364"/>
        <v>0</v>
      </c>
    </row>
    <row r="4637" spans="1:22" x14ac:dyDescent="0.25">
      <c r="A4637">
        <v>4634</v>
      </c>
      <c r="B4637" t="s">
        <v>32</v>
      </c>
      <c r="C4637" t="s">
        <v>1455</v>
      </c>
      <c r="D4637" s="4">
        <v>45330</v>
      </c>
      <c r="E4637" t="s">
        <v>1271</v>
      </c>
      <c r="F4637" t="s">
        <v>75</v>
      </c>
      <c r="I4637" s="6"/>
      <c r="J4637" s="6"/>
      <c r="K4637" s="6"/>
      <c r="L4637" s="6"/>
      <c r="M4637" s="6"/>
      <c r="N4637" s="6"/>
      <c r="O4637" s="6"/>
      <c r="P4637" s="6"/>
      <c r="Q4637">
        <v>0</v>
      </c>
      <c r="R4637">
        <f t="shared" si="360"/>
        <v>0</v>
      </c>
      <c r="S4637">
        <f t="shared" si="361"/>
        <v>0</v>
      </c>
      <c r="T4637">
        <f t="shared" si="362"/>
        <v>0</v>
      </c>
      <c r="U4637">
        <f t="shared" si="363"/>
        <v>0</v>
      </c>
      <c r="V4637">
        <f t="shared" si="364"/>
        <v>0</v>
      </c>
    </row>
    <row r="4638" spans="1:22" x14ac:dyDescent="0.25">
      <c r="A4638">
        <v>4635</v>
      </c>
      <c r="B4638" t="s">
        <v>32</v>
      </c>
      <c r="C4638" t="s">
        <v>1455</v>
      </c>
      <c r="D4638" s="4">
        <v>45331</v>
      </c>
      <c r="E4638" t="s">
        <v>1039</v>
      </c>
      <c r="F4638" t="s">
        <v>75</v>
      </c>
      <c r="I4638" s="6"/>
      <c r="J4638" s="6"/>
      <c r="K4638" s="6"/>
      <c r="L4638" s="6"/>
      <c r="M4638" s="6"/>
      <c r="N4638" s="6"/>
      <c r="O4638" s="6"/>
      <c r="P4638" s="6"/>
      <c r="Q4638">
        <v>0</v>
      </c>
      <c r="R4638">
        <f t="shared" si="360"/>
        <v>0</v>
      </c>
      <c r="S4638">
        <f t="shared" si="361"/>
        <v>0</v>
      </c>
      <c r="T4638">
        <f t="shared" si="362"/>
        <v>0</v>
      </c>
      <c r="U4638">
        <f t="shared" si="363"/>
        <v>0</v>
      </c>
      <c r="V4638">
        <f t="shared" si="364"/>
        <v>0</v>
      </c>
    </row>
    <row r="4639" spans="1:22" x14ac:dyDescent="0.25">
      <c r="A4639">
        <v>4636</v>
      </c>
      <c r="B4639" t="s">
        <v>32</v>
      </c>
      <c r="C4639" t="s">
        <v>1455</v>
      </c>
      <c r="D4639" s="4">
        <v>45331</v>
      </c>
      <c r="E4639" t="s">
        <v>1105</v>
      </c>
      <c r="F4639" t="s">
        <v>75</v>
      </c>
      <c r="I4639" s="6"/>
      <c r="J4639" s="6"/>
      <c r="K4639" s="6"/>
      <c r="L4639" s="6"/>
      <c r="M4639" s="6"/>
      <c r="N4639" s="6"/>
      <c r="O4639" s="6"/>
      <c r="P4639" s="6"/>
      <c r="Q4639">
        <v>0</v>
      </c>
      <c r="R4639">
        <f t="shared" si="360"/>
        <v>0</v>
      </c>
      <c r="S4639">
        <f t="shared" si="361"/>
        <v>0</v>
      </c>
      <c r="T4639">
        <f t="shared" si="362"/>
        <v>0</v>
      </c>
      <c r="U4639">
        <f t="shared" si="363"/>
        <v>0</v>
      </c>
      <c r="V4639">
        <f t="shared" si="364"/>
        <v>0</v>
      </c>
    </row>
    <row r="4640" spans="1:22" x14ac:dyDescent="0.25">
      <c r="A4640">
        <v>4637</v>
      </c>
      <c r="B4640" t="s">
        <v>32</v>
      </c>
      <c r="C4640" t="s">
        <v>1455</v>
      </c>
      <c r="D4640" s="4">
        <v>45331</v>
      </c>
      <c r="E4640" t="s">
        <v>2300</v>
      </c>
      <c r="F4640" t="s">
        <v>357</v>
      </c>
      <c r="I4640" s="6"/>
      <c r="J4640" s="6"/>
      <c r="K4640" s="6"/>
      <c r="L4640" s="6"/>
      <c r="M4640" s="6"/>
      <c r="N4640" s="6"/>
      <c r="O4640" s="6"/>
      <c r="P4640" s="6"/>
      <c r="Q4640">
        <v>0</v>
      </c>
      <c r="R4640">
        <f t="shared" si="360"/>
        <v>0</v>
      </c>
      <c r="S4640">
        <f t="shared" si="361"/>
        <v>0</v>
      </c>
      <c r="T4640">
        <f t="shared" si="362"/>
        <v>0</v>
      </c>
      <c r="U4640">
        <f t="shared" si="363"/>
        <v>0</v>
      </c>
      <c r="V4640">
        <f t="shared" si="364"/>
        <v>0</v>
      </c>
    </row>
    <row r="4641" spans="1:22" x14ac:dyDescent="0.25">
      <c r="A4641">
        <v>4638</v>
      </c>
      <c r="B4641" t="s">
        <v>32</v>
      </c>
      <c r="C4641" t="s">
        <v>1455</v>
      </c>
      <c r="D4641" s="4">
        <v>45331</v>
      </c>
      <c r="E4641" t="s">
        <v>2299</v>
      </c>
      <c r="F4641" t="s">
        <v>75</v>
      </c>
      <c r="I4641" s="6"/>
      <c r="J4641" s="6"/>
      <c r="K4641" s="6"/>
      <c r="L4641" s="6"/>
      <c r="M4641" s="6"/>
      <c r="N4641" s="6"/>
      <c r="O4641" s="6"/>
      <c r="P4641" s="6"/>
      <c r="Q4641">
        <v>0</v>
      </c>
      <c r="R4641">
        <f t="shared" si="360"/>
        <v>0</v>
      </c>
      <c r="S4641">
        <f t="shared" si="361"/>
        <v>0</v>
      </c>
      <c r="T4641">
        <f t="shared" si="362"/>
        <v>0</v>
      </c>
      <c r="U4641">
        <f t="shared" si="363"/>
        <v>0</v>
      </c>
      <c r="V4641">
        <f t="shared" si="364"/>
        <v>0</v>
      </c>
    </row>
    <row r="4642" spans="1:22" x14ac:dyDescent="0.25">
      <c r="A4642">
        <v>4639</v>
      </c>
      <c r="B4642" t="s">
        <v>32</v>
      </c>
      <c r="C4642" t="s">
        <v>1455</v>
      </c>
      <c r="D4642" s="4">
        <v>45331</v>
      </c>
      <c r="E4642" t="s">
        <v>1272</v>
      </c>
      <c r="F4642" t="s">
        <v>75</v>
      </c>
      <c r="I4642" s="6">
        <v>0</v>
      </c>
      <c r="J4642" s="6">
        <v>0</v>
      </c>
      <c r="K4642" s="6">
        <v>0</v>
      </c>
      <c r="L4642" s="6">
        <v>0</v>
      </c>
      <c r="M4642" s="6">
        <v>1</v>
      </c>
      <c r="N4642" s="6">
        <v>0</v>
      </c>
      <c r="O4642" s="6">
        <v>0</v>
      </c>
      <c r="P4642" s="6">
        <v>0</v>
      </c>
      <c r="Q4642">
        <v>1</v>
      </c>
      <c r="R4642">
        <f t="shared" si="360"/>
        <v>0</v>
      </c>
      <c r="S4642">
        <f t="shared" si="361"/>
        <v>1</v>
      </c>
      <c r="T4642">
        <f t="shared" si="362"/>
        <v>1</v>
      </c>
      <c r="U4642">
        <f t="shared" si="363"/>
        <v>1</v>
      </c>
      <c r="V4642">
        <f t="shared" si="364"/>
        <v>0</v>
      </c>
    </row>
    <row r="4643" spans="1:22" x14ac:dyDescent="0.25">
      <c r="A4643">
        <v>4640</v>
      </c>
      <c r="B4643" t="s">
        <v>32</v>
      </c>
      <c r="C4643" t="s">
        <v>1455</v>
      </c>
      <c r="D4643" s="4">
        <v>45331</v>
      </c>
      <c r="E4643" t="s">
        <v>2298</v>
      </c>
      <c r="F4643" t="s">
        <v>75</v>
      </c>
      <c r="I4643" s="6"/>
      <c r="J4643" s="6"/>
      <c r="K4643" s="6"/>
      <c r="L4643" s="6"/>
      <c r="M4643" s="6"/>
      <c r="N4643" s="6"/>
      <c r="O4643" s="6"/>
      <c r="P4643" s="6"/>
      <c r="Q4643">
        <v>0</v>
      </c>
      <c r="R4643">
        <f t="shared" si="360"/>
        <v>0</v>
      </c>
      <c r="S4643">
        <f t="shared" si="361"/>
        <v>0</v>
      </c>
      <c r="T4643">
        <f t="shared" si="362"/>
        <v>0</v>
      </c>
      <c r="U4643">
        <f t="shared" si="363"/>
        <v>0</v>
      </c>
      <c r="V4643">
        <f t="shared" si="364"/>
        <v>0</v>
      </c>
    </row>
    <row r="4644" spans="1:22" x14ac:dyDescent="0.25">
      <c r="A4644">
        <v>4641</v>
      </c>
      <c r="B4644" t="s">
        <v>32</v>
      </c>
      <c r="C4644" t="s">
        <v>1455</v>
      </c>
      <c r="D4644" s="4">
        <v>45331</v>
      </c>
      <c r="E4644" t="s">
        <v>2297</v>
      </c>
      <c r="F4644" t="s">
        <v>75</v>
      </c>
      <c r="I4644" s="6"/>
      <c r="J4644" s="6"/>
      <c r="K4644" s="6"/>
      <c r="L4644" s="6"/>
      <c r="M4644" s="6"/>
      <c r="N4644" s="6"/>
      <c r="O4644" s="6"/>
      <c r="P4644" s="6"/>
      <c r="Q4644">
        <v>0</v>
      </c>
      <c r="R4644">
        <f t="shared" si="360"/>
        <v>0</v>
      </c>
      <c r="S4644">
        <f t="shared" si="361"/>
        <v>0</v>
      </c>
      <c r="T4644">
        <f t="shared" si="362"/>
        <v>0</v>
      </c>
      <c r="U4644">
        <f t="shared" si="363"/>
        <v>0</v>
      </c>
      <c r="V4644">
        <f t="shared" si="364"/>
        <v>0</v>
      </c>
    </row>
    <row r="4645" spans="1:22" x14ac:dyDescent="0.25">
      <c r="A4645">
        <v>4642</v>
      </c>
      <c r="B4645" t="s">
        <v>32</v>
      </c>
      <c r="C4645" t="s">
        <v>1455</v>
      </c>
      <c r="D4645" s="4">
        <v>45331</v>
      </c>
      <c r="E4645" t="s">
        <v>2296</v>
      </c>
      <c r="F4645" t="s">
        <v>75</v>
      </c>
      <c r="I4645" s="6">
        <v>0</v>
      </c>
      <c r="J4645" s="6">
        <v>0</v>
      </c>
      <c r="K4645" s="6">
        <v>0</v>
      </c>
      <c r="L4645" s="6">
        <v>0</v>
      </c>
      <c r="M4645" s="6">
        <v>1</v>
      </c>
      <c r="N4645" s="6">
        <v>0</v>
      </c>
      <c r="O4645" s="6">
        <v>0</v>
      </c>
      <c r="P4645" s="6">
        <v>0</v>
      </c>
      <c r="Q4645">
        <v>1</v>
      </c>
      <c r="R4645">
        <f t="shared" si="360"/>
        <v>0</v>
      </c>
      <c r="S4645">
        <f t="shared" si="361"/>
        <v>1</v>
      </c>
      <c r="T4645">
        <f t="shared" si="362"/>
        <v>1</v>
      </c>
      <c r="U4645">
        <f t="shared" si="363"/>
        <v>1</v>
      </c>
      <c r="V4645">
        <f t="shared" si="364"/>
        <v>0</v>
      </c>
    </row>
    <row r="4646" spans="1:22" x14ac:dyDescent="0.25">
      <c r="A4646">
        <v>4643</v>
      </c>
      <c r="B4646" t="s">
        <v>32</v>
      </c>
      <c r="C4646" t="s">
        <v>1455</v>
      </c>
      <c r="D4646" s="4">
        <v>45331</v>
      </c>
      <c r="E4646" t="s">
        <v>1503</v>
      </c>
      <c r="F4646" t="s">
        <v>413</v>
      </c>
      <c r="G4646">
        <v>227</v>
      </c>
      <c r="I4646" s="6">
        <v>0</v>
      </c>
      <c r="J4646" s="6">
        <v>0</v>
      </c>
      <c r="K4646" s="6">
        <v>1</v>
      </c>
      <c r="L4646" s="6">
        <v>0</v>
      </c>
      <c r="M4646" s="6">
        <v>0</v>
      </c>
      <c r="N4646" s="6">
        <v>1</v>
      </c>
      <c r="O4646" s="6">
        <v>0</v>
      </c>
      <c r="P4646" s="6">
        <v>0</v>
      </c>
      <c r="Q4646">
        <v>1</v>
      </c>
      <c r="R4646">
        <f t="shared" si="360"/>
        <v>1</v>
      </c>
      <c r="S4646">
        <f t="shared" si="361"/>
        <v>0</v>
      </c>
      <c r="T4646">
        <f t="shared" si="362"/>
        <v>2</v>
      </c>
      <c r="U4646">
        <f t="shared" si="363"/>
        <v>1</v>
      </c>
      <c r="V4646">
        <f t="shared" si="364"/>
        <v>1</v>
      </c>
    </row>
    <row r="4647" spans="1:22" x14ac:dyDescent="0.25">
      <c r="A4647">
        <v>4644</v>
      </c>
      <c r="B4647" t="s">
        <v>32</v>
      </c>
      <c r="C4647" t="s">
        <v>1455</v>
      </c>
      <c r="D4647" s="4">
        <v>45332</v>
      </c>
      <c r="E4647" t="s">
        <v>1106</v>
      </c>
      <c r="F4647" t="s">
        <v>75</v>
      </c>
      <c r="I4647" s="6"/>
      <c r="J4647" s="6"/>
      <c r="K4647" s="6"/>
      <c r="L4647" s="6"/>
      <c r="M4647" s="6"/>
      <c r="N4647" s="6"/>
      <c r="O4647" s="6"/>
      <c r="P4647" s="6"/>
      <c r="Q4647">
        <v>0</v>
      </c>
      <c r="R4647">
        <f t="shared" si="360"/>
        <v>0</v>
      </c>
      <c r="S4647">
        <f t="shared" si="361"/>
        <v>0</v>
      </c>
      <c r="T4647">
        <f t="shared" si="362"/>
        <v>0</v>
      </c>
      <c r="U4647">
        <f t="shared" si="363"/>
        <v>0</v>
      </c>
      <c r="V4647">
        <f t="shared" si="364"/>
        <v>0</v>
      </c>
    </row>
    <row r="4648" spans="1:22" x14ac:dyDescent="0.25">
      <c r="A4648">
        <v>4645</v>
      </c>
      <c r="B4648" t="s">
        <v>32</v>
      </c>
      <c r="C4648" t="s">
        <v>1455</v>
      </c>
      <c r="D4648" s="4">
        <v>45332</v>
      </c>
      <c r="E4648" t="s">
        <v>1040</v>
      </c>
      <c r="F4648" t="s">
        <v>75</v>
      </c>
      <c r="I4648" s="6"/>
      <c r="J4648" s="6"/>
      <c r="K4648" s="6"/>
      <c r="L4648" s="6"/>
      <c r="M4648" s="6"/>
      <c r="N4648" s="6"/>
      <c r="O4648" s="6"/>
      <c r="P4648" s="6"/>
      <c r="Q4648">
        <v>0</v>
      </c>
      <c r="R4648">
        <f t="shared" si="360"/>
        <v>0</v>
      </c>
      <c r="S4648">
        <f t="shared" si="361"/>
        <v>0</v>
      </c>
      <c r="T4648">
        <f t="shared" si="362"/>
        <v>0</v>
      </c>
      <c r="U4648">
        <f t="shared" si="363"/>
        <v>0</v>
      </c>
      <c r="V4648">
        <f t="shared" si="364"/>
        <v>0</v>
      </c>
    </row>
    <row r="4649" spans="1:22" x14ac:dyDescent="0.25">
      <c r="A4649">
        <v>4646</v>
      </c>
      <c r="B4649" t="s">
        <v>32</v>
      </c>
      <c r="C4649" t="s">
        <v>1455</v>
      </c>
      <c r="D4649" s="4">
        <v>45332</v>
      </c>
      <c r="E4649" t="s">
        <v>2295</v>
      </c>
      <c r="F4649" t="s">
        <v>75</v>
      </c>
      <c r="I4649" s="6">
        <v>0</v>
      </c>
      <c r="J4649" s="6">
        <v>0</v>
      </c>
      <c r="K4649" s="6">
        <v>0</v>
      </c>
      <c r="L4649" s="6">
        <v>1</v>
      </c>
      <c r="M4649" s="6">
        <v>0</v>
      </c>
      <c r="N4649" s="6">
        <v>1</v>
      </c>
      <c r="O4649" s="6">
        <v>0</v>
      </c>
      <c r="P4649" s="6">
        <v>0</v>
      </c>
      <c r="Q4649">
        <v>1</v>
      </c>
      <c r="R4649">
        <f t="shared" si="360"/>
        <v>0</v>
      </c>
      <c r="S4649">
        <f t="shared" si="361"/>
        <v>1</v>
      </c>
      <c r="T4649">
        <f t="shared" si="362"/>
        <v>2</v>
      </c>
      <c r="U4649">
        <f t="shared" si="363"/>
        <v>1</v>
      </c>
      <c r="V4649">
        <f t="shared" si="364"/>
        <v>0</v>
      </c>
    </row>
    <row r="4650" spans="1:22" x14ac:dyDescent="0.25">
      <c r="A4650">
        <v>4647</v>
      </c>
      <c r="B4650" t="s">
        <v>32</v>
      </c>
      <c r="C4650" t="s">
        <v>1455</v>
      </c>
      <c r="D4650" s="4">
        <v>45332</v>
      </c>
      <c r="E4650" t="s">
        <v>1504</v>
      </c>
      <c r="F4650" t="s">
        <v>75</v>
      </c>
      <c r="I4650" s="6">
        <v>0</v>
      </c>
      <c r="J4650" s="6">
        <v>0</v>
      </c>
      <c r="K4650" s="6">
        <v>1</v>
      </c>
      <c r="L4650" s="6">
        <v>1</v>
      </c>
      <c r="M4650" s="6">
        <v>0</v>
      </c>
      <c r="N4650" s="6">
        <v>0</v>
      </c>
      <c r="O4650" s="6">
        <v>0</v>
      </c>
      <c r="P4650" s="6">
        <v>0</v>
      </c>
      <c r="Q4650">
        <v>1</v>
      </c>
      <c r="R4650">
        <f t="shared" si="360"/>
        <v>0</v>
      </c>
      <c r="S4650">
        <f t="shared" si="361"/>
        <v>1</v>
      </c>
      <c r="T4650">
        <f t="shared" si="362"/>
        <v>2</v>
      </c>
      <c r="U4650">
        <f t="shared" si="363"/>
        <v>1</v>
      </c>
      <c r="V4650">
        <f t="shared" si="364"/>
        <v>0</v>
      </c>
    </row>
    <row r="4651" spans="1:22" x14ac:dyDescent="0.25">
      <c r="A4651">
        <v>4648</v>
      </c>
      <c r="B4651" t="s">
        <v>32</v>
      </c>
      <c r="C4651" t="s">
        <v>1455</v>
      </c>
      <c r="D4651" s="4">
        <v>45332</v>
      </c>
      <c r="E4651" t="s">
        <v>2294</v>
      </c>
      <c r="F4651" t="s">
        <v>75</v>
      </c>
      <c r="I4651" s="6"/>
      <c r="J4651" s="6"/>
      <c r="K4651" s="6"/>
      <c r="L4651" s="6"/>
      <c r="M4651" s="6"/>
      <c r="N4651" s="6"/>
      <c r="O4651" s="6"/>
      <c r="P4651" s="6"/>
      <c r="Q4651">
        <v>0</v>
      </c>
      <c r="R4651">
        <f t="shared" si="360"/>
        <v>0</v>
      </c>
      <c r="S4651">
        <f t="shared" si="361"/>
        <v>0</v>
      </c>
      <c r="T4651">
        <f t="shared" si="362"/>
        <v>0</v>
      </c>
      <c r="U4651">
        <f t="shared" si="363"/>
        <v>0</v>
      </c>
      <c r="V4651">
        <f t="shared" si="364"/>
        <v>0</v>
      </c>
    </row>
    <row r="4652" spans="1:22" x14ac:dyDescent="0.25">
      <c r="A4652">
        <v>4649</v>
      </c>
      <c r="B4652" t="s">
        <v>32</v>
      </c>
      <c r="C4652" t="s">
        <v>1455</v>
      </c>
      <c r="D4652" s="4">
        <v>45332</v>
      </c>
      <c r="E4652" t="s">
        <v>2293</v>
      </c>
      <c r="F4652" t="s">
        <v>75</v>
      </c>
      <c r="I4652" s="6"/>
      <c r="J4652" s="6"/>
      <c r="K4652" s="6"/>
      <c r="L4652" s="6"/>
      <c r="M4652" s="6"/>
      <c r="N4652" s="6"/>
      <c r="O4652" s="6"/>
      <c r="P4652" s="6"/>
      <c r="Q4652">
        <v>0</v>
      </c>
      <c r="R4652">
        <f t="shared" si="360"/>
        <v>0</v>
      </c>
      <c r="S4652">
        <f t="shared" si="361"/>
        <v>0</v>
      </c>
      <c r="T4652">
        <f t="shared" si="362"/>
        <v>0</v>
      </c>
      <c r="U4652">
        <f t="shared" si="363"/>
        <v>0</v>
      </c>
      <c r="V4652">
        <f t="shared" si="364"/>
        <v>0</v>
      </c>
    </row>
    <row r="4653" spans="1:22" x14ac:dyDescent="0.25">
      <c r="A4653">
        <v>4650</v>
      </c>
      <c r="B4653" t="s">
        <v>32</v>
      </c>
      <c r="C4653" t="s">
        <v>1455</v>
      </c>
      <c r="D4653" s="4">
        <v>45333</v>
      </c>
      <c r="E4653" t="s">
        <v>904</v>
      </c>
      <c r="F4653" t="s">
        <v>75</v>
      </c>
      <c r="I4653" s="6"/>
      <c r="J4653" s="6"/>
      <c r="K4653" s="6"/>
      <c r="L4653" s="6"/>
      <c r="M4653" s="6"/>
      <c r="N4653" s="6"/>
      <c r="O4653" s="6"/>
      <c r="P4653" s="6"/>
      <c r="Q4653">
        <v>0</v>
      </c>
      <c r="R4653">
        <f t="shared" si="360"/>
        <v>0</v>
      </c>
      <c r="S4653">
        <f t="shared" si="361"/>
        <v>0</v>
      </c>
      <c r="T4653">
        <f t="shared" si="362"/>
        <v>0</v>
      </c>
      <c r="U4653">
        <f t="shared" si="363"/>
        <v>0</v>
      </c>
      <c r="V4653">
        <f t="shared" si="364"/>
        <v>0</v>
      </c>
    </row>
    <row r="4654" spans="1:22" x14ac:dyDescent="0.25">
      <c r="A4654">
        <v>4651</v>
      </c>
      <c r="B4654" t="s">
        <v>32</v>
      </c>
      <c r="C4654" t="s">
        <v>1455</v>
      </c>
      <c r="D4654" s="4">
        <v>45333</v>
      </c>
      <c r="E4654" t="s">
        <v>905</v>
      </c>
      <c r="F4654" t="s">
        <v>75</v>
      </c>
      <c r="I4654" s="6">
        <v>1</v>
      </c>
      <c r="J4654" s="6">
        <v>0</v>
      </c>
      <c r="K4654" s="6">
        <v>0</v>
      </c>
      <c r="L4654" s="6">
        <v>0</v>
      </c>
      <c r="M4654" s="6">
        <v>0</v>
      </c>
      <c r="N4654" s="6">
        <v>0</v>
      </c>
      <c r="O4654" s="6">
        <v>0</v>
      </c>
      <c r="P4654" s="6">
        <v>0</v>
      </c>
      <c r="Q4654">
        <v>1</v>
      </c>
      <c r="R4654">
        <f t="shared" si="360"/>
        <v>0</v>
      </c>
      <c r="S4654">
        <f t="shared" si="361"/>
        <v>1</v>
      </c>
      <c r="T4654">
        <f t="shared" si="362"/>
        <v>1</v>
      </c>
      <c r="U4654">
        <f t="shared" si="363"/>
        <v>1</v>
      </c>
      <c r="V4654">
        <f t="shared" si="364"/>
        <v>0</v>
      </c>
    </row>
    <row r="4655" spans="1:22" x14ac:dyDescent="0.25">
      <c r="A4655">
        <v>4652</v>
      </c>
      <c r="B4655" t="s">
        <v>32</v>
      </c>
      <c r="C4655" t="s">
        <v>1455</v>
      </c>
      <c r="D4655" s="4">
        <v>45333</v>
      </c>
      <c r="E4655" t="s">
        <v>1505</v>
      </c>
      <c r="F4655" t="s">
        <v>75</v>
      </c>
      <c r="I4655" s="6">
        <v>0</v>
      </c>
      <c r="J4655" s="6">
        <v>0</v>
      </c>
      <c r="K4655" s="6">
        <v>0</v>
      </c>
      <c r="L4655" s="6">
        <v>0</v>
      </c>
      <c r="M4655" s="6">
        <v>0</v>
      </c>
      <c r="N4655" s="6">
        <v>0</v>
      </c>
      <c r="O4655" s="6">
        <v>0</v>
      </c>
      <c r="P4655" s="6">
        <v>0</v>
      </c>
      <c r="Q4655">
        <v>1</v>
      </c>
      <c r="R4655">
        <f t="shared" si="360"/>
        <v>0</v>
      </c>
      <c r="S4655">
        <f t="shared" si="361"/>
        <v>1</v>
      </c>
      <c r="T4655">
        <f t="shared" si="362"/>
        <v>0</v>
      </c>
      <c r="U4655">
        <f t="shared" si="363"/>
        <v>0</v>
      </c>
      <c r="V4655">
        <f t="shared" si="364"/>
        <v>0</v>
      </c>
    </row>
    <row r="4656" spans="1:22" x14ac:dyDescent="0.25">
      <c r="A4656">
        <v>4653</v>
      </c>
      <c r="B4656" t="s">
        <v>32</v>
      </c>
      <c r="C4656" t="s">
        <v>1455</v>
      </c>
      <c r="D4656" s="4">
        <v>45333</v>
      </c>
      <c r="E4656" t="s">
        <v>2292</v>
      </c>
      <c r="F4656" t="s">
        <v>75</v>
      </c>
      <c r="I4656" s="6"/>
      <c r="J4656" s="6"/>
      <c r="K4656" s="6"/>
      <c r="L4656" s="6"/>
      <c r="M4656" s="6"/>
      <c r="N4656" s="6"/>
      <c r="O4656" s="6"/>
      <c r="P4656" s="6"/>
      <c r="Q4656">
        <v>0</v>
      </c>
      <c r="R4656">
        <f t="shared" si="360"/>
        <v>0</v>
      </c>
      <c r="S4656">
        <f t="shared" si="361"/>
        <v>0</v>
      </c>
      <c r="T4656">
        <f t="shared" si="362"/>
        <v>0</v>
      </c>
      <c r="U4656">
        <f t="shared" si="363"/>
        <v>0</v>
      </c>
      <c r="V4656">
        <f t="shared" si="364"/>
        <v>0</v>
      </c>
    </row>
    <row r="4657" spans="1:22" x14ac:dyDescent="0.25">
      <c r="A4657">
        <v>4654</v>
      </c>
      <c r="B4657" t="s">
        <v>32</v>
      </c>
      <c r="C4657" t="s">
        <v>1455</v>
      </c>
      <c r="D4657" s="4">
        <v>45333</v>
      </c>
      <c r="E4657" t="s">
        <v>1041</v>
      </c>
      <c r="F4657" t="s">
        <v>75</v>
      </c>
      <c r="I4657" s="6">
        <v>0</v>
      </c>
      <c r="J4657" s="6">
        <v>0</v>
      </c>
      <c r="K4657" s="6">
        <v>0</v>
      </c>
      <c r="L4657" s="6">
        <v>0</v>
      </c>
      <c r="M4657" s="6">
        <v>0</v>
      </c>
      <c r="N4657" s="6">
        <v>0</v>
      </c>
      <c r="O4657" s="6">
        <v>0</v>
      </c>
      <c r="P4657" s="6">
        <v>0</v>
      </c>
      <c r="Q4657">
        <v>1</v>
      </c>
      <c r="R4657">
        <f t="shared" si="360"/>
        <v>0</v>
      </c>
      <c r="S4657">
        <f t="shared" si="361"/>
        <v>1</v>
      </c>
      <c r="T4657">
        <f t="shared" si="362"/>
        <v>0</v>
      </c>
      <c r="U4657">
        <f t="shared" si="363"/>
        <v>0</v>
      </c>
      <c r="V4657">
        <f t="shared" si="364"/>
        <v>0</v>
      </c>
    </row>
    <row r="4658" spans="1:22" x14ac:dyDescent="0.25">
      <c r="A4658">
        <v>4655</v>
      </c>
      <c r="B4658" t="s">
        <v>32</v>
      </c>
      <c r="C4658" t="s">
        <v>1455</v>
      </c>
      <c r="D4658" s="4">
        <v>45334</v>
      </c>
      <c r="E4658" t="s">
        <v>2291</v>
      </c>
      <c r="F4658" t="s">
        <v>75</v>
      </c>
      <c r="I4658" s="6"/>
      <c r="J4658" s="6"/>
      <c r="K4658" s="6"/>
      <c r="L4658" s="6"/>
      <c r="M4658" s="6"/>
      <c r="N4658" s="6"/>
      <c r="O4658" s="6"/>
      <c r="P4658" s="6"/>
      <c r="Q4658">
        <v>0</v>
      </c>
      <c r="R4658">
        <f t="shared" si="360"/>
        <v>0</v>
      </c>
      <c r="S4658">
        <f t="shared" si="361"/>
        <v>0</v>
      </c>
      <c r="T4658">
        <f t="shared" si="362"/>
        <v>0</v>
      </c>
      <c r="U4658">
        <f t="shared" si="363"/>
        <v>0</v>
      </c>
      <c r="V4658">
        <f t="shared" si="364"/>
        <v>0</v>
      </c>
    </row>
    <row r="4659" spans="1:22" x14ac:dyDescent="0.25">
      <c r="A4659">
        <v>4656</v>
      </c>
      <c r="B4659" t="s">
        <v>32</v>
      </c>
      <c r="C4659" t="s">
        <v>1455</v>
      </c>
      <c r="D4659" s="4">
        <v>45334</v>
      </c>
      <c r="E4659" t="s">
        <v>2290</v>
      </c>
      <c r="F4659" t="s">
        <v>75</v>
      </c>
      <c r="I4659" s="6"/>
      <c r="J4659" s="6"/>
      <c r="K4659" s="6"/>
      <c r="L4659" s="6"/>
      <c r="M4659" s="6"/>
      <c r="N4659" s="6"/>
      <c r="O4659" s="6"/>
      <c r="P4659" s="6"/>
      <c r="Q4659">
        <v>0</v>
      </c>
      <c r="R4659">
        <f t="shared" si="360"/>
        <v>0</v>
      </c>
      <c r="S4659">
        <f t="shared" si="361"/>
        <v>0</v>
      </c>
      <c r="T4659">
        <f t="shared" si="362"/>
        <v>0</v>
      </c>
      <c r="U4659">
        <f t="shared" si="363"/>
        <v>0</v>
      </c>
      <c r="V4659">
        <f t="shared" si="364"/>
        <v>0</v>
      </c>
    </row>
    <row r="4660" spans="1:22" x14ac:dyDescent="0.25">
      <c r="A4660">
        <v>4657</v>
      </c>
      <c r="B4660" t="s">
        <v>32</v>
      </c>
      <c r="C4660" t="s">
        <v>1455</v>
      </c>
      <c r="D4660" s="4">
        <v>45334</v>
      </c>
      <c r="E4660" t="s">
        <v>1273</v>
      </c>
      <c r="F4660" t="s">
        <v>75</v>
      </c>
      <c r="I4660" s="6">
        <v>1</v>
      </c>
      <c r="J4660" s="6">
        <v>0</v>
      </c>
      <c r="K4660" s="6">
        <v>1</v>
      </c>
      <c r="L4660" s="6">
        <v>0</v>
      </c>
      <c r="M4660" s="6">
        <v>0</v>
      </c>
      <c r="N4660" s="6">
        <v>0</v>
      </c>
      <c r="O4660" s="6">
        <v>0</v>
      </c>
      <c r="P4660" s="6">
        <v>0</v>
      </c>
      <c r="Q4660">
        <v>1</v>
      </c>
      <c r="R4660">
        <f t="shared" si="360"/>
        <v>0</v>
      </c>
      <c r="S4660">
        <f t="shared" si="361"/>
        <v>1</v>
      </c>
      <c r="T4660">
        <f t="shared" si="362"/>
        <v>2</v>
      </c>
      <c r="U4660">
        <f t="shared" si="363"/>
        <v>1</v>
      </c>
      <c r="V4660">
        <f t="shared" si="364"/>
        <v>0</v>
      </c>
    </row>
    <row r="4661" spans="1:22" x14ac:dyDescent="0.25">
      <c r="A4661">
        <v>4658</v>
      </c>
      <c r="B4661" t="s">
        <v>32</v>
      </c>
      <c r="C4661" t="s">
        <v>1455</v>
      </c>
      <c r="D4661" s="4">
        <v>45334</v>
      </c>
      <c r="E4661" t="s">
        <v>2289</v>
      </c>
      <c r="F4661" t="s">
        <v>75</v>
      </c>
      <c r="I4661" s="6"/>
      <c r="J4661" s="6"/>
      <c r="K4661" s="6"/>
      <c r="L4661" s="6"/>
      <c r="M4661" s="6"/>
      <c r="N4661" s="6"/>
      <c r="O4661" s="6"/>
      <c r="P4661" s="6"/>
      <c r="Q4661">
        <v>0</v>
      </c>
      <c r="R4661">
        <f t="shared" si="360"/>
        <v>0</v>
      </c>
      <c r="S4661">
        <f t="shared" si="361"/>
        <v>0</v>
      </c>
      <c r="T4661">
        <f t="shared" si="362"/>
        <v>0</v>
      </c>
      <c r="U4661">
        <f t="shared" si="363"/>
        <v>0</v>
      </c>
      <c r="V4661">
        <f t="shared" si="364"/>
        <v>0</v>
      </c>
    </row>
    <row r="4662" spans="1:22" x14ac:dyDescent="0.25">
      <c r="A4662">
        <v>4659</v>
      </c>
      <c r="B4662" t="s">
        <v>32</v>
      </c>
      <c r="C4662" t="s">
        <v>1455</v>
      </c>
      <c r="D4662" s="4">
        <v>45334</v>
      </c>
      <c r="E4662" t="s">
        <v>1274</v>
      </c>
      <c r="F4662" t="s">
        <v>75</v>
      </c>
      <c r="I4662" s="6"/>
      <c r="J4662" s="6"/>
      <c r="K4662" s="6"/>
      <c r="L4662" s="6"/>
      <c r="M4662" s="6"/>
      <c r="N4662" s="6"/>
      <c r="O4662" s="6"/>
      <c r="P4662" s="6"/>
      <c r="Q4662">
        <v>0</v>
      </c>
      <c r="R4662">
        <f t="shared" si="360"/>
        <v>0</v>
      </c>
      <c r="S4662">
        <f t="shared" si="361"/>
        <v>0</v>
      </c>
      <c r="T4662">
        <f t="shared" si="362"/>
        <v>0</v>
      </c>
      <c r="U4662">
        <f t="shared" si="363"/>
        <v>0</v>
      </c>
      <c r="V4662">
        <f t="shared" si="364"/>
        <v>0</v>
      </c>
    </row>
    <row r="4663" spans="1:22" x14ac:dyDescent="0.25">
      <c r="A4663">
        <v>4660</v>
      </c>
      <c r="B4663" t="s">
        <v>32</v>
      </c>
      <c r="C4663" t="s">
        <v>1455</v>
      </c>
      <c r="D4663" s="4">
        <v>45335</v>
      </c>
      <c r="E4663" t="s">
        <v>411</v>
      </c>
      <c r="F4663" t="s">
        <v>75</v>
      </c>
      <c r="I4663" s="6">
        <v>0</v>
      </c>
      <c r="J4663" s="6">
        <v>0</v>
      </c>
      <c r="K4663" s="6">
        <v>1</v>
      </c>
      <c r="L4663" s="6">
        <v>0</v>
      </c>
      <c r="M4663" s="6">
        <v>0</v>
      </c>
      <c r="N4663" s="6">
        <v>0</v>
      </c>
      <c r="O4663" s="6">
        <v>0</v>
      </c>
      <c r="P4663" s="6">
        <v>0</v>
      </c>
      <c r="Q4663">
        <v>1</v>
      </c>
      <c r="R4663">
        <f t="shared" si="360"/>
        <v>0</v>
      </c>
      <c r="S4663">
        <f t="shared" si="361"/>
        <v>1</v>
      </c>
      <c r="T4663">
        <f t="shared" si="362"/>
        <v>1</v>
      </c>
      <c r="U4663">
        <f t="shared" si="363"/>
        <v>1</v>
      </c>
      <c r="V4663">
        <f t="shared" si="364"/>
        <v>0</v>
      </c>
    </row>
    <row r="4664" spans="1:22" x14ac:dyDescent="0.25">
      <c r="A4664">
        <v>4661</v>
      </c>
      <c r="B4664" t="s">
        <v>32</v>
      </c>
      <c r="C4664" t="s">
        <v>1455</v>
      </c>
      <c r="D4664" s="4">
        <v>45335</v>
      </c>
      <c r="E4664" t="s">
        <v>412</v>
      </c>
      <c r="F4664" t="s">
        <v>75</v>
      </c>
      <c r="I4664" s="6">
        <v>0</v>
      </c>
      <c r="J4664" s="6">
        <v>0</v>
      </c>
      <c r="K4664" s="6">
        <v>0</v>
      </c>
      <c r="L4664" s="6">
        <v>0</v>
      </c>
      <c r="M4664" s="6">
        <v>1</v>
      </c>
      <c r="N4664" s="6">
        <v>0</v>
      </c>
      <c r="O4664" s="6">
        <v>0</v>
      </c>
      <c r="P4664" s="6">
        <v>0</v>
      </c>
      <c r="Q4664">
        <v>1</v>
      </c>
      <c r="R4664">
        <f t="shared" si="360"/>
        <v>0</v>
      </c>
      <c r="S4664">
        <f t="shared" si="361"/>
        <v>1</v>
      </c>
      <c r="T4664">
        <f t="shared" si="362"/>
        <v>1</v>
      </c>
      <c r="U4664">
        <f t="shared" si="363"/>
        <v>1</v>
      </c>
      <c r="V4664">
        <f t="shared" si="364"/>
        <v>0</v>
      </c>
    </row>
    <row r="4665" spans="1:22" x14ac:dyDescent="0.25">
      <c r="A4665">
        <v>4662</v>
      </c>
      <c r="B4665" t="s">
        <v>32</v>
      </c>
      <c r="C4665" t="s">
        <v>1455</v>
      </c>
      <c r="D4665" s="4">
        <v>45335</v>
      </c>
      <c r="E4665" t="s">
        <v>414</v>
      </c>
      <c r="F4665" t="s">
        <v>75</v>
      </c>
      <c r="I4665" s="6">
        <v>0</v>
      </c>
      <c r="J4665" s="6">
        <v>0</v>
      </c>
      <c r="K4665" s="6">
        <v>0</v>
      </c>
      <c r="L4665" s="6">
        <v>0</v>
      </c>
      <c r="M4665" s="6">
        <v>1</v>
      </c>
      <c r="N4665" s="6">
        <v>0</v>
      </c>
      <c r="O4665" s="6">
        <v>0</v>
      </c>
      <c r="P4665" s="6">
        <v>0</v>
      </c>
      <c r="Q4665">
        <v>1</v>
      </c>
      <c r="R4665">
        <f t="shared" si="360"/>
        <v>0</v>
      </c>
      <c r="S4665">
        <f t="shared" si="361"/>
        <v>1</v>
      </c>
      <c r="T4665">
        <f t="shared" si="362"/>
        <v>1</v>
      </c>
      <c r="U4665">
        <f t="shared" si="363"/>
        <v>1</v>
      </c>
      <c r="V4665">
        <f t="shared" si="364"/>
        <v>0</v>
      </c>
    </row>
    <row r="4666" spans="1:22" x14ac:dyDescent="0.25">
      <c r="A4666">
        <v>4663</v>
      </c>
      <c r="B4666" t="s">
        <v>32</v>
      </c>
      <c r="C4666" t="s">
        <v>1455</v>
      </c>
      <c r="D4666" s="4">
        <v>45335</v>
      </c>
      <c r="E4666" t="s">
        <v>2288</v>
      </c>
      <c r="F4666" t="s">
        <v>75</v>
      </c>
      <c r="I4666" s="6"/>
      <c r="J4666" s="6"/>
      <c r="K4666" s="6"/>
      <c r="L4666" s="6"/>
      <c r="M4666" s="6"/>
      <c r="N4666" s="6"/>
      <c r="O4666" s="6"/>
      <c r="P4666" s="6"/>
      <c r="Q4666">
        <v>0</v>
      </c>
      <c r="R4666">
        <f t="shared" si="360"/>
        <v>0</v>
      </c>
      <c r="S4666">
        <f t="shared" si="361"/>
        <v>0</v>
      </c>
      <c r="T4666">
        <f t="shared" si="362"/>
        <v>0</v>
      </c>
      <c r="U4666">
        <f t="shared" si="363"/>
        <v>0</v>
      </c>
      <c r="V4666">
        <f t="shared" si="364"/>
        <v>0</v>
      </c>
    </row>
    <row r="4667" spans="1:22" x14ac:dyDescent="0.25">
      <c r="A4667">
        <v>4664</v>
      </c>
      <c r="B4667" t="s">
        <v>32</v>
      </c>
      <c r="C4667" t="s">
        <v>1455</v>
      </c>
      <c r="D4667" s="4">
        <v>45335</v>
      </c>
      <c r="E4667" t="s">
        <v>2287</v>
      </c>
      <c r="F4667" t="s">
        <v>75</v>
      </c>
      <c r="I4667" s="6"/>
      <c r="J4667" s="6"/>
      <c r="K4667" s="6"/>
      <c r="L4667" s="6"/>
      <c r="M4667" s="6"/>
      <c r="N4667" s="6"/>
      <c r="O4667" s="6"/>
      <c r="P4667" s="6"/>
      <c r="Q4667">
        <v>0</v>
      </c>
      <c r="R4667">
        <f t="shared" si="360"/>
        <v>0</v>
      </c>
      <c r="S4667">
        <f t="shared" si="361"/>
        <v>0</v>
      </c>
      <c r="T4667">
        <f t="shared" si="362"/>
        <v>0</v>
      </c>
      <c r="U4667">
        <f t="shared" si="363"/>
        <v>0</v>
      </c>
      <c r="V4667">
        <f t="shared" si="364"/>
        <v>0</v>
      </c>
    </row>
    <row r="4668" spans="1:22" x14ac:dyDescent="0.25">
      <c r="A4668">
        <v>4665</v>
      </c>
      <c r="B4668" t="s">
        <v>32</v>
      </c>
      <c r="C4668" t="s">
        <v>1455</v>
      </c>
      <c r="D4668" s="4">
        <v>45336</v>
      </c>
      <c r="E4668" t="s">
        <v>415</v>
      </c>
      <c r="F4668" t="s">
        <v>75</v>
      </c>
      <c r="I4668" s="6">
        <v>0</v>
      </c>
      <c r="J4668" s="6">
        <v>0</v>
      </c>
      <c r="K4668" s="6">
        <v>0</v>
      </c>
      <c r="L4668" s="6">
        <v>0</v>
      </c>
      <c r="M4668" s="6">
        <v>0</v>
      </c>
      <c r="N4668" s="6">
        <v>0</v>
      </c>
      <c r="O4668" s="6">
        <v>0</v>
      </c>
      <c r="P4668" s="6">
        <v>0</v>
      </c>
      <c r="Q4668">
        <v>1</v>
      </c>
      <c r="R4668">
        <f t="shared" si="360"/>
        <v>0</v>
      </c>
      <c r="S4668">
        <f t="shared" si="361"/>
        <v>1</v>
      </c>
      <c r="T4668">
        <f t="shared" si="362"/>
        <v>0</v>
      </c>
      <c r="U4668">
        <f t="shared" si="363"/>
        <v>0</v>
      </c>
      <c r="V4668">
        <f t="shared" si="364"/>
        <v>0</v>
      </c>
    </row>
    <row r="4669" spans="1:22" x14ac:dyDescent="0.25">
      <c r="A4669">
        <v>4666</v>
      </c>
      <c r="B4669" t="s">
        <v>32</v>
      </c>
      <c r="C4669" t="s">
        <v>1455</v>
      </c>
      <c r="D4669" s="4">
        <v>45336</v>
      </c>
      <c r="E4669" t="s">
        <v>416</v>
      </c>
      <c r="F4669" t="s">
        <v>75</v>
      </c>
      <c r="I4669" s="6"/>
      <c r="J4669" s="6"/>
      <c r="K4669" s="6"/>
      <c r="L4669" s="6"/>
      <c r="M4669" s="6"/>
      <c r="N4669" s="6"/>
      <c r="O4669" s="6"/>
      <c r="P4669" s="6"/>
      <c r="Q4669">
        <v>0</v>
      </c>
      <c r="R4669">
        <f t="shared" si="360"/>
        <v>0</v>
      </c>
      <c r="S4669">
        <f t="shared" si="361"/>
        <v>0</v>
      </c>
      <c r="T4669">
        <f t="shared" si="362"/>
        <v>0</v>
      </c>
      <c r="U4669">
        <f t="shared" si="363"/>
        <v>0</v>
      </c>
      <c r="V4669">
        <f t="shared" si="364"/>
        <v>0</v>
      </c>
    </row>
    <row r="4670" spans="1:22" x14ac:dyDescent="0.25">
      <c r="A4670">
        <v>4667</v>
      </c>
      <c r="B4670" t="s">
        <v>32</v>
      </c>
      <c r="C4670" t="s">
        <v>1455</v>
      </c>
      <c r="D4670" s="4">
        <v>45336</v>
      </c>
      <c r="E4670" t="s">
        <v>2286</v>
      </c>
      <c r="F4670" t="s">
        <v>75</v>
      </c>
      <c r="I4670" s="6"/>
      <c r="J4670" s="6"/>
      <c r="K4670" s="6"/>
      <c r="L4670" s="6"/>
      <c r="M4670" s="6"/>
      <c r="N4670" s="6"/>
      <c r="O4670" s="6"/>
      <c r="P4670" s="6"/>
      <c r="Q4670">
        <v>0</v>
      </c>
      <c r="R4670">
        <f t="shared" si="360"/>
        <v>0</v>
      </c>
      <c r="S4670">
        <f t="shared" si="361"/>
        <v>0</v>
      </c>
      <c r="T4670">
        <f t="shared" si="362"/>
        <v>0</v>
      </c>
      <c r="U4670">
        <f t="shared" si="363"/>
        <v>0</v>
      </c>
      <c r="V4670">
        <f t="shared" si="364"/>
        <v>0</v>
      </c>
    </row>
    <row r="4671" spans="1:22" x14ac:dyDescent="0.25">
      <c r="A4671">
        <v>4668</v>
      </c>
      <c r="B4671" t="s">
        <v>32</v>
      </c>
      <c r="C4671" t="s">
        <v>1455</v>
      </c>
      <c r="D4671" s="4">
        <v>45336</v>
      </c>
      <c r="E4671" t="s">
        <v>1108</v>
      </c>
      <c r="F4671" t="s">
        <v>75</v>
      </c>
      <c r="I4671" s="6"/>
      <c r="J4671" s="6"/>
      <c r="K4671" s="6"/>
      <c r="L4671" s="6"/>
      <c r="M4671" s="6"/>
      <c r="N4671" s="6"/>
      <c r="O4671" s="6"/>
      <c r="P4671" s="6"/>
      <c r="Q4671">
        <v>0</v>
      </c>
      <c r="R4671">
        <f t="shared" si="360"/>
        <v>0</v>
      </c>
      <c r="S4671">
        <f t="shared" si="361"/>
        <v>0</v>
      </c>
      <c r="T4671">
        <f t="shared" si="362"/>
        <v>0</v>
      </c>
      <c r="U4671">
        <f t="shared" si="363"/>
        <v>0</v>
      </c>
      <c r="V4671">
        <f t="shared" si="364"/>
        <v>0</v>
      </c>
    </row>
    <row r="4672" spans="1:22" x14ac:dyDescent="0.25">
      <c r="A4672">
        <v>4669</v>
      </c>
      <c r="B4672" t="s">
        <v>32</v>
      </c>
      <c r="C4672" t="s">
        <v>1455</v>
      </c>
      <c r="D4672" s="4">
        <v>45336</v>
      </c>
      <c r="E4672" t="s">
        <v>1109</v>
      </c>
      <c r="F4672" t="s">
        <v>75</v>
      </c>
      <c r="I4672" s="6"/>
      <c r="J4672" s="6"/>
      <c r="K4672" s="6"/>
      <c r="L4672" s="6"/>
      <c r="M4672" s="6"/>
      <c r="N4672" s="6"/>
      <c r="O4672" s="6"/>
      <c r="P4672" s="6"/>
      <c r="Q4672">
        <v>0</v>
      </c>
      <c r="R4672">
        <f t="shared" si="360"/>
        <v>0</v>
      </c>
      <c r="S4672">
        <f t="shared" si="361"/>
        <v>0</v>
      </c>
      <c r="T4672">
        <f t="shared" si="362"/>
        <v>0</v>
      </c>
      <c r="U4672">
        <f t="shared" si="363"/>
        <v>0</v>
      </c>
      <c r="V4672">
        <f t="shared" si="364"/>
        <v>0</v>
      </c>
    </row>
    <row r="4673" spans="1:22" x14ac:dyDescent="0.25">
      <c r="A4673">
        <v>4670</v>
      </c>
      <c r="B4673" t="s">
        <v>32</v>
      </c>
      <c r="C4673" t="s">
        <v>1455</v>
      </c>
      <c r="D4673" s="4">
        <v>45336</v>
      </c>
      <c r="E4673" t="s">
        <v>2285</v>
      </c>
      <c r="F4673" t="s">
        <v>75</v>
      </c>
      <c r="I4673" s="6"/>
      <c r="J4673" s="6"/>
      <c r="K4673" s="6"/>
      <c r="L4673" s="6"/>
      <c r="M4673" s="6"/>
      <c r="N4673" s="6"/>
      <c r="O4673" s="6"/>
      <c r="P4673" s="6"/>
      <c r="Q4673">
        <v>0</v>
      </c>
      <c r="R4673">
        <f t="shared" si="360"/>
        <v>0</v>
      </c>
      <c r="S4673">
        <f t="shared" si="361"/>
        <v>0</v>
      </c>
      <c r="T4673">
        <f t="shared" si="362"/>
        <v>0</v>
      </c>
      <c r="U4673">
        <f t="shared" si="363"/>
        <v>0</v>
      </c>
      <c r="V4673">
        <f t="shared" si="364"/>
        <v>0</v>
      </c>
    </row>
    <row r="4674" spans="1:22" x14ac:dyDescent="0.25">
      <c r="A4674">
        <v>4671</v>
      </c>
      <c r="B4674" t="s">
        <v>32</v>
      </c>
      <c r="C4674" t="s">
        <v>1455</v>
      </c>
      <c r="D4674" s="4">
        <v>45337</v>
      </c>
      <c r="E4674" t="s">
        <v>1110</v>
      </c>
      <c r="F4674" t="s">
        <v>75</v>
      </c>
      <c r="I4674" s="6"/>
      <c r="J4674" s="6"/>
      <c r="K4674" s="6"/>
      <c r="L4674" s="6"/>
      <c r="M4674" s="6"/>
      <c r="N4674" s="6"/>
      <c r="O4674" s="6"/>
      <c r="P4674" s="6"/>
      <c r="Q4674">
        <v>0</v>
      </c>
      <c r="R4674">
        <f t="shared" si="360"/>
        <v>0</v>
      </c>
      <c r="S4674">
        <f t="shared" si="361"/>
        <v>0</v>
      </c>
      <c r="T4674">
        <f t="shared" si="362"/>
        <v>0</v>
      </c>
      <c r="U4674">
        <f t="shared" si="363"/>
        <v>0</v>
      </c>
      <c r="V4674">
        <f t="shared" si="364"/>
        <v>0</v>
      </c>
    </row>
    <row r="4675" spans="1:22" x14ac:dyDescent="0.25">
      <c r="A4675">
        <v>4672</v>
      </c>
      <c r="B4675" t="s">
        <v>32</v>
      </c>
      <c r="C4675" t="s">
        <v>1455</v>
      </c>
      <c r="D4675" s="4">
        <v>45337</v>
      </c>
      <c r="E4675" t="s">
        <v>2284</v>
      </c>
      <c r="F4675" t="s">
        <v>75</v>
      </c>
      <c r="I4675" s="6"/>
      <c r="J4675" s="6"/>
      <c r="K4675" s="6"/>
      <c r="L4675" s="6"/>
      <c r="M4675" s="6"/>
      <c r="N4675" s="6"/>
      <c r="O4675" s="6"/>
      <c r="P4675" s="6"/>
      <c r="Q4675">
        <v>0</v>
      </c>
      <c r="R4675">
        <f t="shared" ref="R4675:R4738" si="365">IF(AND(Q4675=1,F4675="ai_full"),1,0)</f>
        <v>0</v>
      </c>
      <c r="S4675">
        <f t="shared" ref="S4675:S4738" si="366">IF(AND(Q4675=1,F4675="conventional"),1,0)</f>
        <v>0</v>
      </c>
      <c r="T4675">
        <f t="shared" ref="T4675:T4738" si="367">SUM(I4675:P4675)</f>
        <v>0</v>
      </c>
      <c r="U4675">
        <f t="shared" ref="U4675:U4738" si="368">IF(T4675&gt;=1,1,0)</f>
        <v>0</v>
      </c>
      <c r="V4675">
        <f t="shared" ref="V4675:V4738" si="369">IF(F4675="ai_full",1,0)</f>
        <v>0</v>
      </c>
    </row>
    <row r="4676" spans="1:22" x14ac:dyDescent="0.25">
      <c r="A4676">
        <v>4673</v>
      </c>
      <c r="B4676" t="s">
        <v>32</v>
      </c>
      <c r="C4676" t="s">
        <v>1455</v>
      </c>
      <c r="D4676" s="4">
        <v>45337</v>
      </c>
      <c r="E4676" t="s">
        <v>1043</v>
      </c>
      <c r="F4676" t="s">
        <v>75</v>
      </c>
      <c r="I4676" s="6"/>
      <c r="J4676" s="6"/>
      <c r="K4676" s="6"/>
      <c r="L4676" s="6"/>
      <c r="M4676" s="6"/>
      <c r="N4676" s="6"/>
      <c r="O4676" s="6"/>
      <c r="P4676" s="6"/>
      <c r="Q4676">
        <v>0</v>
      </c>
      <c r="R4676">
        <f t="shared" si="365"/>
        <v>0</v>
      </c>
      <c r="S4676">
        <f t="shared" si="366"/>
        <v>0</v>
      </c>
      <c r="T4676">
        <f t="shared" si="367"/>
        <v>0</v>
      </c>
      <c r="U4676">
        <f t="shared" si="368"/>
        <v>0</v>
      </c>
      <c r="V4676">
        <f t="shared" si="369"/>
        <v>0</v>
      </c>
    </row>
    <row r="4677" spans="1:22" x14ac:dyDescent="0.25">
      <c r="A4677">
        <v>4674</v>
      </c>
      <c r="B4677" t="s">
        <v>32</v>
      </c>
      <c r="C4677" t="s">
        <v>1455</v>
      </c>
      <c r="D4677" s="4">
        <v>45337</v>
      </c>
      <c r="E4677" t="s">
        <v>1457</v>
      </c>
      <c r="F4677" t="s">
        <v>75</v>
      </c>
      <c r="I4677" s="6"/>
      <c r="J4677" s="6"/>
      <c r="K4677" s="6"/>
      <c r="L4677" s="6"/>
      <c r="M4677" s="6"/>
      <c r="N4677" s="6"/>
      <c r="O4677" s="6"/>
      <c r="P4677" s="6"/>
      <c r="Q4677">
        <v>0</v>
      </c>
      <c r="R4677">
        <f t="shared" si="365"/>
        <v>0</v>
      </c>
      <c r="S4677">
        <f t="shared" si="366"/>
        <v>0</v>
      </c>
      <c r="T4677">
        <f t="shared" si="367"/>
        <v>0</v>
      </c>
      <c r="U4677">
        <f t="shared" si="368"/>
        <v>0</v>
      </c>
      <c r="V4677">
        <f t="shared" si="369"/>
        <v>0</v>
      </c>
    </row>
    <row r="4678" spans="1:22" x14ac:dyDescent="0.25">
      <c r="A4678">
        <v>4675</v>
      </c>
      <c r="B4678" t="s">
        <v>32</v>
      </c>
      <c r="C4678" t="s">
        <v>1455</v>
      </c>
      <c r="D4678" s="4">
        <v>45337</v>
      </c>
      <c r="E4678" t="s">
        <v>1111</v>
      </c>
      <c r="F4678" t="s">
        <v>75</v>
      </c>
      <c r="I4678" s="6">
        <v>0</v>
      </c>
      <c r="J4678" s="6">
        <v>0</v>
      </c>
      <c r="K4678" s="6">
        <v>1</v>
      </c>
      <c r="L4678" s="6">
        <v>0</v>
      </c>
      <c r="M4678" s="6">
        <v>0</v>
      </c>
      <c r="N4678" s="6">
        <v>1</v>
      </c>
      <c r="O4678" s="6">
        <v>0</v>
      </c>
      <c r="P4678" s="6">
        <v>0</v>
      </c>
      <c r="Q4678">
        <v>1</v>
      </c>
      <c r="R4678">
        <f t="shared" si="365"/>
        <v>0</v>
      </c>
      <c r="S4678">
        <f t="shared" si="366"/>
        <v>1</v>
      </c>
      <c r="T4678">
        <f t="shared" si="367"/>
        <v>2</v>
      </c>
      <c r="U4678">
        <f t="shared" si="368"/>
        <v>1</v>
      </c>
      <c r="V4678">
        <f t="shared" si="369"/>
        <v>0</v>
      </c>
    </row>
    <row r="4679" spans="1:22" x14ac:dyDescent="0.25">
      <c r="A4679">
        <v>4676</v>
      </c>
      <c r="B4679" t="s">
        <v>32</v>
      </c>
      <c r="C4679" t="s">
        <v>1455</v>
      </c>
      <c r="D4679" s="4">
        <v>45337</v>
      </c>
      <c r="E4679" t="s">
        <v>2283</v>
      </c>
      <c r="F4679" t="s">
        <v>75</v>
      </c>
      <c r="I4679" s="6"/>
      <c r="J4679" s="6"/>
      <c r="K4679" s="6"/>
      <c r="L4679" s="6"/>
      <c r="M4679" s="6"/>
      <c r="N4679" s="6"/>
      <c r="O4679" s="6"/>
      <c r="P4679" s="6"/>
      <c r="Q4679">
        <v>0</v>
      </c>
      <c r="R4679">
        <f t="shared" si="365"/>
        <v>0</v>
      </c>
      <c r="S4679">
        <f t="shared" si="366"/>
        <v>0</v>
      </c>
      <c r="T4679">
        <f t="shared" si="367"/>
        <v>0</v>
      </c>
      <c r="U4679">
        <f t="shared" si="368"/>
        <v>0</v>
      </c>
      <c r="V4679">
        <f t="shared" si="369"/>
        <v>0</v>
      </c>
    </row>
    <row r="4680" spans="1:22" x14ac:dyDescent="0.25">
      <c r="A4680">
        <v>4677</v>
      </c>
      <c r="B4680" t="s">
        <v>32</v>
      </c>
      <c r="C4680" t="s">
        <v>1455</v>
      </c>
      <c r="D4680" s="4">
        <v>45338</v>
      </c>
      <c r="E4680" t="s">
        <v>1044</v>
      </c>
      <c r="F4680" t="s">
        <v>75</v>
      </c>
      <c r="H4680" t="s">
        <v>1506</v>
      </c>
      <c r="I4680" s="6">
        <v>0</v>
      </c>
      <c r="J4680" s="6">
        <v>0</v>
      </c>
      <c r="K4680" s="6">
        <v>0</v>
      </c>
      <c r="L4680" s="6">
        <v>0</v>
      </c>
      <c r="M4680" s="6">
        <v>1</v>
      </c>
      <c r="N4680" s="6">
        <v>0</v>
      </c>
      <c r="O4680" s="6">
        <v>0</v>
      </c>
      <c r="P4680" s="6">
        <v>0</v>
      </c>
      <c r="Q4680">
        <v>1</v>
      </c>
      <c r="R4680">
        <f t="shared" si="365"/>
        <v>0</v>
      </c>
      <c r="S4680">
        <f t="shared" si="366"/>
        <v>1</v>
      </c>
      <c r="T4680">
        <f t="shared" si="367"/>
        <v>1</v>
      </c>
      <c r="U4680">
        <f t="shared" si="368"/>
        <v>1</v>
      </c>
      <c r="V4680">
        <f t="shared" si="369"/>
        <v>0</v>
      </c>
    </row>
    <row r="4681" spans="1:22" x14ac:dyDescent="0.25">
      <c r="A4681">
        <v>4678</v>
      </c>
      <c r="B4681" t="s">
        <v>32</v>
      </c>
      <c r="C4681" t="s">
        <v>1455</v>
      </c>
      <c r="D4681" s="4">
        <v>45338</v>
      </c>
      <c r="E4681" t="s">
        <v>1045</v>
      </c>
      <c r="F4681" t="s">
        <v>75</v>
      </c>
      <c r="I4681" s="6"/>
      <c r="J4681" s="6"/>
      <c r="K4681" s="6"/>
      <c r="L4681" s="6"/>
      <c r="M4681" s="6"/>
      <c r="N4681" s="6"/>
      <c r="O4681" s="6"/>
      <c r="P4681" s="6"/>
      <c r="Q4681">
        <v>0</v>
      </c>
      <c r="R4681">
        <f t="shared" si="365"/>
        <v>0</v>
      </c>
      <c r="S4681">
        <f t="shared" si="366"/>
        <v>0</v>
      </c>
      <c r="T4681">
        <f t="shared" si="367"/>
        <v>0</v>
      </c>
      <c r="U4681">
        <f t="shared" si="368"/>
        <v>0</v>
      </c>
      <c r="V4681">
        <f t="shared" si="369"/>
        <v>0</v>
      </c>
    </row>
    <row r="4682" spans="1:22" x14ac:dyDescent="0.25">
      <c r="A4682">
        <v>4679</v>
      </c>
      <c r="B4682" t="s">
        <v>32</v>
      </c>
      <c r="C4682" t="s">
        <v>1455</v>
      </c>
      <c r="D4682" s="4">
        <v>45338</v>
      </c>
      <c r="E4682" t="s">
        <v>907</v>
      </c>
      <c r="F4682" t="s">
        <v>75</v>
      </c>
      <c r="I4682" s="6"/>
      <c r="J4682" s="6"/>
      <c r="K4682" s="6"/>
      <c r="L4682" s="6"/>
      <c r="M4682" s="6"/>
      <c r="N4682" s="6"/>
      <c r="O4682" s="6"/>
      <c r="P4682" s="6"/>
      <c r="Q4682">
        <v>0</v>
      </c>
      <c r="R4682">
        <f t="shared" si="365"/>
        <v>0</v>
      </c>
      <c r="S4682">
        <f t="shared" si="366"/>
        <v>0</v>
      </c>
      <c r="T4682">
        <f t="shared" si="367"/>
        <v>0</v>
      </c>
      <c r="U4682">
        <f t="shared" si="368"/>
        <v>0</v>
      </c>
      <c r="V4682">
        <f t="shared" si="369"/>
        <v>0</v>
      </c>
    </row>
    <row r="4683" spans="1:22" x14ac:dyDescent="0.25">
      <c r="A4683">
        <v>4680</v>
      </c>
      <c r="B4683" t="s">
        <v>32</v>
      </c>
      <c r="C4683" t="s">
        <v>1455</v>
      </c>
      <c r="D4683" s="4">
        <v>45338</v>
      </c>
      <c r="E4683" t="s">
        <v>1046</v>
      </c>
      <c r="F4683" t="s">
        <v>75</v>
      </c>
      <c r="I4683" s="6">
        <v>0</v>
      </c>
      <c r="J4683" s="6">
        <v>0</v>
      </c>
      <c r="K4683" s="6">
        <v>0</v>
      </c>
      <c r="L4683" s="6">
        <v>0</v>
      </c>
      <c r="M4683" s="6">
        <v>0</v>
      </c>
      <c r="N4683" s="6">
        <v>0</v>
      </c>
      <c r="O4683" s="6">
        <v>0</v>
      </c>
      <c r="P4683" s="6">
        <v>0</v>
      </c>
      <c r="Q4683">
        <v>1</v>
      </c>
      <c r="R4683">
        <f t="shared" si="365"/>
        <v>0</v>
      </c>
      <c r="S4683">
        <f t="shared" si="366"/>
        <v>1</v>
      </c>
      <c r="T4683">
        <f t="shared" si="367"/>
        <v>0</v>
      </c>
      <c r="U4683">
        <f t="shared" si="368"/>
        <v>0</v>
      </c>
      <c r="V4683">
        <f t="shared" si="369"/>
        <v>0</v>
      </c>
    </row>
    <row r="4684" spans="1:22" x14ac:dyDescent="0.25">
      <c r="A4684">
        <v>4681</v>
      </c>
      <c r="B4684" t="s">
        <v>32</v>
      </c>
      <c r="C4684" t="s">
        <v>1455</v>
      </c>
      <c r="D4684" s="4">
        <v>45338</v>
      </c>
      <c r="E4684" t="s">
        <v>1112</v>
      </c>
      <c r="F4684" t="s">
        <v>75</v>
      </c>
      <c r="I4684" s="6"/>
      <c r="J4684" s="6"/>
      <c r="K4684" s="6"/>
      <c r="L4684" s="6"/>
      <c r="M4684" s="6"/>
      <c r="N4684" s="6"/>
      <c r="O4684" s="6"/>
      <c r="P4684" s="6"/>
      <c r="Q4684">
        <v>0</v>
      </c>
      <c r="R4684">
        <f t="shared" si="365"/>
        <v>0</v>
      </c>
      <c r="S4684">
        <f t="shared" si="366"/>
        <v>0</v>
      </c>
      <c r="T4684">
        <f t="shared" si="367"/>
        <v>0</v>
      </c>
      <c r="U4684">
        <f t="shared" si="368"/>
        <v>0</v>
      </c>
      <c r="V4684">
        <f t="shared" si="369"/>
        <v>0</v>
      </c>
    </row>
    <row r="4685" spans="1:22" x14ac:dyDescent="0.25">
      <c r="A4685">
        <v>4682</v>
      </c>
      <c r="B4685" t="s">
        <v>32</v>
      </c>
      <c r="C4685" t="s">
        <v>1455</v>
      </c>
      <c r="D4685" s="4">
        <v>45338</v>
      </c>
      <c r="E4685" t="s">
        <v>1507</v>
      </c>
      <c r="F4685" t="s">
        <v>413</v>
      </c>
      <c r="G4685">
        <v>228</v>
      </c>
      <c r="I4685" s="6">
        <v>0</v>
      </c>
      <c r="J4685" s="6">
        <v>0</v>
      </c>
      <c r="K4685" s="6">
        <v>0</v>
      </c>
      <c r="L4685" s="6">
        <v>1</v>
      </c>
      <c r="M4685" s="6">
        <v>0</v>
      </c>
      <c r="N4685" s="6">
        <v>0</v>
      </c>
      <c r="O4685" s="6">
        <v>1</v>
      </c>
      <c r="P4685" s="6">
        <v>0</v>
      </c>
      <c r="Q4685">
        <v>1</v>
      </c>
      <c r="R4685">
        <f t="shared" si="365"/>
        <v>1</v>
      </c>
      <c r="S4685">
        <f t="shared" si="366"/>
        <v>0</v>
      </c>
      <c r="T4685">
        <f t="shared" si="367"/>
        <v>2</v>
      </c>
      <c r="U4685">
        <f t="shared" si="368"/>
        <v>1</v>
      </c>
      <c r="V4685">
        <f t="shared" si="369"/>
        <v>1</v>
      </c>
    </row>
    <row r="4686" spans="1:22" x14ac:dyDescent="0.25">
      <c r="A4686">
        <v>4683</v>
      </c>
      <c r="B4686" t="s">
        <v>32</v>
      </c>
      <c r="C4686" t="s">
        <v>1455</v>
      </c>
      <c r="D4686" s="4">
        <v>45339</v>
      </c>
      <c r="E4686" t="s">
        <v>2282</v>
      </c>
      <c r="F4686" t="s">
        <v>75</v>
      </c>
      <c r="I4686" s="6"/>
      <c r="J4686" s="6"/>
      <c r="K4686" s="6"/>
      <c r="L4686" s="6"/>
      <c r="M4686" s="6"/>
      <c r="N4686" s="6"/>
      <c r="O4686" s="6"/>
      <c r="P4686" s="6"/>
      <c r="Q4686">
        <v>0</v>
      </c>
      <c r="R4686">
        <f t="shared" si="365"/>
        <v>0</v>
      </c>
      <c r="S4686">
        <f t="shared" si="366"/>
        <v>0</v>
      </c>
      <c r="T4686">
        <f t="shared" si="367"/>
        <v>0</v>
      </c>
      <c r="U4686">
        <f t="shared" si="368"/>
        <v>0</v>
      </c>
      <c r="V4686">
        <f t="shared" si="369"/>
        <v>0</v>
      </c>
    </row>
    <row r="4687" spans="1:22" x14ac:dyDescent="0.25">
      <c r="A4687">
        <v>4684</v>
      </c>
      <c r="B4687" t="s">
        <v>32</v>
      </c>
      <c r="C4687" t="s">
        <v>1455</v>
      </c>
      <c r="D4687" s="4">
        <v>45339</v>
      </c>
      <c r="E4687" t="s">
        <v>2281</v>
      </c>
      <c r="F4687" t="s">
        <v>75</v>
      </c>
      <c r="I4687" s="6"/>
      <c r="J4687" s="6"/>
      <c r="K4687" s="6"/>
      <c r="L4687" s="6"/>
      <c r="M4687" s="6"/>
      <c r="N4687" s="6"/>
      <c r="O4687" s="6"/>
      <c r="P4687" s="6"/>
      <c r="Q4687">
        <v>0</v>
      </c>
      <c r="R4687">
        <f t="shared" si="365"/>
        <v>0</v>
      </c>
      <c r="S4687">
        <f t="shared" si="366"/>
        <v>0</v>
      </c>
      <c r="T4687">
        <f t="shared" si="367"/>
        <v>0</v>
      </c>
      <c r="U4687">
        <f t="shared" si="368"/>
        <v>0</v>
      </c>
      <c r="V4687">
        <f t="shared" si="369"/>
        <v>0</v>
      </c>
    </row>
    <row r="4688" spans="1:22" x14ac:dyDescent="0.25">
      <c r="A4688">
        <v>4685</v>
      </c>
      <c r="B4688" t="s">
        <v>32</v>
      </c>
      <c r="C4688" t="s">
        <v>1455</v>
      </c>
      <c r="D4688" s="4">
        <v>45339</v>
      </c>
      <c r="E4688" t="s">
        <v>2280</v>
      </c>
      <c r="F4688" t="s">
        <v>75</v>
      </c>
      <c r="I4688" s="6"/>
      <c r="J4688" s="6"/>
      <c r="K4688" s="6"/>
      <c r="L4688" s="6"/>
      <c r="M4688" s="6"/>
      <c r="N4688" s="6"/>
      <c r="O4688" s="6"/>
      <c r="P4688" s="6"/>
      <c r="Q4688">
        <v>0</v>
      </c>
      <c r="R4688">
        <f t="shared" si="365"/>
        <v>0</v>
      </c>
      <c r="S4688">
        <f t="shared" si="366"/>
        <v>0</v>
      </c>
      <c r="T4688">
        <f t="shared" si="367"/>
        <v>0</v>
      </c>
      <c r="U4688">
        <f t="shared" si="368"/>
        <v>0</v>
      </c>
      <c r="V4688">
        <f t="shared" si="369"/>
        <v>0</v>
      </c>
    </row>
    <row r="4689" spans="1:22" x14ac:dyDescent="0.25">
      <c r="A4689">
        <v>4686</v>
      </c>
      <c r="B4689" t="s">
        <v>32</v>
      </c>
      <c r="C4689" t="s">
        <v>1455</v>
      </c>
      <c r="D4689" s="4">
        <v>45339</v>
      </c>
      <c r="E4689" t="s">
        <v>2279</v>
      </c>
      <c r="F4689" t="s">
        <v>75</v>
      </c>
      <c r="I4689" s="6"/>
      <c r="J4689" s="6"/>
      <c r="K4689" s="6"/>
      <c r="L4689" s="6"/>
      <c r="M4689" s="6"/>
      <c r="N4689" s="6"/>
      <c r="O4689" s="6"/>
      <c r="P4689" s="6"/>
      <c r="Q4689">
        <v>0</v>
      </c>
      <c r="R4689">
        <f t="shared" si="365"/>
        <v>0</v>
      </c>
      <c r="S4689">
        <f t="shared" si="366"/>
        <v>0</v>
      </c>
      <c r="T4689">
        <f t="shared" si="367"/>
        <v>0</v>
      </c>
      <c r="U4689">
        <f t="shared" si="368"/>
        <v>0</v>
      </c>
      <c r="V4689">
        <f t="shared" si="369"/>
        <v>0</v>
      </c>
    </row>
    <row r="4690" spans="1:22" x14ac:dyDescent="0.25">
      <c r="A4690">
        <v>4687</v>
      </c>
      <c r="B4690" t="s">
        <v>32</v>
      </c>
      <c r="C4690" t="s">
        <v>1455</v>
      </c>
      <c r="D4690" s="4">
        <v>45339</v>
      </c>
      <c r="E4690" t="s">
        <v>2278</v>
      </c>
      <c r="F4690" t="s">
        <v>75</v>
      </c>
      <c r="I4690" s="6"/>
      <c r="J4690" s="6"/>
      <c r="K4690" s="6"/>
      <c r="L4690" s="6"/>
      <c r="M4690" s="6"/>
      <c r="N4690" s="6"/>
      <c r="O4690" s="6"/>
      <c r="P4690" s="6"/>
      <c r="Q4690">
        <v>0</v>
      </c>
      <c r="R4690">
        <f t="shared" si="365"/>
        <v>0</v>
      </c>
      <c r="S4690">
        <f t="shared" si="366"/>
        <v>0</v>
      </c>
      <c r="T4690">
        <f t="shared" si="367"/>
        <v>0</v>
      </c>
      <c r="U4690">
        <f t="shared" si="368"/>
        <v>0</v>
      </c>
      <c r="V4690">
        <f t="shared" si="369"/>
        <v>0</v>
      </c>
    </row>
    <row r="4691" spans="1:22" x14ac:dyDescent="0.25">
      <c r="A4691">
        <v>4688</v>
      </c>
      <c r="B4691" t="s">
        <v>32</v>
      </c>
      <c r="C4691" t="s">
        <v>1455</v>
      </c>
      <c r="D4691" s="4">
        <v>45340</v>
      </c>
      <c r="E4691" t="s">
        <v>1280</v>
      </c>
      <c r="F4691" t="s">
        <v>75</v>
      </c>
      <c r="I4691" s="6">
        <v>0</v>
      </c>
      <c r="J4691" s="6">
        <v>0</v>
      </c>
      <c r="K4691" s="6">
        <v>0</v>
      </c>
      <c r="L4691" s="6">
        <v>0</v>
      </c>
      <c r="M4691" s="6">
        <v>0</v>
      </c>
      <c r="N4691" s="6">
        <v>0</v>
      </c>
      <c r="O4691" s="6">
        <v>0</v>
      </c>
      <c r="P4691" s="6">
        <v>0</v>
      </c>
      <c r="Q4691">
        <v>1</v>
      </c>
      <c r="R4691">
        <f t="shared" si="365"/>
        <v>0</v>
      </c>
      <c r="S4691">
        <f t="shared" si="366"/>
        <v>1</v>
      </c>
      <c r="T4691">
        <f t="shared" si="367"/>
        <v>0</v>
      </c>
      <c r="U4691">
        <f t="shared" si="368"/>
        <v>0</v>
      </c>
      <c r="V4691">
        <f t="shared" si="369"/>
        <v>0</v>
      </c>
    </row>
    <row r="4692" spans="1:22" x14ac:dyDescent="0.25">
      <c r="A4692">
        <v>4689</v>
      </c>
      <c r="B4692" t="s">
        <v>32</v>
      </c>
      <c r="C4692" t="s">
        <v>1455</v>
      </c>
      <c r="D4692" s="4">
        <v>45340</v>
      </c>
      <c r="E4692" t="s">
        <v>1113</v>
      </c>
      <c r="F4692" t="s">
        <v>75</v>
      </c>
      <c r="I4692" s="6">
        <v>0</v>
      </c>
      <c r="J4692" s="6">
        <v>0</v>
      </c>
      <c r="K4692" s="6">
        <v>1</v>
      </c>
      <c r="L4692" s="6">
        <v>0</v>
      </c>
      <c r="M4692" s="6">
        <v>0</v>
      </c>
      <c r="N4692" s="6">
        <v>0</v>
      </c>
      <c r="O4692" s="6">
        <v>0</v>
      </c>
      <c r="P4692" s="6">
        <v>0</v>
      </c>
      <c r="Q4692">
        <v>1</v>
      </c>
      <c r="R4692">
        <f t="shared" si="365"/>
        <v>0</v>
      </c>
      <c r="S4692">
        <f t="shared" si="366"/>
        <v>1</v>
      </c>
      <c r="T4692">
        <f t="shared" si="367"/>
        <v>1</v>
      </c>
      <c r="U4692">
        <f t="shared" si="368"/>
        <v>1</v>
      </c>
      <c r="V4692">
        <f t="shared" si="369"/>
        <v>0</v>
      </c>
    </row>
    <row r="4693" spans="1:22" x14ac:dyDescent="0.25">
      <c r="A4693">
        <v>4690</v>
      </c>
      <c r="B4693" t="s">
        <v>32</v>
      </c>
      <c r="C4693" t="s">
        <v>1455</v>
      </c>
      <c r="D4693" s="4">
        <v>45340</v>
      </c>
      <c r="E4693" t="s">
        <v>2277</v>
      </c>
      <c r="F4693" t="s">
        <v>75</v>
      </c>
      <c r="I4693" s="6"/>
      <c r="J4693" s="6"/>
      <c r="K4693" s="6"/>
      <c r="L4693" s="6"/>
      <c r="M4693" s="6"/>
      <c r="N4693" s="6"/>
      <c r="O4693" s="6"/>
      <c r="P4693" s="6"/>
      <c r="Q4693">
        <v>0</v>
      </c>
      <c r="R4693">
        <f t="shared" si="365"/>
        <v>0</v>
      </c>
      <c r="S4693">
        <f t="shared" si="366"/>
        <v>0</v>
      </c>
      <c r="T4693">
        <f t="shared" si="367"/>
        <v>0</v>
      </c>
      <c r="U4693">
        <f t="shared" si="368"/>
        <v>0</v>
      </c>
      <c r="V4693">
        <f t="shared" si="369"/>
        <v>0</v>
      </c>
    </row>
    <row r="4694" spans="1:22" x14ac:dyDescent="0.25">
      <c r="A4694">
        <v>4691</v>
      </c>
      <c r="B4694" t="s">
        <v>32</v>
      </c>
      <c r="C4694" t="s">
        <v>1455</v>
      </c>
      <c r="D4694" s="4">
        <v>45340</v>
      </c>
      <c r="E4694" t="s">
        <v>2276</v>
      </c>
      <c r="F4694" t="s">
        <v>75</v>
      </c>
      <c r="I4694" s="6"/>
      <c r="J4694" s="6"/>
      <c r="K4694" s="6"/>
      <c r="L4694" s="6"/>
      <c r="M4694" s="6"/>
      <c r="N4694" s="6"/>
      <c r="O4694" s="6"/>
      <c r="P4694" s="6"/>
      <c r="Q4694">
        <v>0</v>
      </c>
      <c r="R4694">
        <f t="shared" si="365"/>
        <v>0</v>
      </c>
      <c r="S4694">
        <f t="shared" si="366"/>
        <v>0</v>
      </c>
      <c r="T4694">
        <f t="shared" si="367"/>
        <v>0</v>
      </c>
      <c r="U4694">
        <f t="shared" si="368"/>
        <v>0</v>
      </c>
      <c r="V4694">
        <f t="shared" si="369"/>
        <v>0</v>
      </c>
    </row>
    <row r="4695" spans="1:22" x14ac:dyDescent="0.25">
      <c r="A4695">
        <v>4692</v>
      </c>
      <c r="B4695" t="s">
        <v>32</v>
      </c>
      <c r="C4695" t="s">
        <v>1455</v>
      </c>
      <c r="D4695" s="4">
        <v>45340</v>
      </c>
      <c r="E4695" t="s">
        <v>2275</v>
      </c>
      <c r="F4695" t="s">
        <v>75</v>
      </c>
      <c r="I4695" s="6">
        <v>0</v>
      </c>
      <c r="J4695" s="6">
        <v>0</v>
      </c>
      <c r="K4695" s="6">
        <v>0</v>
      </c>
      <c r="L4695" s="6">
        <v>1</v>
      </c>
      <c r="M4695" s="6">
        <v>0</v>
      </c>
      <c r="N4695" s="6">
        <v>0</v>
      </c>
      <c r="O4695" s="6">
        <v>0</v>
      </c>
      <c r="P4695" s="6">
        <v>0</v>
      </c>
      <c r="Q4695">
        <v>1</v>
      </c>
      <c r="R4695">
        <f t="shared" si="365"/>
        <v>0</v>
      </c>
      <c r="S4695">
        <f t="shared" si="366"/>
        <v>1</v>
      </c>
      <c r="T4695">
        <f t="shared" si="367"/>
        <v>1</v>
      </c>
      <c r="U4695">
        <f t="shared" si="368"/>
        <v>1</v>
      </c>
      <c r="V4695">
        <f t="shared" si="369"/>
        <v>0</v>
      </c>
    </row>
    <row r="4696" spans="1:22" x14ac:dyDescent="0.25">
      <c r="A4696">
        <v>4693</v>
      </c>
      <c r="B4696" t="s">
        <v>32</v>
      </c>
      <c r="C4696" t="s">
        <v>1455</v>
      </c>
      <c r="D4696" s="4">
        <v>45340</v>
      </c>
      <c r="E4696" t="s">
        <v>1282</v>
      </c>
      <c r="F4696" t="s">
        <v>75</v>
      </c>
      <c r="I4696" s="6"/>
      <c r="J4696" s="6"/>
      <c r="K4696" s="6"/>
      <c r="L4696" s="6"/>
      <c r="M4696" s="6"/>
      <c r="N4696" s="6"/>
      <c r="O4696" s="6"/>
      <c r="P4696" s="6"/>
      <c r="Q4696">
        <v>0</v>
      </c>
      <c r="R4696">
        <f t="shared" si="365"/>
        <v>0</v>
      </c>
      <c r="S4696">
        <f t="shared" si="366"/>
        <v>0</v>
      </c>
      <c r="T4696">
        <f t="shared" si="367"/>
        <v>0</v>
      </c>
      <c r="U4696">
        <f t="shared" si="368"/>
        <v>0</v>
      </c>
      <c r="V4696">
        <f t="shared" si="369"/>
        <v>0</v>
      </c>
    </row>
    <row r="4697" spans="1:22" x14ac:dyDescent="0.25">
      <c r="A4697">
        <v>4694</v>
      </c>
      <c r="B4697" t="s">
        <v>32</v>
      </c>
      <c r="C4697" t="s">
        <v>1455</v>
      </c>
      <c r="D4697" s="4">
        <v>45341</v>
      </c>
      <c r="E4697" t="s">
        <v>1458</v>
      </c>
      <c r="F4697" t="s">
        <v>357</v>
      </c>
      <c r="I4697" s="6"/>
      <c r="J4697" s="6"/>
      <c r="K4697" s="6"/>
      <c r="L4697" s="6"/>
      <c r="M4697" s="6"/>
      <c r="N4697" s="6"/>
      <c r="O4697" s="6"/>
      <c r="P4697" s="6"/>
      <c r="Q4697">
        <v>0</v>
      </c>
      <c r="R4697">
        <f t="shared" si="365"/>
        <v>0</v>
      </c>
      <c r="S4697">
        <f t="shared" si="366"/>
        <v>0</v>
      </c>
      <c r="T4697">
        <f t="shared" si="367"/>
        <v>0</v>
      </c>
      <c r="U4697">
        <f t="shared" si="368"/>
        <v>0</v>
      </c>
      <c r="V4697">
        <f t="shared" si="369"/>
        <v>0</v>
      </c>
    </row>
    <row r="4698" spans="1:22" x14ac:dyDescent="0.25">
      <c r="A4698">
        <v>4695</v>
      </c>
      <c r="B4698" t="s">
        <v>32</v>
      </c>
      <c r="C4698" t="s">
        <v>1455</v>
      </c>
      <c r="D4698" s="4">
        <v>45341</v>
      </c>
      <c r="E4698" t="s">
        <v>2274</v>
      </c>
      <c r="F4698" t="s">
        <v>75</v>
      </c>
      <c r="I4698" s="6"/>
      <c r="J4698" s="6"/>
      <c r="K4698" s="6"/>
      <c r="L4698" s="6"/>
      <c r="M4698" s="6"/>
      <c r="N4698" s="6"/>
      <c r="O4698" s="6"/>
      <c r="P4698" s="6"/>
      <c r="Q4698">
        <v>0</v>
      </c>
      <c r="R4698">
        <f t="shared" si="365"/>
        <v>0</v>
      </c>
      <c r="S4698">
        <f t="shared" si="366"/>
        <v>0</v>
      </c>
      <c r="T4698">
        <f t="shared" si="367"/>
        <v>0</v>
      </c>
      <c r="U4698">
        <f t="shared" si="368"/>
        <v>0</v>
      </c>
      <c r="V4698">
        <f t="shared" si="369"/>
        <v>0</v>
      </c>
    </row>
    <row r="4699" spans="1:22" x14ac:dyDescent="0.25">
      <c r="A4699">
        <v>4696</v>
      </c>
      <c r="B4699" t="s">
        <v>32</v>
      </c>
      <c r="C4699" t="s">
        <v>1455</v>
      </c>
      <c r="D4699" s="4">
        <v>45341</v>
      </c>
      <c r="E4699" t="s">
        <v>1508</v>
      </c>
      <c r="F4699" t="s">
        <v>75</v>
      </c>
      <c r="I4699" s="6">
        <v>1</v>
      </c>
      <c r="J4699" s="6">
        <v>0</v>
      </c>
      <c r="K4699" s="6">
        <v>1</v>
      </c>
      <c r="L4699" s="6">
        <v>1</v>
      </c>
      <c r="M4699" s="6">
        <v>0</v>
      </c>
      <c r="N4699" s="6">
        <v>0</v>
      </c>
      <c r="O4699" s="6">
        <v>0</v>
      </c>
      <c r="P4699" s="6">
        <v>0</v>
      </c>
      <c r="Q4699">
        <v>1</v>
      </c>
      <c r="R4699">
        <f t="shared" si="365"/>
        <v>0</v>
      </c>
      <c r="S4699">
        <f t="shared" si="366"/>
        <v>1</v>
      </c>
      <c r="T4699">
        <f t="shared" si="367"/>
        <v>3</v>
      </c>
      <c r="U4699">
        <f t="shared" si="368"/>
        <v>1</v>
      </c>
      <c r="V4699">
        <f t="shared" si="369"/>
        <v>0</v>
      </c>
    </row>
    <row r="4700" spans="1:22" x14ac:dyDescent="0.25">
      <c r="A4700">
        <v>4697</v>
      </c>
      <c r="B4700" t="s">
        <v>32</v>
      </c>
      <c r="C4700" t="s">
        <v>1455</v>
      </c>
      <c r="D4700" s="4">
        <v>45341</v>
      </c>
      <c r="E4700" t="s">
        <v>1459</v>
      </c>
      <c r="F4700" t="s">
        <v>75</v>
      </c>
      <c r="I4700" s="6"/>
      <c r="J4700" s="6"/>
      <c r="K4700" s="6"/>
      <c r="L4700" s="6"/>
      <c r="M4700" s="6"/>
      <c r="N4700" s="6"/>
      <c r="O4700" s="6"/>
      <c r="P4700" s="6"/>
      <c r="Q4700">
        <v>0</v>
      </c>
      <c r="R4700">
        <f t="shared" si="365"/>
        <v>0</v>
      </c>
      <c r="S4700">
        <f t="shared" si="366"/>
        <v>0</v>
      </c>
      <c r="T4700">
        <f t="shared" si="367"/>
        <v>0</v>
      </c>
      <c r="U4700">
        <f t="shared" si="368"/>
        <v>0</v>
      </c>
      <c r="V4700">
        <f t="shared" si="369"/>
        <v>0</v>
      </c>
    </row>
    <row r="4701" spans="1:22" x14ac:dyDescent="0.25">
      <c r="A4701">
        <v>4698</v>
      </c>
      <c r="B4701" t="s">
        <v>32</v>
      </c>
      <c r="C4701" t="s">
        <v>1455</v>
      </c>
      <c r="D4701" s="4">
        <v>45341</v>
      </c>
      <c r="E4701" t="s">
        <v>2273</v>
      </c>
      <c r="F4701" t="s">
        <v>75</v>
      </c>
      <c r="I4701" s="6"/>
      <c r="J4701" s="6"/>
      <c r="K4701" s="6"/>
      <c r="L4701" s="6"/>
      <c r="M4701" s="6"/>
      <c r="N4701" s="6"/>
      <c r="O4701" s="6"/>
      <c r="P4701" s="6"/>
      <c r="Q4701">
        <v>0</v>
      </c>
      <c r="R4701">
        <f t="shared" si="365"/>
        <v>0</v>
      </c>
      <c r="S4701">
        <f t="shared" si="366"/>
        <v>0</v>
      </c>
      <c r="T4701">
        <f t="shared" si="367"/>
        <v>0</v>
      </c>
      <c r="U4701">
        <f t="shared" si="368"/>
        <v>0</v>
      </c>
      <c r="V4701">
        <f t="shared" si="369"/>
        <v>0</v>
      </c>
    </row>
    <row r="4702" spans="1:22" x14ac:dyDescent="0.25">
      <c r="A4702">
        <v>4699</v>
      </c>
      <c r="B4702" t="s">
        <v>32</v>
      </c>
      <c r="C4702" t="s">
        <v>1455</v>
      </c>
      <c r="D4702" s="4">
        <v>45342</v>
      </c>
      <c r="E4702" t="s">
        <v>1509</v>
      </c>
      <c r="F4702" t="s">
        <v>75</v>
      </c>
      <c r="I4702" s="6">
        <v>0</v>
      </c>
      <c r="J4702" s="6">
        <v>0</v>
      </c>
      <c r="K4702" s="6">
        <v>0</v>
      </c>
      <c r="L4702" s="6">
        <v>0</v>
      </c>
      <c r="M4702" s="6">
        <v>0</v>
      </c>
      <c r="N4702" s="6">
        <v>0</v>
      </c>
      <c r="O4702" s="6">
        <v>0</v>
      </c>
      <c r="P4702" s="6">
        <v>0</v>
      </c>
      <c r="Q4702">
        <v>1</v>
      </c>
      <c r="R4702">
        <f t="shared" si="365"/>
        <v>0</v>
      </c>
      <c r="S4702">
        <f t="shared" si="366"/>
        <v>1</v>
      </c>
      <c r="T4702">
        <f t="shared" si="367"/>
        <v>0</v>
      </c>
      <c r="U4702">
        <f t="shared" si="368"/>
        <v>0</v>
      </c>
      <c r="V4702">
        <f t="shared" si="369"/>
        <v>0</v>
      </c>
    </row>
    <row r="4703" spans="1:22" x14ac:dyDescent="0.25">
      <c r="A4703">
        <v>4700</v>
      </c>
      <c r="B4703" t="s">
        <v>32</v>
      </c>
      <c r="C4703" t="s">
        <v>1455</v>
      </c>
      <c r="D4703" s="4">
        <v>45342</v>
      </c>
      <c r="E4703" t="s">
        <v>1460</v>
      </c>
      <c r="F4703" t="s">
        <v>75</v>
      </c>
      <c r="I4703" s="6"/>
      <c r="J4703" s="6"/>
      <c r="K4703" s="6"/>
      <c r="L4703" s="6"/>
      <c r="M4703" s="6"/>
      <c r="N4703" s="6"/>
      <c r="O4703" s="6"/>
      <c r="P4703" s="6"/>
      <c r="Q4703">
        <v>0</v>
      </c>
      <c r="R4703">
        <f t="shared" si="365"/>
        <v>0</v>
      </c>
      <c r="S4703">
        <f t="shared" si="366"/>
        <v>0</v>
      </c>
      <c r="T4703">
        <f t="shared" si="367"/>
        <v>0</v>
      </c>
      <c r="U4703">
        <f t="shared" si="368"/>
        <v>0</v>
      </c>
      <c r="V4703">
        <f t="shared" si="369"/>
        <v>0</v>
      </c>
    </row>
    <row r="4704" spans="1:22" x14ac:dyDescent="0.25">
      <c r="A4704">
        <v>4701</v>
      </c>
      <c r="B4704" t="s">
        <v>32</v>
      </c>
      <c r="C4704" t="s">
        <v>1455</v>
      </c>
      <c r="D4704" s="4">
        <v>45342</v>
      </c>
      <c r="E4704" t="s">
        <v>1114</v>
      </c>
      <c r="F4704" t="s">
        <v>75</v>
      </c>
      <c r="I4704" s="6"/>
      <c r="J4704" s="6"/>
      <c r="K4704" s="6"/>
      <c r="L4704" s="6"/>
      <c r="M4704" s="6"/>
      <c r="N4704" s="6"/>
      <c r="O4704" s="6"/>
      <c r="P4704" s="6"/>
      <c r="Q4704">
        <v>0</v>
      </c>
      <c r="R4704">
        <f t="shared" si="365"/>
        <v>0</v>
      </c>
      <c r="S4704">
        <f t="shared" si="366"/>
        <v>0</v>
      </c>
      <c r="T4704">
        <f t="shared" si="367"/>
        <v>0</v>
      </c>
      <c r="U4704">
        <f t="shared" si="368"/>
        <v>0</v>
      </c>
      <c r="V4704">
        <f t="shared" si="369"/>
        <v>0</v>
      </c>
    </row>
    <row r="4705" spans="1:22" x14ac:dyDescent="0.25">
      <c r="A4705">
        <v>4702</v>
      </c>
      <c r="B4705" t="s">
        <v>32</v>
      </c>
      <c r="C4705" t="s">
        <v>1455</v>
      </c>
      <c r="D4705" s="4">
        <v>45342</v>
      </c>
      <c r="E4705" t="s">
        <v>1115</v>
      </c>
      <c r="F4705" t="s">
        <v>75</v>
      </c>
      <c r="I4705" s="6"/>
      <c r="J4705" s="6"/>
      <c r="K4705" s="6"/>
      <c r="L4705" s="6"/>
      <c r="M4705" s="6"/>
      <c r="N4705" s="6"/>
      <c r="O4705" s="6"/>
      <c r="P4705" s="6"/>
      <c r="Q4705">
        <v>0</v>
      </c>
      <c r="R4705">
        <f t="shared" si="365"/>
        <v>0</v>
      </c>
      <c r="S4705">
        <f t="shared" si="366"/>
        <v>0</v>
      </c>
      <c r="T4705">
        <f t="shared" si="367"/>
        <v>0</v>
      </c>
      <c r="U4705">
        <f t="shared" si="368"/>
        <v>0</v>
      </c>
      <c r="V4705">
        <f t="shared" si="369"/>
        <v>0</v>
      </c>
    </row>
    <row r="4706" spans="1:22" x14ac:dyDescent="0.25">
      <c r="A4706">
        <v>4703</v>
      </c>
      <c r="B4706" t="s">
        <v>32</v>
      </c>
      <c r="C4706" t="s">
        <v>1455</v>
      </c>
      <c r="D4706" s="4">
        <v>45342</v>
      </c>
      <c r="E4706" t="s">
        <v>1510</v>
      </c>
      <c r="F4706" t="s">
        <v>75</v>
      </c>
      <c r="I4706" s="6">
        <v>0</v>
      </c>
      <c r="J4706" s="6">
        <v>0</v>
      </c>
      <c r="K4706" s="6">
        <v>1</v>
      </c>
      <c r="L4706" s="6">
        <v>0</v>
      </c>
      <c r="M4706" s="6">
        <v>1</v>
      </c>
      <c r="N4706" s="6">
        <v>0</v>
      </c>
      <c r="O4706" s="6">
        <v>0</v>
      </c>
      <c r="P4706" s="6">
        <v>0</v>
      </c>
      <c r="Q4706">
        <v>1</v>
      </c>
      <c r="R4706">
        <f t="shared" si="365"/>
        <v>0</v>
      </c>
      <c r="S4706">
        <f t="shared" si="366"/>
        <v>1</v>
      </c>
      <c r="T4706">
        <f t="shared" si="367"/>
        <v>2</v>
      </c>
      <c r="U4706">
        <f t="shared" si="368"/>
        <v>1</v>
      </c>
      <c r="V4706">
        <f t="shared" si="369"/>
        <v>0</v>
      </c>
    </row>
    <row r="4707" spans="1:22" x14ac:dyDescent="0.25">
      <c r="A4707">
        <v>4704</v>
      </c>
      <c r="B4707" t="s">
        <v>32</v>
      </c>
      <c r="C4707" t="s">
        <v>1455</v>
      </c>
      <c r="D4707" s="4">
        <v>45342</v>
      </c>
      <c r="E4707" t="s">
        <v>1116</v>
      </c>
      <c r="F4707" t="s">
        <v>75</v>
      </c>
      <c r="I4707" s="6">
        <v>0</v>
      </c>
      <c r="J4707" s="6">
        <v>0</v>
      </c>
      <c r="K4707" s="6">
        <v>1</v>
      </c>
      <c r="L4707" s="6">
        <v>0</v>
      </c>
      <c r="M4707" s="6">
        <v>0</v>
      </c>
      <c r="N4707" s="6">
        <v>0</v>
      </c>
      <c r="O4707" s="6">
        <v>0</v>
      </c>
      <c r="P4707" s="6">
        <v>0</v>
      </c>
      <c r="Q4707">
        <v>1</v>
      </c>
      <c r="R4707">
        <f t="shared" si="365"/>
        <v>0</v>
      </c>
      <c r="S4707">
        <f t="shared" si="366"/>
        <v>1</v>
      </c>
      <c r="T4707">
        <f t="shared" si="367"/>
        <v>1</v>
      </c>
      <c r="U4707">
        <f t="shared" si="368"/>
        <v>1</v>
      </c>
      <c r="V4707">
        <f t="shared" si="369"/>
        <v>0</v>
      </c>
    </row>
    <row r="4708" spans="1:22" x14ac:dyDescent="0.25">
      <c r="A4708">
        <v>4705</v>
      </c>
      <c r="B4708" t="s">
        <v>32</v>
      </c>
      <c r="C4708" t="s">
        <v>1455</v>
      </c>
      <c r="D4708" s="4">
        <v>45342</v>
      </c>
      <c r="E4708" t="s">
        <v>2272</v>
      </c>
      <c r="F4708" t="s">
        <v>75</v>
      </c>
      <c r="I4708" s="6">
        <v>0</v>
      </c>
      <c r="J4708" s="6">
        <v>0</v>
      </c>
      <c r="K4708" s="6">
        <v>1</v>
      </c>
      <c r="L4708" s="6">
        <v>0</v>
      </c>
      <c r="M4708" s="6">
        <v>0</v>
      </c>
      <c r="N4708" s="6">
        <v>1</v>
      </c>
      <c r="O4708" s="6">
        <v>0</v>
      </c>
      <c r="P4708" s="6">
        <v>0</v>
      </c>
      <c r="Q4708">
        <v>1</v>
      </c>
      <c r="R4708">
        <f t="shared" si="365"/>
        <v>0</v>
      </c>
      <c r="S4708">
        <f t="shared" si="366"/>
        <v>1</v>
      </c>
      <c r="T4708">
        <f t="shared" si="367"/>
        <v>2</v>
      </c>
      <c r="U4708">
        <f t="shared" si="368"/>
        <v>1</v>
      </c>
      <c r="V4708">
        <f t="shared" si="369"/>
        <v>0</v>
      </c>
    </row>
    <row r="4709" spans="1:22" x14ac:dyDescent="0.25">
      <c r="A4709">
        <v>4706</v>
      </c>
      <c r="B4709" t="s">
        <v>32</v>
      </c>
      <c r="C4709" t="s">
        <v>1455</v>
      </c>
      <c r="D4709" s="4">
        <v>45343</v>
      </c>
      <c r="E4709" t="s">
        <v>1117</v>
      </c>
      <c r="F4709" t="s">
        <v>75</v>
      </c>
      <c r="I4709" s="6">
        <v>0</v>
      </c>
      <c r="J4709" s="6">
        <v>0</v>
      </c>
      <c r="K4709" s="6">
        <v>0</v>
      </c>
      <c r="L4709" s="6">
        <v>0</v>
      </c>
      <c r="M4709" s="6">
        <v>1</v>
      </c>
      <c r="N4709" s="6">
        <v>0</v>
      </c>
      <c r="O4709" s="6">
        <v>0</v>
      </c>
      <c r="P4709" s="6">
        <v>0</v>
      </c>
      <c r="Q4709">
        <v>1</v>
      </c>
      <c r="R4709">
        <f t="shared" si="365"/>
        <v>0</v>
      </c>
      <c r="S4709">
        <f t="shared" si="366"/>
        <v>1</v>
      </c>
      <c r="T4709">
        <f t="shared" si="367"/>
        <v>1</v>
      </c>
      <c r="U4709">
        <f t="shared" si="368"/>
        <v>1</v>
      </c>
      <c r="V4709">
        <f t="shared" si="369"/>
        <v>0</v>
      </c>
    </row>
    <row r="4710" spans="1:22" x14ac:dyDescent="0.25">
      <c r="A4710">
        <v>4707</v>
      </c>
      <c r="B4710" t="s">
        <v>32</v>
      </c>
      <c r="C4710" t="s">
        <v>1455</v>
      </c>
      <c r="D4710" s="4">
        <v>45343</v>
      </c>
      <c r="E4710" t="s">
        <v>1461</v>
      </c>
      <c r="F4710" t="s">
        <v>75</v>
      </c>
      <c r="I4710" s="6">
        <v>0</v>
      </c>
      <c r="J4710" s="6">
        <v>0</v>
      </c>
      <c r="K4710" s="6">
        <v>0</v>
      </c>
      <c r="L4710" s="6">
        <v>0</v>
      </c>
      <c r="M4710" s="6">
        <v>0</v>
      </c>
      <c r="N4710" s="6">
        <v>0</v>
      </c>
      <c r="O4710" s="6">
        <v>0</v>
      </c>
      <c r="P4710" s="6">
        <v>0</v>
      </c>
      <c r="Q4710">
        <v>1</v>
      </c>
      <c r="R4710">
        <f t="shared" si="365"/>
        <v>0</v>
      </c>
      <c r="S4710">
        <f t="shared" si="366"/>
        <v>1</v>
      </c>
      <c r="T4710">
        <f t="shared" si="367"/>
        <v>0</v>
      </c>
      <c r="U4710">
        <f t="shared" si="368"/>
        <v>0</v>
      </c>
      <c r="V4710">
        <f t="shared" si="369"/>
        <v>0</v>
      </c>
    </row>
    <row r="4711" spans="1:22" x14ac:dyDescent="0.25">
      <c r="A4711">
        <v>4708</v>
      </c>
      <c r="B4711" t="s">
        <v>32</v>
      </c>
      <c r="C4711" t="s">
        <v>1455</v>
      </c>
      <c r="D4711" s="4">
        <v>45343</v>
      </c>
      <c r="E4711" t="s">
        <v>2271</v>
      </c>
      <c r="F4711" t="s">
        <v>75</v>
      </c>
      <c r="I4711" s="6"/>
      <c r="J4711" s="6"/>
      <c r="K4711" s="6"/>
      <c r="L4711" s="6"/>
      <c r="M4711" s="6"/>
      <c r="N4711" s="6"/>
      <c r="O4711" s="6"/>
      <c r="P4711" s="6"/>
      <c r="Q4711">
        <v>0</v>
      </c>
      <c r="R4711">
        <f t="shared" si="365"/>
        <v>0</v>
      </c>
      <c r="S4711">
        <f t="shared" si="366"/>
        <v>0</v>
      </c>
      <c r="T4711">
        <f t="shared" si="367"/>
        <v>0</v>
      </c>
      <c r="U4711">
        <f t="shared" si="368"/>
        <v>0</v>
      </c>
      <c r="V4711">
        <f t="shared" si="369"/>
        <v>0</v>
      </c>
    </row>
    <row r="4712" spans="1:22" x14ac:dyDescent="0.25">
      <c r="A4712">
        <v>4709</v>
      </c>
      <c r="B4712" t="s">
        <v>32</v>
      </c>
      <c r="C4712" t="s">
        <v>1455</v>
      </c>
      <c r="D4712" s="4">
        <v>45343</v>
      </c>
      <c r="E4712" t="s">
        <v>2270</v>
      </c>
      <c r="F4712" t="s">
        <v>75</v>
      </c>
      <c r="I4712" s="6"/>
      <c r="J4712" s="6"/>
      <c r="K4712" s="6"/>
      <c r="L4712" s="6"/>
      <c r="M4712" s="6"/>
      <c r="N4712" s="6"/>
      <c r="O4712" s="6"/>
      <c r="P4712" s="6"/>
      <c r="Q4712">
        <v>0</v>
      </c>
      <c r="R4712">
        <f t="shared" si="365"/>
        <v>0</v>
      </c>
      <c r="S4712">
        <f t="shared" si="366"/>
        <v>0</v>
      </c>
      <c r="T4712">
        <f t="shared" si="367"/>
        <v>0</v>
      </c>
      <c r="U4712">
        <f t="shared" si="368"/>
        <v>0</v>
      </c>
      <c r="V4712">
        <f t="shared" si="369"/>
        <v>0</v>
      </c>
    </row>
    <row r="4713" spans="1:22" x14ac:dyDescent="0.25">
      <c r="A4713">
        <v>4710</v>
      </c>
      <c r="B4713" t="s">
        <v>32</v>
      </c>
      <c r="C4713" t="s">
        <v>1455</v>
      </c>
      <c r="D4713" s="4">
        <v>45343</v>
      </c>
      <c r="E4713" t="s">
        <v>2269</v>
      </c>
      <c r="F4713" t="s">
        <v>75</v>
      </c>
      <c r="I4713" s="6">
        <v>0</v>
      </c>
      <c r="J4713" s="6">
        <v>0</v>
      </c>
      <c r="K4713" s="6">
        <v>0</v>
      </c>
      <c r="L4713" s="6">
        <v>0</v>
      </c>
      <c r="M4713" s="6">
        <v>0</v>
      </c>
      <c r="N4713" s="6">
        <v>0</v>
      </c>
      <c r="O4713" s="6">
        <v>0</v>
      </c>
      <c r="P4713" s="6">
        <v>0</v>
      </c>
      <c r="Q4713">
        <v>1</v>
      </c>
      <c r="R4713">
        <f t="shared" si="365"/>
        <v>0</v>
      </c>
      <c r="S4713">
        <f t="shared" si="366"/>
        <v>1</v>
      </c>
      <c r="T4713">
        <f t="shared" si="367"/>
        <v>0</v>
      </c>
      <c r="U4713">
        <f t="shared" si="368"/>
        <v>0</v>
      </c>
      <c r="V4713">
        <f t="shared" si="369"/>
        <v>0</v>
      </c>
    </row>
    <row r="4714" spans="1:22" x14ac:dyDescent="0.25">
      <c r="A4714">
        <v>4711</v>
      </c>
      <c r="B4714" t="s">
        <v>32</v>
      </c>
      <c r="C4714" t="s">
        <v>1455</v>
      </c>
      <c r="D4714" s="4">
        <v>45343</v>
      </c>
      <c r="E4714" t="s">
        <v>2268</v>
      </c>
      <c r="F4714" t="s">
        <v>75</v>
      </c>
      <c r="I4714" s="6">
        <v>0</v>
      </c>
      <c r="J4714" s="6">
        <v>0</v>
      </c>
      <c r="K4714" s="6">
        <v>1</v>
      </c>
      <c r="L4714" s="6">
        <v>0</v>
      </c>
      <c r="M4714" s="6">
        <v>0</v>
      </c>
      <c r="N4714" s="6">
        <v>0</v>
      </c>
      <c r="O4714" s="6">
        <v>0</v>
      </c>
      <c r="P4714" s="6">
        <v>0</v>
      </c>
      <c r="Q4714">
        <v>1</v>
      </c>
      <c r="R4714">
        <f t="shared" si="365"/>
        <v>0</v>
      </c>
      <c r="S4714">
        <f t="shared" si="366"/>
        <v>1</v>
      </c>
      <c r="T4714">
        <f t="shared" si="367"/>
        <v>1</v>
      </c>
      <c r="U4714">
        <f t="shared" si="368"/>
        <v>1</v>
      </c>
      <c r="V4714">
        <f t="shared" si="369"/>
        <v>0</v>
      </c>
    </row>
    <row r="4715" spans="1:22" x14ac:dyDescent="0.25">
      <c r="A4715">
        <v>4712</v>
      </c>
      <c r="B4715" t="s">
        <v>32</v>
      </c>
      <c r="C4715" t="s">
        <v>1455</v>
      </c>
      <c r="D4715" s="4">
        <v>45344</v>
      </c>
      <c r="E4715" t="s">
        <v>1511</v>
      </c>
      <c r="F4715" t="s">
        <v>75</v>
      </c>
      <c r="I4715" s="6">
        <v>0</v>
      </c>
      <c r="J4715" s="6">
        <v>0</v>
      </c>
      <c r="K4715" s="6">
        <v>0</v>
      </c>
      <c r="L4715" s="6">
        <v>1</v>
      </c>
      <c r="M4715" s="6">
        <v>0</v>
      </c>
      <c r="N4715" s="6">
        <v>0</v>
      </c>
      <c r="O4715" s="6">
        <v>0</v>
      </c>
      <c r="P4715" s="6">
        <v>0</v>
      </c>
      <c r="Q4715">
        <v>1</v>
      </c>
      <c r="R4715">
        <f t="shared" si="365"/>
        <v>0</v>
      </c>
      <c r="S4715">
        <f t="shared" si="366"/>
        <v>1</v>
      </c>
      <c r="T4715">
        <f t="shared" si="367"/>
        <v>1</v>
      </c>
      <c r="U4715">
        <f t="shared" si="368"/>
        <v>1</v>
      </c>
      <c r="V4715">
        <f t="shared" si="369"/>
        <v>0</v>
      </c>
    </row>
    <row r="4716" spans="1:22" x14ac:dyDescent="0.25">
      <c r="A4716">
        <v>4713</v>
      </c>
      <c r="B4716" t="s">
        <v>32</v>
      </c>
      <c r="C4716" t="s">
        <v>1455</v>
      </c>
      <c r="D4716" s="4">
        <v>45344</v>
      </c>
      <c r="E4716" t="s">
        <v>1048</v>
      </c>
      <c r="F4716" t="s">
        <v>75</v>
      </c>
      <c r="I4716" s="6"/>
      <c r="J4716" s="6"/>
      <c r="K4716" s="6"/>
      <c r="L4716" s="6"/>
      <c r="M4716" s="6"/>
      <c r="N4716" s="6"/>
      <c r="O4716" s="6"/>
      <c r="P4716" s="6"/>
      <c r="Q4716">
        <v>0</v>
      </c>
      <c r="R4716">
        <f t="shared" si="365"/>
        <v>0</v>
      </c>
      <c r="S4716">
        <f t="shared" si="366"/>
        <v>0</v>
      </c>
      <c r="T4716">
        <f t="shared" si="367"/>
        <v>0</v>
      </c>
      <c r="U4716">
        <f t="shared" si="368"/>
        <v>0</v>
      </c>
      <c r="V4716">
        <f t="shared" si="369"/>
        <v>0</v>
      </c>
    </row>
    <row r="4717" spans="1:22" x14ac:dyDescent="0.25">
      <c r="A4717">
        <v>4714</v>
      </c>
      <c r="B4717" t="s">
        <v>32</v>
      </c>
      <c r="C4717" t="s">
        <v>1455</v>
      </c>
      <c r="D4717" s="4">
        <v>45344</v>
      </c>
      <c r="E4717" t="s">
        <v>1285</v>
      </c>
      <c r="F4717" t="s">
        <v>75</v>
      </c>
      <c r="I4717" s="6"/>
      <c r="J4717" s="6"/>
      <c r="K4717" s="6"/>
      <c r="L4717" s="6"/>
      <c r="M4717" s="6"/>
      <c r="N4717" s="6"/>
      <c r="O4717" s="6"/>
      <c r="P4717" s="6"/>
      <c r="Q4717">
        <v>0</v>
      </c>
      <c r="R4717">
        <f t="shared" si="365"/>
        <v>0</v>
      </c>
      <c r="S4717">
        <f t="shared" si="366"/>
        <v>0</v>
      </c>
      <c r="T4717">
        <f t="shared" si="367"/>
        <v>0</v>
      </c>
      <c r="U4717">
        <f t="shared" si="368"/>
        <v>0</v>
      </c>
      <c r="V4717">
        <f t="shared" si="369"/>
        <v>0</v>
      </c>
    </row>
    <row r="4718" spans="1:22" x14ac:dyDescent="0.25">
      <c r="A4718">
        <v>4715</v>
      </c>
      <c r="B4718" t="s">
        <v>32</v>
      </c>
      <c r="C4718" t="s">
        <v>1455</v>
      </c>
      <c r="D4718" s="4">
        <v>45344</v>
      </c>
      <c r="E4718" t="s">
        <v>1286</v>
      </c>
      <c r="F4718" t="s">
        <v>75</v>
      </c>
      <c r="I4718" s="6"/>
      <c r="J4718" s="6"/>
      <c r="K4718" s="6"/>
      <c r="L4718" s="6"/>
      <c r="M4718" s="6"/>
      <c r="N4718" s="6"/>
      <c r="O4718" s="6"/>
      <c r="P4718" s="6"/>
      <c r="Q4718">
        <v>0</v>
      </c>
      <c r="R4718">
        <f t="shared" si="365"/>
        <v>0</v>
      </c>
      <c r="S4718">
        <f t="shared" si="366"/>
        <v>0</v>
      </c>
      <c r="T4718">
        <f t="shared" si="367"/>
        <v>0</v>
      </c>
      <c r="U4718">
        <f t="shared" si="368"/>
        <v>0</v>
      </c>
      <c r="V4718">
        <f t="shared" si="369"/>
        <v>0</v>
      </c>
    </row>
    <row r="4719" spans="1:22" x14ac:dyDescent="0.25">
      <c r="A4719">
        <v>4716</v>
      </c>
      <c r="B4719" t="s">
        <v>32</v>
      </c>
      <c r="C4719" t="s">
        <v>1455</v>
      </c>
      <c r="D4719" s="4">
        <v>45344</v>
      </c>
      <c r="E4719" t="s">
        <v>2267</v>
      </c>
      <c r="F4719" t="s">
        <v>75</v>
      </c>
      <c r="I4719" s="6"/>
      <c r="J4719" s="6"/>
      <c r="K4719" s="6"/>
      <c r="L4719" s="6"/>
      <c r="M4719" s="6"/>
      <c r="N4719" s="6"/>
      <c r="O4719" s="6"/>
      <c r="P4719" s="6"/>
      <c r="Q4719">
        <v>0</v>
      </c>
      <c r="R4719">
        <f t="shared" si="365"/>
        <v>0</v>
      </c>
      <c r="S4719">
        <f t="shared" si="366"/>
        <v>0</v>
      </c>
      <c r="T4719">
        <f t="shared" si="367"/>
        <v>0</v>
      </c>
      <c r="U4719">
        <f t="shared" si="368"/>
        <v>0</v>
      </c>
      <c r="V4719">
        <f t="shared" si="369"/>
        <v>0</v>
      </c>
    </row>
    <row r="4720" spans="1:22" x14ac:dyDescent="0.25">
      <c r="A4720">
        <v>4717</v>
      </c>
      <c r="B4720" t="s">
        <v>32</v>
      </c>
      <c r="C4720" t="s">
        <v>1455</v>
      </c>
      <c r="D4720" s="4">
        <v>45344</v>
      </c>
      <c r="E4720" t="s">
        <v>1462</v>
      </c>
      <c r="F4720" t="s">
        <v>413</v>
      </c>
      <c r="G4720">
        <v>229</v>
      </c>
      <c r="I4720" s="6">
        <v>0</v>
      </c>
      <c r="J4720" s="6">
        <v>0</v>
      </c>
      <c r="K4720" s="6">
        <v>0</v>
      </c>
      <c r="L4720" s="6">
        <v>0</v>
      </c>
      <c r="M4720" s="6">
        <v>0</v>
      </c>
      <c r="N4720" s="6">
        <v>0</v>
      </c>
      <c r="O4720" s="6">
        <v>1</v>
      </c>
      <c r="P4720" s="6">
        <v>0</v>
      </c>
      <c r="Q4720">
        <v>1</v>
      </c>
      <c r="R4720">
        <f t="shared" si="365"/>
        <v>1</v>
      </c>
      <c r="S4720">
        <f t="shared" si="366"/>
        <v>0</v>
      </c>
      <c r="T4720">
        <f t="shared" si="367"/>
        <v>1</v>
      </c>
      <c r="U4720">
        <f t="shared" si="368"/>
        <v>1</v>
      </c>
      <c r="V4720">
        <f t="shared" si="369"/>
        <v>1</v>
      </c>
    </row>
    <row r="4721" spans="1:22" x14ac:dyDescent="0.25">
      <c r="A4721">
        <v>4718</v>
      </c>
      <c r="B4721" t="s">
        <v>32</v>
      </c>
      <c r="C4721" t="s">
        <v>1455</v>
      </c>
      <c r="D4721" s="4">
        <v>45344</v>
      </c>
      <c r="E4721" t="s">
        <v>2266</v>
      </c>
      <c r="F4721" t="s">
        <v>75</v>
      </c>
      <c r="I4721" s="6"/>
      <c r="J4721" s="6"/>
      <c r="K4721" s="6"/>
      <c r="L4721" s="6"/>
      <c r="M4721" s="6"/>
      <c r="N4721" s="6"/>
      <c r="O4721" s="6"/>
      <c r="P4721" s="6"/>
      <c r="Q4721">
        <v>0</v>
      </c>
      <c r="R4721">
        <f t="shared" si="365"/>
        <v>0</v>
      </c>
      <c r="S4721">
        <f t="shared" si="366"/>
        <v>0</v>
      </c>
      <c r="T4721">
        <f t="shared" si="367"/>
        <v>0</v>
      </c>
      <c r="U4721">
        <f t="shared" si="368"/>
        <v>0</v>
      </c>
      <c r="V4721">
        <f t="shared" si="369"/>
        <v>0</v>
      </c>
    </row>
    <row r="4722" spans="1:22" x14ac:dyDescent="0.25">
      <c r="A4722">
        <v>4719</v>
      </c>
      <c r="B4722" t="s">
        <v>32</v>
      </c>
      <c r="C4722" t="s">
        <v>1455</v>
      </c>
      <c r="D4722" s="4">
        <v>45345</v>
      </c>
      <c r="E4722" t="s">
        <v>1049</v>
      </c>
      <c r="F4722" t="s">
        <v>75</v>
      </c>
      <c r="I4722" s="6">
        <v>0</v>
      </c>
      <c r="J4722" s="6">
        <v>0</v>
      </c>
      <c r="K4722" s="6">
        <v>1</v>
      </c>
      <c r="L4722" s="6">
        <v>0</v>
      </c>
      <c r="M4722" s="6">
        <v>0</v>
      </c>
      <c r="N4722" s="6">
        <v>0</v>
      </c>
      <c r="O4722" s="6">
        <v>0</v>
      </c>
      <c r="P4722" s="6">
        <v>0</v>
      </c>
      <c r="Q4722">
        <v>1</v>
      </c>
      <c r="R4722">
        <f t="shared" si="365"/>
        <v>0</v>
      </c>
      <c r="S4722">
        <f t="shared" si="366"/>
        <v>1</v>
      </c>
      <c r="T4722">
        <f t="shared" si="367"/>
        <v>1</v>
      </c>
      <c r="U4722">
        <f t="shared" si="368"/>
        <v>1</v>
      </c>
      <c r="V4722">
        <f t="shared" si="369"/>
        <v>0</v>
      </c>
    </row>
    <row r="4723" spans="1:22" x14ac:dyDescent="0.25">
      <c r="A4723">
        <v>4720</v>
      </c>
      <c r="B4723" t="s">
        <v>32</v>
      </c>
      <c r="C4723" t="s">
        <v>1455</v>
      </c>
      <c r="D4723" s="4">
        <v>45345</v>
      </c>
      <c r="E4723" t="s">
        <v>2265</v>
      </c>
      <c r="F4723" t="s">
        <v>75</v>
      </c>
      <c r="I4723" s="6"/>
      <c r="J4723" s="6"/>
      <c r="K4723" s="6"/>
      <c r="L4723" s="6"/>
      <c r="M4723" s="6"/>
      <c r="N4723" s="6"/>
      <c r="O4723" s="6"/>
      <c r="P4723" s="6"/>
      <c r="Q4723">
        <v>0</v>
      </c>
      <c r="R4723">
        <f t="shared" si="365"/>
        <v>0</v>
      </c>
      <c r="S4723">
        <f t="shared" si="366"/>
        <v>0</v>
      </c>
      <c r="T4723">
        <f t="shared" si="367"/>
        <v>0</v>
      </c>
      <c r="U4723">
        <f t="shared" si="368"/>
        <v>0</v>
      </c>
      <c r="V4723">
        <f t="shared" si="369"/>
        <v>0</v>
      </c>
    </row>
    <row r="4724" spans="1:22" x14ac:dyDescent="0.25">
      <c r="A4724">
        <v>4721</v>
      </c>
      <c r="B4724" t="s">
        <v>32</v>
      </c>
      <c r="C4724" t="s">
        <v>1455</v>
      </c>
      <c r="D4724" s="4">
        <v>45345</v>
      </c>
      <c r="E4724" t="s">
        <v>1463</v>
      </c>
      <c r="F4724" t="s">
        <v>75</v>
      </c>
      <c r="I4724" s="6"/>
      <c r="J4724" s="6"/>
      <c r="K4724" s="6"/>
      <c r="L4724" s="6"/>
      <c r="M4724" s="6"/>
      <c r="N4724" s="6"/>
      <c r="O4724" s="6"/>
      <c r="P4724" s="6"/>
      <c r="Q4724">
        <v>0</v>
      </c>
      <c r="R4724">
        <f t="shared" si="365"/>
        <v>0</v>
      </c>
      <c r="S4724">
        <f t="shared" si="366"/>
        <v>0</v>
      </c>
      <c r="T4724">
        <f t="shared" si="367"/>
        <v>0</v>
      </c>
      <c r="U4724">
        <f t="shared" si="368"/>
        <v>0</v>
      </c>
      <c r="V4724">
        <f t="shared" si="369"/>
        <v>0</v>
      </c>
    </row>
    <row r="4725" spans="1:22" x14ac:dyDescent="0.25">
      <c r="A4725">
        <v>4722</v>
      </c>
      <c r="B4725" t="s">
        <v>32</v>
      </c>
      <c r="C4725" t="s">
        <v>1455</v>
      </c>
      <c r="D4725" s="4">
        <v>45345</v>
      </c>
      <c r="E4725" t="s">
        <v>1464</v>
      </c>
      <c r="F4725" t="s">
        <v>75</v>
      </c>
      <c r="I4725" s="6">
        <v>0</v>
      </c>
      <c r="J4725" s="6">
        <v>0</v>
      </c>
      <c r="K4725" s="6">
        <v>1</v>
      </c>
      <c r="L4725" s="6">
        <v>0</v>
      </c>
      <c r="M4725" s="6">
        <v>0</v>
      </c>
      <c r="N4725" s="6">
        <v>0</v>
      </c>
      <c r="O4725" s="6">
        <v>0</v>
      </c>
      <c r="P4725" s="6">
        <v>0</v>
      </c>
      <c r="Q4725">
        <v>1</v>
      </c>
      <c r="R4725">
        <f t="shared" si="365"/>
        <v>0</v>
      </c>
      <c r="S4725">
        <f t="shared" si="366"/>
        <v>1</v>
      </c>
      <c r="T4725">
        <f t="shared" si="367"/>
        <v>1</v>
      </c>
      <c r="U4725">
        <f t="shared" si="368"/>
        <v>1</v>
      </c>
      <c r="V4725">
        <f t="shared" si="369"/>
        <v>0</v>
      </c>
    </row>
    <row r="4726" spans="1:22" x14ac:dyDescent="0.25">
      <c r="A4726">
        <v>4723</v>
      </c>
      <c r="B4726" t="s">
        <v>32</v>
      </c>
      <c r="C4726" t="s">
        <v>1455</v>
      </c>
      <c r="D4726" s="4">
        <v>45345</v>
      </c>
      <c r="E4726" t="s">
        <v>1288</v>
      </c>
      <c r="F4726" t="s">
        <v>75</v>
      </c>
      <c r="I4726" s="6"/>
      <c r="J4726" s="6"/>
      <c r="K4726" s="6"/>
      <c r="L4726" s="6"/>
      <c r="M4726" s="6"/>
      <c r="N4726" s="6"/>
      <c r="O4726" s="6"/>
      <c r="P4726" s="6"/>
      <c r="Q4726">
        <v>0</v>
      </c>
      <c r="R4726">
        <f t="shared" si="365"/>
        <v>0</v>
      </c>
      <c r="S4726">
        <f t="shared" si="366"/>
        <v>0</v>
      </c>
      <c r="T4726">
        <f t="shared" si="367"/>
        <v>0</v>
      </c>
      <c r="U4726">
        <f t="shared" si="368"/>
        <v>0</v>
      </c>
      <c r="V4726">
        <f t="shared" si="369"/>
        <v>0</v>
      </c>
    </row>
    <row r="4727" spans="1:22" x14ac:dyDescent="0.25">
      <c r="A4727">
        <v>4724</v>
      </c>
      <c r="B4727" t="s">
        <v>32</v>
      </c>
      <c r="C4727" t="s">
        <v>1455</v>
      </c>
      <c r="D4727" s="4">
        <v>45345</v>
      </c>
      <c r="E4727" t="s">
        <v>1512</v>
      </c>
      <c r="F4727" t="s">
        <v>75</v>
      </c>
      <c r="I4727" s="6">
        <v>0</v>
      </c>
      <c r="J4727" s="6">
        <v>0</v>
      </c>
      <c r="K4727" s="6">
        <v>0</v>
      </c>
      <c r="L4727" s="6">
        <v>0</v>
      </c>
      <c r="M4727" s="6">
        <v>0</v>
      </c>
      <c r="N4727" s="6">
        <v>0</v>
      </c>
      <c r="O4727" s="6">
        <v>1</v>
      </c>
      <c r="P4727" s="6">
        <v>0</v>
      </c>
      <c r="Q4727">
        <v>1</v>
      </c>
      <c r="R4727">
        <f t="shared" si="365"/>
        <v>0</v>
      </c>
      <c r="S4727">
        <f t="shared" si="366"/>
        <v>1</v>
      </c>
      <c r="T4727">
        <f t="shared" si="367"/>
        <v>1</v>
      </c>
      <c r="U4727">
        <f t="shared" si="368"/>
        <v>1</v>
      </c>
      <c r="V4727">
        <f t="shared" si="369"/>
        <v>0</v>
      </c>
    </row>
    <row r="4728" spans="1:22" x14ac:dyDescent="0.25">
      <c r="A4728">
        <v>4725</v>
      </c>
      <c r="B4728" t="s">
        <v>32</v>
      </c>
      <c r="C4728" t="s">
        <v>1455</v>
      </c>
      <c r="D4728" s="4">
        <v>45346</v>
      </c>
      <c r="E4728" t="s">
        <v>1050</v>
      </c>
      <c r="F4728" t="s">
        <v>75</v>
      </c>
      <c r="I4728" s="6"/>
      <c r="J4728" s="6"/>
      <c r="K4728" s="6"/>
      <c r="L4728" s="6"/>
      <c r="M4728" s="6"/>
      <c r="N4728" s="6"/>
      <c r="O4728" s="6"/>
      <c r="P4728" s="6"/>
      <c r="Q4728">
        <v>0</v>
      </c>
      <c r="R4728">
        <f t="shared" si="365"/>
        <v>0</v>
      </c>
      <c r="S4728">
        <f t="shared" si="366"/>
        <v>0</v>
      </c>
      <c r="T4728">
        <f t="shared" si="367"/>
        <v>0</v>
      </c>
      <c r="U4728">
        <f t="shared" si="368"/>
        <v>0</v>
      </c>
      <c r="V4728">
        <f t="shared" si="369"/>
        <v>0</v>
      </c>
    </row>
    <row r="4729" spans="1:22" x14ac:dyDescent="0.25">
      <c r="A4729">
        <v>4726</v>
      </c>
      <c r="B4729" t="s">
        <v>32</v>
      </c>
      <c r="C4729" t="s">
        <v>1455</v>
      </c>
      <c r="D4729" s="4">
        <v>45346</v>
      </c>
      <c r="E4729" t="s">
        <v>1051</v>
      </c>
      <c r="F4729" t="s">
        <v>75</v>
      </c>
      <c r="I4729" s="6">
        <v>0</v>
      </c>
      <c r="J4729" s="6">
        <v>0</v>
      </c>
      <c r="K4729" s="6">
        <v>0</v>
      </c>
      <c r="L4729" s="6">
        <v>0</v>
      </c>
      <c r="M4729" s="6">
        <v>0</v>
      </c>
      <c r="N4729" s="6">
        <v>0</v>
      </c>
      <c r="O4729" s="6">
        <v>0</v>
      </c>
      <c r="P4729" s="6">
        <v>0</v>
      </c>
      <c r="Q4729">
        <v>1</v>
      </c>
      <c r="R4729">
        <f t="shared" si="365"/>
        <v>0</v>
      </c>
      <c r="S4729">
        <f t="shared" si="366"/>
        <v>1</v>
      </c>
      <c r="T4729">
        <f t="shared" si="367"/>
        <v>0</v>
      </c>
      <c r="U4729">
        <f t="shared" si="368"/>
        <v>0</v>
      </c>
      <c r="V4729">
        <f t="shared" si="369"/>
        <v>0</v>
      </c>
    </row>
    <row r="4730" spans="1:22" x14ac:dyDescent="0.25">
      <c r="A4730">
        <v>4727</v>
      </c>
      <c r="B4730" t="s">
        <v>32</v>
      </c>
      <c r="C4730" t="s">
        <v>1455</v>
      </c>
      <c r="D4730" s="4">
        <v>45346</v>
      </c>
      <c r="E4730" t="s">
        <v>1513</v>
      </c>
      <c r="F4730" t="s">
        <v>75</v>
      </c>
      <c r="I4730" s="6">
        <v>0</v>
      </c>
      <c r="J4730" s="6">
        <v>0</v>
      </c>
      <c r="K4730" s="6">
        <v>1</v>
      </c>
      <c r="L4730" s="6">
        <v>0</v>
      </c>
      <c r="M4730" s="6">
        <v>0</v>
      </c>
      <c r="N4730" s="6">
        <v>0</v>
      </c>
      <c r="O4730" s="6">
        <v>0</v>
      </c>
      <c r="P4730" s="6">
        <v>0</v>
      </c>
      <c r="Q4730">
        <v>1</v>
      </c>
      <c r="R4730">
        <f t="shared" si="365"/>
        <v>0</v>
      </c>
      <c r="S4730">
        <f t="shared" si="366"/>
        <v>1</v>
      </c>
      <c r="T4730">
        <f t="shared" si="367"/>
        <v>1</v>
      </c>
      <c r="U4730">
        <f t="shared" si="368"/>
        <v>1</v>
      </c>
      <c r="V4730">
        <f t="shared" si="369"/>
        <v>0</v>
      </c>
    </row>
    <row r="4731" spans="1:22" x14ac:dyDescent="0.25">
      <c r="A4731">
        <v>4728</v>
      </c>
      <c r="B4731" t="s">
        <v>32</v>
      </c>
      <c r="C4731" t="s">
        <v>1455</v>
      </c>
      <c r="D4731" s="4">
        <v>45346</v>
      </c>
      <c r="E4731" t="s">
        <v>1118</v>
      </c>
      <c r="F4731" t="s">
        <v>75</v>
      </c>
      <c r="I4731" s="6"/>
      <c r="J4731" s="6"/>
      <c r="K4731" s="6"/>
      <c r="L4731" s="6"/>
      <c r="M4731" s="6"/>
      <c r="N4731" s="6"/>
      <c r="O4731" s="6"/>
      <c r="P4731" s="6"/>
      <c r="Q4731">
        <v>0</v>
      </c>
      <c r="R4731">
        <f t="shared" si="365"/>
        <v>0</v>
      </c>
      <c r="S4731">
        <f t="shared" si="366"/>
        <v>0</v>
      </c>
      <c r="T4731">
        <f t="shared" si="367"/>
        <v>0</v>
      </c>
      <c r="U4731">
        <f t="shared" si="368"/>
        <v>0</v>
      </c>
      <c r="V4731">
        <f t="shared" si="369"/>
        <v>0</v>
      </c>
    </row>
    <row r="4732" spans="1:22" x14ac:dyDescent="0.25">
      <c r="A4732">
        <v>4729</v>
      </c>
      <c r="B4732" t="s">
        <v>32</v>
      </c>
      <c r="C4732" t="s">
        <v>1455</v>
      </c>
      <c r="D4732" s="4">
        <v>45346</v>
      </c>
      <c r="E4732" t="s">
        <v>2264</v>
      </c>
      <c r="F4732" t="s">
        <v>75</v>
      </c>
      <c r="I4732" s="6"/>
      <c r="J4732" s="6"/>
      <c r="K4732" s="6"/>
      <c r="L4732" s="6"/>
      <c r="M4732" s="6"/>
      <c r="N4732" s="6"/>
      <c r="O4732" s="6"/>
      <c r="P4732" s="6"/>
      <c r="Q4732">
        <v>0</v>
      </c>
      <c r="R4732">
        <f t="shared" si="365"/>
        <v>0</v>
      </c>
      <c r="S4732">
        <f t="shared" si="366"/>
        <v>0</v>
      </c>
      <c r="T4732">
        <f t="shared" si="367"/>
        <v>0</v>
      </c>
      <c r="U4732">
        <f t="shared" si="368"/>
        <v>0</v>
      </c>
      <c r="V4732">
        <f t="shared" si="369"/>
        <v>0</v>
      </c>
    </row>
    <row r="4733" spans="1:22" x14ac:dyDescent="0.25">
      <c r="A4733">
        <v>4730</v>
      </c>
      <c r="B4733" t="s">
        <v>32</v>
      </c>
      <c r="C4733" t="s">
        <v>1455</v>
      </c>
      <c r="D4733" s="4">
        <v>45346</v>
      </c>
      <c r="E4733" t="s">
        <v>2263</v>
      </c>
      <c r="F4733" t="s">
        <v>75</v>
      </c>
      <c r="I4733" s="6"/>
      <c r="J4733" s="6"/>
      <c r="K4733" s="6"/>
      <c r="L4733" s="6"/>
      <c r="M4733" s="6"/>
      <c r="N4733" s="6"/>
      <c r="O4733" s="6"/>
      <c r="P4733" s="6"/>
      <c r="Q4733">
        <v>0</v>
      </c>
      <c r="R4733">
        <f t="shared" si="365"/>
        <v>0</v>
      </c>
      <c r="S4733">
        <f t="shared" si="366"/>
        <v>0</v>
      </c>
      <c r="T4733">
        <f t="shared" si="367"/>
        <v>0</v>
      </c>
      <c r="U4733">
        <f t="shared" si="368"/>
        <v>0</v>
      </c>
      <c r="V4733">
        <f t="shared" si="369"/>
        <v>0</v>
      </c>
    </row>
    <row r="4734" spans="1:22" x14ac:dyDescent="0.25">
      <c r="A4734">
        <v>4731</v>
      </c>
      <c r="B4734" t="s">
        <v>32</v>
      </c>
      <c r="C4734" t="s">
        <v>1455</v>
      </c>
      <c r="D4734" s="4">
        <v>45347</v>
      </c>
      <c r="E4734" t="s">
        <v>1514</v>
      </c>
      <c r="F4734" t="s">
        <v>75</v>
      </c>
      <c r="I4734" s="6">
        <v>0</v>
      </c>
      <c r="J4734" s="6">
        <v>0</v>
      </c>
      <c r="K4734" s="6">
        <v>1</v>
      </c>
      <c r="L4734" s="6">
        <v>1</v>
      </c>
      <c r="M4734" s="6">
        <v>1</v>
      </c>
      <c r="N4734" s="6">
        <v>0</v>
      </c>
      <c r="O4734" s="6">
        <v>0</v>
      </c>
      <c r="P4734" s="6">
        <v>0</v>
      </c>
      <c r="Q4734">
        <v>1</v>
      </c>
      <c r="R4734">
        <f t="shared" si="365"/>
        <v>0</v>
      </c>
      <c r="S4734">
        <f t="shared" si="366"/>
        <v>1</v>
      </c>
      <c r="T4734">
        <f t="shared" si="367"/>
        <v>3</v>
      </c>
      <c r="U4734">
        <f t="shared" si="368"/>
        <v>1</v>
      </c>
      <c r="V4734">
        <f t="shared" si="369"/>
        <v>0</v>
      </c>
    </row>
    <row r="4735" spans="1:22" x14ac:dyDescent="0.25">
      <c r="A4735">
        <v>4732</v>
      </c>
      <c r="B4735" t="s">
        <v>32</v>
      </c>
      <c r="C4735" t="s">
        <v>1455</v>
      </c>
      <c r="D4735" s="4">
        <v>45347</v>
      </c>
      <c r="E4735" t="s">
        <v>2262</v>
      </c>
      <c r="F4735" t="s">
        <v>75</v>
      </c>
      <c r="I4735" s="6"/>
      <c r="J4735" s="6"/>
      <c r="K4735" s="6"/>
      <c r="L4735" s="6"/>
      <c r="M4735" s="6"/>
      <c r="N4735" s="6"/>
      <c r="O4735" s="6"/>
      <c r="P4735" s="6"/>
      <c r="Q4735">
        <v>0</v>
      </c>
      <c r="R4735">
        <f t="shared" si="365"/>
        <v>0</v>
      </c>
      <c r="S4735">
        <f t="shared" si="366"/>
        <v>0</v>
      </c>
      <c r="T4735">
        <f t="shared" si="367"/>
        <v>0</v>
      </c>
      <c r="U4735">
        <f t="shared" si="368"/>
        <v>0</v>
      </c>
      <c r="V4735">
        <f t="shared" si="369"/>
        <v>0</v>
      </c>
    </row>
    <row r="4736" spans="1:22" x14ac:dyDescent="0.25">
      <c r="A4736">
        <v>4733</v>
      </c>
      <c r="B4736" t="s">
        <v>32</v>
      </c>
      <c r="C4736" t="s">
        <v>1455</v>
      </c>
      <c r="D4736" s="4">
        <v>45347</v>
      </c>
      <c r="E4736" t="s">
        <v>2261</v>
      </c>
      <c r="F4736" t="s">
        <v>75</v>
      </c>
      <c r="I4736" s="6">
        <v>0</v>
      </c>
      <c r="J4736" s="6">
        <v>0</v>
      </c>
      <c r="K4736" s="6">
        <v>1</v>
      </c>
      <c r="L4736" s="6">
        <v>0</v>
      </c>
      <c r="M4736" s="6">
        <v>0</v>
      </c>
      <c r="N4736" s="6">
        <v>0</v>
      </c>
      <c r="O4736" s="6">
        <v>0</v>
      </c>
      <c r="P4736" s="6">
        <v>0</v>
      </c>
      <c r="Q4736">
        <v>1</v>
      </c>
      <c r="R4736">
        <f t="shared" si="365"/>
        <v>0</v>
      </c>
      <c r="S4736">
        <f t="shared" si="366"/>
        <v>1</v>
      </c>
      <c r="T4736">
        <f t="shared" si="367"/>
        <v>1</v>
      </c>
      <c r="U4736">
        <f t="shared" si="368"/>
        <v>1</v>
      </c>
      <c r="V4736">
        <f t="shared" si="369"/>
        <v>0</v>
      </c>
    </row>
    <row r="4737" spans="1:22" x14ac:dyDescent="0.25">
      <c r="A4737">
        <v>4734</v>
      </c>
      <c r="B4737" t="s">
        <v>32</v>
      </c>
      <c r="C4737" t="s">
        <v>1455</v>
      </c>
      <c r="D4737" s="4">
        <v>45347</v>
      </c>
      <c r="E4737" t="s">
        <v>2260</v>
      </c>
      <c r="F4737" t="s">
        <v>75</v>
      </c>
      <c r="I4737" s="6"/>
      <c r="J4737" s="6"/>
      <c r="K4737" s="6"/>
      <c r="L4737" s="6"/>
      <c r="M4737" s="6"/>
      <c r="N4737" s="6"/>
      <c r="O4737" s="6"/>
      <c r="P4737" s="6"/>
      <c r="Q4737">
        <v>0</v>
      </c>
      <c r="R4737">
        <f t="shared" si="365"/>
        <v>0</v>
      </c>
      <c r="S4737">
        <f t="shared" si="366"/>
        <v>0</v>
      </c>
      <c r="T4737">
        <f t="shared" si="367"/>
        <v>0</v>
      </c>
      <c r="U4737">
        <f t="shared" si="368"/>
        <v>0</v>
      </c>
      <c r="V4737">
        <f t="shared" si="369"/>
        <v>0</v>
      </c>
    </row>
    <row r="4738" spans="1:22" x14ac:dyDescent="0.25">
      <c r="A4738">
        <v>4735</v>
      </c>
      <c r="B4738" t="s">
        <v>32</v>
      </c>
      <c r="C4738" t="s">
        <v>1455</v>
      </c>
      <c r="D4738" s="4">
        <v>45348</v>
      </c>
      <c r="E4738" t="s">
        <v>1293</v>
      </c>
      <c r="F4738" t="s">
        <v>75</v>
      </c>
      <c r="I4738" s="6"/>
      <c r="J4738" s="6"/>
      <c r="K4738" s="6"/>
      <c r="L4738" s="6"/>
      <c r="M4738" s="6"/>
      <c r="N4738" s="6"/>
      <c r="O4738" s="6"/>
      <c r="P4738" s="6"/>
      <c r="Q4738">
        <v>0</v>
      </c>
      <c r="R4738">
        <f t="shared" si="365"/>
        <v>0</v>
      </c>
      <c r="S4738">
        <f t="shared" si="366"/>
        <v>0</v>
      </c>
      <c r="T4738">
        <f t="shared" si="367"/>
        <v>0</v>
      </c>
      <c r="U4738">
        <f t="shared" si="368"/>
        <v>0</v>
      </c>
      <c r="V4738">
        <f t="shared" si="369"/>
        <v>0</v>
      </c>
    </row>
    <row r="4739" spans="1:22" x14ac:dyDescent="0.25">
      <c r="A4739">
        <v>4736</v>
      </c>
      <c r="B4739" t="s">
        <v>32</v>
      </c>
      <c r="C4739" t="s">
        <v>1455</v>
      </c>
      <c r="D4739" s="4">
        <v>45348</v>
      </c>
      <c r="E4739" t="s">
        <v>912</v>
      </c>
      <c r="F4739" t="s">
        <v>75</v>
      </c>
      <c r="I4739" s="6"/>
      <c r="J4739" s="6"/>
      <c r="K4739" s="6"/>
      <c r="L4739" s="6"/>
      <c r="M4739" s="6"/>
      <c r="N4739" s="6"/>
      <c r="O4739" s="6"/>
      <c r="P4739" s="6"/>
      <c r="Q4739">
        <v>0</v>
      </c>
      <c r="R4739">
        <f t="shared" ref="R4739:R4802" si="370">IF(AND(Q4739=1,F4739="ai_full"),1,0)</f>
        <v>0</v>
      </c>
      <c r="S4739">
        <f t="shared" ref="S4739:S4802" si="371">IF(AND(Q4739=1,F4739="conventional"),1,0)</f>
        <v>0</v>
      </c>
      <c r="T4739">
        <f t="shared" ref="T4739:T4802" si="372">SUM(I4739:P4739)</f>
        <v>0</v>
      </c>
      <c r="U4739">
        <f t="shared" ref="U4739:U4802" si="373">IF(T4739&gt;=1,1,0)</f>
        <v>0</v>
      </c>
      <c r="V4739">
        <f t="shared" ref="V4739:V4802" si="374">IF(F4739="ai_full",1,0)</f>
        <v>0</v>
      </c>
    </row>
    <row r="4740" spans="1:22" x14ac:dyDescent="0.25">
      <c r="A4740">
        <v>4737</v>
      </c>
      <c r="B4740" t="s">
        <v>32</v>
      </c>
      <c r="C4740" t="s">
        <v>1455</v>
      </c>
      <c r="D4740" s="4">
        <v>45348</v>
      </c>
      <c r="E4740" t="s">
        <v>1296</v>
      </c>
      <c r="F4740" t="s">
        <v>75</v>
      </c>
      <c r="I4740" s="6">
        <v>1</v>
      </c>
      <c r="J4740" s="6">
        <v>0</v>
      </c>
      <c r="K4740" s="6">
        <v>1</v>
      </c>
      <c r="L4740" s="6">
        <v>0</v>
      </c>
      <c r="M4740" s="6">
        <v>0</v>
      </c>
      <c r="N4740" s="6">
        <v>0</v>
      </c>
      <c r="O4740" s="6">
        <v>0</v>
      </c>
      <c r="P4740" s="6">
        <v>0</v>
      </c>
      <c r="Q4740">
        <v>1</v>
      </c>
      <c r="R4740">
        <f t="shared" si="370"/>
        <v>0</v>
      </c>
      <c r="S4740">
        <f t="shared" si="371"/>
        <v>1</v>
      </c>
      <c r="T4740">
        <f t="shared" si="372"/>
        <v>2</v>
      </c>
      <c r="U4740">
        <f t="shared" si="373"/>
        <v>1</v>
      </c>
      <c r="V4740">
        <f t="shared" si="374"/>
        <v>0</v>
      </c>
    </row>
    <row r="4741" spans="1:22" x14ac:dyDescent="0.25">
      <c r="A4741">
        <v>4738</v>
      </c>
      <c r="B4741" t="s">
        <v>32</v>
      </c>
      <c r="C4741" t="s">
        <v>1455</v>
      </c>
      <c r="D4741" s="4">
        <v>45348</v>
      </c>
      <c r="E4741" t="s">
        <v>2259</v>
      </c>
      <c r="F4741" t="s">
        <v>75</v>
      </c>
      <c r="I4741" s="6"/>
      <c r="J4741" s="6"/>
      <c r="K4741" s="6"/>
      <c r="L4741" s="6"/>
      <c r="M4741" s="6"/>
      <c r="N4741" s="6"/>
      <c r="O4741" s="6"/>
      <c r="P4741" s="6"/>
      <c r="Q4741">
        <v>0</v>
      </c>
      <c r="R4741">
        <f t="shared" si="370"/>
        <v>0</v>
      </c>
      <c r="S4741">
        <f t="shared" si="371"/>
        <v>0</v>
      </c>
      <c r="T4741">
        <f t="shared" si="372"/>
        <v>0</v>
      </c>
      <c r="U4741">
        <f t="shared" si="373"/>
        <v>0</v>
      </c>
      <c r="V4741">
        <f t="shared" si="374"/>
        <v>0</v>
      </c>
    </row>
    <row r="4742" spans="1:22" x14ac:dyDescent="0.25">
      <c r="A4742">
        <v>4739</v>
      </c>
      <c r="B4742" t="s">
        <v>32</v>
      </c>
      <c r="C4742" t="s">
        <v>1455</v>
      </c>
      <c r="D4742" s="4">
        <v>45349</v>
      </c>
      <c r="E4742" t="s">
        <v>1515</v>
      </c>
      <c r="F4742" t="s">
        <v>75</v>
      </c>
      <c r="H4742" t="s">
        <v>1516</v>
      </c>
      <c r="I4742" s="6">
        <v>0</v>
      </c>
      <c r="J4742" s="6">
        <v>0</v>
      </c>
      <c r="K4742" s="6">
        <v>0</v>
      </c>
      <c r="L4742" s="6">
        <v>0</v>
      </c>
      <c r="M4742" s="6">
        <v>0</v>
      </c>
      <c r="N4742" s="6">
        <v>0</v>
      </c>
      <c r="O4742" s="6">
        <v>0</v>
      </c>
      <c r="P4742" s="6">
        <v>0</v>
      </c>
      <c r="Q4742">
        <v>1</v>
      </c>
      <c r="R4742">
        <f t="shared" si="370"/>
        <v>0</v>
      </c>
      <c r="S4742">
        <f t="shared" si="371"/>
        <v>1</v>
      </c>
      <c r="T4742">
        <f t="shared" si="372"/>
        <v>0</v>
      </c>
      <c r="U4742">
        <f t="shared" si="373"/>
        <v>0</v>
      </c>
      <c r="V4742">
        <f t="shared" si="374"/>
        <v>0</v>
      </c>
    </row>
    <row r="4743" spans="1:22" x14ac:dyDescent="0.25">
      <c r="A4743">
        <v>4740</v>
      </c>
      <c r="B4743" t="s">
        <v>32</v>
      </c>
      <c r="C4743" t="s">
        <v>1455</v>
      </c>
      <c r="D4743" s="4">
        <v>45349</v>
      </c>
      <c r="E4743" t="s">
        <v>1465</v>
      </c>
      <c r="F4743" t="s">
        <v>75</v>
      </c>
      <c r="I4743" s="6"/>
      <c r="J4743" s="6"/>
      <c r="K4743" s="6"/>
      <c r="L4743" s="6"/>
      <c r="M4743" s="6"/>
      <c r="N4743" s="6"/>
      <c r="O4743" s="6"/>
      <c r="P4743" s="6"/>
      <c r="Q4743">
        <v>0</v>
      </c>
      <c r="R4743">
        <f t="shared" si="370"/>
        <v>0</v>
      </c>
      <c r="S4743">
        <f t="shared" si="371"/>
        <v>0</v>
      </c>
      <c r="T4743">
        <f t="shared" si="372"/>
        <v>0</v>
      </c>
      <c r="U4743">
        <f t="shared" si="373"/>
        <v>0</v>
      </c>
      <c r="V4743">
        <f t="shared" si="374"/>
        <v>0</v>
      </c>
    </row>
    <row r="4744" spans="1:22" x14ac:dyDescent="0.25">
      <c r="A4744">
        <v>4741</v>
      </c>
      <c r="B4744" t="s">
        <v>32</v>
      </c>
      <c r="C4744" t="s">
        <v>1455</v>
      </c>
      <c r="D4744" s="4">
        <v>45349</v>
      </c>
      <c r="E4744" t="s">
        <v>2258</v>
      </c>
      <c r="F4744" t="s">
        <v>75</v>
      </c>
      <c r="I4744" s="6"/>
      <c r="J4744" s="6"/>
      <c r="K4744" s="6"/>
      <c r="L4744" s="6"/>
      <c r="M4744" s="6"/>
      <c r="N4744" s="6"/>
      <c r="O4744" s="6"/>
      <c r="P4744" s="6"/>
      <c r="Q4744">
        <v>0</v>
      </c>
      <c r="R4744">
        <f t="shared" si="370"/>
        <v>0</v>
      </c>
      <c r="S4744">
        <f t="shared" si="371"/>
        <v>0</v>
      </c>
      <c r="T4744">
        <f t="shared" si="372"/>
        <v>0</v>
      </c>
      <c r="U4744">
        <f t="shared" si="373"/>
        <v>0</v>
      </c>
      <c r="V4744">
        <f t="shared" si="374"/>
        <v>0</v>
      </c>
    </row>
    <row r="4745" spans="1:22" x14ac:dyDescent="0.25">
      <c r="A4745">
        <v>4742</v>
      </c>
      <c r="B4745" t="s">
        <v>32</v>
      </c>
      <c r="C4745" t="s">
        <v>1455</v>
      </c>
      <c r="D4745" s="4">
        <v>45349</v>
      </c>
      <c r="E4745" t="s">
        <v>2257</v>
      </c>
      <c r="F4745" t="s">
        <v>75</v>
      </c>
      <c r="I4745" s="6"/>
      <c r="J4745" s="6"/>
      <c r="K4745" s="6"/>
      <c r="L4745" s="6"/>
      <c r="M4745" s="6"/>
      <c r="N4745" s="6"/>
      <c r="O4745" s="6"/>
      <c r="P4745" s="6"/>
      <c r="Q4745">
        <v>0</v>
      </c>
      <c r="R4745">
        <f t="shared" si="370"/>
        <v>0</v>
      </c>
      <c r="S4745">
        <f t="shared" si="371"/>
        <v>0</v>
      </c>
      <c r="T4745">
        <f t="shared" si="372"/>
        <v>0</v>
      </c>
      <c r="U4745">
        <f t="shared" si="373"/>
        <v>0</v>
      </c>
      <c r="V4745">
        <f t="shared" si="374"/>
        <v>0</v>
      </c>
    </row>
    <row r="4746" spans="1:22" x14ac:dyDescent="0.25">
      <c r="A4746">
        <v>4743</v>
      </c>
      <c r="B4746" t="s">
        <v>32</v>
      </c>
      <c r="C4746" t="s">
        <v>1455</v>
      </c>
      <c r="D4746" s="4">
        <v>45349</v>
      </c>
      <c r="E4746" t="s">
        <v>2256</v>
      </c>
      <c r="F4746" t="s">
        <v>75</v>
      </c>
      <c r="I4746" s="6">
        <v>0</v>
      </c>
      <c r="J4746" s="6">
        <v>0</v>
      </c>
      <c r="K4746" s="6">
        <v>0</v>
      </c>
      <c r="L4746" s="6">
        <v>0</v>
      </c>
      <c r="M4746" s="6">
        <v>1</v>
      </c>
      <c r="N4746" s="6">
        <v>1</v>
      </c>
      <c r="O4746" s="6">
        <v>0</v>
      </c>
      <c r="P4746" s="6">
        <v>0</v>
      </c>
      <c r="Q4746">
        <v>1</v>
      </c>
      <c r="R4746">
        <f t="shared" si="370"/>
        <v>0</v>
      </c>
      <c r="S4746">
        <f t="shared" si="371"/>
        <v>1</v>
      </c>
      <c r="T4746">
        <f t="shared" si="372"/>
        <v>2</v>
      </c>
      <c r="U4746">
        <f t="shared" si="373"/>
        <v>1</v>
      </c>
      <c r="V4746">
        <f t="shared" si="374"/>
        <v>0</v>
      </c>
    </row>
    <row r="4747" spans="1:22" x14ac:dyDescent="0.25">
      <c r="A4747">
        <v>4744</v>
      </c>
      <c r="B4747" t="s">
        <v>32</v>
      </c>
      <c r="C4747" t="s">
        <v>1455</v>
      </c>
      <c r="D4747" s="4">
        <v>45349</v>
      </c>
      <c r="E4747" t="s">
        <v>2255</v>
      </c>
      <c r="F4747" t="s">
        <v>75</v>
      </c>
      <c r="I4747" s="6"/>
      <c r="J4747" s="6"/>
      <c r="K4747" s="6"/>
      <c r="L4747" s="6"/>
      <c r="M4747" s="6"/>
      <c r="N4747" s="6"/>
      <c r="O4747" s="6"/>
      <c r="P4747" s="6"/>
      <c r="Q4747">
        <v>0</v>
      </c>
      <c r="R4747">
        <f t="shared" si="370"/>
        <v>0</v>
      </c>
      <c r="S4747">
        <f t="shared" si="371"/>
        <v>0</v>
      </c>
      <c r="T4747">
        <f t="shared" si="372"/>
        <v>0</v>
      </c>
      <c r="U4747">
        <f t="shared" si="373"/>
        <v>0</v>
      </c>
      <c r="V4747">
        <f t="shared" si="374"/>
        <v>0</v>
      </c>
    </row>
    <row r="4748" spans="1:22" x14ac:dyDescent="0.25">
      <c r="A4748">
        <v>4745</v>
      </c>
      <c r="B4748" t="s">
        <v>32</v>
      </c>
      <c r="C4748" t="s">
        <v>1455</v>
      </c>
      <c r="D4748" s="4">
        <v>45350</v>
      </c>
      <c r="E4748" t="s">
        <v>1119</v>
      </c>
      <c r="F4748" t="s">
        <v>75</v>
      </c>
      <c r="I4748" s="6"/>
      <c r="J4748" s="6"/>
      <c r="K4748" s="6"/>
      <c r="L4748" s="6"/>
      <c r="M4748" s="6"/>
      <c r="N4748" s="6"/>
      <c r="O4748" s="6"/>
      <c r="P4748" s="6"/>
      <c r="Q4748">
        <v>0</v>
      </c>
      <c r="R4748">
        <f t="shared" si="370"/>
        <v>0</v>
      </c>
      <c r="S4748">
        <f t="shared" si="371"/>
        <v>0</v>
      </c>
      <c r="T4748">
        <f t="shared" si="372"/>
        <v>0</v>
      </c>
      <c r="U4748">
        <f t="shared" si="373"/>
        <v>0</v>
      </c>
      <c r="V4748">
        <f t="shared" si="374"/>
        <v>0</v>
      </c>
    </row>
    <row r="4749" spans="1:22" x14ac:dyDescent="0.25">
      <c r="A4749">
        <v>4746</v>
      </c>
      <c r="B4749" t="s">
        <v>32</v>
      </c>
      <c r="C4749" t="s">
        <v>1455</v>
      </c>
      <c r="D4749" s="4">
        <v>45350</v>
      </c>
      <c r="E4749" t="s">
        <v>1466</v>
      </c>
      <c r="F4749" t="s">
        <v>75</v>
      </c>
      <c r="I4749" s="6">
        <v>0</v>
      </c>
      <c r="J4749" s="6">
        <v>0</v>
      </c>
      <c r="K4749" s="6">
        <v>0</v>
      </c>
      <c r="L4749" s="6">
        <v>1</v>
      </c>
      <c r="M4749" s="6">
        <v>0</v>
      </c>
      <c r="N4749" s="6">
        <v>1</v>
      </c>
      <c r="O4749" s="6">
        <v>0</v>
      </c>
      <c r="P4749" s="6">
        <v>0</v>
      </c>
      <c r="Q4749">
        <v>1</v>
      </c>
      <c r="R4749">
        <f t="shared" si="370"/>
        <v>0</v>
      </c>
      <c r="S4749">
        <f t="shared" si="371"/>
        <v>1</v>
      </c>
      <c r="T4749">
        <f t="shared" si="372"/>
        <v>2</v>
      </c>
      <c r="U4749">
        <f t="shared" si="373"/>
        <v>1</v>
      </c>
      <c r="V4749">
        <f t="shared" si="374"/>
        <v>0</v>
      </c>
    </row>
    <row r="4750" spans="1:22" x14ac:dyDescent="0.25">
      <c r="A4750">
        <v>4747</v>
      </c>
      <c r="B4750" t="s">
        <v>32</v>
      </c>
      <c r="C4750" t="s">
        <v>1455</v>
      </c>
      <c r="D4750" s="4">
        <v>45350</v>
      </c>
      <c r="E4750" t="s">
        <v>1120</v>
      </c>
      <c r="F4750" t="s">
        <v>75</v>
      </c>
      <c r="I4750" s="6"/>
      <c r="J4750" s="6"/>
      <c r="K4750" s="6"/>
      <c r="L4750" s="6"/>
      <c r="M4750" s="6"/>
      <c r="N4750" s="6"/>
      <c r="O4750" s="6"/>
      <c r="P4750" s="6"/>
      <c r="Q4750">
        <v>0</v>
      </c>
      <c r="R4750">
        <f t="shared" si="370"/>
        <v>0</v>
      </c>
      <c r="S4750">
        <f t="shared" si="371"/>
        <v>0</v>
      </c>
      <c r="T4750">
        <f t="shared" si="372"/>
        <v>0</v>
      </c>
      <c r="U4750">
        <f t="shared" si="373"/>
        <v>0</v>
      </c>
      <c r="V4750">
        <f t="shared" si="374"/>
        <v>0</v>
      </c>
    </row>
    <row r="4751" spans="1:22" x14ac:dyDescent="0.25">
      <c r="A4751">
        <v>4748</v>
      </c>
      <c r="B4751" t="s">
        <v>32</v>
      </c>
      <c r="C4751" t="s">
        <v>1455</v>
      </c>
      <c r="D4751" s="4">
        <v>45350</v>
      </c>
      <c r="E4751" t="s">
        <v>2254</v>
      </c>
      <c r="F4751" t="s">
        <v>75</v>
      </c>
      <c r="I4751" s="6">
        <v>0</v>
      </c>
      <c r="J4751" s="6">
        <v>0</v>
      </c>
      <c r="K4751" s="6">
        <v>1</v>
      </c>
      <c r="L4751" s="6">
        <v>0</v>
      </c>
      <c r="M4751" s="6">
        <v>0</v>
      </c>
      <c r="N4751" s="6">
        <v>0</v>
      </c>
      <c r="O4751" s="6">
        <v>0</v>
      </c>
      <c r="P4751" s="6">
        <v>0</v>
      </c>
      <c r="Q4751">
        <v>1</v>
      </c>
      <c r="R4751">
        <f t="shared" si="370"/>
        <v>0</v>
      </c>
      <c r="S4751">
        <f t="shared" si="371"/>
        <v>1</v>
      </c>
      <c r="T4751">
        <f t="shared" si="372"/>
        <v>1</v>
      </c>
      <c r="U4751">
        <f t="shared" si="373"/>
        <v>1</v>
      </c>
      <c r="V4751">
        <f t="shared" si="374"/>
        <v>0</v>
      </c>
    </row>
    <row r="4752" spans="1:22" x14ac:dyDescent="0.25">
      <c r="A4752">
        <v>4749</v>
      </c>
      <c r="B4752" t="s">
        <v>32</v>
      </c>
      <c r="C4752" t="s">
        <v>1455</v>
      </c>
      <c r="D4752" s="4">
        <v>45350</v>
      </c>
      <c r="E4752" t="s">
        <v>2253</v>
      </c>
      <c r="F4752" t="s">
        <v>75</v>
      </c>
      <c r="I4752" s="6"/>
      <c r="J4752" s="6"/>
      <c r="K4752" s="6"/>
      <c r="L4752" s="6"/>
      <c r="M4752" s="6"/>
      <c r="N4752" s="6"/>
      <c r="O4752" s="6"/>
      <c r="P4752" s="6"/>
      <c r="Q4752">
        <v>0</v>
      </c>
      <c r="R4752">
        <f t="shared" si="370"/>
        <v>0</v>
      </c>
      <c r="S4752">
        <f t="shared" si="371"/>
        <v>0</v>
      </c>
      <c r="T4752">
        <f t="shared" si="372"/>
        <v>0</v>
      </c>
      <c r="U4752">
        <f t="shared" si="373"/>
        <v>0</v>
      </c>
      <c r="V4752">
        <f t="shared" si="374"/>
        <v>0</v>
      </c>
    </row>
    <row r="4753" spans="1:22" x14ac:dyDescent="0.25">
      <c r="A4753">
        <v>4750</v>
      </c>
      <c r="B4753" t="s">
        <v>32</v>
      </c>
      <c r="C4753" t="s">
        <v>1455</v>
      </c>
      <c r="D4753" s="4">
        <v>45350</v>
      </c>
      <c r="E4753" t="s">
        <v>2252</v>
      </c>
      <c r="F4753" t="s">
        <v>75</v>
      </c>
      <c r="I4753" s="6"/>
      <c r="J4753" s="6"/>
      <c r="K4753" s="6"/>
      <c r="L4753" s="6"/>
      <c r="M4753" s="6"/>
      <c r="N4753" s="6"/>
      <c r="O4753" s="6"/>
      <c r="P4753" s="6"/>
      <c r="Q4753">
        <v>0</v>
      </c>
      <c r="R4753">
        <f t="shared" si="370"/>
        <v>0</v>
      </c>
      <c r="S4753">
        <f t="shared" si="371"/>
        <v>0</v>
      </c>
      <c r="T4753">
        <f t="shared" si="372"/>
        <v>0</v>
      </c>
      <c r="U4753">
        <f t="shared" si="373"/>
        <v>0</v>
      </c>
      <c r="V4753">
        <f t="shared" si="374"/>
        <v>0</v>
      </c>
    </row>
    <row r="4754" spans="1:22" x14ac:dyDescent="0.25">
      <c r="A4754">
        <v>4751</v>
      </c>
      <c r="B4754" t="s">
        <v>32</v>
      </c>
      <c r="C4754" t="s">
        <v>1455</v>
      </c>
      <c r="D4754" s="4">
        <v>45351</v>
      </c>
      <c r="E4754" t="s">
        <v>1121</v>
      </c>
      <c r="F4754" t="s">
        <v>75</v>
      </c>
      <c r="I4754" s="6"/>
      <c r="J4754" s="6"/>
      <c r="K4754" s="6"/>
      <c r="L4754" s="6"/>
      <c r="M4754" s="6"/>
      <c r="N4754" s="6"/>
      <c r="O4754" s="6"/>
      <c r="P4754" s="6"/>
      <c r="Q4754">
        <v>0</v>
      </c>
      <c r="R4754">
        <f t="shared" si="370"/>
        <v>0</v>
      </c>
      <c r="S4754">
        <f t="shared" si="371"/>
        <v>0</v>
      </c>
      <c r="T4754">
        <f t="shared" si="372"/>
        <v>0</v>
      </c>
      <c r="U4754">
        <f t="shared" si="373"/>
        <v>0</v>
      </c>
      <c r="V4754">
        <f t="shared" si="374"/>
        <v>0</v>
      </c>
    </row>
    <row r="4755" spans="1:22" x14ac:dyDescent="0.25">
      <c r="A4755">
        <v>4752</v>
      </c>
      <c r="B4755" t="s">
        <v>32</v>
      </c>
      <c r="C4755" t="s">
        <v>1455</v>
      </c>
      <c r="D4755" s="4">
        <v>45351</v>
      </c>
      <c r="E4755" t="s">
        <v>1122</v>
      </c>
      <c r="F4755" t="s">
        <v>75</v>
      </c>
      <c r="H4755" t="s">
        <v>1517</v>
      </c>
      <c r="I4755" s="6">
        <v>0</v>
      </c>
      <c r="J4755" s="6">
        <v>0</v>
      </c>
      <c r="K4755" s="6">
        <v>1</v>
      </c>
      <c r="L4755" s="6">
        <v>0</v>
      </c>
      <c r="M4755" s="6">
        <v>0</v>
      </c>
      <c r="N4755" s="6">
        <v>0</v>
      </c>
      <c r="O4755" s="6">
        <v>0</v>
      </c>
      <c r="P4755" s="6">
        <v>0</v>
      </c>
      <c r="Q4755">
        <v>1</v>
      </c>
      <c r="R4755">
        <f t="shared" si="370"/>
        <v>0</v>
      </c>
      <c r="S4755">
        <f t="shared" si="371"/>
        <v>1</v>
      </c>
      <c r="T4755">
        <f t="shared" si="372"/>
        <v>1</v>
      </c>
      <c r="U4755">
        <f t="shared" si="373"/>
        <v>1</v>
      </c>
      <c r="V4755">
        <f t="shared" si="374"/>
        <v>0</v>
      </c>
    </row>
    <row r="4756" spans="1:22" x14ac:dyDescent="0.25">
      <c r="A4756">
        <v>4753</v>
      </c>
      <c r="B4756" t="s">
        <v>32</v>
      </c>
      <c r="C4756" t="s">
        <v>1455</v>
      </c>
      <c r="D4756" s="4">
        <v>45351</v>
      </c>
      <c r="E4756" t="s">
        <v>1301</v>
      </c>
      <c r="F4756" t="s">
        <v>75</v>
      </c>
      <c r="I4756" s="6"/>
      <c r="J4756" s="6"/>
      <c r="K4756" s="6"/>
      <c r="L4756" s="6"/>
      <c r="M4756" s="6"/>
      <c r="N4756" s="6"/>
      <c r="O4756" s="6"/>
      <c r="P4756" s="6"/>
      <c r="Q4756">
        <v>0</v>
      </c>
      <c r="R4756">
        <f t="shared" si="370"/>
        <v>0</v>
      </c>
      <c r="S4756">
        <f t="shared" si="371"/>
        <v>0</v>
      </c>
      <c r="T4756">
        <f t="shared" si="372"/>
        <v>0</v>
      </c>
      <c r="U4756">
        <f t="shared" si="373"/>
        <v>0</v>
      </c>
      <c r="V4756">
        <f t="shared" si="374"/>
        <v>0</v>
      </c>
    </row>
    <row r="4757" spans="1:22" x14ac:dyDescent="0.25">
      <c r="A4757">
        <v>4754</v>
      </c>
      <c r="B4757" t="s">
        <v>32</v>
      </c>
      <c r="C4757" t="s">
        <v>1455</v>
      </c>
      <c r="D4757" s="4">
        <v>45351</v>
      </c>
      <c r="E4757" t="s">
        <v>2251</v>
      </c>
      <c r="F4757" t="s">
        <v>75</v>
      </c>
      <c r="I4757" s="6">
        <v>0</v>
      </c>
      <c r="J4757" s="6">
        <v>0</v>
      </c>
      <c r="K4757" s="6">
        <v>1</v>
      </c>
      <c r="L4757" s="6">
        <v>0</v>
      </c>
      <c r="M4757" s="6">
        <v>0</v>
      </c>
      <c r="N4757" s="6">
        <v>0</v>
      </c>
      <c r="O4757" s="6">
        <v>0</v>
      </c>
      <c r="P4757" s="6">
        <v>0</v>
      </c>
      <c r="Q4757">
        <v>1</v>
      </c>
      <c r="R4757">
        <f t="shared" si="370"/>
        <v>0</v>
      </c>
      <c r="S4757">
        <f t="shared" si="371"/>
        <v>1</v>
      </c>
      <c r="T4757">
        <f t="shared" si="372"/>
        <v>1</v>
      </c>
      <c r="U4757">
        <f t="shared" si="373"/>
        <v>1</v>
      </c>
      <c r="V4757">
        <f t="shared" si="374"/>
        <v>0</v>
      </c>
    </row>
    <row r="4758" spans="1:22" x14ac:dyDescent="0.25">
      <c r="A4758">
        <v>4755</v>
      </c>
      <c r="B4758" t="s">
        <v>32</v>
      </c>
      <c r="C4758" t="s">
        <v>1455</v>
      </c>
      <c r="D4758" s="4">
        <v>45351</v>
      </c>
      <c r="E4758" t="s">
        <v>2250</v>
      </c>
      <c r="F4758" t="s">
        <v>75</v>
      </c>
      <c r="I4758" s="6"/>
      <c r="J4758" s="6"/>
      <c r="K4758" s="6"/>
      <c r="L4758" s="6"/>
      <c r="M4758" s="6"/>
      <c r="N4758" s="6"/>
      <c r="O4758" s="6"/>
      <c r="P4758" s="6"/>
      <c r="Q4758">
        <v>0</v>
      </c>
      <c r="R4758">
        <f t="shared" si="370"/>
        <v>0</v>
      </c>
      <c r="S4758">
        <f t="shared" si="371"/>
        <v>0</v>
      </c>
      <c r="T4758">
        <f t="shared" si="372"/>
        <v>0</v>
      </c>
      <c r="U4758">
        <f t="shared" si="373"/>
        <v>0</v>
      </c>
      <c r="V4758">
        <f t="shared" si="374"/>
        <v>0</v>
      </c>
    </row>
    <row r="4759" spans="1:22" x14ac:dyDescent="0.25">
      <c r="A4759">
        <v>4756</v>
      </c>
      <c r="B4759" t="s">
        <v>32</v>
      </c>
      <c r="C4759" t="s">
        <v>1455</v>
      </c>
      <c r="D4759" s="4">
        <v>45351</v>
      </c>
      <c r="E4759" t="s">
        <v>2249</v>
      </c>
      <c r="F4759" t="s">
        <v>75</v>
      </c>
      <c r="I4759" s="6"/>
      <c r="J4759" s="6"/>
      <c r="K4759" s="6"/>
      <c r="L4759" s="6"/>
      <c r="M4759" s="6"/>
      <c r="N4759" s="6"/>
      <c r="O4759" s="6"/>
      <c r="P4759" s="6"/>
      <c r="Q4759">
        <v>0</v>
      </c>
      <c r="R4759">
        <f t="shared" si="370"/>
        <v>0</v>
      </c>
      <c r="S4759">
        <f t="shared" si="371"/>
        <v>0</v>
      </c>
      <c r="T4759">
        <f t="shared" si="372"/>
        <v>0</v>
      </c>
      <c r="U4759">
        <f t="shared" si="373"/>
        <v>0</v>
      </c>
      <c r="V4759">
        <f t="shared" si="374"/>
        <v>0</v>
      </c>
    </row>
    <row r="4760" spans="1:22" x14ac:dyDescent="0.25">
      <c r="A4760">
        <v>4757</v>
      </c>
      <c r="B4760" t="s">
        <v>32</v>
      </c>
      <c r="C4760" t="s">
        <v>1455</v>
      </c>
      <c r="D4760" s="4">
        <v>45352</v>
      </c>
      <c r="E4760" t="s">
        <v>1303</v>
      </c>
      <c r="F4760" t="s">
        <v>75</v>
      </c>
      <c r="I4760" s="6"/>
      <c r="J4760" s="6"/>
      <c r="K4760" s="6"/>
      <c r="L4760" s="6"/>
      <c r="M4760" s="6"/>
      <c r="N4760" s="6"/>
      <c r="O4760" s="6"/>
      <c r="P4760" s="6"/>
      <c r="Q4760">
        <v>0</v>
      </c>
      <c r="R4760">
        <f t="shared" si="370"/>
        <v>0</v>
      </c>
      <c r="S4760">
        <f t="shared" si="371"/>
        <v>0</v>
      </c>
      <c r="T4760">
        <f t="shared" si="372"/>
        <v>0</v>
      </c>
      <c r="U4760">
        <f t="shared" si="373"/>
        <v>0</v>
      </c>
      <c r="V4760">
        <f t="shared" si="374"/>
        <v>0</v>
      </c>
    </row>
    <row r="4761" spans="1:22" x14ac:dyDescent="0.25">
      <c r="A4761">
        <v>4758</v>
      </c>
      <c r="B4761" t="s">
        <v>32</v>
      </c>
      <c r="C4761" t="s">
        <v>1455</v>
      </c>
      <c r="D4761" s="4">
        <v>45352</v>
      </c>
      <c r="E4761" t="s">
        <v>1518</v>
      </c>
      <c r="F4761" t="s">
        <v>413</v>
      </c>
      <c r="G4761">
        <v>230</v>
      </c>
      <c r="I4761" s="6">
        <v>1</v>
      </c>
      <c r="J4761" s="6">
        <v>1</v>
      </c>
      <c r="K4761" s="6">
        <v>1</v>
      </c>
      <c r="L4761" s="6">
        <v>1</v>
      </c>
      <c r="M4761" s="6">
        <v>0</v>
      </c>
      <c r="N4761" s="6">
        <v>0</v>
      </c>
      <c r="O4761" s="6">
        <v>0</v>
      </c>
      <c r="P4761" s="6">
        <v>0</v>
      </c>
      <c r="Q4761">
        <v>1</v>
      </c>
      <c r="R4761">
        <f t="shared" si="370"/>
        <v>1</v>
      </c>
      <c r="S4761">
        <f t="shared" si="371"/>
        <v>0</v>
      </c>
      <c r="T4761">
        <f t="shared" si="372"/>
        <v>4</v>
      </c>
      <c r="U4761">
        <f t="shared" si="373"/>
        <v>1</v>
      </c>
      <c r="V4761">
        <f t="shared" si="374"/>
        <v>1</v>
      </c>
    </row>
    <row r="4762" spans="1:22" x14ac:dyDescent="0.25">
      <c r="A4762">
        <v>4759</v>
      </c>
      <c r="B4762" t="s">
        <v>32</v>
      </c>
      <c r="C4762" t="s">
        <v>1455</v>
      </c>
      <c r="D4762" s="4">
        <v>45352</v>
      </c>
      <c r="E4762" t="s">
        <v>2248</v>
      </c>
      <c r="F4762" t="s">
        <v>75</v>
      </c>
      <c r="I4762" s="6">
        <v>1</v>
      </c>
      <c r="J4762" s="6">
        <v>0</v>
      </c>
      <c r="K4762" s="6">
        <v>1</v>
      </c>
      <c r="L4762" s="6">
        <v>0</v>
      </c>
      <c r="M4762" s="6">
        <v>0</v>
      </c>
      <c r="N4762" s="6">
        <v>0</v>
      </c>
      <c r="O4762" s="6">
        <v>0</v>
      </c>
      <c r="P4762" s="6">
        <v>0</v>
      </c>
      <c r="Q4762">
        <v>1</v>
      </c>
      <c r="R4762">
        <f t="shared" si="370"/>
        <v>0</v>
      </c>
      <c r="S4762">
        <f t="shared" si="371"/>
        <v>1</v>
      </c>
      <c r="T4762">
        <f t="shared" si="372"/>
        <v>2</v>
      </c>
      <c r="U4762">
        <f t="shared" si="373"/>
        <v>1</v>
      </c>
      <c r="V4762">
        <f t="shared" si="374"/>
        <v>0</v>
      </c>
    </row>
    <row r="4763" spans="1:22" x14ac:dyDescent="0.25">
      <c r="A4763">
        <v>4760</v>
      </c>
      <c r="B4763" t="s">
        <v>32</v>
      </c>
      <c r="C4763" t="s">
        <v>1455</v>
      </c>
      <c r="D4763" s="4">
        <v>45352</v>
      </c>
      <c r="E4763" t="s">
        <v>1519</v>
      </c>
      <c r="F4763" t="s">
        <v>75</v>
      </c>
      <c r="I4763" s="6">
        <v>0</v>
      </c>
      <c r="J4763" s="6">
        <v>0</v>
      </c>
      <c r="K4763" s="6">
        <v>0</v>
      </c>
      <c r="L4763" s="6">
        <v>0</v>
      </c>
      <c r="M4763" s="6">
        <v>0</v>
      </c>
      <c r="N4763" s="6">
        <v>0</v>
      </c>
      <c r="O4763" s="6">
        <v>0</v>
      </c>
      <c r="P4763" s="6">
        <v>0</v>
      </c>
      <c r="Q4763">
        <v>1</v>
      </c>
      <c r="R4763">
        <f t="shared" si="370"/>
        <v>0</v>
      </c>
      <c r="S4763">
        <f t="shared" si="371"/>
        <v>1</v>
      </c>
      <c r="T4763">
        <f t="shared" si="372"/>
        <v>0</v>
      </c>
      <c r="U4763">
        <f t="shared" si="373"/>
        <v>0</v>
      </c>
      <c r="V4763">
        <f t="shared" si="374"/>
        <v>0</v>
      </c>
    </row>
    <row r="4764" spans="1:22" x14ac:dyDescent="0.25">
      <c r="A4764">
        <v>4761</v>
      </c>
      <c r="B4764" t="s">
        <v>32</v>
      </c>
      <c r="C4764" t="s">
        <v>1455</v>
      </c>
      <c r="D4764" s="4">
        <v>45352</v>
      </c>
      <c r="E4764" t="s">
        <v>1520</v>
      </c>
      <c r="F4764" t="s">
        <v>413</v>
      </c>
      <c r="G4764">
        <v>231</v>
      </c>
      <c r="I4764" s="6">
        <v>0</v>
      </c>
      <c r="J4764" s="6">
        <v>0</v>
      </c>
      <c r="K4764" s="6">
        <v>1</v>
      </c>
      <c r="L4764" s="6">
        <v>0</v>
      </c>
      <c r="M4764" s="6">
        <v>0</v>
      </c>
      <c r="N4764" s="6">
        <v>0</v>
      </c>
      <c r="O4764" s="6">
        <v>0</v>
      </c>
      <c r="P4764" s="6">
        <v>0</v>
      </c>
      <c r="Q4764">
        <v>1</v>
      </c>
      <c r="R4764">
        <f t="shared" si="370"/>
        <v>1</v>
      </c>
      <c r="S4764">
        <f t="shared" si="371"/>
        <v>0</v>
      </c>
      <c r="T4764">
        <f t="shared" si="372"/>
        <v>1</v>
      </c>
      <c r="U4764">
        <f t="shared" si="373"/>
        <v>1</v>
      </c>
      <c r="V4764">
        <f t="shared" si="374"/>
        <v>1</v>
      </c>
    </row>
    <row r="4765" spans="1:22" x14ac:dyDescent="0.25">
      <c r="A4765">
        <v>4762</v>
      </c>
      <c r="B4765" t="s">
        <v>32</v>
      </c>
      <c r="C4765" t="s">
        <v>1455</v>
      </c>
      <c r="D4765" s="4">
        <v>45352</v>
      </c>
      <c r="E4765" t="s">
        <v>2247</v>
      </c>
      <c r="F4765" t="s">
        <v>75</v>
      </c>
      <c r="I4765" s="6"/>
      <c r="J4765" s="6"/>
      <c r="K4765" s="6"/>
      <c r="L4765" s="6"/>
      <c r="M4765" s="6"/>
      <c r="N4765" s="6"/>
      <c r="O4765" s="6"/>
      <c r="P4765" s="6"/>
      <c r="Q4765">
        <v>0</v>
      </c>
      <c r="R4765">
        <f t="shared" si="370"/>
        <v>0</v>
      </c>
      <c r="S4765">
        <f t="shared" si="371"/>
        <v>0</v>
      </c>
      <c r="T4765">
        <f t="shared" si="372"/>
        <v>0</v>
      </c>
      <c r="U4765">
        <f t="shared" si="373"/>
        <v>0</v>
      </c>
      <c r="V4765">
        <f t="shared" si="374"/>
        <v>0</v>
      </c>
    </row>
    <row r="4766" spans="1:22" x14ac:dyDescent="0.25">
      <c r="A4766">
        <v>4763</v>
      </c>
      <c r="B4766" t="s">
        <v>32</v>
      </c>
      <c r="C4766" t="s">
        <v>1455</v>
      </c>
      <c r="D4766" s="4">
        <v>45352</v>
      </c>
      <c r="E4766" t="s">
        <v>2246</v>
      </c>
      <c r="F4766" t="s">
        <v>75</v>
      </c>
      <c r="I4766" s="6"/>
      <c r="J4766" s="6"/>
      <c r="K4766" s="6"/>
      <c r="L4766" s="6"/>
      <c r="M4766" s="6"/>
      <c r="N4766" s="6"/>
      <c r="O4766" s="6"/>
      <c r="P4766" s="6"/>
      <c r="Q4766">
        <v>0</v>
      </c>
      <c r="R4766">
        <f t="shared" si="370"/>
        <v>0</v>
      </c>
      <c r="S4766">
        <f t="shared" si="371"/>
        <v>0</v>
      </c>
      <c r="T4766">
        <f t="shared" si="372"/>
        <v>0</v>
      </c>
      <c r="U4766">
        <f t="shared" si="373"/>
        <v>0</v>
      </c>
      <c r="V4766">
        <f t="shared" si="374"/>
        <v>0</v>
      </c>
    </row>
    <row r="4767" spans="1:22" x14ac:dyDescent="0.25">
      <c r="A4767">
        <v>4764</v>
      </c>
      <c r="B4767" t="s">
        <v>32</v>
      </c>
      <c r="C4767" t="s">
        <v>1455</v>
      </c>
      <c r="D4767" s="4">
        <v>45353</v>
      </c>
      <c r="E4767" t="s">
        <v>255</v>
      </c>
      <c r="F4767" t="s">
        <v>75</v>
      </c>
      <c r="I4767" s="6"/>
      <c r="J4767" s="6"/>
      <c r="K4767" s="6"/>
      <c r="L4767" s="6"/>
      <c r="M4767" s="6"/>
      <c r="N4767" s="6"/>
      <c r="O4767" s="6"/>
      <c r="P4767" s="6"/>
      <c r="Q4767">
        <v>0</v>
      </c>
      <c r="R4767">
        <f t="shared" si="370"/>
        <v>0</v>
      </c>
      <c r="S4767">
        <f t="shared" si="371"/>
        <v>0</v>
      </c>
      <c r="T4767">
        <f t="shared" si="372"/>
        <v>0</v>
      </c>
      <c r="U4767">
        <f t="shared" si="373"/>
        <v>0</v>
      </c>
      <c r="V4767">
        <f t="shared" si="374"/>
        <v>0</v>
      </c>
    </row>
    <row r="4768" spans="1:22" x14ac:dyDescent="0.25">
      <c r="A4768">
        <v>4765</v>
      </c>
      <c r="B4768" t="s">
        <v>32</v>
      </c>
      <c r="C4768" t="s">
        <v>1455</v>
      </c>
      <c r="D4768" s="4">
        <v>45353</v>
      </c>
      <c r="E4768" t="s">
        <v>256</v>
      </c>
      <c r="F4768" t="s">
        <v>75</v>
      </c>
      <c r="I4768" s="6">
        <v>0</v>
      </c>
      <c r="J4768" s="6">
        <v>0</v>
      </c>
      <c r="K4768" s="6">
        <v>1</v>
      </c>
      <c r="L4768" s="6">
        <v>0</v>
      </c>
      <c r="M4768" s="6">
        <v>0</v>
      </c>
      <c r="N4768" s="6">
        <v>0</v>
      </c>
      <c r="O4768" s="6">
        <v>0</v>
      </c>
      <c r="P4768" s="6">
        <v>0</v>
      </c>
      <c r="Q4768">
        <v>1</v>
      </c>
      <c r="R4768">
        <f t="shared" si="370"/>
        <v>0</v>
      </c>
      <c r="S4768">
        <f t="shared" si="371"/>
        <v>1</v>
      </c>
      <c r="T4768">
        <f t="shared" si="372"/>
        <v>1</v>
      </c>
      <c r="U4768">
        <f t="shared" si="373"/>
        <v>1</v>
      </c>
      <c r="V4768">
        <f t="shared" si="374"/>
        <v>0</v>
      </c>
    </row>
    <row r="4769" spans="1:22" x14ac:dyDescent="0.25">
      <c r="A4769">
        <v>4766</v>
      </c>
      <c r="B4769" t="s">
        <v>32</v>
      </c>
      <c r="C4769" t="s">
        <v>1455</v>
      </c>
      <c r="D4769" s="4">
        <v>45353</v>
      </c>
      <c r="E4769" t="s">
        <v>257</v>
      </c>
      <c r="F4769" t="s">
        <v>413</v>
      </c>
      <c r="G4769">
        <v>232</v>
      </c>
      <c r="I4769" s="6">
        <v>0</v>
      </c>
      <c r="J4769" s="6">
        <v>0</v>
      </c>
      <c r="K4769" s="6">
        <v>1</v>
      </c>
      <c r="L4769" s="6">
        <v>0</v>
      </c>
      <c r="M4769" s="6">
        <v>0</v>
      </c>
      <c r="N4769" s="6">
        <v>0</v>
      </c>
      <c r="O4769" s="6">
        <v>0</v>
      </c>
      <c r="P4769" s="6">
        <v>0</v>
      </c>
      <c r="Q4769">
        <v>1</v>
      </c>
      <c r="R4769">
        <f t="shared" si="370"/>
        <v>1</v>
      </c>
      <c r="S4769">
        <f t="shared" si="371"/>
        <v>0</v>
      </c>
      <c r="T4769">
        <f t="shared" si="372"/>
        <v>1</v>
      </c>
      <c r="U4769">
        <f t="shared" si="373"/>
        <v>1</v>
      </c>
      <c r="V4769">
        <f t="shared" si="374"/>
        <v>1</v>
      </c>
    </row>
    <row r="4770" spans="1:22" x14ac:dyDescent="0.25">
      <c r="A4770">
        <v>4767</v>
      </c>
      <c r="B4770" t="s">
        <v>32</v>
      </c>
      <c r="C4770" t="s">
        <v>1455</v>
      </c>
      <c r="D4770" s="4">
        <v>45353</v>
      </c>
      <c r="E4770" t="s">
        <v>258</v>
      </c>
      <c r="F4770" t="s">
        <v>75</v>
      </c>
      <c r="I4770" s="6"/>
      <c r="J4770" s="6"/>
      <c r="K4770" s="6"/>
      <c r="L4770" s="6"/>
      <c r="M4770" s="6"/>
      <c r="N4770" s="6"/>
      <c r="O4770" s="6"/>
      <c r="P4770" s="6"/>
      <c r="Q4770">
        <v>0</v>
      </c>
      <c r="R4770">
        <f t="shared" si="370"/>
        <v>0</v>
      </c>
      <c r="S4770">
        <f t="shared" si="371"/>
        <v>0</v>
      </c>
      <c r="T4770">
        <f t="shared" si="372"/>
        <v>0</v>
      </c>
      <c r="U4770">
        <f t="shared" si="373"/>
        <v>0</v>
      </c>
      <c r="V4770">
        <f t="shared" si="374"/>
        <v>0</v>
      </c>
    </row>
    <row r="4771" spans="1:22" x14ac:dyDescent="0.25">
      <c r="A4771">
        <v>4768</v>
      </c>
      <c r="B4771" t="s">
        <v>32</v>
      </c>
      <c r="C4771" t="s">
        <v>1455</v>
      </c>
      <c r="D4771" s="4">
        <v>45353</v>
      </c>
      <c r="E4771" t="s">
        <v>1521</v>
      </c>
      <c r="F4771" t="s">
        <v>75</v>
      </c>
      <c r="I4771" s="6">
        <v>0</v>
      </c>
      <c r="J4771" s="6">
        <v>0</v>
      </c>
      <c r="K4771" s="6">
        <v>0</v>
      </c>
      <c r="L4771" s="6">
        <v>0</v>
      </c>
      <c r="M4771" s="6">
        <v>0</v>
      </c>
      <c r="N4771" s="6">
        <v>0</v>
      </c>
      <c r="O4771" s="6">
        <v>0</v>
      </c>
      <c r="P4771" s="6">
        <v>0</v>
      </c>
      <c r="Q4771">
        <v>1</v>
      </c>
      <c r="R4771">
        <f t="shared" si="370"/>
        <v>0</v>
      </c>
      <c r="S4771">
        <f t="shared" si="371"/>
        <v>1</v>
      </c>
      <c r="T4771">
        <f t="shared" si="372"/>
        <v>0</v>
      </c>
      <c r="U4771">
        <f t="shared" si="373"/>
        <v>0</v>
      </c>
      <c r="V4771">
        <f t="shared" si="374"/>
        <v>0</v>
      </c>
    </row>
    <row r="4772" spans="1:22" x14ac:dyDescent="0.25">
      <c r="A4772">
        <v>4769</v>
      </c>
      <c r="B4772" t="s">
        <v>32</v>
      </c>
      <c r="C4772" t="s">
        <v>1455</v>
      </c>
      <c r="D4772" s="4">
        <v>45353</v>
      </c>
      <c r="E4772" t="s">
        <v>1522</v>
      </c>
      <c r="F4772" t="s">
        <v>75</v>
      </c>
      <c r="I4772" s="6">
        <v>0</v>
      </c>
      <c r="J4772" s="6">
        <v>0</v>
      </c>
      <c r="K4772" s="6">
        <v>1</v>
      </c>
      <c r="L4772" s="6">
        <v>0</v>
      </c>
      <c r="M4772" s="6">
        <v>0</v>
      </c>
      <c r="N4772" s="6">
        <v>0</v>
      </c>
      <c r="O4772" s="6">
        <v>0</v>
      </c>
      <c r="P4772" s="6">
        <v>0</v>
      </c>
      <c r="Q4772">
        <v>1</v>
      </c>
      <c r="R4772">
        <f t="shared" si="370"/>
        <v>0</v>
      </c>
      <c r="S4772">
        <f t="shared" si="371"/>
        <v>1</v>
      </c>
      <c r="T4772">
        <f t="shared" si="372"/>
        <v>1</v>
      </c>
      <c r="U4772">
        <f t="shared" si="373"/>
        <v>1</v>
      </c>
      <c r="V4772">
        <f t="shared" si="374"/>
        <v>0</v>
      </c>
    </row>
    <row r="4773" spans="1:22" x14ac:dyDescent="0.25">
      <c r="A4773">
        <v>4770</v>
      </c>
      <c r="B4773" t="s">
        <v>32</v>
      </c>
      <c r="C4773" t="s">
        <v>1455</v>
      </c>
      <c r="D4773" s="4">
        <v>45353</v>
      </c>
      <c r="E4773" t="s">
        <v>2245</v>
      </c>
      <c r="F4773" t="s">
        <v>75</v>
      </c>
      <c r="I4773" s="6"/>
      <c r="J4773" s="6"/>
      <c r="K4773" s="6"/>
      <c r="L4773" s="6"/>
      <c r="M4773" s="6"/>
      <c r="N4773" s="6"/>
      <c r="O4773" s="6"/>
      <c r="P4773" s="6"/>
      <c r="Q4773">
        <v>0</v>
      </c>
      <c r="R4773">
        <f t="shared" si="370"/>
        <v>0</v>
      </c>
      <c r="S4773">
        <f t="shared" si="371"/>
        <v>0</v>
      </c>
      <c r="T4773">
        <f t="shared" si="372"/>
        <v>0</v>
      </c>
      <c r="U4773">
        <f t="shared" si="373"/>
        <v>0</v>
      </c>
      <c r="V4773">
        <f t="shared" si="374"/>
        <v>0</v>
      </c>
    </row>
    <row r="4774" spans="1:22" x14ac:dyDescent="0.25">
      <c r="A4774">
        <v>4771</v>
      </c>
      <c r="B4774" t="s">
        <v>32</v>
      </c>
      <c r="C4774" t="s">
        <v>1455</v>
      </c>
      <c r="D4774" s="4">
        <v>45354</v>
      </c>
      <c r="E4774" t="s">
        <v>915</v>
      </c>
      <c r="F4774" t="s">
        <v>75</v>
      </c>
      <c r="I4774" s="6">
        <v>0</v>
      </c>
      <c r="J4774" s="6">
        <v>0</v>
      </c>
      <c r="K4774" s="6">
        <v>0</v>
      </c>
      <c r="L4774" s="6">
        <v>0</v>
      </c>
      <c r="M4774" s="6">
        <v>0</v>
      </c>
      <c r="N4774" s="6">
        <v>0</v>
      </c>
      <c r="O4774" s="6">
        <v>0</v>
      </c>
      <c r="P4774" s="6">
        <v>0</v>
      </c>
      <c r="Q4774">
        <v>1</v>
      </c>
      <c r="R4774">
        <f t="shared" si="370"/>
        <v>0</v>
      </c>
      <c r="S4774">
        <f t="shared" si="371"/>
        <v>1</v>
      </c>
      <c r="T4774">
        <f t="shared" si="372"/>
        <v>0</v>
      </c>
      <c r="U4774">
        <f t="shared" si="373"/>
        <v>0</v>
      </c>
      <c r="V4774">
        <f t="shared" si="374"/>
        <v>0</v>
      </c>
    </row>
    <row r="4775" spans="1:22" x14ac:dyDescent="0.25">
      <c r="A4775">
        <v>4772</v>
      </c>
      <c r="B4775" t="s">
        <v>32</v>
      </c>
      <c r="C4775" t="s">
        <v>1455</v>
      </c>
      <c r="D4775" s="4">
        <v>45354</v>
      </c>
      <c r="E4775" t="s">
        <v>1307</v>
      </c>
      <c r="F4775" t="s">
        <v>75</v>
      </c>
      <c r="I4775" s="6"/>
      <c r="J4775" s="6"/>
      <c r="K4775" s="6"/>
      <c r="L4775" s="6"/>
      <c r="M4775" s="6"/>
      <c r="N4775" s="6"/>
      <c r="O4775" s="6"/>
      <c r="P4775" s="6"/>
      <c r="Q4775">
        <v>0</v>
      </c>
      <c r="R4775">
        <f t="shared" si="370"/>
        <v>0</v>
      </c>
      <c r="S4775">
        <f t="shared" si="371"/>
        <v>0</v>
      </c>
      <c r="T4775">
        <f t="shared" si="372"/>
        <v>0</v>
      </c>
      <c r="U4775">
        <f t="shared" si="373"/>
        <v>0</v>
      </c>
      <c r="V4775">
        <f t="shared" si="374"/>
        <v>0</v>
      </c>
    </row>
    <row r="4776" spans="1:22" x14ac:dyDescent="0.25">
      <c r="A4776">
        <v>4773</v>
      </c>
      <c r="B4776" t="s">
        <v>32</v>
      </c>
      <c r="C4776" t="s">
        <v>1455</v>
      </c>
      <c r="D4776" s="4">
        <v>45354</v>
      </c>
      <c r="E4776" t="s">
        <v>2244</v>
      </c>
      <c r="F4776" t="s">
        <v>75</v>
      </c>
      <c r="I4776" s="6"/>
      <c r="J4776" s="6"/>
      <c r="K4776" s="6"/>
      <c r="L4776" s="6"/>
      <c r="M4776" s="6"/>
      <c r="N4776" s="6"/>
      <c r="O4776" s="6"/>
      <c r="P4776" s="6"/>
      <c r="Q4776">
        <v>0</v>
      </c>
      <c r="R4776">
        <f t="shared" si="370"/>
        <v>0</v>
      </c>
      <c r="S4776">
        <f t="shared" si="371"/>
        <v>0</v>
      </c>
      <c r="T4776">
        <f t="shared" si="372"/>
        <v>0</v>
      </c>
      <c r="U4776">
        <f t="shared" si="373"/>
        <v>0</v>
      </c>
      <c r="V4776">
        <f t="shared" si="374"/>
        <v>0</v>
      </c>
    </row>
    <row r="4777" spans="1:22" x14ac:dyDescent="0.25">
      <c r="A4777">
        <v>4774</v>
      </c>
      <c r="B4777" t="s">
        <v>32</v>
      </c>
      <c r="C4777" t="s">
        <v>1455</v>
      </c>
      <c r="D4777" s="4">
        <v>45354</v>
      </c>
      <c r="E4777" t="s">
        <v>2243</v>
      </c>
      <c r="F4777" t="s">
        <v>75</v>
      </c>
      <c r="I4777" s="6"/>
      <c r="J4777" s="6"/>
      <c r="K4777" s="6"/>
      <c r="L4777" s="6"/>
      <c r="M4777" s="6"/>
      <c r="N4777" s="6"/>
      <c r="O4777" s="6"/>
      <c r="P4777" s="6"/>
      <c r="Q4777">
        <v>0</v>
      </c>
      <c r="R4777">
        <f t="shared" si="370"/>
        <v>0</v>
      </c>
      <c r="S4777">
        <f t="shared" si="371"/>
        <v>0</v>
      </c>
      <c r="T4777">
        <f t="shared" si="372"/>
        <v>0</v>
      </c>
      <c r="U4777">
        <f t="shared" si="373"/>
        <v>0</v>
      </c>
      <c r="V4777">
        <f t="shared" si="374"/>
        <v>0</v>
      </c>
    </row>
    <row r="4778" spans="1:22" x14ac:dyDescent="0.25">
      <c r="A4778">
        <v>4775</v>
      </c>
      <c r="B4778" t="s">
        <v>32</v>
      </c>
      <c r="C4778" t="s">
        <v>1455</v>
      </c>
      <c r="D4778" s="4">
        <v>45354</v>
      </c>
      <c r="E4778" t="s">
        <v>2242</v>
      </c>
      <c r="F4778" t="s">
        <v>75</v>
      </c>
      <c r="I4778" s="6">
        <v>0</v>
      </c>
      <c r="J4778" s="6">
        <v>0</v>
      </c>
      <c r="K4778" s="6">
        <v>0</v>
      </c>
      <c r="L4778" s="6">
        <v>0</v>
      </c>
      <c r="M4778" s="6">
        <v>1</v>
      </c>
      <c r="N4778" s="6">
        <v>1</v>
      </c>
      <c r="O4778" s="6">
        <v>0</v>
      </c>
      <c r="P4778" s="6">
        <v>0</v>
      </c>
      <c r="Q4778">
        <v>1</v>
      </c>
      <c r="R4778">
        <f t="shared" si="370"/>
        <v>0</v>
      </c>
      <c r="S4778">
        <f t="shared" si="371"/>
        <v>1</v>
      </c>
      <c r="T4778">
        <f t="shared" si="372"/>
        <v>2</v>
      </c>
      <c r="U4778">
        <f t="shared" si="373"/>
        <v>1</v>
      </c>
      <c r="V4778">
        <f t="shared" si="374"/>
        <v>0</v>
      </c>
    </row>
    <row r="4779" spans="1:22" x14ac:dyDescent="0.25">
      <c r="A4779">
        <v>4776</v>
      </c>
      <c r="B4779" t="s">
        <v>32</v>
      </c>
      <c r="C4779" t="s">
        <v>1455</v>
      </c>
      <c r="D4779" s="4">
        <v>45354</v>
      </c>
      <c r="E4779" t="s">
        <v>2241</v>
      </c>
      <c r="F4779" t="s">
        <v>75</v>
      </c>
      <c r="I4779" s="6"/>
      <c r="J4779" s="6"/>
      <c r="K4779" s="6"/>
      <c r="L4779" s="6"/>
      <c r="M4779" s="6"/>
      <c r="N4779" s="6"/>
      <c r="O4779" s="6"/>
      <c r="P4779" s="6"/>
      <c r="Q4779">
        <v>0</v>
      </c>
      <c r="R4779">
        <f t="shared" si="370"/>
        <v>0</v>
      </c>
      <c r="S4779">
        <f t="shared" si="371"/>
        <v>0</v>
      </c>
      <c r="T4779">
        <f t="shared" si="372"/>
        <v>0</v>
      </c>
      <c r="U4779">
        <f t="shared" si="373"/>
        <v>0</v>
      </c>
      <c r="V4779">
        <f t="shared" si="374"/>
        <v>0</v>
      </c>
    </row>
    <row r="4780" spans="1:22" x14ac:dyDescent="0.25">
      <c r="A4780">
        <v>4777</v>
      </c>
      <c r="B4780" t="s">
        <v>32</v>
      </c>
      <c r="C4780" t="s">
        <v>1455</v>
      </c>
      <c r="D4780" s="4">
        <v>45354</v>
      </c>
      <c r="E4780" t="s">
        <v>1523</v>
      </c>
      <c r="F4780" t="s">
        <v>75</v>
      </c>
      <c r="I4780" s="6">
        <v>0</v>
      </c>
      <c r="J4780" s="6">
        <v>0</v>
      </c>
      <c r="K4780" s="6">
        <v>1</v>
      </c>
      <c r="L4780" s="6">
        <v>0</v>
      </c>
      <c r="M4780" s="6">
        <v>0</v>
      </c>
      <c r="N4780" s="6">
        <v>0</v>
      </c>
      <c r="O4780" s="6">
        <v>0</v>
      </c>
      <c r="P4780" s="6">
        <v>0</v>
      </c>
      <c r="Q4780">
        <v>1</v>
      </c>
      <c r="R4780">
        <f t="shared" si="370"/>
        <v>0</v>
      </c>
      <c r="S4780">
        <f t="shared" si="371"/>
        <v>1</v>
      </c>
      <c r="T4780">
        <f t="shared" si="372"/>
        <v>1</v>
      </c>
      <c r="U4780">
        <f t="shared" si="373"/>
        <v>1</v>
      </c>
      <c r="V4780">
        <f t="shared" si="374"/>
        <v>0</v>
      </c>
    </row>
    <row r="4781" spans="1:22" x14ac:dyDescent="0.25">
      <c r="A4781">
        <v>4778</v>
      </c>
      <c r="B4781" t="s">
        <v>32</v>
      </c>
      <c r="C4781" t="s">
        <v>1455</v>
      </c>
      <c r="D4781" s="4">
        <v>45355</v>
      </c>
      <c r="E4781" t="s">
        <v>840</v>
      </c>
      <c r="F4781" t="s">
        <v>75</v>
      </c>
      <c r="I4781" s="6"/>
      <c r="J4781" s="6"/>
      <c r="K4781" s="6"/>
      <c r="L4781" s="6"/>
      <c r="M4781" s="6"/>
      <c r="N4781" s="6"/>
      <c r="O4781" s="6"/>
      <c r="P4781" s="6"/>
      <c r="Q4781">
        <v>0</v>
      </c>
      <c r="R4781">
        <f t="shared" si="370"/>
        <v>0</v>
      </c>
      <c r="S4781">
        <f t="shared" si="371"/>
        <v>0</v>
      </c>
      <c r="T4781">
        <f t="shared" si="372"/>
        <v>0</v>
      </c>
      <c r="U4781">
        <f t="shared" si="373"/>
        <v>0</v>
      </c>
      <c r="V4781">
        <f t="shared" si="374"/>
        <v>0</v>
      </c>
    </row>
    <row r="4782" spans="1:22" x14ac:dyDescent="0.25">
      <c r="A4782">
        <v>4779</v>
      </c>
      <c r="B4782" t="s">
        <v>32</v>
      </c>
      <c r="C4782" t="s">
        <v>1455</v>
      </c>
      <c r="D4782" s="4">
        <v>45355</v>
      </c>
      <c r="E4782" t="s">
        <v>259</v>
      </c>
      <c r="F4782" t="s">
        <v>75</v>
      </c>
      <c r="I4782" s="6"/>
      <c r="J4782" s="6"/>
      <c r="K4782" s="6"/>
      <c r="L4782" s="6"/>
      <c r="M4782" s="6"/>
      <c r="N4782" s="6"/>
      <c r="O4782" s="6"/>
      <c r="P4782" s="6"/>
      <c r="Q4782">
        <v>0</v>
      </c>
      <c r="R4782">
        <f t="shared" si="370"/>
        <v>0</v>
      </c>
      <c r="S4782">
        <f t="shared" si="371"/>
        <v>0</v>
      </c>
      <c r="T4782">
        <f t="shared" si="372"/>
        <v>0</v>
      </c>
      <c r="U4782">
        <f t="shared" si="373"/>
        <v>0</v>
      </c>
      <c r="V4782">
        <f t="shared" si="374"/>
        <v>0</v>
      </c>
    </row>
    <row r="4783" spans="1:22" x14ac:dyDescent="0.25">
      <c r="A4783">
        <v>4780</v>
      </c>
      <c r="B4783" t="s">
        <v>32</v>
      </c>
      <c r="C4783" t="s">
        <v>1455</v>
      </c>
      <c r="D4783" s="4">
        <v>45355</v>
      </c>
      <c r="E4783" t="s">
        <v>1524</v>
      </c>
      <c r="F4783" t="s">
        <v>413</v>
      </c>
      <c r="G4783">
        <v>233</v>
      </c>
      <c r="I4783" s="6">
        <v>0</v>
      </c>
      <c r="J4783" s="6">
        <v>1</v>
      </c>
      <c r="K4783" s="6">
        <v>0</v>
      </c>
      <c r="L4783" s="6">
        <v>0</v>
      </c>
      <c r="M4783" s="6">
        <v>0</v>
      </c>
      <c r="N4783" s="6">
        <v>0</v>
      </c>
      <c r="O4783" s="6">
        <v>0</v>
      </c>
      <c r="P4783" s="6">
        <v>0</v>
      </c>
      <c r="Q4783">
        <v>1</v>
      </c>
      <c r="R4783">
        <f t="shared" si="370"/>
        <v>1</v>
      </c>
      <c r="S4783">
        <f t="shared" si="371"/>
        <v>0</v>
      </c>
      <c r="T4783">
        <f t="shared" si="372"/>
        <v>1</v>
      </c>
      <c r="U4783">
        <f t="shared" si="373"/>
        <v>1</v>
      </c>
      <c r="V4783">
        <f t="shared" si="374"/>
        <v>1</v>
      </c>
    </row>
    <row r="4784" spans="1:22" x14ac:dyDescent="0.25">
      <c r="A4784">
        <v>4781</v>
      </c>
      <c r="B4784" t="s">
        <v>32</v>
      </c>
      <c r="C4784" t="s">
        <v>1455</v>
      </c>
      <c r="D4784" s="4">
        <v>45355</v>
      </c>
      <c r="E4784" t="s">
        <v>2240</v>
      </c>
      <c r="F4784" t="s">
        <v>75</v>
      </c>
      <c r="I4784" s="6"/>
      <c r="J4784" s="6"/>
      <c r="K4784" s="6"/>
      <c r="L4784" s="6"/>
      <c r="M4784" s="6"/>
      <c r="N4784" s="6"/>
      <c r="O4784" s="6"/>
      <c r="P4784" s="6"/>
      <c r="Q4784">
        <v>0</v>
      </c>
      <c r="R4784">
        <f t="shared" si="370"/>
        <v>0</v>
      </c>
      <c r="S4784">
        <f t="shared" si="371"/>
        <v>0</v>
      </c>
      <c r="T4784">
        <f t="shared" si="372"/>
        <v>0</v>
      </c>
      <c r="U4784">
        <f t="shared" si="373"/>
        <v>0</v>
      </c>
      <c r="V4784">
        <f t="shared" si="374"/>
        <v>0</v>
      </c>
    </row>
    <row r="4785" spans="1:22" x14ac:dyDescent="0.25">
      <c r="A4785">
        <v>4782</v>
      </c>
      <c r="B4785" t="s">
        <v>32</v>
      </c>
      <c r="C4785" t="s">
        <v>1455</v>
      </c>
      <c r="D4785" s="4">
        <v>45355</v>
      </c>
      <c r="E4785" t="s">
        <v>2239</v>
      </c>
      <c r="F4785" t="s">
        <v>75</v>
      </c>
      <c r="I4785" s="6"/>
      <c r="J4785" s="6"/>
      <c r="K4785" s="6"/>
      <c r="L4785" s="6"/>
      <c r="M4785" s="6"/>
      <c r="N4785" s="6"/>
      <c r="O4785" s="6"/>
      <c r="P4785" s="6"/>
      <c r="Q4785">
        <v>0</v>
      </c>
      <c r="R4785">
        <f t="shared" si="370"/>
        <v>0</v>
      </c>
      <c r="S4785">
        <f t="shared" si="371"/>
        <v>0</v>
      </c>
      <c r="T4785">
        <f t="shared" si="372"/>
        <v>0</v>
      </c>
      <c r="U4785">
        <f t="shared" si="373"/>
        <v>0</v>
      </c>
      <c r="V4785">
        <f t="shared" si="374"/>
        <v>0</v>
      </c>
    </row>
    <row r="4786" spans="1:22" x14ac:dyDescent="0.25">
      <c r="A4786">
        <v>4783</v>
      </c>
      <c r="B4786" t="s">
        <v>32</v>
      </c>
      <c r="C4786" t="s">
        <v>1455</v>
      </c>
      <c r="D4786" s="4">
        <v>45355</v>
      </c>
      <c r="E4786" t="s">
        <v>1525</v>
      </c>
      <c r="F4786" t="s">
        <v>75</v>
      </c>
      <c r="I4786" s="6">
        <v>0</v>
      </c>
      <c r="J4786" s="6">
        <v>0</v>
      </c>
      <c r="K4786" s="6">
        <v>1</v>
      </c>
      <c r="L4786" s="6">
        <v>0</v>
      </c>
      <c r="M4786" s="6">
        <v>0</v>
      </c>
      <c r="N4786" s="6">
        <v>0</v>
      </c>
      <c r="O4786" s="6">
        <v>0</v>
      </c>
      <c r="P4786" s="6">
        <v>0</v>
      </c>
      <c r="Q4786">
        <v>1</v>
      </c>
      <c r="R4786">
        <f t="shared" si="370"/>
        <v>0</v>
      </c>
      <c r="S4786">
        <f t="shared" si="371"/>
        <v>1</v>
      </c>
      <c r="T4786">
        <f t="shared" si="372"/>
        <v>1</v>
      </c>
      <c r="U4786">
        <f t="shared" si="373"/>
        <v>1</v>
      </c>
      <c r="V4786">
        <f t="shared" si="374"/>
        <v>0</v>
      </c>
    </row>
    <row r="4787" spans="1:22" x14ac:dyDescent="0.25">
      <c r="A4787">
        <v>4784</v>
      </c>
      <c r="B4787" t="s">
        <v>32</v>
      </c>
      <c r="C4787" t="s">
        <v>1455</v>
      </c>
      <c r="D4787" s="4">
        <v>45355</v>
      </c>
      <c r="E4787" t="s">
        <v>2238</v>
      </c>
      <c r="F4787" t="s">
        <v>75</v>
      </c>
      <c r="I4787" s="6">
        <v>0</v>
      </c>
      <c r="J4787" s="6">
        <v>0</v>
      </c>
      <c r="K4787" s="6">
        <v>0</v>
      </c>
      <c r="L4787" s="6">
        <v>0</v>
      </c>
      <c r="M4787" s="6">
        <v>1</v>
      </c>
      <c r="N4787" s="6">
        <v>0</v>
      </c>
      <c r="O4787" s="6">
        <v>0</v>
      </c>
      <c r="P4787" s="6">
        <v>0</v>
      </c>
      <c r="Q4787">
        <v>1</v>
      </c>
      <c r="R4787">
        <f t="shared" si="370"/>
        <v>0</v>
      </c>
      <c r="S4787">
        <f t="shared" si="371"/>
        <v>1</v>
      </c>
      <c r="T4787">
        <f t="shared" si="372"/>
        <v>1</v>
      </c>
      <c r="U4787">
        <f t="shared" si="373"/>
        <v>1</v>
      </c>
      <c r="V4787">
        <f t="shared" si="374"/>
        <v>0</v>
      </c>
    </row>
    <row r="4788" spans="1:22" x14ac:dyDescent="0.25">
      <c r="A4788">
        <v>4785</v>
      </c>
      <c r="B4788" t="s">
        <v>32</v>
      </c>
      <c r="C4788" t="s">
        <v>1455</v>
      </c>
      <c r="D4788" s="4">
        <v>45355</v>
      </c>
      <c r="E4788" t="s">
        <v>2237</v>
      </c>
      <c r="F4788" t="s">
        <v>75</v>
      </c>
      <c r="I4788" s="6">
        <v>0</v>
      </c>
      <c r="J4788" s="6">
        <v>0</v>
      </c>
      <c r="K4788" s="6">
        <v>1</v>
      </c>
      <c r="L4788" s="6">
        <v>0</v>
      </c>
      <c r="M4788" s="6">
        <v>0</v>
      </c>
      <c r="N4788" s="6">
        <v>0</v>
      </c>
      <c r="O4788" s="6">
        <v>0</v>
      </c>
      <c r="P4788" s="6">
        <v>0</v>
      </c>
      <c r="Q4788">
        <v>1</v>
      </c>
      <c r="R4788">
        <f t="shared" si="370"/>
        <v>0</v>
      </c>
      <c r="S4788">
        <f t="shared" si="371"/>
        <v>1</v>
      </c>
      <c r="T4788">
        <f t="shared" si="372"/>
        <v>1</v>
      </c>
      <c r="U4788">
        <f t="shared" si="373"/>
        <v>1</v>
      </c>
      <c r="V4788">
        <f t="shared" si="374"/>
        <v>0</v>
      </c>
    </row>
    <row r="4789" spans="1:22" x14ac:dyDescent="0.25">
      <c r="A4789">
        <v>4786</v>
      </c>
      <c r="B4789" t="s">
        <v>32</v>
      </c>
      <c r="C4789" t="s">
        <v>1455</v>
      </c>
      <c r="D4789" s="4">
        <v>45355</v>
      </c>
      <c r="E4789" t="s">
        <v>2236</v>
      </c>
      <c r="F4789" t="s">
        <v>75</v>
      </c>
      <c r="I4789" s="6"/>
      <c r="J4789" s="6"/>
      <c r="K4789" s="6"/>
      <c r="L4789" s="6"/>
      <c r="M4789" s="6"/>
      <c r="N4789" s="6"/>
      <c r="O4789" s="6"/>
      <c r="P4789" s="6"/>
      <c r="Q4789">
        <v>0</v>
      </c>
      <c r="R4789">
        <f t="shared" si="370"/>
        <v>0</v>
      </c>
      <c r="S4789">
        <f t="shared" si="371"/>
        <v>0</v>
      </c>
      <c r="T4789">
        <f t="shared" si="372"/>
        <v>0</v>
      </c>
      <c r="U4789">
        <f t="shared" si="373"/>
        <v>0</v>
      </c>
      <c r="V4789">
        <f t="shared" si="374"/>
        <v>0</v>
      </c>
    </row>
    <row r="4790" spans="1:22" x14ac:dyDescent="0.25">
      <c r="A4790">
        <v>4787</v>
      </c>
      <c r="B4790" t="s">
        <v>32</v>
      </c>
      <c r="C4790" t="s">
        <v>1455</v>
      </c>
      <c r="D4790" s="4">
        <v>45356</v>
      </c>
      <c r="E4790" t="s">
        <v>841</v>
      </c>
      <c r="F4790" t="s">
        <v>75</v>
      </c>
      <c r="I4790" s="6"/>
      <c r="J4790" s="6"/>
      <c r="K4790" s="6"/>
      <c r="L4790" s="6"/>
      <c r="M4790" s="6"/>
      <c r="N4790" s="6"/>
      <c r="O4790" s="6"/>
      <c r="P4790" s="6"/>
      <c r="Q4790">
        <v>0</v>
      </c>
      <c r="R4790">
        <f t="shared" si="370"/>
        <v>0</v>
      </c>
      <c r="S4790">
        <f t="shared" si="371"/>
        <v>0</v>
      </c>
      <c r="T4790">
        <f t="shared" si="372"/>
        <v>0</v>
      </c>
      <c r="U4790">
        <f t="shared" si="373"/>
        <v>0</v>
      </c>
      <c r="V4790">
        <f t="shared" si="374"/>
        <v>0</v>
      </c>
    </row>
    <row r="4791" spans="1:22" x14ac:dyDescent="0.25">
      <c r="A4791">
        <v>4788</v>
      </c>
      <c r="B4791" t="s">
        <v>32</v>
      </c>
      <c r="C4791" t="s">
        <v>1455</v>
      </c>
      <c r="D4791" s="4">
        <v>45356</v>
      </c>
      <c r="E4791" t="s">
        <v>842</v>
      </c>
      <c r="F4791" t="s">
        <v>413</v>
      </c>
      <c r="G4791">
        <v>234</v>
      </c>
      <c r="I4791" s="6">
        <v>0</v>
      </c>
      <c r="J4791" s="6">
        <v>0</v>
      </c>
      <c r="K4791" s="6">
        <v>1</v>
      </c>
      <c r="L4791" s="6">
        <v>0</v>
      </c>
      <c r="M4791" s="6">
        <v>0</v>
      </c>
      <c r="N4791" s="6">
        <v>0</v>
      </c>
      <c r="O4791" s="6">
        <v>0</v>
      </c>
      <c r="P4791" s="6">
        <v>0</v>
      </c>
      <c r="Q4791">
        <v>1</v>
      </c>
      <c r="R4791">
        <f t="shared" si="370"/>
        <v>1</v>
      </c>
      <c r="S4791">
        <f t="shared" si="371"/>
        <v>0</v>
      </c>
      <c r="T4791">
        <f t="shared" si="372"/>
        <v>1</v>
      </c>
      <c r="U4791">
        <f t="shared" si="373"/>
        <v>1</v>
      </c>
      <c r="V4791">
        <f t="shared" si="374"/>
        <v>1</v>
      </c>
    </row>
    <row r="4792" spans="1:22" x14ac:dyDescent="0.25">
      <c r="A4792">
        <v>4789</v>
      </c>
      <c r="B4792" t="s">
        <v>32</v>
      </c>
      <c r="C4792" t="s">
        <v>1455</v>
      </c>
      <c r="D4792" s="4">
        <v>45356</v>
      </c>
      <c r="E4792" t="s">
        <v>2235</v>
      </c>
      <c r="F4792" t="s">
        <v>75</v>
      </c>
      <c r="I4792" s="6"/>
      <c r="J4792" s="6"/>
      <c r="K4792" s="6"/>
      <c r="L4792" s="6"/>
      <c r="M4792" s="6"/>
      <c r="N4792" s="6"/>
      <c r="O4792" s="6"/>
      <c r="P4792" s="6"/>
      <c r="Q4792">
        <v>0</v>
      </c>
      <c r="R4792">
        <f t="shared" si="370"/>
        <v>0</v>
      </c>
      <c r="S4792">
        <f t="shared" si="371"/>
        <v>0</v>
      </c>
      <c r="T4792">
        <f t="shared" si="372"/>
        <v>0</v>
      </c>
      <c r="U4792">
        <f t="shared" si="373"/>
        <v>0</v>
      </c>
      <c r="V4792">
        <f t="shared" si="374"/>
        <v>0</v>
      </c>
    </row>
    <row r="4793" spans="1:22" x14ac:dyDescent="0.25">
      <c r="A4793">
        <v>4790</v>
      </c>
      <c r="B4793" t="s">
        <v>32</v>
      </c>
      <c r="C4793" t="s">
        <v>1455</v>
      </c>
      <c r="D4793" s="4">
        <v>45356</v>
      </c>
      <c r="E4793" t="s">
        <v>2234</v>
      </c>
      <c r="F4793" t="s">
        <v>75</v>
      </c>
      <c r="I4793" s="6"/>
      <c r="J4793" s="6"/>
      <c r="K4793" s="6"/>
      <c r="L4793" s="6"/>
      <c r="M4793" s="6"/>
      <c r="N4793" s="6"/>
      <c r="O4793" s="6"/>
      <c r="P4793" s="6"/>
      <c r="Q4793">
        <v>0</v>
      </c>
      <c r="R4793">
        <f t="shared" si="370"/>
        <v>0</v>
      </c>
      <c r="S4793">
        <f t="shared" si="371"/>
        <v>0</v>
      </c>
      <c r="T4793">
        <f t="shared" si="372"/>
        <v>0</v>
      </c>
      <c r="U4793">
        <f t="shared" si="373"/>
        <v>0</v>
      </c>
      <c r="V4793">
        <f t="shared" si="374"/>
        <v>0</v>
      </c>
    </row>
    <row r="4794" spans="1:22" x14ac:dyDescent="0.25">
      <c r="A4794">
        <v>4791</v>
      </c>
      <c r="B4794" t="s">
        <v>32</v>
      </c>
      <c r="C4794" t="s">
        <v>1455</v>
      </c>
      <c r="D4794" s="4">
        <v>45356</v>
      </c>
      <c r="E4794" t="s">
        <v>2233</v>
      </c>
      <c r="F4794" t="s">
        <v>75</v>
      </c>
      <c r="I4794" s="6"/>
      <c r="J4794" s="6"/>
      <c r="K4794" s="6"/>
      <c r="L4794" s="6"/>
      <c r="M4794" s="6"/>
      <c r="N4794" s="6"/>
      <c r="O4794" s="6"/>
      <c r="P4794" s="6"/>
      <c r="Q4794">
        <v>0</v>
      </c>
      <c r="R4794">
        <f t="shared" si="370"/>
        <v>0</v>
      </c>
      <c r="S4794">
        <f t="shared" si="371"/>
        <v>0</v>
      </c>
      <c r="T4794">
        <f t="shared" si="372"/>
        <v>0</v>
      </c>
      <c r="U4794">
        <f t="shared" si="373"/>
        <v>0</v>
      </c>
      <c r="V4794">
        <f t="shared" si="374"/>
        <v>0</v>
      </c>
    </row>
    <row r="4795" spans="1:22" x14ac:dyDescent="0.25">
      <c r="A4795">
        <v>4792</v>
      </c>
      <c r="B4795" t="s">
        <v>32</v>
      </c>
      <c r="C4795" t="s">
        <v>1455</v>
      </c>
      <c r="D4795" s="4">
        <v>45356</v>
      </c>
      <c r="E4795" t="s">
        <v>2232</v>
      </c>
      <c r="F4795" t="s">
        <v>75</v>
      </c>
      <c r="I4795" s="6"/>
      <c r="J4795" s="6"/>
      <c r="K4795" s="6"/>
      <c r="L4795" s="6"/>
      <c r="M4795" s="6"/>
      <c r="N4795" s="6"/>
      <c r="O4795" s="6"/>
      <c r="P4795" s="6"/>
      <c r="Q4795">
        <v>0</v>
      </c>
      <c r="R4795">
        <f t="shared" si="370"/>
        <v>0</v>
      </c>
      <c r="S4795">
        <f t="shared" si="371"/>
        <v>0</v>
      </c>
      <c r="T4795">
        <f t="shared" si="372"/>
        <v>0</v>
      </c>
      <c r="U4795">
        <f t="shared" si="373"/>
        <v>0</v>
      </c>
      <c r="V4795">
        <f t="shared" si="374"/>
        <v>0</v>
      </c>
    </row>
    <row r="4796" spans="1:22" x14ac:dyDescent="0.25">
      <c r="A4796">
        <v>4793</v>
      </c>
      <c r="B4796" t="s">
        <v>32</v>
      </c>
      <c r="C4796" t="s">
        <v>1455</v>
      </c>
      <c r="D4796" s="4">
        <v>45356</v>
      </c>
      <c r="E4796" t="s">
        <v>2231</v>
      </c>
      <c r="F4796" t="s">
        <v>75</v>
      </c>
      <c r="I4796" s="6"/>
      <c r="J4796" s="6"/>
      <c r="K4796" s="6"/>
      <c r="L4796" s="6"/>
      <c r="M4796" s="6"/>
      <c r="N4796" s="6"/>
      <c r="O4796" s="6"/>
      <c r="P4796" s="6"/>
      <c r="Q4796">
        <v>0</v>
      </c>
      <c r="R4796">
        <f t="shared" si="370"/>
        <v>0</v>
      </c>
      <c r="S4796">
        <f t="shared" si="371"/>
        <v>0</v>
      </c>
      <c r="T4796">
        <f t="shared" si="372"/>
        <v>0</v>
      </c>
      <c r="U4796">
        <f t="shared" si="373"/>
        <v>0</v>
      </c>
      <c r="V4796">
        <f t="shared" si="374"/>
        <v>0</v>
      </c>
    </row>
    <row r="4797" spans="1:22" x14ac:dyDescent="0.25">
      <c r="A4797">
        <v>4794</v>
      </c>
      <c r="B4797" t="s">
        <v>32</v>
      </c>
      <c r="C4797" t="s">
        <v>1455</v>
      </c>
      <c r="D4797" s="4">
        <v>45357</v>
      </c>
      <c r="E4797" t="s">
        <v>260</v>
      </c>
      <c r="F4797" t="s">
        <v>75</v>
      </c>
      <c r="I4797" s="6">
        <v>0</v>
      </c>
      <c r="J4797" s="6">
        <v>0</v>
      </c>
      <c r="K4797" s="6">
        <v>0</v>
      </c>
      <c r="L4797" s="6">
        <v>0</v>
      </c>
      <c r="M4797" s="6">
        <v>0</v>
      </c>
      <c r="N4797" s="6">
        <v>0</v>
      </c>
      <c r="O4797" s="6">
        <v>0</v>
      </c>
      <c r="P4797" s="6">
        <v>0</v>
      </c>
      <c r="Q4797">
        <v>1</v>
      </c>
      <c r="R4797">
        <f t="shared" si="370"/>
        <v>0</v>
      </c>
      <c r="S4797">
        <f t="shared" si="371"/>
        <v>1</v>
      </c>
      <c r="T4797">
        <f t="shared" si="372"/>
        <v>0</v>
      </c>
      <c r="U4797">
        <f t="shared" si="373"/>
        <v>0</v>
      </c>
      <c r="V4797">
        <f t="shared" si="374"/>
        <v>0</v>
      </c>
    </row>
    <row r="4798" spans="1:22" x14ac:dyDescent="0.25">
      <c r="A4798">
        <v>4795</v>
      </c>
      <c r="B4798" t="s">
        <v>32</v>
      </c>
      <c r="C4798" t="s">
        <v>1455</v>
      </c>
      <c r="D4798" s="4">
        <v>45357</v>
      </c>
      <c r="E4798" t="s">
        <v>422</v>
      </c>
      <c r="F4798" t="s">
        <v>413</v>
      </c>
      <c r="G4798">
        <v>235</v>
      </c>
      <c r="I4798" s="6">
        <v>0</v>
      </c>
      <c r="J4798" s="6">
        <v>1</v>
      </c>
      <c r="K4798" s="6">
        <v>0</v>
      </c>
      <c r="L4798" s="6">
        <v>1</v>
      </c>
      <c r="M4798" s="6">
        <v>0</v>
      </c>
      <c r="N4798" s="6">
        <v>0</v>
      </c>
      <c r="O4798" s="6">
        <v>1</v>
      </c>
      <c r="P4798" s="6">
        <v>0</v>
      </c>
      <c r="Q4798">
        <v>1</v>
      </c>
      <c r="R4798">
        <f t="shared" si="370"/>
        <v>1</v>
      </c>
      <c r="S4798">
        <f t="shared" si="371"/>
        <v>0</v>
      </c>
      <c r="T4798">
        <f t="shared" si="372"/>
        <v>3</v>
      </c>
      <c r="U4798">
        <f t="shared" si="373"/>
        <v>1</v>
      </c>
      <c r="V4798">
        <f t="shared" si="374"/>
        <v>1</v>
      </c>
    </row>
    <row r="4799" spans="1:22" x14ac:dyDescent="0.25">
      <c r="A4799">
        <v>4796</v>
      </c>
      <c r="B4799" t="s">
        <v>32</v>
      </c>
      <c r="C4799" t="s">
        <v>1455</v>
      </c>
      <c r="D4799" s="4">
        <v>45357</v>
      </c>
      <c r="E4799" t="s">
        <v>2230</v>
      </c>
      <c r="F4799" t="s">
        <v>75</v>
      </c>
      <c r="I4799" s="6"/>
      <c r="J4799" s="6"/>
      <c r="K4799" s="6"/>
      <c r="L4799" s="6"/>
      <c r="M4799" s="6"/>
      <c r="N4799" s="6"/>
      <c r="O4799" s="6"/>
      <c r="P4799" s="6"/>
      <c r="Q4799">
        <v>0</v>
      </c>
      <c r="R4799">
        <f t="shared" si="370"/>
        <v>0</v>
      </c>
      <c r="S4799">
        <f t="shared" si="371"/>
        <v>0</v>
      </c>
      <c r="T4799">
        <f t="shared" si="372"/>
        <v>0</v>
      </c>
      <c r="U4799">
        <f t="shared" si="373"/>
        <v>0</v>
      </c>
      <c r="V4799">
        <f t="shared" si="374"/>
        <v>0</v>
      </c>
    </row>
    <row r="4800" spans="1:22" x14ac:dyDescent="0.25">
      <c r="A4800">
        <v>4797</v>
      </c>
      <c r="B4800" t="s">
        <v>32</v>
      </c>
      <c r="C4800" t="s">
        <v>1455</v>
      </c>
      <c r="D4800" s="4">
        <v>45357</v>
      </c>
      <c r="E4800" t="s">
        <v>1123</v>
      </c>
      <c r="F4800" t="s">
        <v>75</v>
      </c>
      <c r="I4800" s="6">
        <v>0</v>
      </c>
      <c r="J4800" s="6">
        <v>0</v>
      </c>
      <c r="K4800" s="6">
        <v>0</v>
      </c>
      <c r="L4800" s="6">
        <v>0</v>
      </c>
      <c r="M4800" s="6">
        <v>0</v>
      </c>
      <c r="N4800" s="6">
        <v>0</v>
      </c>
      <c r="O4800" s="6">
        <v>0</v>
      </c>
      <c r="P4800" s="6">
        <v>0</v>
      </c>
      <c r="Q4800">
        <v>1</v>
      </c>
      <c r="R4800">
        <f t="shared" si="370"/>
        <v>0</v>
      </c>
      <c r="S4800">
        <f t="shared" si="371"/>
        <v>1</v>
      </c>
      <c r="T4800">
        <f t="shared" si="372"/>
        <v>0</v>
      </c>
      <c r="U4800">
        <f t="shared" si="373"/>
        <v>0</v>
      </c>
      <c r="V4800">
        <f t="shared" si="374"/>
        <v>0</v>
      </c>
    </row>
    <row r="4801" spans="1:22" x14ac:dyDescent="0.25">
      <c r="A4801">
        <v>4798</v>
      </c>
      <c r="B4801" t="s">
        <v>32</v>
      </c>
      <c r="C4801" t="s">
        <v>1455</v>
      </c>
      <c r="D4801" s="4">
        <v>45357</v>
      </c>
      <c r="E4801" t="s">
        <v>1526</v>
      </c>
      <c r="F4801" t="s">
        <v>413</v>
      </c>
      <c r="G4801">
        <v>236</v>
      </c>
      <c r="I4801" s="6">
        <v>0</v>
      </c>
      <c r="J4801" s="6">
        <v>0</v>
      </c>
      <c r="K4801" s="6">
        <v>0</v>
      </c>
      <c r="L4801" s="6">
        <v>0</v>
      </c>
      <c r="M4801" s="6">
        <v>0</v>
      </c>
      <c r="N4801" s="6">
        <v>1</v>
      </c>
      <c r="O4801" s="6">
        <v>0</v>
      </c>
      <c r="P4801" s="6">
        <v>0</v>
      </c>
      <c r="Q4801">
        <v>1</v>
      </c>
      <c r="R4801">
        <f t="shared" si="370"/>
        <v>1</v>
      </c>
      <c r="S4801">
        <f t="shared" si="371"/>
        <v>0</v>
      </c>
      <c r="T4801">
        <f t="shared" si="372"/>
        <v>1</v>
      </c>
      <c r="U4801">
        <f t="shared" si="373"/>
        <v>1</v>
      </c>
      <c r="V4801">
        <f t="shared" si="374"/>
        <v>1</v>
      </c>
    </row>
    <row r="4802" spans="1:22" x14ac:dyDescent="0.25">
      <c r="A4802">
        <v>4799</v>
      </c>
      <c r="B4802" t="s">
        <v>32</v>
      </c>
      <c r="C4802" t="s">
        <v>1455</v>
      </c>
      <c r="D4802" s="4">
        <v>45357</v>
      </c>
      <c r="E4802" t="s">
        <v>2229</v>
      </c>
      <c r="F4802" t="s">
        <v>75</v>
      </c>
      <c r="I4802" s="6"/>
      <c r="J4802" s="6"/>
      <c r="K4802" s="6"/>
      <c r="L4802" s="6"/>
      <c r="M4802" s="6"/>
      <c r="N4802" s="6"/>
      <c r="O4802" s="6"/>
      <c r="P4802" s="6"/>
      <c r="Q4802">
        <v>0</v>
      </c>
      <c r="R4802">
        <f t="shared" si="370"/>
        <v>0</v>
      </c>
      <c r="S4802">
        <f t="shared" si="371"/>
        <v>0</v>
      </c>
      <c r="T4802">
        <f t="shared" si="372"/>
        <v>0</v>
      </c>
      <c r="U4802">
        <f t="shared" si="373"/>
        <v>0</v>
      </c>
      <c r="V4802">
        <f t="shared" si="374"/>
        <v>0</v>
      </c>
    </row>
    <row r="4803" spans="1:22" x14ac:dyDescent="0.25">
      <c r="A4803">
        <v>4800</v>
      </c>
      <c r="B4803" t="s">
        <v>32</v>
      </c>
      <c r="C4803" t="s">
        <v>1455</v>
      </c>
      <c r="D4803" s="4">
        <v>45358</v>
      </c>
      <c r="E4803" t="s">
        <v>2228</v>
      </c>
      <c r="F4803" t="s">
        <v>75</v>
      </c>
      <c r="I4803" s="6">
        <v>0</v>
      </c>
      <c r="J4803" s="6">
        <v>0</v>
      </c>
      <c r="K4803" s="6">
        <v>1</v>
      </c>
      <c r="L4803" s="6">
        <v>0</v>
      </c>
      <c r="M4803" s="6">
        <v>0</v>
      </c>
      <c r="N4803" s="6">
        <v>0</v>
      </c>
      <c r="O4803" s="6">
        <v>0</v>
      </c>
      <c r="P4803" s="6">
        <v>0</v>
      </c>
      <c r="Q4803">
        <v>1</v>
      </c>
      <c r="R4803">
        <f t="shared" ref="R4803:R4866" si="375">IF(AND(Q4803=1,F4803="ai_full"),1,0)</f>
        <v>0</v>
      </c>
      <c r="S4803">
        <f t="shared" ref="S4803:S4866" si="376">IF(AND(Q4803=1,F4803="conventional"),1,0)</f>
        <v>1</v>
      </c>
      <c r="T4803">
        <f t="shared" ref="T4803:T4866" si="377">SUM(I4803:P4803)</f>
        <v>1</v>
      </c>
      <c r="U4803">
        <f t="shared" ref="U4803:U4866" si="378">IF(T4803&gt;=1,1,0)</f>
        <v>1</v>
      </c>
      <c r="V4803">
        <f t="shared" ref="V4803:V4866" si="379">IF(F4803="ai_full",1,0)</f>
        <v>0</v>
      </c>
    </row>
    <row r="4804" spans="1:22" x14ac:dyDescent="0.25">
      <c r="A4804">
        <v>4801</v>
      </c>
      <c r="B4804" t="s">
        <v>32</v>
      </c>
      <c r="C4804" t="s">
        <v>1455</v>
      </c>
      <c r="D4804" s="4">
        <v>45358</v>
      </c>
      <c r="E4804" t="s">
        <v>1317</v>
      </c>
      <c r="F4804" t="s">
        <v>75</v>
      </c>
      <c r="I4804" s="6">
        <v>1</v>
      </c>
      <c r="J4804" s="6">
        <v>0</v>
      </c>
      <c r="K4804" s="6">
        <v>0</v>
      </c>
      <c r="L4804" s="6">
        <v>0</v>
      </c>
      <c r="M4804" s="6">
        <v>0</v>
      </c>
      <c r="N4804" s="6">
        <v>0</v>
      </c>
      <c r="O4804" s="6">
        <v>0</v>
      </c>
      <c r="P4804" s="6">
        <v>0</v>
      </c>
      <c r="Q4804">
        <v>1</v>
      </c>
      <c r="R4804">
        <f t="shared" si="375"/>
        <v>0</v>
      </c>
      <c r="S4804">
        <f t="shared" si="376"/>
        <v>1</v>
      </c>
      <c r="T4804">
        <f t="shared" si="377"/>
        <v>1</v>
      </c>
      <c r="U4804">
        <f t="shared" si="378"/>
        <v>1</v>
      </c>
      <c r="V4804">
        <f t="shared" si="379"/>
        <v>0</v>
      </c>
    </row>
    <row r="4805" spans="1:22" x14ac:dyDescent="0.25">
      <c r="A4805">
        <v>4802</v>
      </c>
      <c r="B4805" t="s">
        <v>32</v>
      </c>
      <c r="C4805" t="s">
        <v>1455</v>
      </c>
      <c r="D4805" s="4">
        <v>45358</v>
      </c>
      <c r="E4805" t="s">
        <v>1527</v>
      </c>
      <c r="F4805" t="s">
        <v>75</v>
      </c>
      <c r="I4805" s="6">
        <v>0</v>
      </c>
      <c r="J4805" s="6">
        <v>1</v>
      </c>
      <c r="K4805" s="6">
        <v>0</v>
      </c>
      <c r="L4805" s="6">
        <v>0</v>
      </c>
      <c r="M4805" s="6">
        <v>0</v>
      </c>
      <c r="N4805" s="6">
        <v>0</v>
      </c>
      <c r="O4805" s="6">
        <v>1</v>
      </c>
      <c r="P4805" s="6">
        <v>0</v>
      </c>
      <c r="Q4805">
        <v>1</v>
      </c>
      <c r="R4805">
        <f t="shared" si="375"/>
        <v>0</v>
      </c>
      <c r="S4805">
        <f t="shared" si="376"/>
        <v>1</v>
      </c>
      <c r="T4805">
        <f t="shared" si="377"/>
        <v>2</v>
      </c>
      <c r="U4805">
        <f t="shared" si="378"/>
        <v>1</v>
      </c>
      <c r="V4805">
        <f t="shared" si="379"/>
        <v>0</v>
      </c>
    </row>
    <row r="4806" spans="1:22" x14ac:dyDescent="0.25">
      <c r="A4806">
        <v>4803</v>
      </c>
      <c r="B4806" t="s">
        <v>32</v>
      </c>
      <c r="C4806" t="s">
        <v>1455</v>
      </c>
      <c r="D4806" s="4">
        <v>45358</v>
      </c>
      <c r="E4806" t="s">
        <v>1467</v>
      </c>
      <c r="F4806" t="s">
        <v>75</v>
      </c>
      <c r="I4806" s="6">
        <v>0</v>
      </c>
      <c r="J4806" s="6">
        <v>0</v>
      </c>
      <c r="K4806" s="6">
        <v>1</v>
      </c>
      <c r="L4806" s="6">
        <v>0</v>
      </c>
      <c r="M4806" s="6">
        <v>0</v>
      </c>
      <c r="N4806" s="6">
        <v>1</v>
      </c>
      <c r="O4806" s="6">
        <v>0</v>
      </c>
      <c r="P4806" s="6">
        <v>0</v>
      </c>
      <c r="Q4806">
        <v>1</v>
      </c>
      <c r="R4806">
        <f t="shared" si="375"/>
        <v>0</v>
      </c>
      <c r="S4806">
        <f t="shared" si="376"/>
        <v>1</v>
      </c>
      <c r="T4806">
        <f t="shared" si="377"/>
        <v>2</v>
      </c>
      <c r="U4806">
        <f t="shared" si="378"/>
        <v>1</v>
      </c>
      <c r="V4806">
        <f t="shared" si="379"/>
        <v>0</v>
      </c>
    </row>
    <row r="4807" spans="1:22" x14ac:dyDescent="0.25">
      <c r="A4807">
        <v>4804</v>
      </c>
      <c r="B4807" t="s">
        <v>32</v>
      </c>
      <c r="C4807" t="s">
        <v>1455</v>
      </c>
      <c r="D4807" s="4">
        <v>45358</v>
      </c>
      <c r="E4807" t="s">
        <v>2227</v>
      </c>
      <c r="F4807" t="s">
        <v>75</v>
      </c>
      <c r="I4807" s="6"/>
      <c r="J4807" s="6"/>
      <c r="K4807" s="6"/>
      <c r="L4807" s="6"/>
      <c r="M4807" s="6"/>
      <c r="N4807" s="6"/>
      <c r="O4807" s="6"/>
      <c r="P4807" s="6"/>
      <c r="Q4807">
        <v>0</v>
      </c>
      <c r="R4807">
        <f t="shared" si="375"/>
        <v>0</v>
      </c>
      <c r="S4807">
        <f t="shared" si="376"/>
        <v>0</v>
      </c>
      <c r="T4807">
        <f t="shared" si="377"/>
        <v>0</v>
      </c>
      <c r="U4807">
        <f t="shared" si="378"/>
        <v>0</v>
      </c>
      <c r="V4807">
        <f t="shared" si="379"/>
        <v>0</v>
      </c>
    </row>
    <row r="4808" spans="1:22" x14ac:dyDescent="0.25">
      <c r="A4808">
        <v>4805</v>
      </c>
      <c r="B4808" t="s">
        <v>32</v>
      </c>
      <c r="C4808" t="s">
        <v>1455</v>
      </c>
      <c r="D4808" s="4">
        <v>45358</v>
      </c>
      <c r="E4808" t="s">
        <v>1468</v>
      </c>
      <c r="F4808" t="s">
        <v>75</v>
      </c>
      <c r="I4808" s="6"/>
      <c r="J4808" s="6"/>
      <c r="K4808" s="6"/>
      <c r="L4808" s="6"/>
      <c r="M4808" s="6"/>
      <c r="N4808" s="6"/>
      <c r="O4808" s="6"/>
      <c r="P4808" s="6"/>
      <c r="Q4808">
        <v>0</v>
      </c>
      <c r="R4808">
        <f t="shared" si="375"/>
        <v>0</v>
      </c>
      <c r="S4808">
        <f t="shared" si="376"/>
        <v>0</v>
      </c>
      <c r="T4808">
        <f t="shared" si="377"/>
        <v>0</v>
      </c>
      <c r="U4808">
        <f t="shared" si="378"/>
        <v>0</v>
      </c>
      <c r="V4808">
        <f t="shared" si="379"/>
        <v>0</v>
      </c>
    </row>
    <row r="4809" spans="1:22" x14ac:dyDescent="0.25">
      <c r="A4809">
        <v>4806</v>
      </c>
      <c r="B4809" t="s">
        <v>32</v>
      </c>
      <c r="C4809" t="s">
        <v>1455</v>
      </c>
      <c r="D4809" s="4">
        <v>45358</v>
      </c>
      <c r="E4809" t="s">
        <v>2226</v>
      </c>
      <c r="F4809" t="s">
        <v>75</v>
      </c>
      <c r="I4809" s="6"/>
      <c r="J4809" s="6"/>
      <c r="K4809" s="6"/>
      <c r="L4809" s="6"/>
      <c r="M4809" s="6"/>
      <c r="N4809" s="6"/>
      <c r="O4809" s="6"/>
      <c r="P4809" s="6"/>
      <c r="Q4809">
        <v>0</v>
      </c>
      <c r="R4809">
        <f t="shared" si="375"/>
        <v>0</v>
      </c>
      <c r="S4809">
        <f t="shared" si="376"/>
        <v>0</v>
      </c>
      <c r="T4809">
        <f t="shared" si="377"/>
        <v>0</v>
      </c>
      <c r="U4809">
        <f t="shared" si="378"/>
        <v>0</v>
      </c>
      <c r="V4809">
        <f t="shared" si="379"/>
        <v>0</v>
      </c>
    </row>
    <row r="4810" spans="1:22" x14ac:dyDescent="0.25">
      <c r="A4810">
        <v>4807</v>
      </c>
      <c r="B4810" t="s">
        <v>32</v>
      </c>
      <c r="C4810" t="s">
        <v>1455</v>
      </c>
      <c r="D4810" s="4">
        <v>45359</v>
      </c>
      <c r="E4810" t="s">
        <v>844</v>
      </c>
      <c r="F4810" t="s">
        <v>75</v>
      </c>
      <c r="I4810" s="6">
        <v>0</v>
      </c>
      <c r="J4810" s="6">
        <v>0</v>
      </c>
      <c r="K4810" s="6">
        <v>0</v>
      </c>
      <c r="L4810" s="6">
        <v>0</v>
      </c>
      <c r="M4810" s="6">
        <v>0</v>
      </c>
      <c r="N4810" s="6">
        <v>0</v>
      </c>
      <c r="O4810" s="6">
        <v>1</v>
      </c>
      <c r="P4810" s="6">
        <v>0</v>
      </c>
      <c r="Q4810">
        <v>1</v>
      </c>
      <c r="R4810">
        <f t="shared" si="375"/>
        <v>0</v>
      </c>
      <c r="S4810">
        <f t="shared" si="376"/>
        <v>1</v>
      </c>
      <c r="T4810">
        <f t="shared" si="377"/>
        <v>1</v>
      </c>
      <c r="U4810">
        <f t="shared" si="378"/>
        <v>1</v>
      </c>
      <c r="V4810">
        <f t="shared" si="379"/>
        <v>0</v>
      </c>
    </row>
    <row r="4811" spans="1:22" x14ac:dyDescent="0.25">
      <c r="A4811">
        <v>4808</v>
      </c>
      <c r="B4811" t="s">
        <v>32</v>
      </c>
      <c r="C4811" t="s">
        <v>1455</v>
      </c>
      <c r="D4811" s="4">
        <v>45359</v>
      </c>
      <c r="E4811" t="s">
        <v>845</v>
      </c>
      <c r="F4811" t="s">
        <v>75</v>
      </c>
      <c r="I4811" s="6">
        <v>0</v>
      </c>
      <c r="J4811" s="6">
        <v>0</v>
      </c>
      <c r="K4811" s="6">
        <v>0</v>
      </c>
      <c r="L4811" s="6">
        <v>0</v>
      </c>
      <c r="M4811" s="6">
        <v>1</v>
      </c>
      <c r="N4811" s="6">
        <v>0</v>
      </c>
      <c r="O4811" s="6">
        <v>0</v>
      </c>
      <c r="P4811" s="6">
        <v>0</v>
      </c>
      <c r="Q4811">
        <v>1</v>
      </c>
      <c r="R4811">
        <f t="shared" si="375"/>
        <v>0</v>
      </c>
      <c r="S4811">
        <f t="shared" si="376"/>
        <v>1</v>
      </c>
      <c r="T4811">
        <f t="shared" si="377"/>
        <v>1</v>
      </c>
      <c r="U4811">
        <f t="shared" si="378"/>
        <v>1</v>
      </c>
      <c r="V4811">
        <f t="shared" si="379"/>
        <v>0</v>
      </c>
    </row>
    <row r="4812" spans="1:22" x14ac:dyDescent="0.25">
      <c r="A4812">
        <v>4809</v>
      </c>
      <c r="B4812" t="s">
        <v>32</v>
      </c>
      <c r="C4812" t="s">
        <v>1455</v>
      </c>
      <c r="D4812" s="4">
        <v>45359</v>
      </c>
      <c r="E4812" t="s">
        <v>2225</v>
      </c>
      <c r="F4812" t="s">
        <v>75</v>
      </c>
      <c r="I4812" s="6">
        <v>0</v>
      </c>
      <c r="J4812" s="6">
        <v>0</v>
      </c>
      <c r="K4812" s="6">
        <v>1</v>
      </c>
      <c r="L4812" s="6">
        <v>0</v>
      </c>
      <c r="M4812" s="6">
        <v>0</v>
      </c>
      <c r="N4812" s="6">
        <v>0</v>
      </c>
      <c r="O4812" s="6">
        <v>0</v>
      </c>
      <c r="P4812" s="6">
        <v>0</v>
      </c>
      <c r="Q4812">
        <v>1</v>
      </c>
      <c r="R4812">
        <f t="shared" si="375"/>
        <v>0</v>
      </c>
      <c r="S4812">
        <f t="shared" si="376"/>
        <v>1</v>
      </c>
      <c r="T4812">
        <f t="shared" si="377"/>
        <v>1</v>
      </c>
      <c r="U4812">
        <f t="shared" si="378"/>
        <v>1</v>
      </c>
      <c r="V4812">
        <f t="shared" si="379"/>
        <v>0</v>
      </c>
    </row>
    <row r="4813" spans="1:22" x14ac:dyDescent="0.25">
      <c r="A4813">
        <v>4810</v>
      </c>
      <c r="B4813" t="s">
        <v>32</v>
      </c>
      <c r="C4813" t="s">
        <v>1455</v>
      </c>
      <c r="D4813" s="4">
        <v>45359</v>
      </c>
      <c r="E4813" t="s">
        <v>1124</v>
      </c>
      <c r="F4813" t="s">
        <v>75</v>
      </c>
      <c r="I4813" s="6"/>
      <c r="J4813" s="6"/>
      <c r="K4813" s="6"/>
      <c r="L4813" s="6"/>
      <c r="M4813" s="6"/>
      <c r="N4813" s="6"/>
      <c r="O4813" s="6"/>
      <c r="P4813" s="6"/>
      <c r="Q4813">
        <v>0</v>
      </c>
      <c r="R4813">
        <f t="shared" si="375"/>
        <v>0</v>
      </c>
      <c r="S4813">
        <f t="shared" si="376"/>
        <v>0</v>
      </c>
      <c r="T4813">
        <f t="shared" si="377"/>
        <v>0</v>
      </c>
      <c r="U4813">
        <f t="shared" si="378"/>
        <v>0</v>
      </c>
      <c r="V4813">
        <f t="shared" si="379"/>
        <v>0</v>
      </c>
    </row>
    <row r="4814" spans="1:22" x14ac:dyDescent="0.25">
      <c r="A4814">
        <v>4811</v>
      </c>
      <c r="B4814" t="s">
        <v>32</v>
      </c>
      <c r="C4814" t="s">
        <v>1455</v>
      </c>
      <c r="D4814" s="4">
        <v>45359</v>
      </c>
      <c r="E4814" t="s">
        <v>2224</v>
      </c>
      <c r="F4814" t="s">
        <v>75</v>
      </c>
      <c r="I4814" s="6"/>
      <c r="J4814" s="6"/>
      <c r="K4814" s="6"/>
      <c r="L4814" s="6"/>
      <c r="M4814" s="6"/>
      <c r="N4814" s="6"/>
      <c r="O4814" s="6"/>
      <c r="P4814" s="6"/>
      <c r="Q4814">
        <v>0</v>
      </c>
      <c r="R4814">
        <f t="shared" si="375"/>
        <v>0</v>
      </c>
      <c r="S4814">
        <f t="shared" si="376"/>
        <v>0</v>
      </c>
      <c r="T4814">
        <f t="shared" si="377"/>
        <v>0</v>
      </c>
      <c r="U4814">
        <f t="shared" si="378"/>
        <v>0</v>
      </c>
      <c r="V4814">
        <f t="shared" si="379"/>
        <v>0</v>
      </c>
    </row>
    <row r="4815" spans="1:22" x14ac:dyDescent="0.25">
      <c r="A4815">
        <v>4812</v>
      </c>
      <c r="B4815" t="s">
        <v>32</v>
      </c>
      <c r="C4815" t="s">
        <v>1455</v>
      </c>
      <c r="D4815" s="4">
        <v>45359</v>
      </c>
      <c r="E4815" t="s">
        <v>1125</v>
      </c>
      <c r="F4815" t="s">
        <v>75</v>
      </c>
      <c r="I4815" s="6"/>
      <c r="J4815" s="6"/>
      <c r="K4815" s="6"/>
      <c r="L4815" s="6"/>
      <c r="M4815" s="6"/>
      <c r="N4815" s="6"/>
      <c r="O4815" s="6"/>
      <c r="P4815" s="6"/>
      <c r="Q4815">
        <v>0</v>
      </c>
      <c r="R4815">
        <f t="shared" si="375"/>
        <v>0</v>
      </c>
      <c r="S4815">
        <f t="shared" si="376"/>
        <v>0</v>
      </c>
      <c r="T4815">
        <f t="shared" si="377"/>
        <v>0</v>
      </c>
      <c r="U4815">
        <f t="shared" si="378"/>
        <v>0</v>
      </c>
      <c r="V4815">
        <f t="shared" si="379"/>
        <v>0</v>
      </c>
    </row>
    <row r="4816" spans="1:22" x14ac:dyDescent="0.25">
      <c r="A4816">
        <v>4813</v>
      </c>
      <c r="B4816" t="s">
        <v>32</v>
      </c>
      <c r="C4816" t="s">
        <v>1455</v>
      </c>
      <c r="D4816" s="4">
        <v>45359</v>
      </c>
      <c r="E4816" t="s">
        <v>1528</v>
      </c>
      <c r="F4816" t="s">
        <v>75</v>
      </c>
      <c r="I4816" s="6">
        <v>0</v>
      </c>
      <c r="J4816" s="6">
        <v>0</v>
      </c>
      <c r="K4816" s="6">
        <v>0</v>
      </c>
      <c r="L4816" s="6">
        <v>0</v>
      </c>
      <c r="M4816" s="6">
        <v>0</v>
      </c>
      <c r="N4816" s="6">
        <v>1</v>
      </c>
      <c r="O4816" s="6">
        <v>0</v>
      </c>
      <c r="P4816" s="6">
        <v>0</v>
      </c>
      <c r="Q4816">
        <v>1</v>
      </c>
      <c r="R4816">
        <f t="shared" si="375"/>
        <v>0</v>
      </c>
      <c r="S4816">
        <f t="shared" si="376"/>
        <v>1</v>
      </c>
      <c r="T4816">
        <f t="shared" si="377"/>
        <v>1</v>
      </c>
      <c r="U4816">
        <f t="shared" si="378"/>
        <v>1</v>
      </c>
      <c r="V4816">
        <f t="shared" si="379"/>
        <v>0</v>
      </c>
    </row>
    <row r="4817" spans="1:22" x14ac:dyDescent="0.25">
      <c r="A4817">
        <v>4814</v>
      </c>
      <c r="B4817" t="s">
        <v>32</v>
      </c>
      <c r="C4817" t="s">
        <v>1455</v>
      </c>
      <c r="D4817" s="4">
        <v>45359</v>
      </c>
      <c r="E4817" t="s">
        <v>2223</v>
      </c>
      <c r="F4817" t="s">
        <v>75</v>
      </c>
      <c r="I4817" s="6">
        <v>0</v>
      </c>
      <c r="J4817" s="6">
        <v>0</v>
      </c>
      <c r="K4817" s="6">
        <v>0</v>
      </c>
      <c r="L4817" s="6">
        <v>1</v>
      </c>
      <c r="M4817" s="6">
        <v>0</v>
      </c>
      <c r="N4817" s="6">
        <v>1</v>
      </c>
      <c r="O4817" s="6">
        <v>0</v>
      </c>
      <c r="P4817" s="6">
        <v>0</v>
      </c>
      <c r="Q4817">
        <v>1</v>
      </c>
      <c r="R4817">
        <f t="shared" si="375"/>
        <v>0</v>
      </c>
      <c r="S4817">
        <f t="shared" si="376"/>
        <v>1</v>
      </c>
      <c r="T4817">
        <f t="shared" si="377"/>
        <v>2</v>
      </c>
      <c r="U4817">
        <f t="shared" si="378"/>
        <v>1</v>
      </c>
      <c r="V4817">
        <f t="shared" si="379"/>
        <v>0</v>
      </c>
    </row>
    <row r="4818" spans="1:22" x14ac:dyDescent="0.25">
      <c r="A4818">
        <v>4815</v>
      </c>
      <c r="B4818" t="s">
        <v>32</v>
      </c>
      <c r="C4818" t="s">
        <v>1455</v>
      </c>
      <c r="D4818" s="4">
        <v>45360</v>
      </c>
      <c r="E4818" t="s">
        <v>1126</v>
      </c>
      <c r="F4818" t="s">
        <v>75</v>
      </c>
      <c r="I4818" s="6"/>
      <c r="J4818" s="6"/>
      <c r="K4818" s="6"/>
      <c r="L4818" s="6"/>
      <c r="M4818" s="6"/>
      <c r="N4818" s="6"/>
      <c r="O4818" s="6"/>
      <c r="P4818" s="6"/>
      <c r="Q4818">
        <v>0</v>
      </c>
      <c r="R4818">
        <f t="shared" si="375"/>
        <v>0</v>
      </c>
      <c r="S4818">
        <f t="shared" si="376"/>
        <v>0</v>
      </c>
      <c r="T4818">
        <f t="shared" si="377"/>
        <v>0</v>
      </c>
      <c r="U4818">
        <f t="shared" si="378"/>
        <v>0</v>
      </c>
      <c r="V4818">
        <f t="shared" si="379"/>
        <v>0</v>
      </c>
    </row>
    <row r="4819" spans="1:22" x14ac:dyDescent="0.25">
      <c r="A4819">
        <v>4816</v>
      </c>
      <c r="B4819" t="s">
        <v>32</v>
      </c>
      <c r="C4819" t="s">
        <v>1455</v>
      </c>
      <c r="D4819" s="4">
        <v>45360</v>
      </c>
      <c r="E4819" t="s">
        <v>261</v>
      </c>
      <c r="F4819" t="s">
        <v>75</v>
      </c>
      <c r="I4819" s="6">
        <v>0</v>
      </c>
      <c r="J4819" s="6">
        <v>0</v>
      </c>
      <c r="K4819" s="6">
        <v>1</v>
      </c>
      <c r="L4819" s="6">
        <v>0</v>
      </c>
      <c r="M4819" s="6">
        <v>0</v>
      </c>
      <c r="N4819" s="6">
        <v>0</v>
      </c>
      <c r="O4819" s="6">
        <v>0</v>
      </c>
      <c r="P4819" s="6">
        <v>0</v>
      </c>
      <c r="Q4819">
        <v>1</v>
      </c>
      <c r="R4819">
        <f t="shared" si="375"/>
        <v>0</v>
      </c>
      <c r="S4819">
        <f t="shared" si="376"/>
        <v>1</v>
      </c>
      <c r="T4819">
        <f t="shared" si="377"/>
        <v>1</v>
      </c>
      <c r="U4819">
        <f t="shared" si="378"/>
        <v>1</v>
      </c>
      <c r="V4819">
        <f t="shared" si="379"/>
        <v>0</v>
      </c>
    </row>
    <row r="4820" spans="1:22" x14ac:dyDescent="0.25">
      <c r="A4820">
        <v>4817</v>
      </c>
      <c r="B4820" t="s">
        <v>32</v>
      </c>
      <c r="C4820" t="s">
        <v>1455</v>
      </c>
      <c r="D4820" s="4">
        <v>45360</v>
      </c>
      <c r="E4820" t="s">
        <v>262</v>
      </c>
      <c r="F4820" t="s">
        <v>75</v>
      </c>
      <c r="I4820" s="6">
        <v>0</v>
      </c>
      <c r="J4820" s="6">
        <v>0</v>
      </c>
      <c r="K4820" s="6">
        <v>1</v>
      </c>
      <c r="L4820" s="6">
        <v>0</v>
      </c>
      <c r="M4820" s="6">
        <v>0</v>
      </c>
      <c r="N4820" s="6">
        <v>0</v>
      </c>
      <c r="O4820" s="6">
        <v>0</v>
      </c>
      <c r="P4820" s="6">
        <v>0</v>
      </c>
      <c r="Q4820">
        <v>1</v>
      </c>
      <c r="R4820">
        <f t="shared" si="375"/>
        <v>0</v>
      </c>
      <c r="S4820">
        <f t="shared" si="376"/>
        <v>1</v>
      </c>
      <c r="T4820">
        <f t="shared" si="377"/>
        <v>1</v>
      </c>
      <c r="U4820">
        <f t="shared" si="378"/>
        <v>1</v>
      </c>
      <c r="V4820">
        <f t="shared" si="379"/>
        <v>0</v>
      </c>
    </row>
    <row r="4821" spans="1:22" x14ac:dyDescent="0.25">
      <c r="A4821">
        <v>4818</v>
      </c>
      <c r="B4821" t="s">
        <v>32</v>
      </c>
      <c r="C4821" t="s">
        <v>1455</v>
      </c>
      <c r="D4821" s="4">
        <v>45360</v>
      </c>
      <c r="E4821" t="s">
        <v>2222</v>
      </c>
      <c r="F4821" t="s">
        <v>75</v>
      </c>
      <c r="I4821" s="6"/>
      <c r="J4821" s="6"/>
      <c r="K4821" s="6"/>
      <c r="L4821" s="6"/>
      <c r="M4821" s="6"/>
      <c r="N4821" s="6"/>
      <c r="O4821" s="6"/>
      <c r="P4821" s="6"/>
      <c r="Q4821">
        <v>0</v>
      </c>
      <c r="R4821">
        <f t="shared" si="375"/>
        <v>0</v>
      </c>
      <c r="S4821">
        <f t="shared" si="376"/>
        <v>0</v>
      </c>
      <c r="T4821">
        <f t="shared" si="377"/>
        <v>0</v>
      </c>
      <c r="U4821">
        <f t="shared" si="378"/>
        <v>0</v>
      </c>
      <c r="V4821">
        <f t="shared" si="379"/>
        <v>0</v>
      </c>
    </row>
    <row r="4822" spans="1:22" x14ac:dyDescent="0.25">
      <c r="A4822">
        <v>4819</v>
      </c>
      <c r="B4822" t="s">
        <v>32</v>
      </c>
      <c r="C4822" t="s">
        <v>1455</v>
      </c>
      <c r="D4822" s="4">
        <v>45360</v>
      </c>
      <c r="E4822" t="s">
        <v>2221</v>
      </c>
      <c r="F4822" t="s">
        <v>75</v>
      </c>
      <c r="I4822" s="6"/>
      <c r="J4822" s="6"/>
      <c r="K4822" s="6"/>
      <c r="L4822" s="6"/>
      <c r="M4822" s="6"/>
      <c r="N4822" s="6"/>
      <c r="O4822" s="6"/>
      <c r="P4822" s="6"/>
      <c r="Q4822">
        <v>0</v>
      </c>
      <c r="R4822">
        <f t="shared" si="375"/>
        <v>0</v>
      </c>
      <c r="S4822">
        <f t="shared" si="376"/>
        <v>0</v>
      </c>
      <c r="T4822">
        <f t="shared" si="377"/>
        <v>0</v>
      </c>
      <c r="U4822">
        <f t="shared" si="378"/>
        <v>0</v>
      </c>
      <c r="V4822">
        <f t="shared" si="379"/>
        <v>0</v>
      </c>
    </row>
    <row r="4823" spans="1:22" x14ac:dyDescent="0.25">
      <c r="A4823">
        <v>4820</v>
      </c>
      <c r="B4823" t="s">
        <v>32</v>
      </c>
      <c r="C4823" t="s">
        <v>1455</v>
      </c>
      <c r="D4823" s="4">
        <v>45360</v>
      </c>
      <c r="E4823" t="s">
        <v>1529</v>
      </c>
      <c r="F4823" t="s">
        <v>413</v>
      </c>
      <c r="G4823">
        <v>237</v>
      </c>
      <c r="I4823" s="6">
        <v>0</v>
      </c>
      <c r="J4823" s="6">
        <v>1</v>
      </c>
      <c r="K4823" s="6">
        <v>0</v>
      </c>
      <c r="L4823" s="6">
        <v>1</v>
      </c>
      <c r="M4823" s="6">
        <v>0</v>
      </c>
      <c r="N4823" s="6">
        <v>0</v>
      </c>
      <c r="O4823" s="6">
        <v>1</v>
      </c>
      <c r="P4823" s="6">
        <v>0</v>
      </c>
      <c r="Q4823">
        <v>1</v>
      </c>
      <c r="R4823">
        <f t="shared" si="375"/>
        <v>1</v>
      </c>
      <c r="S4823">
        <f t="shared" si="376"/>
        <v>0</v>
      </c>
      <c r="T4823">
        <f t="shared" si="377"/>
        <v>3</v>
      </c>
      <c r="U4823">
        <f t="shared" si="378"/>
        <v>1</v>
      </c>
      <c r="V4823">
        <f t="shared" si="379"/>
        <v>1</v>
      </c>
    </row>
    <row r="4824" spans="1:22" x14ac:dyDescent="0.25">
      <c r="A4824">
        <v>4821</v>
      </c>
      <c r="B4824" t="s">
        <v>32</v>
      </c>
      <c r="C4824" t="s">
        <v>1455</v>
      </c>
      <c r="D4824" s="4">
        <v>45360</v>
      </c>
      <c r="E4824" t="s">
        <v>2220</v>
      </c>
      <c r="F4824" t="s">
        <v>75</v>
      </c>
      <c r="I4824" s="6"/>
      <c r="J4824" s="6"/>
      <c r="K4824" s="6"/>
      <c r="L4824" s="6"/>
      <c r="M4824" s="6"/>
      <c r="N4824" s="6"/>
      <c r="O4824" s="6"/>
      <c r="P4824" s="6"/>
      <c r="Q4824">
        <v>0</v>
      </c>
      <c r="R4824">
        <f t="shared" si="375"/>
        <v>0</v>
      </c>
      <c r="S4824">
        <f t="shared" si="376"/>
        <v>0</v>
      </c>
      <c r="T4824">
        <f t="shared" si="377"/>
        <v>0</v>
      </c>
      <c r="U4824">
        <f t="shared" si="378"/>
        <v>0</v>
      </c>
      <c r="V4824">
        <f t="shared" si="379"/>
        <v>0</v>
      </c>
    </row>
    <row r="4825" spans="1:22" x14ac:dyDescent="0.25">
      <c r="A4825">
        <v>4822</v>
      </c>
      <c r="B4825" t="s">
        <v>32</v>
      </c>
      <c r="C4825" t="s">
        <v>1455</v>
      </c>
      <c r="D4825" s="4">
        <v>45361</v>
      </c>
      <c r="E4825" t="s">
        <v>263</v>
      </c>
      <c r="F4825" t="s">
        <v>75</v>
      </c>
      <c r="I4825" s="6">
        <v>0</v>
      </c>
      <c r="J4825" s="6">
        <v>0</v>
      </c>
      <c r="K4825" s="6">
        <v>1</v>
      </c>
      <c r="L4825" s="6">
        <v>1</v>
      </c>
      <c r="M4825" s="6">
        <v>1</v>
      </c>
      <c r="N4825" s="6">
        <v>1</v>
      </c>
      <c r="O4825" s="6">
        <v>1</v>
      </c>
      <c r="P4825" s="6">
        <v>0</v>
      </c>
      <c r="Q4825">
        <v>1</v>
      </c>
      <c r="R4825">
        <f t="shared" si="375"/>
        <v>0</v>
      </c>
      <c r="S4825">
        <f t="shared" si="376"/>
        <v>1</v>
      </c>
      <c r="T4825">
        <f t="shared" si="377"/>
        <v>5</v>
      </c>
      <c r="U4825">
        <f t="shared" si="378"/>
        <v>1</v>
      </c>
      <c r="V4825">
        <f t="shared" si="379"/>
        <v>0</v>
      </c>
    </row>
    <row r="4826" spans="1:22" x14ac:dyDescent="0.25">
      <c r="A4826">
        <v>4823</v>
      </c>
      <c r="B4826" t="s">
        <v>32</v>
      </c>
      <c r="C4826" t="s">
        <v>1455</v>
      </c>
      <c r="D4826" s="4">
        <v>45361</v>
      </c>
      <c r="E4826" t="s">
        <v>264</v>
      </c>
      <c r="F4826" t="s">
        <v>75</v>
      </c>
      <c r="I4826" s="6"/>
      <c r="J4826" s="6"/>
      <c r="K4826" s="6"/>
      <c r="L4826" s="6"/>
      <c r="M4826" s="6"/>
      <c r="N4826" s="6"/>
      <c r="O4826" s="6"/>
      <c r="P4826" s="6"/>
      <c r="Q4826">
        <v>0</v>
      </c>
      <c r="R4826">
        <f t="shared" si="375"/>
        <v>0</v>
      </c>
      <c r="S4826">
        <f t="shared" si="376"/>
        <v>0</v>
      </c>
      <c r="T4826">
        <f t="shared" si="377"/>
        <v>0</v>
      </c>
      <c r="U4826">
        <f t="shared" si="378"/>
        <v>0</v>
      </c>
      <c r="V4826">
        <f t="shared" si="379"/>
        <v>0</v>
      </c>
    </row>
    <row r="4827" spans="1:22" x14ac:dyDescent="0.25">
      <c r="A4827">
        <v>4824</v>
      </c>
      <c r="B4827" t="s">
        <v>32</v>
      </c>
      <c r="C4827" t="s">
        <v>1455</v>
      </c>
      <c r="D4827" s="4">
        <v>45361</v>
      </c>
      <c r="E4827" t="s">
        <v>265</v>
      </c>
      <c r="F4827" t="s">
        <v>75</v>
      </c>
      <c r="I4827" s="6">
        <v>0</v>
      </c>
      <c r="J4827" s="6">
        <v>0</v>
      </c>
      <c r="K4827" s="6">
        <v>0</v>
      </c>
      <c r="L4827" s="6">
        <v>1</v>
      </c>
      <c r="M4827" s="6">
        <v>1</v>
      </c>
      <c r="N4827" s="6">
        <v>0</v>
      </c>
      <c r="O4827" s="6">
        <v>0</v>
      </c>
      <c r="P4827" s="6">
        <v>0</v>
      </c>
      <c r="Q4827">
        <v>1</v>
      </c>
      <c r="R4827">
        <f t="shared" si="375"/>
        <v>0</v>
      </c>
      <c r="S4827">
        <f t="shared" si="376"/>
        <v>1</v>
      </c>
      <c r="T4827">
        <f t="shared" si="377"/>
        <v>2</v>
      </c>
      <c r="U4827">
        <f t="shared" si="378"/>
        <v>1</v>
      </c>
      <c r="V4827">
        <f t="shared" si="379"/>
        <v>0</v>
      </c>
    </row>
    <row r="4828" spans="1:22" x14ac:dyDescent="0.25">
      <c r="A4828">
        <v>4825</v>
      </c>
      <c r="B4828" t="s">
        <v>32</v>
      </c>
      <c r="C4828" t="s">
        <v>1455</v>
      </c>
      <c r="D4828" s="4">
        <v>45361</v>
      </c>
      <c r="E4828" t="s">
        <v>1530</v>
      </c>
      <c r="F4828" t="s">
        <v>357</v>
      </c>
      <c r="I4828" s="6">
        <v>1</v>
      </c>
      <c r="J4828" s="6">
        <v>0</v>
      </c>
      <c r="K4828" s="6">
        <v>0</v>
      </c>
      <c r="L4828" s="6">
        <v>0</v>
      </c>
      <c r="M4828" s="6">
        <v>0</v>
      </c>
      <c r="N4828" s="6">
        <v>0</v>
      </c>
      <c r="O4828" s="6">
        <v>0</v>
      </c>
      <c r="P4828" s="6">
        <v>0</v>
      </c>
      <c r="Q4828">
        <v>1</v>
      </c>
      <c r="R4828">
        <f t="shared" si="375"/>
        <v>0</v>
      </c>
      <c r="S4828">
        <f t="shared" si="376"/>
        <v>0</v>
      </c>
      <c r="T4828">
        <f t="shared" si="377"/>
        <v>1</v>
      </c>
      <c r="U4828">
        <f t="shared" si="378"/>
        <v>1</v>
      </c>
      <c r="V4828">
        <f t="shared" si="379"/>
        <v>0</v>
      </c>
    </row>
    <row r="4829" spans="1:22" x14ac:dyDescent="0.25">
      <c r="A4829">
        <v>4826</v>
      </c>
      <c r="B4829" t="s">
        <v>32</v>
      </c>
      <c r="C4829" t="s">
        <v>1455</v>
      </c>
      <c r="D4829" s="4">
        <v>45361</v>
      </c>
      <c r="E4829" t="s">
        <v>2219</v>
      </c>
      <c r="F4829" t="s">
        <v>75</v>
      </c>
      <c r="I4829" s="6"/>
      <c r="J4829" s="6"/>
      <c r="K4829" s="6"/>
      <c r="L4829" s="6"/>
      <c r="M4829" s="6"/>
      <c r="N4829" s="6"/>
      <c r="O4829" s="6"/>
      <c r="P4829" s="6"/>
      <c r="Q4829">
        <v>0</v>
      </c>
      <c r="R4829">
        <f t="shared" si="375"/>
        <v>0</v>
      </c>
      <c r="S4829">
        <f t="shared" si="376"/>
        <v>0</v>
      </c>
      <c r="T4829">
        <f t="shared" si="377"/>
        <v>0</v>
      </c>
      <c r="U4829">
        <f t="shared" si="378"/>
        <v>0</v>
      </c>
      <c r="V4829">
        <f t="shared" si="379"/>
        <v>0</v>
      </c>
    </row>
    <row r="4830" spans="1:22" x14ac:dyDescent="0.25">
      <c r="A4830">
        <v>4827</v>
      </c>
      <c r="B4830" t="s">
        <v>32</v>
      </c>
      <c r="C4830" t="s">
        <v>1455</v>
      </c>
      <c r="D4830" s="4">
        <v>45361</v>
      </c>
      <c r="E4830" t="s">
        <v>2218</v>
      </c>
      <c r="F4830" t="s">
        <v>75</v>
      </c>
      <c r="I4830" s="6"/>
      <c r="J4830" s="6"/>
      <c r="K4830" s="6"/>
      <c r="L4830" s="6"/>
      <c r="M4830" s="6"/>
      <c r="N4830" s="6"/>
      <c r="O4830" s="6"/>
      <c r="P4830" s="6"/>
      <c r="Q4830">
        <v>0</v>
      </c>
      <c r="R4830">
        <f t="shared" si="375"/>
        <v>0</v>
      </c>
      <c r="S4830">
        <f t="shared" si="376"/>
        <v>0</v>
      </c>
      <c r="T4830">
        <f t="shared" si="377"/>
        <v>0</v>
      </c>
      <c r="U4830">
        <f t="shared" si="378"/>
        <v>0</v>
      </c>
      <c r="V4830">
        <f t="shared" si="379"/>
        <v>0</v>
      </c>
    </row>
    <row r="4831" spans="1:22" x14ac:dyDescent="0.25">
      <c r="A4831">
        <v>4828</v>
      </c>
      <c r="B4831" t="s">
        <v>32</v>
      </c>
      <c r="C4831" t="s">
        <v>1455</v>
      </c>
      <c r="D4831" s="4">
        <v>45362</v>
      </c>
      <c r="E4831" t="s">
        <v>1318</v>
      </c>
      <c r="F4831" t="s">
        <v>75</v>
      </c>
      <c r="I4831" s="6"/>
      <c r="J4831" s="6"/>
      <c r="K4831" s="6"/>
      <c r="L4831" s="6"/>
      <c r="M4831" s="6"/>
      <c r="N4831" s="6"/>
      <c r="O4831" s="6"/>
      <c r="P4831" s="6"/>
      <c r="Q4831">
        <v>0</v>
      </c>
      <c r="R4831">
        <f t="shared" si="375"/>
        <v>0</v>
      </c>
      <c r="S4831">
        <f t="shared" si="376"/>
        <v>0</v>
      </c>
      <c r="T4831">
        <f t="shared" si="377"/>
        <v>0</v>
      </c>
      <c r="U4831">
        <f t="shared" si="378"/>
        <v>0</v>
      </c>
      <c r="V4831">
        <f t="shared" si="379"/>
        <v>0</v>
      </c>
    </row>
    <row r="4832" spans="1:22" x14ac:dyDescent="0.25">
      <c r="A4832">
        <v>4829</v>
      </c>
      <c r="B4832" t="s">
        <v>32</v>
      </c>
      <c r="C4832" t="s">
        <v>1455</v>
      </c>
      <c r="D4832" s="4">
        <v>45362</v>
      </c>
      <c r="E4832" t="s">
        <v>266</v>
      </c>
      <c r="F4832" t="s">
        <v>75</v>
      </c>
      <c r="I4832" s="6">
        <v>0</v>
      </c>
      <c r="J4832" s="6">
        <v>0</v>
      </c>
      <c r="K4832" s="6">
        <v>0</v>
      </c>
      <c r="L4832" s="6">
        <v>0</v>
      </c>
      <c r="M4832" s="6">
        <v>0</v>
      </c>
      <c r="N4832" s="6">
        <v>0</v>
      </c>
      <c r="O4832" s="6">
        <v>0</v>
      </c>
      <c r="P4832" s="6">
        <v>0</v>
      </c>
      <c r="Q4832">
        <v>1</v>
      </c>
      <c r="R4832">
        <f t="shared" si="375"/>
        <v>0</v>
      </c>
      <c r="S4832">
        <f t="shared" si="376"/>
        <v>1</v>
      </c>
      <c r="T4832">
        <f t="shared" si="377"/>
        <v>0</v>
      </c>
      <c r="U4832">
        <f t="shared" si="378"/>
        <v>0</v>
      </c>
      <c r="V4832">
        <f t="shared" si="379"/>
        <v>0</v>
      </c>
    </row>
    <row r="4833" spans="1:22" x14ac:dyDescent="0.25">
      <c r="A4833">
        <v>4830</v>
      </c>
      <c r="B4833" t="s">
        <v>32</v>
      </c>
      <c r="C4833" t="s">
        <v>1455</v>
      </c>
      <c r="D4833" s="4">
        <v>45362</v>
      </c>
      <c r="E4833" t="s">
        <v>2052</v>
      </c>
      <c r="F4833" t="s">
        <v>75</v>
      </c>
      <c r="I4833" s="6"/>
      <c r="J4833" s="6"/>
      <c r="K4833" s="6"/>
      <c r="L4833" s="6"/>
      <c r="M4833" s="6"/>
      <c r="N4833" s="6"/>
      <c r="O4833" s="6"/>
      <c r="P4833" s="6"/>
      <c r="Q4833">
        <v>0</v>
      </c>
      <c r="R4833">
        <f t="shared" si="375"/>
        <v>0</v>
      </c>
      <c r="S4833">
        <f t="shared" si="376"/>
        <v>0</v>
      </c>
      <c r="T4833">
        <f t="shared" si="377"/>
        <v>0</v>
      </c>
      <c r="U4833">
        <f t="shared" si="378"/>
        <v>0</v>
      </c>
      <c r="V4833">
        <f t="shared" si="379"/>
        <v>0</v>
      </c>
    </row>
    <row r="4834" spans="1:22" x14ac:dyDescent="0.25">
      <c r="A4834">
        <v>4831</v>
      </c>
      <c r="B4834" t="s">
        <v>32</v>
      </c>
      <c r="C4834" t="s">
        <v>1455</v>
      </c>
      <c r="D4834" s="4">
        <v>45362</v>
      </c>
      <c r="E4834" t="s">
        <v>1320</v>
      </c>
      <c r="F4834" t="s">
        <v>75</v>
      </c>
      <c r="I4834" s="6"/>
      <c r="J4834" s="6"/>
      <c r="K4834" s="6"/>
      <c r="L4834" s="6"/>
      <c r="M4834" s="6"/>
      <c r="N4834" s="6"/>
      <c r="O4834" s="6"/>
      <c r="P4834" s="6"/>
      <c r="Q4834">
        <v>0</v>
      </c>
      <c r="R4834">
        <f t="shared" si="375"/>
        <v>0</v>
      </c>
      <c r="S4834">
        <f t="shared" si="376"/>
        <v>0</v>
      </c>
      <c r="T4834">
        <f t="shared" si="377"/>
        <v>0</v>
      </c>
      <c r="U4834">
        <f t="shared" si="378"/>
        <v>0</v>
      </c>
      <c r="V4834">
        <f t="shared" si="379"/>
        <v>0</v>
      </c>
    </row>
    <row r="4835" spans="1:22" x14ac:dyDescent="0.25">
      <c r="A4835">
        <v>4832</v>
      </c>
      <c r="B4835" t="s">
        <v>32</v>
      </c>
      <c r="C4835" t="s">
        <v>1455</v>
      </c>
      <c r="D4835" s="4">
        <v>45362</v>
      </c>
      <c r="E4835" t="s">
        <v>2051</v>
      </c>
      <c r="F4835" t="s">
        <v>75</v>
      </c>
      <c r="I4835" s="6"/>
      <c r="J4835" s="6"/>
      <c r="K4835" s="6"/>
      <c r="L4835" s="6"/>
      <c r="M4835" s="6"/>
      <c r="N4835" s="6"/>
      <c r="O4835" s="6"/>
      <c r="P4835" s="6"/>
      <c r="Q4835">
        <v>0</v>
      </c>
      <c r="R4835">
        <f t="shared" si="375"/>
        <v>0</v>
      </c>
      <c r="S4835">
        <f t="shared" si="376"/>
        <v>0</v>
      </c>
      <c r="T4835">
        <f t="shared" si="377"/>
        <v>0</v>
      </c>
      <c r="U4835">
        <f t="shared" si="378"/>
        <v>0</v>
      </c>
      <c r="V4835">
        <f t="shared" si="379"/>
        <v>0</v>
      </c>
    </row>
    <row r="4836" spans="1:22" x14ac:dyDescent="0.25">
      <c r="A4836">
        <v>4833</v>
      </c>
      <c r="B4836" t="s">
        <v>32</v>
      </c>
      <c r="C4836" t="s">
        <v>1455</v>
      </c>
      <c r="D4836" s="4">
        <v>45362</v>
      </c>
      <c r="E4836" t="s">
        <v>1321</v>
      </c>
      <c r="F4836" t="s">
        <v>75</v>
      </c>
      <c r="I4836" s="6">
        <v>0</v>
      </c>
      <c r="J4836" s="6">
        <v>0</v>
      </c>
      <c r="K4836" s="6">
        <v>0</v>
      </c>
      <c r="L4836" s="6">
        <v>0</v>
      </c>
      <c r="M4836" s="6">
        <v>0</v>
      </c>
      <c r="N4836" s="6">
        <v>0</v>
      </c>
      <c r="O4836" s="6">
        <v>0</v>
      </c>
      <c r="P4836" s="6">
        <v>0</v>
      </c>
      <c r="Q4836">
        <v>1</v>
      </c>
      <c r="R4836">
        <f t="shared" si="375"/>
        <v>0</v>
      </c>
      <c r="S4836">
        <f t="shared" si="376"/>
        <v>1</v>
      </c>
      <c r="T4836">
        <f t="shared" si="377"/>
        <v>0</v>
      </c>
      <c r="U4836">
        <f t="shared" si="378"/>
        <v>0</v>
      </c>
      <c r="V4836">
        <f t="shared" si="379"/>
        <v>0</v>
      </c>
    </row>
    <row r="4837" spans="1:22" x14ac:dyDescent="0.25">
      <c r="A4837">
        <v>4834</v>
      </c>
      <c r="B4837" t="s">
        <v>32</v>
      </c>
      <c r="C4837" t="s">
        <v>1455</v>
      </c>
      <c r="D4837" s="4">
        <v>45362</v>
      </c>
      <c r="E4837" t="s">
        <v>1791</v>
      </c>
      <c r="F4837" t="s">
        <v>75</v>
      </c>
      <c r="I4837" s="6"/>
      <c r="J4837" s="6"/>
      <c r="K4837" s="6"/>
      <c r="L4837" s="6"/>
      <c r="M4837" s="6"/>
      <c r="N4837" s="6"/>
      <c r="O4837" s="6"/>
      <c r="P4837" s="6"/>
      <c r="Q4837">
        <v>0</v>
      </c>
      <c r="R4837">
        <f t="shared" si="375"/>
        <v>0</v>
      </c>
      <c r="S4837">
        <f t="shared" si="376"/>
        <v>0</v>
      </c>
      <c r="T4837">
        <f t="shared" si="377"/>
        <v>0</v>
      </c>
      <c r="U4837">
        <f t="shared" si="378"/>
        <v>0</v>
      </c>
      <c r="V4837">
        <f t="shared" si="379"/>
        <v>0</v>
      </c>
    </row>
    <row r="4838" spans="1:22" x14ac:dyDescent="0.25">
      <c r="A4838">
        <v>4835</v>
      </c>
      <c r="B4838" t="s">
        <v>32</v>
      </c>
      <c r="C4838" t="s">
        <v>1455</v>
      </c>
      <c r="D4838" s="4">
        <v>45363</v>
      </c>
      <c r="E4838" t="s">
        <v>847</v>
      </c>
      <c r="F4838" t="s">
        <v>75</v>
      </c>
      <c r="I4838" s="6">
        <v>0</v>
      </c>
      <c r="J4838" s="6">
        <v>0</v>
      </c>
      <c r="K4838" s="6">
        <v>0</v>
      </c>
      <c r="L4838" s="6">
        <v>0</v>
      </c>
      <c r="M4838" s="6">
        <v>0</v>
      </c>
      <c r="N4838" s="6">
        <v>0</v>
      </c>
      <c r="O4838" s="6">
        <v>0</v>
      </c>
      <c r="P4838" s="6">
        <v>0</v>
      </c>
      <c r="Q4838">
        <v>1</v>
      </c>
      <c r="R4838">
        <f t="shared" si="375"/>
        <v>0</v>
      </c>
      <c r="S4838">
        <f t="shared" si="376"/>
        <v>1</v>
      </c>
      <c r="T4838">
        <f t="shared" si="377"/>
        <v>0</v>
      </c>
      <c r="U4838">
        <f t="shared" si="378"/>
        <v>0</v>
      </c>
      <c r="V4838">
        <f t="shared" si="379"/>
        <v>0</v>
      </c>
    </row>
    <row r="4839" spans="1:22" x14ac:dyDescent="0.25">
      <c r="A4839">
        <v>4836</v>
      </c>
      <c r="B4839" t="s">
        <v>32</v>
      </c>
      <c r="C4839" t="s">
        <v>1455</v>
      </c>
      <c r="D4839" s="4">
        <v>45363</v>
      </c>
      <c r="E4839" t="s">
        <v>848</v>
      </c>
      <c r="F4839" t="s">
        <v>75</v>
      </c>
      <c r="I4839" s="6"/>
      <c r="J4839" s="6"/>
      <c r="K4839" s="6"/>
      <c r="L4839" s="6"/>
      <c r="M4839" s="6"/>
      <c r="N4839" s="6"/>
      <c r="O4839" s="6"/>
      <c r="P4839" s="6"/>
      <c r="Q4839">
        <v>0</v>
      </c>
      <c r="R4839">
        <f t="shared" si="375"/>
        <v>0</v>
      </c>
      <c r="S4839">
        <f t="shared" si="376"/>
        <v>0</v>
      </c>
      <c r="T4839">
        <f t="shared" si="377"/>
        <v>0</v>
      </c>
      <c r="U4839">
        <f t="shared" si="378"/>
        <v>0</v>
      </c>
      <c r="V4839">
        <f t="shared" si="379"/>
        <v>0</v>
      </c>
    </row>
    <row r="4840" spans="1:22" x14ac:dyDescent="0.25">
      <c r="A4840">
        <v>4837</v>
      </c>
      <c r="B4840" t="s">
        <v>32</v>
      </c>
      <c r="C4840" t="s">
        <v>1455</v>
      </c>
      <c r="D4840" s="4">
        <v>45363</v>
      </c>
      <c r="E4840" t="s">
        <v>1469</v>
      </c>
      <c r="F4840" t="s">
        <v>75</v>
      </c>
      <c r="I4840" s="6">
        <v>0</v>
      </c>
      <c r="J4840" s="6">
        <v>0</v>
      </c>
      <c r="K4840" s="6">
        <v>0</v>
      </c>
      <c r="L4840" s="6">
        <v>1</v>
      </c>
      <c r="M4840" s="6">
        <v>0</v>
      </c>
      <c r="N4840" s="6">
        <v>1</v>
      </c>
      <c r="O4840" s="6">
        <v>0</v>
      </c>
      <c r="P4840" s="6">
        <v>0</v>
      </c>
      <c r="Q4840">
        <v>1</v>
      </c>
      <c r="R4840">
        <f t="shared" si="375"/>
        <v>0</v>
      </c>
      <c r="S4840">
        <f t="shared" si="376"/>
        <v>1</v>
      </c>
      <c r="T4840">
        <f t="shared" si="377"/>
        <v>2</v>
      </c>
      <c r="U4840">
        <f t="shared" si="378"/>
        <v>1</v>
      </c>
      <c r="V4840">
        <f t="shared" si="379"/>
        <v>0</v>
      </c>
    </row>
    <row r="4841" spans="1:22" x14ac:dyDescent="0.25">
      <c r="A4841">
        <v>4838</v>
      </c>
      <c r="B4841" t="s">
        <v>32</v>
      </c>
      <c r="C4841" t="s">
        <v>1455</v>
      </c>
      <c r="D4841" s="4">
        <v>45363</v>
      </c>
      <c r="E4841" t="s">
        <v>1792</v>
      </c>
      <c r="F4841" t="s">
        <v>75</v>
      </c>
      <c r="I4841" s="6"/>
      <c r="J4841" s="6"/>
      <c r="K4841" s="6"/>
      <c r="L4841" s="6"/>
      <c r="M4841" s="6"/>
      <c r="N4841" s="6"/>
      <c r="O4841" s="6"/>
      <c r="P4841" s="6"/>
      <c r="Q4841">
        <v>0</v>
      </c>
      <c r="R4841">
        <f t="shared" si="375"/>
        <v>0</v>
      </c>
      <c r="S4841">
        <f t="shared" si="376"/>
        <v>0</v>
      </c>
      <c r="T4841">
        <f t="shared" si="377"/>
        <v>0</v>
      </c>
      <c r="U4841">
        <f t="shared" si="378"/>
        <v>0</v>
      </c>
      <c r="V4841">
        <f t="shared" si="379"/>
        <v>0</v>
      </c>
    </row>
    <row r="4842" spans="1:22" x14ac:dyDescent="0.25">
      <c r="A4842">
        <v>4839</v>
      </c>
      <c r="B4842" t="s">
        <v>32</v>
      </c>
      <c r="C4842" t="s">
        <v>1455</v>
      </c>
      <c r="D4842" s="4">
        <v>45363</v>
      </c>
      <c r="E4842" t="s">
        <v>2049</v>
      </c>
      <c r="F4842" t="s">
        <v>75</v>
      </c>
      <c r="I4842" s="6"/>
      <c r="J4842" s="6"/>
      <c r="K4842" s="6"/>
      <c r="L4842" s="6"/>
      <c r="M4842" s="6"/>
      <c r="N4842" s="6"/>
      <c r="O4842" s="6"/>
      <c r="P4842" s="6"/>
      <c r="Q4842">
        <v>0</v>
      </c>
      <c r="R4842">
        <f t="shared" si="375"/>
        <v>0</v>
      </c>
      <c r="S4842">
        <f t="shared" si="376"/>
        <v>0</v>
      </c>
      <c r="T4842">
        <f t="shared" si="377"/>
        <v>0</v>
      </c>
      <c r="U4842">
        <f t="shared" si="378"/>
        <v>0</v>
      </c>
      <c r="V4842">
        <f t="shared" si="379"/>
        <v>0</v>
      </c>
    </row>
    <row r="4843" spans="1:22" x14ac:dyDescent="0.25">
      <c r="A4843">
        <v>4840</v>
      </c>
      <c r="B4843" t="s">
        <v>32</v>
      </c>
      <c r="C4843" t="s">
        <v>1455</v>
      </c>
      <c r="D4843" s="4">
        <v>45363</v>
      </c>
      <c r="E4843" t="s">
        <v>1531</v>
      </c>
      <c r="F4843" t="s">
        <v>75</v>
      </c>
      <c r="I4843" s="6">
        <v>0</v>
      </c>
      <c r="J4843" s="6">
        <v>0</v>
      </c>
      <c r="K4843" s="6">
        <v>0</v>
      </c>
      <c r="L4843" s="6">
        <v>0</v>
      </c>
      <c r="M4843" s="6">
        <v>1</v>
      </c>
      <c r="N4843" s="6">
        <v>0</v>
      </c>
      <c r="O4843" s="6">
        <v>0</v>
      </c>
      <c r="P4843" s="6">
        <v>0</v>
      </c>
      <c r="Q4843">
        <v>1</v>
      </c>
      <c r="R4843">
        <f t="shared" si="375"/>
        <v>0</v>
      </c>
      <c r="S4843">
        <f t="shared" si="376"/>
        <v>1</v>
      </c>
      <c r="T4843">
        <f t="shared" si="377"/>
        <v>1</v>
      </c>
      <c r="U4843">
        <f t="shared" si="378"/>
        <v>1</v>
      </c>
      <c r="V4843">
        <f t="shared" si="379"/>
        <v>0</v>
      </c>
    </row>
    <row r="4844" spans="1:22" x14ac:dyDescent="0.25">
      <c r="A4844">
        <v>4841</v>
      </c>
      <c r="B4844" t="s">
        <v>32</v>
      </c>
      <c r="C4844" t="s">
        <v>1455</v>
      </c>
      <c r="D4844" s="4">
        <v>45364</v>
      </c>
      <c r="E4844" t="s">
        <v>1127</v>
      </c>
      <c r="F4844" t="s">
        <v>75</v>
      </c>
      <c r="I4844" s="6">
        <v>0</v>
      </c>
      <c r="J4844" s="6">
        <v>0</v>
      </c>
      <c r="K4844" s="6">
        <v>0</v>
      </c>
      <c r="L4844" s="6">
        <v>1</v>
      </c>
      <c r="M4844" s="6">
        <v>0</v>
      </c>
      <c r="N4844" s="6">
        <v>1</v>
      </c>
      <c r="O4844" s="6">
        <v>0</v>
      </c>
      <c r="P4844" s="6">
        <v>0</v>
      </c>
      <c r="Q4844">
        <v>1</v>
      </c>
      <c r="R4844">
        <f t="shared" si="375"/>
        <v>0</v>
      </c>
      <c r="S4844">
        <f t="shared" si="376"/>
        <v>1</v>
      </c>
      <c r="T4844">
        <f t="shared" si="377"/>
        <v>2</v>
      </c>
      <c r="U4844">
        <f t="shared" si="378"/>
        <v>1</v>
      </c>
      <c r="V4844">
        <f t="shared" si="379"/>
        <v>0</v>
      </c>
    </row>
    <row r="4845" spans="1:22" x14ac:dyDescent="0.25">
      <c r="A4845">
        <v>4842</v>
      </c>
      <c r="B4845" t="s">
        <v>32</v>
      </c>
      <c r="C4845" t="s">
        <v>1455</v>
      </c>
      <c r="D4845" s="4">
        <v>45364</v>
      </c>
      <c r="E4845" t="s">
        <v>849</v>
      </c>
      <c r="F4845" t="s">
        <v>75</v>
      </c>
      <c r="I4845" s="6">
        <v>0</v>
      </c>
      <c r="J4845" s="6">
        <v>0</v>
      </c>
      <c r="K4845" s="6">
        <v>1</v>
      </c>
      <c r="L4845" s="6">
        <v>0</v>
      </c>
      <c r="M4845" s="6">
        <v>0</v>
      </c>
      <c r="N4845" s="6">
        <v>0</v>
      </c>
      <c r="O4845" s="6">
        <v>0</v>
      </c>
      <c r="P4845" s="6">
        <v>0</v>
      </c>
      <c r="Q4845">
        <v>1</v>
      </c>
      <c r="R4845">
        <f t="shared" si="375"/>
        <v>0</v>
      </c>
      <c r="S4845">
        <f t="shared" si="376"/>
        <v>1</v>
      </c>
      <c r="T4845">
        <f t="shared" si="377"/>
        <v>1</v>
      </c>
      <c r="U4845">
        <f t="shared" si="378"/>
        <v>1</v>
      </c>
      <c r="V4845">
        <f t="shared" si="379"/>
        <v>0</v>
      </c>
    </row>
    <row r="4846" spans="1:22" x14ac:dyDescent="0.25">
      <c r="A4846">
        <v>4843</v>
      </c>
      <c r="B4846" t="s">
        <v>32</v>
      </c>
      <c r="C4846" t="s">
        <v>1455</v>
      </c>
      <c r="D4846" s="4">
        <v>45364</v>
      </c>
      <c r="E4846" t="s">
        <v>850</v>
      </c>
      <c r="F4846" t="s">
        <v>75</v>
      </c>
      <c r="I4846" s="6"/>
      <c r="J4846" s="6"/>
      <c r="K4846" s="6"/>
      <c r="L4846" s="6"/>
      <c r="M4846" s="6"/>
      <c r="N4846" s="6"/>
      <c r="O4846" s="6"/>
      <c r="P4846" s="6"/>
      <c r="Q4846">
        <v>0</v>
      </c>
      <c r="R4846">
        <f t="shared" si="375"/>
        <v>0</v>
      </c>
      <c r="S4846">
        <f t="shared" si="376"/>
        <v>0</v>
      </c>
      <c r="T4846">
        <f t="shared" si="377"/>
        <v>0</v>
      </c>
      <c r="U4846">
        <f t="shared" si="378"/>
        <v>0</v>
      </c>
      <c r="V4846">
        <f t="shared" si="379"/>
        <v>0</v>
      </c>
    </row>
    <row r="4847" spans="1:22" x14ac:dyDescent="0.25">
      <c r="A4847">
        <v>4844</v>
      </c>
      <c r="B4847" t="s">
        <v>32</v>
      </c>
      <c r="C4847" t="s">
        <v>1455</v>
      </c>
      <c r="D4847" s="4">
        <v>45364</v>
      </c>
      <c r="E4847" t="s">
        <v>2217</v>
      </c>
      <c r="F4847" t="s">
        <v>75</v>
      </c>
      <c r="I4847" s="6">
        <v>1</v>
      </c>
      <c r="J4847" s="6">
        <v>0</v>
      </c>
      <c r="K4847" s="6">
        <v>1</v>
      </c>
      <c r="L4847" s="6">
        <v>0</v>
      </c>
      <c r="M4847" s="6">
        <v>0</v>
      </c>
      <c r="N4847" s="6">
        <v>0</v>
      </c>
      <c r="O4847" s="6">
        <v>0</v>
      </c>
      <c r="P4847" s="6">
        <v>0</v>
      </c>
      <c r="Q4847">
        <v>1</v>
      </c>
      <c r="R4847">
        <f t="shared" si="375"/>
        <v>0</v>
      </c>
      <c r="S4847">
        <f t="shared" si="376"/>
        <v>1</v>
      </c>
      <c r="T4847">
        <f t="shared" si="377"/>
        <v>2</v>
      </c>
      <c r="U4847">
        <f t="shared" si="378"/>
        <v>1</v>
      </c>
      <c r="V4847">
        <f t="shared" si="379"/>
        <v>0</v>
      </c>
    </row>
    <row r="4848" spans="1:22" x14ac:dyDescent="0.25">
      <c r="A4848">
        <v>4845</v>
      </c>
      <c r="B4848" t="s">
        <v>32</v>
      </c>
      <c r="C4848" t="s">
        <v>1455</v>
      </c>
      <c r="D4848" s="4">
        <v>45364</v>
      </c>
      <c r="E4848" t="s">
        <v>2216</v>
      </c>
      <c r="F4848" t="s">
        <v>75</v>
      </c>
      <c r="I4848" s="6"/>
      <c r="J4848" s="6"/>
      <c r="K4848" s="6"/>
      <c r="L4848" s="6"/>
      <c r="M4848" s="6"/>
      <c r="N4848" s="6"/>
      <c r="O4848" s="6"/>
      <c r="P4848" s="6"/>
      <c r="Q4848">
        <v>0</v>
      </c>
      <c r="R4848">
        <f t="shared" si="375"/>
        <v>0</v>
      </c>
      <c r="S4848">
        <f t="shared" si="376"/>
        <v>0</v>
      </c>
      <c r="T4848">
        <f t="shared" si="377"/>
        <v>0</v>
      </c>
      <c r="U4848">
        <f t="shared" si="378"/>
        <v>0</v>
      </c>
      <c r="V4848">
        <f t="shared" si="379"/>
        <v>0</v>
      </c>
    </row>
    <row r="4849" spans="1:22" x14ac:dyDescent="0.25">
      <c r="A4849">
        <v>4846</v>
      </c>
      <c r="B4849" t="s">
        <v>32</v>
      </c>
      <c r="C4849" t="s">
        <v>1455</v>
      </c>
      <c r="D4849" s="4">
        <v>45364</v>
      </c>
      <c r="E4849" t="s">
        <v>1324</v>
      </c>
      <c r="F4849" t="s">
        <v>75</v>
      </c>
      <c r="I4849" s="6">
        <v>0</v>
      </c>
      <c r="J4849" s="6">
        <v>0</v>
      </c>
      <c r="K4849" s="6">
        <v>0</v>
      </c>
      <c r="L4849" s="6">
        <v>1</v>
      </c>
      <c r="M4849" s="6">
        <v>0</v>
      </c>
      <c r="N4849" s="6">
        <v>0</v>
      </c>
      <c r="O4849" s="6">
        <v>0</v>
      </c>
      <c r="P4849" s="6">
        <v>0</v>
      </c>
      <c r="Q4849">
        <v>1</v>
      </c>
      <c r="R4849">
        <f t="shared" si="375"/>
        <v>0</v>
      </c>
      <c r="S4849">
        <f t="shared" si="376"/>
        <v>1</v>
      </c>
      <c r="T4849">
        <f t="shared" si="377"/>
        <v>1</v>
      </c>
      <c r="U4849">
        <f t="shared" si="378"/>
        <v>1</v>
      </c>
      <c r="V4849">
        <f t="shared" si="379"/>
        <v>0</v>
      </c>
    </row>
    <row r="4850" spans="1:22" x14ac:dyDescent="0.25">
      <c r="A4850">
        <v>4847</v>
      </c>
      <c r="B4850" t="s">
        <v>32</v>
      </c>
      <c r="C4850" t="s">
        <v>1455</v>
      </c>
      <c r="D4850" s="4">
        <v>45365</v>
      </c>
      <c r="E4850" t="s">
        <v>924</v>
      </c>
      <c r="F4850" t="s">
        <v>75</v>
      </c>
      <c r="I4850" s="6"/>
      <c r="J4850" s="6"/>
      <c r="K4850" s="6"/>
      <c r="L4850" s="6"/>
      <c r="M4850" s="6"/>
      <c r="N4850" s="6"/>
      <c r="O4850" s="6"/>
      <c r="P4850" s="6"/>
      <c r="Q4850">
        <v>0</v>
      </c>
      <c r="R4850">
        <f t="shared" si="375"/>
        <v>0</v>
      </c>
      <c r="S4850">
        <f t="shared" si="376"/>
        <v>0</v>
      </c>
      <c r="T4850">
        <f t="shared" si="377"/>
        <v>0</v>
      </c>
      <c r="U4850">
        <f t="shared" si="378"/>
        <v>0</v>
      </c>
      <c r="V4850">
        <f t="shared" si="379"/>
        <v>0</v>
      </c>
    </row>
    <row r="4851" spans="1:22" x14ac:dyDescent="0.25">
      <c r="A4851">
        <v>4848</v>
      </c>
      <c r="B4851" t="s">
        <v>32</v>
      </c>
      <c r="C4851" t="s">
        <v>1455</v>
      </c>
      <c r="D4851" s="4">
        <v>45365</v>
      </c>
      <c r="E4851" t="s">
        <v>926</v>
      </c>
      <c r="F4851" t="s">
        <v>75</v>
      </c>
      <c r="I4851" s="6"/>
      <c r="J4851" s="6"/>
      <c r="K4851" s="6"/>
      <c r="L4851" s="6"/>
      <c r="M4851" s="6"/>
      <c r="N4851" s="6"/>
      <c r="O4851" s="6"/>
      <c r="P4851" s="6"/>
      <c r="Q4851">
        <v>0</v>
      </c>
      <c r="R4851">
        <f t="shared" si="375"/>
        <v>0</v>
      </c>
      <c r="S4851">
        <f t="shared" si="376"/>
        <v>0</v>
      </c>
      <c r="T4851">
        <f t="shared" si="377"/>
        <v>0</v>
      </c>
      <c r="U4851">
        <f t="shared" si="378"/>
        <v>0</v>
      </c>
      <c r="V4851">
        <f t="shared" si="379"/>
        <v>0</v>
      </c>
    </row>
    <row r="4852" spans="1:22" x14ac:dyDescent="0.25">
      <c r="A4852">
        <v>4849</v>
      </c>
      <c r="B4852" t="s">
        <v>32</v>
      </c>
      <c r="C4852" t="s">
        <v>1455</v>
      </c>
      <c r="D4852" s="4">
        <v>45365</v>
      </c>
      <c r="E4852" t="s">
        <v>927</v>
      </c>
      <c r="F4852" t="s">
        <v>75</v>
      </c>
      <c r="I4852" s="6">
        <v>0</v>
      </c>
      <c r="J4852" s="6">
        <v>0</v>
      </c>
      <c r="K4852" s="6">
        <v>1</v>
      </c>
      <c r="L4852" s="6">
        <v>0</v>
      </c>
      <c r="M4852" s="6">
        <v>0</v>
      </c>
      <c r="N4852" s="6">
        <v>0</v>
      </c>
      <c r="O4852" s="6">
        <v>0</v>
      </c>
      <c r="P4852" s="6">
        <v>0</v>
      </c>
      <c r="Q4852">
        <v>1</v>
      </c>
      <c r="R4852">
        <f t="shared" si="375"/>
        <v>0</v>
      </c>
      <c r="S4852">
        <f t="shared" si="376"/>
        <v>1</v>
      </c>
      <c r="T4852">
        <f t="shared" si="377"/>
        <v>1</v>
      </c>
      <c r="U4852">
        <f t="shared" si="378"/>
        <v>1</v>
      </c>
      <c r="V4852">
        <f t="shared" si="379"/>
        <v>0</v>
      </c>
    </row>
    <row r="4853" spans="1:22" x14ac:dyDescent="0.25">
      <c r="A4853">
        <v>4850</v>
      </c>
      <c r="B4853" t="s">
        <v>32</v>
      </c>
      <c r="C4853" t="s">
        <v>1455</v>
      </c>
      <c r="D4853" s="4">
        <v>45365</v>
      </c>
      <c r="E4853" t="s">
        <v>1326</v>
      </c>
      <c r="F4853" t="s">
        <v>75</v>
      </c>
      <c r="I4853" s="6">
        <v>0</v>
      </c>
      <c r="J4853" s="6">
        <v>0</v>
      </c>
      <c r="K4853" s="6">
        <v>0</v>
      </c>
      <c r="L4853" s="6">
        <v>0</v>
      </c>
      <c r="M4853" s="6">
        <v>1</v>
      </c>
      <c r="N4853" s="6">
        <v>0</v>
      </c>
      <c r="O4853" s="6">
        <v>0</v>
      </c>
      <c r="P4853" s="6">
        <v>0</v>
      </c>
      <c r="Q4853">
        <v>1</v>
      </c>
      <c r="R4853">
        <f t="shared" si="375"/>
        <v>0</v>
      </c>
      <c r="S4853">
        <f t="shared" si="376"/>
        <v>1</v>
      </c>
      <c r="T4853">
        <f t="shared" si="377"/>
        <v>1</v>
      </c>
      <c r="U4853">
        <f t="shared" si="378"/>
        <v>1</v>
      </c>
      <c r="V4853">
        <f t="shared" si="379"/>
        <v>0</v>
      </c>
    </row>
    <row r="4854" spans="1:22" x14ac:dyDescent="0.25">
      <c r="A4854">
        <v>4851</v>
      </c>
      <c r="B4854" t="s">
        <v>32</v>
      </c>
      <c r="C4854" t="s">
        <v>1455</v>
      </c>
      <c r="D4854" s="4">
        <v>45365</v>
      </c>
      <c r="E4854" t="s">
        <v>2215</v>
      </c>
      <c r="F4854" t="s">
        <v>75</v>
      </c>
      <c r="I4854" s="6"/>
      <c r="J4854" s="6"/>
      <c r="K4854" s="6"/>
      <c r="L4854" s="6"/>
      <c r="M4854" s="6"/>
      <c r="N4854" s="6"/>
      <c r="O4854" s="6"/>
      <c r="P4854" s="6"/>
      <c r="Q4854">
        <v>0</v>
      </c>
      <c r="R4854">
        <f t="shared" si="375"/>
        <v>0</v>
      </c>
      <c r="S4854">
        <f t="shared" si="376"/>
        <v>0</v>
      </c>
      <c r="T4854">
        <f t="shared" si="377"/>
        <v>0</v>
      </c>
      <c r="U4854">
        <f t="shared" si="378"/>
        <v>0</v>
      </c>
      <c r="V4854">
        <f t="shared" si="379"/>
        <v>0</v>
      </c>
    </row>
    <row r="4855" spans="1:22" x14ac:dyDescent="0.25">
      <c r="A4855">
        <v>4852</v>
      </c>
      <c r="B4855" t="s">
        <v>32</v>
      </c>
      <c r="C4855" t="s">
        <v>1455</v>
      </c>
      <c r="D4855" s="4">
        <v>45366</v>
      </c>
      <c r="E4855" t="s">
        <v>928</v>
      </c>
      <c r="F4855" t="s">
        <v>75</v>
      </c>
      <c r="I4855" s="6"/>
      <c r="J4855" s="6"/>
      <c r="K4855" s="6"/>
      <c r="L4855" s="6"/>
      <c r="M4855" s="6"/>
      <c r="N4855" s="6"/>
      <c r="O4855" s="6"/>
      <c r="P4855" s="6"/>
      <c r="Q4855">
        <v>0</v>
      </c>
      <c r="R4855">
        <f t="shared" si="375"/>
        <v>0</v>
      </c>
      <c r="S4855">
        <f t="shared" si="376"/>
        <v>0</v>
      </c>
      <c r="T4855">
        <f t="shared" si="377"/>
        <v>0</v>
      </c>
      <c r="U4855">
        <f t="shared" si="378"/>
        <v>0</v>
      </c>
      <c r="V4855">
        <f t="shared" si="379"/>
        <v>0</v>
      </c>
    </row>
    <row r="4856" spans="1:22" x14ac:dyDescent="0.25">
      <c r="A4856">
        <v>4853</v>
      </c>
      <c r="B4856" t="s">
        <v>32</v>
      </c>
      <c r="C4856" t="s">
        <v>1455</v>
      </c>
      <c r="D4856" s="4">
        <v>45366</v>
      </c>
      <c r="E4856" t="s">
        <v>930</v>
      </c>
      <c r="F4856" t="s">
        <v>75</v>
      </c>
      <c r="I4856" s="6"/>
      <c r="J4856" s="6"/>
      <c r="K4856" s="6"/>
      <c r="L4856" s="6"/>
      <c r="M4856" s="6"/>
      <c r="N4856" s="6"/>
      <c r="O4856" s="6"/>
      <c r="P4856" s="6"/>
      <c r="Q4856">
        <v>0</v>
      </c>
      <c r="R4856">
        <f t="shared" si="375"/>
        <v>0</v>
      </c>
      <c r="S4856">
        <f t="shared" si="376"/>
        <v>0</v>
      </c>
      <c r="T4856">
        <f t="shared" si="377"/>
        <v>0</v>
      </c>
      <c r="U4856">
        <f t="shared" si="378"/>
        <v>0</v>
      </c>
      <c r="V4856">
        <f t="shared" si="379"/>
        <v>0</v>
      </c>
    </row>
    <row r="4857" spans="1:22" x14ac:dyDescent="0.25">
      <c r="A4857">
        <v>4854</v>
      </c>
      <c r="B4857" t="s">
        <v>32</v>
      </c>
      <c r="C4857" t="s">
        <v>1455</v>
      </c>
      <c r="D4857" s="4">
        <v>45366</v>
      </c>
      <c r="E4857" t="s">
        <v>1128</v>
      </c>
      <c r="F4857" t="s">
        <v>75</v>
      </c>
      <c r="I4857" s="6">
        <v>1</v>
      </c>
      <c r="J4857" s="6">
        <v>0</v>
      </c>
      <c r="K4857" s="6">
        <v>1</v>
      </c>
      <c r="L4857" s="6">
        <v>0</v>
      </c>
      <c r="M4857" s="6">
        <v>0</v>
      </c>
      <c r="N4857" s="6">
        <v>0</v>
      </c>
      <c r="O4857" s="6">
        <v>0</v>
      </c>
      <c r="P4857" s="6">
        <v>0</v>
      </c>
      <c r="Q4857">
        <v>1</v>
      </c>
      <c r="R4857">
        <f t="shared" si="375"/>
        <v>0</v>
      </c>
      <c r="S4857">
        <f t="shared" si="376"/>
        <v>1</v>
      </c>
      <c r="T4857">
        <f t="shared" si="377"/>
        <v>2</v>
      </c>
      <c r="U4857">
        <f t="shared" si="378"/>
        <v>1</v>
      </c>
      <c r="V4857">
        <f t="shared" si="379"/>
        <v>0</v>
      </c>
    </row>
    <row r="4858" spans="1:22" x14ac:dyDescent="0.25">
      <c r="A4858">
        <v>4855</v>
      </c>
      <c r="B4858" t="s">
        <v>32</v>
      </c>
      <c r="C4858" t="s">
        <v>1455</v>
      </c>
      <c r="D4858" s="4">
        <v>45366</v>
      </c>
      <c r="E4858" t="s">
        <v>2046</v>
      </c>
      <c r="F4858" t="s">
        <v>75</v>
      </c>
      <c r="I4858" s="6"/>
      <c r="J4858" s="6"/>
      <c r="K4858" s="6"/>
      <c r="L4858" s="6"/>
      <c r="M4858" s="6"/>
      <c r="N4858" s="6"/>
      <c r="O4858" s="6"/>
      <c r="P4858" s="6"/>
      <c r="Q4858">
        <v>0</v>
      </c>
      <c r="R4858">
        <f t="shared" si="375"/>
        <v>0</v>
      </c>
      <c r="S4858">
        <f t="shared" si="376"/>
        <v>0</v>
      </c>
      <c r="T4858">
        <f t="shared" si="377"/>
        <v>0</v>
      </c>
      <c r="U4858">
        <f t="shared" si="378"/>
        <v>0</v>
      </c>
      <c r="V4858">
        <f t="shared" si="379"/>
        <v>0</v>
      </c>
    </row>
    <row r="4859" spans="1:22" x14ac:dyDescent="0.25">
      <c r="A4859">
        <v>4856</v>
      </c>
      <c r="B4859" t="s">
        <v>32</v>
      </c>
      <c r="C4859" t="s">
        <v>1455</v>
      </c>
      <c r="D4859" s="4">
        <v>45366</v>
      </c>
      <c r="E4859" t="s">
        <v>2045</v>
      </c>
      <c r="F4859" t="s">
        <v>75</v>
      </c>
      <c r="I4859" s="6">
        <v>0</v>
      </c>
      <c r="J4859" s="6">
        <v>0</v>
      </c>
      <c r="K4859" s="6">
        <v>0</v>
      </c>
      <c r="L4859" s="6">
        <v>1</v>
      </c>
      <c r="M4859" s="6">
        <v>0</v>
      </c>
      <c r="N4859" s="6">
        <v>1</v>
      </c>
      <c r="O4859" s="6">
        <v>0</v>
      </c>
      <c r="P4859" s="6">
        <v>0</v>
      </c>
      <c r="Q4859">
        <v>1</v>
      </c>
      <c r="R4859">
        <f t="shared" si="375"/>
        <v>0</v>
      </c>
      <c r="S4859">
        <f t="shared" si="376"/>
        <v>1</v>
      </c>
      <c r="T4859">
        <f t="shared" si="377"/>
        <v>2</v>
      </c>
      <c r="U4859">
        <f t="shared" si="378"/>
        <v>1</v>
      </c>
      <c r="V4859">
        <f t="shared" si="379"/>
        <v>0</v>
      </c>
    </row>
    <row r="4860" spans="1:22" x14ac:dyDescent="0.25">
      <c r="A4860">
        <v>4857</v>
      </c>
      <c r="B4860" t="s">
        <v>32</v>
      </c>
      <c r="C4860" t="s">
        <v>1455</v>
      </c>
      <c r="D4860" s="4">
        <v>45366</v>
      </c>
      <c r="E4860" t="s">
        <v>2214</v>
      </c>
      <c r="F4860" t="s">
        <v>75</v>
      </c>
      <c r="I4860" s="6"/>
      <c r="J4860" s="6"/>
      <c r="K4860" s="6"/>
      <c r="L4860" s="6"/>
      <c r="M4860" s="6"/>
      <c r="N4860" s="6"/>
      <c r="O4860" s="6"/>
      <c r="P4860" s="6"/>
      <c r="Q4860">
        <v>0</v>
      </c>
      <c r="R4860">
        <f t="shared" si="375"/>
        <v>0</v>
      </c>
      <c r="S4860">
        <f t="shared" si="376"/>
        <v>0</v>
      </c>
      <c r="T4860">
        <f t="shared" si="377"/>
        <v>0</v>
      </c>
      <c r="U4860">
        <f t="shared" si="378"/>
        <v>0</v>
      </c>
      <c r="V4860">
        <f t="shared" si="379"/>
        <v>0</v>
      </c>
    </row>
    <row r="4861" spans="1:22" x14ac:dyDescent="0.25">
      <c r="A4861">
        <v>4858</v>
      </c>
      <c r="B4861" t="s">
        <v>32</v>
      </c>
      <c r="C4861" t="s">
        <v>1455</v>
      </c>
      <c r="D4861" s="4">
        <v>45366</v>
      </c>
      <c r="E4861" t="s">
        <v>2213</v>
      </c>
      <c r="F4861" t="s">
        <v>75</v>
      </c>
      <c r="I4861" s="6">
        <v>0</v>
      </c>
      <c r="J4861" s="6">
        <v>0</v>
      </c>
      <c r="K4861" s="6">
        <v>0</v>
      </c>
      <c r="L4861" s="6">
        <v>0</v>
      </c>
      <c r="M4861" s="6">
        <v>1</v>
      </c>
      <c r="N4861" s="6">
        <v>0</v>
      </c>
      <c r="O4861" s="6">
        <v>0</v>
      </c>
      <c r="P4861" s="6">
        <v>0</v>
      </c>
      <c r="Q4861">
        <v>1</v>
      </c>
      <c r="R4861">
        <f t="shared" si="375"/>
        <v>0</v>
      </c>
      <c r="S4861">
        <f t="shared" si="376"/>
        <v>1</v>
      </c>
      <c r="T4861">
        <f t="shared" si="377"/>
        <v>1</v>
      </c>
      <c r="U4861">
        <f t="shared" si="378"/>
        <v>1</v>
      </c>
      <c r="V4861">
        <f t="shared" si="379"/>
        <v>0</v>
      </c>
    </row>
    <row r="4862" spans="1:22" x14ac:dyDescent="0.25">
      <c r="A4862">
        <v>4859</v>
      </c>
      <c r="B4862" t="s">
        <v>32</v>
      </c>
      <c r="C4862" t="s">
        <v>1455</v>
      </c>
      <c r="D4862" s="4">
        <v>45367</v>
      </c>
      <c r="E4862" t="s">
        <v>425</v>
      </c>
      <c r="F4862" t="s">
        <v>75</v>
      </c>
      <c r="I4862" s="6">
        <v>0</v>
      </c>
      <c r="J4862" s="6">
        <v>0</v>
      </c>
      <c r="K4862" s="6">
        <v>0</v>
      </c>
      <c r="L4862" s="6">
        <v>0</v>
      </c>
      <c r="M4862" s="6">
        <v>0</v>
      </c>
      <c r="N4862" s="6">
        <v>0</v>
      </c>
      <c r="O4862" s="6">
        <v>0</v>
      </c>
      <c r="P4862" s="6">
        <v>1</v>
      </c>
      <c r="Q4862">
        <v>1</v>
      </c>
      <c r="R4862">
        <f t="shared" si="375"/>
        <v>0</v>
      </c>
      <c r="S4862">
        <f t="shared" si="376"/>
        <v>1</v>
      </c>
      <c r="T4862">
        <f t="shared" si="377"/>
        <v>1</v>
      </c>
      <c r="U4862">
        <f t="shared" si="378"/>
        <v>1</v>
      </c>
      <c r="V4862">
        <f t="shared" si="379"/>
        <v>0</v>
      </c>
    </row>
    <row r="4863" spans="1:22" x14ac:dyDescent="0.25">
      <c r="A4863">
        <v>4860</v>
      </c>
      <c r="B4863" t="s">
        <v>32</v>
      </c>
      <c r="C4863" t="s">
        <v>1455</v>
      </c>
      <c r="D4863" s="4">
        <v>45367</v>
      </c>
      <c r="E4863" t="s">
        <v>426</v>
      </c>
      <c r="F4863" t="s">
        <v>75</v>
      </c>
      <c r="I4863" s="6">
        <v>0</v>
      </c>
      <c r="J4863" s="6">
        <v>0</v>
      </c>
      <c r="K4863" s="6">
        <v>1</v>
      </c>
      <c r="L4863" s="6">
        <v>0</v>
      </c>
      <c r="M4863" s="6">
        <v>0</v>
      </c>
      <c r="N4863" s="6">
        <v>0</v>
      </c>
      <c r="O4863" s="6">
        <v>0</v>
      </c>
      <c r="P4863" s="6">
        <v>0</v>
      </c>
      <c r="Q4863">
        <v>1</v>
      </c>
      <c r="R4863">
        <f t="shared" si="375"/>
        <v>0</v>
      </c>
      <c r="S4863">
        <f t="shared" si="376"/>
        <v>1</v>
      </c>
      <c r="T4863">
        <f t="shared" si="377"/>
        <v>1</v>
      </c>
      <c r="U4863">
        <f t="shared" si="378"/>
        <v>1</v>
      </c>
      <c r="V4863">
        <f t="shared" si="379"/>
        <v>0</v>
      </c>
    </row>
    <row r="4864" spans="1:22" x14ac:dyDescent="0.25">
      <c r="A4864">
        <v>4861</v>
      </c>
      <c r="B4864" t="s">
        <v>32</v>
      </c>
      <c r="C4864" t="s">
        <v>1455</v>
      </c>
      <c r="D4864" s="4">
        <v>45367</v>
      </c>
      <c r="E4864" t="s">
        <v>1470</v>
      </c>
      <c r="F4864" t="s">
        <v>75</v>
      </c>
      <c r="I4864" s="6"/>
      <c r="J4864" s="6"/>
      <c r="K4864" s="6"/>
      <c r="L4864" s="6"/>
      <c r="M4864" s="6"/>
      <c r="N4864" s="6"/>
      <c r="O4864" s="6"/>
      <c r="P4864" s="6"/>
      <c r="Q4864">
        <v>0</v>
      </c>
      <c r="R4864">
        <f t="shared" si="375"/>
        <v>0</v>
      </c>
      <c r="S4864">
        <f t="shared" si="376"/>
        <v>0</v>
      </c>
      <c r="T4864">
        <f t="shared" si="377"/>
        <v>0</v>
      </c>
      <c r="U4864">
        <f t="shared" si="378"/>
        <v>0</v>
      </c>
      <c r="V4864">
        <f t="shared" si="379"/>
        <v>0</v>
      </c>
    </row>
    <row r="4865" spans="1:22" x14ac:dyDescent="0.25">
      <c r="A4865">
        <v>4862</v>
      </c>
      <c r="B4865" t="s">
        <v>32</v>
      </c>
      <c r="C4865" t="s">
        <v>1455</v>
      </c>
      <c r="D4865" s="4">
        <v>45367</v>
      </c>
      <c r="E4865" t="s">
        <v>2044</v>
      </c>
      <c r="F4865" t="s">
        <v>75</v>
      </c>
      <c r="I4865" s="6"/>
      <c r="J4865" s="6"/>
      <c r="K4865" s="6"/>
      <c r="L4865" s="6"/>
      <c r="M4865" s="6"/>
      <c r="N4865" s="6"/>
      <c r="O4865" s="6"/>
      <c r="P4865" s="6"/>
      <c r="Q4865">
        <v>0</v>
      </c>
      <c r="R4865">
        <f t="shared" si="375"/>
        <v>0</v>
      </c>
      <c r="S4865">
        <f t="shared" si="376"/>
        <v>0</v>
      </c>
      <c r="T4865">
        <f t="shared" si="377"/>
        <v>0</v>
      </c>
      <c r="U4865">
        <f t="shared" si="378"/>
        <v>0</v>
      </c>
      <c r="V4865">
        <f t="shared" si="379"/>
        <v>0</v>
      </c>
    </row>
    <row r="4866" spans="1:22" x14ac:dyDescent="0.25">
      <c r="A4866">
        <v>4863</v>
      </c>
      <c r="B4866" t="s">
        <v>32</v>
      </c>
      <c r="C4866" t="s">
        <v>1455</v>
      </c>
      <c r="D4866" s="4">
        <v>45367</v>
      </c>
      <c r="E4866" t="s">
        <v>1793</v>
      </c>
      <c r="F4866" t="s">
        <v>75</v>
      </c>
      <c r="I4866" s="6">
        <v>1</v>
      </c>
      <c r="J4866" s="6">
        <v>0</v>
      </c>
      <c r="K4866" s="6">
        <v>0</v>
      </c>
      <c r="L4866" s="6">
        <v>1</v>
      </c>
      <c r="M4866" s="6">
        <v>0</v>
      </c>
      <c r="N4866" s="6">
        <v>0</v>
      </c>
      <c r="O4866" s="6">
        <v>0</v>
      </c>
      <c r="P4866" s="6">
        <v>0</v>
      </c>
      <c r="Q4866">
        <v>1</v>
      </c>
      <c r="R4866">
        <f t="shared" si="375"/>
        <v>0</v>
      </c>
      <c r="S4866">
        <f t="shared" si="376"/>
        <v>1</v>
      </c>
      <c r="T4866">
        <f t="shared" si="377"/>
        <v>2</v>
      </c>
      <c r="U4866">
        <f t="shared" si="378"/>
        <v>1</v>
      </c>
      <c r="V4866">
        <f t="shared" si="379"/>
        <v>0</v>
      </c>
    </row>
    <row r="4867" spans="1:22" x14ac:dyDescent="0.25">
      <c r="A4867">
        <v>4864</v>
      </c>
      <c r="B4867" t="s">
        <v>32</v>
      </c>
      <c r="C4867" t="s">
        <v>1455</v>
      </c>
      <c r="D4867" s="4">
        <v>45367</v>
      </c>
      <c r="E4867" t="s">
        <v>2212</v>
      </c>
      <c r="F4867" t="s">
        <v>75</v>
      </c>
      <c r="I4867" s="6"/>
      <c r="J4867" s="6"/>
      <c r="K4867" s="6"/>
      <c r="L4867" s="6"/>
      <c r="M4867" s="6"/>
      <c r="N4867" s="6"/>
      <c r="O4867" s="6"/>
      <c r="P4867" s="6"/>
      <c r="Q4867">
        <v>0</v>
      </c>
      <c r="R4867">
        <f t="shared" ref="R4867:R4930" si="380">IF(AND(Q4867=1,F4867="ai_full"),1,0)</f>
        <v>0</v>
      </c>
      <c r="S4867">
        <f t="shared" ref="S4867:S4930" si="381">IF(AND(Q4867=1,F4867="conventional"),1,0)</f>
        <v>0</v>
      </c>
      <c r="T4867">
        <f t="shared" ref="T4867:T4930" si="382">SUM(I4867:P4867)</f>
        <v>0</v>
      </c>
      <c r="U4867">
        <f t="shared" ref="U4867:U4930" si="383">IF(T4867&gt;=1,1,0)</f>
        <v>0</v>
      </c>
      <c r="V4867">
        <f t="shared" ref="V4867:V4930" si="384">IF(F4867="ai_full",1,0)</f>
        <v>0</v>
      </c>
    </row>
    <row r="4868" spans="1:22" x14ac:dyDescent="0.25">
      <c r="A4868">
        <v>4865</v>
      </c>
      <c r="B4868" t="s">
        <v>32</v>
      </c>
      <c r="C4868" t="s">
        <v>1455</v>
      </c>
      <c r="D4868" s="4">
        <v>45367</v>
      </c>
      <c r="E4868" t="s">
        <v>1329</v>
      </c>
      <c r="F4868" t="s">
        <v>75</v>
      </c>
      <c r="I4868" s="6"/>
      <c r="J4868" s="6"/>
      <c r="K4868" s="6"/>
      <c r="L4868" s="6"/>
      <c r="M4868" s="6"/>
      <c r="N4868" s="6"/>
      <c r="O4868" s="6"/>
      <c r="P4868" s="6"/>
      <c r="Q4868">
        <v>0</v>
      </c>
      <c r="R4868">
        <f t="shared" si="380"/>
        <v>0</v>
      </c>
      <c r="S4868">
        <f t="shared" si="381"/>
        <v>0</v>
      </c>
      <c r="T4868">
        <f t="shared" si="382"/>
        <v>0</v>
      </c>
      <c r="U4868">
        <f t="shared" si="383"/>
        <v>0</v>
      </c>
      <c r="V4868">
        <f t="shared" si="384"/>
        <v>0</v>
      </c>
    </row>
    <row r="4869" spans="1:22" x14ac:dyDescent="0.25">
      <c r="A4869">
        <v>4866</v>
      </c>
      <c r="B4869" t="s">
        <v>32</v>
      </c>
      <c r="C4869" t="s">
        <v>1455</v>
      </c>
      <c r="D4869" s="4">
        <v>45368</v>
      </c>
      <c r="E4869" t="s">
        <v>1794</v>
      </c>
      <c r="F4869" t="s">
        <v>75</v>
      </c>
      <c r="I4869" s="6">
        <v>0</v>
      </c>
      <c r="J4869" s="6">
        <v>0</v>
      </c>
      <c r="K4869" s="6">
        <v>1</v>
      </c>
      <c r="L4869" s="6">
        <v>0</v>
      </c>
      <c r="M4869" s="6">
        <v>0</v>
      </c>
      <c r="N4869" s="6">
        <v>0</v>
      </c>
      <c r="O4869" s="6">
        <v>0</v>
      </c>
      <c r="P4869" s="6">
        <v>0</v>
      </c>
      <c r="Q4869">
        <v>1</v>
      </c>
      <c r="R4869">
        <f t="shared" si="380"/>
        <v>0</v>
      </c>
      <c r="S4869">
        <f t="shared" si="381"/>
        <v>1</v>
      </c>
      <c r="T4869">
        <f t="shared" si="382"/>
        <v>1</v>
      </c>
      <c r="U4869">
        <f t="shared" si="383"/>
        <v>1</v>
      </c>
      <c r="V4869">
        <f t="shared" si="384"/>
        <v>0</v>
      </c>
    </row>
    <row r="4870" spans="1:22" x14ac:dyDescent="0.25">
      <c r="A4870">
        <v>4867</v>
      </c>
      <c r="B4870" t="s">
        <v>32</v>
      </c>
      <c r="C4870" t="s">
        <v>1455</v>
      </c>
      <c r="D4870" s="4">
        <v>45368</v>
      </c>
      <c r="E4870" t="s">
        <v>2043</v>
      </c>
      <c r="F4870" t="s">
        <v>75</v>
      </c>
      <c r="I4870" s="6"/>
      <c r="J4870" s="6"/>
      <c r="K4870" s="6"/>
      <c r="L4870" s="6"/>
      <c r="M4870" s="6"/>
      <c r="N4870" s="6"/>
      <c r="O4870" s="6"/>
      <c r="P4870" s="6"/>
      <c r="Q4870">
        <v>0</v>
      </c>
      <c r="R4870">
        <f t="shared" si="380"/>
        <v>0</v>
      </c>
      <c r="S4870">
        <f t="shared" si="381"/>
        <v>0</v>
      </c>
      <c r="T4870">
        <f t="shared" si="382"/>
        <v>0</v>
      </c>
      <c r="U4870">
        <f t="shared" si="383"/>
        <v>0</v>
      </c>
      <c r="V4870">
        <f t="shared" si="384"/>
        <v>0</v>
      </c>
    </row>
    <row r="4871" spans="1:22" x14ac:dyDescent="0.25">
      <c r="A4871">
        <v>4868</v>
      </c>
      <c r="B4871" t="s">
        <v>32</v>
      </c>
      <c r="C4871" t="s">
        <v>1455</v>
      </c>
      <c r="D4871" s="4">
        <v>45368</v>
      </c>
      <c r="E4871" t="s">
        <v>2211</v>
      </c>
      <c r="F4871" t="s">
        <v>75</v>
      </c>
      <c r="I4871" s="6"/>
      <c r="J4871" s="6"/>
      <c r="K4871" s="6"/>
      <c r="L4871" s="6"/>
      <c r="M4871" s="6"/>
      <c r="N4871" s="6"/>
      <c r="O4871" s="6"/>
      <c r="P4871" s="6"/>
      <c r="Q4871">
        <v>0</v>
      </c>
      <c r="R4871">
        <f t="shared" si="380"/>
        <v>0</v>
      </c>
      <c r="S4871">
        <f t="shared" si="381"/>
        <v>0</v>
      </c>
      <c r="T4871">
        <f t="shared" si="382"/>
        <v>0</v>
      </c>
      <c r="U4871">
        <f t="shared" si="383"/>
        <v>0</v>
      </c>
      <c r="V4871">
        <f t="shared" si="384"/>
        <v>0</v>
      </c>
    </row>
    <row r="4872" spans="1:22" x14ac:dyDescent="0.25">
      <c r="A4872">
        <v>4869</v>
      </c>
      <c r="B4872" t="s">
        <v>32</v>
      </c>
      <c r="C4872" t="s">
        <v>1455</v>
      </c>
      <c r="D4872" s="4">
        <v>45368</v>
      </c>
      <c r="E4872" t="s">
        <v>2210</v>
      </c>
      <c r="F4872" t="s">
        <v>75</v>
      </c>
      <c r="I4872" s="6"/>
      <c r="J4872" s="6"/>
      <c r="K4872" s="6"/>
      <c r="L4872" s="6"/>
      <c r="M4872" s="6"/>
      <c r="N4872" s="6"/>
      <c r="O4872" s="6"/>
      <c r="P4872" s="6"/>
      <c r="Q4872">
        <v>0</v>
      </c>
      <c r="R4872">
        <f t="shared" si="380"/>
        <v>0</v>
      </c>
      <c r="S4872">
        <f t="shared" si="381"/>
        <v>0</v>
      </c>
      <c r="T4872">
        <f t="shared" si="382"/>
        <v>0</v>
      </c>
      <c r="U4872">
        <f t="shared" si="383"/>
        <v>0</v>
      </c>
      <c r="V4872">
        <f t="shared" si="384"/>
        <v>0</v>
      </c>
    </row>
    <row r="4873" spans="1:22" x14ac:dyDescent="0.25">
      <c r="A4873">
        <v>4870</v>
      </c>
      <c r="B4873" t="s">
        <v>32</v>
      </c>
      <c r="C4873" t="s">
        <v>1455</v>
      </c>
      <c r="D4873" s="4">
        <v>45368</v>
      </c>
      <c r="E4873" t="s">
        <v>2209</v>
      </c>
      <c r="F4873" t="s">
        <v>75</v>
      </c>
      <c r="I4873" s="6"/>
      <c r="J4873" s="6"/>
      <c r="K4873" s="6"/>
      <c r="L4873" s="6"/>
      <c r="M4873" s="6"/>
      <c r="N4873" s="6"/>
      <c r="O4873" s="6"/>
      <c r="P4873" s="6"/>
      <c r="Q4873">
        <v>0</v>
      </c>
      <c r="R4873">
        <f t="shared" si="380"/>
        <v>0</v>
      </c>
      <c r="S4873">
        <f t="shared" si="381"/>
        <v>0</v>
      </c>
      <c r="T4873">
        <f t="shared" si="382"/>
        <v>0</v>
      </c>
      <c r="U4873">
        <f t="shared" si="383"/>
        <v>0</v>
      </c>
      <c r="V4873">
        <f t="shared" si="384"/>
        <v>0</v>
      </c>
    </row>
    <row r="4874" spans="1:22" x14ac:dyDescent="0.25">
      <c r="A4874">
        <v>4871</v>
      </c>
      <c r="B4874" t="s">
        <v>32</v>
      </c>
      <c r="C4874" t="s">
        <v>1455</v>
      </c>
      <c r="D4874" s="4">
        <v>45368</v>
      </c>
      <c r="E4874" t="s">
        <v>2208</v>
      </c>
      <c r="F4874" t="s">
        <v>75</v>
      </c>
      <c r="I4874" s="6">
        <v>0</v>
      </c>
      <c r="J4874" s="6">
        <v>0</v>
      </c>
      <c r="K4874" s="6">
        <v>1</v>
      </c>
      <c r="L4874" s="6">
        <v>0</v>
      </c>
      <c r="M4874" s="6">
        <v>0</v>
      </c>
      <c r="N4874" s="6">
        <v>0</v>
      </c>
      <c r="O4874" s="6">
        <v>0</v>
      </c>
      <c r="P4874" s="6">
        <v>0</v>
      </c>
      <c r="Q4874">
        <v>1</v>
      </c>
      <c r="R4874">
        <f t="shared" si="380"/>
        <v>0</v>
      </c>
      <c r="S4874">
        <f t="shared" si="381"/>
        <v>1</v>
      </c>
      <c r="T4874">
        <f t="shared" si="382"/>
        <v>1</v>
      </c>
      <c r="U4874">
        <f t="shared" si="383"/>
        <v>1</v>
      </c>
      <c r="V4874">
        <f t="shared" si="384"/>
        <v>0</v>
      </c>
    </row>
    <row r="4875" spans="1:22" x14ac:dyDescent="0.25">
      <c r="A4875">
        <v>4872</v>
      </c>
      <c r="B4875" t="s">
        <v>32</v>
      </c>
      <c r="C4875" t="s">
        <v>1455</v>
      </c>
      <c r="D4875" s="4">
        <v>45369</v>
      </c>
      <c r="E4875" t="s">
        <v>854</v>
      </c>
      <c r="F4875" t="s">
        <v>75</v>
      </c>
      <c r="I4875" s="6">
        <v>0</v>
      </c>
      <c r="J4875" s="6">
        <v>0</v>
      </c>
      <c r="K4875" s="6">
        <v>0</v>
      </c>
      <c r="L4875" s="6">
        <v>0</v>
      </c>
      <c r="M4875" s="6">
        <v>0</v>
      </c>
      <c r="N4875" s="6">
        <v>0</v>
      </c>
      <c r="O4875" s="6">
        <v>0</v>
      </c>
      <c r="P4875" s="6">
        <v>0</v>
      </c>
      <c r="Q4875">
        <v>1</v>
      </c>
      <c r="R4875">
        <f t="shared" si="380"/>
        <v>0</v>
      </c>
      <c r="S4875">
        <f t="shared" si="381"/>
        <v>1</v>
      </c>
      <c r="T4875">
        <f t="shared" si="382"/>
        <v>0</v>
      </c>
      <c r="U4875">
        <f t="shared" si="383"/>
        <v>0</v>
      </c>
      <c r="V4875">
        <f t="shared" si="384"/>
        <v>0</v>
      </c>
    </row>
    <row r="4876" spans="1:22" x14ac:dyDescent="0.25">
      <c r="A4876">
        <v>4873</v>
      </c>
      <c r="B4876" t="s">
        <v>32</v>
      </c>
      <c r="C4876" t="s">
        <v>1455</v>
      </c>
      <c r="D4876" s="4">
        <v>45369</v>
      </c>
      <c r="E4876" t="s">
        <v>855</v>
      </c>
      <c r="F4876" t="s">
        <v>75</v>
      </c>
      <c r="I4876" s="6"/>
      <c r="J4876" s="6"/>
      <c r="K4876" s="6"/>
      <c r="L4876" s="6"/>
      <c r="M4876" s="6"/>
      <c r="N4876" s="6"/>
      <c r="O4876" s="6"/>
      <c r="P4876" s="6"/>
      <c r="Q4876">
        <v>0</v>
      </c>
      <c r="R4876">
        <f t="shared" si="380"/>
        <v>0</v>
      </c>
      <c r="S4876">
        <f t="shared" si="381"/>
        <v>0</v>
      </c>
      <c r="T4876">
        <f t="shared" si="382"/>
        <v>0</v>
      </c>
      <c r="U4876">
        <f t="shared" si="383"/>
        <v>0</v>
      </c>
      <c r="V4876">
        <f t="shared" si="384"/>
        <v>0</v>
      </c>
    </row>
    <row r="4877" spans="1:22" x14ac:dyDescent="0.25">
      <c r="A4877">
        <v>4874</v>
      </c>
      <c r="B4877" t="s">
        <v>32</v>
      </c>
      <c r="C4877" t="s">
        <v>1455</v>
      </c>
      <c r="D4877" s="4">
        <v>45369</v>
      </c>
      <c r="E4877" t="s">
        <v>1330</v>
      </c>
      <c r="F4877" t="s">
        <v>75</v>
      </c>
      <c r="I4877" s="6">
        <v>0</v>
      </c>
      <c r="J4877" s="6">
        <v>0</v>
      </c>
      <c r="K4877" s="6">
        <v>1</v>
      </c>
      <c r="L4877" s="6">
        <v>0</v>
      </c>
      <c r="M4877" s="6">
        <v>0</v>
      </c>
      <c r="N4877" s="6">
        <v>0</v>
      </c>
      <c r="O4877" s="6">
        <v>0</v>
      </c>
      <c r="P4877" s="6">
        <v>0</v>
      </c>
      <c r="Q4877">
        <v>1</v>
      </c>
      <c r="R4877">
        <f t="shared" si="380"/>
        <v>0</v>
      </c>
      <c r="S4877">
        <f t="shared" si="381"/>
        <v>1</v>
      </c>
      <c r="T4877">
        <f t="shared" si="382"/>
        <v>1</v>
      </c>
      <c r="U4877">
        <f t="shared" si="383"/>
        <v>1</v>
      </c>
      <c r="V4877">
        <f t="shared" si="384"/>
        <v>0</v>
      </c>
    </row>
    <row r="4878" spans="1:22" x14ac:dyDescent="0.25">
      <c r="A4878">
        <v>4875</v>
      </c>
      <c r="B4878" t="s">
        <v>32</v>
      </c>
      <c r="C4878" t="s">
        <v>1455</v>
      </c>
      <c r="D4878" s="4">
        <v>45369</v>
      </c>
      <c r="E4878" t="s">
        <v>1331</v>
      </c>
      <c r="F4878" t="s">
        <v>75</v>
      </c>
      <c r="I4878" s="6">
        <v>0</v>
      </c>
      <c r="J4878" s="6">
        <v>0</v>
      </c>
      <c r="K4878" s="6">
        <v>0</v>
      </c>
      <c r="L4878" s="6">
        <v>0</v>
      </c>
      <c r="M4878" s="6">
        <v>0</v>
      </c>
      <c r="N4878" s="6">
        <v>0</v>
      </c>
      <c r="O4878" s="6">
        <v>0</v>
      </c>
      <c r="P4878" s="6">
        <v>1</v>
      </c>
      <c r="Q4878">
        <v>1</v>
      </c>
      <c r="R4878">
        <f t="shared" si="380"/>
        <v>0</v>
      </c>
      <c r="S4878">
        <f t="shared" si="381"/>
        <v>1</v>
      </c>
      <c r="T4878">
        <f t="shared" si="382"/>
        <v>1</v>
      </c>
      <c r="U4878">
        <f t="shared" si="383"/>
        <v>1</v>
      </c>
      <c r="V4878">
        <f t="shared" si="384"/>
        <v>0</v>
      </c>
    </row>
    <row r="4879" spans="1:22" x14ac:dyDescent="0.25">
      <c r="A4879">
        <v>4876</v>
      </c>
      <c r="B4879" t="s">
        <v>32</v>
      </c>
      <c r="C4879" t="s">
        <v>1455</v>
      </c>
      <c r="D4879" s="4">
        <v>45369</v>
      </c>
      <c r="E4879" t="s">
        <v>1129</v>
      </c>
      <c r="F4879" t="s">
        <v>75</v>
      </c>
      <c r="I4879" s="6"/>
      <c r="J4879" s="6"/>
      <c r="K4879" s="6"/>
      <c r="L4879" s="6"/>
      <c r="M4879" s="6"/>
      <c r="N4879" s="6"/>
      <c r="O4879" s="6"/>
      <c r="P4879" s="6"/>
      <c r="Q4879">
        <v>0</v>
      </c>
      <c r="R4879">
        <f t="shared" si="380"/>
        <v>0</v>
      </c>
      <c r="S4879">
        <f t="shared" si="381"/>
        <v>0</v>
      </c>
      <c r="T4879">
        <f t="shared" si="382"/>
        <v>0</v>
      </c>
      <c r="U4879">
        <f t="shared" si="383"/>
        <v>0</v>
      </c>
      <c r="V4879">
        <f t="shared" si="384"/>
        <v>0</v>
      </c>
    </row>
    <row r="4880" spans="1:22" x14ac:dyDescent="0.25">
      <c r="A4880">
        <v>4877</v>
      </c>
      <c r="B4880" t="s">
        <v>32</v>
      </c>
      <c r="C4880" t="s">
        <v>1455</v>
      </c>
      <c r="D4880" s="4">
        <v>45369</v>
      </c>
      <c r="E4880" t="s">
        <v>2207</v>
      </c>
      <c r="F4880" t="s">
        <v>75</v>
      </c>
      <c r="I4880" s="6"/>
      <c r="J4880" s="6"/>
      <c r="K4880" s="6"/>
      <c r="L4880" s="6"/>
      <c r="M4880" s="6"/>
      <c r="N4880" s="6"/>
      <c r="O4880" s="6"/>
      <c r="P4880" s="6"/>
      <c r="Q4880">
        <v>0</v>
      </c>
      <c r="R4880">
        <f t="shared" si="380"/>
        <v>0</v>
      </c>
      <c r="S4880">
        <f t="shared" si="381"/>
        <v>0</v>
      </c>
      <c r="T4880">
        <f t="shared" si="382"/>
        <v>0</v>
      </c>
      <c r="U4880">
        <f t="shared" si="383"/>
        <v>0</v>
      </c>
      <c r="V4880">
        <f t="shared" si="384"/>
        <v>0</v>
      </c>
    </row>
    <row r="4881" spans="1:22" x14ac:dyDescent="0.25">
      <c r="A4881">
        <v>4878</v>
      </c>
      <c r="B4881" t="s">
        <v>32</v>
      </c>
      <c r="C4881" t="s">
        <v>1455</v>
      </c>
      <c r="D4881" s="4">
        <v>45370</v>
      </c>
      <c r="E4881" t="s">
        <v>935</v>
      </c>
      <c r="F4881" t="s">
        <v>75</v>
      </c>
      <c r="I4881" s="6"/>
      <c r="J4881" s="6"/>
      <c r="K4881" s="6"/>
      <c r="L4881" s="6"/>
      <c r="M4881" s="6"/>
      <c r="N4881" s="6"/>
      <c r="O4881" s="6"/>
      <c r="P4881" s="6"/>
      <c r="Q4881">
        <v>0</v>
      </c>
      <c r="R4881">
        <f t="shared" si="380"/>
        <v>0</v>
      </c>
      <c r="S4881">
        <f t="shared" si="381"/>
        <v>0</v>
      </c>
      <c r="T4881">
        <f t="shared" si="382"/>
        <v>0</v>
      </c>
      <c r="U4881">
        <f t="shared" si="383"/>
        <v>0</v>
      </c>
      <c r="V4881">
        <f t="shared" si="384"/>
        <v>0</v>
      </c>
    </row>
    <row r="4882" spans="1:22" x14ac:dyDescent="0.25">
      <c r="A4882">
        <v>4879</v>
      </c>
      <c r="B4882" t="s">
        <v>32</v>
      </c>
      <c r="C4882" t="s">
        <v>1455</v>
      </c>
      <c r="D4882" s="4">
        <v>45370</v>
      </c>
      <c r="E4882" t="s">
        <v>937</v>
      </c>
      <c r="F4882" t="s">
        <v>75</v>
      </c>
      <c r="I4882" s="6">
        <v>0</v>
      </c>
      <c r="J4882" s="6">
        <v>0</v>
      </c>
      <c r="K4882" s="6">
        <v>1</v>
      </c>
      <c r="L4882" s="6">
        <v>0</v>
      </c>
      <c r="M4882" s="6">
        <v>0</v>
      </c>
      <c r="N4882" s="6">
        <v>0</v>
      </c>
      <c r="O4882" s="6">
        <v>0</v>
      </c>
      <c r="P4882" s="6">
        <v>0</v>
      </c>
      <c r="Q4882">
        <v>1</v>
      </c>
      <c r="R4882">
        <f t="shared" si="380"/>
        <v>0</v>
      </c>
      <c r="S4882">
        <f t="shared" si="381"/>
        <v>1</v>
      </c>
      <c r="T4882">
        <f t="shared" si="382"/>
        <v>1</v>
      </c>
      <c r="U4882">
        <f t="shared" si="383"/>
        <v>1</v>
      </c>
      <c r="V4882">
        <f t="shared" si="384"/>
        <v>0</v>
      </c>
    </row>
    <row r="4883" spans="1:22" x14ac:dyDescent="0.25">
      <c r="A4883">
        <v>4880</v>
      </c>
      <c r="B4883" t="s">
        <v>32</v>
      </c>
      <c r="C4883" t="s">
        <v>1455</v>
      </c>
      <c r="D4883" s="4">
        <v>45370</v>
      </c>
      <c r="E4883" t="s">
        <v>1056</v>
      </c>
      <c r="F4883" t="s">
        <v>75</v>
      </c>
      <c r="I4883" s="6">
        <v>0</v>
      </c>
      <c r="J4883" s="6">
        <v>0</v>
      </c>
      <c r="K4883" s="6">
        <v>1</v>
      </c>
      <c r="L4883" s="6">
        <v>0</v>
      </c>
      <c r="M4883" s="6">
        <v>0</v>
      </c>
      <c r="N4883" s="6">
        <v>0</v>
      </c>
      <c r="O4883" s="6">
        <v>0</v>
      </c>
      <c r="P4883" s="6">
        <v>0</v>
      </c>
      <c r="Q4883">
        <v>1</v>
      </c>
      <c r="R4883">
        <f t="shared" si="380"/>
        <v>0</v>
      </c>
      <c r="S4883">
        <f t="shared" si="381"/>
        <v>1</v>
      </c>
      <c r="T4883">
        <f t="shared" si="382"/>
        <v>1</v>
      </c>
      <c r="U4883">
        <f t="shared" si="383"/>
        <v>1</v>
      </c>
      <c r="V4883">
        <f t="shared" si="384"/>
        <v>0</v>
      </c>
    </row>
    <row r="4884" spans="1:22" x14ac:dyDescent="0.25">
      <c r="A4884">
        <v>4881</v>
      </c>
      <c r="B4884" t="s">
        <v>32</v>
      </c>
      <c r="C4884" t="s">
        <v>1455</v>
      </c>
      <c r="D4884" s="4">
        <v>45370</v>
      </c>
      <c r="E4884" t="s">
        <v>1795</v>
      </c>
      <c r="F4884" t="s">
        <v>75</v>
      </c>
      <c r="I4884" s="6"/>
      <c r="J4884" s="6"/>
      <c r="K4884" s="6"/>
      <c r="L4884" s="6"/>
      <c r="M4884" s="6"/>
      <c r="N4884" s="6"/>
      <c r="O4884" s="6"/>
      <c r="P4884" s="6"/>
      <c r="Q4884">
        <v>0</v>
      </c>
      <c r="R4884">
        <f t="shared" si="380"/>
        <v>0</v>
      </c>
      <c r="S4884">
        <f t="shared" si="381"/>
        <v>0</v>
      </c>
      <c r="T4884">
        <f t="shared" si="382"/>
        <v>0</v>
      </c>
      <c r="U4884">
        <f t="shared" si="383"/>
        <v>0</v>
      </c>
      <c r="V4884">
        <f t="shared" si="384"/>
        <v>0</v>
      </c>
    </row>
    <row r="4885" spans="1:22" x14ac:dyDescent="0.25">
      <c r="A4885">
        <v>4882</v>
      </c>
      <c r="B4885" t="s">
        <v>32</v>
      </c>
      <c r="C4885" t="s">
        <v>1455</v>
      </c>
      <c r="D4885" s="4">
        <v>45370</v>
      </c>
      <c r="E4885" t="s">
        <v>1796</v>
      </c>
      <c r="F4885" t="s">
        <v>75</v>
      </c>
      <c r="I4885" s="6"/>
      <c r="J4885" s="6"/>
      <c r="K4885" s="6"/>
      <c r="L4885" s="6"/>
      <c r="M4885" s="6"/>
      <c r="N4885" s="6"/>
      <c r="O4885" s="6"/>
      <c r="P4885" s="6"/>
      <c r="Q4885">
        <v>0</v>
      </c>
      <c r="R4885">
        <f t="shared" si="380"/>
        <v>0</v>
      </c>
      <c r="S4885">
        <f t="shared" si="381"/>
        <v>0</v>
      </c>
      <c r="T4885">
        <f t="shared" si="382"/>
        <v>0</v>
      </c>
      <c r="U4885">
        <f t="shared" si="383"/>
        <v>0</v>
      </c>
      <c r="V4885">
        <f t="shared" si="384"/>
        <v>0</v>
      </c>
    </row>
    <row r="4886" spans="1:22" x14ac:dyDescent="0.25">
      <c r="A4886">
        <v>4883</v>
      </c>
      <c r="B4886" t="s">
        <v>32</v>
      </c>
      <c r="C4886" t="s">
        <v>1455</v>
      </c>
      <c r="D4886" s="4">
        <v>45370</v>
      </c>
      <c r="E4886" t="s">
        <v>1333</v>
      </c>
      <c r="F4886" t="s">
        <v>75</v>
      </c>
      <c r="I4886" s="6"/>
      <c r="J4886" s="6"/>
      <c r="K4886" s="6"/>
      <c r="L4886" s="6"/>
      <c r="M4886" s="6"/>
      <c r="N4886" s="6"/>
      <c r="O4886" s="6"/>
      <c r="P4886" s="6"/>
      <c r="Q4886">
        <v>0</v>
      </c>
      <c r="R4886">
        <f t="shared" si="380"/>
        <v>0</v>
      </c>
      <c r="S4886">
        <f t="shared" si="381"/>
        <v>0</v>
      </c>
      <c r="T4886">
        <f t="shared" si="382"/>
        <v>0</v>
      </c>
      <c r="U4886">
        <f t="shared" si="383"/>
        <v>0</v>
      </c>
      <c r="V4886">
        <f t="shared" si="384"/>
        <v>0</v>
      </c>
    </row>
    <row r="4887" spans="1:22" x14ac:dyDescent="0.25">
      <c r="A4887">
        <v>4884</v>
      </c>
      <c r="B4887" t="s">
        <v>32</v>
      </c>
      <c r="C4887" t="s">
        <v>1455</v>
      </c>
      <c r="D4887" s="4">
        <v>45370</v>
      </c>
      <c r="E4887" t="s">
        <v>2206</v>
      </c>
      <c r="F4887" t="s">
        <v>75</v>
      </c>
      <c r="I4887" s="6"/>
      <c r="J4887" s="6"/>
      <c r="K4887" s="6"/>
      <c r="L4887" s="6"/>
      <c r="M4887" s="6"/>
      <c r="N4887" s="6"/>
      <c r="O4887" s="6"/>
      <c r="P4887" s="6"/>
      <c r="Q4887">
        <v>0</v>
      </c>
      <c r="R4887">
        <f t="shared" si="380"/>
        <v>0</v>
      </c>
      <c r="S4887">
        <f t="shared" si="381"/>
        <v>0</v>
      </c>
      <c r="T4887">
        <f t="shared" si="382"/>
        <v>0</v>
      </c>
      <c r="U4887">
        <f t="shared" si="383"/>
        <v>0</v>
      </c>
      <c r="V4887">
        <f t="shared" si="384"/>
        <v>0</v>
      </c>
    </row>
    <row r="4888" spans="1:22" x14ac:dyDescent="0.25">
      <c r="A4888">
        <v>4885</v>
      </c>
      <c r="B4888" t="s">
        <v>32</v>
      </c>
      <c r="C4888" t="s">
        <v>1455</v>
      </c>
      <c r="D4888" s="4">
        <v>45371</v>
      </c>
      <c r="E4888" t="s">
        <v>1532</v>
      </c>
      <c r="F4888" t="s">
        <v>75</v>
      </c>
      <c r="I4888" s="6">
        <v>0</v>
      </c>
      <c r="J4888" s="6">
        <v>0</v>
      </c>
      <c r="K4888" s="6">
        <v>0</v>
      </c>
      <c r="L4888" s="6">
        <v>0</v>
      </c>
      <c r="M4888" s="6">
        <v>0</v>
      </c>
      <c r="N4888" s="6">
        <v>0</v>
      </c>
      <c r="O4888" s="6">
        <v>0</v>
      </c>
      <c r="P4888" s="6">
        <v>0</v>
      </c>
      <c r="Q4888">
        <v>1</v>
      </c>
      <c r="R4888">
        <f t="shared" si="380"/>
        <v>0</v>
      </c>
      <c r="S4888">
        <f t="shared" si="381"/>
        <v>1</v>
      </c>
      <c r="T4888">
        <f t="shared" si="382"/>
        <v>0</v>
      </c>
      <c r="U4888">
        <f t="shared" si="383"/>
        <v>0</v>
      </c>
      <c r="V4888">
        <f t="shared" si="384"/>
        <v>0</v>
      </c>
    </row>
    <row r="4889" spans="1:22" x14ac:dyDescent="0.25">
      <c r="A4889">
        <v>4886</v>
      </c>
      <c r="B4889" t="s">
        <v>32</v>
      </c>
      <c r="C4889" t="s">
        <v>1455</v>
      </c>
      <c r="D4889" s="4">
        <v>45371</v>
      </c>
      <c r="E4889" t="s">
        <v>938</v>
      </c>
      <c r="F4889" t="s">
        <v>75</v>
      </c>
      <c r="I4889" s="6"/>
      <c r="J4889" s="6"/>
      <c r="K4889" s="6"/>
      <c r="L4889" s="6"/>
      <c r="M4889" s="6"/>
      <c r="N4889" s="6"/>
      <c r="O4889" s="6"/>
      <c r="P4889" s="6"/>
      <c r="Q4889">
        <v>0</v>
      </c>
      <c r="R4889">
        <f t="shared" si="380"/>
        <v>0</v>
      </c>
      <c r="S4889">
        <f t="shared" si="381"/>
        <v>0</v>
      </c>
      <c r="T4889">
        <f t="shared" si="382"/>
        <v>0</v>
      </c>
      <c r="U4889">
        <f t="shared" si="383"/>
        <v>0</v>
      </c>
      <c r="V4889">
        <f t="shared" si="384"/>
        <v>0</v>
      </c>
    </row>
    <row r="4890" spans="1:22" x14ac:dyDescent="0.25">
      <c r="A4890">
        <v>4887</v>
      </c>
      <c r="B4890" t="s">
        <v>32</v>
      </c>
      <c r="C4890" t="s">
        <v>1455</v>
      </c>
      <c r="D4890" s="4">
        <v>45371</v>
      </c>
      <c r="E4890" t="s">
        <v>939</v>
      </c>
      <c r="F4890" t="s">
        <v>75</v>
      </c>
      <c r="I4890" s="6"/>
      <c r="J4890" s="6"/>
      <c r="K4890" s="6"/>
      <c r="L4890" s="6"/>
      <c r="M4890" s="6"/>
      <c r="N4890" s="6"/>
      <c r="O4890" s="6"/>
      <c r="P4890" s="6"/>
      <c r="Q4890">
        <v>0</v>
      </c>
      <c r="R4890">
        <f t="shared" si="380"/>
        <v>0</v>
      </c>
      <c r="S4890">
        <f t="shared" si="381"/>
        <v>0</v>
      </c>
      <c r="T4890">
        <f t="shared" si="382"/>
        <v>0</v>
      </c>
      <c r="U4890">
        <f t="shared" si="383"/>
        <v>0</v>
      </c>
      <c r="V4890">
        <f t="shared" si="384"/>
        <v>0</v>
      </c>
    </row>
    <row r="4891" spans="1:22" x14ac:dyDescent="0.25">
      <c r="A4891">
        <v>4888</v>
      </c>
      <c r="B4891" t="s">
        <v>32</v>
      </c>
      <c r="C4891" t="s">
        <v>1455</v>
      </c>
      <c r="D4891" s="4">
        <v>45371</v>
      </c>
      <c r="E4891" t="s">
        <v>1334</v>
      </c>
      <c r="F4891" t="s">
        <v>75</v>
      </c>
      <c r="I4891" s="6"/>
      <c r="J4891" s="6"/>
      <c r="K4891" s="6"/>
      <c r="L4891" s="6"/>
      <c r="M4891" s="6"/>
      <c r="N4891" s="6"/>
      <c r="O4891" s="6"/>
      <c r="P4891" s="6"/>
      <c r="Q4891">
        <v>0</v>
      </c>
      <c r="R4891">
        <f t="shared" si="380"/>
        <v>0</v>
      </c>
      <c r="S4891">
        <f t="shared" si="381"/>
        <v>0</v>
      </c>
      <c r="T4891">
        <f t="shared" si="382"/>
        <v>0</v>
      </c>
      <c r="U4891">
        <f t="shared" si="383"/>
        <v>0</v>
      </c>
      <c r="V4891">
        <f t="shared" si="384"/>
        <v>0</v>
      </c>
    </row>
    <row r="4892" spans="1:22" x14ac:dyDescent="0.25">
      <c r="A4892">
        <v>4889</v>
      </c>
      <c r="B4892" t="s">
        <v>32</v>
      </c>
      <c r="C4892" t="s">
        <v>1455</v>
      </c>
      <c r="D4892" s="4">
        <v>45371</v>
      </c>
      <c r="E4892" t="s">
        <v>2205</v>
      </c>
      <c r="F4892" t="s">
        <v>75</v>
      </c>
      <c r="I4892" s="6"/>
      <c r="J4892" s="6"/>
      <c r="K4892" s="6"/>
      <c r="L4892" s="6"/>
      <c r="M4892" s="6"/>
      <c r="N4892" s="6"/>
      <c r="O4892" s="6"/>
      <c r="P4892" s="6"/>
      <c r="Q4892">
        <v>0</v>
      </c>
      <c r="R4892">
        <f t="shared" si="380"/>
        <v>0</v>
      </c>
      <c r="S4892">
        <f t="shared" si="381"/>
        <v>0</v>
      </c>
      <c r="T4892">
        <f t="shared" si="382"/>
        <v>0</v>
      </c>
      <c r="U4892">
        <f t="shared" si="383"/>
        <v>0</v>
      </c>
      <c r="V4892">
        <f t="shared" si="384"/>
        <v>0</v>
      </c>
    </row>
    <row r="4893" spans="1:22" x14ac:dyDescent="0.25">
      <c r="A4893">
        <v>4890</v>
      </c>
      <c r="B4893" t="s">
        <v>32</v>
      </c>
      <c r="C4893" t="s">
        <v>1455</v>
      </c>
      <c r="D4893" s="4">
        <v>45371</v>
      </c>
      <c r="E4893" t="s">
        <v>1335</v>
      </c>
      <c r="F4893" t="s">
        <v>75</v>
      </c>
      <c r="I4893" s="6">
        <v>0</v>
      </c>
      <c r="J4893" s="6">
        <v>0</v>
      </c>
      <c r="K4893" s="6">
        <v>0</v>
      </c>
      <c r="L4893" s="6">
        <v>0</v>
      </c>
      <c r="M4893" s="6">
        <v>0</v>
      </c>
      <c r="N4893" s="6">
        <v>0</v>
      </c>
      <c r="O4893" s="6">
        <v>1</v>
      </c>
      <c r="P4893" s="6">
        <v>1</v>
      </c>
      <c r="Q4893">
        <v>1</v>
      </c>
      <c r="R4893">
        <f t="shared" si="380"/>
        <v>0</v>
      </c>
      <c r="S4893">
        <f t="shared" si="381"/>
        <v>1</v>
      </c>
      <c r="T4893">
        <f t="shared" si="382"/>
        <v>2</v>
      </c>
      <c r="U4893">
        <f t="shared" si="383"/>
        <v>1</v>
      </c>
      <c r="V4893">
        <f t="shared" si="384"/>
        <v>0</v>
      </c>
    </row>
    <row r="4894" spans="1:22" x14ac:dyDescent="0.25">
      <c r="A4894">
        <v>4891</v>
      </c>
      <c r="B4894" t="s">
        <v>32</v>
      </c>
      <c r="C4894" t="s">
        <v>1455</v>
      </c>
      <c r="D4894" s="4">
        <v>45371</v>
      </c>
      <c r="E4894" t="s">
        <v>2204</v>
      </c>
      <c r="F4894" t="s">
        <v>75</v>
      </c>
      <c r="I4894" s="6">
        <v>0</v>
      </c>
      <c r="J4894" s="6">
        <v>0</v>
      </c>
      <c r="K4894" s="6">
        <v>0</v>
      </c>
      <c r="L4894" s="6">
        <v>0</v>
      </c>
      <c r="M4894" s="6">
        <v>0</v>
      </c>
      <c r="N4894" s="6">
        <v>0</v>
      </c>
      <c r="O4894" s="6">
        <v>0</v>
      </c>
      <c r="P4894" s="6">
        <v>0</v>
      </c>
      <c r="Q4894">
        <v>1</v>
      </c>
      <c r="R4894">
        <f t="shared" si="380"/>
        <v>0</v>
      </c>
      <c r="S4894">
        <f t="shared" si="381"/>
        <v>1</v>
      </c>
      <c r="T4894">
        <f t="shared" si="382"/>
        <v>0</v>
      </c>
      <c r="U4894">
        <f t="shared" si="383"/>
        <v>0</v>
      </c>
      <c r="V4894">
        <f t="shared" si="384"/>
        <v>0</v>
      </c>
    </row>
    <row r="4895" spans="1:22" x14ac:dyDescent="0.25">
      <c r="A4895">
        <v>4892</v>
      </c>
      <c r="B4895" t="s">
        <v>32</v>
      </c>
      <c r="C4895" t="s">
        <v>1455</v>
      </c>
      <c r="D4895" s="4">
        <v>45372</v>
      </c>
      <c r="E4895" t="s">
        <v>940</v>
      </c>
      <c r="F4895" t="s">
        <v>75</v>
      </c>
      <c r="I4895" s="6"/>
      <c r="J4895" s="6"/>
      <c r="K4895" s="6"/>
      <c r="L4895" s="6"/>
      <c r="M4895" s="6"/>
      <c r="N4895" s="6"/>
      <c r="O4895" s="6"/>
      <c r="P4895" s="6"/>
      <c r="Q4895">
        <v>0</v>
      </c>
      <c r="R4895">
        <f t="shared" si="380"/>
        <v>0</v>
      </c>
      <c r="S4895">
        <f t="shared" si="381"/>
        <v>0</v>
      </c>
      <c r="T4895">
        <f t="shared" si="382"/>
        <v>0</v>
      </c>
      <c r="U4895">
        <f t="shared" si="383"/>
        <v>0</v>
      </c>
      <c r="V4895">
        <f t="shared" si="384"/>
        <v>0</v>
      </c>
    </row>
    <row r="4896" spans="1:22" x14ac:dyDescent="0.25">
      <c r="A4896">
        <v>4893</v>
      </c>
      <c r="B4896" t="s">
        <v>32</v>
      </c>
      <c r="C4896" t="s">
        <v>1455</v>
      </c>
      <c r="D4896" s="4">
        <v>45372</v>
      </c>
      <c r="E4896" t="s">
        <v>269</v>
      </c>
      <c r="F4896" t="s">
        <v>75</v>
      </c>
      <c r="I4896" s="6">
        <v>0</v>
      </c>
      <c r="J4896" s="6">
        <v>0</v>
      </c>
      <c r="K4896" s="6">
        <v>1</v>
      </c>
      <c r="L4896" s="6">
        <v>0</v>
      </c>
      <c r="M4896" s="6">
        <v>0</v>
      </c>
      <c r="N4896" s="6">
        <v>0</v>
      </c>
      <c r="O4896" s="6">
        <v>0</v>
      </c>
      <c r="P4896" s="6">
        <v>0</v>
      </c>
      <c r="Q4896">
        <v>1</v>
      </c>
      <c r="R4896">
        <f t="shared" si="380"/>
        <v>0</v>
      </c>
      <c r="S4896">
        <f t="shared" si="381"/>
        <v>1</v>
      </c>
      <c r="T4896">
        <f t="shared" si="382"/>
        <v>1</v>
      </c>
      <c r="U4896">
        <f t="shared" si="383"/>
        <v>1</v>
      </c>
      <c r="V4896">
        <f t="shared" si="384"/>
        <v>0</v>
      </c>
    </row>
    <row r="4897" spans="1:22" x14ac:dyDescent="0.25">
      <c r="A4897">
        <v>4894</v>
      </c>
      <c r="B4897" t="s">
        <v>32</v>
      </c>
      <c r="C4897" t="s">
        <v>1455</v>
      </c>
      <c r="D4897" s="4">
        <v>45372</v>
      </c>
      <c r="E4897" t="s">
        <v>1471</v>
      </c>
      <c r="F4897" t="s">
        <v>75</v>
      </c>
      <c r="I4897" s="6"/>
      <c r="J4897" s="6"/>
      <c r="K4897" s="6"/>
      <c r="L4897" s="6"/>
      <c r="M4897" s="6"/>
      <c r="N4897" s="6"/>
      <c r="O4897" s="6"/>
      <c r="P4897" s="6"/>
      <c r="Q4897">
        <v>0</v>
      </c>
      <c r="R4897">
        <f t="shared" si="380"/>
        <v>0</v>
      </c>
      <c r="S4897">
        <f t="shared" si="381"/>
        <v>0</v>
      </c>
      <c r="T4897">
        <f t="shared" si="382"/>
        <v>0</v>
      </c>
      <c r="U4897">
        <f t="shared" si="383"/>
        <v>0</v>
      </c>
      <c r="V4897">
        <f t="shared" si="384"/>
        <v>0</v>
      </c>
    </row>
    <row r="4898" spans="1:22" x14ac:dyDescent="0.25">
      <c r="A4898">
        <v>4895</v>
      </c>
      <c r="B4898" t="s">
        <v>32</v>
      </c>
      <c r="C4898" t="s">
        <v>1455</v>
      </c>
      <c r="D4898" s="4">
        <v>45372</v>
      </c>
      <c r="E4898" t="s">
        <v>1797</v>
      </c>
      <c r="F4898" t="s">
        <v>75</v>
      </c>
      <c r="I4898" s="6"/>
      <c r="J4898" s="6"/>
      <c r="K4898" s="6"/>
      <c r="L4898" s="6"/>
      <c r="M4898" s="6"/>
      <c r="N4898" s="6"/>
      <c r="O4898" s="6"/>
      <c r="P4898" s="6"/>
      <c r="Q4898">
        <v>0</v>
      </c>
      <c r="R4898">
        <f t="shared" si="380"/>
        <v>0</v>
      </c>
      <c r="S4898">
        <f t="shared" si="381"/>
        <v>0</v>
      </c>
      <c r="T4898">
        <f t="shared" si="382"/>
        <v>0</v>
      </c>
      <c r="U4898">
        <f t="shared" si="383"/>
        <v>0</v>
      </c>
      <c r="V4898">
        <f t="shared" si="384"/>
        <v>0</v>
      </c>
    </row>
    <row r="4899" spans="1:22" x14ac:dyDescent="0.25">
      <c r="A4899">
        <v>4896</v>
      </c>
      <c r="B4899" t="s">
        <v>32</v>
      </c>
      <c r="C4899" t="s">
        <v>1455</v>
      </c>
      <c r="D4899" s="4">
        <v>45372</v>
      </c>
      <c r="E4899" t="s">
        <v>1337</v>
      </c>
      <c r="F4899" t="s">
        <v>75</v>
      </c>
      <c r="I4899" s="6"/>
      <c r="J4899" s="6"/>
      <c r="K4899" s="6"/>
      <c r="L4899" s="6"/>
      <c r="M4899" s="6"/>
      <c r="N4899" s="6"/>
      <c r="O4899" s="6"/>
      <c r="P4899" s="6"/>
      <c r="Q4899">
        <v>0</v>
      </c>
      <c r="R4899">
        <f t="shared" si="380"/>
        <v>0</v>
      </c>
      <c r="S4899">
        <f t="shared" si="381"/>
        <v>0</v>
      </c>
      <c r="T4899">
        <f t="shared" si="382"/>
        <v>0</v>
      </c>
      <c r="U4899">
        <f t="shared" si="383"/>
        <v>0</v>
      </c>
      <c r="V4899">
        <f t="shared" si="384"/>
        <v>0</v>
      </c>
    </row>
    <row r="4900" spans="1:22" x14ac:dyDescent="0.25">
      <c r="A4900">
        <v>4897</v>
      </c>
      <c r="B4900" t="s">
        <v>32</v>
      </c>
      <c r="C4900" t="s">
        <v>1455</v>
      </c>
      <c r="D4900" s="4">
        <v>45372</v>
      </c>
      <c r="E4900" t="s">
        <v>1798</v>
      </c>
      <c r="F4900" t="s">
        <v>75</v>
      </c>
      <c r="I4900" s="6"/>
      <c r="J4900" s="6"/>
      <c r="K4900" s="6"/>
      <c r="L4900" s="6"/>
      <c r="M4900" s="6"/>
      <c r="N4900" s="6"/>
      <c r="O4900" s="6"/>
      <c r="P4900" s="6"/>
      <c r="Q4900">
        <v>0</v>
      </c>
      <c r="R4900">
        <f t="shared" si="380"/>
        <v>0</v>
      </c>
      <c r="S4900">
        <f t="shared" si="381"/>
        <v>0</v>
      </c>
      <c r="T4900">
        <f t="shared" si="382"/>
        <v>0</v>
      </c>
      <c r="U4900">
        <f t="shared" si="383"/>
        <v>0</v>
      </c>
      <c r="V4900">
        <f t="shared" si="384"/>
        <v>0</v>
      </c>
    </row>
    <row r="4901" spans="1:22" x14ac:dyDescent="0.25">
      <c r="A4901">
        <v>4898</v>
      </c>
      <c r="B4901" t="s">
        <v>32</v>
      </c>
      <c r="C4901" t="s">
        <v>1455</v>
      </c>
      <c r="D4901" s="4">
        <v>45372</v>
      </c>
      <c r="E4901" t="s">
        <v>2042</v>
      </c>
      <c r="F4901" t="s">
        <v>75</v>
      </c>
      <c r="I4901" s="6"/>
      <c r="J4901" s="6"/>
      <c r="K4901" s="6"/>
      <c r="L4901" s="6"/>
      <c r="M4901" s="6"/>
      <c r="N4901" s="6"/>
      <c r="O4901" s="6"/>
      <c r="P4901" s="6"/>
      <c r="Q4901">
        <v>0</v>
      </c>
      <c r="R4901">
        <f t="shared" si="380"/>
        <v>0</v>
      </c>
      <c r="S4901">
        <f t="shared" si="381"/>
        <v>0</v>
      </c>
      <c r="T4901">
        <f t="shared" si="382"/>
        <v>0</v>
      </c>
      <c r="U4901">
        <f t="shared" si="383"/>
        <v>0</v>
      </c>
      <c r="V4901">
        <f t="shared" si="384"/>
        <v>0</v>
      </c>
    </row>
    <row r="4902" spans="1:22" x14ac:dyDescent="0.25">
      <c r="A4902">
        <v>4899</v>
      </c>
      <c r="B4902" t="s">
        <v>32</v>
      </c>
      <c r="C4902" t="s">
        <v>1455</v>
      </c>
      <c r="D4902" s="4">
        <v>45373</v>
      </c>
      <c r="E4902" t="s">
        <v>428</v>
      </c>
      <c r="F4902" t="s">
        <v>75</v>
      </c>
      <c r="I4902" s="6"/>
      <c r="J4902" s="6"/>
      <c r="K4902" s="6"/>
      <c r="L4902" s="6"/>
      <c r="M4902" s="6"/>
      <c r="N4902" s="6"/>
      <c r="O4902" s="6"/>
      <c r="P4902" s="6"/>
      <c r="Q4902">
        <v>0</v>
      </c>
      <c r="R4902">
        <f t="shared" si="380"/>
        <v>0</v>
      </c>
      <c r="S4902">
        <f t="shared" si="381"/>
        <v>0</v>
      </c>
      <c r="T4902">
        <f t="shared" si="382"/>
        <v>0</v>
      </c>
      <c r="U4902">
        <f t="shared" si="383"/>
        <v>0</v>
      </c>
      <c r="V4902">
        <f t="shared" si="384"/>
        <v>0</v>
      </c>
    </row>
    <row r="4903" spans="1:22" x14ac:dyDescent="0.25">
      <c r="A4903">
        <v>4900</v>
      </c>
      <c r="B4903" t="s">
        <v>32</v>
      </c>
      <c r="C4903" t="s">
        <v>1455</v>
      </c>
      <c r="D4903" s="4">
        <v>45373</v>
      </c>
      <c r="E4903" t="s">
        <v>429</v>
      </c>
      <c r="F4903" t="s">
        <v>75</v>
      </c>
      <c r="I4903" s="6"/>
      <c r="J4903" s="6"/>
      <c r="K4903" s="6"/>
      <c r="L4903" s="6"/>
      <c r="M4903" s="6"/>
      <c r="N4903" s="6"/>
      <c r="O4903" s="6"/>
      <c r="P4903" s="6"/>
      <c r="Q4903">
        <v>0</v>
      </c>
      <c r="R4903">
        <f t="shared" si="380"/>
        <v>0</v>
      </c>
      <c r="S4903">
        <f t="shared" si="381"/>
        <v>0</v>
      </c>
      <c r="T4903">
        <f t="shared" si="382"/>
        <v>0</v>
      </c>
      <c r="U4903">
        <f t="shared" si="383"/>
        <v>0</v>
      </c>
      <c r="V4903">
        <f t="shared" si="384"/>
        <v>0</v>
      </c>
    </row>
    <row r="4904" spans="1:22" x14ac:dyDescent="0.25">
      <c r="A4904">
        <v>4901</v>
      </c>
      <c r="B4904" t="s">
        <v>32</v>
      </c>
      <c r="C4904" t="s">
        <v>1455</v>
      </c>
      <c r="D4904" s="4">
        <v>45373</v>
      </c>
      <c r="E4904" t="s">
        <v>2203</v>
      </c>
      <c r="F4904" t="s">
        <v>75</v>
      </c>
      <c r="I4904" s="6"/>
      <c r="J4904" s="6"/>
      <c r="K4904" s="6"/>
      <c r="L4904" s="6"/>
      <c r="M4904" s="6"/>
      <c r="N4904" s="6"/>
      <c r="O4904" s="6"/>
      <c r="P4904" s="6"/>
      <c r="Q4904">
        <v>0</v>
      </c>
      <c r="R4904">
        <f t="shared" si="380"/>
        <v>0</v>
      </c>
      <c r="S4904">
        <f t="shared" si="381"/>
        <v>0</v>
      </c>
      <c r="T4904">
        <f t="shared" si="382"/>
        <v>0</v>
      </c>
      <c r="U4904">
        <f t="shared" si="383"/>
        <v>0</v>
      </c>
      <c r="V4904">
        <f t="shared" si="384"/>
        <v>0</v>
      </c>
    </row>
    <row r="4905" spans="1:22" x14ac:dyDescent="0.25">
      <c r="A4905">
        <v>4902</v>
      </c>
      <c r="B4905" t="s">
        <v>32</v>
      </c>
      <c r="C4905" t="s">
        <v>1455</v>
      </c>
      <c r="D4905" s="4">
        <v>45373</v>
      </c>
      <c r="E4905" t="s">
        <v>270</v>
      </c>
      <c r="F4905" t="s">
        <v>75</v>
      </c>
      <c r="I4905" s="6"/>
      <c r="J4905" s="6"/>
      <c r="K4905" s="6"/>
      <c r="L4905" s="6"/>
      <c r="M4905" s="6"/>
      <c r="N4905" s="6"/>
      <c r="O4905" s="6"/>
      <c r="P4905" s="6"/>
      <c r="Q4905">
        <v>0</v>
      </c>
      <c r="R4905">
        <f t="shared" si="380"/>
        <v>0</v>
      </c>
      <c r="S4905">
        <f t="shared" si="381"/>
        <v>0</v>
      </c>
      <c r="T4905">
        <f t="shared" si="382"/>
        <v>0</v>
      </c>
      <c r="U4905">
        <f t="shared" si="383"/>
        <v>0</v>
      </c>
      <c r="V4905">
        <f t="shared" si="384"/>
        <v>0</v>
      </c>
    </row>
    <row r="4906" spans="1:22" x14ac:dyDescent="0.25">
      <c r="A4906">
        <v>4903</v>
      </c>
      <c r="B4906" t="s">
        <v>32</v>
      </c>
      <c r="C4906" t="s">
        <v>1455</v>
      </c>
      <c r="D4906" s="4">
        <v>45373</v>
      </c>
      <c r="E4906" t="s">
        <v>1340</v>
      </c>
      <c r="F4906" t="s">
        <v>75</v>
      </c>
      <c r="I4906" s="6"/>
      <c r="J4906" s="6"/>
      <c r="K4906" s="6"/>
      <c r="L4906" s="6"/>
      <c r="M4906" s="6"/>
      <c r="N4906" s="6"/>
      <c r="O4906" s="6"/>
      <c r="P4906" s="6"/>
      <c r="Q4906">
        <v>0</v>
      </c>
      <c r="R4906">
        <f t="shared" si="380"/>
        <v>0</v>
      </c>
      <c r="S4906">
        <f t="shared" si="381"/>
        <v>0</v>
      </c>
      <c r="T4906">
        <f t="shared" si="382"/>
        <v>0</v>
      </c>
      <c r="U4906">
        <f t="shared" si="383"/>
        <v>0</v>
      </c>
      <c r="V4906">
        <f t="shared" si="384"/>
        <v>0</v>
      </c>
    </row>
    <row r="4907" spans="1:22" x14ac:dyDescent="0.25">
      <c r="A4907">
        <v>4904</v>
      </c>
      <c r="B4907" t="s">
        <v>32</v>
      </c>
      <c r="C4907" t="s">
        <v>1455</v>
      </c>
      <c r="D4907" s="4">
        <v>45373</v>
      </c>
      <c r="E4907" t="s">
        <v>2202</v>
      </c>
      <c r="F4907" t="s">
        <v>75</v>
      </c>
      <c r="I4907" s="6"/>
      <c r="J4907" s="6"/>
      <c r="K4907" s="6"/>
      <c r="L4907" s="6"/>
      <c r="M4907" s="6"/>
      <c r="N4907" s="6"/>
      <c r="O4907" s="6"/>
      <c r="P4907" s="6"/>
      <c r="Q4907">
        <v>0</v>
      </c>
      <c r="R4907">
        <f t="shared" si="380"/>
        <v>0</v>
      </c>
      <c r="S4907">
        <f t="shared" si="381"/>
        <v>0</v>
      </c>
      <c r="T4907">
        <f t="shared" si="382"/>
        <v>0</v>
      </c>
      <c r="U4907">
        <f t="shared" si="383"/>
        <v>0</v>
      </c>
      <c r="V4907">
        <f t="shared" si="384"/>
        <v>0</v>
      </c>
    </row>
    <row r="4908" spans="1:22" x14ac:dyDescent="0.25">
      <c r="A4908">
        <v>4905</v>
      </c>
      <c r="B4908" t="s">
        <v>32</v>
      </c>
      <c r="C4908" t="s">
        <v>1455</v>
      </c>
      <c r="D4908" s="4">
        <v>45373</v>
      </c>
      <c r="E4908" t="s">
        <v>1533</v>
      </c>
      <c r="F4908" t="s">
        <v>75</v>
      </c>
      <c r="I4908" s="6">
        <v>0</v>
      </c>
      <c r="J4908" s="6">
        <v>0</v>
      </c>
      <c r="K4908" s="6">
        <v>1</v>
      </c>
      <c r="L4908" s="6">
        <v>0</v>
      </c>
      <c r="M4908" s="6">
        <v>0</v>
      </c>
      <c r="N4908" s="6">
        <v>0</v>
      </c>
      <c r="O4908" s="6">
        <v>0</v>
      </c>
      <c r="P4908" s="6">
        <v>0</v>
      </c>
      <c r="Q4908">
        <v>1</v>
      </c>
      <c r="R4908">
        <f t="shared" si="380"/>
        <v>0</v>
      </c>
      <c r="S4908">
        <f t="shared" si="381"/>
        <v>1</v>
      </c>
      <c r="T4908">
        <f t="shared" si="382"/>
        <v>1</v>
      </c>
      <c r="U4908">
        <f t="shared" si="383"/>
        <v>1</v>
      </c>
      <c r="V4908">
        <f t="shared" si="384"/>
        <v>0</v>
      </c>
    </row>
    <row r="4909" spans="1:22" x14ac:dyDescent="0.25">
      <c r="A4909">
        <v>4906</v>
      </c>
      <c r="B4909" t="s">
        <v>32</v>
      </c>
      <c r="C4909" t="s">
        <v>1455</v>
      </c>
      <c r="D4909" s="4">
        <v>45374</v>
      </c>
      <c r="E4909" t="s">
        <v>430</v>
      </c>
      <c r="F4909" t="s">
        <v>75</v>
      </c>
      <c r="I4909" s="6"/>
      <c r="J4909" s="6"/>
      <c r="K4909" s="6"/>
      <c r="L4909" s="6"/>
      <c r="M4909" s="6"/>
      <c r="N4909" s="6"/>
      <c r="O4909" s="6"/>
      <c r="P4909" s="6"/>
      <c r="Q4909">
        <v>0</v>
      </c>
      <c r="R4909">
        <f t="shared" si="380"/>
        <v>0</v>
      </c>
      <c r="S4909">
        <f t="shared" si="381"/>
        <v>0</v>
      </c>
      <c r="T4909">
        <f t="shared" si="382"/>
        <v>0</v>
      </c>
      <c r="U4909">
        <f t="shared" si="383"/>
        <v>0</v>
      </c>
      <c r="V4909">
        <f t="shared" si="384"/>
        <v>0</v>
      </c>
    </row>
    <row r="4910" spans="1:22" x14ac:dyDescent="0.25">
      <c r="A4910">
        <v>4907</v>
      </c>
      <c r="B4910" t="s">
        <v>32</v>
      </c>
      <c r="C4910" t="s">
        <v>1455</v>
      </c>
      <c r="D4910" s="4">
        <v>45374</v>
      </c>
      <c r="E4910" t="s">
        <v>431</v>
      </c>
      <c r="F4910" t="s">
        <v>75</v>
      </c>
      <c r="I4910" s="6">
        <v>0</v>
      </c>
      <c r="J4910" s="6">
        <v>0</v>
      </c>
      <c r="K4910" s="6">
        <v>0</v>
      </c>
      <c r="L4910" s="6">
        <v>0</v>
      </c>
      <c r="M4910" s="6">
        <v>0</v>
      </c>
      <c r="N4910" s="6">
        <v>0</v>
      </c>
      <c r="O4910" s="6">
        <v>0</v>
      </c>
      <c r="P4910" s="6">
        <v>0</v>
      </c>
      <c r="Q4910">
        <v>1</v>
      </c>
      <c r="R4910">
        <f t="shared" si="380"/>
        <v>0</v>
      </c>
      <c r="S4910">
        <f t="shared" si="381"/>
        <v>1</v>
      </c>
      <c r="T4910">
        <f t="shared" si="382"/>
        <v>0</v>
      </c>
      <c r="U4910">
        <f t="shared" si="383"/>
        <v>0</v>
      </c>
      <c r="V4910">
        <f t="shared" si="384"/>
        <v>0</v>
      </c>
    </row>
    <row r="4911" spans="1:22" x14ac:dyDescent="0.25">
      <c r="A4911">
        <v>4908</v>
      </c>
      <c r="B4911" t="s">
        <v>32</v>
      </c>
      <c r="C4911" t="s">
        <v>1455</v>
      </c>
      <c r="D4911" s="4">
        <v>45374</v>
      </c>
      <c r="E4911" t="s">
        <v>432</v>
      </c>
      <c r="F4911" t="s">
        <v>75</v>
      </c>
      <c r="I4911" s="6"/>
      <c r="J4911" s="6"/>
      <c r="K4911" s="6"/>
      <c r="L4911" s="6"/>
      <c r="M4911" s="6"/>
      <c r="N4911" s="6"/>
      <c r="O4911" s="6"/>
      <c r="P4911" s="6"/>
      <c r="Q4911">
        <v>0</v>
      </c>
      <c r="R4911">
        <f t="shared" si="380"/>
        <v>0</v>
      </c>
      <c r="S4911">
        <f t="shared" si="381"/>
        <v>0</v>
      </c>
      <c r="T4911">
        <f t="shared" si="382"/>
        <v>0</v>
      </c>
      <c r="U4911">
        <f t="shared" si="383"/>
        <v>0</v>
      </c>
      <c r="V4911">
        <f t="shared" si="384"/>
        <v>0</v>
      </c>
    </row>
    <row r="4912" spans="1:22" x14ac:dyDescent="0.25">
      <c r="A4912">
        <v>4909</v>
      </c>
      <c r="B4912" t="s">
        <v>32</v>
      </c>
      <c r="C4912" t="s">
        <v>1455</v>
      </c>
      <c r="D4912" s="4">
        <v>45374</v>
      </c>
      <c r="E4912" t="s">
        <v>2201</v>
      </c>
      <c r="F4912" t="s">
        <v>75</v>
      </c>
      <c r="I4912" s="6"/>
      <c r="J4912" s="6"/>
      <c r="K4912" s="6"/>
      <c r="L4912" s="6"/>
      <c r="M4912" s="6"/>
      <c r="N4912" s="6"/>
      <c r="O4912" s="6"/>
      <c r="P4912" s="6"/>
      <c r="Q4912">
        <v>0</v>
      </c>
      <c r="R4912">
        <f t="shared" si="380"/>
        <v>0</v>
      </c>
      <c r="S4912">
        <f t="shared" si="381"/>
        <v>0</v>
      </c>
      <c r="T4912">
        <f t="shared" si="382"/>
        <v>0</v>
      </c>
      <c r="U4912">
        <f t="shared" si="383"/>
        <v>0</v>
      </c>
      <c r="V4912">
        <f t="shared" si="384"/>
        <v>0</v>
      </c>
    </row>
    <row r="4913" spans="1:22" x14ac:dyDescent="0.25">
      <c r="A4913">
        <v>4910</v>
      </c>
      <c r="B4913" t="s">
        <v>32</v>
      </c>
      <c r="C4913" t="s">
        <v>1455</v>
      </c>
      <c r="D4913" s="4">
        <v>45374</v>
      </c>
      <c r="E4913" t="s">
        <v>2200</v>
      </c>
      <c r="F4913" t="s">
        <v>75</v>
      </c>
      <c r="I4913" s="6"/>
      <c r="J4913" s="6"/>
      <c r="K4913" s="6"/>
      <c r="L4913" s="6"/>
      <c r="M4913" s="6"/>
      <c r="N4913" s="6"/>
      <c r="O4913" s="6"/>
      <c r="P4913" s="6"/>
      <c r="Q4913">
        <v>0</v>
      </c>
      <c r="R4913">
        <f t="shared" si="380"/>
        <v>0</v>
      </c>
      <c r="S4913">
        <f t="shared" si="381"/>
        <v>0</v>
      </c>
      <c r="T4913">
        <f t="shared" si="382"/>
        <v>0</v>
      </c>
      <c r="U4913">
        <f t="shared" si="383"/>
        <v>0</v>
      </c>
      <c r="V4913">
        <f t="shared" si="384"/>
        <v>0</v>
      </c>
    </row>
    <row r="4914" spans="1:22" x14ac:dyDescent="0.25">
      <c r="A4914">
        <v>4911</v>
      </c>
      <c r="B4914" t="s">
        <v>32</v>
      </c>
      <c r="C4914" t="s">
        <v>1455</v>
      </c>
      <c r="D4914" s="4">
        <v>45374</v>
      </c>
      <c r="E4914" t="s">
        <v>2199</v>
      </c>
      <c r="F4914" t="s">
        <v>75</v>
      </c>
      <c r="I4914" s="6">
        <v>0</v>
      </c>
      <c r="J4914" s="6">
        <v>0</v>
      </c>
      <c r="K4914" s="6">
        <v>0</v>
      </c>
      <c r="L4914" s="6">
        <v>1</v>
      </c>
      <c r="M4914" s="6">
        <v>1</v>
      </c>
      <c r="N4914" s="6">
        <v>0</v>
      </c>
      <c r="O4914" s="6">
        <v>1</v>
      </c>
      <c r="P4914" s="6">
        <v>0</v>
      </c>
      <c r="Q4914">
        <v>1</v>
      </c>
      <c r="R4914">
        <f t="shared" si="380"/>
        <v>0</v>
      </c>
      <c r="S4914">
        <f t="shared" si="381"/>
        <v>1</v>
      </c>
      <c r="T4914">
        <f t="shared" si="382"/>
        <v>3</v>
      </c>
      <c r="U4914">
        <f t="shared" si="383"/>
        <v>1</v>
      </c>
      <c r="V4914">
        <f t="shared" si="384"/>
        <v>0</v>
      </c>
    </row>
    <row r="4915" spans="1:22" x14ac:dyDescent="0.25">
      <c r="A4915">
        <v>4912</v>
      </c>
      <c r="B4915" t="s">
        <v>32</v>
      </c>
      <c r="C4915" t="s">
        <v>1455</v>
      </c>
      <c r="D4915" s="4">
        <v>45375</v>
      </c>
      <c r="E4915" t="s">
        <v>859</v>
      </c>
      <c r="F4915" t="s">
        <v>75</v>
      </c>
      <c r="I4915" s="6"/>
      <c r="J4915" s="6"/>
      <c r="K4915" s="6"/>
      <c r="L4915" s="6"/>
      <c r="M4915" s="6"/>
      <c r="N4915" s="6"/>
      <c r="O4915" s="6"/>
      <c r="P4915" s="6"/>
      <c r="Q4915">
        <v>0</v>
      </c>
      <c r="R4915">
        <f t="shared" si="380"/>
        <v>0</v>
      </c>
      <c r="S4915">
        <f t="shared" si="381"/>
        <v>0</v>
      </c>
      <c r="T4915">
        <f t="shared" si="382"/>
        <v>0</v>
      </c>
      <c r="U4915">
        <f t="shared" si="383"/>
        <v>0</v>
      </c>
      <c r="V4915">
        <f t="shared" si="384"/>
        <v>0</v>
      </c>
    </row>
    <row r="4916" spans="1:22" x14ac:dyDescent="0.25">
      <c r="A4916">
        <v>4913</v>
      </c>
      <c r="B4916" t="s">
        <v>32</v>
      </c>
      <c r="C4916" t="s">
        <v>1455</v>
      </c>
      <c r="D4916" s="4">
        <v>45375</v>
      </c>
      <c r="E4916" t="s">
        <v>860</v>
      </c>
      <c r="F4916" t="s">
        <v>75</v>
      </c>
      <c r="I4916" s="6"/>
      <c r="J4916" s="6"/>
      <c r="K4916" s="6"/>
      <c r="L4916" s="6"/>
      <c r="M4916" s="6"/>
      <c r="N4916" s="6"/>
      <c r="O4916" s="6"/>
      <c r="P4916" s="6"/>
      <c r="Q4916">
        <v>0</v>
      </c>
      <c r="R4916">
        <f t="shared" si="380"/>
        <v>0</v>
      </c>
      <c r="S4916">
        <f t="shared" si="381"/>
        <v>0</v>
      </c>
      <c r="T4916">
        <f t="shared" si="382"/>
        <v>0</v>
      </c>
      <c r="U4916">
        <f t="shared" si="383"/>
        <v>0</v>
      </c>
      <c r="V4916">
        <f t="shared" si="384"/>
        <v>0</v>
      </c>
    </row>
    <row r="4917" spans="1:22" x14ac:dyDescent="0.25">
      <c r="A4917">
        <v>4914</v>
      </c>
      <c r="B4917" t="s">
        <v>32</v>
      </c>
      <c r="C4917" t="s">
        <v>1455</v>
      </c>
      <c r="D4917" s="4">
        <v>45375</v>
      </c>
      <c r="E4917" t="s">
        <v>861</v>
      </c>
      <c r="F4917" t="s">
        <v>75</v>
      </c>
      <c r="I4917" s="6"/>
      <c r="J4917" s="6"/>
      <c r="K4917" s="6"/>
      <c r="L4917" s="6"/>
      <c r="M4917" s="6"/>
      <c r="N4917" s="6"/>
      <c r="O4917" s="6"/>
      <c r="P4917" s="6"/>
      <c r="Q4917">
        <v>0</v>
      </c>
      <c r="R4917">
        <f t="shared" si="380"/>
        <v>0</v>
      </c>
      <c r="S4917">
        <f t="shared" si="381"/>
        <v>0</v>
      </c>
      <c r="T4917">
        <f t="shared" si="382"/>
        <v>0</v>
      </c>
      <c r="U4917">
        <f t="shared" si="383"/>
        <v>0</v>
      </c>
      <c r="V4917">
        <f t="shared" si="384"/>
        <v>0</v>
      </c>
    </row>
    <row r="4918" spans="1:22" x14ac:dyDescent="0.25">
      <c r="A4918">
        <v>4915</v>
      </c>
      <c r="B4918" t="s">
        <v>32</v>
      </c>
      <c r="C4918" t="s">
        <v>1455</v>
      </c>
      <c r="D4918" s="4">
        <v>45375</v>
      </c>
      <c r="E4918" t="s">
        <v>2041</v>
      </c>
      <c r="F4918" t="s">
        <v>75</v>
      </c>
      <c r="I4918" s="6"/>
      <c r="J4918" s="6"/>
      <c r="K4918" s="6"/>
      <c r="L4918" s="6"/>
      <c r="M4918" s="6"/>
      <c r="N4918" s="6"/>
      <c r="O4918" s="6"/>
      <c r="P4918" s="6"/>
      <c r="Q4918">
        <v>0</v>
      </c>
      <c r="R4918">
        <f t="shared" si="380"/>
        <v>0</v>
      </c>
      <c r="S4918">
        <f t="shared" si="381"/>
        <v>0</v>
      </c>
      <c r="T4918">
        <f t="shared" si="382"/>
        <v>0</v>
      </c>
      <c r="U4918">
        <f t="shared" si="383"/>
        <v>0</v>
      </c>
      <c r="V4918">
        <f t="shared" si="384"/>
        <v>0</v>
      </c>
    </row>
    <row r="4919" spans="1:22" x14ac:dyDescent="0.25">
      <c r="A4919">
        <v>4916</v>
      </c>
      <c r="B4919" t="s">
        <v>32</v>
      </c>
      <c r="C4919" t="s">
        <v>1455</v>
      </c>
      <c r="D4919" s="4">
        <v>45375</v>
      </c>
      <c r="E4919" t="s">
        <v>1799</v>
      </c>
      <c r="F4919" t="s">
        <v>75</v>
      </c>
      <c r="I4919" s="6"/>
      <c r="J4919" s="6"/>
      <c r="K4919" s="6"/>
      <c r="L4919" s="6"/>
      <c r="M4919" s="6"/>
      <c r="N4919" s="6"/>
      <c r="O4919" s="6"/>
      <c r="P4919" s="6"/>
      <c r="Q4919">
        <v>0</v>
      </c>
      <c r="R4919">
        <f t="shared" si="380"/>
        <v>0</v>
      </c>
      <c r="S4919">
        <f t="shared" si="381"/>
        <v>0</v>
      </c>
      <c r="T4919">
        <f t="shared" si="382"/>
        <v>0</v>
      </c>
      <c r="U4919">
        <f t="shared" si="383"/>
        <v>0</v>
      </c>
      <c r="V4919">
        <f t="shared" si="384"/>
        <v>0</v>
      </c>
    </row>
    <row r="4920" spans="1:22" x14ac:dyDescent="0.25">
      <c r="A4920">
        <v>4917</v>
      </c>
      <c r="B4920" t="s">
        <v>32</v>
      </c>
      <c r="C4920" t="s">
        <v>1455</v>
      </c>
      <c r="D4920" s="4">
        <v>45375</v>
      </c>
      <c r="E4920" t="s">
        <v>2198</v>
      </c>
      <c r="F4920" t="s">
        <v>75</v>
      </c>
      <c r="I4920" s="6"/>
      <c r="J4920" s="6"/>
      <c r="K4920" s="6"/>
      <c r="L4920" s="6"/>
      <c r="M4920" s="6"/>
      <c r="N4920" s="6"/>
      <c r="O4920" s="6"/>
      <c r="P4920" s="6"/>
      <c r="Q4920">
        <v>0</v>
      </c>
      <c r="R4920">
        <f t="shared" si="380"/>
        <v>0</v>
      </c>
      <c r="S4920">
        <f t="shared" si="381"/>
        <v>0</v>
      </c>
      <c r="T4920">
        <f t="shared" si="382"/>
        <v>0</v>
      </c>
      <c r="U4920">
        <f t="shared" si="383"/>
        <v>0</v>
      </c>
      <c r="V4920">
        <f t="shared" si="384"/>
        <v>0</v>
      </c>
    </row>
    <row r="4921" spans="1:22" x14ac:dyDescent="0.25">
      <c r="A4921">
        <v>4918</v>
      </c>
      <c r="B4921" t="s">
        <v>32</v>
      </c>
      <c r="C4921" t="s">
        <v>1455</v>
      </c>
      <c r="D4921" s="4">
        <v>45375</v>
      </c>
      <c r="E4921" t="s">
        <v>2197</v>
      </c>
      <c r="F4921" t="s">
        <v>75</v>
      </c>
      <c r="I4921" s="6"/>
      <c r="J4921" s="6"/>
      <c r="K4921" s="6"/>
      <c r="L4921" s="6"/>
      <c r="M4921" s="6"/>
      <c r="N4921" s="6"/>
      <c r="O4921" s="6"/>
      <c r="P4921" s="6"/>
      <c r="Q4921">
        <v>0</v>
      </c>
      <c r="R4921">
        <f t="shared" si="380"/>
        <v>0</v>
      </c>
      <c r="S4921">
        <f t="shared" si="381"/>
        <v>0</v>
      </c>
      <c r="T4921">
        <f t="shared" si="382"/>
        <v>0</v>
      </c>
      <c r="U4921">
        <f t="shared" si="383"/>
        <v>0</v>
      </c>
      <c r="V4921">
        <f t="shared" si="384"/>
        <v>0</v>
      </c>
    </row>
    <row r="4922" spans="1:22" x14ac:dyDescent="0.25">
      <c r="A4922">
        <v>4919</v>
      </c>
      <c r="B4922" t="s">
        <v>32</v>
      </c>
      <c r="C4922" t="s">
        <v>1455</v>
      </c>
      <c r="D4922" s="4">
        <v>45376</v>
      </c>
      <c r="E4922" t="s">
        <v>434</v>
      </c>
      <c r="F4922" t="s">
        <v>75</v>
      </c>
      <c r="I4922" s="6"/>
      <c r="J4922" s="6"/>
      <c r="K4922" s="6"/>
      <c r="L4922" s="6"/>
      <c r="M4922" s="6"/>
      <c r="N4922" s="6"/>
      <c r="O4922" s="6"/>
      <c r="P4922" s="6"/>
      <c r="Q4922">
        <v>0</v>
      </c>
      <c r="R4922">
        <f t="shared" si="380"/>
        <v>0</v>
      </c>
      <c r="S4922">
        <f t="shared" si="381"/>
        <v>0</v>
      </c>
      <c r="T4922">
        <f t="shared" si="382"/>
        <v>0</v>
      </c>
      <c r="U4922">
        <f t="shared" si="383"/>
        <v>0</v>
      </c>
      <c r="V4922">
        <f t="shared" si="384"/>
        <v>0</v>
      </c>
    </row>
    <row r="4923" spans="1:22" x14ac:dyDescent="0.25">
      <c r="A4923">
        <v>4920</v>
      </c>
      <c r="B4923" t="s">
        <v>32</v>
      </c>
      <c r="C4923" t="s">
        <v>1455</v>
      </c>
      <c r="D4923" s="4">
        <v>45376</v>
      </c>
      <c r="E4923" t="s">
        <v>435</v>
      </c>
      <c r="F4923" t="s">
        <v>75</v>
      </c>
      <c r="I4923" s="6"/>
      <c r="J4923" s="6"/>
      <c r="K4923" s="6"/>
      <c r="L4923" s="6"/>
      <c r="M4923" s="6"/>
      <c r="N4923" s="6"/>
      <c r="O4923" s="6"/>
      <c r="P4923" s="6"/>
      <c r="Q4923">
        <v>0</v>
      </c>
      <c r="R4923">
        <f t="shared" si="380"/>
        <v>0</v>
      </c>
      <c r="S4923">
        <f t="shared" si="381"/>
        <v>0</v>
      </c>
      <c r="T4923">
        <f t="shared" si="382"/>
        <v>0</v>
      </c>
      <c r="U4923">
        <f t="shared" si="383"/>
        <v>0</v>
      </c>
      <c r="V4923">
        <f t="shared" si="384"/>
        <v>0</v>
      </c>
    </row>
    <row r="4924" spans="1:22" x14ac:dyDescent="0.25">
      <c r="A4924">
        <v>4921</v>
      </c>
      <c r="B4924" t="s">
        <v>32</v>
      </c>
      <c r="C4924" t="s">
        <v>1455</v>
      </c>
      <c r="D4924" s="4">
        <v>45376</v>
      </c>
      <c r="E4924" t="s">
        <v>436</v>
      </c>
      <c r="F4924" t="s">
        <v>75</v>
      </c>
      <c r="I4924" s="6">
        <v>0</v>
      </c>
      <c r="J4924" s="6">
        <v>0</v>
      </c>
      <c r="K4924" s="6">
        <v>1</v>
      </c>
      <c r="L4924" s="6">
        <v>0</v>
      </c>
      <c r="M4924" s="6">
        <v>0</v>
      </c>
      <c r="N4924" s="6">
        <v>1</v>
      </c>
      <c r="O4924" s="6">
        <v>0</v>
      </c>
      <c r="P4924" s="6">
        <v>0</v>
      </c>
      <c r="Q4924">
        <v>1</v>
      </c>
      <c r="R4924">
        <f t="shared" si="380"/>
        <v>0</v>
      </c>
      <c r="S4924">
        <f t="shared" si="381"/>
        <v>1</v>
      </c>
      <c r="T4924">
        <f t="shared" si="382"/>
        <v>2</v>
      </c>
      <c r="U4924">
        <f t="shared" si="383"/>
        <v>1</v>
      </c>
      <c r="V4924">
        <f t="shared" si="384"/>
        <v>0</v>
      </c>
    </row>
    <row r="4925" spans="1:22" x14ac:dyDescent="0.25">
      <c r="A4925">
        <v>4922</v>
      </c>
      <c r="B4925" t="s">
        <v>32</v>
      </c>
      <c r="C4925" t="s">
        <v>1455</v>
      </c>
      <c r="D4925" s="4">
        <v>45376</v>
      </c>
      <c r="E4925" t="s">
        <v>1344</v>
      </c>
      <c r="F4925" t="s">
        <v>413</v>
      </c>
      <c r="G4925">
        <v>238</v>
      </c>
      <c r="I4925" s="6">
        <v>1</v>
      </c>
      <c r="J4925" s="6">
        <v>1</v>
      </c>
      <c r="K4925" s="6">
        <v>1</v>
      </c>
      <c r="L4925" s="6">
        <v>1</v>
      </c>
      <c r="M4925" s="6">
        <v>0</v>
      </c>
      <c r="N4925" s="6">
        <v>0</v>
      </c>
      <c r="O4925" s="6">
        <v>0</v>
      </c>
      <c r="P4925" s="6">
        <v>0</v>
      </c>
      <c r="Q4925">
        <v>1</v>
      </c>
      <c r="R4925">
        <f t="shared" si="380"/>
        <v>1</v>
      </c>
      <c r="S4925">
        <f t="shared" si="381"/>
        <v>0</v>
      </c>
      <c r="T4925">
        <f t="shared" si="382"/>
        <v>4</v>
      </c>
      <c r="U4925">
        <f t="shared" si="383"/>
        <v>1</v>
      </c>
      <c r="V4925">
        <f t="shared" si="384"/>
        <v>1</v>
      </c>
    </row>
    <row r="4926" spans="1:22" x14ac:dyDescent="0.25">
      <c r="A4926">
        <v>4923</v>
      </c>
      <c r="B4926" t="s">
        <v>32</v>
      </c>
      <c r="C4926" t="s">
        <v>1455</v>
      </c>
      <c r="D4926" s="4">
        <v>45376</v>
      </c>
      <c r="E4926" t="s">
        <v>2196</v>
      </c>
      <c r="F4926" t="s">
        <v>75</v>
      </c>
      <c r="I4926" s="6"/>
      <c r="J4926" s="6"/>
      <c r="K4926" s="6"/>
      <c r="L4926" s="6"/>
      <c r="M4926" s="6"/>
      <c r="N4926" s="6"/>
      <c r="O4926" s="6"/>
      <c r="P4926" s="6"/>
      <c r="Q4926">
        <v>0</v>
      </c>
      <c r="R4926">
        <f t="shared" si="380"/>
        <v>0</v>
      </c>
      <c r="S4926">
        <f t="shared" si="381"/>
        <v>0</v>
      </c>
      <c r="T4926">
        <f t="shared" si="382"/>
        <v>0</v>
      </c>
      <c r="U4926">
        <f t="shared" si="383"/>
        <v>0</v>
      </c>
      <c r="V4926">
        <f t="shared" si="384"/>
        <v>0</v>
      </c>
    </row>
    <row r="4927" spans="1:22" x14ac:dyDescent="0.25">
      <c r="A4927">
        <v>4924</v>
      </c>
      <c r="B4927" t="s">
        <v>32</v>
      </c>
      <c r="C4927" t="s">
        <v>1455</v>
      </c>
      <c r="D4927" s="4">
        <v>45376</v>
      </c>
      <c r="E4927" t="s">
        <v>1345</v>
      </c>
      <c r="F4927" t="s">
        <v>75</v>
      </c>
      <c r="I4927" s="6">
        <v>0</v>
      </c>
      <c r="J4927" s="6">
        <v>0</v>
      </c>
      <c r="K4927" s="6">
        <v>0</v>
      </c>
      <c r="L4927" s="6">
        <v>1</v>
      </c>
      <c r="M4927" s="6">
        <v>0</v>
      </c>
      <c r="N4927" s="6">
        <v>0</v>
      </c>
      <c r="O4927" s="6">
        <v>0</v>
      </c>
      <c r="P4927" s="6">
        <v>0</v>
      </c>
      <c r="Q4927">
        <v>1</v>
      </c>
      <c r="R4927">
        <f t="shared" si="380"/>
        <v>0</v>
      </c>
      <c r="S4927">
        <f t="shared" si="381"/>
        <v>1</v>
      </c>
      <c r="T4927">
        <f t="shared" si="382"/>
        <v>1</v>
      </c>
      <c r="U4927">
        <f t="shared" si="383"/>
        <v>1</v>
      </c>
      <c r="V4927">
        <f t="shared" si="384"/>
        <v>0</v>
      </c>
    </row>
    <row r="4928" spans="1:22" x14ac:dyDescent="0.25">
      <c r="A4928">
        <v>4925</v>
      </c>
      <c r="B4928" t="s">
        <v>32</v>
      </c>
      <c r="C4928" t="s">
        <v>1455</v>
      </c>
      <c r="D4928" s="4">
        <v>45376</v>
      </c>
      <c r="E4928" t="s">
        <v>2195</v>
      </c>
      <c r="F4928" t="s">
        <v>75</v>
      </c>
      <c r="I4928" s="6"/>
      <c r="J4928" s="6"/>
      <c r="K4928" s="6"/>
      <c r="L4928" s="6"/>
      <c r="M4928" s="6"/>
      <c r="N4928" s="6"/>
      <c r="O4928" s="6"/>
      <c r="P4928" s="6"/>
      <c r="Q4928">
        <v>0</v>
      </c>
      <c r="R4928">
        <f t="shared" si="380"/>
        <v>0</v>
      </c>
      <c r="S4928">
        <f t="shared" si="381"/>
        <v>0</v>
      </c>
      <c r="T4928">
        <f t="shared" si="382"/>
        <v>0</v>
      </c>
      <c r="U4928">
        <f t="shared" si="383"/>
        <v>0</v>
      </c>
      <c r="V4928">
        <f t="shared" si="384"/>
        <v>0</v>
      </c>
    </row>
    <row r="4929" spans="1:22" x14ac:dyDescent="0.25">
      <c r="A4929">
        <v>4926</v>
      </c>
      <c r="B4929" t="s">
        <v>32</v>
      </c>
      <c r="C4929" t="s">
        <v>1455</v>
      </c>
      <c r="D4929" s="4">
        <v>45377</v>
      </c>
      <c r="E4929" t="s">
        <v>437</v>
      </c>
      <c r="F4929" t="s">
        <v>357</v>
      </c>
      <c r="I4929" s="6"/>
      <c r="J4929" s="6"/>
      <c r="K4929" s="6"/>
      <c r="L4929" s="6"/>
      <c r="M4929" s="6"/>
      <c r="N4929" s="6"/>
      <c r="O4929" s="6"/>
      <c r="P4929" s="6"/>
      <c r="Q4929">
        <v>0</v>
      </c>
      <c r="R4929">
        <f t="shared" si="380"/>
        <v>0</v>
      </c>
      <c r="S4929">
        <f t="shared" si="381"/>
        <v>0</v>
      </c>
      <c r="T4929">
        <f t="shared" si="382"/>
        <v>0</v>
      </c>
      <c r="U4929">
        <f t="shared" si="383"/>
        <v>0</v>
      </c>
      <c r="V4929">
        <f t="shared" si="384"/>
        <v>0</v>
      </c>
    </row>
    <row r="4930" spans="1:22" x14ac:dyDescent="0.25">
      <c r="A4930">
        <v>4927</v>
      </c>
      <c r="B4930" t="s">
        <v>32</v>
      </c>
      <c r="C4930" t="s">
        <v>1455</v>
      </c>
      <c r="D4930" s="4">
        <v>45377</v>
      </c>
      <c r="E4930" t="s">
        <v>1534</v>
      </c>
      <c r="F4930" t="s">
        <v>75</v>
      </c>
      <c r="I4930" s="6">
        <v>0</v>
      </c>
      <c r="J4930" s="6">
        <v>0</v>
      </c>
      <c r="K4930" s="6">
        <v>0</v>
      </c>
      <c r="L4930" s="6">
        <v>0</v>
      </c>
      <c r="M4930" s="6">
        <v>0</v>
      </c>
      <c r="N4930" s="6">
        <v>0</v>
      </c>
      <c r="O4930" s="6">
        <v>0</v>
      </c>
      <c r="P4930" s="6">
        <v>0</v>
      </c>
      <c r="Q4930">
        <v>1</v>
      </c>
      <c r="R4930">
        <f t="shared" si="380"/>
        <v>0</v>
      </c>
      <c r="S4930">
        <f t="shared" si="381"/>
        <v>1</v>
      </c>
      <c r="T4930">
        <f t="shared" si="382"/>
        <v>0</v>
      </c>
      <c r="U4930">
        <f t="shared" si="383"/>
        <v>0</v>
      </c>
      <c r="V4930">
        <f t="shared" si="384"/>
        <v>0</v>
      </c>
    </row>
    <row r="4931" spans="1:22" x14ac:dyDescent="0.25">
      <c r="A4931">
        <v>4928</v>
      </c>
      <c r="B4931" t="s">
        <v>32</v>
      </c>
      <c r="C4931" t="s">
        <v>1455</v>
      </c>
      <c r="D4931" s="4">
        <v>45377</v>
      </c>
      <c r="E4931" t="s">
        <v>2194</v>
      </c>
      <c r="F4931" t="s">
        <v>75</v>
      </c>
      <c r="I4931" s="6"/>
      <c r="J4931" s="6"/>
      <c r="K4931" s="6"/>
      <c r="L4931" s="6"/>
      <c r="M4931" s="6"/>
      <c r="N4931" s="6"/>
      <c r="O4931" s="6"/>
      <c r="P4931" s="6"/>
      <c r="Q4931">
        <v>0</v>
      </c>
      <c r="R4931">
        <f t="shared" ref="R4931:R4994" si="385">IF(AND(Q4931=1,F4931="ai_full"),1,0)</f>
        <v>0</v>
      </c>
      <c r="S4931">
        <f t="shared" ref="S4931:S4994" si="386">IF(AND(Q4931=1,F4931="conventional"),1,0)</f>
        <v>0</v>
      </c>
      <c r="T4931">
        <f t="shared" ref="T4931:T4994" si="387">SUM(I4931:P4931)</f>
        <v>0</v>
      </c>
      <c r="U4931">
        <f t="shared" ref="U4931:U4994" si="388">IF(T4931&gt;=1,1,0)</f>
        <v>0</v>
      </c>
      <c r="V4931">
        <f t="shared" ref="V4931:V4994" si="389">IF(F4931="ai_full",1,0)</f>
        <v>0</v>
      </c>
    </row>
    <row r="4932" spans="1:22" x14ac:dyDescent="0.25">
      <c r="A4932">
        <v>4929</v>
      </c>
      <c r="B4932" t="s">
        <v>32</v>
      </c>
      <c r="C4932" t="s">
        <v>1455</v>
      </c>
      <c r="D4932" s="4">
        <v>45377</v>
      </c>
      <c r="E4932" t="s">
        <v>2193</v>
      </c>
      <c r="F4932" t="s">
        <v>75</v>
      </c>
      <c r="I4932" s="6"/>
      <c r="J4932" s="6"/>
      <c r="K4932" s="6"/>
      <c r="L4932" s="6"/>
      <c r="M4932" s="6"/>
      <c r="N4932" s="6"/>
      <c r="O4932" s="6"/>
      <c r="P4932" s="6"/>
      <c r="Q4932">
        <v>0</v>
      </c>
      <c r="R4932">
        <f t="shared" si="385"/>
        <v>0</v>
      </c>
      <c r="S4932">
        <f t="shared" si="386"/>
        <v>0</v>
      </c>
      <c r="T4932">
        <f t="shared" si="387"/>
        <v>0</v>
      </c>
      <c r="U4932">
        <f t="shared" si="388"/>
        <v>0</v>
      </c>
      <c r="V4932">
        <f t="shared" si="389"/>
        <v>0</v>
      </c>
    </row>
    <row r="4933" spans="1:22" x14ac:dyDescent="0.25">
      <c r="A4933">
        <v>4930</v>
      </c>
      <c r="B4933" t="s">
        <v>32</v>
      </c>
      <c r="C4933" t="s">
        <v>1455</v>
      </c>
      <c r="D4933" s="4">
        <v>45377</v>
      </c>
      <c r="E4933" t="s">
        <v>2192</v>
      </c>
      <c r="F4933" t="s">
        <v>75</v>
      </c>
      <c r="I4933" s="6"/>
      <c r="J4933" s="6"/>
      <c r="K4933" s="6"/>
      <c r="L4933" s="6"/>
      <c r="M4933" s="6"/>
      <c r="N4933" s="6"/>
      <c r="O4933" s="6"/>
      <c r="P4933" s="6"/>
      <c r="Q4933">
        <v>0</v>
      </c>
      <c r="R4933">
        <f t="shared" si="385"/>
        <v>0</v>
      </c>
      <c r="S4933">
        <f t="shared" si="386"/>
        <v>0</v>
      </c>
      <c r="T4933">
        <f t="shared" si="387"/>
        <v>0</v>
      </c>
      <c r="U4933">
        <f t="shared" si="388"/>
        <v>0</v>
      </c>
      <c r="V4933">
        <f t="shared" si="389"/>
        <v>0</v>
      </c>
    </row>
    <row r="4934" spans="1:22" x14ac:dyDescent="0.25">
      <c r="A4934">
        <v>4931</v>
      </c>
      <c r="B4934" t="s">
        <v>32</v>
      </c>
      <c r="C4934" t="s">
        <v>1455</v>
      </c>
      <c r="D4934" s="4">
        <v>45377</v>
      </c>
      <c r="E4934" t="s">
        <v>2191</v>
      </c>
      <c r="F4934" t="s">
        <v>75</v>
      </c>
      <c r="I4934" s="6"/>
      <c r="J4934" s="6"/>
      <c r="K4934" s="6"/>
      <c r="L4934" s="6"/>
      <c r="M4934" s="6"/>
      <c r="N4934" s="6"/>
      <c r="O4934" s="6"/>
      <c r="P4934" s="6"/>
      <c r="Q4934">
        <v>0</v>
      </c>
      <c r="R4934">
        <f t="shared" si="385"/>
        <v>0</v>
      </c>
      <c r="S4934">
        <f t="shared" si="386"/>
        <v>0</v>
      </c>
      <c r="T4934">
        <f t="shared" si="387"/>
        <v>0</v>
      </c>
      <c r="U4934">
        <f t="shared" si="388"/>
        <v>0</v>
      </c>
      <c r="V4934">
        <f t="shared" si="389"/>
        <v>0</v>
      </c>
    </row>
    <row r="4935" spans="1:22" x14ac:dyDescent="0.25">
      <c r="A4935">
        <v>4932</v>
      </c>
      <c r="B4935" t="s">
        <v>32</v>
      </c>
      <c r="C4935" t="s">
        <v>1455</v>
      </c>
      <c r="D4935" s="4">
        <v>45377</v>
      </c>
      <c r="E4935" t="s">
        <v>2190</v>
      </c>
      <c r="F4935" t="s">
        <v>75</v>
      </c>
      <c r="I4935" s="6"/>
      <c r="J4935" s="6"/>
      <c r="K4935" s="6"/>
      <c r="L4935" s="6"/>
      <c r="M4935" s="6"/>
      <c r="N4935" s="6"/>
      <c r="O4935" s="6"/>
      <c r="P4935" s="6"/>
      <c r="Q4935">
        <v>0</v>
      </c>
      <c r="R4935">
        <f t="shared" si="385"/>
        <v>0</v>
      </c>
      <c r="S4935">
        <f t="shared" si="386"/>
        <v>0</v>
      </c>
      <c r="T4935">
        <f t="shared" si="387"/>
        <v>0</v>
      </c>
      <c r="U4935">
        <f t="shared" si="388"/>
        <v>0</v>
      </c>
      <c r="V4935">
        <f t="shared" si="389"/>
        <v>0</v>
      </c>
    </row>
    <row r="4936" spans="1:22" x14ac:dyDescent="0.25">
      <c r="A4936">
        <v>4933</v>
      </c>
      <c r="B4936" t="s">
        <v>32</v>
      </c>
      <c r="C4936" t="s">
        <v>1455</v>
      </c>
      <c r="D4936" s="4">
        <v>45377</v>
      </c>
      <c r="E4936" t="s">
        <v>2189</v>
      </c>
      <c r="F4936" t="s">
        <v>75</v>
      </c>
      <c r="I4936" s="6"/>
      <c r="J4936" s="6"/>
      <c r="K4936" s="6"/>
      <c r="L4936" s="6"/>
      <c r="M4936" s="6"/>
      <c r="N4936" s="6"/>
      <c r="O4936" s="6"/>
      <c r="P4936" s="6"/>
      <c r="Q4936">
        <v>0</v>
      </c>
      <c r="R4936">
        <f t="shared" si="385"/>
        <v>0</v>
      </c>
      <c r="S4936">
        <f t="shared" si="386"/>
        <v>0</v>
      </c>
      <c r="T4936">
        <f t="shared" si="387"/>
        <v>0</v>
      </c>
      <c r="U4936">
        <f t="shared" si="388"/>
        <v>0</v>
      </c>
      <c r="V4936">
        <f t="shared" si="389"/>
        <v>0</v>
      </c>
    </row>
    <row r="4937" spans="1:22" x14ac:dyDescent="0.25">
      <c r="A4937">
        <v>4934</v>
      </c>
      <c r="B4937" t="s">
        <v>32</v>
      </c>
      <c r="C4937" t="s">
        <v>1455</v>
      </c>
      <c r="D4937" s="4">
        <v>45378</v>
      </c>
      <c r="E4937" t="s">
        <v>438</v>
      </c>
      <c r="F4937" t="s">
        <v>75</v>
      </c>
      <c r="I4937" s="6"/>
      <c r="J4937" s="6"/>
      <c r="K4937" s="6"/>
      <c r="L4937" s="6"/>
      <c r="M4937" s="6"/>
      <c r="N4937" s="6"/>
      <c r="O4937" s="6"/>
      <c r="P4937" s="6"/>
      <c r="Q4937">
        <v>0</v>
      </c>
      <c r="R4937">
        <f t="shared" si="385"/>
        <v>0</v>
      </c>
      <c r="S4937">
        <f t="shared" si="386"/>
        <v>0</v>
      </c>
      <c r="T4937">
        <f t="shared" si="387"/>
        <v>0</v>
      </c>
      <c r="U4937">
        <f t="shared" si="388"/>
        <v>0</v>
      </c>
      <c r="V4937">
        <f t="shared" si="389"/>
        <v>0</v>
      </c>
    </row>
    <row r="4938" spans="1:22" x14ac:dyDescent="0.25">
      <c r="A4938">
        <v>4935</v>
      </c>
      <c r="B4938" t="s">
        <v>32</v>
      </c>
      <c r="C4938" t="s">
        <v>1455</v>
      </c>
      <c r="D4938" s="4">
        <v>45378</v>
      </c>
      <c r="E4938" t="s">
        <v>439</v>
      </c>
      <c r="F4938" t="s">
        <v>75</v>
      </c>
      <c r="I4938" s="6">
        <v>0</v>
      </c>
      <c r="J4938" s="6">
        <v>0</v>
      </c>
      <c r="K4938" s="6">
        <v>1</v>
      </c>
      <c r="L4938" s="6">
        <v>0</v>
      </c>
      <c r="M4938" s="6">
        <v>0</v>
      </c>
      <c r="N4938" s="6">
        <v>0</v>
      </c>
      <c r="O4938" s="6">
        <v>0</v>
      </c>
      <c r="P4938" s="6">
        <v>0</v>
      </c>
      <c r="Q4938">
        <v>1</v>
      </c>
      <c r="R4938">
        <f t="shared" si="385"/>
        <v>0</v>
      </c>
      <c r="S4938">
        <f t="shared" si="386"/>
        <v>1</v>
      </c>
      <c r="T4938">
        <f t="shared" si="387"/>
        <v>1</v>
      </c>
      <c r="U4938">
        <f t="shared" si="388"/>
        <v>1</v>
      </c>
      <c r="V4938">
        <f t="shared" si="389"/>
        <v>0</v>
      </c>
    </row>
    <row r="4939" spans="1:22" x14ac:dyDescent="0.25">
      <c r="A4939">
        <v>4936</v>
      </c>
      <c r="B4939" t="s">
        <v>32</v>
      </c>
      <c r="C4939" t="s">
        <v>1455</v>
      </c>
      <c r="D4939" s="4">
        <v>45378</v>
      </c>
      <c r="E4939" t="s">
        <v>1535</v>
      </c>
      <c r="F4939" t="s">
        <v>75</v>
      </c>
      <c r="I4939" s="6">
        <v>1</v>
      </c>
      <c r="J4939" s="6">
        <v>0</v>
      </c>
      <c r="K4939" s="6">
        <v>1</v>
      </c>
      <c r="L4939" s="6">
        <v>0</v>
      </c>
      <c r="M4939" s="6">
        <v>0</v>
      </c>
      <c r="N4939" s="6">
        <v>0</v>
      </c>
      <c r="O4939" s="6">
        <v>0</v>
      </c>
      <c r="P4939" s="6">
        <v>0</v>
      </c>
      <c r="Q4939">
        <v>1</v>
      </c>
      <c r="R4939">
        <f t="shared" si="385"/>
        <v>0</v>
      </c>
      <c r="S4939">
        <f t="shared" si="386"/>
        <v>1</v>
      </c>
      <c r="T4939">
        <f t="shared" si="387"/>
        <v>2</v>
      </c>
      <c r="U4939">
        <f t="shared" si="388"/>
        <v>1</v>
      </c>
      <c r="V4939">
        <f t="shared" si="389"/>
        <v>0</v>
      </c>
    </row>
    <row r="4940" spans="1:22" x14ac:dyDescent="0.25">
      <c r="A4940">
        <v>4937</v>
      </c>
      <c r="B4940" t="s">
        <v>32</v>
      </c>
      <c r="C4940" t="s">
        <v>1455</v>
      </c>
      <c r="D4940" s="4">
        <v>45378</v>
      </c>
      <c r="E4940" t="s">
        <v>1348</v>
      </c>
      <c r="F4940" t="s">
        <v>75</v>
      </c>
      <c r="I4940" s="6">
        <v>0</v>
      </c>
      <c r="J4940" s="6">
        <v>0</v>
      </c>
      <c r="K4940" s="6">
        <v>0</v>
      </c>
      <c r="L4940" s="6">
        <v>0</v>
      </c>
      <c r="M4940" s="6">
        <v>1</v>
      </c>
      <c r="N4940" s="6">
        <v>0</v>
      </c>
      <c r="O4940" s="6">
        <v>0</v>
      </c>
      <c r="P4940" s="6">
        <v>0</v>
      </c>
      <c r="Q4940">
        <v>1</v>
      </c>
      <c r="R4940">
        <f t="shared" si="385"/>
        <v>0</v>
      </c>
      <c r="S4940">
        <f t="shared" si="386"/>
        <v>1</v>
      </c>
      <c r="T4940">
        <f t="shared" si="387"/>
        <v>1</v>
      </c>
      <c r="U4940">
        <f t="shared" si="388"/>
        <v>1</v>
      </c>
      <c r="V4940">
        <f t="shared" si="389"/>
        <v>0</v>
      </c>
    </row>
    <row r="4941" spans="1:22" x14ac:dyDescent="0.25">
      <c r="A4941">
        <v>4938</v>
      </c>
      <c r="B4941" t="s">
        <v>32</v>
      </c>
      <c r="C4941" t="s">
        <v>1455</v>
      </c>
      <c r="D4941" s="4">
        <v>45378</v>
      </c>
      <c r="E4941" t="s">
        <v>2188</v>
      </c>
      <c r="F4941" t="s">
        <v>75</v>
      </c>
      <c r="I4941" s="6"/>
      <c r="J4941" s="6"/>
      <c r="K4941" s="6"/>
      <c r="L4941" s="6"/>
      <c r="M4941" s="6"/>
      <c r="N4941" s="6"/>
      <c r="O4941" s="6"/>
      <c r="P4941" s="6"/>
      <c r="Q4941">
        <v>0</v>
      </c>
      <c r="R4941">
        <f t="shared" si="385"/>
        <v>0</v>
      </c>
      <c r="S4941">
        <f t="shared" si="386"/>
        <v>0</v>
      </c>
      <c r="T4941">
        <f t="shared" si="387"/>
        <v>0</v>
      </c>
      <c r="U4941">
        <f t="shared" si="388"/>
        <v>0</v>
      </c>
      <c r="V4941">
        <f t="shared" si="389"/>
        <v>0</v>
      </c>
    </row>
    <row r="4942" spans="1:22" x14ac:dyDescent="0.25">
      <c r="A4942">
        <v>4939</v>
      </c>
      <c r="B4942" t="s">
        <v>32</v>
      </c>
      <c r="C4942" t="s">
        <v>1455</v>
      </c>
      <c r="D4942" s="4">
        <v>45378</v>
      </c>
      <c r="E4942" t="s">
        <v>1536</v>
      </c>
      <c r="F4942" t="s">
        <v>75</v>
      </c>
      <c r="I4942" s="6">
        <v>0</v>
      </c>
      <c r="J4942" s="6">
        <v>0</v>
      </c>
      <c r="K4942" s="6">
        <v>1</v>
      </c>
      <c r="L4942" s="6">
        <v>0</v>
      </c>
      <c r="M4942" s="6">
        <v>0</v>
      </c>
      <c r="N4942" s="6">
        <v>1</v>
      </c>
      <c r="O4942" s="6">
        <v>0</v>
      </c>
      <c r="P4942" s="6">
        <v>0</v>
      </c>
      <c r="Q4942">
        <v>1</v>
      </c>
      <c r="R4942">
        <f t="shared" si="385"/>
        <v>0</v>
      </c>
      <c r="S4942">
        <f t="shared" si="386"/>
        <v>1</v>
      </c>
      <c r="T4942">
        <f t="shared" si="387"/>
        <v>2</v>
      </c>
      <c r="U4942">
        <f t="shared" si="388"/>
        <v>1</v>
      </c>
      <c r="V4942">
        <f t="shared" si="389"/>
        <v>0</v>
      </c>
    </row>
    <row r="4943" spans="1:22" x14ac:dyDescent="0.25">
      <c r="A4943">
        <v>4940</v>
      </c>
      <c r="B4943" t="s">
        <v>32</v>
      </c>
      <c r="C4943" t="s">
        <v>1455</v>
      </c>
      <c r="D4943" s="4">
        <v>45378</v>
      </c>
      <c r="E4943" t="s">
        <v>2187</v>
      </c>
      <c r="F4943" t="s">
        <v>75</v>
      </c>
      <c r="I4943" s="6"/>
      <c r="J4943" s="6"/>
      <c r="K4943" s="6"/>
      <c r="L4943" s="6"/>
      <c r="M4943" s="6"/>
      <c r="N4943" s="6"/>
      <c r="O4943" s="6"/>
      <c r="P4943" s="6"/>
      <c r="Q4943">
        <v>0</v>
      </c>
      <c r="R4943">
        <f t="shared" si="385"/>
        <v>0</v>
      </c>
      <c r="S4943">
        <f t="shared" si="386"/>
        <v>0</v>
      </c>
      <c r="T4943">
        <f t="shared" si="387"/>
        <v>0</v>
      </c>
      <c r="U4943">
        <f t="shared" si="388"/>
        <v>0</v>
      </c>
      <c r="V4943">
        <f t="shared" si="389"/>
        <v>0</v>
      </c>
    </row>
    <row r="4944" spans="1:22" x14ac:dyDescent="0.25">
      <c r="A4944">
        <v>4941</v>
      </c>
      <c r="B4944" t="s">
        <v>32</v>
      </c>
      <c r="C4944" t="s">
        <v>1455</v>
      </c>
      <c r="D4944" s="4">
        <v>45378</v>
      </c>
      <c r="E4944" t="s">
        <v>2186</v>
      </c>
      <c r="F4944" t="s">
        <v>75</v>
      </c>
      <c r="I4944" s="6"/>
      <c r="J4944" s="6"/>
      <c r="K4944" s="6"/>
      <c r="L4944" s="6"/>
      <c r="M4944" s="6"/>
      <c r="N4944" s="6"/>
      <c r="O4944" s="6"/>
      <c r="P4944" s="6"/>
      <c r="Q4944">
        <v>0</v>
      </c>
      <c r="R4944">
        <f t="shared" si="385"/>
        <v>0</v>
      </c>
      <c r="S4944">
        <f t="shared" si="386"/>
        <v>0</v>
      </c>
      <c r="T4944">
        <f t="shared" si="387"/>
        <v>0</v>
      </c>
      <c r="U4944">
        <f t="shared" si="388"/>
        <v>0</v>
      </c>
      <c r="V4944">
        <f t="shared" si="389"/>
        <v>0</v>
      </c>
    </row>
    <row r="4945" spans="1:22" x14ac:dyDescent="0.25">
      <c r="A4945">
        <v>4942</v>
      </c>
      <c r="B4945" t="s">
        <v>32</v>
      </c>
      <c r="C4945" t="s">
        <v>1455</v>
      </c>
      <c r="D4945" s="4">
        <v>45379</v>
      </c>
      <c r="E4945" t="s">
        <v>440</v>
      </c>
      <c r="F4945" t="s">
        <v>75</v>
      </c>
      <c r="I4945" s="6">
        <v>0</v>
      </c>
      <c r="J4945" s="6">
        <v>0</v>
      </c>
      <c r="K4945" s="6">
        <v>0</v>
      </c>
      <c r="L4945" s="6">
        <v>0</v>
      </c>
      <c r="M4945" s="6">
        <v>0</v>
      </c>
      <c r="N4945" s="6">
        <v>0</v>
      </c>
      <c r="O4945" s="6">
        <v>0</v>
      </c>
      <c r="P4945" s="6">
        <v>0</v>
      </c>
      <c r="Q4945">
        <v>1</v>
      </c>
      <c r="R4945">
        <f t="shared" si="385"/>
        <v>0</v>
      </c>
      <c r="S4945">
        <f t="shared" si="386"/>
        <v>1</v>
      </c>
      <c r="T4945">
        <f t="shared" si="387"/>
        <v>0</v>
      </c>
      <c r="U4945">
        <f t="shared" si="388"/>
        <v>0</v>
      </c>
      <c r="V4945">
        <f t="shared" si="389"/>
        <v>0</v>
      </c>
    </row>
    <row r="4946" spans="1:22" x14ac:dyDescent="0.25">
      <c r="A4946">
        <v>4943</v>
      </c>
      <c r="B4946" t="s">
        <v>32</v>
      </c>
      <c r="C4946" t="s">
        <v>1455</v>
      </c>
      <c r="D4946" s="4">
        <v>45379</v>
      </c>
      <c r="E4946" t="s">
        <v>441</v>
      </c>
      <c r="F4946" t="s">
        <v>75</v>
      </c>
      <c r="I4946" s="6">
        <v>1</v>
      </c>
      <c r="J4946" s="6">
        <v>0</v>
      </c>
      <c r="K4946" s="6">
        <v>0</v>
      </c>
      <c r="L4946" s="6">
        <v>1</v>
      </c>
      <c r="M4946" s="6">
        <v>0</v>
      </c>
      <c r="N4946" s="6">
        <v>1</v>
      </c>
      <c r="O4946" s="6">
        <v>0</v>
      </c>
      <c r="P4946" s="6">
        <v>0</v>
      </c>
      <c r="Q4946">
        <v>1</v>
      </c>
      <c r="R4946">
        <f t="shared" si="385"/>
        <v>0</v>
      </c>
      <c r="S4946">
        <f t="shared" si="386"/>
        <v>1</v>
      </c>
      <c r="T4946">
        <f t="shared" si="387"/>
        <v>3</v>
      </c>
      <c r="U4946">
        <f t="shared" si="388"/>
        <v>1</v>
      </c>
      <c r="V4946">
        <f t="shared" si="389"/>
        <v>0</v>
      </c>
    </row>
    <row r="4947" spans="1:22" x14ac:dyDescent="0.25">
      <c r="A4947">
        <v>4944</v>
      </c>
      <c r="B4947" t="s">
        <v>32</v>
      </c>
      <c r="C4947" t="s">
        <v>1455</v>
      </c>
      <c r="D4947" s="4">
        <v>45379</v>
      </c>
      <c r="E4947" t="s">
        <v>442</v>
      </c>
      <c r="F4947" t="s">
        <v>75</v>
      </c>
      <c r="I4947" s="6"/>
      <c r="J4947" s="6"/>
      <c r="K4947" s="6"/>
      <c r="L4947" s="6"/>
      <c r="M4947" s="6"/>
      <c r="N4947" s="6"/>
      <c r="O4947" s="6"/>
      <c r="P4947" s="6"/>
      <c r="Q4947">
        <v>0</v>
      </c>
      <c r="R4947">
        <f t="shared" si="385"/>
        <v>0</v>
      </c>
      <c r="S4947">
        <f t="shared" si="386"/>
        <v>0</v>
      </c>
      <c r="T4947">
        <f t="shared" si="387"/>
        <v>0</v>
      </c>
      <c r="U4947">
        <f t="shared" si="388"/>
        <v>0</v>
      </c>
      <c r="V4947">
        <f t="shared" si="389"/>
        <v>0</v>
      </c>
    </row>
    <row r="4948" spans="1:22" x14ac:dyDescent="0.25">
      <c r="A4948">
        <v>4945</v>
      </c>
      <c r="B4948" t="s">
        <v>32</v>
      </c>
      <c r="C4948" t="s">
        <v>1455</v>
      </c>
      <c r="D4948" s="4">
        <v>45379</v>
      </c>
      <c r="E4948" t="s">
        <v>2185</v>
      </c>
      <c r="F4948" t="s">
        <v>75</v>
      </c>
      <c r="I4948" s="6"/>
      <c r="J4948" s="6"/>
      <c r="K4948" s="6"/>
      <c r="L4948" s="6"/>
      <c r="M4948" s="6"/>
      <c r="N4948" s="6"/>
      <c r="O4948" s="6"/>
      <c r="P4948" s="6"/>
      <c r="Q4948">
        <v>0</v>
      </c>
      <c r="R4948">
        <f t="shared" si="385"/>
        <v>0</v>
      </c>
      <c r="S4948">
        <f t="shared" si="386"/>
        <v>0</v>
      </c>
      <c r="T4948">
        <f t="shared" si="387"/>
        <v>0</v>
      </c>
      <c r="U4948">
        <f t="shared" si="388"/>
        <v>0</v>
      </c>
      <c r="V4948">
        <f t="shared" si="389"/>
        <v>0</v>
      </c>
    </row>
    <row r="4949" spans="1:22" x14ac:dyDescent="0.25">
      <c r="A4949">
        <v>4946</v>
      </c>
      <c r="B4949" t="s">
        <v>32</v>
      </c>
      <c r="C4949" t="s">
        <v>1455</v>
      </c>
      <c r="D4949" s="4">
        <v>45379</v>
      </c>
      <c r="E4949" t="s">
        <v>2184</v>
      </c>
      <c r="F4949" t="s">
        <v>75</v>
      </c>
      <c r="I4949" s="6">
        <v>0</v>
      </c>
      <c r="J4949" s="6">
        <v>0</v>
      </c>
      <c r="K4949" s="6">
        <v>0</v>
      </c>
      <c r="L4949" s="6">
        <v>0</v>
      </c>
      <c r="M4949" s="6">
        <v>1</v>
      </c>
      <c r="N4949" s="6">
        <v>1</v>
      </c>
      <c r="O4949" s="6">
        <v>0</v>
      </c>
      <c r="P4949" s="6">
        <v>0</v>
      </c>
      <c r="Q4949">
        <v>1</v>
      </c>
      <c r="R4949">
        <f t="shared" si="385"/>
        <v>0</v>
      </c>
      <c r="S4949">
        <f t="shared" si="386"/>
        <v>1</v>
      </c>
      <c r="T4949">
        <f t="shared" si="387"/>
        <v>2</v>
      </c>
      <c r="U4949">
        <f t="shared" si="388"/>
        <v>1</v>
      </c>
      <c r="V4949">
        <f t="shared" si="389"/>
        <v>0</v>
      </c>
    </row>
    <row r="4950" spans="1:22" x14ac:dyDescent="0.25">
      <c r="A4950">
        <v>4947</v>
      </c>
      <c r="B4950" t="s">
        <v>32</v>
      </c>
      <c r="C4950" t="s">
        <v>1455</v>
      </c>
      <c r="D4950" s="4">
        <v>45379</v>
      </c>
      <c r="E4950" t="s">
        <v>2183</v>
      </c>
      <c r="F4950" t="s">
        <v>75</v>
      </c>
      <c r="I4950" s="6"/>
      <c r="J4950" s="6"/>
      <c r="K4950" s="6"/>
      <c r="L4950" s="6"/>
      <c r="M4950" s="6"/>
      <c r="N4950" s="6"/>
      <c r="O4950" s="6"/>
      <c r="P4950" s="6"/>
      <c r="Q4950">
        <v>0</v>
      </c>
      <c r="R4950">
        <f t="shared" si="385"/>
        <v>0</v>
      </c>
      <c r="S4950">
        <f t="shared" si="386"/>
        <v>0</v>
      </c>
      <c r="T4950">
        <f t="shared" si="387"/>
        <v>0</v>
      </c>
      <c r="U4950">
        <f t="shared" si="388"/>
        <v>0</v>
      </c>
      <c r="V4950">
        <f t="shared" si="389"/>
        <v>0</v>
      </c>
    </row>
    <row r="4951" spans="1:22" x14ac:dyDescent="0.25">
      <c r="A4951">
        <v>4948</v>
      </c>
      <c r="B4951" t="s">
        <v>32</v>
      </c>
      <c r="C4951" t="s">
        <v>1455</v>
      </c>
      <c r="D4951" s="4">
        <v>45379</v>
      </c>
      <c r="E4951" t="s">
        <v>1537</v>
      </c>
      <c r="F4951" t="s">
        <v>75</v>
      </c>
      <c r="I4951" s="6">
        <v>0</v>
      </c>
      <c r="J4951" s="6">
        <v>0</v>
      </c>
      <c r="K4951" s="6">
        <v>1</v>
      </c>
      <c r="L4951" s="6">
        <v>0</v>
      </c>
      <c r="M4951" s="6">
        <v>1</v>
      </c>
      <c r="N4951" s="6">
        <v>0</v>
      </c>
      <c r="O4951" s="6">
        <v>0</v>
      </c>
      <c r="P4951" s="6">
        <v>0</v>
      </c>
      <c r="Q4951">
        <v>1</v>
      </c>
      <c r="R4951">
        <f t="shared" si="385"/>
        <v>0</v>
      </c>
      <c r="S4951">
        <f t="shared" si="386"/>
        <v>1</v>
      </c>
      <c r="T4951">
        <f t="shared" si="387"/>
        <v>2</v>
      </c>
      <c r="U4951">
        <f t="shared" si="388"/>
        <v>1</v>
      </c>
      <c r="V4951">
        <f t="shared" si="389"/>
        <v>0</v>
      </c>
    </row>
    <row r="4952" spans="1:22" x14ac:dyDescent="0.25">
      <c r="A4952">
        <v>4949</v>
      </c>
      <c r="B4952" t="s">
        <v>32</v>
      </c>
      <c r="C4952" t="s">
        <v>1455</v>
      </c>
      <c r="D4952" s="4">
        <v>45380</v>
      </c>
      <c r="E4952" t="s">
        <v>948</v>
      </c>
      <c r="F4952" t="s">
        <v>75</v>
      </c>
      <c r="I4952" s="6">
        <v>0</v>
      </c>
      <c r="J4952" s="6">
        <v>1</v>
      </c>
      <c r="K4952" s="6">
        <v>1</v>
      </c>
      <c r="L4952" s="6">
        <v>1</v>
      </c>
      <c r="M4952" s="6">
        <v>0</v>
      </c>
      <c r="N4952" s="6">
        <v>0</v>
      </c>
      <c r="O4952" s="6">
        <v>0</v>
      </c>
      <c r="P4952" s="6">
        <v>0</v>
      </c>
      <c r="Q4952">
        <v>1</v>
      </c>
      <c r="R4952">
        <f t="shared" si="385"/>
        <v>0</v>
      </c>
      <c r="S4952">
        <f t="shared" si="386"/>
        <v>1</v>
      </c>
      <c r="T4952">
        <f t="shared" si="387"/>
        <v>3</v>
      </c>
      <c r="U4952">
        <f t="shared" si="388"/>
        <v>1</v>
      </c>
      <c r="V4952">
        <f t="shared" si="389"/>
        <v>0</v>
      </c>
    </row>
    <row r="4953" spans="1:22" x14ac:dyDescent="0.25">
      <c r="A4953">
        <v>4950</v>
      </c>
      <c r="B4953" t="s">
        <v>32</v>
      </c>
      <c r="C4953" t="s">
        <v>1455</v>
      </c>
      <c r="D4953" s="4">
        <v>45380</v>
      </c>
      <c r="E4953" t="s">
        <v>443</v>
      </c>
      <c r="F4953" t="s">
        <v>75</v>
      </c>
      <c r="I4953" s="6">
        <v>0</v>
      </c>
      <c r="J4953" s="6">
        <v>0</v>
      </c>
      <c r="K4953" s="6">
        <v>0</v>
      </c>
      <c r="L4953" s="6">
        <v>1</v>
      </c>
      <c r="M4953" s="6">
        <v>0</v>
      </c>
      <c r="N4953" s="6">
        <v>0</v>
      </c>
      <c r="O4953" s="6">
        <v>1</v>
      </c>
      <c r="P4953" s="6">
        <v>0</v>
      </c>
      <c r="Q4953">
        <v>1</v>
      </c>
      <c r="R4953">
        <f t="shared" si="385"/>
        <v>0</v>
      </c>
      <c r="S4953">
        <f t="shared" si="386"/>
        <v>1</v>
      </c>
      <c r="T4953">
        <f t="shared" si="387"/>
        <v>2</v>
      </c>
      <c r="U4953">
        <f t="shared" si="388"/>
        <v>1</v>
      </c>
      <c r="V4953">
        <f t="shared" si="389"/>
        <v>0</v>
      </c>
    </row>
    <row r="4954" spans="1:22" x14ac:dyDescent="0.25">
      <c r="A4954">
        <v>4951</v>
      </c>
      <c r="B4954" t="s">
        <v>32</v>
      </c>
      <c r="C4954" t="s">
        <v>1455</v>
      </c>
      <c r="D4954" s="4">
        <v>45380</v>
      </c>
      <c r="E4954" t="s">
        <v>2040</v>
      </c>
      <c r="F4954" t="s">
        <v>75</v>
      </c>
      <c r="I4954" s="6"/>
      <c r="J4954" s="6"/>
      <c r="K4954" s="6"/>
      <c r="L4954" s="6"/>
      <c r="M4954" s="6"/>
      <c r="N4954" s="6"/>
      <c r="O4954" s="6"/>
      <c r="P4954" s="6"/>
      <c r="Q4954">
        <v>0</v>
      </c>
      <c r="R4954">
        <f t="shared" si="385"/>
        <v>0</v>
      </c>
      <c r="S4954">
        <f t="shared" si="386"/>
        <v>0</v>
      </c>
      <c r="T4954">
        <f t="shared" si="387"/>
        <v>0</v>
      </c>
      <c r="U4954">
        <f t="shared" si="388"/>
        <v>0</v>
      </c>
      <c r="V4954">
        <f t="shared" si="389"/>
        <v>0</v>
      </c>
    </row>
    <row r="4955" spans="1:22" x14ac:dyDescent="0.25">
      <c r="A4955">
        <v>4952</v>
      </c>
      <c r="B4955" t="s">
        <v>32</v>
      </c>
      <c r="C4955" t="s">
        <v>1455</v>
      </c>
      <c r="D4955" s="4">
        <v>45380</v>
      </c>
      <c r="E4955" t="s">
        <v>2039</v>
      </c>
      <c r="F4955" t="s">
        <v>75</v>
      </c>
      <c r="I4955" s="6"/>
      <c r="J4955" s="6"/>
      <c r="K4955" s="6"/>
      <c r="L4955" s="6"/>
      <c r="M4955" s="6"/>
      <c r="N4955" s="6"/>
      <c r="O4955" s="6"/>
      <c r="P4955" s="6"/>
      <c r="Q4955">
        <v>0</v>
      </c>
      <c r="R4955">
        <f t="shared" si="385"/>
        <v>0</v>
      </c>
      <c r="S4955">
        <f t="shared" si="386"/>
        <v>0</v>
      </c>
      <c r="T4955">
        <f t="shared" si="387"/>
        <v>0</v>
      </c>
      <c r="U4955">
        <f t="shared" si="388"/>
        <v>0</v>
      </c>
      <c r="V4955">
        <f t="shared" si="389"/>
        <v>0</v>
      </c>
    </row>
    <row r="4956" spans="1:22" x14ac:dyDescent="0.25">
      <c r="A4956">
        <v>4953</v>
      </c>
      <c r="B4956" t="s">
        <v>32</v>
      </c>
      <c r="C4956" t="s">
        <v>1455</v>
      </c>
      <c r="D4956" s="4">
        <v>45380</v>
      </c>
      <c r="E4956" t="s">
        <v>1538</v>
      </c>
      <c r="F4956" t="s">
        <v>75</v>
      </c>
      <c r="I4956" s="6">
        <v>0</v>
      </c>
      <c r="J4956" s="6">
        <v>0</v>
      </c>
      <c r="K4956" s="6">
        <v>0</v>
      </c>
      <c r="L4956" s="6">
        <v>0</v>
      </c>
      <c r="M4956" s="6">
        <v>0</v>
      </c>
      <c r="N4956" s="6">
        <v>1</v>
      </c>
      <c r="O4956" s="6">
        <v>0</v>
      </c>
      <c r="P4956" s="6">
        <v>0</v>
      </c>
      <c r="Q4956">
        <v>1</v>
      </c>
      <c r="R4956">
        <f t="shared" si="385"/>
        <v>0</v>
      </c>
      <c r="S4956">
        <f t="shared" si="386"/>
        <v>1</v>
      </c>
      <c r="T4956">
        <f t="shared" si="387"/>
        <v>1</v>
      </c>
      <c r="U4956">
        <f t="shared" si="388"/>
        <v>1</v>
      </c>
      <c r="V4956">
        <f t="shared" si="389"/>
        <v>0</v>
      </c>
    </row>
    <row r="4957" spans="1:22" x14ac:dyDescent="0.25">
      <c r="A4957">
        <v>4954</v>
      </c>
      <c r="B4957" t="s">
        <v>32</v>
      </c>
      <c r="C4957" t="s">
        <v>1455</v>
      </c>
      <c r="D4957" s="4">
        <v>45380</v>
      </c>
      <c r="E4957" t="s">
        <v>2182</v>
      </c>
      <c r="F4957" t="s">
        <v>75</v>
      </c>
      <c r="I4957" s="6"/>
      <c r="J4957" s="6"/>
      <c r="K4957" s="6"/>
      <c r="L4957" s="6"/>
      <c r="M4957" s="6"/>
      <c r="N4957" s="6"/>
      <c r="O4957" s="6"/>
      <c r="P4957" s="6"/>
      <c r="Q4957">
        <v>0</v>
      </c>
      <c r="R4957">
        <f t="shared" si="385"/>
        <v>0</v>
      </c>
      <c r="S4957">
        <f t="shared" si="386"/>
        <v>0</v>
      </c>
      <c r="T4957">
        <f t="shared" si="387"/>
        <v>0</v>
      </c>
      <c r="U4957">
        <f t="shared" si="388"/>
        <v>0</v>
      </c>
      <c r="V4957">
        <f t="shared" si="389"/>
        <v>0</v>
      </c>
    </row>
    <row r="4958" spans="1:22" x14ac:dyDescent="0.25">
      <c r="A4958">
        <v>4955</v>
      </c>
      <c r="B4958" t="s">
        <v>32</v>
      </c>
      <c r="C4958" t="s">
        <v>1455</v>
      </c>
      <c r="D4958" s="4">
        <v>45380</v>
      </c>
      <c r="E4958" t="s">
        <v>2181</v>
      </c>
      <c r="F4958" t="s">
        <v>75</v>
      </c>
      <c r="I4958" s="6"/>
      <c r="J4958" s="6"/>
      <c r="K4958" s="6"/>
      <c r="L4958" s="6"/>
      <c r="M4958" s="6"/>
      <c r="N4958" s="6"/>
      <c r="O4958" s="6"/>
      <c r="P4958" s="6"/>
      <c r="Q4958">
        <v>0</v>
      </c>
      <c r="R4958">
        <f t="shared" si="385"/>
        <v>0</v>
      </c>
      <c r="S4958">
        <f t="shared" si="386"/>
        <v>0</v>
      </c>
      <c r="T4958">
        <f t="shared" si="387"/>
        <v>0</v>
      </c>
      <c r="U4958">
        <f t="shared" si="388"/>
        <v>0</v>
      </c>
      <c r="V4958">
        <f t="shared" si="389"/>
        <v>0</v>
      </c>
    </row>
    <row r="4959" spans="1:22" x14ac:dyDescent="0.25">
      <c r="A4959">
        <v>4956</v>
      </c>
      <c r="B4959" t="s">
        <v>32</v>
      </c>
      <c r="C4959" t="s">
        <v>1455</v>
      </c>
      <c r="D4959" s="4">
        <v>45380</v>
      </c>
      <c r="E4959" t="s">
        <v>1539</v>
      </c>
      <c r="F4959" t="s">
        <v>75</v>
      </c>
      <c r="I4959" s="6">
        <v>0</v>
      </c>
      <c r="J4959" s="6">
        <v>0</v>
      </c>
      <c r="K4959" s="6">
        <v>0</v>
      </c>
      <c r="L4959" s="6">
        <v>0</v>
      </c>
      <c r="M4959" s="6">
        <v>0</v>
      </c>
      <c r="N4959" s="6">
        <v>0</v>
      </c>
      <c r="O4959" s="6">
        <v>0</v>
      </c>
      <c r="P4959" s="6">
        <v>0</v>
      </c>
      <c r="Q4959">
        <v>1</v>
      </c>
      <c r="R4959">
        <f t="shared" si="385"/>
        <v>0</v>
      </c>
      <c r="S4959">
        <f t="shared" si="386"/>
        <v>1</v>
      </c>
      <c r="T4959">
        <f t="shared" si="387"/>
        <v>0</v>
      </c>
      <c r="U4959">
        <f t="shared" si="388"/>
        <v>0</v>
      </c>
      <c r="V4959">
        <f t="shared" si="389"/>
        <v>0</v>
      </c>
    </row>
    <row r="4960" spans="1:22" x14ac:dyDescent="0.25">
      <c r="A4960">
        <v>4957</v>
      </c>
      <c r="B4960" t="s">
        <v>32</v>
      </c>
      <c r="C4960" t="s">
        <v>1455</v>
      </c>
      <c r="D4960" s="4">
        <v>45381</v>
      </c>
      <c r="E4960" t="s">
        <v>444</v>
      </c>
      <c r="F4960" t="s">
        <v>413</v>
      </c>
      <c r="G4960">
        <v>239</v>
      </c>
      <c r="I4960" s="6">
        <v>0</v>
      </c>
      <c r="J4960" s="6">
        <v>0</v>
      </c>
      <c r="K4960" s="6">
        <v>0</v>
      </c>
      <c r="L4960" s="6">
        <v>0</v>
      </c>
      <c r="M4960" s="6">
        <v>0</v>
      </c>
      <c r="N4960" s="6">
        <v>1</v>
      </c>
      <c r="O4960" s="6">
        <v>0</v>
      </c>
      <c r="P4960" s="6">
        <v>0</v>
      </c>
      <c r="Q4960">
        <v>1</v>
      </c>
      <c r="R4960">
        <f t="shared" si="385"/>
        <v>1</v>
      </c>
      <c r="S4960">
        <f t="shared" si="386"/>
        <v>0</v>
      </c>
      <c r="T4960">
        <f t="shared" si="387"/>
        <v>1</v>
      </c>
      <c r="U4960">
        <f t="shared" si="388"/>
        <v>1</v>
      </c>
      <c r="V4960">
        <f t="shared" si="389"/>
        <v>1</v>
      </c>
    </row>
    <row r="4961" spans="1:22" x14ac:dyDescent="0.25">
      <c r="A4961">
        <v>4958</v>
      </c>
      <c r="B4961" t="s">
        <v>32</v>
      </c>
      <c r="C4961" t="s">
        <v>1455</v>
      </c>
      <c r="D4961" s="4">
        <v>45381</v>
      </c>
      <c r="E4961" t="s">
        <v>1801</v>
      </c>
      <c r="F4961" t="s">
        <v>75</v>
      </c>
      <c r="I4961" s="6"/>
      <c r="J4961" s="6"/>
      <c r="K4961" s="6"/>
      <c r="L4961" s="6"/>
      <c r="M4961" s="6"/>
      <c r="N4961" s="6"/>
      <c r="O4961" s="6"/>
      <c r="P4961" s="6"/>
      <c r="Q4961">
        <v>0</v>
      </c>
      <c r="R4961">
        <f t="shared" si="385"/>
        <v>0</v>
      </c>
      <c r="S4961">
        <f t="shared" si="386"/>
        <v>0</v>
      </c>
      <c r="T4961">
        <f t="shared" si="387"/>
        <v>0</v>
      </c>
      <c r="U4961">
        <f t="shared" si="388"/>
        <v>0</v>
      </c>
      <c r="V4961">
        <f t="shared" si="389"/>
        <v>0</v>
      </c>
    </row>
    <row r="4962" spans="1:22" x14ac:dyDescent="0.25">
      <c r="A4962">
        <v>4959</v>
      </c>
      <c r="B4962" t="s">
        <v>32</v>
      </c>
      <c r="C4962" t="s">
        <v>1455</v>
      </c>
      <c r="D4962" s="4">
        <v>45381</v>
      </c>
      <c r="E4962" t="s">
        <v>1540</v>
      </c>
      <c r="F4962" t="s">
        <v>75</v>
      </c>
      <c r="I4962" s="6">
        <v>0</v>
      </c>
      <c r="J4962" s="6">
        <v>0</v>
      </c>
      <c r="K4962" s="6">
        <v>1</v>
      </c>
      <c r="L4962" s="6">
        <v>0</v>
      </c>
      <c r="M4962" s="6">
        <v>0</v>
      </c>
      <c r="N4962" s="6">
        <v>0</v>
      </c>
      <c r="O4962" s="6">
        <v>0</v>
      </c>
      <c r="P4962" s="6">
        <v>0</v>
      </c>
      <c r="Q4962">
        <v>1</v>
      </c>
      <c r="R4962">
        <f t="shared" si="385"/>
        <v>0</v>
      </c>
      <c r="S4962">
        <f t="shared" si="386"/>
        <v>1</v>
      </c>
      <c r="T4962">
        <f t="shared" si="387"/>
        <v>1</v>
      </c>
      <c r="U4962">
        <f t="shared" si="388"/>
        <v>1</v>
      </c>
      <c r="V4962">
        <f t="shared" si="389"/>
        <v>0</v>
      </c>
    </row>
    <row r="4963" spans="1:22" x14ac:dyDescent="0.25">
      <c r="A4963">
        <v>4960</v>
      </c>
      <c r="B4963" t="s">
        <v>32</v>
      </c>
      <c r="C4963" t="s">
        <v>1455</v>
      </c>
      <c r="D4963" s="4">
        <v>45381</v>
      </c>
      <c r="E4963" t="s">
        <v>2180</v>
      </c>
      <c r="F4963" t="s">
        <v>75</v>
      </c>
      <c r="I4963" s="6"/>
      <c r="J4963" s="6"/>
      <c r="K4963" s="6"/>
      <c r="L4963" s="6"/>
      <c r="M4963" s="6"/>
      <c r="N4963" s="6"/>
      <c r="O4963" s="6"/>
      <c r="P4963" s="6"/>
      <c r="Q4963">
        <v>0</v>
      </c>
      <c r="R4963">
        <f t="shared" si="385"/>
        <v>0</v>
      </c>
      <c r="S4963">
        <f t="shared" si="386"/>
        <v>0</v>
      </c>
      <c r="T4963">
        <f t="shared" si="387"/>
        <v>0</v>
      </c>
      <c r="U4963">
        <f t="shared" si="388"/>
        <v>0</v>
      </c>
      <c r="V4963">
        <f t="shared" si="389"/>
        <v>0</v>
      </c>
    </row>
    <row r="4964" spans="1:22" x14ac:dyDescent="0.25">
      <c r="A4964">
        <v>4961</v>
      </c>
      <c r="B4964" t="s">
        <v>32</v>
      </c>
      <c r="C4964" t="s">
        <v>1455</v>
      </c>
      <c r="D4964" s="4">
        <v>45381</v>
      </c>
      <c r="E4964" t="s">
        <v>2179</v>
      </c>
      <c r="F4964" t="s">
        <v>75</v>
      </c>
      <c r="I4964" s="6"/>
      <c r="J4964" s="6"/>
      <c r="K4964" s="6"/>
      <c r="L4964" s="6"/>
      <c r="M4964" s="6"/>
      <c r="N4964" s="6"/>
      <c r="O4964" s="6"/>
      <c r="P4964" s="6"/>
      <c r="Q4964">
        <v>0</v>
      </c>
      <c r="R4964">
        <f t="shared" si="385"/>
        <v>0</v>
      </c>
      <c r="S4964">
        <f t="shared" si="386"/>
        <v>0</v>
      </c>
      <c r="T4964">
        <f t="shared" si="387"/>
        <v>0</v>
      </c>
      <c r="U4964">
        <f t="shared" si="388"/>
        <v>0</v>
      </c>
      <c r="V4964">
        <f t="shared" si="389"/>
        <v>0</v>
      </c>
    </row>
    <row r="4965" spans="1:22" x14ac:dyDescent="0.25">
      <c r="A4965">
        <v>4962</v>
      </c>
      <c r="B4965" t="s">
        <v>32</v>
      </c>
      <c r="C4965" t="s">
        <v>1455</v>
      </c>
      <c r="D4965" s="4">
        <v>45381</v>
      </c>
      <c r="E4965" t="s">
        <v>2178</v>
      </c>
      <c r="F4965" t="s">
        <v>75</v>
      </c>
      <c r="I4965" s="6"/>
      <c r="J4965" s="6"/>
      <c r="K4965" s="6"/>
      <c r="L4965" s="6"/>
      <c r="M4965" s="6"/>
      <c r="N4965" s="6"/>
      <c r="O4965" s="6"/>
      <c r="P4965" s="6"/>
      <c r="Q4965">
        <v>0</v>
      </c>
      <c r="R4965">
        <f t="shared" si="385"/>
        <v>0</v>
      </c>
      <c r="S4965">
        <f t="shared" si="386"/>
        <v>0</v>
      </c>
      <c r="T4965">
        <f t="shared" si="387"/>
        <v>0</v>
      </c>
      <c r="U4965">
        <f t="shared" si="388"/>
        <v>0</v>
      </c>
      <c r="V4965">
        <f t="shared" si="389"/>
        <v>0</v>
      </c>
    </row>
    <row r="4966" spans="1:22" x14ac:dyDescent="0.25">
      <c r="A4966">
        <v>4963</v>
      </c>
      <c r="B4966" t="s">
        <v>32</v>
      </c>
      <c r="C4966" t="s">
        <v>1455</v>
      </c>
      <c r="D4966" s="4">
        <v>45382</v>
      </c>
      <c r="E4966" t="s">
        <v>276</v>
      </c>
      <c r="F4966" t="s">
        <v>75</v>
      </c>
      <c r="I4966" s="6"/>
      <c r="J4966" s="6"/>
      <c r="K4966" s="6"/>
      <c r="L4966" s="6"/>
      <c r="M4966" s="6"/>
      <c r="N4966" s="6"/>
      <c r="O4966" s="6"/>
      <c r="P4966" s="6"/>
      <c r="Q4966">
        <v>0</v>
      </c>
      <c r="R4966">
        <f t="shared" si="385"/>
        <v>0</v>
      </c>
      <c r="S4966">
        <f t="shared" si="386"/>
        <v>0</v>
      </c>
      <c r="T4966">
        <f t="shared" si="387"/>
        <v>0</v>
      </c>
      <c r="U4966">
        <f t="shared" si="388"/>
        <v>0</v>
      </c>
      <c r="V4966">
        <f t="shared" si="389"/>
        <v>0</v>
      </c>
    </row>
    <row r="4967" spans="1:22" x14ac:dyDescent="0.25">
      <c r="A4967">
        <v>4964</v>
      </c>
      <c r="B4967" t="s">
        <v>32</v>
      </c>
      <c r="C4967" t="s">
        <v>1455</v>
      </c>
      <c r="D4967" s="4">
        <v>45382</v>
      </c>
      <c r="E4967" t="s">
        <v>277</v>
      </c>
      <c r="F4967" t="s">
        <v>75</v>
      </c>
      <c r="I4967" s="6"/>
      <c r="J4967" s="6"/>
      <c r="K4967" s="6"/>
      <c r="L4967" s="6"/>
      <c r="M4967" s="6"/>
      <c r="N4967" s="6"/>
      <c r="O4967" s="6"/>
      <c r="P4967" s="6"/>
      <c r="Q4967">
        <v>0</v>
      </c>
      <c r="R4967">
        <f t="shared" si="385"/>
        <v>0</v>
      </c>
      <c r="S4967">
        <f t="shared" si="386"/>
        <v>0</v>
      </c>
      <c r="T4967">
        <f t="shared" si="387"/>
        <v>0</v>
      </c>
      <c r="U4967">
        <f t="shared" si="388"/>
        <v>0</v>
      </c>
      <c r="V4967">
        <f t="shared" si="389"/>
        <v>0</v>
      </c>
    </row>
    <row r="4968" spans="1:22" x14ac:dyDescent="0.25">
      <c r="A4968">
        <v>4965</v>
      </c>
      <c r="B4968" t="s">
        <v>32</v>
      </c>
      <c r="C4968" t="s">
        <v>1455</v>
      </c>
      <c r="D4968" s="4">
        <v>45382</v>
      </c>
      <c r="E4968" t="s">
        <v>278</v>
      </c>
      <c r="F4968" t="s">
        <v>75</v>
      </c>
      <c r="I4968" s="6"/>
      <c r="J4968" s="6"/>
      <c r="K4968" s="6"/>
      <c r="L4968" s="6"/>
      <c r="M4968" s="6"/>
      <c r="N4968" s="6"/>
      <c r="O4968" s="6"/>
      <c r="P4968" s="6"/>
      <c r="Q4968">
        <v>0</v>
      </c>
      <c r="R4968">
        <f t="shared" si="385"/>
        <v>0</v>
      </c>
      <c r="S4968">
        <f t="shared" si="386"/>
        <v>0</v>
      </c>
      <c r="T4968">
        <f t="shared" si="387"/>
        <v>0</v>
      </c>
      <c r="U4968">
        <f t="shared" si="388"/>
        <v>0</v>
      </c>
      <c r="V4968">
        <f t="shared" si="389"/>
        <v>0</v>
      </c>
    </row>
    <row r="4969" spans="1:22" x14ac:dyDescent="0.25">
      <c r="A4969">
        <v>4966</v>
      </c>
      <c r="B4969" t="s">
        <v>32</v>
      </c>
      <c r="C4969" t="s">
        <v>1455</v>
      </c>
      <c r="D4969" s="4">
        <v>45382</v>
      </c>
      <c r="E4969" t="s">
        <v>2177</v>
      </c>
      <c r="F4969" t="s">
        <v>75</v>
      </c>
      <c r="I4969" s="6"/>
      <c r="J4969" s="6"/>
      <c r="K4969" s="6"/>
      <c r="L4969" s="6"/>
      <c r="M4969" s="6"/>
      <c r="N4969" s="6"/>
      <c r="O4969" s="6"/>
      <c r="P4969" s="6"/>
      <c r="Q4969">
        <v>0</v>
      </c>
      <c r="R4969">
        <f t="shared" si="385"/>
        <v>0</v>
      </c>
      <c r="S4969">
        <f t="shared" si="386"/>
        <v>0</v>
      </c>
      <c r="T4969">
        <f t="shared" si="387"/>
        <v>0</v>
      </c>
      <c r="U4969">
        <f t="shared" si="388"/>
        <v>0</v>
      </c>
      <c r="V4969">
        <f t="shared" si="389"/>
        <v>0</v>
      </c>
    </row>
    <row r="4970" spans="1:22" x14ac:dyDescent="0.25">
      <c r="A4970">
        <v>4967</v>
      </c>
      <c r="B4970" t="s">
        <v>32</v>
      </c>
      <c r="C4970" t="s">
        <v>1455</v>
      </c>
      <c r="D4970" s="4">
        <v>45382</v>
      </c>
      <c r="E4970" t="s">
        <v>2176</v>
      </c>
      <c r="F4970" t="s">
        <v>75</v>
      </c>
      <c r="I4970" s="6">
        <v>0</v>
      </c>
      <c r="J4970" s="6">
        <v>0</v>
      </c>
      <c r="K4970" s="6">
        <v>0</v>
      </c>
      <c r="L4970" s="6">
        <v>1</v>
      </c>
      <c r="M4970" s="6">
        <v>0</v>
      </c>
      <c r="N4970" s="6">
        <v>0</v>
      </c>
      <c r="O4970" s="6">
        <v>0</v>
      </c>
      <c r="P4970" s="6">
        <v>0</v>
      </c>
      <c r="Q4970">
        <v>1</v>
      </c>
      <c r="R4970">
        <f t="shared" si="385"/>
        <v>0</v>
      </c>
      <c r="S4970">
        <f t="shared" si="386"/>
        <v>1</v>
      </c>
      <c r="T4970">
        <f t="shared" si="387"/>
        <v>1</v>
      </c>
      <c r="U4970">
        <f t="shared" si="388"/>
        <v>1</v>
      </c>
      <c r="V4970">
        <f t="shared" si="389"/>
        <v>0</v>
      </c>
    </row>
    <row r="4971" spans="1:22" x14ac:dyDescent="0.25">
      <c r="A4971">
        <v>4968</v>
      </c>
      <c r="B4971" t="s">
        <v>32</v>
      </c>
      <c r="C4971" t="s">
        <v>1455</v>
      </c>
      <c r="D4971" s="4">
        <v>45383</v>
      </c>
      <c r="E4971" t="s">
        <v>279</v>
      </c>
      <c r="F4971" t="s">
        <v>75</v>
      </c>
      <c r="I4971" s="6">
        <v>0</v>
      </c>
      <c r="J4971" s="6">
        <v>1</v>
      </c>
      <c r="K4971" s="6">
        <v>0</v>
      </c>
      <c r="L4971" s="6">
        <v>0</v>
      </c>
      <c r="M4971" s="6">
        <v>0</v>
      </c>
      <c r="N4971" s="6">
        <v>0</v>
      </c>
      <c r="O4971" s="6">
        <v>0</v>
      </c>
      <c r="P4971" s="6">
        <v>0</v>
      </c>
      <c r="Q4971">
        <v>1</v>
      </c>
      <c r="R4971">
        <f t="shared" si="385"/>
        <v>0</v>
      </c>
      <c r="S4971">
        <f t="shared" si="386"/>
        <v>1</v>
      </c>
      <c r="T4971">
        <f t="shared" si="387"/>
        <v>1</v>
      </c>
      <c r="U4971">
        <f t="shared" si="388"/>
        <v>1</v>
      </c>
      <c r="V4971">
        <f t="shared" si="389"/>
        <v>0</v>
      </c>
    </row>
    <row r="4972" spans="1:22" x14ac:dyDescent="0.25">
      <c r="A4972">
        <v>4969</v>
      </c>
      <c r="B4972" t="s">
        <v>32</v>
      </c>
      <c r="C4972" t="s">
        <v>1455</v>
      </c>
      <c r="D4972" s="4">
        <v>45383</v>
      </c>
      <c r="E4972" t="s">
        <v>863</v>
      </c>
      <c r="F4972" t="s">
        <v>75</v>
      </c>
      <c r="I4972" s="6"/>
      <c r="J4972" s="6"/>
      <c r="K4972" s="6"/>
      <c r="L4972" s="6"/>
      <c r="M4972" s="6"/>
      <c r="N4972" s="6"/>
      <c r="O4972" s="6"/>
      <c r="P4972" s="6"/>
      <c r="Q4972">
        <v>0</v>
      </c>
      <c r="R4972">
        <f t="shared" si="385"/>
        <v>0</v>
      </c>
      <c r="S4972">
        <f t="shared" si="386"/>
        <v>0</v>
      </c>
      <c r="T4972">
        <f t="shared" si="387"/>
        <v>0</v>
      </c>
      <c r="U4972">
        <f t="shared" si="388"/>
        <v>0</v>
      </c>
      <c r="V4972">
        <f t="shared" si="389"/>
        <v>0</v>
      </c>
    </row>
    <row r="4973" spans="1:22" x14ac:dyDescent="0.25">
      <c r="A4973">
        <v>4970</v>
      </c>
      <c r="B4973" t="s">
        <v>32</v>
      </c>
      <c r="C4973" t="s">
        <v>1455</v>
      </c>
      <c r="D4973" s="4">
        <v>45383</v>
      </c>
      <c r="E4973" t="s">
        <v>953</v>
      </c>
      <c r="F4973" t="s">
        <v>75</v>
      </c>
      <c r="I4973" s="6"/>
      <c r="J4973" s="6"/>
      <c r="K4973" s="6"/>
      <c r="L4973" s="6"/>
      <c r="M4973" s="6"/>
      <c r="N4973" s="6"/>
      <c r="O4973" s="6"/>
      <c r="P4973" s="6"/>
      <c r="Q4973">
        <v>0</v>
      </c>
      <c r="R4973">
        <f t="shared" si="385"/>
        <v>0</v>
      </c>
      <c r="S4973">
        <f t="shared" si="386"/>
        <v>0</v>
      </c>
      <c r="T4973">
        <f t="shared" si="387"/>
        <v>0</v>
      </c>
      <c r="U4973">
        <f t="shared" si="388"/>
        <v>0</v>
      </c>
      <c r="V4973">
        <f t="shared" si="389"/>
        <v>0</v>
      </c>
    </row>
    <row r="4974" spans="1:22" x14ac:dyDescent="0.25">
      <c r="A4974">
        <v>4971</v>
      </c>
      <c r="B4974" t="s">
        <v>32</v>
      </c>
      <c r="C4974" t="s">
        <v>1455</v>
      </c>
      <c r="D4974" s="4">
        <v>45383</v>
      </c>
      <c r="E4974" t="s">
        <v>2175</v>
      </c>
      <c r="F4974" t="s">
        <v>75</v>
      </c>
      <c r="I4974" s="6"/>
      <c r="J4974" s="6"/>
      <c r="K4974" s="6"/>
      <c r="L4974" s="6"/>
      <c r="M4974" s="6"/>
      <c r="N4974" s="6"/>
      <c r="O4974" s="6"/>
      <c r="P4974" s="6"/>
      <c r="Q4974">
        <v>0</v>
      </c>
      <c r="R4974">
        <f t="shared" si="385"/>
        <v>0</v>
      </c>
      <c r="S4974">
        <f t="shared" si="386"/>
        <v>0</v>
      </c>
      <c r="T4974">
        <f t="shared" si="387"/>
        <v>0</v>
      </c>
      <c r="U4974">
        <f t="shared" si="388"/>
        <v>0</v>
      </c>
      <c r="V4974">
        <f t="shared" si="389"/>
        <v>0</v>
      </c>
    </row>
    <row r="4975" spans="1:22" x14ac:dyDescent="0.25">
      <c r="A4975">
        <v>4972</v>
      </c>
      <c r="B4975" t="s">
        <v>32</v>
      </c>
      <c r="C4975" t="s">
        <v>1455</v>
      </c>
      <c r="D4975" s="4">
        <v>45384</v>
      </c>
      <c r="E4975" t="s">
        <v>446</v>
      </c>
      <c r="F4975" t="s">
        <v>75</v>
      </c>
      <c r="I4975" s="6">
        <v>0</v>
      </c>
      <c r="J4975" s="6">
        <v>0</v>
      </c>
      <c r="K4975" s="6">
        <v>0</v>
      </c>
      <c r="L4975" s="6">
        <v>0</v>
      </c>
      <c r="M4975" s="6">
        <v>0</v>
      </c>
      <c r="N4975" s="6">
        <v>0</v>
      </c>
      <c r="O4975" s="6">
        <v>0</v>
      </c>
      <c r="P4975" s="6">
        <v>0</v>
      </c>
      <c r="Q4975">
        <v>1</v>
      </c>
      <c r="R4975">
        <f t="shared" si="385"/>
        <v>0</v>
      </c>
      <c r="S4975">
        <f t="shared" si="386"/>
        <v>1</v>
      </c>
      <c r="T4975">
        <f t="shared" si="387"/>
        <v>0</v>
      </c>
      <c r="U4975">
        <f t="shared" si="388"/>
        <v>0</v>
      </c>
      <c r="V4975">
        <f t="shared" si="389"/>
        <v>0</v>
      </c>
    </row>
    <row r="4976" spans="1:22" x14ac:dyDescent="0.25">
      <c r="A4976">
        <v>4973</v>
      </c>
      <c r="B4976" t="s">
        <v>32</v>
      </c>
      <c r="C4976" t="s">
        <v>1455</v>
      </c>
      <c r="D4976" s="4">
        <v>45384</v>
      </c>
      <c r="E4976" t="s">
        <v>447</v>
      </c>
      <c r="F4976" t="s">
        <v>75</v>
      </c>
      <c r="I4976" s="6">
        <v>0</v>
      </c>
      <c r="J4976" s="6">
        <v>0</v>
      </c>
      <c r="K4976" s="6">
        <v>0</v>
      </c>
      <c r="L4976" s="6">
        <v>0</v>
      </c>
      <c r="M4976" s="6">
        <v>1</v>
      </c>
      <c r="N4976" s="6">
        <v>0</v>
      </c>
      <c r="O4976" s="6">
        <v>0</v>
      </c>
      <c r="P4976" s="6">
        <v>0</v>
      </c>
      <c r="Q4976">
        <v>1</v>
      </c>
      <c r="R4976">
        <f t="shared" si="385"/>
        <v>0</v>
      </c>
      <c r="S4976">
        <f t="shared" si="386"/>
        <v>1</v>
      </c>
      <c r="T4976">
        <f t="shared" si="387"/>
        <v>1</v>
      </c>
      <c r="U4976">
        <f t="shared" si="388"/>
        <v>1</v>
      </c>
      <c r="V4976">
        <f t="shared" si="389"/>
        <v>0</v>
      </c>
    </row>
    <row r="4977" spans="1:22" x14ac:dyDescent="0.25">
      <c r="A4977">
        <v>4974</v>
      </c>
      <c r="B4977" t="s">
        <v>32</v>
      </c>
      <c r="C4977" t="s">
        <v>1455</v>
      </c>
      <c r="D4977" s="4">
        <v>45384</v>
      </c>
      <c r="E4977" t="s">
        <v>2038</v>
      </c>
      <c r="F4977" t="s">
        <v>75</v>
      </c>
      <c r="I4977" s="6"/>
      <c r="J4977" s="6"/>
      <c r="K4977" s="6"/>
      <c r="L4977" s="6"/>
      <c r="M4977" s="6"/>
      <c r="N4977" s="6"/>
      <c r="O4977" s="6"/>
      <c r="P4977" s="6"/>
      <c r="Q4977">
        <v>0</v>
      </c>
      <c r="R4977">
        <f t="shared" si="385"/>
        <v>0</v>
      </c>
      <c r="S4977">
        <f t="shared" si="386"/>
        <v>0</v>
      </c>
      <c r="T4977">
        <f t="shared" si="387"/>
        <v>0</v>
      </c>
      <c r="U4977">
        <f t="shared" si="388"/>
        <v>0</v>
      </c>
      <c r="V4977">
        <f t="shared" si="389"/>
        <v>0</v>
      </c>
    </row>
    <row r="4978" spans="1:22" x14ac:dyDescent="0.25">
      <c r="A4978">
        <v>4975</v>
      </c>
      <c r="B4978" t="s">
        <v>32</v>
      </c>
      <c r="C4978" t="s">
        <v>1455</v>
      </c>
      <c r="D4978" s="4">
        <v>45384</v>
      </c>
      <c r="E4978" t="s">
        <v>1541</v>
      </c>
      <c r="F4978" t="s">
        <v>75</v>
      </c>
      <c r="I4978" s="6">
        <v>0</v>
      </c>
      <c r="J4978" s="6">
        <v>1</v>
      </c>
      <c r="K4978" s="6">
        <v>0</v>
      </c>
      <c r="L4978" s="6">
        <v>1</v>
      </c>
      <c r="M4978" s="6">
        <v>0</v>
      </c>
      <c r="N4978" s="6">
        <v>0</v>
      </c>
      <c r="O4978" s="6">
        <v>0</v>
      </c>
      <c r="P4978" s="6">
        <v>0</v>
      </c>
      <c r="Q4978">
        <v>1</v>
      </c>
      <c r="R4978">
        <f t="shared" si="385"/>
        <v>0</v>
      </c>
      <c r="S4978">
        <f t="shared" si="386"/>
        <v>1</v>
      </c>
      <c r="T4978">
        <f t="shared" si="387"/>
        <v>2</v>
      </c>
      <c r="U4978">
        <f t="shared" si="388"/>
        <v>1</v>
      </c>
      <c r="V4978">
        <f t="shared" si="389"/>
        <v>0</v>
      </c>
    </row>
    <row r="4979" spans="1:22" x14ac:dyDescent="0.25">
      <c r="A4979">
        <v>4976</v>
      </c>
      <c r="B4979" t="s">
        <v>32</v>
      </c>
      <c r="C4979" t="s">
        <v>1455</v>
      </c>
      <c r="D4979" s="4">
        <v>45384</v>
      </c>
      <c r="E4979" t="s">
        <v>1542</v>
      </c>
      <c r="F4979" t="s">
        <v>75</v>
      </c>
      <c r="I4979" s="6">
        <v>0</v>
      </c>
      <c r="J4979" s="6">
        <v>0</v>
      </c>
      <c r="K4979" s="6">
        <v>0</v>
      </c>
      <c r="L4979" s="6">
        <v>0</v>
      </c>
      <c r="M4979" s="6">
        <v>0</v>
      </c>
      <c r="N4979" s="6">
        <v>0</v>
      </c>
      <c r="O4979" s="6">
        <v>1</v>
      </c>
      <c r="P4979" s="6">
        <v>0</v>
      </c>
      <c r="Q4979">
        <v>1</v>
      </c>
      <c r="R4979">
        <f t="shared" si="385"/>
        <v>0</v>
      </c>
      <c r="S4979">
        <f t="shared" si="386"/>
        <v>1</v>
      </c>
      <c r="T4979">
        <f t="shared" si="387"/>
        <v>1</v>
      </c>
      <c r="U4979">
        <f t="shared" si="388"/>
        <v>1</v>
      </c>
      <c r="V4979">
        <f t="shared" si="389"/>
        <v>0</v>
      </c>
    </row>
    <row r="4980" spans="1:22" x14ac:dyDescent="0.25">
      <c r="A4980">
        <v>4977</v>
      </c>
      <c r="B4980" t="s">
        <v>32</v>
      </c>
      <c r="C4980" t="s">
        <v>1455</v>
      </c>
      <c r="D4980" s="4">
        <v>45384</v>
      </c>
      <c r="E4980" t="s">
        <v>2174</v>
      </c>
      <c r="F4980" t="s">
        <v>75</v>
      </c>
      <c r="I4980" s="6"/>
      <c r="J4980" s="6"/>
      <c r="K4980" s="6"/>
      <c r="L4980" s="6"/>
      <c r="M4980" s="6"/>
      <c r="N4980" s="6"/>
      <c r="O4980" s="6"/>
      <c r="P4980" s="6"/>
      <c r="Q4980">
        <v>0</v>
      </c>
      <c r="R4980">
        <f t="shared" si="385"/>
        <v>0</v>
      </c>
      <c r="S4980">
        <f t="shared" si="386"/>
        <v>0</v>
      </c>
      <c r="T4980">
        <f t="shared" si="387"/>
        <v>0</v>
      </c>
      <c r="U4980">
        <f t="shared" si="388"/>
        <v>0</v>
      </c>
      <c r="V4980">
        <f t="shared" si="389"/>
        <v>0</v>
      </c>
    </row>
    <row r="4981" spans="1:22" x14ac:dyDescent="0.25">
      <c r="A4981">
        <v>4978</v>
      </c>
      <c r="B4981" t="s">
        <v>32</v>
      </c>
      <c r="C4981" t="s">
        <v>1455</v>
      </c>
      <c r="D4981" s="4">
        <v>45384</v>
      </c>
      <c r="E4981" t="s">
        <v>2173</v>
      </c>
      <c r="F4981" t="s">
        <v>75</v>
      </c>
      <c r="I4981" s="6"/>
      <c r="J4981" s="6"/>
      <c r="K4981" s="6"/>
      <c r="L4981" s="6"/>
      <c r="M4981" s="6"/>
      <c r="N4981" s="6"/>
      <c r="O4981" s="6"/>
      <c r="P4981" s="6"/>
      <c r="Q4981">
        <v>0</v>
      </c>
      <c r="R4981">
        <f t="shared" si="385"/>
        <v>0</v>
      </c>
      <c r="S4981">
        <f t="shared" si="386"/>
        <v>0</v>
      </c>
      <c r="T4981">
        <f t="shared" si="387"/>
        <v>0</v>
      </c>
      <c r="U4981">
        <f t="shared" si="388"/>
        <v>0</v>
      </c>
      <c r="V4981">
        <f t="shared" si="389"/>
        <v>0</v>
      </c>
    </row>
    <row r="4982" spans="1:22" x14ac:dyDescent="0.25">
      <c r="A4982">
        <v>4979</v>
      </c>
      <c r="B4982" t="s">
        <v>32</v>
      </c>
      <c r="C4982" t="s">
        <v>1455</v>
      </c>
      <c r="D4982" s="4">
        <v>45384</v>
      </c>
      <c r="E4982" t="s">
        <v>2172</v>
      </c>
      <c r="F4982" t="s">
        <v>75</v>
      </c>
      <c r="I4982" s="6"/>
      <c r="J4982" s="6"/>
      <c r="K4982" s="6"/>
      <c r="L4982" s="6"/>
      <c r="M4982" s="6"/>
      <c r="N4982" s="6"/>
      <c r="O4982" s="6"/>
      <c r="P4982" s="6"/>
      <c r="Q4982">
        <v>0</v>
      </c>
      <c r="R4982">
        <f t="shared" si="385"/>
        <v>0</v>
      </c>
      <c r="S4982">
        <f t="shared" si="386"/>
        <v>0</v>
      </c>
      <c r="T4982">
        <f t="shared" si="387"/>
        <v>0</v>
      </c>
      <c r="U4982">
        <f t="shared" si="388"/>
        <v>0</v>
      </c>
      <c r="V4982">
        <f t="shared" si="389"/>
        <v>0</v>
      </c>
    </row>
    <row r="4983" spans="1:22" x14ac:dyDescent="0.25">
      <c r="A4983">
        <v>4980</v>
      </c>
      <c r="B4983" t="s">
        <v>32</v>
      </c>
      <c r="C4983" t="s">
        <v>1455</v>
      </c>
      <c r="D4983" s="4">
        <v>45385</v>
      </c>
      <c r="E4983" t="s">
        <v>865</v>
      </c>
      <c r="F4983" t="s">
        <v>75</v>
      </c>
      <c r="I4983" s="6"/>
      <c r="J4983" s="6"/>
      <c r="K4983" s="6"/>
      <c r="L4983" s="6"/>
      <c r="M4983" s="6"/>
      <c r="N4983" s="6"/>
      <c r="O4983" s="6"/>
      <c r="P4983" s="6"/>
      <c r="Q4983">
        <v>0</v>
      </c>
      <c r="R4983">
        <f t="shared" si="385"/>
        <v>0</v>
      </c>
      <c r="S4983">
        <f t="shared" si="386"/>
        <v>0</v>
      </c>
      <c r="T4983">
        <f t="shared" si="387"/>
        <v>0</v>
      </c>
      <c r="U4983">
        <f t="shared" si="388"/>
        <v>0</v>
      </c>
      <c r="V4983">
        <f t="shared" si="389"/>
        <v>0</v>
      </c>
    </row>
    <row r="4984" spans="1:22" x14ac:dyDescent="0.25">
      <c r="A4984">
        <v>4981</v>
      </c>
      <c r="B4984" t="s">
        <v>32</v>
      </c>
      <c r="C4984" t="s">
        <v>1455</v>
      </c>
      <c r="D4984" s="4">
        <v>45385</v>
      </c>
      <c r="E4984" t="s">
        <v>956</v>
      </c>
      <c r="F4984" t="s">
        <v>75</v>
      </c>
      <c r="I4984" s="6"/>
      <c r="J4984" s="6"/>
      <c r="K4984" s="6"/>
      <c r="L4984" s="6"/>
      <c r="M4984" s="6"/>
      <c r="N4984" s="6"/>
      <c r="O4984" s="6"/>
      <c r="P4984" s="6"/>
      <c r="Q4984">
        <v>0</v>
      </c>
      <c r="R4984">
        <f t="shared" si="385"/>
        <v>0</v>
      </c>
      <c r="S4984">
        <f t="shared" si="386"/>
        <v>0</v>
      </c>
      <c r="T4984">
        <f t="shared" si="387"/>
        <v>0</v>
      </c>
      <c r="U4984">
        <f t="shared" si="388"/>
        <v>0</v>
      </c>
      <c r="V4984">
        <f t="shared" si="389"/>
        <v>0</v>
      </c>
    </row>
    <row r="4985" spans="1:22" x14ac:dyDescent="0.25">
      <c r="A4985">
        <v>4982</v>
      </c>
      <c r="B4985" t="s">
        <v>32</v>
      </c>
      <c r="C4985" t="s">
        <v>1455</v>
      </c>
      <c r="D4985" s="4">
        <v>45385</v>
      </c>
      <c r="E4985" t="s">
        <v>2037</v>
      </c>
      <c r="F4985" t="s">
        <v>75</v>
      </c>
      <c r="I4985" s="6"/>
      <c r="J4985" s="6"/>
      <c r="K4985" s="6"/>
      <c r="L4985" s="6"/>
      <c r="M4985" s="6"/>
      <c r="N4985" s="6"/>
      <c r="O4985" s="6"/>
      <c r="P4985" s="6"/>
      <c r="Q4985">
        <v>0</v>
      </c>
      <c r="R4985">
        <f t="shared" si="385"/>
        <v>0</v>
      </c>
      <c r="S4985">
        <f t="shared" si="386"/>
        <v>0</v>
      </c>
      <c r="T4985">
        <f t="shared" si="387"/>
        <v>0</v>
      </c>
      <c r="U4985">
        <f t="shared" si="388"/>
        <v>0</v>
      </c>
      <c r="V4985">
        <f t="shared" si="389"/>
        <v>0</v>
      </c>
    </row>
    <row r="4986" spans="1:22" x14ac:dyDescent="0.25">
      <c r="A4986">
        <v>4983</v>
      </c>
      <c r="B4986" t="s">
        <v>32</v>
      </c>
      <c r="C4986" t="s">
        <v>1455</v>
      </c>
      <c r="D4986" s="4">
        <v>45385</v>
      </c>
      <c r="E4986" t="s">
        <v>1543</v>
      </c>
      <c r="F4986" t="s">
        <v>75</v>
      </c>
      <c r="I4986" s="6">
        <v>0</v>
      </c>
      <c r="J4986" s="6">
        <v>0</v>
      </c>
      <c r="K4986" s="6">
        <v>1</v>
      </c>
      <c r="L4986" s="6">
        <v>0</v>
      </c>
      <c r="M4986" s="6">
        <v>0</v>
      </c>
      <c r="N4986" s="6">
        <v>0</v>
      </c>
      <c r="O4986" s="6">
        <v>0</v>
      </c>
      <c r="P4986" s="6">
        <v>0</v>
      </c>
      <c r="Q4986">
        <v>1</v>
      </c>
      <c r="R4986">
        <f t="shared" si="385"/>
        <v>0</v>
      </c>
      <c r="S4986">
        <f t="shared" si="386"/>
        <v>1</v>
      </c>
      <c r="T4986">
        <f t="shared" si="387"/>
        <v>1</v>
      </c>
      <c r="U4986">
        <f t="shared" si="388"/>
        <v>1</v>
      </c>
      <c r="V4986">
        <f t="shared" si="389"/>
        <v>0</v>
      </c>
    </row>
    <row r="4987" spans="1:22" x14ac:dyDescent="0.25">
      <c r="A4987">
        <v>4984</v>
      </c>
      <c r="B4987" t="s">
        <v>32</v>
      </c>
      <c r="C4987" t="s">
        <v>1455</v>
      </c>
      <c r="D4987" s="4">
        <v>45385</v>
      </c>
      <c r="E4987" t="s">
        <v>1544</v>
      </c>
      <c r="F4987" t="s">
        <v>75</v>
      </c>
      <c r="I4987" s="6">
        <v>0</v>
      </c>
      <c r="J4987" s="6">
        <v>0</v>
      </c>
      <c r="K4987" s="6">
        <v>1</v>
      </c>
      <c r="L4987" s="6">
        <v>0</v>
      </c>
      <c r="M4987" s="6">
        <v>0</v>
      </c>
      <c r="N4987" s="6">
        <v>0</v>
      </c>
      <c r="O4987" s="6">
        <v>0</v>
      </c>
      <c r="P4987" s="6">
        <v>0</v>
      </c>
      <c r="Q4987">
        <v>1</v>
      </c>
      <c r="R4987">
        <f t="shared" si="385"/>
        <v>0</v>
      </c>
      <c r="S4987">
        <f t="shared" si="386"/>
        <v>1</v>
      </c>
      <c r="T4987">
        <f t="shared" si="387"/>
        <v>1</v>
      </c>
      <c r="U4987">
        <f t="shared" si="388"/>
        <v>1</v>
      </c>
      <c r="V4987">
        <f t="shared" si="389"/>
        <v>0</v>
      </c>
    </row>
    <row r="4988" spans="1:22" x14ac:dyDescent="0.25">
      <c r="A4988">
        <v>4985</v>
      </c>
      <c r="B4988" t="s">
        <v>32</v>
      </c>
      <c r="C4988" t="s">
        <v>1455</v>
      </c>
      <c r="D4988" s="4">
        <v>45385</v>
      </c>
      <c r="E4988" t="s">
        <v>2171</v>
      </c>
      <c r="F4988" t="s">
        <v>75</v>
      </c>
      <c r="I4988" s="6"/>
      <c r="J4988" s="6"/>
      <c r="K4988" s="6"/>
      <c r="L4988" s="6"/>
      <c r="M4988" s="6"/>
      <c r="N4988" s="6"/>
      <c r="O4988" s="6"/>
      <c r="P4988" s="6"/>
      <c r="Q4988">
        <v>0</v>
      </c>
      <c r="R4988">
        <f t="shared" si="385"/>
        <v>0</v>
      </c>
      <c r="S4988">
        <f t="shared" si="386"/>
        <v>0</v>
      </c>
      <c r="T4988">
        <f t="shared" si="387"/>
        <v>0</v>
      </c>
      <c r="U4988">
        <f t="shared" si="388"/>
        <v>0</v>
      </c>
      <c r="V4988">
        <f t="shared" si="389"/>
        <v>0</v>
      </c>
    </row>
    <row r="4989" spans="1:22" x14ac:dyDescent="0.25">
      <c r="A4989">
        <v>4986</v>
      </c>
      <c r="B4989" t="s">
        <v>32</v>
      </c>
      <c r="C4989" t="s">
        <v>1455</v>
      </c>
      <c r="D4989" s="4">
        <v>45385</v>
      </c>
      <c r="E4989" t="s">
        <v>2170</v>
      </c>
      <c r="F4989" t="s">
        <v>75</v>
      </c>
      <c r="I4989" s="6"/>
      <c r="J4989" s="6"/>
      <c r="K4989" s="6"/>
      <c r="L4989" s="6"/>
      <c r="M4989" s="6"/>
      <c r="N4989" s="6"/>
      <c r="O4989" s="6"/>
      <c r="P4989" s="6"/>
      <c r="Q4989">
        <v>0</v>
      </c>
      <c r="R4989">
        <f t="shared" si="385"/>
        <v>0</v>
      </c>
      <c r="S4989">
        <f t="shared" si="386"/>
        <v>0</v>
      </c>
      <c r="T4989">
        <f t="shared" si="387"/>
        <v>0</v>
      </c>
      <c r="U4989">
        <f t="shared" si="388"/>
        <v>0</v>
      </c>
      <c r="V4989">
        <f t="shared" si="389"/>
        <v>0</v>
      </c>
    </row>
    <row r="4990" spans="1:22" x14ac:dyDescent="0.25">
      <c r="A4990">
        <v>4987</v>
      </c>
      <c r="B4990" t="s">
        <v>32</v>
      </c>
      <c r="C4990" t="s">
        <v>1455</v>
      </c>
      <c r="D4990" s="4">
        <v>45386</v>
      </c>
      <c r="E4990" t="s">
        <v>281</v>
      </c>
      <c r="F4990" t="s">
        <v>75</v>
      </c>
      <c r="I4990" s="6"/>
      <c r="J4990" s="6"/>
      <c r="K4990" s="6"/>
      <c r="L4990" s="6"/>
      <c r="M4990" s="6"/>
      <c r="N4990" s="6"/>
      <c r="O4990" s="6"/>
      <c r="P4990" s="6"/>
      <c r="Q4990">
        <v>0</v>
      </c>
      <c r="R4990">
        <f t="shared" si="385"/>
        <v>0</v>
      </c>
      <c r="S4990">
        <f t="shared" si="386"/>
        <v>0</v>
      </c>
      <c r="T4990">
        <f t="shared" si="387"/>
        <v>0</v>
      </c>
      <c r="U4990">
        <f t="shared" si="388"/>
        <v>0</v>
      </c>
      <c r="V4990">
        <f t="shared" si="389"/>
        <v>0</v>
      </c>
    </row>
    <row r="4991" spans="1:22" x14ac:dyDescent="0.25">
      <c r="A4991">
        <v>4988</v>
      </c>
      <c r="B4991" t="s">
        <v>32</v>
      </c>
      <c r="C4991" t="s">
        <v>1455</v>
      </c>
      <c r="D4991" s="4">
        <v>45386</v>
      </c>
      <c r="E4991" t="s">
        <v>282</v>
      </c>
      <c r="F4991" t="s">
        <v>75</v>
      </c>
      <c r="I4991" s="6"/>
      <c r="J4991" s="6"/>
      <c r="K4991" s="6"/>
      <c r="L4991" s="6"/>
      <c r="M4991" s="6"/>
      <c r="N4991" s="6"/>
      <c r="O4991" s="6"/>
      <c r="P4991" s="6"/>
      <c r="Q4991">
        <v>0</v>
      </c>
      <c r="R4991">
        <f t="shared" si="385"/>
        <v>0</v>
      </c>
      <c r="S4991">
        <f t="shared" si="386"/>
        <v>0</v>
      </c>
      <c r="T4991">
        <f t="shared" si="387"/>
        <v>0</v>
      </c>
      <c r="U4991">
        <f t="shared" si="388"/>
        <v>0</v>
      </c>
      <c r="V4991">
        <f t="shared" si="389"/>
        <v>0</v>
      </c>
    </row>
    <row r="4992" spans="1:22" x14ac:dyDescent="0.25">
      <c r="A4992">
        <v>4989</v>
      </c>
      <c r="B4992" t="s">
        <v>32</v>
      </c>
      <c r="C4992" t="s">
        <v>1455</v>
      </c>
      <c r="D4992" s="4">
        <v>45386</v>
      </c>
      <c r="E4992" t="s">
        <v>958</v>
      </c>
      <c r="F4992" t="s">
        <v>75</v>
      </c>
      <c r="I4992" s="6"/>
      <c r="J4992" s="6"/>
      <c r="K4992" s="6"/>
      <c r="L4992" s="6"/>
      <c r="M4992" s="6"/>
      <c r="N4992" s="6"/>
      <c r="O4992" s="6"/>
      <c r="P4992" s="6"/>
      <c r="Q4992">
        <v>0</v>
      </c>
      <c r="R4992">
        <f t="shared" si="385"/>
        <v>0</v>
      </c>
      <c r="S4992">
        <f t="shared" si="386"/>
        <v>0</v>
      </c>
      <c r="T4992">
        <f t="shared" si="387"/>
        <v>0</v>
      </c>
      <c r="U4992">
        <f t="shared" si="388"/>
        <v>0</v>
      </c>
      <c r="V4992">
        <f t="shared" si="389"/>
        <v>0</v>
      </c>
    </row>
    <row r="4993" spans="1:22" x14ac:dyDescent="0.25">
      <c r="A4993">
        <v>4990</v>
      </c>
      <c r="B4993" t="s">
        <v>32</v>
      </c>
      <c r="C4993" t="s">
        <v>1455</v>
      </c>
      <c r="D4993" s="4">
        <v>45386</v>
      </c>
      <c r="E4993" t="s">
        <v>1545</v>
      </c>
      <c r="F4993" t="s">
        <v>75</v>
      </c>
      <c r="I4993" s="6">
        <v>0</v>
      </c>
      <c r="J4993" s="6">
        <v>0</v>
      </c>
      <c r="K4993" s="6">
        <v>0</v>
      </c>
      <c r="L4993" s="6">
        <v>0</v>
      </c>
      <c r="M4993" s="6">
        <v>1</v>
      </c>
      <c r="N4993" s="6">
        <v>0</v>
      </c>
      <c r="O4993" s="6">
        <v>0</v>
      </c>
      <c r="P4993" s="6">
        <v>0</v>
      </c>
      <c r="Q4993">
        <v>1</v>
      </c>
      <c r="R4993">
        <f t="shared" si="385"/>
        <v>0</v>
      </c>
      <c r="S4993">
        <f t="shared" si="386"/>
        <v>1</v>
      </c>
      <c r="T4993">
        <f t="shared" si="387"/>
        <v>1</v>
      </c>
      <c r="U4993">
        <f t="shared" si="388"/>
        <v>1</v>
      </c>
      <c r="V4993">
        <f t="shared" si="389"/>
        <v>0</v>
      </c>
    </row>
    <row r="4994" spans="1:22" x14ac:dyDescent="0.25">
      <c r="A4994">
        <v>4991</v>
      </c>
      <c r="B4994" t="s">
        <v>32</v>
      </c>
      <c r="C4994" t="s">
        <v>1455</v>
      </c>
      <c r="D4994" s="4">
        <v>45386</v>
      </c>
      <c r="E4994" t="s">
        <v>2169</v>
      </c>
      <c r="F4994" t="s">
        <v>75</v>
      </c>
      <c r="I4994" s="6"/>
      <c r="J4994" s="6"/>
      <c r="K4994" s="6"/>
      <c r="L4994" s="6"/>
      <c r="M4994" s="6"/>
      <c r="N4994" s="6"/>
      <c r="O4994" s="6"/>
      <c r="P4994" s="6"/>
      <c r="Q4994">
        <v>0</v>
      </c>
      <c r="R4994">
        <f t="shared" si="385"/>
        <v>0</v>
      </c>
      <c r="S4994">
        <f t="shared" si="386"/>
        <v>0</v>
      </c>
      <c r="T4994">
        <f t="shared" si="387"/>
        <v>0</v>
      </c>
      <c r="U4994">
        <f t="shared" si="388"/>
        <v>0</v>
      </c>
      <c r="V4994">
        <f t="shared" si="389"/>
        <v>0</v>
      </c>
    </row>
    <row r="4995" spans="1:22" x14ac:dyDescent="0.25">
      <c r="A4995">
        <v>4992</v>
      </c>
      <c r="B4995" t="s">
        <v>32</v>
      </c>
      <c r="C4995" t="s">
        <v>1455</v>
      </c>
      <c r="D4995" s="4">
        <v>45386</v>
      </c>
      <c r="E4995" t="s">
        <v>1131</v>
      </c>
      <c r="F4995" t="s">
        <v>75</v>
      </c>
      <c r="I4995" s="6"/>
      <c r="J4995" s="6"/>
      <c r="K4995" s="6"/>
      <c r="L4995" s="6"/>
      <c r="M4995" s="6"/>
      <c r="N4995" s="6"/>
      <c r="O4995" s="6"/>
      <c r="P4995" s="6"/>
      <c r="Q4995">
        <v>0</v>
      </c>
      <c r="R4995">
        <f t="shared" ref="R4995:R5058" si="390">IF(AND(Q4995=1,F4995="ai_full"),1,0)</f>
        <v>0</v>
      </c>
      <c r="S4995">
        <f t="shared" ref="S4995:S5058" si="391">IF(AND(Q4995=1,F4995="conventional"),1,0)</f>
        <v>0</v>
      </c>
      <c r="T4995">
        <f t="shared" ref="T4995:T5058" si="392">SUM(I4995:P4995)</f>
        <v>0</v>
      </c>
      <c r="U4995">
        <f t="shared" ref="U4995:U5058" si="393">IF(T4995&gt;=1,1,0)</f>
        <v>0</v>
      </c>
      <c r="V4995">
        <f t="shared" ref="V4995:V5058" si="394">IF(F4995="ai_full",1,0)</f>
        <v>0</v>
      </c>
    </row>
    <row r="4996" spans="1:22" x14ac:dyDescent="0.25">
      <c r="A4996">
        <v>4993</v>
      </c>
      <c r="B4996" t="s">
        <v>32</v>
      </c>
      <c r="C4996" t="s">
        <v>1455</v>
      </c>
      <c r="D4996" s="4">
        <v>45387</v>
      </c>
      <c r="E4996" t="s">
        <v>283</v>
      </c>
      <c r="F4996" t="s">
        <v>75</v>
      </c>
      <c r="I4996" s="6"/>
      <c r="J4996" s="6"/>
      <c r="K4996" s="6"/>
      <c r="L4996" s="6"/>
      <c r="M4996" s="6"/>
      <c r="N4996" s="6"/>
      <c r="O4996" s="6"/>
      <c r="P4996" s="6"/>
      <c r="Q4996">
        <v>0</v>
      </c>
      <c r="R4996">
        <f t="shared" si="390"/>
        <v>0</v>
      </c>
      <c r="S4996">
        <f t="shared" si="391"/>
        <v>0</v>
      </c>
      <c r="T4996">
        <f t="shared" si="392"/>
        <v>0</v>
      </c>
      <c r="U4996">
        <f t="shared" si="393"/>
        <v>0</v>
      </c>
      <c r="V4996">
        <f t="shared" si="394"/>
        <v>0</v>
      </c>
    </row>
    <row r="4997" spans="1:22" x14ac:dyDescent="0.25">
      <c r="A4997">
        <v>4994</v>
      </c>
      <c r="B4997" t="s">
        <v>32</v>
      </c>
      <c r="C4997" t="s">
        <v>1455</v>
      </c>
      <c r="D4997" s="4">
        <v>45387</v>
      </c>
      <c r="E4997" t="s">
        <v>284</v>
      </c>
      <c r="F4997" t="s">
        <v>75</v>
      </c>
      <c r="I4997" s="6"/>
      <c r="J4997" s="6"/>
      <c r="K4997" s="6"/>
      <c r="L4997" s="6"/>
      <c r="M4997" s="6"/>
      <c r="N4997" s="6"/>
      <c r="O4997" s="6"/>
      <c r="P4997" s="6"/>
      <c r="Q4997">
        <v>0</v>
      </c>
      <c r="R4997">
        <f t="shared" si="390"/>
        <v>0</v>
      </c>
      <c r="S4997">
        <f t="shared" si="391"/>
        <v>0</v>
      </c>
      <c r="T4997">
        <f t="shared" si="392"/>
        <v>0</v>
      </c>
      <c r="U4997">
        <f t="shared" si="393"/>
        <v>0</v>
      </c>
      <c r="V4997">
        <f t="shared" si="394"/>
        <v>0</v>
      </c>
    </row>
    <row r="4998" spans="1:22" x14ac:dyDescent="0.25">
      <c r="A4998">
        <v>4995</v>
      </c>
      <c r="B4998" t="s">
        <v>32</v>
      </c>
      <c r="C4998" t="s">
        <v>1455</v>
      </c>
      <c r="D4998" s="4">
        <v>45387</v>
      </c>
      <c r="E4998" t="s">
        <v>449</v>
      </c>
      <c r="F4998" t="s">
        <v>75</v>
      </c>
      <c r="I4998" s="6">
        <v>0</v>
      </c>
      <c r="J4998" s="6">
        <v>1</v>
      </c>
      <c r="K4998" s="6">
        <v>1</v>
      </c>
      <c r="L4998" s="6">
        <v>1</v>
      </c>
      <c r="M4998" s="6">
        <v>0</v>
      </c>
      <c r="N4998" s="6">
        <v>0</v>
      </c>
      <c r="O4998" s="6">
        <v>1</v>
      </c>
      <c r="P4998" s="6">
        <v>0</v>
      </c>
      <c r="Q4998">
        <v>1</v>
      </c>
      <c r="R4998">
        <f t="shared" si="390"/>
        <v>0</v>
      </c>
      <c r="S4998">
        <f t="shared" si="391"/>
        <v>1</v>
      </c>
      <c r="T4998">
        <f t="shared" si="392"/>
        <v>4</v>
      </c>
      <c r="U4998">
        <f t="shared" si="393"/>
        <v>1</v>
      </c>
      <c r="V4998">
        <f t="shared" si="394"/>
        <v>0</v>
      </c>
    </row>
    <row r="4999" spans="1:22" x14ac:dyDescent="0.25">
      <c r="A4999">
        <v>4996</v>
      </c>
      <c r="B4999" t="s">
        <v>32</v>
      </c>
      <c r="C4999" t="s">
        <v>1455</v>
      </c>
      <c r="D4999" s="4">
        <v>45387</v>
      </c>
      <c r="E4999" t="s">
        <v>1475</v>
      </c>
      <c r="F4999" t="s">
        <v>75</v>
      </c>
      <c r="I4999" s="6"/>
      <c r="J4999" s="6"/>
      <c r="K4999" s="6"/>
      <c r="L4999" s="6"/>
      <c r="M4999" s="6"/>
      <c r="N4999" s="6"/>
      <c r="O4999" s="6"/>
      <c r="P4999" s="6"/>
      <c r="Q4999">
        <v>0</v>
      </c>
      <c r="R4999">
        <f t="shared" si="390"/>
        <v>0</v>
      </c>
      <c r="S4999">
        <f t="shared" si="391"/>
        <v>0</v>
      </c>
      <c r="T4999">
        <f t="shared" si="392"/>
        <v>0</v>
      </c>
      <c r="U4999">
        <f t="shared" si="393"/>
        <v>0</v>
      </c>
      <c r="V4999">
        <f t="shared" si="394"/>
        <v>0</v>
      </c>
    </row>
    <row r="5000" spans="1:22" x14ac:dyDescent="0.25">
      <c r="A5000">
        <v>4997</v>
      </c>
      <c r="B5000" t="s">
        <v>32</v>
      </c>
      <c r="C5000" t="s">
        <v>1455</v>
      </c>
      <c r="D5000" s="4">
        <v>45387</v>
      </c>
      <c r="E5000" t="s">
        <v>1546</v>
      </c>
      <c r="F5000" t="s">
        <v>75</v>
      </c>
      <c r="I5000" s="6">
        <v>0</v>
      </c>
      <c r="J5000" s="6">
        <v>0</v>
      </c>
      <c r="K5000" s="6">
        <v>0</v>
      </c>
      <c r="L5000" s="6">
        <v>0</v>
      </c>
      <c r="M5000" s="6">
        <v>0</v>
      </c>
      <c r="N5000" s="6">
        <v>0</v>
      </c>
      <c r="O5000" s="6">
        <v>1</v>
      </c>
      <c r="P5000" s="6">
        <v>0</v>
      </c>
      <c r="Q5000">
        <v>1</v>
      </c>
      <c r="R5000">
        <f t="shared" si="390"/>
        <v>0</v>
      </c>
      <c r="S5000">
        <f t="shared" si="391"/>
        <v>1</v>
      </c>
      <c r="T5000">
        <f t="shared" si="392"/>
        <v>1</v>
      </c>
      <c r="U5000">
        <f t="shared" si="393"/>
        <v>1</v>
      </c>
      <c r="V5000">
        <f t="shared" si="394"/>
        <v>0</v>
      </c>
    </row>
    <row r="5001" spans="1:22" x14ac:dyDescent="0.25">
      <c r="A5001">
        <v>4998</v>
      </c>
      <c r="B5001" t="s">
        <v>32</v>
      </c>
      <c r="C5001" t="s">
        <v>1455</v>
      </c>
      <c r="D5001" s="4">
        <v>45387</v>
      </c>
      <c r="E5001" t="s">
        <v>1356</v>
      </c>
      <c r="F5001" t="s">
        <v>75</v>
      </c>
      <c r="I5001" s="6"/>
      <c r="J5001" s="6"/>
      <c r="K5001" s="6"/>
      <c r="L5001" s="6"/>
      <c r="M5001" s="6"/>
      <c r="N5001" s="6"/>
      <c r="O5001" s="6"/>
      <c r="P5001" s="6"/>
      <c r="Q5001">
        <v>0</v>
      </c>
      <c r="R5001">
        <f t="shared" si="390"/>
        <v>0</v>
      </c>
      <c r="S5001">
        <f t="shared" si="391"/>
        <v>0</v>
      </c>
      <c r="T5001">
        <f t="shared" si="392"/>
        <v>0</v>
      </c>
      <c r="U5001">
        <f t="shared" si="393"/>
        <v>0</v>
      </c>
      <c r="V5001">
        <f t="shared" si="394"/>
        <v>0</v>
      </c>
    </row>
    <row r="5002" spans="1:22" x14ac:dyDescent="0.25">
      <c r="A5002">
        <v>4999</v>
      </c>
      <c r="B5002" t="s">
        <v>32</v>
      </c>
      <c r="C5002" t="s">
        <v>1455</v>
      </c>
      <c r="D5002" s="4">
        <v>45387</v>
      </c>
      <c r="E5002" t="s">
        <v>2168</v>
      </c>
      <c r="F5002" t="s">
        <v>75</v>
      </c>
      <c r="I5002" s="6">
        <v>0</v>
      </c>
      <c r="J5002" s="6">
        <v>0</v>
      </c>
      <c r="K5002" s="6">
        <v>0</v>
      </c>
      <c r="L5002" s="6">
        <v>0</v>
      </c>
      <c r="M5002" s="6">
        <v>0</v>
      </c>
      <c r="N5002" s="6">
        <v>0</v>
      </c>
      <c r="O5002" s="6">
        <v>0</v>
      </c>
      <c r="P5002" s="6">
        <v>0</v>
      </c>
      <c r="Q5002">
        <v>1</v>
      </c>
      <c r="R5002">
        <f t="shared" si="390"/>
        <v>0</v>
      </c>
      <c r="S5002">
        <f t="shared" si="391"/>
        <v>1</v>
      </c>
      <c r="T5002">
        <f t="shared" si="392"/>
        <v>0</v>
      </c>
      <c r="U5002">
        <f t="shared" si="393"/>
        <v>0</v>
      </c>
      <c r="V5002">
        <f t="shared" si="394"/>
        <v>0</v>
      </c>
    </row>
    <row r="5003" spans="1:22" x14ac:dyDescent="0.25">
      <c r="A5003">
        <v>5000</v>
      </c>
      <c r="B5003" t="s">
        <v>32</v>
      </c>
      <c r="C5003" t="s">
        <v>1455</v>
      </c>
      <c r="D5003" s="4">
        <v>45388</v>
      </c>
      <c r="E5003" t="s">
        <v>1057</v>
      </c>
      <c r="F5003" t="s">
        <v>75</v>
      </c>
      <c r="I5003" s="6">
        <v>0</v>
      </c>
      <c r="J5003" s="6">
        <v>0</v>
      </c>
      <c r="K5003" s="6">
        <v>0</v>
      </c>
      <c r="L5003" s="6">
        <v>0</v>
      </c>
      <c r="M5003" s="6">
        <v>0</v>
      </c>
      <c r="N5003" s="6">
        <v>0</v>
      </c>
      <c r="O5003" s="6">
        <v>0</v>
      </c>
      <c r="P5003" s="6">
        <v>0</v>
      </c>
      <c r="Q5003">
        <v>1</v>
      </c>
      <c r="R5003">
        <f t="shared" si="390"/>
        <v>0</v>
      </c>
      <c r="S5003">
        <f t="shared" si="391"/>
        <v>1</v>
      </c>
      <c r="T5003">
        <f t="shared" si="392"/>
        <v>0</v>
      </c>
      <c r="U5003">
        <f t="shared" si="393"/>
        <v>0</v>
      </c>
      <c r="V5003">
        <f t="shared" si="394"/>
        <v>0</v>
      </c>
    </row>
    <row r="5004" spans="1:22" x14ac:dyDescent="0.25">
      <c r="A5004">
        <v>5001</v>
      </c>
      <c r="B5004" t="s">
        <v>32</v>
      </c>
      <c r="C5004" t="s">
        <v>1455</v>
      </c>
      <c r="D5004" s="4">
        <v>45388</v>
      </c>
      <c r="E5004" t="s">
        <v>1222</v>
      </c>
      <c r="F5004" t="s">
        <v>75</v>
      </c>
      <c r="I5004" s="6">
        <v>0</v>
      </c>
      <c r="J5004" s="6">
        <v>0</v>
      </c>
      <c r="K5004" s="6">
        <v>0</v>
      </c>
      <c r="L5004" s="6">
        <v>0</v>
      </c>
      <c r="M5004" s="6">
        <v>1</v>
      </c>
      <c r="N5004" s="6">
        <v>0</v>
      </c>
      <c r="O5004" s="6">
        <v>0</v>
      </c>
      <c r="P5004" s="6">
        <v>0</v>
      </c>
      <c r="Q5004">
        <v>1</v>
      </c>
      <c r="R5004">
        <f t="shared" si="390"/>
        <v>0</v>
      </c>
      <c r="S5004">
        <f t="shared" si="391"/>
        <v>1</v>
      </c>
      <c r="T5004">
        <f t="shared" si="392"/>
        <v>1</v>
      </c>
      <c r="U5004">
        <f t="shared" si="393"/>
        <v>1</v>
      </c>
      <c r="V5004">
        <f t="shared" si="394"/>
        <v>0</v>
      </c>
    </row>
    <row r="5005" spans="1:22" x14ac:dyDescent="0.25">
      <c r="A5005">
        <v>5002</v>
      </c>
      <c r="B5005" t="s">
        <v>32</v>
      </c>
      <c r="C5005" t="s">
        <v>1455</v>
      </c>
      <c r="D5005" s="4">
        <v>45388</v>
      </c>
      <c r="E5005" t="s">
        <v>1058</v>
      </c>
      <c r="F5005" t="s">
        <v>75</v>
      </c>
      <c r="I5005" s="6"/>
      <c r="J5005" s="6"/>
      <c r="K5005" s="6"/>
      <c r="L5005" s="6"/>
      <c r="M5005" s="6"/>
      <c r="N5005" s="6"/>
      <c r="O5005" s="6"/>
      <c r="P5005" s="6"/>
      <c r="Q5005">
        <v>0</v>
      </c>
      <c r="R5005">
        <f t="shared" si="390"/>
        <v>0</v>
      </c>
      <c r="S5005">
        <f t="shared" si="391"/>
        <v>0</v>
      </c>
      <c r="T5005">
        <f t="shared" si="392"/>
        <v>0</v>
      </c>
      <c r="U5005">
        <f t="shared" si="393"/>
        <v>0</v>
      </c>
      <c r="V5005">
        <f t="shared" si="394"/>
        <v>0</v>
      </c>
    </row>
    <row r="5006" spans="1:22" x14ac:dyDescent="0.25">
      <c r="A5006">
        <v>5003</v>
      </c>
      <c r="B5006" t="s">
        <v>32</v>
      </c>
      <c r="C5006" t="s">
        <v>1455</v>
      </c>
      <c r="D5006" s="4">
        <v>45388</v>
      </c>
      <c r="E5006" t="s">
        <v>2167</v>
      </c>
      <c r="F5006" t="s">
        <v>75</v>
      </c>
      <c r="I5006" s="6">
        <v>0</v>
      </c>
      <c r="J5006" s="6">
        <v>0</v>
      </c>
      <c r="K5006" s="6">
        <v>1</v>
      </c>
      <c r="L5006" s="6">
        <v>0</v>
      </c>
      <c r="M5006" s="6">
        <v>0</v>
      </c>
      <c r="N5006" s="6">
        <v>0</v>
      </c>
      <c r="O5006" s="6">
        <v>0</v>
      </c>
      <c r="P5006" s="6">
        <v>0</v>
      </c>
      <c r="Q5006">
        <v>1</v>
      </c>
      <c r="R5006">
        <f t="shared" si="390"/>
        <v>0</v>
      </c>
      <c r="S5006">
        <f t="shared" si="391"/>
        <v>1</v>
      </c>
      <c r="T5006">
        <f t="shared" si="392"/>
        <v>1</v>
      </c>
      <c r="U5006">
        <f t="shared" si="393"/>
        <v>1</v>
      </c>
      <c r="V5006">
        <f t="shared" si="394"/>
        <v>0</v>
      </c>
    </row>
    <row r="5007" spans="1:22" x14ac:dyDescent="0.25">
      <c r="A5007">
        <v>5004</v>
      </c>
      <c r="B5007" t="s">
        <v>32</v>
      </c>
      <c r="C5007" t="s">
        <v>1455</v>
      </c>
      <c r="D5007" s="4">
        <v>45388</v>
      </c>
      <c r="E5007" t="s">
        <v>1132</v>
      </c>
      <c r="F5007" t="s">
        <v>75</v>
      </c>
      <c r="I5007" s="6">
        <v>0</v>
      </c>
      <c r="J5007" s="6">
        <v>0</v>
      </c>
      <c r="K5007" s="6">
        <v>0</v>
      </c>
      <c r="L5007" s="6">
        <v>0</v>
      </c>
      <c r="M5007" s="6">
        <v>0</v>
      </c>
      <c r="N5007" s="6">
        <v>0</v>
      </c>
      <c r="O5007" s="6">
        <v>0</v>
      </c>
      <c r="P5007" s="6">
        <v>0</v>
      </c>
      <c r="Q5007">
        <v>1</v>
      </c>
      <c r="R5007">
        <f t="shared" si="390"/>
        <v>0</v>
      </c>
      <c r="S5007">
        <f t="shared" si="391"/>
        <v>1</v>
      </c>
      <c r="T5007">
        <f t="shared" si="392"/>
        <v>0</v>
      </c>
      <c r="U5007">
        <f t="shared" si="393"/>
        <v>0</v>
      </c>
      <c r="V5007">
        <f t="shared" si="394"/>
        <v>0</v>
      </c>
    </row>
    <row r="5008" spans="1:22" x14ac:dyDescent="0.25">
      <c r="A5008">
        <v>5005</v>
      </c>
      <c r="B5008" t="s">
        <v>32</v>
      </c>
      <c r="C5008" t="s">
        <v>1455</v>
      </c>
      <c r="D5008" s="4">
        <v>45388</v>
      </c>
      <c r="E5008" t="s">
        <v>1476</v>
      </c>
      <c r="F5008" t="s">
        <v>75</v>
      </c>
      <c r="I5008" s="6"/>
      <c r="J5008" s="6"/>
      <c r="K5008" s="6"/>
      <c r="L5008" s="6"/>
      <c r="M5008" s="6"/>
      <c r="N5008" s="6"/>
      <c r="O5008" s="6"/>
      <c r="P5008" s="6"/>
      <c r="Q5008">
        <v>0</v>
      </c>
      <c r="R5008">
        <f t="shared" si="390"/>
        <v>0</v>
      </c>
      <c r="S5008">
        <f t="shared" si="391"/>
        <v>0</v>
      </c>
      <c r="T5008">
        <f t="shared" si="392"/>
        <v>0</v>
      </c>
      <c r="U5008">
        <f t="shared" si="393"/>
        <v>0</v>
      </c>
      <c r="V5008">
        <f t="shared" si="394"/>
        <v>0</v>
      </c>
    </row>
    <row r="5009" spans="1:22" x14ac:dyDescent="0.25">
      <c r="A5009">
        <v>5006</v>
      </c>
      <c r="B5009" t="s">
        <v>32</v>
      </c>
      <c r="C5009" t="s">
        <v>1455</v>
      </c>
      <c r="D5009" s="4">
        <v>45388</v>
      </c>
      <c r="E5009" t="s">
        <v>2166</v>
      </c>
      <c r="F5009" t="s">
        <v>75</v>
      </c>
      <c r="I5009" s="6"/>
      <c r="J5009" s="6"/>
      <c r="K5009" s="6"/>
      <c r="L5009" s="6"/>
      <c r="M5009" s="6"/>
      <c r="N5009" s="6"/>
      <c r="O5009" s="6"/>
      <c r="P5009" s="6"/>
      <c r="Q5009">
        <v>0</v>
      </c>
      <c r="R5009">
        <f t="shared" si="390"/>
        <v>0</v>
      </c>
      <c r="S5009">
        <f t="shared" si="391"/>
        <v>0</v>
      </c>
      <c r="T5009">
        <f t="shared" si="392"/>
        <v>0</v>
      </c>
      <c r="U5009">
        <f t="shared" si="393"/>
        <v>0</v>
      </c>
      <c r="V5009">
        <f t="shared" si="394"/>
        <v>0</v>
      </c>
    </row>
    <row r="5010" spans="1:22" x14ac:dyDescent="0.25">
      <c r="A5010">
        <v>5007</v>
      </c>
      <c r="B5010" t="s">
        <v>32</v>
      </c>
      <c r="C5010" t="s">
        <v>1455</v>
      </c>
      <c r="D5010" s="4">
        <v>45389</v>
      </c>
      <c r="E5010" t="s">
        <v>450</v>
      </c>
      <c r="F5010" t="s">
        <v>75</v>
      </c>
      <c r="I5010" s="6">
        <v>0</v>
      </c>
      <c r="J5010" s="6">
        <v>0</v>
      </c>
      <c r="K5010" s="6">
        <v>0</v>
      </c>
      <c r="L5010" s="6">
        <v>0</v>
      </c>
      <c r="M5010" s="6">
        <v>1</v>
      </c>
      <c r="N5010" s="6">
        <v>0</v>
      </c>
      <c r="O5010" s="6">
        <v>0</v>
      </c>
      <c r="P5010" s="6">
        <v>0</v>
      </c>
      <c r="Q5010">
        <v>1</v>
      </c>
      <c r="R5010">
        <f t="shared" si="390"/>
        <v>0</v>
      </c>
      <c r="S5010">
        <f t="shared" si="391"/>
        <v>1</v>
      </c>
      <c r="T5010">
        <f t="shared" si="392"/>
        <v>1</v>
      </c>
      <c r="U5010">
        <f t="shared" si="393"/>
        <v>1</v>
      </c>
      <c r="V5010">
        <f t="shared" si="394"/>
        <v>0</v>
      </c>
    </row>
    <row r="5011" spans="1:22" x14ac:dyDescent="0.25">
      <c r="A5011">
        <v>5008</v>
      </c>
      <c r="B5011" t="s">
        <v>32</v>
      </c>
      <c r="C5011" t="s">
        <v>1455</v>
      </c>
      <c r="D5011" s="4">
        <v>45389</v>
      </c>
      <c r="E5011" t="s">
        <v>1223</v>
      </c>
      <c r="F5011" t="s">
        <v>75</v>
      </c>
      <c r="I5011" s="6"/>
      <c r="J5011" s="6"/>
      <c r="K5011" s="6"/>
      <c r="L5011" s="6"/>
      <c r="M5011" s="6"/>
      <c r="N5011" s="6"/>
      <c r="O5011" s="6"/>
      <c r="P5011" s="6"/>
      <c r="Q5011">
        <v>0</v>
      </c>
      <c r="R5011">
        <f t="shared" si="390"/>
        <v>0</v>
      </c>
      <c r="S5011">
        <f t="shared" si="391"/>
        <v>0</v>
      </c>
      <c r="T5011">
        <f t="shared" si="392"/>
        <v>0</v>
      </c>
      <c r="U5011">
        <f t="shared" si="393"/>
        <v>0</v>
      </c>
      <c r="V5011">
        <f t="shared" si="394"/>
        <v>0</v>
      </c>
    </row>
    <row r="5012" spans="1:22" x14ac:dyDescent="0.25">
      <c r="A5012">
        <v>5009</v>
      </c>
      <c r="B5012" t="s">
        <v>32</v>
      </c>
      <c r="C5012" t="s">
        <v>1455</v>
      </c>
      <c r="D5012" s="4">
        <v>45389</v>
      </c>
      <c r="E5012" t="s">
        <v>1059</v>
      </c>
      <c r="F5012" t="s">
        <v>75</v>
      </c>
      <c r="I5012" s="6">
        <v>0</v>
      </c>
      <c r="J5012" s="6">
        <v>0</v>
      </c>
      <c r="K5012" s="6">
        <v>0</v>
      </c>
      <c r="L5012" s="6">
        <v>1</v>
      </c>
      <c r="M5012" s="6">
        <v>1</v>
      </c>
      <c r="N5012" s="6">
        <v>0</v>
      </c>
      <c r="O5012" s="6">
        <v>0</v>
      </c>
      <c r="P5012" s="6">
        <v>0</v>
      </c>
      <c r="Q5012">
        <v>1</v>
      </c>
      <c r="R5012">
        <f t="shared" si="390"/>
        <v>0</v>
      </c>
      <c r="S5012">
        <f t="shared" si="391"/>
        <v>1</v>
      </c>
      <c r="T5012">
        <f t="shared" si="392"/>
        <v>2</v>
      </c>
      <c r="U5012">
        <f t="shared" si="393"/>
        <v>1</v>
      </c>
      <c r="V5012">
        <f t="shared" si="394"/>
        <v>0</v>
      </c>
    </row>
    <row r="5013" spans="1:22" x14ac:dyDescent="0.25">
      <c r="A5013">
        <v>5010</v>
      </c>
      <c r="B5013" t="s">
        <v>32</v>
      </c>
      <c r="C5013" t="s">
        <v>1455</v>
      </c>
      <c r="D5013" s="4">
        <v>45389</v>
      </c>
      <c r="E5013" t="s">
        <v>2165</v>
      </c>
      <c r="F5013" t="s">
        <v>75</v>
      </c>
      <c r="I5013" s="6"/>
      <c r="J5013" s="6"/>
      <c r="K5013" s="6"/>
      <c r="L5013" s="6"/>
      <c r="M5013" s="6"/>
      <c r="N5013" s="6"/>
      <c r="O5013" s="6"/>
      <c r="P5013" s="6"/>
      <c r="Q5013">
        <v>0</v>
      </c>
      <c r="R5013">
        <f t="shared" si="390"/>
        <v>0</v>
      </c>
      <c r="S5013">
        <f t="shared" si="391"/>
        <v>0</v>
      </c>
      <c r="T5013">
        <f t="shared" si="392"/>
        <v>0</v>
      </c>
      <c r="U5013">
        <f t="shared" si="393"/>
        <v>0</v>
      </c>
      <c r="V5013">
        <f t="shared" si="394"/>
        <v>0</v>
      </c>
    </row>
    <row r="5014" spans="1:22" x14ac:dyDescent="0.25">
      <c r="A5014">
        <v>5011</v>
      </c>
      <c r="B5014" t="s">
        <v>32</v>
      </c>
      <c r="C5014" t="s">
        <v>1455</v>
      </c>
      <c r="D5014" s="4">
        <v>45389</v>
      </c>
      <c r="E5014" t="s">
        <v>2164</v>
      </c>
      <c r="F5014" t="s">
        <v>75</v>
      </c>
      <c r="I5014" s="6"/>
      <c r="J5014" s="6"/>
      <c r="K5014" s="6"/>
      <c r="L5014" s="6"/>
      <c r="M5014" s="6"/>
      <c r="N5014" s="6"/>
      <c r="O5014" s="6"/>
      <c r="P5014" s="6"/>
      <c r="Q5014">
        <v>0</v>
      </c>
      <c r="R5014">
        <f t="shared" si="390"/>
        <v>0</v>
      </c>
      <c r="S5014">
        <f t="shared" si="391"/>
        <v>0</v>
      </c>
      <c r="T5014">
        <f t="shared" si="392"/>
        <v>0</v>
      </c>
      <c r="U5014">
        <f t="shared" si="393"/>
        <v>0</v>
      </c>
      <c r="V5014">
        <f t="shared" si="394"/>
        <v>0</v>
      </c>
    </row>
    <row r="5015" spans="1:22" x14ac:dyDescent="0.25">
      <c r="A5015">
        <v>5012</v>
      </c>
      <c r="B5015" t="s">
        <v>32</v>
      </c>
      <c r="C5015" t="s">
        <v>1455</v>
      </c>
      <c r="D5015" s="4">
        <v>45389</v>
      </c>
      <c r="E5015" t="s">
        <v>1547</v>
      </c>
      <c r="F5015" t="s">
        <v>75</v>
      </c>
      <c r="I5015" s="6">
        <v>0</v>
      </c>
      <c r="J5015" s="6">
        <v>0</v>
      </c>
      <c r="K5015" s="6">
        <v>0</v>
      </c>
      <c r="L5015" s="6">
        <v>0</v>
      </c>
      <c r="M5015" s="6">
        <v>0</v>
      </c>
      <c r="N5015" s="6">
        <v>0</v>
      </c>
      <c r="O5015" s="6">
        <v>0</v>
      </c>
      <c r="P5015" s="6">
        <v>0</v>
      </c>
      <c r="Q5015">
        <v>1</v>
      </c>
      <c r="R5015">
        <f t="shared" si="390"/>
        <v>0</v>
      </c>
      <c r="S5015">
        <f t="shared" si="391"/>
        <v>1</v>
      </c>
      <c r="T5015">
        <f t="shared" si="392"/>
        <v>0</v>
      </c>
      <c r="U5015">
        <f t="shared" si="393"/>
        <v>0</v>
      </c>
      <c r="V5015">
        <f t="shared" si="394"/>
        <v>0</v>
      </c>
    </row>
    <row r="5016" spans="1:22" x14ac:dyDescent="0.25">
      <c r="A5016">
        <v>5013</v>
      </c>
      <c r="B5016" t="s">
        <v>32</v>
      </c>
      <c r="C5016" t="s">
        <v>1455</v>
      </c>
      <c r="D5016" s="4">
        <v>45389</v>
      </c>
      <c r="E5016" t="s">
        <v>2163</v>
      </c>
      <c r="F5016" t="s">
        <v>75</v>
      </c>
      <c r="I5016" s="6">
        <v>0</v>
      </c>
      <c r="J5016" s="6">
        <v>0</v>
      </c>
      <c r="K5016" s="6">
        <v>0</v>
      </c>
      <c r="L5016" s="6">
        <v>1</v>
      </c>
      <c r="M5016" s="6">
        <v>1</v>
      </c>
      <c r="N5016" s="6">
        <v>0</v>
      </c>
      <c r="O5016" s="6">
        <v>0</v>
      </c>
      <c r="P5016" s="6">
        <v>0</v>
      </c>
      <c r="Q5016">
        <v>1</v>
      </c>
      <c r="R5016">
        <f t="shared" si="390"/>
        <v>0</v>
      </c>
      <c r="S5016">
        <f t="shared" si="391"/>
        <v>1</v>
      </c>
      <c r="T5016">
        <f t="shared" si="392"/>
        <v>2</v>
      </c>
      <c r="U5016">
        <f t="shared" si="393"/>
        <v>1</v>
      </c>
      <c r="V5016">
        <f t="shared" si="394"/>
        <v>0</v>
      </c>
    </row>
    <row r="5017" spans="1:22" x14ac:dyDescent="0.25">
      <c r="A5017">
        <v>5014</v>
      </c>
      <c r="B5017" t="s">
        <v>32</v>
      </c>
      <c r="C5017" t="s">
        <v>1455</v>
      </c>
      <c r="D5017" s="4">
        <v>45390</v>
      </c>
      <c r="E5017" t="s">
        <v>1477</v>
      </c>
      <c r="F5017" t="s">
        <v>75</v>
      </c>
      <c r="I5017" s="6"/>
      <c r="J5017" s="6"/>
      <c r="K5017" s="6"/>
      <c r="L5017" s="6"/>
      <c r="M5017" s="6"/>
      <c r="N5017" s="6"/>
      <c r="O5017" s="6"/>
      <c r="P5017" s="6"/>
      <c r="Q5017">
        <v>0</v>
      </c>
      <c r="R5017">
        <f t="shared" si="390"/>
        <v>0</v>
      </c>
      <c r="S5017">
        <f t="shared" si="391"/>
        <v>0</v>
      </c>
      <c r="T5017">
        <f t="shared" si="392"/>
        <v>0</v>
      </c>
      <c r="U5017">
        <f t="shared" si="393"/>
        <v>0</v>
      </c>
      <c r="V5017">
        <f t="shared" si="394"/>
        <v>0</v>
      </c>
    </row>
    <row r="5018" spans="1:22" x14ac:dyDescent="0.25">
      <c r="A5018">
        <v>5015</v>
      </c>
      <c r="B5018" t="s">
        <v>32</v>
      </c>
      <c r="C5018" t="s">
        <v>1455</v>
      </c>
      <c r="D5018" s="4">
        <v>45390</v>
      </c>
      <c r="E5018" t="s">
        <v>1060</v>
      </c>
      <c r="F5018" t="s">
        <v>75</v>
      </c>
      <c r="I5018" s="6"/>
      <c r="J5018" s="6"/>
      <c r="K5018" s="6"/>
      <c r="L5018" s="6"/>
      <c r="M5018" s="6"/>
      <c r="N5018" s="6"/>
      <c r="O5018" s="6"/>
      <c r="P5018" s="6"/>
      <c r="Q5018">
        <v>0</v>
      </c>
      <c r="R5018">
        <f t="shared" si="390"/>
        <v>0</v>
      </c>
      <c r="S5018">
        <f t="shared" si="391"/>
        <v>0</v>
      </c>
      <c r="T5018">
        <f t="shared" si="392"/>
        <v>0</v>
      </c>
      <c r="U5018">
        <f t="shared" si="393"/>
        <v>0</v>
      </c>
      <c r="V5018">
        <f t="shared" si="394"/>
        <v>0</v>
      </c>
    </row>
    <row r="5019" spans="1:22" x14ac:dyDescent="0.25">
      <c r="A5019">
        <v>5016</v>
      </c>
      <c r="B5019" t="s">
        <v>32</v>
      </c>
      <c r="C5019" t="s">
        <v>1455</v>
      </c>
      <c r="D5019" s="4">
        <v>45390</v>
      </c>
      <c r="E5019" t="s">
        <v>1803</v>
      </c>
      <c r="F5019" t="s">
        <v>75</v>
      </c>
      <c r="I5019" s="6"/>
      <c r="J5019" s="6"/>
      <c r="K5019" s="6"/>
      <c r="L5019" s="6"/>
      <c r="M5019" s="6"/>
      <c r="N5019" s="6"/>
      <c r="O5019" s="6"/>
      <c r="P5019" s="6"/>
      <c r="Q5019">
        <v>0</v>
      </c>
      <c r="R5019">
        <f t="shared" si="390"/>
        <v>0</v>
      </c>
      <c r="S5019">
        <f t="shared" si="391"/>
        <v>0</v>
      </c>
      <c r="T5019">
        <f t="shared" si="392"/>
        <v>0</v>
      </c>
      <c r="U5019">
        <f t="shared" si="393"/>
        <v>0</v>
      </c>
      <c r="V5019">
        <f t="shared" si="394"/>
        <v>0</v>
      </c>
    </row>
    <row r="5020" spans="1:22" x14ac:dyDescent="0.25">
      <c r="A5020">
        <v>5017</v>
      </c>
      <c r="B5020" t="s">
        <v>32</v>
      </c>
      <c r="C5020" t="s">
        <v>1455</v>
      </c>
      <c r="D5020" s="4">
        <v>45390</v>
      </c>
      <c r="E5020" t="s">
        <v>2036</v>
      </c>
      <c r="F5020" t="s">
        <v>75</v>
      </c>
      <c r="I5020" s="6"/>
      <c r="J5020" s="6"/>
      <c r="K5020" s="6"/>
      <c r="L5020" s="6"/>
      <c r="M5020" s="6"/>
      <c r="N5020" s="6"/>
      <c r="O5020" s="6"/>
      <c r="P5020" s="6"/>
      <c r="Q5020">
        <v>0</v>
      </c>
      <c r="R5020">
        <f t="shared" si="390"/>
        <v>0</v>
      </c>
      <c r="S5020">
        <f t="shared" si="391"/>
        <v>0</v>
      </c>
      <c r="T5020">
        <f t="shared" si="392"/>
        <v>0</v>
      </c>
      <c r="U5020">
        <f t="shared" si="393"/>
        <v>0</v>
      </c>
      <c r="V5020">
        <f t="shared" si="394"/>
        <v>0</v>
      </c>
    </row>
    <row r="5021" spans="1:22" x14ac:dyDescent="0.25">
      <c r="A5021">
        <v>5018</v>
      </c>
      <c r="B5021" t="s">
        <v>32</v>
      </c>
      <c r="C5021" t="s">
        <v>1455</v>
      </c>
      <c r="D5021" s="4">
        <v>45390</v>
      </c>
      <c r="E5021" t="s">
        <v>2035</v>
      </c>
      <c r="F5021" t="s">
        <v>75</v>
      </c>
      <c r="I5021" s="6">
        <v>0</v>
      </c>
      <c r="J5021" s="6">
        <v>1</v>
      </c>
      <c r="K5021" s="6">
        <v>0</v>
      </c>
      <c r="L5021" s="6">
        <v>1</v>
      </c>
      <c r="M5021" s="6">
        <v>0</v>
      </c>
      <c r="N5021" s="6">
        <v>0</v>
      </c>
      <c r="O5021" s="6">
        <v>0</v>
      </c>
      <c r="P5021" s="6">
        <v>0</v>
      </c>
      <c r="Q5021">
        <v>1</v>
      </c>
      <c r="R5021">
        <f t="shared" si="390"/>
        <v>0</v>
      </c>
      <c r="S5021">
        <f t="shared" si="391"/>
        <v>1</v>
      </c>
      <c r="T5021">
        <f t="shared" si="392"/>
        <v>2</v>
      </c>
      <c r="U5021">
        <f t="shared" si="393"/>
        <v>1</v>
      </c>
      <c r="V5021">
        <f t="shared" si="394"/>
        <v>0</v>
      </c>
    </row>
    <row r="5022" spans="1:22" x14ac:dyDescent="0.25">
      <c r="A5022">
        <v>5019</v>
      </c>
      <c r="B5022" t="s">
        <v>32</v>
      </c>
      <c r="C5022" t="s">
        <v>1455</v>
      </c>
      <c r="D5022" s="4">
        <v>45390</v>
      </c>
      <c r="E5022" t="s">
        <v>2034</v>
      </c>
      <c r="F5022" t="s">
        <v>75</v>
      </c>
      <c r="I5022" s="6"/>
      <c r="J5022" s="6"/>
      <c r="K5022" s="6"/>
      <c r="L5022" s="6"/>
      <c r="M5022" s="6"/>
      <c r="N5022" s="6"/>
      <c r="O5022" s="6"/>
      <c r="P5022" s="6"/>
      <c r="Q5022">
        <v>0</v>
      </c>
      <c r="R5022">
        <f t="shared" si="390"/>
        <v>0</v>
      </c>
      <c r="S5022">
        <f t="shared" si="391"/>
        <v>0</v>
      </c>
      <c r="T5022">
        <f t="shared" si="392"/>
        <v>0</v>
      </c>
      <c r="U5022">
        <f t="shared" si="393"/>
        <v>0</v>
      </c>
      <c r="V5022">
        <f t="shared" si="394"/>
        <v>0</v>
      </c>
    </row>
    <row r="5023" spans="1:22" x14ac:dyDescent="0.25">
      <c r="A5023">
        <v>5020</v>
      </c>
      <c r="B5023" t="s">
        <v>32</v>
      </c>
      <c r="C5023" t="s">
        <v>1455</v>
      </c>
      <c r="D5023" s="4">
        <v>45390</v>
      </c>
      <c r="E5023" t="s">
        <v>2162</v>
      </c>
      <c r="F5023" t="s">
        <v>75</v>
      </c>
      <c r="I5023" s="6"/>
      <c r="J5023" s="6"/>
      <c r="K5023" s="6"/>
      <c r="L5023" s="6"/>
      <c r="M5023" s="6"/>
      <c r="N5023" s="6"/>
      <c r="O5023" s="6"/>
      <c r="P5023" s="6"/>
      <c r="Q5023">
        <v>0</v>
      </c>
      <c r="R5023">
        <f t="shared" si="390"/>
        <v>0</v>
      </c>
      <c r="S5023">
        <f t="shared" si="391"/>
        <v>0</v>
      </c>
      <c r="T5023">
        <f t="shared" si="392"/>
        <v>0</v>
      </c>
      <c r="U5023">
        <f t="shared" si="393"/>
        <v>0</v>
      </c>
      <c r="V5023">
        <f t="shared" si="394"/>
        <v>0</v>
      </c>
    </row>
    <row r="5024" spans="1:22" x14ac:dyDescent="0.25">
      <c r="A5024">
        <v>5021</v>
      </c>
      <c r="B5024" t="s">
        <v>32</v>
      </c>
      <c r="C5024" t="s">
        <v>1455</v>
      </c>
      <c r="D5024" s="4">
        <v>45391</v>
      </c>
      <c r="E5024" t="s">
        <v>868</v>
      </c>
      <c r="F5024" t="s">
        <v>75</v>
      </c>
      <c r="I5024" s="6">
        <v>1</v>
      </c>
      <c r="J5024" s="6">
        <v>1</v>
      </c>
      <c r="K5024" s="6">
        <v>1</v>
      </c>
      <c r="L5024" s="6">
        <v>0</v>
      </c>
      <c r="M5024" s="6">
        <v>0</v>
      </c>
      <c r="N5024" s="6">
        <v>0</v>
      </c>
      <c r="O5024" s="6">
        <v>0</v>
      </c>
      <c r="P5024" s="6">
        <v>0</v>
      </c>
      <c r="Q5024">
        <v>1</v>
      </c>
      <c r="R5024">
        <f t="shared" si="390"/>
        <v>0</v>
      </c>
      <c r="S5024">
        <f t="shared" si="391"/>
        <v>1</v>
      </c>
      <c r="T5024">
        <f t="shared" si="392"/>
        <v>3</v>
      </c>
      <c r="U5024">
        <f t="shared" si="393"/>
        <v>1</v>
      </c>
      <c r="V5024">
        <f t="shared" si="394"/>
        <v>0</v>
      </c>
    </row>
    <row r="5025" spans="1:22" x14ac:dyDescent="0.25">
      <c r="A5025">
        <v>5022</v>
      </c>
      <c r="B5025" t="s">
        <v>32</v>
      </c>
      <c r="C5025" t="s">
        <v>1455</v>
      </c>
      <c r="D5025" s="4">
        <v>45391</v>
      </c>
      <c r="E5025" t="s">
        <v>869</v>
      </c>
      <c r="F5025" t="s">
        <v>75</v>
      </c>
      <c r="I5025" s="6"/>
      <c r="J5025" s="6"/>
      <c r="K5025" s="6"/>
      <c r="L5025" s="6"/>
      <c r="M5025" s="6"/>
      <c r="N5025" s="6"/>
      <c r="O5025" s="6"/>
      <c r="P5025" s="6"/>
      <c r="Q5025">
        <v>0</v>
      </c>
      <c r="R5025">
        <f t="shared" si="390"/>
        <v>0</v>
      </c>
      <c r="S5025">
        <f t="shared" si="391"/>
        <v>0</v>
      </c>
      <c r="T5025">
        <f t="shared" si="392"/>
        <v>0</v>
      </c>
      <c r="U5025">
        <f t="shared" si="393"/>
        <v>0</v>
      </c>
      <c r="V5025">
        <f t="shared" si="394"/>
        <v>0</v>
      </c>
    </row>
    <row r="5026" spans="1:22" x14ac:dyDescent="0.25">
      <c r="A5026">
        <v>5023</v>
      </c>
      <c r="B5026" t="s">
        <v>32</v>
      </c>
      <c r="C5026" t="s">
        <v>1455</v>
      </c>
      <c r="D5026" s="4">
        <v>45391</v>
      </c>
      <c r="E5026" t="s">
        <v>1363</v>
      </c>
      <c r="F5026" t="s">
        <v>75</v>
      </c>
      <c r="I5026" s="6">
        <v>0</v>
      </c>
      <c r="J5026" s="6">
        <v>1</v>
      </c>
      <c r="K5026" s="6">
        <v>1</v>
      </c>
      <c r="L5026" s="6">
        <v>1</v>
      </c>
      <c r="M5026" s="6">
        <v>0</v>
      </c>
      <c r="N5026" s="6">
        <v>0</v>
      </c>
      <c r="O5026" s="6">
        <v>0</v>
      </c>
      <c r="P5026" s="6">
        <v>0</v>
      </c>
      <c r="Q5026">
        <v>1</v>
      </c>
      <c r="R5026">
        <f t="shared" si="390"/>
        <v>0</v>
      </c>
      <c r="S5026">
        <f t="shared" si="391"/>
        <v>1</v>
      </c>
      <c r="T5026">
        <f t="shared" si="392"/>
        <v>3</v>
      </c>
      <c r="U5026">
        <f t="shared" si="393"/>
        <v>1</v>
      </c>
      <c r="V5026">
        <f t="shared" si="394"/>
        <v>0</v>
      </c>
    </row>
    <row r="5027" spans="1:22" x14ac:dyDescent="0.25">
      <c r="A5027">
        <v>5024</v>
      </c>
      <c r="B5027" t="s">
        <v>32</v>
      </c>
      <c r="C5027" t="s">
        <v>1455</v>
      </c>
      <c r="D5027" s="4">
        <v>45391</v>
      </c>
      <c r="E5027" t="s">
        <v>1136</v>
      </c>
      <c r="F5027" t="s">
        <v>75</v>
      </c>
      <c r="I5027" s="6"/>
      <c r="J5027" s="6"/>
      <c r="K5027" s="6"/>
      <c r="L5027" s="6"/>
      <c r="M5027" s="6"/>
      <c r="N5027" s="6"/>
      <c r="O5027" s="6"/>
      <c r="P5027" s="6"/>
      <c r="Q5027">
        <v>0</v>
      </c>
      <c r="R5027">
        <f t="shared" si="390"/>
        <v>0</v>
      </c>
      <c r="S5027">
        <f t="shared" si="391"/>
        <v>0</v>
      </c>
      <c r="T5027">
        <f t="shared" si="392"/>
        <v>0</v>
      </c>
      <c r="U5027">
        <f t="shared" si="393"/>
        <v>0</v>
      </c>
      <c r="V5027">
        <f t="shared" si="394"/>
        <v>0</v>
      </c>
    </row>
    <row r="5028" spans="1:22" x14ac:dyDescent="0.25">
      <c r="A5028">
        <v>5025</v>
      </c>
      <c r="B5028" t="s">
        <v>32</v>
      </c>
      <c r="C5028" t="s">
        <v>1455</v>
      </c>
      <c r="D5028" s="4">
        <v>45391</v>
      </c>
      <c r="E5028" t="s">
        <v>1138</v>
      </c>
      <c r="F5028" t="s">
        <v>75</v>
      </c>
      <c r="I5028" s="6"/>
      <c r="J5028" s="6"/>
      <c r="K5028" s="6"/>
      <c r="L5028" s="6"/>
      <c r="M5028" s="6"/>
      <c r="N5028" s="6"/>
      <c r="O5028" s="6"/>
      <c r="P5028" s="6"/>
      <c r="Q5028">
        <v>0</v>
      </c>
      <c r="R5028">
        <f t="shared" si="390"/>
        <v>0</v>
      </c>
      <c r="S5028">
        <f t="shared" si="391"/>
        <v>0</v>
      </c>
      <c r="T5028">
        <f t="shared" si="392"/>
        <v>0</v>
      </c>
      <c r="U5028">
        <f t="shared" si="393"/>
        <v>0</v>
      </c>
      <c r="V5028">
        <f t="shared" si="394"/>
        <v>0</v>
      </c>
    </row>
    <row r="5029" spans="1:22" x14ac:dyDescent="0.25">
      <c r="A5029">
        <v>5026</v>
      </c>
      <c r="B5029" t="s">
        <v>32</v>
      </c>
      <c r="C5029" t="s">
        <v>1455</v>
      </c>
      <c r="D5029" s="4">
        <v>45391</v>
      </c>
      <c r="E5029" t="s">
        <v>1139</v>
      </c>
      <c r="F5029" t="s">
        <v>75</v>
      </c>
      <c r="I5029" s="6">
        <v>0</v>
      </c>
      <c r="J5029" s="6">
        <v>0</v>
      </c>
      <c r="K5029" s="6">
        <v>1</v>
      </c>
      <c r="L5029" s="6">
        <v>0</v>
      </c>
      <c r="M5029" s="6">
        <v>0</v>
      </c>
      <c r="N5029" s="6">
        <v>0</v>
      </c>
      <c r="O5029" s="6">
        <v>0</v>
      </c>
      <c r="P5029" s="6">
        <v>0</v>
      </c>
      <c r="Q5029">
        <v>1</v>
      </c>
      <c r="R5029">
        <f t="shared" si="390"/>
        <v>0</v>
      </c>
      <c r="S5029">
        <f t="shared" si="391"/>
        <v>1</v>
      </c>
      <c r="T5029">
        <f t="shared" si="392"/>
        <v>1</v>
      </c>
      <c r="U5029">
        <f t="shared" si="393"/>
        <v>1</v>
      </c>
      <c r="V5029">
        <f t="shared" si="394"/>
        <v>0</v>
      </c>
    </row>
    <row r="5030" spans="1:22" x14ac:dyDescent="0.25">
      <c r="A5030">
        <v>5027</v>
      </c>
      <c r="B5030" t="s">
        <v>32</v>
      </c>
      <c r="C5030" t="s">
        <v>1455</v>
      </c>
      <c r="D5030" s="4">
        <v>45391</v>
      </c>
      <c r="E5030" t="s">
        <v>1140</v>
      </c>
      <c r="F5030" t="s">
        <v>75</v>
      </c>
      <c r="I5030" s="6"/>
      <c r="J5030" s="6"/>
      <c r="K5030" s="6"/>
      <c r="L5030" s="6"/>
      <c r="M5030" s="6"/>
      <c r="N5030" s="6"/>
      <c r="O5030" s="6"/>
      <c r="P5030" s="6"/>
      <c r="Q5030">
        <v>0</v>
      </c>
      <c r="R5030">
        <f t="shared" si="390"/>
        <v>0</v>
      </c>
      <c r="S5030">
        <f t="shared" si="391"/>
        <v>0</v>
      </c>
      <c r="T5030">
        <f t="shared" si="392"/>
        <v>0</v>
      </c>
      <c r="U5030">
        <f t="shared" si="393"/>
        <v>0</v>
      </c>
      <c r="V5030">
        <f t="shared" si="394"/>
        <v>0</v>
      </c>
    </row>
    <row r="5031" spans="1:22" x14ac:dyDescent="0.25">
      <c r="A5031">
        <v>5028</v>
      </c>
      <c r="B5031" t="s">
        <v>32</v>
      </c>
      <c r="C5031" t="s">
        <v>1455</v>
      </c>
      <c r="D5031" s="4">
        <v>45392</v>
      </c>
      <c r="E5031" t="s">
        <v>452</v>
      </c>
      <c r="F5031" t="s">
        <v>75</v>
      </c>
      <c r="I5031" s="6">
        <v>0</v>
      </c>
      <c r="J5031" s="6">
        <v>0</v>
      </c>
      <c r="K5031" s="6">
        <v>0</v>
      </c>
      <c r="L5031" s="6">
        <v>0</v>
      </c>
      <c r="M5031" s="6">
        <v>0</v>
      </c>
      <c r="N5031" s="6">
        <v>0</v>
      </c>
      <c r="O5031" s="6">
        <v>0</v>
      </c>
      <c r="P5031" s="6">
        <v>0</v>
      </c>
      <c r="Q5031">
        <v>1</v>
      </c>
      <c r="R5031">
        <f t="shared" si="390"/>
        <v>0</v>
      </c>
      <c r="S5031">
        <f t="shared" si="391"/>
        <v>1</v>
      </c>
      <c r="T5031">
        <f t="shared" si="392"/>
        <v>0</v>
      </c>
      <c r="U5031">
        <f t="shared" si="393"/>
        <v>0</v>
      </c>
      <c r="V5031">
        <f t="shared" si="394"/>
        <v>0</v>
      </c>
    </row>
    <row r="5032" spans="1:22" x14ac:dyDescent="0.25">
      <c r="A5032">
        <v>5029</v>
      </c>
      <c r="B5032" t="s">
        <v>32</v>
      </c>
      <c r="C5032" t="s">
        <v>1455</v>
      </c>
      <c r="D5032" s="4">
        <v>45392</v>
      </c>
      <c r="E5032" t="s">
        <v>453</v>
      </c>
      <c r="F5032" t="s">
        <v>75</v>
      </c>
      <c r="I5032" s="6"/>
      <c r="J5032" s="6"/>
      <c r="K5032" s="6"/>
      <c r="L5032" s="6"/>
      <c r="M5032" s="6"/>
      <c r="N5032" s="6"/>
      <c r="O5032" s="6"/>
      <c r="P5032" s="6"/>
      <c r="Q5032">
        <v>0</v>
      </c>
      <c r="R5032">
        <f t="shared" si="390"/>
        <v>0</v>
      </c>
      <c r="S5032">
        <f t="shared" si="391"/>
        <v>0</v>
      </c>
      <c r="T5032">
        <f t="shared" si="392"/>
        <v>0</v>
      </c>
      <c r="U5032">
        <f t="shared" si="393"/>
        <v>0</v>
      </c>
      <c r="V5032">
        <f t="shared" si="394"/>
        <v>0</v>
      </c>
    </row>
    <row r="5033" spans="1:22" x14ac:dyDescent="0.25">
      <c r="A5033">
        <v>5030</v>
      </c>
      <c r="B5033" t="s">
        <v>32</v>
      </c>
      <c r="C5033" t="s">
        <v>1455</v>
      </c>
      <c r="D5033" s="4">
        <v>45392</v>
      </c>
      <c r="E5033" t="s">
        <v>1061</v>
      </c>
      <c r="F5033" t="s">
        <v>75</v>
      </c>
      <c r="I5033" s="6"/>
      <c r="J5033" s="6"/>
      <c r="K5033" s="6"/>
      <c r="L5033" s="6"/>
      <c r="M5033" s="6"/>
      <c r="N5033" s="6"/>
      <c r="O5033" s="6"/>
      <c r="P5033" s="6"/>
      <c r="Q5033">
        <v>0</v>
      </c>
      <c r="R5033">
        <f t="shared" si="390"/>
        <v>0</v>
      </c>
      <c r="S5033">
        <f t="shared" si="391"/>
        <v>0</v>
      </c>
      <c r="T5033">
        <f t="shared" si="392"/>
        <v>0</v>
      </c>
      <c r="U5033">
        <f t="shared" si="393"/>
        <v>0</v>
      </c>
      <c r="V5033">
        <f t="shared" si="394"/>
        <v>0</v>
      </c>
    </row>
    <row r="5034" spans="1:22" x14ac:dyDescent="0.25">
      <c r="A5034">
        <v>5031</v>
      </c>
      <c r="B5034" t="s">
        <v>32</v>
      </c>
      <c r="C5034" t="s">
        <v>1455</v>
      </c>
      <c r="D5034" s="4">
        <v>45392</v>
      </c>
      <c r="E5034" t="s">
        <v>1062</v>
      </c>
      <c r="F5034" t="s">
        <v>75</v>
      </c>
      <c r="I5034" s="6">
        <v>0</v>
      </c>
      <c r="J5034" s="6">
        <v>1</v>
      </c>
      <c r="K5034" s="6">
        <v>0</v>
      </c>
      <c r="L5034" s="6">
        <v>1</v>
      </c>
      <c r="M5034" s="6">
        <v>0</v>
      </c>
      <c r="N5034" s="6">
        <v>0</v>
      </c>
      <c r="O5034" s="6">
        <v>0</v>
      </c>
      <c r="P5034" s="6">
        <v>0</v>
      </c>
      <c r="Q5034">
        <v>1</v>
      </c>
      <c r="R5034">
        <f t="shared" si="390"/>
        <v>0</v>
      </c>
      <c r="S5034">
        <f t="shared" si="391"/>
        <v>1</v>
      </c>
      <c r="T5034">
        <f t="shared" si="392"/>
        <v>2</v>
      </c>
      <c r="U5034">
        <f t="shared" si="393"/>
        <v>1</v>
      </c>
      <c r="V5034">
        <f t="shared" si="394"/>
        <v>0</v>
      </c>
    </row>
    <row r="5035" spans="1:22" x14ac:dyDescent="0.25">
      <c r="A5035">
        <v>5032</v>
      </c>
      <c r="B5035" t="s">
        <v>32</v>
      </c>
      <c r="C5035" t="s">
        <v>1455</v>
      </c>
      <c r="D5035" s="4">
        <v>45392</v>
      </c>
      <c r="E5035" t="s">
        <v>1364</v>
      </c>
      <c r="F5035" t="s">
        <v>75</v>
      </c>
      <c r="I5035" s="6">
        <v>0</v>
      </c>
      <c r="J5035" s="6">
        <v>0</v>
      </c>
      <c r="K5035" s="6">
        <v>1</v>
      </c>
      <c r="L5035" s="6">
        <v>0</v>
      </c>
      <c r="M5035" s="6">
        <v>0</v>
      </c>
      <c r="N5035" s="6">
        <v>0</v>
      </c>
      <c r="O5035" s="6">
        <v>0</v>
      </c>
      <c r="P5035" s="6">
        <v>0</v>
      </c>
      <c r="Q5035">
        <v>1</v>
      </c>
      <c r="R5035">
        <f t="shared" si="390"/>
        <v>0</v>
      </c>
      <c r="S5035">
        <f t="shared" si="391"/>
        <v>1</v>
      </c>
      <c r="T5035">
        <f t="shared" si="392"/>
        <v>1</v>
      </c>
      <c r="U5035">
        <f t="shared" si="393"/>
        <v>1</v>
      </c>
      <c r="V5035">
        <f t="shared" si="394"/>
        <v>0</v>
      </c>
    </row>
    <row r="5036" spans="1:22" x14ac:dyDescent="0.25">
      <c r="A5036">
        <v>5033</v>
      </c>
      <c r="B5036" t="s">
        <v>32</v>
      </c>
      <c r="C5036" t="s">
        <v>1455</v>
      </c>
      <c r="D5036" s="4">
        <v>45392</v>
      </c>
      <c r="E5036" t="s">
        <v>1143</v>
      </c>
      <c r="F5036" t="s">
        <v>75</v>
      </c>
      <c r="I5036" s="6"/>
      <c r="J5036" s="6"/>
      <c r="K5036" s="6"/>
      <c r="L5036" s="6"/>
      <c r="M5036" s="6"/>
      <c r="N5036" s="6"/>
      <c r="O5036" s="6"/>
      <c r="P5036" s="6"/>
      <c r="Q5036">
        <v>0</v>
      </c>
      <c r="R5036">
        <f t="shared" si="390"/>
        <v>0</v>
      </c>
      <c r="S5036">
        <f t="shared" si="391"/>
        <v>0</v>
      </c>
      <c r="T5036">
        <f t="shared" si="392"/>
        <v>0</v>
      </c>
      <c r="U5036">
        <f t="shared" si="393"/>
        <v>0</v>
      </c>
      <c r="V5036">
        <f t="shared" si="394"/>
        <v>0</v>
      </c>
    </row>
    <row r="5037" spans="1:22" x14ac:dyDescent="0.25">
      <c r="A5037">
        <v>5034</v>
      </c>
      <c r="B5037" t="s">
        <v>32</v>
      </c>
      <c r="C5037" t="s">
        <v>1455</v>
      </c>
      <c r="D5037" s="4">
        <v>45393</v>
      </c>
      <c r="E5037" t="s">
        <v>454</v>
      </c>
      <c r="F5037" t="s">
        <v>75</v>
      </c>
      <c r="I5037" s="6"/>
      <c r="J5037" s="6"/>
      <c r="K5037" s="6"/>
      <c r="L5037" s="6"/>
      <c r="M5037" s="6"/>
      <c r="N5037" s="6"/>
      <c r="O5037" s="6"/>
      <c r="P5037" s="6"/>
      <c r="Q5037">
        <v>0</v>
      </c>
      <c r="R5037">
        <f t="shared" si="390"/>
        <v>0</v>
      </c>
      <c r="S5037">
        <f t="shared" si="391"/>
        <v>0</v>
      </c>
      <c r="T5037">
        <f t="shared" si="392"/>
        <v>0</v>
      </c>
      <c r="U5037">
        <f t="shared" si="393"/>
        <v>0</v>
      </c>
      <c r="V5037">
        <f t="shared" si="394"/>
        <v>0</v>
      </c>
    </row>
    <row r="5038" spans="1:22" x14ac:dyDescent="0.25">
      <c r="A5038">
        <v>5035</v>
      </c>
      <c r="B5038" t="s">
        <v>32</v>
      </c>
      <c r="C5038" t="s">
        <v>1455</v>
      </c>
      <c r="D5038" s="4">
        <v>45393</v>
      </c>
      <c r="E5038" t="s">
        <v>455</v>
      </c>
      <c r="F5038" t="s">
        <v>75</v>
      </c>
      <c r="I5038" s="6">
        <v>0</v>
      </c>
      <c r="J5038" s="6">
        <v>0</v>
      </c>
      <c r="K5038" s="6">
        <v>0</v>
      </c>
      <c r="L5038" s="6">
        <v>1</v>
      </c>
      <c r="M5038" s="6">
        <v>1</v>
      </c>
      <c r="N5038" s="6">
        <v>1</v>
      </c>
      <c r="O5038" s="6">
        <v>0</v>
      </c>
      <c r="P5038" s="6">
        <v>1</v>
      </c>
      <c r="Q5038">
        <v>1</v>
      </c>
      <c r="R5038">
        <f t="shared" si="390"/>
        <v>0</v>
      </c>
      <c r="S5038">
        <f t="shared" si="391"/>
        <v>1</v>
      </c>
      <c r="T5038">
        <f t="shared" si="392"/>
        <v>4</v>
      </c>
      <c r="U5038">
        <f t="shared" si="393"/>
        <v>1</v>
      </c>
      <c r="V5038">
        <f t="shared" si="394"/>
        <v>0</v>
      </c>
    </row>
    <row r="5039" spans="1:22" x14ac:dyDescent="0.25">
      <c r="A5039">
        <v>5036</v>
      </c>
      <c r="B5039" t="s">
        <v>32</v>
      </c>
      <c r="C5039" t="s">
        <v>1455</v>
      </c>
      <c r="D5039" s="4">
        <v>45393</v>
      </c>
      <c r="E5039" t="s">
        <v>1063</v>
      </c>
      <c r="F5039" t="s">
        <v>75</v>
      </c>
      <c r="I5039" s="6"/>
      <c r="J5039" s="6"/>
      <c r="K5039" s="6"/>
      <c r="L5039" s="6"/>
      <c r="M5039" s="6"/>
      <c r="N5039" s="6"/>
      <c r="O5039" s="6"/>
      <c r="P5039" s="6"/>
      <c r="Q5039">
        <v>0</v>
      </c>
      <c r="R5039">
        <f t="shared" si="390"/>
        <v>0</v>
      </c>
      <c r="S5039">
        <f t="shared" si="391"/>
        <v>0</v>
      </c>
      <c r="T5039">
        <f t="shared" si="392"/>
        <v>0</v>
      </c>
      <c r="U5039">
        <f t="shared" si="393"/>
        <v>0</v>
      </c>
      <c r="V5039">
        <f t="shared" si="394"/>
        <v>0</v>
      </c>
    </row>
    <row r="5040" spans="1:22" x14ac:dyDescent="0.25">
      <c r="A5040">
        <v>5037</v>
      </c>
      <c r="B5040" t="s">
        <v>32</v>
      </c>
      <c r="C5040" t="s">
        <v>1455</v>
      </c>
      <c r="D5040" s="4">
        <v>45393</v>
      </c>
      <c r="E5040" t="s">
        <v>1148</v>
      </c>
      <c r="F5040" t="s">
        <v>75</v>
      </c>
      <c r="I5040" s="6">
        <v>0</v>
      </c>
      <c r="J5040" s="6">
        <v>0</v>
      </c>
      <c r="K5040" s="6">
        <v>1</v>
      </c>
      <c r="L5040" s="6">
        <v>0</v>
      </c>
      <c r="M5040" s="6">
        <v>0</v>
      </c>
      <c r="N5040" s="6">
        <v>0</v>
      </c>
      <c r="O5040" s="6">
        <v>0</v>
      </c>
      <c r="P5040" s="6">
        <v>0</v>
      </c>
      <c r="Q5040">
        <v>1</v>
      </c>
      <c r="R5040">
        <f t="shared" si="390"/>
        <v>0</v>
      </c>
      <c r="S5040">
        <f t="shared" si="391"/>
        <v>1</v>
      </c>
      <c r="T5040">
        <f t="shared" si="392"/>
        <v>1</v>
      </c>
      <c r="U5040">
        <f t="shared" si="393"/>
        <v>1</v>
      </c>
      <c r="V5040">
        <f t="shared" si="394"/>
        <v>0</v>
      </c>
    </row>
    <row r="5041" spans="1:22" x14ac:dyDescent="0.25">
      <c r="A5041">
        <v>5038</v>
      </c>
      <c r="B5041" t="s">
        <v>32</v>
      </c>
      <c r="C5041" t="s">
        <v>1455</v>
      </c>
      <c r="D5041" s="4">
        <v>45393</v>
      </c>
      <c r="E5041" t="s">
        <v>1149</v>
      </c>
      <c r="F5041" t="s">
        <v>75</v>
      </c>
      <c r="I5041" s="6"/>
      <c r="J5041" s="6"/>
      <c r="K5041" s="6"/>
      <c r="L5041" s="6"/>
      <c r="M5041" s="6"/>
      <c r="N5041" s="6"/>
      <c r="O5041" s="6"/>
      <c r="P5041" s="6"/>
      <c r="Q5041">
        <v>0</v>
      </c>
      <c r="R5041">
        <f t="shared" si="390"/>
        <v>0</v>
      </c>
      <c r="S5041">
        <f t="shared" si="391"/>
        <v>0</v>
      </c>
      <c r="T5041">
        <f t="shared" si="392"/>
        <v>0</v>
      </c>
      <c r="U5041">
        <f t="shared" si="393"/>
        <v>0</v>
      </c>
      <c r="V5041">
        <f t="shared" si="394"/>
        <v>0</v>
      </c>
    </row>
    <row r="5042" spans="1:22" x14ac:dyDescent="0.25">
      <c r="A5042">
        <v>5039</v>
      </c>
      <c r="B5042" t="s">
        <v>32</v>
      </c>
      <c r="C5042" t="s">
        <v>1455</v>
      </c>
      <c r="D5042" s="4">
        <v>45393</v>
      </c>
      <c r="E5042" t="s">
        <v>1150</v>
      </c>
      <c r="F5042" t="s">
        <v>75</v>
      </c>
      <c r="I5042" s="6"/>
      <c r="J5042" s="6"/>
      <c r="K5042" s="6"/>
      <c r="L5042" s="6"/>
      <c r="M5042" s="6"/>
      <c r="N5042" s="6"/>
      <c r="O5042" s="6"/>
      <c r="P5042" s="6"/>
      <c r="Q5042">
        <v>0</v>
      </c>
      <c r="R5042">
        <f t="shared" si="390"/>
        <v>0</v>
      </c>
      <c r="S5042">
        <f t="shared" si="391"/>
        <v>0</v>
      </c>
      <c r="T5042">
        <f t="shared" si="392"/>
        <v>0</v>
      </c>
      <c r="U5042">
        <f t="shared" si="393"/>
        <v>0</v>
      </c>
      <c r="V5042">
        <f t="shared" si="394"/>
        <v>0</v>
      </c>
    </row>
    <row r="5043" spans="1:22" x14ac:dyDescent="0.25">
      <c r="A5043">
        <v>5040</v>
      </c>
      <c r="B5043" t="s">
        <v>32</v>
      </c>
      <c r="C5043" t="s">
        <v>1455</v>
      </c>
      <c r="D5043" s="4">
        <v>45393</v>
      </c>
      <c r="E5043" t="s">
        <v>1365</v>
      </c>
      <c r="F5043" t="s">
        <v>75</v>
      </c>
      <c r="I5043" s="6">
        <v>0</v>
      </c>
      <c r="J5043" s="6">
        <v>1</v>
      </c>
      <c r="K5043" s="6">
        <v>0</v>
      </c>
      <c r="L5043" s="6">
        <v>0</v>
      </c>
      <c r="M5043" s="6">
        <v>0</v>
      </c>
      <c r="N5043" s="6">
        <v>0</v>
      </c>
      <c r="O5043" s="6">
        <v>1</v>
      </c>
      <c r="P5043" s="6">
        <v>0</v>
      </c>
      <c r="Q5043">
        <v>1</v>
      </c>
      <c r="R5043">
        <f t="shared" si="390"/>
        <v>0</v>
      </c>
      <c r="S5043">
        <f t="shared" si="391"/>
        <v>1</v>
      </c>
      <c r="T5043">
        <f t="shared" si="392"/>
        <v>2</v>
      </c>
      <c r="U5043">
        <f t="shared" si="393"/>
        <v>1</v>
      </c>
      <c r="V5043">
        <f t="shared" si="394"/>
        <v>0</v>
      </c>
    </row>
    <row r="5044" spans="1:22" x14ac:dyDescent="0.25">
      <c r="A5044">
        <v>5041</v>
      </c>
      <c r="B5044" t="s">
        <v>32</v>
      </c>
      <c r="C5044" t="s">
        <v>1455</v>
      </c>
      <c r="D5044" s="4">
        <v>45394</v>
      </c>
      <c r="E5044" t="s">
        <v>966</v>
      </c>
      <c r="F5044" t="s">
        <v>75</v>
      </c>
      <c r="I5044" s="6"/>
      <c r="J5044" s="6"/>
      <c r="K5044" s="6"/>
      <c r="L5044" s="6"/>
      <c r="M5044" s="6"/>
      <c r="N5044" s="6"/>
      <c r="O5044" s="6"/>
      <c r="P5044" s="6"/>
      <c r="Q5044">
        <v>0</v>
      </c>
      <c r="R5044">
        <f t="shared" si="390"/>
        <v>0</v>
      </c>
      <c r="S5044">
        <f t="shared" si="391"/>
        <v>0</v>
      </c>
      <c r="T5044">
        <f t="shared" si="392"/>
        <v>0</v>
      </c>
      <c r="U5044">
        <f t="shared" si="393"/>
        <v>0</v>
      </c>
      <c r="V5044">
        <f t="shared" si="394"/>
        <v>0</v>
      </c>
    </row>
    <row r="5045" spans="1:22" x14ac:dyDescent="0.25">
      <c r="A5045">
        <v>5042</v>
      </c>
      <c r="B5045" t="s">
        <v>32</v>
      </c>
      <c r="C5045" t="s">
        <v>1455</v>
      </c>
      <c r="D5045" s="4">
        <v>45394</v>
      </c>
      <c r="E5045" t="s">
        <v>870</v>
      </c>
      <c r="F5045" t="s">
        <v>75</v>
      </c>
      <c r="I5045" s="6"/>
      <c r="J5045" s="6"/>
      <c r="K5045" s="6"/>
      <c r="L5045" s="6"/>
      <c r="M5045" s="6"/>
      <c r="N5045" s="6"/>
      <c r="O5045" s="6"/>
      <c r="P5045" s="6"/>
      <c r="Q5045">
        <v>0</v>
      </c>
      <c r="R5045">
        <f t="shared" si="390"/>
        <v>0</v>
      </c>
      <c r="S5045">
        <f t="shared" si="391"/>
        <v>0</v>
      </c>
      <c r="T5045">
        <f t="shared" si="392"/>
        <v>0</v>
      </c>
      <c r="U5045">
        <f t="shared" si="393"/>
        <v>0</v>
      </c>
      <c r="V5045">
        <f t="shared" si="394"/>
        <v>0</v>
      </c>
    </row>
    <row r="5046" spans="1:22" x14ac:dyDescent="0.25">
      <c r="A5046">
        <v>5043</v>
      </c>
      <c r="B5046" t="s">
        <v>32</v>
      </c>
      <c r="C5046" t="s">
        <v>1455</v>
      </c>
      <c r="D5046" s="4">
        <v>45394</v>
      </c>
      <c r="E5046" t="s">
        <v>871</v>
      </c>
      <c r="F5046" t="s">
        <v>75</v>
      </c>
      <c r="I5046" s="6"/>
      <c r="J5046" s="6"/>
      <c r="K5046" s="6"/>
      <c r="L5046" s="6"/>
      <c r="M5046" s="6"/>
      <c r="N5046" s="6"/>
      <c r="O5046" s="6"/>
      <c r="P5046" s="6"/>
      <c r="Q5046">
        <v>0</v>
      </c>
      <c r="R5046">
        <f t="shared" si="390"/>
        <v>0</v>
      </c>
      <c r="S5046">
        <f t="shared" si="391"/>
        <v>0</v>
      </c>
      <c r="T5046">
        <f t="shared" si="392"/>
        <v>0</v>
      </c>
      <c r="U5046">
        <f t="shared" si="393"/>
        <v>0</v>
      </c>
      <c r="V5046">
        <f t="shared" si="394"/>
        <v>0</v>
      </c>
    </row>
    <row r="5047" spans="1:22" x14ac:dyDescent="0.25">
      <c r="A5047">
        <v>5044</v>
      </c>
      <c r="B5047" t="s">
        <v>32</v>
      </c>
      <c r="C5047" t="s">
        <v>1455</v>
      </c>
      <c r="D5047" s="4">
        <v>45394</v>
      </c>
      <c r="E5047" t="s">
        <v>1065</v>
      </c>
      <c r="F5047" t="s">
        <v>75</v>
      </c>
      <c r="I5047" s="6">
        <v>0</v>
      </c>
      <c r="J5047" s="6">
        <v>1</v>
      </c>
      <c r="K5047" s="6">
        <v>0</v>
      </c>
      <c r="L5047" s="6">
        <v>0</v>
      </c>
      <c r="M5047" s="6">
        <v>0</v>
      </c>
      <c r="N5047" s="6">
        <v>0</v>
      </c>
      <c r="O5047" s="6">
        <v>0</v>
      </c>
      <c r="P5047" s="6">
        <v>0</v>
      </c>
      <c r="Q5047">
        <v>1</v>
      </c>
      <c r="R5047">
        <f t="shared" si="390"/>
        <v>0</v>
      </c>
      <c r="S5047">
        <f t="shared" si="391"/>
        <v>1</v>
      </c>
      <c r="T5047">
        <f t="shared" si="392"/>
        <v>1</v>
      </c>
      <c r="U5047">
        <f t="shared" si="393"/>
        <v>1</v>
      </c>
      <c r="V5047">
        <f t="shared" si="394"/>
        <v>0</v>
      </c>
    </row>
    <row r="5048" spans="1:22" x14ac:dyDescent="0.25">
      <c r="A5048">
        <v>5045</v>
      </c>
      <c r="B5048" t="s">
        <v>32</v>
      </c>
      <c r="C5048" t="s">
        <v>1455</v>
      </c>
      <c r="D5048" s="4">
        <v>45394</v>
      </c>
      <c r="E5048" t="s">
        <v>1366</v>
      </c>
      <c r="F5048" t="s">
        <v>75</v>
      </c>
      <c r="I5048" s="6"/>
      <c r="J5048" s="6"/>
      <c r="K5048" s="6"/>
      <c r="L5048" s="6"/>
      <c r="M5048" s="6"/>
      <c r="N5048" s="6"/>
      <c r="O5048" s="6"/>
      <c r="P5048" s="6"/>
      <c r="Q5048">
        <v>0</v>
      </c>
      <c r="R5048">
        <f t="shared" si="390"/>
        <v>0</v>
      </c>
      <c r="S5048">
        <f t="shared" si="391"/>
        <v>0</v>
      </c>
      <c r="T5048">
        <f t="shared" si="392"/>
        <v>0</v>
      </c>
      <c r="U5048">
        <f t="shared" si="393"/>
        <v>0</v>
      </c>
      <c r="V5048">
        <f t="shared" si="394"/>
        <v>0</v>
      </c>
    </row>
    <row r="5049" spans="1:22" x14ac:dyDescent="0.25">
      <c r="A5049">
        <v>5046</v>
      </c>
      <c r="B5049" t="s">
        <v>32</v>
      </c>
      <c r="C5049" t="s">
        <v>1455</v>
      </c>
      <c r="D5049" s="4">
        <v>45394</v>
      </c>
      <c r="E5049" t="s">
        <v>1066</v>
      </c>
      <c r="F5049" t="s">
        <v>75</v>
      </c>
      <c r="I5049" s="6"/>
      <c r="J5049" s="6"/>
      <c r="K5049" s="6"/>
      <c r="L5049" s="6"/>
      <c r="M5049" s="6"/>
      <c r="N5049" s="6"/>
      <c r="O5049" s="6"/>
      <c r="P5049" s="6"/>
      <c r="Q5049">
        <v>0</v>
      </c>
      <c r="R5049">
        <f t="shared" si="390"/>
        <v>0</v>
      </c>
      <c r="S5049">
        <f t="shared" si="391"/>
        <v>0</v>
      </c>
      <c r="T5049">
        <f t="shared" si="392"/>
        <v>0</v>
      </c>
      <c r="U5049">
        <f t="shared" si="393"/>
        <v>0</v>
      </c>
      <c r="V5049">
        <f t="shared" si="394"/>
        <v>0</v>
      </c>
    </row>
    <row r="5050" spans="1:22" x14ac:dyDescent="0.25">
      <c r="A5050">
        <v>5047</v>
      </c>
      <c r="B5050" t="s">
        <v>32</v>
      </c>
      <c r="C5050" t="s">
        <v>1455</v>
      </c>
      <c r="D5050" s="4">
        <v>45394</v>
      </c>
      <c r="E5050" t="s">
        <v>1548</v>
      </c>
      <c r="F5050" t="s">
        <v>75</v>
      </c>
      <c r="I5050" s="6">
        <v>0</v>
      </c>
      <c r="J5050" s="6">
        <v>0</v>
      </c>
      <c r="K5050" s="6">
        <v>0</v>
      </c>
      <c r="L5050" s="6">
        <v>0</v>
      </c>
      <c r="M5050" s="6">
        <v>1</v>
      </c>
      <c r="N5050" s="6">
        <v>0</v>
      </c>
      <c r="O5050" s="6">
        <v>0</v>
      </c>
      <c r="P5050" s="6">
        <v>0</v>
      </c>
      <c r="Q5050">
        <v>1</v>
      </c>
      <c r="R5050">
        <f t="shared" si="390"/>
        <v>0</v>
      </c>
      <c r="S5050">
        <f t="shared" si="391"/>
        <v>1</v>
      </c>
      <c r="T5050">
        <f t="shared" si="392"/>
        <v>1</v>
      </c>
      <c r="U5050">
        <f t="shared" si="393"/>
        <v>1</v>
      </c>
      <c r="V5050">
        <f t="shared" si="394"/>
        <v>0</v>
      </c>
    </row>
    <row r="5051" spans="1:22" x14ac:dyDescent="0.25">
      <c r="A5051">
        <v>5048</v>
      </c>
      <c r="B5051" t="s">
        <v>32</v>
      </c>
      <c r="C5051" t="s">
        <v>1455</v>
      </c>
      <c r="D5051" s="4">
        <v>45394</v>
      </c>
      <c r="E5051" t="s">
        <v>2161</v>
      </c>
      <c r="F5051" t="s">
        <v>75</v>
      </c>
      <c r="I5051" s="6"/>
      <c r="J5051" s="6"/>
      <c r="K5051" s="6"/>
      <c r="L5051" s="6"/>
      <c r="M5051" s="6"/>
      <c r="N5051" s="6"/>
      <c r="O5051" s="6"/>
      <c r="P5051" s="6"/>
      <c r="Q5051">
        <v>0</v>
      </c>
      <c r="R5051">
        <f t="shared" si="390"/>
        <v>0</v>
      </c>
      <c r="S5051">
        <f t="shared" si="391"/>
        <v>0</v>
      </c>
      <c r="T5051">
        <f t="shared" si="392"/>
        <v>0</v>
      </c>
      <c r="U5051">
        <f t="shared" si="393"/>
        <v>0</v>
      </c>
      <c r="V5051">
        <f t="shared" si="394"/>
        <v>0</v>
      </c>
    </row>
    <row r="5052" spans="1:22" x14ac:dyDescent="0.25">
      <c r="A5052">
        <v>5049</v>
      </c>
      <c r="B5052" t="s">
        <v>32</v>
      </c>
      <c r="C5052" t="s">
        <v>1455</v>
      </c>
      <c r="D5052" s="4">
        <v>45395</v>
      </c>
      <c r="E5052" t="s">
        <v>872</v>
      </c>
      <c r="F5052" t="s">
        <v>75</v>
      </c>
      <c r="I5052" s="6"/>
      <c r="J5052" s="6"/>
      <c r="K5052" s="6"/>
      <c r="L5052" s="6"/>
      <c r="M5052" s="6"/>
      <c r="N5052" s="6"/>
      <c r="O5052" s="6"/>
      <c r="P5052" s="6"/>
      <c r="Q5052">
        <v>0</v>
      </c>
      <c r="R5052">
        <f t="shared" si="390"/>
        <v>0</v>
      </c>
      <c r="S5052">
        <f t="shared" si="391"/>
        <v>0</v>
      </c>
      <c r="T5052">
        <f t="shared" si="392"/>
        <v>0</v>
      </c>
      <c r="U5052">
        <f t="shared" si="393"/>
        <v>0</v>
      </c>
      <c r="V5052">
        <f t="shared" si="394"/>
        <v>0</v>
      </c>
    </row>
    <row r="5053" spans="1:22" x14ac:dyDescent="0.25">
      <c r="A5053">
        <v>5050</v>
      </c>
      <c r="B5053" t="s">
        <v>32</v>
      </c>
      <c r="C5053" t="s">
        <v>1455</v>
      </c>
      <c r="D5053" s="4">
        <v>45395</v>
      </c>
      <c r="E5053" t="s">
        <v>873</v>
      </c>
      <c r="F5053" t="s">
        <v>75</v>
      </c>
      <c r="I5053" s="6"/>
      <c r="J5053" s="6"/>
      <c r="K5053" s="6"/>
      <c r="L5053" s="6"/>
      <c r="M5053" s="6"/>
      <c r="N5053" s="6"/>
      <c r="O5053" s="6"/>
      <c r="P5053" s="6"/>
      <c r="Q5053">
        <v>0</v>
      </c>
      <c r="R5053">
        <f t="shared" si="390"/>
        <v>0</v>
      </c>
      <c r="S5053">
        <f t="shared" si="391"/>
        <v>0</v>
      </c>
      <c r="T5053">
        <f t="shared" si="392"/>
        <v>0</v>
      </c>
      <c r="U5053">
        <f t="shared" si="393"/>
        <v>0</v>
      </c>
      <c r="V5053">
        <f t="shared" si="394"/>
        <v>0</v>
      </c>
    </row>
    <row r="5054" spans="1:22" x14ac:dyDescent="0.25">
      <c r="A5054">
        <v>5051</v>
      </c>
      <c r="B5054" t="s">
        <v>32</v>
      </c>
      <c r="C5054" t="s">
        <v>1455</v>
      </c>
      <c r="D5054" s="4">
        <v>45395</v>
      </c>
      <c r="E5054" t="s">
        <v>2160</v>
      </c>
      <c r="F5054" t="s">
        <v>75</v>
      </c>
      <c r="I5054" s="6">
        <v>0</v>
      </c>
      <c r="J5054" s="6">
        <v>0</v>
      </c>
      <c r="K5054" s="6">
        <v>1</v>
      </c>
      <c r="L5054" s="6">
        <v>0</v>
      </c>
      <c r="M5054" s="6">
        <v>0</v>
      </c>
      <c r="N5054" s="6">
        <v>0</v>
      </c>
      <c r="O5054" s="6">
        <v>0</v>
      </c>
      <c r="P5054" s="6">
        <v>0</v>
      </c>
      <c r="Q5054">
        <v>1</v>
      </c>
      <c r="R5054">
        <f t="shared" si="390"/>
        <v>0</v>
      </c>
      <c r="S5054">
        <f t="shared" si="391"/>
        <v>1</v>
      </c>
      <c r="T5054">
        <f t="shared" si="392"/>
        <v>1</v>
      </c>
      <c r="U5054">
        <f t="shared" si="393"/>
        <v>1</v>
      </c>
      <c r="V5054">
        <f t="shared" si="394"/>
        <v>0</v>
      </c>
    </row>
    <row r="5055" spans="1:22" x14ac:dyDescent="0.25">
      <c r="A5055">
        <v>5052</v>
      </c>
      <c r="B5055" t="s">
        <v>32</v>
      </c>
      <c r="C5055" t="s">
        <v>1455</v>
      </c>
      <c r="D5055" s="4">
        <v>45395</v>
      </c>
      <c r="E5055" t="s">
        <v>1067</v>
      </c>
      <c r="F5055" t="s">
        <v>75</v>
      </c>
      <c r="I5055" s="6">
        <v>0</v>
      </c>
      <c r="J5055" s="6">
        <v>0</v>
      </c>
      <c r="K5055" s="6">
        <v>0</v>
      </c>
      <c r="L5055" s="6">
        <v>0</v>
      </c>
      <c r="M5055" s="6">
        <v>0</v>
      </c>
      <c r="N5055" s="6">
        <v>1</v>
      </c>
      <c r="O5055" s="6">
        <v>0</v>
      </c>
      <c r="P5055" s="6">
        <v>0</v>
      </c>
      <c r="Q5055">
        <v>1</v>
      </c>
      <c r="R5055">
        <f t="shared" si="390"/>
        <v>0</v>
      </c>
      <c r="S5055">
        <f t="shared" si="391"/>
        <v>1</v>
      </c>
      <c r="T5055">
        <f t="shared" si="392"/>
        <v>1</v>
      </c>
      <c r="U5055">
        <f t="shared" si="393"/>
        <v>1</v>
      </c>
      <c r="V5055">
        <f t="shared" si="394"/>
        <v>0</v>
      </c>
    </row>
    <row r="5056" spans="1:22" x14ac:dyDescent="0.25">
      <c r="A5056">
        <v>5053</v>
      </c>
      <c r="B5056" t="s">
        <v>32</v>
      </c>
      <c r="C5056" t="s">
        <v>1455</v>
      </c>
      <c r="D5056" s="4">
        <v>45396</v>
      </c>
      <c r="E5056" t="s">
        <v>874</v>
      </c>
      <c r="F5056" t="s">
        <v>75</v>
      </c>
      <c r="I5056" s="6"/>
      <c r="J5056" s="6"/>
      <c r="K5056" s="6"/>
      <c r="L5056" s="6"/>
      <c r="M5056" s="6"/>
      <c r="N5056" s="6"/>
      <c r="O5056" s="6"/>
      <c r="P5056" s="6"/>
      <c r="Q5056">
        <v>0</v>
      </c>
      <c r="R5056">
        <f t="shared" si="390"/>
        <v>0</v>
      </c>
      <c r="S5056">
        <f t="shared" si="391"/>
        <v>0</v>
      </c>
      <c r="T5056">
        <f t="shared" si="392"/>
        <v>0</v>
      </c>
      <c r="U5056">
        <f t="shared" si="393"/>
        <v>0</v>
      </c>
      <c r="V5056">
        <f t="shared" si="394"/>
        <v>0</v>
      </c>
    </row>
    <row r="5057" spans="1:22" x14ac:dyDescent="0.25">
      <c r="A5057">
        <v>5054</v>
      </c>
      <c r="B5057" t="s">
        <v>32</v>
      </c>
      <c r="C5057" t="s">
        <v>1455</v>
      </c>
      <c r="D5057" s="4">
        <v>45396</v>
      </c>
      <c r="E5057" t="s">
        <v>875</v>
      </c>
      <c r="F5057" t="s">
        <v>75</v>
      </c>
      <c r="I5057" s="6"/>
      <c r="J5057" s="6"/>
      <c r="K5057" s="6"/>
      <c r="L5057" s="6"/>
      <c r="M5057" s="6"/>
      <c r="N5057" s="6"/>
      <c r="O5057" s="6"/>
      <c r="P5057" s="6"/>
      <c r="Q5057">
        <v>0</v>
      </c>
      <c r="R5057">
        <f t="shared" si="390"/>
        <v>0</v>
      </c>
      <c r="S5057">
        <f t="shared" si="391"/>
        <v>0</v>
      </c>
      <c r="T5057">
        <f t="shared" si="392"/>
        <v>0</v>
      </c>
      <c r="U5057">
        <f t="shared" si="393"/>
        <v>0</v>
      </c>
      <c r="V5057">
        <f t="shared" si="394"/>
        <v>0</v>
      </c>
    </row>
    <row r="5058" spans="1:22" x14ac:dyDescent="0.25">
      <c r="A5058">
        <v>5055</v>
      </c>
      <c r="B5058" t="s">
        <v>32</v>
      </c>
      <c r="C5058" t="s">
        <v>1455</v>
      </c>
      <c r="D5058" s="4">
        <v>45396</v>
      </c>
      <c r="E5058" t="s">
        <v>2159</v>
      </c>
      <c r="F5058" t="s">
        <v>75</v>
      </c>
      <c r="I5058" s="6"/>
      <c r="J5058" s="6"/>
      <c r="K5058" s="6"/>
      <c r="L5058" s="6"/>
      <c r="M5058" s="6"/>
      <c r="N5058" s="6"/>
      <c r="O5058" s="6"/>
      <c r="P5058" s="6"/>
      <c r="Q5058">
        <v>0</v>
      </c>
      <c r="R5058">
        <f t="shared" si="390"/>
        <v>0</v>
      </c>
      <c r="S5058">
        <f t="shared" si="391"/>
        <v>0</v>
      </c>
      <c r="T5058">
        <f t="shared" si="392"/>
        <v>0</v>
      </c>
      <c r="U5058">
        <f t="shared" si="393"/>
        <v>0</v>
      </c>
      <c r="V5058">
        <f t="shared" si="394"/>
        <v>0</v>
      </c>
    </row>
    <row r="5059" spans="1:22" x14ac:dyDescent="0.25">
      <c r="A5059">
        <v>5056</v>
      </c>
      <c r="B5059" t="s">
        <v>32</v>
      </c>
      <c r="C5059" t="s">
        <v>1455</v>
      </c>
      <c r="D5059" s="4">
        <v>45396</v>
      </c>
      <c r="E5059" t="s">
        <v>2158</v>
      </c>
      <c r="F5059" t="s">
        <v>75</v>
      </c>
      <c r="I5059" s="6">
        <v>0</v>
      </c>
      <c r="J5059" s="6">
        <v>0</v>
      </c>
      <c r="K5059" s="6">
        <v>0</v>
      </c>
      <c r="L5059" s="6">
        <v>1</v>
      </c>
      <c r="M5059" s="6">
        <v>0</v>
      </c>
      <c r="N5059" s="6">
        <v>0</v>
      </c>
      <c r="O5059" s="6">
        <v>0</v>
      </c>
      <c r="P5059" s="6">
        <v>0</v>
      </c>
      <c r="Q5059">
        <v>1</v>
      </c>
      <c r="R5059">
        <f t="shared" ref="R5059:R5122" si="395">IF(AND(Q5059=1,F5059="ai_full"),1,0)</f>
        <v>0</v>
      </c>
      <c r="S5059">
        <f t="shared" ref="S5059:S5122" si="396">IF(AND(Q5059=1,F5059="conventional"),1,0)</f>
        <v>1</v>
      </c>
      <c r="T5059">
        <f t="shared" ref="T5059:T5122" si="397">SUM(I5059:P5059)</f>
        <v>1</v>
      </c>
      <c r="U5059">
        <f t="shared" ref="U5059:U5122" si="398">IF(T5059&gt;=1,1,0)</f>
        <v>1</v>
      </c>
      <c r="V5059">
        <f t="shared" ref="V5059:V5122" si="399">IF(F5059="ai_full",1,0)</f>
        <v>0</v>
      </c>
    </row>
    <row r="5060" spans="1:22" x14ac:dyDescent="0.25">
      <c r="A5060">
        <v>5057</v>
      </c>
      <c r="B5060" t="s">
        <v>32</v>
      </c>
      <c r="C5060" t="s">
        <v>1455</v>
      </c>
      <c r="D5060" s="4">
        <v>45396</v>
      </c>
      <c r="E5060" t="s">
        <v>1152</v>
      </c>
      <c r="F5060" t="s">
        <v>75</v>
      </c>
      <c r="I5060" s="6">
        <v>0</v>
      </c>
      <c r="J5060" s="6">
        <v>1</v>
      </c>
      <c r="K5060" s="6">
        <v>0</v>
      </c>
      <c r="L5060" s="6">
        <v>0</v>
      </c>
      <c r="M5060" s="6">
        <v>0</v>
      </c>
      <c r="N5060" s="6">
        <v>0</v>
      </c>
      <c r="O5060" s="6">
        <v>0</v>
      </c>
      <c r="P5060" s="6">
        <v>0</v>
      </c>
      <c r="Q5060">
        <v>1</v>
      </c>
      <c r="R5060">
        <f t="shared" si="395"/>
        <v>0</v>
      </c>
      <c r="S5060">
        <f t="shared" si="396"/>
        <v>1</v>
      </c>
      <c r="T5060">
        <f t="shared" si="397"/>
        <v>1</v>
      </c>
      <c r="U5060">
        <f t="shared" si="398"/>
        <v>1</v>
      </c>
      <c r="V5060">
        <f t="shared" si="399"/>
        <v>0</v>
      </c>
    </row>
    <row r="5061" spans="1:22" x14ac:dyDescent="0.25">
      <c r="A5061">
        <v>5058</v>
      </c>
      <c r="B5061" t="s">
        <v>32</v>
      </c>
      <c r="C5061" t="s">
        <v>1455</v>
      </c>
      <c r="D5061" s="4">
        <v>45396</v>
      </c>
      <c r="E5061" t="s">
        <v>2157</v>
      </c>
      <c r="F5061" t="s">
        <v>75</v>
      </c>
      <c r="I5061" s="6"/>
      <c r="J5061" s="6"/>
      <c r="K5061" s="6"/>
      <c r="L5061" s="6"/>
      <c r="M5061" s="6"/>
      <c r="N5061" s="6"/>
      <c r="O5061" s="6"/>
      <c r="P5061" s="6"/>
      <c r="Q5061">
        <v>0</v>
      </c>
      <c r="R5061">
        <f t="shared" si="395"/>
        <v>0</v>
      </c>
      <c r="S5061">
        <f t="shared" si="396"/>
        <v>0</v>
      </c>
      <c r="T5061">
        <f t="shared" si="397"/>
        <v>0</v>
      </c>
      <c r="U5061">
        <f t="shared" si="398"/>
        <v>0</v>
      </c>
      <c r="V5061">
        <f t="shared" si="399"/>
        <v>0</v>
      </c>
    </row>
    <row r="5062" spans="1:22" x14ac:dyDescent="0.25">
      <c r="A5062">
        <v>5059</v>
      </c>
      <c r="B5062" t="s">
        <v>32</v>
      </c>
      <c r="C5062" t="s">
        <v>1455</v>
      </c>
      <c r="D5062" s="4">
        <v>45397</v>
      </c>
      <c r="E5062" t="s">
        <v>1068</v>
      </c>
      <c r="F5062" t="s">
        <v>75</v>
      </c>
      <c r="I5062" s="6">
        <v>0</v>
      </c>
      <c r="J5062" s="6">
        <v>0</v>
      </c>
      <c r="K5062" s="6">
        <v>0</v>
      </c>
      <c r="L5062" s="6">
        <v>0</v>
      </c>
      <c r="M5062" s="6">
        <v>1</v>
      </c>
      <c r="N5062" s="6">
        <v>0</v>
      </c>
      <c r="O5062" s="6">
        <v>0</v>
      </c>
      <c r="P5062" s="6">
        <v>0</v>
      </c>
      <c r="Q5062">
        <v>1</v>
      </c>
      <c r="R5062">
        <f t="shared" si="395"/>
        <v>0</v>
      </c>
      <c r="S5062">
        <f t="shared" si="396"/>
        <v>1</v>
      </c>
      <c r="T5062">
        <f t="shared" si="397"/>
        <v>1</v>
      </c>
      <c r="U5062">
        <f t="shared" si="398"/>
        <v>1</v>
      </c>
      <c r="V5062">
        <f t="shared" si="399"/>
        <v>0</v>
      </c>
    </row>
    <row r="5063" spans="1:22" x14ac:dyDescent="0.25">
      <c r="A5063">
        <v>5060</v>
      </c>
      <c r="B5063" t="s">
        <v>32</v>
      </c>
      <c r="C5063" t="s">
        <v>1455</v>
      </c>
      <c r="D5063" s="4">
        <v>45397</v>
      </c>
      <c r="E5063" t="s">
        <v>1069</v>
      </c>
      <c r="F5063" t="s">
        <v>75</v>
      </c>
      <c r="I5063" s="6"/>
      <c r="J5063" s="6"/>
      <c r="K5063" s="6"/>
      <c r="L5063" s="6"/>
      <c r="M5063" s="6"/>
      <c r="N5063" s="6"/>
      <c r="O5063" s="6"/>
      <c r="P5063" s="6"/>
      <c r="Q5063">
        <v>0</v>
      </c>
      <c r="R5063">
        <f t="shared" si="395"/>
        <v>0</v>
      </c>
      <c r="S5063">
        <f t="shared" si="396"/>
        <v>0</v>
      </c>
      <c r="T5063">
        <f t="shared" si="397"/>
        <v>0</v>
      </c>
      <c r="U5063">
        <f t="shared" si="398"/>
        <v>0</v>
      </c>
      <c r="V5063">
        <f t="shared" si="399"/>
        <v>0</v>
      </c>
    </row>
    <row r="5064" spans="1:22" x14ac:dyDescent="0.25">
      <c r="A5064">
        <v>5061</v>
      </c>
      <c r="B5064" t="s">
        <v>32</v>
      </c>
      <c r="C5064" t="s">
        <v>1455</v>
      </c>
      <c r="D5064" s="4">
        <v>45397</v>
      </c>
      <c r="E5064" t="s">
        <v>2033</v>
      </c>
      <c r="F5064" t="s">
        <v>75</v>
      </c>
      <c r="I5064" s="6"/>
      <c r="J5064" s="6"/>
      <c r="K5064" s="6"/>
      <c r="L5064" s="6"/>
      <c r="M5064" s="6"/>
      <c r="N5064" s="6"/>
      <c r="O5064" s="6"/>
      <c r="P5064" s="6"/>
      <c r="Q5064">
        <v>0</v>
      </c>
      <c r="R5064">
        <f t="shared" si="395"/>
        <v>0</v>
      </c>
      <c r="S5064">
        <f t="shared" si="396"/>
        <v>0</v>
      </c>
      <c r="T5064">
        <f t="shared" si="397"/>
        <v>0</v>
      </c>
      <c r="U5064">
        <f t="shared" si="398"/>
        <v>0</v>
      </c>
      <c r="V5064">
        <f t="shared" si="399"/>
        <v>0</v>
      </c>
    </row>
    <row r="5065" spans="1:22" x14ac:dyDescent="0.25">
      <c r="A5065">
        <v>5062</v>
      </c>
      <c r="B5065" t="s">
        <v>32</v>
      </c>
      <c r="C5065" t="s">
        <v>1455</v>
      </c>
      <c r="D5065" s="4">
        <v>45397</v>
      </c>
      <c r="E5065" t="s">
        <v>1805</v>
      </c>
      <c r="F5065" t="s">
        <v>75</v>
      </c>
      <c r="I5065" s="6"/>
      <c r="J5065" s="6"/>
      <c r="K5065" s="6"/>
      <c r="L5065" s="6"/>
      <c r="M5065" s="6"/>
      <c r="N5065" s="6"/>
      <c r="O5065" s="6"/>
      <c r="P5065" s="6"/>
      <c r="Q5065">
        <v>0</v>
      </c>
      <c r="R5065">
        <f t="shared" si="395"/>
        <v>0</v>
      </c>
      <c r="S5065">
        <f t="shared" si="396"/>
        <v>0</v>
      </c>
      <c r="T5065">
        <f t="shared" si="397"/>
        <v>0</v>
      </c>
      <c r="U5065">
        <f t="shared" si="398"/>
        <v>0</v>
      </c>
      <c r="V5065">
        <f t="shared" si="399"/>
        <v>0</v>
      </c>
    </row>
    <row r="5066" spans="1:22" x14ac:dyDescent="0.25">
      <c r="A5066">
        <v>5063</v>
      </c>
      <c r="B5066" t="s">
        <v>32</v>
      </c>
      <c r="C5066" t="s">
        <v>1455</v>
      </c>
      <c r="D5066" s="4">
        <v>45397</v>
      </c>
      <c r="E5066" t="s">
        <v>1371</v>
      </c>
      <c r="F5066" t="s">
        <v>75</v>
      </c>
      <c r="I5066" s="6"/>
      <c r="J5066" s="6"/>
      <c r="K5066" s="6"/>
      <c r="L5066" s="6"/>
      <c r="M5066" s="6"/>
      <c r="N5066" s="6"/>
      <c r="O5066" s="6"/>
      <c r="P5066" s="6"/>
      <c r="Q5066">
        <v>0</v>
      </c>
      <c r="R5066">
        <f t="shared" si="395"/>
        <v>0</v>
      </c>
      <c r="S5066">
        <f t="shared" si="396"/>
        <v>0</v>
      </c>
      <c r="T5066">
        <f t="shared" si="397"/>
        <v>0</v>
      </c>
      <c r="U5066">
        <f t="shared" si="398"/>
        <v>0</v>
      </c>
      <c r="V5066">
        <f t="shared" si="399"/>
        <v>0</v>
      </c>
    </row>
    <row r="5067" spans="1:22" x14ac:dyDescent="0.25">
      <c r="A5067">
        <v>5064</v>
      </c>
      <c r="B5067" t="s">
        <v>32</v>
      </c>
      <c r="C5067" t="s">
        <v>1455</v>
      </c>
      <c r="D5067" s="4">
        <v>45397</v>
      </c>
      <c r="E5067" t="s">
        <v>2156</v>
      </c>
      <c r="F5067" t="s">
        <v>75</v>
      </c>
      <c r="I5067" s="6"/>
      <c r="J5067" s="6"/>
      <c r="K5067" s="6"/>
      <c r="L5067" s="6"/>
      <c r="M5067" s="6"/>
      <c r="N5067" s="6"/>
      <c r="O5067" s="6"/>
      <c r="P5067" s="6"/>
      <c r="Q5067">
        <v>0</v>
      </c>
      <c r="R5067">
        <f t="shared" si="395"/>
        <v>0</v>
      </c>
      <c r="S5067">
        <f t="shared" si="396"/>
        <v>0</v>
      </c>
      <c r="T5067">
        <f t="shared" si="397"/>
        <v>0</v>
      </c>
      <c r="U5067">
        <f t="shared" si="398"/>
        <v>0</v>
      </c>
      <c r="V5067">
        <f t="shared" si="399"/>
        <v>0</v>
      </c>
    </row>
    <row r="5068" spans="1:22" x14ac:dyDescent="0.25">
      <c r="A5068">
        <v>5065</v>
      </c>
      <c r="B5068" t="s">
        <v>32</v>
      </c>
      <c r="C5068" t="s">
        <v>1455</v>
      </c>
      <c r="D5068" s="4">
        <v>45398</v>
      </c>
      <c r="E5068" t="s">
        <v>290</v>
      </c>
      <c r="F5068" t="s">
        <v>75</v>
      </c>
      <c r="I5068" s="6"/>
      <c r="J5068" s="6"/>
      <c r="K5068" s="6"/>
      <c r="L5068" s="6"/>
      <c r="M5068" s="6"/>
      <c r="N5068" s="6"/>
      <c r="O5068" s="6"/>
      <c r="P5068" s="6"/>
      <c r="Q5068">
        <v>0</v>
      </c>
      <c r="R5068">
        <f t="shared" si="395"/>
        <v>0</v>
      </c>
      <c r="S5068">
        <f t="shared" si="396"/>
        <v>0</v>
      </c>
      <c r="T5068">
        <f t="shared" si="397"/>
        <v>0</v>
      </c>
      <c r="U5068">
        <f t="shared" si="398"/>
        <v>0</v>
      </c>
      <c r="V5068">
        <f t="shared" si="399"/>
        <v>0</v>
      </c>
    </row>
    <row r="5069" spans="1:22" x14ac:dyDescent="0.25">
      <c r="A5069">
        <v>5066</v>
      </c>
      <c r="B5069" t="s">
        <v>32</v>
      </c>
      <c r="C5069" t="s">
        <v>1455</v>
      </c>
      <c r="D5069" s="4">
        <v>45398</v>
      </c>
      <c r="E5069" t="s">
        <v>291</v>
      </c>
      <c r="F5069" t="s">
        <v>75</v>
      </c>
      <c r="I5069" s="6">
        <v>0</v>
      </c>
      <c r="J5069" s="6">
        <v>0</v>
      </c>
      <c r="K5069" s="6">
        <v>0</v>
      </c>
      <c r="L5069" s="6">
        <v>0</v>
      </c>
      <c r="M5069" s="6">
        <v>0</v>
      </c>
      <c r="N5069" s="6">
        <v>1</v>
      </c>
      <c r="O5069" s="6">
        <v>0</v>
      </c>
      <c r="P5069" s="6">
        <v>0</v>
      </c>
      <c r="Q5069">
        <v>1</v>
      </c>
      <c r="R5069">
        <f t="shared" si="395"/>
        <v>0</v>
      </c>
      <c r="S5069">
        <f t="shared" si="396"/>
        <v>1</v>
      </c>
      <c r="T5069">
        <f t="shared" si="397"/>
        <v>1</v>
      </c>
      <c r="U5069">
        <f t="shared" si="398"/>
        <v>1</v>
      </c>
      <c r="V5069">
        <f t="shared" si="399"/>
        <v>0</v>
      </c>
    </row>
    <row r="5070" spans="1:22" x14ac:dyDescent="0.25">
      <c r="A5070">
        <v>5067</v>
      </c>
      <c r="B5070" t="s">
        <v>32</v>
      </c>
      <c r="C5070" t="s">
        <v>1455</v>
      </c>
      <c r="D5070" s="4">
        <v>45398</v>
      </c>
      <c r="E5070" t="s">
        <v>292</v>
      </c>
      <c r="F5070" t="s">
        <v>75</v>
      </c>
      <c r="I5070" s="6"/>
      <c r="J5070" s="6"/>
      <c r="K5070" s="6"/>
      <c r="L5070" s="6"/>
      <c r="M5070" s="6"/>
      <c r="N5070" s="6"/>
      <c r="O5070" s="6"/>
      <c r="P5070" s="6"/>
      <c r="Q5070">
        <v>0</v>
      </c>
      <c r="R5070">
        <f t="shared" si="395"/>
        <v>0</v>
      </c>
      <c r="S5070">
        <f t="shared" si="396"/>
        <v>0</v>
      </c>
      <c r="T5070">
        <f t="shared" si="397"/>
        <v>0</v>
      </c>
      <c r="U5070">
        <f t="shared" si="398"/>
        <v>0</v>
      </c>
      <c r="V5070">
        <f t="shared" si="399"/>
        <v>0</v>
      </c>
    </row>
    <row r="5071" spans="1:22" x14ac:dyDescent="0.25">
      <c r="A5071">
        <v>5068</v>
      </c>
      <c r="B5071" t="s">
        <v>32</v>
      </c>
      <c r="C5071" t="s">
        <v>1455</v>
      </c>
      <c r="D5071" s="4">
        <v>45398</v>
      </c>
      <c r="E5071" t="s">
        <v>293</v>
      </c>
      <c r="F5071" t="s">
        <v>75</v>
      </c>
      <c r="I5071" s="6"/>
      <c r="J5071" s="6"/>
      <c r="K5071" s="6"/>
      <c r="L5071" s="6"/>
      <c r="M5071" s="6"/>
      <c r="N5071" s="6"/>
      <c r="O5071" s="6"/>
      <c r="P5071" s="6"/>
      <c r="Q5071">
        <v>0</v>
      </c>
      <c r="R5071">
        <f t="shared" si="395"/>
        <v>0</v>
      </c>
      <c r="S5071">
        <f t="shared" si="396"/>
        <v>0</v>
      </c>
      <c r="T5071">
        <f t="shared" si="397"/>
        <v>0</v>
      </c>
      <c r="U5071">
        <f t="shared" si="398"/>
        <v>0</v>
      </c>
      <c r="V5071">
        <f t="shared" si="399"/>
        <v>0</v>
      </c>
    </row>
    <row r="5072" spans="1:22" x14ac:dyDescent="0.25">
      <c r="A5072">
        <v>5069</v>
      </c>
      <c r="B5072" t="s">
        <v>32</v>
      </c>
      <c r="C5072" t="s">
        <v>1455</v>
      </c>
      <c r="D5072" s="4">
        <v>45398</v>
      </c>
      <c r="E5072" t="s">
        <v>2155</v>
      </c>
      <c r="F5072" t="s">
        <v>75</v>
      </c>
      <c r="I5072" s="6"/>
      <c r="J5072" s="6"/>
      <c r="K5072" s="6"/>
      <c r="L5072" s="6"/>
      <c r="M5072" s="6"/>
      <c r="N5072" s="6"/>
      <c r="O5072" s="6"/>
      <c r="P5072" s="6"/>
      <c r="Q5072">
        <v>0</v>
      </c>
      <c r="R5072">
        <f t="shared" si="395"/>
        <v>0</v>
      </c>
      <c r="S5072">
        <f t="shared" si="396"/>
        <v>0</v>
      </c>
      <c r="T5072">
        <f t="shared" si="397"/>
        <v>0</v>
      </c>
      <c r="U5072">
        <f t="shared" si="398"/>
        <v>0</v>
      </c>
      <c r="V5072">
        <f t="shared" si="399"/>
        <v>0</v>
      </c>
    </row>
    <row r="5073" spans="1:22" x14ac:dyDescent="0.25">
      <c r="A5073">
        <v>5070</v>
      </c>
      <c r="B5073" t="s">
        <v>32</v>
      </c>
      <c r="C5073" t="s">
        <v>1455</v>
      </c>
      <c r="D5073" s="4">
        <v>45398</v>
      </c>
      <c r="E5073" t="s">
        <v>2154</v>
      </c>
      <c r="F5073" t="s">
        <v>75</v>
      </c>
      <c r="I5073" s="6"/>
      <c r="J5073" s="6"/>
      <c r="K5073" s="6"/>
      <c r="L5073" s="6"/>
      <c r="M5073" s="6"/>
      <c r="N5073" s="6"/>
      <c r="O5073" s="6"/>
      <c r="P5073" s="6"/>
      <c r="Q5073">
        <v>0</v>
      </c>
      <c r="R5073">
        <f t="shared" si="395"/>
        <v>0</v>
      </c>
      <c r="S5073">
        <f t="shared" si="396"/>
        <v>0</v>
      </c>
      <c r="T5073">
        <f t="shared" si="397"/>
        <v>0</v>
      </c>
      <c r="U5073">
        <f t="shared" si="398"/>
        <v>0</v>
      </c>
      <c r="V5073">
        <f t="shared" si="399"/>
        <v>0</v>
      </c>
    </row>
    <row r="5074" spans="1:22" x14ac:dyDescent="0.25">
      <c r="A5074">
        <v>5071</v>
      </c>
      <c r="B5074" t="s">
        <v>32</v>
      </c>
      <c r="C5074" t="s">
        <v>1455</v>
      </c>
      <c r="D5074" s="4">
        <v>45399</v>
      </c>
      <c r="E5074" t="s">
        <v>294</v>
      </c>
      <c r="F5074" t="s">
        <v>75</v>
      </c>
      <c r="I5074" s="6"/>
      <c r="J5074" s="6"/>
      <c r="K5074" s="6"/>
      <c r="L5074" s="6"/>
      <c r="M5074" s="6"/>
      <c r="N5074" s="6"/>
      <c r="O5074" s="6"/>
      <c r="P5074" s="6"/>
      <c r="Q5074">
        <v>0</v>
      </c>
      <c r="R5074">
        <f t="shared" si="395"/>
        <v>0</v>
      </c>
      <c r="S5074">
        <f t="shared" si="396"/>
        <v>0</v>
      </c>
      <c r="T5074">
        <f t="shared" si="397"/>
        <v>0</v>
      </c>
      <c r="U5074">
        <f t="shared" si="398"/>
        <v>0</v>
      </c>
      <c r="V5074">
        <f t="shared" si="399"/>
        <v>0</v>
      </c>
    </row>
    <row r="5075" spans="1:22" x14ac:dyDescent="0.25">
      <c r="A5075">
        <v>5072</v>
      </c>
      <c r="B5075" t="s">
        <v>32</v>
      </c>
      <c r="C5075" t="s">
        <v>1455</v>
      </c>
      <c r="D5075" s="4">
        <v>45399</v>
      </c>
      <c r="E5075" t="s">
        <v>295</v>
      </c>
      <c r="F5075" t="s">
        <v>75</v>
      </c>
      <c r="I5075" s="6"/>
      <c r="J5075" s="6"/>
      <c r="K5075" s="6"/>
      <c r="L5075" s="6"/>
      <c r="M5075" s="6"/>
      <c r="N5075" s="6"/>
      <c r="O5075" s="6"/>
      <c r="P5075" s="6"/>
      <c r="Q5075">
        <v>0</v>
      </c>
      <c r="R5075">
        <f t="shared" si="395"/>
        <v>0</v>
      </c>
      <c r="S5075">
        <f t="shared" si="396"/>
        <v>0</v>
      </c>
      <c r="T5075">
        <f t="shared" si="397"/>
        <v>0</v>
      </c>
      <c r="U5075">
        <f t="shared" si="398"/>
        <v>0</v>
      </c>
      <c r="V5075">
        <f t="shared" si="399"/>
        <v>0</v>
      </c>
    </row>
    <row r="5076" spans="1:22" x14ac:dyDescent="0.25">
      <c r="A5076">
        <v>5073</v>
      </c>
      <c r="B5076" t="s">
        <v>32</v>
      </c>
      <c r="C5076" t="s">
        <v>1455</v>
      </c>
      <c r="D5076" s="4">
        <v>45399</v>
      </c>
      <c r="E5076" t="s">
        <v>1806</v>
      </c>
      <c r="F5076" t="s">
        <v>75</v>
      </c>
      <c r="I5076" s="6"/>
      <c r="J5076" s="6"/>
      <c r="K5076" s="6"/>
      <c r="L5076" s="6"/>
      <c r="M5076" s="6"/>
      <c r="N5076" s="6"/>
      <c r="O5076" s="6"/>
      <c r="P5076" s="6"/>
      <c r="Q5076">
        <v>0</v>
      </c>
      <c r="R5076">
        <f t="shared" si="395"/>
        <v>0</v>
      </c>
      <c r="S5076">
        <f t="shared" si="396"/>
        <v>0</v>
      </c>
      <c r="T5076">
        <f t="shared" si="397"/>
        <v>0</v>
      </c>
      <c r="U5076">
        <f t="shared" si="398"/>
        <v>0</v>
      </c>
      <c r="V5076">
        <f t="shared" si="399"/>
        <v>0</v>
      </c>
    </row>
    <row r="5077" spans="1:22" x14ac:dyDescent="0.25">
      <c r="A5077">
        <v>5074</v>
      </c>
      <c r="B5077" t="s">
        <v>32</v>
      </c>
      <c r="C5077" t="s">
        <v>1455</v>
      </c>
      <c r="D5077" s="4">
        <v>45399</v>
      </c>
      <c r="E5077" t="s">
        <v>1807</v>
      </c>
      <c r="F5077" t="s">
        <v>75</v>
      </c>
      <c r="I5077" s="6">
        <v>0</v>
      </c>
      <c r="J5077" s="6">
        <v>0</v>
      </c>
      <c r="K5077" s="6">
        <v>1</v>
      </c>
      <c r="L5077" s="6">
        <v>0</v>
      </c>
      <c r="M5077" s="6">
        <v>0</v>
      </c>
      <c r="N5077" s="6">
        <v>0</v>
      </c>
      <c r="O5077" s="6">
        <v>0</v>
      </c>
      <c r="P5077" s="6">
        <v>0</v>
      </c>
      <c r="Q5077">
        <v>1</v>
      </c>
      <c r="R5077">
        <f t="shared" si="395"/>
        <v>0</v>
      </c>
      <c r="S5077">
        <f t="shared" si="396"/>
        <v>1</v>
      </c>
      <c r="T5077">
        <f t="shared" si="397"/>
        <v>1</v>
      </c>
      <c r="U5077">
        <f t="shared" si="398"/>
        <v>1</v>
      </c>
      <c r="V5077">
        <f t="shared" si="399"/>
        <v>0</v>
      </c>
    </row>
    <row r="5078" spans="1:22" x14ac:dyDescent="0.25">
      <c r="A5078">
        <v>5075</v>
      </c>
      <c r="B5078" t="s">
        <v>32</v>
      </c>
      <c r="C5078" t="s">
        <v>1455</v>
      </c>
      <c r="D5078" s="4">
        <v>45399</v>
      </c>
      <c r="E5078" t="s">
        <v>1549</v>
      </c>
      <c r="F5078" t="s">
        <v>413</v>
      </c>
      <c r="G5078">
        <v>240</v>
      </c>
      <c r="I5078" s="6">
        <v>0</v>
      </c>
      <c r="J5078" s="6">
        <v>1</v>
      </c>
      <c r="K5078" s="6">
        <v>1</v>
      </c>
      <c r="L5078" s="6">
        <v>0</v>
      </c>
      <c r="M5078" s="6">
        <v>0</v>
      </c>
      <c r="N5078" s="6">
        <v>0</v>
      </c>
      <c r="O5078" s="6">
        <v>0</v>
      </c>
      <c r="P5078" s="6">
        <v>0</v>
      </c>
      <c r="Q5078">
        <v>1</v>
      </c>
      <c r="R5078">
        <f t="shared" si="395"/>
        <v>1</v>
      </c>
      <c r="S5078">
        <f t="shared" si="396"/>
        <v>0</v>
      </c>
      <c r="T5078">
        <f t="shared" si="397"/>
        <v>2</v>
      </c>
      <c r="U5078">
        <f t="shared" si="398"/>
        <v>1</v>
      </c>
      <c r="V5078">
        <f t="shared" si="399"/>
        <v>1</v>
      </c>
    </row>
    <row r="5079" spans="1:22" x14ac:dyDescent="0.25">
      <c r="A5079">
        <v>5076</v>
      </c>
      <c r="B5079" t="s">
        <v>32</v>
      </c>
      <c r="C5079" t="s">
        <v>1455</v>
      </c>
      <c r="D5079" s="4">
        <v>45399</v>
      </c>
      <c r="E5079" t="s">
        <v>1372</v>
      </c>
      <c r="F5079" t="s">
        <v>75</v>
      </c>
      <c r="I5079" s="6"/>
      <c r="J5079" s="6"/>
      <c r="K5079" s="6"/>
      <c r="L5079" s="6"/>
      <c r="M5079" s="6"/>
      <c r="N5079" s="6"/>
      <c r="O5079" s="6"/>
      <c r="P5079" s="6"/>
      <c r="Q5079">
        <v>0</v>
      </c>
      <c r="R5079">
        <f t="shared" si="395"/>
        <v>0</v>
      </c>
      <c r="S5079">
        <f t="shared" si="396"/>
        <v>0</v>
      </c>
      <c r="T5079">
        <f t="shared" si="397"/>
        <v>0</v>
      </c>
      <c r="U5079">
        <f t="shared" si="398"/>
        <v>0</v>
      </c>
      <c r="V5079">
        <f t="shared" si="399"/>
        <v>0</v>
      </c>
    </row>
    <row r="5080" spans="1:22" x14ac:dyDescent="0.25">
      <c r="A5080">
        <v>5077</v>
      </c>
      <c r="B5080" t="s">
        <v>32</v>
      </c>
      <c r="C5080" t="s">
        <v>1455</v>
      </c>
      <c r="D5080" s="4">
        <v>45400</v>
      </c>
      <c r="E5080" t="s">
        <v>876</v>
      </c>
      <c r="F5080" t="s">
        <v>75</v>
      </c>
      <c r="I5080" s="6"/>
      <c r="J5080" s="6"/>
      <c r="K5080" s="6"/>
      <c r="L5080" s="6"/>
      <c r="M5080" s="6"/>
      <c r="N5080" s="6"/>
      <c r="O5080" s="6"/>
      <c r="P5080" s="6"/>
      <c r="Q5080">
        <v>0</v>
      </c>
      <c r="R5080">
        <f t="shared" si="395"/>
        <v>0</v>
      </c>
      <c r="S5080">
        <f t="shared" si="396"/>
        <v>0</v>
      </c>
      <c r="T5080">
        <f t="shared" si="397"/>
        <v>0</v>
      </c>
      <c r="U5080">
        <f t="shared" si="398"/>
        <v>0</v>
      </c>
      <c r="V5080">
        <f t="shared" si="399"/>
        <v>0</v>
      </c>
    </row>
    <row r="5081" spans="1:22" x14ac:dyDescent="0.25">
      <c r="A5081">
        <v>5078</v>
      </c>
      <c r="B5081" t="s">
        <v>32</v>
      </c>
      <c r="C5081" t="s">
        <v>1455</v>
      </c>
      <c r="D5081" s="4">
        <v>45400</v>
      </c>
      <c r="E5081" t="s">
        <v>296</v>
      </c>
      <c r="F5081" t="s">
        <v>75</v>
      </c>
      <c r="I5081" s="6"/>
      <c r="J5081" s="6"/>
      <c r="K5081" s="6"/>
      <c r="L5081" s="6"/>
      <c r="M5081" s="6"/>
      <c r="N5081" s="6"/>
      <c r="O5081" s="6"/>
      <c r="P5081" s="6"/>
      <c r="Q5081">
        <v>0</v>
      </c>
      <c r="R5081">
        <f t="shared" si="395"/>
        <v>0</v>
      </c>
      <c r="S5081">
        <f t="shared" si="396"/>
        <v>0</v>
      </c>
      <c r="T5081">
        <f t="shared" si="397"/>
        <v>0</v>
      </c>
      <c r="U5081">
        <f t="shared" si="398"/>
        <v>0</v>
      </c>
      <c r="V5081">
        <f t="shared" si="399"/>
        <v>0</v>
      </c>
    </row>
    <row r="5082" spans="1:22" x14ac:dyDescent="0.25">
      <c r="A5082">
        <v>5079</v>
      </c>
      <c r="B5082" t="s">
        <v>32</v>
      </c>
      <c r="C5082" t="s">
        <v>1455</v>
      </c>
      <c r="D5082" s="4">
        <v>45400</v>
      </c>
      <c r="E5082" t="s">
        <v>297</v>
      </c>
      <c r="F5082" t="s">
        <v>75</v>
      </c>
      <c r="I5082" s="6">
        <v>0</v>
      </c>
      <c r="J5082" s="6">
        <v>0</v>
      </c>
      <c r="K5082" s="6">
        <v>0</v>
      </c>
      <c r="L5082" s="6">
        <v>0</v>
      </c>
      <c r="M5082" s="6">
        <v>1</v>
      </c>
      <c r="N5082" s="6">
        <v>0</v>
      </c>
      <c r="O5082" s="6">
        <v>0</v>
      </c>
      <c r="P5082" s="6">
        <v>0</v>
      </c>
      <c r="Q5082">
        <v>1</v>
      </c>
      <c r="R5082">
        <f t="shared" si="395"/>
        <v>0</v>
      </c>
      <c r="S5082">
        <f t="shared" si="396"/>
        <v>1</v>
      </c>
      <c r="T5082">
        <f t="shared" si="397"/>
        <v>1</v>
      </c>
      <c r="U5082">
        <f t="shared" si="398"/>
        <v>1</v>
      </c>
      <c r="V5082">
        <f t="shared" si="399"/>
        <v>0</v>
      </c>
    </row>
    <row r="5083" spans="1:22" x14ac:dyDescent="0.25">
      <c r="A5083">
        <v>5080</v>
      </c>
      <c r="B5083" t="s">
        <v>32</v>
      </c>
      <c r="C5083" t="s">
        <v>1455</v>
      </c>
      <c r="D5083" s="4">
        <v>45400</v>
      </c>
      <c r="E5083" t="s">
        <v>1070</v>
      </c>
      <c r="F5083" t="s">
        <v>75</v>
      </c>
      <c r="I5083" s="6">
        <v>0</v>
      </c>
      <c r="J5083" s="6">
        <v>0</v>
      </c>
      <c r="K5083" s="6">
        <v>0</v>
      </c>
      <c r="L5083" s="6">
        <v>0</v>
      </c>
      <c r="M5083" s="6">
        <v>1</v>
      </c>
      <c r="N5083" s="6">
        <v>0</v>
      </c>
      <c r="O5083" s="6">
        <v>0</v>
      </c>
      <c r="P5083" s="6">
        <v>0</v>
      </c>
      <c r="Q5083">
        <v>1</v>
      </c>
      <c r="R5083">
        <f t="shared" si="395"/>
        <v>0</v>
      </c>
      <c r="S5083">
        <f t="shared" si="396"/>
        <v>1</v>
      </c>
      <c r="T5083">
        <f t="shared" si="397"/>
        <v>1</v>
      </c>
      <c r="U5083">
        <f t="shared" si="398"/>
        <v>1</v>
      </c>
      <c r="V5083">
        <f t="shared" si="399"/>
        <v>0</v>
      </c>
    </row>
    <row r="5084" spans="1:22" x14ac:dyDescent="0.25">
      <c r="A5084">
        <v>5081</v>
      </c>
      <c r="B5084" t="s">
        <v>32</v>
      </c>
      <c r="C5084" t="s">
        <v>1455</v>
      </c>
      <c r="D5084" s="4">
        <v>45400</v>
      </c>
      <c r="E5084" t="s">
        <v>1550</v>
      </c>
      <c r="F5084" t="s">
        <v>75</v>
      </c>
      <c r="I5084" s="6">
        <v>0</v>
      </c>
      <c r="J5084" s="6">
        <v>0</v>
      </c>
      <c r="K5084" s="6">
        <v>0</v>
      </c>
      <c r="L5084" s="6">
        <v>0</v>
      </c>
      <c r="M5084" s="6">
        <v>0</v>
      </c>
      <c r="N5084" s="6">
        <v>0</v>
      </c>
      <c r="O5084" s="6">
        <v>0</v>
      </c>
      <c r="P5084" s="6">
        <v>0</v>
      </c>
      <c r="Q5084">
        <v>1</v>
      </c>
      <c r="R5084">
        <f t="shared" si="395"/>
        <v>0</v>
      </c>
      <c r="S5084">
        <f t="shared" si="396"/>
        <v>1</v>
      </c>
      <c r="T5084">
        <f t="shared" si="397"/>
        <v>0</v>
      </c>
      <c r="U5084">
        <f t="shared" si="398"/>
        <v>0</v>
      </c>
      <c r="V5084">
        <f t="shared" si="399"/>
        <v>0</v>
      </c>
    </row>
    <row r="5085" spans="1:22" x14ac:dyDescent="0.25">
      <c r="A5085">
        <v>5082</v>
      </c>
      <c r="B5085" t="s">
        <v>32</v>
      </c>
      <c r="C5085" t="s">
        <v>1455</v>
      </c>
      <c r="D5085" s="4">
        <v>45400</v>
      </c>
      <c r="E5085" t="s">
        <v>2153</v>
      </c>
      <c r="F5085" t="s">
        <v>75</v>
      </c>
      <c r="I5085" s="6">
        <v>0</v>
      </c>
      <c r="J5085" s="6">
        <v>0</v>
      </c>
      <c r="K5085" s="6">
        <v>0</v>
      </c>
      <c r="L5085" s="6">
        <v>0</v>
      </c>
      <c r="M5085" s="6">
        <v>0</v>
      </c>
      <c r="N5085" s="6">
        <v>0</v>
      </c>
      <c r="O5085" s="6">
        <v>0</v>
      </c>
      <c r="P5085" s="6">
        <v>0</v>
      </c>
      <c r="Q5085">
        <v>1</v>
      </c>
      <c r="R5085">
        <f t="shared" si="395"/>
        <v>0</v>
      </c>
      <c r="S5085">
        <f t="shared" si="396"/>
        <v>1</v>
      </c>
      <c r="T5085">
        <f t="shared" si="397"/>
        <v>0</v>
      </c>
      <c r="U5085">
        <f t="shared" si="398"/>
        <v>0</v>
      </c>
      <c r="V5085">
        <f t="shared" si="399"/>
        <v>0</v>
      </c>
    </row>
    <row r="5086" spans="1:22" x14ac:dyDescent="0.25">
      <c r="A5086">
        <v>5083</v>
      </c>
      <c r="B5086" t="s">
        <v>32</v>
      </c>
      <c r="C5086" t="s">
        <v>1455</v>
      </c>
      <c r="D5086" s="4">
        <v>45400</v>
      </c>
      <c r="E5086" t="s">
        <v>1478</v>
      </c>
      <c r="F5086" t="s">
        <v>75</v>
      </c>
      <c r="I5086" s="6"/>
      <c r="J5086" s="6"/>
      <c r="K5086" s="6"/>
      <c r="L5086" s="6"/>
      <c r="M5086" s="6"/>
      <c r="N5086" s="6"/>
      <c r="O5086" s="6"/>
      <c r="P5086" s="6"/>
      <c r="Q5086">
        <v>0</v>
      </c>
      <c r="R5086">
        <f t="shared" si="395"/>
        <v>0</v>
      </c>
      <c r="S5086">
        <f t="shared" si="396"/>
        <v>0</v>
      </c>
      <c r="T5086">
        <f t="shared" si="397"/>
        <v>0</v>
      </c>
      <c r="U5086">
        <f t="shared" si="398"/>
        <v>0</v>
      </c>
      <c r="V5086">
        <f t="shared" si="399"/>
        <v>0</v>
      </c>
    </row>
    <row r="5087" spans="1:22" x14ac:dyDescent="0.25">
      <c r="A5087">
        <v>5084</v>
      </c>
      <c r="B5087" t="s">
        <v>32</v>
      </c>
      <c r="C5087" t="s">
        <v>1455</v>
      </c>
      <c r="D5087" s="4">
        <v>45401</v>
      </c>
      <c r="E5087" t="s">
        <v>298</v>
      </c>
      <c r="F5087" t="s">
        <v>75</v>
      </c>
      <c r="I5087" s="6"/>
      <c r="J5087" s="6"/>
      <c r="K5087" s="6"/>
      <c r="L5087" s="6"/>
      <c r="M5087" s="6"/>
      <c r="N5087" s="6"/>
      <c r="O5087" s="6"/>
      <c r="P5087" s="6"/>
      <c r="Q5087">
        <v>0</v>
      </c>
      <c r="R5087">
        <f t="shared" si="395"/>
        <v>0</v>
      </c>
      <c r="S5087">
        <f t="shared" si="396"/>
        <v>0</v>
      </c>
      <c r="T5087">
        <f t="shared" si="397"/>
        <v>0</v>
      </c>
      <c r="U5087">
        <f t="shared" si="398"/>
        <v>0</v>
      </c>
      <c r="V5087">
        <f t="shared" si="399"/>
        <v>0</v>
      </c>
    </row>
    <row r="5088" spans="1:22" x14ac:dyDescent="0.25">
      <c r="A5088">
        <v>5085</v>
      </c>
      <c r="B5088" t="s">
        <v>32</v>
      </c>
      <c r="C5088" t="s">
        <v>1455</v>
      </c>
      <c r="D5088" s="4">
        <v>45401</v>
      </c>
      <c r="E5088" t="s">
        <v>459</v>
      </c>
      <c r="F5088" t="s">
        <v>75</v>
      </c>
      <c r="I5088" s="6">
        <v>0</v>
      </c>
      <c r="J5088" s="6">
        <v>0</v>
      </c>
      <c r="K5088" s="6">
        <v>1</v>
      </c>
      <c r="L5088" s="6">
        <v>0</v>
      </c>
      <c r="M5088" s="6">
        <v>0</v>
      </c>
      <c r="N5088" s="6">
        <v>0</v>
      </c>
      <c r="O5088" s="6">
        <v>0</v>
      </c>
      <c r="P5088" s="6">
        <v>0</v>
      </c>
      <c r="Q5088">
        <v>1</v>
      </c>
      <c r="R5088">
        <f t="shared" si="395"/>
        <v>0</v>
      </c>
      <c r="S5088">
        <f t="shared" si="396"/>
        <v>1</v>
      </c>
      <c r="T5088">
        <f t="shared" si="397"/>
        <v>1</v>
      </c>
      <c r="U5088">
        <f t="shared" si="398"/>
        <v>1</v>
      </c>
      <c r="V5088">
        <f t="shared" si="399"/>
        <v>0</v>
      </c>
    </row>
    <row r="5089" spans="1:22" x14ac:dyDescent="0.25">
      <c r="A5089">
        <v>5086</v>
      </c>
      <c r="B5089" t="s">
        <v>32</v>
      </c>
      <c r="C5089" t="s">
        <v>1455</v>
      </c>
      <c r="D5089" s="4">
        <v>45401</v>
      </c>
      <c r="E5089" t="s">
        <v>877</v>
      </c>
      <c r="F5089" t="s">
        <v>75</v>
      </c>
      <c r="I5089" s="6"/>
      <c r="J5089" s="6"/>
      <c r="K5089" s="6"/>
      <c r="L5089" s="6"/>
      <c r="M5089" s="6"/>
      <c r="N5089" s="6"/>
      <c r="O5089" s="6"/>
      <c r="P5089" s="6"/>
      <c r="Q5089">
        <v>0</v>
      </c>
      <c r="R5089">
        <f t="shared" si="395"/>
        <v>0</v>
      </c>
      <c r="S5089">
        <f t="shared" si="396"/>
        <v>0</v>
      </c>
      <c r="T5089">
        <f t="shared" si="397"/>
        <v>0</v>
      </c>
      <c r="U5089">
        <f t="shared" si="398"/>
        <v>0</v>
      </c>
      <c r="V5089">
        <f t="shared" si="399"/>
        <v>0</v>
      </c>
    </row>
    <row r="5090" spans="1:22" x14ac:dyDescent="0.25">
      <c r="A5090">
        <v>5087</v>
      </c>
      <c r="B5090" t="s">
        <v>32</v>
      </c>
      <c r="C5090" t="s">
        <v>1455</v>
      </c>
      <c r="D5090" s="4">
        <v>45401</v>
      </c>
      <c r="E5090" t="s">
        <v>1479</v>
      </c>
      <c r="F5090" t="s">
        <v>75</v>
      </c>
      <c r="I5090" s="6"/>
      <c r="J5090" s="6"/>
      <c r="K5090" s="6"/>
      <c r="L5090" s="6"/>
      <c r="M5090" s="6"/>
      <c r="N5090" s="6"/>
      <c r="O5090" s="6"/>
      <c r="P5090" s="6"/>
      <c r="Q5090">
        <v>0</v>
      </c>
      <c r="R5090">
        <f t="shared" si="395"/>
        <v>0</v>
      </c>
      <c r="S5090">
        <f t="shared" si="396"/>
        <v>0</v>
      </c>
      <c r="T5090">
        <f t="shared" si="397"/>
        <v>0</v>
      </c>
      <c r="U5090">
        <f t="shared" si="398"/>
        <v>0</v>
      </c>
      <c r="V5090">
        <f t="shared" si="399"/>
        <v>0</v>
      </c>
    </row>
    <row r="5091" spans="1:22" x14ac:dyDescent="0.25">
      <c r="A5091">
        <v>5088</v>
      </c>
      <c r="B5091" t="s">
        <v>32</v>
      </c>
      <c r="C5091" t="s">
        <v>1455</v>
      </c>
      <c r="D5091" s="4">
        <v>45401</v>
      </c>
      <c r="E5091" t="s">
        <v>1153</v>
      </c>
      <c r="F5091" t="s">
        <v>75</v>
      </c>
      <c r="I5091" s="6"/>
      <c r="J5091" s="6"/>
      <c r="K5091" s="6"/>
      <c r="L5091" s="6"/>
      <c r="M5091" s="6"/>
      <c r="N5091" s="6"/>
      <c r="O5091" s="6"/>
      <c r="P5091" s="6"/>
      <c r="Q5091">
        <v>0</v>
      </c>
      <c r="R5091">
        <f t="shared" si="395"/>
        <v>0</v>
      </c>
      <c r="S5091">
        <f t="shared" si="396"/>
        <v>0</v>
      </c>
      <c r="T5091">
        <f t="shared" si="397"/>
        <v>0</v>
      </c>
      <c r="U5091">
        <f t="shared" si="398"/>
        <v>0</v>
      </c>
      <c r="V5091">
        <f t="shared" si="399"/>
        <v>0</v>
      </c>
    </row>
    <row r="5092" spans="1:22" x14ac:dyDescent="0.25">
      <c r="A5092">
        <v>5089</v>
      </c>
      <c r="B5092" t="s">
        <v>32</v>
      </c>
      <c r="C5092" t="s">
        <v>1455</v>
      </c>
      <c r="D5092" s="4">
        <v>45401</v>
      </c>
      <c r="E5092" t="s">
        <v>2152</v>
      </c>
      <c r="F5092" t="s">
        <v>75</v>
      </c>
      <c r="I5092" s="6"/>
      <c r="J5092" s="6"/>
      <c r="K5092" s="6"/>
      <c r="L5092" s="6"/>
      <c r="M5092" s="6"/>
      <c r="N5092" s="6"/>
      <c r="O5092" s="6"/>
      <c r="P5092" s="6"/>
      <c r="Q5092">
        <v>0</v>
      </c>
      <c r="R5092">
        <f t="shared" si="395"/>
        <v>0</v>
      </c>
      <c r="S5092">
        <f t="shared" si="396"/>
        <v>0</v>
      </c>
      <c r="T5092">
        <f t="shared" si="397"/>
        <v>0</v>
      </c>
      <c r="U5092">
        <f t="shared" si="398"/>
        <v>0</v>
      </c>
      <c r="V5092">
        <f t="shared" si="399"/>
        <v>0</v>
      </c>
    </row>
    <row r="5093" spans="1:22" x14ac:dyDescent="0.25">
      <c r="A5093">
        <v>5090</v>
      </c>
      <c r="B5093" t="s">
        <v>32</v>
      </c>
      <c r="C5093" t="s">
        <v>1455</v>
      </c>
      <c r="D5093" s="4">
        <v>45401</v>
      </c>
      <c r="E5093" t="s">
        <v>1154</v>
      </c>
      <c r="F5093" t="s">
        <v>75</v>
      </c>
      <c r="I5093" s="6">
        <v>0</v>
      </c>
      <c r="J5093" s="6">
        <v>0</v>
      </c>
      <c r="K5093" s="6">
        <v>0</v>
      </c>
      <c r="L5093" s="6">
        <v>0</v>
      </c>
      <c r="M5093" s="6">
        <v>0</v>
      </c>
      <c r="N5093" s="6">
        <v>0</v>
      </c>
      <c r="O5093" s="6">
        <v>0</v>
      </c>
      <c r="P5093" s="6">
        <v>0</v>
      </c>
      <c r="Q5093">
        <v>1</v>
      </c>
      <c r="R5093">
        <f t="shared" si="395"/>
        <v>0</v>
      </c>
      <c r="S5093">
        <f t="shared" si="396"/>
        <v>1</v>
      </c>
      <c r="T5093">
        <f t="shared" si="397"/>
        <v>0</v>
      </c>
      <c r="U5093">
        <f t="shared" si="398"/>
        <v>0</v>
      </c>
      <c r="V5093">
        <f t="shared" si="399"/>
        <v>0</v>
      </c>
    </row>
    <row r="5094" spans="1:22" x14ac:dyDescent="0.25">
      <c r="A5094">
        <v>5091</v>
      </c>
      <c r="B5094" t="s">
        <v>32</v>
      </c>
      <c r="C5094" t="s">
        <v>1455</v>
      </c>
      <c r="D5094" s="4">
        <v>45402</v>
      </c>
      <c r="E5094" t="s">
        <v>299</v>
      </c>
      <c r="F5094" t="s">
        <v>75</v>
      </c>
      <c r="I5094" s="6"/>
      <c r="J5094" s="6"/>
      <c r="K5094" s="6"/>
      <c r="L5094" s="6"/>
      <c r="M5094" s="6"/>
      <c r="N5094" s="6"/>
      <c r="O5094" s="6"/>
      <c r="P5094" s="6"/>
      <c r="Q5094">
        <v>0</v>
      </c>
      <c r="R5094">
        <f t="shared" si="395"/>
        <v>0</v>
      </c>
      <c r="S5094">
        <f t="shared" si="396"/>
        <v>0</v>
      </c>
      <c r="T5094">
        <f t="shared" si="397"/>
        <v>0</v>
      </c>
      <c r="U5094">
        <f t="shared" si="398"/>
        <v>0</v>
      </c>
      <c r="V5094">
        <f t="shared" si="399"/>
        <v>0</v>
      </c>
    </row>
    <row r="5095" spans="1:22" x14ac:dyDescent="0.25">
      <c r="A5095">
        <v>5092</v>
      </c>
      <c r="B5095" t="s">
        <v>32</v>
      </c>
      <c r="C5095" t="s">
        <v>1455</v>
      </c>
      <c r="D5095" s="4">
        <v>45402</v>
      </c>
      <c r="E5095" t="s">
        <v>2032</v>
      </c>
      <c r="F5095" t="s">
        <v>75</v>
      </c>
      <c r="I5095" s="6"/>
      <c r="J5095" s="6"/>
      <c r="K5095" s="6"/>
      <c r="L5095" s="6"/>
      <c r="M5095" s="6"/>
      <c r="N5095" s="6"/>
      <c r="O5095" s="6"/>
      <c r="P5095" s="6"/>
      <c r="Q5095">
        <v>0</v>
      </c>
      <c r="R5095">
        <f t="shared" si="395"/>
        <v>0</v>
      </c>
      <c r="S5095">
        <f t="shared" si="396"/>
        <v>0</v>
      </c>
      <c r="T5095">
        <f t="shared" si="397"/>
        <v>0</v>
      </c>
      <c r="U5095">
        <f t="shared" si="398"/>
        <v>0</v>
      </c>
      <c r="V5095">
        <f t="shared" si="399"/>
        <v>0</v>
      </c>
    </row>
    <row r="5096" spans="1:22" x14ac:dyDescent="0.25">
      <c r="A5096">
        <v>5093</v>
      </c>
      <c r="B5096" t="s">
        <v>32</v>
      </c>
      <c r="C5096" t="s">
        <v>1455</v>
      </c>
      <c r="D5096" s="4">
        <v>45402</v>
      </c>
      <c r="E5096" t="s">
        <v>1377</v>
      </c>
      <c r="F5096" t="s">
        <v>75</v>
      </c>
      <c r="I5096" s="6"/>
      <c r="J5096" s="6"/>
      <c r="K5096" s="6"/>
      <c r="L5096" s="6"/>
      <c r="M5096" s="6"/>
      <c r="N5096" s="6"/>
      <c r="O5096" s="6"/>
      <c r="P5096" s="6"/>
      <c r="Q5096">
        <v>0</v>
      </c>
      <c r="R5096">
        <f t="shared" si="395"/>
        <v>0</v>
      </c>
      <c r="S5096">
        <f t="shared" si="396"/>
        <v>0</v>
      </c>
      <c r="T5096">
        <f t="shared" si="397"/>
        <v>0</v>
      </c>
      <c r="U5096">
        <f t="shared" si="398"/>
        <v>0</v>
      </c>
      <c r="V5096">
        <f t="shared" si="399"/>
        <v>0</v>
      </c>
    </row>
    <row r="5097" spans="1:22" x14ac:dyDescent="0.25">
      <c r="A5097">
        <v>5094</v>
      </c>
      <c r="B5097" t="s">
        <v>32</v>
      </c>
      <c r="C5097" t="s">
        <v>1455</v>
      </c>
      <c r="D5097" s="4">
        <v>45402</v>
      </c>
      <c r="E5097" t="s">
        <v>2151</v>
      </c>
      <c r="F5097" t="s">
        <v>75</v>
      </c>
      <c r="I5097" s="6"/>
      <c r="J5097" s="6"/>
      <c r="K5097" s="6"/>
      <c r="L5097" s="6"/>
      <c r="M5097" s="6"/>
      <c r="N5097" s="6"/>
      <c r="O5097" s="6"/>
      <c r="P5097" s="6"/>
      <c r="Q5097">
        <v>0</v>
      </c>
      <c r="R5097">
        <f t="shared" si="395"/>
        <v>0</v>
      </c>
      <c r="S5097">
        <f t="shared" si="396"/>
        <v>0</v>
      </c>
      <c r="T5097">
        <f t="shared" si="397"/>
        <v>0</v>
      </c>
      <c r="U5097">
        <f t="shared" si="398"/>
        <v>0</v>
      </c>
      <c r="V5097">
        <f t="shared" si="399"/>
        <v>0</v>
      </c>
    </row>
    <row r="5098" spans="1:22" x14ac:dyDescent="0.25">
      <c r="A5098">
        <v>5095</v>
      </c>
      <c r="B5098" t="s">
        <v>32</v>
      </c>
      <c r="C5098" t="s">
        <v>1455</v>
      </c>
      <c r="D5098" s="4">
        <v>45402</v>
      </c>
      <c r="E5098" t="s">
        <v>1551</v>
      </c>
      <c r="F5098" t="s">
        <v>75</v>
      </c>
      <c r="I5098" s="6">
        <v>0</v>
      </c>
      <c r="J5098" s="6">
        <v>0</v>
      </c>
      <c r="K5098" s="6">
        <v>0</v>
      </c>
      <c r="L5098" s="6">
        <v>1</v>
      </c>
      <c r="M5098" s="6">
        <v>0</v>
      </c>
      <c r="N5098" s="6">
        <v>1</v>
      </c>
      <c r="O5098" s="6">
        <v>0</v>
      </c>
      <c r="P5098" s="6">
        <v>0</v>
      </c>
      <c r="Q5098">
        <v>1</v>
      </c>
      <c r="R5098">
        <f t="shared" si="395"/>
        <v>0</v>
      </c>
      <c r="S5098">
        <f t="shared" si="396"/>
        <v>1</v>
      </c>
      <c r="T5098">
        <f t="shared" si="397"/>
        <v>2</v>
      </c>
      <c r="U5098">
        <f t="shared" si="398"/>
        <v>1</v>
      </c>
      <c r="V5098">
        <f t="shared" si="399"/>
        <v>0</v>
      </c>
    </row>
    <row r="5099" spans="1:22" x14ac:dyDescent="0.25">
      <c r="A5099">
        <v>5096</v>
      </c>
      <c r="B5099" t="s">
        <v>32</v>
      </c>
      <c r="C5099" t="s">
        <v>1455</v>
      </c>
      <c r="D5099" s="4">
        <v>45403</v>
      </c>
      <c r="E5099" t="s">
        <v>300</v>
      </c>
      <c r="F5099" t="s">
        <v>75</v>
      </c>
      <c r="I5099" s="6"/>
      <c r="J5099" s="6"/>
      <c r="K5099" s="6"/>
      <c r="L5099" s="6"/>
      <c r="M5099" s="6"/>
      <c r="N5099" s="6"/>
      <c r="O5099" s="6"/>
      <c r="P5099" s="6"/>
      <c r="Q5099">
        <v>0</v>
      </c>
      <c r="R5099">
        <f t="shared" si="395"/>
        <v>0</v>
      </c>
      <c r="S5099">
        <f t="shared" si="396"/>
        <v>0</v>
      </c>
      <c r="T5099">
        <f t="shared" si="397"/>
        <v>0</v>
      </c>
      <c r="U5099">
        <f t="shared" si="398"/>
        <v>0</v>
      </c>
      <c r="V5099">
        <f t="shared" si="399"/>
        <v>0</v>
      </c>
    </row>
    <row r="5100" spans="1:22" x14ac:dyDescent="0.25">
      <c r="A5100">
        <v>5097</v>
      </c>
      <c r="B5100" t="s">
        <v>32</v>
      </c>
      <c r="C5100" t="s">
        <v>1455</v>
      </c>
      <c r="D5100" s="4">
        <v>45403</v>
      </c>
      <c r="E5100" t="s">
        <v>461</v>
      </c>
      <c r="F5100" t="s">
        <v>75</v>
      </c>
      <c r="I5100" s="6">
        <v>0</v>
      </c>
      <c r="J5100" s="6">
        <v>0</v>
      </c>
      <c r="K5100" s="6">
        <v>0</v>
      </c>
      <c r="L5100" s="6">
        <v>0</v>
      </c>
      <c r="M5100" s="6">
        <v>0</v>
      </c>
      <c r="N5100" s="6">
        <v>0</v>
      </c>
      <c r="O5100" s="6">
        <v>1</v>
      </c>
      <c r="P5100" s="6">
        <v>0</v>
      </c>
      <c r="Q5100">
        <v>1</v>
      </c>
      <c r="R5100">
        <f t="shared" si="395"/>
        <v>0</v>
      </c>
      <c r="S5100">
        <f t="shared" si="396"/>
        <v>1</v>
      </c>
      <c r="T5100">
        <f t="shared" si="397"/>
        <v>1</v>
      </c>
      <c r="U5100">
        <f t="shared" si="398"/>
        <v>1</v>
      </c>
      <c r="V5100">
        <f t="shared" si="399"/>
        <v>0</v>
      </c>
    </row>
    <row r="5101" spans="1:22" x14ac:dyDescent="0.25">
      <c r="A5101">
        <v>5098</v>
      </c>
      <c r="B5101" t="s">
        <v>32</v>
      </c>
      <c r="C5101" t="s">
        <v>1455</v>
      </c>
      <c r="D5101" s="4">
        <v>45403</v>
      </c>
      <c r="E5101" t="s">
        <v>462</v>
      </c>
      <c r="F5101" t="s">
        <v>75</v>
      </c>
      <c r="I5101" s="6"/>
      <c r="J5101" s="6"/>
      <c r="K5101" s="6"/>
      <c r="L5101" s="6"/>
      <c r="M5101" s="6"/>
      <c r="N5101" s="6"/>
      <c r="O5101" s="6"/>
      <c r="P5101" s="6"/>
      <c r="Q5101">
        <v>0</v>
      </c>
      <c r="R5101">
        <f t="shared" si="395"/>
        <v>0</v>
      </c>
      <c r="S5101">
        <f t="shared" si="396"/>
        <v>0</v>
      </c>
      <c r="T5101">
        <f t="shared" si="397"/>
        <v>0</v>
      </c>
      <c r="U5101">
        <f t="shared" si="398"/>
        <v>0</v>
      </c>
      <c r="V5101">
        <f t="shared" si="399"/>
        <v>0</v>
      </c>
    </row>
    <row r="5102" spans="1:22" x14ac:dyDescent="0.25">
      <c r="A5102">
        <v>5099</v>
      </c>
      <c r="B5102" t="s">
        <v>32</v>
      </c>
      <c r="C5102" t="s">
        <v>1455</v>
      </c>
      <c r="D5102" s="4">
        <v>45403</v>
      </c>
      <c r="E5102" t="s">
        <v>1810</v>
      </c>
      <c r="F5102" t="s">
        <v>75</v>
      </c>
      <c r="I5102" s="6"/>
      <c r="J5102" s="6"/>
      <c r="K5102" s="6"/>
      <c r="L5102" s="6"/>
      <c r="M5102" s="6"/>
      <c r="N5102" s="6"/>
      <c r="O5102" s="6"/>
      <c r="P5102" s="6"/>
      <c r="Q5102">
        <v>0</v>
      </c>
      <c r="R5102">
        <f t="shared" si="395"/>
        <v>0</v>
      </c>
      <c r="S5102">
        <f t="shared" si="396"/>
        <v>0</v>
      </c>
      <c r="T5102">
        <f t="shared" si="397"/>
        <v>0</v>
      </c>
      <c r="U5102">
        <f t="shared" si="398"/>
        <v>0</v>
      </c>
      <c r="V5102">
        <f t="shared" si="399"/>
        <v>0</v>
      </c>
    </row>
    <row r="5103" spans="1:22" x14ac:dyDescent="0.25">
      <c r="A5103">
        <v>5100</v>
      </c>
      <c r="B5103" t="s">
        <v>32</v>
      </c>
      <c r="C5103" t="s">
        <v>1455</v>
      </c>
      <c r="D5103" s="4">
        <v>45403</v>
      </c>
      <c r="E5103" t="s">
        <v>1552</v>
      </c>
      <c r="F5103" t="s">
        <v>75</v>
      </c>
      <c r="I5103" s="6">
        <v>0</v>
      </c>
      <c r="J5103" s="6">
        <v>0</v>
      </c>
      <c r="K5103" s="6">
        <v>0</v>
      </c>
      <c r="L5103" s="6">
        <v>0</v>
      </c>
      <c r="M5103" s="6">
        <v>0</v>
      </c>
      <c r="N5103" s="6">
        <v>0</v>
      </c>
      <c r="O5103" s="6">
        <v>0</v>
      </c>
      <c r="P5103" s="6">
        <v>0</v>
      </c>
      <c r="Q5103">
        <v>1</v>
      </c>
      <c r="R5103">
        <f t="shared" si="395"/>
        <v>0</v>
      </c>
      <c r="S5103">
        <f t="shared" si="396"/>
        <v>1</v>
      </c>
      <c r="T5103">
        <f t="shared" si="397"/>
        <v>0</v>
      </c>
      <c r="U5103">
        <f t="shared" si="398"/>
        <v>0</v>
      </c>
      <c r="V5103">
        <f t="shared" si="399"/>
        <v>0</v>
      </c>
    </row>
    <row r="5104" spans="1:22" x14ac:dyDescent="0.25">
      <c r="A5104">
        <v>5101</v>
      </c>
      <c r="B5104" t="s">
        <v>32</v>
      </c>
      <c r="C5104" t="s">
        <v>1455</v>
      </c>
      <c r="D5104" s="4">
        <v>45404</v>
      </c>
      <c r="E5104" t="s">
        <v>301</v>
      </c>
      <c r="F5104" t="s">
        <v>75</v>
      </c>
      <c r="I5104" s="6"/>
      <c r="J5104" s="6"/>
      <c r="K5104" s="6"/>
      <c r="L5104" s="6"/>
      <c r="M5104" s="6"/>
      <c r="N5104" s="6"/>
      <c r="O5104" s="6"/>
      <c r="P5104" s="6"/>
      <c r="Q5104">
        <v>0</v>
      </c>
      <c r="R5104">
        <f t="shared" si="395"/>
        <v>0</v>
      </c>
      <c r="S5104">
        <f t="shared" si="396"/>
        <v>0</v>
      </c>
      <c r="T5104">
        <f t="shared" si="397"/>
        <v>0</v>
      </c>
      <c r="U5104">
        <f t="shared" si="398"/>
        <v>0</v>
      </c>
      <c r="V5104">
        <f t="shared" si="399"/>
        <v>0</v>
      </c>
    </row>
    <row r="5105" spans="1:22" x14ac:dyDescent="0.25">
      <c r="A5105">
        <v>5102</v>
      </c>
      <c r="B5105" t="s">
        <v>32</v>
      </c>
      <c r="C5105" t="s">
        <v>1455</v>
      </c>
      <c r="D5105" s="4">
        <v>45404</v>
      </c>
      <c r="E5105" t="s">
        <v>302</v>
      </c>
      <c r="F5105" t="s">
        <v>75</v>
      </c>
      <c r="I5105" s="6"/>
      <c r="J5105" s="6"/>
      <c r="K5105" s="6"/>
      <c r="L5105" s="6"/>
      <c r="M5105" s="6"/>
      <c r="N5105" s="6"/>
      <c r="O5105" s="6"/>
      <c r="P5105" s="6"/>
      <c r="Q5105">
        <v>0</v>
      </c>
      <c r="R5105">
        <f t="shared" si="395"/>
        <v>0</v>
      </c>
      <c r="S5105">
        <f t="shared" si="396"/>
        <v>0</v>
      </c>
      <c r="T5105">
        <f t="shared" si="397"/>
        <v>0</v>
      </c>
      <c r="U5105">
        <f t="shared" si="398"/>
        <v>0</v>
      </c>
      <c r="V5105">
        <f t="shared" si="399"/>
        <v>0</v>
      </c>
    </row>
    <row r="5106" spans="1:22" x14ac:dyDescent="0.25">
      <c r="A5106">
        <v>5103</v>
      </c>
      <c r="B5106" t="s">
        <v>32</v>
      </c>
      <c r="C5106" t="s">
        <v>1455</v>
      </c>
      <c r="D5106" s="4">
        <v>45404</v>
      </c>
      <c r="E5106" t="s">
        <v>2031</v>
      </c>
      <c r="F5106" t="s">
        <v>75</v>
      </c>
      <c r="I5106" s="6"/>
      <c r="J5106" s="6"/>
      <c r="K5106" s="6"/>
      <c r="L5106" s="6"/>
      <c r="M5106" s="6"/>
      <c r="N5106" s="6"/>
      <c r="O5106" s="6"/>
      <c r="P5106" s="6"/>
      <c r="Q5106">
        <v>0</v>
      </c>
      <c r="R5106">
        <f t="shared" si="395"/>
        <v>0</v>
      </c>
      <c r="S5106">
        <f t="shared" si="396"/>
        <v>0</v>
      </c>
      <c r="T5106">
        <f t="shared" si="397"/>
        <v>0</v>
      </c>
      <c r="U5106">
        <f t="shared" si="398"/>
        <v>0</v>
      </c>
      <c r="V5106">
        <f t="shared" si="399"/>
        <v>0</v>
      </c>
    </row>
    <row r="5107" spans="1:22" x14ac:dyDescent="0.25">
      <c r="A5107">
        <v>5104</v>
      </c>
      <c r="B5107" t="s">
        <v>32</v>
      </c>
      <c r="C5107" t="s">
        <v>1455</v>
      </c>
      <c r="D5107" s="4">
        <v>45404</v>
      </c>
      <c r="E5107" t="s">
        <v>1155</v>
      </c>
      <c r="F5107" t="s">
        <v>75</v>
      </c>
      <c r="I5107" s="6"/>
      <c r="J5107" s="6"/>
      <c r="K5107" s="6"/>
      <c r="L5107" s="6"/>
      <c r="M5107" s="6"/>
      <c r="N5107" s="6"/>
      <c r="O5107" s="6"/>
      <c r="P5107" s="6"/>
      <c r="Q5107">
        <v>0</v>
      </c>
      <c r="R5107">
        <f t="shared" si="395"/>
        <v>0</v>
      </c>
      <c r="S5107">
        <f t="shared" si="396"/>
        <v>0</v>
      </c>
      <c r="T5107">
        <f t="shared" si="397"/>
        <v>0</v>
      </c>
      <c r="U5107">
        <f t="shared" si="398"/>
        <v>0</v>
      </c>
      <c r="V5107">
        <f t="shared" si="399"/>
        <v>0</v>
      </c>
    </row>
    <row r="5108" spans="1:22" x14ac:dyDescent="0.25">
      <c r="A5108">
        <v>5105</v>
      </c>
      <c r="B5108" t="s">
        <v>32</v>
      </c>
      <c r="C5108" t="s">
        <v>1455</v>
      </c>
      <c r="D5108" s="4">
        <v>45404</v>
      </c>
      <c r="E5108" t="s">
        <v>1156</v>
      </c>
      <c r="F5108" t="s">
        <v>75</v>
      </c>
      <c r="I5108" s="6"/>
      <c r="J5108" s="6"/>
      <c r="K5108" s="6"/>
      <c r="L5108" s="6"/>
      <c r="M5108" s="6"/>
      <c r="N5108" s="6"/>
      <c r="O5108" s="6"/>
      <c r="P5108" s="6"/>
      <c r="Q5108">
        <v>0</v>
      </c>
      <c r="R5108">
        <f t="shared" si="395"/>
        <v>0</v>
      </c>
      <c r="S5108">
        <f t="shared" si="396"/>
        <v>0</v>
      </c>
      <c r="T5108">
        <f t="shared" si="397"/>
        <v>0</v>
      </c>
      <c r="U5108">
        <f t="shared" si="398"/>
        <v>0</v>
      </c>
      <c r="V5108">
        <f t="shared" si="399"/>
        <v>0</v>
      </c>
    </row>
    <row r="5109" spans="1:22" x14ac:dyDescent="0.25">
      <c r="A5109">
        <v>5106</v>
      </c>
      <c r="B5109" t="s">
        <v>32</v>
      </c>
      <c r="C5109" t="s">
        <v>1455</v>
      </c>
      <c r="D5109" s="4">
        <v>45405</v>
      </c>
      <c r="E5109" t="s">
        <v>303</v>
      </c>
      <c r="F5109" t="s">
        <v>75</v>
      </c>
      <c r="I5109" s="6">
        <v>0</v>
      </c>
      <c r="J5109" s="6">
        <v>0</v>
      </c>
      <c r="K5109" s="6">
        <v>0</v>
      </c>
      <c r="L5109" s="6">
        <v>1</v>
      </c>
      <c r="M5109" s="6">
        <v>0</v>
      </c>
      <c r="N5109" s="6">
        <v>0</v>
      </c>
      <c r="O5109" s="6">
        <v>0</v>
      </c>
      <c r="P5109" s="6">
        <v>0</v>
      </c>
      <c r="Q5109">
        <v>1</v>
      </c>
      <c r="R5109">
        <f t="shared" si="395"/>
        <v>0</v>
      </c>
      <c r="S5109">
        <f t="shared" si="396"/>
        <v>1</v>
      </c>
      <c r="T5109">
        <f t="shared" si="397"/>
        <v>1</v>
      </c>
      <c r="U5109">
        <f t="shared" si="398"/>
        <v>1</v>
      </c>
      <c r="V5109">
        <f t="shared" si="399"/>
        <v>0</v>
      </c>
    </row>
    <row r="5110" spans="1:22" x14ac:dyDescent="0.25">
      <c r="A5110">
        <v>5107</v>
      </c>
      <c r="B5110" t="s">
        <v>32</v>
      </c>
      <c r="C5110" t="s">
        <v>1455</v>
      </c>
      <c r="D5110" s="4">
        <v>45405</v>
      </c>
      <c r="E5110" t="s">
        <v>1072</v>
      </c>
      <c r="F5110" t="s">
        <v>75</v>
      </c>
      <c r="I5110" s="6"/>
      <c r="J5110" s="6"/>
      <c r="K5110" s="6"/>
      <c r="L5110" s="6"/>
      <c r="M5110" s="6"/>
      <c r="N5110" s="6"/>
      <c r="O5110" s="6"/>
      <c r="P5110" s="6"/>
      <c r="Q5110">
        <v>0</v>
      </c>
      <c r="R5110">
        <f t="shared" si="395"/>
        <v>0</v>
      </c>
      <c r="S5110">
        <f t="shared" si="396"/>
        <v>0</v>
      </c>
      <c r="T5110">
        <f t="shared" si="397"/>
        <v>0</v>
      </c>
      <c r="U5110">
        <f t="shared" si="398"/>
        <v>0</v>
      </c>
      <c r="V5110">
        <f t="shared" si="399"/>
        <v>0</v>
      </c>
    </row>
    <row r="5111" spans="1:22" x14ac:dyDescent="0.25">
      <c r="A5111">
        <v>5108</v>
      </c>
      <c r="B5111" t="s">
        <v>32</v>
      </c>
      <c r="C5111" t="s">
        <v>1455</v>
      </c>
      <c r="D5111" s="4">
        <v>45405</v>
      </c>
      <c r="E5111" t="s">
        <v>1157</v>
      </c>
      <c r="F5111" t="s">
        <v>75</v>
      </c>
      <c r="I5111" s="6"/>
      <c r="J5111" s="6"/>
      <c r="K5111" s="6"/>
      <c r="L5111" s="6"/>
      <c r="M5111" s="6"/>
      <c r="N5111" s="6"/>
      <c r="O5111" s="6"/>
      <c r="P5111" s="6"/>
      <c r="Q5111">
        <v>0</v>
      </c>
      <c r="R5111">
        <f t="shared" si="395"/>
        <v>0</v>
      </c>
      <c r="S5111">
        <f t="shared" si="396"/>
        <v>0</v>
      </c>
      <c r="T5111">
        <f t="shared" si="397"/>
        <v>0</v>
      </c>
      <c r="U5111">
        <f t="shared" si="398"/>
        <v>0</v>
      </c>
      <c r="V5111">
        <f t="shared" si="399"/>
        <v>0</v>
      </c>
    </row>
    <row r="5112" spans="1:22" x14ac:dyDescent="0.25">
      <c r="A5112">
        <v>5109</v>
      </c>
      <c r="B5112" t="s">
        <v>32</v>
      </c>
      <c r="C5112" t="s">
        <v>1455</v>
      </c>
      <c r="D5112" s="4">
        <v>45405</v>
      </c>
      <c r="E5112" t="s">
        <v>1379</v>
      </c>
      <c r="F5112" t="s">
        <v>75</v>
      </c>
      <c r="I5112" s="6"/>
      <c r="J5112" s="6"/>
      <c r="K5112" s="6"/>
      <c r="L5112" s="6"/>
      <c r="M5112" s="6"/>
      <c r="N5112" s="6"/>
      <c r="O5112" s="6"/>
      <c r="P5112" s="6"/>
      <c r="Q5112">
        <v>0</v>
      </c>
      <c r="R5112">
        <f t="shared" si="395"/>
        <v>0</v>
      </c>
      <c r="S5112">
        <f t="shared" si="396"/>
        <v>0</v>
      </c>
      <c r="T5112">
        <f t="shared" si="397"/>
        <v>0</v>
      </c>
      <c r="U5112">
        <f t="shared" si="398"/>
        <v>0</v>
      </c>
      <c r="V5112">
        <f t="shared" si="399"/>
        <v>0</v>
      </c>
    </row>
    <row r="5113" spans="1:22" x14ac:dyDescent="0.25">
      <c r="A5113">
        <v>5110</v>
      </c>
      <c r="B5113" t="s">
        <v>32</v>
      </c>
      <c r="C5113" t="s">
        <v>1455</v>
      </c>
      <c r="D5113" s="4">
        <v>45405</v>
      </c>
      <c r="E5113" t="s">
        <v>1380</v>
      </c>
      <c r="F5113" t="s">
        <v>75</v>
      </c>
      <c r="I5113" s="6">
        <v>0</v>
      </c>
      <c r="J5113" s="6">
        <v>0</v>
      </c>
      <c r="K5113" s="6">
        <v>1</v>
      </c>
      <c r="L5113" s="6">
        <v>0</v>
      </c>
      <c r="M5113" s="6">
        <v>0</v>
      </c>
      <c r="N5113" s="6">
        <v>1</v>
      </c>
      <c r="O5113" s="6">
        <v>0</v>
      </c>
      <c r="P5113" s="6">
        <v>0</v>
      </c>
      <c r="Q5113">
        <v>1</v>
      </c>
      <c r="R5113">
        <f t="shared" si="395"/>
        <v>0</v>
      </c>
      <c r="S5113">
        <f t="shared" si="396"/>
        <v>1</v>
      </c>
      <c r="T5113">
        <f t="shared" si="397"/>
        <v>2</v>
      </c>
      <c r="U5113">
        <f t="shared" si="398"/>
        <v>1</v>
      </c>
      <c r="V5113">
        <f t="shared" si="399"/>
        <v>0</v>
      </c>
    </row>
    <row r="5114" spans="1:22" x14ac:dyDescent="0.25">
      <c r="A5114">
        <v>5111</v>
      </c>
      <c r="B5114" t="s">
        <v>32</v>
      </c>
      <c r="C5114" t="s">
        <v>1455</v>
      </c>
      <c r="D5114" s="4">
        <v>45405</v>
      </c>
      <c r="E5114" t="s">
        <v>2030</v>
      </c>
      <c r="F5114" t="s">
        <v>75</v>
      </c>
      <c r="I5114" s="6">
        <v>0</v>
      </c>
      <c r="J5114" s="6">
        <v>0</v>
      </c>
      <c r="K5114" s="6">
        <v>1</v>
      </c>
      <c r="L5114" s="6">
        <v>0</v>
      </c>
      <c r="M5114" s="6">
        <v>0</v>
      </c>
      <c r="N5114" s="6">
        <v>0</v>
      </c>
      <c r="O5114" s="6">
        <v>0</v>
      </c>
      <c r="P5114" s="6">
        <v>0</v>
      </c>
      <c r="Q5114">
        <v>1</v>
      </c>
      <c r="R5114">
        <f t="shared" si="395"/>
        <v>0</v>
      </c>
      <c r="S5114">
        <f t="shared" si="396"/>
        <v>1</v>
      </c>
      <c r="T5114">
        <f t="shared" si="397"/>
        <v>1</v>
      </c>
      <c r="U5114">
        <f t="shared" si="398"/>
        <v>1</v>
      </c>
      <c r="V5114">
        <f t="shared" si="399"/>
        <v>0</v>
      </c>
    </row>
    <row r="5115" spans="1:22" x14ac:dyDescent="0.25">
      <c r="A5115">
        <v>5112</v>
      </c>
      <c r="B5115" t="s">
        <v>32</v>
      </c>
      <c r="C5115" t="s">
        <v>1455</v>
      </c>
      <c r="D5115" s="4">
        <v>45406</v>
      </c>
      <c r="E5115" t="s">
        <v>977</v>
      </c>
      <c r="F5115" t="s">
        <v>75</v>
      </c>
      <c r="I5115" s="6">
        <v>0</v>
      </c>
      <c r="J5115" s="6">
        <v>0</v>
      </c>
      <c r="K5115" s="6">
        <v>0</v>
      </c>
      <c r="L5115" s="6">
        <v>0</v>
      </c>
      <c r="M5115" s="6">
        <v>1</v>
      </c>
      <c r="N5115" s="6">
        <v>0</v>
      </c>
      <c r="O5115" s="6">
        <v>0</v>
      </c>
      <c r="P5115" s="6">
        <v>0</v>
      </c>
      <c r="Q5115">
        <v>1</v>
      </c>
      <c r="R5115">
        <f t="shared" si="395"/>
        <v>0</v>
      </c>
      <c r="S5115">
        <f t="shared" si="396"/>
        <v>1</v>
      </c>
      <c r="T5115">
        <f t="shared" si="397"/>
        <v>1</v>
      </c>
      <c r="U5115">
        <f t="shared" si="398"/>
        <v>1</v>
      </c>
      <c r="V5115">
        <f t="shared" si="399"/>
        <v>0</v>
      </c>
    </row>
    <row r="5116" spans="1:22" x14ac:dyDescent="0.25">
      <c r="A5116">
        <v>5113</v>
      </c>
      <c r="B5116" t="s">
        <v>32</v>
      </c>
      <c r="C5116" t="s">
        <v>1455</v>
      </c>
      <c r="D5116" s="4">
        <v>45406</v>
      </c>
      <c r="E5116" t="s">
        <v>979</v>
      </c>
      <c r="F5116" t="s">
        <v>75</v>
      </c>
      <c r="I5116" s="6">
        <v>0</v>
      </c>
      <c r="J5116" s="6">
        <v>0</v>
      </c>
      <c r="K5116" s="6">
        <v>0</v>
      </c>
      <c r="L5116" s="6">
        <v>1</v>
      </c>
      <c r="M5116" s="6">
        <v>0</v>
      </c>
      <c r="N5116" s="6">
        <v>0</v>
      </c>
      <c r="O5116" s="6">
        <v>1</v>
      </c>
      <c r="P5116" s="6">
        <v>0</v>
      </c>
      <c r="Q5116">
        <v>1</v>
      </c>
      <c r="R5116">
        <f t="shared" si="395"/>
        <v>0</v>
      </c>
      <c r="S5116">
        <f t="shared" si="396"/>
        <v>1</v>
      </c>
      <c r="T5116">
        <f t="shared" si="397"/>
        <v>2</v>
      </c>
      <c r="U5116">
        <f t="shared" si="398"/>
        <v>1</v>
      </c>
      <c r="V5116">
        <f t="shared" si="399"/>
        <v>0</v>
      </c>
    </row>
    <row r="5117" spans="1:22" x14ac:dyDescent="0.25">
      <c r="A5117">
        <v>5114</v>
      </c>
      <c r="B5117" t="s">
        <v>32</v>
      </c>
      <c r="C5117" t="s">
        <v>1455</v>
      </c>
      <c r="D5117" s="4">
        <v>45406</v>
      </c>
      <c r="E5117" t="s">
        <v>2150</v>
      </c>
      <c r="F5117" t="s">
        <v>75</v>
      </c>
      <c r="I5117" s="6">
        <v>0</v>
      </c>
      <c r="J5117" s="6">
        <v>0</v>
      </c>
      <c r="K5117" s="6">
        <v>0</v>
      </c>
      <c r="L5117" s="6">
        <v>0</v>
      </c>
      <c r="M5117" s="6">
        <v>1</v>
      </c>
      <c r="N5117" s="6">
        <v>0</v>
      </c>
      <c r="O5117" s="6">
        <v>0</v>
      </c>
      <c r="P5117" s="6">
        <v>0</v>
      </c>
      <c r="Q5117">
        <v>1</v>
      </c>
      <c r="R5117">
        <f t="shared" si="395"/>
        <v>0</v>
      </c>
      <c r="S5117">
        <f t="shared" si="396"/>
        <v>1</v>
      </c>
      <c r="T5117">
        <f t="shared" si="397"/>
        <v>1</v>
      </c>
      <c r="U5117">
        <f t="shared" si="398"/>
        <v>1</v>
      </c>
      <c r="V5117">
        <f t="shared" si="399"/>
        <v>0</v>
      </c>
    </row>
    <row r="5118" spans="1:22" x14ac:dyDescent="0.25">
      <c r="A5118">
        <v>5115</v>
      </c>
      <c r="B5118" t="s">
        <v>32</v>
      </c>
      <c r="C5118" t="s">
        <v>1455</v>
      </c>
      <c r="D5118" s="4">
        <v>45406</v>
      </c>
      <c r="E5118" t="s">
        <v>1073</v>
      </c>
      <c r="F5118" t="s">
        <v>75</v>
      </c>
      <c r="I5118" s="6"/>
      <c r="J5118" s="6"/>
      <c r="K5118" s="6"/>
      <c r="L5118" s="6"/>
      <c r="M5118" s="6"/>
      <c r="N5118" s="6"/>
      <c r="O5118" s="6"/>
      <c r="P5118" s="6"/>
      <c r="Q5118">
        <v>0</v>
      </c>
      <c r="R5118">
        <f t="shared" si="395"/>
        <v>0</v>
      </c>
      <c r="S5118">
        <f t="shared" si="396"/>
        <v>0</v>
      </c>
      <c r="T5118">
        <f t="shared" si="397"/>
        <v>0</v>
      </c>
      <c r="U5118">
        <f t="shared" si="398"/>
        <v>0</v>
      </c>
      <c r="V5118">
        <f t="shared" si="399"/>
        <v>0</v>
      </c>
    </row>
    <row r="5119" spans="1:22" x14ac:dyDescent="0.25">
      <c r="A5119">
        <v>5116</v>
      </c>
      <c r="B5119" t="s">
        <v>32</v>
      </c>
      <c r="C5119" t="s">
        <v>1455</v>
      </c>
      <c r="D5119" s="4">
        <v>45406</v>
      </c>
      <c r="E5119" t="s">
        <v>2149</v>
      </c>
      <c r="F5119" t="s">
        <v>75</v>
      </c>
      <c r="I5119" s="6"/>
      <c r="J5119" s="6"/>
      <c r="K5119" s="6"/>
      <c r="L5119" s="6"/>
      <c r="M5119" s="6"/>
      <c r="N5119" s="6"/>
      <c r="O5119" s="6"/>
      <c r="P5119" s="6"/>
      <c r="Q5119">
        <v>0</v>
      </c>
      <c r="R5119">
        <f t="shared" si="395"/>
        <v>0</v>
      </c>
      <c r="S5119">
        <f t="shared" si="396"/>
        <v>0</v>
      </c>
      <c r="T5119">
        <f t="shared" si="397"/>
        <v>0</v>
      </c>
      <c r="U5119">
        <f t="shared" si="398"/>
        <v>0</v>
      </c>
      <c r="V5119">
        <f t="shared" si="399"/>
        <v>0</v>
      </c>
    </row>
    <row r="5120" spans="1:22" x14ac:dyDescent="0.25">
      <c r="A5120">
        <v>5117</v>
      </c>
      <c r="B5120" t="s">
        <v>32</v>
      </c>
      <c r="C5120" t="s">
        <v>1455</v>
      </c>
      <c r="D5120" s="4">
        <v>45407</v>
      </c>
      <c r="E5120" t="s">
        <v>304</v>
      </c>
      <c r="F5120" t="s">
        <v>75</v>
      </c>
      <c r="I5120" s="6"/>
      <c r="J5120" s="6"/>
      <c r="K5120" s="6"/>
      <c r="L5120" s="6"/>
      <c r="M5120" s="6"/>
      <c r="N5120" s="6"/>
      <c r="O5120" s="6"/>
      <c r="P5120" s="6"/>
      <c r="Q5120">
        <v>0</v>
      </c>
      <c r="R5120">
        <f t="shared" si="395"/>
        <v>0</v>
      </c>
      <c r="S5120">
        <f t="shared" si="396"/>
        <v>0</v>
      </c>
      <c r="T5120">
        <f t="shared" si="397"/>
        <v>0</v>
      </c>
      <c r="U5120">
        <f t="shared" si="398"/>
        <v>0</v>
      </c>
      <c r="V5120">
        <f t="shared" si="399"/>
        <v>0</v>
      </c>
    </row>
    <row r="5121" spans="1:22" x14ac:dyDescent="0.25">
      <c r="A5121">
        <v>5118</v>
      </c>
      <c r="B5121" t="s">
        <v>32</v>
      </c>
      <c r="C5121" t="s">
        <v>1455</v>
      </c>
      <c r="D5121" s="4">
        <v>45407</v>
      </c>
      <c r="E5121" t="s">
        <v>464</v>
      </c>
      <c r="F5121" t="s">
        <v>75</v>
      </c>
      <c r="I5121" s="6">
        <v>1</v>
      </c>
      <c r="J5121" s="6">
        <v>1</v>
      </c>
      <c r="K5121" s="6">
        <v>0</v>
      </c>
      <c r="L5121" s="6">
        <v>1</v>
      </c>
      <c r="M5121" s="6">
        <v>0</v>
      </c>
      <c r="N5121" s="6">
        <v>0</v>
      </c>
      <c r="O5121" s="6">
        <v>0</v>
      </c>
      <c r="P5121" s="6">
        <v>0</v>
      </c>
      <c r="Q5121">
        <v>1</v>
      </c>
      <c r="R5121">
        <f t="shared" si="395"/>
        <v>0</v>
      </c>
      <c r="S5121">
        <f t="shared" si="396"/>
        <v>1</v>
      </c>
      <c r="T5121">
        <f t="shared" si="397"/>
        <v>3</v>
      </c>
      <c r="U5121">
        <f t="shared" si="398"/>
        <v>1</v>
      </c>
      <c r="V5121">
        <f t="shared" si="399"/>
        <v>0</v>
      </c>
    </row>
    <row r="5122" spans="1:22" x14ac:dyDescent="0.25">
      <c r="A5122">
        <v>5119</v>
      </c>
      <c r="B5122" t="s">
        <v>32</v>
      </c>
      <c r="C5122" t="s">
        <v>1455</v>
      </c>
      <c r="D5122" s="4">
        <v>45407</v>
      </c>
      <c r="E5122" t="s">
        <v>1812</v>
      </c>
      <c r="F5122" t="s">
        <v>75</v>
      </c>
      <c r="I5122" s="6"/>
      <c r="J5122" s="6"/>
      <c r="K5122" s="6"/>
      <c r="L5122" s="6"/>
      <c r="M5122" s="6"/>
      <c r="N5122" s="6"/>
      <c r="O5122" s="6"/>
      <c r="P5122" s="6"/>
      <c r="Q5122">
        <v>0</v>
      </c>
      <c r="R5122">
        <f t="shared" si="395"/>
        <v>0</v>
      </c>
      <c r="S5122">
        <f t="shared" si="396"/>
        <v>0</v>
      </c>
      <c r="T5122">
        <f t="shared" si="397"/>
        <v>0</v>
      </c>
      <c r="U5122">
        <f t="shared" si="398"/>
        <v>0</v>
      </c>
      <c r="V5122">
        <f t="shared" si="399"/>
        <v>0</v>
      </c>
    </row>
    <row r="5123" spans="1:22" x14ac:dyDescent="0.25">
      <c r="A5123">
        <v>5120</v>
      </c>
      <c r="B5123" t="s">
        <v>32</v>
      </c>
      <c r="C5123" t="s">
        <v>1455</v>
      </c>
      <c r="D5123" s="4">
        <v>45407</v>
      </c>
      <c r="E5123" t="s">
        <v>1553</v>
      </c>
      <c r="F5123" t="s">
        <v>75</v>
      </c>
      <c r="I5123" s="6">
        <v>0</v>
      </c>
      <c r="J5123" s="6">
        <v>0</v>
      </c>
      <c r="K5123" s="6">
        <v>0</v>
      </c>
      <c r="L5123" s="6">
        <v>0</v>
      </c>
      <c r="M5123" s="6">
        <v>0</v>
      </c>
      <c r="N5123" s="6">
        <v>0</v>
      </c>
      <c r="O5123" s="6">
        <v>0</v>
      </c>
      <c r="P5123" s="6">
        <v>0</v>
      </c>
      <c r="Q5123">
        <v>1</v>
      </c>
      <c r="R5123">
        <f t="shared" ref="R5123:R5186" si="400">IF(AND(Q5123=1,F5123="ai_full"),1,0)</f>
        <v>0</v>
      </c>
      <c r="S5123">
        <f t="shared" ref="S5123:S5186" si="401">IF(AND(Q5123=1,F5123="conventional"),1,0)</f>
        <v>1</v>
      </c>
      <c r="T5123">
        <f t="shared" ref="T5123:T5186" si="402">SUM(I5123:P5123)</f>
        <v>0</v>
      </c>
      <c r="U5123">
        <f t="shared" ref="U5123:U5186" si="403">IF(T5123&gt;=1,1,0)</f>
        <v>0</v>
      </c>
      <c r="V5123">
        <f t="shared" ref="V5123:V5186" si="404">IF(F5123="ai_full",1,0)</f>
        <v>0</v>
      </c>
    </row>
    <row r="5124" spans="1:22" x14ac:dyDescent="0.25">
      <c r="A5124">
        <v>5121</v>
      </c>
      <c r="B5124" t="s">
        <v>32</v>
      </c>
      <c r="C5124" t="s">
        <v>1455</v>
      </c>
      <c r="D5124" s="4">
        <v>45407</v>
      </c>
      <c r="E5124" t="s">
        <v>2148</v>
      </c>
      <c r="F5124" t="s">
        <v>75</v>
      </c>
      <c r="I5124" s="6"/>
      <c r="J5124" s="6"/>
      <c r="K5124" s="6"/>
      <c r="L5124" s="6"/>
      <c r="M5124" s="6"/>
      <c r="N5124" s="6"/>
      <c r="O5124" s="6"/>
      <c r="P5124" s="6"/>
      <c r="Q5124">
        <v>0</v>
      </c>
      <c r="R5124">
        <f t="shared" si="400"/>
        <v>0</v>
      </c>
      <c r="S5124">
        <f t="shared" si="401"/>
        <v>0</v>
      </c>
      <c r="T5124">
        <f t="shared" si="402"/>
        <v>0</v>
      </c>
      <c r="U5124">
        <f t="shared" si="403"/>
        <v>0</v>
      </c>
      <c r="V5124">
        <f t="shared" si="404"/>
        <v>0</v>
      </c>
    </row>
    <row r="5125" spans="1:22" x14ac:dyDescent="0.25">
      <c r="A5125">
        <v>5122</v>
      </c>
      <c r="B5125" t="s">
        <v>32</v>
      </c>
      <c r="C5125" t="s">
        <v>1455</v>
      </c>
      <c r="D5125" s="4">
        <v>45407</v>
      </c>
      <c r="E5125" t="s">
        <v>2147</v>
      </c>
      <c r="F5125" t="s">
        <v>75</v>
      </c>
      <c r="I5125" s="6">
        <v>0</v>
      </c>
      <c r="J5125" s="6">
        <v>0</v>
      </c>
      <c r="K5125" s="6">
        <v>0</v>
      </c>
      <c r="L5125" s="6">
        <v>0</v>
      </c>
      <c r="M5125" s="6">
        <v>0</v>
      </c>
      <c r="N5125" s="6">
        <v>0</v>
      </c>
      <c r="O5125" s="6">
        <v>0</v>
      </c>
      <c r="P5125" s="6">
        <v>0</v>
      </c>
      <c r="Q5125">
        <v>1</v>
      </c>
      <c r="R5125">
        <f t="shared" si="400"/>
        <v>0</v>
      </c>
      <c r="S5125">
        <f t="shared" si="401"/>
        <v>1</v>
      </c>
      <c r="T5125">
        <f t="shared" si="402"/>
        <v>0</v>
      </c>
      <c r="U5125">
        <f t="shared" si="403"/>
        <v>0</v>
      </c>
      <c r="V5125">
        <f t="shared" si="404"/>
        <v>0</v>
      </c>
    </row>
    <row r="5126" spans="1:22" x14ac:dyDescent="0.25">
      <c r="A5126">
        <v>5123</v>
      </c>
      <c r="B5126" t="s">
        <v>32</v>
      </c>
      <c r="C5126" t="s">
        <v>1455</v>
      </c>
      <c r="D5126" s="4">
        <v>45407</v>
      </c>
      <c r="E5126" t="s">
        <v>1384</v>
      </c>
      <c r="F5126" t="s">
        <v>75</v>
      </c>
      <c r="I5126" s="6">
        <v>0</v>
      </c>
      <c r="J5126" s="6">
        <v>0</v>
      </c>
      <c r="K5126" s="6">
        <v>0</v>
      </c>
      <c r="L5126" s="6">
        <v>0</v>
      </c>
      <c r="M5126" s="6">
        <v>0</v>
      </c>
      <c r="N5126" s="6">
        <v>0</v>
      </c>
      <c r="O5126" s="6">
        <v>0</v>
      </c>
      <c r="P5126" s="6">
        <v>0</v>
      </c>
      <c r="Q5126">
        <v>1</v>
      </c>
      <c r="R5126">
        <f t="shared" si="400"/>
        <v>0</v>
      </c>
      <c r="S5126">
        <f t="shared" si="401"/>
        <v>1</v>
      </c>
      <c r="T5126">
        <f t="shared" si="402"/>
        <v>0</v>
      </c>
      <c r="U5126">
        <f t="shared" si="403"/>
        <v>0</v>
      </c>
      <c r="V5126">
        <f t="shared" si="404"/>
        <v>0</v>
      </c>
    </row>
    <row r="5127" spans="1:22" x14ac:dyDescent="0.25">
      <c r="A5127">
        <v>5124</v>
      </c>
      <c r="B5127" t="s">
        <v>32</v>
      </c>
      <c r="C5127" t="s">
        <v>1455</v>
      </c>
      <c r="D5127" s="4">
        <v>45408</v>
      </c>
      <c r="E5127" t="s">
        <v>305</v>
      </c>
      <c r="F5127" t="s">
        <v>75</v>
      </c>
      <c r="I5127" s="6"/>
      <c r="J5127" s="6"/>
      <c r="K5127" s="6"/>
      <c r="L5127" s="6"/>
      <c r="M5127" s="6"/>
      <c r="N5127" s="6"/>
      <c r="O5127" s="6"/>
      <c r="P5127" s="6"/>
      <c r="Q5127">
        <v>0</v>
      </c>
      <c r="R5127">
        <f t="shared" si="400"/>
        <v>0</v>
      </c>
      <c r="S5127">
        <f t="shared" si="401"/>
        <v>0</v>
      </c>
      <c r="T5127">
        <f t="shared" si="402"/>
        <v>0</v>
      </c>
      <c r="U5127">
        <f t="shared" si="403"/>
        <v>0</v>
      </c>
      <c r="V5127">
        <f t="shared" si="404"/>
        <v>0</v>
      </c>
    </row>
    <row r="5128" spans="1:22" x14ac:dyDescent="0.25">
      <c r="A5128">
        <v>5125</v>
      </c>
      <c r="B5128" t="s">
        <v>32</v>
      </c>
      <c r="C5128" t="s">
        <v>1455</v>
      </c>
      <c r="D5128" s="4">
        <v>45408</v>
      </c>
      <c r="E5128" t="s">
        <v>306</v>
      </c>
      <c r="F5128" t="s">
        <v>75</v>
      </c>
      <c r="I5128" s="6">
        <v>0</v>
      </c>
      <c r="J5128" s="6">
        <v>0</v>
      </c>
      <c r="K5128" s="6">
        <v>1</v>
      </c>
      <c r="L5128" s="6">
        <v>0</v>
      </c>
      <c r="M5128" s="6">
        <v>0</v>
      </c>
      <c r="N5128" s="6">
        <v>1</v>
      </c>
      <c r="O5128" s="6">
        <v>0</v>
      </c>
      <c r="P5128" s="6">
        <v>0</v>
      </c>
      <c r="Q5128">
        <v>1</v>
      </c>
      <c r="R5128">
        <f t="shared" si="400"/>
        <v>0</v>
      </c>
      <c r="S5128">
        <f t="shared" si="401"/>
        <v>1</v>
      </c>
      <c r="T5128">
        <f t="shared" si="402"/>
        <v>2</v>
      </c>
      <c r="U5128">
        <f t="shared" si="403"/>
        <v>1</v>
      </c>
      <c r="V5128">
        <f t="shared" si="404"/>
        <v>0</v>
      </c>
    </row>
    <row r="5129" spans="1:22" x14ac:dyDescent="0.25">
      <c r="A5129">
        <v>5126</v>
      </c>
      <c r="B5129" t="s">
        <v>32</v>
      </c>
      <c r="C5129" t="s">
        <v>1455</v>
      </c>
      <c r="D5129" s="4">
        <v>45408</v>
      </c>
      <c r="E5129" t="s">
        <v>307</v>
      </c>
      <c r="F5129" t="s">
        <v>75</v>
      </c>
      <c r="I5129" s="6"/>
      <c r="J5129" s="6"/>
      <c r="K5129" s="6"/>
      <c r="L5129" s="6"/>
      <c r="M5129" s="6"/>
      <c r="N5129" s="6"/>
      <c r="O5129" s="6"/>
      <c r="P5129" s="6"/>
      <c r="Q5129">
        <v>0</v>
      </c>
      <c r="R5129">
        <f t="shared" si="400"/>
        <v>0</v>
      </c>
      <c r="S5129">
        <f t="shared" si="401"/>
        <v>0</v>
      </c>
      <c r="T5129">
        <f t="shared" si="402"/>
        <v>0</v>
      </c>
      <c r="U5129">
        <f t="shared" si="403"/>
        <v>0</v>
      </c>
      <c r="V5129">
        <f t="shared" si="404"/>
        <v>0</v>
      </c>
    </row>
    <row r="5130" spans="1:22" x14ac:dyDescent="0.25">
      <c r="A5130">
        <v>5127</v>
      </c>
      <c r="B5130" t="s">
        <v>32</v>
      </c>
      <c r="C5130" t="s">
        <v>1455</v>
      </c>
      <c r="D5130" s="4">
        <v>45408</v>
      </c>
      <c r="E5130" t="s">
        <v>2028</v>
      </c>
      <c r="F5130" t="s">
        <v>75</v>
      </c>
      <c r="I5130" s="6"/>
      <c r="J5130" s="6"/>
      <c r="K5130" s="6"/>
      <c r="L5130" s="6"/>
      <c r="M5130" s="6"/>
      <c r="N5130" s="6"/>
      <c r="O5130" s="6"/>
      <c r="P5130" s="6"/>
      <c r="Q5130">
        <v>0</v>
      </c>
      <c r="R5130">
        <f t="shared" si="400"/>
        <v>0</v>
      </c>
      <c r="S5130">
        <f t="shared" si="401"/>
        <v>0</v>
      </c>
      <c r="T5130">
        <f t="shared" si="402"/>
        <v>0</v>
      </c>
      <c r="U5130">
        <f t="shared" si="403"/>
        <v>0</v>
      </c>
      <c r="V5130">
        <f t="shared" si="404"/>
        <v>0</v>
      </c>
    </row>
    <row r="5131" spans="1:22" x14ac:dyDescent="0.25">
      <c r="A5131">
        <v>5128</v>
      </c>
      <c r="B5131" t="s">
        <v>32</v>
      </c>
      <c r="C5131" t="s">
        <v>1455</v>
      </c>
      <c r="D5131" s="4">
        <v>45408</v>
      </c>
      <c r="E5131" t="s">
        <v>308</v>
      </c>
      <c r="F5131" t="s">
        <v>75</v>
      </c>
      <c r="I5131" s="6"/>
      <c r="J5131" s="6"/>
      <c r="K5131" s="6"/>
      <c r="L5131" s="6"/>
      <c r="M5131" s="6"/>
      <c r="N5131" s="6"/>
      <c r="O5131" s="6"/>
      <c r="P5131" s="6"/>
      <c r="Q5131">
        <v>0</v>
      </c>
      <c r="R5131">
        <f t="shared" si="400"/>
        <v>0</v>
      </c>
      <c r="S5131">
        <f t="shared" si="401"/>
        <v>0</v>
      </c>
      <c r="T5131">
        <f t="shared" si="402"/>
        <v>0</v>
      </c>
      <c r="U5131">
        <f t="shared" si="403"/>
        <v>0</v>
      </c>
      <c r="V5131">
        <f t="shared" si="404"/>
        <v>0</v>
      </c>
    </row>
    <row r="5132" spans="1:22" x14ac:dyDescent="0.25">
      <c r="A5132">
        <v>5129</v>
      </c>
      <c r="B5132" t="s">
        <v>32</v>
      </c>
      <c r="C5132" t="s">
        <v>1455</v>
      </c>
      <c r="D5132" s="4">
        <v>45408</v>
      </c>
      <c r="E5132" t="s">
        <v>2146</v>
      </c>
      <c r="F5132" t="s">
        <v>75</v>
      </c>
      <c r="I5132" s="6">
        <v>0</v>
      </c>
      <c r="J5132" s="6">
        <v>0</v>
      </c>
      <c r="K5132" s="6">
        <v>0</v>
      </c>
      <c r="L5132" s="6">
        <v>0</v>
      </c>
      <c r="M5132" s="6">
        <v>0</v>
      </c>
      <c r="N5132" s="6">
        <v>0</v>
      </c>
      <c r="O5132" s="6">
        <v>0</v>
      </c>
      <c r="P5132" s="6">
        <v>0</v>
      </c>
      <c r="Q5132">
        <v>1</v>
      </c>
      <c r="R5132">
        <f t="shared" si="400"/>
        <v>0</v>
      </c>
      <c r="S5132">
        <f t="shared" si="401"/>
        <v>1</v>
      </c>
      <c r="T5132">
        <f t="shared" si="402"/>
        <v>0</v>
      </c>
      <c r="U5132">
        <f t="shared" si="403"/>
        <v>0</v>
      </c>
      <c r="V5132">
        <f t="shared" si="404"/>
        <v>0</v>
      </c>
    </row>
    <row r="5133" spans="1:22" x14ac:dyDescent="0.25">
      <c r="A5133">
        <v>5130</v>
      </c>
      <c r="B5133" t="s">
        <v>32</v>
      </c>
      <c r="C5133" t="s">
        <v>1455</v>
      </c>
      <c r="D5133" s="4">
        <v>45408</v>
      </c>
      <c r="E5133" t="s">
        <v>2145</v>
      </c>
      <c r="F5133" t="s">
        <v>75</v>
      </c>
      <c r="I5133" s="6"/>
      <c r="J5133" s="6"/>
      <c r="K5133" s="6"/>
      <c r="L5133" s="6"/>
      <c r="M5133" s="6"/>
      <c r="N5133" s="6"/>
      <c r="O5133" s="6"/>
      <c r="P5133" s="6"/>
      <c r="Q5133">
        <v>0</v>
      </c>
      <c r="R5133">
        <f t="shared" si="400"/>
        <v>0</v>
      </c>
      <c r="S5133">
        <f t="shared" si="401"/>
        <v>0</v>
      </c>
      <c r="T5133">
        <f t="shared" si="402"/>
        <v>0</v>
      </c>
      <c r="U5133">
        <f t="shared" si="403"/>
        <v>0</v>
      </c>
      <c r="V5133">
        <f t="shared" si="404"/>
        <v>0</v>
      </c>
    </row>
    <row r="5134" spans="1:22" x14ac:dyDescent="0.25">
      <c r="A5134">
        <v>5131</v>
      </c>
      <c r="B5134" t="s">
        <v>32</v>
      </c>
      <c r="C5134" t="s">
        <v>1455</v>
      </c>
      <c r="D5134" s="4">
        <v>45408</v>
      </c>
      <c r="E5134" t="s">
        <v>2144</v>
      </c>
      <c r="F5134" t="s">
        <v>75</v>
      </c>
      <c r="I5134" s="6"/>
      <c r="J5134" s="6"/>
      <c r="K5134" s="6"/>
      <c r="L5134" s="6"/>
      <c r="M5134" s="6"/>
      <c r="N5134" s="6"/>
      <c r="O5134" s="6"/>
      <c r="P5134" s="6"/>
      <c r="Q5134">
        <v>0</v>
      </c>
      <c r="R5134">
        <f t="shared" si="400"/>
        <v>0</v>
      </c>
      <c r="S5134">
        <f t="shared" si="401"/>
        <v>0</v>
      </c>
      <c r="T5134">
        <f t="shared" si="402"/>
        <v>0</v>
      </c>
      <c r="U5134">
        <f t="shared" si="403"/>
        <v>0</v>
      </c>
      <c r="V5134">
        <f t="shared" si="404"/>
        <v>0</v>
      </c>
    </row>
    <row r="5135" spans="1:22" x14ac:dyDescent="0.25">
      <c r="A5135">
        <v>5132</v>
      </c>
      <c r="B5135" t="s">
        <v>32</v>
      </c>
      <c r="C5135" t="s">
        <v>1455</v>
      </c>
      <c r="D5135" s="4">
        <v>45409</v>
      </c>
      <c r="E5135" t="s">
        <v>1480</v>
      </c>
      <c r="F5135" t="s">
        <v>75</v>
      </c>
      <c r="I5135" s="6"/>
      <c r="J5135" s="6"/>
      <c r="K5135" s="6"/>
      <c r="L5135" s="6"/>
      <c r="M5135" s="6"/>
      <c r="N5135" s="6"/>
      <c r="O5135" s="6"/>
      <c r="P5135" s="6"/>
      <c r="Q5135">
        <v>0</v>
      </c>
      <c r="R5135">
        <f t="shared" si="400"/>
        <v>0</v>
      </c>
      <c r="S5135">
        <f t="shared" si="401"/>
        <v>0</v>
      </c>
      <c r="T5135">
        <f t="shared" si="402"/>
        <v>0</v>
      </c>
      <c r="U5135">
        <f t="shared" si="403"/>
        <v>0</v>
      </c>
      <c r="V5135">
        <f t="shared" si="404"/>
        <v>0</v>
      </c>
    </row>
    <row r="5136" spans="1:22" x14ac:dyDescent="0.25">
      <c r="A5136">
        <v>5133</v>
      </c>
      <c r="B5136" t="s">
        <v>32</v>
      </c>
      <c r="C5136" t="s">
        <v>1455</v>
      </c>
      <c r="D5136" s="4">
        <v>45409</v>
      </c>
      <c r="E5136" t="s">
        <v>309</v>
      </c>
      <c r="F5136" t="s">
        <v>75</v>
      </c>
      <c r="I5136" s="6">
        <v>0</v>
      </c>
      <c r="J5136" s="6">
        <v>0</v>
      </c>
      <c r="K5136" s="6">
        <v>0</v>
      </c>
      <c r="L5136" s="6">
        <v>0</v>
      </c>
      <c r="M5136" s="6">
        <v>1</v>
      </c>
      <c r="N5136" s="6">
        <v>0</v>
      </c>
      <c r="O5136" s="6">
        <v>0</v>
      </c>
      <c r="P5136" s="6">
        <v>0</v>
      </c>
      <c r="Q5136">
        <v>1</v>
      </c>
      <c r="R5136">
        <f t="shared" si="400"/>
        <v>0</v>
      </c>
      <c r="S5136">
        <f t="shared" si="401"/>
        <v>1</v>
      </c>
      <c r="T5136">
        <f t="shared" si="402"/>
        <v>1</v>
      </c>
      <c r="U5136">
        <f t="shared" si="403"/>
        <v>1</v>
      </c>
      <c r="V5136">
        <f t="shared" si="404"/>
        <v>0</v>
      </c>
    </row>
    <row r="5137" spans="1:22" x14ac:dyDescent="0.25">
      <c r="A5137">
        <v>5134</v>
      </c>
      <c r="B5137" t="s">
        <v>32</v>
      </c>
      <c r="C5137" t="s">
        <v>1455</v>
      </c>
      <c r="D5137" s="4">
        <v>45409</v>
      </c>
      <c r="E5137" t="s">
        <v>310</v>
      </c>
      <c r="F5137" t="s">
        <v>75</v>
      </c>
      <c r="I5137" s="6"/>
      <c r="J5137" s="6"/>
      <c r="K5137" s="6"/>
      <c r="L5137" s="6"/>
      <c r="M5137" s="6"/>
      <c r="N5137" s="6"/>
      <c r="O5137" s="6"/>
      <c r="P5137" s="6"/>
      <c r="Q5137">
        <v>0</v>
      </c>
      <c r="R5137">
        <f t="shared" si="400"/>
        <v>0</v>
      </c>
      <c r="S5137">
        <f t="shared" si="401"/>
        <v>0</v>
      </c>
      <c r="T5137">
        <f t="shared" si="402"/>
        <v>0</v>
      </c>
      <c r="U5137">
        <f t="shared" si="403"/>
        <v>0</v>
      </c>
      <c r="V5137">
        <f t="shared" si="404"/>
        <v>0</v>
      </c>
    </row>
    <row r="5138" spans="1:22" x14ac:dyDescent="0.25">
      <c r="A5138">
        <v>5135</v>
      </c>
      <c r="B5138" t="s">
        <v>32</v>
      </c>
      <c r="C5138" t="s">
        <v>1455</v>
      </c>
      <c r="D5138" s="4">
        <v>45409</v>
      </c>
      <c r="E5138" t="s">
        <v>311</v>
      </c>
      <c r="F5138" t="s">
        <v>75</v>
      </c>
      <c r="I5138" s="6"/>
      <c r="J5138" s="6"/>
      <c r="K5138" s="6"/>
      <c r="L5138" s="6"/>
      <c r="M5138" s="6"/>
      <c r="N5138" s="6"/>
      <c r="O5138" s="6"/>
      <c r="P5138" s="6"/>
      <c r="Q5138">
        <v>0</v>
      </c>
      <c r="R5138">
        <f t="shared" si="400"/>
        <v>0</v>
      </c>
      <c r="S5138">
        <f t="shared" si="401"/>
        <v>0</v>
      </c>
      <c r="T5138">
        <f t="shared" si="402"/>
        <v>0</v>
      </c>
      <c r="U5138">
        <f t="shared" si="403"/>
        <v>0</v>
      </c>
      <c r="V5138">
        <f t="shared" si="404"/>
        <v>0</v>
      </c>
    </row>
    <row r="5139" spans="1:22" x14ac:dyDescent="0.25">
      <c r="A5139">
        <v>5136</v>
      </c>
      <c r="B5139" t="s">
        <v>32</v>
      </c>
      <c r="C5139" t="s">
        <v>1455</v>
      </c>
      <c r="D5139" s="4">
        <v>45409</v>
      </c>
      <c r="E5139" t="s">
        <v>1554</v>
      </c>
      <c r="F5139" t="s">
        <v>75</v>
      </c>
      <c r="I5139" s="6">
        <v>0</v>
      </c>
      <c r="J5139" s="6">
        <v>0</v>
      </c>
      <c r="K5139" s="6">
        <v>1</v>
      </c>
      <c r="L5139" s="6">
        <v>0</v>
      </c>
      <c r="M5139" s="6">
        <v>0</v>
      </c>
      <c r="N5139" s="6">
        <v>0</v>
      </c>
      <c r="O5139" s="6">
        <v>0</v>
      </c>
      <c r="P5139" s="6">
        <v>0</v>
      </c>
      <c r="Q5139">
        <v>1</v>
      </c>
      <c r="R5139">
        <f t="shared" si="400"/>
        <v>0</v>
      </c>
      <c r="S5139">
        <f t="shared" si="401"/>
        <v>1</v>
      </c>
      <c r="T5139">
        <f t="shared" si="402"/>
        <v>1</v>
      </c>
      <c r="U5139">
        <f t="shared" si="403"/>
        <v>1</v>
      </c>
      <c r="V5139">
        <f t="shared" si="404"/>
        <v>0</v>
      </c>
    </row>
    <row r="5140" spans="1:22" x14ac:dyDescent="0.25">
      <c r="A5140">
        <v>5137</v>
      </c>
      <c r="B5140" t="s">
        <v>32</v>
      </c>
      <c r="C5140" t="s">
        <v>1455</v>
      </c>
      <c r="D5140" s="4">
        <v>45410</v>
      </c>
      <c r="E5140" t="s">
        <v>465</v>
      </c>
      <c r="F5140" t="s">
        <v>75</v>
      </c>
      <c r="I5140" s="6"/>
      <c r="J5140" s="6"/>
      <c r="K5140" s="6"/>
      <c r="L5140" s="6"/>
      <c r="M5140" s="6"/>
      <c r="N5140" s="6"/>
      <c r="O5140" s="6"/>
      <c r="P5140" s="6"/>
      <c r="Q5140">
        <v>0</v>
      </c>
      <c r="R5140">
        <f t="shared" si="400"/>
        <v>0</v>
      </c>
      <c r="S5140">
        <f t="shared" si="401"/>
        <v>0</v>
      </c>
      <c r="T5140">
        <f t="shared" si="402"/>
        <v>0</v>
      </c>
      <c r="U5140">
        <f t="shared" si="403"/>
        <v>0</v>
      </c>
      <c r="V5140">
        <f t="shared" si="404"/>
        <v>0</v>
      </c>
    </row>
    <row r="5141" spans="1:22" x14ac:dyDescent="0.25">
      <c r="A5141">
        <v>5138</v>
      </c>
      <c r="B5141" t="s">
        <v>32</v>
      </c>
      <c r="C5141" t="s">
        <v>1455</v>
      </c>
      <c r="D5141" s="4">
        <v>45410</v>
      </c>
      <c r="E5141" t="s">
        <v>466</v>
      </c>
      <c r="F5141" t="s">
        <v>75</v>
      </c>
      <c r="I5141" s="6"/>
      <c r="J5141" s="6"/>
      <c r="K5141" s="6"/>
      <c r="L5141" s="6"/>
      <c r="M5141" s="6"/>
      <c r="N5141" s="6"/>
      <c r="O5141" s="6"/>
      <c r="P5141" s="6"/>
      <c r="Q5141">
        <v>0</v>
      </c>
      <c r="R5141">
        <f t="shared" si="400"/>
        <v>0</v>
      </c>
      <c r="S5141">
        <f t="shared" si="401"/>
        <v>0</v>
      </c>
      <c r="T5141">
        <f t="shared" si="402"/>
        <v>0</v>
      </c>
      <c r="U5141">
        <f t="shared" si="403"/>
        <v>0</v>
      </c>
      <c r="V5141">
        <f t="shared" si="404"/>
        <v>0</v>
      </c>
    </row>
    <row r="5142" spans="1:22" x14ac:dyDescent="0.25">
      <c r="A5142">
        <v>5139</v>
      </c>
      <c r="B5142" t="s">
        <v>32</v>
      </c>
      <c r="C5142" t="s">
        <v>1455</v>
      </c>
      <c r="D5142" s="4">
        <v>45410</v>
      </c>
      <c r="E5142" t="s">
        <v>985</v>
      </c>
      <c r="F5142" t="s">
        <v>75</v>
      </c>
      <c r="I5142" s="6">
        <v>0</v>
      </c>
      <c r="J5142" s="6">
        <v>0</v>
      </c>
      <c r="K5142" s="6">
        <v>1</v>
      </c>
      <c r="L5142" s="6">
        <v>0</v>
      </c>
      <c r="M5142" s="6">
        <v>0</v>
      </c>
      <c r="N5142" s="6">
        <v>0</v>
      </c>
      <c r="O5142" s="6">
        <v>0</v>
      </c>
      <c r="P5142" s="6">
        <v>0</v>
      </c>
      <c r="Q5142">
        <v>1</v>
      </c>
      <c r="R5142">
        <f t="shared" si="400"/>
        <v>0</v>
      </c>
      <c r="S5142">
        <f t="shared" si="401"/>
        <v>1</v>
      </c>
      <c r="T5142">
        <f t="shared" si="402"/>
        <v>1</v>
      </c>
      <c r="U5142">
        <f t="shared" si="403"/>
        <v>1</v>
      </c>
      <c r="V5142">
        <f t="shared" si="404"/>
        <v>0</v>
      </c>
    </row>
    <row r="5143" spans="1:22" x14ac:dyDescent="0.25">
      <c r="A5143">
        <v>5140</v>
      </c>
      <c r="B5143" t="s">
        <v>32</v>
      </c>
      <c r="C5143" t="s">
        <v>1455</v>
      </c>
      <c r="D5143" s="4">
        <v>45410</v>
      </c>
      <c r="E5143" t="s">
        <v>1074</v>
      </c>
      <c r="F5143" t="s">
        <v>75</v>
      </c>
      <c r="I5143" s="6">
        <v>0</v>
      </c>
      <c r="J5143" s="6">
        <v>0</v>
      </c>
      <c r="K5143" s="6">
        <v>1</v>
      </c>
      <c r="L5143" s="6">
        <v>0</v>
      </c>
      <c r="M5143" s="6">
        <v>0</v>
      </c>
      <c r="N5143" s="6">
        <v>0</v>
      </c>
      <c r="O5143" s="6">
        <v>0</v>
      </c>
      <c r="P5143" s="6">
        <v>0</v>
      </c>
      <c r="Q5143">
        <v>1</v>
      </c>
      <c r="R5143">
        <f t="shared" si="400"/>
        <v>0</v>
      </c>
      <c r="S5143">
        <f t="shared" si="401"/>
        <v>1</v>
      </c>
      <c r="T5143">
        <f t="shared" si="402"/>
        <v>1</v>
      </c>
      <c r="U5143">
        <f t="shared" si="403"/>
        <v>1</v>
      </c>
      <c r="V5143">
        <f t="shared" si="404"/>
        <v>0</v>
      </c>
    </row>
    <row r="5144" spans="1:22" x14ac:dyDescent="0.25">
      <c r="A5144">
        <v>5141</v>
      </c>
      <c r="B5144" t="s">
        <v>32</v>
      </c>
      <c r="C5144" t="s">
        <v>1455</v>
      </c>
      <c r="D5144" s="4">
        <v>45410</v>
      </c>
      <c r="E5144" t="s">
        <v>2143</v>
      </c>
      <c r="F5144" t="s">
        <v>75</v>
      </c>
      <c r="I5144" s="6"/>
      <c r="J5144" s="6"/>
      <c r="K5144" s="6"/>
      <c r="L5144" s="6"/>
      <c r="M5144" s="6"/>
      <c r="N5144" s="6"/>
      <c r="O5144" s="6"/>
      <c r="P5144" s="6"/>
      <c r="Q5144">
        <v>0</v>
      </c>
      <c r="R5144">
        <f t="shared" si="400"/>
        <v>0</v>
      </c>
      <c r="S5144">
        <f t="shared" si="401"/>
        <v>0</v>
      </c>
      <c r="T5144">
        <f t="shared" si="402"/>
        <v>0</v>
      </c>
      <c r="U5144">
        <f t="shared" si="403"/>
        <v>0</v>
      </c>
      <c r="V5144">
        <f t="shared" si="404"/>
        <v>0</v>
      </c>
    </row>
    <row r="5145" spans="1:22" x14ac:dyDescent="0.25">
      <c r="A5145">
        <v>5142</v>
      </c>
      <c r="B5145" t="s">
        <v>32</v>
      </c>
      <c r="C5145" t="s">
        <v>1455</v>
      </c>
      <c r="D5145" s="4">
        <v>45410</v>
      </c>
      <c r="E5145" t="s">
        <v>2142</v>
      </c>
      <c r="F5145" t="s">
        <v>75</v>
      </c>
      <c r="I5145" s="6"/>
      <c r="J5145" s="6"/>
      <c r="K5145" s="6"/>
      <c r="L5145" s="6"/>
      <c r="M5145" s="6"/>
      <c r="N5145" s="6"/>
      <c r="O5145" s="6"/>
      <c r="P5145" s="6"/>
      <c r="Q5145">
        <v>0</v>
      </c>
      <c r="R5145">
        <f t="shared" si="400"/>
        <v>0</v>
      </c>
      <c r="S5145">
        <f t="shared" si="401"/>
        <v>0</v>
      </c>
      <c r="T5145">
        <f t="shared" si="402"/>
        <v>0</v>
      </c>
      <c r="U5145">
        <f t="shared" si="403"/>
        <v>0</v>
      </c>
      <c r="V5145">
        <f t="shared" si="404"/>
        <v>0</v>
      </c>
    </row>
    <row r="5146" spans="1:22" x14ac:dyDescent="0.25">
      <c r="A5146">
        <v>5143</v>
      </c>
      <c r="B5146" t="s">
        <v>32</v>
      </c>
      <c r="C5146" t="s">
        <v>1455</v>
      </c>
      <c r="D5146" s="4">
        <v>45411</v>
      </c>
      <c r="E5146" t="s">
        <v>1386</v>
      </c>
      <c r="F5146" t="s">
        <v>75</v>
      </c>
      <c r="I5146" s="6">
        <v>0</v>
      </c>
      <c r="J5146" s="6">
        <v>1</v>
      </c>
      <c r="K5146" s="6">
        <v>0</v>
      </c>
      <c r="L5146" s="6">
        <v>0</v>
      </c>
      <c r="M5146" s="6">
        <v>0</v>
      </c>
      <c r="N5146" s="6">
        <v>0</v>
      </c>
      <c r="O5146" s="6">
        <v>0</v>
      </c>
      <c r="P5146" s="6">
        <v>0</v>
      </c>
      <c r="Q5146">
        <v>1</v>
      </c>
      <c r="R5146">
        <f t="shared" si="400"/>
        <v>0</v>
      </c>
      <c r="S5146">
        <f t="shared" si="401"/>
        <v>1</v>
      </c>
      <c r="T5146">
        <f t="shared" si="402"/>
        <v>1</v>
      </c>
      <c r="U5146">
        <f t="shared" si="403"/>
        <v>1</v>
      </c>
      <c r="V5146">
        <f t="shared" si="404"/>
        <v>0</v>
      </c>
    </row>
    <row r="5147" spans="1:22" x14ac:dyDescent="0.25">
      <c r="A5147">
        <v>5144</v>
      </c>
      <c r="B5147" t="s">
        <v>32</v>
      </c>
      <c r="C5147" t="s">
        <v>1455</v>
      </c>
      <c r="D5147" s="4">
        <v>45411</v>
      </c>
      <c r="E5147" t="s">
        <v>1075</v>
      </c>
      <c r="F5147" t="s">
        <v>75</v>
      </c>
      <c r="I5147" s="6">
        <v>0</v>
      </c>
      <c r="J5147" s="6">
        <v>0</v>
      </c>
      <c r="K5147" s="6">
        <v>1</v>
      </c>
      <c r="L5147" s="6">
        <v>0</v>
      </c>
      <c r="M5147" s="6">
        <v>0</v>
      </c>
      <c r="N5147" s="6">
        <v>0</v>
      </c>
      <c r="O5147" s="6">
        <v>0</v>
      </c>
      <c r="P5147" s="6">
        <v>0</v>
      </c>
      <c r="Q5147">
        <v>1</v>
      </c>
      <c r="R5147">
        <f t="shared" si="400"/>
        <v>0</v>
      </c>
      <c r="S5147">
        <f t="shared" si="401"/>
        <v>1</v>
      </c>
      <c r="T5147">
        <f t="shared" si="402"/>
        <v>1</v>
      </c>
      <c r="U5147">
        <f t="shared" si="403"/>
        <v>1</v>
      </c>
      <c r="V5147">
        <f t="shared" si="404"/>
        <v>0</v>
      </c>
    </row>
    <row r="5148" spans="1:22" x14ac:dyDescent="0.25">
      <c r="A5148">
        <v>5145</v>
      </c>
      <c r="B5148" t="s">
        <v>32</v>
      </c>
      <c r="C5148" t="s">
        <v>1455</v>
      </c>
      <c r="D5148" s="4">
        <v>45411</v>
      </c>
      <c r="E5148" t="s">
        <v>1076</v>
      </c>
      <c r="F5148" t="s">
        <v>75</v>
      </c>
      <c r="I5148" s="6">
        <v>0</v>
      </c>
      <c r="J5148" s="6">
        <v>0</v>
      </c>
      <c r="K5148" s="6">
        <v>1</v>
      </c>
      <c r="L5148" s="6">
        <v>0</v>
      </c>
      <c r="M5148" s="6">
        <v>0</v>
      </c>
      <c r="N5148" s="6">
        <v>0</v>
      </c>
      <c r="O5148" s="6">
        <v>0</v>
      </c>
      <c r="P5148" s="6">
        <v>0</v>
      </c>
      <c r="Q5148">
        <v>1</v>
      </c>
      <c r="R5148">
        <f t="shared" si="400"/>
        <v>0</v>
      </c>
      <c r="S5148">
        <f t="shared" si="401"/>
        <v>1</v>
      </c>
      <c r="T5148">
        <f t="shared" si="402"/>
        <v>1</v>
      </c>
      <c r="U5148">
        <f t="shared" si="403"/>
        <v>1</v>
      </c>
      <c r="V5148">
        <f t="shared" si="404"/>
        <v>0</v>
      </c>
    </row>
    <row r="5149" spans="1:22" x14ac:dyDescent="0.25">
      <c r="A5149">
        <v>5146</v>
      </c>
      <c r="B5149" t="s">
        <v>32</v>
      </c>
      <c r="C5149" t="s">
        <v>1455</v>
      </c>
      <c r="D5149" s="4">
        <v>45411</v>
      </c>
      <c r="E5149" t="s">
        <v>1158</v>
      </c>
      <c r="F5149" t="s">
        <v>75</v>
      </c>
      <c r="I5149" s="6"/>
      <c r="J5149" s="6"/>
      <c r="K5149" s="6"/>
      <c r="L5149" s="6"/>
      <c r="M5149" s="6"/>
      <c r="N5149" s="6"/>
      <c r="O5149" s="6"/>
      <c r="P5149" s="6"/>
      <c r="Q5149">
        <v>0</v>
      </c>
      <c r="R5149">
        <f t="shared" si="400"/>
        <v>0</v>
      </c>
      <c r="S5149">
        <f t="shared" si="401"/>
        <v>0</v>
      </c>
      <c r="T5149">
        <f t="shared" si="402"/>
        <v>0</v>
      </c>
      <c r="U5149">
        <f t="shared" si="403"/>
        <v>0</v>
      </c>
      <c r="V5149">
        <f t="shared" si="404"/>
        <v>0</v>
      </c>
    </row>
    <row r="5150" spans="1:22" x14ac:dyDescent="0.25">
      <c r="A5150">
        <v>5147</v>
      </c>
      <c r="B5150" t="s">
        <v>32</v>
      </c>
      <c r="C5150" t="s">
        <v>1455</v>
      </c>
      <c r="D5150" s="4">
        <v>45411</v>
      </c>
      <c r="E5150" t="s">
        <v>1077</v>
      </c>
      <c r="F5150" t="s">
        <v>75</v>
      </c>
      <c r="I5150" s="6"/>
      <c r="J5150" s="6"/>
      <c r="K5150" s="6"/>
      <c r="L5150" s="6"/>
      <c r="M5150" s="6"/>
      <c r="N5150" s="6"/>
      <c r="O5150" s="6"/>
      <c r="P5150" s="6"/>
      <c r="Q5150">
        <v>0</v>
      </c>
      <c r="R5150">
        <f t="shared" si="400"/>
        <v>0</v>
      </c>
      <c r="S5150">
        <f t="shared" si="401"/>
        <v>0</v>
      </c>
      <c r="T5150">
        <f t="shared" si="402"/>
        <v>0</v>
      </c>
      <c r="U5150">
        <f t="shared" si="403"/>
        <v>0</v>
      </c>
      <c r="V5150">
        <f t="shared" si="404"/>
        <v>0</v>
      </c>
    </row>
    <row r="5151" spans="1:22" x14ac:dyDescent="0.25">
      <c r="A5151">
        <v>5148</v>
      </c>
      <c r="B5151" t="s">
        <v>32</v>
      </c>
      <c r="C5151" t="s">
        <v>1455</v>
      </c>
      <c r="D5151" s="4">
        <v>45411</v>
      </c>
      <c r="E5151" t="s">
        <v>1481</v>
      </c>
      <c r="F5151" t="s">
        <v>75</v>
      </c>
      <c r="I5151" s="6"/>
      <c r="J5151" s="6"/>
      <c r="K5151" s="6"/>
      <c r="L5151" s="6"/>
      <c r="M5151" s="6"/>
      <c r="N5151" s="6"/>
      <c r="O5151" s="6"/>
      <c r="P5151" s="6"/>
      <c r="Q5151">
        <v>0</v>
      </c>
      <c r="R5151">
        <f t="shared" si="400"/>
        <v>0</v>
      </c>
      <c r="S5151">
        <f t="shared" si="401"/>
        <v>0</v>
      </c>
      <c r="T5151">
        <f t="shared" si="402"/>
        <v>0</v>
      </c>
      <c r="U5151">
        <f t="shared" si="403"/>
        <v>0</v>
      </c>
      <c r="V5151">
        <f t="shared" si="404"/>
        <v>0</v>
      </c>
    </row>
    <row r="5152" spans="1:22" x14ac:dyDescent="0.25">
      <c r="A5152">
        <v>5149</v>
      </c>
      <c r="B5152" t="s">
        <v>32</v>
      </c>
      <c r="C5152" t="s">
        <v>1455</v>
      </c>
      <c r="D5152" s="4">
        <v>45412</v>
      </c>
      <c r="E5152" t="s">
        <v>1159</v>
      </c>
      <c r="F5152" t="s">
        <v>75</v>
      </c>
      <c r="I5152" s="6">
        <v>0</v>
      </c>
      <c r="J5152" s="6">
        <v>0</v>
      </c>
      <c r="K5152" s="6">
        <v>1</v>
      </c>
      <c r="L5152" s="6">
        <v>0</v>
      </c>
      <c r="M5152" s="6">
        <v>1</v>
      </c>
      <c r="N5152" s="6">
        <v>0</v>
      </c>
      <c r="O5152" s="6">
        <v>0</v>
      </c>
      <c r="P5152" s="6">
        <v>0</v>
      </c>
      <c r="Q5152">
        <v>1</v>
      </c>
      <c r="R5152">
        <f t="shared" si="400"/>
        <v>0</v>
      </c>
      <c r="S5152">
        <f t="shared" si="401"/>
        <v>1</v>
      </c>
      <c r="T5152">
        <f t="shared" si="402"/>
        <v>2</v>
      </c>
      <c r="U5152">
        <f t="shared" si="403"/>
        <v>1</v>
      </c>
      <c r="V5152">
        <f t="shared" si="404"/>
        <v>0</v>
      </c>
    </row>
    <row r="5153" spans="1:22" x14ac:dyDescent="0.25">
      <c r="A5153">
        <v>5150</v>
      </c>
      <c r="B5153" t="s">
        <v>32</v>
      </c>
      <c r="C5153" t="s">
        <v>1455</v>
      </c>
      <c r="D5153" s="4">
        <v>45412</v>
      </c>
      <c r="E5153" t="s">
        <v>880</v>
      </c>
      <c r="F5153" t="s">
        <v>75</v>
      </c>
      <c r="I5153" s="6"/>
      <c r="J5153" s="6"/>
      <c r="K5153" s="6"/>
      <c r="L5153" s="6"/>
      <c r="M5153" s="6"/>
      <c r="N5153" s="6"/>
      <c r="O5153" s="6"/>
      <c r="P5153" s="6"/>
      <c r="Q5153">
        <v>0</v>
      </c>
      <c r="R5153">
        <f t="shared" si="400"/>
        <v>0</v>
      </c>
      <c r="S5153">
        <f t="shared" si="401"/>
        <v>0</v>
      </c>
      <c r="T5153">
        <f t="shared" si="402"/>
        <v>0</v>
      </c>
      <c r="U5153">
        <f t="shared" si="403"/>
        <v>0</v>
      </c>
      <c r="V5153">
        <f t="shared" si="404"/>
        <v>0</v>
      </c>
    </row>
    <row r="5154" spans="1:22" x14ac:dyDescent="0.25">
      <c r="A5154">
        <v>5151</v>
      </c>
      <c r="B5154" t="s">
        <v>32</v>
      </c>
      <c r="C5154" t="s">
        <v>1455</v>
      </c>
      <c r="D5154" s="4">
        <v>45412</v>
      </c>
      <c r="E5154" t="s">
        <v>1160</v>
      </c>
      <c r="F5154" t="s">
        <v>75</v>
      </c>
      <c r="I5154" s="6">
        <v>0</v>
      </c>
      <c r="J5154" s="6">
        <v>0</v>
      </c>
      <c r="K5154" s="6">
        <v>0</v>
      </c>
      <c r="L5154" s="6">
        <v>0</v>
      </c>
      <c r="M5154" s="6">
        <v>0</v>
      </c>
      <c r="N5154" s="6">
        <v>0</v>
      </c>
      <c r="O5154" s="6">
        <v>0</v>
      </c>
      <c r="P5154" s="6">
        <v>0</v>
      </c>
      <c r="Q5154">
        <v>1</v>
      </c>
      <c r="R5154">
        <f t="shared" si="400"/>
        <v>0</v>
      </c>
      <c r="S5154">
        <f t="shared" si="401"/>
        <v>1</v>
      </c>
      <c r="T5154">
        <f t="shared" si="402"/>
        <v>0</v>
      </c>
      <c r="U5154">
        <f t="shared" si="403"/>
        <v>0</v>
      </c>
      <c r="V5154">
        <f t="shared" si="404"/>
        <v>0</v>
      </c>
    </row>
    <row r="5155" spans="1:22" x14ac:dyDescent="0.25">
      <c r="A5155">
        <v>5152</v>
      </c>
      <c r="B5155" t="s">
        <v>32</v>
      </c>
      <c r="C5155" t="s">
        <v>1455</v>
      </c>
      <c r="D5155" s="4">
        <v>45412</v>
      </c>
      <c r="E5155" t="s">
        <v>2027</v>
      </c>
      <c r="F5155" t="s">
        <v>75</v>
      </c>
      <c r="I5155" s="6">
        <v>0</v>
      </c>
      <c r="J5155" s="6">
        <v>0</v>
      </c>
      <c r="K5155" s="6">
        <v>1</v>
      </c>
      <c r="L5155" s="6">
        <v>0</v>
      </c>
      <c r="M5155" s="6">
        <v>0</v>
      </c>
      <c r="N5155" s="6">
        <v>1</v>
      </c>
      <c r="O5155" s="6">
        <v>0</v>
      </c>
      <c r="P5155" s="6">
        <v>0</v>
      </c>
      <c r="Q5155">
        <v>1</v>
      </c>
      <c r="R5155">
        <f t="shared" si="400"/>
        <v>0</v>
      </c>
      <c r="S5155">
        <f t="shared" si="401"/>
        <v>1</v>
      </c>
      <c r="T5155">
        <f t="shared" si="402"/>
        <v>2</v>
      </c>
      <c r="U5155">
        <f t="shared" si="403"/>
        <v>1</v>
      </c>
      <c r="V5155">
        <f t="shared" si="404"/>
        <v>0</v>
      </c>
    </row>
    <row r="5156" spans="1:22" x14ac:dyDescent="0.25">
      <c r="A5156">
        <v>5153</v>
      </c>
      <c r="B5156" t="s">
        <v>32</v>
      </c>
      <c r="C5156" t="s">
        <v>1455</v>
      </c>
      <c r="D5156" s="4">
        <v>45412</v>
      </c>
      <c r="E5156" t="s">
        <v>1389</v>
      </c>
      <c r="F5156" t="s">
        <v>75</v>
      </c>
      <c r="I5156" s="6"/>
      <c r="J5156" s="6"/>
      <c r="K5156" s="6"/>
      <c r="L5156" s="6"/>
      <c r="M5156" s="6"/>
      <c r="N5156" s="6"/>
      <c r="O5156" s="6"/>
      <c r="P5156" s="6"/>
      <c r="Q5156">
        <v>0</v>
      </c>
      <c r="R5156">
        <f t="shared" si="400"/>
        <v>0</v>
      </c>
      <c r="S5156">
        <f t="shared" si="401"/>
        <v>0</v>
      </c>
      <c r="T5156">
        <f t="shared" si="402"/>
        <v>0</v>
      </c>
      <c r="U5156">
        <f t="shared" si="403"/>
        <v>0</v>
      </c>
      <c r="V5156">
        <f t="shared" si="404"/>
        <v>0</v>
      </c>
    </row>
    <row r="5157" spans="1:22" x14ac:dyDescent="0.25">
      <c r="A5157">
        <v>5154</v>
      </c>
      <c r="B5157" t="s">
        <v>32</v>
      </c>
      <c r="C5157" t="s">
        <v>1455</v>
      </c>
      <c r="D5157" s="4">
        <v>45412</v>
      </c>
      <c r="E5157" t="s">
        <v>2141</v>
      </c>
      <c r="F5157" t="s">
        <v>75</v>
      </c>
      <c r="I5157" s="6"/>
      <c r="J5157" s="6"/>
      <c r="K5157" s="6"/>
      <c r="L5157" s="6"/>
      <c r="M5157" s="6"/>
      <c r="N5157" s="6"/>
      <c r="O5157" s="6"/>
      <c r="P5157" s="6"/>
      <c r="Q5157">
        <v>0</v>
      </c>
      <c r="R5157">
        <f t="shared" si="400"/>
        <v>0</v>
      </c>
      <c r="S5157">
        <f t="shared" si="401"/>
        <v>0</v>
      </c>
      <c r="T5157">
        <f t="shared" si="402"/>
        <v>0</v>
      </c>
      <c r="U5157">
        <f t="shared" si="403"/>
        <v>0</v>
      </c>
      <c r="V5157">
        <f t="shared" si="404"/>
        <v>0</v>
      </c>
    </row>
    <row r="5158" spans="1:22" x14ac:dyDescent="0.25">
      <c r="A5158">
        <v>5155</v>
      </c>
      <c r="B5158" t="s">
        <v>32</v>
      </c>
      <c r="C5158" t="s">
        <v>1455</v>
      </c>
      <c r="D5158" s="4">
        <v>45413</v>
      </c>
      <c r="E5158" t="s">
        <v>467</v>
      </c>
      <c r="F5158" t="s">
        <v>75</v>
      </c>
      <c r="I5158" s="6">
        <v>0</v>
      </c>
      <c r="J5158" s="6">
        <v>0</v>
      </c>
      <c r="K5158" s="6">
        <v>0</v>
      </c>
      <c r="L5158" s="6">
        <v>0</v>
      </c>
      <c r="M5158" s="6">
        <v>0</v>
      </c>
      <c r="N5158" s="6">
        <v>0</v>
      </c>
      <c r="O5158" s="6">
        <v>0</v>
      </c>
      <c r="P5158" s="6">
        <v>0</v>
      </c>
      <c r="Q5158">
        <v>1</v>
      </c>
      <c r="R5158">
        <f t="shared" si="400"/>
        <v>0</v>
      </c>
      <c r="S5158">
        <f t="shared" si="401"/>
        <v>1</v>
      </c>
      <c r="T5158">
        <f t="shared" si="402"/>
        <v>0</v>
      </c>
      <c r="U5158">
        <f t="shared" si="403"/>
        <v>0</v>
      </c>
      <c r="V5158">
        <f t="shared" si="404"/>
        <v>0</v>
      </c>
    </row>
    <row r="5159" spans="1:22" x14ac:dyDescent="0.25">
      <c r="A5159">
        <v>5156</v>
      </c>
      <c r="B5159" t="s">
        <v>32</v>
      </c>
      <c r="C5159" t="s">
        <v>1455</v>
      </c>
      <c r="D5159" s="4">
        <v>45413</v>
      </c>
      <c r="E5159" t="s">
        <v>468</v>
      </c>
      <c r="F5159" t="s">
        <v>75</v>
      </c>
      <c r="I5159" s="6">
        <v>0</v>
      </c>
      <c r="J5159" s="6">
        <v>0</v>
      </c>
      <c r="K5159" s="6">
        <v>0</v>
      </c>
      <c r="L5159" s="6">
        <v>0</v>
      </c>
      <c r="M5159" s="6">
        <v>0</v>
      </c>
      <c r="N5159" s="6">
        <v>0</v>
      </c>
      <c r="O5159" s="6">
        <v>0</v>
      </c>
      <c r="P5159" s="6">
        <v>0</v>
      </c>
      <c r="Q5159">
        <v>1</v>
      </c>
      <c r="R5159">
        <f t="shared" si="400"/>
        <v>0</v>
      </c>
      <c r="S5159">
        <f t="shared" si="401"/>
        <v>1</v>
      </c>
      <c r="T5159">
        <f t="shared" si="402"/>
        <v>0</v>
      </c>
      <c r="U5159">
        <f t="shared" si="403"/>
        <v>0</v>
      </c>
      <c r="V5159">
        <f t="shared" si="404"/>
        <v>0</v>
      </c>
    </row>
    <row r="5160" spans="1:22" x14ac:dyDescent="0.25">
      <c r="A5160">
        <v>5157</v>
      </c>
      <c r="B5160" t="s">
        <v>32</v>
      </c>
      <c r="C5160" t="s">
        <v>1455</v>
      </c>
      <c r="D5160" s="4">
        <v>45413</v>
      </c>
      <c r="E5160" t="s">
        <v>1815</v>
      </c>
      <c r="F5160" t="s">
        <v>75</v>
      </c>
      <c r="I5160" s="6"/>
      <c r="J5160" s="6"/>
      <c r="K5160" s="6"/>
      <c r="L5160" s="6"/>
      <c r="M5160" s="6"/>
      <c r="N5160" s="6"/>
      <c r="O5160" s="6"/>
      <c r="P5160" s="6"/>
      <c r="Q5160">
        <v>0</v>
      </c>
      <c r="R5160">
        <f t="shared" si="400"/>
        <v>0</v>
      </c>
      <c r="S5160">
        <f t="shared" si="401"/>
        <v>0</v>
      </c>
      <c r="T5160">
        <f t="shared" si="402"/>
        <v>0</v>
      </c>
      <c r="U5160">
        <f t="shared" si="403"/>
        <v>0</v>
      </c>
      <c r="V5160">
        <f t="shared" si="404"/>
        <v>0</v>
      </c>
    </row>
    <row r="5161" spans="1:22" x14ac:dyDescent="0.25">
      <c r="A5161">
        <v>5158</v>
      </c>
      <c r="B5161" t="s">
        <v>32</v>
      </c>
      <c r="C5161" t="s">
        <v>1455</v>
      </c>
      <c r="D5161" s="4">
        <v>45413</v>
      </c>
      <c r="E5161" t="s">
        <v>2026</v>
      </c>
      <c r="F5161" t="s">
        <v>75</v>
      </c>
      <c r="I5161" s="6">
        <v>1</v>
      </c>
      <c r="J5161" s="6">
        <v>1</v>
      </c>
      <c r="K5161" s="6">
        <v>1</v>
      </c>
      <c r="L5161" s="6">
        <v>0</v>
      </c>
      <c r="M5161" s="6">
        <v>1</v>
      </c>
      <c r="N5161" s="6">
        <v>1</v>
      </c>
      <c r="O5161" s="6">
        <v>0</v>
      </c>
      <c r="P5161" s="6">
        <v>0</v>
      </c>
      <c r="Q5161">
        <v>1</v>
      </c>
      <c r="R5161">
        <f t="shared" si="400"/>
        <v>0</v>
      </c>
      <c r="S5161">
        <f t="shared" si="401"/>
        <v>1</v>
      </c>
      <c r="T5161">
        <f t="shared" si="402"/>
        <v>5</v>
      </c>
      <c r="U5161">
        <f t="shared" si="403"/>
        <v>1</v>
      </c>
      <c r="V5161">
        <f t="shared" si="404"/>
        <v>0</v>
      </c>
    </row>
    <row r="5162" spans="1:22" x14ac:dyDescent="0.25">
      <c r="A5162">
        <v>5159</v>
      </c>
      <c r="B5162" t="s">
        <v>32</v>
      </c>
      <c r="C5162" t="s">
        <v>1455</v>
      </c>
      <c r="D5162" s="4">
        <v>45413</v>
      </c>
      <c r="E5162" t="s">
        <v>1162</v>
      </c>
      <c r="F5162" t="s">
        <v>75</v>
      </c>
      <c r="I5162" s="6"/>
      <c r="J5162" s="6"/>
      <c r="K5162" s="6"/>
      <c r="L5162" s="6"/>
      <c r="M5162" s="6"/>
      <c r="N5162" s="6"/>
      <c r="O5162" s="6"/>
      <c r="P5162" s="6"/>
      <c r="Q5162">
        <v>0</v>
      </c>
      <c r="R5162">
        <f t="shared" si="400"/>
        <v>0</v>
      </c>
      <c r="S5162">
        <f t="shared" si="401"/>
        <v>0</v>
      </c>
      <c r="T5162">
        <f t="shared" si="402"/>
        <v>0</v>
      </c>
      <c r="U5162">
        <f t="shared" si="403"/>
        <v>0</v>
      </c>
      <c r="V5162">
        <f t="shared" si="404"/>
        <v>0</v>
      </c>
    </row>
    <row r="5163" spans="1:22" x14ac:dyDescent="0.25">
      <c r="A5163">
        <v>5160</v>
      </c>
      <c r="B5163" t="s">
        <v>32</v>
      </c>
      <c r="C5163" t="s">
        <v>1455</v>
      </c>
      <c r="D5163" s="4">
        <v>45413</v>
      </c>
      <c r="E5163" t="s">
        <v>1393</v>
      </c>
      <c r="F5163" t="s">
        <v>75</v>
      </c>
      <c r="I5163" s="6"/>
      <c r="J5163" s="6"/>
      <c r="K5163" s="6"/>
      <c r="L5163" s="6"/>
      <c r="M5163" s="6"/>
      <c r="N5163" s="6"/>
      <c r="O5163" s="6"/>
      <c r="P5163" s="6"/>
      <c r="Q5163">
        <v>0</v>
      </c>
      <c r="R5163">
        <f t="shared" si="400"/>
        <v>0</v>
      </c>
      <c r="S5163">
        <f t="shared" si="401"/>
        <v>0</v>
      </c>
      <c r="T5163">
        <f t="shared" si="402"/>
        <v>0</v>
      </c>
      <c r="U5163">
        <f t="shared" si="403"/>
        <v>0</v>
      </c>
      <c r="V5163">
        <f t="shared" si="404"/>
        <v>0</v>
      </c>
    </row>
    <row r="5164" spans="1:22" x14ac:dyDescent="0.25">
      <c r="A5164">
        <v>5161</v>
      </c>
      <c r="B5164" t="s">
        <v>32</v>
      </c>
      <c r="C5164" t="s">
        <v>1455</v>
      </c>
      <c r="D5164" s="4">
        <v>45414</v>
      </c>
      <c r="E5164" t="s">
        <v>313</v>
      </c>
      <c r="F5164" t="s">
        <v>75</v>
      </c>
      <c r="I5164" s="6"/>
      <c r="J5164" s="6"/>
      <c r="K5164" s="6"/>
      <c r="L5164" s="6"/>
      <c r="M5164" s="6"/>
      <c r="N5164" s="6"/>
      <c r="O5164" s="6"/>
      <c r="P5164" s="6"/>
      <c r="Q5164">
        <v>0</v>
      </c>
      <c r="R5164">
        <f t="shared" si="400"/>
        <v>0</v>
      </c>
      <c r="S5164">
        <f t="shared" si="401"/>
        <v>0</v>
      </c>
      <c r="T5164">
        <f t="shared" si="402"/>
        <v>0</v>
      </c>
      <c r="U5164">
        <f t="shared" si="403"/>
        <v>0</v>
      </c>
      <c r="V5164">
        <f t="shared" si="404"/>
        <v>0</v>
      </c>
    </row>
    <row r="5165" spans="1:22" x14ac:dyDescent="0.25">
      <c r="A5165">
        <v>5162</v>
      </c>
      <c r="B5165" t="s">
        <v>32</v>
      </c>
      <c r="C5165" t="s">
        <v>1455</v>
      </c>
      <c r="D5165" s="4">
        <v>45414</v>
      </c>
      <c r="E5165" t="s">
        <v>314</v>
      </c>
      <c r="F5165" t="s">
        <v>75</v>
      </c>
      <c r="I5165" s="6"/>
      <c r="J5165" s="6"/>
      <c r="K5165" s="6"/>
      <c r="L5165" s="6"/>
      <c r="M5165" s="6"/>
      <c r="N5165" s="6"/>
      <c r="O5165" s="6"/>
      <c r="P5165" s="6"/>
      <c r="Q5165">
        <v>0</v>
      </c>
      <c r="R5165">
        <f t="shared" si="400"/>
        <v>0</v>
      </c>
      <c r="S5165">
        <f t="shared" si="401"/>
        <v>0</v>
      </c>
      <c r="T5165">
        <f t="shared" si="402"/>
        <v>0</v>
      </c>
      <c r="U5165">
        <f t="shared" si="403"/>
        <v>0</v>
      </c>
      <c r="V5165">
        <f t="shared" si="404"/>
        <v>0</v>
      </c>
    </row>
    <row r="5166" spans="1:22" x14ac:dyDescent="0.25">
      <c r="A5166">
        <v>5163</v>
      </c>
      <c r="B5166" t="s">
        <v>32</v>
      </c>
      <c r="C5166" t="s">
        <v>1455</v>
      </c>
      <c r="D5166" s="4">
        <v>45414</v>
      </c>
      <c r="E5166" t="s">
        <v>989</v>
      </c>
      <c r="F5166" t="s">
        <v>75</v>
      </c>
      <c r="I5166" s="6">
        <v>0</v>
      </c>
      <c r="J5166" s="6">
        <v>0</v>
      </c>
      <c r="K5166" s="6">
        <v>0</v>
      </c>
      <c r="L5166" s="6">
        <v>0</v>
      </c>
      <c r="M5166" s="6">
        <v>0</v>
      </c>
      <c r="N5166" s="6">
        <v>0</v>
      </c>
      <c r="O5166" s="6">
        <v>0</v>
      </c>
      <c r="P5166" s="6">
        <v>1</v>
      </c>
      <c r="Q5166">
        <v>1</v>
      </c>
      <c r="R5166">
        <f t="shared" si="400"/>
        <v>0</v>
      </c>
      <c r="S5166">
        <f t="shared" si="401"/>
        <v>1</v>
      </c>
      <c r="T5166">
        <f t="shared" si="402"/>
        <v>1</v>
      </c>
      <c r="U5166">
        <f t="shared" si="403"/>
        <v>1</v>
      </c>
      <c r="V5166">
        <f t="shared" si="404"/>
        <v>0</v>
      </c>
    </row>
    <row r="5167" spans="1:22" x14ac:dyDescent="0.25">
      <c r="A5167">
        <v>5164</v>
      </c>
      <c r="B5167" t="s">
        <v>32</v>
      </c>
      <c r="C5167" t="s">
        <v>1455</v>
      </c>
      <c r="D5167" s="4">
        <v>45414</v>
      </c>
      <c r="E5167" t="s">
        <v>990</v>
      </c>
      <c r="F5167" t="s">
        <v>75</v>
      </c>
      <c r="I5167" s="6"/>
      <c r="J5167" s="6"/>
      <c r="K5167" s="6"/>
      <c r="L5167" s="6"/>
      <c r="M5167" s="6"/>
      <c r="N5167" s="6"/>
      <c r="O5167" s="6"/>
      <c r="P5167" s="6"/>
      <c r="Q5167">
        <v>0</v>
      </c>
      <c r="R5167">
        <f t="shared" si="400"/>
        <v>0</v>
      </c>
      <c r="S5167">
        <f t="shared" si="401"/>
        <v>0</v>
      </c>
      <c r="T5167">
        <f t="shared" si="402"/>
        <v>0</v>
      </c>
      <c r="U5167">
        <f t="shared" si="403"/>
        <v>0</v>
      </c>
      <c r="V5167">
        <f t="shared" si="404"/>
        <v>0</v>
      </c>
    </row>
    <row r="5168" spans="1:22" x14ac:dyDescent="0.25">
      <c r="A5168">
        <v>5165</v>
      </c>
      <c r="B5168" t="s">
        <v>32</v>
      </c>
      <c r="C5168" t="s">
        <v>1455</v>
      </c>
      <c r="D5168" s="4">
        <v>45414</v>
      </c>
      <c r="E5168" t="s">
        <v>2021</v>
      </c>
      <c r="F5168" t="s">
        <v>75</v>
      </c>
      <c r="I5168" s="6">
        <v>1</v>
      </c>
      <c r="J5168" s="6">
        <v>1</v>
      </c>
      <c r="K5168" s="6">
        <v>1</v>
      </c>
      <c r="L5168" s="6">
        <v>0</v>
      </c>
      <c r="M5168" s="6">
        <v>0</v>
      </c>
      <c r="N5168" s="6">
        <v>0</v>
      </c>
      <c r="O5168" s="6">
        <v>0</v>
      </c>
      <c r="P5168" s="6">
        <v>0</v>
      </c>
      <c r="Q5168">
        <v>1</v>
      </c>
      <c r="R5168">
        <f t="shared" si="400"/>
        <v>0</v>
      </c>
      <c r="S5168">
        <f t="shared" si="401"/>
        <v>1</v>
      </c>
      <c r="T5168">
        <f t="shared" si="402"/>
        <v>3</v>
      </c>
      <c r="U5168">
        <f t="shared" si="403"/>
        <v>1</v>
      </c>
      <c r="V5168">
        <f t="shared" si="404"/>
        <v>0</v>
      </c>
    </row>
    <row r="5169" spans="1:22" x14ac:dyDescent="0.25">
      <c r="A5169">
        <v>5166</v>
      </c>
      <c r="B5169" t="s">
        <v>32</v>
      </c>
      <c r="C5169" t="s">
        <v>1455</v>
      </c>
      <c r="D5169" s="4">
        <v>45414</v>
      </c>
      <c r="E5169" t="s">
        <v>1395</v>
      </c>
      <c r="F5169" t="s">
        <v>75</v>
      </c>
      <c r="I5169" s="6">
        <v>0</v>
      </c>
      <c r="J5169" s="6">
        <v>0</v>
      </c>
      <c r="K5169" s="6">
        <v>0</v>
      </c>
      <c r="L5169" s="6">
        <v>0</v>
      </c>
      <c r="M5169" s="6">
        <v>0</v>
      </c>
      <c r="N5169" s="6">
        <v>0</v>
      </c>
      <c r="O5169" s="6">
        <v>0</v>
      </c>
      <c r="P5169" s="6">
        <v>0</v>
      </c>
      <c r="Q5169">
        <v>1</v>
      </c>
      <c r="R5169">
        <f t="shared" si="400"/>
        <v>0</v>
      </c>
      <c r="S5169">
        <f t="shared" si="401"/>
        <v>1</v>
      </c>
      <c r="T5169">
        <f t="shared" si="402"/>
        <v>0</v>
      </c>
      <c r="U5169">
        <f t="shared" si="403"/>
        <v>0</v>
      </c>
      <c r="V5169">
        <f t="shared" si="404"/>
        <v>0</v>
      </c>
    </row>
    <row r="5170" spans="1:22" x14ac:dyDescent="0.25">
      <c r="A5170">
        <v>5167</v>
      </c>
      <c r="B5170" t="s">
        <v>32</v>
      </c>
      <c r="C5170" t="s">
        <v>1455</v>
      </c>
      <c r="D5170" s="4">
        <v>45414</v>
      </c>
      <c r="E5170" t="s">
        <v>1164</v>
      </c>
      <c r="F5170" t="s">
        <v>75</v>
      </c>
      <c r="I5170" s="6">
        <v>0</v>
      </c>
      <c r="J5170" s="6">
        <v>0</v>
      </c>
      <c r="K5170" s="6">
        <v>0</v>
      </c>
      <c r="L5170" s="6">
        <v>0</v>
      </c>
      <c r="M5170" s="6">
        <v>0</v>
      </c>
      <c r="N5170" s="6">
        <v>0</v>
      </c>
      <c r="O5170" s="6">
        <v>0</v>
      </c>
      <c r="P5170" s="6">
        <v>1</v>
      </c>
      <c r="Q5170">
        <v>1</v>
      </c>
      <c r="R5170">
        <f t="shared" si="400"/>
        <v>0</v>
      </c>
      <c r="S5170">
        <f t="shared" si="401"/>
        <v>1</v>
      </c>
      <c r="T5170">
        <f t="shared" si="402"/>
        <v>1</v>
      </c>
      <c r="U5170">
        <f t="shared" si="403"/>
        <v>1</v>
      </c>
      <c r="V5170">
        <f t="shared" si="404"/>
        <v>0</v>
      </c>
    </row>
    <row r="5171" spans="1:22" x14ac:dyDescent="0.25">
      <c r="A5171">
        <v>5168</v>
      </c>
      <c r="B5171" t="s">
        <v>32</v>
      </c>
      <c r="C5171" t="s">
        <v>1455</v>
      </c>
      <c r="D5171" s="4">
        <v>45414</v>
      </c>
      <c r="E5171" t="s">
        <v>1396</v>
      </c>
      <c r="F5171" t="s">
        <v>75</v>
      </c>
      <c r="I5171" s="6"/>
      <c r="J5171" s="6"/>
      <c r="K5171" s="6"/>
      <c r="L5171" s="6"/>
      <c r="M5171" s="6"/>
      <c r="N5171" s="6"/>
      <c r="O5171" s="6"/>
      <c r="P5171" s="6"/>
      <c r="Q5171">
        <v>0</v>
      </c>
      <c r="R5171">
        <f t="shared" si="400"/>
        <v>0</v>
      </c>
      <c r="S5171">
        <f t="shared" si="401"/>
        <v>0</v>
      </c>
      <c r="T5171">
        <f t="shared" si="402"/>
        <v>0</v>
      </c>
      <c r="U5171">
        <f t="shared" si="403"/>
        <v>0</v>
      </c>
      <c r="V5171">
        <f t="shared" si="404"/>
        <v>0</v>
      </c>
    </row>
    <row r="5172" spans="1:22" x14ac:dyDescent="0.25">
      <c r="A5172">
        <v>5169</v>
      </c>
      <c r="B5172" t="s">
        <v>32</v>
      </c>
      <c r="C5172" t="s">
        <v>1455</v>
      </c>
      <c r="D5172" s="4">
        <v>45415</v>
      </c>
      <c r="E5172" t="s">
        <v>882</v>
      </c>
      <c r="F5172" t="s">
        <v>75</v>
      </c>
      <c r="I5172" s="6"/>
      <c r="J5172" s="6"/>
      <c r="K5172" s="6"/>
      <c r="L5172" s="6"/>
      <c r="M5172" s="6"/>
      <c r="N5172" s="6"/>
      <c r="O5172" s="6"/>
      <c r="P5172" s="6"/>
      <c r="Q5172">
        <v>0</v>
      </c>
      <c r="R5172">
        <f t="shared" si="400"/>
        <v>0</v>
      </c>
      <c r="S5172">
        <f t="shared" si="401"/>
        <v>0</v>
      </c>
      <c r="T5172">
        <f t="shared" si="402"/>
        <v>0</v>
      </c>
      <c r="U5172">
        <f t="shared" si="403"/>
        <v>0</v>
      </c>
      <c r="V5172">
        <f t="shared" si="404"/>
        <v>0</v>
      </c>
    </row>
    <row r="5173" spans="1:22" x14ac:dyDescent="0.25">
      <c r="A5173">
        <v>5170</v>
      </c>
      <c r="B5173" t="s">
        <v>32</v>
      </c>
      <c r="C5173" t="s">
        <v>1455</v>
      </c>
      <c r="D5173" s="4">
        <v>45415</v>
      </c>
      <c r="E5173" t="s">
        <v>883</v>
      </c>
      <c r="F5173" t="s">
        <v>75</v>
      </c>
      <c r="I5173" s="6">
        <v>0</v>
      </c>
      <c r="J5173" s="6">
        <v>0</v>
      </c>
      <c r="K5173" s="6">
        <v>1</v>
      </c>
      <c r="L5173" s="6">
        <v>0</v>
      </c>
      <c r="M5173" s="6">
        <v>0</v>
      </c>
      <c r="N5173" s="6">
        <v>0</v>
      </c>
      <c r="O5173" s="6">
        <v>0</v>
      </c>
      <c r="P5173" s="6">
        <v>0</v>
      </c>
      <c r="Q5173">
        <v>1</v>
      </c>
      <c r="R5173">
        <f t="shared" si="400"/>
        <v>0</v>
      </c>
      <c r="S5173">
        <f t="shared" si="401"/>
        <v>1</v>
      </c>
      <c r="T5173">
        <f t="shared" si="402"/>
        <v>1</v>
      </c>
      <c r="U5173">
        <f t="shared" si="403"/>
        <v>1</v>
      </c>
      <c r="V5173">
        <f t="shared" si="404"/>
        <v>0</v>
      </c>
    </row>
    <row r="5174" spans="1:22" x14ac:dyDescent="0.25">
      <c r="A5174">
        <v>5171</v>
      </c>
      <c r="B5174" t="s">
        <v>32</v>
      </c>
      <c r="C5174" t="s">
        <v>1455</v>
      </c>
      <c r="D5174" s="4">
        <v>45415</v>
      </c>
      <c r="E5174" t="s">
        <v>884</v>
      </c>
      <c r="F5174" t="s">
        <v>75</v>
      </c>
      <c r="I5174" s="6"/>
      <c r="J5174" s="6"/>
      <c r="K5174" s="6"/>
      <c r="L5174" s="6"/>
      <c r="M5174" s="6"/>
      <c r="N5174" s="6"/>
      <c r="O5174" s="6"/>
      <c r="P5174" s="6"/>
      <c r="Q5174">
        <v>0</v>
      </c>
      <c r="R5174">
        <f t="shared" si="400"/>
        <v>0</v>
      </c>
      <c r="S5174">
        <f t="shared" si="401"/>
        <v>0</v>
      </c>
      <c r="T5174">
        <f t="shared" si="402"/>
        <v>0</v>
      </c>
      <c r="U5174">
        <f t="shared" si="403"/>
        <v>0</v>
      </c>
      <c r="V5174">
        <f t="shared" si="404"/>
        <v>0</v>
      </c>
    </row>
    <row r="5175" spans="1:22" x14ac:dyDescent="0.25">
      <c r="A5175">
        <v>5172</v>
      </c>
      <c r="B5175" t="s">
        <v>32</v>
      </c>
      <c r="C5175" t="s">
        <v>1455</v>
      </c>
      <c r="D5175" s="4">
        <v>45415</v>
      </c>
      <c r="E5175" t="s">
        <v>1166</v>
      </c>
      <c r="F5175" t="s">
        <v>413</v>
      </c>
      <c r="G5175">
        <v>241</v>
      </c>
      <c r="I5175" s="6">
        <v>0</v>
      </c>
      <c r="J5175" s="6">
        <v>0</v>
      </c>
      <c r="K5175" s="6">
        <v>0</v>
      </c>
      <c r="L5175" s="6">
        <v>0</v>
      </c>
      <c r="M5175" s="6">
        <v>0</v>
      </c>
      <c r="N5175" s="6">
        <v>1</v>
      </c>
      <c r="O5175" s="6">
        <v>0</v>
      </c>
      <c r="P5175" s="6">
        <v>0</v>
      </c>
      <c r="Q5175">
        <v>1</v>
      </c>
      <c r="R5175">
        <f t="shared" si="400"/>
        <v>1</v>
      </c>
      <c r="S5175">
        <f t="shared" si="401"/>
        <v>0</v>
      </c>
      <c r="T5175">
        <f t="shared" si="402"/>
        <v>1</v>
      </c>
      <c r="U5175">
        <f t="shared" si="403"/>
        <v>1</v>
      </c>
      <c r="V5175">
        <f t="shared" si="404"/>
        <v>1</v>
      </c>
    </row>
    <row r="5176" spans="1:22" x14ac:dyDescent="0.25">
      <c r="A5176">
        <v>5173</v>
      </c>
      <c r="B5176" t="s">
        <v>32</v>
      </c>
      <c r="C5176" t="s">
        <v>1455</v>
      </c>
      <c r="D5176" s="4">
        <v>45415</v>
      </c>
      <c r="E5176" t="s">
        <v>1397</v>
      </c>
      <c r="F5176" t="s">
        <v>75</v>
      </c>
      <c r="I5176" s="6">
        <v>0</v>
      </c>
      <c r="J5176" s="6">
        <v>1</v>
      </c>
      <c r="K5176" s="6">
        <v>0</v>
      </c>
      <c r="L5176" s="6">
        <v>1</v>
      </c>
      <c r="M5176" s="6">
        <v>0</v>
      </c>
      <c r="N5176" s="6">
        <v>0</v>
      </c>
      <c r="O5176" s="6">
        <v>0</v>
      </c>
      <c r="P5176" s="6">
        <v>0</v>
      </c>
      <c r="Q5176">
        <v>1</v>
      </c>
      <c r="R5176">
        <f t="shared" si="400"/>
        <v>0</v>
      </c>
      <c r="S5176">
        <f t="shared" si="401"/>
        <v>1</v>
      </c>
      <c r="T5176">
        <f t="shared" si="402"/>
        <v>2</v>
      </c>
      <c r="U5176">
        <f t="shared" si="403"/>
        <v>1</v>
      </c>
      <c r="V5176">
        <f t="shared" si="404"/>
        <v>0</v>
      </c>
    </row>
    <row r="5177" spans="1:22" x14ac:dyDescent="0.25">
      <c r="A5177">
        <v>5174</v>
      </c>
      <c r="B5177" t="s">
        <v>32</v>
      </c>
      <c r="C5177" t="s">
        <v>1455</v>
      </c>
      <c r="D5177" s="4">
        <v>45415</v>
      </c>
      <c r="E5177" t="s">
        <v>1167</v>
      </c>
      <c r="F5177" t="s">
        <v>75</v>
      </c>
      <c r="I5177" s="6"/>
      <c r="J5177" s="6"/>
      <c r="K5177" s="6"/>
      <c r="L5177" s="6"/>
      <c r="M5177" s="6"/>
      <c r="N5177" s="6"/>
      <c r="O5177" s="6"/>
      <c r="P5177" s="6"/>
      <c r="Q5177">
        <v>0</v>
      </c>
      <c r="R5177">
        <f t="shared" si="400"/>
        <v>0</v>
      </c>
      <c r="S5177">
        <f t="shared" si="401"/>
        <v>0</v>
      </c>
      <c r="T5177">
        <f t="shared" si="402"/>
        <v>0</v>
      </c>
      <c r="U5177">
        <f t="shared" si="403"/>
        <v>0</v>
      </c>
      <c r="V5177">
        <f t="shared" si="404"/>
        <v>0</v>
      </c>
    </row>
    <row r="5178" spans="1:22" x14ac:dyDescent="0.25">
      <c r="A5178">
        <v>5175</v>
      </c>
      <c r="B5178" t="s">
        <v>32</v>
      </c>
      <c r="C5178" t="s">
        <v>1455</v>
      </c>
      <c r="D5178" s="4">
        <v>45416</v>
      </c>
      <c r="E5178" t="s">
        <v>315</v>
      </c>
      <c r="F5178" t="s">
        <v>75</v>
      </c>
      <c r="I5178" s="6">
        <v>0</v>
      </c>
      <c r="J5178" s="6">
        <v>0</v>
      </c>
      <c r="K5178" s="6">
        <v>0</v>
      </c>
      <c r="L5178" s="6">
        <v>0</v>
      </c>
      <c r="M5178" s="6">
        <v>0</v>
      </c>
      <c r="N5178" s="6">
        <v>0</v>
      </c>
      <c r="O5178" s="6">
        <v>0</v>
      </c>
      <c r="P5178" s="6">
        <v>0</v>
      </c>
      <c r="Q5178">
        <v>1</v>
      </c>
      <c r="R5178">
        <f t="shared" si="400"/>
        <v>0</v>
      </c>
      <c r="S5178">
        <f t="shared" si="401"/>
        <v>1</v>
      </c>
      <c r="T5178">
        <f t="shared" si="402"/>
        <v>0</v>
      </c>
      <c r="U5178">
        <f t="shared" si="403"/>
        <v>0</v>
      </c>
      <c r="V5178">
        <f t="shared" si="404"/>
        <v>0</v>
      </c>
    </row>
    <row r="5179" spans="1:22" x14ac:dyDescent="0.25">
      <c r="A5179">
        <v>5176</v>
      </c>
      <c r="B5179" t="s">
        <v>32</v>
      </c>
      <c r="C5179" t="s">
        <v>1455</v>
      </c>
      <c r="D5179" s="4">
        <v>45416</v>
      </c>
      <c r="E5179" t="s">
        <v>316</v>
      </c>
      <c r="F5179" t="s">
        <v>75</v>
      </c>
      <c r="I5179" s="6"/>
      <c r="J5179" s="6"/>
      <c r="K5179" s="6"/>
      <c r="L5179" s="6"/>
      <c r="M5179" s="6"/>
      <c r="N5179" s="6"/>
      <c r="O5179" s="6"/>
      <c r="P5179" s="6"/>
      <c r="Q5179">
        <v>0</v>
      </c>
      <c r="R5179">
        <f t="shared" si="400"/>
        <v>0</v>
      </c>
      <c r="S5179">
        <f t="shared" si="401"/>
        <v>0</v>
      </c>
      <c r="T5179">
        <f t="shared" si="402"/>
        <v>0</v>
      </c>
      <c r="U5179">
        <f t="shared" si="403"/>
        <v>0</v>
      </c>
      <c r="V5179">
        <f t="shared" si="404"/>
        <v>0</v>
      </c>
    </row>
    <row r="5180" spans="1:22" x14ac:dyDescent="0.25">
      <c r="A5180">
        <v>5177</v>
      </c>
      <c r="B5180" t="s">
        <v>32</v>
      </c>
      <c r="C5180" t="s">
        <v>1455</v>
      </c>
      <c r="D5180" s="4">
        <v>45416</v>
      </c>
      <c r="E5180" t="s">
        <v>469</v>
      </c>
      <c r="F5180" t="s">
        <v>75</v>
      </c>
      <c r="I5180" s="6"/>
      <c r="J5180" s="6"/>
      <c r="K5180" s="6"/>
      <c r="L5180" s="6"/>
      <c r="M5180" s="6"/>
      <c r="N5180" s="6"/>
      <c r="O5180" s="6"/>
      <c r="P5180" s="6"/>
      <c r="Q5180">
        <v>0</v>
      </c>
      <c r="R5180">
        <f t="shared" si="400"/>
        <v>0</v>
      </c>
      <c r="S5180">
        <f t="shared" si="401"/>
        <v>0</v>
      </c>
      <c r="T5180">
        <f t="shared" si="402"/>
        <v>0</v>
      </c>
      <c r="U5180">
        <f t="shared" si="403"/>
        <v>0</v>
      </c>
      <c r="V5180">
        <f t="shared" si="404"/>
        <v>0</v>
      </c>
    </row>
    <row r="5181" spans="1:22" x14ac:dyDescent="0.25">
      <c r="A5181">
        <v>5178</v>
      </c>
      <c r="B5181" t="s">
        <v>32</v>
      </c>
      <c r="C5181" t="s">
        <v>1455</v>
      </c>
      <c r="D5181" s="4">
        <v>45416</v>
      </c>
      <c r="E5181" t="s">
        <v>2140</v>
      </c>
      <c r="F5181" t="s">
        <v>75</v>
      </c>
      <c r="I5181" s="6"/>
      <c r="J5181" s="6"/>
      <c r="K5181" s="6"/>
      <c r="L5181" s="6"/>
      <c r="M5181" s="6"/>
      <c r="N5181" s="6"/>
      <c r="O5181" s="6"/>
      <c r="P5181" s="6"/>
      <c r="Q5181">
        <v>0</v>
      </c>
      <c r="R5181">
        <f t="shared" si="400"/>
        <v>0</v>
      </c>
      <c r="S5181">
        <f t="shared" si="401"/>
        <v>0</v>
      </c>
      <c r="T5181">
        <f t="shared" si="402"/>
        <v>0</v>
      </c>
      <c r="U5181">
        <f t="shared" si="403"/>
        <v>0</v>
      </c>
      <c r="V5181">
        <f t="shared" si="404"/>
        <v>0</v>
      </c>
    </row>
    <row r="5182" spans="1:22" x14ac:dyDescent="0.25">
      <c r="A5182">
        <v>5179</v>
      </c>
      <c r="B5182" t="s">
        <v>32</v>
      </c>
      <c r="C5182" t="s">
        <v>1455</v>
      </c>
      <c r="D5182" s="4">
        <v>45416</v>
      </c>
      <c r="E5182" t="s">
        <v>2139</v>
      </c>
      <c r="F5182" t="s">
        <v>357</v>
      </c>
      <c r="I5182" s="6"/>
      <c r="J5182" s="6"/>
      <c r="K5182" s="6"/>
      <c r="L5182" s="6"/>
      <c r="M5182" s="6"/>
      <c r="N5182" s="6"/>
      <c r="O5182" s="6"/>
      <c r="P5182" s="6"/>
      <c r="Q5182">
        <v>0</v>
      </c>
      <c r="R5182">
        <f t="shared" si="400"/>
        <v>0</v>
      </c>
      <c r="S5182">
        <f t="shared" si="401"/>
        <v>0</v>
      </c>
      <c r="T5182">
        <f t="shared" si="402"/>
        <v>0</v>
      </c>
      <c r="U5182">
        <f t="shared" si="403"/>
        <v>0</v>
      </c>
      <c r="V5182">
        <f t="shared" si="404"/>
        <v>0</v>
      </c>
    </row>
    <row r="5183" spans="1:22" x14ac:dyDescent="0.25">
      <c r="A5183">
        <v>5180</v>
      </c>
      <c r="B5183" t="s">
        <v>32</v>
      </c>
      <c r="C5183" t="s">
        <v>1455</v>
      </c>
      <c r="D5183" s="4">
        <v>45417</v>
      </c>
      <c r="E5183" t="s">
        <v>995</v>
      </c>
      <c r="F5183" t="s">
        <v>75</v>
      </c>
      <c r="I5183" s="6"/>
      <c r="J5183" s="6"/>
      <c r="K5183" s="6"/>
      <c r="L5183" s="6"/>
      <c r="M5183" s="6"/>
      <c r="N5183" s="6"/>
      <c r="O5183" s="6"/>
      <c r="P5183" s="6"/>
      <c r="Q5183">
        <v>0</v>
      </c>
      <c r="R5183">
        <f t="shared" si="400"/>
        <v>0</v>
      </c>
      <c r="S5183">
        <f t="shared" si="401"/>
        <v>0</v>
      </c>
      <c r="T5183">
        <f t="shared" si="402"/>
        <v>0</v>
      </c>
      <c r="U5183">
        <f t="shared" si="403"/>
        <v>0</v>
      </c>
      <c r="V5183">
        <f t="shared" si="404"/>
        <v>0</v>
      </c>
    </row>
    <row r="5184" spans="1:22" x14ac:dyDescent="0.25">
      <c r="A5184">
        <v>5181</v>
      </c>
      <c r="B5184" t="s">
        <v>32</v>
      </c>
      <c r="C5184" t="s">
        <v>1455</v>
      </c>
      <c r="D5184" s="4">
        <v>45417</v>
      </c>
      <c r="E5184" t="s">
        <v>996</v>
      </c>
      <c r="F5184" t="s">
        <v>75</v>
      </c>
      <c r="I5184" s="6"/>
      <c r="J5184" s="6"/>
      <c r="K5184" s="6"/>
      <c r="L5184" s="6"/>
      <c r="M5184" s="6"/>
      <c r="N5184" s="6"/>
      <c r="O5184" s="6"/>
      <c r="P5184" s="6"/>
      <c r="Q5184">
        <v>0</v>
      </c>
      <c r="R5184">
        <f t="shared" si="400"/>
        <v>0</v>
      </c>
      <c r="S5184">
        <f t="shared" si="401"/>
        <v>0</v>
      </c>
      <c r="T5184">
        <f t="shared" si="402"/>
        <v>0</v>
      </c>
      <c r="U5184">
        <f t="shared" si="403"/>
        <v>0</v>
      </c>
      <c r="V5184">
        <f t="shared" si="404"/>
        <v>0</v>
      </c>
    </row>
    <row r="5185" spans="1:22" x14ac:dyDescent="0.25">
      <c r="A5185">
        <v>5182</v>
      </c>
      <c r="B5185" t="s">
        <v>32</v>
      </c>
      <c r="C5185" t="s">
        <v>1455</v>
      </c>
      <c r="D5185" s="4">
        <v>45417</v>
      </c>
      <c r="E5185" t="s">
        <v>1079</v>
      </c>
      <c r="F5185" t="s">
        <v>75</v>
      </c>
      <c r="I5185" s="6"/>
      <c r="J5185" s="6"/>
      <c r="K5185" s="6"/>
      <c r="L5185" s="6"/>
      <c r="M5185" s="6"/>
      <c r="N5185" s="6"/>
      <c r="O5185" s="6"/>
      <c r="P5185" s="6"/>
      <c r="Q5185">
        <v>0</v>
      </c>
      <c r="R5185">
        <f t="shared" si="400"/>
        <v>0</v>
      </c>
      <c r="S5185">
        <f t="shared" si="401"/>
        <v>0</v>
      </c>
      <c r="T5185">
        <f t="shared" si="402"/>
        <v>0</v>
      </c>
      <c r="U5185">
        <f t="shared" si="403"/>
        <v>0</v>
      </c>
      <c r="V5185">
        <f t="shared" si="404"/>
        <v>0</v>
      </c>
    </row>
    <row r="5186" spans="1:22" x14ac:dyDescent="0.25">
      <c r="A5186">
        <v>5183</v>
      </c>
      <c r="B5186" t="s">
        <v>32</v>
      </c>
      <c r="C5186" t="s">
        <v>1455</v>
      </c>
      <c r="D5186" s="4">
        <v>45417</v>
      </c>
      <c r="E5186" t="s">
        <v>1555</v>
      </c>
      <c r="F5186" t="s">
        <v>75</v>
      </c>
      <c r="I5186" s="6">
        <v>0</v>
      </c>
      <c r="J5186" s="6">
        <v>0</v>
      </c>
      <c r="K5186" s="6">
        <v>0</v>
      </c>
      <c r="L5186" s="6">
        <v>0</v>
      </c>
      <c r="M5186" s="6">
        <v>0</v>
      </c>
      <c r="N5186" s="6">
        <v>0</v>
      </c>
      <c r="O5186" s="6">
        <v>0</v>
      </c>
      <c r="P5186" s="6">
        <v>1</v>
      </c>
      <c r="Q5186">
        <v>1</v>
      </c>
      <c r="R5186">
        <f t="shared" si="400"/>
        <v>0</v>
      </c>
      <c r="S5186">
        <f t="shared" si="401"/>
        <v>1</v>
      </c>
      <c r="T5186">
        <f t="shared" si="402"/>
        <v>1</v>
      </c>
      <c r="U5186">
        <f t="shared" si="403"/>
        <v>1</v>
      </c>
      <c r="V5186">
        <f t="shared" si="404"/>
        <v>0</v>
      </c>
    </row>
    <row r="5187" spans="1:22" x14ac:dyDescent="0.25">
      <c r="A5187">
        <v>5184</v>
      </c>
      <c r="B5187" t="s">
        <v>32</v>
      </c>
      <c r="C5187" t="s">
        <v>1455</v>
      </c>
      <c r="D5187" s="4">
        <v>45417</v>
      </c>
      <c r="E5187" t="s">
        <v>2138</v>
      </c>
      <c r="F5187" t="s">
        <v>75</v>
      </c>
      <c r="I5187" s="6"/>
      <c r="J5187" s="6"/>
      <c r="K5187" s="6"/>
      <c r="L5187" s="6"/>
      <c r="M5187" s="6"/>
      <c r="N5187" s="6"/>
      <c r="O5187" s="6"/>
      <c r="P5187" s="6"/>
      <c r="Q5187">
        <v>0</v>
      </c>
      <c r="R5187">
        <f t="shared" ref="R5187:R5250" si="405">IF(AND(Q5187=1,F5187="ai_full"),1,0)</f>
        <v>0</v>
      </c>
      <c r="S5187">
        <f t="shared" ref="S5187:S5250" si="406">IF(AND(Q5187=1,F5187="conventional"),1,0)</f>
        <v>0</v>
      </c>
      <c r="T5187">
        <f t="shared" ref="T5187:T5250" si="407">SUM(I5187:P5187)</f>
        <v>0</v>
      </c>
      <c r="U5187">
        <f t="shared" ref="U5187:U5250" si="408">IF(T5187&gt;=1,1,0)</f>
        <v>0</v>
      </c>
      <c r="V5187">
        <f t="shared" ref="V5187:V5250" si="409">IF(F5187="ai_full",1,0)</f>
        <v>0</v>
      </c>
    </row>
    <row r="5188" spans="1:22" x14ac:dyDescent="0.25">
      <c r="A5188">
        <v>5185</v>
      </c>
      <c r="B5188" t="s">
        <v>32</v>
      </c>
      <c r="C5188" t="s">
        <v>1455</v>
      </c>
      <c r="D5188" s="4">
        <v>45417</v>
      </c>
      <c r="E5188" t="s">
        <v>1401</v>
      </c>
      <c r="F5188" t="s">
        <v>75</v>
      </c>
      <c r="I5188" s="6">
        <v>0</v>
      </c>
      <c r="J5188" s="6">
        <v>0</v>
      </c>
      <c r="K5188" s="6">
        <v>0</v>
      </c>
      <c r="L5188" s="6">
        <v>0</v>
      </c>
      <c r="M5188" s="6">
        <v>0</v>
      </c>
      <c r="N5188" s="6">
        <v>0</v>
      </c>
      <c r="O5188" s="6">
        <v>0</v>
      </c>
      <c r="P5188" s="6">
        <v>0</v>
      </c>
      <c r="Q5188">
        <v>1</v>
      </c>
      <c r="R5188">
        <f t="shared" si="405"/>
        <v>0</v>
      </c>
      <c r="S5188">
        <f t="shared" si="406"/>
        <v>1</v>
      </c>
      <c r="T5188">
        <f t="shared" si="407"/>
        <v>0</v>
      </c>
      <c r="U5188">
        <f t="shared" si="408"/>
        <v>0</v>
      </c>
      <c r="V5188">
        <f t="shared" si="409"/>
        <v>0</v>
      </c>
    </row>
    <row r="5189" spans="1:22" x14ac:dyDescent="0.25">
      <c r="A5189">
        <v>5186</v>
      </c>
      <c r="B5189" t="s">
        <v>32</v>
      </c>
      <c r="C5189" t="s">
        <v>1455</v>
      </c>
      <c r="D5189" s="4">
        <v>45418</v>
      </c>
      <c r="E5189" t="s">
        <v>317</v>
      </c>
      <c r="F5189" t="s">
        <v>75</v>
      </c>
      <c r="I5189" s="6"/>
      <c r="J5189" s="6"/>
      <c r="K5189" s="6"/>
      <c r="L5189" s="6"/>
      <c r="M5189" s="6"/>
      <c r="N5189" s="6"/>
      <c r="O5189" s="6"/>
      <c r="P5189" s="6"/>
      <c r="Q5189">
        <v>0</v>
      </c>
      <c r="R5189">
        <f t="shared" si="405"/>
        <v>0</v>
      </c>
      <c r="S5189">
        <f t="shared" si="406"/>
        <v>0</v>
      </c>
      <c r="T5189">
        <f t="shared" si="407"/>
        <v>0</v>
      </c>
      <c r="U5189">
        <f t="shared" si="408"/>
        <v>0</v>
      </c>
      <c r="V5189">
        <f t="shared" si="409"/>
        <v>0</v>
      </c>
    </row>
    <row r="5190" spans="1:22" x14ac:dyDescent="0.25">
      <c r="A5190">
        <v>5187</v>
      </c>
      <c r="B5190" t="s">
        <v>32</v>
      </c>
      <c r="C5190" t="s">
        <v>1455</v>
      </c>
      <c r="D5190" s="4">
        <v>45418</v>
      </c>
      <c r="E5190" t="s">
        <v>318</v>
      </c>
      <c r="F5190" t="s">
        <v>75</v>
      </c>
      <c r="I5190" s="6">
        <v>0</v>
      </c>
      <c r="J5190" s="6">
        <v>0</v>
      </c>
      <c r="K5190" s="6">
        <v>0</v>
      </c>
      <c r="L5190" s="6">
        <v>0</v>
      </c>
      <c r="M5190" s="6">
        <v>0</v>
      </c>
      <c r="N5190" s="6">
        <v>0</v>
      </c>
      <c r="O5190" s="6">
        <v>0</v>
      </c>
      <c r="P5190" s="6">
        <v>1</v>
      </c>
      <c r="Q5190">
        <v>1</v>
      </c>
      <c r="R5190">
        <f t="shared" si="405"/>
        <v>0</v>
      </c>
      <c r="S5190">
        <f t="shared" si="406"/>
        <v>1</v>
      </c>
      <c r="T5190">
        <f t="shared" si="407"/>
        <v>1</v>
      </c>
      <c r="U5190">
        <f t="shared" si="408"/>
        <v>1</v>
      </c>
      <c r="V5190">
        <f t="shared" si="409"/>
        <v>0</v>
      </c>
    </row>
    <row r="5191" spans="1:22" x14ac:dyDescent="0.25">
      <c r="A5191">
        <v>5188</v>
      </c>
      <c r="B5191" t="s">
        <v>32</v>
      </c>
      <c r="C5191" t="s">
        <v>1455</v>
      </c>
      <c r="D5191" s="4">
        <v>45418</v>
      </c>
      <c r="E5191" t="s">
        <v>319</v>
      </c>
      <c r="F5191" t="s">
        <v>75</v>
      </c>
      <c r="I5191" s="6"/>
      <c r="J5191" s="6"/>
      <c r="K5191" s="6"/>
      <c r="L5191" s="6"/>
      <c r="M5191" s="6"/>
      <c r="N5191" s="6"/>
      <c r="O5191" s="6"/>
      <c r="P5191" s="6"/>
      <c r="Q5191">
        <v>0</v>
      </c>
      <c r="R5191">
        <f t="shared" si="405"/>
        <v>0</v>
      </c>
      <c r="S5191">
        <f t="shared" si="406"/>
        <v>0</v>
      </c>
      <c r="T5191">
        <f t="shared" si="407"/>
        <v>0</v>
      </c>
      <c r="U5191">
        <f t="shared" si="408"/>
        <v>0</v>
      </c>
      <c r="V5191">
        <f t="shared" si="409"/>
        <v>0</v>
      </c>
    </row>
    <row r="5192" spans="1:22" x14ac:dyDescent="0.25">
      <c r="A5192">
        <v>5189</v>
      </c>
      <c r="B5192" t="s">
        <v>32</v>
      </c>
      <c r="C5192" t="s">
        <v>1455</v>
      </c>
      <c r="D5192" s="4">
        <v>45418</v>
      </c>
      <c r="E5192" t="s">
        <v>2137</v>
      </c>
      <c r="F5192" t="s">
        <v>75</v>
      </c>
      <c r="I5192" s="6"/>
      <c r="J5192" s="6"/>
      <c r="K5192" s="6"/>
      <c r="L5192" s="6"/>
      <c r="M5192" s="6"/>
      <c r="N5192" s="6"/>
      <c r="O5192" s="6"/>
      <c r="P5192" s="6"/>
      <c r="Q5192">
        <v>0</v>
      </c>
      <c r="R5192">
        <f t="shared" si="405"/>
        <v>0</v>
      </c>
      <c r="S5192">
        <f t="shared" si="406"/>
        <v>0</v>
      </c>
      <c r="T5192">
        <f t="shared" si="407"/>
        <v>0</v>
      </c>
      <c r="U5192">
        <f t="shared" si="408"/>
        <v>0</v>
      </c>
      <c r="V5192">
        <f t="shared" si="409"/>
        <v>0</v>
      </c>
    </row>
    <row r="5193" spans="1:22" x14ac:dyDescent="0.25">
      <c r="A5193">
        <v>5190</v>
      </c>
      <c r="B5193" t="s">
        <v>32</v>
      </c>
      <c r="C5193" t="s">
        <v>1455</v>
      </c>
      <c r="D5193" s="4">
        <v>45418</v>
      </c>
      <c r="E5193" t="s">
        <v>1174</v>
      </c>
      <c r="F5193" t="s">
        <v>75</v>
      </c>
      <c r="I5193" s="6"/>
      <c r="J5193" s="6"/>
      <c r="K5193" s="6"/>
      <c r="L5193" s="6"/>
      <c r="M5193" s="6"/>
      <c r="N5193" s="6"/>
      <c r="O5193" s="6"/>
      <c r="P5193" s="6"/>
      <c r="Q5193">
        <v>0</v>
      </c>
      <c r="R5193">
        <f t="shared" si="405"/>
        <v>0</v>
      </c>
      <c r="S5193">
        <f t="shared" si="406"/>
        <v>0</v>
      </c>
      <c r="T5193">
        <f t="shared" si="407"/>
        <v>0</v>
      </c>
      <c r="U5193">
        <f t="shared" si="408"/>
        <v>0</v>
      </c>
      <c r="V5193">
        <f t="shared" si="409"/>
        <v>0</v>
      </c>
    </row>
    <row r="5194" spans="1:22" x14ac:dyDescent="0.25">
      <c r="A5194">
        <v>5191</v>
      </c>
      <c r="B5194" t="s">
        <v>32</v>
      </c>
      <c r="C5194" t="s">
        <v>1455</v>
      </c>
      <c r="D5194" s="4">
        <v>45419</v>
      </c>
      <c r="E5194" t="s">
        <v>1080</v>
      </c>
      <c r="F5194" t="s">
        <v>75</v>
      </c>
      <c r="I5194" s="6"/>
      <c r="J5194" s="6"/>
      <c r="K5194" s="6"/>
      <c r="L5194" s="6"/>
      <c r="M5194" s="6"/>
      <c r="N5194" s="6"/>
      <c r="O5194" s="6"/>
      <c r="P5194" s="6"/>
      <c r="Q5194">
        <v>0</v>
      </c>
      <c r="R5194">
        <f t="shared" si="405"/>
        <v>0</v>
      </c>
      <c r="S5194">
        <f t="shared" si="406"/>
        <v>0</v>
      </c>
      <c r="T5194">
        <f t="shared" si="407"/>
        <v>0</v>
      </c>
      <c r="U5194">
        <f t="shared" si="408"/>
        <v>0</v>
      </c>
      <c r="V5194">
        <f t="shared" si="409"/>
        <v>0</v>
      </c>
    </row>
    <row r="5195" spans="1:22" x14ac:dyDescent="0.25">
      <c r="A5195">
        <v>5192</v>
      </c>
      <c r="B5195" t="s">
        <v>32</v>
      </c>
      <c r="C5195" t="s">
        <v>1455</v>
      </c>
      <c r="D5195" s="4">
        <v>45419</v>
      </c>
      <c r="E5195" t="s">
        <v>320</v>
      </c>
      <c r="F5195" t="s">
        <v>75</v>
      </c>
      <c r="I5195" s="6"/>
      <c r="J5195" s="6"/>
      <c r="K5195" s="6"/>
      <c r="L5195" s="6"/>
      <c r="M5195" s="6"/>
      <c r="N5195" s="6"/>
      <c r="O5195" s="6"/>
      <c r="P5195" s="6"/>
      <c r="Q5195">
        <v>0</v>
      </c>
      <c r="R5195">
        <f t="shared" si="405"/>
        <v>0</v>
      </c>
      <c r="S5195">
        <f t="shared" si="406"/>
        <v>0</v>
      </c>
      <c r="T5195">
        <f t="shared" si="407"/>
        <v>0</v>
      </c>
      <c r="U5195">
        <f t="shared" si="408"/>
        <v>0</v>
      </c>
      <c r="V5195">
        <f t="shared" si="409"/>
        <v>0</v>
      </c>
    </row>
    <row r="5196" spans="1:22" x14ac:dyDescent="0.25">
      <c r="A5196">
        <v>5193</v>
      </c>
      <c r="B5196" t="s">
        <v>32</v>
      </c>
      <c r="C5196" t="s">
        <v>1455</v>
      </c>
      <c r="D5196" s="4">
        <v>45419</v>
      </c>
      <c r="E5196" t="s">
        <v>1081</v>
      </c>
      <c r="F5196" t="s">
        <v>75</v>
      </c>
      <c r="I5196" s="6">
        <v>0</v>
      </c>
      <c r="J5196" s="6">
        <v>0</v>
      </c>
      <c r="K5196" s="6">
        <v>1</v>
      </c>
      <c r="L5196" s="6">
        <v>0</v>
      </c>
      <c r="M5196" s="6">
        <v>0</v>
      </c>
      <c r="N5196" s="6">
        <v>0</v>
      </c>
      <c r="O5196" s="6">
        <v>0</v>
      </c>
      <c r="P5196" s="6">
        <v>0</v>
      </c>
      <c r="Q5196">
        <v>1</v>
      </c>
      <c r="R5196">
        <f t="shared" si="405"/>
        <v>0</v>
      </c>
      <c r="S5196">
        <f t="shared" si="406"/>
        <v>1</v>
      </c>
      <c r="T5196">
        <f t="shared" si="407"/>
        <v>1</v>
      </c>
      <c r="U5196">
        <f t="shared" si="408"/>
        <v>1</v>
      </c>
      <c r="V5196">
        <f t="shared" si="409"/>
        <v>0</v>
      </c>
    </row>
    <row r="5197" spans="1:22" x14ac:dyDescent="0.25">
      <c r="A5197">
        <v>5194</v>
      </c>
      <c r="B5197" t="s">
        <v>32</v>
      </c>
      <c r="C5197" t="s">
        <v>1455</v>
      </c>
      <c r="D5197" s="4">
        <v>45419</v>
      </c>
      <c r="E5197" t="s">
        <v>1482</v>
      </c>
      <c r="F5197" t="s">
        <v>75</v>
      </c>
      <c r="I5197" s="6"/>
      <c r="J5197" s="6"/>
      <c r="K5197" s="6"/>
      <c r="L5197" s="6"/>
      <c r="M5197" s="6"/>
      <c r="N5197" s="6"/>
      <c r="O5197" s="6"/>
      <c r="P5197" s="6"/>
      <c r="Q5197">
        <v>0</v>
      </c>
      <c r="R5197">
        <f t="shared" si="405"/>
        <v>0</v>
      </c>
      <c r="S5197">
        <f t="shared" si="406"/>
        <v>0</v>
      </c>
      <c r="T5197">
        <f t="shared" si="407"/>
        <v>0</v>
      </c>
      <c r="U5197">
        <f t="shared" si="408"/>
        <v>0</v>
      </c>
      <c r="V5197">
        <f t="shared" si="409"/>
        <v>0</v>
      </c>
    </row>
    <row r="5198" spans="1:22" x14ac:dyDescent="0.25">
      <c r="A5198">
        <v>5195</v>
      </c>
      <c r="B5198" t="s">
        <v>32</v>
      </c>
      <c r="C5198" t="s">
        <v>1455</v>
      </c>
      <c r="D5198" s="4">
        <v>45419</v>
      </c>
      <c r="E5198" t="s">
        <v>1177</v>
      </c>
      <c r="F5198" t="s">
        <v>75</v>
      </c>
      <c r="I5198" s="6">
        <v>0</v>
      </c>
      <c r="J5198" s="6">
        <v>0</v>
      </c>
      <c r="K5198" s="6">
        <v>0</v>
      </c>
      <c r="L5198" s="6">
        <v>0</v>
      </c>
      <c r="M5198" s="6">
        <v>1</v>
      </c>
      <c r="N5198" s="6">
        <v>0</v>
      </c>
      <c r="O5198" s="6">
        <v>0</v>
      </c>
      <c r="P5198" s="6">
        <v>0</v>
      </c>
      <c r="Q5198">
        <v>1</v>
      </c>
      <c r="R5198">
        <f t="shared" si="405"/>
        <v>0</v>
      </c>
      <c r="S5198">
        <f t="shared" si="406"/>
        <v>1</v>
      </c>
      <c r="T5198">
        <f t="shared" si="407"/>
        <v>1</v>
      </c>
      <c r="U5198">
        <f t="shared" si="408"/>
        <v>1</v>
      </c>
      <c r="V5198">
        <f t="shared" si="409"/>
        <v>0</v>
      </c>
    </row>
    <row r="5199" spans="1:22" x14ac:dyDescent="0.25">
      <c r="A5199">
        <v>5196</v>
      </c>
      <c r="B5199" t="s">
        <v>32</v>
      </c>
      <c r="C5199" t="s">
        <v>1455</v>
      </c>
      <c r="D5199" s="4">
        <v>45419</v>
      </c>
      <c r="E5199" t="s">
        <v>1178</v>
      </c>
      <c r="F5199" t="s">
        <v>75</v>
      </c>
      <c r="I5199" s="6"/>
      <c r="J5199" s="6"/>
      <c r="K5199" s="6"/>
      <c r="L5199" s="6"/>
      <c r="M5199" s="6"/>
      <c r="N5199" s="6"/>
      <c r="O5199" s="6"/>
      <c r="P5199" s="6"/>
      <c r="Q5199">
        <v>0</v>
      </c>
      <c r="R5199">
        <f t="shared" si="405"/>
        <v>0</v>
      </c>
      <c r="S5199">
        <f t="shared" si="406"/>
        <v>0</v>
      </c>
      <c r="T5199">
        <f t="shared" si="407"/>
        <v>0</v>
      </c>
      <c r="U5199">
        <f t="shared" si="408"/>
        <v>0</v>
      </c>
      <c r="V5199">
        <f t="shared" si="409"/>
        <v>0</v>
      </c>
    </row>
    <row r="5200" spans="1:22" x14ac:dyDescent="0.25">
      <c r="A5200">
        <v>5197</v>
      </c>
      <c r="B5200" t="s">
        <v>32</v>
      </c>
      <c r="C5200" t="s">
        <v>1455</v>
      </c>
      <c r="D5200" s="4">
        <v>45420</v>
      </c>
      <c r="E5200" t="s">
        <v>471</v>
      </c>
      <c r="F5200" t="s">
        <v>75</v>
      </c>
      <c r="I5200" s="6">
        <v>0</v>
      </c>
      <c r="J5200" s="6">
        <v>0</v>
      </c>
      <c r="K5200" s="6">
        <v>1</v>
      </c>
      <c r="L5200" s="6">
        <v>0</v>
      </c>
      <c r="M5200" s="6">
        <v>0</v>
      </c>
      <c r="N5200" s="6">
        <v>0</v>
      </c>
      <c r="O5200" s="6">
        <v>0</v>
      </c>
      <c r="P5200" s="6">
        <v>0</v>
      </c>
      <c r="Q5200">
        <v>1</v>
      </c>
      <c r="R5200">
        <f t="shared" si="405"/>
        <v>0</v>
      </c>
      <c r="S5200">
        <f t="shared" si="406"/>
        <v>1</v>
      </c>
      <c r="T5200">
        <f t="shared" si="407"/>
        <v>1</v>
      </c>
      <c r="U5200">
        <f t="shared" si="408"/>
        <v>1</v>
      </c>
      <c r="V5200">
        <f t="shared" si="409"/>
        <v>0</v>
      </c>
    </row>
    <row r="5201" spans="1:22" x14ac:dyDescent="0.25">
      <c r="A5201">
        <v>5198</v>
      </c>
      <c r="B5201" t="s">
        <v>32</v>
      </c>
      <c r="C5201" t="s">
        <v>1455</v>
      </c>
      <c r="D5201" s="4">
        <v>45420</v>
      </c>
      <c r="E5201" t="s">
        <v>472</v>
      </c>
      <c r="F5201" t="s">
        <v>75</v>
      </c>
      <c r="I5201" s="6"/>
      <c r="J5201" s="6"/>
      <c r="K5201" s="6"/>
      <c r="L5201" s="6"/>
      <c r="M5201" s="6"/>
      <c r="N5201" s="6"/>
      <c r="O5201" s="6"/>
      <c r="P5201" s="6"/>
      <c r="Q5201">
        <v>0</v>
      </c>
      <c r="R5201">
        <f t="shared" si="405"/>
        <v>0</v>
      </c>
      <c r="S5201">
        <f t="shared" si="406"/>
        <v>0</v>
      </c>
      <c r="T5201">
        <f t="shared" si="407"/>
        <v>0</v>
      </c>
      <c r="U5201">
        <f t="shared" si="408"/>
        <v>0</v>
      </c>
      <c r="V5201">
        <f t="shared" si="409"/>
        <v>0</v>
      </c>
    </row>
    <row r="5202" spans="1:22" x14ac:dyDescent="0.25">
      <c r="A5202">
        <v>5199</v>
      </c>
      <c r="B5202" t="s">
        <v>32</v>
      </c>
      <c r="C5202" t="s">
        <v>1455</v>
      </c>
      <c r="D5202" s="4">
        <v>45420</v>
      </c>
      <c r="E5202" t="s">
        <v>473</v>
      </c>
      <c r="F5202" t="s">
        <v>75</v>
      </c>
      <c r="I5202" s="6"/>
      <c r="J5202" s="6"/>
      <c r="K5202" s="6"/>
      <c r="L5202" s="6"/>
      <c r="M5202" s="6"/>
      <c r="N5202" s="6"/>
      <c r="O5202" s="6"/>
      <c r="P5202" s="6"/>
      <c r="Q5202">
        <v>0</v>
      </c>
      <c r="R5202">
        <f t="shared" si="405"/>
        <v>0</v>
      </c>
      <c r="S5202">
        <f t="shared" si="406"/>
        <v>0</v>
      </c>
      <c r="T5202">
        <f t="shared" si="407"/>
        <v>0</v>
      </c>
      <c r="U5202">
        <f t="shared" si="408"/>
        <v>0</v>
      </c>
      <c r="V5202">
        <f t="shared" si="409"/>
        <v>0</v>
      </c>
    </row>
    <row r="5203" spans="1:22" x14ac:dyDescent="0.25">
      <c r="A5203">
        <v>5200</v>
      </c>
      <c r="B5203" t="s">
        <v>32</v>
      </c>
      <c r="C5203" t="s">
        <v>1455</v>
      </c>
      <c r="D5203" s="4">
        <v>45420</v>
      </c>
      <c r="E5203" t="s">
        <v>1082</v>
      </c>
      <c r="F5203" t="s">
        <v>75</v>
      </c>
      <c r="I5203" s="6"/>
      <c r="J5203" s="6"/>
      <c r="K5203" s="6"/>
      <c r="L5203" s="6"/>
      <c r="M5203" s="6"/>
      <c r="N5203" s="6"/>
      <c r="O5203" s="6"/>
      <c r="P5203" s="6"/>
      <c r="Q5203">
        <v>0</v>
      </c>
      <c r="R5203">
        <f t="shared" si="405"/>
        <v>0</v>
      </c>
      <c r="S5203">
        <f t="shared" si="406"/>
        <v>0</v>
      </c>
      <c r="T5203">
        <f t="shared" si="407"/>
        <v>0</v>
      </c>
      <c r="U5203">
        <f t="shared" si="408"/>
        <v>0</v>
      </c>
      <c r="V5203">
        <f t="shared" si="409"/>
        <v>0</v>
      </c>
    </row>
    <row r="5204" spans="1:22" x14ac:dyDescent="0.25">
      <c r="A5204">
        <v>5201</v>
      </c>
      <c r="B5204" t="s">
        <v>32</v>
      </c>
      <c r="C5204" t="s">
        <v>1455</v>
      </c>
      <c r="D5204" s="4">
        <v>45420</v>
      </c>
      <c r="E5204" t="s">
        <v>2136</v>
      </c>
      <c r="F5204" t="s">
        <v>75</v>
      </c>
      <c r="I5204" s="6"/>
      <c r="J5204" s="6"/>
      <c r="K5204" s="6"/>
      <c r="L5204" s="6"/>
      <c r="M5204" s="6"/>
      <c r="N5204" s="6"/>
      <c r="O5204" s="6"/>
      <c r="P5204" s="6"/>
      <c r="Q5204">
        <v>0</v>
      </c>
      <c r="R5204">
        <f t="shared" si="405"/>
        <v>0</v>
      </c>
      <c r="S5204">
        <f t="shared" si="406"/>
        <v>0</v>
      </c>
      <c r="T5204">
        <f t="shared" si="407"/>
        <v>0</v>
      </c>
      <c r="U5204">
        <f t="shared" si="408"/>
        <v>0</v>
      </c>
      <c r="V5204">
        <f t="shared" si="409"/>
        <v>0</v>
      </c>
    </row>
    <row r="5205" spans="1:22" x14ac:dyDescent="0.25">
      <c r="A5205">
        <v>5202</v>
      </c>
      <c r="B5205" t="s">
        <v>32</v>
      </c>
      <c r="C5205" t="s">
        <v>1455</v>
      </c>
      <c r="D5205" s="4">
        <v>45420</v>
      </c>
      <c r="E5205" t="s">
        <v>1083</v>
      </c>
      <c r="F5205" t="s">
        <v>75</v>
      </c>
      <c r="I5205" s="6">
        <v>0</v>
      </c>
      <c r="J5205" s="6">
        <v>0</v>
      </c>
      <c r="K5205" s="6">
        <v>0</v>
      </c>
      <c r="L5205" s="6">
        <v>0</v>
      </c>
      <c r="M5205" s="6">
        <v>0</v>
      </c>
      <c r="N5205" s="6">
        <v>0</v>
      </c>
      <c r="O5205" s="6">
        <v>0</v>
      </c>
      <c r="P5205" s="6">
        <v>0</v>
      </c>
      <c r="Q5205">
        <v>1</v>
      </c>
      <c r="R5205">
        <f t="shared" si="405"/>
        <v>0</v>
      </c>
      <c r="S5205">
        <f t="shared" si="406"/>
        <v>1</v>
      </c>
      <c r="T5205">
        <f t="shared" si="407"/>
        <v>0</v>
      </c>
      <c r="U5205">
        <f t="shared" si="408"/>
        <v>0</v>
      </c>
      <c r="V5205">
        <f t="shared" si="409"/>
        <v>0</v>
      </c>
    </row>
    <row r="5206" spans="1:22" x14ac:dyDescent="0.25">
      <c r="A5206">
        <v>5203</v>
      </c>
      <c r="B5206" t="s">
        <v>32</v>
      </c>
      <c r="C5206" t="s">
        <v>1455</v>
      </c>
      <c r="D5206" s="4">
        <v>45421</v>
      </c>
      <c r="E5206" t="s">
        <v>321</v>
      </c>
      <c r="F5206" t="s">
        <v>75</v>
      </c>
      <c r="I5206" s="6"/>
      <c r="J5206" s="6"/>
      <c r="K5206" s="6"/>
      <c r="L5206" s="6"/>
      <c r="M5206" s="6"/>
      <c r="N5206" s="6"/>
      <c r="O5206" s="6"/>
      <c r="P5206" s="6"/>
      <c r="Q5206">
        <v>0</v>
      </c>
      <c r="R5206">
        <f t="shared" si="405"/>
        <v>0</v>
      </c>
      <c r="S5206">
        <f t="shared" si="406"/>
        <v>0</v>
      </c>
      <c r="T5206">
        <f t="shared" si="407"/>
        <v>0</v>
      </c>
      <c r="U5206">
        <f t="shared" si="408"/>
        <v>0</v>
      </c>
      <c r="V5206">
        <f t="shared" si="409"/>
        <v>0</v>
      </c>
    </row>
    <row r="5207" spans="1:22" x14ac:dyDescent="0.25">
      <c r="A5207">
        <v>5204</v>
      </c>
      <c r="B5207" t="s">
        <v>32</v>
      </c>
      <c r="C5207" t="s">
        <v>1455</v>
      </c>
      <c r="D5207" s="4">
        <v>45421</v>
      </c>
      <c r="E5207" t="s">
        <v>322</v>
      </c>
      <c r="F5207" t="s">
        <v>413</v>
      </c>
      <c r="G5207">
        <v>242</v>
      </c>
      <c r="I5207" s="6">
        <v>1</v>
      </c>
      <c r="J5207" s="6">
        <v>0</v>
      </c>
      <c r="K5207" s="6">
        <v>1</v>
      </c>
      <c r="L5207" s="6">
        <v>0</v>
      </c>
      <c r="M5207" s="6">
        <v>0</v>
      </c>
      <c r="N5207" s="6">
        <v>0</v>
      </c>
      <c r="O5207" s="6">
        <v>0</v>
      </c>
      <c r="P5207" s="6">
        <v>0</v>
      </c>
      <c r="Q5207">
        <v>1</v>
      </c>
      <c r="R5207">
        <f t="shared" si="405"/>
        <v>1</v>
      </c>
      <c r="S5207">
        <f t="shared" si="406"/>
        <v>0</v>
      </c>
      <c r="T5207">
        <f t="shared" si="407"/>
        <v>2</v>
      </c>
      <c r="U5207">
        <f t="shared" si="408"/>
        <v>1</v>
      </c>
      <c r="V5207">
        <f t="shared" si="409"/>
        <v>1</v>
      </c>
    </row>
    <row r="5208" spans="1:22" x14ac:dyDescent="0.25">
      <c r="A5208">
        <v>5205</v>
      </c>
      <c r="B5208" t="s">
        <v>32</v>
      </c>
      <c r="C5208" t="s">
        <v>1455</v>
      </c>
      <c r="D5208" s="4">
        <v>45421</v>
      </c>
      <c r="E5208" t="s">
        <v>323</v>
      </c>
      <c r="F5208" t="s">
        <v>75</v>
      </c>
      <c r="I5208" s="6">
        <v>0</v>
      </c>
      <c r="J5208" s="6">
        <v>0</v>
      </c>
      <c r="K5208" s="6">
        <v>1</v>
      </c>
      <c r="L5208" s="6">
        <v>0</v>
      </c>
      <c r="M5208" s="6">
        <v>0</v>
      </c>
      <c r="N5208" s="6">
        <v>0</v>
      </c>
      <c r="O5208" s="6">
        <v>0</v>
      </c>
      <c r="P5208" s="6">
        <v>0</v>
      </c>
      <c r="Q5208">
        <v>1</v>
      </c>
      <c r="R5208">
        <f t="shared" si="405"/>
        <v>0</v>
      </c>
      <c r="S5208">
        <f t="shared" si="406"/>
        <v>1</v>
      </c>
      <c r="T5208">
        <f t="shared" si="407"/>
        <v>1</v>
      </c>
      <c r="U5208">
        <f t="shared" si="408"/>
        <v>1</v>
      </c>
      <c r="V5208">
        <f t="shared" si="409"/>
        <v>0</v>
      </c>
    </row>
    <row r="5209" spans="1:22" x14ac:dyDescent="0.25">
      <c r="A5209">
        <v>5206</v>
      </c>
      <c r="B5209" t="s">
        <v>32</v>
      </c>
      <c r="C5209" t="s">
        <v>1455</v>
      </c>
      <c r="D5209" s="4">
        <v>45421</v>
      </c>
      <c r="E5209" t="s">
        <v>324</v>
      </c>
      <c r="F5209" t="s">
        <v>75</v>
      </c>
      <c r="I5209" s="6">
        <v>0</v>
      </c>
      <c r="J5209" s="6">
        <v>0</v>
      </c>
      <c r="K5209" s="6">
        <v>0</v>
      </c>
      <c r="L5209" s="6">
        <v>0</v>
      </c>
      <c r="M5209" s="6">
        <v>0</v>
      </c>
      <c r="N5209" s="6">
        <v>0</v>
      </c>
      <c r="O5209" s="6">
        <v>1</v>
      </c>
      <c r="P5209" s="6">
        <v>0</v>
      </c>
      <c r="Q5209">
        <v>1</v>
      </c>
      <c r="R5209">
        <f t="shared" si="405"/>
        <v>0</v>
      </c>
      <c r="S5209">
        <f t="shared" si="406"/>
        <v>1</v>
      </c>
      <c r="T5209">
        <f t="shared" si="407"/>
        <v>1</v>
      </c>
      <c r="U5209">
        <f t="shared" si="408"/>
        <v>1</v>
      </c>
      <c r="V5209">
        <f t="shared" si="409"/>
        <v>0</v>
      </c>
    </row>
    <row r="5210" spans="1:22" x14ac:dyDescent="0.25">
      <c r="A5210">
        <v>5207</v>
      </c>
      <c r="B5210" t="s">
        <v>32</v>
      </c>
      <c r="C5210" t="s">
        <v>1455</v>
      </c>
      <c r="D5210" s="4">
        <v>45421</v>
      </c>
      <c r="E5210" t="s">
        <v>325</v>
      </c>
      <c r="F5210" t="s">
        <v>75</v>
      </c>
      <c r="I5210" s="6">
        <v>0</v>
      </c>
      <c r="J5210" s="6">
        <v>0</v>
      </c>
      <c r="K5210" s="6">
        <v>0</v>
      </c>
      <c r="L5210" s="6">
        <v>1</v>
      </c>
      <c r="M5210" s="6">
        <v>0</v>
      </c>
      <c r="N5210" s="6">
        <v>1</v>
      </c>
      <c r="O5210" s="6">
        <v>0</v>
      </c>
      <c r="P5210" s="6">
        <v>0</v>
      </c>
      <c r="Q5210">
        <v>1</v>
      </c>
      <c r="R5210">
        <f t="shared" si="405"/>
        <v>0</v>
      </c>
      <c r="S5210">
        <f t="shared" si="406"/>
        <v>1</v>
      </c>
      <c r="T5210">
        <f t="shared" si="407"/>
        <v>2</v>
      </c>
      <c r="U5210">
        <f t="shared" si="408"/>
        <v>1</v>
      </c>
      <c r="V5210">
        <f t="shared" si="409"/>
        <v>0</v>
      </c>
    </row>
    <row r="5211" spans="1:22" x14ac:dyDescent="0.25">
      <c r="A5211">
        <v>5208</v>
      </c>
      <c r="B5211" t="s">
        <v>32</v>
      </c>
      <c r="C5211" t="s">
        <v>1455</v>
      </c>
      <c r="D5211" s="4">
        <v>45421</v>
      </c>
      <c r="E5211" t="s">
        <v>1085</v>
      </c>
      <c r="F5211" t="s">
        <v>75</v>
      </c>
      <c r="I5211" s="6">
        <v>0</v>
      </c>
      <c r="J5211" s="6">
        <v>0</v>
      </c>
      <c r="K5211" s="6">
        <v>1</v>
      </c>
      <c r="L5211" s="6">
        <v>0</v>
      </c>
      <c r="M5211" s="6">
        <v>0</v>
      </c>
      <c r="N5211" s="6">
        <v>0</v>
      </c>
      <c r="O5211" s="6">
        <v>0</v>
      </c>
      <c r="P5211" s="6">
        <v>0</v>
      </c>
      <c r="Q5211">
        <v>1</v>
      </c>
      <c r="R5211">
        <f t="shared" si="405"/>
        <v>0</v>
      </c>
      <c r="S5211">
        <f t="shared" si="406"/>
        <v>1</v>
      </c>
      <c r="T5211">
        <f t="shared" si="407"/>
        <v>1</v>
      </c>
      <c r="U5211">
        <f t="shared" si="408"/>
        <v>1</v>
      </c>
      <c r="V5211">
        <f t="shared" si="409"/>
        <v>0</v>
      </c>
    </row>
    <row r="5212" spans="1:22" x14ac:dyDescent="0.25">
      <c r="A5212">
        <v>5209</v>
      </c>
      <c r="B5212" t="s">
        <v>32</v>
      </c>
      <c r="C5212" t="s">
        <v>1455</v>
      </c>
      <c r="D5212" s="4">
        <v>45421</v>
      </c>
      <c r="E5212" t="s">
        <v>1086</v>
      </c>
      <c r="F5212" t="s">
        <v>75</v>
      </c>
      <c r="I5212" s="6">
        <v>1</v>
      </c>
      <c r="J5212" s="6">
        <v>0</v>
      </c>
      <c r="K5212" s="6">
        <v>1</v>
      </c>
      <c r="L5212" s="6">
        <v>0</v>
      </c>
      <c r="M5212" s="6">
        <v>0</v>
      </c>
      <c r="N5212" s="6">
        <v>0</v>
      </c>
      <c r="O5212" s="6">
        <v>0</v>
      </c>
      <c r="P5212" s="6">
        <v>0</v>
      </c>
      <c r="Q5212">
        <v>1</v>
      </c>
      <c r="R5212">
        <f t="shared" si="405"/>
        <v>0</v>
      </c>
      <c r="S5212">
        <f t="shared" si="406"/>
        <v>1</v>
      </c>
      <c r="T5212">
        <f t="shared" si="407"/>
        <v>2</v>
      </c>
      <c r="U5212">
        <f t="shared" si="408"/>
        <v>1</v>
      </c>
      <c r="V5212">
        <f t="shared" si="409"/>
        <v>0</v>
      </c>
    </row>
    <row r="5213" spans="1:22" x14ac:dyDescent="0.25">
      <c r="A5213">
        <v>5210</v>
      </c>
      <c r="B5213" t="s">
        <v>32</v>
      </c>
      <c r="C5213" t="s">
        <v>1455</v>
      </c>
      <c r="D5213" s="4">
        <v>45422</v>
      </c>
      <c r="E5213" t="s">
        <v>1087</v>
      </c>
      <c r="F5213" t="s">
        <v>75</v>
      </c>
      <c r="I5213" s="6"/>
      <c r="J5213" s="6"/>
      <c r="K5213" s="6"/>
      <c r="L5213" s="6"/>
      <c r="M5213" s="6"/>
      <c r="N5213" s="6"/>
      <c r="O5213" s="6"/>
      <c r="P5213" s="6"/>
      <c r="Q5213">
        <v>0</v>
      </c>
      <c r="R5213">
        <f t="shared" si="405"/>
        <v>0</v>
      </c>
      <c r="S5213">
        <f t="shared" si="406"/>
        <v>0</v>
      </c>
      <c r="T5213">
        <f t="shared" si="407"/>
        <v>0</v>
      </c>
      <c r="U5213">
        <f t="shared" si="408"/>
        <v>0</v>
      </c>
      <c r="V5213">
        <f t="shared" si="409"/>
        <v>0</v>
      </c>
    </row>
    <row r="5214" spans="1:22" x14ac:dyDescent="0.25">
      <c r="A5214">
        <v>5211</v>
      </c>
      <c r="B5214" t="s">
        <v>32</v>
      </c>
      <c r="C5214" t="s">
        <v>1455</v>
      </c>
      <c r="D5214" s="4">
        <v>45422</v>
      </c>
      <c r="E5214" t="s">
        <v>1088</v>
      </c>
      <c r="F5214" t="s">
        <v>75</v>
      </c>
      <c r="I5214" s="6"/>
      <c r="J5214" s="6"/>
      <c r="K5214" s="6"/>
      <c r="L5214" s="6"/>
      <c r="M5214" s="6"/>
      <c r="N5214" s="6"/>
      <c r="O5214" s="6"/>
      <c r="P5214" s="6"/>
      <c r="Q5214">
        <v>0</v>
      </c>
      <c r="R5214">
        <f t="shared" si="405"/>
        <v>0</v>
      </c>
      <c r="S5214">
        <f t="shared" si="406"/>
        <v>0</v>
      </c>
      <c r="T5214">
        <f t="shared" si="407"/>
        <v>0</v>
      </c>
      <c r="U5214">
        <f t="shared" si="408"/>
        <v>0</v>
      </c>
      <c r="V5214">
        <f t="shared" si="409"/>
        <v>0</v>
      </c>
    </row>
    <row r="5215" spans="1:22" x14ac:dyDescent="0.25">
      <c r="A5215">
        <v>5212</v>
      </c>
      <c r="B5215" t="s">
        <v>32</v>
      </c>
      <c r="C5215" t="s">
        <v>1455</v>
      </c>
      <c r="D5215" s="4">
        <v>45422</v>
      </c>
      <c r="E5215" t="s">
        <v>1089</v>
      </c>
      <c r="F5215" t="s">
        <v>75</v>
      </c>
      <c r="I5215" s="6"/>
      <c r="J5215" s="6"/>
      <c r="K5215" s="6"/>
      <c r="L5215" s="6"/>
      <c r="M5215" s="6"/>
      <c r="N5215" s="6"/>
      <c r="O5215" s="6"/>
      <c r="P5215" s="6"/>
      <c r="Q5215">
        <v>0</v>
      </c>
      <c r="R5215">
        <f t="shared" si="405"/>
        <v>0</v>
      </c>
      <c r="S5215">
        <f t="shared" si="406"/>
        <v>0</v>
      </c>
      <c r="T5215">
        <f t="shared" si="407"/>
        <v>0</v>
      </c>
      <c r="U5215">
        <f t="shared" si="408"/>
        <v>0</v>
      </c>
      <c r="V5215">
        <f t="shared" si="409"/>
        <v>0</v>
      </c>
    </row>
    <row r="5216" spans="1:22" x14ac:dyDescent="0.25">
      <c r="A5216">
        <v>5213</v>
      </c>
      <c r="B5216" t="s">
        <v>32</v>
      </c>
      <c r="C5216" t="s">
        <v>1455</v>
      </c>
      <c r="D5216" s="4">
        <v>45422</v>
      </c>
      <c r="E5216" t="s">
        <v>1183</v>
      </c>
      <c r="F5216" t="s">
        <v>75</v>
      </c>
      <c r="I5216" s="6"/>
      <c r="J5216" s="6"/>
      <c r="K5216" s="6"/>
      <c r="L5216" s="6"/>
      <c r="M5216" s="6"/>
      <c r="N5216" s="6"/>
      <c r="O5216" s="6"/>
      <c r="P5216" s="6"/>
      <c r="Q5216">
        <v>0</v>
      </c>
      <c r="R5216">
        <f t="shared" si="405"/>
        <v>0</v>
      </c>
      <c r="S5216">
        <f t="shared" si="406"/>
        <v>0</v>
      </c>
      <c r="T5216">
        <f t="shared" si="407"/>
        <v>0</v>
      </c>
      <c r="U5216">
        <f t="shared" si="408"/>
        <v>0</v>
      </c>
      <c r="V5216">
        <f t="shared" si="409"/>
        <v>0</v>
      </c>
    </row>
    <row r="5217" spans="1:22" x14ac:dyDescent="0.25">
      <c r="A5217">
        <v>5214</v>
      </c>
      <c r="B5217" t="s">
        <v>32</v>
      </c>
      <c r="C5217" t="s">
        <v>1455</v>
      </c>
      <c r="D5217" s="4">
        <v>45422</v>
      </c>
      <c r="E5217" t="s">
        <v>326</v>
      </c>
      <c r="F5217" t="s">
        <v>75</v>
      </c>
      <c r="I5217" s="6">
        <v>1</v>
      </c>
      <c r="J5217" s="6">
        <v>0</v>
      </c>
      <c r="K5217" s="6">
        <v>1</v>
      </c>
      <c r="L5217" s="6">
        <v>0</v>
      </c>
      <c r="M5217" s="6">
        <v>0</v>
      </c>
      <c r="N5217" s="6">
        <v>0</v>
      </c>
      <c r="O5217" s="6">
        <v>0</v>
      </c>
      <c r="P5217" s="6">
        <v>0</v>
      </c>
      <c r="Q5217">
        <v>1</v>
      </c>
      <c r="R5217">
        <f t="shared" si="405"/>
        <v>0</v>
      </c>
      <c r="S5217">
        <f t="shared" si="406"/>
        <v>1</v>
      </c>
      <c r="T5217">
        <f t="shared" si="407"/>
        <v>2</v>
      </c>
      <c r="U5217">
        <f t="shared" si="408"/>
        <v>1</v>
      </c>
      <c r="V5217">
        <f t="shared" si="409"/>
        <v>0</v>
      </c>
    </row>
    <row r="5218" spans="1:22" x14ac:dyDescent="0.25">
      <c r="A5218">
        <v>5215</v>
      </c>
      <c r="B5218" t="s">
        <v>32</v>
      </c>
      <c r="C5218" t="s">
        <v>1455</v>
      </c>
      <c r="D5218" s="4">
        <v>45422</v>
      </c>
      <c r="E5218" t="s">
        <v>327</v>
      </c>
      <c r="F5218" t="s">
        <v>75</v>
      </c>
      <c r="I5218" s="6"/>
      <c r="J5218" s="6"/>
      <c r="K5218" s="6"/>
      <c r="L5218" s="6"/>
      <c r="M5218" s="6"/>
      <c r="N5218" s="6"/>
      <c r="O5218" s="6"/>
      <c r="P5218" s="6"/>
      <c r="Q5218">
        <v>0</v>
      </c>
      <c r="R5218">
        <f t="shared" si="405"/>
        <v>0</v>
      </c>
      <c r="S5218">
        <f t="shared" si="406"/>
        <v>0</v>
      </c>
      <c r="T5218">
        <f t="shared" si="407"/>
        <v>0</v>
      </c>
      <c r="U5218">
        <f t="shared" si="408"/>
        <v>0</v>
      </c>
      <c r="V5218">
        <f t="shared" si="409"/>
        <v>0</v>
      </c>
    </row>
    <row r="5219" spans="1:22" x14ac:dyDescent="0.25">
      <c r="A5219">
        <v>5216</v>
      </c>
      <c r="B5219" t="s">
        <v>32</v>
      </c>
      <c r="C5219" t="s">
        <v>1455</v>
      </c>
      <c r="D5219" s="4">
        <v>45422</v>
      </c>
      <c r="E5219" t="s">
        <v>328</v>
      </c>
      <c r="F5219" t="s">
        <v>75</v>
      </c>
      <c r="I5219" s="6"/>
      <c r="J5219" s="6"/>
      <c r="K5219" s="6"/>
      <c r="L5219" s="6"/>
      <c r="M5219" s="6"/>
      <c r="N5219" s="6"/>
      <c r="O5219" s="6"/>
      <c r="P5219" s="6"/>
      <c r="Q5219">
        <v>0</v>
      </c>
      <c r="R5219">
        <f t="shared" si="405"/>
        <v>0</v>
      </c>
      <c r="S5219">
        <f t="shared" si="406"/>
        <v>0</v>
      </c>
      <c r="T5219">
        <f t="shared" si="407"/>
        <v>0</v>
      </c>
      <c r="U5219">
        <f t="shared" si="408"/>
        <v>0</v>
      </c>
      <c r="V5219">
        <f t="shared" si="409"/>
        <v>0</v>
      </c>
    </row>
    <row r="5220" spans="1:22" x14ac:dyDescent="0.25">
      <c r="A5220">
        <v>5217</v>
      </c>
      <c r="B5220" t="s">
        <v>32</v>
      </c>
      <c r="C5220" t="s">
        <v>1455</v>
      </c>
      <c r="D5220" s="4">
        <v>45422</v>
      </c>
      <c r="E5220" t="s">
        <v>1405</v>
      </c>
      <c r="F5220" t="s">
        <v>75</v>
      </c>
      <c r="I5220" s="6"/>
      <c r="J5220" s="6"/>
      <c r="K5220" s="6"/>
      <c r="L5220" s="6"/>
      <c r="M5220" s="6"/>
      <c r="N5220" s="6"/>
      <c r="O5220" s="6"/>
      <c r="P5220" s="6"/>
      <c r="Q5220">
        <v>0</v>
      </c>
      <c r="R5220">
        <f t="shared" si="405"/>
        <v>0</v>
      </c>
      <c r="S5220">
        <f t="shared" si="406"/>
        <v>0</v>
      </c>
      <c r="T5220">
        <f t="shared" si="407"/>
        <v>0</v>
      </c>
      <c r="U5220">
        <f t="shared" si="408"/>
        <v>0</v>
      </c>
      <c r="V5220">
        <f t="shared" si="409"/>
        <v>0</v>
      </c>
    </row>
    <row r="5221" spans="1:22" x14ac:dyDescent="0.25">
      <c r="A5221">
        <v>5218</v>
      </c>
      <c r="B5221" t="s">
        <v>32</v>
      </c>
      <c r="C5221" t="s">
        <v>1455</v>
      </c>
      <c r="D5221" s="4">
        <v>45423</v>
      </c>
      <c r="E5221" t="s">
        <v>329</v>
      </c>
      <c r="F5221" t="s">
        <v>75</v>
      </c>
      <c r="I5221" s="6"/>
      <c r="J5221" s="6"/>
      <c r="K5221" s="6"/>
      <c r="L5221" s="6"/>
      <c r="M5221" s="6"/>
      <c r="N5221" s="6"/>
      <c r="O5221" s="6"/>
      <c r="P5221" s="6"/>
      <c r="Q5221">
        <v>0</v>
      </c>
      <c r="R5221">
        <f t="shared" si="405"/>
        <v>0</v>
      </c>
      <c r="S5221">
        <f t="shared" si="406"/>
        <v>0</v>
      </c>
      <c r="T5221">
        <f t="shared" si="407"/>
        <v>0</v>
      </c>
      <c r="U5221">
        <f t="shared" si="408"/>
        <v>0</v>
      </c>
      <c r="V5221">
        <f t="shared" si="409"/>
        <v>0</v>
      </c>
    </row>
    <row r="5222" spans="1:22" x14ac:dyDescent="0.25">
      <c r="A5222">
        <v>5219</v>
      </c>
      <c r="B5222" t="s">
        <v>32</v>
      </c>
      <c r="C5222" t="s">
        <v>1455</v>
      </c>
      <c r="D5222" s="4">
        <v>45423</v>
      </c>
      <c r="E5222" t="s">
        <v>330</v>
      </c>
      <c r="F5222" t="s">
        <v>75</v>
      </c>
      <c r="I5222" s="6"/>
      <c r="J5222" s="6"/>
      <c r="K5222" s="6"/>
      <c r="L5222" s="6"/>
      <c r="M5222" s="6"/>
      <c r="N5222" s="6"/>
      <c r="O5222" s="6"/>
      <c r="P5222" s="6"/>
      <c r="Q5222">
        <v>0</v>
      </c>
      <c r="R5222">
        <f t="shared" si="405"/>
        <v>0</v>
      </c>
      <c r="S5222">
        <f t="shared" si="406"/>
        <v>0</v>
      </c>
      <c r="T5222">
        <f t="shared" si="407"/>
        <v>0</v>
      </c>
      <c r="U5222">
        <f t="shared" si="408"/>
        <v>0</v>
      </c>
      <c r="V5222">
        <f t="shared" si="409"/>
        <v>0</v>
      </c>
    </row>
    <row r="5223" spans="1:22" x14ac:dyDescent="0.25">
      <c r="A5223">
        <v>5220</v>
      </c>
      <c r="B5223" t="s">
        <v>32</v>
      </c>
      <c r="C5223" t="s">
        <v>1455</v>
      </c>
      <c r="D5223" s="4">
        <v>45423</v>
      </c>
      <c r="E5223" t="s">
        <v>331</v>
      </c>
      <c r="F5223" t="s">
        <v>75</v>
      </c>
      <c r="I5223" s="6"/>
      <c r="J5223" s="6"/>
      <c r="K5223" s="6"/>
      <c r="L5223" s="6"/>
      <c r="M5223" s="6"/>
      <c r="N5223" s="6"/>
      <c r="O5223" s="6"/>
      <c r="P5223" s="6"/>
      <c r="Q5223">
        <v>0</v>
      </c>
      <c r="R5223">
        <f t="shared" si="405"/>
        <v>0</v>
      </c>
      <c r="S5223">
        <f t="shared" si="406"/>
        <v>0</v>
      </c>
      <c r="T5223">
        <f t="shared" si="407"/>
        <v>0</v>
      </c>
      <c r="U5223">
        <f t="shared" si="408"/>
        <v>0</v>
      </c>
      <c r="V5223">
        <f t="shared" si="409"/>
        <v>0</v>
      </c>
    </row>
    <row r="5224" spans="1:22" x14ac:dyDescent="0.25">
      <c r="A5224">
        <v>5221</v>
      </c>
      <c r="B5224" t="s">
        <v>32</v>
      </c>
      <c r="C5224" t="s">
        <v>1455</v>
      </c>
      <c r="D5224" s="4">
        <v>45423</v>
      </c>
      <c r="E5224" t="s">
        <v>332</v>
      </c>
      <c r="F5224" t="s">
        <v>75</v>
      </c>
      <c r="I5224" s="6"/>
      <c r="J5224" s="6"/>
      <c r="K5224" s="6"/>
      <c r="L5224" s="6"/>
      <c r="M5224" s="6"/>
      <c r="N5224" s="6"/>
      <c r="O5224" s="6"/>
      <c r="P5224" s="6"/>
      <c r="Q5224">
        <v>0</v>
      </c>
      <c r="R5224">
        <f t="shared" si="405"/>
        <v>0</v>
      </c>
      <c r="S5224">
        <f t="shared" si="406"/>
        <v>0</v>
      </c>
      <c r="T5224">
        <f t="shared" si="407"/>
        <v>0</v>
      </c>
      <c r="U5224">
        <f t="shared" si="408"/>
        <v>0</v>
      </c>
      <c r="V5224">
        <f t="shared" si="409"/>
        <v>0</v>
      </c>
    </row>
    <row r="5225" spans="1:22" x14ac:dyDescent="0.25">
      <c r="A5225">
        <v>5222</v>
      </c>
      <c r="B5225" t="s">
        <v>32</v>
      </c>
      <c r="C5225" t="s">
        <v>1455</v>
      </c>
      <c r="D5225" s="4">
        <v>45423</v>
      </c>
      <c r="E5225" t="s">
        <v>1556</v>
      </c>
      <c r="F5225" t="s">
        <v>75</v>
      </c>
      <c r="I5225" s="6">
        <v>0</v>
      </c>
      <c r="J5225" s="6">
        <v>0</v>
      </c>
      <c r="K5225" s="6">
        <v>0</v>
      </c>
      <c r="L5225" s="6">
        <v>0</v>
      </c>
      <c r="M5225" s="6">
        <v>0</v>
      </c>
      <c r="N5225" s="6">
        <v>0</v>
      </c>
      <c r="O5225" s="6">
        <v>0</v>
      </c>
      <c r="P5225" s="6">
        <v>0</v>
      </c>
      <c r="Q5225">
        <v>1</v>
      </c>
      <c r="R5225">
        <f t="shared" si="405"/>
        <v>0</v>
      </c>
      <c r="S5225">
        <f t="shared" si="406"/>
        <v>1</v>
      </c>
      <c r="T5225">
        <f t="shared" si="407"/>
        <v>0</v>
      </c>
      <c r="U5225">
        <f t="shared" si="408"/>
        <v>0</v>
      </c>
      <c r="V5225">
        <f t="shared" si="409"/>
        <v>0</v>
      </c>
    </row>
    <row r="5226" spans="1:22" x14ac:dyDescent="0.25">
      <c r="A5226">
        <v>5223</v>
      </c>
      <c r="B5226" t="s">
        <v>32</v>
      </c>
      <c r="C5226" t="s">
        <v>1455</v>
      </c>
      <c r="D5226" s="4">
        <v>45423</v>
      </c>
      <c r="E5226" t="s">
        <v>2135</v>
      </c>
      <c r="F5226" t="s">
        <v>75</v>
      </c>
      <c r="I5226" s="6"/>
      <c r="J5226" s="6"/>
      <c r="K5226" s="6"/>
      <c r="L5226" s="6"/>
      <c r="M5226" s="6"/>
      <c r="N5226" s="6"/>
      <c r="O5226" s="6"/>
      <c r="P5226" s="6"/>
      <c r="Q5226">
        <v>0</v>
      </c>
      <c r="R5226">
        <f t="shared" si="405"/>
        <v>0</v>
      </c>
      <c r="S5226">
        <f t="shared" si="406"/>
        <v>0</v>
      </c>
      <c r="T5226">
        <f t="shared" si="407"/>
        <v>0</v>
      </c>
      <c r="U5226">
        <f t="shared" si="408"/>
        <v>0</v>
      </c>
      <c r="V5226">
        <f t="shared" si="409"/>
        <v>0</v>
      </c>
    </row>
    <row r="5227" spans="1:22" x14ac:dyDescent="0.25">
      <c r="A5227">
        <v>5224</v>
      </c>
      <c r="B5227" t="s">
        <v>32</v>
      </c>
      <c r="C5227" t="s">
        <v>1455</v>
      </c>
      <c r="D5227" s="4">
        <v>45423</v>
      </c>
      <c r="E5227" t="s">
        <v>2134</v>
      </c>
      <c r="F5227" t="s">
        <v>75</v>
      </c>
      <c r="I5227" s="6">
        <v>0</v>
      </c>
      <c r="J5227" s="6">
        <v>0</v>
      </c>
      <c r="K5227" s="6">
        <v>0</v>
      </c>
      <c r="L5227" s="6">
        <v>0</v>
      </c>
      <c r="M5227" s="6">
        <v>0</v>
      </c>
      <c r="N5227" s="6">
        <v>0</v>
      </c>
      <c r="O5227" s="6">
        <v>0</v>
      </c>
      <c r="P5227" s="6">
        <v>0</v>
      </c>
      <c r="Q5227">
        <v>1</v>
      </c>
      <c r="R5227">
        <f t="shared" si="405"/>
        <v>0</v>
      </c>
      <c r="S5227">
        <f t="shared" si="406"/>
        <v>1</v>
      </c>
      <c r="T5227">
        <f t="shared" si="407"/>
        <v>0</v>
      </c>
      <c r="U5227">
        <f t="shared" si="408"/>
        <v>0</v>
      </c>
      <c r="V5227">
        <f t="shared" si="409"/>
        <v>0</v>
      </c>
    </row>
    <row r="5228" spans="1:22" x14ac:dyDescent="0.25">
      <c r="A5228">
        <v>5225</v>
      </c>
      <c r="B5228" t="s">
        <v>32</v>
      </c>
      <c r="C5228" t="s">
        <v>1455</v>
      </c>
      <c r="D5228" s="4">
        <v>45424</v>
      </c>
      <c r="E5228" t="s">
        <v>475</v>
      </c>
      <c r="F5228" t="s">
        <v>75</v>
      </c>
      <c r="I5228" s="6"/>
      <c r="J5228" s="6"/>
      <c r="K5228" s="6"/>
      <c r="L5228" s="6"/>
      <c r="M5228" s="6"/>
      <c r="N5228" s="6"/>
      <c r="O5228" s="6"/>
      <c r="P5228" s="6"/>
      <c r="Q5228">
        <v>0</v>
      </c>
      <c r="R5228">
        <f t="shared" si="405"/>
        <v>0</v>
      </c>
      <c r="S5228">
        <f t="shared" si="406"/>
        <v>0</v>
      </c>
      <c r="T5228">
        <f t="shared" si="407"/>
        <v>0</v>
      </c>
      <c r="U5228">
        <f t="shared" si="408"/>
        <v>0</v>
      </c>
      <c r="V5228">
        <f t="shared" si="409"/>
        <v>0</v>
      </c>
    </row>
    <row r="5229" spans="1:22" x14ac:dyDescent="0.25">
      <c r="A5229">
        <v>5226</v>
      </c>
      <c r="B5229" t="s">
        <v>32</v>
      </c>
      <c r="C5229" t="s">
        <v>1455</v>
      </c>
      <c r="D5229" s="4">
        <v>45424</v>
      </c>
      <c r="E5229" t="s">
        <v>476</v>
      </c>
      <c r="F5229" t="s">
        <v>75</v>
      </c>
      <c r="I5229" s="6">
        <v>0</v>
      </c>
      <c r="J5229" s="6">
        <v>0</v>
      </c>
      <c r="K5229" s="6">
        <v>0</v>
      </c>
      <c r="L5229" s="6">
        <v>1</v>
      </c>
      <c r="M5229" s="6">
        <v>0</v>
      </c>
      <c r="N5229" s="6">
        <v>0</v>
      </c>
      <c r="O5229" s="6">
        <v>0</v>
      </c>
      <c r="P5229" s="6">
        <v>0</v>
      </c>
      <c r="Q5229">
        <v>1</v>
      </c>
      <c r="R5229">
        <f t="shared" si="405"/>
        <v>0</v>
      </c>
      <c r="S5229">
        <f t="shared" si="406"/>
        <v>1</v>
      </c>
      <c r="T5229">
        <f t="shared" si="407"/>
        <v>1</v>
      </c>
      <c r="U5229">
        <f t="shared" si="408"/>
        <v>1</v>
      </c>
      <c r="V5229">
        <f t="shared" si="409"/>
        <v>0</v>
      </c>
    </row>
    <row r="5230" spans="1:22" x14ac:dyDescent="0.25">
      <c r="A5230">
        <v>5227</v>
      </c>
      <c r="B5230" t="s">
        <v>32</v>
      </c>
      <c r="C5230" t="s">
        <v>1455</v>
      </c>
      <c r="D5230" s="4">
        <v>45424</v>
      </c>
      <c r="E5230" t="s">
        <v>477</v>
      </c>
      <c r="F5230" t="s">
        <v>75</v>
      </c>
      <c r="I5230" s="6"/>
      <c r="J5230" s="6"/>
      <c r="K5230" s="6"/>
      <c r="L5230" s="6"/>
      <c r="M5230" s="6"/>
      <c r="N5230" s="6"/>
      <c r="O5230" s="6"/>
      <c r="P5230" s="6"/>
      <c r="Q5230">
        <v>0</v>
      </c>
      <c r="R5230">
        <f t="shared" si="405"/>
        <v>0</v>
      </c>
      <c r="S5230">
        <f t="shared" si="406"/>
        <v>0</v>
      </c>
      <c r="T5230">
        <f t="shared" si="407"/>
        <v>0</v>
      </c>
      <c r="U5230">
        <f t="shared" si="408"/>
        <v>0</v>
      </c>
      <c r="V5230">
        <f t="shared" si="409"/>
        <v>0</v>
      </c>
    </row>
    <row r="5231" spans="1:22" x14ac:dyDescent="0.25">
      <c r="A5231">
        <v>5228</v>
      </c>
      <c r="B5231" t="s">
        <v>32</v>
      </c>
      <c r="C5231" t="s">
        <v>1455</v>
      </c>
      <c r="D5231" s="4">
        <v>45424</v>
      </c>
      <c r="E5231" t="s">
        <v>478</v>
      </c>
      <c r="F5231" t="s">
        <v>75</v>
      </c>
      <c r="I5231" s="6">
        <v>0</v>
      </c>
      <c r="J5231" s="6">
        <v>1</v>
      </c>
      <c r="K5231" s="6">
        <v>0</v>
      </c>
      <c r="L5231" s="6">
        <v>0</v>
      </c>
      <c r="M5231" s="6">
        <v>0</v>
      </c>
      <c r="N5231" s="6">
        <v>0</v>
      </c>
      <c r="O5231" s="6">
        <v>1</v>
      </c>
      <c r="P5231" s="6">
        <v>0</v>
      </c>
      <c r="Q5231">
        <v>1</v>
      </c>
      <c r="R5231">
        <f t="shared" si="405"/>
        <v>0</v>
      </c>
      <c r="S5231">
        <f t="shared" si="406"/>
        <v>1</v>
      </c>
      <c r="T5231">
        <f t="shared" si="407"/>
        <v>2</v>
      </c>
      <c r="U5231">
        <f t="shared" si="408"/>
        <v>1</v>
      </c>
      <c r="V5231">
        <f t="shared" si="409"/>
        <v>0</v>
      </c>
    </row>
    <row r="5232" spans="1:22" x14ac:dyDescent="0.25">
      <c r="A5232">
        <v>5229</v>
      </c>
      <c r="B5232" t="s">
        <v>32</v>
      </c>
      <c r="C5232" t="s">
        <v>1455</v>
      </c>
      <c r="D5232" s="4">
        <v>45424</v>
      </c>
      <c r="E5232" t="s">
        <v>2133</v>
      </c>
      <c r="F5232" t="s">
        <v>75</v>
      </c>
      <c r="I5232" s="6"/>
      <c r="J5232" s="6"/>
      <c r="K5232" s="6"/>
      <c r="L5232" s="6"/>
      <c r="M5232" s="6"/>
      <c r="N5232" s="6"/>
      <c r="O5232" s="6"/>
      <c r="P5232" s="6"/>
      <c r="Q5232">
        <v>0</v>
      </c>
      <c r="R5232">
        <f t="shared" si="405"/>
        <v>0</v>
      </c>
      <c r="S5232">
        <f t="shared" si="406"/>
        <v>0</v>
      </c>
      <c r="T5232">
        <f t="shared" si="407"/>
        <v>0</v>
      </c>
      <c r="U5232">
        <f t="shared" si="408"/>
        <v>0</v>
      </c>
      <c r="V5232">
        <f t="shared" si="409"/>
        <v>0</v>
      </c>
    </row>
    <row r="5233" spans="1:22" x14ac:dyDescent="0.25">
      <c r="A5233">
        <v>5230</v>
      </c>
      <c r="B5233" t="s">
        <v>32</v>
      </c>
      <c r="C5233" t="s">
        <v>1455</v>
      </c>
      <c r="D5233" s="4">
        <v>45424</v>
      </c>
      <c r="E5233" t="s">
        <v>2132</v>
      </c>
      <c r="F5233" t="s">
        <v>75</v>
      </c>
      <c r="I5233" s="6"/>
      <c r="J5233" s="6"/>
      <c r="K5233" s="6"/>
      <c r="L5233" s="6"/>
      <c r="M5233" s="6"/>
      <c r="N5233" s="6"/>
      <c r="O5233" s="6"/>
      <c r="P5233" s="6"/>
      <c r="Q5233">
        <v>0</v>
      </c>
      <c r="R5233">
        <f t="shared" si="405"/>
        <v>0</v>
      </c>
      <c r="S5233">
        <f t="shared" si="406"/>
        <v>0</v>
      </c>
      <c r="T5233">
        <f t="shared" si="407"/>
        <v>0</v>
      </c>
      <c r="U5233">
        <f t="shared" si="408"/>
        <v>0</v>
      </c>
      <c r="V5233">
        <f t="shared" si="409"/>
        <v>0</v>
      </c>
    </row>
    <row r="5234" spans="1:22" x14ac:dyDescent="0.25">
      <c r="A5234">
        <v>5231</v>
      </c>
      <c r="B5234" t="s">
        <v>32</v>
      </c>
      <c r="C5234" t="s">
        <v>1455</v>
      </c>
      <c r="D5234" s="4">
        <v>45425</v>
      </c>
      <c r="E5234" t="s">
        <v>333</v>
      </c>
      <c r="F5234" t="s">
        <v>75</v>
      </c>
      <c r="I5234" s="6"/>
      <c r="J5234" s="6"/>
      <c r="K5234" s="6"/>
      <c r="L5234" s="6"/>
      <c r="M5234" s="6"/>
      <c r="N5234" s="6"/>
      <c r="O5234" s="6"/>
      <c r="P5234" s="6"/>
      <c r="Q5234">
        <v>0</v>
      </c>
      <c r="R5234">
        <f t="shared" si="405"/>
        <v>0</v>
      </c>
      <c r="S5234">
        <f t="shared" si="406"/>
        <v>0</v>
      </c>
      <c r="T5234">
        <f t="shared" si="407"/>
        <v>0</v>
      </c>
      <c r="U5234">
        <f t="shared" si="408"/>
        <v>0</v>
      </c>
      <c r="V5234">
        <f t="shared" si="409"/>
        <v>0</v>
      </c>
    </row>
    <row r="5235" spans="1:22" x14ac:dyDescent="0.25">
      <c r="A5235">
        <v>5232</v>
      </c>
      <c r="B5235" t="s">
        <v>32</v>
      </c>
      <c r="C5235" t="s">
        <v>1455</v>
      </c>
      <c r="D5235" s="4">
        <v>45425</v>
      </c>
      <c r="E5235" t="s">
        <v>334</v>
      </c>
      <c r="F5235" t="s">
        <v>75</v>
      </c>
      <c r="I5235" s="6"/>
      <c r="J5235" s="6"/>
      <c r="K5235" s="6"/>
      <c r="L5235" s="6"/>
      <c r="M5235" s="6"/>
      <c r="N5235" s="6"/>
      <c r="O5235" s="6"/>
      <c r="P5235" s="6"/>
      <c r="Q5235">
        <v>0</v>
      </c>
      <c r="R5235">
        <f t="shared" si="405"/>
        <v>0</v>
      </c>
      <c r="S5235">
        <f t="shared" si="406"/>
        <v>0</v>
      </c>
      <c r="T5235">
        <f t="shared" si="407"/>
        <v>0</v>
      </c>
      <c r="U5235">
        <f t="shared" si="408"/>
        <v>0</v>
      </c>
      <c r="V5235">
        <f t="shared" si="409"/>
        <v>0</v>
      </c>
    </row>
    <row r="5236" spans="1:22" x14ac:dyDescent="0.25">
      <c r="A5236">
        <v>5233</v>
      </c>
      <c r="B5236" t="s">
        <v>32</v>
      </c>
      <c r="C5236" t="s">
        <v>1455</v>
      </c>
      <c r="D5236" s="4">
        <v>45425</v>
      </c>
      <c r="E5236" t="s">
        <v>1090</v>
      </c>
      <c r="F5236" t="s">
        <v>75</v>
      </c>
      <c r="I5236" s="6"/>
      <c r="J5236" s="6"/>
      <c r="K5236" s="6"/>
      <c r="L5236" s="6"/>
      <c r="M5236" s="6"/>
      <c r="N5236" s="6"/>
      <c r="O5236" s="6"/>
      <c r="P5236" s="6"/>
      <c r="Q5236">
        <v>0</v>
      </c>
      <c r="R5236">
        <f t="shared" si="405"/>
        <v>0</v>
      </c>
      <c r="S5236">
        <f t="shared" si="406"/>
        <v>0</v>
      </c>
      <c r="T5236">
        <f t="shared" si="407"/>
        <v>0</v>
      </c>
      <c r="U5236">
        <f t="shared" si="408"/>
        <v>0</v>
      </c>
      <c r="V5236">
        <f t="shared" si="409"/>
        <v>0</v>
      </c>
    </row>
    <row r="5237" spans="1:22" x14ac:dyDescent="0.25">
      <c r="A5237">
        <v>5234</v>
      </c>
      <c r="B5237" t="s">
        <v>32</v>
      </c>
      <c r="C5237" t="s">
        <v>1455</v>
      </c>
      <c r="D5237" s="4">
        <v>45425</v>
      </c>
      <c r="E5237" t="s">
        <v>2131</v>
      </c>
      <c r="F5237" t="s">
        <v>75</v>
      </c>
      <c r="I5237" s="6">
        <v>0</v>
      </c>
      <c r="J5237" s="6">
        <v>0</v>
      </c>
      <c r="K5237" s="6">
        <v>1</v>
      </c>
      <c r="L5237" s="6">
        <v>0</v>
      </c>
      <c r="M5237" s="6">
        <v>0</v>
      </c>
      <c r="N5237" s="6">
        <v>0</v>
      </c>
      <c r="O5237" s="6">
        <v>0</v>
      </c>
      <c r="P5237" s="6">
        <v>0</v>
      </c>
      <c r="Q5237">
        <v>1</v>
      </c>
      <c r="R5237">
        <f t="shared" si="405"/>
        <v>0</v>
      </c>
      <c r="S5237">
        <f t="shared" si="406"/>
        <v>1</v>
      </c>
      <c r="T5237">
        <f t="shared" si="407"/>
        <v>1</v>
      </c>
      <c r="U5237">
        <f t="shared" si="408"/>
        <v>1</v>
      </c>
      <c r="V5237">
        <f t="shared" si="409"/>
        <v>0</v>
      </c>
    </row>
    <row r="5238" spans="1:22" x14ac:dyDescent="0.25">
      <c r="A5238">
        <v>5235</v>
      </c>
      <c r="B5238" t="s">
        <v>32</v>
      </c>
      <c r="C5238" t="s">
        <v>1455</v>
      </c>
      <c r="D5238" s="4">
        <v>45425</v>
      </c>
      <c r="E5238" t="s">
        <v>1407</v>
      </c>
      <c r="F5238" t="s">
        <v>75</v>
      </c>
      <c r="I5238" s="6">
        <v>0</v>
      </c>
      <c r="J5238" s="6">
        <v>0</v>
      </c>
      <c r="K5238" s="6">
        <v>1</v>
      </c>
      <c r="L5238" s="6">
        <v>0</v>
      </c>
      <c r="M5238" s="6">
        <v>0</v>
      </c>
      <c r="N5238" s="6">
        <v>0</v>
      </c>
      <c r="O5238" s="6">
        <v>0</v>
      </c>
      <c r="P5238" s="6">
        <v>0</v>
      </c>
      <c r="Q5238">
        <v>1</v>
      </c>
      <c r="R5238">
        <f t="shared" si="405"/>
        <v>0</v>
      </c>
      <c r="S5238">
        <f t="shared" si="406"/>
        <v>1</v>
      </c>
      <c r="T5238">
        <f t="shared" si="407"/>
        <v>1</v>
      </c>
      <c r="U5238">
        <f t="shared" si="408"/>
        <v>1</v>
      </c>
      <c r="V5238">
        <f t="shared" si="409"/>
        <v>0</v>
      </c>
    </row>
    <row r="5239" spans="1:22" x14ac:dyDescent="0.25">
      <c r="A5239">
        <v>5236</v>
      </c>
      <c r="B5239" t="s">
        <v>32</v>
      </c>
      <c r="C5239" t="s">
        <v>1455</v>
      </c>
      <c r="D5239" s="4">
        <v>45425</v>
      </c>
      <c r="E5239" t="s">
        <v>2130</v>
      </c>
      <c r="F5239" t="s">
        <v>75</v>
      </c>
      <c r="I5239" s="6"/>
      <c r="J5239" s="6"/>
      <c r="K5239" s="6"/>
      <c r="L5239" s="6"/>
      <c r="M5239" s="6"/>
      <c r="N5239" s="6"/>
      <c r="O5239" s="6"/>
      <c r="P5239" s="6"/>
      <c r="Q5239">
        <v>0</v>
      </c>
      <c r="R5239">
        <f t="shared" si="405"/>
        <v>0</v>
      </c>
      <c r="S5239">
        <f t="shared" si="406"/>
        <v>0</v>
      </c>
      <c r="T5239">
        <f t="shared" si="407"/>
        <v>0</v>
      </c>
      <c r="U5239">
        <f t="shared" si="408"/>
        <v>0</v>
      </c>
      <c r="V5239">
        <f t="shared" si="409"/>
        <v>0</v>
      </c>
    </row>
    <row r="5240" spans="1:22" x14ac:dyDescent="0.25">
      <c r="A5240">
        <v>5237</v>
      </c>
      <c r="B5240" t="s">
        <v>32</v>
      </c>
      <c r="C5240" t="s">
        <v>1455</v>
      </c>
      <c r="D5240" s="4">
        <v>45425</v>
      </c>
      <c r="E5240" t="s">
        <v>2129</v>
      </c>
      <c r="F5240" t="s">
        <v>75</v>
      </c>
      <c r="I5240" s="6"/>
      <c r="J5240" s="6"/>
      <c r="K5240" s="6"/>
      <c r="L5240" s="6"/>
      <c r="M5240" s="6"/>
      <c r="N5240" s="6"/>
      <c r="O5240" s="6"/>
      <c r="P5240" s="6"/>
      <c r="Q5240">
        <v>0</v>
      </c>
      <c r="R5240">
        <f t="shared" si="405"/>
        <v>0</v>
      </c>
      <c r="S5240">
        <f t="shared" si="406"/>
        <v>0</v>
      </c>
      <c r="T5240">
        <f t="shared" si="407"/>
        <v>0</v>
      </c>
      <c r="U5240">
        <f t="shared" si="408"/>
        <v>0</v>
      </c>
      <c r="V5240">
        <f t="shared" si="409"/>
        <v>0</v>
      </c>
    </row>
    <row r="5241" spans="1:22" x14ac:dyDescent="0.25">
      <c r="A5241">
        <v>5238</v>
      </c>
      <c r="B5241" t="s">
        <v>32</v>
      </c>
      <c r="C5241" t="s">
        <v>1455</v>
      </c>
      <c r="D5241" s="4">
        <v>45425</v>
      </c>
      <c r="E5241" t="s">
        <v>1557</v>
      </c>
      <c r="F5241" t="s">
        <v>75</v>
      </c>
      <c r="I5241" s="6">
        <v>0</v>
      </c>
      <c r="J5241" s="6">
        <v>0</v>
      </c>
      <c r="K5241" s="6">
        <v>0</v>
      </c>
      <c r="L5241" s="6">
        <v>0</v>
      </c>
      <c r="M5241" s="6">
        <v>1</v>
      </c>
      <c r="N5241" s="6">
        <v>0</v>
      </c>
      <c r="O5241" s="6">
        <v>0</v>
      </c>
      <c r="P5241" s="6">
        <v>0</v>
      </c>
      <c r="Q5241">
        <v>1</v>
      </c>
      <c r="R5241">
        <f t="shared" si="405"/>
        <v>0</v>
      </c>
      <c r="S5241">
        <f t="shared" si="406"/>
        <v>1</v>
      </c>
      <c r="T5241">
        <f t="shared" si="407"/>
        <v>1</v>
      </c>
      <c r="U5241">
        <f t="shared" si="408"/>
        <v>1</v>
      </c>
      <c r="V5241">
        <f t="shared" si="409"/>
        <v>0</v>
      </c>
    </row>
    <row r="5242" spans="1:22" x14ac:dyDescent="0.25">
      <c r="A5242">
        <v>5239</v>
      </c>
      <c r="B5242" t="s">
        <v>32</v>
      </c>
      <c r="C5242" t="s">
        <v>1455</v>
      </c>
      <c r="D5242" s="4">
        <v>45425</v>
      </c>
      <c r="E5242" t="s">
        <v>2128</v>
      </c>
      <c r="F5242" t="s">
        <v>75</v>
      </c>
      <c r="I5242" s="6">
        <v>0</v>
      </c>
      <c r="J5242" s="6">
        <v>0</v>
      </c>
      <c r="K5242" s="6">
        <v>0</v>
      </c>
      <c r="L5242" s="6">
        <v>1</v>
      </c>
      <c r="M5242" s="6">
        <v>0</v>
      </c>
      <c r="N5242" s="6">
        <v>0</v>
      </c>
      <c r="O5242" s="6">
        <v>0</v>
      </c>
      <c r="P5242" s="6">
        <v>0</v>
      </c>
      <c r="Q5242">
        <v>1</v>
      </c>
      <c r="R5242">
        <f t="shared" si="405"/>
        <v>0</v>
      </c>
      <c r="S5242">
        <f t="shared" si="406"/>
        <v>1</v>
      </c>
      <c r="T5242">
        <f t="shared" si="407"/>
        <v>1</v>
      </c>
      <c r="U5242">
        <f t="shared" si="408"/>
        <v>1</v>
      </c>
      <c r="V5242">
        <f t="shared" si="409"/>
        <v>0</v>
      </c>
    </row>
    <row r="5243" spans="1:22" x14ac:dyDescent="0.25">
      <c r="A5243">
        <v>5240</v>
      </c>
      <c r="B5243" t="s">
        <v>32</v>
      </c>
      <c r="C5243" t="s">
        <v>1455</v>
      </c>
      <c r="D5243" s="4">
        <v>45426</v>
      </c>
      <c r="E5243" t="s">
        <v>335</v>
      </c>
      <c r="F5243" t="s">
        <v>75</v>
      </c>
      <c r="I5243" s="6">
        <v>1</v>
      </c>
      <c r="J5243" s="6">
        <v>0</v>
      </c>
      <c r="K5243" s="6">
        <v>0</v>
      </c>
      <c r="L5243" s="6">
        <v>0</v>
      </c>
      <c r="M5243" s="6">
        <v>1</v>
      </c>
      <c r="N5243" s="6">
        <v>0</v>
      </c>
      <c r="O5243" s="6">
        <v>0</v>
      </c>
      <c r="P5243" s="6">
        <v>0</v>
      </c>
      <c r="Q5243">
        <v>1</v>
      </c>
      <c r="R5243">
        <f t="shared" si="405"/>
        <v>0</v>
      </c>
      <c r="S5243">
        <f t="shared" si="406"/>
        <v>1</v>
      </c>
      <c r="T5243">
        <f t="shared" si="407"/>
        <v>2</v>
      </c>
      <c r="U5243">
        <f t="shared" si="408"/>
        <v>1</v>
      </c>
      <c r="V5243">
        <f t="shared" si="409"/>
        <v>0</v>
      </c>
    </row>
    <row r="5244" spans="1:22" x14ac:dyDescent="0.25">
      <c r="A5244">
        <v>5241</v>
      </c>
      <c r="B5244" t="s">
        <v>32</v>
      </c>
      <c r="C5244" t="s">
        <v>1455</v>
      </c>
      <c r="D5244" s="4">
        <v>45426</v>
      </c>
      <c r="E5244" t="s">
        <v>1185</v>
      </c>
      <c r="F5244" t="s">
        <v>75</v>
      </c>
      <c r="I5244" s="6"/>
      <c r="J5244" s="6"/>
      <c r="K5244" s="6"/>
      <c r="L5244" s="6"/>
      <c r="M5244" s="6"/>
      <c r="N5244" s="6"/>
      <c r="O5244" s="6"/>
      <c r="P5244" s="6"/>
      <c r="Q5244">
        <v>0</v>
      </c>
      <c r="R5244">
        <f t="shared" si="405"/>
        <v>0</v>
      </c>
      <c r="S5244">
        <f t="shared" si="406"/>
        <v>0</v>
      </c>
      <c r="T5244">
        <f t="shared" si="407"/>
        <v>0</v>
      </c>
      <c r="U5244">
        <f t="shared" si="408"/>
        <v>0</v>
      </c>
      <c r="V5244">
        <f t="shared" si="409"/>
        <v>0</v>
      </c>
    </row>
    <row r="5245" spans="1:22" x14ac:dyDescent="0.25">
      <c r="A5245">
        <v>5242</v>
      </c>
      <c r="B5245" t="s">
        <v>32</v>
      </c>
      <c r="C5245" t="s">
        <v>1455</v>
      </c>
      <c r="D5245" s="4">
        <v>45426</v>
      </c>
      <c r="E5245" t="s">
        <v>2019</v>
      </c>
      <c r="F5245" t="s">
        <v>75</v>
      </c>
      <c r="I5245" s="6"/>
      <c r="J5245" s="6"/>
      <c r="K5245" s="6"/>
      <c r="L5245" s="6"/>
      <c r="M5245" s="6"/>
      <c r="N5245" s="6"/>
      <c r="O5245" s="6"/>
      <c r="P5245" s="6"/>
      <c r="Q5245">
        <v>0</v>
      </c>
      <c r="R5245">
        <f t="shared" si="405"/>
        <v>0</v>
      </c>
      <c r="S5245">
        <f t="shared" si="406"/>
        <v>0</v>
      </c>
      <c r="T5245">
        <f t="shared" si="407"/>
        <v>0</v>
      </c>
      <c r="U5245">
        <f t="shared" si="408"/>
        <v>0</v>
      </c>
      <c r="V5245">
        <f t="shared" si="409"/>
        <v>0</v>
      </c>
    </row>
    <row r="5246" spans="1:22" x14ac:dyDescent="0.25">
      <c r="A5246">
        <v>5243</v>
      </c>
      <c r="B5246" t="s">
        <v>32</v>
      </c>
      <c r="C5246" t="s">
        <v>1455</v>
      </c>
      <c r="D5246" s="4">
        <v>45426</v>
      </c>
      <c r="E5246" t="s">
        <v>1186</v>
      </c>
      <c r="F5246" t="s">
        <v>75</v>
      </c>
      <c r="I5246" s="6">
        <v>0</v>
      </c>
      <c r="J5246" s="6">
        <v>0</v>
      </c>
      <c r="K5246" s="6">
        <v>1</v>
      </c>
      <c r="L5246" s="6">
        <v>0</v>
      </c>
      <c r="M5246" s="6">
        <v>0</v>
      </c>
      <c r="N5246" s="6">
        <v>0</v>
      </c>
      <c r="O5246" s="6">
        <v>0</v>
      </c>
      <c r="P5246" s="6">
        <v>0</v>
      </c>
      <c r="Q5246">
        <v>1</v>
      </c>
      <c r="R5246">
        <f t="shared" si="405"/>
        <v>0</v>
      </c>
      <c r="S5246">
        <f t="shared" si="406"/>
        <v>1</v>
      </c>
      <c r="T5246">
        <f t="shared" si="407"/>
        <v>1</v>
      </c>
      <c r="U5246">
        <f t="shared" si="408"/>
        <v>1</v>
      </c>
      <c r="V5246">
        <f t="shared" si="409"/>
        <v>0</v>
      </c>
    </row>
    <row r="5247" spans="1:22" x14ac:dyDescent="0.25">
      <c r="A5247">
        <v>5244</v>
      </c>
      <c r="B5247" t="s">
        <v>32</v>
      </c>
      <c r="C5247" t="s">
        <v>1455</v>
      </c>
      <c r="D5247" s="4">
        <v>45426</v>
      </c>
      <c r="E5247" t="s">
        <v>1408</v>
      </c>
      <c r="F5247" t="s">
        <v>75</v>
      </c>
      <c r="I5247" s="6"/>
      <c r="J5247" s="6"/>
      <c r="K5247" s="6"/>
      <c r="L5247" s="6"/>
      <c r="M5247" s="6"/>
      <c r="N5247" s="6"/>
      <c r="O5247" s="6"/>
      <c r="P5247" s="6"/>
      <c r="Q5247">
        <v>0</v>
      </c>
      <c r="R5247">
        <f t="shared" si="405"/>
        <v>0</v>
      </c>
      <c r="S5247">
        <f t="shared" si="406"/>
        <v>0</v>
      </c>
      <c r="T5247">
        <f t="shared" si="407"/>
        <v>0</v>
      </c>
      <c r="U5247">
        <f t="shared" si="408"/>
        <v>0</v>
      </c>
      <c r="V5247">
        <f t="shared" si="409"/>
        <v>0</v>
      </c>
    </row>
    <row r="5248" spans="1:22" x14ac:dyDescent="0.25">
      <c r="A5248">
        <v>5245</v>
      </c>
      <c r="B5248" t="s">
        <v>32</v>
      </c>
      <c r="C5248" t="s">
        <v>1455</v>
      </c>
      <c r="D5248" s="4">
        <v>45426</v>
      </c>
      <c r="E5248" t="s">
        <v>1558</v>
      </c>
      <c r="F5248" t="s">
        <v>75</v>
      </c>
      <c r="I5248" s="6">
        <v>0</v>
      </c>
      <c r="J5248" s="6">
        <v>0</v>
      </c>
      <c r="K5248" s="6">
        <v>0</v>
      </c>
      <c r="L5248" s="6">
        <v>0</v>
      </c>
      <c r="M5248" s="6">
        <v>1</v>
      </c>
      <c r="N5248" s="6">
        <v>0</v>
      </c>
      <c r="O5248" s="6">
        <v>0</v>
      </c>
      <c r="P5248" s="6">
        <v>0</v>
      </c>
      <c r="Q5248">
        <v>1</v>
      </c>
      <c r="R5248">
        <f t="shared" si="405"/>
        <v>0</v>
      </c>
      <c r="S5248">
        <f t="shared" si="406"/>
        <v>1</v>
      </c>
      <c r="T5248">
        <f t="shared" si="407"/>
        <v>1</v>
      </c>
      <c r="U5248">
        <f t="shared" si="408"/>
        <v>1</v>
      </c>
      <c r="V5248">
        <f t="shared" si="409"/>
        <v>0</v>
      </c>
    </row>
    <row r="5249" spans="1:22" x14ac:dyDescent="0.25">
      <c r="A5249">
        <v>5246</v>
      </c>
      <c r="B5249" t="s">
        <v>32</v>
      </c>
      <c r="C5249" t="s">
        <v>1455</v>
      </c>
      <c r="D5249" s="4">
        <v>45426</v>
      </c>
      <c r="E5249" t="s">
        <v>2127</v>
      </c>
      <c r="F5249" t="s">
        <v>75</v>
      </c>
      <c r="I5249" s="6"/>
      <c r="J5249" s="6"/>
      <c r="K5249" s="6"/>
      <c r="L5249" s="6"/>
      <c r="M5249" s="6"/>
      <c r="N5249" s="6"/>
      <c r="O5249" s="6"/>
      <c r="P5249" s="6"/>
      <c r="Q5249">
        <v>0</v>
      </c>
      <c r="R5249">
        <f t="shared" si="405"/>
        <v>0</v>
      </c>
      <c r="S5249">
        <f t="shared" si="406"/>
        <v>0</v>
      </c>
      <c r="T5249">
        <f t="shared" si="407"/>
        <v>0</v>
      </c>
      <c r="U5249">
        <f t="shared" si="408"/>
        <v>0</v>
      </c>
      <c r="V5249">
        <f t="shared" si="409"/>
        <v>0</v>
      </c>
    </row>
    <row r="5250" spans="1:22" x14ac:dyDescent="0.25">
      <c r="A5250">
        <v>5247</v>
      </c>
      <c r="B5250" t="s">
        <v>32</v>
      </c>
      <c r="C5250" t="s">
        <v>1455</v>
      </c>
      <c r="D5250" s="4">
        <v>45427</v>
      </c>
      <c r="E5250" t="s">
        <v>336</v>
      </c>
      <c r="F5250" t="s">
        <v>75</v>
      </c>
      <c r="I5250" s="6"/>
      <c r="J5250" s="6"/>
      <c r="K5250" s="6"/>
      <c r="L5250" s="6"/>
      <c r="M5250" s="6"/>
      <c r="N5250" s="6"/>
      <c r="O5250" s="6"/>
      <c r="P5250" s="6"/>
      <c r="Q5250">
        <v>0</v>
      </c>
      <c r="R5250">
        <f t="shared" si="405"/>
        <v>0</v>
      </c>
      <c r="S5250">
        <f t="shared" si="406"/>
        <v>0</v>
      </c>
      <c r="T5250">
        <f t="shared" si="407"/>
        <v>0</v>
      </c>
      <c r="U5250">
        <f t="shared" si="408"/>
        <v>0</v>
      </c>
      <c r="V5250">
        <f t="shared" si="409"/>
        <v>0</v>
      </c>
    </row>
    <row r="5251" spans="1:22" x14ac:dyDescent="0.25">
      <c r="A5251">
        <v>5248</v>
      </c>
      <c r="B5251" t="s">
        <v>32</v>
      </c>
      <c r="C5251" t="s">
        <v>1455</v>
      </c>
      <c r="D5251" s="4">
        <v>45427</v>
      </c>
      <c r="E5251" t="s">
        <v>337</v>
      </c>
      <c r="F5251" t="s">
        <v>75</v>
      </c>
      <c r="I5251" s="6"/>
      <c r="J5251" s="6"/>
      <c r="K5251" s="6"/>
      <c r="L5251" s="6"/>
      <c r="M5251" s="6"/>
      <c r="N5251" s="6"/>
      <c r="O5251" s="6"/>
      <c r="P5251" s="6"/>
      <c r="Q5251">
        <v>0</v>
      </c>
      <c r="R5251">
        <f t="shared" ref="R5251:R5314" si="410">IF(AND(Q5251=1,F5251="ai_full"),1,0)</f>
        <v>0</v>
      </c>
      <c r="S5251">
        <f t="shared" ref="S5251:S5314" si="411">IF(AND(Q5251=1,F5251="conventional"),1,0)</f>
        <v>0</v>
      </c>
      <c r="T5251">
        <f t="shared" ref="T5251:T5314" si="412">SUM(I5251:P5251)</f>
        <v>0</v>
      </c>
      <c r="U5251">
        <f t="shared" ref="U5251:U5314" si="413">IF(T5251&gt;=1,1,0)</f>
        <v>0</v>
      </c>
      <c r="V5251">
        <f t="shared" ref="V5251:V5314" si="414">IF(F5251="ai_full",1,0)</f>
        <v>0</v>
      </c>
    </row>
    <row r="5252" spans="1:22" x14ac:dyDescent="0.25">
      <c r="A5252">
        <v>5249</v>
      </c>
      <c r="B5252" t="s">
        <v>32</v>
      </c>
      <c r="C5252" t="s">
        <v>1455</v>
      </c>
      <c r="D5252" s="4">
        <v>45427</v>
      </c>
      <c r="E5252" t="s">
        <v>338</v>
      </c>
      <c r="F5252" t="s">
        <v>75</v>
      </c>
      <c r="I5252" s="6"/>
      <c r="J5252" s="6"/>
      <c r="K5252" s="6"/>
      <c r="L5252" s="6"/>
      <c r="M5252" s="6"/>
      <c r="N5252" s="6"/>
      <c r="O5252" s="6"/>
      <c r="P5252" s="6"/>
      <c r="Q5252">
        <v>0</v>
      </c>
      <c r="R5252">
        <f t="shared" si="410"/>
        <v>0</v>
      </c>
      <c r="S5252">
        <f t="shared" si="411"/>
        <v>0</v>
      </c>
      <c r="T5252">
        <f t="shared" si="412"/>
        <v>0</v>
      </c>
      <c r="U5252">
        <f t="shared" si="413"/>
        <v>0</v>
      </c>
      <c r="V5252">
        <f t="shared" si="414"/>
        <v>0</v>
      </c>
    </row>
    <row r="5253" spans="1:22" x14ac:dyDescent="0.25">
      <c r="A5253">
        <v>5250</v>
      </c>
      <c r="B5253" t="s">
        <v>32</v>
      </c>
      <c r="C5253" t="s">
        <v>1455</v>
      </c>
      <c r="D5253" s="4">
        <v>45427</v>
      </c>
      <c r="E5253" t="s">
        <v>339</v>
      </c>
      <c r="F5253" t="s">
        <v>75</v>
      </c>
      <c r="I5253" s="6">
        <v>0</v>
      </c>
      <c r="J5253" s="6">
        <v>0</v>
      </c>
      <c r="K5253" s="6">
        <v>0</v>
      </c>
      <c r="L5253" s="6">
        <v>0</v>
      </c>
      <c r="M5253" s="6">
        <v>0</v>
      </c>
      <c r="N5253" s="6">
        <v>0</v>
      </c>
      <c r="O5253" s="6">
        <v>0</v>
      </c>
      <c r="P5253" s="6">
        <v>0</v>
      </c>
      <c r="Q5253">
        <v>1</v>
      </c>
      <c r="R5253">
        <f t="shared" si="410"/>
        <v>0</v>
      </c>
      <c r="S5253">
        <f t="shared" si="411"/>
        <v>1</v>
      </c>
      <c r="T5253">
        <f t="shared" si="412"/>
        <v>0</v>
      </c>
      <c r="U5253">
        <f t="shared" si="413"/>
        <v>0</v>
      </c>
      <c r="V5253">
        <f t="shared" si="414"/>
        <v>0</v>
      </c>
    </row>
    <row r="5254" spans="1:22" x14ac:dyDescent="0.25">
      <c r="A5254">
        <v>5251</v>
      </c>
      <c r="B5254" t="s">
        <v>32</v>
      </c>
      <c r="C5254" t="s">
        <v>1455</v>
      </c>
      <c r="D5254" s="4">
        <v>45427</v>
      </c>
      <c r="E5254" t="s">
        <v>2126</v>
      </c>
      <c r="F5254" t="s">
        <v>75</v>
      </c>
      <c r="I5254" s="6"/>
      <c r="J5254" s="6"/>
      <c r="K5254" s="6"/>
      <c r="L5254" s="6"/>
      <c r="M5254" s="6"/>
      <c r="N5254" s="6"/>
      <c r="O5254" s="6"/>
      <c r="P5254" s="6"/>
      <c r="Q5254">
        <v>0</v>
      </c>
      <c r="R5254">
        <f t="shared" si="410"/>
        <v>0</v>
      </c>
      <c r="S5254">
        <f t="shared" si="411"/>
        <v>0</v>
      </c>
      <c r="T5254">
        <f t="shared" si="412"/>
        <v>0</v>
      </c>
      <c r="U5254">
        <f t="shared" si="413"/>
        <v>0</v>
      </c>
      <c r="V5254">
        <f t="shared" si="414"/>
        <v>0</v>
      </c>
    </row>
    <row r="5255" spans="1:22" x14ac:dyDescent="0.25">
      <c r="A5255">
        <v>5252</v>
      </c>
      <c r="B5255" t="s">
        <v>32</v>
      </c>
      <c r="C5255" t="s">
        <v>1455</v>
      </c>
      <c r="D5255" s="4">
        <v>45427</v>
      </c>
      <c r="E5255" t="s">
        <v>2125</v>
      </c>
      <c r="F5255" t="s">
        <v>75</v>
      </c>
      <c r="I5255" s="6"/>
      <c r="J5255" s="6"/>
      <c r="K5255" s="6"/>
      <c r="L5255" s="6"/>
      <c r="M5255" s="6"/>
      <c r="N5255" s="6"/>
      <c r="O5255" s="6"/>
      <c r="P5255" s="6"/>
      <c r="Q5255">
        <v>0</v>
      </c>
      <c r="R5255">
        <f t="shared" si="410"/>
        <v>0</v>
      </c>
      <c r="S5255">
        <f t="shared" si="411"/>
        <v>0</v>
      </c>
      <c r="T5255">
        <f t="shared" si="412"/>
        <v>0</v>
      </c>
      <c r="U5255">
        <f t="shared" si="413"/>
        <v>0</v>
      </c>
      <c r="V5255">
        <f t="shared" si="414"/>
        <v>0</v>
      </c>
    </row>
    <row r="5256" spans="1:22" x14ac:dyDescent="0.25">
      <c r="A5256">
        <v>5253</v>
      </c>
      <c r="B5256" t="s">
        <v>32</v>
      </c>
      <c r="C5256" t="s">
        <v>1455</v>
      </c>
      <c r="D5256" s="4">
        <v>45427</v>
      </c>
      <c r="E5256" t="s">
        <v>340</v>
      </c>
      <c r="F5256" t="s">
        <v>75</v>
      </c>
      <c r="I5256" s="6">
        <v>0</v>
      </c>
      <c r="J5256" s="6">
        <v>0</v>
      </c>
      <c r="K5256" s="6">
        <v>0</v>
      </c>
      <c r="L5256" s="6">
        <v>0</v>
      </c>
      <c r="M5256" s="6">
        <v>0</v>
      </c>
      <c r="N5256" s="6">
        <v>0</v>
      </c>
      <c r="O5256" s="6">
        <v>0</v>
      </c>
      <c r="P5256" s="6">
        <v>0</v>
      </c>
      <c r="Q5256">
        <v>1</v>
      </c>
      <c r="R5256">
        <f t="shared" si="410"/>
        <v>0</v>
      </c>
      <c r="S5256">
        <f t="shared" si="411"/>
        <v>1</v>
      </c>
      <c r="T5256">
        <f t="shared" si="412"/>
        <v>0</v>
      </c>
      <c r="U5256">
        <f t="shared" si="413"/>
        <v>0</v>
      </c>
      <c r="V5256">
        <f t="shared" si="414"/>
        <v>0</v>
      </c>
    </row>
    <row r="5257" spans="1:22" x14ac:dyDescent="0.25">
      <c r="A5257">
        <v>5254</v>
      </c>
      <c r="B5257" t="s">
        <v>32</v>
      </c>
      <c r="C5257" t="s">
        <v>1455</v>
      </c>
      <c r="D5257" s="4">
        <v>45427</v>
      </c>
      <c r="E5257" t="s">
        <v>2124</v>
      </c>
      <c r="F5257" t="s">
        <v>75</v>
      </c>
      <c r="I5257" s="6">
        <v>0</v>
      </c>
      <c r="J5257" s="6">
        <v>0</v>
      </c>
      <c r="K5257" s="6">
        <v>0</v>
      </c>
      <c r="L5257" s="6">
        <v>0</v>
      </c>
      <c r="M5257" s="6">
        <v>0</v>
      </c>
      <c r="N5257" s="6">
        <v>0</v>
      </c>
      <c r="O5257" s="6">
        <v>0</v>
      </c>
      <c r="P5257" s="6">
        <v>0</v>
      </c>
      <c r="Q5257">
        <v>1</v>
      </c>
      <c r="R5257">
        <f t="shared" si="410"/>
        <v>0</v>
      </c>
      <c r="S5257">
        <f t="shared" si="411"/>
        <v>1</v>
      </c>
      <c r="T5257">
        <f t="shared" si="412"/>
        <v>0</v>
      </c>
      <c r="U5257">
        <f t="shared" si="413"/>
        <v>0</v>
      </c>
      <c r="V5257">
        <f t="shared" si="414"/>
        <v>0</v>
      </c>
    </row>
    <row r="5258" spans="1:22" x14ac:dyDescent="0.25">
      <c r="A5258">
        <v>5255</v>
      </c>
      <c r="B5258" t="s">
        <v>32</v>
      </c>
      <c r="C5258" t="s">
        <v>1455</v>
      </c>
      <c r="D5258" s="4">
        <v>45428</v>
      </c>
      <c r="E5258" t="s">
        <v>341</v>
      </c>
      <c r="F5258" t="s">
        <v>75</v>
      </c>
      <c r="I5258" s="6"/>
      <c r="J5258" s="6"/>
      <c r="K5258" s="6"/>
      <c r="L5258" s="6"/>
      <c r="M5258" s="6"/>
      <c r="N5258" s="6"/>
      <c r="O5258" s="6"/>
      <c r="P5258" s="6"/>
      <c r="Q5258">
        <v>0</v>
      </c>
      <c r="R5258">
        <f t="shared" si="410"/>
        <v>0</v>
      </c>
      <c r="S5258">
        <f t="shared" si="411"/>
        <v>0</v>
      </c>
      <c r="T5258">
        <f t="shared" si="412"/>
        <v>0</v>
      </c>
      <c r="U5258">
        <f t="shared" si="413"/>
        <v>0</v>
      </c>
      <c r="V5258">
        <f t="shared" si="414"/>
        <v>0</v>
      </c>
    </row>
    <row r="5259" spans="1:22" x14ac:dyDescent="0.25">
      <c r="A5259">
        <v>5256</v>
      </c>
      <c r="B5259" t="s">
        <v>32</v>
      </c>
      <c r="C5259" t="s">
        <v>1455</v>
      </c>
      <c r="D5259" s="4">
        <v>45428</v>
      </c>
      <c r="E5259" t="s">
        <v>342</v>
      </c>
      <c r="F5259" t="s">
        <v>75</v>
      </c>
      <c r="I5259" s="6"/>
      <c r="J5259" s="6"/>
      <c r="K5259" s="6"/>
      <c r="L5259" s="6"/>
      <c r="M5259" s="6"/>
      <c r="N5259" s="6"/>
      <c r="O5259" s="6"/>
      <c r="P5259" s="6"/>
      <c r="Q5259">
        <v>0</v>
      </c>
      <c r="R5259">
        <f t="shared" si="410"/>
        <v>0</v>
      </c>
      <c r="S5259">
        <f t="shared" si="411"/>
        <v>0</v>
      </c>
      <c r="T5259">
        <f t="shared" si="412"/>
        <v>0</v>
      </c>
      <c r="U5259">
        <f t="shared" si="413"/>
        <v>0</v>
      </c>
      <c r="V5259">
        <f t="shared" si="414"/>
        <v>0</v>
      </c>
    </row>
    <row r="5260" spans="1:22" x14ac:dyDescent="0.25">
      <c r="A5260">
        <v>5257</v>
      </c>
      <c r="B5260" t="s">
        <v>32</v>
      </c>
      <c r="C5260" t="s">
        <v>1455</v>
      </c>
      <c r="D5260" s="4">
        <v>45428</v>
      </c>
      <c r="E5260" t="s">
        <v>343</v>
      </c>
      <c r="F5260" t="s">
        <v>75</v>
      </c>
      <c r="I5260" s="6"/>
      <c r="J5260" s="6"/>
      <c r="K5260" s="6"/>
      <c r="L5260" s="6"/>
      <c r="M5260" s="6"/>
      <c r="N5260" s="6"/>
      <c r="O5260" s="6"/>
      <c r="P5260" s="6"/>
      <c r="Q5260">
        <v>0</v>
      </c>
      <c r="R5260">
        <f t="shared" si="410"/>
        <v>0</v>
      </c>
      <c r="S5260">
        <f t="shared" si="411"/>
        <v>0</v>
      </c>
      <c r="T5260">
        <f t="shared" si="412"/>
        <v>0</v>
      </c>
      <c r="U5260">
        <f t="shared" si="413"/>
        <v>0</v>
      </c>
      <c r="V5260">
        <f t="shared" si="414"/>
        <v>0</v>
      </c>
    </row>
    <row r="5261" spans="1:22" x14ac:dyDescent="0.25">
      <c r="A5261">
        <v>5258</v>
      </c>
      <c r="B5261" t="s">
        <v>32</v>
      </c>
      <c r="C5261" t="s">
        <v>1455</v>
      </c>
      <c r="D5261" s="4">
        <v>45428</v>
      </c>
      <c r="E5261" t="s">
        <v>344</v>
      </c>
      <c r="F5261" t="s">
        <v>75</v>
      </c>
      <c r="I5261" s="6">
        <v>1</v>
      </c>
      <c r="J5261" s="6">
        <v>0</v>
      </c>
      <c r="K5261" s="6">
        <v>1</v>
      </c>
      <c r="L5261" s="6">
        <v>0</v>
      </c>
      <c r="M5261" s="6">
        <v>0</v>
      </c>
      <c r="N5261" s="6">
        <v>0</v>
      </c>
      <c r="O5261" s="6">
        <v>0</v>
      </c>
      <c r="P5261" s="6">
        <v>0</v>
      </c>
      <c r="Q5261">
        <v>1</v>
      </c>
      <c r="R5261">
        <f t="shared" si="410"/>
        <v>0</v>
      </c>
      <c r="S5261">
        <f t="shared" si="411"/>
        <v>1</v>
      </c>
      <c r="T5261">
        <f t="shared" si="412"/>
        <v>2</v>
      </c>
      <c r="U5261">
        <f t="shared" si="413"/>
        <v>1</v>
      </c>
      <c r="V5261">
        <f t="shared" si="414"/>
        <v>0</v>
      </c>
    </row>
    <row r="5262" spans="1:22" x14ac:dyDescent="0.25">
      <c r="A5262">
        <v>5259</v>
      </c>
      <c r="B5262" t="s">
        <v>32</v>
      </c>
      <c r="C5262" t="s">
        <v>1455</v>
      </c>
      <c r="D5262" s="4">
        <v>45428</v>
      </c>
      <c r="E5262" t="s">
        <v>2123</v>
      </c>
      <c r="F5262" t="s">
        <v>75</v>
      </c>
      <c r="I5262" s="6"/>
      <c r="J5262" s="6"/>
      <c r="K5262" s="6"/>
      <c r="L5262" s="6"/>
      <c r="M5262" s="6"/>
      <c r="N5262" s="6"/>
      <c r="O5262" s="6"/>
      <c r="P5262" s="6"/>
      <c r="Q5262">
        <v>0</v>
      </c>
      <c r="R5262">
        <f t="shared" si="410"/>
        <v>0</v>
      </c>
      <c r="S5262">
        <f t="shared" si="411"/>
        <v>0</v>
      </c>
      <c r="T5262">
        <f t="shared" si="412"/>
        <v>0</v>
      </c>
      <c r="U5262">
        <f t="shared" si="413"/>
        <v>0</v>
      </c>
      <c r="V5262">
        <f t="shared" si="414"/>
        <v>0</v>
      </c>
    </row>
    <row r="5263" spans="1:22" x14ac:dyDescent="0.25">
      <c r="A5263">
        <v>5260</v>
      </c>
      <c r="B5263" t="s">
        <v>32</v>
      </c>
      <c r="C5263" t="s">
        <v>1455</v>
      </c>
      <c r="D5263" s="4">
        <v>45428</v>
      </c>
      <c r="E5263" t="s">
        <v>1559</v>
      </c>
      <c r="F5263" t="s">
        <v>75</v>
      </c>
      <c r="I5263" s="6">
        <v>0</v>
      </c>
      <c r="J5263" s="6">
        <v>0</v>
      </c>
      <c r="K5263" s="6">
        <v>0</v>
      </c>
      <c r="L5263" s="6">
        <v>0</v>
      </c>
      <c r="M5263" s="6">
        <v>0</v>
      </c>
      <c r="N5263" s="6">
        <v>0</v>
      </c>
      <c r="O5263" s="6">
        <v>0</v>
      </c>
      <c r="P5263" s="6">
        <v>0</v>
      </c>
      <c r="Q5263">
        <v>1</v>
      </c>
      <c r="R5263">
        <f t="shared" si="410"/>
        <v>0</v>
      </c>
      <c r="S5263">
        <f t="shared" si="411"/>
        <v>1</v>
      </c>
      <c r="T5263">
        <f t="shared" si="412"/>
        <v>0</v>
      </c>
      <c r="U5263">
        <f t="shared" si="413"/>
        <v>0</v>
      </c>
      <c r="V5263">
        <f t="shared" si="414"/>
        <v>0</v>
      </c>
    </row>
    <row r="5264" spans="1:22" x14ac:dyDescent="0.25">
      <c r="A5264">
        <v>5261</v>
      </c>
      <c r="B5264" t="s">
        <v>32</v>
      </c>
      <c r="C5264" t="s">
        <v>1455</v>
      </c>
      <c r="D5264" s="4">
        <v>45428</v>
      </c>
      <c r="E5264" t="s">
        <v>2122</v>
      </c>
      <c r="F5264" t="s">
        <v>75</v>
      </c>
      <c r="I5264" s="6"/>
      <c r="J5264" s="6"/>
      <c r="K5264" s="6"/>
      <c r="L5264" s="6"/>
      <c r="M5264" s="6"/>
      <c r="N5264" s="6"/>
      <c r="O5264" s="6"/>
      <c r="P5264" s="6"/>
      <c r="Q5264">
        <v>0</v>
      </c>
      <c r="R5264">
        <f t="shared" si="410"/>
        <v>0</v>
      </c>
      <c r="S5264">
        <f t="shared" si="411"/>
        <v>0</v>
      </c>
      <c r="T5264">
        <f t="shared" si="412"/>
        <v>0</v>
      </c>
      <c r="U5264">
        <f t="shared" si="413"/>
        <v>0</v>
      </c>
      <c r="V5264">
        <f t="shared" si="414"/>
        <v>0</v>
      </c>
    </row>
    <row r="5265" spans="1:22" x14ac:dyDescent="0.25">
      <c r="A5265">
        <v>5262</v>
      </c>
      <c r="B5265" t="s">
        <v>32</v>
      </c>
      <c r="C5265" t="s">
        <v>1455</v>
      </c>
      <c r="D5265" s="4">
        <v>45428</v>
      </c>
      <c r="E5265" t="s">
        <v>2121</v>
      </c>
      <c r="F5265" t="s">
        <v>75</v>
      </c>
      <c r="I5265" s="6"/>
      <c r="J5265" s="6"/>
      <c r="K5265" s="6"/>
      <c r="L5265" s="6"/>
      <c r="M5265" s="6"/>
      <c r="N5265" s="6"/>
      <c r="O5265" s="6"/>
      <c r="P5265" s="6"/>
      <c r="Q5265">
        <v>0</v>
      </c>
      <c r="R5265">
        <f t="shared" si="410"/>
        <v>0</v>
      </c>
      <c r="S5265">
        <f t="shared" si="411"/>
        <v>0</v>
      </c>
      <c r="T5265">
        <f t="shared" si="412"/>
        <v>0</v>
      </c>
      <c r="U5265">
        <f t="shared" si="413"/>
        <v>0</v>
      </c>
      <c r="V5265">
        <f t="shared" si="414"/>
        <v>0</v>
      </c>
    </row>
    <row r="5266" spans="1:22" x14ac:dyDescent="0.25">
      <c r="A5266">
        <v>5263</v>
      </c>
      <c r="B5266" t="s">
        <v>32</v>
      </c>
      <c r="C5266" t="s">
        <v>1455</v>
      </c>
      <c r="D5266" s="4">
        <v>45429</v>
      </c>
      <c r="E5266" t="s">
        <v>2120</v>
      </c>
      <c r="F5266" t="s">
        <v>75</v>
      </c>
      <c r="I5266" s="6">
        <v>0</v>
      </c>
      <c r="J5266" s="6">
        <v>0</v>
      </c>
      <c r="K5266" s="6">
        <v>0</v>
      </c>
      <c r="L5266" s="6">
        <v>0</v>
      </c>
      <c r="M5266" s="6">
        <v>1</v>
      </c>
      <c r="N5266" s="6">
        <v>0</v>
      </c>
      <c r="O5266" s="6">
        <v>0</v>
      </c>
      <c r="P5266" s="6">
        <v>0</v>
      </c>
      <c r="Q5266">
        <v>1</v>
      </c>
      <c r="R5266">
        <f t="shared" si="410"/>
        <v>0</v>
      </c>
      <c r="S5266">
        <f t="shared" si="411"/>
        <v>1</v>
      </c>
      <c r="T5266">
        <f t="shared" si="412"/>
        <v>1</v>
      </c>
      <c r="U5266">
        <f t="shared" si="413"/>
        <v>1</v>
      </c>
      <c r="V5266">
        <f t="shared" si="414"/>
        <v>0</v>
      </c>
    </row>
    <row r="5267" spans="1:22" x14ac:dyDescent="0.25">
      <c r="A5267">
        <v>5264</v>
      </c>
      <c r="B5267" t="s">
        <v>32</v>
      </c>
      <c r="C5267" t="s">
        <v>1455</v>
      </c>
      <c r="D5267" s="4">
        <v>45429</v>
      </c>
      <c r="E5267" t="s">
        <v>345</v>
      </c>
      <c r="F5267" t="s">
        <v>75</v>
      </c>
      <c r="I5267" s="6"/>
      <c r="J5267" s="6"/>
      <c r="K5267" s="6"/>
      <c r="L5267" s="6"/>
      <c r="M5267" s="6"/>
      <c r="N5267" s="6"/>
      <c r="O5267" s="6"/>
      <c r="P5267" s="6"/>
      <c r="Q5267">
        <v>0</v>
      </c>
      <c r="R5267">
        <f t="shared" si="410"/>
        <v>0</v>
      </c>
      <c r="S5267">
        <f t="shared" si="411"/>
        <v>0</v>
      </c>
      <c r="T5267">
        <f t="shared" si="412"/>
        <v>0</v>
      </c>
      <c r="U5267">
        <f t="shared" si="413"/>
        <v>0</v>
      </c>
      <c r="V5267">
        <f t="shared" si="414"/>
        <v>0</v>
      </c>
    </row>
    <row r="5268" spans="1:22" x14ac:dyDescent="0.25">
      <c r="A5268">
        <v>5265</v>
      </c>
      <c r="B5268" t="s">
        <v>32</v>
      </c>
      <c r="C5268" t="s">
        <v>1455</v>
      </c>
      <c r="D5268" s="4">
        <v>45429</v>
      </c>
      <c r="E5268" t="s">
        <v>1483</v>
      </c>
      <c r="F5268" t="s">
        <v>75</v>
      </c>
      <c r="I5268" s="6"/>
      <c r="J5268" s="6"/>
      <c r="K5268" s="6"/>
      <c r="L5268" s="6"/>
      <c r="M5268" s="6"/>
      <c r="N5268" s="6"/>
      <c r="O5268" s="6"/>
      <c r="P5268" s="6"/>
      <c r="Q5268">
        <v>0</v>
      </c>
      <c r="R5268">
        <f t="shared" si="410"/>
        <v>0</v>
      </c>
      <c r="S5268">
        <f t="shared" si="411"/>
        <v>0</v>
      </c>
      <c r="T5268">
        <f t="shared" si="412"/>
        <v>0</v>
      </c>
      <c r="U5268">
        <f t="shared" si="413"/>
        <v>0</v>
      </c>
      <c r="V5268">
        <f t="shared" si="414"/>
        <v>0</v>
      </c>
    </row>
    <row r="5269" spans="1:22" x14ac:dyDescent="0.25">
      <c r="A5269">
        <v>5266</v>
      </c>
      <c r="B5269" t="s">
        <v>32</v>
      </c>
      <c r="C5269" t="s">
        <v>1455</v>
      </c>
      <c r="D5269" s="4">
        <v>45429</v>
      </c>
      <c r="E5269" t="s">
        <v>346</v>
      </c>
      <c r="F5269" t="s">
        <v>75</v>
      </c>
      <c r="I5269" s="6"/>
      <c r="J5269" s="6"/>
      <c r="K5269" s="6"/>
      <c r="L5269" s="6"/>
      <c r="M5269" s="6"/>
      <c r="N5269" s="6"/>
      <c r="O5269" s="6"/>
      <c r="P5269" s="6"/>
      <c r="Q5269">
        <v>0</v>
      </c>
      <c r="R5269">
        <f t="shared" si="410"/>
        <v>0</v>
      </c>
      <c r="S5269">
        <f t="shared" si="411"/>
        <v>0</v>
      </c>
      <c r="T5269">
        <f t="shared" si="412"/>
        <v>0</v>
      </c>
      <c r="U5269">
        <f t="shared" si="413"/>
        <v>0</v>
      </c>
      <c r="V5269">
        <f t="shared" si="414"/>
        <v>0</v>
      </c>
    </row>
    <row r="5270" spans="1:22" x14ac:dyDescent="0.25">
      <c r="A5270">
        <v>5267</v>
      </c>
      <c r="B5270" t="s">
        <v>32</v>
      </c>
      <c r="C5270" t="s">
        <v>1455</v>
      </c>
      <c r="D5270" s="4">
        <v>45429</v>
      </c>
      <c r="E5270" t="s">
        <v>1409</v>
      </c>
      <c r="F5270" t="s">
        <v>75</v>
      </c>
      <c r="I5270" s="6">
        <v>1</v>
      </c>
      <c r="J5270" s="6">
        <v>0</v>
      </c>
      <c r="K5270" s="6">
        <v>0</v>
      </c>
      <c r="L5270" s="6">
        <v>0</v>
      </c>
      <c r="M5270" s="6">
        <v>0</v>
      </c>
      <c r="N5270" s="6">
        <v>0</v>
      </c>
      <c r="O5270" s="6">
        <v>0</v>
      </c>
      <c r="P5270" s="6">
        <v>0</v>
      </c>
      <c r="Q5270">
        <v>1</v>
      </c>
      <c r="R5270">
        <f t="shared" si="410"/>
        <v>0</v>
      </c>
      <c r="S5270">
        <f t="shared" si="411"/>
        <v>1</v>
      </c>
      <c r="T5270">
        <f t="shared" si="412"/>
        <v>1</v>
      </c>
      <c r="U5270">
        <f t="shared" si="413"/>
        <v>1</v>
      </c>
      <c r="V5270">
        <f t="shared" si="414"/>
        <v>0</v>
      </c>
    </row>
    <row r="5271" spans="1:22" x14ac:dyDescent="0.25">
      <c r="A5271">
        <v>5268</v>
      </c>
      <c r="B5271" t="s">
        <v>32</v>
      </c>
      <c r="C5271" t="s">
        <v>1455</v>
      </c>
      <c r="D5271" s="4">
        <v>45430</v>
      </c>
      <c r="E5271" t="s">
        <v>891</v>
      </c>
      <c r="F5271" t="s">
        <v>75</v>
      </c>
      <c r="I5271" s="6"/>
      <c r="J5271" s="6"/>
      <c r="K5271" s="6"/>
      <c r="L5271" s="6"/>
      <c r="M5271" s="6"/>
      <c r="N5271" s="6"/>
      <c r="O5271" s="6"/>
      <c r="P5271" s="6"/>
      <c r="Q5271">
        <v>0</v>
      </c>
      <c r="R5271">
        <f t="shared" si="410"/>
        <v>0</v>
      </c>
      <c r="S5271">
        <f t="shared" si="411"/>
        <v>0</v>
      </c>
      <c r="T5271">
        <f t="shared" si="412"/>
        <v>0</v>
      </c>
      <c r="U5271">
        <f t="shared" si="413"/>
        <v>0</v>
      </c>
      <c r="V5271">
        <f t="shared" si="414"/>
        <v>0</v>
      </c>
    </row>
    <row r="5272" spans="1:22" x14ac:dyDescent="0.25">
      <c r="A5272">
        <v>5269</v>
      </c>
      <c r="B5272" t="s">
        <v>32</v>
      </c>
      <c r="C5272" t="s">
        <v>1455</v>
      </c>
      <c r="D5272" s="4">
        <v>45430</v>
      </c>
      <c r="E5272" t="s">
        <v>349</v>
      </c>
      <c r="F5272" t="s">
        <v>75</v>
      </c>
      <c r="I5272" s="6"/>
      <c r="J5272" s="6"/>
      <c r="K5272" s="6"/>
      <c r="L5272" s="6"/>
      <c r="M5272" s="6"/>
      <c r="N5272" s="6"/>
      <c r="O5272" s="6"/>
      <c r="P5272" s="6"/>
      <c r="Q5272">
        <v>0</v>
      </c>
      <c r="R5272">
        <f t="shared" si="410"/>
        <v>0</v>
      </c>
      <c r="S5272">
        <f t="shared" si="411"/>
        <v>0</v>
      </c>
      <c r="T5272">
        <f t="shared" si="412"/>
        <v>0</v>
      </c>
      <c r="U5272">
        <f t="shared" si="413"/>
        <v>0</v>
      </c>
      <c r="V5272">
        <f t="shared" si="414"/>
        <v>0</v>
      </c>
    </row>
    <row r="5273" spans="1:22" x14ac:dyDescent="0.25">
      <c r="A5273">
        <v>5270</v>
      </c>
      <c r="B5273" t="s">
        <v>32</v>
      </c>
      <c r="C5273" t="s">
        <v>1455</v>
      </c>
      <c r="D5273" s="4">
        <v>45430</v>
      </c>
      <c r="E5273" t="s">
        <v>350</v>
      </c>
      <c r="F5273" t="s">
        <v>75</v>
      </c>
      <c r="I5273" s="6"/>
      <c r="J5273" s="6"/>
      <c r="K5273" s="6"/>
      <c r="L5273" s="6"/>
      <c r="M5273" s="6"/>
      <c r="N5273" s="6"/>
      <c r="O5273" s="6"/>
      <c r="P5273" s="6"/>
      <c r="Q5273">
        <v>0</v>
      </c>
      <c r="R5273">
        <f t="shared" si="410"/>
        <v>0</v>
      </c>
      <c r="S5273">
        <f t="shared" si="411"/>
        <v>0</v>
      </c>
      <c r="T5273">
        <f t="shared" si="412"/>
        <v>0</v>
      </c>
      <c r="U5273">
        <f t="shared" si="413"/>
        <v>0</v>
      </c>
      <c r="V5273">
        <f t="shared" si="414"/>
        <v>0</v>
      </c>
    </row>
    <row r="5274" spans="1:22" x14ac:dyDescent="0.25">
      <c r="A5274">
        <v>5271</v>
      </c>
      <c r="B5274" t="s">
        <v>32</v>
      </c>
      <c r="C5274" t="s">
        <v>1455</v>
      </c>
      <c r="D5274" s="4">
        <v>45430</v>
      </c>
      <c r="E5274" t="s">
        <v>351</v>
      </c>
      <c r="F5274" t="s">
        <v>75</v>
      </c>
      <c r="I5274" s="6">
        <v>0</v>
      </c>
      <c r="J5274" s="6">
        <v>0</v>
      </c>
      <c r="K5274" s="6">
        <v>0</v>
      </c>
      <c r="L5274" s="6">
        <v>0</v>
      </c>
      <c r="M5274" s="6">
        <v>0</v>
      </c>
      <c r="N5274" s="6">
        <v>0</v>
      </c>
      <c r="O5274" s="6">
        <v>0</v>
      </c>
      <c r="P5274" s="6">
        <v>0</v>
      </c>
      <c r="Q5274">
        <v>1</v>
      </c>
      <c r="R5274">
        <f t="shared" si="410"/>
        <v>0</v>
      </c>
      <c r="S5274">
        <f t="shared" si="411"/>
        <v>1</v>
      </c>
      <c r="T5274">
        <f t="shared" si="412"/>
        <v>0</v>
      </c>
      <c r="U5274">
        <f t="shared" si="413"/>
        <v>0</v>
      </c>
      <c r="V5274">
        <f t="shared" si="414"/>
        <v>0</v>
      </c>
    </row>
    <row r="5275" spans="1:22" x14ac:dyDescent="0.25">
      <c r="A5275">
        <v>5272</v>
      </c>
      <c r="B5275" t="s">
        <v>32</v>
      </c>
      <c r="C5275" t="s">
        <v>1455</v>
      </c>
      <c r="D5275" s="4">
        <v>45430</v>
      </c>
      <c r="E5275" t="s">
        <v>352</v>
      </c>
      <c r="F5275" t="s">
        <v>75</v>
      </c>
      <c r="I5275" s="6"/>
      <c r="J5275" s="6"/>
      <c r="K5275" s="6"/>
      <c r="L5275" s="6"/>
      <c r="M5275" s="6"/>
      <c r="N5275" s="6"/>
      <c r="O5275" s="6"/>
      <c r="P5275" s="6"/>
      <c r="Q5275">
        <v>0</v>
      </c>
      <c r="R5275">
        <f t="shared" si="410"/>
        <v>0</v>
      </c>
      <c r="S5275">
        <f t="shared" si="411"/>
        <v>0</v>
      </c>
      <c r="T5275">
        <f t="shared" si="412"/>
        <v>0</v>
      </c>
      <c r="U5275">
        <f t="shared" si="413"/>
        <v>0</v>
      </c>
      <c r="V5275">
        <f t="shared" si="414"/>
        <v>0</v>
      </c>
    </row>
    <row r="5276" spans="1:22" x14ac:dyDescent="0.25">
      <c r="A5276">
        <v>5273</v>
      </c>
      <c r="B5276" t="s">
        <v>32</v>
      </c>
      <c r="C5276" t="s">
        <v>1455</v>
      </c>
      <c r="D5276" s="4">
        <v>45431</v>
      </c>
      <c r="E5276" t="s">
        <v>353</v>
      </c>
      <c r="F5276" t="s">
        <v>75</v>
      </c>
      <c r="I5276" s="6"/>
      <c r="J5276" s="6"/>
      <c r="K5276" s="6"/>
      <c r="L5276" s="6"/>
      <c r="M5276" s="6"/>
      <c r="N5276" s="6"/>
      <c r="O5276" s="6"/>
      <c r="P5276" s="6"/>
      <c r="Q5276">
        <v>0</v>
      </c>
      <c r="R5276">
        <f t="shared" si="410"/>
        <v>0</v>
      </c>
      <c r="S5276">
        <f t="shared" si="411"/>
        <v>0</v>
      </c>
      <c r="T5276">
        <f t="shared" si="412"/>
        <v>0</v>
      </c>
      <c r="U5276">
        <f t="shared" si="413"/>
        <v>0</v>
      </c>
      <c r="V5276">
        <f t="shared" si="414"/>
        <v>0</v>
      </c>
    </row>
    <row r="5277" spans="1:22" x14ac:dyDescent="0.25">
      <c r="A5277">
        <v>5274</v>
      </c>
      <c r="B5277" t="s">
        <v>32</v>
      </c>
      <c r="C5277" t="s">
        <v>1455</v>
      </c>
      <c r="D5277" s="4">
        <v>45431</v>
      </c>
      <c r="E5277" t="s">
        <v>354</v>
      </c>
      <c r="F5277" t="s">
        <v>75</v>
      </c>
      <c r="I5277" s="6">
        <v>0</v>
      </c>
      <c r="J5277" s="6">
        <v>0</v>
      </c>
      <c r="K5277" s="6">
        <v>0</v>
      </c>
      <c r="L5277" s="6">
        <v>0</v>
      </c>
      <c r="M5277" s="6">
        <v>0</v>
      </c>
      <c r="N5277" s="6">
        <v>0</v>
      </c>
      <c r="O5277" s="6">
        <v>0</v>
      </c>
      <c r="P5277" s="6">
        <v>0</v>
      </c>
      <c r="Q5277">
        <v>1</v>
      </c>
      <c r="R5277">
        <f t="shared" si="410"/>
        <v>0</v>
      </c>
      <c r="S5277">
        <f t="shared" si="411"/>
        <v>1</v>
      </c>
      <c r="T5277">
        <f t="shared" si="412"/>
        <v>0</v>
      </c>
      <c r="U5277">
        <f t="shared" si="413"/>
        <v>0</v>
      </c>
      <c r="V5277">
        <f t="shared" si="414"/>
        <v>0</v>
      </c>
    </row>
    <row r="5278" spans="1:22" x14ac:dyDescent="0.25">
      <c r="A5278">
        <v>5275</v>
      </c>
      <c r="B5278" t="s">
        <v>32</v>
      </c>
      <c r="C5278" t="s">
        <v>1455</v>
      </c>
      <c r="D5278" s="4">
        <v>45431</v>
      </c>
      <c r="E5278" t="s">
        <v>1091</v>
      </c>
      <c r="F5278" t="s">
        <v>75</v>
      </c>
      <c r="I5278" s="6"/>
      <c r="J5278" s="6"/>
      <c r="K5278" s="6"/>
      <c r="L5278" s="6"/>
      <c r="M5278" s="6"/>
      <c r="N5278" s="6"/>
      <c r="O5278" s="6"/>
      <c r="P5278" s="6"/>
      <c r="Q5278">
        <v>0</v>
      </c>
      <c r="R5278">
        <f t="shared" si="410"/>
        <v>0</v>
      </c>
      <c r="S5278">
        <f t="shared" si="411"/>
        <v>0</v>
      </c>
      <c r="T5278">
        <f t="shared" si="412"/>
        <v>0</v>
      </c>
      <c r="U5278">
        <f t="shared" si="413"/>
        <v>0</v>
      </c>
      <c r="V5278">
        <f t="shared" si="414"/>
        <v>0</v>
      </c>
    </row>
    <row r="5279" spans="1:22" x14ac:dyDescent="0.25">
      <c r="A5279">
        <v>5276</v>
      </c>
      <c r="B5279" t="s">
        <v>32</v>
      </c>
      <c r="C5279" t="s">
        <v>1455</v>
      </c>
      <c r="D5279" s="4">
        <v>45431</v>
      </c>
      <c r="E5279" t="s">
        <v>1092</v>
      </c>
      <c r="F5279" t="s">
        <v>75</v>
      </c>
      <c r="I5279" s="6">
        <v>0</v>
      </c>
      <c r="J5279" s="6">
        <v>0</v>
      </c>
      <c r="K5279" s="6">
        <v>0</v>
      </c>
      <c r="L5279" s="6">
        <v>0</v>
      </c>
      <c r="M5279" s="6">
        <v>0</v>
      </c>
      <c r="N5279" s="6">
        <v>0</v>
      </c>
      <c r="O5279" s="6">
        <v>0</v>
      </c>
      <c r="P5279" s="6">
        <v>0</v>
      </c>
      <c r="Q5279">
        <v>1</v>
      </c>
      <c r="R5279">
        <f t="shared" si="410"/>
        <v>0</v>
      </c>
      <c r="S5279">
        <f t="shared" si="411"/>
        <v>1</v>
      </c>
      <c r="T5279">
        <f t="shared" si="412"/>
        <v>0</v>
      </c>
      <c r="U5279">
        <f t="shared" si="413"/>
        <v>0</v>
      </c>
      <c r="V5279">
        <f t="shared" si="414"/>
        <v>0</v>
      </c>
    </row>
    <row r="5280" spans="1:22" x14ac:dyDescent="0.25">
      <c r="A5280">
        <v>5277</v>
      </c>
      <c r="B5280" t="s">
        <v>32</v>
      </c>
      <c r="C5280" t="s">
        <v>1455</v>
      </c>
      <c r="D5280" s="4">
        <v>45431</v>
      </c>
      <c r="E5280" t="s">
        <v>355</v>
      </c>
      <c r="F5280" t="s">
        <v>75</v>
      </c>
      <c r="I5280" s="6"/>
      <c r="J5280" s="6"/>
      <c r="K5280" s="6"/>
      <c r="L5280" s="6"/>
      <c r="M5280" s="6"/>
      <c r="N5280" s="6"/>
      <c r="O5280" s="6"/>
      <c r="P5280" s="6"/>
      <c r="Q5280">
        <v>0</v>
      </c>
      <c r="R5280">
        <f t="shared" si="410"/>
        <v>0</v>
      </c>
      <c r="S5280">
        <f t="shared" si="411"/>
        <v>0</v>
      </c>
      <c r="T5280">
        <f t="shared" si="412"/>
        <v>0</v>
      </c>
      <c r="U5280">
        <f t="shared" si="413"/>
        <v>0</v>
      </c>
      <c r="V5280">
        <f t="shared" si="414"/>
        <v>0</v>
      </c>
    </row>
    <row r="5281" spans="1:22" x14ac:dyDescent="0.25">
      <c r="A5281">
        <v>5278</v>
      </c>
      <c r="B5281" t="s">
        <v>32</v>
      </c>
      <c r="C5281" t="s">
        <v>1455</v>
      </c>
      <c r="D5281" s="4">
        <v>45431</v>
      </c>
      <c r="E5281" t="s">
        <v>1560</v>
      </c>
      <c r="F5281" t="s">
        <v>75</v>
      </c>
      <c r="I5281" s="6">
        <v>0</v>
      </c>
      <c r="J5281" s="6">
        <v>0</v>
      </c>
      <c r="K5281" s="6">
        <v>1</v>
      </c>
      <c r="L5281" s="6">
        <v>0</v>
      </c>
      <c r="M5281" s="6">
        <v>0</v>
      </c>
      <c r="N5281" s="6">
        <v>0</v>
      </c>
      <c r="O5281" s="6">
        <v>0</v>
      </c>
      <c r="P5281" s="6">
        <v>0</v>
      </c>
      <c r="Q5281">
        <v>1</v>
      </c>
      <c r="R5281">
        <f t="shared" si="410"/>
        <v>0</v>
      </c>
      <c r="S5281">
        <f t="shared" si="411"/>
        <v>1</v>
      </c>
      <c r="T5281">
        <f t="shared" si="412"/>
        <v>1</v>
      </c>
      <c r="U5281">
        <f t="shared" si="413"/>
        <v>1</v>
      </c>
      <c r="V5281">
        <f t="shared" si="414"/>
        <v>0</v>
      </c>
    </row>
    <row r="5282" spans="1:22" x14ac:dyDescent="0.25">
      <c r="A5282">
        <v>5279</v>
      </c>
      <c r="B5282" t="s">
        <v>32</v>
      </c>
      <c r="C5282" t="s">
        <v>1455</v>
      </c>
      <c r="D5282" s="4">
        <v>45431</v>
      </c>
      <c r="E5282" t="s">
        <v>2119</v>
      </c>
      <c r="F5282" t="s">
        <v>75</v>
      </c>
      <c r="I5282" s="6"/>
      <c r="J5282" s="6"/>
      <c r="K5282" s="6"/>
      <c r="L5282" s="6"/>
      <c r="M5282" s="6"/>
      <c r="N5282" s="6"/>
      <c r="O5282" s="6"/>
      <c r="P5282" s="6"/>
      <c r="Q5282">
        <v>0</v>
      </c>
      <c r="R5282">
        <f t="shared" si="410"/>
        <v>0</v>
      </c>
      <c r="S5282">
        <f t="shared" si="411"/>
        <v>0</v>
      </c>
      <c r="T5282">
        <f t="shared" si="412"/>
        <v>0</v>
      </c>
      <c r="U5282">
        <f t="shared" si="413"/>
        <v>0</v>
      </c>
      <c r="V5282">
        <f t="shared" si="414"/>
        <v>0</v>
      </c>
    </row>
    <row r="5283" spans="1:22" x14ac:dyDescent="0.25">
      <c r="A5283">
        <v>5280</v>
      </c>
      <c r="B5283" t="s">
        <v>32</v>
      </c>
      <c r="C5283" t="s">
        <v>1455</v>
      </c>
      <c r="D5283" s="4">
        <v>45432</v>
      </c>
      <c r="E5283" t="s">
        <v>1484</v>
      </c>
      <c r="F5283" t="s">
        <v>75</v>
      </c>
      <c r="I5283" s="6"/>
      <c r="J5283" s="6"/>
      <c r="K5283" s="6"/>
      <c r="L5283" s="6"/>
      <c r="M5283" s="6"/>
      <c r="N5283" s="6"/>
      <c r="O5283" s="6"/>
      <c r="P5283" s="6"/>
      <c r="Q5283">
        <v>0</v>
      </c>
      <c r="R5283">
        <f t="shared" si="410"/>
        <v>0</v>
      </c>
      <c r="S5283">
        <f t="shared" si="411"/>
        <v>0</v>
      </c>
      <c r="T5283">
        <f t="shared" si="412"/>
        <v>0</v>
      </c>
      <c r="U5283">
        <f t="shared" si="413"/>
        <v>0</v>
      </c>
      <c r="V5283">
        <f t="shared" si="414"/>
        <v>0</v>
      </c>
    </row>
    <row r="5284" spans="1:22" x14ac:dyDescent="0.25">
      <c r="A5284">
        <v>5281</v>
      </c>
      <c r="B5284" t="s">
        <v>32</v>
      </c>
      <c r="C5284" t="s">
        <v>1455</v>
      </c>
      <c r="D5284" s="4">
        <v>45432</v>
      </c>
      <c r="E5284" t="s">
        <v>356</v>
      </c>
      <c r="F5284" t="s">
        <v>75</v>
      </c>
      <c r="I5284" s="6">
        <v>0</v>
      </c>
      <c r="J5284" s="6">
        <v>0</v>
      </c>
      <c r="K5284" s="6">
        <v>1</v>
      </c>
      <c r="L5284" s="6">
        <v>0</v>
      </c>
      <c r="M5284" s="6">
        <v>0</v>
      </c>
      <c r="N5284" s="6">
        <v>1</v>
      </c>
      <c r="O5284" s="6">
        <v>0</v>
      </c>
      <c r="P5284" s="6">
        <v>0</v>
      </c>
      <c r="Q5284">
        <v>1</v>
      </c>
      <c r="R5284">
        <f t="shared" si="410"/>
        <v>0</v>
      </c>
      <c r="S5284">
        <f t="shared" si="411"/>
        <v>1</v>
      </c>
      <c r="T5284">
        <f t="shared" si="412"/>
        <v>2</v>
      </c>
      <c r="U5284">
        <f t="shared" si="413"/>
        <v>1</v>
      </c>
      <c r="V5284">
        <f t="shared" si="414"/>
        <v>0</v>
      </c>
    </row>
    <row r="5285" spans="1:22" x14ac:dyDescent="0.25">
      <c r="A5285">
        <v>5282</v>
      </c>
      <c r="B5285" t="s">
        <v>32</v>
      </c>
      <c r="C5285" t="s">
        <v>1455</v>
      </c>
      <c r="D5285" s="4">
        <v>45432</v>
      </c>
      <c r="E5285" t="s">
        <v>1093</v>
      </c>
      <c r="F5285" t="s">
        <v>75</v>
      </c>
      <c r="I5285" s="6"/>
      <c r="J5285" s="6"/>
      <c r="K5285" s="6"/>
      <c r="L5285" s="6"/>
      <c r="M5285" s="6"/>
      <c r="N5285" s="6"/>
      <c r="O5285" s="6"/>
      <c r="P5285" s="6"/>
      <c r="Q5285">
        <v>0</v>
      </c>
      <c r="R5285">
        <f t="shared" si="410"/>
        <v>0</v>
      </c>
      <c r="S5285">
        <f t="shared" si="411"/>
        <v>0</v>
      </c>
      <c r="T5285">
        <f t="shared" si="412"/>
        <v>0</v>
      </c>
      <c r="U5285">
        <f t="shared" si="413"/>
        <v>0</v>
      </c>
      <c r="V5285">
        <f t="shared" si="414"/>
        <v>0</v>
      </c>
    </row>
    <row r="5286" spans="1:22" x14ac:dyDescent="0.25">
      <c r="A5286">
        <v>5283</v>
      </c>
      <c r="B5286" t="s">
        <v>32</v>
      </c>
      <c r="C5286" t="s">
        <v>1455</v>
      </c>
      <c r="D5286" s="4">
        <v>45432</v>
      </c>
      <c r="E5286" t="s">
        <v>1094</v>
      </c>
      <c r="F5286" t="s">
        <v>75</v>
      </c>
      <c r="I5286" s="6"/>
      <c r="J5286" s="6"/>
      <c r="K5286" s="6"/>
      <c r="L5286" s="6"/>
      <c r="M5286" s="6"/>
      <c r="N5286" s="6"/>
      <c r="O5286" s="6"/>
      <c r="P5286" s="6"/>
      <c r="Q5286">
        <v>0</v>
      </c>
      <c r="R5286">
        <f t="shared" si="410"/>
        <v>0</v>
      </c>
      <c r="S5286">
        <f t="shared" si="411"/>
        <v>0</v>
      </c>
      <c r="T5286">
        <f t="shared" si="412"/>
        <v>0</v>
      </c>
      <c r="U5286">
        <f t="shared" si="413"/>
        <v>0</v>
      </c>
      <c r="V5286">
        <f t="shared" si="414"/>
        <v>0</v>
      </c>
    </row>
    <row r="5287" spans="1:22" x14ac:dyDescent="0.25">
      <c r="A5287">
        <v>5284</v>
      </c>
      <c r="B5287" t="s">
        <v>32</v>
      </c>
      <c r="C5287" t="s">
        <v>1455</v>
      </c>
      <c r="D5287" s="4">
        <v>45432</v>
      </c>
      <c r="E5287" t="s">
        <v>2118</v>
      </c>
      <c r="F5287" t="s">
        <v>75</v>
      </c>
      <c r="I5287" s="6"/>
      <c r="J5287" s="6"/>
      <c r="K5287" s="6"/>
      <c r="L5287" s="6"/>
      <c r="M5287" s="6"/>
      <c r="N5287" s="6"/>
      <c r="O5287" s="6"/>
      <c r="P5287" s="6"/>
      <c r="Q5287">
        <v>0</v>
      </c>
      <c r="R5287">
        <f t="shared" si="410"/>
        <v>0</v>
      </c>
      <c r="S5287">
        <f t="shared" si="411"/>
        <v>0</v>
      </c>
      <c r="T5287">
        <f t="shared" si="412"/>
        <v>0</v>
      </c>
      <c r="U5287">
        <f t="shared" si="413"/>
        <v>0</v>
      </c>
      <c r="V5287">
        <f t="shared" si="414"/>
        <v>0</v>
      </c>
    </row>
    <row r="5288" spans="1:22" x14ac:dyDescent="0.25">
      <c r="A5288">
        <v>5285</v>
      </c>
      <c r="B5288" t="s">
        <v>32</v>
      </c>
      <c r="C5288" t="s">
        <v>1455</v>
      </c>
      <c r="D5288" s="4">
        <v>45433</v>
      </c>
      <c r="E5288" t="s">
        <v>1234</v>
      </c>
      <c r="F5288" t="s">
        <v>75</v>
      </c>
      <c r="I5288" s="6"/>
      <c r="J5288" s="6"/>
      <c r="K5288" s="6"/>
      <c r="L5288" s="6"/>
      <c r="M5288" s="6"/>
      <c r="N5288" s="6"/>
      <c r="O5288" s="6"/>
      <c r="P5288" s="6"/>
      <c r="Q5288">
        <v>0</v>
      </c>
      <c r="R5288">
        <f t="shared" si="410"/>
        <v>0</v>
      </c>
      <c r="S5288">
        <f t="shared" si="411"/>
        <v>0</v>
      </c>
      <c r="T5288">
        <f t="shared" si="412"/>
        <v>0</v>
      </c>
      <c r="U5288">
        <f t="shared" si="413"/>
        <v>0</v>
      </c>
      <c r="V5288">
        <f t="shared" si="414"/>
        <v>0</v>
      </c>
    </row>
    <row r="5289" spans="1:22" x14ac:dyDescent="0.25">
      <c r="A5289">
        <v>5286</v>
      </c>
      <c r="B5289" t="s">
        <v>32</v>
      </c>
      <c r="C5289" t="s">
        <v>1455</v>
      </c>
      <c r="D5289" s="4">
        <v>45433</v>
      </c>
      <c r="E5289" t="s">
        <v>1095</v>
      </c>
      <c r="F5289" t="s">
        <v>75</v>
      </c>
      <c r="I5289" s="6">
        <v>0</v>
      </c>
      <c r="J5289" s="6">
        <v>0</v>
      </c>
      <c r="K5289" s="6">
        <v>0</v>
      </c>
      <c r="L5289" s="6">
        <v>0</v>
      </c>
      <c r="M5289" s="6">
        <v>0</v>
      </c>
      <c r="N5289" s="6">
        <v>0</v>
      </c>
      <c r="O5289" s="6">
        <v>0</v>
      </c>
      <c r="P5289" s="6">
        <v>1</v>
      </c>
      <c r="Q5289">
        <v>1</v>
      </c>
      <c r="R5289">
        <f t="shared" si="410"/>
        <v>0</v>
      </c>
      <c r="S5289">
        <f t="shared" si="411"/>
        <v>1</v>
      </c>
      <c r="T5289">
        <f t="shared" si="412"/>
        <v>1</v>
      </c>
      <c r="U5289">
        <f t="shared" si="413"/>
        <v>1</v>
      </c>
      <c r="V5289">
        <f t="shared" si="414"/>
        <v>0</v>
      </c>
    </row>
    <row r="5290" spans="1:22" x14ac:dyDescent="0.25">
      <c r="A5290">
        <v>5287</v>
      </c>
      <c r="B5290" t="s">
        <v>32</v>
      </c>
      <c r="C5290" t="s">
        <v>1455</v>
      </c>
      <c r="D5290" s="4">
        <v>45433</v>
      </c>
      <c r="E5290" t="s">
        <v>1485</v>
      </c>
      <c r="F5290" t="s">
        <v>75</v>
      </c>
      <c r="I5290" s="6"/>
      <c r="J5290" s="6"/>
      <c r="K5290" s="6"/>
      <c r="L5290" s="6"/>
      <c r="M5290" s="6"/>
      <c r="N5290" s="6"/>
      <c r="O5290" s="6"/>
      <c r="P5290" s="6"/>
      <c r="Q5290">
        <v>0</v>
      </c>
      <c r="R5290">
        <f t="shared" si="410"/>
        <v>0</v>
      </c>
      <c r="S5290">
        <f t="shared" si="411"/>
        <v>0</v>
      </c>
      <c r="T5290">
        <f t="shared" si="412"/>
        <v>0</v>
      </c>
      <c r="U5290">
        <f t="shared" si="413"/>
        <v>0</v>
      </c>
      <c r="V5290">
        <f t="shared" si="414"/>
        <v>0</v>
      </c>
    </row>
    <row r="5291" spans="1:22" x14ac:dyDescent="0.25">
      <c r="A5291">
        <v>5288</v>
      </c>
      <c r="B5291" t="s">
        <v>32</v>
      </c>
      <c r="C5291" t="s">
        <v>1455</v>
      </c>
      <c r="D5291" s="4">
        <v>45433</v>
      </c>
      <c r="E5291" t="s">
        <v>1096</v>
      </c>
      <c r="F5291" t="s">
        <v>75</v>
      </c>
      <c r="I5291" s="6"/>
      <c r="J5291" s="6"/>
      <c r="K5291" s="6"/>
      <c r="L5291" s="6"/>
      <c r="M5291" s="6"/>
      <c r="N5291" s="6"/>
      <c r="O5291" s="6"/>
      <c r="P5291" s="6"/>
      <c r="Q5291">
        <v>0</v>
      </c>
      <c r="R5291">
        <f t="shared" si="410"/>
        <v>0</v>
      </c>
      <c r="S5291">
        <f t="shared" si="411"/>
        <v>0</v>
      </c>
      <c r="T5291">
        <f t="shared" si="412"/>
        <v>0</v>
      </c>
      <c r="U5291">
        <f t="shared" si="413"/>
        <v>0</v>
      </c>
      <c r="V5291">
        <f t="shared" si="414"/>
        <v>0</v>
      </c>
    </row>
    <row r="5292" spans="1:22" x14ac:dyDescent="0.25">
      <c r="A5292">
        <v>5289</v>
      </c>
      <c r="B5292" t="s">
        <v>32</v>
      </c>
      <c r="C5292" t="s">
        <v>1455</v>
      </c>
      <c r="D5292" s="4">
        <v>45433</v>
      </c>
      <c r="E5292" t="s">
        <v>1097</v>
      </c>
      <c r="F5292" t="s">
        <v>75</v>
      </c>
      <c r="I5292" s="6"/>
      <c r="J5292" s="6"/>
      <c r="K5292" s="6"/>
      <c r="L5292" s="6"/>
      <c r="M5292" s="6"/>
      <c r="N5292" s="6"/>
      <c r="O5292" s="6"/>
      <c r="P5292" s="6"/>
      <c r="Q5292">
        <v>0</v>
      </c>
      <c r="R5292">
        <f t="shared" si="410"/>
        <v>0</v>
      </c>
      <c r="S5292">
        <f t="shared" si="411"/>
        <v>0</v>
      </c>
      <c r="T5292">
        <f t="shared" si="412"/>
        <v>0</v>
      </c>
      <c r="U5292">
        <f t="shared" si="413"/>
        <v>0</v>
      </c>
      <c r="V5292">
        <f t="shared" si="414"/>
        <v>0</v>
      </c>
    </row>
    <row r="5293" spans="1:22" x14ac:dyDescent="0.25">
      <c r="A5293">
        <v>5290</v>
      </c>
      <c r="B5293" t="s">
        <v>32</v>
      </c>
      <c r="C5293" t="s">
        <v>1455</v>
      </c>
      <c r="D5293" s="4">
        <v>45433</v>
      </c>
      <c r="E5293" t="s">
        <v>1189</v>
      </c>
      <c r="F5293" t="s">
        <v>75</v>
      </c>
      <c r="I5293" s="6"/>
      <c r="J5293" s="6"/>
      <c r="K5293" s="6"/>
      <c r="L5293" s="6"/>
      <c r="M5293" s="6"/>
      <c r="N5293" s="6"/>
      <c r="O5293" s="6"/>
      <c r="P5293" s="6"/>
      <c r="Q5293">
        <v>0</v>
      </c>
      <c r="R5293">
        <f t="shared" si="410"/>
        <v>0</v>
      </c>
      <c r="S5293">
        <f t="shared" si="411"/>
        <v>0</v>
      </c>
      <c r="T5293">
        <f t="shared" si="412"/>
        <v>0</v>
      </c>
      <c r="U5293">
        <f t="shared" si="413"/>
        <v>0</v>
      </c>
      <c r="V5293">
        <f t="shared" si="414"/>
        <v>0</v>
      </c>
    </row>
    <row r="5294" spans="1:22" x14ac:dyDescent="0.25">
      <c r="A5294">
        <v>5291</v>
      </c>
      <c r="B5294" t="s">
        <v>32</v>
      </c>
      <c r="C5294" t="s">
        <v>1455</v>
      </c>
      <c r="D5294" s="4">
        <v>45433</v>
      </c>
      <c r="E5294" t="s">
        <v>2117</v>
      </c>
      <c r="F5294" t="s">
        <v>75</v>
      </c>
      <c r="I5294" s="6"/>
      <c r="J5294" s="6"/>
      <c r="K5294" s="6"/>
      <c r="L5294" s="6"/>
      <c r="M5294" s="6"/>
      <c r="N5294" s="6"/>
      <c r="O5294" s="6"/>
      <c r="P5294" s="6"/>
      <c r="Q5294">
        <v>0</v>
      </c>
      <c r="R5294">
        <f t="shared" si="410"/>
        <v>0</v>
      </c>
      <c r="S5294">
        <f t="shared" si="411"/>
        <v>0</v>
      </c>
      <c r="T5294">
        <f t="shared" si="412"/>
        <v>0</v>
      </c>
      <c r="U5294">
        <f t="shared" si="413"/>
        <v>0</v>
      </c>
      <c r="V5294">
        <f t="shared" si="414"/>
        <v>0</v>
      </c>
    </row>
    <row r="5295" spans="1:22" x14ac:dyDescent="0.25">
      <c r="A5295">
        <v>5292</v>
      </c>
      <c r="B5295" t="s">
        <v>32</v>
      </c>
      <c r="C5295" t="s">
        <v>1455</v>
      </c>
      <c r="D5295" s="4">
        <v>45434</v>
      </c>
      <c r="E5295" t="s">
        <v>1011</v>
      </c>
      <c r="F5295" t="s">
        <v>75</v>
      </c>
      <c r="I5295" s="6"/>
      <c r="J5295" s="6"/>
      <c r="K5295" s="6"/>
      <c r="L5295" s="6"/>
      <c r="M5295" s="6"/>
      <c r="N5295" s="6"/>
      <c r="O5295" s="6"/>
      <c r="P5295" s="6"/>
      <c r="Q5295">
        <v>0</v>
      </c>
      <c r="R5295">
        <f t="shared" si="410"/>
        <v>0</v>
      </c>
      <c r="S5295">
        <f t="shared" si="411"/>
        <v>0</v>
      </c>
      <c r="T5295">
        <f t="shared" si="412"/>
        <v>0</v>
      </c>
      <c r="U5295">
        <f t="shared" si="413"/>
        <v>0</v>
      </c>
      <c r="V5295">
        <f t="shared" si="414"/>
        <v>0</v>
      </c>
    </row>
    <row r="5296" spans="1:22" x14ac:dyDescent="0.25">
      <c r="A5296">
        <v>5293</v>
      </c>
      <c r="B5296" t="s">
        <v>32</v>
      </c>
      <c r="C5296" t="s">
        <v>1455</v>
      </c>
      <c r="D5296" s="4">
        <v>45434</v>
      </c>
      <c r="E5296" t="s">
        <v>358</v>
      </c>
      <c r="F5296" t="s">
        <v>75</v>
      </c>
      <c r="I5296" s="6"/>
      <c r="J5296" s="6"/>
      <c r="K5296" s="6"/>
      <c r="L5296" s="6"/>
      <c r="M5296" s="6"/>
      <c r="N5296" s="6"/>
      <c r="O5296" s="6"/>
      <c r="P5296" s="6"/>
      <c r="Q5296">
        <v>0</v>
      </c>
      <c r="R5296">
        <f t="shared" si="410"/>
        <v>0</v>
      </c>
      <c r="S5296">
        <f t="shared" si="411"/>
        <v>0</v>
      </c>
      <c r="T5296">
        <f t="shared" si="412"/>
        <v>0</v>
      </c>
      <c r="U5296">
        <f t="shared" si="413"/>
        <v>0</v>
      </c>
      <c r="V5296">
        <f t="shared" si="414"/>
        <v>0</v>
      </c>
    </row>
    <row r="5297" spans="1:22" x14ac:dyDescent="0.25">
      <c r="A5297">
        <v>5294</v>
      </c>
      <c r="B5297" t="s">
        <v>32</v>
      </c>
      <c r="C5297" t="s">
        <v>1455</v>
      </c>
      <c r="D5297" s="4">
        <v>45434</v>
      </c>
      <c r="E5297" t="s">
        <v>359</v>
      </c>
      <c r="F5297" t="s">
        <v>75</v>
      </c>
      <c r="I5297" s="6"/>
      <c r="J5297" s="6"/>
      <c r="K5297" s="6"/>
      <c r="L5297" s="6"/>
      <c r="M5297" s="6"/>
      <c r="N5297" s="6"/>
      <c r="O5297" s="6"/>
      <c r="P5297" s="6"/>
      <c r="Q5297">
        <v>0</v>
      </c>
      <c r="R5297">
        <f t="shared" si="410"/>
        <v>0</v>
      </c>
      <c r="S5297">
        <f t="shared" si="411"/>
        <v>0</v>
      </c>
      <c r="T5297">
        <f t="shared" si="412"/>
        <v>0</v>
      </c>
      <c r="U5297">
        <f t="shared" si="413"/>
        <v>0</v>
      </c>
      <c r="V5297">
        <f t="shared" si="414"/>
        <v>0</v>
      </c>
    </row>
    <row r="5298" spans="1:22" x14ac:dyDescent="0.25">
      <c r="A5298">
        <v>5295</v>
      </c>
      <c r="B5298" t="s">
        <v>32</v>
      </c>
      <c r="C5298" t="s">
        <v>1455</v>
      </c>
      <c r="D5298" s="4">
        <v>45434</v>
      </c>
      <c r="E5298" t="s">
        <v>1411</v>
      </c>
      <c r="F5298" t="s">
        <v>413</v>
      </c>
      <c r="G5298">
        <v>243</v>
      </c>
      <c r="I5298" s="6">
        <v>0</v>
      </c>
      <c r="J5298" s="6">
        <v>0</v>
      </c>
      <c r="K5298" s="6">
        <v>0</v>
      </c>
      <c r="L5298" s="6">
        <v>1</v>
      </c>
      <c r="M5298" s="6">
        <v>0</v>
      </c>
      <c r="N5298" s="6">
        <v>1</v>
      </c>
      <c r="O5298" s="6">
        <v>0</v>
      </c>
      <c r="P5298" s="6">
        <v>0</v>
      </c>
      <c r="Q5298">
        <v>1</v>
      </c>
      <c r="R5298">
        <f t="shared" si="410"/>
        <v>1</v>
      </c>
      <c r="S5298">
        <f t="shared" si="411"/>
        <v>0</v>
      </c>
      <c r="T5298">
        <f t="shared" si="412"/>
        <v>2</v>
      </c>
      <c r="U5298">
        <f t="shared" si="413"/>
        <v>1</v>
      </c>
      <c r="V5298">
        <f t="shared" si="414"/>
        <v>1</v>
      </c>
    </row>
    <row r="5299" spans="1:22" x14ac:dyDescent="0.25">
      <c r="A5299">
        <v>5296</v>
      </c>
      <c r="B5299" t="s">
        <v>32</v>
      </c>
      <c r="C5299" t="s">
        <v>1455</v>
      </c>
      <c r="D5299" s="4">
        <v>45434</v>
      </c>
      <c r="E5299" t="s">
        <v>360</v>
      </c>
      <c r="F5299" t="s">
        <v>75</v>
      </c>
      <c r="I5299" s="6"/>
      <c r="J5299" s="6"/>
      <c r="K5299" s="6"/>
      <c r="L5299" s="6"/>
      <c r="M5299" s="6"/>
      <c r="N5299" s="6"/>
      <c r="O5299" s="6"/>
      <c r="P5299" s="6"/>
      <c r="Q5299">
        <v>0</v>
      </c>
      <c r="R5299">
        <f t="shared" si="410"/>
        <v>0</v>
      </c>
      <c r="S5299">
        <f t="shared" si="411"/>
        <v>0</v>
      </c>
      <c r="T5299">
        <f t="shared" si="412"/>
        <v>0</v>
      </c>
      <c r="U5299">
        <f t="shared" si="413"/>
        <v>0</v>
      </c>
      <c r="V5299">
        <f t="shared" si="414"/>
        <v>0</v>
      </c>
    </row>
    <row r="5300" spans="1:22" x14ac:dyDescent="0.25">
      <c r="A5300">
        <v>5297</v>
      </c>
      <c r="B5300" t="s">
        <v>32</v>
      </c>
      <c r="C5300" t="s">
        <v>1455</v>
      </c>
      <c r="D5300" s="4">
        <v>45434</v>
      </c>
      <c r="E5300" t="s">
        <v>1191</v>
      </c>
      <c r="F5300" t="s">
        <v>75</v>
      </c>
      <c r="I5300" s="6">
        <v>0</v>
      </c>
      <c r="J5300" s="6">
        <v>0</v>
      </c>
      <c r="K5300" s="6">
        <v>0</v>
      </c>
      <c r="L5300" s="6">
        <v>0</v>
      </c>
      <c r="M5300" s="6">
        <v>0</v>
      </c>
      <c r="N5300" s="6">
        <v>0</v>
      </c>
      <c r="O5300" s="6">
        <v>0</v>
      </c>
      <c r="P5300" s="6">
        <v>0</v>
      </c>
      <c r="Q5300">
        <v>1</v>
      </c>
      <c r="R5300">
        <f t="shared" si="410"/>
        <v>0</v>
      </c>
      <c r="S5300">
        <f t="shared" si="411"/>
        <v>1</v>
      </c>
      <c r="T5300">
        <f t="shared" si="412"/>
        <v>0</v>
      </c>
      <c r="U5300">
        <f t="shared" si="413"/>
        <v>0</v>
      </c>
      <c r="V5300">
        <f t="shared" si="414"/>
        <v>0</v>
      </c>
    </row>
    <row r="5301" spans="1:22" x14ac:dyDescent="0.25">
      <c r="A5301">
        <v>5298</v>
      </c>
      <c r="B5301" t="s">
        <v>32</v>
      </c>
      <c r="C5301" t="s">
        <v>1455</v>
      </c>
      <c r="D5301" s="4">
        <v>45434</v>
      </c>
      <c r="E5301" t="s">
        <v>2116</v>
      </c>
      <c r="F5301" t="s">
        <v>75</v>
      </c>
      <c r="I5301" s="6"/>
      <c r="J5301" s="6"/>
      <c r="K5301" s="6"/>
      <c r="L5301" s="6"/>
      <c r="M5301" s="6"/>
      <c r="N5301" s="6"/>
      <c r="O5301" s="6"/>
      <c r="P5301" s="6"/>
      <c r="Q5301">
        <v>0</v>
      </c>
      <c r="R5301">
        <f t="shared" si="410"/>
        <v>0</v>
      </c>
      <c r="S5301">
        <f t="shared" si="411"/>
        <v>0</v>
      </c>
      <c r="T5301">
        <f t="shared" si="412"/>
        <v>0</v>
      </c>
      <c r="U5301">
        <f t="shared" si="413"/>
        <v>0</v>
      </c>
      <c r="V5301">
        <f t="shared" si="414"/>
        <v>0</v>
      </c>
    </row>
    <row r="5302" spans="1:22" x14ac:dyDescent="0.25">
      <c r="A5302">
        <v>5299</v>
      </c>
      <c r="B5302" t="s">
        <v>32</v>
      </c>
      <c r="C5302" t="s">
        <v>1455</v>
      </c>
      <c r="D5302" s="4">
        <v>45434</v>
      </c>
      <c r="E5302" t="s">
        <v>2115</v>
      </c>
      <c r="F5302" t="s">
        <v>75</v>
      </c>
      <c r="I5302" s="6"/>
      <c r="J5302" s="6"/>
      <c r="K5302" s="6"/>
      <c r="L5302" s="6"/>
      <c r="M5302" s="6"/>
      <c r="N5302" s="6"/>
      <c r="O5302" s="6"/>
      <c r="P5302" s="6"/>
      <c r="Q5302">
        <v>0</v>
      </c>
      <c r="R5302">
        <f t="shared" si="410"/>
        <v>0</v>
      </c>
      <c r="S5302">
        <f t="shared" si="411"/>
        <v>0</v>
      </c>
      <c r="T5302">
        <f t="shared" si="412"/>
        <v>0</v>
      </c>
      <c r="U5302">
        <f t="shared" si="413"/>
        <v>0</v>
      </c>
      <c r="V5302">
        <f t="shared" si="414"/>
        <v>0</v>
      </c>
    </row>
    <row r="5303" spans="1:22" x14ac:dyDescent="0.25">
      <c r="A5303">
        <v>5300</v>
      </c>
      <c r="B5303" t="s">
        <v>32</v>
      </c>
      <c r="C5303" t="s">
        <v>1455</v>
      </c>
      <c r="D5303" s="4">
        <v>45434</v>
      </c>
      <c r="E5303" t="s">
        <v>2114</v>
      </c>
      <c r="F5303" t="s">
        <v>75</v>
      </c>
      <c r="I5303" s="6"/>
      <c r="J5303" s="6"/>
      <c r="K5303" s="6"/>
      <c r="L5303" s="6"/>
      <c r="M5303" s="6"/>
      <c r="N5303" s="6"/>
      <c r="O5303" s="6"/>
      <c r="P5303" s="6"/>
      <c r="Q5303">
        <v>0</v>
      </c>
      <c r="R5303">
        <f t="shared" si="410"/>
        <v>0</v>
      </c>
      <c r="S5303">
        <f t="shared" si="411"/>
        <v>0</v>
      </c>
      <c r="T5303">
        <f t="shared" si="412"/>
        <v>0</v>
      </c>
      <c r="U5303">
        <f t="shared" si="413"/>
        <v>0</v>
      </c>
      <c r="V5303">
        <f t="shared" si="414"/>
        <v>0</v>
      </c>
    </row>
    <row r="5304" spans="1:22" x14ac:dyDescent="0.25">
      <c r="A5304">
        <v>5301</v>
      </c>
      <c r="B5304" t="s">
        <v>32</v>
      </c>
      <c r="C5304" t="s">
        <v>1455</v>
      </c>
      <c r="D5304" s="4">
        <v>45435</v>
      </c>
      <c r="E5304" t="s">
        <v>361</v>
      </c>
      <c r="F5304" t="s">
        <v>413</v>
      </c>
      <c r="G5304">
        <v>244</v>
      </c>
      <c r="I5304" s="6">
        <v>0</v>
      </c>
      <c r="J5304" s="6">
        <v>0</v>
      </c>
      <c r="K5304" s="6">
        <v>0</v>
      </c>
      <c r="L5304" s="6">
        <v>1</v>
      </c>
      <c r="M5304" s="6">
        <v>0</v>
      </c>
      <c r="N5304" s="6">
        <v>0</v>
      </c>
      <c r="O5304" s="6">
        <v>1</v>
      </c>
      <c r="P5304" s="6">
        <v>0</v>
      </c>
      <c r="Q5304">
        <v>1</v>
      </c>
      <c r="R5304">
        <f t="shared" si="410"/>
        <v>1</v>
      </c>
      <c r="S5304">
        <f t="shared" si="411"/>
        <v>0</v>
      </c>
      <c r="T5304">
        <f t="shared" si="412"/>
        <v>2</v>
      </c>
      <c r="U5304">
        <f t="shared" si="413"/>
        <v>1</v>
      </c>
      <c r="V5304">
        <f t="shared" si="414"/>
        <v>1</v>
      </c>
    </row>
    <row r="5305" spans="1:22" x14ac:dyDescent="0.25">
      <c r="A5305">
        <v>5302</v>
      </c>
      <c r="B5305" t="s">
        <v>32</v>
      </c>
      <c r="C5305" t="s">
        <v>1455</v>
      </c>
      <c r="D5305" s="4">
        <v>45435</v>
      </c>
      <c r="E5305" t="s">
        <v>2113</v>
      </c>
      <c r="F5305" t="s">
        <v>75</v>
      </c>
      <c r="I5305" s="6"/>
      <c r="J5305" s="6"/>
      <c r="K5305" s="6"/>
      <c r="L5305" s="6"/>
      <c r="M5305" s="6"/>
      <c r="N5305" s="6"/>
      <c r="O5305" s="6"/>
      <c r="P5305" s="6"/>
      <c r="Q5305">
        <v>0</v>
      </c>
      <c r="R5305">
        <f t="shared" si="410"/>
        <v>0</v>
      </c>
      <c r="S5305">
        <f t="shared" si="411"/>
        <v>0</v>
      </c>
      <c r="T5305">
        <f t="shared" si="412"/>
        <v>0</v>
      </c>
      <c r="U5305">
        <f t="shared" si="413"/>
        <v>0</v>
      </c>
      <c r="V5305">
        <f t="shared" si="414"/>
        <v>0</v>
      </c>
    </row>
    <row r="5306" spans="1:22" x14ac:dyDescent="0.25">
      <c r="A5306">
        <v>5303</v>
      </c>
      <c r="B5306" t="s">
        <v>32</v>
      </c>
      <c r="C5306" t="s">
        <v>1455</v>
      </c>
      <c r="D5306" s="4">
        <v>45435</v>
      </c>
      <c r="E5306" t="s">
        <v>362</v>
      </c>
      <c r="F5306" t="s">
        <v>75</v>
      </c>
      <c r="I5306" s="6">
        <v>0</v>
      </c>
      <c r="J5306" s="6">
        <v>0</v>
      </c>
      <c r="K5306" s="6">
        <v>1</v>
      </c>
      <c r="L5306" s="6">
        <v>0</v>
      </c>
      <c r="M5306" s="6">
        <v>0</v>
      </c>
      <c r="N5306" s="6">
        <v>0</v>
      </c>
      <c r="O5306" s="6">
        <v>0</v>
      </c>
      <c r="P5306" s="6">
        <v>0</v>
      </c>
      <c r="Q5306">
        <v>1</v>
      </c>
      <c r="R5306">
        <f t="shared" si="410"/>
        <v>0</v>
      </c>
      <c r="S5306">
        <f t="shared" si="411"/>
        <v>1</v>
      </c>
      <c r="T5306">
        <f t="shared" si="412"/>
        <v>1</v>
      </c>
      <c r="U5306">
        <f t="shared" si="413"/>
        <v>1</v>
      </c>
      <c r="V5306">
        <f t="shared" si="414"/>
        <v>0</v>
      </c>
    </row>
    <row r="5307" spans="1:22" x14ac:dyDescent="0.25">
      <c r="A5307">
        <v>5304</v>
      </c>
      <c r="B5307" t="s">
        <v>32</v>
      </c>
      <c r="C5307" t="s">
        <v>1455</v>
      </c>
      <c r="D5307" s="4">
        <v>45435</v>
      </c>
      <c r="E5307" t="s">
        <v>1412</v>
      </c>
      <c r="F5307" t="s">
        <v>75</v>
      </c>
      <c r="I5307" s="6"/>
      <c r="J5307" s="6"/>
      <c r="K5307" s="6"/>
      <c r="L5307" s="6"/>
      <c r="M5307" s="6"/>
      <c r="N5307" s="6"/>
      <c r="O5307" s="6"/>
      <c r="P5307" s="6"/>
      <c r="Q5307">
        <v>0</v>
      </c>
      <c r="R5307">
        <f t="shared" si="410"/>
        <v>0</v>
      </c>
      <c r="S5307">
        <f t="shared" si="411"/>
        <v>0</v>
      </c>
      <c r="T5307">
        <f t="shared" si="412"/>
        <v>0</v>
      </c>
      <c r="U5307">
        <f t="shared" si="413"/>
        <v>0</v>
      </c>
      <c r="V5307">
        <f t="shared" si="414"/>
        <v>0</v>
      </c>
    </row>
    <row r="5308" spans="1:22" x14ac:dyDescent="0.25">
      <c r="A5308">
        <v>5305</v>
      </c>
      <c r="B5308" t="s">
        <v>32</v>
      </c>
      <c r="C5308" t="s">
        <v>1455</v>
      </c>
      <c r="D5308" s="4">
        <v>45435</v>
      </c>
      <c r="E5308" t="s">
        <v>2018</v>
      </c>
      <c r="F5308" t="s">
        <v>75</v>
      </c>
      <c r="I5308" s="6"/>
      <c r="J5308" s="6"/>
      <c r="K5308" s="6"/>
      <c r="L5308" s="6"/>
      <c r="M5308" s="6"/>
      <c r="N5308" s="6"/>
      <c r="O5308" s="6"/>
      <c r="P5308" s="6"/>
      <c r="Q5308">
        <v>0</v>
      </c>
      <c r="R5308">
        <f t="shared" si="410"/>
        <v>0</v>
      </c>
      <c r="S5308">
        <f t="shared" si="411"/>
        <v>0</v>
      </c>
      <c r="T5308">
        <f t="shared" si="412"/>
        <v>0</v>
      </c>
      <c r="U5308">
        <f t="shared" si="413"/>
        <v>0</v>
      </c>
      <c r="V5308">
        <f t="shared" si="414"/>
        <v>0</v>
      </c>
    </row>
    <row r="5309" spans="1:22" x14ac:dyDescent="0.25">
      <c r="A5309">
        <v>5306</v>
      </c>
      <c r="B5309" t="s">
        <v>32</v>
      </c>
      <c r="C5309" t="s">
        <v>1455</v>
      </c>
      <c r="D5309" s="4">
        <v>45435</v>
      </c>
      <c r="E5309" t="s">
        <v>1192</v>
      </c>
      <c r="F5309" t="s">
        <v>75</v>
      </c>
      <c r="I5309" s="6"/>
      <c r="J5309" s="6"/>
      <c r="K5309" s="6"/>
      <c r="L5309" s="6"/>
      <c r="M5309" s="6"/>
      <c r="N5309" s="6"/>
      <c r="O5309" s="6"/>
      <c r="P5309" s="6"/>
      <c r="Q5309">
        <v>0</v>
      </c>
      <c r="R5309">
        <f t="shared" si="410"/>
        <v>0</v>
      </c>
      <c r="S5309">
        <f t="shared" si="411"/>
        <v>0</v>
      </c>
      <c r="T5309">
        <f t="shared" si="412"/>
        <v>0</v>
      </c>
      <c r="U5309">
        <f t="shared" si="413"/>
        <v>0</v>
      </c>
      <c r="V5309">
        <f t="shared" si="414"/>
        <v>0</v>
      </c>
    </row>
    <row r="5310" spans="1:22" x14ac:dyDescent="0.25">
      <c r="A5310">
        <v>5307</v>
      </c>
      <c r="B5310" t="s">
        <v>32</v>
      </c>
      <c r="C5310" t="s">
        <v>1455</v>
      </c>
      <c r="D5310" s="4">
        <v>45435</v>
      </c>
      <c r="E5310" t="s">
        <v>1486</v>
      </c>
      <c r="F5310" t="s">
        <v>75</v>
      </c>
      <c r="I5310" s="6">
        <v>0</v>
      </c>
      <c r="J5310" s="6">
        <v>0</v>
      </c>
      <c r="K5310" s="6">
        <v>0</v>
      </c>
      <c r="L5310" s="6">
        <v>1</v>
      </c>
      <c r="M5310" s="6">
        <v>1</v>
      </c>
      <c r="N5310" s="6">
        <v>1</v>
      </c>
      <c r="O5310" s="6">
        <v>0</v>
      </c>
      <c r="P5310" s="6">
        <v>0</v>
      </c>
      <c r="Q5310">
        <v>1</v>
      </c>
      <c r="R5310">
        <f t="shared" si="410"/>
        <v>0</v>
      </c>
      <c r="S5310">
        <f t="shared" si="411"/>
        <v>1</v>
      </c>
      <c r="T5310">
        <f t="shared" si="412"/>
        <v>3</v>
      </c>
      <c r="U5310">
        <f t="shared" si="413"/>
        <v>1</v>
      </c>
      <c r="V5310">
        <f t="shared" si="414"/>
        <v>0</v>
      </c>
    </row>
    <row r="5311" spans="1:22" x14ac:dyDescent="0.25">
      <c r="A5311">
        <v>5308</v>
      </c>
      <c r="B5311" t="s">
        <v>32</v>
      </c>
      <c r="C5311" t="s">
        <v>1455</v>
      </c>
      <c r="D5311" s="4">
        <v>45435</v>
      </c>
      <c r="E5311" t="s">
        <v>1487</v>
      </c>
      <c r="F5311" t="s">
        <v>75</v>
      </c>
      <c r="I5311" s="6">
        <v>0</v>
      </c>
      <c r="J5311" s="6">
        <v>0</v>
      </c>
      <c r="K5311" s="6">
        <v>0</v>
      </c>
      <c r="L5311" s="6">
        <v>0</v>
      </c>
      <c r="M5311" s="6">
        <v>0</v>
      </c>
      <c r="N5311" s="6">
        <v>0</v>
      </c>
      <c r="O5311" s="6">
        <v>0</v>
      </c>
      <c r="P5311" s="6">
        <v>1</v>
      </c>
      <c r="Q5311">
        <v>1</v>
      </c>
      <c r="R5311">
        <f t="shared" si="410"/>
        <v>0</v>
      </c>
      <c r="S5311">
        <f t="shared" si="411"/>
        <v>1</v>
      </c>
      <c r="T5311">
        <f t="shared" si="412"/>
        <v>1</v>
      </c>
      <c r="U5311">
        <f t="shared" si="413"/>
        <v>1</v>
      </c>
      <c r="V5311">
        <f t="shared" si="414"/>
        <v>0</v>
      </c>
    </row>
    <row r="5312" spans="1:22" x14ac:dyDescent="0.25">
      <c r="A5312">
        <v>5309</v>
      </c>
      <c r="B5312" t="s">
        <v>32</v>
      </c>
      <c r="C5312" t="s">
        <v>1455</v>
      </c>
      <c r="D5312" s="4">
        <v>45435</v>
      </c>
      <c r="E5312" t="s">
        <v>1413</v>
      </c>
      <c r="F5312" t="s">
        <v>75</v>
      </c>
      <c r="I5312" s="6">
        <v>0</v>
      </c>
      <c r="J5312" s="6">
        <v>0</v>
      </c>
      <c r="K5312" s="6">
        <v>1</v>
      </c>
      <c r="L5312" s="6">
        <v>0</v>
      </c>
      <c r="M5312" s="6">
        <v>0</v>
      </c>
      <c r="N5312" s="6">
        <v>0</v>
      </c>
      <c r="O5312" s="6">
        <v>0</v>
      </c>
      <c r="P5312" s="6">
        <v>0</v>
      </c>
      <c r="Q5312">
        <v>1</v>
      </c>
      <c r="R5312">
        <f t="shared" si="410"/>
        <v>0</v>
      </c>
      <c r="S5312">
        <f t="shared" si="411"/>
        <v>1</v>
      </c>
      <c r="T5312">
        <f t="shared" si="412"/>
        <v>1</v>
      </c>
      <c r="U5312">
        <f t="shared" si="413"/>
        <v>1</v>
      </c>
      <c r="V5312">
        <f t="shared" si="414"/>
        <v>0</v>
      </c>
    </row>
    <row r="5313" spans="1:22" x14ac:dyDescent="0.25">
      <c r="A5313">
        <v>5310</v>
      </c>
      <c r="B5313" t="s">
        <v>32</v>
      </c>
      <c r="C5313" t="s">
        <v>1455</v>
      </c>
      <c r="D5313" s="4">
        <v>45435</v>
      </c>
      <c r="E5313" t="s">
        <v>2112</v>
      </c>
      <c r="F5313" t="s">
        <v>75</v>
      </c>
      <c r="I5313" s="6"/>
      <c r="J5313" s="6"/>
      <c r="K5313" s="6"/>
      <c r="L5313" s="6"/>
      <c r="M5313" s="6"/>
      <c r="N5313" s="6"/>
      <c r="O5313" s="6"/>
      <c r="P5313" s="6"/>
      <c r="Q5313">
        <v>0</v>
      </c>
      <c r="R5313">
        <f t="shared" si="410"/>
        <v>0</v>
      </c>
      <c r="S5313">
        <f t="shared" si="411"/>
        <v>0</v>
      </c>
      <c r="T5313">
        <f t="shared" si="412"/>
        <v>0</v>
      </c>
      <c r="U5313">
        <f t="shared" si="413"/>
        <v>0</v>
      </c>
      <c r="V5313">
        <f t="shared" si="414"/>
        <v>0</v>
      </c>
    </row>
    <row r="5314" spans="1:22" x14ac:dyDescent="0.25">
      <c r="A5314">
        <v>5311</v>
      </c>
      <c r="B5314" t="s">
        <v>32</v>
      </c>
      <c r="C5314" t="s">
        <v>1455</v>
      </c>
      <c r="D5314" s="4">
        <v>45436</v>
      </c>
      <c r="E5314" t="s">
        <v>363</v>
      </c>
      <c r="F5314" t="s">
        <v>75</v>
      </c>
      <c r="I5314" s="6"/>
      <c r="J5314" s="6"/>
      <c r="K5314" s="6"/>
      <c r="L5314" s="6"/>
      <c r="M5314" s="6"/>
      <c r="N5314" s="6"/>
      <c r="O5314" s="6"/>
      <c r="P5314" s="6"/>
      <c r="Q5314">
        <v>0</v>
      </c>
      <c r="R5314">
        <f t="shared" si="410"/>
        <v>0</v>
      </c>
      <c r="S5314">
        <f t="shared" si="411"/>
        <v>0</v>
      </c>
      <c r="T5314">
        <f t="shared" si="412"/>
        <v>0</v>
      </c>
      <c r="U5314">
        <f t="shared" si="413"/>
        <v>0</v>
      </c>
      <c r="V5314">
        <f t="shared" si="414"/>
        <v>0</v>
      </c>
    </row>
    <row r="5315" spans="1:22" x14ac:dyDescent="0.25">
      <c r="A5315">
        <v>5312</v>
      </c>
      <c r="B5315" t="s">
        <v>32</v>
      </c>
      <c r="C5315" t="s">
        <v>1455</v>
      </c>
      <c r="D5315" s="4">
        <v>45436</v>
      </c>
      <c r="E5315" t="s">
        <v>1822</v>
      </c>
      <c r="F5315" t="s">
        <v>75</v>
      </c>
      <c r="I5315" s="6"/>
      <c r="J5315" s="6"/>
      <c r="K5315" s="6"/>
      <c r="L5315" s="6"/>
      <c r="M5315" s="6"/>
      <c r="N5315" s="6"/>
      <c r="O5315" s="6"/>
      <c r="P5315" s="6"/>
      <c r="Q5315">
        <v>0</v>
      </c>
      <c r="R5315">
        <f t="shared" ref="R5315:R5378" si="415">IF(AND(Q5315=1,F5315="ai_full"),1,0)</f>
        <v>0</v>
      </c>
      <c r="S5315">
        <f t="shared" ref="S5315:S5378" si="416">IF(AND(Q5315=1,F5315="conventional"),1,0)</f>
        <v>0</v>
      </c>
      <c r="T5315">
        <f t="shared" ref="T5315:T5378" si="417">SUM(I5315:P5315)</f>
        <v>0</v>
      </c>
      <c r="U5315">
        <f t="shared" ref="U5315:U5378" si="418">IF(T5315&gt;=1,1,0)</f>
        <v>0</v>
      </c>
      <c r="V5315">
        <f t="shared" ref="V5315:V5378" si="419">IF(F5315="ai_full",1,0)</f>
        <v>0</v>
      </c>
    </row>
    <row r="5316" spans="1:22" x14ac:dyDescent="0.25">
      <c r="A5316">
        <v>5313</v>
      </c>
      <c r="B5316" t="s">
        <v>32</v>
      </c>
      <c r="C5316" t="s">
        <v>1455</v>
      </c>
      <c r="D5316" s="4">
        <v>45436</v>
      </c>
      <c r="E5316" t="s">
        <v>893</v>
      </c>
      <c r="F5316" t="s">
        <v>75</v>
      </c>
      <c r="I5316" s="6"/>
      <c r="J5316" s="6"/>
      <c r="K5316" s="6"/>
      <c r="L5316" s="6"/>
      <c r="M5316" s="6"/>
      <c r="N5316" s="6"/>
      <c r="O5316" s="6"/>
      <c r="P5316" s="6"/>
      <c r="Q5316">
        <v>0</v>
      </c>
      <c r="R5316">
        <f t="shared" si="415"/>
        <v>0</v>
      </c>
      <c r="S5316">
        <f t="shared" si="416"/>
        <v>0</v>
      </c>
      <c r="T5316">
        <f t="shared" si="417"/>
        <v>0</v>
      </c>
      <c r="U5316">
        <f t="shared" si="418"/>
        <v>0</v>
      </c>
      <c r="V5316">
        <f t="shared" si="419"/>
        <v>0</v>
      </c>
    </row>
    <row r="5317" spans="1:22" x14ac:dyDescent="0.25">
      <c r="A5317">
        <v>5314</v>
      </c>
      <c r="B5317" t="s">
        <v>32</v>
      </c>
      <c r="C5317" t="s">
        <v>1455</v>
      </c>
      <c r="D5317" s="4">
        <v>45436</v>
      </c>
      <c r="E5317" t="s">
        <v>364</v>
      </c>
      <c r="F5317" t="s">
        <v>75</v>
      </c>
      <c r="I5317" s="6">
        <v>0</v>
      </c>
      <c r="J5317" s="6">
        <v>0</v>
      </c>
      <c r="K5317" s="6">
        <v>0</v>
      </c>
      <c r="L5317" s="6">
        <v>0</v>
      </c>
      <c r="M5317" s="6">
        <v>1</v>
      </c>
      <c r="N5317" s="6">
        <v>0</v>
      </c>
      <c r="O5317" s="6">
        <v>0</v>
      </c>
      <c r="P5317" s="6">
        <v>0</v>
      </c>
      <c r="Q5317">
        <v>1</v>
      </c>
      <c r="R5317">
        <f t="shared" si="415"/>
        <v>0</v>
      </c>
      <c r="S5317">
        <f t="shared" si="416"/>
        <v>1</v>
      </c>
      <c r="T5317">
        <f t="shared" si="417"/>
        <v>1</v>
      </c>
      <c r="U5317">
        <f t="shared" si="418"/>
        <v>1</v>
      </c>
      <c r="V5317">
        <f t="shared" si="419"/>
        <v>0</v>
      </c>
    </row>
    <row r="5318" spans="1:22" x14ac:dyDescent="0.25">
      <c r="A5318">
        <v>5315</v>
      </c>
      <c r="B5318" t="s">
        <v>32</v>
      </c>
      <c r="C5318" t="s">
        <v>1455</v>
      </c>
      <c r="D5318" s="4">
        <v>45436</v>
      </c>
      <c r="E5318" t="s">
        <v>365</v>
      </c>
      <c r="F5318" t="s">
        <v>413</v>
      </c>
      <c r="G5318">
        <v>245</v>
      </c>
      <c r="I5318" s="6">
        <v>1</v>
      </c>
      <c r="J5318" s="6">
        <v>1</v>
      </c>
      <c r="K5318" s="6">
        <v>0</v>
      </c>
      <c r="L5318" s="6">
        <v>1</v>
      </c>
      <c r="M5318" s="6">
        <v>0</v>
      </c>
      <c r="N5318" s="6">
        <v>0</v>
      </c>
      <c r="O5318" s="6">
        <v>0</v>
      </c>
      <c r="P5318" s="6">
        <v>0</v>
      </c>
      <c r="Q5318">
        <v>1</v>
      </c>
      <c r="R5318">
        <f t="shared" si="415"/>
        <v>1</v>
      </c>
      <c r="S5318">
        <f t="shared" si="416"/>
        <v>0</v>
      </c>
      <c r="T5318">
        <f t="shared" si="417"/>
        <v>3</v>
      </c>
      <c r="U5318">
        <f t="shared" si="418"/>
        <v>1</v>
      </c>
      <c r="V5318">
        <f t="shared" si="419"/>
        <v>1</v>
      </c>
    </row>
    <row r="5319" spans="1:22" x14ac:dyDescent="0.25">
      <c r="A5319">
        <v>5316</v>
      </c>
      <c r="B5319" t="s">
        <v>32</v>
      </c>
      <c r="C5319" t="s">
        <v>1455</v>
      </c>
      <c r="D5319" s="4">
        <v>45436</v>
      </c>
      <c r="E5319" t="s">
        <v>366</v>
      </c>
      <c r="F5319" t="s">
        <v>75</v>
      </c>
      <c r="I5319" s="6"/>
      <c r="J5319" s="6"/>
      <c r="K5319" s="6"/>
      <c r="L5319" s="6"/>
      <c r="M5319" s="6"/>
      <c r="N5319" s="6"/>
      <c r="O5319" s="6"/>
      <c r="P5319" s="6"/>
      <c r="Q5319">
        <v>0</v>
      </c>
      <c r="R5319">
        <f t="shared" si="415"/>
        <v>0</v>
      </c>
      <c r="S5319">
        <f t="shared" si="416"/>
        <v>0</v>
      </c>
      <c r="T5319">
        <f t="shared" si="417"/>
        <v>0</v>
      </c>
      <c r="U5319">
        <f t="shared" si="418"/>
        <v>0</v>
      </c>
      <c r="V5319">
        <f t="shared" si="419"/>
        <v>0</v>
      </c>
    </row>
    <row r="5320" spans="1:22" x14ac:dyDescent="0.25">
      <c r="A5320">
        <v>5317</v>
      </c>
      <c r="B5320" t="s">
        <v>32</v>
      </c>
      <c r="C5320" t="s">
        <v>1455</v>
      </c>
      <c r="D5320" s="4">
        <v>45436</v>
      </c>
      <c r="E5320" t="s">
        <v>367</v>
      </c>
      <c r="F5320" t="s">
        <v>75</v>
      </c>
      <c r="I5320" s="6">
        <v>0</v>
      </c>
      <c r="J5320" s="6">
        <v>0</v>
      </c>
      <c r="K5320" s="6">
        <v>0</v>
      </c>
      <c r="L5320" s="6">
        <v>0</v>
      </c>
      <c r="M5320" s="6">
        <v>0</v>
      </c>
      <c r="N5320" s="6">
        <v>0</v>
      </c>
      <c r="O5320" s="6">
        <v>0</v>
      </c>
      <c r="P5320" s="6">
        <v>0</v>
      </c>
      <c r="Q5320">
        <v>1</v>
      </c>
      <c r="R5320">
        <f t="shared" si="415"/>
        <v>0</v>
      </c>
      <c r="S5320">
        <f t="shared" si="416"/>
        <v>1</v>
      </c>
      <c r="T5320">
        <f t="shared" si="417"/>
        <v>0</v>
      </c>
      <c r="U5320">
        <f t="shared" si="418"/>
        <v>0</v>
      </c>
      <c r="V5320">
        <f t="shared" si="419"/>
        <v>0</v>
      </c>
    </row>
    <row r="5321" spans="1:22" x14ac:dyDescent="0.25">
      <c r="A5321">
        <v>5318</v>
      </c>
      <c r="B5321" t="s">
        <v>32</v>
      </c>
      <c r="C5321" t="s">
        <v>1455</v>
      </c>
      <c r="D5321" s="4">
        <v>45436</v>
      </c>
      <c r="E5321" t="s">
        <v>368</v>
      </c>
      <c r="F5321" t="s">
        <v>75</v>
      </c>
      <c r="I5321" s="6">
        <v>0</v>
      </c>
      <c r="J5321" s="6">
        <v>1</v>
      </c>
      <c r="K5321" s="6">
        <v>0</v>
      </c>
      <c r="L5321" s="6">
        <v>0</v>
      </c>
      <c r="M5321" s="6">
        <v>0</v>
      </c>
      <c r="N5321" s="6">
        <v>0</v>
      </c>
      <c r="O5321" s="6">
        <v>0</v>
      </c>
      <c r="P5321" s="6">
        <v>0</v>
      </c>
      <c r="Q5321">
        <v>1</v>
      </c>
      <c r="R5321">
        <f t="shared" si="415"/>
        <v>0</v>
      </c>
      <c r="S5321">
        <f t="shared" si="416"/>
        <v>1</v>
      </c>
      <c r="T5321">
        <f t="shared" si="417"/>
        <v>1</v>
      </c>
      <c r="U5321">
        <f t="shared" si="418"/>
        <v>1</v>
      </c>
      <c r="V5321">
        <f t="shared" si="419"/>
        <v>0</v>
      </c>
    </row>
    <row r="5322" spans="1:22" x14ac:dyDescent="0.25">
      <c r="A5322">
        <v>5319</v>
      </c>
      <c r="B5322" t="s">
        <v>32</v>
      </c>
      <c r="C5322" t="s">
        <v>1455</v>
      </c>
      <c r="D5322" s="4">
        <v>45436</v>
      </c>
      <c r="E5322" t="s">
        <v>1561</v>
      </c>
      <c r="F5322" t="s">
        <v>75</v>
      </c>
      <c r="I5322" s="6">
        <v>0</v>
      </c>
      <c r="J5322" s="6">
        <v>0</v>
      </c>
      <c r="K5322" s="6">
        <v>1</v>
      </c>
      <c r="L5322" s="6">
        <v>0</v>
      </c>
      <c r="M5322" s="6">
        <v>0</v>
      </c>
      <c r="N5322" s="6">
        <v>0</v>
      </c>
      <c r="O5322" s="6">
        <v>0</v>
      </c>
      <c r="P5322" s="6">
        <v>0</v>
      </c>
      <c r="Q5322">
        <v>1</v>
      </c>
      <c r="R5322">
        <f t="shared" si="415"/>
        <v>0</v>
      </c>
      <c r="S5322">
        <f t="shared" si="416"/>
        <v>1</v>
      </c>
      <c r="T5322">
        <f t="shared" si="417"/>
        <v>1</v>
      </c>
      <c r="U5322">
        <f t="shared" si="418"/>
        <v>1</v>
      </c>
      <c r="V5322">
        <f t="shared" si="419"/>
        <v>0</v>
      </c>
    </row>
    <row r="5323" spans="1:22" x14ac:dyDescent="0.25">
      <c r="A5323">
        <v>5320</v>
      </c>
      <c r="B5323" t="s">
        <v>32</v>
      </c>
      <c r="C5323" t="s">
        <v>1455</v>
      </c>
      <c r="D5323" s="4">
        <v>45436</v>
      </c>
      <c r="E5323" t="s">
        <v>2017</v>
      </c>
      <c r="F5323" t="s">
        <v>75</v>
      </c>
      <c r="I5323" s="6">
        <v>1</v>
      </c>
      <c r="J5323" s="6">
        <v>1</v>
      </c>
      <c r="K5323" s="6">
        <v>0</v>
      </c>
      <c r="L5323" s="6">
        <v>1</v>
      </c>
      <c r="M5323" s="6">
        <v>0</v>
      </c>
      <c r="N5323" s="6">
        <v>0</v>
      </c>
      <c r="O5323" s="6">
        <v>0</v>
      </c>
      <c r="P5323" s="6">
        <v>0</v>
      </c>
      <c r="Q5323">
        <v>1</v>
      </c>
      <c r="R5323">
        <f t="shared" si="415"/>
        <v>0</v>
      </c>
      <c r="S5323">
        <f t="shared" si="416"/>
        <v>1</v>
      </c>
      <c r="T5323">
        <f t="shared" si="417"/>
        <v>3</v>
      </c>
      <c r="U5323">
        <f t="shared" si="418"/>
        <v>1</v>
      </c>
      <c r="V5323">
        <f t="shared" si="419"/>
        <v>0</v>
      </c>
    </row>
    <row r="5324" spans="1:22" x14ac:dyDescent="0.25">
      <c r="A5324">
        <v>5321</v>
      </c>
      <c r="B5324" t="s">
        <v>32</v>
      </c>
      <c r="C5324" t="s">
        <v>1455</v>
      </c>
      <c r="D5324" s="4">
        <v>45437</v>
      </c>
      <c r="E5324" t="s">
        <v>1015</v>
      </c>
      <c r="F5324" t="s">
        <v>75</v>
      </c>
      <c r="I5324" s="6">
        <v>0</v>
      </c>
      <c r="J5324" s="6">
        <v>1</v>
      </c>
      <c r="K5324" s="6">
        <v>0</v>
      </c>
      <c r="L5324" s="6">
        <v>1</v>
      </c>
      <c r="M5324" s="6">
        <v>0</v>
      </c>
      <c r="N5324" s="6">
        <v>0</v>
      </c>
      <c r="O5324" s="6">
        <v>1</v>
      </c>
      <c r="P5324" s="6">
        <v>0</v>
      </c>
      <c r="Q5324">
        <v>1</v>
      </c>
      <c r="R5324">
        <f t="shared" si="415"/>
        <v>0</v>
      </c>
      <c r="S5324">
        <f t="shared" si="416"/>
        <v>1</v>
      </c>
      <c r="T5324">
        <f t="shared" si="417"/>
        <v>3</v>
      </c>
      <c r="U5324">
        <f t="shared" si="418"/>
        <v>1</v>
      </c>
      <c r="V5324">
        <f t="shared" si="419"/>
        <v>0</v>
      </c>
    </row>
    <row r="5325" spans="1:22" x14ac:dyDescent="0.25">
      <c r="A5325">
        <v>5322</v>
      </c>
      <c r="B5325" t="s">
        <v>32</v>
      </c>
      <c r="C5325" t="s">
        <v>1455</v>
      </c>
      <c r="D5325" s="4">
        <v>45437</v>
      </c>
      <c r="E5325" t="s">
        <v>1017</v>
      </c>
      <c r="F5325" t="s">
        <v>413</v>
      </c>
      <c r="G5325">
        <v>246</v>
      </c>
      <c r="I5325" s="6">
        <v>0</v>
      </c>
      <c r="J5325" s="6">
        <v>0</v>
      </c>
      <c r="K5325" s="6">
        <v>0</v>
      </c>
      <c r="L5325" s="6">
        <v>0</v>
      </c>
      <c r="M5325" s="6">
        <v>0</v>
      </c>
      <c r="N5325" s="6">
        <v>0</v>
      </c>
      <c r="O5325" s="6">
        <v>0</v>
      </c>
      <c r="P5325" s="6">
        <v>0</v>
      </c>
      <c r="Q5325">
        <v>1</v>
      </c>
      <c r="R5325">
        <f t="shared" si="415"/>
        <v>1</v>
      </c>
      <c r="S5325">
        <f t="shared" si="416"/>
        <v>0</v>
      </c>
      <c r="T5325">
        <f t="shared" si="417"/>
        <v>0</v>
      </c>
      <c r="U5325">
        <f t="shared" si="418"/>
        <v>0</v>
      </c>
      <c r="V5325">
        <f t="shared" si="419"/>
        <v>1</v>
      </c>
    </row>
    <row r="5326" spans="1:22" x14ac:dyDescent="0.25">
      <c r="A5326">
        <v>5323</v>
      </c>
      <c r="B5326" t="s">
        <v>32</v>
      </c>
      <c r="C5326" t="s">
        <v>1455</v>
      </c>
      <c r="D5326" s="4">
        <v>45437</v>
      </c>
      <c r="E5326" t="s">
        <v>1098</v>
      </c>
      <c r="F5326" t="s">
        <v>75</v>
      </c>
      <c r="I5326" s="6"/>
      <c r="J5326" s="6"/>
      <c r="K5326" s="6"/>
      <c r="L5326" s="6"/>
      <c r="M5326" s="6"/>
      <c r="N5326" s="6"/>
      <c r="O5326" s="6"/>
      <c r="P5326" s="6"/>
      <c r="Q5326">
        <v>0</v>
      </c>
      <c r="R5326">
        <f t="shared" si="415"/>
        <v>0</v>
      </c>
      <c r="S5326">
        <f t="shared" si="416"/>
        <v>0</v>
      </c>
      <c r="T5326">
        <f t="shared" si="417"/>
        <v>0</v>
      </c>
      <c r="U5326">
        <f t="shared" si="418"/>
        <v>0</v>
      </c>
      <c r="V5326">
        <f t="shared" si="419"/>
        <v>0</v>
      </c>
    </row>
    <row r="5327" spans="1:22" x14ac:dyDescent="0.25">
      <c r="A5327">
        <v>5324</v>
      </c>
      <c r="B5327" t="s">
        <v>32</v>
      </c>
      <c r="C5327" t="s">
        <v>1455</v>
      </c>
      <c r="D5327" s="4">
        <v>45437</v>
      </c>
      <c r="E5327" t="s">
        <v>2016</v>
      </c>
      <c r="F5327" t="s">
        <v>75</v>
      </c>
      <c r="I5327" s="6"/>
      <c r="J5327" s="6"/>
      <c r="K5327" s="6"/>
      <c r="L5327" s="6"/>
      <c r="M5327" s="6"/>
      <c r="N5327" s="6"/>
      <c r="O5327" s="6"/>
      <c r="P5327" s="6"/>
      <c r="Q5327">
        <v>0</v>
      </c>
      <c r="R5327">
        <f t="shared" si="415"/>
        <v>0</v>
      </c>
      <c r="S5327">
        <f t="shared" si="416"/>
        <v>0</v>
      </c>
      <c r="T5327">
        <f t="shared" si="417"/>
        <v>0</v>
      </c>
      <c r="U5327">
        <f t="shared" si="418"/>
        <v>0</v>
      </c>
      <c r="V5327">
        <f t="shared" si="419"/>
        <v>0</v>
      </c>
    </row>
    <row r="5328" spans="1:22" x14ac:dyDescent="0.25">
      <c r="A5328">
        <v>5325</v>
      </c>
      <c r="B5328" t="s">
        <v>32</v>
      </c>
      <c r="C5328" t="s">
        <v>1455</v>
      </c>
      <c r="D5328" s="4">
        <v>45437</v>
      </c>
      <c r="E5328" t="s">
        <v>2111</v>
      </c>
      <c r="F5328" t="s">
        <v>75</v>
      </c>
      <c r="I5328" s="6"/>
      <c r="J5328" s="6"/>
      <c r="K5328" s="6"/>
      <c r="L5328" s="6"/>
      <c r="M5328" s="6"/>
      <c r="N5328" s="6"/>
      <c r="O5328" s="6"/>
      <c r="P5328" s="6"/>
      <c r="Q5328">
        <v>0</v>
      </c>
      <c r="R5328">
        <f t="shared" si="415"/>
        <v>0</v>
      </c>
      <c r="S5328">
        <f t="shared" si="416"/>
        <v>0</v>
      </c>
      <c r="T5328">
        <f t="shared" si="417"/>
        <v>0</v>
      </c>
      <c r="U5328">
        <f t="shared" si="418"/>
        <v>0</v>
      </c>
      <c r="V5328">
        <f t="shared" si="419"/>
        <v>0</v>
      </c>
    </row>
    <row r="5329" spans="1:22" x14ac:dyDescent="0.25">
      <c r="A5329">
        <v>5326</v>
      </c>
      <c r="B5329" t="s">
        <v>32</v>
      </c>
      <c r="C5329" t="s">
        <v>1455</v>
      </c>
      <c r="D5329" s="4">
        <v>45437</v>
      </c>
      <c r="E5329" t="s">
        <v>1193</v>
      </c>
      <c r="F5329" t="s">
        <v>75</v>
      </c>
      <c r="I5329" s="6"/>
      <c r="J5329" s="6"/>
      <c r="K5329" s="6"/>
      <c r="L5329" s="6"/>
      <c r="M5329" s="6"/>
      <c r="N5329" s="6"/>
      <c r="O5329" s="6"/>
      <c r="P5329" s="6"/>
      <c r="Q5329">
        <v>0</v>
      </c>
      <c r="R5329">
        <f t="shared" si="415"/>
        <v>0</v>
      </c>
      <c r="S5329">
        <f t="shared" si="416"/>
        <v>0</v>
      </c>
      <c r="T5329">
        <f t="shared" si="417"/>
        <v>0</v>
      </c>
      <c r="U5329">
        <f t="shared" si="418"/>
        <v>0</v>
      </c>
      <c r="V5329">
        <f t="shared" si="419"/>
        <v>0</v>
      </c>
    </row>
    <row r="5330" spans="1:22" x14ac:dyDescent="0.25">
      <c r="A5330">
        <v>5327</v>
      </c>
      <c r="B5330" t="s">
        <v>32</v>
      </c>
      <c r="C5330" t="s">
        <v>1455</v>
      </c>
      <c r="D5330" s="4">
        <v>45437</v>
      </c>
      <c r="E5330" t="s">
        <v>2110</v>
      </c>
      <c r="F5330" t="s">
        <v>75</v>
      </c>
      <c r="I5330" s="6">
        <v>0</v>
      </c>
      <c r="J5330" s="6">
        <v>0</v>
      </c>
      <c r="K5330" s="6">
        <v>0</v>
      </c>
      <c r="L5330" s="6">
        <v>1</v>
      </c>
      <c r="M5330" s="6">
        <v>0</v>
      </c>
      <c r="N5330" s="6">
        <v>0</v>
      </c>
      <c r="O5330" s="6">
        <v>1</v>
      </c>
      <c r="P5330" s="6">
        <v>0</v>
      </c>
      <c r="Q5330">
        <v>1</v>
      </c>
      <c r="R5330">
        <f t="shared" si="415"/>
        <v>0</v>
      </c>
      <c r="S5330">
        <f t="shared" si="416"/>
        <v>1</v>
      </c>
      <c r="T5330">
        <f t="shared" si="417"/>
        <v>2</v>
      </c>
      <c r="U5330">
        <f t="shared" si="418"/>
        <v>1</v>
      </c>
      <c r="V5330">
        <f t="shared" si="419"/>
        <v>0</v>
      </c>
    </row>
    <row r="5331" spans="1:22" x14ac:dyDescent="0.25">
      <c r="A5331">
        <v>5328</v>
      </c>
      <c r="B5331" t="s">
        <v>32</v>
      </c>
      <c r="C5331" t="s">
        <v>1455</v>
      </c>
      <c r="D5331" s="4">
        <v>45437</v>
      </c>
      <c r="E5331" t="s">
        <v>2109</v>
      </c>
      <c r="F5331" t="s">
        <v>75</v>
      </c>
      <c r="I5331" s="6"/>
      <c r="J5331" s="6"/>
      <c r="K5331" s="6"/>
      <c r="L5331" s="6"/>
      <c r="M5331" s="6"/>
      <c r="N5331" s="6"/>
      <c r="O5331" s="6"/>
      <c r="P5331" s="6"/>
      <c r="Q5331">
        <v>0</v>
      </c>
      <c r="R5331">
        <f t="shared" si="415"/>
        <v>0</v>
      </c>
      <c r="S5331">
        <f t="shared" si="416"/>
        <v>0</v>
      </c>
      <c r="T5331">
        <f t="shared" si="417"/>
        <v>0</v>
      </c>
      <c r="U5331">
        <f t="shared" si="418"/>
        <v>0</v>
      </c>
      <c r="V5331">
        <f t="shared" si="419"/>
        <v>0</v>
      </c>
    </row>
    <row r="5332" spans="1:22" x14ac:dyDescent="0.25">
      <c r="A5332">
        <v>5329</v>
      </c>
      <c r="B5332" t="s">
        <v>32</v>
      </c>
      <c r="C5332" t="s">
        <v>1455</v>
      </c>
      <c r="D5332" s="4">
        <v>45438</v>
      </c>
      <c r="E5332" t="s">
        <v>484</v>
      </c>
      <c r="F5332" t="s">
        <v>75</v>
      </c>
      <c r="I5332" s="6">
        <v>0</v>
      </c>
      <c r="J5332" s="6">
        <v>0</v>
      </c>
      <c r="K5332" s="6">
        <v>0</v>
      </c>
      <c r="L5332" s="6">
        <v>1</v>
      </c>
      <c r="M5332" s="6">
        <v>0</v>
      </c>
      <c r="N5332" s="6">
        <v>0</v>
      </c>
      <c r="O5332" s="6">
        <v>0</v>
      </c>
      <c r="P5332" s="6">
        <v>0</v>
      </c>
      <c r="Q5332">
        <v>1</v>
      </c>
      <c r="R5332">
        <f t="shared" si="415"/>
        <v>0</v>
      </c>
      <c r="S5332">
        <f t="shared" si="416"/>
        <v>1</v>
      </c>
      <c r="T5332">
        <f t="shared" si="417"/>
        <v>1</v>
      </c>
      <c r="U5332">
        <f t="shared" si="418"/>
        <v>1</v>
      </c>
      <c r="V5332">
        <f t="shared" si="419"/>
        <v>0</v>
      </c>
    </row>
    <row r="5333" spans="1:22" x14ac:dyDescent="0.25">
      <c r="A5333">
        <v>5330</v>
      </c>
      <c r="B5333" t="s">
        <v>32</v>
      </c>
      <c r="C5333" t="s">
        <v>1455</v>
      </c>
      <c r="D5333" s="4">
        <v>45438</v>
      </c>
      <c r="E5333" t="s">
        <v>369</v>
      </c>
      <c r="F5333" t="s">
        <v>75</v>
      </c>
      <c r="I5333" s="6">
        <v>0</v>
      </c>
      <c r="J5333" s="6">
        <v>0</v>
      </c>
      <c r="K5333" s="6">
        <v>0</v>
      </c>
      <c r="L5333" s="6">
        <v>0</v>
      </c>
      <c r="M5333" s="6">
        <v>0</v>
      </c>
      <c r="N5333" s="6">
        <v>1</v>
      </c>
      <c r="O5333" s="6">
        <v>0</v>
      </c>
      <c r="P5333" s="6">
        <v>0</v>
      </c>
      <c r="Q5333">
        <v>1</v>
      </c>
      <c r="R5333">
        <f t="shared" si="415"/>
        <v>0</v>
      </c>
      <c r="S5333">
        <f t="shared" si="416"/>
        <v>1</v>
      </c>
      <c r="T5333">
        <f t="shared" si="417"/>
        <v>1</v>
      </c>
      <c r="U5333">
        <f t="shared" si="418"/>
        <v>1</v>
      </c>
      <c r="V5333">
        <f t="shared" si="419"/>
        <v>0</v>
      </c>
    </row>
    <row r="5334" spans="1:22" x14ac:dyDescent="0.25">
      <c r="A5334">
        <v>5331</v>
      </c>
      <c r="B5334" t="s">
        <v>32</v>
      </c>
      <c r="C5334" t="s">
        <v>1455</v>
      </c>
      <c r="D5334" s="4">
        <v>45438</v>
      </c>
      <c r="E5334" t="s">
        <v>485</v>
      </c>
      <c r="F5334" t="s">
        <v>75</v>
      </c>
      <c r="I5334" s="6">
        <v>0</v>
      </c>
      <c r="J5334" s="6">
        <v>0</v>
      </c>
      <c r="K5334" s="6">
        <v>0</v>
      </c>
      <c r="L5334" s="6">
        <v>0</v>
      </c>
      <c r="M5334" s="6">
        <v>0</v>
      </c>
      <c r="N5334" s="6">
        <v>0</v>
      </c>
      <c r="O5334" s="6">
        <v>0</v>
      </c>
      <c r="P5334" s="6">
        <v>1</v>
      </c>
      <c r="Q5334">
        <v>1</v>
      </c>
      <c r="R5334">
        <f t="shared" si="415"/>
        <v>0</v>
      </c>
      <c r="S5334">
        <f t="shared" si="416"/>
        <v>1</v>
      </c>
      <c r="T5334">
        <f t="shared" si="417"/>
        <v>1</v>
      </c>
      <c r="U5334">
        <f t="shared" si="418"/>
        <v>1</v>
      </c>
      <c r="V5334">
        <f t="shared" si="419"/>
        <v>0</v>
      </c>
    </row>
    <row r="5335" spans="1:22" x14ac:dyDescent="0.25">
      <c r="A5335">
        <v>5332</v>
      </c>
      <c r="B5335" t="s">
        <v>32</v>
      </c>
      <c r="C5335" t="s">
        <v>1455</v>
      </c>
      <c r="D5335" s="4">
        <v>45438</v>
      </c>
      <c r="E5335" t="s">
        <v>486</v>
      </c>
      <c r="F5335" t="s">
        <v>75</v>
      </c>
      <c r="I5335" s="6">
        <v>0</v>
      </c>
      <c r="J5335" s="6">
        <v>0</v>
      </c>
      <c r="K5335" s="6">
        <v>0</v>
      </c>
      <c r="L5335" s="6">
        <v>0</v>
      </c>
      <c r="M5335" s="6">
        <v>0</v>
      </c>
      <c r="N5335" s="6">
        <v>0</v>
      </c>
      <c r="O5335" s="6">
        <v>0</v>
      </c>
      <c r="P5335" s="6">
        <v>0</v>
      </c>
      <c r="Q5335">
        <v>1</v>
      </c>
      <c r="R5335">
        <f t="shared" si="415"/>
        <v>0</v>
      </c>
      <c r="S5335">
        <f t="shared" si="416"/>
        <v>1</v>
      </c>
      <c r="T5335">
        <f t="shared" si="417"/>
        <v>0</v>
      </c>
      <c r="U5335">
        <f t="shared" si="418"/>
        <v>0</v>
      </c>
      <c r="V5335">
        <f t="shared" si="419"/>
        <v>0</v>
      </c>
    </row>
    <row r="5336" spans="1:22" x14ac:dyDescent="0.25">
      <c r="A5336">
        <v>5333</v>
      </c>
      <c r="B5336" t="s">
        <v>32</v>
      </c>
      <c r="C5336" t="s">
        <v>1455</v>
      </c>
      <c r="D5336" s="4">
        <v>45438</v>
      </c>
      <c r="E5336" t="s">
        <v>487</v>
      </c>
      <c r="F5336" t="s">
        <v>75</v>
      </c>
      <c r="I5336" s="6">
        <v>0</v>
      </c>
      <c r="J5336" s="6">
        <v>0</v>
      </c>
      <c r="K5336" s="6">
        <v>0</v>
      </c>
      <c r="L5336" s="6">
        <v>1</v>
      </c>
      <c r="M5336" s="6">
        <v>0</v>
      </c>
      <c r="N5336" s="6">
        <v>0</v>
      </c>
      <c r="O5336" s="6">
        <v>0</v>
      </c>
      <c r="P5336" s="6">
        <v>0</v>
      </c>
      <c r="Q5336">
        <v>1</v>
      </c>
      <c r="R5336">
        <f t="shared" si="415"/>
        <v>0</v>
      </c>
      <c r="S5336">
        <f t="shared" si="416"/>
        <v>1</v>
      </c>
      <c r="T5336">
        <f t="shared" si="417"/>
        <v>1</v>
      </c>
      <c r="U5336">
        <f t="shared" si="418"/>
        <v>1</v>
      </c>
      <c r="V5336">
        <f t="shared" si="419"/>
        <v>0</v>
      </c>
    </row>
    <row r="5337" spans="1:22" x14ac:dyDescent="0.25">
      <c r="A5337">
        <v>5334</v>
      </c>
      <c r="B5337" t="s">
        <v>32</v>
      </c>
      <c r="C5337" t="s">
        <v>1455</v>
      </c>
      <c r="D5337" s="4">
        <v>45439</v>
      </c>
      <c r="E5337" t="s">
        <v>1018</v>
      </c>
      <c r="F5337" t="s">
        <v>75</v>
      </c>
      <c r="I5337" s="6"/>
      <c r="J5337" s="6"/>
      <c r="K5337" s="6"/>
      <c r="L5337" s="6"/>
      <c r="M5337" s="6"/>
      <c r="N5337" s="6"/>
      <c r="O5337" s="6"/>
      <c r="P5337" s="6"/>
      <c r="Q5337">
        <v>0</v>
      </c>
      <c r="R5337">
        <f t="shared" si="415"/>
        <v>0</v>
      </c>
      <c r="S5337">
        <f t="shared" si="416"/>
        <v>0</v>
      </c>
      <c r="T5337">
        <f t="shared" si="417"/>
        <v>0</v>
      </c>
      <c r="U5337">
        <f t="shared" si="418"/>
        <v>0</v>
      </c>
      <c r="V5337">
        <f t="shared" si="419"/>
        <v>0</v>
      </c>
    </row>
    <row r="5338" spans="1:22" x14ac:dyDescent="0.25">
      <c r="A5338">
        <v>5335</v>
      </c>
      <c r="B5338" t="s">
        <v>32</v>
      </c>
      <c r="C5338" t="s">
        <v>1455</v>
      </c>
      <c r="D5338" s="4">
        <v>45439</v>
      </c>
      <c r="E5338" t="s">
        <v>1019</v>
      </c>
      <c r="F5338" t="s">
        <v>75</v>
      </c>
      <c r="I5338" s="6"/>
      <c r="J5338" s="6"/>
      <c r="K5338" s="6"/>
      <c r="L5338" s="6"/>
      <c r="M5338" s="6"/>
      <c r="N5338" s="6"/>
      <c r="O5338" s="6"/>
      <c r="P5338" s="6"/>
      <c r="Q5338">
        <v>0</v>
      </c>
      <c r="R5338">
        <f t="shared" si="415"/>
        <v>0</v>
      </c>
      <c r="S5338">
        <f t="shared" si="416"/>
        <v>0</v>
      </c>
      <c r="T5338">
        <f t="shared" si="417"/>
        <v>0</v>
      </c>
      <c r="U5338">
        <f t="shared" si="418"/>
        <v>0</v>
      </c>
      <c r="V5338">
        <f t="shared" si="419"/>
        <v>0</v>
      </c>
    </row>
    <row r="5339" spans="1:22" x14ac:dyDescent="0.25">
      <c r="A5339">
        <v>5336</v>
      </c>
      <c r="B5339" t="s">
        <v>32</v>
      </c>
      <c r="C5339" t="s">
        <v>1455</v>
      </c>
      <c r="D5339" s="4">
        <v>45439</v>
      </c>
      <c r="E5339" t="s">
        <v>1198</v>
      </c>
      <c r="F5339" t="s">
        <v>75</v>
      </c>
      <c r="I5339" s="6"/>
      <c r="J5339" s="6"/>
      <c r="K5339" s="6"/>
      <c r="L5339" s="6"/>
      <c r="M5339" s="6"/>
      <c r="N5339" s="6"/>
      <c r="O5339" s="6"/>
      <c r="P5339" s="6"/>
      <c r="Q5339">
        <v>0</v>
      </c>
      <c r="R5339">
        <f t="shared" si="415"/>
        <v>0</v>
      </c>
      <c r="S5339">
        <f t="shared" si="416"/>
        <v>0</v>
      </c>
      <c r="T5339">
        <f t="shared" si="417"/>
        <v>0</v>
      </c>
      <c r="U5339">
        <f t="shared" si="418"/>
        <v>0</v>
      </c>
      <c r="V5339">
        <f t="shared" si="419"/>
        <v>0</v>
      </c>
    </row>
    <row r="5340" spans="1:22" x14ac:dyDescent="0.25">
      <c r="A5340">
        <v>5337</v>
      </c>
      <c r="B5340" t="s">
        <v>32</v>
      </c>
      <c r="C5340" t="s">
        <v>1455</v>
      </c>
      <c r="D5340" s="4">
        <v>45439</v>
      </c>
      <c r="E5340" t="s">
        <v>2108</v>
      </c>
      <c r="F5340" t="s">
        <v>75</v>
      </c>
      <c r="I5340" s="6">
        <v>0</v>
      </c>
      <c r="J5340" s="6">
        <v>0</v>
      </c>
      <c r="K5340" s="6">
        <v>1</v>
      </c>
      <c r="L5340" s="6">
        <v>0</v>
      </c>
      <c r="M5340" s="6">
        <v>0</v>
      </c>
      <c r="N5340" s="6">
        <v>0</v>
      </c>
      <c r="O5340" s="6">
        <v>0</v>
      </c>
      <c r="P5340" s="6">
        <v>0</v>
      </c>
      <c r="Q5340">
        <v>1</v>
      </c>
      <c r="R5340">
        <f t="shared" si="415"/>
        <v>0</v>
      </c>
      <c r="S5340">
        <f t="shared" si="416"/>
        <v>1</v>
      </c>
      <c r="T5340">
        <f t="shared" si="417"/>
        <v>1</v>
      </c>
      <c r="U5340">
        <f t="shared" si="418"/>
        <v>1</v>
      </c>
      <c r="V5340">
        <f t="shared" si="419"/>
        <v>0</v>
      </c>
    </row>
    <row r="5341" spans="1:22" x14ac:dyDescent="0.25">
      <c r="A5341">
        <v>5338</v>
      </c>
      <c r="B5341" t="s">
        <v>32</v>
      </c>
      <c r="C5341" t="s">
        <v>1455</v>
      </c>
      <c r="D5341" s="4">
        <v>45439</v>
      </c>
      <c r="E5341" t="s">
        <v>1489</v>
      </c>
      <c r="F5341" t="s">
        <v>75</v>
      </c>
      <c r="I5341" s="6">
        <v>0</v>
      </c>
      <c r="J5341" s="6">
        <v>0</v>
      </c>
      <c r="K5341" s="6">
        <v>1</v>
      </c>
      <c r="L5341" s="6">
        <v>0</v>
      </c>
      <c r="M5341" s="6">
        <v>0</v>
      </c>
      <c r="N5341" s="6">
        <v>0</v>
      </c>
      <c r="O5341" s="6">
        <v>0</v>
      </c>
      <c r="P5341" s="6">
        <v>0</v>
      </c>
      <c r="Q5341">
        <v>1</v>
      </c>
      <c r="R5341">
        <f t="shared" si="415"/>
        <v>0</v>
      </c>
      <c r="S5341">
        <f t="shared" si="416"/>
        <v>1</v>
      </c>
      <c r="T5341">
        <f t="shared" si="417"/>
        <v>1</v>
      </c>
      <c r="U5341">
        <f t="shared" si="418"/>
        <v>1</v>
      </c>
      <c r="V5341">
        <f t="shared" si="419"/>
        <v>0</v>
      </c>
    </row>
    <row r="5342" spans="1:22" x14ac:dyDescent="0.25">
      <c r="A5342">
        <v>5339</v>
      </c>
      <c r="B5342" t="s">
        <v>32</v>
      </c>
      <c r="C5342" t="s">
        <v>1455</v>
      </c>
      <c r="D5342" s="4">
        <v>45439</v>
      </c>
      <c r="E5342" t="s">
        <v>1419</v>
      </c>
      <c r="F5342" t="s">
        <v>75</v>
      </c>
      <c r="I5342" s="6"/>
      <c r="J5342" s="6"/>
      <c r="K5342" s="6"/>
      <c r="L5342" s="6"/>
      <c r="M5342" s="6"/>
      <c r="N5342" s="6"/>
      <c r="O5342" s="6"/>
      <c r="P5342" s="6"/>
      <c r="Q5342">
        <v>0</v>
      </c>
      <c r="R5342">
        <f t="shared" si="415"/>
        <v>0</v>
      </c>
      <c r="S5342">
        <f t="shared" si="416"/>
        <v>0</v>
      </c>
      <c r="T5342">
        <f t="shared" si="417"/>
        <v>0</v>
      </c>
      <c r="U5342">
        <f t="shared" si="418"/>
        <v>0</v>
      </c>
      <c r="V5342">
        <f t="shared" si="419"/>
        <v>0</v>
      </c>
    </row>
    <row r="5343" spans="1:22" x14ac:dyDescent="0.25">
      <c r="A5343">
        <v>5340</v>
      </c>
      <c r="B5343" t="s">
        <v>32</v>
      </c>
      <c r="C5343" t="s">
        <v>1455</v>
      </c>
      <c r="D5343" s="4">
        <v>45439</v>
      </c>
      <c r="E5343" t="s">
        <v>2107</v>
      </c>
      <c r="F5343" t="s">
        <v>75</v>
      </c>
      <c r="I5343" s="6">
        <v>0</v>
      </c>
      <c r="J5343" s="6">
        <v>0</v>
      </c>
      <c r="K5343" s="6">
        <v>0</v>
      </c>
      <c r="L5343" s="6">
        <v>1</v>
      </c>
      <c r="M5343" s="6">
        <v>0</v>
      </c>
      <c r="N5343" s="6">
        <v>0</v>
      </c>
      <c r="O5343" s="6">
        <v>0</v>
      </c>
      <c r="P5343" s="6">
        <v>0</v>
      </c>
      <c r="Q5343">
        <v>1</v>
      </c>
      <c r="R5343">
        <f t="shared" si="415"/>
        <v>0</v>
      </c>
      <c r="S5343">
        <f t="shared" si="416"/>
        <v>1</v>
      </c>
      <c r="T5343">
        <f t="shared" si="417"/>
        <v>1</v>
      </c>
      <c r="U5343">
        <f t="shared" si="418"/>
        <v>1</v>
      </c>
      <c r="V5343">
        <f t="shared" si="419"/>
        <v>0</v>
      </c>
    </row>
    <row r="5344" spans="1:22" x14ac:dyDescent="0.25">
      <c r="A5344">
        <v>5341</v>
      </c>
      <c r="B5344" t="s">
        <v>32</v>
      </c>
      <c r="C5344" t="s">
        <v>1455</v>
      </c>
      <c r="D5344" s="4">
        <v>45439</v>
      </c>
      <c r="E5344" t="s">
        <v>1199</v>
      </c>
      <c r="F5344" t="s">
        <v>75</v>
      </c>
      <c r="H5344" t="s">
        <v>1562</v>
      </c>
      <c r="I5344" s="6">
        <v>0</v>
      </c>
      <c r="J5344" s="6">
        <v>0</v>
      </c>
      <c r="K5344" s="6">
        <v>0</v>
      </c>
      <c r="L5344" s="6">
        <v>1</v>
      </c>
      <c r="M5344" s="6">
        <v>0</v>
      </c>
      <c r="N5344" s="6">
        <v>0</v>
      </c>
      <c r="O5344" s="6">
        <v>0</v>
      </c>
      <c r="P5344" s="6">
        <v>0</v>
      </c>
      <c r="Q5344">
        <v>1</v>
      </c>
      <c r="R5344">
        <f t="shared" si="415"/>
        <v>0</v>
      </c>
      <c r="S5344">
        <f t="shared" si="416"/>
        <v>1</v>
      </c>
      <c r="T5344">
        <f t="shared" si="417"/>
        <v>1</v>
      </c>
      <c r="U5344">
        <f t="shared" si="418"/>
        <v>1</v>
      </c>
      <c r="V5344">
        <f t="shared" si="419"/>
        <v>0</v>
      </c>
    </row>
    <row r="5345" spans="1:22" x14ac:dyDescent="0.25">
      <c r="A5345">
        <v>5342</v>
      </c>
      <c r="B5345" t="s">
        <v>32</v>
      </c>
      <c r="C5345" t="s">
        <v>1455</v>
      </c>
      <c r="D5345" s="4">
        <v>45440</v>
      </c>
      <c r="E5345" t="s">
        <v>488</v>
      </c>
      <c r="F5345" t="s">
        <v>413</v>
      </c>
      <c r="G5345">
        <v>247</v>
      </c>
      <c r="I5345" s="6">
        <v>0</v>
      </c>
      <c r="J5345" s="6">
        <v>0</v>
      </c>
      <c r="K5345" s="6">
        <v>0</v>
      </c>
      <c r="L5345" s="6">
        <v>0</v>
      </c>
      <c r="M5345" s="6">
        <v>0</v>
      </c>
      <c r="N5345" s="6">
        <v>0</v>
      </c>
      <c r="O5345" s="6">
        <v>0</v>
      </c>
      <c r="P5345" s="6">
        <v>0</v>
      </c>
      <c r="Q5345">
        <v>1</v>
      </c>
      <c r="R5345">
        <f t="shared" si="415"/>
        <v>1</v>
      </c>
      <c r="S5345">
        <f t="shared" si="416"/>
        <v>0</v>
      </c>
      <c r="T5345">
        <f t="shared" si="417"/>
        <v>0</v>
      </c>
      <c r="U5345">
        <f t="shared" si="418"/>
        <v>0</v>
      </c>
      <c r="V5345">
        <f t="shared" si="419"/>
        <v>1</v>
      </c>
    </row>
    <row r="5346" spans="1:22" x14ac:dyDescent="0.25">
      <c r="A5346">
        <v>5343</v>
      </c>
      <c r="B5346" t="s">
        <v>32</v>
      </c>
      <c r="C5346" t="s">
        <v>1455</v>
      </c>
      <c r="D5346" s="4">
        <v>45440</v>
      </c>
      <c r="E5346" t="s">
        <v>371</v>
      </c>
      <c r="F5346" t="s">
        <v>357</v>
      </c>
      <c r="I5346" s="6">
        <v>0</v>
      </c>
      <c r="J5346" s="6">
        <v>0</v>
      </c>
      <c r="K5346" s="6">
        <v>0</v>
      </c>
      <c r="L5346" s="6">
        <v>1</v>
      </c>
      <c r="M5346" s="6">
        <v>0</v>
      </c>
      <c r="N5346" s="6">
        <v>1</v>
      </c>
      <c r="O5346" s="6">
        <v>0</v>
      </c>
      <c r="P5346" s="6">
        <v>0</v>
      </c>
      <c r="Q5346">
        <v>1</v>
      </c>
      <c r="R5346">
        <f t="shared" si="415"/>
        <v>0</v>
      </c>
      <c r="S5346">
        <f t="shared" si="416"/>
        <v>0</v>
      </c>
      <c r="T5346">
        <f t="shared" si="417"/>
        <v>2</v>
      </c>
      <c r="U5346">
        <f t="shared" si="418"/>
        <v>1</v>
      </c>
      <c r="V5346">
        <f t="shared" si="419"/>
        <v>0</v>
      </c>
    </row>
    <row r="5347" spans="1:22" x14ac:dyDescent="0.25">
      <c r="A5347">
        <v>5344</v>
      </c>
      <c r="B5347" t="s">
        <v>32</v>
      </c>
      <c r="C5347" t="s">
        <v>1455</v>
      </c>
      <c r="D5347" s="4">
        <v>45440</v>
      </c>
      <c r="E5347" t="s">
        <v>895</v>
      </c>
      <c r="F5347" t="s">
        <v>75</v>
      </c>
      <c r="I5347" s="6">
        <v>0</v>
      </c>
      <c r="J5347" s="6">
        <v>0</v>
      </c>
      <c r="K5347" s="6">
        <v>0</v>
      </c>
      <c r="L5347" s="6">
        <v>1</v>
      </c>
      <c r="M5347" s="6">
        <v>0</v>
      </c>
      <c r="N5347" s="6">
        <v>0</v>
      </c>
      <c r="O5347" s="6">
        <v>0</v>
      </c>
      <c r="P5347" s="6">
        <v>1</v>
      </c>
      <c r="Q5347">
        <v>1</v>
      </c>
      <c r="R5347">
        <f t="shared" si="415"/>
        <v>0</v>
      </c>
      <c r="S5347">
        <f t="shared" si="416"/>
        <v>1</v>
      </c>
      <c r="T5347">
        <f t="shared" si="417"/>
        <v>2</v>
      </c>
      <c r="U5347">
        <f t="shared" si="418"/>
        <v>1</v>
      </c>
      <c r="V5347">
        <f t="shared" si="419"/>
        <v>0</v>
      </c>
    </row>
    <row r="5348" spans="1:22" x14ac:dyDescent="0.25">
      <c r="A5348">
        <v>5345</v>
      </c>
      <c r="B5348" t="s">
        <v>32</v>
      </c>
      <c r="C5348" t="s">
        <v>1455</v>
      </c>
      <c r="D5348" s="4">
        <v>45440</v>
      </c>
      <c r="E5348" t="s">
        <v>372</v>
      </c>
      <c r="F5348" t="s">
        <v>75</v>
      </c>
      <c r="I5348" s="6"/>
      <c r="J5348" s="6"/>
      <c r="K5348" s="6"/>
      <c r="L5348" s="6"/>
      <c r="M5348" s="6"/>
      <c r="N5348" s="6"/>
      <c r="O5348" s="6"/>
      <c r="P5348" s="6"/>
      <c r="Q5348">
        <v>0</v>
      </c>
      <c r="R5348">
        <f t="shared" si="415"/>
        <v>0</v>
      </c>
      <c r="S5348">
        <f t="shared" si="416"/>
        <v>0</v>
      </c>
      <c r="T5348">
        <f t="shared" si="417"/>
        <v>0</v>
      </c>
      <c r="U5348">
        <f t="shared" si="418"/>
        <v>0</v>
      </c>
      <c r="V5348">
        <f t="shared" si="419"/>
        <v>0</v>
      </c>
    </row>
    <row r="5349" spans="1:22" x14ac:dyDescent="0.25">
      <c r="A5349">
        <v>5346</v>
      </c>
      <c r="B5349" t="s">
        <v>32</v>
      </c>
      <c r="C5349" t="s">
        <v>1455</v>
      </c>
      <c r="D5349" s="4">
        <v>45440</v>
      </c>
      <c r="E5349" t="s">
        <v>373</v>
      </c>
      <c r="F5349" t="s">
        <v>75</v>
      </c>
      <c r="I5349" s="6">
        <v>1</v>
      </c>
      <c r="J5349" s="6">
        <v>1</v>
      </c>
      <c r="K5349" s="6">
        <v>1</v>
      </c>
      <c r="L5349" s="6">
        <v>0</v>
      </c>
      <c r="M5349" s="6">
        <v>0</v>
      </c>
      <c r="N5349" s="6">
        <v>0</v>
      </c>
      <c r="O5349" s="6">
        <v>0</v>
      </c>
      <c r="P5349" s="6">
        <v>0</v>
      </c>
      <c r="Q5349">
        <v>1</v>
      </c>
      <c r="R5349">
        <f t="shared" si="415"/>
        <v>0</v>
      </c>
      <c r="S5349">
        <f t="shared" si="416"/>
        <v>1</v>
      </c>
      <c r="T5349">
        <f t="shared" si="417"/>
        <v>3</v>
      </c>
      <c r="U5349">
        <f t="shared" si="418"/>
        <v>1</v>
      </c>
      <c r="V5349">
        <f t="shared" si="419"/>
        <v>0</v>
      </c>
    </row>
    <row r="5350" spans="1:22" x14ac:dyDescent="0.25">
      <c r="A5350">
        <v>5347</v>
      </c>
      <c r="B5350" t="s">
        <v>32</v>
      </c>
      <c r="C5350" t="s">
        <v>1455</v>
      </c>
      <c r="D5350" s="4">
        <v>45440</v>
      </c>
      <c r="E5350" t="s">
        <v>1201</v>
      </c>
      <c r="F5350" t="s">
        <v>75</v>
      </c>
      <c r="I5350" s="6">
        <v>0</v>
      </c>
      <c r="J5350" s="6">
        <v>0</v>
      </c>
      <c r="K5350" s="6">
        <v>0</v>
      </c>
      <c r="L5350" s="6">
        <v>0</v>
      </c>
      <c r="M5350" s="6">
        <v>0</v>
      </c>
      <c r="N5350" s="6">
        <v>0</v>
      </c>
      <c r="O5350" s="6">
        <v>0</v>
      </c>
      <c r="P5350" s="6">
        <v>0</v>
      </c>
      <c r="Q5350">
        <v>1</v>
      </c>
      <c r="R5350">
        <f t="shared" si="415"/>
        <v>0</v>
      </c>
      <c r="S5350">
        <f t="shared" si="416"/>
        <v>1</v>
      </c>
      <c r="T5350">
        <f t="shared" si="417"/>
        <v>0</v>
      </c>
      <c r="U5350">
        <f t="shared" si="418"/>
        <v>0</v>
      </c>
      <c r="V5350">
        <f t="shared" si="419"/>
        <v>0</v>
      </c>
    </row>
    <row r="5351" spans="1:22" x14ac:dyDescent="0.25">
      <c r="A5351">
        <v>5348</v>
      </c>
      <c r="B5351" t="s">
        <v>32</v>
      </c>
      <c r="C5351" t="s">
        <v>1455</v>
      </c>
      <c r="D5351" s="4">
        <v>45440</v>
      </c>
      <c r="E5351" t="s">
        <v>2106</v>
      </c>
      <c r="F5351" t="s">
        <v>75</v>
      </c>
      <c r="I5351" s="6">
        <v>0</v>
      </c>
      <c r="J5351" s="6">
        <v>0</v>
      </c>
      <c r="K5351" s="6">
        <v>1</v>
      </c>
      <c r="L5351" s="6">
        <v>0</v>
      </c>
      <c r="M5351" s="6">
        <v>0</v>
      </c>
      <c r="N5351" s="6">
        <v>0</v>
      </c>
      <c r="O5351" s="6">
        <v>0</v>
      </c>
      <c r="P5351" s="6">
        <v>0</v>
      </c>
      <c r="Q5351">
        <v>1</v>
      </c>
      <c r="R5351">
        <f t="shared" si="415"/>
        <v>0</v>
      </c>
      <c r="S5351">
        <f t="shared" si="416"/>
        <v>1</v>
      </c>
      <c r="T5351">
        <f t="shared" si="417"/>
        <v>1</v>
      </c>
      <c r="U5351">
        <f t="shared" si="418"/>
        <v>1</v>
      </c>
      <c r="V5351">
        <f t="shared" si="419"/>
        <v>0</v>
      </c>
    </row>
    <row r="5352" spans="1:22" x14ac:dyDescent="0.25">
      <c r="A5352">
        <v>5349</v>
      </c>
      <c r="B5352" t="s">
        <v>32</v>
      </c>
      <c r="C5352" t="s">
        <v>1455</v>
      </c>
      <c r="D5352" s="4">
        <v>45440</v>
      </c>
      <c r="E5352" t="s">
        <v>1202</v>
      </c>
      <c r="F5352" t="s">
        <v>75</v>
      </c>
      <c r="I5352" s="6"/>
      <c r="J5352" s="6"/>
      <c r="K5352" s="6"/>
      <c r="L5352" s="6"/>
      <c r="M5352" s="6"/>
      <c r="N5352" s="6"/>
      <c r="O5352" s="6"/>
      <c r="P5352" s="6"/>
      <c r="Q5352">
        <v>0</v>
      </c>
      <c r="R5352">
        <f t="shared" si="415"/>
        <v>0</v>
      </c>
      <c r="S5352">
        <f t="shared" si="416"/>
        <v>0</v>
      </c>
      <c r="T5352">
        <f t="shared" si="417"/>
        <v>0</v>
      </c>
      <c r="U5352">
        <f t="shared" si="418"/>
        <v>0</v>
      </c>
      <c r="V5352">
        <f t="shared" si="419"/>
        <v>0</v>
      </c>
    </row>
    <row r="5353" spans="1:22" x14ac:dyDescent="0.25">
      <c r="A5353">
        <v>5350</v>
      </c>
      <c r="B5353" t="s">
        <v>32</v>
      </c>
      <c r="C5353" t="s">
        <v>1455</v>
      </c>
      <c r="D5353" s="4">
        <v>45440</v>
      </c>
      <c r="E5353" t="s">
        <v>2105</v>
      </c>
      <c r="F5353" t="s">
        <v>75</v>
      </c>
      <c r="I5353" s="6"/>
      <c r="J5353" s="6"/>
      <c r="K5353" s="6"/>
      <c r="L5353" s="6"/>
      <c r="M5353" s="6"/>
      <c r="N5353" s="6"/>
      <c r="O5353" s="6"/>
      <c r="P5353" s="6"/>
      <c r="Q5353">
        <v>0</v>
      </c>
      <c r="R5353">
        <f t="shared" si="415"/>
        <v>0</v>
      </c>
      <c r="S5353">
        <f t="shared" si="416"/>
        <v>0</v>
      </c>
      <c r="T5353">
        <f t="shared" si="417"/>
        <v>0</v>
      </c>
      <c r="U5353">
        <f t="shared" si="418"/>
        <v>0</v>
      </c>
      <c r="V5353">
        <f t="shared" si="419"/>
        <v>0</v>
      </c>
    </row>
    <row r="5354" spans="1:22" x14ac:dyDescent="0.25">
      <c r="A5354">
        <v>5351</v>
      </c>
      <c r="B5354" t="s">
        <v>32</v>
      </c>
      <c r="C5354" t="s">
        <v>1455</v>
      </c>
      <c r="D5354" s="4">
        <v>45441</v>
      </c>
      <c r="E5354" t="s">
        <v>374</v>
      </c>
      <c r="F5354" t="s">
        <v>413</v>
      </c>
      <c r="G5354">
        <v>248</v>
      </c>
      <c r="I5354" s="6">
        <v>1</v>
      </c>
      <c r="J5354" s="6">
        <v>1</v>
      </c>
      <c r="K5354" s="6">
        <v>0</v>
      </c>
      <c r="L5354" s="6">
        <v>1</v>
      </c>
      <c r="M5354" s="6">
        <v>0</v>
      </c>
      <c r="N5354" s="6">
        <v>0</v>
      </c>
      <c r="O5354" s="6">
        <v>0</v>
      </c>
      <c r="P5354" s="6">
        <v>0</v>
      </c>
      <c r="Q5354">
        <v>1</v>
      </c>
      <c r="R5354">
        <f t="shared" si="415"/>
        <v>1</v>
      </c>
      <c r="S5354">
        <f t="shared" si="416"/>
        <v>0</v>
      </c>
      <c r="T5354">
        <f t="shared" si="417"/>
        <v>3</v>
      </c>
      <c r="U5354">
        <f t="shared" si="418"/>
        <v>1</v>
      </c>
      <c r="V5354">
        <f t="shared" si="419"/>
        <v>1</v>
      </c>
    </row>
    <row r="5355" spans="1:22" x14ac:dyDescent="0.25">
      <c r="A5355">
        <v>5352</v>
      </c>
      <c r="B5355" t="s">
        <v>32</v>
      </c>
      <c r="C5355" t="s">
        <v>1455</v>
      </c>
      <c r="D5355" s="4">
        <v>45441</v>
      </c>
      <c r="E5355" t="s">
        <v>375</v>
      </c>
      <c r="F5355" t="s">
        <v>75</v>
      </c>
      <c r="I5355" s="6"/>
      <c r="J5355" s="6"/>
      <c r="K5355" s="6"/>
      <c r="L5355" s="6"/>
      <c r="M5355" s="6"/>
      <c r="N5355" s="6"/>
      <c r="O5355" s="6"/>
      <c r="P5355" s="6"/>
      <c r="Q5355">
        <v>0</v>
      </c>
      <c r="R5355">
        <f t="shared" si="415"/>
        <v>0</v>
      </c>
      <c r="S5355">
        <f t="shared" si="416"/>
        <v>0</v>
      </c>
      <c r="T5355">
        <f t="shared" si="417"/>
        <v>0</v>
      </c>
      <c r="U5355">
        <f t="shared" si="418"/>
        <v>0</v>
      </c>
      <c r="V5355">
        <f t="shared" si="419"/>
        <v>0</v>
      </c>
    </row>
    <row r="5356" spans="1:22" x14ac:dyDescent="0.25">
      <c r="A5356">
        <v>5353</v>
      </c>
      <c r="B5356" t="s">
        <v>32</v>
      </c>
      <c r="C5356" t="s">
        <v>1455</v>
      </c>
      <c r="D5356" s="4">
        <v>45441</v>
      </c>
      <c r="E5356" t="s">
        <v>489</v>
      </c>
      <c r="F5356" t="s">
        <v>75</v>
      </c>
      <c r="I5356" s="6"/>
      <c r="J5356" s="6"/>
      <c r="K5356" s="6"/>
      <c r="L5356" s="6"/>
      <c r="M5356" s="6"/>
      <c r="N5356" s="6"/>
      <c r="O5356" s="6"/>
      <c r="P5356" s="6"/>
      <c r="Q5356">
        <v>0</v>
      </c>
      <c r="R5356">
        <f t="shared" si="415"/>
        <v>0</v>
      </c>
      <c r="S5356">
        <f t="shared" si="416"/>
        <v>0</v>
      </c>
      <c r="T5356">
        <f t="shared" si="417"/>
        <v>0</v>
      </c>
      <c r="U5356">
        <f t="shared" si="418"/>
        <v>0</v>
      </c>
      <c r="V5356">
        <f t="shared" si="419"/>
        <v>0</v>
      </c>
    </row>
    <row r="5357" spans="1:22" x14ac:dyDescent="0.25">
      <c r="A5357">
        <v>5354</v>
      </c>
      <c r="B5357" t="s">
        <v>32</v>
      </c>
      <c r="C5357" t="s">
        <v>1455</v>
      </c>
      <c r="D5357" s="4">
        <v>45441</v>
      </c>
      <c r="E5357" t="s">
        <v>1563</v>
      </c>
      <c r="F5357" t="s">
        <v>75</v>
      </c>
      <c r="I5357" s="6">
        <v>1</v>
      </c>
      <c r="J5357" s="6">
        <v>0</v>
      </c>
      <c r="K5357" s="6">
        <v>1</v>
      </c>
      <c r="L5357" s="6">
        <v>0</v>
      </c>
      <c r="M5357" s="6">
        <v>0</v>
      </c>
      <c r="N5357" s="6">
        <v>0</v>
      </c>
      <c r="O5357" s="6">
        <v>0</v>
      </c>
      <c r="P5357" s="6">
        <v>0</v>
      </c>
      <c r="Q5357">
        <v>1</v>
      </c>
      <c r="R5357">
        <f t="shared" si="415"/>
        <v>0</v>
      </c>
      <c r="S5357">
        <f t="shared" si="416"/>
        <v>1</v>
      </c>
      <c r="T5357">
        <f t="shared" si="417"/>
        <v>2</v>
      </c>
      <c r="U5357">
        <f t="shared" si="418"/>
        <v>1</v>
      </c>
      <c r="V5357">
        <f t="shared" si="419"/>
        <v>0</v>
      </c>
    </row>
    <row r="5358" spans="1:22" x14ac:dyDescent="0.25">
      <c r="A5358">
        <v>5355</v>
      </c>
      <c r="B5358" t="s">
        <v>32</v>
      </c>
      <c r="C5358" t="s">
        <v>1455</v>
      </c>
      <c r="D5358" s="4">
        <v>45441</v>
      </c>
      <c r="E5358" t="s">
        <v>1203</v>
      </c>
      <c r="F5358" t="s">
        <v>75</v>
      </c>
      <c r="I5358" s="6"/>
      <c r="J5358" s="6"/>
      <c r="K5358" s="6"/>
      <c r="L5358" s="6"/>
      <c r="M5358" s="6"/>
      <c r="N5358" s="6"/>
      <c r="O5358" s="6"/>
      <c r="P5358" s="6"/>
      <c r="Q5358">
        <v>0</v>
      </c>
      <c r="R5358">
        <f t="shared" si="415"/>
        <v>0</v>
      </c>
      <c r="S5358">
        <f t="shared" si="416"/>
        <v>0</v>
      </c>
      <c r="T5358">
        <f t="shared" si="417"/>
        <v>0</v>
      </c>
      <c r="U5358">
        <f t="shared" si="418"/>
        <v>0</v>
      </c>
      <c r="V5358">
        <f t="shared" si="419"/>
        <v>0</v>
      </c>
    </row>
    <row r="5359" spans="1:22" x14ac:dyDescent="0.25">
      <c r="A5359">
        <v>5356</v>
      </c>
      <c r="B5359" t="s">
        <v>32</v>
      </c>
      <c r="C5359" t="s">
        <v>1455</v>
      </c>
      <c r="D5359" s="4">
        <v>45441</v>
      </c>
      <c r="E5359" t="s">
        <v>1564</v>
      </c>
      <c r="F5359" t="s">
        <v>413</v>
      </c>
      <c r="G5359">
        <v>249</v>
      </c>
      <c r="I5359" s="6">
        <v>0</v>
      </c>
      <c r="J5359" s="6">
        <v>1</v>
      </c>
      <c r="K5359" s="6">
        <v>0</v>
      </c>
      <c r="L5359" s="6">
        <v>0</v>
      </c>
      <c r="M5359" s="6">
        <v>0</v>
      </c>
      <c r="N5359" s="6">
        <v>0</v>
      </c>
      <c r="O5359" s="6">
        <v>0</v>
      </c>
      <c r="P5359" s="6">
        <v>0</v>
      </c>
      <c r="Q5359">
        <v>1</v>
      </c>
      <c r="R5359">
        <f t="shared" si="415"/>
        <v>1</v>
      </c>
      <c r="S5359">
        <f t="shared" si="416"/>
        <v>0</v>
      </c>
      <c r="T5359">
        <f t="shared" si="417"/>
        <v>1</v>
      </c>
      <c r="U5359">
        <f t="shared" si="418"/>
        <v>1</v>
      </c>
      <c r="V5359">
        <f t="shared" si="419"/>
        <v>1</v>
      </c>
    </row>
    <row r="5360" spans="1:22" x14ac:dyDescent="0.25">
      <c r="A5360">
        <v>5357</v>
      </c>
      <c r="B5360" t="s">
        <v>32</v>
      </c>
      <c r="C5360" t="s">
        <v>1455</v>
      </c>
      <c r="D5360" s="4">
        <v>45441</v>
      </c>
      <c r="E5360" t="s">
        <v>1565</v>
      </c>
      <c r="F5360" t="s">
        <v>75</v>
      </c>
      <c r="I5360" s="6">
        <v>0</v>
      </c>
      <c r="J5360" s="6">
        <v>0</v>
      </c>
      <c r="K5360" s="6">
        <v>0</v>
      </c>
      <c r="L5360" s="6">
        <v>0</v>
      </c>
      <c r="M5360" s="6">
        <v>0</v>
      </c>
      <c r="N5360" s="6">
        <v>0</v>
      </c>
      <c r="O5360" s="6">
        <v>0</v>
      </c>
      <c r="P5360" s="6">
        <v>0</v>
      </c>
      <c r="Q5360">
        <v>1</v>
      </c>
      <c r="R5360">
        <f t="shared" si="415"/>
        <v>0</v>
      </c>
      <c r="S5360">
        <f t="shared" si="416"/>
        <v>1</v>
      </c>
      <c r="T5360">
        <f t="shared" si="417"/>
        <v>0</v>
      </c>
      <c r="U5360">
        <f t="shared" si="418"/>
        <v>0</v>
      </c>
      <c r="V5360">
        <f t="shared" si="419"/>
        <v>0</v>
      </c>
    </row>
    <row r="5361" spans="1:22" x14ac:dyDescent="0.25">
      <c r="A5361">
        <v>5358</v>
      </c>
      <c r="B5361" t="s">
        <v>32</v>
      </c>
      <c r="C5361" t="s">
        <v>1455</v>
      </c>
      <c r="D5361" s="4">
        <v>45441</v>
      </c>
      <c r="E5361" t="s">
        <v>2104</v>
      </c>
      <c r="F5361" t="s">
        <v>75</v>
      </c>
      <c r="I5361" s="6"/>
      <c r="J5361" s="6"/>
      <c r="K5361" s="6"/>
      <c r="L5361" s="6"/>
      <c r="M5361" s="6"/>
      <c r="N5361" s="6"/>
      <c r="O5361" s="6"/>
      <c r="P5361" s="6"/>
      <c r="Q5361">
        <v>0</v>
      </c>
      <c r="R5361">
        <f t="shared" si="415"/>
        <v>0</v>
      </c>
      <c r="S5361">
        <f t="shared" si="416"/>
        <v>0</v>
      </c>
      <c r="T5361">
        <f t="shared" si="417"/>
        <v>0</v>
      </c>
      <c r="U5361">
        <f t="shared" si="418"/>
        <v>0</v>
      </c>
      <c r="V5361">
        <f t="shared" si="419"/>
        <v>0</v>
      </c>
    </row>
    <row r="5362" spans="1:22" x14ac:dyDescent="0.25">
      <c r="A5362">
        <v>5359</v>
      </c>
      <c r="B5362" t="s">
        <v>32</v>
      </c>
      <c r="C5362" t="s">
        <v>1455</v>
      </c>
      <c r="D5362" s="4">
        <v>45441</v>
      </c>
      <c r="E5362" t="s">
        <v>2103</v>
      </c>
      <c r="F5362" t="s">
        <v>75</v>
      </c>
      <c r="I5362" s="6"/>
      <c r="J5362" s="6"/>
      <c r="K5362" s="6"/>
      <c r="L5362" s="6"/>
      <c r="M5362" s="6"/>
      <c r="N5362" s="6"/>
      <c r="O5362" s="6"/>
      <c r="P5362" s="6"/>
      <c r="Q5362">
        <v>0</v>
      </c>
      <c r="R5362">
        <f t="shared" si="415"/>
        <v>0</v>
      </c>
      <c r="S5362">
        <f t="shared" si="416"/>
        <v>0</v>
      </c>
      <c r="T5362">
        <f t="shared" si="417"/>
        <v>0</v>
      </c>
      <c r="U5362">
        <f t="shared" si="418"/>
        <v>0</v>
      </c>
      <c r="V5362">
        <f t="shared" si="419"/>
        <v>0</v>
      </c>
    </row>
    <row r="5363" spans="1:22" x14ac:dyDescent="0.25">
      <c r="A5363">
        <v>5360</v>
      </c>
      <c r="B5363" t="s">
        <v>32</v>
      </c>
      <c r="C5363" t="s">
        <v>1455</v>
      </c>
      <c r="D5363" s="4">
        <v>45442</v>
      </c>
      <c r="E5363" t="s">
        <v>1099</v>
      </c>
      <c r="F5363" t="s">
        <v>413</v>
      </c>
      <c r="G5363">
        <v>250</v>
      </c>
      <c r="I5363" s="6">
        <v>0</v>
      </c>
      <c r="J5363" s="6">
        <v>0</v>
      </c>
      <c r="K5363" s="6">
        <v>0</v>
      </c>
      <c r="L5363" s="6">
        <v>1</v>
      </c>
      <c r="M5363" s="6">
        <v>0</v>
      </c>
      <c r="N5363" s="6">
        <v>0</v>
      </c>
      <c r="O5363" s="6">
        <v>0</v>
      </c>
      <c r="P5363" s="6">
        <v>1</v>
      </c>
      <c r="Q5363">
        <v>1</v>
      </c>
      <c r="R5363">
        <f t="shared" si="415"/>
        <v>1</v>
      </c>
      <c r="S5363">
        <f t="shared" si="416"/>
        <v>0</v>
      </c>
      <c r="T5363">
        <f t="shared" si="417"/>
        <v>2</v>
      </c>
      <c r="U5363">
        <f t="shared" si="418"/>
        <v>1</v>
      </c>
      <c r="V5363">
        <f t="shared" si="419"/>
        <v>1</v>
      </c>
    </row>
    <row r="5364" spans="1:22" x14ac:dyDescent="0.25">
      <c r="A5364">
        <v>5361</v>
      </c>
      <c r="B5364" t="s">
        <v>32</v>
      </c>
      <c r="C5364" t="s">
        <v>1455</v>
      </c>
      <c r="D5364" s="4">
        <v>45442</v>
      </c>
      <c r="E5364" t="s">
        <v>490</v>
      </c>
      <c r="F5364" t="s">
        <v>75</v>
      </c>
      <c r="I5364" s="6">
        <v>0</v>
      </c>
      <c r="J5364" s="6">
        <v>0</v>
      </c>
      <c r="K5364" s="6">
        <v>0</v>
      </c>
      <c r="L5364" s="6">
        <v>0</v>
      </c>
      <c r="M5364" s="6">
        <v>1</v>
      </c>
      <c r="N5364" s="6">
        <v>0</v>
      </c>
      <c r="O5364" s="6">
        <v>0</v>
      </c>
      <c r="P5364" s="6">
        <v>0</v>
      </c>
      <c r="Q5364">
        <v>1</v>
      </c>
      <c r="R5364">
        <f t="shared" si="415"/>
        <v>0</v>
      </c>
      <c r="S5364">
        <f t="shared" si="416"/>
        <v>1</v>
      </c>
      <c r="T5364">
        <f t="shared" si="417"/>
        <v>1</v>
      </c>
      <c r="U5364">
        <f t="shared" si="418"/>
        <v>1</v>
      </c>
      <c r="V5364">
        <f t="shared" si="419"/>
        <v>0</v>
      </c>
    </row>
    <row r="5365" spans="1:22" x14ac:dyDescent="0.25">
      <c r="A5365">
        <v>5362</v>
      </c>
      <c r="B5365" t="s">
        <v>32</v>
      </c>
      <c r="C5365" t="s">
        <v>1455</v>
      </c>
      <c r="D5365" s="4">
        <v>45442</v>
      </c>
      <c r="E5365" t="s">
        <v>1100</v>
      </c>
      <c r="F5365" t="s">
        <v>75</v>
      </c>
      <c r="I5365" s="6">
        <v>0</v>
      </c>
      <c r="J5365" s="6">
        <v>0</v>
      </c>
      <c r="K5365" s="6">
        <v>1</v>
      </c>
      <c r="L5365" s="6">
        <v>0</v>
      </c>
      <c r="M5365" s="6">
        <v>0</v>
      </c>
      <c r="N5365" s="6">
        <v>0</v>
      </c>
      <c r="O5365" s="6">
        <v>0</v>
      </c>
      <c r="P5365" s="6">
        <v>0</v>
      </c>
      <c r="Q5365">
        <v>1</v>
      </c>
      <c r="R5365">
        <f t="shared" si="415"/>
        <v>0</v>
      </c>
      <c r="S5365">
        <f t="shared" si="416"/>
        <v>1</v>
      </c>
      <c r="T5365">
        <f t="shared" si="417"/>
        <v>1</v>
      </c>
      <c r="U5365">
        <f t="shared" si="418"/>
        <v>1</v>
      </c>
      <c r="V5365">
        <f t="shared" si="419"/>
        <v>0</v>
      </c>
    </row>
    <row r="5366" spans="1:22" x14ac:dyDescent="0.25">
      <c r="A5366">
        <v>5363</v>
      </c>
      <c r="B5366" t="s">
        <v>32</v>
      </c>
      <c r="C5366" t="s">
        <v>1455</v>
      </c>
      <c r="D5366" s="4">
        <v>45442</v>
      </c>
      <c r="E5366" t="s">
        <v>1101</v>
      </c>
      <c r="F5366" t="s">
        <v>75</v>
      </c>
      <c r="I5366" s="6"/>
      <c r="J5366" s="6"/>
      <c r="K5366" s="6"/>
      <c r="L5366" s="6"/>
      <c r="M5366" s="6"/>
      <c r="N5366" s="6"/>
      <c r="O5366" s="6"/>
      <c r="P5366" s="6"/>
      <c r="Q5366">
        <v>0</v>
      </c>
      <c r="R5366">
        <f t="shared" si="415"/>
        <v>0</v>
      </c>
      <c r="S5366">
        <f t="shared" si="416"/>
        <v>0</v>
      </c>
      <c r="T5366">
        <f t="shared" si="417"/>
        <v>0</v>
      </c>
      <c r="U5366">
        <f t="shared" si="418"/>
        <v>0</v>
      </c>
      <c r="V5366">
        <f t="shared" si="419"/>
        <v>0</v>
      </c>
    </row>
    <row r="5367" spans="1:22" x14ac:dyDescent="0.25">
      <c r="A5367">
        <v>5364</v>
      </c>
      <c r="B5367" t="s">
        <v>32</v>
      </c>
      <c r="C5367" t="s">
        <v>1455</v>
      </c>
      <c r="D5367" s="4">
        <v>45442</v>
      </c>
      <c r="E5367" t="s">
        <v>1490</v>
      </c>
      <c r="F5367" t="s">
        <v>357</v>
      </c>
      <c r="I5367" s="6">
        <v>0</v>
      </c>
      <c r="J5367" s="6">
        <v>1</v>
      </c>
      <c r="K5367" s="6">
        <v>0</v>
      </c>
      <c r="L5367" s="6">
        <v>1</v>
      </c>
      <c r="M5367" s="6">
        <v>0</v>
      </c>
      <c r="N5367" s="6">
        <v>0</v>
      </c>
      <c r="O5367" s="6">
        <v>0</v>
      </c>
      <c r="P5367" s="6">
        <v>0</v>
      </c>
      <c r="Q5367">
        <v>1</v>
      </c>
      <c r="R5367">
        <f t="shared" si="415"/>
        <v>0</v>
      </c>
      <c r="S5367">
        <f t="shared" si="416"/>
        <v>0</v>
      </c>
      <c r="T5367">
        <f t="shared" si="417"/>
        <v>2</v>
      </c>
      <c r="U5367">
        <f t="shared" si="418"/>
        <v>1</v>
      </c>
      <c r="V5367">
        <f t="shared" si="419"/>
        <v>0</v>
      </c>
    </row>
    <row r="5368" spans="1:22" x14ac:dyDescent="0.25">
      <c r="A5368">
        <v>5365</v>
      </c>
      <c r="B5368" t="s">
        <v>32</v>
      </c>
      <c r="C5368" t="s">
        <v>1455</v>
      </c>
      <c r="D5368" s="4">
        <v>45442</v>
      </c>
      <c r="E5368" t="s">
        <v>1204</v>
      </c>
      <c r="F5368" t="s">
        <v>75</v>
      </c>
      <c r="I5368" s="6">
        <v>1</v>
      </c>
      <c r="J5368" s="6">
        <v>1</v>
      </c>
      <c r="K5368" s="6">
        <v>1</v>
      </c>
      <c r="L5368" s="6">
        <v>0</v>
      </c>
      <c r="M5368" s="6">
        <v>0</v>
      </c>
      <c r="N5368" s="6">
        <v>0</v>
      </c>
      <c r="O5368" s="6">
        <v>0</v>
      </c>
      <c r="P5368" s="6">
        <v>0</v>
      </c>
      <c r="Q5368">
        <v>1</v>
      </c>
      <c r="R5368">
        <f t="shared" si="415"/>
        <v>0</v>
      </c>
      <c r="S5368">
        <f t="shared" si="416"/>
        <v>1</v>
      </c>
      <c r="T5368">
        <f t="shared" si="417"/>
        <v>3</v>
      </c>
      <c r="U5368">
        <f t="shared" si="418"/>
        <v>1</v>
      </c>
      <c r="V5368">
        <f t="shared" si="419"/>
        <v>0</v>
      </c>
    </row>
    <row r="5369" spans="1:22" x14ac:dyDescent="0.25">
      <c r="A5369">
        <v>5366</v>
      </c>
      <c r="B5369" t="s">
        <v>32</v>
      </c>
      <c r="C5369" t="s">
        <v>1455</v>
      </c>
      <c r="D5369" s="4">
        <v>45442</v>
      </c>
      <c r="E5369" t="s">
        <v>2102</v>
      </c>
      <c r="F5369" t="s">
        <v>75</v>
      </c>
      <c r="I5369" s="6"/>
      <c r="J5369" s="6"/>
      <c r="K5369" s="6"/>
      <c r="L5369" s="6"/>
      <c r="M5369" s="6"/>
      <c r="N5369" s="6"/>
      <c r="O5369" s="6"/>
      <c r="P5369" s="6"/>
      <c r="Q5369">
        <v>0</v>
      </c>
      <c r="R5369">
        <f t="shared" si="415"/>
        <v>0</v>
      </c>
      <c r="S5369">
        <f t="shared" si="416"/>
        <v>0</v>
      </c>
      <c r="T5369">
        <f t="shared" si="417"/>
        <v>0</v>
      </c>
      <c r="U5369">
        <f t="shared" si="418"/>
        <v>0</v>
      </c>
      <c r="V5369">
        <f t="shared" si="419"/>
        <v>0</v>
      </c>
    </row>
    <row r="5370" spans="1:22" x14ac:dyDescent="0.25">
      <c r="A5370">
        <v>5367</v>
      </c>
      <c r="B5370" t="s">
        <v>32</v>
      </c>
      <c r="C5370" t="s">
        <v>1455</v>
      </c>
      <c r="D5370" s="4">
        <v>45442</v>
      </c>
      <c r="E5370" t="s">
        <v>2101</v>
      </c>
      <c r="F5370" t="s">
        <v>75</v>
      </c>
      <c r="I5370" s="6"/>
      <c r="J5370" s="6"/>
      <c r="K5370" s="6"/>
      <c r="L5370" s="6"/>
      <c r="M5370" s="6"/>
      <c r="N5370" s="6"/>
      <c r="O5370" s="6"/>
      <c r="P5370" s="6"/>
      <c r="Q5370">
        <v>0</v>
      </c>
      <c r="R5370">
        <f t="shared" si="415"/>
        <v>0</v>
      </c>
      <c r="S5370">
        <f t="shared" si="416"/>
        <v>0</v>
      </c>
      <c r="T5370">
        <f t="shared" si="417"/>
        <v>0</v>
      </c>
      <c r="U5370">
        <f t="shared" si="418"/>
        <v>0</v>
      </c>
      <c r="V5370">
        <f t="shared" si="419"/>
        <v>0</v>
      </c>
    </row>
    <row r="5371" spans="1:22" x14ac:dyDescent="0.25">
      <c r="A5371">
        <v>5368</v>
      </c>
      <c r="B5371" t="s">
        <v>32</v>
      </c>
      <c r="C5371" t="s">
        <v>1455</v>
      </c>
      <c r="D5371" s="4">
        <v>45442</v>
      </c>
      <c r="E5371" t="s">
        <v>2100</v>
      </c>
      <c r="F5371" t="s">
        <v>75</v>
      </c>
      <c r="I5371" s="6"/>
      <c r="J5371" s="6"/>
      <c r="K5371" s="6"/>
      <c r="L5371" s="6"/>
      <c r="M5371" s="6"/>
      <c r="N5371" s="6"/>
      <c r="O5371" s="6"/>
      <c r="P5371" s="6"/>
      <c r="Q5371">
        <v>0</v>
      </c>
      <c r="R5371">
        <f t="shared" si="415"/>
        <v>0</v>
      </c>
      <c r="S5371">
        <f t="shared" si="416"/>
        <v>0</v>
      </c>
      <c r="T5371">
        <f t="shared" si="417"/>
        <v>0</v>
      </c>
      <c r="U5371">
        <f t="shared" si="418"/>
        <v>0</v>
      </c>
      <c r="V5371">
        <f t="shared" si="419"/>
        <v>0</v>
      </c>
    </row>
    <row r="5372" spans="1:22" x14ac:dyDescent="0.25">
      <c r="A5372">
        <v>5369</v>
      </c>
      <c r="B5372" t="s">
        <v>32</v>
      </c>
      <c r="C5372" t="s">
        <v>1455</v>
      </c>
      <c r="D5372" s="4">
        <v>45443</v>
      </c>
      <c r="E5372" t="s">
        <v>896</v>
      </c>
      <c r="F5372" t="s">
        <v>75</v>
      </c>
      <c r="I5372" s="6"/>
      <c r="J5372" s="6"/>
      <c r="K5372" s="6"/>
      <c r="L5372" s="6"/>
      <c r="M5372" s="6"/>
      <c r="N5372" s="6"/>
      <c r="O5372" s="6"/>
      <c r="P5372" s="6"/>
      <c r="Q5372">
        <v>0</v>
      </c>
      <c r="R5372">
        <f t="shared" si="415"/>
        <v>0</v>
      </c>
      <c r="S5372">
        <f t="shared" si="416"/>
        <v>0</v>
      </c>
      <c r="T5372">
        <f t="shared" si="417"/>
        <v>0</v>
      </c>
      <c r="U5372">
        <f t="shared" si="418"/>
        <v>0</v>
      </c>
      <c r="V5372">
        <f t="shared" si="419"/>
        <v>0</v>
      </c>
    </row>
    <row r="5373" spans="1:22" x14ac:dyDescent="0.25">
      <c r="A5373">
        <v>5370</v>
      </c>
      <c r="B5373" t="s">
        <v>32</v>
      </c>
      <c r="C5373" t="s">
        <v>1455</v>
      </c>
      <c r="D5373" s="4">
        <v>45443</v>
      </c>
      <c r="E5373" t="s">
        <v>897</v>
      </c>
      <c r="F5373" t="s">
        <v>75</v>
      </c>
      <c r="I5373" s="6"/>
      <c r="J5373" s="6"/>
      <c r="K5373" s="6"/>
      <c r="L5373" s="6"/>
      <c r="M5373" s="6"/>
      <c r="N5373" s="6"/>
      <c r="O5373" s="6"/>
      <c r="P5373" s="6"/>
      <c r="Q5373">
        <v>0</v>
      </c>
      <c r="R5373">
        <f t="shared" si="415"/>
        <v>0</v>
      </c>
      <c r="S5373">
        <f t="shared" si="416"/>
        <v>0</v>
      </c>
      <c r="T5373">
        <f t="shared" si="417"/>
        <v>0</v>
      </c>
      <c r="U5373">
        <f t="shared" si="418"/>
        <v>0</v>
      </c>
      <c r="V5373">
        <f t="shared" si="419"/>
        <v>0</v>
      </c>
    </row>
    <row r="5374" spans="1:22" x14ac:dyDescent="0.25">
      <c r="A5374">
        <v>5371</v>
      </c>
      <c r="B5374" t="s">
        <v>32</v>
      </c>
      <c r="C5374" t="s">
        <v>1455</v>
      </c>
      <c r="D5374" s="4">
        <v>45443</v>
      </c>
      <c r="E5374" t="s">
        <v>898</v>
      </c>
      <c r="F5374" t="s">
        <v>75</v>
      </c>
      <c r="I5374" s="6">
        <v>1</v>
      </c>
      <c r="J5374" s="6">
        <v>1</v>
      </c>
      <c r="K5374" s="6">
        <v>1</v>
      </c>
      <c r="L5374" s="6">
        <v>0</v>
      </c>
      <c r="M5374" s="6">
        <v>0</v>
      </c>
      <c r="N5374" s="6">
        <v>0</v>
      </c>
      <c r="O5374" s="6">
        <v>0</v>
      </c>
      <c r="P5374" s="6">
        <v>0</v>
      </c>
      <c r="Q5374">
        <v>1</v>
      </c>
      <c r="R5374">
        <f t="shared" si="415"/>
        <v>0</v>
      </c>
      <c r="S5374">
        <f t="shared" si="416"/>
        <v>1</v>
      </c>
      <c r="T5374">
        <f t="shared" si="417"/>
        <v>3</v>
      </c>
      <c r="U5374">
        <f t="shared" si="418"/>
        <v>1</v>
      </c>
      <c r="V5374">
        <f t="shared" si="419"/>
        <v>0</v>
      </c>
    </row>
    <row r="5375" spans="1:22" x14ac:dyDescent="0.25">
      <c r="A5375">
        <v>5372</v>
      </c>
      <c r="B5375" t="s">
        <v>32</v>
      </c>
      <c r="C5375" t="s">
        <v>1455</v>
      </c>
      <c r="D5375" s="4">
        <v>45443</v>
      </c>
      <c r="E5375" t="s">
        <v>1491</v>
      </c>
      <c r="F5375" t="s">
        <v>75</v>
      </c>
      <c r="I5375" s="6"/>
      <c r="J5375" s="6"/>
      <c r="K5375" s="6"/>
      <c r="L5375" s="6"/>
      <c r="M5375" s="6"/>
      <c r="N5375" s="6"/>
      <c r="O5375" s="6"/>
      <c r="P5375" s="6"/>
      <c r="Q5375">
        <v>0</v>
      </c>
      <c r="R5375">
        <f t="shared" si="415"/>
        <v>0</v>
      </c>
      <c r="S5375">
        <f t="shared" si="416"/>
        <v>0</v>
      </c>
      <c r="T5375">
        <f t="shared" si="417"/>
        <v>0</v>
      </c>
      <c r="U5375">
        <f t="shared" si="418"/>
        <v>0</v>
      </c>
      <c r="V5375">
        <f t="shared" si="419"/>
        <v>0</v>
      </c>
    </row>
    <row r="5376" spans="1:22" x14ac:dyDescent="0.25">
      <c r="A5376">
        <v>5373</v>
      </c>
      <c r="B5376" t="s">
        <v>32</v>
      </c>
      <c r="C5376" t="s">
        <v>1455</v>
      </c>
      <c r="D5376" s="4">
        <v>45443</v>
      </c>
      <c r="E5376" t="s">
        <v>2099</v>
      </c>
      <c r="F5376" t="s">
        <v>75</v>
      </c>
      <c r="I5376" s="6"/>
      <c r="J5376" s="6"/>
      <c r="K5376" s="6"/>
      <c r="L5376" s="6"/>
      <c r="M5376" s="6"/>
      <c r="N5376" s="6"/>
      <c r="O5376" s="6"/>
      <c r="P5376" s="6"/>
      <c r="Q5376">
        <v>0</v>
      </c>
      <c r="R5376">
        <f t="shared" si="415"/>
        <v>0</v>
      </c>
      <c r="S5376">
        <f t="shared" si="416"/>
        <v>0</v>
      </c>
      <c r="T5376">
        <f t="shared" si="417"/>
        <v>0</v>
      </c>
      <c r="U5376">
        <f t="shared" si="418"/>
        <v>0</v>
      </c>
      <c r="V5376">
        <f t="shared" si="419"/>
        <v>0</v>
      </c>
    </row>
    <row r="5377" spans="1:22" x14ac:dyDescent="0.25">
      <c r="A5377">
        <v>5374</v>
      </c>
      <c r="B5377" t="s">
        <v>32</v>
      </c>
      <c r="C5377" t="s">
        <v>1455</v>
      </c>
      <c r="D5377" s="4">
        <v>45443</v>
      </c>
      <c r="E5377" t="s">
        <v>1422</v>
      </c>
      <c r="F5377" t="s">
        <v>75</v>
      </c>
      <c r="I5377" s="6"/>
      <c r="J5377" s="6"/>
      <c r="K5377" s="6"/>
      <c r="L5377" s="6"/>
      <c r="M5377" s="6"/>
      <c r="N5377" s="6"/>
      <c r="O5377" s="6"/>
      <c r="P5377" s="6"/>
      <c r="Q5377">
        <v>0</v>
      </c>
      <c r="R5377">
        <f t="shared" si="415"/>
        <v>0</v>
      </c>
      <c r="S5377">
        <f t="shared" si="416"/>
        <v>0</v>
      </c>
      <c r="T5377">
        <f t="shared" si="417"/>
        <v>0</v>
      </c>
      <c r="U5377">
        <f t="shared" si="418"/>
        <v>0</v>
      </c>
      <c r="V5377">
        <f t="shared" si="419"/>
        <v>0</v>
      </c>
    </row>
    <row r="5378" spans="1:22" x14ac:dyDescent="0.25">
      <c r="A5378">
        <v>5375</v>
      </c>
      <c r="B5378" t="s">
        <v>32</v>
      </c>
      <c r="C5378" t="s">
        <v>1455</v>
      </c>
      <c r="D5378" s="4">
        <v>45443</v>
      </c>
      <c r="E5378" t="s">
        <v>2098</v>
      </c>
      <c r="F5378" t="s">
        <v>75</v>
      </c>
      <c r="I5378" s="6"/>
      <c r="J5378" s="6"/>
      <c r="K5378" s="6"/>
      <c r="L5378" s="6"/>
      <c r="M5378" s="6"/>
      <c r="N5378" s="6"/>
      <c r="O5378" s="6"/>
      <c r="P5378" s="6"/>
      <c r="Q5378">
        <v>0</v>
      </c>
      <c r="R5378">
        <f t="shared" si="415"/>
        <v>0</v>
      </c>
      <c r="S5378">
        <f t="shared" si="416"/>
        <v>0</v>
      </c>
      <c r="T5378">
        <f t="shared" si="417"/>
        <v>0</v>
      </c>
      <c r="U5378">
        <f t="shared" si="418"/>
        <v>0</v>
      </c>
      <c r="V5378">
        <f t="shared" si="419"/>
        <v>0</v>
      </c>
    </row>
    <row r="5379" spans="1:22" x14ac:dyDescent="0.25">
      <c r="A5379">
        <v>5376</v>
      </c>
      <c r="B5379" t="s">
        <v>32</v>
      </c>
      <c r="C5379" t="s">
        <v>1455</v>
      </c>
      <c r="D5379" s="4">
        <v>45443</v>
      </c>
      <c r="E5379" t="s">
        <v>1209</v>
      </c>
      <c r="F5379" t="s">
        <v>75</v>
      </c>
      <c r="I5379" s="6"/>
      <c r="J5379" s="6"/>
      <c r="K5379" s="6"/>
      <c r="L5379" s="6"/>
      <c r="M5379" s="6"/>
      <c r="N5379" s="6"/>
      <c r="O5379" s="6"/>
      <c r="P5379" s="6"/>
      <c r="Q5379">
        <v>0</v>
      </c>
      <c r="R5379">
        <f t="shared" ref="R5379:R5442" si="420">IF(AND(Q5379=1,F5379="ai_full"),1,0)</f>
        <v>0</v>
      </c>
      <c r="S5379">
        <f t="shared" ref="S5379:S5442" si="421">IF(AND(Q5379=1,F5379="conventional"),1,0)</f>
        <v>0</v>
      </c>
      <c r="T5379">
        <f t="shared" ref="T5379:T5442" si="422">SUM(I5379:P5379)</f>
        <v>0</v>
      </c>
      <c r="U5379">
        <f t="shared" ref="U5379:U5442" si="423">IF(T5379&gt;=1,1,0)</f>
        <v>0</v>
      </c>
      <c r="V5379">
        <f t="shared" ref="V5379:V5442" si="424">IF(F5379="ai_full",1,0)</f>
        <v>0</v>
      </c>
    </row>
    <row r="5380" spans="1:22" x14ac:dyDescent="0.25">
      <c r="A5380">
        <v>5377</v>
      </c>
      <c r="B5380" t="s">
        <v>32</v>
      </c>
      <c r="C5380" t="s">
        <v>1455</v>
      </c>
      <c r="D5380" s="4">
        <v>45443</v>
      </c>
      <c r="E5380" t="s">
        <v>1210</v>
      </c>
      <c r="F5380" t="s">
        <v>75</v>
      </c>
      <c r="I5380" s="6"/>
      <c r="J5380" s="6"/>
      <c r="K5380" s="6"/>
      <c r="L5380" s="6"/>
      <c r="M5380" s="6"/>
      <c r="N5380" s="6"/>
      <c r="O5380" s="6"/>
      <c r="P5380" s="6"/>
      <c r="Q5380">
        <v>0</v>
      </c>
      <c r="R5380">
        <f t="shared" si="420"/>
        <v>0</v>
      </c>
      <c r="S5380">
        <f t="shared" si="421"/>
        <v>0</v>
      </c>
      <c r="T5380">
        <f t="shared" si="422"/>
        <v>0</v>
      </c>
      <c r="U5380">
        <f t="shared" si="423"/>
        <v>0</v>
      </c>
      <c r="V5380">
        <f t="shared" si="424"/>
        <v>0</v>
      </c>
    </row>
    <row r="5381" spans="1:22" x14ac:dyDescent="0.25">
      <c r="A5381">
        <v>5378</v>
      </c>
      <c r="B5381" t="s">
        <v>32</v>
      </c>
      <c r="C5381" t="s">
        <v>1455</v>
      </c>
      <c r="D5381" s="4">
        <v>45444</v>
      </c>
      <c r="E5381" t="s">
        <v>376</v>
      </c>
      <c r="F5381" t="s">
        <v>75</v>
      </c>
      <c r="I5381" s="6"/>
      <c r="J5381" s="6"/>
      <c r="K5381" s="6"/>
      <c r="L5381" s="6"/>
      <c r="M5381" s="6"/>
      <c r="N5381" s="6"/>
      <c r="O5381" s="6"/>
      <c r="P5381" s="6"/>
      <c r="Q5381">
        <v>0</v>
      </c>
      <c r="R5381">
        <f t="shared" si="420"/>
        <v>0</v>
      </c>
      <c r="S5381">
        <f t="shared" si="421"/>
        <v>0</v>
      </c>
      <c r="T5381">
        <f t="shared" si="422"/>
        <v>0</v>
      </c>
      <c r="U5381">
        <f t="shared" si="423"/>
        <v>0</v>
      </c>
      <c r="V5381">
        <f t="shared" si="424"/>
        <v>0</v>
      </c>
    </row>
    <row r="5382" spans="1:22" x14ac:dyDescent="0.25">
      <c r="A5382">
        <v>5379</v>
      </c>
      <c r="B5382" t="s">
        <v>32</v>
      </c>
      <c r="C5382" t="s">
        <v>1455</v>
      </c>
      <c r="D5382" s="4">
        <v>45444</v>
      </c>
      <c r="E5382" t="s">
        <v>1211</v>
      </c>
      <c r="F5382" t="s">
        <v>75</v>
      </c>
      <c r="I5382" s="6"/>
      <c r="J5382" s="6"/>
      <c r="K5382" s="6"/>
      <c r="L5382" s="6"/>
      <c r="M5382" s="6"/>
      <c r="N5382" s="6"/>
      <c r="O5382" s="6"/>
      <c r="P5382" s="6"/>
      <c r="Q5382">
        <v>0</v>
      </c>
      <c r="R5382">
        <f t="shared" si="420"/>
        <v>0</v>
      </c>
      <c r="S5382">
        <f t="shared" si="421"/>
        <v>0</v>
      </c>
      <c r="T5382">
        <f t="shared" si="422"/>
        <v>0</v>
      </c>
      <c r="U5382">
        <f t="shared" si="423"/>
        <v>0</v>
      </c>
      <c r="V5382">
        <f t="shared" si="424"/>
        <v>0</v>
      </c>
    </row>
    <row r="5383" spans="1:22" x14ac:dyDescent="0.25">
      <c r="A5383">
        <v>5380</v>
      </c>
      <c r="B5383" t="s">
        <v>32</v>
      </c>
      <c r="C5383" t="s">
        <v>1455</v>
      </c>
      <c r="D5383" s="4">
        <v>45444</v>
      </c>
      <c r="E5383" t="s">
        <v>899</v>
      </c>
      <c r="F5383" t="s">
        <v>75</v>
      </c>
      <c r="I5383" s="6"/>
      <c r="J5383" s="6"/>
      <c r="K5383" s="6"/>
      <c r="L5383" s="6"/>
      <c r="M5383" s="6"/>
      <c r="N5383" s="6"/>
      <c r="O5383" s="6"/>
      <c r="P5383" s="6"/>
      <c r="Q5383">
        <v>0</v>
      </c>
      <c r="R5383">
        <f t="shared" si="420"/>
        <v>0</v>
      </c>
      <c r="S5383">
        <f t="shared" si="421"/>
        <v>0</v>
      </c>
      <c r="T5383">
        <f t="shared" si="422"/>
        <v>0</v>
      </c>
      <c r="U5383">
        <f t="shared" si="423"/>
        <v>0</v>
      </c>
      <c r="V5383">
        <f t="shared" si="424"/>
        <v>0</v>
      </c>
    </row>
    <row r="5384" spans="1:22" x14ac:dyDescent="0.25">
      <c r="A5384">
        <v>5381</v>
      </c>
      <c r="B5384" t="s">
        <v>32</v>
      </c>
      <c r="C5384" t="s">
        <v>1455</v>
      </c>
      <c r="D5384" s="4">
        <v>45444</v>
      </c>
      <c r="E5384" t="s">
        <v>377</v>
      </c>
      <c r="F5384" t="s">
        <v>75</v>
      </c>
      <c r="I5384" s="6"/>
      <c r="J5384" s="6"/>
      <c r="K5384" s="6"/>
      <c r="L5384" s="6"/>
      <c r="M5384" s="6"/>
      <c r="N5384" s="6"/>
      <c r="O5384" s="6"/>
      <c r="P5384" s="6"/>
      <c r="Q5384">
        <v>0</v>
      </c>
      <c r="R5384">
        <f t="shared" si="420"/>
        <v>0</v>
      </c>
      <c r="S5384">
        <f t="shared" si="421"/>
        <v>0</v>
      </c>
      <c r="T5384">
        <f t="shared" si="422"/>
        <v>0</v>
      </c>
      <c r="U5384">
        <f t="shared" si="423"/>
        <v>0</v>
      </c>
      <c r="V5384">
        <f t="shared" si="424"/>
        <v>0</v>
      </c>
    </row>
    <row r="5385" spans="1:22" x14ac:dyDescent="0.25">
      <c r="A5385">
        <v>5382</v>
      </c>
      <c r="B5385" t="s">
        <v>32</v>
      </c>
      <c r="C5385" t="s">
        <v>1455</v>
      </c>
      <c r="D5385" s="4">
        <v>45444</v>
      </c>
      <c r="E5385" t="s">
        <v>378</v>
      </c>
      <c r="F5385" t="s">
        <v>75</v>
      </c>
      <c r="I5385" s="6">
        <v>0</v>
      </c>
      <c r="J5385" s="6">
        <v>0</v>
      </c>
      <c r="K5385" s="6">
        <v>0</v>
      </c>
      <c r="L5385" s="6">
        <v>0</v>
      </c>
      <c r="M5385" s="6">
        <v>0</v>
      </c>
      <c r="N5385" s="6">
        <v>0</v>
      </c>
      <c r="O5385" s="6">
        <v>0</v>
      </c>
      <c r="P5385" s="6">
        <v>0</v>
      </c>
      <c r="Q5385">
        <v>1</v>
      </c>
      <c r="R5385">
        <f t="shared" si="420"/>
        <v>0</v>
      </c>
      <c r="S5385">
        <f t="shared" si="421"/>
        <v>1</v>
      </c>
      <c r="T5385">
        <f t="shared" si="422"/>
        <v>0</v>
      </c>
      <c r="U5385">
        <f t="shared" si="423"/>
        <v>0</v>
      </c>
      <c r="V5385">
        <f t="shared" si="424"/>
        <v>0</v>
      </c>
    </row>
    <row r="5386" spans="1:22" x14ac:dyDescent="0.25">
      <c r="A5386">
        <v>5383</v>
      </c>
      <c r="B5386" t="s">
        <v>32</v>
      </c>
      <c r="C5386" t="s">
        <v>1455</v>
      </c>
      <c r="D5386" s="4">
        <v>45444</v>
      </c>
      <c r="E5386" t="s">
        <v>379</v>
      </c>
      <c r="F5386" t="s">
        <v>75</v>
      </c>
      <c r="I5386" s="6"/>
      <c r="J5386" s="6"/>
      <c r="K5386" s="6"/>
      <c r="L5386" s="6"/>
      <c r="M5386" s="6"/>
      <c r="N5386" s="6"/>
      <c r="O5386" s="6"/>
      <c r="P5386" s="6"/>
      <c r="Q5386">
        <v>0</v>
      </c>
      <c r="R5386">
        <f t="shared" si="420"/>
        <v>0</v>
      </c>
      <c r="S5386">
        <f t="shared" si="421"/>
        <v>0</v>
      </c>
      <c r="T5386">
        <f t="shared" si="422"/>
        <v>0</v>
      </c>
      <c r="U5386">
        <f t="shared" si="423"/>
        <v>0</v>
      </c>
      <c r="V5386">
        <f t="shared" si="424"/>
        <v>0</v>
      </c>
    </row>
    <row r="5387" spans="1:22" x14ac:dyDescent="0.25">
      <c r="A5387">
        <v>5384</v>
      </c>
      <c r="B5387" t="s">
        <v>32</v>
      </c>
      <c r="C5387" t="s">
        <v>1455</v>
      </c>
      <c r="D5387" s="4">
        <v>45444</v>
      </c>
      <c r="E5387" t="s">
        <v>1495</v>
      </c>
      <c r="F5387" t="s">
        <v>75</v>
      </c>
      <c r="I5387" s="6"/>
      <c r="J5387" s="6"/>
      <c r="K5387" s="6"/>
      <c r="L5387" s="6"/>
      <c r="M5387" s="6"/>
      <c r="N5387" s="6"/>
      <c r="O5387" s="6"/>
      <c r="P5387" s="6"/>
      <c r="Q5387">
        <v>0</v>
      </c>
      <c r="R5387">
        <f t="shared" si="420"/>
        <v>0</v>
      </c>
      <c r="S5387">
        <f t="shared" si="421"/>
        <v>0</v>
      </c>
      <c r="T5387">
        <f t="shared" si="422"/>
        <v>0</v>
      </c>
      <c r="U5387">
        <f t="shared" si="423"/>
        <v>0</v>
      </c>
      <c r="V5387">
        <f t="shared" si="424"/>
        <v>0</v>
      </c>
    </row>
    <row r="5388" spans="1:22" x14ac:dyDescent="0.25">
      <c r="A5388">
        <v>5385</v>
      </c>
      <c r="B5388" t="s">
        <v>32</v>
      </c>
      <c r="C5388" t="s">
        <v>1455</v>
      </c>
      <c r="D5388" s="4">
        <v>45444</v>
      </c>
      <c r="E5388" t="s">
        <v>2097</v>
      </c>
      <c r="F5388" t="s">
        <v>75</v>
      </c>
      <c r="I5388" s="6"/>
      <c r="J5388" s="6"/>
      <c r="K5388" s="6"/>
      <c r="L5388" s="6"/>
      <c r="M5388" s="6"/>
      <c r="N5388" s="6"/>
      <c r="O5388" s="6"/>
      <c r="P5388" s="6"/>
      <c r="Q5388">
        <v>0</v>
      </c>
      <c r="R5388">
        <f t="shared" si="420"/>
        <v>0</v>
      </c>
      <c r="S5388">
        <f t="shared" si="421"/>
        <v>0</v>
      </c>
      <c r="T5388">
        <f t="shared" si="422"/>
        <v>0</v>
      </c>
      <c r="U5388">
        <f t="shared" si="423"/>
        <v>0</v>
      </c>
      <c r="V5388">
        <f t="shared" si="424"/>
        <v>0</v>
      </c>
    </row>
    <row r="5389" spans="1:22" x14ac:dyDescent="0.25">
      <c r="A5389">
        <v>5386</v>
      </c>
      <c r="B5389" t="s">
        <v>32</v>
      </c>
      <c r="C5389" t="s">
        <v>1455</v>
      </c>
      <c r="D5389" s="4">
        <v>45444</v>
      </c>
      <c r="E5389" t="s">
        <v>1496</v>
      </c>
      <c r="F5389" t="s">
        <v>75</v>
      </c>
      <c r="I5389" s="6"/>
      <c r="J5389" s="6"/>
      <c r="K5389" s="6"/>
      <c r="L5389" s="6"/>
      <c r="M5389" s="6"/>
      <c r="N5389" s="6"/>
      <c r="O5389" s="6"/>
      <c r="P5389" s="6"/>
      <c r="Q5389">
        <v>0</v>
      </c>
      <c r="R5389">
        <f t="shared" si="420"/>
        <v>0</v>
      </c>
      <c r="S5389">
        <f t="shared" si="421"/>
        <v>0</v>
      </c>
      <c r="T5389">
        <f t="shared" si="422"/>
        <v>0</v>
      </c>
      <c r="U5389">
        <f t="shared" si="423"/>
        <v>0</v>
      </c>
      <c r="V5389">
        <f t="shared" si="424"/>
        <v>0</v>
      </c>
    </row>
    <row r="5390" spans="1:22" x14ac:dyDescent="0.25">
      <c r="A5390">
        <v>5387</v>
      </c>
      <c r="B5390" t="s">
        <v>32</v>
      </c>
      <c r="C5390" t="s">
        <v>1455</v>
      </c>
      <c r="D5390" s="4">
        <v>45444</v>
      </c>
      <c r="E5390" t="s">
        <v>2096</v>
      </c>
      <c r="F5390" t="s">
        <v>75</v>
      </c>
      <c r="I5390" s="6">
        <v>0</v>
      </c>
      <c r="J5390" s="6">
        <v>0</v>
      </c>
      <c r="K5390" s="6">
        <v>0</v>
      </c>
      <c r="L5390" s="6">
        <v>0</v>
      </c>
      <c r="M5390" s="6">
        <v>0</v>
      </c>
      <c r="N5390" s="6">
        <v>0</v>
      </c>
      <c r="O5390" s="6">
        <v>0</v>
      </c>
      <c r="P5390" s="6">
        <v>0</v>
      </c>
      <c r="Q5390">
        <v>1</v>
      </c>
      <c r="R5390">
        <f t="shared" si="420"/>
        <v>0</v>
      </c>
      <c r="S5390">
        <f t="shared" si="421"/>
        <v>1</v>
      </c>
      <c r="T5390">
        <f t="shared" si="422"/>
        <v>0</v>
      </c>
      <c r="U5390">
        <f t="shared" si="423"/>
        <v>0</v>
      </c>
      <c r="V5390">
        <f t="shared" si="424"/>
        <v>0</v>
      </c>
    </row>
    <row r="5391" spans="1:22" x14ac:dyDescent="0.25">
      <c r="A5391">
        <v>5388</v>
      </c>
      <c r="B5391" t="s">
        <v>32</v>
      </c>
      <c r="C5391" t="s">
        <v>1455</v>
      </c>
      <c r="D5391" s="4">
        <v>45445</v>
      </c>
      <c r="E5391" t="s">
        <v>380</v>
      </c>
      <c r="F5391" t="s">
        <v>75</v>
      </c>
      <c r="I5391" s="6">
        <v>0</v>
      </c>
      <c r="J5391" s="6">
        <v>0</v>
      </c>
      <c r="K5391" s="6">
        <v>0</v>
      </c>
      <c r="L5391" s="6">
        <v>1</v>
      </c>
      <c r="M5391" s="6">
        <v>0</v>
      </c>
      <c r="N5391" s="6">
        <v>0</v>
      </c>
      <c r="O5391" s="6">
        <v>0</v>
      </c>
      <c r="P5391" s="6">
        <v>0</v>
      </c>
      <c r="Q5391">
        <v>1</v>
      </c>
      <c r="R5391">
        <f t="shared" si="420"/>
        <v>0</v>
      </c>
      <c r="S5391">
        <f t="shared" si="421"/>
        <v>1</v>
      </c>
      <c r="T5391">
        <f t="shared" si="422"/>
        <v>1</v>
      </c>
      <c r="U5391">
        <f t="shared" si="423"/>
        <v>1</v>
      </c>
      <c r="V5391">
        <f t="shared" si="424"/>
        <v>0</v>
      </c>
    </row>
    <row r="5392" spans="1:22" x14ac:dyDescent="0.25">
      <c r="A5392">
        <v>5389</v>
      </c>
      <c r="B5392" t="s">
        <v>32</v>
      </c>
      <c r="C5392" t="s">
        <v>1455</v>
      </c>
      <c r="D5392" s="4">
        <v>45445</v>
      </c>
      <c r="E5392" t="s">
        <v>2095</v>
      </c>
      <c r="F5392" t="s">
        <v>75</v>
      </c>
      <c r="I5392" s="6"/>
      <c r="J5392" s="6"/>
      <c r="K5392" s="6"/>
      <c r="L5392" s="6"/>
      <c r="M5392" s="6"/>
      <c r="N5392" s="6"/>
      <c r="O5392" s="6"/>
      <c r="P5392" s="6"/>
      <c r="Q5392">
        <v>0</v>
      </c>
      <c r="R5392">
        <f t="shared" si="420"/>
        <v>0</v>
      </c>
      <c r="S5392">
        <f t="shared" si="421"/>
        <v>0</v>
      </c>
      <c r="T5392">
        <f t="shared" si="422"/>
        <v>0</v>
      </c>
      <c r="U5392">
        <f t="shared" si="423"/>
        <v>0</v>
      </c>
      <c r="V5392">
        <f t="shared" si="424"/>
        <v>0</v>
      </c>
    </row>
    <row r="5393" spans="1:22" x14ac:dyDescent="0.25">
      <c r="A5393">
        <v>5390</v>
      </c>
      <c r="B5393" t="s">
        <v>32</v>
      </c>
      <c r="C5393" t="s">
        <v>1455</v>
      </c>
      <c r="D5393" s="4">
        <v>45445</v>
      </c>
      <c r="E5393" t="s">
        <v>2094</v>
      </c>
      <c r="F5393" t="s">
        <v>75</v>
      </c>
      <c r="I5393" s="6"/>
      <c r="J5393" s="6"/>
      <c r="K5393" s="6"/>
      <c r="L5393" s="6"/>
      <c r="M5393" s="6"/>
      <c r="N5393" s="6"/>
      <c r="O5393" s="6"/>
      <c r="P5393" s="6"/>
      <c r="Q5393">
        <v>0</v>
      </c>
      <c r="R5393">
        <f t="shared" si="420"/>
        <v>0</v>
      </c>
      <c r="S5393">
        <f t="shared" si="421"/>
        <v>0</v>
      </c>
      <c r="T5393">
        <f t="shared" si="422"/>
        <v>0</v>
      </c>
      <c r="U5393">
        <f t="shared" si="423"/>
        <v>0</v>
      </c>
      <c r="V5393">
        <f t="shared" si="424"/>
        <v>0</v>
      </c>
    </row>
    <row r="5394" spans="1:22" x14ac:dyDescent="0.25">
      <c r="A5394">
        <v>5391</v>
      </c>
      <c r="B5394" t="s">
        <v>32</v>
      </c>
      <c r="C5394" t="s">
        <v>1455</v>
      </c>
      <c r="D5394" s="4">
        <v>45445</v>
      </c>
      <c r="E5394" t="s">
        <v>381</v>
      </c>
      <c r="F5394" t="s">
        <v>75</v>
      </c>
      <c r="I5394" s="6">
        <v>0</v>
      </c>
      <c r="J5394" s="6">
        <v>0</v>
      </c>
      <c r="K5394" s="6">
        <v>0</v>
      </c>
      <c r="L5394" s="6">
        <v>0</v>
      </c>
      <c r="M5394" s="6">
        <v>0</v>
      </c>
      <c r="N5394" s="6">
        <v>0</v>
      </c>
      <c r="O5394" s="6">
        <v>0</v>
      </c>
      <c r="P5394" s="6">
        <v>0</v>
      </c>
      <c r="Q5394">
        <v>1</v>
      </c>
      <c r="R5394">
        <f t="shared" si="420"/>
        <v>0</v>
      </c>
      <c r="S5394">
        <f t="shared" si="421"/>
        <v>1</v>
      </c>
      <c r="T5394">
        <f t="shared" si="422"/>
        <v>0</v>
      </c>
      <c r="U5394">
        <f t="shared" si="423"/>
        <v>0</v>
      </c>
      <c r="V5394">
        <f t="shared" si="424"/>
        <v>0</v>
      </c>
    </row>
    <row r="5395" spans="1:22" x14ac:dyDescent="0.25">
      <c r="A5395">
        <v>5392</v>
      </c>
      <c r="B5395" t="s">
        <v>32</v>
      </c>
      <c r="C5395" t="s">
        <v>1455</v>
      </c>
      <c r="D5395" s="4">
        <v>45445</v>
      </c>
      <c r="E5395" t="s">
        <v>382</v>
      </c>
      <c r="F5395" t="s">
        <v>75</v>
      </c>
      <c r="I5395" s="6"/>
      <c r="J5395" s="6"/>
      <c r="K5395" s="6"/>
      <c r="L5395" s="6"/>
      <c r="M5395" s="6"/>
      <c r="N5395" s="6"/>
      <c r="O5395" s="6"/>
      <c r="P5395" s="6"/>
      <c r="Q5395">
        <v>0</v>
      </c>
      <c r="R5395">
        <f t="shared" si="420"/>
        <v>0</v>
      </c>
      <c r="S5395">
        <f t="shared" si="421"/>
        <v>0</v>
      </c>
      <c r="T5395">
        <f t="shared" si="422"/>
        <v>0</v>
      </c>
      <c r="U5395">
        <f t="shared" si="423"/>
        <v>0</v>
      </c>
      <c r="V5395">
        <f t="shared" si="424"/>
        <v>0</v>
      </c>
    </row>
    <row r="5396" spans="1:22" x14ac:dyDescent="0.25">
      <c r="A5396">
        <v>5393</v>
      </c>
      <c r="B5396" t="s">
        <v>32</v>
      </c>
      <c r="C5396" t="s">
        <v>1455</v>
      </c>
      <c r="D5396" s="4">
        <v>45445</v>
      </c>
      <c r="E5396" t="s">
        <v>2093</v>
      </c>
      <c r="F5396" t="s">
        <v>75</v>
      </c>
      <c r="I5396" s="6">
        <v>0</v>
      </c>
      <c r="J5396" s="6">
        <v>0</v>
      </c>
      <c r="K5396" s="6">
        <v>0</v>
      </c>
      <c r="L5396" s="6">
        <v>0</v>
      </c>
      <c r="M5396" s="6">
        <v>0</v>
      </c>
      <c r="N5396" s="6">
        <v>0</v>
      </c>
      <c r="O5396" s="6">
        <v>0</v>
      </c>
      <c r="P5396" s="6">
        <v>0</v>
      </c>
      <c r="Q5396">
        <v>1</v>
      </c>
      <c r="R5396">
        <f t="shared" si="420"/>
        <v>0</v>
      </c>
      <c r="S5396">
        <f t="shared" si="421"/>
        <v>1</v>
      </c>
      <c r="T5396">
        <f t="shared" si="422"/>
        <v>0</v>
      </c>
      <c r="U5396">
        <f t="shared" si="423"/>
        <v>0</v>
      </c>
      <c r="V5396">
        <f t="shared" si="424"/>
        <v>0</v>
      </c>
    </row>
    <row r="5397" spans="1:22" x14ac:dyDescent="0.25">
      <c r="A5397">
        <v>5394</v>
      </c>
      <c r="B5397" t="s">
        <v>32</v>
      </c>
      <c r="C5397" t="s">
        <v>1455</v>
      </c>
      <c r="D5397" s="4">
        <v>45445</v>
      </c>
      <c r="E5397" t="s">
        <v>1102</v>
      </c>
      <c r="F5397" t="s">
        <v>75</v>
      </c>
      <c r="I5397" s="6"/>
      <c r="J5397" s="6"/>
      <c r="K5397" s="6"/>
      <c r="L5397" s="6"/>
      <c r="M5397" s="6"/>
      <c r="N5397" s="6"/>
      <c r="O5397" s="6"/>
      <c r="P5397" s="6"/>
      <c r="Q5397">
        <v>0</v>
      </c>
      <c r="R5397">
        <f t="shared" si="420"/>
        <v>0</v>
      </c>
      <c r="S5397">
        <f t="shared" si="421"/>
        <v>0</v>
      </c>
      <c r="T5397">
        <f t="shared" si="422"/>
        <v>0</v>
      </c>
      <c r="U5397">
        <f t="shared" si="423"/>
        <v>0</v>
      </c>
      <c r="V5397">
        <f t="shared" si="424"/>
        <v>0</v>
      </c>
    </row>
    <row r="5398" spans="1:22" x14ac:dyDescent="0.25">
      <c r="A5398">
        <v>5395</v>
      </c>
      <c r="B5398" t="s">
        <v>32</v>
      </c>
      <c r="C5398" t="s">
        <v>1455</v>
      </c>
      <c r="D5398" s="4">
        <v>45445</v>
      </c>
      <c r="E5398" t="s">
        <v>1103</v>
      </c>
      <c r="F5398" t="s">
        <v>75</v>
      </c>
      <c r="I5398" s="6"/>
      <c r="J5398" s="6"/>
      <c r="K5398" s="6"/>
      <c r="L5398" s="6"/>
      <c r="M5398" s="6"/>
      <c r="N5398" s="6"/>
      <c r="O5398" s="6"/>
      <c r="P5398" s="6"/>
      <c r="Q5398">
        <v>0</v>
      </c>
      <c r="R5398">
        <f t="shared" si="420"/>
        <v>0</v>
      </c>
      <c r="S5398">
        <f t="shared" si="421"/>
        <v>0</v>
      </c>
      <c r="T5398">
        <f t="shared" si="422"/>
        <v>0</v>
      </c>
      <c r="U5398">
        <f t="shared" si="423"/>
        <v>0</v>
      </c>
      <c r="V5398">
        <f t="shared" si="424"/>
        <v>0</v>
      </c>
    </row>
    <row r="5399" spans="1:22" x14ac:dyDescent="0.25">
      <c r="A5399">
        <v>5396</v>
      </c>
      <c r="B5399" t="s">
        <v>32</v>
      </c>
      <c r="C5399" t="s">
        <v>1455</v>
      </c>
      <c r="D5399" s="4">
        <v>45445</v>
      </c>
      <c r="E5399" t="s">
        <v>2092</v>
      </c>
      <c r="F5399" t="s">
        <v>75</v>
      </c>
      <c r="I5399" s="6"/>
      <c r="J5399" s="6"/>
      <c r="K5399" s="6"/>
      <c r="L5399" s="6"/>
      <c r="M5399" s="6"/>
      <c r="N5399" s="6"/>
      <c r="O5399" s="6"/>
      <c r="P5399" s="6"/>
      <c r="Q5399">
        <v>0</v>
      </c>
      <c r="R5399">
        <f t="shared" si="420"/>
        <v>0</v>
      </c>
      <c r="S5399">
        <f t="shared" si="421"/>
        <v>0</v>
      </c>
      <c r="T5399">
        <f t="shared" si="422"/>
        <v>0</v>
      </c>
      <c r="U5399">
        <f t="shared" si="423"/>
        <v>0</v>
      </c>
      <c r="V5399">
        <f t="shared" si="424"/>
        <v>0</v>
      </c>
    </row>
    <row r="5400" spans="1:22" x14ac:dyDescent="0.25">
      <c r="A5400">
        <v>5397</v>
      </c>
      <c r="B5400" t="s">
        <v>32</v>
      </c>
      <c r="C5400" t="s">
        <v>1455</v>
      </c>
      <c r="D5400" s="4">
        <v>45445</v>
      </c>
      <c r="E5400" t="s">
        <v>2091</v>
      </c>
      <c r="F5400" t="s">
        <v>75</v>
      </c>
      <c r="I5400" s="6"/>
      <c r="J5400" s="6"/>
      <c r="K5400" s="6"/>
      <c r="L5400" s="6"/>
      <c r="M5400" s="6"/>
      <c r="N5400" s="6"/>
      <c r="O5400" s="6"/>
      <c r="P5400" s="6"/>
      <c r="Q5400">
        <v>0</v>
      </c>
      <c r="R5400">
        <f t="shared" si="420"/>
        <v>0</v>
      </c>
      <c r="S5400">
        <f t="shared" si="421"/>
        <v>0</v>
      </c>
      <c r="T5400">
        <f t="shared" si="422"/>
        <v>0</v>
      </c>
      <c r="U5400">
        <f t="shared" si="423"/>
        <v>0</v>
      </c>
      <c r="V5400">
        <f t="shared" si="424"/>
        <v>0</v>
      </c>
    </row>
    <row r="5401" spans="1:22" x14ac:dyDescent="0.25">
      <c r="A5401">
        <v>5398</v>
      </c>
      <c r="B5401" t="s">
        <v>32</v>
      </c>
      <c r="C5401" t="s">
        <v>1455</v>
      </c>
      <c r="D5401" s="4">
        <v>45445</v>
      </c>
      <c r="E5401" t="s">
        <v>1423</v>
      </c>
      <c r="F5401" t="s">
        <v>75</v>
      </c>
      <c r="I5401" s="6">
        <v>0</v>
      </c>
      <c r="J5401" s="6">
        <v>0</v>
      </c>
      <c r="K5401" s="6">
        <v>0</v>
      </c>
      <c r="L5401" s="6">
        <v>1</v>
      </c>
      <c r="M5401" s="6">
        <v>0</v>
      </c>
      <c r="N5401" s="6">
        <v>0</v>
      </c>
      <c r="O5401" s="6">
        <v>0</v>
      </c>
      <c r="P5401" s="6">
        <v>0</v>
      </c>
      <c r="Q5401">
        <v>1</v>
      </c>
      <c r="R5401">
        <f t="shared" si="420"/>
        <v>0</v>
      </c>
      <c r="S5401">
        <f t="shared" si="421"/>
        <v>1</v>
      </c>
      <c r="T5401">
        <f t="shared" si="422"/>
        <v>1</v>
      </c>
      <c r="U5401">
        <f t="shared" si="423"/>
        <v>1</v>
      </c>
      <c r="V5401">
        <f t="shared" si="424"/>
        <v>0</v>
      </c>
    </row>
    <row r="5402" spans="1:22" x14ac:dyDescent="0.25">
      <c r="A5402">
        <v>5399</v>
      </c>
      <c r="B5402" t="s">
        <v>32</v>
      </c>
      <c r="C5402" t="s">
        <v>1455</v>
      </c>
      <c r="D5402" s="4">
        <v>45446</v>
      </c>
      <c r="E5402" t="s">
        <v>383</v>
      </c>
      <c r="F5402" t="s">
        <v>75</v>
      </c>
      <c r="I5402" s="6"/>
      <c r="J5402" s="6"/>
      <c r="K5402" s="6"/>
      <c r="L5402" s="6"/>
      <c r="M5402" s="6"/>
      <c r="N5402" s="6"/>
      <c r="O5402" s="6"/>
      <c r="P5402" s="6"/>
      <c r="Q5402">
        <v>0</v>
      </c>
      <c r="R5402">
        <f t="shared" si="420"/>
        <v>0</v>
      </c>
      <c r="S5402">
        <f t="shared" si="421"/>
        <v>0</v>
      </c>
      <c r="T5402">
        <f t="shared" si="422"/>
        <v>0</v>
      </c>
      <c r="U5402">
        <f t="shared" si="423"/>
        <v>0</v>
      </c>
      <c r="V5402">
        <f t="shared" si="424"/>
        <v>0</v>
      </c>
    </row>
    <row r="5403" spans="1:22" x14ac:dyDescent="0.25">
      <c r="A5403">
        <v>5400</v>
      </c>
      <c r="B5403" t="s">
        <v>32</v>
      </c>
      <c r="C5403" t="s">
        <v>1455</v>
      </c>
      <c r="D5403" s="4">
        <v>45446</v>
      </c>
      <c r="E5403" t="s">
        <v>384</v>
      </c>
      <c r="F5403" t="s">
        <v>75</v>
      </c>
      <c r="I5403" s="6"/>
      <c r="J5403" s="6"/>
      <c r="K5403" s="6"/>
      <c r="L5403" s="6"/>
      <c r="M5403" s="6"/>
      <c r="N5403" s="6"/>
      <c r="O5403" s="6"/>
      <c r="P5403" s="6"/>
      <c r="Q5403">
        <v>0</v>
      </c>
      <c r="R5403">
        <f t="shared" si="420"/>
        <v>0</v>
      </c>
      <c r="S5403">
        <f t="shared" si="421"/>
        <v>0</v>
      </c>
      <c r="T5403">
        <f t="shared" si="422"/>
        <v>0</v>
      </c>
      <c r="U5403">
        <f t="shared" si="423"/>
        <v>0</v>
      </c>
      <c r="V5403">
        <f t="shared" si="424"/>
        <v>0</v>
      </c>
    </row>
    <row r="5404" spans="1:22" x14ac:dyDescent="0.25">
      <c r="A5404">
        <v>5401</v>
      </c>
      <c r="B5404" t="s">
        <v>32</v>
      </c>
      <c r="C5404" t="s">
        <v>1455</v>
      </c>
      <c r="D5404" s="4">
        <v>45446</v>
      </c>
      <c r="E5404" t="s">
        <v>385</v>
      </c>
      <c r="F5404" t="s">
        <v>75</v>
      </c>
      <c r="I5404" s="6"/>
      <c r="J5404" s="6"/>
      <c r="K5404" s="6"/>
      <c r="L5404" s="6"/>
      <c r="M5404" s="6"/>
      <c r="N5404" s="6"/>
      <c r="O5404" s="6"/>
      <c r="P5404" s="6"/>
      <c r="Q5404">
        <v>0</v>
      </c>
      <c r="R5404">
        <f t="shared" si="420"/>
        <v>0</v>
      </c>
      <c r="S5404">
        <f t="shared" si="421"/>
        <v>0</v>
      </c>
      <c r="T5404">
        <f t="shared" si="422"/>
        <v>0</v>
      </c>
      <c r="U5404">
        <f t="shared" si="423"/>
        <v>0</v>
      </c>
      <c r="V5404">
        <f t="shared" si="424"/>
        <v>0</v>
      </c>
    </row>
    <row r="5405" spans="1:22" x14ac:dyDescent="0.25">
      <c r="A5405">
        <v>5402</v>
      </c>
      <c r="B5405" t="s">
        <v>32</v>
      </c>
      <c r="C5405" t="s">
        <v>1455</v>
      </c>
      <c r="D5405" s="4">
        <v>45446</v>
      </c>
      <c r="E5405" t="s">
        <v>386</v>
      </c>
      <c r="F5405" t="s">
        <v>75</v>
      </c>
      <c r="I5405" s="6"/>
      <c r="J5405" s="6"/>
      <c r="K5405" s="6"/>
      <c r="L5405" s="6"/>
      <c r="M5405" s="6"/>
      <c r="N5405" s="6"/>
      <c r="O5405" s="6"/>
      <c r="P5405" s="6"/>
      <c r="Q5405">
        <v>0</v>
      </c>
      <c r="R5405">
        <f t="shared" si="420"/>
        <v>0</v>
      </c>
      <c r="S5405">
        <f t="shared" si="421"/>
        <v>0</v>
      </c>
      <c r="T5405">
        <f t="shared" si="422"/>
        <v>0</v>
      </c>
      <c r="U5405">
        <f t="shared" si="423"/>
        <v>0</v>
      </c>
      <c r="V5405">
        <f t="shared" si="424"/>
        <v>0</v>
      </c>
    </row>
    <row r="5406" spans="1:22" x14ac:dyDescent="0.25">
      <c r="A5406">
        <v>5403</v>
      </c>
      <c r="B5406" t="s">
        <v>32</v>
      </c>
      <c r="C5406" t="s">
        <v>1455</v>
      </c>
      <c r="D5406" s="4">
        <v>45446</v>
      </c>
      <c r="E5406" t="s">
        <v>492</v>
      </c>
      <c r="F5406" t="s">
        <v>75</v>
      </c>
      <c r="I5406" s="6">
        <v>0</v>
      </c>
      <c r="J5406" s="6">
        <v>0</v>
      </c>
      <c r="K5406" s="6">
        <v>0</v>
      </c>
      <c r="L5406" s="6">
        <v>0</v>
      </c>
      <c r="M5406" s="6">
        <v>0</v>
      </c>
      <c r="N5406" s="6">
        <v>0</v>
      </c>
      <c r="O5406" s="6">
        <v>0</v>
      </c>
      <c r="P5406" s="6">
        <v>1</v>
      </c>
      <c r="Q5406">
        <v>1</v>
      </c>
      <c r="R5406">
        <f t="shared" si="420"/>
        <v>0</v>
      </c>
      <c r="S5406">
        <f t="shared" si="421"/>
        <v>1</v>
      </c>
      <c r="T5406">
        <f t="shared" si="422"/>
        <v>1</v>
      </c>
      <c r="U5406">
        <f t="shared" si="423"/>
        <v>1</v>
      </c>
      <c r="V5406">
        <f t="shared" si="424"/>
        <v>0</v>
      </c>
    </row>
    <row r="5407" spans="1:22" x14ac:dyDescent="0.25">
      <c r="A5407">
        <v>5404</v>
      </c>
      <c r="B5407" t="s">
        <v>32</v>
      </c>
      <c r="C5407" t="s">
        <v>1455</v>
      </c>
      <c r="D5407" s="4">
        <v>45446</v>
      </c>
      <c r="E5407" t="s">
        <v>493</v>
      </c>
      <c r="F5407" t="s">
        <v>75</v>
      </c>
      <c r="I5407" s="6"/>
      <c r="J5407" s="6"/>
      <c r="K5407" s="6"/>
      <c r="L5407" s="6"/>
      <c r="M5407" s="6"/>
      <c r="N5407" s="6"/>
      <c r="O5407" s="6"/>
      <c r="P5407" s="6"/>
      <c r="Q5407">
        <v>0</v>
      </c>
      <c r="R5407">
        <f t="shared" si="420"/>
        <v>0</v>
      </c>
      <c r="S5407">
        <f t="shared" si="421"/>
        <v>0</v>
      </c>
      <c r="T5407">
        <f t="shared" si="422"/>
        <v>0</v>
      </c>
      <c r="U5407">
        <f t="shared" si="423"/>
        <v>0</v>
      </c>
      <c r="V5407">
        <f t="shared" si="424"/>
        <v>0</v>
      </c>
    </row>
    <row r="5408" spans="1:22" x14ac:dyDescent="0.25">
      <c r="A5408">
        <v>5405</v>
      </c>
      <c r="B5408" t="s">
        <v>32</v>
      </c>
      <c r="C5408" t="s">
        <v>1455</v>
      </c>
      <c r="D5408" s="4">
        <v>45446</v>
      </c>
      <c r="E5408" t="s">
        <v>1497</v>
      </c>
      <c r="F5408" t="s">
        <v>75</v>
      </c>
      <c r="I5408" s="6">
        <v>0</v>
      </c>
      <c r="J5408" s="6">
        <v>0</v>
      </c>
      <c r="K5408" s="6">
        <v>0</v>
      </c>
      <c r="L5408" s="6">
        <v>0</v>
      </c>
      <c r="M5408" s="6">
        <v>0</v>
      </c>
      <c r="N5408" s="6">
        <v>0</v>
      </c>
      <c r="O5408" s="6">
        <v>0</v>
      </c>
      <c r="P5408" s="6">
        <v>0</v>
      </c>
      <c r="Q5408">
        <v>1</v>
      </c>
      <c r="R5408">
        <f t="shared" si="420"/>
        <v>0</v>
      </c>
      <c r="S5408">
        <f t="shared" si="421"/>
        <v>1</v>
      </c>
      <c r="T5408">
        <f t="shared" si="422"/>
        <v>0</v>
      </c>
      <c r="U5408">
        <f t="shared" si="423"/>
        <v>0</v>
      </c>
      <c r="V5408">
        <f t="shared" si="424"/>
        <v>0</v>
      </c>
    </row>
    <row r="5409" spans="1:22" x14ac:dyDescent="0.25">
      <c r="A5409">
        <v>5406</v>
      </c>
      <c r="B5409" t="s">
        <v>32</v>
      </c>
      <c r="C5409" t="s">
        <v>1455</v>
      </c>
      <c r="D5409" s="4">
        <v>45446</v>
      </c>
      <c r="E5409" t="s">
        <v>1498</v>
      </c>
      <c r="F5409" t="s">
        <v>75</v>
      </c>
      <c r="I5409" s="6"/>
      <c r="J5409" s="6"/>
      <c r="K5409" s="6"/>
      <c r="L5409" s="6"/>
      <c r="M5409" s="6"/>
      <c r="N5409" s="6"/>
      <c r="O5409" s="6"/>
      <c r="P5409" s="6"/>
      <c r="Q5409">
        <v>0</v>
      </c>
      <c r="R5409">
        <f t="shared" si="420"/>
        <v>0</v>
      </c>
      <c r="S5409">
        <f t="shared" si="421"/>
        <v>0</v>
      </c>
      <c r="T5409">
        <f t="shared" si="422"/>
        <v>0</v>
      </c>
      <c r="U5409">
        <f t="shared" si="423"/>
        <v>0</v>
      </c>
      <c r="V5409">
        <f t="shared" si="424"/>
        <v>0</v>
      </c>
    </row>
    <row r="5410" spans="1:22" x14ac:dyDescent="0.25">
      <c r="A5410">
        <v>5407</v>
      </c>
      <c r="B5410" t="s">
        <v>32</v>
      </c>
      <c r="C5410" t="s">
        <v>1455</v>
      </c>
      <c r="D5410" s="4">
        <v>45446</v>
      </c>
      <c r="E5410" t="s">
        <v>2090</v>
      </c>
      <c r="F5410" t="s">
        <v>75</v>
      </c>
      <c r="I5410" s="6">
        <v>0</v>
      </c>
      <c r="J5410" s="6">
        <v>0</v>
      </c>
      <c r="K5410" s="6">
        <v>1</v>
      </c>
      <c r="L5410" s="6">
        <v>0</v>
      </c>
      <c r="M5410" s="6">
        <v>0</v>
      </c>
      <c r="N5410" s="6">
        <v>1</v>
      </c>
      <c r="O5410" s="6">
        <v>0</v>
      </c>
      <c r="P5410" s="6">
        <v>0</v>
      </c>
      <c r="Q5410">
        <v>1</v>
      </c>
      <c r="R5410">
        <f t="shared" si="420"/>
        <v>0</v>
      </c>
      <c r="S5410">
        <f t="shared" si="421"/>
        <v>1</v>
      </c>
      <c r="T5410">
        <f t="shared" si="422"/>
        <v>2</v>
      </c>
      <c r="U5410">
        <f t="shared" si="423"/>
        <v>1</v>
      </c>
      <c r="V5410">
        <f t="shared" si="424"/>
        <v>0</v>
      </c>
    </row>
    <row r="5411" spans="1:22" x14ac:dyDescent="0.25">
      <c r="A5411">
        <v>5408</v>
      </c>
      <c r="B5411" t="s">
        <v>32</v>
      </c>
      <c r="C5411" t="s">
        <v>1455</v>
      </c>
      <c r="D5411" s="4">
        <v>45447</v>
      </c>
      <c r="E5411" t="s">
        <v>387</v>
      </c>
      <c r="F5411" t="s">
        <v>413</v>
      </c>
      <c r="G5411">
        <v>251</v>
      </c>
      <c r="I5411" s="6">
        <v>0</v>
      </c>
      <c r="J5411" s="6">
        <v>0</v>
      </c>
      <c r="K5411" s="6">
        <v>0</v>
      </c>
      <c r="L5411" s="6">
        <v>1</v>
      </c>
      <c r="M5411" s="6">
        <v>0</v>
      </c>
      <c r="N5411" s="6">
        <v>0</v>
      </c>
      <c r="O5411" s="6">
        <v>0</v>
      </c>
      <c r="P5411" s="6">
        <v>1</v>
      </c>
      <c r="Q5411">
        <v>1</v>
      </c>
      <c r="R5411">
        <f t="shared" si="420"/>
        <v>1</v>
      </c>
      <c r="S5411">
        <f t="shared" si="421"/>
        <v>0</v>
      </c>
      <c r="T5411">
        <f t="shared" si="422"/>
        <v>2</v>
      </c>
      <c r="U5411">
        <f t="shared" si="423"/>
        <v>1</v>
      </c>
      <c r="V5411">
        <f t="shared" si="424"/>
        <v>1</v>
      </c>
    </row>
    <row r="5412" spans="1:22" x14ac:dyDescent="0.25">
      <c r="A5412">
        <v>5409</v>
      </c>
      <c r="B5412" t="s">
        <v>32</v>
      </c>
      <c r="C5412" t="s">
        <v>1455</v>
      </c>
      <c r="D5412" s="4">
        <v>45447</v>
      </c>
      <c r="E5412" t="s">
        <v>1566</v>
      </c>
      <c r="F5412" t="s">
        <v>75</v>
      </c>
      <c r="I5412" s="6">
        <v>0</v>
      </c>
      <c r="J5412" s="6">
        <v>0</v>
      </c>
      <c r="K5412" s="6">
        <v>0</v>
      </c>
      <c r="L5412" s="6">
        <v>0</v>
      </c>
      <c r="M5412" s="6">
        <v>0</v>
      </c>
      <c r="N5412" s="6">
        <v>0</v>
      </c>
      <c r="O5412" s="6">
        <v>0</v>
      </c>
      <c r="P5412" s="6">
        <v>0</v>
      </c>
      <c r="Q5412">
        <v>1</v>
      </c>
      <c r="R5412">
        <f t="shared" si="420"/>
        <v>0</v>
      </c>
      <c r="S5412">
        <f t="shared" si="421"/>
        <v>1</v>
      </c>
      <c r="T5412">
        <f t="shared" si="422"/>
        <v>0</v>
      </c>
      <c r="U5412">
        <f t="shared" si="423"/>
        <v>0</v>
      </c>
      <c r="V5412">
        <f t="shared" si="424"/>
        <v>0</v>
      </c>
    </row>
    <row r="5413" spans="1:22" x14ac:dyDescent="0.25">
      <c r="A5413">
        <v>5410</v>
      </c>
      <c r="B5413" t="s">
        <v>32</v>
      </c>
      <c r="C5413" t="s">
        <v>1455</v>
      </c>
      <c r="D5413" s="4">
        <v>45447</v>
      </c>
      <c r="E5413" t="s">
        <v>2089</v>
      </c>
      <c r="F5413" t="s">
        <v>75</v>
      </c>
      <c r="I5413" s="6"/>
      <c r="J5413" s="6"/>
      <c r="K5413" s="6"/>
      <c r="L5413" s="6"/>
      <c r="M5413" s="6"/>
      <c r="N5413" s="6"/>
      <c r="O5413" s="6"/>
      <c r="P5413" s="6"/>
      <c r="Q5413">
        <v>0</v>
      </c>
      <c r="R5413">
        <f t="shared" si="420"/>
        <v>0</v>
      </c>
      <c r="S5413">
        <f t="shared" si="421"/>
        <v>0</v>
      </c>
      <c r="T5413">
        <f t="shared" si="422"/>
        <v>0</v>
      </c>
      <c r="U5413">
        <f t="shared" si="423"/>
        <v>0</v>
      </c>
      <c r="V5413">
        <f t="shared" si="424"/>
        <v>0</v>
      </c>
    </row>
    <row r="5414" spans="1:22" x14ac:dyDescent="0.25">
      <c r="A5414">
        <v>5411</v>
      </c>
      <c r="B5414" t="s">
        <v>32</v>
      </c>
      <c r="C5414" t="s">
        <v>1455</v>
      </c>
      <c r="D5414" s="4">
        <v>45447</v>
      </c>
      <c r="E5414" t="s">
        <v>2088</v>
      </c>
      <c r="F5414" t="s">
        <v>75</v>
      </c>
      <c r="I5414" s="6"/>
      <c r="J5414" s="6"/>
      <c r="K5414" s="6"/>
      <c r="L5414" s="6"/>
      <c r="M5414" s="6"/>
      <c r="N5414" s="6"/>
      <c r="O5414" s="6"/>
      <c r="P5414" s="6"/>
      <c r="Q5414">
        <v>0</v>
      </c>
      <c r="R5414">
        <f t="shared" si="420"/>
        <v>0</v>
      </c>
      <c r="S5414">
        <f t="shared" si="421"/>
        <v>0</v>
      </c>
      <c r="T5414">
        <f t="shared" si="422"/>
        <v>0</v>
      </c>
      <c r="U5414">
        <f t="shared" si="423"/>
        <v>0</v>
      </c>
      <c r="V5414">
        <f t="shared" si="424"/>
        <v>0</v>
      </c>
    </row>
    <row r="5415" spans="1:22" x14ac:dyDescent="0.25">
      <c r="A5415">
        <v>5412</v>
      </c>
      <c r="B5415" t="s">
        <v>32</v>
      </c>
      <c r="C5415" t="s">
        <v>1455</v>
      </c>
      <c r="D5415" s="4">
        <v>45447</v>
      </c>
      <c r="E5415" t="s">
        <v>494</v>
      </c>
      <c r="F5415" t="s">
        <v>75</v>
      </c>
      <c r="I5415" s="6">
        <v>0</v>
      </c>
      <c r="J5415" s="6">
        <v>0</v>
      </c>
      <c r="K5415" s="6">
        <v>0</v>
      </c>
      <c r="L5415" s="6">
        <v>0</v>
      </c>
      <c r="M5415" s="6">
        <v>0</v>
      </c>
      <c r="N5415" s="6">
        <v>0</v>
      </c>
      <c r="O5415" s="6">
        <v>0</v>
      </c>
      <c r="P5415" s="6">
        <v>0</v>
      </c>
      <c r="Q5415">
        <v>1</v>
      </c>
      <c r="R5415">
        <f t="shared" si="420"/>
        <v>0</v>
      </c>
      <c r="S5415">
        <f t="shared" si="421"/>
        <v>1</v>
      </c>
      <c r="T5415">
        <f t="shared" si="422"/>
        <v>0</v>
      </c>
      <c r="U5415">
        <f t="shared" si="423"/>
        <v>0</v>
      </c>
      <c r="V5415">
        <f t="shared" si="424"/>
        <v>0</v>
      </c>
    </row>
    <row r="5416" spans="1:22" x14ac:dyDescent="0.25">
      <c r="A5416">
        <v>5413</v>
      </c>
      <c r="B5416" t="s">
        <v>32</v>
      </c>
      <c r="C5416" t="s">
        <v>1455</v>
      </c>
      <c r="D5416" s="4">
        <v>45447</v>
      </c>
      <c r="E5416" t="s">
        <v>900</v>
      </c>
      <c r="F5416" t="s">
        <v>75</v>
      </c>
      <c r="I5416" s="6"/>
      <c r="J5416" s="6"/>
      <c r="K5416" s="6"/>
      <c r="L5416" s="6"/>
      <c r="M5416" s="6"/>
      <c r="N5416" s="6"/>
      <c r="O5416" s="6"/>
      <c r="P5416" s="6"/>
      <c r="Q5416">
        <v>0</v>
      </c>
      <c r="R5416">
        <f t="shared" si="420"/>
        <v>0</v>
      </c>
      <c r="S5416">
        <f t="shared" si="421"/>
        <v>0</v>
      </c>
      <c r="T5416">
        <f t="shared" si="422"/>
        <v>0</v>
      </c>
      <c r="U5416">
        <f t="shared" si="423"/>
        <v>0</v>
      </c>
      <c r="V5416">
        <f t="shared" si="424"/>
        <v>0</v>
      </c>
    </row>
    <row r="5417" spans="1:22" x14ac:dyDescent="0.25">
      <c r="A5417">
        <v>5414</v>
      </c>
      <c r="B5417" t="s">
        <v>32</v>
      </c>
      <c r="C5417" t="s">
        <v>1455</v>
      </c>
      <c r="D5417" s="4">
        <v>45447</v>
      </c>
      <c r="E5417" t="s">
        <v>1029</v>
      </c>
      <c r="F5417" t="s">
        <v>75</v>
      </c>
      <c r="I5417" s="6"/>
      <c r="J5417" s="6"/>
      <c r="K5417" s="6"/>
      <c r="L5417" s="6"/>
      <c r="M5417" s="6"/>
      <c r="N5417" s="6"/>
      <c r="O5417" s="6"/>
      <c r="P5417" s="6"/>
      <c r="Q5417">
        <v>0</v>
      </c>
      <c r="R5417">
        <f t="shared" si="420"/>
        <v>0</v>
      </c>
      <c r="S5417">
        <f t="shared" si="421"/>
        <v>0</v>
      </c>
      <c r="T5417">
        <f t="shared" si="422"/>
        <v>0</v>
      </c>
      <c r="U5417">
        <f t="shared" si="423"/>
        <v>0</v>
      </c>
      <c r="V5417">
        <f t="shared" si="424"/>
        <v>0</v>
      </c>
    </row>
    <row r="5418" spans="1:22" x14ac:dyDescent="0.25">
      <c r="A5418">
        <v>5415</v>
      </c>
      <c r="B5418" t="s">
        <v>32</v>
      </c>
      <c r="C5418" t="s">
        <v>1455</v>
      </c>
      <c r="D5418" s="4">
        <v>45447</v>
      </c>
      <c r="E5418" t="s">
        <v>495</v>
      </c>
      <c r="F5418" t="s">
        <v>75</v>
      </c>
      <c r="I5418" s="6"/>
      <c r="J5418" s="6"/>
      <c r="K5418" s="6"/>
      <c r="L5418" s="6"/>
      <c r="M5418" s="6"/>
      <c r="N5418" s="6"/>
      <c r="O5418" s="6"/>
      <c r="P5418" s="6"/>
      <c r="Q5418">
        <v>0</v>
      </c>
      <c r="R5418">
        <f t="shared" si="420"/>
        <v>0</v>
      </c>
      <c r="S5418">
        <f t="shared" si="421"/>
        <v>0</v>
      </c>
      <c r="T5418">
        <f t="shared" si="422"/>
        <v>0</v>
      </c>
      <c r="U5418">
        <f t="shared" si="423"/>
        <v>0</v>
      </c>
      <c r="V5418">
        <f t="shared" si="424"/>
        <v>0</v>
      </c>
    </row>
    <row r="5419" spans="1:22" x14ac:dyDescent="0.25">
      <c r="A5419">
        <v>5416</v>
      </c>
      <c r="B5419" t="s">
        <v>32</v>
      </c>
      <c r="C5419" t="s">
        <v>1455</v>
      </c>
      <c r="D5419" s="4">
        <v>45447</v>
      </c>
      <c r="E5419" t="s">
        <v>496</v>
      </c>
      <c r="F5419" t="s">
        <v>75</v>
      </c>
      <c r="I5419" s="6">
        <v>0</v>
      </c>
      <c r="J5419" s="6">
        <v>0</v>
      </c>
      <c r="K5419" s="6">
        <v>0</v>
      </c>
      <c r="L5419" s="6">
        <v>1</v>
      </c>
      <c r="M5419" s="6">
        <v>0</v>
      </c>
      <c r="N5419" s="6">
        <v>0</v>
      </c>
      <c r="O5419" s="6">
        <v>0</v>
      </c>
      <c r="P5419" s="6">
        <v>0</v>
      </c>
      <c r="Q5419">
        <v>1</v>
      </c>
      <c r="R5419">
        <f t="shared" si="420"/>
        <v>0</v>
      </c>
      <c r="S5419">
        <f t="shared" si="421"/>
        <v>1</v>
      </c>
      <c r="T5419">
        <f t="shared" si="422"/>
        <v>1</v>
      </c>
      <c r="U5419">
        <f t="shared" si="423"/>
        <v>1</v>
      </c>
      <c r="V5419">
        <f t="shared" si="424"/>
        <v>0</v>
      </c>
    </row>
    <row r="5420" spans="1:22" x14ac:dyDescent="0.25">
      <c r="A5420">
        <v>5417</v>
      </c>
      <c r="B5420" t="s">
        <v>32</v>
      </c>
      <c r="C5420" t="s">
        <v>1455</v>
      </c>
      <c r="D5420" s="4">
        <v>45447</v>
      </c>
      <c r="E5420" t="s">
        <v>2087</v>
      </c>
      <c r="F5420" t="s">
        <v>75</v>
      </c>
      <c r="I5420" s="6"/>
      <c r="J5420" s="6"/>
      <c r="K5420" s="6"/>
      <c r="L5420" s="6"/>
      <c r="M5420" s="6"/>
      <c r="N5420" s="6"/>
      <c r="O5420" s="6"/>
      <c r="P5420" s="6"/>
      <c r="Q5420">
        <v>0</v>
      </c>
      <c r="R5420">
        <f t="shared" si="420"/>
        <v>0</v>
      </c>
      <c r="S5420">
        <f t="shared" si="421"/>
        <v>0</v>
      </c>
      <c r="T5420">
        <f t="shared" si="422"/>
        <v>0</v>
      </c>
      <c r="U5420">
        <f t="shared" si="423"/>
        <v>0</v>
      </c>
      <c r="V5420">
        <f t="shared" si="424"/>
        <v>0</v>
      </c>
    </row>
    <row r="5421" spans="1:22" x14ac:dyDescent="0.25">
      <c r="A5421">
        <v>5418</v>
      </c>
      <c r="B5421" t="s">
        <v>32</v>
      </c>
      <c r="C5421" t="s">
        <v>1455</v>
      </c>
      <c r="D5421" s="4">
        <v>45447</v>
      </c>
      <c r="E5421" t="s">
        <v>1567</v>
      </c>
      <c r="F5421" t="s">
        <v>413</v>
      </c>
      <c r="G5421">
        <v>252</v>
      </c>
      <c r="H5421" t="s">
        <v>1568</v>
      </c>
      <c r="I5421" s="6">
        <v>0</v>
      </c>
      <c r="J5421" s="6">
        <v>0</v>
      </c>
      <c r="K5421" s="6">
        <v>0</v>
      </c>
      <c r="L5421" s="6">
        <v>0</v>
      </c>
      <c r="M5421" s="6">
        <v>1</v>
      </c>
      <c r="N5421" s="6">
        <v>0</v>
      </c>
      <c r="O5421" s="6">
        <v>0</v>
      </c>
      <c r="P5421" s="6">
        <v>0</v>
      </c>
      <c r="Q5421">
        <v>1</v>
      </c>
      <c r="R5421">
        <f t="shared" si="420"/>
        <v>1</v>
      </c>
      <c r="S5421">
        <f t="shared" si="421"/>
        <v>0</v>
      </c>
      <c r="T5421">
        <f t="shared" si="422"/>
        <v>1</v>
      </c>
      <c r="U5421">
        <f t="shared" si="423"/>
        <v>1</v>
      </c>
      <c r="V5421">
        <f t="shared" si="424"/>
        <v>1</v>
      </c>
    </row>
    <row r="5422" spans="1:22" x14ac:dyDescent="0.25">
      <c r="A5422">
        <v>5419</v>
      </c>
      <c r="B5422" t="s">
        <v>32</v>
      </c>
      <c r="C5422" t="s">
        <v>1455</v>
      </c>
      <c r="D5422" s="4">
        <v>45447</v>
      </c>
      <c r="E5422" t="s">
        <v>2086</v>
      </c>
      <c r="F5422" t="s">
        <v>75</v>
      </c>
      <c r="I5422" s="6">
        <v>0</v>
      </c>
      <c r="J5422" s="6">
        <v>0</v>
      </c>
      <c r="K5422" s="6">
        <v>0</v>
      </c>
      <c r="L5422" s="6">
        <v>0</v>
      </c>
      <c r="M5422" s="6">
        <v>0</v>
      </c>
      <c r="N5422" s="6">
        <v>0</v>
      </c>
      <c r="O5422" s="6">
        <v>0</v>
      </c>
      <c r="P5422" s="6">
        <v>0</v>
      </c>
      <c r="Q5422">
        <v>1</v>
      </c>
      <c r="R5422">
        <f t="shared" si="420"/>
        <v>0</v>
      </c>
      <c r="S5422">
        <f t="shared" si="421"/>
        <v>1</v>
      </c>
      <c r="T5422">
        <f t="shared" si="422"/>
        <v>0</v>
      </c>
      <c r="U5422">
        <f t="shared" si="423"/>
        <v>0</v>
      </c>
      <c r="V5422">
        <f t="shared" si="424"/>
        <v>0</v>
      </c>
    </row>
    <row r="5423" spans="1:22" x14ac:dyDescent="0.25">
      <c r="A5423">
        <v>5420</v>
      </c>
      <c r="B5423" t="s">
        <v>32</v>
      </c>
      <c r="C5423" t="s">
        <v>1455</v>
      </c>
      <c r="D5423" s="4">
        <v>45448</v>
      </c>
      <c r="E5423" t="s">
        <v>497</v>
      </c>
      <c r="F5423" t="s">
        <v>75</v>
      </c>
      <c r="I5423" s="6">
        <v>0</v>
      </c>
      <c r="J5423" s="6">
        <v>0</v>
      </c>
      <c r="K5423" s="6">
        <v>0</v>
      </c>
      <c r="L5423" s="6">
        <v>0</v>
      </c>
      <c r="M5423" s="6">
        <v>0</v>
      </c>
      <c r="N5423" s="6">
        <v>0</v>
      </c>
      <c r="O5423" s="6">
        <v>1</v>
      </c>
      <c r="P5423" s="6">
        <v>0</v>
      </c>
      <c r="Q5423">
        <v>1</v>
      </c>
      <c r="R5423">
        <f t="shared" si="420"/>
        <v>0</v>
      </c>
      <c r="S5423">
        <f t="shared" si="421"/>
        <v>1</v>
      </c>
      <c r="T5423">
        <f t="shared" si="422"/>
        <v>1</v>
      </c>
      <c r="U5423">
        <f t="shared" si="423"/>
        <v>1</v>
      </c>
      <c r="V5423">
        <f t="shared" si="424"/>
        <v>0</v>
      </c>
    </row>
    <row r="5424" spans="1:22" x14ac:dyDescent="0.25">
      <c r="A5424">
        <v>5421</v>
      </c>
      <c r="B5424" t="s">
        <v>32</v>
      </c>
      <c r="C5424" t="s">
        <v>1455</v>
      </c>
      <c r="D5424" s="4">
        <v>45448</v>
      </c>
      <c r="E5424" t="s">
        <v>388</v>
      </c>
      <c r="F5424" t="s">
        <v>75</v>
      </c>
      <c r="I5424" s="6"/>
      <c r="J5424" s="6"/>
      <c r="K5424" s="6"/>
      <c r="L5424" s="6"/>
      <c r="M5424" s="6"/>
      <c r="N5424" s="6"/>
      <c r="O5424" s="6"/>
      <c r="P5424" s="6"/>
      <c r="Q5424">
        <v>0</v>
      </c>
      <c r="R5424">
        <f t="shared" si="420"/>
        <v>0</v>
      </c>
      <c r="S5424">
        <f t="shared" si="421"/>
        <v>0</v>
      </c>
      <c r="T5424">
        <f t="shared" si="422"/>
        <v>0</v>
      </c>
      <c r="U5424">
        <f t="shared" si="423"/>
        <v>0</v>
      </c>
      <c r="V5424">
        <f t="shared" si="424"/>
        <v>0</v>
      </c>
    </row>
    <row r="5425" spans="1:22" x14ac:dyDescent="0.25">
      <c r="A5425">
        <v>5422</v>
      </c>
      <c r="B5425" t="s">
        <v>32</v>
      </c>
      <c r="C5425" t="s">
        <v>1455</v>
      </c>
      <c r="D5425" s="4">
        <v>45448</v>
      </c>
      <c r="E5425" t="s">
        <v>500</v>
      </c>
      <c r="F5425" t="s">
        <v>75</v>
      </c>
      <c r="I5425" s="6"/>
      <c r="J5425" s="6"/>
      <c r="K5425" s="6"/>
      <c r="L5425" s="6"/>
      <c r="M5425" s="6"/>
      <c r="N5425" s="6"/>
      <c r="O5425" s="6"/>
      <c r="P5425" s="6"/>
      <c r="Q5425">
        <v>0</v>
      </c>
      <c r="R5425">
        <f t="shared" si="420"/>
        <v>0</v>
      </c>
      <c r="S5425">
        <f t="shared" si="421"/>
        <v>0</v>
      </c>
      <c r="T5425">
        <f t="shared" si="422"/>
        <v>0</v>
      </c>
      <c r="U5425">
        <f t="shared" si="423"/>
        <v>0</v>
      </c>
      <c r="V5425">
        <f t="shared" si="424"/>
        <v>0</v>
      </c>
    </row>
    <row r="5426" spans="1:22" x14ac:dyDescent="0.25">
      <c r="A5426">
        <v>5423</v>
      </c>
      <c r="B5426" t="s">
        <v>32</v>
      </c>
      <c r="C5426" t="s">
        <v>1455</v>
      </c>
      <c r="D5426" s="4">
        <v>45448</v>
      </c>
      <c r="E5426" t="s">
        <v>501</v>
      </c>
      <c r="F5426" t="s">
        <v>75</v>
      </c>
      <c r="I5426" s="6">
        <v>0</v>
      </c>
      <c r="J5426" s="6">
        <v>0</v>
      </c>
      <c r="K5426" s="6">
        <v>0</v>
      </c>
      <c r="L5426" s="6">
        <v>0</v>
      </c>
      <c r="M5426" s="6">
        <v>0</v>
      </c>
      <c r="N5426" s="6">
        <v>0</v>
      </c>
      <c r="O5426" s="6">
        <v>0</v>
      </c>
      <c r="P5426" s="6">
        <v>0</v>
      </c>
      <c r="Q5426">
        <v>1</v>
      </c>
      <c r="R5426">
        <f t="shared" si="420"/>
        <v>0</v>
      </c>
      <c r="S5426">
        <f t="shared" si="421"/>
        <v>1</v>
      </c>
      <c r="T5426">
        <f t="shared" si="422"/>
        <v>0</v>
      </c>
      <c r="U5426">
        <f t="shared" si="423"/>
        <v>0</v>
      </c>
      <c r="V5426">
        <f t="shared" si="424"/>
        <v>0</v>
      </c>
    </row>
    <row r="5427" spans="1:22" x14ac:dyDescent="0.25">
      <c r="A5427">
        <v>5424</v>
      </c>
      <c r="B5427" t="s">
        <v>32</v>
      </c>
      <c r="C5427" t="s">
        <v>1455</v>
      </c>
      <c r="D5427" s="4">
        <v>45448</v>
      </c>
      <c r="E5427" t="s">
        <v>502</v>
      </c>
      <c r="F5427" t="s">
        <v>75</v>
      </c>
      <c r="I5427" s="6"/>
      <c r="J5427" s="6"/>
      <c r="K5427" s="6"/>
      <c r="L5427" s="6"/>
      <c r="M5427" s="6"/>
      <c r="N5427" s="6"/>
      <c r="O5427" s="6"/>
      <c r="P5427" s="6"/>
      <c r="Q5427">
        <v>0</v>
      </c>
      <c r="R5427">
        <f t="shared" si="420"/>
        <v>0</v>
      </c>
      <c r="S5427">
        <f t="shared" si="421"/>
        <v>0</v>
      </c>
      <c r="T5427">
        <f t="shared" si="422"/>
        <v>0</v>
      </c>
      <c r="U5427">
        <f t="shared" si="423"/>
        <v>0</v>
      </c>
      <c r="V5427">
        <f t="shared" si="424"/>
        <v>0</v>
      </c>
    </row>
    <row r="5428" spans="1:22" x14ac:dyDescent="0.25">
      <c r="A5428">
        <v>5425</v>
      </c>
      <c r="B5428" t="s">
        <v>32</v>
      </c>
      <c r="C5428" t="s">
        <v>1455</v>
      </c>
      <c r="D5428" s="4">
        <v>45448</v>
      </c>
      <c r="E5428" t="s">
        <v>503</v>
      </c>
      <c r="F5428" t="s">
        <v>75</v>
      </c>
      <c r="I5428" s="6"/>
      <c r="J5428" s="6"/>
      <c r="K5428" s="6"/>
      <c r="L5428" s="6"/>
      <c r="M5428" s="6"/>
      <c r="N5428" s="6"/>
      <c r="O5428" s="6"/>
      <c r="P5428" s="6"/>
      <c r="Q5428">
        <v>0</v>
      </c>
      <c r="R5428">
        <f t="shared" si="420"/>
        <v>0</v>
      </c>
      <c r="S5428">
        <f t="shared" si="421"/>
        <v>0</v>
      </c>
      <c r="T5428">
        <f t="shared" si="422"/>
        <v>0</v>
      </c>
      <c r="U5428">
        <f t="shared" si="423"/>
        <v>0</v>
      </c>
      <c r="V5428">
        <f t="shared" si="424"/>
        <v>0</v>
      </c>
    </row>
    <row r="5429" spans="1:22" x14ac:dyDescent="0.25">
      <c r="A5429">
        <v>5426</v>
      </c>
      <c r="B5429" t="s">
        <v>32</v>
      </c>
      <c r="C5429" t="s">
        <v>1455</v>
      </c>
      <c r="D5429" s="4">
        <v>45448</v>
      </c>
      <c r="E5429" t="s">
        <v>504</v>
      </c>
      <c r="F5429" t="s">
        <v>75</v>
      </c>
      <c r="I5429" s="6">
        <v>1</v>
      </c>
      <c r="J5429" s="6">
        <v>1</v>
      </c>
      <c r="K5429" s="6">
        <v>1</v>
      </c>
      <c r="L5429" s="6">
        <v>0</v>
      </c>
      <c r="M5429" s="6">
        <v>0</v>
      </c>
      <c r="N5429" s="6">
        <v>0</v>
      </c>
      <c r="O5429" s="6">
        <v>0</v>
      </c>
      <c r="P5429" s="6">
        <v>0</v>
      </c>
      <c r="Q5429">
        <v>1</v>
      </c>
      <c r="R5429">
        <f t="shared" si="420"/>
        <v>0</v>
      </c>
      <c r="S5429">
        <f t="shared" si="421"/>
        <v>1</v>
      </c>
      <c r="T5429">
        <f t="shared" si="422"/>
        <v>3</v>
      </c>
      <c r="U5429">
        <f t="shared" si="423"/>
        <v>1</v>
      </c>
      <c r="V5429">
        <f t="shared" si="424"/>
        <v>0</v>
      </c>
    </row>
    <row r="5430" spans="1:22" x14ac:dyDescent="0.25">
      <c r="A5430">
        <v>5427</v>
      </c>
      <c r="B5430" t="s">
        <v>32</v>
      </c>
      <c r="C5430" t="s">
        <v>1455</v>
      </c>
      <c r="D5430" s="4">
        <v>45448</v>
      </c>
      <c r="E5430" t="s">
        <v>1215</v>
      </c>
      <c r="F5430" t="s">
        <v>75</v>
      </c>
      <c r="I5430" s="6"/>
      <c r="J5430" s="6"/>
      <c r="K5430" s="6"/>
      <c r="L5430" s="6"/>
      <c r="M5430" s="6"/>
      <c r="N5430" s="6"/>
      <c r="O5430" s="6"/>
      <c r="P5430" s="6"/>
      <c r="Q5430">
        <v>0</v>
      </c>
      <c r="R5430">
        <f t="shared" si="420"/>
        <v>0</v>
      </c>
      <c r="S5430">
        <f t="shared" si="421"/>
        <v>0</v>
      </c>
      <c r="T5430">
        <f t="shared" si="422"/>
        <v>0</v>
      </c>
      <c r="U5430">
        <f t="shared" si="423"/>
        <v>0</v>
      </c>
      <c r="V5430">
        <f t="shared" si="424"/>
        <v>0</v>
      </c>
    </row>
    <row r="5431" spans="1:22" x14ac:dyDescent="0.25">
      <c r="A5431">
        <v>5428</v>
      </c>
      <c r="B5431" t="s">
        <v>32</v>
      </c>
      <c r="C5431" t="s">
        <v>1455</v>
      </c>
      <c r="D5431" s="4">
        <v>45448</v>
      </c>
      <c r="E5431" t="s">
        <v>505</v>
      </c>
      <c r="F5431" t="s">
        <v>75</v>
      </c>
      <c r="I5431" s="6">
        <v>1</v>
      </c>
      <c r="J5431" s="6">
        <v>0</v>
      </c>
      <c r="K5431" s="6">
        <v>1</v>
      </c>
      <c r="L5431" s="6">
        <v>0</v>
      </c>
      <c r="M5431" s="6">
        <v>1</v>
      </c>
      <c r="N5431" s="6">
        <v>1</v>
      </c>
      <c r="O5431" s="6">
        <v>0</v>
      </c>
      <c r="P5431" s="6">
        <v>1</v>
      </c>
      <c r="Q5431">
        <v>1</v>
      </c>
      <c r="R5431">
        <f t="shared" si="420"/>
        <v>0</v>
      </c>
      <c r="S5431">
        <f t="shared" si="421"/>
        <v>1</v>
      </c>
      <c r="T5431">
        <f t="shared" si="422"/>
        <v>5</v>
      </c>
      <c r="U5431">
        <f t="shared" si="423"/>
        <v>1</v>
      </c>
      <c r="V5431">
        <f t="shared" si="424"/>
        <v>0</v>
      </c>
    </row>
    <row r="5432" spans="1:22" x14ac:dyDescent="0.25">
      <c r="A5432">
        <v>5429</v>
      </c>
      <c r="B5432" t="s">
        <v>32</v>
      </c>
      <c r="C5432" t="s">
        <v>1455</v>
      </c>
      <c r="D5432" s="4">
        <v>45449</v>
      </c>
      <c r="E5432" t="s">
        <v>389</v>
      </c>
      <c r="F5432" t="s">
        <v>75</v>
      </c>
      <c r="I5432" s="6">
        <v>0</v>
      </c>
      <c r="J5432" s="6">
        <v>0</v>
      </c>
      <c r="K5432" s="6">
        <v>1</v>
      </c>
      <c r="L5432" s="6">
        <v>0</v>
      </c>
      <c r="M5432" s="6">
        <v>1</v>
      </c>
      <c r="N5432" s="6">
        <v>1</v>
      </c>
      <c r="O5432" s="6">
        <v>0</v>
      </c>
      <c r="P5432" s="6">
        <v>1</v>
      </c>
      <c r="Q5432">
        <v>1</v>
      </c>
      <c r="R5432">
        <f t="shared" si="420"/>
        <v>0</v>
      </c>
      <c r="S5432">
        <f t="shared" si="421"/>
        <v>1</v>
      </c>
      <c r="T5432">
        <f t="shared" si="422"/>
        <v>4</v>
      </c>
      <c r="U5432">
        <f t="shared" si="423"/>
        <v>1</v>
      </c>
      <c r="V5432">
        <f t="shared" si="424"/>
        <v>0</v>
      </c>
    </row>
    <row r="5433" spans="1:22" x14ac:dyDescent="0.25">
      <c r="A5433">
        <v>5430</v>
      </c>
      <c r="B5433" t="s">
        <v>32</v>
      </c>
      <c r="C5433" t="s">
        <v>1455</v>
      </c>
      <c r="D5433" s="4">
        <v>45449</v>
      </c>
      <c r="E5433" t="s">
        <v>506</v>
      </c>
      <c r="F5433" t="s">
        <v>75</v>
      </c>
      <c r="I5433" s="6"/>
      <c r="J5433" s="6"/>
      <c r="K5433" s="6"/>
      <c r="L5433" s="6"/>
      <c r="M5433" s="6"/>
      <c r="N5433" s="6"/>
      <c r="O5433" s="6"/>
      <c r="P5433" s="6"/>
      <c r="Q5433">
        <v>0</v>
      </c>
      <c r="R5433">
        <f t="shared" si="420"/>
        <v>0</v>
      </c>
      <c r="S5433">
        <f t="shared" si="421"/>
        <v>0</v>
      </c>
      <c r="T5433">
        <f t="shared" si="422"/>
        <v>0</v>
      </c>
      <c r="U5433">
        <f t="shared" si="423"/>
        <v>0</v>
      </c>
      <c r="V5433">
        <f t="shared" si="424"/>
        <v>0</v>
      </c>
    </row>
    <row r="5434" spans="1:22" x14ac:dyDescent="0.25">
      <c r="A5434">
        <v>5431</v>
      </c>
      <c r="B5434" t="s">
        <v>32</v>
      </c>
      <c r="C5434" t="s">
        <v>1455</v>
      </c>
      <c r="D5434" s="4">
        <v>45449</v>
      </c>
      <c r="E5434" t="s">
        <v>507</v>
      </c>
      <c r="F5434" t="s">
        <v>413</v>
      </c>
      <c r="G5434">
        <v>253</v>
      </c>
      <c r="I5434" s="6">
        <v>0</v>
      </c>
      <c r="J5434" s="6">
        <v>0</v>
      </c>
      <c r="K5434" s="6">
        <v>0</v>
      </c>
      <c r="L5434" s="6">
        <v>0</v>
      </c>
      <c r="M5434" s="6">
        <v>0</v>
      </c>
      <c r="N5434" s="6">
        <v>0</v>
      </c>
      <c r="O5434" s="6">
        <v>0</v>
      </c>
      <c r="P5434" s="6">
        <v>1</v>
      </c>
      <c r="Q5434">
        <v>1</v>
      </c>
      <c r="R5434">
        <f t="shared" si="420"/>
        <v>1</v>
      </c>
      <c r="S5434">
        <f t="shared" si="421"/>
        <v>0</v>
      </c>
      <c r="T5434">
        <f t="shared" si="422"/>
        <v>1</v>
      </c>
      <c r="U5434">
        <f t="shared" si="423"/>
        <v>1</v>
      </c>
      <c r="V5434">
        <f t="shared" si="424"/>
        <v>1</v>
      </c>
    </row>
    <row r="5435" spans="1:22" x14ac:dyDescent="0.25">
      <c r="A5435">
        <v>5432</v>
      </c>
      <c r="B5435" t="s">
        <v>32</v>
      </c>
      <c r="C5435" t="s">
        <v>1455</v>
      </c>
      <c r="D5435" s="4">
        <v>45449</v>
      </c>
      <c r="E5435" t="s">
        <v>390</v>
      </c>
      <c r="F5435" t="s">
        <v>75</v>
      </c>
      <c r="I5435" s="6">
        <v>0</v>
      </c>
      <c r="J5435" s="6">
        <v>0</v>
      </c>
      <c r="K5435" s="6">
        <v>0</v>
      </c>
      <c r="L5435" s="6">
        <v>1</v>
      </c>
      <c r="M5435" s="6">
        <v>0</v>
      </c>
      <c r="N5435" s="6">
        <v>0</v>
      </c>
      <c r="O5435" s="6">
        <v>0</v>
      </c>
      <c r="P5435" s="6">
        <v>0</v>
      </c>
      <c r="Q5435">
        <v>1</v>
      </c>
      <c r="R5435">
        <f t="shared" si="420"/>
        <v>0</v>
      </c>
      <c r="S5435">
        <f t="shared" si="421"/>
        <v>1</v>
      </c>
      <c r="T5435">
        <f t="shared" si="422"/>
        <v>1</v>
      </c>
      <c r="U5435">
        <f t="shared" si="423"/>
        <v>1</v>
      </c>
      <c r="V5435">
        <f t="shared" si="424"/>
        <v>0</v>
      </c>
    </row>
    <row r="5436" spans="1:22" x14ac:dyDescent="0.25">
      <c r="A5436">
        <v>5433</v>
      </c>
      <c r="B5436" t="s">
        <v>32</v>
      </c>
      <c r="C5436" t="s">
        <v>1455</v>
      </c>
      <c r="D5436" s="4">
        <v>45449</v>
      </c>
      <c r="E5436" t="s">
        <v>391</v>
      </c>
      <c r="F5436" t="s">
        <v>75</v>
      </c>
      <c r="I5436" s="6"/>
      <c r="J5436" s="6"/>
      <c r="K5436" s="6"/>
      <c r="L5436" s="6"/>
      <c r="M5436" s="6"/>
      <c r="N5436" s="6"/>
      <c r="O5436" s="6"/>
      <c r="P5436" s="6"/>
      <c r="Q5436">
        <v>0</v>
      </c>
      <c r="R5436">
        <f t="shared" si="420"/>
        <v>0</v>
      </c>
      <c r="S5436">
        <f t="shared" si="421"/>
        <v>0</v>
      </c>
      <c r="T5436">
        <f t="shared" si="422"/>
        <v>0</v>
      </c>
      <c r="U5436">
        <f t="shared" si="423"/>
        <v>0</v>
      </c>
      <c r="V5436">
        <f t="shared" si="424"/>
        <v>0</v>
      </c>
    </row>
    <row r="5437" spans="1:22" x14ac:dyDescent="0.25">
      <c r="A5437">
        <v>5434</v>
      </c>
      <c r="B5437" t="s">
        <v>32</v>
      </c>
      <c r="C5437" t="s">
        <v>1455</v>
      </c>
      <c r="D5437" s="4">
        <v>45449</v>
      </c>
      <c r="E5437" t="s">
        <v>508</v>
      </c>
      <c r="F5437" t="s">
        <v>75</v>
      </c>
      <c r="I5437" s="6"/>
      <c r="J5437" s="6"/>
      <c r="K5437" s="6"/>
      <c r="L5437" s="6"/>
      <c r="M5437" s="6"/>
      <c r="N5437" s="6"/>
      <c r="O5437" s="6"/>
      <c r="P5437" s="6"/>
      <c r="Q5437">
        <v>0</v>
      </c>
      <c r="R5437">
        <f t="shared" si="420"/>
        <v>0</v>
      </c>
      <c r="S5437">
        <f t="shared" si="421"/>
        <v>0</v>
      </c>
      <c r="T5437">
        <f t="shared" si="422"/>
        <v>0</v>
      </c>
      <c r="U5437">
        <f t="shared" si="423"/>
        <v>0</v>
      </c>
      <c r="V5437">
        <f t="shared" si="424"/>
        <v>0</v>
      </c>
    </row>
    <row r="5438" spans="1:22" x14ac:dyDescent="0.25">
      <c r="A5438">
        <v>5435</v>
      </c>
      <c r="B5438" t="s">
        <v>32</v>
      </c>
      <c r="C5438" t="s">
        <v>1455</v>
      </c>
      <c r="D5438" s="4">
        <v>45449</v>
      </c>
      <c r="E5438" t="s">
        <v>509</v>
      </c>
      <c r="F5438" t="s">
        <v>75</v>
      </c>
      <c r="I5438" s="6"/>
      <c r="J5438" s="6"/>
      <c r="K5438" s="6"/>
      <c r="L5438" s="6"/>
      <c r="M5438" s="6"/>
      <c r="N5438" s="6"/>
      <c r="O5438" s="6"/>
      <c r="P5438" s="6"/>
      <c r="Q5438">
        <v>0</v>
      </c>
      <c r="R5438">
        <f t="shared" si="420"/>
        <v>0</v>
      </c>
      <c r="S5438">
        <f t="shared" si="421"/>
        <v>0</v>
      </c>
      <c r="T5438">
        <f t="shared" si="422"/>
        <v>0</v>
      </c>
      <c r="U5438">
        <f t="shared" si="423"/>
        <v>0</v>
      </c>
      <c r="V5438">
        <f t="shared" si="424"/>
        <v>0</v>
      </c>
    </row>
    <row r="5439" spans="1:22" x14ac:dyDescent="0.25">
      <c r="A5439">
        <v>5436</v>
      </c>
      <c r="B5439" t="s">
        <v>32</v>
      </c>
      <c r="C5439" t="s">
        <v>1455</v>
      </c>
      <c r="D5439" s="4">
        <v>45449</v>
      </c>
      <c r="E5439" t="s">
        <v>510</v>
      </c>
      <c r="F5439" t="s">
        <v>75</v>
      </c>
      <c r="I5439" s="6">
        <v>0</v>
      </c>
      <c r="J5439" s="6">
        <v>0</v>
      </c>
      <c r="K5439" s="6">
        <v>0</v>
      </c>
      <c r="L5439" s="6">
        <v>1</v>
      </c>
      <c r="M5439" s="6">
        <v>0</v>
      </c>
      <c r="N5439" s="6">
        <v>0</v>
      </c>
      <c r="O5439" s="6">
        <v>0</v>
      </c>
      <c r="P5439" s="6">
        <v>0</v>
      </c>
      <c r="Q5439">
        <v>1</v>
      </c>
      <c r="R5439">
        <f t="shared" si="420"/>
        <v>0</v>
      </c>
      <c r="S5439">
        <f t="shared" si="421"/>
        <v>1</v>
      </c>
      <c r="T5439">
        <f t="shared" si="422"/>
        <v>1</v>
      </c>
      <c r="U5439">
        <f t="shared" si="423"/>
        <v>1</v>
      </c>
      <c r="V5439">
        <f t="shared" si="424"/>
        <v>0</v>
      </c>
    </row>
    <row r="5440" spans="1:22" x14ac:dyDescent="0.25">
      <c r="A5440">
        <v>5437</v>
      </c>
      <c r="B5440" t="s">
        <v>32</v>
      </c>
      <c r="C5440" t="s">
        <v>1455</v>
      </c>
      <c r="D5440" s="4">
        <v>45449</v>
      </c>
      <c r="E5440" t="s">
        <v>511</v>
      </c>
      <c r="F5440" t="s">
        <v>75</v>
      </c>
      <c r="I5440" s="6"/>
      <c r="J5440" s="6"/>
      <c r="K5440" s="6"/>
      <c r="L5440" s="6"/>
      <c r="M5440" s="6"/>
      <c r="N5440" s="6"/>
      <c r="O5440" s="6"/>
      <c r="P5440" s="6"/>
      <c r="Q5440">
        <v>0</v>
      </c>
      <c r="R5440">
        <f t="shared" si="420"/>
        <v>0</v>
      </c>
      <c r="S5440">
        <f t="shared" si="421"/>
        <v>0</v>
      </c>
      <c r="T5440">
        <f t="shared" si="422"/>
        <v>0</v>
      </c>
      <c r="U5440">
        <f t="shared" si="423"/>
        <v>0</v>
      </c>
      <c r="V5440">
        <f t="shared" si="424"/>
        <v>0</v>
      </c>
    </row>
    <row r="5441" spans="1:22" x14ac:dyDescent="0.25">
      <c r="A5441">
        <v>5438</v>
      </c>
      <c r="B5441" t="s">
        <v>32</v>
      </c>
      <c r="C5441" t="s">
        <v>1455</v>
      </c>
      <c r="D5441" s="4">
        <v>45449</v>
      </c>
      <c r="E5441" t="s">
        <v>512</v>
      </c>
      <c r="F5441" t="s">
        <v>75</v>
      </c>
      <c r="I5441" s="6"/>
      <c r="J5441" s="6"/>
      <c r="K5441" s="6"/>
      <c r="L5441" s="6"/>
      <c r="M5441" s="6"/>
      <c r="N5441" s="6"/>
      <c r="O5441" s="6"/>
      <c r="P5441" s="6"/>
      <c r="Q5441">
        <v>0</v>
      </c>
      <c r="R5441">
        <f t="shared" si="420"/>
        <v>0</v>
      </c>
      <c r="S5441">
        <f t="shared" si="421"/>
        <v>0</v>
      </c>
      <c r="T5441">
        <f t="shared" si="422"/>
        <v>0</v>
      </c>
      <c r="U5441">
        <f t="shared" si="423"/>
        <v>0</v>
      </c>
      <c r="V5441">
        <f t="shared" si="424"/>
        <v>0</v>
      </c>
    </row>
    <row r="5442" spans="1:22" x14ac:dyDescent="0.25">
      <c r="A5442">
        <v>5439</v>
      </c>
      <c r="B5442" t="s">
        <v>32</v>
      </c>
      <c r="C5442" t="s">
        <v>1455</v>
      </c>
      <c r="D5442" s="4">
        <v>45450</v>
      </c>
      <c r="E5442" t="s">
        <v>392</v>
      </c>
      <c r="F5442" t="s">
        <v>75</v>
      </c>
      <c r="I5442" s="6"/>
      <c r="J5442" s="6"/>
      <c r="K5442" s="6"/>
      <c r="L5442" s="6"/>
      <c r="M5442" s="6"/>
      <c r="N5442" s="6"/>
      <c r="O5442" s="6"/>
      <c r="P5442" s="6"/>
      <c r="Q5442">
        <v>0</v>
      </c>
      <c r="R5442">
        <f t="shared" si="420"/>
        <v>0</v>
      </c>
      <c r="S5442">
        <f t="shared" si="421"/>
        <v>0</v>
      </c>
      <c r="T5442">
        <f t="shared" si="422"/>
        <v>0</v>
      </c>
      <c r="U5442">
        <f t="shared" si="423"/>
        <v>0</v>
      </c>
      <c r="V5442">
        <f t="shared" si="424"/>
        <v>0</v>
      </c>
    </row>
    <row r="5443" spans="1:22" x14ac:dyDescent="0.25">
      <c r="A5443">
        <v>5440</v>
      </c>
      <c r="B5443" t="s">
        <v>32</v>
      </c>
      <c r="C5443" t="s">
        <v>1455</v>
      </c>
      <c r="D5443" s="4">
        <v>45450</v>
      </c>
      <c r="E5443" t="s">
        <v>515</v>
      </c>
      <c r="F5443" t="s">
        <v>75</v>
      </c>
      <c r="I5443" s="6"/>
      <c r="J5443" s="6"/>
      <c r="K5443" s="6"/>
      <c r="L5443" s="6"/>
      <c r="M5443" s="6"/>
      <c r="N5443" s="6"/>
      <c r="O5443" s="6"/>
      <c r="P5443" s="6"/>
      <c r="Q5443">
        <v>0</v>
      </c>
      <c r="R5443">
        <f t="shared" ref="R5443:R5506" si="425">IF(AND(Q5443=1,F5443="ai_full"),1,0)</f>
        <v>0</v>
      </c>
      <c r="S5443">
        <f t="shared" ref="S5443:S5506" si="426">IF(AND(Q5443=1,F5443="conventional"),1,0)</f>
        <v>0</v>
      </c>
      <c r="T5443">
        <f t="shared" ref="T5443:T5506" si="427">SUM(I5443:P5443)</f>
        <v>0</v>
      </c>
      <c r="U5443">
        <f t="shared" ref="U5443:U5506" si="428">IF(T5443&gt;=1,1,0)</f>
        <v>0</v>
      </c>
      <c r="V5443">
        <f t="shared" ref="V5443:V5506" si="429">IF(F5443="ai_full",1,0)</f>
        <v>0</v>
      </c>
    </row>
    <row r="5444" spans="1:22" x14ac:dyDescent="0.25">
      <c r="A5444">
        <v>5441</v>
      </c>
      <c r="B5444" t="s">
        <v>32</v>
      </c>
      <c r="C5444" t="s">
        <v>1455</v>
      </c>
      <c r="D5444" s="4">
        <v>45450</v>
      </c>
      <c r="E5444" t="s">
        <v>516</v>
      </c>
      <c r="F5444" t="s">
        <v>413</v>
      </c>
      <c r="G5444">
        <v>254</v>
      </c>
      <c r="I5444" s="6">
        <v>0</v>
      </c>
      <c r="J5444" s="6">
        <v>0</v>
      </c>
      <c r="K5444" s="6">
        <v>0</v>
      </c>
      <c r="L5444" s="6">
        <v>1</v>
      </c>
      <c r="M5444" s="6">
        <v>0</v>
      </c>
      <c r="N5444" s="6">
        <v>1</v>
      </c>
      <c r="O5444" s="6">
        <v>0</v>
      </c>
      <c r="P5444" s="6">
        <v>0</v>
      </c>
      <c r="Q5444">
        <v>1</v>
      </c>
      <c r="R5444">
        <f t="shared" si="425"/>
        <v>1</v>
      </c>
      <c r="S5444">
        <f t="shared" si="426"/>
        <v>0</v>
      </c>
      <c r="T5444">
        <f t="shared" si="427"/>
        <v>2</v>
      </c>
      <c r="U5444">
        <f t="shared" si="428"/>
        <v>1</v>
      </c>
      <c r="V5444">
        <f t="shared" si="429"/>
        <v>1</v>
      </c>
    </row>
    <row r="5445" spans="1:22" x14ac:dyDescent="0.25">
      <c r="A5445">
        <v>5442</v>
      </c>
      <c r="B5445" t="s">
        <v>32</v>
      </c>
      <c r="C5445" t="s">
        <v>1455</v>
      </c>
      <c r="D5445" s="4">
        <v>45450</v>
      </c>
      <c r="E5445" t="s">
        <v>517</v>
      </c>
      <c r="F5445" t="s">
        <v>75</v>
      </c>
      <c r="I5445" s="6"/>
      <c r="J5445" s="6"/>
      <c r="K5445" s="6"/>
      <c r="L5445" s="6"/>
      <c r="M5445" s="6"/>
      <c r="N5445" s="6"/>
      <c r="O5445" s="6"/>
      <c r="P5445" s="6"/>
      <c r="Q5445">
        <v>0</v>
      </c>
      <c r="R5445">
        <f t="shared" si="425"/>
        <v>0</v>
      </c>
      <c r="S5445">
        <f t="shared" si="426"/>
        <v>0</v>
      </c>
      <c r="T5445">
        <f t="shared" si="427"/>
        <v>0</v>
      </c>
      <c r="U5445">
        <f t="shared" si="428"/>
        <v>0</v>
      </c>
      <c r="V5445">
        <f t="shared" si="429"/>
        <v>0</v>
      </c>
    </row>
    <row r="5446" spans="1:22" x14ac:dyDescent="0.25">
      <c r="A5446">
        <v>5443</v>
      </c>
      <c r="B5446" t="s">
        <v>32</v>
      </c>
      <c r="C5446" t="s">
        <v>1455</v>
      </c>
      <c r="D5446" s="4">
        <v>45450</v>
      </c>
      <c r="E5446" t="s">
        <v>518</v>
      </c>
      <c r="F5446" t="s">
        <v>75</v>
      </c>
      <c r="I5446" s="6"/>
      <c r="J5446" s="6"/>
      <c r="K5446" s="6"/>
      <c r="L5446" s="6"/>
      <c r="M5446" s="6"/>
      <c r="N5446" s="6"/>
      <c r="O5446" s="6"/>
      <c r="P5446" s="6"/>
      <c r="Q5446">
        <v>0</v>
      </c>
      <c r="R5446">
        <f t="shared" si="425"/>
        <v>0</v>
      </c>
      <c r="S5446">
        <f t="shared" si="426"/>
        <v>0</v>
      </c>
      <c r="T5446">
        <f t="shared" si="427"/>
        <v>0</v>
      </c>
      <c r="U5446">
        <f t="shared" si="428"/>
        <v>0</v>
      </c>
      <c r="V5446">
        <f t="shared" si="429"/>
        <v>0</v>
      </c>
    </row>
    <row r="5447" spans="1:22" x14ac:dyDescent="0.25">
      <c r="A5447">
        <v>5444</v>
      </c>
      <c r="B5447" t="s">
        <v>32</v>
      </c>
      <c r="C5447" t="s">
        <v>1455</v>
      </c>
      <c r="D5447" s="4">
        <v>45450</v>
      </c>
      <c r="E5447" t="s">
        <v>519</v>
      </c>
      <c r="F5447" t="s">
        <v>75</v>
      </c>
      <c r="I5447" s="6"/>
      <c r="J5447" s="6"/>
      <c r="K5447" s="6"/>
      <c r="L5447" s="6"/>
      <c r="M5447" s="6"/>
      <c r="N5447" s="6"/>
      <c r="O5447" s="6"/>
      <c r="P5447" s="6"/>
      <c r="Q5447">
        <v>0</v>
      </c>
      <c r="R5447">
        <f t="shared" si="425"/>
        <v>0</v>
      </c>
      <c r="S5447">
        <f t="shared" si="426"/>
        <v>0</v>
      </c>
      <c r="T5447">
        <f t="shared" si="427"/>
        <v>0</v>
      </c>
      <c r="U5447">
        <f t="shared" si="428"/>
        <v>0</v>
      </c>
      <c r="V5447">
        <f t="shared" si="429"/>
        <v>0</v>
      </c>
    </row>
    <row r="5448" spans="1:22" x14ac:dyDescent="0.25">
      <c r="A5448">
        <v>5445</v>
      </c>
      <c r="B5448" t="s">
        <v>32</v>
      </c>
      <c r="C5448" t="s">
        <v>1455</v>
      </c>
      <c r="D5448" s="4">
        <v>45450</v>
      </c>
      <c r="E5448" t="s">
        <v>1499</v>
      </c>
      <c r="F5448" t="s">
        <v>75</v>
      </c>
      <c r="I5448" s="6"/>
      <c r="J5448" s="6"/>
      <c r="K5448" s="6"/>
      <c r="L5448" s="6"/>
      <c r="M5448" s="6"/>
      <c r="N5448" s="6"/>
      <c r="O5448" s="6"/>
      <c r="P5448" s="6"/>
      <c r="Q5448">
        <v>0</v>
      </c>
      <c r="R5448">
        <f t="shared" si="425"/>
        <v>0</v>
      </c>
      <c r="S5448">
        <f t="shared" si="426"/>
        <v>0</v>
      </c>
      <c r="T5448">
        <f t="shared" si="427"/>
        <v>0</v>
      </c>
      <c r="U5448">
        <f t="shared" si="428"/>
        <v>0</v>
      </c>
      <c r="V5448">
        <f t="shared" si="429"/>
        <v>0</v>
      </c>
    </row>
    <row r="5449" spans="1:22" x14ac:dyDescent="0.25">
      <c r="A5449">
        <v>5446</v>
      </c>
      <c r="B5449" t="s">
        <v>32</v>
      </c>
      <c r="C5449" t="s">
        <v>1455</v>
      </c>
      <c r="D5449" s="4">
        <v>45450</v>
      </c>
      <c r="E5449" t="s">
        <v>520</v>
      </c>
      <c r="F5449" t="s">
        <v>75</v>
      </c>
      <c r="I5449" s="6">
        <v>0</v>
      </c>
      <c r="J5449" s="6">
        <v>0</v>
      </c>
      <c r="K5449" s="6">
        <v>0</v>
      </c>
      <c r="L5449" s="6">
        <v>0</v>
      </c>
      <c r="M5449" s="6">
        <v>0</v>
      </c>
      <c r="N5449" s="6">
        <v>0</v>
      </c>
      <c r="O5449" s="6">
        <v>0</v>
      </c>
      <c r="P5449" s="6">
        <v>0</v>
      </c>
      <c r="Q5449">
        <v>1</v>
      </c>
      <c r="R5449">
        <f t="shared" si="425"/>
        <v>0</v>
      </c>
      <c r="S5449">
        <f t="shared" si="426"/>
        <v>1</v>
      </c>
      <c r="T5449">
        <f t="shared" si="427"/>
        <v>0</v>
      </c>
      <c r="U5449">
        <f t="shared" si="428"/>
        <v>0</v>
      </c>
      <c r="V5449">
        <f t="shared" si="429"/>
        <v>0</v>
      </c>
    </row>
    <row r="5450" spans="1:22" x14ac:dyDescent="0.25">
      <c r="A5450">
        <v>5447</v>
      </c>
      <c r="B5450" t="s">
        <v>32</v>
      </c>
      <c r="C5450" t="s">
        <v>1455</v>
      </c>
      <c r="D5450" s="4">
        <v>45450</v>
      </c>
      <c r="E5450" t="s">
        <v>1569</v>
      </c>
      <c r="F5450" t="s">
        <v>75</v>
      </c>
      <c r="I5450" s="6">
        <v>0</v>
      </c>
      <c r="J5450" s="6">
        <v>0</v>
      </c>
      <c r="K5450" s="6">
        <v>0</v>
      </c>
      <c r="L5450" s="6">
        <v>0</v>
      </c>
      <c r="M5450" s="6">
        <v>0</v>
      </c>
      <c r="N5450" s="6">
        <v>0</v>
      </c>
      <c r="O5450" s="6">
        <v>0</v>
      </c>
      <c r="P5450" s="6">
        <v>0</v>
      </c>
      <c r="Q5450">
        <v>1</v>
      </c>
      <c r="R5450">
        <f t="shared" si="425"/>
        <v>0</v>
      </c>
      <c r="S5450">
        <f t="shared" si="426"/>
        <v>1</v>
      </c>
      <c r="T5450">
        <f t="shared" si="427"/>
        <v>0</v>
      </c>
      <c r="U5450">
        <f t="shared" si="428"/>
        <v>0</v>
      </c>
      <c r="V5450">
        <f t="shared" si="429"/>
        <v>0</v>
      </c>
    </row>
    <row r="5451" spans="1:22" x14ac:dyDescent="0.25">
      <c r="A5451">
        <v>5448</v>
      </c>
      <c r="B5451" t="s">
        <v>32</v>
      </c>
      <c r="C5451" t="s">
        <v>1455</v>
      </c>
      <c r="D5451" s="4">
        <v>45451</v>
      </c>
      <c r="E5451" t="s">
        <v>393</v>
      </c>
      <c r="F5451" t="s">
        <v>75</v>
      </c>
      <c r="I5451" s="6"/>
      <c r="J5451" s="6"/>
      <c r="K5451" s="6"/>
      <c r="L5451" s="6"/>
      <c r="M5451" s="6"/>
      <c r="N5451" s="6"/>
      <c r="O5451" s="6"/>
      <c r="P5451" s="6"/>
      <c r="Q5451">
        <v>0</v>
      </c>
      <c r="R5451">
        <f t="shared" si="425"/>
        <v>0</v>
      </c>
      <c r="S5451">
        <f t="shared" si="426"/>
        <v>0</v>
      </c>
      <c r="T5451">
        <f t="shared" si="427"/>
        <v>0</v>
      </c>
      <c r="U5451">
        <f t="shared" si="428"/>
        <v>0</v>
      </c>
      <c r="V5451">
        <f t="shared" si="429"/>
        <v>0</v>
      </c>
    </row>
    <row r="5452" spans="1:22" x14ac:dyDescent="0.25">
      <c r="A5452">
        <v>5449</v>
      </c>
      <c r="B5452" t="s">
        <v>32</v>
      </c>
      <c r="C5452" t="s">
        <v>1455</v>
      </c>
      <c r="D5452" s="4">
        <v>45451</v>
      </c>
      <c r="E5452" t="s">
        <v>2085</v>
      </c>
      <c r="F5452" t="s">
        <v>75</v>
      </c>
      <c r="I5452" s="6"/>
      <c r="J5452" s="6"/>
      <c r="K5452" s="6"/>
      <c r="L5452" s="6"/>
      <c r="M5452" s="6"/>
      <c r="N5452" s="6"/>
      <c r="O5452" s="6"/>
      <c r="P5452" s="6"/>
      <c r="Q5452">
        <v>0</v>
      </c>
      <c r="R5452">
        <f t="shared" si="425"/>
        <v>0</v>
      </c>
      <c r="S5452">
        <f t="shared" si="426"/>
        <v>0</v>
      </c>
      <c r="T5452">
        <f t="shared" si="427"/>
        <v>0</v>
      </c>
      <c r="U5452">
        <f t="shared" si="428"/>
        <v>0</v>
      </c>
      <c r="V5452">
        <f t="shared" si="429"/>
        <v>0</v>
      </c>
    </row>
    <row r="5453" spans="1:22" x14ac:dyDescent="0.25">
      <c r="A5453">
        <v>5450</v>
      </c>
      <c r="B5453" t="s">
        <v>32</v>
      </c>
      <c r="C5453" t="s">
        <v>1455</v>
      </c>
      <c r="D5453" s="4">
        <v>45451</v>
      </c>
      <c r="E5453" t="s">
        <v>394</v>
      </c>
      <c r="F5453" t="s">
        <v>75</v>
      </c>
      <c r="I5453" s="6">
        <v>0</v>
      </c>
      <c r="J5453" s="6">
        <v>0</v>
      </c>
      <c r="K5453" s="6">
        <v>0</v>
      </c>
      <c r="L5453" s="6">
        <v>0</v>
      </c>
      <c r="M5453" s="6">
        <v>0</v>
      </c>
      <c r="N5453" s="6">
        <v>0</v>
      </c>
      <c r="O5453" s="6">
        <v>0</v>
      </c>
      <c r="P5453" s="6">
        <v>0</v>
      </c>
      <c r="Q5453">
        <v>1</v>
      </c>
      <c r="R5453">
        <f t="shared" si="425"/>
        <v>0</v>
      </c>
      <c r="S5453">
        <f t="shared" si="426"/>
        <v>1</v>
      </c>
      <c r="T5453">
        <f t="shared" si="427"/>
        <v>0</v>
      </c>
      <c r="U5453">
        <f t="shared" si="428"/>
        <v>0</v>
      </c>
      <c r="V5453">
        <f t="shared" si="429"/>
        <v>0</v>
      </c>
    </row>
    <row r="5454" spans="1:22" x14ac:dyDescent="0.25">
      <c r="A5454">
        <v>5451</v>
      </c>
      <c r="B5454" t="s">
        <v>32</v>
      </c>
      <c r="C5454" t="s">
        <v>1455</v>
      </c>
      <c r="D5454" s="4">
        <v>45451</v>
      </c>
      <c r="E5454" t="s">
        <v>395</v>
      </c>
      <c r="F5454" t="s">
        <v>75</v>
      </c>
      <c r="I5454" s="6"/>
      <c r="J5454" s="6"/>
      <c r="K5454" s="6"/>
      <c r="L5454" s="6"/>
      <c r="M5454" s="6"/>
      <c r="N5454" s="6"/>
      <c r="O5454" s="6"/>
      <c r="P5454" s="6"/>
      <c r="Q5454">
        <v>0</v>
      </c>
      <c r="R5454">
        <f t="shared" si="425"/>
        <v>0</v>
      </c>
      <c r="S5454">
        <f t="shared" si="426"/>
        <v>0</v>
      </c>
      <c r="T5454">
        <f t="shared" si="427"/>
        <v>0</v>
      </c>
      <c r="U5454">
        <f t="shared" si="428"/>
        <v>0</v>
      </c>
      <c r="V5454">
        <f t="shared" si="429"/>
        <v>0</v>
      </c>
    </row>
    <row r="5455" spans="1:22" x14ac:dyDescent="0.25">
      <c r="A5455">
        <v>5452</v>
      </c>
      <c r="B5455" t="s">
        <v>32</v>
      </c>
      <c r="C5455" t="s">
        <v>1455</v>
      </c>
      <c r="D5455" s="4">
        <v>45451</v>
      </c>
      <c r="E5455" t="s">
        <v>396</v>
      </c>
      <c r="F5455" t="s">
        <v>75</v>
      </c>
      <c r="I5455" s="6">
        <v>0</v>
      </c>
      <c r="J5455" s="6">
        <v>0</v>
      </c>
      <c r="K5455" s="6">
        <v>0</v>
      </c>
      <c r="L5455" s="6">
        <v>0</v>
      </c>
      <c r="M5455" s="6">
        <v>1</v>
      </c>
      <c r="N5455" s="6">
        <v>0</v>
      </c>
      <c r="O5455" s="6">
        <v>0</v>
      </c>
      <c r="P5455" s="6">
        <v>1</v>
      </c>
      <c r="Q5455">
        <v>1</v>
      </c>
      <c r="R5455">
        <f t="shared" si="425"/>
        <v>0</v>
      </c>
      <c r="S5455">
        <f t="shared" si="426"/>
        <v>1</v>
      </c>
      <c r="T5455">
        <f t="shared" si="427"/>
        <v>2</v>
      </c>
      <c r="U5455">
        <f t="shared" si="428"/>
        <v>1</v>
      </c>
      <c r="V5455">
        <f t="shared" si="429"/>
        <v>0</v>
      </c>
    </row>
    <row r="5456" spans="1:22" x14ac:dyDescent="0.25">
      <c r="A5456">
        <v>5453</v>
      </c>
      <c r="B5456" t="s">
        <v>32</v>
      </c>
      <c r="C5456" t="s">
        <v>1455</v>
      </c>
      <c r="D5456" s="4">
        <v>45451</v>
      </c>
      <c r="E5456" t="s">
        <v>521</v>
      </c>
      <c r="F5456" t="s">
        <v>75</v>
      </c>
      <c r="I5456" s="6"/>
      <c r="J5456" s="6"/>
      <c r="K5456" s="6"/>
      <c r="L5456" s="6"/>
      <c r="M5456" s="6"/>
      <c r="N5456" s="6"/>
      <c r="O5456" s="6"/>
      <c r="P5456" s="6"/>
      <c r="Q5456">
        <v>0</v>
      </c>
      <c r="R5456">
        <f t="shared" si="425"/>
        <v>0</v>
      </c>
      <c r="S5456">
        <f t="shared" si="426"/>
        <v>0</v>
      </c>
      <c r="T5456">
        <f t="shared" si="427"/>
        <v>0</v>
      </c>
      <c r="U5456">
        <f t="shared" si="428"/>
        <v>0</v>
      </c>
      <c r="V5456">
        <f t="shared" si="429"/>
        <v>0</v>
      </c>
    </row>
    <row r="5457" spans="1:22" x14ac:dyDescent="0.25">
      <c r="A5457">
        <v>5454</v>
      </c>
      <c r="B5457" t="s">
        <v>32</v>
      </c>
      <c r="C5457" t="s">
        <v>1455</v>
      </c>
      <c r="D5457" s="4">
        <v>45451</v>
      </c>
      <c r="E5457" t="s">
        <v>397</v>
      </c>
      <c r="F5457" t="s">
        <v>75</v>
      </c>
      <c r="I5457" s="6"/>
      <c r="J5457" s="6"/>
      <c r="K5457" s="6"/>
      <c r="L5457" s="6"/>
      <c r="M5457" s="6"/>
      <c r="N5457" s="6"/>
      <c r="O5457" s="6"/>
      <c r="P5457" s="6"/>
      <c r="Q5457">
        <v>0</v>
      </c>
      <c r="R5457">
        <f t="shared" si="425"/>
        <v>0</v>
      </c>
      <c r="S5457">
        <f t="shared" si="426"/>
        <v>0</v>
      </c>
      <c r="T5457">
        <f t="shared" si="427"/>
        <v>0</v>
      </c>
      <c r="U5457">
        <f t="shared" si="428"/>
        <v>0</v>
      </c>
      <c r="V5457">
        <f t="shared" si="429"/>
        <v>0</v>
      </c>
    </row>
    <row r="5458" spans="1:22" x14ac:dyDescent="0.25">
      <c r="A5458">
        <v>5455</v>
      </c>
      <c r="B5458" t="s">
        <v>32</v>
      </c>
      <c r="C5458" t="s">
        <v>1455</v>
      </c>
      <c r="D5458" s="4">
        <v>45451</v>
      </c>
      <c r="E5458" t="s">
        <v>901</v>
      </c>
      <c r="F5458" t="s">
        <v>413</v>
      </c>
      <c r="G5458">
        <v>255</v>
      </c>
      <c r="H5458" t="s">
        <v>1570</v>
      </c>
      <c r="I5458" s="6">
        <v>0</v>
      </c>
      <c r="J5458" s="6">
        <v>0</v>
      </c>
      <c r="K5458" s="6">
        <v>0</v>
      </c>
      <c r="L5458" s="6">
        <v>0</v>
      </c>
      <c r="M5458" s="6">
        <v>0</v>
      </c>
      <c r="N5458" s="6">
        <v>0</v>
      </c>
      <c r="O5458" s="6">
        <v>0</v>
      </c>
      <c r="P5458" s="6">
        <v>1</v>
      </c>
      <c r="Q5458">
        <v>1</v>
      </c>
      <c r="R5458">
        <f t="shared" si="425"/>
        <v>1</v>
      </c>
      <c r="S5458">
        <f t="shared" si="426"/>
        <v>0</v>
      </c>
      <c r="T5458">
        <f t="shared" si="427"/>
        <v>1</v>
      </c>
      <c r="U5458">
        <f t="shared" si="428"/>
        <v>1</v>
      </c>
      <c r="V5458">
        <f t="shared" si="429"/>
        <v>1</v>
      </c>
    </row>
    <row r="5459" spans="1:22" x14ac:dyDescent="0.25">
      <c r="A5459">
        <v>5456</v>
      </c>
      <c r="B5459" t="s">
        <v>32</v>
      </c>
      <c r="C5459" t="s">
        <v>1455</v>
      </c>
      <c r="D5459" s="4">
        <v>45451</v>
      </c>
      <c r="E5459" t="s">
        <v>1571</v>
      </c>
      <c r="F5459" t="s">
        <v>75</v>
      </c>
      <c r="I5459" s="6">
        <v>0</v>
      </c>
      <c r="J5459" s="6">
        <v>0</v>
      </c>
      <c r="K5459" s="6">
        <v>0</v>
      </c>
      <c r="L5459" s="6">
        <v>0</v>
      </c>
      <c r="M5459" s="6">
        <v>0</v>
      </c>
      <c r="N5459" s="6">
        <v>0</v>
      </c>
      <c r="O5459" s="6">
        <v>1</v>
      </c>
      <c r="P5459" s="6">
        <v>0</v>
      </c>
      <c r="Q5459">
        <v>1</v>
      </c>
      <c r="R5459">
        <f t="shared" si="425"/>
        <v>0</v>
      </c>
      <c r="S5459">
        <f t="shared" si="426"/>
        <v>1</v>
      </c>
      <c r="T5459">
        <f t="shared" si="427"/>
        <v>1</v>
      </c>
      <c r="U5459">
        <f t="shared" si="428"/>
        <v>1</v>
      </c>
      <c r="V5459">
        <f t="shared" si="429"/>
        <v>0</v>
      </c>
    </row>
    <row r="5460" spans="1:22" x14ac:dyDescent="0.25">
      <c r="A5460">
        <v>5457</v>
      </c>
      <c r="B5460" t="s">
        <v>32</v>
      </c>
      <c r="C5460" t="s">
        <v>1455</v>
      </c>
      <c r="D5460" s="4">
        <v>45451</v>
      </c>
      <c r="E5460" t="s">
        <v>1572</v>
      </c>
      <c r="F5460" t="s">
        <v>75</v>
      </c>
      <c r="I5460" s="6">
        <v>0</v>
      </c>
      <c r="J5460" s="6">
        <v>0</v>
      </c>
      <c r="K5460" s="6">
        <v>1</v>
      </c>
      <c r="L5460" s="6">
        <v>0</v>
      </c>
      <c r="M5460" s="6">
        <v>0</v>
      </c>
      <c r="N5460" s="6">
        <v>1</v>
      </c>
      <c r="O5460" s="6">
        <v>0</v>
      </c>
      <c r="P5460" s="6">
        <v>0</v>
      </c>
      <c r="Q5460">
        <v>1</v>
      </c>
      <c r="R5460">
        <f t="shared" si="425"/>
        <v>0</v>
      </c>
      <c r="S5460">
        <f t="shared" si="426"/>
        <v>1</v>
      </c>
      <c r="T5460">
        <f t="shared" si="427"/>
        <v>2</v>
      </c>
      <c r="U5460">
        <f t="shared" si="428"/>
        <v>1</v>
      </c>
      <c r="V5460">
        <f t="shared" si="429"/>
        <v>0</v>
      </c>
    </row>
    <row r="5461" spans="1:22" x14ac:dyDescent="0.25">
      <c r="A5461">
        <v>5458</v>
      </c>
      <c r="B5461" t="s">
        <v>32</v>
      </c>
      <c r="C5461" t="s">
        <v>1455</v>
      </c>
      <c r="D5461" s="4">
        <v>45452</v>
      </c>
      <c r="E5461" t="s">
        <v>398</v>
      </c>
      <c r="F5461" t="s">
        <v>75</v>
      </c>
      <c r="I5461" s="6">
        <v>0</v>
      </c>
      <c r="J5461" s="6">
        <v>0</v>
      </c>
      <c r="K5461" s="6">
        <v>0</v>
      </c>
      <c r="L5461" s="6">
        <v>0</v>
      </c>
      <c r="M5461" s="6">
        <v>0</v>
      </c>
      <c r="N5461" s="6">
        <v>0</v>
      </c>
      <c r="O5461" s="6">
        <v>0</v>
      </c>
      <c r="P5461" s="6">
        <v>1</v>
      </c>
      <c r="Q5461">
        <v>1</v>
      </c>
      <c r="R5461">
        <f t="shared" si="425"/>
        <v>0</v>
      </c>
      <c r="S5461">
        <f t="shared" si="426"/>
        <v>1</v>
      </c>
      <c r="T5461">
        <f t="shared" si="427"/>
        <v>1</v>
      </c>
      <c r="U5461">
        <f t="shared" si="428"/>
        <v>1</v>
      </c>
      <c r="V5461">
        <f t="shared" si="429"/>
        <v>0</v>
      </c>
    </row>
    <row r="5462" spans="1:22" x14ac:dyDescent="0.25">
      <c r="A5462">
        <v>5459</v>
      </c>
      <c r="B5462" t="s">
        <v>32</v>
      </c>
      <c r="C5462" t="s">
        <v>1455</v>
      </c>
      <c r="D5462" s="4">
        <v>45452</v>
      </c>
      <c r="E5462" t="s">
        <v>399</v>
      </c>
      <c r="F5462" t="s">
        <v>75</v>
      </c>
      <c r="I5462" s="6"/>
      <c r="J5462" s="6"/>
      <c r="K5462" s="6"/>
      <c r="L5462" s="6"/>
      <c r="M5462" s="6"/>
      <c r="N5462" s="6"/>
      <c r="O5462" s="6"/>
      <c r="P5462" s="6"/>
      <c r="Q5462">
        <v>0</v>
      </c>
      <c r="R5462">
        <f t="shared" si="425"/>
        <v>0</v>
      </c>
      <c r="S5462">
        <f t="shared" si="426"/>
        <v>0</v>
      </c>
      <c r="T5462">
        <f t="shared" si="427"/>
        <v>0</v>
      </c>
      <c r="U5462">
        <f t="shared" si="428"/>
        <v>0</v>
      </c>
      <c r="V5462">
        <f t="shared" si="429"/>
        <v>0</v>
      </c>
    </row>
    <row r="5463" spans="1:22" x14ac:dyDescent="0.25">
      <c r="A5463">
        <v>5460</v>
      </c>
      <c r="B5463" t="s">
        <v>32</v>
      </c>
      <c r="C5463" t="s">
        <v>1455</v>
      </c>
      <c r="D5463" s="4">
        <v>45452</v>
      </c>
      <c r="E5463" t="s">
        <v>902</v>
      </c>
      <c r="F5463" t="s">
        <v>75</v>
      </c>
      <c r="I5463" s="6">
        <v>0</v>
      </c>
      <c r="J5463" s="6">
        <v>0</v>
      </c>
      <c r="K5463" s="6">
        <v>0</v>
      </c>
      <c r="L5463" s="6">
        <v>0</v>
      </c>
      <c r="M5463" s="6">
        <v>0</v>
      </c>
      <c r="N5463" s="6">
        <v>0</v>
      </c>
      <c r="O5463" s="6">
        <v>0</v>
      </c>
      <c r="P5463" s="6">
        <v>0</v>
      </c>
      <c r="Q5463">
        <v>1</v>
      </c>
      <c r="R5463">
        <f t="shared" si="425"/>
        <v>0</v>
      </c>
      <c r="S5463">
        <f t="shared" si="426"/>
        <v>1</v>
      </c>
      <c r="T5463">
        <f t="shared" si="427"/>
        <v>0</v>
      </c>
      <c r="U5463">
        <f t="shared" si="428"/>
        <v>0</v>
      </c>
      <c r="V5463">
        <f t="shared" si="429"/>
        <v>0</v>
      </c>
    </row>
    <row r="5464" spans="1:22" x14ac:dyDescent="0.25">
      <c r="A5464">
        <v>5461</v>
      </c>
      <c r="B5464" t="s">
        <v>32</v>
      </c>
      <c r="C5464" t="s">
        <v>1455</v>
      </c>
      <c r="D5464" s="4">
        <v>45452</v>
      </c>
      <c r="E5464" t="s">
        <v>400</v>
      </c>
      <c r="F5464" t="s">
        <v>75</v>
      </c>
      <c r="I5464" s="6">
        <v>0</v>
      </c>
      <c r="J5464" s="6">
        <v>0</v>
      </c>
      <c r="K5464" s="6">
        <v>0</v>
      </c>
      <c r="L5464" s="6">
        <v>0</v>
      </c>
      <c r="M5464" s="6">
        <v>0</v>
      </c>
      <c r="N5464" s="6">
        <v>0</v>
      </c>
      <c r="O5464" s="6">
        <v>0</v>
      </c>
      <c r="P5464" s="6">
        <v>1</v>
      </c>
      <c r="Q5464">
        <v>1</v>
      </c>
      <c r="R5464">
        <f t="shared" si="425"/>
        <v>0</v>
      </c>
      <c r="S5464">
        <f t="shared" si="426"/>
        <v>1</v>
      </c>
      <c r="T5464">
        <f t="shared" si="427"/>
        <v>1</v>
      </c>
      <c r="U5464">
        <f t="shared" si="428"/>
        <v>1</v>
      </c>
      <c r="V5464">
        <f t="shared" si="429"/>
        <v>0</v>
      </c>
    </row>
    <row r="5465" spans="1:22" x14ac:dyDescent="0.25">
      <c r="A5465">
        <v>5462</v>
      </c>
      <c r="B5465" t="s">
        <v>32</v>
      </c>
      <c r="C5465" t="s">
        <v>1455</v>
      </c>
      <c r="D5465" s="4">
        <v>45452</v>
      </c>
      <c r="E5465" t="s">
        <v>2084</v>
      </c>
      <c r="F5465" t="s">
        <v>75</v>
      </c>
      <c r="I5465" s="6">
        <v>0</v>
      </c>
      <c r="J5465" s="6">
        <v>0</v>
      </c>
      <c r="K5465" s="6">
        <v>0</v>
      </c>
      <c r="L5465" s="6">
        <v>0</v>
      </c>
      <c r="M5465" s="6">
        <v>0</v>
      </c>
      <c r="N5465" s="6">
        <v>0</v>
      </c>
      <c r="O5465" s="6">
        <v>1</v>
      </c>
      <c r="P5465" s="6">
        <v>0</v>
      </c>
      <c r="Q5465">
        <v>1</v>
      </c>
      <c r="R5465">
        <f t="shared" si="425"/>
        <v>0</v>
      </c>
      <c r="S5465">
        <f t="shared" si="426"/>
        <v>1</v>
      </c>
      <c r="T5465">
        <f t="shared" si="427"/>
        <v>1</v>
      </c>
      <c r="U5465">
        <f t="shared" si="428"/>
        <v>1</v>
      </c>
      <c r="V5465">
        <f t="shared" si="429"/>
        <v>0</v>
      </c>
    </row>
    <row r="5466" spans="1:22" x14ac:dyDescent="0.25">
      <c r="A5466">
        <v>5463</v>
      </c>
      <c r="B5466" t="s">
        <v>32</v>
      </c>
      <c r="C5466" t="s">
        <v>1455</v>
      </c>
      <c r="D5466" s="4">
        <v>45452</v>
      </c>
      <c r="E5466" t="s">
        <v>401</v>
      </c>
      <c r="F5466" t="s">
        <v>413</v>
      </c>
      <c r="G5466">
        <v>256</v>
      </c>
      <c r="I5466" s="6">
        <v>0</v>
      </c>
      <c r="J5466" s="6">
        <v>0</v>
      </c>
      <c r="K5466" s="6">
        <v>0</v>
      </c>
      <c r="L5466" s="6">
        <v>1</v>
      </c>
      <c r="M5466" s="6">
        <v>0</v>
      </c>
      <c r="N5466" s="6">
        <v>0</v>
      </c>
      <c r="O5466" s="6">
        <v>1</v>
      </c>
      <c r="P5466" s="6">
        <v>0</v>
      </c>
      <c r="Q5466">
        <v>1</v>
      </c>
      <c r="R5466">
        <f t="shared" si="425"/>
        <v>1</v>
      </c>
      <c r="S5466">
        <f t="shared" si="426"/>
        <v>0</v>
      </c>
      <c r="T5466">
        <f t="shared" si="427"/>
        <v>2</v>
      </c>
      <c r="U5466">
        <f t="shared" si="428"/>
        <v>1</v>
      </c>
      <c r="V5466">
        <f t="shared" si="429"/>
        <v>1</v>
      </c>
    </row>
    <row r="5467" spans="1:22" x14ac:dyDescent="0.25">
      <c r="A5467">
        <v>5464</v>
      </c>
      <c r="B5467" t="s">
        <v>32</v>
      </c>
      <c r="C5467" t="s">
        <v>1455</v>
      </c>
      <c r="D5467" s="4">
        <v>45452</v>
      </c>
      <c r="E5467" t="s">
        <v>402</v>
      </c>
      <c r="F5467" t="s">
        <v>75</v>
      </c>
      <c r="I5467" s="6"/>
      <c r="J5467" s="6"/>
      <c r="K5467" s="6"/>
      <c r="L5467" s="6"/>
      <c r="M5467" s="6"/>
      <c r="N5467" s="6"/>
      <c r="O5467" s="6"/>
      <c r="P5467" s="6"/>
      <c r="Q5467">
        <v>0</v>
      </c>
      <c r="R5467">
        <f t="shared" si="425"/>
        <v>0</v>
      </c>
      <c r="S5467">
        <f t="shared" si="426"/>
        <v>0</v>
      </c>
      <c r="T5467">
        <f t="shared" si="427"/>
        <v>0</v>
      </c>
      <c r="U5467">
        <f t="shared" si="428"/>
        <v>0</v>
      </c>
      <c r="V5467">
        <f t="shared" si="429"/>
        <v>0</v>
      </c>
    </row>
    <row r="5468" spans="1:22" x14ac:dyDescent="0.25">
      <c r="A5468">
        <v>5465</v>
      </c>
      <c r="B5468" t="s">
        <v>34</v>
      </c>
      <c r="C5468" t="s">
        <v>1573</v>
      </c>
      <c r="D5468" s="4">
        <v>45329</v>
      </c>
      <c r="E5468" t="s">
        <v>903</v>
      </c>
      <c r="F5468" t="s">
        <v>75</v>
      </c>
      <c r="I5468" s="6">
        <v>0</v>
      </c>
      <c r="J5468" s="6">
        <v>0</v>
      </c>
      <c r="K5468" s="6">
        <v>0</v>
      </c>
      <c r="L5468" s="6">
        <v>0</v>
      </c>
      <c r="M5468" s="6">
        <v>0</v>
      </c>
      <c r="N5468" s="6">
        <v>0</v>
      </c>
      <c r="O5468" s="6">
        <v>0</v>
      </c>
      <c r="P5468" s="6">
        <v>0</v>
      </c>
      <c r="Q5468">
        <v>1</v>
      </c>
      <c r="R5468">
        <f t="shared" si="425"/>
        <v>0</v>
      </c>
      <c r="S5468">
        <f t="shared" si="426"/>
        <v>1</v>
      </c>
      <c r="T5468">
        <f t="shared" si="427"/>
        <v>0</v>
      </c>
      <c r="U5468">
        <f t="shared" si="428"/>
        <v>0</v>
      </c>
      <c r="V5468">
        <f t="shared" si="429"/>
        <v>0</v>
      </c>
    </row>
    <row r="5469" spans="1:22" x14ac:dyDescent="0.25">
      <c r="A5469">
        <v>5466</v>
      </c>
      <c r="B5469" t="s">
        <v>34</v>
      </c>
      <c r="C5469" t="s">
        <v>1573</v>
      </c>
      <c r="D5469" s="4">
        <v>45331</v>
      </c>
      <c r="E5469" t="s">
        <v>408</v>
      </c>
      <c r="F5469" t="s">
        <v>75</v>
      </c>
      <c r="I5469" s="6">
        <v>0</v>
      </c>
      <c r="J5469" s="6">
        <v>0</v>
      </c>
      <c r="K5469" s="6">
        <v>0</v>
      </c>
      <c r="L5469" s="6">
        <v>0</v>
      </c>
      <c r="M5469" s="6">
        <v>0</v>
      </c>
      <c r="N5469" s="6">
        <v>0</v>
      </c>
      <c r="O5469" s="6">
        <v>0</v>
      </c>
      <c r="P5469" s="6">
        <v>0</v>
      </c>
      <c r="Q5469">
        <v>1</v>
      </c>
      <c r="R5469">
        <f t="shared" si="425"/>
        <v>0</v>
      </c>
      <c r="S5469">
        <f t="shared" si="426"/>
        <v>1</v>
      </c>
      <c r="T5469">
        <f t="shared" si="427"/>
        <v>0</v>
      </c>
      <c r="U5469">
        <f t="shared" si="428"/>
        <v>0</v>
      </c>
      <c r="V5469">
        <f t="shared" si="429"/>
        <v>0</v>
      </c>
    </row>
    <row r="5470" spans="1:22" x14ac:dyDescent="0.25">
      <c r="A5470">
        <v>5467</v>
      </c>
      <c r="B5470" t="s">
        <v>34</v>
      </c>
      <c r="C5470" t="s">
        <v>1573</v>
      </c>
      <c r="D5470" s="4">
        <v>45344</v>
      </c>
      <c r="E5470" t="s">
        <v>419</v>
      </c>
      <c r="F5470" t="s">
        <v>413</v>
      </c>
      <c r="G5470">
        <v>257</v>
      </c>
      <c r="I5470" s="6">
        <v>0</v>
      </c>
      <c r="J5470" s="6">
        <v>0</v>
      </c>
      <c r="K5470" s="6">
        <v>0</v>
      </c>
      <c r="L5470" s="6">
        <v>0</v>
      </c>
      <c r="M5470" s="6">
        <v>0</v>
      </c>
      <c r="N5470" s="6">
        <v>0</v>
      </c>
      <c r="O5470" s="6">
        <v>0</v>
      </c>
      <c r="P5470" s="6">
        <v>0</v>
      </c>
      <c r="Q5470">
        <v>1</v>
      </c>
      <c r="R5470">
        <f t="shared" si="425"/>
        <v>1</v>
      </c>
      <c r="S5470">
        <f t="shared" si="426"/>
        <v>0</v>
      </c>
      <c r="T5470">
        <f t="shared" si="427"/>
        <v>0</v>
      </c>
      <c r="U5470">
        <f t="shared" si="428"/>
        <v>0</v>
      </c>
      <c r="V5470">
        <f t="shared" si="429"/>
        <v>1</v>
      </c>
    </row>
    <row r="5471" spans="1:22" x14ac:dyDescent="0.25">
      <c r="A5471">
        <v>5468</v>
      </c>
      <c r="B5471" t="s">
        <v>34</v>
      </c>
      <c r="C5471" t="s">
        <v>1573</v>
      </c>
      <c r="D5471" s="4">
        <v>45349</v>
      </c>
      <c r="E5471" t="s">
        <v>253</v>
      </c>
      <c r="F5471" t="s">
        <v>75</v>
      </c>
      <c r="I5471" s="6">
        <v>1</v>
      </c>
      <c r="J5471" s="6">
        <v>0</v>
      </c>
      <c r="K5471" s="6">
        <v>0</v>
      </c>
      <c r="L5471" s="6">
        <v>0</v>
      </c>
      <c r="M5471" s="6">
        <v>1</v>
      </c>
      <c r="N5471" s="6">
        <v>0</v>
      </c>
      <c r="O5471" s="6">
        <v>0</v>
      </c>
      <c r="P5471" s="6">
        <v>0</v>
      </c>
      <c r="Q5471">
        <v>1</v>
      </c>
      <c r="R5471">
        <f t="shared" si="425"/>
        <v>0</v>
      </c>
      <c r="S5471">
        <f t="shared" si="426"/>
        <v>1</v>
      </c>
      <c r="T5471">
        <f t="shared" si="427"/>
        <v>2</v>
      </c>
      <c r="U5471">
        <f t="shared" si="428"/>
        <v>1</v>
      </c>
      <c r="V5471">
        <f t="shared" si="429"/>
        <v>0</v>
      </c>
    </row>
    <row r="5472" spans="1:22" x14ac:dyDescent="0.25">
      <c r="A5472">
        <v>5469</v>
      </c>
      <c r="B5472" t="s">
        <v>34</v>
      </c>
      <c r="C5472" t="s">
        <v>1573</v>
      </c>
      <c r="D5472" s="4">
        <v>45354</v>
      </c>
      <c r="E5472" t="s">
        <v>421</v>
      </c>
      <c r="F5472" t="s">
        <v>75</v>
      </c>
      <c r="I5472" s="6">
        <v>0</v>
      </c>
      <c r="J5472" s="6">
        <v>0</v>
      </c>
      <c r="K5472" s="6">
        <v>0</v>
      </c>
      <c r="L5472" s="6">
        <v>1</v>
      </c>
      <c r="M5472" s="6">
        <v>0</v>
      </c>
      <c r="N5472" s="6">
        <v>0</v>
      </c>
      <c r="O5472" s="6">
        <v>0</v>
      </c>
      <c r="P5472" s="6">
        <v>0</v>
      </c>
      <c r="Q5472">
        <v>1</v>
      </c>
      <c r="R5472">
        <f t="shared" si="425"/>
        <v>0</v>
      </c>
      <c r="S5472">
        <f t="shared" si="426"/>
        <v>1</v>
      </c>
      <c r="T5472">
        <f t="shared" si="427"/>
        <v>1</v>
      </c>
      <c r="U5472">
        <f t="shared" si="428"/>
        <v>1</v>
      </c>
      <c r="V5472">
        <f t="shared" si="429"/>
        <v>0</v>
      </c>
    </row>
    <row r="5473" spans="1:22" x14ac:dyDescent="0.25">
      <c r="A5473">
        <v>5470</v>
      </c>
      <c r="B5473" t="s">
        <v>34</v>
      </c>
      <c r="C5473" t="s">
        <v>1573</v>
      </c>
      <c r="D5473" s="4">
        <v>45362</v>
      </c>
      <c r="E5473" t="s">
        <v>846</v>
      </c>
      <c r="F5473" t="s">
        <v>75</v>
      </c>
      <c r="I5473" s="6">
        <v>0</v>
      </c>
      <c r="J5473" s="6">
        <v>0</v>
      </c>
      <c r="K5473" s="6">
        <v>0</v>
      </c>
      <c r="L5473" s="6">
        <v>0</v>
      </c>
      <c r="M5473" s="6">
        <v>0</v>
      </c>
      <c r="N5473" s="6">
        <v>0</v>
      </c>
      <c r="O5473" s="6">
        <v>0</v>
      </c>
      <c r="P5473" s="6">
        <v>1</v>
      </c>
      <c r="Q5473">
        <v>1</v>
      </c>
      <c r="R5473">
        <f t="shared" si="425"/>
        <v>0</v>
      </c>
      <c r="S5473">
        <f t="shared" si="426"/>
        <v>1</v>
      </c>
      <c r="T5473">
        <f t="shared" si="427"/>
        <v>1</v>
      </c>
      <c r="U5473">
        <f t="shared" si="428"/>
        <v>1</v>
      </c>
      <c r="V5473">
        <f t="shared" si="429"/>
        <v>0</v>
      </c>
    </row>
    <row r="5474" spans="1:22" x14ac:dyDescent="0.25">
      <c r="A5474">
        <v>5471</v>
      </c>
      <c r="B5474" t="s">
        <v>34</v>
      </c>
      <c r="C5474" t="s">
        <v>1573</v>
      </c>
      <c r="D5474" s="4">
        <v>45367</v>
      </c>
      <c r="E5474" t="s">
        <v>853</v>
      </c>
      <c r="F5474" t="s">
        <v>75</v>
      </c>
      <c r="I5474" s="6">
        <v>0</v>
      </c>
      <c r="J5474" s="6">
        <v>0</v>
      </c>
      <c r="K5474" s="6">
        <v>0</v>
      </c>
      <c r="L5474" s="6">
        <v>0</v>
      </c>
      <c r="M5474" s="6">
        <v>0</v>
      </c>
      <c r="N5474" s="6">
        <v>0</v>
      </c>
      <c r="O5474" s="6">
        <v>0</v>
      </c>
      <c r="P5474" s="6">
        <v>0</v>
      </c>
      <c r="Q5474">
        <v>1</v>
      </c>
      <c r="R5474">
        <f t="shared" si="425"/>
        <v>0</v>
      </c>
      <c r="S5474">
        <f t="shared" si="426"/>
        <v>1</v>
      </c>
      <c r="T5474">
        <f t="shared" si="427"/>
        <v>0</v>
      </c>
      <c r="U5474">
        <f t="shared" si="428"/>
        <v>0</v>
      </c>
      <c r="V5474">
        <f t="shared" si="429"/>
        <v>0</v>
      </c>
    </row>
    <row r="5475" spans="1:22" x14ac:dyDescent="0.25">
      <c r="A5475">
        <v>5472</v>
      </c>
      <c r="B5475" t="s">
        <v>34</v>
      </c>
      <c r="C5475" t="s">
        <v>1573</v>
      </c>
      <c r="D5475" s="4">
        <v>45374</v>
      </c>
      <c r="E5475" t="s">
        <v>858</v>
      </c>
      <c r="F5475" t="s">
        <v>75</v>
      </c>
      <c r="I5475" s="6">
        <v>0</v>
      </c>
      <c r="J5475" s="6">
        <v>0</v>
      </c>
      <c r="K5475" s="6">
        <v>0</v>
      </c>
      <c r="L5475" s="6">
        <v>0</v>
      </c>
      <c r="M5475" s="6">
        <v>0</v>
      </c>
      <c r="N5475" s="6">
        <v>0</v>
      </c>
      <c r="O5475" s="6">
        <v>0</v>
      </c>
      <c r="P5475" s="6">
        <v>0</v>
      </c>
      <c r="Q5475">
        <v>1</v>
      </c>
      <c r="R5475">
        <f t="shared" si="425"/>
        <v>0</v>
      </c>
      <c r="S5475">
        <f t="shared" si="426"/>
        <v>1</v>
      </c>
      <c r="T5475">
        <f t="shared" si="427"/>
        <v>0</v>
      </c>
      <c r="U5475">
        <f t="shared" si="428"/>
        <v>0</v>
      </c>
      <c r="V5475">
        <f t="shared" si="429"/>
        <v>0</v>
      </c>
    </row>
    <row r="5476" spans="1:22" x14ac:dyDescent="0.25">
      <c r="A5476">
        <v>5473</v>
      </c>
      <c r="B5476" t="s">
        <v>34</v>
      </c>
      <c r="C5476" t="s">
        <v>1573</v>
      </c>
      <c r="D5476" s="4">
        <v>45382</v>
      </c>
      <c r="E5476" t="s">
        <v>950</v>
      </c>
      <c r="F5476" t="s">
        <v>413</v>
      </c>
      <c r="G5476">
        <v>258</v>
      </c>
      <c r="I5476" s="6">
        <v>0</v>
      </c>
      <c r="J5476" s="6">
        <v>0</v>
      </c>
      <c r="K5476" s="6">
        <v>0</v>
      </c>
      <c r="L5476" s="6">
        <v>0</v>
      </c>
      <c r="M5476" s="6">
        <v>0</v>
      </c>
      <c r="N5476" s="6">
        <v>0</v>
      </c>
      <c r="O5476" s="6">
        <v>0</v>
      </c>
      <c r="P5476" s="6">
        <v>0</v>
      </c>
      <c r="Q5476">
        <v>1</v>
      </c>
      <c r="R5476">
        <f t="shared" si="425"/>
        <v>1</v>
      </c>
      <c r="S5476">
        <f t="shared" si="426"/>
        <v>0</v>
      </c>
      <c r="T5476">
        <f t="shared" si="427"/>
        <v>0</v>
      </c>
      <c r="U5476">
        <f t="shared" si="428"/>
        <v>0</v>
      </c>
      <c r="V5476">
        <f t="shared" si="429"/>
        <v>1</v>
      </c>
    </row>
    <row r="5477" spans="1:22" x14ac:dyDescent="0.25">
      <c r="A5477">
        <v>5474</v>
      </c>
      <c r="B5477" t="s">
        <v>34</v>
      </c>
      <c r="C5477" t="s">
        <v>1573</v>
      </c>
      <c r="D5477" s="4">
        <v>45388</v>
      </c>
      <c r="E5477" t="s">
        <v>285</v>
      </c>
      <c r="F5477" t="s">
        <v>75</v>
      </c>
      <c r="I5477" s="6">
        <v>1</v>
      </c>
      <c r="J5477" s="6">
        <v>0</v>
      </c>
      <c r="K5477" s="6">
        <v>0</v>
      </c>
      <c r="L5477" s="6">
        <v>0</v>
      </c>
      <c r="M5477" s="6">
        <v>0</v>
      </c>
      <c r="N5477" s="6">
        <v>0</v>
      </c>
      <c r="O5477" s="6">
        <v>0</v>
      </c>
      <c r="P5477" s="6">
        <v>0</v>
      </c>
      <c r="Q5477">
        <v>1</v>
      </c>
      <c r="R5477">
        <f t="shared" si="425"/>
        <v>0</v>
      </c>
      <c r="S5477">
        <f t="shared" si="426"/>
        <v>1</v>
      </c>
      <c r="T5477">
        <f t="shared" si="427"/>
        <v>1</v>
      </c>
      <c r="U5477">
        <f t="shared" si="428"/>
        <v>1</v>
      </c>
      <c r="V5477">
        <f t="shared" si="429"/>
        <v>0</v>
      </c>
    </row>
    <row r="5478" spans="1:22" x14ac:dyDescent="0.25">
      <c r="A5478">
        <v>5475</v>
      </c>
      <c r="B5478" t="s">
        <v>34</v>
      </c>
      <c r="C5478" t="s">
        <v>1573</v>
      </c>
      <c r="D5478" s="4">
        <v>45389</v>
      </c>
      <c r="E5478" t="s">
        <v>866</v>
      </c>
      <c r="F5478" t="s">
        <v>75</v>
      </c>
      <c r="I5478" s="6">
        <v>0</v>
      </c>
      <c r="J5478" s="6">
        <v>0</v>
      </c>
      <c r="K5478" s="6">
        <v>0</v>
      </c>
      <c r="L5478" s="6">
        <v>0</v>
      </c>
      <c r="M5478" s="6">
        <v>0</v>
      </c>
      <c r="N5478" s="6">
        <v>0</v>
      </c>
      <c r="O5478" s="6">
        <v>0</v>
      </c>
      <c r="P5478" s="6">
        <v>0</v>
      </c>
      <c r="Q5478">
        <v>1</v>
      </c>
      <c r="R5478">
        <f t="shared" si="425"/>
        <v>0</v>
      </c>
      <c r="S5478">
        <f t="shared" si="426"/>
        <v>1</v>
      </c>
      <c r="T5478">
        <f t="shared" si="427"/>
        <v>0</v>
      </c>
      <c r="U5478">
        <f t="shared" si="428"/>
        <v>0</v>
      </c>
      <c r="V5478">
        <f t="shared" si="429"/>
        <v>0</v>
      </c>
    </row>
    <row r="5479" spans="1:22" x14ac:dyDescent="0.25">
      <c r="A5479">
        <v>5476</v>
      </c>
      <c r="B5479" t="s">
        <v>34</v>
      </c>
      <c r="C5479" t="s">
        <v>1573</v>
      </c>
      <c r="D5479" s="4">
        <v>45397</v>
      </c>
      <c r="E5479" t="s">
        <v>289</v>
      </c>
      <c r="F5479" t="s">
        <v>75</v>
      </c>
      <c r="I5479" s="6">
        <v>1</v>
      </c>
      <c r="J5479" s="6">
        <v>0</v>
      </c>
      <c r="K5479" s="6">
        <v>0</v>
      </c>
      <c r="L5479" s="6">
        <v>0</v>
      </c>
      <c r="M5479" s="6">
        <v>0</v>
      </c>
      <c r="N5479" s="6">
        <v>0</v>
      </c>
      <c r="O5479" s="6">
        <v>0</v>
      </c>
      <c r="P5479" s="6">
        <v>0</v>
      </c>
      <c r="Q5479">
        <v>1</v>
      </c>
      <c r="R5479">
        <f t="shared" si="425"/>
        <v>0</v>
      </c>
      <c r="S5479">
        <f t="shared" si="426"/>
        <v>1</v>
      </c>
      <c r="T5479">
        <f t="shared" si="427"/>
        <v>1</v>
      </c>
      <c r="U5479">
        <f t="shared" si="428"/>
        <v>1</v>
      </c>
      <c r="V5479">
        <f t="shared" si="429"/>
        <v>0</v>
      </c>
    </row>
    <row r="5480" spans="1:22" x14ac:dyDescent="0.25">
      <c r="A5480">
        <v>5477</v>
      </c>
      <c r="B5480" t="s">
        <v>34</v>
      </c>
      <c r="C5480" t="s">
        <v>1573</v>
      </c>
      <c r="D5480" s="4">
        <v>45409</v>
      </c>
      <c r="E5480" t="s">
        <v>1480</v>
      </c>
      <c r="F5480" t="s">
        <v>75</v>
      </c>
      <c r="I5480" s="6">
        <v>0</v>
      </c>
      <c r="J5480" s="6">
        <v>0</v>
      </c>
      <c r="K5480" s="6">
        <v>0</v>
      </c>
      <c r="L5480" s="6">
        <v>0</v>
      </c>
      <c r="M5480" s="6">
        <v>0</v>
      </c>
      <c r="N5480" s="6">
        <v>0</v>
      </c>
      <c r="O5480" s="6">
        <v>0</v>
      </c>
      <c r="P5480" s="6">
        <v>0</v>
      </c>
      <c r="Q5480">
        <v>1</v>
      </c>
      <c r="R5480">
        <f t="shared" si="425"/>
        <v>0</v>
      </c>
      <c r="S5480">
        <f t="shared" si="426"/>
        <v>1</v>
      </c>
      <c r="T5480">
        <f t="shared" si="427"/>
        <v>0</v>
      </c>
      <c r="U5480">
        <f t="shared" si="428"/>
        <v>0</v>
      </c>
      <c r="V5480">
        <f t="shared" si="429"/>
        <v>0</v>
      </c>
    </row>
    <row r="5481" spans="1:22" x14ac:dyDescent="0.25">
      <c r="A5481">
        <v>5478</v>
      </c>
      <c r="B5481" t="s">
        <v>34</v>
      </c>
      <c r="C5481" t="s">
        <v>1573</v>
      </c>
      <c r="D5481" s="4">
        <v>45409</v>
      </c>
      <c r="E5481" t="s">
        <v>309</v>
      </c>
      <c r="F5481" t="s">
        <v>75</v>
      </c>
      <c r="I5481" s="6">
        <v>0</v>
      </c>
      <c r="J5481" s="6">
        <v>0</v>
      </c>
      <c r="K5481" s="6">
        <v>0</v>
      </c>
      <c r="L5481" s="6">
        <v>0</v>
      </c>
      <c r="M5481" s="6">
        <v>0</v>
      </c>
      <c r="N5481" s="6">
        <v>0</v>
      </c>
      <c r="O5481" s="6">
        <v>0</v>
      </c>
      <c r="P5481" s="6">
        <v>0</v>
      </c>
      <c r="Q5481">
        <v>1</v>
      </c>
      <c r="R5481">
        <f t="shared" si="425"/>
        <v>0</v>
      </c>
      <c r="S5481">
        <f t="shared" si="426"/>
        <v>1</v>
      </c>
      <c r="T5481">
        <f t="shared" si="427"/>
        <v>0</v>
      </c>
      <c r="U5481">
        <f t="shared" si="428"/>
        <v>0</v>
      </c>
      <c r="V5481">
        <f t="shared" si="429"/>
        <v>0</v>
      </c>
    </row>
    <row r="5482" spans="1:22" x14ac:dyDescent="0.25">
      <c r="A5482">
        <v>5479</v>
      </c>
      <c r="B5482" t="s">
        <v>34</v>
      </c>
      <c r="C5482" t="s">
        <v>1573</v>
      </c>
      <c r="D5482" s="4">
        <v>45410</v>
      </c>
      <c r="E5482" t="s">
        <v>879</v>
      </c>
      <c r="F5482" t="s">
        <v>75</v>
      </c>
      <c r="I5482" s="6">
        <v>1</v>
      </c>
      <c r="J5482" s="6">
        <v>1</v>
      </c>
      <c r="K5482" s="6">
        <v>0</v>
      </c>
      <c r="L5482" s="6">
        <v>0</v>
      </c>
      <c r="M5482" s="6">
        <v>0</v>
      </c>
      <c r="N5482" s="6">
        <v>0</v>
      </c>
      <c r="O5482" s="6">
        <v>0</v>
      </c>
      <c r="P5482" s="6">
        <v>0</v>
      </c>
      <c r="Q5482">
        <v>1</v>
      </c>
      <c r="R5482">
        <f t="shared" si="425"/>
        <v>0</v>
      </c>
      <c r="S5482">
        <f t="shared" si="426"/>
        <v>1</v>
      </c>
      <c r="T5482">
        <f t="shared" si="427"/>
        <v>2</v>
      </c>
      <c r="U5482">
        <f t="shared" si="428"/>
        <v>1</v>
      </c>
      <c r="V5482">
        <f t="shared" si="429"/>
        <v>0</v>
      </c>
    </row>
    <row r="5483" spans="1:22" x14ac:dyDescent="0.25">
      <c r="A5483">
        <v>5480</v>
      </c>
      <c r="B5483" t="s">
        <v>34</v>
      </c>
      <c r="C5483" t="s">
        <v>1573</v>
      </c>
      <c r="D5483" s="4">
        <v>45416</v>
      </c>
      <c r="E5483" t="s">
        <v>1399</v>
      </c>
      <c r="F5483" t="s">
        <v>75</v>
      </c>
      <c r="I5483" s="6">
        <v>0</v>
      </c>
      <c r="J5483" s="6">
        <v>0</v>
      </c>
      <c r="K5483" s="6">
        <v>0</v>
      </c>
      <c r="L5483" s="6">
        <v>1</v>
      </c>
      <c r="M5483" s="6">
        <v>0</v>
      </c>
      <c r="N5483" s="6">
        <v>0</v>
      </c>
      <c r="O5483" s="6">
        <v>0</v>
      </c>
      <c r="P5483" s="6">
        <v>0</v>
      </c>
      <c r="Q5483">
        <v>1</v>
      </c>
      <c r="R5483">
        <f t="shared" si="425"/>
        <v>0</v>
      </c>
      <c r="S5483">
        <f t="shared" si="426"/>
        <v>1</v>
      </c>
      <c r="T5483">
        <f t="shared" si="427"/>
        <v>1</v>
      </c>
      <c r="U5483">
        <f t="shared" si="428"/>
        <v>1</v>
      </c>
      <c r="V5483">
        <f t="shared" si="429"/>
        <v>0</v>
      </c>
    </row>
    <row r="5484" spans="1:22" x14ac:dyDescent="0.25">
      <c r="A5484">
        <v>5481</v>
      </c>
      <c r="B5484" t="s">
        <v>34</v>
      </c>
      <c r="C5484" t="s">
        <v>1573</v>
      </c>
      <c r="D5484" s="4">
        <v>45417</v>
      </c>
      <c r="E5484" t="s">
        <v>995</v>
      </c>
      <c r="F5484" t="s">
        <v>75</v>
      </c>
      <c r="I5484" s="6">
        <v>0</v>
      </c>
      <c r="J5484" s="6">
        <v>0</v>
      </c>
      <c r="K5484" s="6">
        <v>0</v>
      </c>
      <c r="L5484" s="6">
        <v>1</v>
      </c>
      <c r="M5484" s="6">
        <v>0</v>
      </c>
      <c r="N5484" s="6">
        <v>0</v>
      </c>
      <c r="O5484" s="6">
        <v>0</v>
      </c>
      <c r="P5484" s="6">
        <v>0</v>
      </c>
      <c r="Q5484">
        <v>1</v>
      </c>
      <c r="R5484">
        <f t="shared" si="425"/>
        <v>0</v>
      </c>
      <c r="S5484">
        <f t="shared" si="426"/>
        <v>1</v>
      </c>
      <c r="T5484">
        <f t="shared" si="427"/>
        <v>1</v>
      </c>
      <c r="U5484">
        <f t="shared" si="428"/>
        <v>1</v>
      </c>
      <c r="V5484">
        <f t="shared" si="429"/>
        <v>0</v>
      </c>
    </row>
    <row r="5485" spans="1:22" x14ac:dyDescent="0.25">
      <c r="A5485">
        <v>5482</v>
      </c>
      <c r="B5485" t="s">
        <v>34</v>
      </c>
      <c r="C5485" t="s">
        <v>1573</v>
      </c>
      <c r="D5485" s="4">
        <v>45417</v>
      </c>
      <c r="E5485" t="s">
        <v>996</v>
      </c>
      <c r="F5485" t="s">
        <v>75</v>
      </c>
      <c r="I5485" s="6">
        <v>0</v>
      </c>
      <c r="J5485" s="6">
        <v>0</v>
      </c>
      <c r="K5485" s="6">
        <v>0</v>
      </c>
      <c r="L5485" s="6">
        <v>1</v>
      </c>
      <c r="M5485" s="6">
        <v>0</v>
      </c>
      <c r="N5485" s="6">
        <v>0</v>
      </c>
      <c r="O5485" s="6">
        <v>0</v>
      </c>
      <c r="P5485" s="6">
        <v>0</v>
      </c>
      <c r="Q5485">
        <v>1</v>
      </c>
      <c r="R5485">
        <f t="shared" si="425"/>
        <v>0</v>
      </c>
      <c r="S5485">
        <f t="shared" si="426"/>
        <v>1</v>
      </c>
      <c r="T5485">
        <f t="shared" si="427"/>
        <v>1</v>
      </c>
      <c r="U5485">
        <f t="shared" si="428"/>
        <v>1</v>
      </c>
      <c r="V5485">
        <f t="shared" si="429"/>
        <v>0</v>
      </c>
    </row>
    <row r="5486" spans="1:22" x14ac:dyDescent="0.25">
      <c r="A5486">
        <v>5483</v>
      </c>
      <c r="B5486" t="s">
        <v>34</v>
      </c>
      <c r="C5486" t="s">
        <v>1573</v>
      </c>
      <c r="D5486" s="4">
        <v>45418</v>
      </c>
      <c r="E5486" t="s">
        <v>470</v>
      </c>
      <c r="F5486" t="s">
        <v>75</v>
      </c>
      <c r="I5486" s="6">
        <v>0</v>
      </c>
      <c r="J5486" s="6">
        <v>0</v>
      </c>
      <c r="K5486" s="6">
        <v>1</v>
      </c>
      <c r="L5486" s="6">
        <v>0</v>
      </c>
      <c r="M5486" s="6">
        <v>0</v>
      </c>
      <c r="N5486" s="6">
        <v>0</v>
      </c>
      <c r="O5486" s="6">
        <v>0</v>
      </c>
      <c r="P5486" s="6">
        <v>0</v>
      </c>
      <c r="Q5486">
        <v>1</v>
      </c>
      <c r="R5486">
        <f t="shared" si="425"/>
        <v>0</v>
      </c>
      <c r="S5486">
        <f t="shared" si="426"/>
        <v>1</v>
      </c>
      <c r="T5486">
        <f t="shared" si="427"/>
        <v>1</v>
      </c>
      <c r="U5486">
        <f t="shared" si="428"/>
        <v>1</v>
      </c>
      <c r="V5486">
        <f t="shared" si="429"/>
        <v>0</v>
      </c>
    </row>
    <row r="5487" spans="1:22" x14ac:dyDescent="0.25">
      <c r="A5487">
        <v>5484</v>
      </c>
      <c r="B5487" t="s">
        <v>34</v>
      </c>
      <c r="C5487" t="s">
        <v>1573</v>
      </c>
      <c r="D5487" s="4">
        <v>45423</v>
      </c>
      <c r="E5487" t="s">
        <v>887</v>
      </c>
      <c r="F5487" t="s">
        <v>75</v>
      </c>
      <c r="I5487" s="6">
        <v>0</v>
      </c>
      <c r="J5487" s="6">
        <v>0</v>
      </c>
      <c r="K5487" s="6">
        <v>0</v>
      </c>
      <c r="L5487" s="6">
        <v>1</v>
      </c>
      <c r="M5487" s="6">
        <v>0</v>
      </c>
      <c r="N5487" s="6">
        <v>0</v>
      </c>
      <c r="O5487" s="6">
        <v>0</v>
      </c>
      <c r="P5487" s="6">
        <v>0</v>
      </c>
      <c r="Q5487">
        <v>1</v>
      </c>
      <c r="R5487">
        <f t="shared" si="425"/>
        <v>0</v>
      </c>
      <c r="S5487">
        <f t="shared" si="426"/>
        <v>1</v>
      </c>
      <c r="T5487">
        <f t="shared" si="427"/>
        <v>1</v>
      </c>
      <c r="U5487">
        <f t="shared" si="428"/>
        <v>1</v>
      </c>
      <c r="V5487">
        <f t="shared" si="429"/>
        <v>0</v>
      </c>
    </row>
    <row r="5488" spans="1:22" x14ac:dyDescent="0.25">
      <c r="A5488">
        <v>5485</v>
      </c>
      <c r="B5488" t="s">
        <v>34</v>
      </c>
      <c r="C5488" t="s">
        <v>1573</v>
      </c>
      <c r="D5488" s="4">
        <v>45424</v>
      </c>
      <c r="E5488" t="s">
        <v>1002</v>
      </c>
      <c r="F5488" t="s">
        <v>413</v>
      </c>
      <c r="G5488">
        <v>259</v>
      </c>
      <c r="I5488" s="6">
        <v>0</v>
      </c>
      <c r="J5488" s="6">
        <v>0</v>
      </c>
      <c r="K5488" s="6">
        <v>0</v>
      </c>
      <c r="L5488" s="6">
        <v>0</v>
      </c>
      <c r="M5488" s="6">
        <v>0</v>
      </c>
      <c r="N5488" s="6">
        <v>0</v>
      </c>
      <c r="O5488" s="6">
        <v>0</v>
      </c>
      <c r="P5488" s="6">
        <v>0</v>
      </c>
      <c r="Q5488">
        <v>1</v>
      </c>
      <c r="R5488">
        <f t="shared" si="425"/>
        <v>1</v>
      </c>
      <c r="S5488">
        <f t="shared" si="426"/>
        <v>0</v>
      </c>
      <c r="T5488">
        <f t="shared" si="427"/>
        <v>0</v>
      </c>
      <c r="U5488">
        <f t="shared" si="428"/>
        <v>0</v>
      </c>
      <c r="V5488">
        <f t="shared" si="429"/>
        <v>1</v>
      </c>
    </row>
    <row r="5489" spans="1:22" x14ac:dyDescent="0.25">
      <c r="A5489">
        <v>5486</v>
      </c>
      <c r="B5489" t="s">
        <v>34</v>
      </c>
      <c r="C5489" t="s">
        <v>1573</v>
      </c>
      <c r="D5489" s="4">
        <v>45428</v>
      </c>
      <c r="E5489" t="s">
        <v>1232</v>
      </c>
      <c r="F5489" t="s">
        <v>75</v>
      </c>
      <c r="I5489" s="6">
        <v>1</v>
      </c>
      <c r="J5489" s="6">
        <v>0</v>
      </c>
      <c r="K5489" s="6">
        <v>0</v>
      </c>
      <c r="L5489" s="6">
        <v>1</v>
      </c>
      <c r="M5489" s="6">
        <v>1</v>
      </c>
      <c r="N5489" s="6">
        <v>0</v>
      </c>
      <c r="O5489" s="6">
        <v>0</v>
      </c>
      <c r="P5489" s="6">
        <v>0</v>
      </c>
      <c r="Q5489">
        <v>1</v>
      </c>
      <c r="R5489">
        <f t="shared" si="425"/>
        <v>0</v>
      </c>
      <c r="S5489">
        <f t="shared" si="426"/>
        <v>1</v>
      </c>
      <c r="T5489">
        <f t="shared" si="427"/>
        <v>3</v>
      </c>
      <c r="U5489">
        <f t="shared" si="428"/>
        <v>1</v>
      </c>
      <c r="V5489">
        <f t="shared" si="429"/>
        <v>0</v>
      </c>
    </row>
    <row r="5490" spans="1:22" x14ac:dyDescent="0.25">
      <c r="A5490">
        <v>5487</v>
      </c>
      <c r="B5490" t="s">
        <v>34</v>
      </c>
      <c r="C5490" t="s">
        <v>1573</v>
      </c>
      <c r="D5490" s="4">
        <v>45438</v>
      </c>
      <c r="E5490" t="s">
        <v>484</v>
      </c>
      <c r="F5490" t="s">
        <v>75</v>
      </c>
      <c r="I5490" s="6">
        <v>0</v>
      </c>
      <c r="J5490" s="6">
        <v>0</v>
      </c>
      <c r="K5490" s="6">
        <v>0</v>
      </c>
      <c r="L5490" s="6">
        <v>1</v>
      </c>
      <c r="M5490" s="6">
        <v>0</v>
      </c>
      <c r="N5490" s="6">
        <v>0</v>
      </c>
      <c r="O5490" s="6">
        <v>0</v>
      </c>
      <c r="P5490" s="6">
        <v>0</v>
      </c>
      <c r="Q5490">
        <v>1</v>
      </c>
      <c r="R5490">
        <f t="shared" si="425"/>
        <v>0</v>
      </c>
      <c r="S5490">
        <f t="shared" si="426"/>
        <v>1</v>
      </c>
      <c r="T5490">
        <f t="shared" si="427"/>
        <v>1</v>
      </c>
      <c r="U5490">
        <f t="shared" si="428"/>
        <v>1</v>
      </c>
      <c r="V5490">
        <f t="shared" si="429"/>
        <v>0</v>
      </c>
    </row>
    <row r="5491" spans="1:22" x14ac:dyDescent="0.25">
      <c r="A5491">
        <v>5488</v>
      </c>
      <c r="B5491" t="s">
        <v>34</v>
      </c>
      <c r="C5491" t="s">
        <v>1573</v>
      </c>
      <c r="D5491" s="4">
        <v>45438</v>
      </c>
      <c r="E5491" t="s">
        <v>369</v>
      </c>
      <c r="F5491" t="s">
        <v>75</v>
      </c>
      <c r="I5491" s="6">
        <v>0</v>
      </c>
      <c r="J5491" s="6">
        <v>0</v>
      </c>
      <c r="K5491" s="6">
        <v>0</v>
      </c>
      <c r="L5491" s="6">
        <v>0</v>
      </c>
      <c r="M5491" s="6">
        <v>0</v>
      </c>
      <c r="N5491" s="6">
        <v>0</v>
      </c>
      <c r="O5491" s="6">
        <v>0</v>
      </c>
      <c r="P5491" s="6">
        <v>0</v>
      </c>
      <c r="Q5491">
        <v>1</v>
      </c>
      <c r="R5491">
        <f t="shared" si="425"/>
        <v>0</v>
      </c>
      <c r="S5491">
        <f t="shared" si="426"/>
        <v>1</v>
      </c>
      <c r="T5491">
        <f t="shared" si="427"/>
        <v>0</v>
      </c>
      <c r="U5491">
        <f t="shared" si="428"/>
        <v>0</v>
      </c>
      <c r="V5491">
        <f t="shared" si="429"/>
        <v>0</v>
      </c>
    </row>
    <row r="5492" spans="1:22" x14ac:dyDescent="0.25">
      <c r="A5492">
        <v>5489</v>
      </c>
      <c r="B5492" t="s">
        <v>34</v>
      </c>
      <c r="C5492" t="s">
        <v>1573</v>
      </c>
      <c r="D5492" s="4">
        <v>45444</v>
      </c>
      <c r="E5492" t="s">
        <v>1238</v>
      </c>
      <c r="F5492" t="s">
        <v>75</v>
      </c>
      <c r="I5492" s="6">
        <v>0</v>
      </c>
      <c r="J5492" s="6">
        <v>1</v>
      </c>
      <c r="K5492" s="6">
        <v>1</v>
      </c>
      <c r="L5492" s="6">
        <v>0</v>
      </c>
      <c r="M5492" s="6">
        <v>0</v>
      </c>
      <c r="N5492" s="6">
        <v>0</v>
      </c>
      <c r="O5492" s="6">
        <v>0</v>
      </c>
      <c r="P5492" s="6">
        <v>0</v>
      </c>
      <c r="Q5492">
        <v>1</v>
      </c>
      <c r="R5492">
        <f t="shared" si="425"/>
        <v>0</v>
      </c>
      <c r="S5492">
        <f t="shared" si="426"/>
        <v>1</v>
      </c>
      <c r="T5492">
        <f t="shared" si="427"/>
        <v>2</v>
      </c>
      <c r="U5492">
        <f t="shared" si="428"/>
        <v>1</v>
      </c>
      <c r="V5492">
        <f t="shared" si="429"/>
        <v>0</v>
      </c>
    </row>
    <row r="5493" spans="1:22" x14ac:dyDescent="0.25">
      <c r="A5493">
        <v>5490</v>
      </c>
      <c r="B5493" t="s">
        <v>34</v>
      </c>
      <c r="C5493" t="s">
        <v>1573</v>
      </c>
      <c r="D5493" s="4">
        <v>45445</v>
      </c>
      <c r="E5493" t="s">
        <v>380</v>
      </c>
      <c r="F5493" t="s">
        <v>75</v>
      </c>
      <c r="I5493" s="6">
        <v>1</v>
      </c>
      <c r="J5493" s="6">
        <v>0</v>
      </c>
      <c r="K5493" s="6">
        <v>1</v>
      </c>
      <c r="L5493" s="6">
        <v>1</v>
      </c>
      <c r="M5493" s="6">
        <v>0</v>
      </c>
      <c r="N5493" s="6">
        <v>0</v>
      </c>
      <c r="O5493" s="6">
        <v>0</v>
      </c>
      <c r="P5493" s="6">
        <v>0</v>
      </c>
      <c r="Q5493">
        <v>1</v>
      </c>
      <c r="R5493">
        <f t="shared" si="425"/>
        <v>0</v>
      </c>
      <c r="S5493">
        <f t="shared" si="426"/>
        <v>1</v>
      </c>
      <c r="T5493">
        <f t="shared" si="427"/>
        <v>3</v>
      </c>
      <c r="U5493">
        <f t="shared" si="428"/>
        <v>1</v>
      </c>
      <c r="V5493">
        <f t="shared" si="429"/>
        <v>0</v>
      </c>
    </row>
    <row r="5494" spans="1:22" x14ac:dyDescent="0.25">
      <c r="A5494">
        <v>5491</v>
      </c>
      <c r="B5494" t="s">
        <v>34</v>
      </c>
      <c r="C5494" t="s">
        <v>1573</v>
      </c>
      <c r="D5494" s="4">
        <v>45445</v>
      </c>
      <c r="E5494" t="s">
        <v>381</v>
      </c>
      <c r="F5494" t="s">
        <v>413</v>
      </c>
      <c r="G5494">
        <v>260</v>
      </c>
      <c r="I5494" s="6">
        <v>0</v>
      </c>
      <c r="J5494" s="6">
        <v>0</v>
      </c>
      <c r="K5494" s="6">
        <v>0</v>
      </c>
      <c r="L5494" s="6">
        <v>0</v>
      </c>
      <c r="M5494" s="6">
        <v>0</v>
      </c>
      <c r="N5494" s="6">
        <v>0</v>
      </c>
      <c r="O5494" s="6">
        <v>0</v>
      </c>
      <c r="P5494" s="6">
        <v>0</v>
      </c>
      <c r="Q5494">
        <v>1</v>
      </c>
      <c r="R5494">
        <f t="shared" si="425"/>
        <v>1</v>
      </c>
      <c r="S5494">
        <f t="shared" si="426"/>
        <v>0</v>
      </c>
      <c r="T5494">
        <f t="shared" si="427"/>
        <v>0</v>
      </c>
      <c r="U5494">
        <f t="shared" si="428"/>
        <v>0</v>
      </c>
      <c r="V5494">
        <f t="shared" si="429"/>
        <v>1</v>
      </c>
    </row>
    <row r="5495" spans="1:22" x14ac:dyDescent="0.25">
      <c r="A5495">
        <v>5492</v>
      </c>
      <c r="B5495" t="s">
        <v>34</v>
      </c>
      <c r="C5495" t="s">
        <v>1573</v>
      </c>
      <c r="D5495" s="4">
        <v>45446</v>
      </c>
      <c r="E5495" t="s">
        <v>383</v>
      </c>
      <c r="F5495" t="s">
        <v>75</v>
      </c>
      <c r="I5495" s="6">
        <v>0</v>
      </c>
      <c r="J5495" s="6">
        <v>0</v>
      </c>
      <c r="K5495" s="6">
        <v>0</v>
      </c>
      <c r="L5495" s="6">
        <v>0</v>
      </c>
      <c r="M5495" s="6">
        <v>0</v>
      </c>
      <c r="N5495" s="6">
        <v>0</v>
      </c>
      <c r="O5495" s="6">
        <v>0</v>
      </c>
      <c r="P5495" s="6">
        <v>0</v>
      </c>
      <c r="Q5495">
        <v>1</v>
      </c>
      <c r="R5495">
        <f t="shared" si="425"/>
        <v>0</v>
      </c>
      <c r="S5495">
        <f t="shared" si="426"/>
        <v>1</v>
      </c>
      <c r="T5495">
        <f t="shared" si="427"/>
        <v>0</v>
      </c>
      <c r="U5495">
        <f t="shared" si="428"/>
        <v>0</v>
      </c>
      <c r="V5495">
        <f t="shared" si="429"/>
        <v>0</v>
      </c>
    </row>
    <row r="5496" spans="1:22" x14ac:dyDescent="0.25">
      <c r="A5496">
        <v>5493</v>
      </c>
      <c r="B5496" t="s">
        <v>34</v>
      </c>
      <c r="C5496" t="s">
        <v>1573</v>
      </c>
      <c r="D5496" s="4">
        <v>45446</v>
      </c>
      <c r="E5496" t="s">
        <v>384</v>
      </c>
      <c r="F5496" t="s">
        <v>75</v>
      </c>
      <c r="I5496" s="6">
        <v>0</v>
      </c>
      <c r="J5496" s="6">
        <v>0</v>
      </c>
      <c r="K5496" s="6">
        <v>0</v>
      </c>
      <c r="L5496" s="6">
        <v>0</v>
      </c>
      <c r="M5496" s="6">
        <v>0</v>
      </c>
      <c r="N5496" s="6">
        <v>0</v>
      </c>
      <c r="O5496" s="6">
        <v>0</v>
      </c>
      <c r="P5496" s="6">
        <v>0</v>
      </c>
      <c r="Q5496">
        <v>1</v>
      </c>
      <c r="R5496">
        <f t="shared" si="425"/>
        <v>0</v>
      </c>
      <c r="S5496">
        <f t="shared" si="426"/>
        <v>1</v>
      </c>
      <c r="T5496">
        <f t="shared" si="427"/>
        <v>0</v>
      </c>
      <c r="U5496">
        <f t="shared" si="428"/>
        <v>0</v>
      </c>
      <c r="V5496">
        <f t="shared" si="429"/>
        <v>0</v>
      </c>
    </row>
    <row r="5497" spans="1:22" x14ac:dyDescent="0.25">
      <c r="A5497">
        <v>5494</v>
      </c>
      <c r="B5497" t="s">
        <v>34</v>
      </c>
      <c r="C5497" t="s">
        <v>1573</v>
      </c>
      <c r="D5497" s="4">
        <v>45447</v>
      </c>
      <c r="E5497" t="s">
        <v>1241</v>
      </c>
      <c r="F5497" t="s">
        <v>75</v>
      </c>
      <c r="I5497" s="6">
        <v>0</v>
      </c>
      <c r="J5497" s="6">
        <v>0</v>
      </c>
      <c r="K5497" s="6">
        <v>0</v>
      </c>
      <c r="L5497" s="6">
        <v>0</v>
      </c>
      <c r="M5497" s="6">
        <v>0</v>
      </c>
      <c r="N5497" s="6">
        <v>0</v>
      </c>
      <c r="O5497" s="6">
        <v>0</v>
      </c>
      <c r="P5497" s="6">
        <v>0</v>
      </c>
      <c r="Q5497">
        <v>1</v>
      </c>
      <c r="R5497">
        <f t="shared" si="425"/>
        <v>0</v>
      </c>
      <c r="S5497">
        <f t="shared" si="426"/>
        <v>1</v>
      </c>
      <c r="T5497">
        <f t="shared" si="427"/>
        <v>0</v>
      </c>
      <c r="U5497">
        <f t="shared" si="428"/>
        <v>0</v>
      </c>
      <c r="V5497">
        <f t="shared" si="429"/>
        <v>0</v>
      </c>
    </row>
    <row r="5498" spans="1:22" x14ac:dyDescent="0.25">
      <c r="A5498">
        <v>5495</v>
      </c>
      <c r="B5498" t="s">
        <v>34</v>
      </c>
      <c r="C5498" t="s">
        <v>1573</v>
      </c>
      <c r="D5498" s="4">
        <v>45448</v>
      </c>
      <c r="E5498" t="s">
        <v>497</v>
      </c>
      <c r="F5498" t="s">
        <v>413</v>
      </c>
      <c r="G5498">
        <v>261</v>
      </c>
      <c r="I5498" s="6">
        <v>1</v>
      </c>
      <c r="J5498" s="6">
        <v>0</v>
      </c>
      <c r="K5498" s="6">
        <v>1</v>
      </c>
      <c r="L5498" s="6">
        <v>0</v>
      </c>
      <c r="M5498" s="6">
        <v>0</v>
      </c>
      <c r="N5498" s="6">
        <v>0</v>
      </c>
      <c r="O5498" s="6">
        <v>0</v>
      </c>
      <c r="P5498" s="6">
        <v>0</v>
      </c>
      <c r="Q5498">
        <v>1</v>
      </c>
      <c r="R5498">
        <f t="shared" si="425"/>
        <v>1</v>
      </c>
      <c r="S5498">
        <f t="shared" si="426"/>
        <v>0</v>
      </c>
      <c r="T5498">
        <f t="shared" si="427"/>
        <v>2</v>
      </c>
      <c r="U5498">
        <f t="shared" si="428"/>
        <v>1</v>
      </c>
      <c r="V5498">
        <f t="shared" si="429"/>
        <v>1</v>
      </c>
    </row>
    <row r="5499" spans="1:22" x14ac:dyDescent="0.25">
      <c r="A5499">
        <v>5496</v>
      </c>
      <c r="B5499" t="s">
        <v>34</v>
      </c>
      <c r="C5499" t="s">
        <v>1573</v>
      </c>
      <c r="D5499" s="4">
        <v>45448</v>
      </c>
      <c r="E5499" t="s">
        <v>388</v>
      </c>
      <c r="F5499" t="s">
        <v>75</v>
      </c>
      <c r="I5499" s="6">
        <v>0</v>
      </c>
      <c r="J5499" s="6">
        <v>0</v>
      </c>
      <c r="K5499" s="6">
        <v>0</v>
      </c>
      <c r="L5499" s="6">
        <v>0</v>
      </c>
      <c r="M5499" s="6">
        <v>0</v>
      </c>
      <c r="N5499" s="6">
        <v>0</v>
      </c>
      <c r="O5499" s="6">
        <v>0</v>
      </c>
      <c r="P5499" s="6">
        <v>0</v>
      </c>
      <c r="Q5499">
        <v>1</v>
      </c>
      <c r="R5499">
        <f t="shared" si="425"/>
        <v>0</v>
      </c>
      <c r="S5499">
        <f t="shared" si="426"/>
        <v>1</v>
      </c>
      <c r="T5499">
        <f t="shared" si="427"/>
        <v>0</v>
      </c>
      <c r="U5499">
        <f t="shared" si="428"/>
        <v>0</v>
      </c>
      <c r="V5499">
        <f t="shared" si="429"/>
        <v>0</v>
      </c>
    </row>
    <row r="5500" spans="1:22" x14ac:dyDescent="0.25">
      <c r="A5500">
        <v>5497</v>
      </c>
      <c r="B5500" t="s">
        <v>34</v>
      </c>
      <c r="C5500" t="s">
        <v>1573</v>
      </c>
      <c r="D5500" s="4">
        <v>45449</v>
      </c>
      <c r="E5500" t="s">
        <v>1574</v>
      </c>
      <c r="F5500" t="s">
        <v>75</v>
      </c>
      <c r="I5500" s="6">
        <v>1</v>
      </c>
      <c r="J5500" s="6">
        <v>0</v>
      </c>
      <c r="K5500" s="6">
        <v>0</v>
      </c>
      <c r="L5500" s="6">
        <v>0</v>
      </c>
      <c r="M5500" s="6">
        <v>0</v>
      </c>
      <c r="N5500" s="6">
        <v>0</v>
      </c>
      <c r="O5500" s="6">
        <v>0</v>
      </c>
      <c r="P5500" s="6">
        <v>0</v>
      </c>
      <c r="Q5500">
        <v>1</v>
      </c>
      <c r="R5500">
        <f t="shared" si="425"/>
        <v>0</v>
      </c>
      <c r="S5500">
        <f t="shared" si="426"/>
        <v>1</v>
      </c>
      <c r="T5500">
        <f t="shared" si="427"/>
        <v>1</v>
      </c>
      <c r="U5500">
        <f t="shared" si="428"/>
        <v>1</v>
      </c>
      <c r="V5500">
        <f t="shared" si="429"/>
        <v>0</v>
      </c>
    </row>
    <row r="5501" spans="1:22" x14ac:dyDescent="0.25">
      <c r="A5501">
        <v>5498</v>
      </c>
      <c r="B5501" t="s">
        <v>34</v>
      </c>
      <c r="C5501" t="s">
        <v>1573</v>
      </c>
      <c r="D5501" s="4">
        <v>45452</v>
      </c>
      <c r="E5501" t="s">
        <v>522</v>
      </c>
      <c r="F5501" t="s">
        <v>75</v>
      </c>
      <c r="I5501" s="6">
        <v>0</v>
      </c>
      <c r="J5501" s="6">
        <v>0</v>
      </c>
      <c r="K5501" s="6">
        <v>0</v>
      </c>
      <c r="L5501" s="6">
        <v>0</v>
      </c>
      <c r="M5501" s="6">
        <v>0</v>
      </c>
      <c r="N5501" s="6">
        <v>0</v>
      </c>
      <c r="O5501" s="6">
        <v>0</v>
      </c>
      <c r="P5501" s="6">
        <v>0</v>
      </c>
      <c r="Q5501">
        <v>1</v>
      </c>
      <c r="R5501">
        <f t="shared" si="425"/>
        <v>0</v>
      </c>
      <c r="S5501">
        <f t="shared" si="426"/>
        <v>1</v>
      </c>
      <c r="T5501">
        <f t="shared" si="427"/>
        <v>0</v>
      </c>
      <c r="U5501">
        <f t="shared" si="428"/>
        <v>0</v>
      </c>
      <c r="V5501">
        <f t="shared" si="429"/>
        <v>0</v>
      </c>
    </row>
    <row r="5502" spans="1:22" x14ac:dyDescent="0.25">
      <c r="A5502">
        <v>5499</v>
      </c>
      <c r="B5502" t="s">
        <v>38</v>
      </c>
      <c r="C5502" t="s">
        <v>1573</v>
      </c>
      <c r="D5502" s="4">
        <v>45839</v>
      </c>
      <c r="E5502" t="s">
        <v>1575</v>
      </c>
      <c r="F5502" t="s">
        <v>75</v>
      </c>
      <c r="I5502" s="6">
        <v>1</v>
      </c>
      <c r="J5502" s="6">
        <v>0</v>
      </c>
      <c r="K5502" s="6">
        <v>1</v>
      </c>
      <c r="L5502" s="6">
        <v>0</v>
      </c>
      <c r="M5502" s="6">
        <v>0</v>
      </c>
      <c r="N5502" s="6">
        <v>0</v>
      </c>
      <c r="O5502" s="6">
        <v>0</v>
      </c>
      <c r="P5502" s="6">
        <v>0</v>
      </c>
      <c r="Q5502">
        <v>1</v>
      </c>
      <c r="R5502">
        <f t="shared" si="425"/>
        <v>0</v>
      </c>
      <c r="S5502">
        <f t="shared" si="426"/>
        <v>1</v>
      </c>
      <c r="T5502">
        <f t="shared" si="427"/>
        <v>2</v>
      </c>
      <c r="U5502">
        <f t="shared" si="428"/>
        <v>1</v>
      </c>
      <c r="V5502">
        <f t="shared" si="429"/>
        <v>0</v>
      </c>
    </row>
    <row r="5503" spans="1:22" x14ac:dyDescent="0.25">
      <c r="A5503">
        <v>5500</v>
      </c>
      <c r="B5503" t="s">
        <v>38</v>
      </c>
      <c r="C5503" t="s">
        <v>1573</v>
      </c>
      <c r="D5503" s="4">
        <v>45839</v>
      </c>
      <c r="E5503" t="s">
        <v>1576</v>
      </c>
      <c r="F5503" t="s">
        <v>75</v>
      </c>
      <c r="I5503" s="6">
        <v>1</v>
      </c>
      <c r="J5503" s="6">
        <v>0</v>
      </c>
      <c r="K5503" s="6">
        <v>0</v>
      </c>
      <c r="L5503" s="6">
        <v>0</v>
      </c>
      <c r="M5503" s="6">
        <v>1</v>
      </c>
      <c r="N5503" s="6">
        <v>0</v>
      </c>
      <c r="O5503" s="6">
        <v>0</v>
      </c>
      <c r="P5503" s="6">
        <v>0</v>
      </c>
      <c r="Q5503">
        <v>1</v>
      </c>
      <c r="R5503">
        <f t="shared" si="425"/>
        <v>0</v>
      </c>
      <c r="S5503">
        <f t="shared" si="426"/>
        <v>1</v>
      </c>
      <c r="T5503">
        <f t="shared" si="427"/>
        <v>2</v>
      </c>
      <c r="U5503">
        <f t="shared" si="428"/>
        <v>1</v>
      </c>
      <c r="V5503">
        <f t="shared" si="429"/>
        <v>0</v>
      </c>
    </row>
    <row r="5504" spans="1:22" x14ac:dyDescent="0.25">
      <c r="A5504">
        <v>5501</v>
      </c>
      <c r="B5504" t="s">
        <v>38</v>
      </c>
      <c r="C5504" t="s">
        <v>1573</v>
      </c>
      <c r="D5504" s="4">
        <v>45840</v>
      </c>
      <c r="E5504" t="s">
        <v>1577</v>
      </c>
      <c r="F5504" t="s">
        <v>75</v>
      </c>
      <c r="I5504" s="6">
        <v>1</v>
      </c>
      <c r="J5504" s="6">
        <v>0</v>
      </c>
      <c r="K5504" s="6">
        <v>0</v>
      </c>
      <c r="L5504" s="6">
        <v>0</v>
      </c>
      <c r="M5504" s="6">
        <v>0</v>
      </c>
      <c r="N5504" s="6">
        <v>0</v>
      </c>
      <c r="O5504" s="6">
        <v>0</v>
      </c>
      <c r="P5504" s="6">
        <v>0</v>
      </c>
      <c r="Q5504">
        <v>1</v>
      </c>
      <c r="R5504">
        <f t="shared" si="425"/>
        <v>0</v>
      </c>
      <c r="S5504">
        <f t="shared" si="426"/>
        <v>1</v>
      </c>
      <c r="T5504">
        <f t="shared" si="427"/>
        <v>1</v>
      </c>
      <c r="U5504">
        <f t="shared" si="428"/>
        <v>1</v>
      </c>
      <c r="V5504">
        <f t="shared" si="429"/>
        <v>0</v>
      </c>
    </row>
    <row r="5505" spans="1:22" x14ac:dyDescent="0.25">
      <c r="A5505">
        <v>5502</v>
      </c>
      <c r="B5505" t="s">
        <v>38</v>
      </c>
      <c r="C5505" t="s">
        <v>1573</v>
      </c>
      <c r="D5505" s="4">
        <v>45841</v>
      </c>
      <c r="E5505" t="s">
        <v>1578</v>
      </c>
      <c r="F5505" t="s">
        <v>75</v>
      </c>
      <c r="I5505" s="6">
        <v>1</v>
      </c>
      <c r="J5505" s="6">
        <v>0</v>
      </c>
      <c r="K5505" s="6">
        <v>0</v>
      </c>
      <c r="L5505" s="6">
        <v>0</v>
      </c>
      <c r="M5505" s="6">
        <v>0</v>
      </c>
      <c r="N5505" s="6">
        <v>0</v>
      </c>
      <c r="O5505" s="6">
        <v>0</v>
      </c>
      <c r="P5505" s="6">
        <v>0</v>
      </c>
      <c r="Q5505">
        <v>1</v>
      </c>
      <c r="R5505">
        <f t="shared" si="425"/>
        <v>0</v>
      </c>
      <c r="S5505">
        <f t="shared" si="426"/>
        <v>1</v>
      </c>
      <c r="T5505">
        <f t="shared" si="427"/>
        <v>1</v>
      </c>
      <c r="U5505">
        <f t="shared" si="428"/>
        <v>1</v>
      </c>
      <c r="V5505">
        <f t="shared" si="429"/>
        <v>0</v>
      </c>
    </row>
    <row r="5506" spans="1:22" x14ac:dyDescent="0.25">
      <c r="A5506">
        <v>5503</v>
      </c>
      <c r="B5506" t="s">
        <v>38</v>
      </c>
      <c r="C5506" t="s">
        <v>1573</v>
      </c>
      <c r="D5506" s="4">
        <v>45841</v>
      </c>
      <c r="E5506" t="s">
        <v>1579</v>
      </c>
      <c r="F5506" t="s">
        <v>75</v>
      </c>
      <c r="I5506" s="6">
        <v>1</v>
      </c>
      <c r="J5506" s="6">
        <v>0</v>
      </c>
      <c r="K5506" s="6">
        <v>1</v>
      </c>
      <c r="L5506" s="6">
        <v>0</v>
      </c>
      <c r="M5506" s="6">
        <v>0</v>
      </c>
      <c r="N5506" s="6">
        <v>0</v>
      </c>
      <c r="O5506" s="6">
        <v>0</v>
      </c>
      <c r="P5506" s="6">
        <v>0</v>
      </c>
      <c r="Q5506">
        <v>1</v>
      </c>
      <c r="R5506">
        <f t="shared" si="425"/>
        <v>0</v>
      </c>
      <c r="S5506">
        <f t="shared" si="426"/>
        <v>1</v>
      </c>
      <c r="T5506">
        <f t="shared" si="427"/>
        <v>2</v>
      </c>
      <c r="U5506">
        <f t="shared" si="428"/>
        <v>1</v>
      </c>
      <c r="V5506">
        <f t="shared" si="429"/>
        <v>0</v>
      </c>
    </row>
    <row r="5507" spans="1:22" x14ac:dyDescent="0.25">
      <c r="A5507">
        <v>5504</v>
      </c>
      <c r="B5507" t="s">
        <v>38</v>
      </c>
      <c r="C5507" t="s">
        <v>1573</v>
      </c>
      <c r="D5507" s="4">
        <v>45841</v>
      </c>
      <c r="E5507" t="s">
        <v>1580</v>
      </c>
      <c r="F5507" t="s">
        <v>75</v>
      </c>
      <c r="I5507" s="6">
        <v>1</v>
      </c>
      <c r="J5507" s="6">
        <v>0</v>
      </c>
      <c r="K5507" s="6">
        <v>0</v>
      </c>
      <c r="L5507" s="6">
        <v>0</v>
      </c>
      <c r="M5507" s="6">
        <v>0</v>
      </c>
      <c r="N5507" s="6">
        <v>0</v>
      </c>
      <c r="O5507" s="6">
        <v>0</v>
      </c>
      <c r="P5507" s="6">
        <v>0</v>
      </c>
      <c r="Q5507">
        <v>1</v>
      </c>
      <c r="R5507">
        <f t="shared" ref="R5507:R5570" si="430">IF(AND(Q5507=1,F5507="ai_full"),1,0)</f>
        <v>0</v>
      </c>
      <c r="S5507">
        <f t="shared" ref="S5507:S5570" si="431">IF(AND(Q5507=1,F5507="conventional"),1,0)</f>
        <v>1</v>
      </c>
      <c r="T5507">
        <f t="shared" ref="T5507:T5570" si="432">SUM(I5507:P5507)</f>
        <v>1</v>
      </c>
      <c r="U5507">
        <f t="shared" ref="U5507:U5570" si="433">IF(T5507&gt;=1,1,0)</f>
        <v>1</v>
      </c>
      <c r="V5507">
        <f t="shared" ref="V5507:V5570" si="434">IF(F5507="ai_full",1,0)</f>
        <v>0</v>
      </c>
    </row>
    <row r="5508" spans="1:22" x14ac:dyDescent="0.25">
      <c r="A5508">
        <v>5505</v>
      </c>
      <c r="B5508" t="s">
        <v>38</v>
      </c>
      <c r="C5508" t="s">
        <v>1573</v>
      </c>
      <c r="D5508" s="4">
        <v>45842</v>
      </c>
      <c r="E5508" t="s">
        <v>2083</v>
      </c>
      <c r="F5508" t="s">
        <v>75</v>
      </c>
      <c r="I5508" s="6">
        <v>1</v>
      </c>
      <c r="J5508" s="6">
        <v>0</v>
      </c>
      <c r="K5508" s="6">
        <v>0</v>
      </c>
      <c r="L5508" s="6">
        <v>0</v>
      </c>
      <c r="M5508" s="6">
        <v>1</v>
      </c>
      <c r="N5508" s="6">
        <v>0</v>
      </c>
      <c r="O5508" s="6">
        <v>0</v>
      </c>
      <c r="P5508" s="6">
        <v>0</v>
      </c>
      <c r="Q5508">
        <v>1</v>
      </c>
      <c r="R5508">
        <f t="shared" si="430"/>
        <v>0</v>
      </c>
      <c r="S5508">
        <f t="shared" si="431"/>
        <v>1</v>
      </c>
      <c r="T5508">
        <f t="shared" si="432"/>
        <v>2</v>
      </c>
      <c r="U5508">
        <f t="shared" si="433"/>
        <v>1</v>
      </c>
      <c r="V5508">
        <f t="shared" si="434"/>
        <v>0</v>
      </c>
    </row>
    <row r="5509" spans="1:22" x14ac:dyDescent="0.25">
      <c r="A5509">
        <v>5506</v>
      </c>
      <c r="B5509" t="s">
        <v>38</v>
      </c>
      <c r="C5509" t="s">
        <v>1573</v>
      </c>
      <c r="D5509" s="4">
        <v>45843</v>
      </c>
      <c r="E5509" t="s">
        <v>1581</v>
      </c>
      <c r="F5509" t="s">
        <v>75</v>
      </c>
      <c r="I5509" s="6">
        <v>0</v>
      </c>
      <c r="J5509" s="6">
        <v>0</v>
      </c>
      <c r="K5509" s="6">
        <v>0</v>
      </c>
      <c r="L5509" s="6">
        <v>0</v>
      </c>
      <c r="M5509" s="6">
        <v>0</v>
      </c>
      <c r="N5509" s="6">
        <v>0</v>
      </c>
      <c r="O5509" s="6">
        <v>0</v>
      </c>
      <c r="P5509" s="6">
        <v>0</v>
      </c>
      <c r="Q5509">
        <v>1</v>
      </c>
      <c r="R5509">
        <f t="shared" si="430"/>
        <v>0</v>
      </c>
      <c r="S5509">
        <f t="shared" si="431"/>
        <v>1</v>
      </c>
      <c r="T5509">
        <f t="shared" si="432"/>
        <v>0</v>
      </c>
      <c r="U5509">
        <f t="shared" si="433"/>
        <v>0</v>
      </c>
      <c r="V5509">
        <f t="shared" si="434"/>
        <v>0</v>
      </c>
    </row>
    <row r="5510" spans="1:22" x14ac:dyDescent="0.25">
      <c r="A5510">
        <v>5507</v>
      </c>
      <c r="B5510" t="s">
        <v>38</v>
      </c>
      <c r="C5510" t="s">
        <v>1573</v>
      </c>
      <c r="D5510" s="4">
        <v>45843</v>
      </c>
      <c r="E5510" t="s">
        <v>1582</v>
      </c>
      <c r="F5510" t="s">
        <v>75</v>
      </c>
      <c r="I5510" s="6">
        <v>0</v>
      </c>
      <c r="J5510" s="6">
        <v>0</v>
      </c>
      <c r="K5510" s="6">
        <v>0</v>
      </c>
      <c r="L5510" s="6">
        <v>0</v>
      </c>
      <c r="M5510" s="6">
        <v>0</v>
      </c>
      <c r="N5510" s="6">
        <v>0</v>
      </c>
      <c r="O5510" s="6">
        <v>0</v>
      </c>
      <c r="P5510" s="6">
        <v>0</v>
      </c>
      <c r="Q5510">
        <v>1</v>
      </c>
      <c r="R5510">
        <f t="shared" si="430"/>
        <v>0</v>
      </c>
      <c r="S5510">
        <f t="shared" si="431"/>
        <v>1</v>
      </c>
      <c r="T5510">
        <f t="shared" si="432"/>
        <v>0</v>
      </c>
      <c r="U5510">
        <f t="shared" si="433"/>
        <v>0</v>
      </c>
      <c r="V5510">
        <f t="shared" si="434"/>
        <v>0</v>
      </c>
    </row>
    <row r="5511" spans="1:22" x14ac:dyDescent="0.25">
      <c r="A5511">
        <v>5508</v>
      </c>
      <c r="B5511" t="s">
        <v>38</v>
      </c>
      <c r="C5511" t="s">
        <v>1573</v>
      </c>
      <c r="D5511" s="4">
        <v>45844</v>
      </c>
      <c r="E5511" t="s">
        <v>1583</v>
      </c>
      <c r="F5511" t="s">
        <v>75</v>
      </c>
      <c r="I5511" s="6">
        <v>0</v>
      </c>
      <c r="J5511" s="6">
        <v>1</v>
      </c>
      <c r="K5511" s="6">
        <v>0</v>
      </c>
      <c r="L5511" s="6">
        <v>0</v>
      </c>
      <c r="M5511" s="6">
        <v>0</v>
      </c>
      <c r="N5511" s="6">
        <v>0</v>
      </c>
      <c r="O5511" s="6">
        <v>0</v>
      </c>
      <c r="P5511" s="6">
        <v>0</v>
      </c>
      <c r="Q5511">
        <v>1</v>
      </c>
      <c r="R5511">
        <f t="shared" si="430"/>
        <v>0</v>
      </c>
      <c r="S5511">
        <f t="shared" si="431"/>
        <v>1</v>
      </c>
      <c r="T5511">
        <f t="shared" si="432"/>
        <v>1</v>
      </c>
      <c r="U5511">
        <f t="shared" si="433"/>
        <v>1</v>
      </c>
      <c r="V5511">
        <f t="shared" si="434"/>
        <v>0</v>
      </c>
    </row>
    <row r="5512" spans="1:22" x14ac:dyDescent="0.25">
      <c r="A5512">
        <v>5509</v>
      </c>
      <c r="B5512" t="s">
        <v>38</v>
      </c>
      <c r="C5512" t="s">
        <v>1573</v>
      </c>
      <c r="D5512" s="4">
        <v>45844</v>
      </c>
      <c r="E5512" t="s">
        <v>1584</v>
      </c>
      <c r="F5512" t="s">
        <v>75</v>
      </c>
      <c r="I5512" s="6">
        <v>1</v>
      </c>
      <c r="J5512" s="6">
        <v>0</v>
      </c>
      <c r="K5512" s="6">
        <v>0</v>
      </c>
      <c r="L5512" s="6">
        <v>0</v>
      </c>
      <c r="M5512" s="6">
        <v>0</v>
      </c>
      <c r="N5512" s="6">
        <v>0</v>
      </c>
      <c r="O5512" s="6">
        <v>0</v>
      </c>
      <c r="P5512" s="6">
        <v>0</v>
      </c>
      <c r="Q5512">
        <v>1</v>
      </c>
      <c r="R5512">
        <f t="shared" si="430"/>
        <v>0</v>
      </c>
      <c r="S5512">
        <f t="shared" si="431"/>
        <v>1</v>
      </c>
      <c r="T5512">
        <f t="shared" si="432"/>
        <v>1</v>
      </c>
      <c r="U5512">
        <f t="shared" si="433"/>
        <v>1</v>
      </c>
      <c r="V5512">
        <f t="shared" si="434"/>
        <v>0</v>
      </c>
    </row>
    <row r="5513" spans="1:22" x14ac:dyDescent="0.25">
      <c r="A5513">
        <v>5510</v>
      </c>
      <c r="B5513" t="s">
        <v>38</v>
      </c>
      <c r="C5513" t="s">
        <v>1573</v>
      </c>
      <c r="D5513" s="4">
        <v>45845</v>
      </c>
      <c r="E5513" t="s">
        <v>1585</v>
      </c>
      <c r="F5513" t="s">
        <v>75</v>
      </c>
      <c r="I5513" s="6">
        <v>0</v>
      </c>
      <c r="J5513" s="6">
        <v>0</v>
      </c>
      <c r="K5513" s="6">
        <v>0</v>
      </c>
      <c r="L5513" s="6">
        <v>0</v>
      </c>
      <c r="M5513" s="6">
        <v>0</v>
      </c>
      <c r="N5513" s="6">
        <v>0</v>
      </c>
      <c r="O5513" s="6">
        <v>0</v>
      </c>
      <c r="P5513" s="6">
        <v>0</v>
      </c>
      <c r="Q5513">
        <v>1</v>
      </c>
      <c r="R5513">
        <f t="shared" si="430"/>
        <v>0</v>
      </c>
      <c r="S5513">
        <f t="shared" si="431"/>
        <v>1</v>
      </c>
      <c r="T5513">
        <f t="shared" si="432"/>
        <v>0</v>
      </c>
      <c r="U5513">
        <f t="shared" si="433"/>
        <v>0</v>
      </c>
      <c r="V5513">
        <f t="shared" si="434"/>
        <v>0</v>
      </c>
    </row>
    <row r="5514" spans="1:22" x14ac:dyDescent="0.25">
      <c r="A5514">
        <v>5511</v>
      </c>
      <c r="B5514" t="s">
        <v>38</v>
      </c>
      <c r="C5514" t="s">
        <v>1573</v>
      </c>
      <c r="D5514" s="4">
        <v>45846</v>
      </c>
      <c r="E5514" t="s">
        <v>2082</v>
      </c>
      <c r="F5514" t="s">
        <v>75</v>
      </c>
      <c r="I5514" s="6">
        <v>1</v>
      </c>
      <c r="J5514" s="6">
        <v>0</v>
      </c>
      <c r="K5514" s="6">
        <v>0</v>
      </c>
      <c r="L5514" s="6">
        <v>0</v>
      </c>
      <c r="M5514" s="6">
        <v>0</v>
      </c>
      <c r="N5514" s="6">
        <v>0</v>
      </c>
      <c r="O5514" s="6">
        <v>0</v>
      </c>
      <c r="P5514" s="6">
        <v>0</v>
      </c>
      <c r="Q5514">
        <v>1</v>
      </c>
      <c r="R5514">
        <f t="shared" si="430"/>
        <v>0</v>
      </c>
      <c r="S5514">
        <f t="shared" si="431"/>
        <v>1</v>
      </c>
      <c r="T5514">
        <f t="shared" si="432"/>
        <v>1</v>
      </c>
      <c r="U5514">
        <f t="shared" si="433"/>
        <v>1</v>
      </c>
      <c r="V5514">
        <f t="shared" si="434"/>
        <v>0</v>
      </c>
    </row>
    <row r="5515" spans="1:22" x14ac:dyDescent="0.25">
      <c r="A5515">
        <v>5512</v>
      </c>
      <c r="B5515" t="s">
        <v>38</v>
      </c>
      <c r="C5515" t="s">
        <v>1573</v>
      </c>
      <c r="D5515" s="4">
        <v>45846</v>
      </c>
      <c r="E5515" t="s">
        <v>1586</v>
      </c>
      <c r="F5515" t="s">
        <v>75</v>
      </c>
      <c r="I5515" s="6">
        <v>1</v>
      </c>
      <c r="J5515" s="6">
        <v>0</v>
      </c>
      <c r="K5515" s="6">
        <v>0</v>
      </c>
      <c r="L5515" s="6">
        <v>0</v>
      </c>
      <c r="M5515" s="6">
        <v>0</v>
      </c>
      <c r="N5515" s="6">
        <v>0</v>
      </c>
      <c r="O5515" s="6">
        <v>0</v>
      </c>
      <c r="P5515" s="6">
        <v>0</v>
      </c>
      <c r="Q5515">
        <v>1</v>
      </c>
      <c r="R5515">
        <f t="shared" si="430"/>
        <v>0</v>
      </c>
      <c r="S5515">
        <f t="shared" si="431"/>
        <v>1</v>
      </c>
      <c r="T5515">
        <f t="shared" si="432"/>
        <v>1</v>
      </c>
      <c r="U5515">
        <f t="shared" si="433"/>
        <v>1</v>
      </c>
      <c r="V5515">
        <f t="shared" si="434"/>
        <v>0</v>
      </c>
    </row>
    <row r="5516" spans="1:22" x14ac:dyDescent="0.25">
      <c r="A5516">
        <v>5513</v>
      </c>
      <c r="B5516" t="s">
        <v>38</v>
      </c>
      <c r="C5516" t="s">
        <v>1573</v>
      </c>
      <c r="D5516" s="4">
        <v>45851</v>
      </c>
      <c r="E5516" t="s">
        <v>1587</v>
      </c>
      <c r="F5516" t="s">
        <v>75</v>
      </c>
      <c r="I5516" s="6">
        <v>1</v>
      </c>
      <c r="J5516" s="6">
        <v>0</v>
      </c>
      <c r="K5516" s="6">
        <v>0</v>
      </c>
      <c r="L5516" s="6">
        <v>0</v>
      </c>
      <c r="M5516" s="6">
        <v>0</v>
      </c>
      <c r="N5516" s="6">
        <v>0</v>
      </c>
      <c r="O5516" s="6">
        <v>0</v>
      </c>
      <c r="P5516" s="6">
        <v>0</v>
      </c>
      <c r="Q5516">
        <v>1</v>
      </c>
      <c r="R5516">
        <f t="shared" si="430"/>
        <v>0</v>
      </c>
      <c r="S5516">
        <f t="shared" si="431"/>
        <v>1</v>
      </c>
      <c r="T5516">
        <f t="shared" si="432"/>
        <v>1</v>
      </c>
      <c r="U5516">
        <f t="shared" si="433"/>
        <v>1</v>
      </c>
      <c r="V5516">
        <f t="shared" si="434"/>
        <v>0</v>
      </c>
    </row>
    <row r="5517" spans="1:22" x14ac:dyDescent="0.25">
      <c r="A5517">
        <v>5514</v>
      </c>
      <c r="B5517" t="s">
        <v>38</v>
      </c>
      <c r="C5517" t="s">
        <v>1573</v>
      </c>
      <c r="D5517" s="4">
        <v>45852</v>
      </c>
      <c r="E5517" t="s">
        <v>1588</v>
      </c>
      <c r="F5517" t="s">
        <v>75</v>
      </c>
      <c r="I5517" s="6">
        <v>1</v>
      </c>
      <c r="J5517" s="6">
        <v>0</v>
      </c>
      <c r="K5517" s="6">
        <v>0</v>
      </c>
      <c r="L5517" s="6">
        <v>0</v>
      </c>
      <c r="M5517" s="6">
        <v>0</v>
      </c>
      <c r="N5517" s="6">
        <v>0</v>
      </c>
      <c r="O5517" s="6">
        <v>0</v>
      </c>
      <c r="P5517" s="6">
        <v>0</v>
      </c>
      <c r="Q5517">
        <v>1</v>
      </c>
      <c r="R5517">
        <f t="shared" si="430"/>
        <v>0</v>
      </c>
      <c r="S5517">
        <f t="shared" si="431"/>
        <v>1</v>
      </c>
      <c r="T5517">
        <f t="shared" si="432"/>
        <v>1</v>
      </c>
      <c r="U5517">
        <f t="shared" si="433"/>
        <v>1</v>
      </c>
      <c r="V5517">
        <f t="shared" si="434"/>
        <v>0</v>
      </c>
    </row>
    <row r="5518" spans="1:22" x14ac:dyDescent="0.25">
      <c r="A5518">
        <v>5515</v>
      </c>
      <c r="B5518" t="s">
        <v>38</v>
      </c>
      <c r="C5518" t="s">
        <v>1573</v>
      </c>
      <c r="D5518" s="4">
        <v>45852</v>
      </c>
      <c r="E5518" t="s">
        <v>1589</v>
      </c>
      <c r="F5518" t="s">
        <v>75</v>
      </c>
      <c r="I5518" s="6">
        <v>1</v>
      </c>
      <c r="J5518" s="6">
        <v>0</v>
      </c>
      <c r="K5518" s="6">
        <v>0</v>
      </c>
      <c r="L5518" s="6">
        <v>0</v>
      </c>
      <c r="M5518" s="6">
        <v>0</v>
      </c>
      <c r="N5518" s="6">
        <v>0</v>
      </c>
      <c r="O5518" s="6">
        <v>0</v>
      </c>
      <c r="P5518" s="6">
        <v>0</v>
      </c>
      <c r="Q5518">
        <v>1</v>
      </c>
      <c r="R5518">
        <f t="shared" si="430"/>
        <v>0</v>
      </c>
      <c r="S5518">
        <f t="shared" si="431"/>
        <v>1</v>
      </c>
      <c r="T5518">
        <f t="shared" si="432"/>
        <v>1</v>
      </c>
      <c r="U5518">
        <f t="shared" si="433"/>
        <v>1</v>
      </c>
      <c r="V5518">
        <f t="shared" si="434"/>
        <v>0</v>
      </c>
    </row>
    <row r="5519" spans="1:22" x14ac:dyDescent="0.25">
      <c r="A5519">
        <v>5516</v>
      </c>
      <c r="B5519" t="s">
        <v>38</v>
      </c>
      <c r="C5519" t="s">
        <v>1573</v>
      </c>
      <c r="D5519" s="4">
        <v>45855</v>
      </c>
      <c r="E5519" t="s">
        <v>1590</v>
      </c>
      <c r="F5519" t="s">
        <v>413</v>
      </c>
      <c r="G5519">
        <v>262</v>
      </c>
      <c r="I5519" s="6">
        <v>0</v>
      </c>
      <c r="J5519" s="6">
        <v>1</v>
      </c>
      <c r="K5519" s="6">
        <v>0</v>
      </c>
      <c r="L5519" s="6">
        <v>1</v>
      </c>
      <c r="M5519" s="6">
        <v>0</v>
      </c>
      <c r="N5519" s="6">
        <v>0</v>
      </c>
      <c r="O5519" s="6">
        <v>0</v>
      </c>
      <c r="P5519" s="6">
        <v>0</v>
      </c>
      <c r="Q5519">
        <v>1</v>
      </c>
      <c r="R5519">
        <f t="shared" si="430"/>
        <v>1</v>
      </c>
      <c r="S5519">
        <f t="shared" si="431"/>
        <v>0</v>
      </c>
      <c r="T5519">
        <f t="shared" si="432"/>
        <v>2</v>
      </c>
      <c r="U5519">
        <f t="shared" si="433"/>
        <v>1</v>
      </c>
      <c r="V5519">
        <f t="shared" si="434"/>
        <v>1</v>
      </c>
    </row>
    <row r="5520" spans="1:22" x14ac:dyDescent="0.25">
      <c r="A5520">
        <v>5517</v>
      </c>
      <c r="B5520" t="s">
        <v>38</v>
      </c>
      <c r="C5520" t="s">
        <v>1573</v>
      </c>
      <c r="D5520" s="4">
        <v>45856</v>
      </c>
      <c r="E5520" t="s">
        <v>2081</v>
      </c>
      <c r="F5520" t="s">
        <v>75</v>
      </c>
      <c r="I5520" s="6">
        <v>0</v>
      </c>
      <c r="J5520" s="6">
        <v>0</v>
      </c>
      <c r="K5520" s="6">
        <v>0</v>
      </c>
      <c r="L5520" s="6">
        <v>0</v>
      </c>
      <c r="M5520" s="6">
        <v>0</v>
      </c>
      <c r="N5520" s="6">
        <v>0</v>
      </c>
      <c r="O5520" s="6">
        <v>0</v>
      </c>
      <c r="P5520" s="6">
        <v>0</v>
      </c>
      <c r="Q5520">
        <v>1</v>
      </c>
      <c r="R5520">
        <f t="shared" si="430"/>
        <v>0</v>
      </c>
      <c r="S5520">
        <f t="shared" si="431"/>
        <v>1</v>
      </c>
      <c r="T5520">
        <f t="shared" si="432"/>
        <v>0</v>
      </c>
      <c r="U5520">
        <f t="shared" si="433"/>
        <v>0</v>
      </c>
      <c r="V5520">
        <f t="shared" si="434"/>
        <v>0</v>
      </c>
    </row>
    <row r="5521" spans="1:22" x14ac:dyDescent="0.25">
      <c r="A5521">
        <v>5518</v>
      </c>
      <c r="B5521" t="s">
        <v>38</v>
      </c>
      <c r="C5521" t="s">
        <v>1573</v>
      </c>
      <c r="D5521" s="4">
        <v>45856</v>
      </c>
      <c r="E5521" t="s">
        <v>1591</v>
      </c>
      <c r="F5521" t="s">
        <v>75</v>
      </c>
      <c r="I5521" s="6">
        <v>0</v>
      </c>
      <c r="J5521" s="6">
        <v>0</v>
      </c>
      <c r="K5521" s="6">
        <v>0</v>
      </c>
      <c r="L5521" s="6">
        <v>0</v>
      </c>
      <c r="M5521" s="6">
        <v>0</v>
      </c>
      <c r="N5521" s="6">
        <v>0</v>
      </c>
      <c r="O5521" s="6">
        <v>0</v>
      </c>
      <c r="P5521" s="6">
        <v>0</v>
      </c>
      <c r="Q5521">
        <v>1</v>
      </c>
      <c r="R5521">
        <f t="shared" si="430"/>
        <v>0</v>
      </c>
      <c r="S5521">
        <f t="shared" si="431"/>
        <v>1</v>
      </c>
      <c r="T5521">
        <f t="shared" si="432"/>
        <v>0</v>
      </c>
      <c r="U5521">
        <f t="shared" si="433"/>
        <v>0</v>
      </c>
      <c r="V5521">
        <f t="shared" si="434"/>
        <v>0</v>
      </c>
    </row>
    <row r="5522" spans="1:22" x14ac:dyDescent="0.25">
      <c r="A5522">
        <v>5519</v>
      </c>
      <c r="B5522" t="s">
        <v>38</v>
      </c>
      <c r="C5522" t="s">
        <v>1573</v>
      </c>
      <c r="D5522" s="4">
        <v>45858</v>
      </c>
      <c r="E5522" t="s">
        <v>1592</v>
      </c>
      <c r="F5522" t="s">
        <v>75</v>
      </c>
      <c r="I5522" s="6">
        <v>0</v>
      </c>
      <c r="J5522" s="6">
        <v>0</v>
      </c>
      <c r="K5522" s="6">
        <v>0</v>
      </c>
      <c r="L5522" s="6">
        <v>1</v>
      </c>
      <c r="M5522" s="6">
        <v>0</v>
      </c>
      <c r="N5522" s="6">
        <v>0</v>
      </c>
      <c r="O5522" s="6">
        <v>0</v>
      </c>
      <c r="P5522" s="6">
        <v>0</v>
      </c>
      <c r="Q5522">
        <v>1</v>
      </c>
      <c r="R5522">
        <f t="shared" si="430"/>
        <v>0</v>
      </c>
      <c r="S5522">
        <f t="shared" si="431"/>
        <v>1</v>
      </c>
      <c r="T5522">
        <f t="shared" si="432"/>
        <v>1</v>
      </c>
      <c r="U5522">
        <f t="shared" si="433"/>
        <v>1</v>
      </c>
      <c r="V5522">
        <f t="shared" si="434"/>
        <v>0</v>
      </c>
    </row>
    <row r="5523" spans="1:22" x14ac:dyDescent="0.25">
      <c r="A5523">
        <v>5520</v>
      </c>
      <c r="B5523" t="s">
        <v>38</v>
      </c>
      <c r="C5523" t="s">
        <v>1573</v>
      </c>
      <c r="D5523" s="4">
        <v>45860</v>
      </c>
      <c r="E5523" t="s">
        <v>1593</v>
      </c>
      <c r="F5523" t="s">
        <v>413</v>
      </c>
      <c r="G5523">
        <v>263</v>
      </c>
      <c r="I5523" s="6">
        <v>0</v>
      </c>
      <c r="J5523" s="6">
        <v>0</v>
      </c>
      <c r="K5523" s="6">
        <v>0</v>
      </c>
      <c r="L5523" s="6">
        <v>0</v>
      </c>
      <c r="M5523" s="6">
        <v>0</v>
      </c>
      <c r="N5523" s="6">
        <v>0</v>
      </c>
      <c r="O5523" s="6">
        <v>0</v>
      </c>
      <c r="P5523" s="6">
        <v>0</v>
      </c>
      <c r="Q5523">
        <v>1</v>
      </c>
      <c r="R5523">
        <f t="shared" si="430"/>
        <v>1</v>
      </c>
      <c r="S5523">
        <f t="shared" si="431"/>
        <v>0</v>
      </c>
      <c r="T5523">
        <f t="shared" si="432"/>
        <v>0</v>
      </c>
      <c r="U5523">
        <f t="shared" si="433"/>
        <v>0</v>
      </c>
      <c r="V5523">
        <f t="shared" si="434"/>
        <v>1</v>
      </c>
    </row>
    <row r="5524" spans="1:22" x14ac:dyDescent="0.25">
      <c r="A5524">
        <v>5521</v>
      </c>
      <c r="B5524" t="s">
        <v>38</v>
      </c>
      <c r="C5524" t="s">
        <v>1573</v>
      </c>
      <c r="D5524" s="4">
        <v>45863</v>
      </c>
      <c r="E5524" t="s">
        <v>1594</v>
      </c>
      <c r="F5524" t="s">
        <v>75</v>
      </c>
      <c r="I5524" s="6">
        <v>0</v>
      </c>
      <c r="J5524" s="6">
        <v>1</v>
      </c>
      <c r="K5524" s="6">
        <v>0</v>
      </c>
      <c r="L5524" s="6">
        <v>0</v>
      </c>
      <c r="M5524" s="6">
        <v>0</v>
      </c>
      <c r="N5524" s="6">
        <v>0</v>
      </c>
      <c r="O5524" s="6">
        <v>0</v>
      </c>
      <c r="P5524" s="6">
        <v>0</v>
      </c>
      <c r="Q5524">
        <v>1</v>
      </c>
      <c r="R5524">
        <f t="shared" si="430"/>
        <v>0</v>
      </c>
      <c r="S5524">
        <f t="shared" si="431"/>
        <v>1</v>
      </c>
      <c r="T5524">
        <f t="shared" si="432"/>
        <v>1</v>
      </c>
      <c r="U5524">
        <f t="shared" si="433"/>
        <v>1</v>
      </c>
      <c r="V5524">
        <f t="shared" si="434"/>
        <v>0</v>
      </c>
    </row>
    <row r="5525" spans="1:22" x14ac:dyDescent="0.25">
      <c r="A5525">
        <v>5522</v>
      </c>
      <c r="B5525" t="s">
        <v>38</v>
      </c>
      <c r="C5525" t="s">
        <v>1573</v>
      </c>
      <c r="D5525" s="4">
        <v>45864</v>
      </c>
      <c r="E5525" t="s">
        <v>1595</v>
      </c>
      <c r="F5525" t="s">
        <v>75</v>
      </c>
      <c r="I5525" s="6">
        <v>1</v>
      </c>
      <c r="J5525" s="6">
        <v>1</v>
      </c>
      <c r="K5525" s="6">
        <v>0</v>
      </c>
      <c r="L5525" s="6">
        <v>0</v>
      </c>
      <c r="M5525" s="6">
        <v>0</v>
      </c>
      <c r="N5525" s="6">
        <v>0</v>
      </c>
      <c r="O5525" s="6">
        <v>0</v>
      </c>
      <c r="P5525" s="6">
        <v>1</v>
      </c>
      <c r="Q5525">
        <v>1</v>
      </c>
      <c r="R5525">
        <f t="shared" si="430"/>
        <v>0</v>
      </c>
      <c r="S5525">
        <f t="shared" si="431"/>
        <v>1</v>
      </c>
      <c r="T5525">
        <f t="shared" si="432"/>
        <v>3</v>
      </c>
      <c r="U5525">
        <f t="shared" si="433"/>
        <v>1</v>
      </c>
      <c r="V5525">
        <f t="shared" si="434"/>
        <v>0</v>
      </c>
    </row>
    <row r="5526" spans="1:22" x14ac:dyDescent="0.25">
      <c r="A5526">
        <v>5523</v>
      </c>
      <c r="B5526" t="s">
        <v>38</v>
      </c>
      <c r="C5526" t="s">
        <v>1573</v>
      </c>
      <c r="D5526" s="4">
        <v>45864</v>
      </c>
      <c r="E5526" t="s">
        <v>1596</v>
      </c>
      <c r="F5526" t="s">
        <v>75</v>
      </c>
      <c r="I5526" s="6">
        <v>1</v>
      </c>
      <c r="J5526" s="6">
        <v>0</v>
      </c>
      <c r="K5526" s="6">
        <v>0</v>
      </c>
      <c r="L5526" s="6">
        <v>0</v>
      </c>
      <c r="M5526" s="6">
        <v>1</v>
      </c>
      <c r="N5526" s="6">
        <v>0</v>
      </c>
      <c r="O5526" s="6">
        <v>0</v>
      </c>
      <c r="P5526" s="6">
        <v>0</v>
      </c>
      <c r="Q5526">
        <v>1</v>
      </c>
      <c r="R5526">
        <f t="shared" si="430"/>
        <v>0</v>
      </c>
      <c r="S5526">
        <f t="shared" si="431"/>
        <v>1</v>
      </c>
      <c r="T5526">
        <f t="shared" si="432"/>
        <v>2</v>
      </c>
      <c r="U5526">
        <f t="shared" si="433"/>
        <v>1</v>
      </c>
      <c r="V5526">
        <f t="shared" si="434"/>
        <v>0</v>
      </c>
    </row>
    <row r="5527" spans="1:22" x14ac:dyDescent="0.25">
      <c r="A5527">
        <v>5524</v>
      </c>
      <c r="B5527" t="s">
        <v>38</v>
      </c>
      <c r="C5527" t="s">
        <v>1573</v>
      </c>
      <c r="D5527" s="4">
        <v>45864</v>
      </c>
      <c r="E5527" t="s">
        <v>1597</v>
      </c>
      <c r="F5527" t="s">
        <v>75</v>
      </c>
      <c r="I5527" s="6">
        <v>1</v>
      </c>
      <c r="J5527" s="6">
        <v>0</v>
      </c>
      <c r="K5527" s="6">
        <v>0</v>
      </c>
      <c r="L5527" s="6">
        <v>0</v>
      </c>
      <c r="M5527" s="6">
        <v>0</v>
      </c>
      <c r="N5527" s="6">
        <v>0</v>
      </c>
      <c r="O5527" s="6">
        <v>0</v>
      </c>
      <c r="P5527" s="6">
        <v>0</v>
      </c>
      <c r="Q5527">
        <v>1</v>
      </c>
      <c r="R5527">
        <f t="shared" si="430"/>
        <v>0</v>
      </c>
      <c r="S5527">
        <f t="shared" si="431"/>
        <v>1</v>
      </c>
      <c r="T5527">
        <f t="shared" si="432"/>
        <v>1</v>
      </c>
      <c r="U5527">
        <f t="shared" si="433"/>
        <v>1</v>
      </c>
      <c r="V5527">
        <f t="shared" si="434"/>
        <v>0</v>
      </c>
    </row>
    <row r="5528" spans="1:22" x14ac:dyDescent="0.25">
      <c r="A5528">
        <v>5525</v>
      </c>
      <c r="B5528" t="s">
        <v>38</v>
      </c>
      <c r="C5528" t="s">
        <v>1573</v>
      </c>
      <c r="D5528" s="4">
        <v>45865</v>
      </c>
      <c r="E5528" t="s">
        <v>2080</v>
      </c>
      <c r="F5528" t="s">
        <v>75</v>
      </c>
      <c r="I5528" s="6">
        <v>0</v>
      </c>
      <c r="J5528" s="6">
        <v>0</v>
      </c>
      <c r="K5528" s="6">
        <v>0</v>
      </c>
      <c r="L5528" s="6">
        <v>0</v>
      </c>
      <c r="M5528" s="6">
        <v>0</v>
      </c>
      <c r="N5528" s="6">
        <v>0</v>
      </c>
      <c r="O5528" s="6">
        <v>0</v>
      </c>
      <c r="P5528" s="6">
        <v>0</v>
      </c>
      <c r="Q5528">
        <v>1</v>
      </c>
      <c r="R5528">
        <f t="shared" si="430"/>
        <v>0</v>
      </c>
      <c r="S5528">
        <f t="shared" si="431"/>
        <v>1</v>
      </c>
      <c r="T5528">
        <f t="shared" si="432"/>
        <v>0</v>
      </c>
      <c r="U5528">
        <f t="shared" si="433"/>
        <v>0</v>
      </c>
      <c r="V5528">
        <f t="shared" si="434"/>
        <v>0</v>
      </c>
    </row>
    <row r="5529" spans="1:22" x14ac:dyDescent="0.25">
      <c r="A5529">
        <v>5526</v>
      </c>
      <c r="B5529" t="s">
        <v>38</v>
      </c>
      <c r="C5529" t="s">
        <v>1573</v>
      </c>
      <c r="D5529" s="4">
        <v>45866</v>
      </c>
      <c r="E5529" t="s">
        <v>1598</v>
      </c>
      <c r="F5529" t="s">
        <v>75</v>
      </c>
      <c r="I5529" s="6">
        <v>0</v>
      </c>
      <c r="J5529" s="6">
        <v>0</v>
      </c>
      <c r="K5529" s="6">
        <v>1</v>
      </c>
      <c r="L5529" s="6">
        <v>0</v>
      </c>
      <c r="M5529" s="6">
        <v>0</v>
      </c>
      <c r="N5529" s="6">
        <v>0</v>
      </c>
      <c r="O5529" s="6">
        <v>0</v>
      </c>
      <c r="P5529" s="6">
        <v>0</v>
      </c>
      <c r="Q5529">
        <v>1</v>
      </c>
      <c r="R5529">
        <f t="shared" si="430"/>
        <v>0</v>
      </c>
      <c r="S5529">
        <f t="shared" si="431"/>
        <v>1</v>
      </c>
      <c r="T5529">
        <f t="shared" si="432"/>
        <v>1</v>
      </c>
      <c r="U5529">
        <f t="shared" si="433"/>
        <v>1</v>
      </c>
      <c r="V5529">
        <f t="shared" si="434"/>
        <v>0</v>
      </c>
    </row>
    <row r="5530" spans="1:22" x14ac:dyDescent="0.25">
      <c r="A5530">
        <v>5527</v>
      </c>
      <c r="B5530" t="s">
        <v>38</v>
      </c>
      <c r="C5530" t="s">
        <v>1573</v>
      </c>
      <c r="D5530" s="4">
        <v>45867</v>
      </c>
      <c r="E5530" t="s">
        <v>1599</v>
      </c>
      <c r="F5530" t="s">
        <v>413</v>
      </c>
      <c r="G5530">
        <v>264</v>
      </c>
      <c r="I5530" s="6">
        <v>0</v>
      </c>
      <c r="J5530" s="6">
        <v>0</v>
      </c>
      <c r="K5530" s="6">
        <v>0</v>
      </c>
      <c r="L5530" s="6">
        <v>0</v>
      </c>
      <c r="M5530" s="6">
        <v>0</v>
      </c>
      <c r="N5530" s="6">
        <v>0</v>
      </c>
      <c r="O5530" s="6">
        <v>0</v>
      </c>
      <c r="P5530" s="6">
        <v>0</v>
      </c>
      <c r="Q5530">
        <v>1</v>
      </c>
      <c r="R5530">
        <f t="shared" si="430"/>
        <v>1</v>
      </c>
      <c r="S5530">
        <f t="shared" si="431"/>
        <v>0</v>
      </c>
      <c r="T5530">
        <f t="shared" si="432"/>
        <v>0</v>
      </c>
      <c r="U5530">
        <f t="shared" si="433"/>
        <v>0</v>
      </c>
      <c r="V5530">
        <f t="shared" si="434"/>
        <v>1</v>
      </c>
    </row>
    <row r="5531" spans="1:22" x14ac:dyDescent="0.25">
      <c r="A5531">
        <v>5528</v>
      </c>
      <c r="B5531" t="s">
        <v>38</v>
      </c>
      <c r="C5531" t="s">
        <v>1573</v>
      </c>
      <c r="D5531" s="4">
        <v>45868</v>
      </c>
      <c r="E5531" t="s">
        <v>2079</v>
      </c>
      <c r="F5531" t="s">
        <v>75</v>
      </c>
      <c r="I5531" s="6">
        <v>0</v>
      </c>
      <c r="J5531" s="6">
        <v>0</v>
      </c>
      <c r="K5531" s="6">
        <v>0</v>
      </c>
      <c r="L5531" s="6">
        <v>0</v>
      </c>
      <c r="M5531" s="6">
        <v>0</v>
      </c>
      <c r="N5531" s="6">
        <v>0</v>
      </c>
      <c r="O5531" s="6">
        <v>0</v>
      </c>
      <c r="P5531" s="6">
        <v>0</v>
      </c>
      <c r="Q5531">
        <v>1</v>
      </c>
      <c r="R5531">
        <f t="shared" si="430"/>
        <v>0</v>
      </c>
      <c r="S5531">
        <f t="shared" si="431"/>
        <v>1</v>
      </c>
      <c r="T5531">
        <f t="shared" si="432"/>
        <v>0</v>
      </c>
      <c r="U5531">
        <f t="shared" si="433"/>
        <v>0</v>
      </c>
      <c r="V5531">
        <f t="shared" si="434"/>
        <v>0</v>
      </c>
    </row>
    <row r="5532" spans="1:22" x14ac:dyDescent="0.25">
      <c r="A5532">
        <v>5529</v>
      </c>
      <c r="B5532" t="s">
        <v>38</v>
      </c>
      <c r="C5532" t="s">
        <v>1573</v>
      </c>
      <c r="D5532" s="4">
        <v>45872</v>
      </c>
      <c r="E5532" t="s">
        <v>1600</v>
      </c>
      <c r="F5532" t="s">
        <v>413</v>
      </c>
      <c r="G5532">
        <v>265</v>
      </c>
      <c r="I5532" s="6">
        <v>0</v>
      </c>
      <c r="J5532" s="6">
        <v>0</v>
      </c>
      <c r="K5532" s="6">
        <v>0</v>
      </c>
      <c r="L5532" s="6">
        <v>0</v>
      </c>
      <c r="M5532" s="6">
        <v>0</v>
      </c>
      <c r="N5532" s="6">
        <v>0</v>
      </c>
      <c r="O5532" s="6">
        <v>0</v>
      </c>
      <c r="P5532" s="6">
        <v>1</v>
      </c>
      <c r="Q5532">
        <v>1</v>
      </c>
      <c r="R5532">
        <f t="shared" si="430"/>
        <v>1</v>
      </c>
      <c r="S5532">
        <f t="shared" si="431"/>
        <v>0</v>
      </c>
      <c r="T5532">
        <f t="shared" si="432"/>
        <v>1</v>
      </c>
      <c r="U5532">
        <f t="shared" si="433"/>
        <v>1</v>
      </c>
      <c r="V5532">
        <f t="shared" si="434"/>
        <v>1</v>
      </c>
    </row>
    <row r="5533" spans="1:22" x14ac:dyDescent="0.25">
      <c r="A5533">
        <v>5530</v>
      </c>
      <c r="B5533" t="s">
        <v>38</v>
      </c>
      <c r="C5533" t="s">
        <v>1573</v>
      </c>
      <c r="D5533" s="4">
        <v>45872</v>
      </c>
      <c r="E5533" t="s">
        <v>1601</v>
      </c>
      <c r="F5533" t="s">
        <v>75</v>
      </c>
      <c r="I5533" s="6">
        <v>0</v>
      </c>
      <c r="J5533" s="6">
        <v>0</v>
      </c>
      <c r="K5533" s="6">
        <v>0</v>
      </c>
      <c r="L5533" s="6">
        <v>0</v>
      </c>
      <c r="M5533" s="6">
        <v>0</v>
      </c>
      <c r="N5533" s="6">
        <v>0</v>
      </c>
      <c r="O5533" s="6">
        <v>1</v>
      </c>
      <c r="P5533" s="6">
        <v>0</v>
      </c>
      <c r="Q5533">
        <v>1</v>
      </c>
      <c r="R5533">
        <f t="shared" si="430"/>
        <v>0</v>
      </c>
      <c r="S5533">
        <f t="shared" si="431"/>
        <v>1</v>
      </c>
      <c r="T5533">
        <f t="shared" si="432"/>
        <v>1</v>
      </c>
      <c r="U5533">
        <f t="shared" si="433"/>
        <v>1</v>
      </c>
      <c r="V5533">
        <f t="shared" si="434"/>
        <v>0</v>
      </c>
    </row>
    <row r="5534" spans="1:22" x14ac:dyDescent="0.25">
      <c r="A5534">
        <v>5531</v>
      </c>
      <c r="B5534" t="s">
        <v>38</v>
      </c>
      <c r="C5534" t="s">
        <v>1573</v>
      </c>
      <c r="D5534" s="4">
        <v>45873</v>
      </c>
      <c r="E5534" t="s">
        <v>1602</v>
      </c>
      <c r="F5534" t="s">
        <v>413</v>
      </c>
      <c r="G5534">
        <v>266</v>
      </c>
      <c r="I5534" s="6">
        <v>0</v>
      </c>
      <c r="J5534" s="6">
        <v>1</v>
      </c>
      <c r="K5534" s="6">
        <v>0</v>
      </c>
      <c r="L5534" s="6">
        <v>0</v>
      </c>
      <c r="M5534" s="6">
        <v>0</v>
      </c>
      <c r="N5534" s="6">
        <v>0</v>
      </c>
      <c r="O5534" s="6">
        <v>1</v>
      </c>
      <c r="P5534" s="6">
        <v>0</v>
      </c>
      <c r="Q5534">
        <v>1</v>
      </c>
      <c r="R5534">
        <f t="shared" si="430"/>
        <v>1</v>
      </c>
      <c r="S5534">
        <f t="shared" si="431"/>
        <v>0</v>
      </c>
      <c r="T5534">
        <f t="shared" si="432"/>
        <v>2</v>
      </c>
      <c r="U5534">
        <f t="shared" si="433"/>
        <v>1</v>
      </c>
      <c r="V5534">
        <f t="shared" si="434"/>
        <v>1</v>
      </c>
    </row>
    <row r="5535" spans="1:22" x14ac:dyDescent="0.25">
      <c r="A5535">
        <v>5532</v>
      </c>
      <c r="B5535" t="s">
        <v>38</v>
      </c>
      <c r="C5535" t="s">
        <v>1573</v>
      </c>
      <c r="D5535" s="4">
        <v>45875</v>
      </c>
      <c r="E5535" t="s">
        <v>1603</v>
      </c>
      <c r="F5535" t="s">
        <v>75</v>
      </c>
      <c r="I5535" s="6">
        <v>1</v>
      </c>
      <c r="J5535" s="6">
        <v>0</v>
      </c>
      <c r="K5535" s="6">
        <v>1</v>
      </c>
      <c r="L5535" s="6">
        <v>0</v>
      </c>
      <c r="M5535" s="6">
        <v>0</v>
      </c>
      <c r="N5535" s="6">
        <v>0</v>
      </c>
      <c r="O5535" s="6">
        <v>0</v>
      </c>
      <c r="P5535" s="6">
        <v>0</v>
      </c>
      <c r="Q5535">
        <v>1</v>
      </c>
      <c r="R5535">
        <f t="shared" si="430"/>
        <v>0</v>
      </c>
      <c r="S5535">
        <f t="shared" si="431"/>
        <v>1</v>
      </c>
      <c r="T5535">
        <f t="shared" si="432"/>
        <v>2</v>
      </c>
      <c r="U5535">
        <f t="shared" si="433"/>
        <v>1</v>
      </c>
      <c r="V5535">
        <f t="shared" si="434"/>
        <v>0</v>
      </c>
    </row>
    <row r="5536" spans="1:22" x14ac:dyDescent="0.25">
      <c r="A5536">
        <v>5533</v>
      </c>
      <c r="B5536" t="s">
        <v>38</v>
      </c>
      <c r="C5536" t="s">
        <v>1573</v>
      </c>
      <c r="D5536" s="4">
        <v>45876</v>
      </c>
      <c r="E5536" t="s">
        <v>1604</v>
      </c>
      <c r="F5536" t="s">
        <v>75</v>
      </c>
      <c r="I5536" s="6">
        <v>1</v>
      </c>
      <c r="J5536" s="6">
        <v>1</v>
      </c>
      <c r="K5536" s="6">
        <v>1</v>
      </c>
      <c r="L5536" s="6">
        <v>1</v>
      </c>
      <c r="M5536" s="6">
        <v>1</v>
      </c>
      <c r="N5536" s="6">
        <v>0</v>
      </c>
      <c r="O5536" s="6">
        <v>1</v>
      </c>
      <c r="P5536" s="6">
        <v>0</v>
      </c>
      <c r="Q5536">
        <v>1</v>
      </c>
      <c r="R5536">
        <f t="shared" si="430"/>
        <v>0</v>
      </c>
      <c r="S5536">
        <f t="shared" si="431"/>
        <v>1</v>
      </c>
      <c r="T5536">
        <f t="shared" si="432"/>
        <v>6</v>
      </c>
      <c r="U5536">
        <f t="shared" si="433"/>
        <v>1</v>
      </c>
      <c r="V5536">
        <f t="shared" si="434"/>
        <v>0</v>
      </c>
    </row>
    <row r="5537" spans="1:22" x14ac:dyDescent="0.25">
      <c r="A5537">
        <v>5534</v>
      </c>
      <c r="B5537" t="s">
        <v>38</v>
      </c>
      <c r="C5537" t="s">
        <v>1573</v>
      </c>
      <c r="D5537" s="4">
        <v>45877</v>
      </c>
      <c r="E5537" t="s">
        <v>2078</v>
      </c>
      <c r="F5537" t="s">
        <v>75</v>
      </c>
      <c r="I5537" s="6">
        <v>0</v>
      </c>
      <c r="J5537" s="6">
        <v>0</v>
      </c>
      <c r="K5537" s="6">
        <v>0</v>
      </c>
      <c r="L5537" s="6">
        <v>0</v>
      </c>
      <c r="M5537" s="6">
        <v>0</v>
      </c>
      <c r="N5537" s="6">
        <v>0</v>
      </c>
      <c r="O5537" s="6">
        <v>0</v>
      </c>
      <c r="P5537" s="6">
        <v>0</v>
      </c>
      <c r="Q5537">
        <v>1</v>
      </c>
      <c r="R5537">
        <f t="shared" si="430"/>
        <v>0</v>
      </c>
      <c r="S5537">
        <f t="shared" si="431"/>
        <v>1</v>
      </c>
      <c r="T5537">
        <f t="shared" si="432"/>
        <v>0</v>
      </c>
      <c r="U5537">
        <f t="shared" si="433"/>
        <v>0</v>
      </c>
      <c r="V5537">
        <f t="shared" si="434"/>
        <v>0</v>
      </c>
    </row>
    <row r="5538" spans="1:22" x14ac:dyDescent="0.25">
      <c r="A5538">
        <v>5535</v>
      </c>
      <c r="B5538" t="s">
        <v>38</v>
      </c>
      <c r="C5538" t="s">
        <v>1573</v>
      </c>
      <c r="D5538" s="4">
        <v>45877</v>
      </c>
      <c r="E5538" t="s">
        <v>1605</v>
      </c>
      <c r="F5538" t="s">
        <v>75</v>
      </c>
      <c r="I5538" s="6">
        <v>1</v>
      </c>
      <c r="J5538" s="6">
        <v>0</v>
      </c>
      <c r="K5538" s="6">
        <v>1</v>
      </c>
      <c r="L5538" s="6">
        <v>0</v>
      </c>
      <c r="M5538" s="6">
        <v>0</v>
      </c>
      <c r="N5538" s="6">
        <v>0</v>
      </c>
      <c r="O5538" s="6">
        <v>0</v>
      </c>
      <c r="P5538" s="6">
        <v>0</v>
      </c>
      <c r="Q5538">
        <v>1</v>
      </c>
      <c r="R5538">
        <f t="shared" si="430"/>
        <v>0</v>
      </c>
      <c r="S5538">
        <f t="shared" si="431"/>
        <v>1</v>
      </c>
      <c r="T5538">
        <f t="shared" si="432"/>
        <v>2</v>
      </c>
      <c r="U5538">
        <f t="shared" si="433"/>
        <v>1</v>
      </c>
      <c r="V5538">
        <f t="shared" si="434"/>
        <v>0</v>
      </c>
    </row>
    <row r="5539" spans="1:22" x14ac:dyDescent="0.25">
      <c r="A5539">
        <v>5536</v>
      </c>
      <c r="B5539" t="s">
        <v>38</v>
      </c>
      <c r="C5539" t="s">
        <v>1573</v>
      </c>
      <c r="D5539" s="4">
        <v>45878</v>
      </c>
      <c r="E5539" t="s">
        <v>1606</v>
      </c>
      <c r="F5539" t="s">
        <v>413</v>
      </c>
      <c r="G5539">
        <v>267</v>
      </c>
      <c r="I5539" s="6">
        <v>1</v>
      </c>
      <c r="J5539" s="6">
        <v>0</v>
      </c>
      <c r="K5539" s="6">
        <v>0</v>
      </c>
      <c r="L5539" s="6">
        <v>0</v>
      </c>
      <c r="M5539" s="6">
        <v>1</v>
      </c>
      <c r="N5539" s="6">
        <v>0</v>
      </c>
      <c r="O5539" s="6">
        <v>0</v>
      </c>
      <c r="P5539" s="6">
        <v>0</v>
      </c>
      <c r="Q5539">
        <v>1</v>
      </c>
      <c r="R5539">
        <f t="shared" si="430"/>
        <v>1</v>
      </c>
      <c r="S5539">
        <f t="shared" si="431"/>
        <v>0</v>
      </c>
      <c r="T5539">
        <f t="shared" si="432"/>
        <v>2</v>
      </c>
      <c r="U5539">
        <f t="shared" si="433"/>
        <v>1</v>
      </c>
      <c r="V5539">
        <f t="shared" si="434"/>
        <v>1</v>
      </c>
    </row>
    <row r="5540" spans="1:22" x14ac:dyDescent="0.25">
      <c r="A5540">
        <v>5537</v>
      </c>
      <c r="B5540" t="s">
        <v>38</v>
      </c>
      <c r="C5540" t="s">
        <v>1573</v>
      </c>
      <c r="D5540" s="4">
        <v>45878</v>
      </c>
      <c r="E5540" t="s">
        <v>2077</v>
      </c>
      <c r="F5540" t="s">
        <v>75</v>
      </c>
      <c r="I5540" s="6">
        <v>1</v>
      </c>
      <c r="J5540" s="6">
        <v>1</v>
      </c>
      <c r="K5540" s="6">
        <v>1</v>
      </c>
      <c r="L5540" s="6">
        <v>0</v>
      </c>
      <c r="M5540" s="6">
        <v>0</v>
      </c>
      <c r="N5540" s="6">
        <v>0</v>
      </c>
      <c r="O5540" s="6">
        <v>0</v>
      </c>
      <c r="P5540" s="6">
        <v>0</v>
      </c>
      <c r="Q5540">
        <v>1</v>
      </c>
      <c r="R5540">
        <f t="shared" si="430"/>
        <v>0</v>
      </c>
      <c r="S5540">
        <f t="shared" si="431"/>
        <v>1</v>
      </c>
      <c r="T5540">
        <f t="shared" si="432"/>
        <v>3</v>
      </c>
      <c r="U5540">
        <f t="shared" si="433"/>
        <v>1</v>
      </c>
      <c r="V5540">
        <f t="shared" si="434"/>
        <v>0</v>
      </c>
    </row>
    <row r="5541" spans="1:22" x14ac:dyDescent="0.25">
      <c r="A5541">
        <v>5538</v>
      </c>
      <c r="B5541" t="s">
        <v>38</v>
      </c>
      <c r="C5541" t="s">
        <v>1573</v>
      </c>
      <c r="D5541" s="4">
        <v>45879</v>
      </c>
      <c r="E5541" t="s">
        <v>1607</v>
      </c>
      <c r="F5541" t="s">
        <v>75</v>
      </c>
      <c r="I5541" s="6">
        <v>0</v>
      </c>
      <c r="J5541" s="6">
        <v>0</v>
      </c>
      <c r="K5541" s="6">
        <v>0</v>
      </c>
      <c r="L5541" s="6">
        <v>0</v>
      </c>
      <c r="M5541" s="6">
        <v>0</v>
      </c>
      <c r="N5541" s="6">
        <v>0</v>
      </c>
      <c r="O5541" s="6">
        <v>0</v>
      </c>
      <c r="P5541" s="6">
        <v>0</v>
      </c>
      <c r="Q5541">
        <v>1</v>
      </c>
      <c r="R5541">
        <f t="shared" si="430"/>
        <v>0</v>
      </c>
      <c r="S5541">
        <f t="shared" si="431"/>
        <v>1</v>
      </c>
      <c r="T5541">
        <f t="shared" si="432"/>
        <v>0</v>
      </c>
      <c r="U5541">
        <f t="shared" si="433"/>
        <v>0</v>
      </c>
      <c r="V5541">
        <f t="shared" si="434"/>
        <v>0</v>
      </c>
    </row>
    <row r="5542" spans="1:22" x14ac:dyDescent="0.25">
      <c r="A5542">
        <v>5539</v>
      </c>
      <c r="B5542" t="s">
        <v>38</v>
      </c>
      <c r="C5542" t="s">
        <v>1573</v>
      </c>
      <c r="D5542" s="4">
        <v>45879</v>
      </c>
      <c r="E5542" t="s">
        <v>1608</v>
      </c>
      <c r="F5542" t="s">
        <v>75</v>
      </c>
      <c r="I5542" s="6">
        <v>0</v>
      </c>
      <c r="J5542" s="6">
        <v>0</v>
      </c>
      <c r="K5542" s="6">
        <v>0</v>
      </c>
      <c r="L5542" s="6">
        <v>0</v>
      </c>
      <c r="M5542" s="6">
        <v>0</v>
      </c>
      <c r="N5542" s="6">
        <v>0</v>
      </c>
      <c r="O5542" s="6">
        <v>0</v>
      </c>
      <c r="P5542" s="6">
        <v>1</v>
      </c>
      <c r="Q5542">
        <v>1</v>
      </c>
      <c r="R5542">
        <f t="shared" si="430"/>
        <v>0</v>
      </c>
      <c r="S5542">
        <f t="shared" si="431"/>
        <v>1</v>
      </c>
      <c r="T5542">
        <f t="shared" si="432"/>
        <v>1</v>
      </c>
      <c r="U5542">
        <f t="shared" si="433"/>
        <v>1</v>
      </c>
      <c r="V5542">
        <f t="shared" si="434"/>
        <v>0</v>
      </c>
    </row>
    <row r="5543" spans="1:22" x14ac:dyDescent="0.25">
      <c r="A5543">
        <v>5540</v>
      </c>
      <c r="B5543" t="s">
        <v>38</v>
      </c>
      <c r="C5543" t="s">
        <v>1573</v>
      </c>
      <c r="D5543" s="4">
        <v>45880</v>
      </c>
      <c r="E5543" t="s">
        <v>1609</v>
      </c>
      <c r="F5543" t="s">
        <v>413</v>
      </c>
      <c r="G5543">
        <v>268</v>
      </c>
      <c r="I5543" s="6">
        <v>0</v>
      </c>
      <c r="J5543" s="6">
        <v>1</v>
      </c>
      <c r="K5543" s="6">
        <v>1</v>
      </c>
      <c r="L5543" s="6">
        <v>0</v>
      </c>
      <c r="M5543" s="6">
        <v>0</v>
      </c>
      <c r="N5543" s="6">
        <v>0</v>
      </c>
      <c r="O5543" s="6">
        <v>0</v>
      </c>
      <c r="P5543" s="6">
        <v>0</v>
      </c>
      <c r="Q5543">
        <v>1</v>
      </c>
      <c r="R5543">
        <f t="shared" si="430"/>
        <v>1</v>
      </c>
      <c r="S5543">
        <f t="shared" si="431"/>
        <v>0</v>
      </c>
      <c r="T5543">
        <f t="shared" si="432"/>
        <v>2</v>
      </c>
      <c r="U5543">
        <f t="shared" si="433"/>
        <v>1</v>
      </c>
      <c r="V5543">
        <f t="shared" si="434"/>
        <v>1</v>
      </c>
    </row>
    <row r="5544" spans="1:22" x14ac:dyDescent="0.25">
      <c r="A5544">
        <v>5541</v>
      </c>
      <c r="B5544" t="s">
        <v>38</v>
      </c>
      <c r="C5544" t="s">
        <v>1573</v>
      </c>
      <c r="D5544" s="4">
        <v>45881</v>
      </c>
      <c r="E5544" t="s">
        <v>1610</v>
      </c>
      <c r="F5544" t="s">
        <v>75</v>
      </c>
      <c r="I5544" s="6">
        <v>0</v>
      </c>
      <c r="J5544" s="6">
        <v>1</v>
      </c>
      <c r="K5544" s="6">
        <v>0</v>
      </c>
      <c r="L5544" s="6">
        <v>0</v>
      </c>
      <c r="M5544" s="6">
        <v>0</v>
      </c>
      <c r="N5544" s="6">
        <v>0</v>
      </c>
      <c r="O5544" s="6">
        <v>0</v>
      </c>
      <c r="P5544" s="6">
        <v>0</v>
      </c>
      <c r="Q5544">
        <v>1</v>
      </c>
      <c r="R5544">
        <f t="shared" si="430"/>
        <v>0</v>
      </c>
      <c r="S5544">
        <f t="shared" si="431"/>
        <v>1</v>
      </c>
      <c r="T5544">
        <f t="shared" si="432"/>
        <v>1</v>
      </c>
      <c r="U5544">
        <f t="shared" si="433"/>
        <v>1</v>
      </c>
      <c r="V5544">
        <f t="shared" si="434"/>
        <v>0</v>
      </c>
    </row>
    <row r="5545" spans="1:22" x14ac:dyDescent="0.25">
      <c r="A5545">
        <v>5542</v>
      </c>
      <c r="B5545" t="s">
        <v>38</v>
      </c>
      <c r="C5545" t="s">
        <v>1573</v>
      </c>
      <c r="D5545" s="4">
        <v>45881</v>
      </c>
      <c r="E5545" t="s">
        <v>1611</v>
      </c>
      <c r="F5545" t="s">
        <v>413</v>
      </c>
      <c r="G5545">
        <v>284</v>
      </c>
      <c r="I5545" s="6">
        <v>0</v>
      </c>
      <c r="J5545" s="6">
        <v>0</v>
      </c>
      <c r="K5545" s="6">
        <v>0</v>
      </c>
      <c r="L5545" s="6">
        <v>0</v>
      </c>
      <c r="M5545" s="6">
        <v>0</v>
      </c>
      <c r="N5545" s="6">
        <v>0</v>
      </c>
      <c r="O5545" s="6">
        <v>0</v>
      </c>
      <c r="P5545" s="6">
        <v>0</v>
      </c>
      <c r="Q5545">
        <v>1</v>
      </c>
      <c r="R5545">
        <f t="shared" si="430"/>
        <v>1</v>
      </c>
      <c r="S5545">
        <f t="shared" si="431"/>
        <v>0</v>
      </c>
      <c r="T5545">
        <f t="shared" si="432"/>
        <v>0</v>
      </c>
      <c r="U5545">
        <f t="shared" si="433"/>
        <v>0</v>
      </c>
      <c r="V5545">
        <f t="shared" si="434"/>
        <v>1</v>
      </c>
    </row>
    <row r="5546" spans="1:22" x14ac:dyDescent="0.25">
      <c r="A5546">
        <v>5543</v>
      </c>
      <c r="B5546" t="s">
        <v>38</v>
      </c>
      <c r="C5546" t="s">
        <v>1573</v>
      </c>
      <c r="D5546" s="4">
        <v>45881</v>
      </c>
      <c r="E5546" t="s">
        <v>1612</v>
      </c>
      <c r="F5546" t="s">
        <v>75</v>
      </c>
      <c r="I5546" s="6">
        <v>1</v>
      </c>
      <c r="J5546" s="6">
        <v>0</v>
      </c>
      <c r="K5546" s="6">
        <v>1</v>
      </c>
      <c r="L5546" s="6">
        <v>1</v>
      </c>
      <c r="M5546" s="6">
        <v>1</v>
      </c>
      <c r="N5546" s="6">
        <v>0</v>
      </c>
      <c r="O5546" s="6">
        <v>0</v>
      </c>
      <c r="P5546" s="6">
        <v>0</v>
      </c>
      <c r="Q5546">
        <v>1</v>
      </c>
      <c r="R5546">
        <f t="shared" si="430"/>
        <v>0</v>
      </c>
      <c r="S5546">
        <f t="shared" si="431"/>
        <v>1</v>
      </c>
      <c r="T5546">
        <f t="shared" si="432"/>
        <v>4</v>
      </c>
      <c r="U5546">
        <f t="shared" si="433"/>
        <v>1</v>
      </c>
      <c r="V5546">
        <f t="shared" si="434"/>
        <v>0</v>
      </c>
    </row>
    <row r="5547" spans="1:22" x14ac:dyDescent="0.25">
      <c r="A5547">
        <v>5544</v>
      </c>
      <c r="B5547" t="s">
        <v>38</v>
      </c>
      <c r="C5547" t="s">
        <v>1573</v>
      </c>
      <c r="D5547" s="4">
        <v>45883</v>
      </c>
      <c r="E5547" t="s">
        <v>1613</v>
      </c>
      <c r="F5547" t="s">
        <v>75</v>
      </c>
      <c r="I5547" s="6">
        <v>1</v>
      </c>
      <c r="J5547" s="6">
        <v>0</v>
      </c>
      <c r="K5547" s="6">
        <v>0</v>
      </c>
      <c r="L5547" s="6">
        <v>0</v>
      </c>
      <c r="M5547" s="6">
        <v>0</v>
      </c>
      <c r="N5547" s="6">
        <v>0</v>
      </c>
      <c r="O5547" s="6">
        <v>0</v>
      </c>
      <c r="P5547" s="6">
        <v>0</v>
      </c>
      <c r="Q5547">
        <v>1</v>
      </c>
      <c r="R5547">
        <f t="shared" si="430"/>
        <v>0</v>
      </c>
      <c r="S5547">
        <f t="shared" si="431"/>
        <v>1</v>
      </c>
      <c r="T5547">
        <f t="shared" si="432"/>
        <v>1</v>
      </c>
      <c r="U5547">
        <f t="shared" si="433"/>
        <v>1</v>
      </c>
      <c r="V5547">
        <f t="shared" si="434"/>
        <v>0</v>
      </c>
    </row>
    <row r="5548" spans="1:22" x14ac:dyDescent="0.25">
      <c r="A5548">
        <v>5545</v>
      </c>
      <c r="B5548" t="s">
        <v>38</v>
      </c>
      <c r="C5548" t="s">
        <v>1573</v>
      </c>
      <c r="D5548" s="4">
        <v>45883</v>
      </c>
      <c r="E5548" t="s">
        <v>1614</v>
      </c>
      <c r="F5548" t="s">
        <v>75</v>
      </c>
      <c r="I5548" s="6">
        <v>1</v>
      </c>
      <c r="J5548" s="6">
        <v>0</v>
      </c>
      <c r="K5548" s="6">
        <v>0</v>
      </c>
      <c r="L5548" s="6">
        <v>0</v>
      </c>
      <c r="M5548" s="6">
        <v>0</v>
      </c>
      <c r="N5548" s="6">
        <v>0</v>
      </c>
      <c r="O5548" s="6">
        <v>0</v>
      </c>
      <c r="P5548" s="6">
        <v>0</v>
      </c>
      <c r="Q5548">
        <v>1</v>
      </c>
      <c r="R5548">
        <f t="shared" si="430"/>
        <v>0</v>
      </c>
      <c r="S5548">
        <f t="shared" si="431"/>
        <v>1</v>
      </c>
      <c r="T5548">
        <f t="shared" si="432"/>
        <v>1</v>
      </c>
      <c r="U5548">
        <f t="shared" si="433"/>
        <v>1</v>
      </c>
      <c r="V5548">
        <f t="shared" si="434"/>
        <v>0</v>
      </c>
    </row>
    <row r="5549" spans="1:22" x14ac:dyDescent="0.25">
      <c r="A5549">
        <v>5546</v>
      </c>
      <c r="B5549" t="s">
        <v>38</v>
      </c>
      <c r="C5549" t="s">
        <v>1573</v>
      </c>
      <c r="D5549" s="4">
        <v>45884</v>
      </c>
      <c r="E5549" t="s">
        <v>1615</v>
      </c>
      <c r="F5549" t="s">
        <v>413</v>
      </c>
      <c r="G5549">
        <v>269</v>
      </c>
      <c r="I5549" s="6">
        <v>0</v>
      </c>
      <c r="J5549" s="6">
        <v>0</v>
      </c>
      <c r="K5549" s="6">
        <v>0</v>
      </c>
      <c r="L5549" s="6">
        <v>0</v>
      </c>
      <c r="M5549" s="6">
        <v>0</v>
      </c>
      <c r="N5549" s="6">
        <v>0</v>
      </c>
      <c r="O5549" s="6">
        <v>0</v>
      </c>
      <c r="P5549" s="6">
        <v>0</v>
      </c>
      <c r="Q5549">
        <v>1</v>
      </c>
      <c r="R5549">
        <f t="shared" si="430"/>
        <v>1</v>
      </c>
      <c r="S5549">
        <f t="shared" si="431"/>
        <v>0</v>
      </c>
      <c r="T5549">
        <f t="shared" si="432"/>
        <v>0</v>
      </c>
      <c r="U5549">
        <f t="shared" si="433"/>
        <v>0</v>
      </c>
      <c r="V5549">
        <f t="shared" si="434"/>
        <v>1</v>
      </c>
    </row>
    <row r="5550" spans="1:22" x14ac:dyDescent="0.25">
      <c r="A5550">
        <v>5547</v>
      </c>
      <c r="B5550" t="s">
        <v>38</v>
      </c>
      <c r="C5550" t="s">
        <v>1573</v>
      </c>
      <c r="D5550" s="4">
        <v>45885</v>
      </c>
      <c r="E5550" t="s">
        <v>1616</v>
      </c>
      <c r="F5550" t="s">
        <v>413</v>
      </c>
      <c r="G5550">
        <v>270</v>
      </c>
      <c r="I5550" s="6">
        <v>0</v>
      </c>
      <c r="J5550" s="6">
        <v>0</v>
      </c>
      <c r="K5550" s="6">
        <v>0</v>
      </c>
      <c r="L5550" s="6">
        <v>0</v>
      </c>
      <c r="M5550" s="6">
        <v>0</v>
      </c>
      <c r="N5550" s="6">
        <v>0</v>
      </c>
      <c r="O5550" s="6">
        <v>0</v>
      </c>
      <c r="P5550" s="6">
        <v>0</v>
      </c>
      <c r="Q5550">
        <v>1</v>
      </c>
      <c r="R5550">
        <f t="shared" si="430"/>
        <v>1</v>
      </c>
      <c r="S5550">
        <f t="shared" si="431"/>
        <v>0</v>
      </c>
      <c r="T5550">
        <f t="shared" si="432"/>
        <v>0</v>
      </c>
      <c r="U5550">
        <f t="shared" si="433"/>
        <v>0</v>
      </c>
      <c r="V5550">
        <f t="shared" si="434"/>
        <v>1</v>
      </c>
    </row>
    <row r="5551" spans="1:22" x14ac:dyDescent="0.25">
      <c r="A5551">
        <v>5548</v>
      </c>
      <c r="B5551" t="s">
        <v>38</v>
      </c>
      <c r="C5551" t="s">
        <v>1573</v>
      </c>
      <c r="D5551" s="4">
        <v>45885</v>
      </c>
      <c r="E5551" t="s">
        <v>1617</v>
      </c>
      <c r="F5551" t="s">
        <v>75</v>
      </c>
      <c r="I5551" s="6">
        <v>1</v>
      </c>
      <c r="J5551" s="6">
        <v>0</v>
      </c>
      <c r="K5551" s="6">
        <v>0</v>
      </c>
      <c r="L5551" s="6">
        <v>0</v>
      </c>
      <c r="M5551" s="6">
        <v>0</v>
      </c>
      <c r="N5551" s="6">
        <v>0</v>
      </c>
      <c r="O5551" s="6">
        <v>0</v>
      </c>
      <c r="P5551" s="6">
        <v>0</v>
      </c>
      <c r="Q5551">
        <v>1</v>
      </c>
      <c r="R5551">
        <f t="shared" si="430"/>
        <v>0</v>
      </c>
      <c r="S5551">
        <f t="shared" si="431"/>
        <v>1</v>
      </c>
      <c r="T5551">
        <f t="shared" si="432"/>
        <v>1</v>
      </c>
      <c r="U5551">
        <f t="shared" si="433"/>
        <v>1</v>
      </c>
      <c r="V5551">
        <f t="shared" si="434"/>
        <v>0</v>
      </c>
    </row>
    <row r="5552" spans="1:22" x14ac:dyDescent="0.25">
      <c r="A5552">
        <v>5549</v>
      </c>
      <c r="B5552" t="s">
        <v>38</v>
      </c>
      <c r="C5552" t="s">
        <v>1573</v>
      </c>
      <c r="D5552" s="4">
        <v>45886</v>
      </c>
      <c r="E5552" t="s">
        <v>2076</v>
      </c>
      <c r="F5552" t="s">
        <v>75</v>
      </c>
      <c r="I5552" s="6">
        <v>0</v>
      </c>
      <c r="J5552" s="6">
        <v>0</v>
      </c>
      <c r="K5552" s="6">
        <v>0</v>
      </c>
      <c r="L5552" s="6">
        <v>0</v>
      </c>
      <c r="M5552" s="6">
        <v>0</v>
      </c>
      <c r="N5552" s="6">
        <v>0</v>
      </c>
      <c r="O5552" s="6">
        <v>0</v>
      </c>
      <c r="P5552" s="6">
        <v>0</v>
      </c>
      <c r="Q5552">
        <v>1</v>
      </c>
      <c r="R5552">
        <f t="shared" si="430"/>
        <v>0</v>
      </c>
      <c r="S5552">
        <f t="shared" si="431"/>
        <v>1</v>
      </c>
      <c r="T5552">
        <f t="shared" si="432"/>
        <v>0</v>
      </c>
      <c r="U5552">
        <f t="shared" si="433"/>
        <v>0</v>
      </c>
      <c r="V5552">
        <f t="shared" si="434"/>
        <v>0</v>
      </c>
    </row>
    <row r="5553" spans="1:22" x14ac:dyDescent="0.25">
      <c r="A5553">
        <v>5550</v>
      </c>
      <c r="B5553" t="s">
        <v>38</v>
      </c>
      <c r="C5553" t="s">
        <v>1573</v>
      </c>
      <c r="D5553" s="4">
        <v>45887</v>
      </c>
      <c r="E5553" t="s">
        <v>1618</v>
      </c>
      <c r="F5553" t="s">
        <v>75</v>
      </c>
      <c r="I5553" s="6">
        <v>0</v>
      </c>
      <c r="J5553" s="6">
        <v>0</v>
      </c>
      <c r="K5553" s="6">
        <v>0</v>
      </c>
      <c r="L5553" s="6">
        <v>1</v>
      </c>
      <c r="M5553" s="6">
        <v>0</v>
      </c>
      <c r="N5553" s="6">
        <v>0</v>
      </c>
      <c r="O5553" s="6">
        <v>0</v>
      </c>
      <c r="P5553" s="6">
        <v>0</v>
      </c>
      <c r="Q5553">
        <v>1</v>
      </c>
      <c r="R5553">
        <f t="shared" si="430"/>
        <v>0</v>
      </c>
      <c r="S5553">
        <f t="shared" si="431"/>
        <v>1</v>
      </c>
      <c r="T5553">
        <f t="shared" si="432"/>
        <v>1</v>
      </c>
      <c r="U5553">
        <f t="shared" si="433"/>
        <v>1</v>
      </c>
      <c r="V5553">
        <f t="shared" si="434"/>
        <v>0</v>
      </c>
    </row>
    <row r="5554" spans="1:22" x14ac:dyDescent="0.25">
      <c r="A5554">
        <v>5551</v>
      </c>
      <c r="B5554" t="s">
        <v>38</v>
      </c>
      <c r="C5554" t="s">
        <v>1573</v>
      </c>
      <c r="D5554" s="4">
        <v>45892</v>
      </c>
      <c r="E5554" t="s">
        <v>2075</v>
      </c>
      <c r="F5554" t="s">
        <v>75</v>
      </c>
      <c r="I5554" s="6">
        <v>1</v>
      </c>
      <c r="J5554" s="6">
        <v>0</v>
      </c>
      <c r="K5554" s="6">
        <v>1</v>
      </c>
      <c r="L5554" s="6">
        <v>0</v>
      </c>
      <c r="M5554" s="6">
        <v>0</v>
      </c>
      <c r="N5554" s="6">
        <v>0</v>
      </c>
      <c r="O5554" s="6">
        <v>0</v>
      </c>
      <c r="P5554" s="6">
        <v>0</v>
      </c>
      <c r="Q5554">
        <v>1</v>
      </c>
      <c r="R5554">
        <f t="shared" si="430"/>
        <v>0</v>
      </c>
      <c r="S5554">
        <f t="shared" si="431"/>
        <v>1</v>
      </c>
      <c r="T5554">
        <f t="shared" si="432"/>
        <v>2</v>
      </c>
      <c r="U5554">
        <f t="shared" si="433"/>
        <v>1</v>
      </c>
      <c r="V5554">
        <f t="shared" si="434"/>
        <v>0</v>
      </c>
    </row>
    <row r="5555" spans="1:22" x14ac:dyDescent="0.25">
      <c r="A5555">
        <v>5552</v>
      </c>
      <c r="B5555" t="s">
        <v>38</v>
      </c>
      <c r="C5555" t="s">
        <v>1573</v>
      </c>
      <c r="D5555" s="4">
        <v>45892</v>
      </c>
      <c r="E5555" t="s">
        <v>1619</v>
      </c>
      <c r="F5555" t="s">
        <v>75</v>
      </c>
      <c r="I5555" s="6">
        <v>1</v>
      </c>
      <c r="J5555" s="6">
        <v>1</v>
      </c>
      <c r="K5555" s="6">
        <v>0</v>
      </c>
      <c r="L5555" s="6">
        <v>1</v>
      </c>
      <c r="M5555" s="6">
        <v>1</v>
      </c>
      <c r="N5555" s="6">
        <v>0</v>
      </c>
      <c r="O5555" s="6">
        <v>0</v>
      </c>
      <c r="P5555" s="6">
        <v>1</v>
      </c>
      <c r="Q5555">
        <v>1</v>
      </c>
      <c r="R5555">
        <f t="shared" si="430"/>
        <v>0</v>
      </c>
      <c r="S5555">
        <f t="shared" si="431"/>
        <v>1</v>
      </c>
      <c r="T5555">
        <f t="shared" si="432"/>
        <v>5</v>
      </c>
      <c r="U5555">
        <f t="shared" si="433"/>
        <v>1</v>
      </c>
      <c r="V5555">
        <f t="shared" si="434"/>
        <v>0</v>
      </c>
    </row>
    <row r="5556" spans="1:22" x14ac:dyDescent="0.25">
      <c r="A5556">
        <v>5553</v>
      </c>
      <c r="B5556" t="s">
        <v>38</v>
      </c>
      <c r="C5556" t="s">
        <v>1573</v>
      </c>
      <c r="D5556" s="4">
        <v>45894</v>
      </c>
      <c r="E5556" t="s">
        <v>1620</v>
      </c>
      <c r="F5556" t="s">
        <v>75</v>
      </c>
      <c r="I5556" s="6">
        <v>0</v>
      </c>
      <c r="J5556" s="6">
        <v>0</v>
      </c>
      <c r="K5556" s="6">
        <v>0</v>
      </c>
      <c r="L5556" s="6">
        <v>0</v>
      </c>
      <c r="M5556" s="6">
        <v>0</v>
      </c>
      <c r="N5556" s="6">
        <v>0</v>
      </c>
      <c r="O5556" s="6">
        <v>0</v>
      </c>
      <c r="P5556" s="6">
        <v>0</v>
      </c>
      <c r="Q5556">
        <v>1</v>
      </c>
      <c r="R5556">
        <f t="shared" si="430"/>
        <v>0</v>
      </c>
      <c r="S5556">
        <f t="shared" si="431"/>
        <v>1</v>
      </c>
      <c r="T5556">
        <f t="shared" si="432"/>
        <v>0</v>
      </c>
      <c r="U5556">
        <f t="shared" si="433"/>
        <v>0</v>
      </c>
      <c r="V5556">
        <f t="shared" si="434"/>
        <v>0</v>
      </c>
    </row>
    <row r="5557" spans="1:22" x14ac:dyDescent="0.25">
      <c r="A5557">
        <v>5554</v>
      </c>
      <c r="B5557" t="s">
        <v>38</v>
      </c>
      <c r="C5557" t="s">
        <v>1573</v>
      </c>
      <c r="D5557" s="4">
        <v>45895</v>
      </c>
      <c r="E5557" t="s">
        <v>1621</v>
      </c>
      <c r="F5557" t="s">
        <v>75</v>
      </c>
      <c r="I5557" s="6">
        <v>0</v>
      </c>
      <c r="J5557" s="6">
        <v>0</v>
      </c>
      <c r="K5557" s="6">
        <v>0</v>
      </c>
      <c r="L5557" s="6">
        <v>0</v>
      </c>
      <c r="M5557" s="6">
        <v>0</v>
      </c>
      <c r="N5557" s="6">
        <v>0</v>
      </c>
      <c r="O5557" s="6">
        <v>0</v>
      </c>
      <c r="P5557" s="6">
        <v>0</v>
      </c>
      <c r="Q5557">
        <v>1</v>
      </c>
      <c r="R5557">
        <f t="shared" si="430"/>
        <v>0</v>
      </c>
      <c r="S5557">
        <f t="shared" si="431"/>
        <v>1</v>
      </c>
      <c r="T5557">
        <f t="shared" si="432"/>
        <v>0</v>
      </c>
      <c r="U5557">
        <f t="shared" si="433"/>
        <v>0</v>
      </c>
      <c r="V5557">
        <f t="shared" si="434"/>
        <v>0</v>
      </c>
    </row>
    <row r="5558" spans="1:22" x14ac:dyDescent="0.25">
      <c r="A5558">
        <v>5555</v>
      </c>
      <c r="B5558" t="s">
        <v>38</v>
      </c>
      <c r="C5558" t="s">
        <v>1573</v>
      </c>
      <c r="D5558" s="4">
        <v>45895</v>
      </c>
      <c r="E5558" t="s">
        <v>1622</v>
      </c>
      <c r="F5558" t="s">
        <v>75</v>
      </c>
      <c r="I5558" s="6">
        <v>0</v>
      </c>
      <c r="J5558" s="6">
        <v>0</v>
      </c>
      <c r="K5558" s="6">
        <v>0</v>
      </c>
      <c r="L5558" s="6">
        <v>0</v>
      </c>
      <c r="M5558" s="6">
        <v>0</v>
      </c>
      <c r="N5558" s="6">
        <v>0</v>
      </c>
      <c r="O5558" s="6">
        <v>0</v>
      </c>
      <c r="P5558" s="6">
        <v>0</v>
      </c>
      <c r="Q5558">
        <v>1</v>
      </c>
      <c r="R5558">
        <f t="shared" si="430"/>
        <v>0</v>
      </c>
      <c r="S5558">
        <f t="shared" si="431"/>
        <v>1</v>
      </c>
      <c r="T5558">
        <f t="shared" si="432"/>
        <v>0</v>
      </c>
      <c r="U5558">
        <f t="shared" si="433"/>
        <v>0</v>
      </c>
      <c r="V5558">
        <f t="shared" si="434"/>
        <v>0</v>
      </c>
    </row>
    <row r="5559" spans="1:22" x14ac:dyDescent="0.25">
      <c r="A5559">
        <v>5556</v>
      </c>
      <c r="B5559" t="s">
        <v>38</v>
      </c>
      <c r="C5559" t="s">
        <v>1573</v>
      </c>
      <c r="D5559" s="4">
        <v>45896</v>
      </c>
      <c r="E5559" t="s">
        <v>1623</v>
      </c>
      <c r="F5559" t="s">
        <v>75</v>
      </c>
      <c r="I5559" s="6">
        <v>1</v>
      </c>
      <c r="J5559" s="6">
        <v>0</v>
      </c>
      <c r="K5559" s="6">
        <v>0</v>
      </c>
      <c r="L5559" s="6">
        <v>0</v>
      </c>
      <c r="M5559" s="6">
        <v>1</v>
      </c>
      <c r="N5559" s="6">
        <v>0</v>
      </c>
      <c r="O5559" s="6">
        <v>0</v>
      </c>
      <c r="P5559" s="6">
        <v>0</v>
      </c>
      <c r="Q5559">
        <v>1</v>
      </c>
      <c r="R5559">
        <f t="shared" si="430"/>
        <v>0</v>
      </c>
      <c r="S5559">
        <f t="shared" si="431"/>
        <v>1</v>
      </c>
      <c r="T5559">
        <f t="shared" si="432"/>
        <v>2</v>
      </c>
      <c r="U5559">
        <f t="shared" si="433"/>
        <v>1</v>
      </c>
      <c r="V5559">
        <f t="shared" si="434"/>
        <v>0</v>
      </c>
    </row>
    <row r="5560" spans="1:22" x14ac:dyDescent="0.25">
      <c r="A5560">
        <v>5557</v>
      </c>
      <c r="B5560" t="s">
        <v>38</v>
      </c>
      <c r="C5560" t="s">
        <v>1573</v>
      </c>
      <c r="D5560" s="4">
        <v>45896</v>
      </c>
      <c r="E5560" t="s">
        <v>1624</v>
      </c>
      <c r="F5560" t="s">
        <v>75</v>
      </c>
      <c r="I5560" s="6">
        <v>0</v>
      </c>
      <c r="J5560" s="6">
        <v>0</v>
      </c>
      <c r="K5560" s="6">
        <v>1</v>
      </c>
      <c r="L5560" s="6">
        <v>0</v>
      </c>
      <c r="M5560" s="6">
        <v>1</v>
      </c>
      <c r="N5560" s="6">
        <v>0</v>
      </c>
      <c r="O5560" s="6">
        <v>0</v>
      </c>
      <c r="P5560" s="6">
        <v>0</v>
      </c>
      <c r="Q5560">
        <v>1</v>
      </c>
      <c r="R5560">
        <f t="shared" si="430"/>
        <v>0</v>
      </c>
      <c r="S5560">
        <f t="shared" si="431"/>
        <v>1</v>
      </c>
      <c r="T5560">
        <f t="shared" si="432"/>
        <v>2</v>
      </c>
      <c r="U5560">
        <f t="shared" si="433"/>
        <v>1</v>
      </c>
      <c r="V5560">
        <f t="shared" si="434"/>
        <v>0</v>
      </c>
    </row>
    <row r="5561" spans="1:22" x14ac:dyDescent="0.25">
      <c r="A5561">
        <v>5558</v>
      </c>
      <c r="B5561" t="s">
        <v>38</v>
      </c>
      <c r="C5561" t="s">
        <v>1573</v>
      </c>
      <c r="D5561" s="4">
        <v>45896</v>
      </c>
      <c r="E5561" t="s">
        <v>1625</v>
      </c>
      <c r="F5561" t="s">
        <v>75</v>
      </c>
      <c r="I5561" s="6">
        <v>1</v>
      </c>
      <c r="J5561" s="6">
        <v>0</v>
      </c>
      <c r="K5561" s="6">
        <v>0</v>
      </c>
      <c r="L5561" s="6">
        <v>0</v>
      </c>
      <c r="M5561" s="6">
        <v>0</v>
      </c>
      <c r="N5561" s="6">
        <v>0</v>
      </c>
      <c r="O5561" s="6">
        <v>0</v>
      </c>
      <c r="P5561" s="6">
        <v>0</v>
      </c>
      <c r="Q5561">
        <v>1</v>
      </c>
      <c r="R5561">
        <f t="shared" si="430"/>
        <v>0</v>
      </c>
      <c r="S5561">
        <f t="shared" si="431"/>
        <v>1</v>
      </c>
      <c r="T5561">
        <f t="shared" si="432"/>
        <v>1</v>
      </c>
      <c r="U5561">
        <f t="shared" si="433"/>
        <v>1</v>
      </c>
      <c r="V5561">
        <f t="shared" si="434"/>
        <v>0</v>
      </c>
    </row>
    <row r="5562" spans="1:22" x14ac:dyDescent="0.25">
      <c r="A5562">
        <v>5559</v>
      </c>
      <c r="B5562" t="s">
        <v>38</v>
      </c>
      <c r="C5562" t="s">
        <v>1573</v>
      </c>
      <c r="D5562" s="4">
        <v>45896</v>
      </c>
      <c r="E5562" t="s">
        <v>1626</v>
      </c>
      <c r="F5562" t="s">
        <v>75</v>
      </c>
      <c r="I5562" s="6">
        <v>0</v>
      </c>
      <c r="J5562" s="6">
        <v>0</v>
      </c>
      <c r="K5562" s="6">
        <v>0</v>
      </c>
      <c r="L5562" s="6">
        <v>0</v>
      </c>
      <c r="M5562" s="6">
        <v>0</v>
      </c>
      <c r="N5562" s="6">
        <v>0</v>
      </c>
      <c r="O5562" s="6">
        <v>0</v>
      </c>
      <c r="P5562" s="6">
        <v>1</v>
      </c>
      <c r="Q5562">
        <v>1</v>
      </c>
      <c r="R5562">
        <f t="shared" si="430"/>
        <v>0</v>
      </c>
      <c r="S5562">
        <f t="shared" si="431"/>
        <v>1</v>
      </c>
      <c r="T5562">
        <f t="shared" si="432"/>
        <v>1</v>
      </c>
      <c r="U5562">
        <f t="shared" si="433"/>
        <v>1</v>
      </c>
      <c r="V5562">
        <f t="shared" si="434"/>
        <v>0</v>
      </c>
    </row>
    <row r="5563" spans="1:22" x14ac:dyDescent="0.25">
      <c r="A5563">
        <v>5560</v>
      </c>
      <c r="B5563" t="s">
        <v>38</v>
      </c>
      <c r="C5563" t="s">
        <v>1573</v>
      </c>
      <c r="D5563" s="4">
        <v>45896</v>
      </c>
      <c r="E5563" t="s">
        <v>1627</v>
      </c>
      <c r="F5563" t="s">
        <v>75</v>
      </c>
      <c r="I5563" s="6">
        <v>1</v>
      </c>
      <c r="J5563" s="6">
        <v>0</v>
      </c>
      <c r="K5563" s="6">
        <v>1</v>
      </c>
      <c r="L5563" s="6">
        <v>0</v>
      </c>
      <c r="M5563" s="6">
        <v>0</v>
      </c>
      <c r="N5563" s="6">
        <v>0</v>
      </c>
      <c r="O5563" s="6">
        <v>0</v>
      </c>
      <c r="P5563" s="6">
        <v>0</v>
      </c>
      <c r="Q5563">
        <v>1</v>
      </c>
      <c r="R5563">
        <f t="shared" si="430"/>
        <v>0</v>
      </c>
      <c r="S5563">
        <f t="shared" si="431"/>
        <v>1</v>
      </c>
      <c r="T5563">
        <f t="shared" si="432"/>
        <v>2</v>
      </c>
      <c r="U5563">
        <f t="shared" si="433"/>
        <v>1</v>
      </c>
      <c r="V5563">
        <f t="shared" si="434"/>
        <v>0</v>
      </c>
    </row>
    <row r="5564" spans="1:22" x14ac:dyDescent="0.25">
      <c r="A5564">
        <v>5561</v>
      </c>
      <c r="B5564" t="s">
        <v>38</v>
      </c>
      <c r="C5564" t="s">
        <v>1573</v>
      </c>
      <c r="D5564" s="4">
        <v>45896</v>
      </c>
      <c r="E5564" t="s">
        <v>2074</v>
      </c>
      <c r="F5564" t="s">
        <v>75</v>
      </c>
      <c r="I5564" s="6">
        <v>1</v>
      </c>
      <c r="J5564" s="6">
        <v>0</v>
      </c>
      <c r="K5564" s="6">
        <v>0</v>
      </c>
      <c r="L5564" s="6">
        <v>0</v>
      </c>
      <c r="M5564" s="6">
        <v>0</v>
      </c>
      <c r="N5564" s="6">
        <v>0</v>
      </c>
      <c r="O5564" s="6">
        <v>0</v>
      </c>
      <c r="P5564" s="6">
        <v>0</v>
      </c>
      <c r="Q5564">
        <v>1</v>
      </c>
      <c r="R5564">
        <f t="shared" si="430"/>
        <v>0</v>
      </c>
      <c r="S5564">
        <f t="shared" si="431"/>
        <v>1</v>
      </c>
      <c r="T5564">
        <f t="shared" si="432"/>
        <v>1</v>
      </c>
      <c r="U5564">
        <f t="shared" si="433"/>
        <v>1</v>
      </c>
      <c r="V5564">
        <f t="shared" si="434"/>
        <v>0</v>
      </c>
    </row>
    <row r="5565" spans="1:22" x14ac:dyDescent="0.25">
      <c r="A5565">
        <v>5562</v>
      </c>
      <c r="B5565" t="s">
        <v>38</v>
      </c>
      <c r="C5565" t="s">
        <v>1573</v>
      </c>
      <c r="D5565" s="4">
        <v>45897</v>
      </c>
      <c r="E5565" t="s">
        <v>1628</v>
      </c>
      <c r="F5565" t="s">
        <v>75</v>
      </c>
      <c r="I5565" s="6">
        <v>1</v>
      </c>
      <c r="J5565" s="6">
        <v>0</v>
      </c>
      <c r="K5565" s="6">
        <v>0</v>
      </c>
      <c r="L5565" s="6">
        <v>0</v>
      </c>
      <c r="M5565" s="6">
        <v>0</v>
      </c>
      <c r="N5565" s="6">
        <v>0</v>
      </c>
      <c r="O5565" s="6">
        <v>0</v>
      </c>
      <c r="P5565" s="6">
        <v>0</v>
      </c>
      <c r="Q5565">
        <v>1</v>
      </c>
      <c r="R5565">
        <f t="shared" si="430"/>
        <v>0</v>
      </c>
      <c r="S5565">
        <f t="shared" si="431"/>
        <v>1</v>
      </c>
      <c r="T5565">
        <f t="shared" si="432"/>
        <v>1</v>
      </c>
      <c r="U5565">
        <f t="shared" si="433"/>
        <v>1</v>
      </c>
      <c r="V5565">
        <f t="shared" si="434"/>
        <v>0</v>
      </c>
    </row>
    <row r="5566" spans="1:22" x14ac:dyDescent="0.25">
      <c r="A5566">
        <v>5563</v>
      </c>
      <c r="B5566" t="s">
        <v>38</v>
      </c>
      <c r="C5566" t="s">
        <v>1573</v>
      </c>
      <c r="D5566" s="4">
        <v>45897</v>
      </c>
      <c r="E5566" t="s">
        <v>1629</v>
      </c>
      <c r="F5566" t="s">
        <v>75</v>
      </c>
      <c r="I5566" s="6">
        <v>1</v>
      </c>
      <c r="J5566" s="6">
        <v>0</v>
      </c>
      <c r="K5566" s="6">
        <v>1</v>
      </c>
      <c r="L5566" s="6">
        <v>0</v>
      </c>
      <c r="M5566" s="6">
        <v>1</v>
      </c>
      <c r="N5566" s="6">
        <v>0</v>
      </c>
      <c r="O5566" s="6">
        <v>0</v>
      </c>
      <c r="P5566" s="6">
        <v>0</v>
      </c>
      <c r="Q5566">
        <v>1</v>
      </c>
      <c r="R5566">
        <f t="shared" si="430"/>
        <v>0</v>
      </c>
      <c r="S5566">
        <f t="shared" si="431"/>
        <v>1</v>
      </c>
      <c r="T5566">
        <f t="shared" si="432"/>
        <v>3</v>
      </c>
      <c r="U5566">
        <f t="shared" si="433"/>
        <v>1</v>
      </c>
      <c r="V5566">
        <f t="shared" si="434"/>
        <v>0</v>
      </c>
    </row>
    <row r="5567" spans="1:22" x14ac:dyDescent="0.25">
      <c r="A5567">
        <v>5564</v>
      </c>
      <c r="B5567" t="s">
        <v>38</v>
      </c>
      <c r="C5567" t="s">
        <v>1573</v>
      </c>
      <c r="D5567" s="4">
        <v>45897</v>
      </c>
      <c r="E5567" t="s">
        <v>1630</v>
      </c>
      <c r="F5567" t="s">
        <v>75</v>
      </c>
      <c r="I5567" s="6">
        <v>0</v>
      </c>
      <c r="J5567" s="6">
        <v>0</v>
      </c>
      <c r="K5567" s="6">
        <v>0</v>
      </c>
      <c r="L5567" s="6">
        <v>0</v>
      </c>
      <c r="M5567" s="6">
        <v>0</v>
      </c>
      <c r="N5567" s="6">
        <v>0</v>
      </c>
      <c r="O5567" s="6">
        <v>0</v>
      </c>
      <c r="P5567" s="6">
        <v>0</v>
      </c>
      <c r="Q5567">
        <v>1</v>
      </c>
      <c r="R5567">
        <f t="shared" si="430"/>
        <v>0</v>
      </c>
      <c r="S5567">
        <f t="shared" si="431"/>
        <v>1</v>
      </c>
      <c r="T5567">
        <f t="shared" si="432"/>
        <v>0</v>
      </c>
      <c r="U5567">
        <f t="shared" si="433"/>
        <v>0</v>
      </c>
      <c r="V5567">
        <f t="shared" si="434"/>
        <v>0</v>
      </c>
    </row>
    <row r="5568" spans="1:22" x14ac:dyDescent="0.25">
      <c r="A5568">
        <v>5565</v>
      </c>
      <c r="B5568" t="s">
        <v>38</v>
      </c>
      <c r="C5568" t="s">
        <v>1573</v>
      </c>
      <c r="D5568" s="4">
        <v>45897</v>
      </c>
      <c r="E5568" t="s">
        <v>1631</v>
      </c>
      <c r="F5568" t="s">
        <v>75</v>
      </c>
      <c r="I5568" s="6">
        <v>1</v>
      </c>
      <c r="J5568" s="6">
        <v>0</v>
      </c>
      <c r="K5568" s="6">
        <v>1</v>
      </c>
      <c r="L5568" s="6">
        <v>0</v>
      </c>
      <c r="M5568" s="6">
        <v>0</v>
      </c>
      <c r="N5568" s="6">
        <v>0</v>
      </c>
      <c r="O5568" s="6">
        <v>0</v>
      </c>
      <c r="P5568" s="6">
        <v>0</v>
      </c>
      <c r="Q5568">
        <v>1</v>
      </c>
      <c r="R5568">
        <f t="shared" si="430"/>
        <v>0</v>
      </c>
      <c r="S5568">
        <f t="shared" si="431"/>
        <v>1</v>
      </c>
      <c r="T5568">
        <f t="shared" si="432"/>
        <v>2</v>
      </c>
      <c r="U5568">
        <f t="shared" si="433"/>
        <v>1</v>
      </c>
      <c r="V5568">
        <f t="shared" si="434"/>
        <v>0</v>
      </c>
    </row>
    <row r="5569" spans="1:22" x14ac:dyDescent="0.25">
      <c r="A5569">
        <v>5566</v>
      </c>
      <c r="B5569" t="s">
        <v>38</v>
      </c>
      <c r="C5569" t="s">
        <v>1573</v>
      </c>
      <c r="D5569" s="4">
        <v>45897</v>
      </c>
      <c r="E5569" t="s">
        <v>1632</v>
      </c>
      <c r="F5569" t="s">
        <v>75</v>
      </c>
      <c r="I5569" s="6">
        <v>0</v>
      </c>
      <c r="J5569" s="6">
        <v>1</v>
      </c>
      <c r="K5569" s="6">
        <v>1</v>
      </c>
      <c r="L5569" s="6">
        <v>0</v>
      </c>
      <c r="M5569" s="6">
        <v>0</v>
      </c>
      <c r="N5569" s="6">
        <v>0</v>
      </c>
      <c r="O5569" s="6">
        <v>1</v>
      </c>
      <c r="P5569" s="6">
        <v>0</v>
      </c>
      <c r="Q5569">
        <v>1</v>
      </c>
      <c r="R5569">
        <f t="shared" si="430"/>
        <v>0</v>
      </c>
      <c r="S5569">
        <f t="shared" si="431"/>
        <v>1</v>
      </c>
      <c r="T5569">
        <f t="shared" si="432"/>
        <v>3</v>
      </c>
      <c r="U5569">
        <f t="shared" si="433"/>
        <v>1</v>
      </c>
      <c r="V5569">
        <f t="shared" si="434"/>
        <v>0</v>
      </c>
    </row>
    <row r="5570" spans="1:22" x14ac:dyDescent="0.25">
      <c r="A5570">
        <v>5567</v>
      </c>
      <c r="B5570" t="s">
        <v>38</v>
      </c>
      <c r="C5570" t="s">
        <v>1573</v>
      </c>
      <c r="D5570" s="4">
        <v>45897</v>
      </c>
      <c r="E5570" t="s">
        <v>2073</v>
      </c>
      <c r="F5570" t="s">
        <v>75</v>
      </c>
      <c r="I5570" s="6">
        <v>0</v>
      </c>
      <c r="J5570" s="6">
        <v>0</v>
      </c>
      <c r="K5570" s="6">
        <v>0</v>
      </c>
      <c r="L5570" s="6">
        <v>0</v>
      </c>
      <c r="M5570" s="6">
        <v>0</v>
      </c>
      <c r="N5570" s="6">
        <v>0</v>
      </c>
      <c r="O5570" s="6">
        <v>0</v>
      </c>
      <c r="P5570" s="6">
        <v>0</v>
      </c>
      <c r="Q5570">
        <v>1</v>
      </c>
      <c r="R5570">
        <f t="shared" si="430"/>
        <v>0</v>
      </c>
      <c r="S5570">
        <f t="shared" si="431"/>
        <v>1</v>
      </c>
      <c r="T5570">
        <f t="shared" si="432"/>
        <v>0</v>
      </c>
      <c r="U5570">
        <f t="shared" si="433"/>
        <v>0</v>
      </c>
      <c r="V5570">
        <f t="shared" si="434"/>
        <v>0</v>
      </c>
    </row>
    <row r="5571" spans="1:22" x14ac:dyDescent="0.25">
      <c r="A5571">
        <v>5568</v>
      </c>
      <c r="B5571" t="s">
        <v>38</v>
      </c>
      <c r="C5571" t="s">
        <v>1573</v>
      </c>
      <c r="D5571" s="4">
        <v>45899</v>
      </c>
      <c r="E5571" t="s">
        <v>1633</v>
      </c>
      <c r="F5571" t="s">
        <v>75</v>
      </c>
      <c r="I5571" s="6">
        <v>0</v>
      </c>
      <c r="J5571" s="6">
        <v>0</v>
      </c>
      <c r="K5571" s="6">
        <v>0</v>
      </c>
      <c r="L5571" s="6">
        <v>0</v>
      </c>
      <c r="M5571" s="6">
        <v>0</v>
      </c>
      <c r="N5571" s="6">
        <v>0</v>
      </c>
      <c r="O5571" s="6">
        <v>0</v>
      </c>
      <c r="P5571" s="6">
        <v>0</v>
      </c>
      <c r="Q5571">
        <v>1</v>
      </c>
      <c r="R5571">
        <f t="shared" ref="R5571:R5634" si="435">IF(AND(Q5571=1,F5571="ai_full"),1,0)</f>
        <v>0</v>
      </c>
      <c r="S5571">
        <f t="shared" ref="S5571:S5634" si="436">IF(AND(Q5571=1,F5571="conventional"),1,0)</f>
        <v>1</v>
      </c>
      <c r="T5571">
        <f t="shared" ref="T5571:T5634" si="437">SUM(I5571:P5571)</f>
        <v>0</v>
      </c>
      <c r="U5571">
        <f t="shared" ref="U5571:U5634" si="438">IF(T5571&gt;=1,1,0)</f>
        <v>0</v>
      </c>
      <c r="V5571">
        <f t="shared" ref="V5571:V5634" si="439">IF(F5571="ai_full",1,0)</f>
        <v>0</v>
      </c>
    </row>
    <row r="5572" spans="1:22" x14ac:dyDescent="0.25">
      <c r="A5572">
        <v>5569</v>
      </c>
      <c r="B5572" t="s">
        <v>38</v>
      </c>
      <c r="C5572" t="s">
        <v>1573</v>
      </c>
      <c r="D5572" s="4">
        <v>45899</v>
      </c>
      <c r="E5572" t="s">
        <v>1634</v>
      </c>
      <c r="F5572" t="s">
        <v>75</v>
      </c>
      <c r="I5572" s="6">
        <v>1</v>
      </c>
      <c r="J5572" s="6">
        <v>0</v>
      </c>
      <c r="K5572" s="6">
        <v>0</v>
      </c>
      <c r="L5572" s="6">
        <v>0</v>
      </c>
      <c r="M5572" s="6">
        <v>0</v>
      </c>
      <c r="N5572" s="6">
        <v>0</v>
      </c>
      <c r="O5572" s="6">
        <v>0</v>
      </c>
      <c r="P5572" s="6">
        <v>0</v>
      </c>
      <c r="Q5572">
        <v>1</v>
      </c>
      <c r="R5572">
        <f t="shared" si="435"/>
        <v>0</v>
      </c>
      <c r="S5572">
        <f t="shared" si="436"/>
        <v>1</v>
      </c>
      <c r="T5572">
        <f t="shared" si="437"/>
        <v>1</v>
      </c>
      <c r="U5572">
        <f t="shared" si="438"/>
        <v>1</v>
      </c>
      <c r="V5572">
        <f t="shared" si="439"/>
        <v>0</v>
      </c>
    </row>
    <row r="5573" spans="1:22" x14ac:dyDescent="0.25">
      <c r="A5573">
        <v>5570</v>
      </c>
      <c r="B5573" t="s">
        <v>38</v>
      </c>
      <c r="C5573" t="s">
        <v>1573</v>
      </c>
      <c r="D5573" s="4">
        <v>45899</v>
      </c>
      <c r="E5573" t="s">
        <v>1635</v>
      </c>
      <c r="F5573" t="s">
        <v>75</v>
      </c>
      <c r="I5573" s="6">
        <v>1</v>
      </c>
      <c r="J5573" s="6">
        <v>0</v>
      </c>
      <c r="K5573" s="6">
        <v>0</v>
      </c>
      <c r="L5573" s="6">
        <v>0</v>
      </c>
      <c r="M5573" s="6">
        <v>0</v>
      </c>
      <c r="N5573" s="6">
        <v>0</v>
      </c>
      <c r="O5573" s="6">
        <v>0</v>
      </c>
      <c r="P5573" s="6">
        <v>0</v>
      </c>
      <c r="Q5573">
        <v>1</v>
      </c>
      <c r="R5573">
        <f t="shared" si="435"/>
        <v>0</v>
      </c>
      <c r="S5573">
        <f t="shared" si="436"/>
        <v>1</v>
      </c>
      <c r="T5573">
        <f t="shared" si="437"/>
        <v>1</v>
      </c>
      <c r="U5573">
        <f t="shared" si="438"/>
        <v>1</v>
      </c>
      <c r="V5573">
        <f t="shared" si="439"/>
        <v>0</v>
      </c>
    </row>
    <row r="5574" spans="1:22" x14ac:dyDescent="0.25">
      <c r="A5574">
        <v>5571</v>
      </c>
      <c r="B5574" t="s">
        <v>38</v>
      </c>
      <c r="C5574" t="s">
        <v>1573</v>
      </c>
      <c r="D5574" s="4">
        <v>45899</v>
      </c>
      <c r="E5574" t="s">
        <v>1636</v>
      </c>
      <c r="F5574" t="s">
        <v>75</v>
      </c>
      <c r="I5574" s="6">
        <v>1</v>
      </c>
      <c r="J5574" s="6">
        <v>1</v>
      </c>
      <c r="K5574" s="6">
        <v>1</v>
      </c>
      <c r="L5574" s="6">
        <v>1</v>
      </c>
      <c r="M5574" s="6">
        <v>0</v>
      </c>
      <c r="N5574" s="6">
        <v>0</v>
      </c>
      <c r="O5574" s="6">
        <v>1</v>
      </c>
      <c r="P5574" s="6">
        <v>0</v>
      </c>
      <c r="Q5574">
        <v>1</v>
      </c>
      <c r="R5574">
        <f t="shared" si="435"/>
        <v>0</v>
      </c>
      <c r="S5574">
        <f t="shared" si="436"/>
        <v>1</v>
      </c>
      <c r="T5574">
        <f t="shared" si="437"/>
        <v>5</v>
      </c>
      <c r="U5574">
        <f t="shared" si="438"/>
        <v>1</v>
      </c>
      <c r="V5574">
        <f t="shared" si="439"/>
        <v>0</v>
      </c>
    </row>
    <row r="5575" spans="1:22" x14ac:dyDescent="0.25">
      <c r="A5575">
        <v>5572</v>
      </c>
      <c r="B5575" t="s">
        <v>38</v>
      </c>
      <c r="C5575" t="s">
        <v>1573</v>
      </c>
      <c r="D5575" s="4">
        <v>45900</v>
      </c>
      <c r="E5575" t="s">
        <v>1637</v>
      </c>
      <c r="F5575" t="s">
        <v>75</v>
      </c>
      <c r="I5575" s="6">
        <v>1</v>
      </c>
      <c r="J5575" s="6">
        <v>0</v>
      </c>
      <c r="K5575" s="6">
        <v>0</v>
      </c>
      <c r="L5575" s="6">
        <v>0</v>
      </c>
      <c r="M5575" s="6">
        <v>0</v>
      </c>
      <c r="N5575" s="6">
        <v>0</v>
      </c>
      <c r="O5575" s="6">
        <v>0</v>
      </c>
      <c r="P5575" s="6">
        <v>0</v>
      </c>
      <c r="Q5575">
        <v>1</v>
      </c>
      <c r="R5575">
        <f t="shared" si="435"/>
        <v>0</v>
      </c>
      <c r="S5575">
        <f t="shared" si="436"/>
        <v>1</v>
      </c>
      <c r="T5575">
        <f t="shared" si="437"/>
        <v>1</v>
      </c>
      <c r="U5575">
        <f t="shared" si="438"/>
        <v>1</v>
      </c>
      <c r="V5575">
        <f t="shared" si="439"/>
        <v>0</v>
      </c>
    </row>
    <row r="5576" spans="1:22" x14ac:dyDescent="0.25">
      <c r="A5576">
        <v>5573</v>
      </c>
      <c r="B5576" t="s">
        <v>38</v>
      </c>
      <c r="C5576" t="s">
        <v>1573</v>
      </c>
      <c r="D5576" s="4">
        <v>45901</v>
      </c>
      <c r="E5576" t="s">
        <v>1638</v>
      </c>
      <c r="F5576" t="s">
        <v>75</v>
      </c>
      <c r="I5576" s="6">
        <v>1</v>
      </c>
      <c r="J5576" s="6">
        <v>0</v>
      </c>
      <c r="K5576" s="6">
        <v>0</v>
      </c>
      <c r="L5576" s="6">
        <v>0</v>
      </c>
      <c r="M5576" s="6">
        <v>0</v>
      </c>
      <c r="N5576" s="6">
        <v>0</v>
      </c>
      <c r="O5576" s="6">
        <v>0</v>
      </c>
      <c r="P5576" s="6">
        <v>0</v>
      </c>
      <c r="Q5576">
        <v>1</v>
      </c>
      <c r="R5576">
        <f t="shared" si="435"/>
        <v>0</v>
      </c>
      <c r="S5576">
        <f t="shared" si="436"/>
        <v>1</v>
      </c>
      <c r="T5576">
        <f t="shared" si="437"/>
        <v>1</v>
      </c>
      <c r="U5576">
        <f t="shared" si="438"/>
        <v>1</v>
      </c>
      <c r="V5576">
        <f t="shared" si="439"/>
        <v>0</v>
      </c>
    </row>
    <row r="5577" spans="1:22" x14ac:dyDescent="0.25">
      <c r="A5577">
        <v>5574</v>
      </c>
      <c r="B5577" t="s">
        <v>38</v>
      </c>
      <c r="C5577" t="s">
        <v>1573</v>
      </c>
      <c r="D5577" s="4">
        <v>45901</v>
      </c>
      <c r="E5577" t="s">
        <v>1639</v>
      </c>
      <c r="F5577" t="s">
        <v>75</v>
      </c>
      <c r="I5577" s="6">
        <v>0</v>
      </c>
      <c r="J5577" s="6">
        <v>0</v>
      </c>
      <c r="K5577" s="6">
        <v>0</v>
      </c>
      <c r="L5577" s="6">
        <v>0</v>
      </c>
      <c r="M5577" s="6">
        <v>0</v>
      </c>
      <c r="N5577" s="6">
        <v>0</v>
      </c>
      <c r="O5577" s="6">
        <v>0</v>
      </c>
      <c r="P5577" s="6">
        <v>0</v>
      </c>
      <c r="Q5577">
        <v>1</v>
      </c>
      <c r="R5577">
        <f t="shared" si="435"/>
        <v>0</v>
      </c>
      <c r="S5577">
        <f t="shared" si="436"/>
        <v>1</v>
      </c>
      <c r="T5577">
        <f t="shared" si="437"/>
        <v>0</v>
      </c>
      <c r="U5577">
        <f t="shared" si="438"/>
        <v>0</v>
      </c>
      <c r="V5577">
        <f t="shared" si="439"/>
        <v>0</v>
      </c>
    </row>
    <row r="5578" spans="1:22" x14ac:dyDescent="0.25">
      <c r="A5578">
        <v>5575</v>
      </c>
      <c r="B5578" t="s">
        <v>38</v>
      </c>
      <c r="C5578" t="s">
        <v>1573</v>
      </c>
      <c r="D5578" s="4">
        <v>45902</v>
      </c>
      <c r="E5578" t="s">
        <v>1640</v>
      </c>
      <c r="F5578" t="s">
        <v>75</v>
      </c>
      <c r="I5578" s="6">
        <v>0</v>
      </c>
      <c r="J5578" s="6">
        <v>0</v>
      </c>
      <c r="K5578" s="6">
        <v>0</v>
      </c>
      <c r="L5578" s="6">
        <v>0</v>
      </c>
      <c r="M5578" s="6">
        <v>0</v>
      </c>
      <c r="N5578" s="6">
        <v>0</v>
      </c>
      <c r="O5578" s="6">
        <v>0</v>
      </c>
      <c r="P5578" s="6">
        <v>0</v>
      </c>
      <c r="Q5578">
        <v>1</v>
      </c>
      <c r="R5578">
        <f t="shared" si="435"/>
        <v>0</v>
      </c>
      <c r="S5578">
        <f t="shared" si="436"/>
        <v>1</v>
      </c>
      <c r="T5578">
        <f t="shared" si="437"/>
        <v>0</v>
      </c>
      <c r="U5578">
        <f t="shared" si="438"/>
        <v>0</v>
      </c>
      <c r="V5578">
        <f t="shared" si="439"/>
        <v>0</v>
      </c>
    </row>
    <row r="5579" spans="1:22" x14ac:dyDescent="0.25">
      <c r="A5579">
        <v>5576</v>
      </c>
      <c r="B5579" t="s">
        <v>38</v>
      </c>
      <c r="C5579" t="s">
        <v>1573</v>
      </c>
      <c r="D5579" s="4">
        <v>45902</v>
      </c>
      <c r="E5579" t="s">
        <v>1641</v>
      </c>
      <c r="F5579" t="s">
        <v>75</v>
      </c>
      <c r="I5579" s="6">
        <v>1</v>
      </c>
      <c r="J5579" s="6">
        <v>0</v>
      </c>
      <c r="K5579" s="6">
        <v>1</v>
      </c>
      <c r="L5579" s="6">
        <v>0</v>
      </c>
      <c r="M5579" s="6">
        <v>0</v>
      </c>
      <c r="N5579" s="6">
        <v>0</v>
      </c>
      <c r="O5579" s="6">
        <v>0</v>
      </c>
      <c r="P5579" s="6">
        <v>0</v>
      </c>
      <c r="Q5579">
        <v>1</v>
      </c>
      <c r="R5579">
        <f t="shared" si="435"/>
        <v>0</v>
      </c>
      <c r="S5579">
        <f t="shared" si="436"/>
        <v>1</v>
      </c>
      <c r="T5579">
        <f t="shared" si="437"/>
        <v>2</v>
      </c>
      <c r="U5579">
        <f t="shared" si="438"/>
        <v>1</v>
      </c>
      <c r="V5579">
        <f t="shared" si="439"/>
        <v>0</v>
      </c>
    </row>
    <row r="5580" spans="1:22" x14ac:dyDescent="0.25">
      <c r="A5580">
        <v>5577</v>
      </c>
      <c r="B5580" t="s">
        <v>38</v>
      </c>
      <c r="C5580" t="s">
        <v>1573</v>
      </c>
      <c r="D5580" s="4">
        <v>45903</v>
      </c>
      <c r="E5580" t="s">
        <v>1642</v>
      </c>
      <c r="F5580" t="s">
        <v>75</v>
      </c>
      <c r="I5580" s="6">
        <v>1</v>
      </c>
      <c r="J5580" s="6">
        <v>0</v>
      </c>
      <c r="K5580" s="6">
        <v>1</v>
      </c>
      <c r="L5580" s="6">
        <v>0</v>
      </c>
      <c r="M5580" s="6">
        <v>0</v>
      </c>
      <c r="N5580" s="6">
        <v>0</v>
      </c>
      <c r="O5580" s="6">
        <v>0</v>
      </c>
      <c r="P5580" s="6">
        <v>0</v>
      </c>
      <c r="Q5580">
        <v>1</v>
      </c>
      <c r="R5580">
        <f t="shared" si="435"/>
        <v>0</v>
      </c>
      <c r="S5580">
        <f t="shared" si="436"/>
        <v>1</v>
      </c>
      <c r="T5580">
        <f t="shared" si="437"/>
        <v>2</v>
      </c>
      <c r="U5580">
        <f t="shared" si="438"/>
        <v>1</v>
      </c>
      <c r="V5580">
        <f t="shared" si="439"/>
        <v>0</v>
      </c>
    </row>
    <row r="5581" spans="1:22" x14ac:dyDescent="0.25">
      <c r="A5581">
        <v>5578</v>
      </c>
      <c r="B5581" t="s">
        <v>38</v>
      </c>
      <c r="C5581" t="s">
        <v>1573</v>
      </c>
      <c r="D5581" s="4">
        <v>45904</v>
      </c>
      <c r="E5581" t="s">
        <v>1643</v>
      </c>
      <c r="F5581" t="s">
        <v>75</v>
      </c>
      <c r="I5581" s="6">
        <v>0</v>
      </c>
      <c r="J5581" s="6">
        <v>0</v>
      </c>
      <c r="K5581" s="6">
        <v>0</v>
      </c>
      <c r="L5581" s="6">
        <v>0</v>
      </c>
      <c r="M5581" s="6">
        <v>0</v>
      </c>
      <c r="N5581" s="6">
        <v>0</v>
      </c>
      <c r="O5581" s="6">
        <v>0</v>
      </c>
      <c r="P5581" s="6">
        <v>0</v>
      </c>
      <c r="Q5581">
        <v>1</v>
      </c>
      <c r="R5581">
        <f t="shared" si="435"/>
        <v>0</v>
      </c>
      <c r="S5581">
        <f t="shared" si="436"/>
        <v>1</v>
      </c>
      <c r="T5581">
        <f t="shared" si="437"/>
        <v>0</v>
      </c>
      <c r="U5581">
        <f t="shared" si="438"/>
        <v>0</v>
      </c>
      <c r="V5581">
        <f t="shared" si="439"/>
        <v>0</v>
      </c>
    </row>
    <row r="5582" spans="1:22" x14ac:dyDescent="0.25">
      <c r="A5582">
        <v>5579</v>
      </c>
      <c r="B5582" t="s">
        <v>38</v>
      </c>
      <c r="C5582" t="s">
        <v>1573</v>
      </c>
      <c r="D5582" s="4">
        <v>45905</v>
      </c>
      <c r="E5582" t="s">
        <v>1644</v>
      </c>
      <c r="F5582" t="s">
        <v>75</v>
      </c>
      <c r="I5582" s="6">
        <v>0</v>
      </c>
      <c r="J5582" s="6">
        <v>0</v>
      </c>
      <c r="K5582" s="6">
        <v>0</v>
      </c>
      <c r="L5582" s="6">
        <v>0</v>
      </c>
      <c r="M5582" s="6">
        <v>0</v>
      </c>
      <c r="N5582" s="6">
        <v>0</v>
      </c>
      <c r="O5582" s="6">
        <v>0</v>
      </c>
      <c r="P5582" s="6">
        <v>0</v>
      </c>
      <c r="Q5582">
        <v>1</v>
      </c>
      <c r="R5582">
        <f t="shared" si="435"/>
        <v>0</v>
      </c>
      <c r="S5582">
        <f t="shared" si="436"/>
        <v>1</v>
      </c>
      <c r="T5582">
        <f t="shared" si="437"/>
        <v>0</v>
      </c>
      <c r="U5582">
        <f t="shared" si="438"/>
        <v>0</v>
      </c>
      <c r="V5582">
        <f t="shared" si="439"/>
        <v>0</v>
      </c>
    </row>
    <row r="5583" spans="1:22" x14ac:dyDescent="0.25">
      <c r="A5583">
        <v>5580</v>
      </c>
      <c r="B5583" t="s">
        <v>38</v>
      </c>
      <c r="C5583" t="s">
        <v>1573</v>
      </c>
      <c r="D5583" s="4">
        <v>45905</v>
      </c>
      <c r="E5583" t="s">
        <v>1645</v>
      </c>
      <c r="F5583" t="s">
        <v>75</v>
      </c>
      <c r="I5583" s="6">
        <v>0</v>
      </c>
      <c r="J5583" s="6">
        <v>0</v>
      </c>
      <c r="K5583" s="6">
        <v>0</v>
      </c>
      <c r="L5583" s="6">
        <v>0</v>
      </c>
      <c r="M5583" s="6">
        <v>0</v>
      </c>
      <c r="N5583" s="6">
        <v>0</v>
      </c>
      <c r="O5583" s="6">
        <v>0</v>
      </c>
      <c r="P5583" s="6">
        <v>0</v>
      </c>
      <c r="Q5583">
        <v>1</v>
      </c>
      <c r="R5583">
        <f t="shared" si="435"/>
        <v>0</v>
      </c>
      <c r="S5583">
        <f t="shared" si="436"/>
        <v>1</v>
      </c>
      <c r="T5583">
        <f t="shared" si="437"/>
        <v>0</v>
      </c>
      <c r="U5583">
        <f t="shared" si="438"/>
        <v>0</v>
      </c>
      <c r="V5583">
        <f t="shared" si="439"/>
        <v>0</v>
      </c>
    </row>
    <row r="5584" spans="1:22" x14ac:dyDescent="0.25">
      <c r="A5584">
        <v>5581</v>
      </c>
      <c r="B5584" t="s">
        <v>38</v>
      </c>
      <c r="C5584" t="s">
        <v>1573</v>
      </c>
      <c r="D5584" s="4">
        <v>45905</v>
      </c>
      <c r="E5584" t="s">
        <v>1646</v>
      </c>
      <c r="F5584" t="s">
        <v>75</v>
      </c>
      <c r="I5584" s="6">
        <v>0</v>
      </c>
      <c r="J5584" s="6">
        <v>0</v>
      </c>
      <c r="K5584" s="6">
        <v>0</v>
      </c>
      <c r="L5584" s="6">
        <v>0</v>
      </c>
      <c r="M5584" s="6">
        <v>0</v>
      </c>
      <c r="N5584" s="6">
        <v>0</v>
      </c>
      <c r="O5584" s="6">
        <v>0</v>
      </c>
      <c r="P5584" s="6">
        <v>0</v>
      </c>
      <c r="Q5584">
        <v>1</v>
      </c>
      <c r="R5584">
        <f t="shared" si="435"/>
        <v>0</v>
      </c>
      <c r="S5584">
        <f t="shared" si="436"/>
        <v>1</v>
      </c>
      <c r="T5584">
        <f t="shared" si="437"/>
        <v>0</v>
      </c>
      <c r="U5584">
        <f t="shared" si="438"/>
        <v>0</v>
      </c>
      <c r="V5584">
        <f t="shared" si="439"/>
        <v>0</v>
      </c>
    </row>
    <row r="5585" spans="1:22" x14ac:dyDescent="0.25">
      <c r="A5585">
        <v>5582</v>
      </c>
      <c r="B5585" t="s">
        <v>38</v>
      </c>
      <c r="C5585" t="s">
        <v>1573</v>
      </c>
      <c r="D5585" s="4">
        <v>45906</v>
      </c>
      <c r="E5585" t="s">
        <v>1647</v>
      </c>
      <c r="F5585" t="s">
        <v>75</v>
      </c>
      <c r="I5585" s="6">
        <v>1</v>
      </c>
      <c r="J5585" s="6">
        <v>0</v>
      </c>
      <c r="K5585" s="6">
        <v>0</v>
      </c>
      <c r="L5585" s="6">
        <v>1</v>
      </c>
      <c r="M5585" s="6">
        <v>0</v>
      </c>
      <c r="N5585" s="6">
        <v>0</v>
      </c>
      <c r="O5585" s="6">
        <v>0</v>
      </c>
      <c r="P5585" s="6">
        <v>0</v>
      </c>
      <c r="Q5585">
        <v>1</v>
      </c>
      <c r="R5585">
        <f t="shared" si="435"/>
        <v>0</v>
      </c>
      <c r="S5585">
        <f t="shared" si="436"/>
        <v>1</v>
      </c>
      <c r="T5585">
        <f t="shared" si="437"/>
        <v>2</v>
      </c>
      <c r="U5585">
        <f t="shared" si="438"/>
        <v>1</v>
      </c>
      <c r="V5585">
        <f t="shared" si="439"/>
        <v>0</v>
      </c>
    </row>
    <row r="5586" spans="1:22" x14ac:dyDescent="0.25">
      <c r="A5586">
        <v>5583</v>
      </c>
      <c r="B5586" t="s">
        <v>38</v>
      </c>
      <c r="C5586" t="s">
        <v>1573</v>
      </c>
      <c r="D5586" s="4">
        <v>45906</v>
      </c>
      <c r="E5586" t="s">
        <v>1648</v>
      </c>
      <c r="F5586" t="s">
        <v>413</v>
      </c>
      <c r="G5586">
        <v>271</v>
      </c>
      <c r="I5586" s="6">
        <v>0</v>
      </c>
      <c r="J5586" s="6">
        <v>0</v>
      </c>
      <c r="K5586" s="6">
        <v>0</v>
      </c>
      <c r="L5586" s="6">
        <v>0</v>
      </c>
      <c r="M5586" s="6">
        <v>0</v>
      </c>
      <c r="N5586" s="6">
        <v>0</v>
      </c>
      <c r="O5586" s="6">
        <v>0</v>
      </c>
      <c r="P5586" s="6">
        <v>0</v>
      </c>
      <c r="Q5586">
        <v>1</v>
      </c>
      <c r="R5586">
        <f t="shared" si="435"/>
        <v>1</v>
      </c>
      <c r="S5586">
        <f t="shared" si="436"/>
        <v>0</v>
      </c>
      <c r="T5586">
        <f t="shared" si="437"/>
        <v>0</v>
      </c>
      <c r="U5586">
        <f t="shared" si="438"/>
        <v>0</v>
      </c>
      <c r="V5586">
        <f t="shared" si="439"/>
        <v>1</v>
      </c>
    </row>
    <row r="5587" spans="1:22" x14ac:dyDescent="0.25">
      <c r="A5587">
        <v>5584</v>
      </c>
      <c r="B5587" t="s">
        <v>38</v>
      </c>
      <c r="C5587" t="s">
        <v>1573</v>
      </c>
      <c r="D5587" s="4">
        <v>45907</v>
      </c>
      <c r="E5587" t="s">
        <v>1649</v>
      </c>
      <c r="F5587" t="s">
        <v>75</v>
      </c>
      <c r="I5587" s="6">
        <v>0</v>
      </c>
      <c r="J5587" s="6">
        <v>0</v>
      </c>
      <c r="K5587" s="6">
        <v>0</v>
      </c>
      <c r="L5587" s="6">
        <v>0</v>
      </c>
      <c r="M5587" s="6">
        <v>0</v>
      </c>
      <c r="N5587" s="6">
        <v>0</v>
      </c>
      <c r="O5587" s="6">
        <v>0</v>
      </c>
      <c r="P5587" s="6">
        <v>0</v>
      </c>
      <c r="Q5587">
        <v>1</v>
      </c>
      <c r="R5587">
        <f t="shared" si="435"/>
        <v>0</v>
      </c>
      <c r="S5587">
        <f t="shared" si="436"/>
        <v>1</v>
      </c>
      <c r="T5587">
        <f t="shared" si="437"/>
        <v>0</v>
      </c>
      <c r="U5587">
        <f t="shared" si="438"/>
        <v>0</v>
      </c>
      <c r="V5587">
        <f t="shared" si="439"/>
        <v>0</v>
      </c>
    </row>
    <row r="5588" spans="1:22" x14ac:dyDescent="0.25">
      <c r="A5588">
        <v>5585</v>
      </c>
      <c r="B5588" t="s">
        <v>38</v>
      </c>
      <c r="C5588" t="s">
        <v>1573</v>
      </c>
      <c r="D5588" s="4">
        <v>45907</v>
      </c>
      <c r="E5588" t="s">
        <v>1650</v>
      </c>
      <c r="F5588" t="s">
        <v>75</v>
      </c>
      <c r="I5588" s="6">
        <v>0</v>
      </c>
      <c r="J5588" s="6">
        <v>0</v>
      </c>
      <c r="K5588" s="6">
        <v>0</v>
      </c>
      <c r="L5588" s="6">
        <v>0</v>
      </c>
      <c r="M5588" s="6">
        <v>0</v>
      </c>
      <c r="N5588" s="6">
        <v>0</v>
      </c>
      <c r="O5588" s="6">
        <v>0</v>
      </c>
      <c r="P5588" s="6">
        <v>0</v>
      </c>
      <c r="Q5588">
        <v>1</v>
      </c>
      <c r="R5588">
        <f t="shared" si="435"/>
        <v>0</v>
      </c>
      <c r="S5588">
        <f t="shared" si="436"/>
        <v>1</v>
      </c>
      <c r="T5588">
        <f t="shared" si="437"/>
        <v>0</v>
      </c>
      <c r="U5588">
        <f t="shared" si="438"/>
        <v>0</v>
      </c>
      <c r="V5588">
        <f t="shared" si="439"/>
        <v>0</v>
      </c>
    </row>
    <row r="5589" spans="1:22" x14ac:dyDescent="0.25">
      <c r="A5589">
        <v>5586</v>
      </c>
      <c r="B5589" t="s">
        <v>38</v>
      </c>
      <c r="C5589" t="s">
        <v>1573</v>
      </c>
      <c r="D5589" s="4">
        <v>45909</v>
      </c>
      <c r="E5589" t="s">
        <v>1651</v>
      </c>
      <c r="F5589" t="s">
        <v>75</v>
      </c>
      <c r="I5589" s="6">
        <v>0</v>
      </c>
      <c r="J5589" s="6">
        <v>0</v>
      </c>
      <c r="K5589" s="6">
        <v>0</v>
      </c>
      <c r="L5589" s="6">
        <v>1</v>
      </c>
      <c r="M5589" s="6">
        <v>0</v>
      </c>
      <c r="N5589" s="6">
        <v>0</v>
      </c>
      <c r="O5589" s="6">
        <v>0</v>
      </c>
      <c r="P5589" s="6">
        <v>0</v>
      </c>
      <c r="Q5589">
        <v>1</v>
      </c>
      <c r="R5589">
        <f t="shared" si="435"/>
        <v>0</v>
      </c>
      <c r="S5589">
        <f t="shared" si="436"/>
        <v>1</v>
      </c>
      <c r="T5589">
        <f t="shared" si="437"/>
        <v>1</v>
      </c>
      <c r="U5589">
        <f t="shared" si="438"/>
        <v>1</v>
      </c>
      <c r="V5589">
        <f t="shared" si="439"/>
        <v>0</v>
      </c>
    </row>
    <row r="5590" spans="1:22" x14ac:dyDescent="0.25">
      <c r="A5590">
        <v>5587</v>
      </c>
      <c r="B5590" t="s">
        <v>38</v>
      </c>
      <c r="C5590" t="s">
        <v>1573</v>
      </c>
      <c r="D5590" s="4">
        <v>45910</v>
      </c>
      <c r="E5590" t="s">
        <v>1652</v>
      </c>
      <c r="F5590" t="s">
        <v>75</v>
      </c>
      <c r="I5590" s="6">
        <v>0</v>
      </c>
      <c r="J5590" s="6">
        <v>0</v>
      </c>
      <c r="K5590" s="6">
        <v>0</v>
      </c>
      <c r="L5590" s="6">
        <v>0</v>
      </c>
      <c r="M5590" s="6">
        <v>0</v>
      </c>
      <c r="N5590" s="6">
        <v>0</v>
      </c>
      <c r="O5590" s="6">
        <v>0</v>
      </c>
      <c r="P5590" s="6">
        <v>0</v>
      </c>
      <c r="Q5590">
        <v>1</v>
      </c>
      <c r="R5590">
        <f t="shared" si="435"/>
        <v>0</v>
      </c>
      <c r="S5590">
        <f t="shared" si="436"/>
        <v>1</v>
      </c>
      <c r="T5590">
        <f t="shared" si="437"/>
        <v>0</v>
      </c>
      <c r="U5590">
        <f t="shared" si="438"/>
        <v>0</v>
      </c>
      <c r="V5590">
        <f t="shared" si="439"/>
        <v>0</v>
      </c>
    </row>
    <row r="5591" spans="1:22" x14ac:dyDescent="0.25">
      <c r="A5591">
        <v>5588</v>
      </c>
      <c r="B5591" t="s">
        <v>38</v>
      </c>
      <c r="C5591" t="s">
        <v>1573</v>
      </c>
      <c r="D5591" s="4">
        <v>45910</v>
      </c>
      <c r="E5591" t="s">
        <v>2072</v>
      </c>
      <c r="F5591" t="s">
        <v>75</v>
      </c>
      <c r="I5591" s="6">
        <v>0</v>
      </c>
      <c r="J5591" s="6">
        <v>0</v>
      </c>
      <c r="K5591" s="6">
        <v>0</v>
      </c>
      <c r="L5591" s="6">
        <v>0</v>
      </c>
      <c r="M5591" s="6">
        <v>0</v>
      </c>
      <c r="N5591" s="6">
        <v>0</v>
      </c>
      <c r="O5591" s="6">
        <v>0</v>
      </c>
      <c r="P5591" s="6">
        <v>0</v>
      </c>
      <c r="Q5591">
        <v>1</v>
      </c>
      <c r="R5591">
        <f t="shared" si="435"/>
        <v>0</v>
      </c>
      <c r="S5591">
        <f t="shared" si="436"/>
        <v>1</v>
      </c>
      <c r="T5591">
        <f t="shared" si="437"/>
        <v>0</v>
      </c>
      <c r="U5591">
        <f t="shared" si="438"/>
        <v>0</v>
      </c>
      <c r="V5591">
        <f t="shared" si="439"/>
        <v>0</v>
      </c>
    </row>
    <row r="5592" spans="1:22" x14ac:dyDescent="0.25">
      <c r="A5592">
        <v>5589</v>
      </c>
      <c r="B5592" t="s">
        <v>38</v>
      </c>
      <c r="C5592" t="s">
        <v>1573</v>
      </c>
      <c r="D5592" s="4">
        <v>45911</v>
      </c>
      <c r="E5592" t="s">
        <v>1653</v>
      </c>
      <c r="F5592" t="s">
        <v>75</v>
      </c>
      <c r="I5592" s="6">
        <v>0</v>
      </c>
      <c r="J5592" s="6">
        <v>0</v>
      </c>
      <c r="K5592" s="6">
        <v>0</v>
      </c>
      <c r="L5592" s="6">
        <v>0</v>
      </c>
      <c r="M5592" s="6">
        <v>0</v>
      </c>
      <c r="N5592" s="6">
        <v>0</v>
      </c>
      <c r="O5592" s="6">
        <v>0</v>
      </c>
      <c r="P5592" s="6">
        <v>1</v>
      </c>
      <c r="Q5592">
        <v>1</v>
      </c>
      <c r="R5592">
        <f t="shared" si="435"/>
        <v>0</v>
      </c>
      <c r="S5592">
        <f t="shared" si="436"/>
        <v>1</v>
      </c>
      <c r="T5592">
        <f t="shared" si="437"/>
        <v>1</v>
      </c>
      <c r="U5592">
        <f t="shared" si="438"/>
        <v>1</v>
      </c>
      <c r="V5592">
        <f t="shared" si="439"/>
        <v>0</v>
      </c>
    </row>
    <row r="5593" spans="1:22" x14ac:dyDescent="0.25">
      <c r="A5593">
        <v>5590</v>
      </c>
      <c r="B5593" t="s">
        <v>38</v>
      </c>
      <c r="C5593" t="s">
        <v>1573</v>
      </c>
      <c r="D5593" s="4">
        <v>45912</v>
      </c>
      <c r="E5593" t="s">
        <v>2071</v>
      </c>
      <c r="F5593" t="s">
        <v>75</v>
      </c>
      <c r="I5593" s="6">
        <v>0</v>
      </c>
      <c r="J5593" s="6">
        <v>0</v>
      </c>
      <c r="K5593" s="6">
        <v>1</v>
      </c>
      <c r="L5593" s="6">
        <v>0</v>
      </c>
      <c r="M5593" s="6">
        <v>0</v>
      </c>
      <c r="N5593" s="6">
        <v>0</v>
      </c>
      <c r="O5593" s="6">
        <v>0</v>
      </c>
      <c r="P5593" s="6">
        <v>0</v>
      </c>
      <c r="Q5593">
        <v>1</v>
      </c>
      <c r="R5593">
        <f t="shared" si="435"/>
        <v>0</v>
      </c>
      <c r="S5593">
        <f t="shared" si="436"/>
        <v>1</v>
      </c>
      <c r="T5593">
        <f t="shared" si="437"/>
        <v>1</v>
      </c>
      <c r="U5593">
        <f t="shared" si="438"/>
        <v>1</v>
      </c>
      <c r="V5593">
        <f t="shared" si="439"/>
        <v>0</v>
      </c>
    </row>
    <row r="5594" spans="1:22" x14ac:dyDescent="0.25">
      <c r="A5594">
        <v>5591</v>
      </c>
      <c r="B5594" t="s">
        <v>38</v>
      </c>
      <c r="C5594" t="s">
        <v>1573</v>
      </c>
      <c r="D5594" s="4">
        <v>45913</v>
      </c>
      <c r="E5594" t="s">
        <v>2070</v>
      </c>
      <c r="F5594" t="s">
        <v>75</v>
      </c>
      <c r="I5594" s="6">
        <v>0</v>
      </c>
      <c r="J5594" s="6">
        <v>0</v>
      </c>
      <c r="K5594" s="6">
        <v>0</v>
      </c>
      <c r="L5594" s="6">
        <v>1</v>
      </c>
      <c r="M5594" s="6">
        <v>0</v>
      </c>
      <c r="N5594" s="6">
        <v>0</v>
      </c>
      <c r="O5594" s="6">
        <v>0</v>
      </c>
      <c r="P5594" s="6">
        <v>0</v>
      </c>
      <c r="Q5594">
        <v>1</v>
      </c>
      <c r="R5594">
        <f t="shared" si="435"/>
        <v>0</v>
      </c>
      <c r="S5594">
        <f t="shared" si="436"/>
        <v>1</v>
      </c>
      <c r="T5594">
        <f t="shared" si="437"/>
        <v>1</v>
      </c>
      <c r="U5594">
        <f t="shared" si="438"/>
        <v>1</v>
      </c>
      <c r="V5594">
        <f t="shared" si="439"/>
        <v>0</v>
      </c>
    </row>
    <row r="5595" spans="1:22" x14ac:dyDescent="0.25">
      <c r="A5595">
        <v>5592</v>
      </c>
      <c r="B5595" t="s">
        <v>38</v>
      </c>
      <c r="C5595" t="s">
        <v>1573</v>
      </c>
      <c r="D5595" s="4">
        <v>45916</v>
      </c>
      <c r="E5595" t="s">
        <v>1654</v>
      </c>
      <c r="F5595" t="s">
        <v>75</v>
      </c>
      <c r="I5595" s="6">
        <v>1</v>
      </c>
      <c r="J5595" s="6">
        <v>0</v>
      </c>
      <c r="K5595" s="6">
        <v>1</v>
      </c>
      <c r="L5595" s="6">
        <v>0</v>
      </c>
      <c r="M5595" s="6">
        <v>0</v>
      </c>
      <c r="N5595" s="6">
        <v>0</v>
      </c>
      <c r="O5595" s="6">
        <v>0</v>
      </c>
      <c r="P5595" s="6">
        <v>0</v>
      </c>
      <c r="Q5595">
        <v>1</v>
      </c>
      <c r="R5595">
        <f t="shared" si="435"/>
        <v>0</v>
      </c>
      <c r="S5595">
        <f t="shared" si="436"/>
        <v>1</v>
      </c>
      <c r="T5595">
        <f t="shared" si="437"/>
        <v>2</v>
      </c>
      <c r="U5595">
        <f t="shared" si="438"/>
        <v>1</v>
      </c>
      <c r="V5595">
        <f t="shared" si="439"/>
        <v>0</v>
      </c>
    </row>
    <row r="5596" spans="1:22" x14ac:dyDescent="0.25">
      <c r="A5596">
        <v>5593</v>
      </c>
      <c r="B5596" t="s">
        <v>38</v>
      </c>
      <c r="C5596" t="s">
        <v>1573</v>
      </c>
      <c r="D5596" s="4">
        <v>45916</v>
      </c>
      <c r="E5596" t="s">
        <v>2069</v>
      </c>
      <c r="F5596" t="s">
        <v>75</v>
      </c>
      <c r="I5596" s="6">
        <v>0</v>
      </c>
      <c r="J5596" s="6">
        <v>0</v>
      </c>
      <c r="K5596" s="6">
        <v>0</v>
      </c>
      <c r="L5596" s="6">
        <v>0</v>
      </c>
      <c r="M5596" s="6">
        <v>0</v>
      </c>
      <c r="N5596" s="6">
        <v>0</v>
      </c>
      <c r="O5596" s="6">
        <v>0</v>
      </c>
      <c r="P5596" s="6">
        <v>0</v>
      </c>
      <c r="Q5596">
        <v>1</v>
      </c>
      <c r="R5596">
        <f t="shared" si="435"/>
        <v>0</v>
      </c>
      <c r="S5596">
        <f t="shared" si="436"/>
        <v>1</v>
      </c>
      <c r="T5596">
        <f t="shared" si="437"/>
        <v>0</v>
      </c>
      <c r="U5596">
        <f t="shared" si="438"/>
        <v>0</v>
      </c>
      <c r="V5596">
        <f t="shared" si="439"/>
        <v>0</v>
      </c>
    </row>
    <row r="5597" spans="1:22" x14ac:dyDescent="0.25">
      <c r="A5597">
        <v>5594</v>
      </c>
      <c r="B5597" t="s">
        <v>38</v>
      </c>
      <c r="C5597" t="s">
        <v>1573</v>
      </c>
      <c r="D5597" s="4">
        <v>45916</v>
      </c>
      <c r="E5597" t="s">
        <v>1655</v>
      </c>
      <c r="F5597" t="s">
        <v>75</v>
      </c>
      <c r="I5597" s="6">
        <v>1</v>
      </c>
      <c r="J5597" s="6">
        <v>0</v>
      </c>
      <c r="K5597" s="6">
        <v>1</v>
      </c>
      <c r="L5597" s="6">
        <v>0</v>
      </c>
      <c r="M5597" s="6">
        <v>0</v>
      </c>
      <c r="N5597" s="6">
        <v>0</v>
      </c>
      <c r="O5597" s="6">
        <v>0</v>
      </c>
      <c r="P5597" s="6">
        <v>0</v>
      </c>
      <c r="Q5597">
        <v>1</v>
      </c>
      <c r="R5597">
        <f t="shared" si="435"/>
        <v>0</v>
      </c>
      <c r="S5597">
        <f t="shared" si="436"/>
        <v>1</v>
      </c>
      <c r="T5597">
        <f t="shared" si="437"/>
        <v>2</v>
      </c>
      <c r="U5597">
        <f t="shared" si="438"/>
        <v>1</v>
      </c>
      <c r="V5597">
        <f t="shared" si="439"/>
        <v>0</v>
      </c>
    </row>
    <row r="5598" spans="1:22" x14ac:dyDescent="0.25">
      <c r="A5598">
        <v>5595</v>
      </c>
      <c r="B5598" t="s">
        <v>38</v>
      </c>
      <c r="C5598" t="s">
        <v>1573</v>
      </c>
      <c r="D5598" s="4">
        <v>45918</v>
      </c>
      <c r="E5598" t="s">
        <v>2068</v>
      </c>
      <c r="F5598" t="s">
        <v>75</v>
      </c>
      <c r="I5598" s="6">
        <v>1</v>
      </c>
      <c r="J5598" s="6">
        <v>0</v>
      </c>
      <c r="K5598" s="6">
        <v>1</v>
      </c>
      <c r="L5598" s="6">
        <v>0</v>
      </c>
      <c r="M5598" s="6">
        <v>0</v>
      </c>
      <c r="N5598" s="6">
        <v>0</v>
      </c>
      <c r="O5598" s="6">
        <v>0</v>
      </c>
      <c r="P5598" s="6">
        <v>0</v>
      </c>
      <c r="Q5598">
        <v>1</v>
      </c>
      <c r="R5598">
        <f t="shared" si="435"/>
        <v>0</v>
      </c>
      <c r="S5598">
        <f t="shared" si="436"/>
        <v>1</v>
      </c>
      <c r="T5598">
        <f t="shared" si="437"/>
        <v>2</v>
      </c>
      <c r="U5598">
        <f t="shared" si="438"/>
        <v>1</v>
      </c>
      <c r="V5598">
        <f t="shared" si="439"/>
        <v>0</v>
      </c>
    </row>
    <row r="5599" spans="1:22" x14ac:dyDescent="0.25">
      <c r="A5599">
        <v>5596</v>
      </c>
      <c r="B5599" t="s">
        <v>38</v>
      </c>
      <c r="C5599" t="s">
        <v>1573</v>
      </c>
      <c r="D5599" s="4">
        <v>45918</v>
      </c>
      <c r="E5599" t="s">
        <v>1656</v>
      </c>
      <c r="F5599" t="s">
        <v>75</v>
      </c>
      <c r="I5599" s="6">
        <v>1</v>
      </c>
      <c r="J5599" s="6">
        <v>0</v>
      </c>
      <c r="K5599" s="6">
        <v>1</v>
      </c>
      <c r="L5599" s="6">
        <v>0</v>
      </c>
      <c r="M5599" s="6">
        <v>0</v>
      </c>
      <c r="N5599" s="6">
        <v>0</v>
      </c>
      <c r="O5599" s="6">
        <v>0</v>
      </c>
      <c r="P5599" s="6">
        <v>0</v>
      </c>
      <c r="Q5599">
        <v>1</v>
      </c>
      <c r="R5599">
        <f t="shared" si="435"/>
        <v>0</v>
      </c>
      <c r="S5599">
        <f t="shared" si="436"/>
        <v>1</v>
      </c>
      <c r="T5599">
        <f t="shared" si="437"/>
        <v>2</v>
      </c>
      <c r="U5599">
        <f t="shared" si="438"/>
        <v>1</v>
      </c>
      <c r="V5599">
        <f t="shared" si="439"/>
        <v>0</v>
      </c>
    </row>
    <row r="5600" spans="1:22" x14ac:dyDescent="0.25">
      <c r="A5600">
        <v>5597</v>
      </c>
      <c r="B5600" t="s">
        <v>38</v>
      </c>
      <c r="C5600" t="s">
        <v>1573</v>
      </c>
      <c r="D5600" s="4">
        <v>45918</v>
      </c>
      <c r="E5600" t="s">
        <v>1657</v>
      </c>
      <c r="F5600" t="s">
        <v>75</v>
      </c>
      <c r="I5600" s="6">
        <v>1</v>
      </c>
      <c r="J5600" s="6">
        <v>1</v>
      </c>
      <c r="K5600" s="6">
        <v>1</v>
      </c>
      <c r="L5600" s="6">
        <v>1</v>
      </c>
      <c r="M5600" s="6">
        <v>0</v>
      </c>
      <c r="N5600" s="6">
        <v>0</v>
      </c>
      <c r="O5600" s="6">
        <v>0</v>
      </c>
      <c r="P5600" s="6">
        <v>0</v>
      </c>
      <c r="Q5600">
        <v>1</v>
      </c>
      <c r="R5600">
        <f t="shared" si="435"/>
        <v>0</v>
      </c>
      <c r="S5600">
        <f t="shared" si="436"/>
        <v>1</v>
      </c>
      <c r="T5600">
        <f t="shared" si="437"/>
        <v>4</v>
      </c>
      <c r="U5600">
        <f t="shared" si="438"/>
        <v>1</v>
      </c>
      <c r="V5600">
        <f t="shared" si="439"/>
        <v>0</v>
      </c>
    </row>
    <row r="5601" spans="1:22" x14ac:dyDescent="0.25">
      <c r="A5601">
        <v>5598</v>
      </c>
      <c r="B5601" t="s">
        <v>38</v>
      </c>
      <c r="C5601" t="s">
        <v>1573</v>
      </c>
      <c r="D5601" s="4">
        <v>45918</v>
      </c>
      <c r="E5601" t="s">
        <v>1658</v>
      </c>
      <c r="F5601" t="s">
        <v>75</v>
      </c>
      <c r="I5601" s="6">
        <v>1</v>
      </c>
      <c r="J5601" s="6">
        <v>1</v>
      </c>
      <c r="K5601" s="6">
        <v>0</v>
      </c>
      <c r="L5601" s="6">
        <v>0</v>
      </c>
      <c r="M5601" s="6">
        <v>0</v>
      </c>
      <c r="N5601" s="6">
        <v>0</v>
      </c>
      <c r="O5601" s="6">
        <v>0</v>
      </c>
      <c r="P5601" s="6">
        <v>0</v>
      </c>
      <c r="Q5601">
        <v>1</v>
      </c>
      <c r="R5601">
        <f t="shared" si="435"/>
        <v>0</v>
      </c>
      <c r="S5601">
        <f t="shared" si="436"/>
        <v>1</v>
      </c>
      <c r="T5601">
        <f t="shared" si="437"/>
        <v>2</v>
      </c>
      <c r="U5601">
        <f t="shared" si="438"/>
        <v>1</v>
      </c>
      <c r="V5601">
        <f t="shared" si="439"/>
        <v>0</v>
      </c>
    </row>
    <row r="5602" spans="1:22" x14ac:dyDescent="0.25">
      <c r="A5602">
        <v>5599</v>
      </c>
      <c r="B5602" t="s">
        <v>38</v>
      </c>
      <c r="C5602" t="s">
        <v>1573</v>
      </c>
      <c r="D5602" s="4">
        <v>45918</v>
      </c>
      <c r="E5602" t="s">
        <v>1659</v>
      </c>
      <c r="F5602" t="s">
        <v>75</v>
      </c>
      <c r="I5602" s="6">
        <v>0</v>
      </c>
      <c r="J5602" s="6">
        <v>0</v>
      </c>
      <c r="K5602" s="6">
        <v>0</v>
      </c>
      <c r="L5602" s="6">
        <v>0</v>
      </c>
      <c r="M5602" s="6">
        <v>0</v>
      </c>
      <c r="N5602" s="6">
        <v>0</v>
      </c>
      <c r="O5602" s="6">
        <v>0</v>
      </c>
      <c r="P5602" s="6">
        <v>0</v>
      </c>
      <c r="Q5602">
        <v>1</v>
      </c>
      <c r="R5602">
        <f t="shared" si="435"/>
        <v>0</v>
      </c>
      <c r="S5602">
        <f t="shared" si="436"/>
        <v>1</v>
      </c>
      <c r="T5602">
        <f t="shared" si="437"/>
        <v>0</v>
      </c>
      <c r="U5602">
        <f t="shared" si="438"/>
        <v>0</v>
      </c>
      <c r="V5602">
        <f t="shared" si="439"/>
        <v>0</v>
      </c>
    </row>
    <row r="5603" spans="1:22" x14ac:dyDescent="0.25">
      <c r="A5603">
        <v>5600</v>
      </c>
      <c r="B5603" t="s">
        <v>38</v>
      </c>
      <c r="C5603" t="s">
        <v>1573</v>
      </c>
      <c r="D5603" s="4">
        <v>45918</v>
      </c>
      <c r="E5603" t="s">
        <v>1660</v>
      </c>
      <c r="F5603" t="s">
        <v>75</v>
      </c>
      <c r="I5603" s="6">
        <v>0</v>
      </c>
      <c r="J5603" s="6">
        <v>0</v>
      </c>
      <c r="K5603" s="6">
        <v>0</v>
      </c>
      <c r="L5603" s="6">
        <v>0</v>
      </c>
      <c r="M5603" s="6">
        <v>0</v>
      </c>
      <c r="N5603" s="6">
        <v>0</v>
      </c>
      <c r="O5603" s="6">
        <v>0</v>
      </c>
      <c r="P5603" s="6">
        <v>0</v>
      </c>
      <c r="Q5603">
        <v>1</v>
      </c>
      <c r="R5603">
        <f t="shared" si="435"/>
        <v>0</v>
      </c>
      <c r="S5603">
        <f t="shared" si="436"/>
        <v>1</v>
      </c>
      <c r="T5603">
        <f t="shared" si="437"/>
        <v>0</v>
      </c>
      <c r="U5603">
        <f t="shared" si="438"/>
        <v>0</v>
      </c>
      <c r="V5603">
        <f t="shared" si="439"/>
        <v>0</v>
      </c>
    </row>
    <row r="5604" spans="1:22" x14ac:dyDescent="0.25">
      <c r="A5604">
        <v>5601</v>
      </c>
      <c r="B5604" t="s">
        <v>38</v>
      </c>
      <c r="C5604" t="s">
        <v>1573</v>
      </c>
      <c r="D5604" s="4">
        <v>45918</v>
      </c>
      <c r="E5604" t="s">
        <v>1661</v>
      </c>
      <c r="F5604" t="s">
        <v>75</v>
      </c>
      <c r="I5604" s="6">
        <v>1</v>
      </c>
      <c r="J5604" s="6">
        <v>0</v>
      </c>
      <c r="K5604" s="6">
        <v>1</v>
      </c>
      <c r="L5604" s="6">
        <v>1</v>
      </c>
      <c r="M5604" s="6">
        <v>0</v>
      </c>
      <c r="N5604" s="6">
        <v>0</v>
      </c>
      <c r="O5604" s="6">
        <v>0</v>
      </c>
      <c r="P5604" s="6">
        <v>0</v>
      </c>
      <c r="Q5604">
        <v>1</v>
      </c>
      <c r="R5604">
        <f t="shared" si="435"/>
        <v>0</v>
      </c>
      <c r="S5604">
        <f t="shared" si="436"/>
        <v>1</v>
      </c>
      <c r="T5604">
        <f t="shared" si="437"/>
        <v>3</v>
      </c>
      <c r="U5604">
        <f t="shared" si="438"/>
        <v>1</v>
      </c>
      <c r="V5604">
        <f t="shared" si="439"/>
        <v>0</v>
      </c>
    </row>
    <row r="5605" spans="1:22" x14ac:dyDescent="0.25">
      <c r="A5605">
        <v>5602</v>
      </c>
      <c r="B5605" t="s">
        <v>38</v>
      </c>
      <c r="C5605" t="s">
        <v>1573</v>
      </c>
      <c r="D5605" s="4">
        <v>45918</v>
      </c>
      <c r="E5605" t="s">
        <v>1662</v>
      </c>
      <c r="F5605" t="s">
        <v>75</v>
      </c>
      <c r="I5605" s="6">
        <v>0</v>
      </c>
      <c r="J5605" s="6">
        <v>0</v>
      </c>
      <c r="K5605" s="6">
        <v>0</v>
      </c>
      <c r="L5605" s="6">
        <v>0</v>
      </c>
      <c r="M5605" s="6">
        <v>1</v>
      </c>
      <c r="N5605" s="6">
        <v>0</v>
      </c>
      <c r="O5605" s="6">
        <v>0</v>
      </c>
      <c r="P5605" s="6">
        <v>0</v>
      </c>
      <c r="Q5605">
        <v>1</v>
      </c>
      <c r="R5605">
        <f t="shared" si="435"/>
        <v>0</v>
      </c>
      <c r="S5605">
        <f t="shared" si="436"/>
        <v>1</v>
      </c>
      <c r="T5605">
        <f t="shared" si="437"/>
        <v>1</v>
      </c>
      <c r="U5605">
        <f t="shared" si="438"/>
        <v>1</v>
      </c>
      <c r="V5605">
        <f t="shared" si="439"/>
        <v>0</v>
      </c>
    </row>
    <row r="5606" spans="1:22" x14ac:dyDescent="0.25">
      <c r="A5606">
        <v>5603</v>
      </c>
      <c r="B5606" t="s">
        <v>38</v>
      </c>
      <c r="C5606" t="s">
        <v>1573</v>
      </c>
      <c r="D5606" s="4">
        <v>45918</v>
      </c>
      <c r="E5606" t="s">
        <v>2067</v>
      </c>
      <c r="F5606" t="s">
        <v>75</v>
      </c>
      <c r="I5606" s="6">
        <v>1</v>
      </c>
      <c r="J5606" s="6">
        <v>0</v>
      </c>
      <c r="K5606" s="6">
        <v>0</v>
      </c>
      <c r="L5606" s="6">
        <v>0</v>
      </c>
      <c r="M5606" s="6">
        <v>0</v>
      </c>
      <c r="N5606" s="6">
        <v>0</v>
      </c>
      <c r="O5606" s="6">
        <v>0</v>
      </c>
      <c r="P5606" s="6">
        <v>0</v>
      </c>
      <c r="Q5606">
        <v>1</v>
      </c>
      <c r="R5606">
        <f t="shared" si="435"/>
        <v>0</v>
      </c>
      <c r="S5606">
        <f t="shared" si="436"/>
        <v>1</v>
      </c>
      <c r="T5606">
        <f t="shared" si="437"/>
        <v>1</v>
      </c>
      <c r="U5606">
        <f t="shared" si="438"/>
        <v>1</v>
      </c>
      <c r="V5606">
        <f t="shared" si="439"/>
        <v>0</v>
      </c>
    </row>
    <row r="5607" spans="1:22" x14ac:dyDescent="0.25">
      <c r="A5607">
        <v>5604</v>
      </c>
      <c r="B5607" t="s">
        <v>38</v>
      </c>
      <c r="C5607" t="s">
        <v>1573</v>
      </c>
      <c r="D5607" s="4">
        <v>45918</v>
      </c>
      <c r="E5607" t="s">
        <v>1663</v>
      </c>
      <c r="F5607" t="s">
        <v>75</v>
      </c>
      <c r="I5607" s="6">
        <v>1</v>
      </c>
      <c r="J5607" s="6">
        <v>0</v>
      </c>
      <c r="K5607" s="6">
        <v>0</v>
      </c>
      <c r="L5607" s="6">
        <v>0</v>
      </c>
      <c r="M5607" s="6">
        <v>0</v>
      </c>
      <c r="N5607" s="6">
        <v>0</v>
      </c>
      <c r="O5607" s="6">
        <v>0</v>
      </c>
      <c r="P5607" s="6">
        <v>0</v>
      </c>
      <c r="Q5607">
        <v>1</v>
      </c>
      <c r="R5607">
        <f t="shared" si="435"/>
        <v>0</v>
      </c>
      <c r="S5607">
        <f t="shared" si="436"/>
        <v>1</v>
      </c>
      <c r="T5607">
        <f t="shared" si="437"/>
        <v>1</v>
      </c>
      <c r="U5607">
        <f t="shared" si="438"/>
        <v>1</v>
      </c>
      <c r="V5607">
        <f t="shared" si="439"/>
        <v>0</v>
      </c>
    </row>
    <row r="5608" spans="1:22" x14ac:dyDescent="0.25">
      <c r="A5608">
        <v>5605</v>
      </c>
      <c r="B5608" t="s">
        <v>38</v>
      </c>
      <c r="C5608" t="s">
        <v>1573</v>
      </c>
      <c r="D5608" s="4">
        <v>45919</v>
      </c>
      <c r="E5608" t="s">
        <v>1664</v>
      </c>
      <c r="F5608" t="s">
        <v>75</v>
      </c>
      <c r="I5608" s="6">
        <v>1</v>
      </c>
      <c r="J5608" s="6">
        <v>0</v>
      </c>
      <c r="K5608" s="6">
        <v>1</v>
      </c>
      <c r="L5608" s="6">
        <v>1</v>
      </c>
      <c r="M5608" s="6">
        <v>0</v>
      </c>
      <c r="N5608" s="6">
        <v>0</v>
      </c>
      <c r="O5608" s="6">
        <v>0</v>
      </c>
      <c r="P5608" s="6">
        <v>0</v>
      </c>
      <c r="Q5608">
        <v>1</v>
      </c>
      <c r="R5608">
        <f t="shared" si="435"/>
        <v>0</v>
      </c>
      <c r="S5608">
        <f t="shared" si="436"/>
        <v>1</v>
      </c>
      <c r="T5608">
        <f t="shared" si="437"/>
        <v>3</v>
      </c>
      <c r="U5608">
        <f t="shared" si="438"/>
        <v>1</v>
      </c>
      <c r="V5608">
        <f t="shared" si="439"/>
        <v>0</v>
      </c>
    </row>
    <row r="5609" spans="1:22" x14ac:dyDescent="0.25">
      <c r="A5609">
        <v>5606</v>
      </c>
      <c r="B5609" t="s">
        <v>38</v>
      </c>
      <c r="C5609" t="s">
        <v>1573</v>
      </c>
      <c r="D5609" s="4">
        <v>45919</v>
      </c>
      <c r="E5609" t="s">
        <v>1665</v>
      </c>
      <c r="F5609" t="s">
        <v>75</v>
      </c>
      <c r="I5609" s="6">
        <v>0</v>
      </c>
      <c r="J5609" s="6">
        <v>0</v>
      </c>
      <c r="K5609" s="6">
        <v>0</v>
      </c>
      <c r="L5609" s="6">
        <v>0</v>
      </c>
      <c r="M5609" s="6">
        <v>1</v>
      </c>
      <c r="N5609" s="6">
        <v>0</v>
      </c>
      <c r="O5609" s="6">
        <v>0</v>
      </c>
      <c r="P5609" s="6">
        <v>0</v>
      </c>
      <c r="Q5609">
        <v>1</v>
      </c>
      <c r="R5609">
        <f t="shared" si="435"/>
        <v>0</v>
      </c>
      <c r="S5609">
        <f t="shared" si="436"/>
        <v>1</v>
      </c>
      <c r="T5609">
        <f t="shared" si="437"/>
        <v>1</v>
      </c>
      <c r="U5609">
        <f t="shared" si="438"/>
        <v>1</v>
      </c>
      <c r="V5609">
        <f t="shared" si="439"/>
        <v>0</v>
      </c>
    </row>
    <row r="5610" spans="1:22" x14ac:dyDescent="0.25">
      <c r="A5610">
        <v>5607</v>
      </c>
      <c r="B5610" t="s">
        <v>38</v>
      </c>
      <c r="C5610" t="s">
        <v>1573</v>
      </c>
      <c r="D5610" s="4">
        <v>45919</v>
      </c>
      <c r="E5610" t="s">
        <v>1666</v>
      </c>
      <c r="F5610" t="s">
        <v>75</v>
      </c>
      <c r="I5610" s="6">
        <v>1</v>
      </c>
      <c r="J5610" s="6">
        <v>0</v>
      </c>
      <c r="K5610" s="6">
        <v>0</v>
      </c>
      <c r="L5610" s="6">
        <v>0</v>
      </c>
      <c r="M5610" s="6">
        <v>0</v>
      </c>
      <c r="N5610" s="6">
        <v>0</v>
      </c>
      <c r="O5610" s="6">
        <v>0</v>
      </c>
      <c r="P5610" s="6">
        <v>0</v>
      </c>
      <c r="Q5610">
        <v>1</v>
      </c>
      <c r="R5610">
        <f t="shared" si="435"/>
        <v>0</v>
      </c>
      <c r="S5610">
        <f t="shared" si="436"/>
        <v>1</v>
      </c>
      <c r="T5610">
        <f t="shared" si="437"/>
        <v>1</v>
      </c>
      <c r="U5610">
        <f t="shared" si="438"/>
        <v>1</v>
      </c>
      <c r="V5610">
        <f t="shared" si="439"/>
        <v>0</v>
      </c>
    </row>
    <row r="5611" spans="1:22" x14ac:dyDescent="0.25">
      <c r="A5611">
        <v>5608</v>
      </c>
      <c r="B5611" t="s">
        <v>38</v>
      </c>
      <c r="C5611" t="s">
        <v>1573</v>
      </c>
      <c r="D5611" s="4">
        <v>45919</v>
      </c>
      <c r="E5611" t="s">
        <v>1667</v>
      </c>
      <c r="F5611" t="s">
        <v>75</v>
      </c>
      <c r="I5611" s="6">
        <v>1</v>
      </c>
      <c r="J5611" s="6">
        <v>0</v>
      </c>
      <c r="K5611" s="6">
        <v>0</v>
      </c>
      <c r="L5611" s="6">
        <v>0</v>
      </c>
      <c r="M5611" s="6">
        <v>0</v>
      </c>
      <c r="N5611" s="6">
        <v>0</v>
      </c>
      <c r="O5611" s="6">
        <v>0</v>
      </c>
      <c r="P5611" s="6">
        <v>0</v>
      </c>
      <c r="Q5611">
        <v>1</v>
      </c>
      <c r="R5611">
        <f t="shared" si="435"/>
        <v>0</v>
      </c>
      <c r="S5611">
        <f t="shared" si="436"/>
        <v>1</v>
      </c>
      <c r="T5611">
        <f t="shared" si="437"/>
        <v>1</v>
      </c>
      <c r="U5611">
        <f t="shared" si="438"/>
        <v>1</v>
      </c>
      <c r="V5611">
        <f t="shared" si="439"/>
        <v>0</v>
      </c>
    </row>
    <row r="5612" spans="1:22" x14ac:dyDescent="0.25">
      <c r="A5612">
        <v>5609</v>
      </c>
      <c r="B5612" t="s">
        <v>38</v>
      </c>
      <c r="C5612" t="s">
        <v>1573</v>
      </c>
      <c r="D5612" s="4">
        <v>45919</v>
      </c>
      <c r="E5612" t="s">
        <v>2066</v>
      </c>
      <c r="F5612" t="s">
        <v>75</v>
      </c>
      <c r="I5612" s="6">
        <v>1</v>
      </c>
      <c r="J5612" s="6">
        <v>0</v>
      </c>
      <c r="K5612" s="6">
        <v>1</v>
      </c>
      <c r="L5612" s="6">
        <v>0</v>
      </c>
      <c r="M5612" s="6">
        <v>0</v>
      </c>
      <c r="N5612" s="6">
        <v>0</v>
      </c>
      <c r="O5612" s="6">
        <v>0</v>
      </c>
      <c r="P5612" s="6">
        <v>0</v>
      </c>
      <c r="Q5612">
        <v>1</v>
      </c>
      <c r="R5612">
        <f t="shared" si="435"/>
        <v>0</v>
      </c>
      <c r="S5612">
        <f t="shared" si="436"/>
        <v>1</v>
      </c>
      <c r="T5612">
        <f t="shared" si="437"/>
        <v>2</v>
      </c>
      <c r="U5612">
        <f t="shared" si="438"/>
        <v>1</v>
      </c>
      <c r="V5612">
        <f t="shared" si="439"/>
        <v>0</v>
      </c>
    </row>
    <row r="5613" spans="1:22" x14ac:dyDescent="0.25">
      <c r="A5613">
        <v>5610</v>
      </c>
      <c r="B5613" t="s">
        <v>38</v>
      </c>
      <c r="C5613" t="s">
        <v>1573</v>
      </c>
      <c r="D5613" s="4">
        <v>45920</v>
      </c>
      <c r="E5613" t="s">
        <v>1668</v>
      </c>
      <c r="F5613" t="s">
        <v>75</v>
      </c>
      <c r="I5613" s="6">
        <v>0</v>
      </c>
      <c r="J5613" s="6">
        <v>0</v>
      </c>
      <c r="K5613" s="6">
        <v>0</v>
      </c>
      <c r="L5613" s="6">
        <v>0</v>
      </c>
      <c r="M5613" s="6">
        <v>0</v>
      </c>
      <c r="N5613" s="6">
        <v>0</v>
      </c>
      <c r="O5613" s="6">
        <v>0</v>
      </c>
      <c r="P5613" s="6">
        <v>0</v>
      </c>
      <c r="Q5613">
        <v>1</v>
      </c>
      <c r="R5613">
        <f t="shared" si="435"/>
        <v>0</v>
      </c>
      <c r="S5613">
        <f t="shared" si="436"/>
        <v>1</v>
      </c>
      <c r="T5613">
        <f t="shared" si="437"/>
        <v>0</v>
      </c>
      <c r="U5613">
        <f t="shared" si="438"/>
        <v>0</v>
      </c>
      <c r="V5613">
        <f t="shared" si="439"/>
        <v>0</v>
      </c>
    </row>
    <row r="5614" spans="1:22" x14ac:dyDescent="0.25">
      <c r="A5614">
        <v>5611</v>
      </c>
      <c r="B5614" t="s">
        <v>38</v>
      </c>
      <c r="C5614" t="s">
        <v>1573</v>
      </c>
      <c r="D5614" s="4">
        <v>45920</v>
      </c>
      <c r="E5614" t="s">
        <v>1669</v>
      </c>
      <c r="F5614" t="s">
        <v>75</v>
      </c>
      <c r="I5614" s="6">
        <v>0</v>
      </c>
      <c r="J5614" s="6">
        <v>0</v>
      </c>
      <c r="K5614" s="6">
        <v>1</v>
      </c>
      <c r="L5614" s="6">
        <v>0</v>
      </c>
      <c r="M5614" s="6">
        <v>0</v>
      </c>
      <c r="N5614" s="6">
        <v>0</v>
      </c>
      <c r="O5614" s="6">
        <v>0</v>
      </c>
      <c r="P5614" s="6">
        <v>0</v>
      </c>
      <c r="Q5614">
        <v>1</v>
      </c>
      <c r="R5614">
        <f t="shared" si="435"/>
        <v>0</v>
      </c>
      <c r="S5614">
        <f t="shared" si="436"/>
        <v>1</v>
      </c>
      <c r="T5614">
        <f t="shared" si="437"/>
        <v>1</v>
      </c>
      <c r="U5614">
        <f t="shared" si="438"/>
        <v>1</v>
      </c>
      <c r="V5614">
        <f t="shared" si="439"/>
        <v>0</v>
      </c>
    </row>
    <row r="5615" spans="1:22" x14ac:dyDescent="0.25">
      <c r="A5615">
        <v>5612</v>
      </c>
      <c r="B5615" t="s">
        <v>38</v>
      </c>
      <c r="C5615" t="s">
        <v>1573</v>
      </c>
      <c r="D5615" s="4">
        <v>45921</v>
      </c>
      <c r="E5615" t="s">
        <v>1670</v>
      </c>
      <c r="F5615" t="s">
        <v>75</v>
      </c>
      <c r="I5615" s="6">
        <v>0</v>
      </c>
      <c r="J5615" s="6">
        <v>0</v>
      </c>
      <c r="K5615" s="6">
        <v>0</v>
      </c>
      <c r="L5615" s="6">
        <v>0</v>
      </c>
      <c r="M5615" s="6">
        <v>0</v>
      </c>
      <c r="N5615" s="6">
        <v>0</v>
      </c>
      <c r="O5615" s="6">
        <v>0</v>
      </c>
      <c r="P5615" s="6">
        <v>0</v>
      </c>
      <c r="Q5615">
        <v>1</v>
      </c>
      <c r="R5615">
        <f t="shared" si="435"/>
        <v>0</v>
      </c>
      <c r="S5615">
        <f t="shared" si="436"/>
        <v>1</v>
      </c>
      <c r="T5615">
        <f t="shared" si="437"/>
        <v>0</v>
      </c>
      <c r="U5615">
        <f t="shared" si="438"/>
        <v>0</v>
      </c>
      <c r="V5615">
        <f t="shared" si="439"/>
        <v>0</v>
      </c>
    </row>
    <row r="5616" spans="1:22" x14ac:dyDescent="0.25">
      <c r="A5616">
        <v>5613</v>
      </c>
      <c r="B5616" t="s">
        <v>38</v>
      </c>
      <c r="C5616" t="s">
        <v>1573</v>
      </c>
      <c r="D5616" s="4">
        <v>45922</v>
      </c>
      <c r="E5616" t="s">
        <v>1671</v>
      </c>
      <c r="F5616" t="s">
        <v>75</v>
      </c>
      <c r="I5616" s="6">
        <v>1</v>
      </c>
      <c r="J5616" s="6">
        <v>0</v>
      </c>
      <c r="K5616" s="6">
        <v>1</v>
      </c>
      <c r="L5616" s="6">
        <v>1</v>
      </c>
      <c r="M5616" s="6">
        <v>0</v>
      </c>
      <c r="N5616" s="6">
        <v>0</v>
      </c>
      <c r="O5616" s="6">
        <v>0</v>
      </c>
      <c r="P5616" s="6">
        <v>0</v>
      </c>
      <c r="Q5616">
        <v>1</v>
      </c>
      <c r="R5616">
        <f t="shared" si="435"/>
        <v>0</v>
      </c>
      <c r="S5616">
        <f t="shared" si="436"/>
        <v>1</v>
      </c>
      <c r="T5616">
        <f t="shared" si="437"/>
        <v>3</v>
      </c>
      <c r="U5616">
        <f t="shared" si="438"/>
        <v>1</v>
      </c>
      <c r="V5616">
        <f t="shared" si="439"/>
        <v>0</v>
      </c>
    </row>
    <row r="5617" spans="1:22" x14ac:dyDescent="0.25">
      <c r="A5617">
        <v>5614</v>
      </c>
      <c r="B5617" t="s">
        <v>38</v>
      </c>
      <c r="C5617" t="s">
        <v>1573</v>
      </c>
      <c r="D5617" s="4">
        <v>45922</v>
      </c>
      <c r="E5617" t="s">
        <v>1672</v>
      </c>
      <c r="F5617" t="s">
        <v>75</v>
      </c>
      <c r="I5617" s="6">
        <v>1</v>
      </c>
      <c r="J5617" s="6">
        <v>0</v>
      </c>
      <c r="K5617" s="6">
        <v>0</v>
      </c>
      <c r="L5617" s="6">
        <v>0</v>
      </c>
      <c r="M5617" s="6">
        <v>1</v>
      </c>
      <c r="N5617" s="6">
        <v>0</v>
      </c>
      <c r="O5617" s="6">
        <v>0</v>
      </c>
      <c r="P5617" s="6">
        <v>0</v>
      </c>
      <c r="Q5617">
        <v>1</v>
      </c>
      <c r="R5617">
        <f t="shared" si="435"/>
        <v>0</v>
      </c>
      <c r="S5617">
        <f t="shared" si="436"/>
        <v>1</v>
      </c>
      <c r="T5617">
        <f t="shared" si="437"/>
        <v>2</v>
      </c>
      <c r="U5617">
        <f t="shared" si="438"/>
        <v>1</v>
      </c>
      <c r="V5617">
        <f t="shared" si="439"/>
        <v>0</v>
      </c>
    </row>
    <row r="5618" spans="1:22" x14ac:dyDescent="0.25">
      <c r="A5618">
        <v>5615</v>
      </c>
      <c r="B5618" t="s">
        <v>38</v>
      </c>
      <c r="C5618" t="s">
        <v>1573</v>
      </c>
      <c r="D5618" s="4">
        <v>45922</v>
      </c>
      <c r="E5618" t="s">
        <v>2065</v>
      </c>
      <c r="F5618" t="s">
        <v>75</v>
      </c>
      <c r="I5618" s="6">
        <v>0</v>
      </c>
      <c r="J5618" s="6">
        <v>0</v>
      </c>
      <c r="K5618" s="6">
        <v>0</v>
      </c>
      <c r="L5618" s="6">
        <v>0</v>
      </c>
      <c r="M5618" s="6">
        <v>0</v>
      </c>
      <c r="N5618" s="6">
        <v>0</v>
      </c>
      <c r="O5618" s="6">
        <v>0</v>
      </c>
      <c r="P5618" s="6">
        <v>0</v>
      </c>
      <c r="Q5618">
        <v>1</v>
      </c>
      <c r="R5618">
        <f t="shared" si="435"/>
        <v>0</v>
      </c>
      <c r="S5618">
        <f t="shared" si="436"/>
        <v>1</v>
      </c>
      <c r="T5618">
        <f t="shared" si="437"/>
        <v>0</v>
      </c>
      <c r="U5618">
        <f t="shared" si="438"/>
        <v>0</v>
      </c>
      <c r="V5618">
        <f t="shared" si="439"/>
        <v>0</v>
      </c>
    </row>
    <row r="5619" spans="1:22" x14ac:dyDescent="0.25">
      <c r="A5619">
        <v>5616</v>
      </c>
      <c r="B5619" t="s">
        <v>38</v>
      </c>
      <c r="C5619" t="s">
        <v>1573</v>
      </c>
      <c r="D5619" s="4">
        <v>45923</v>
      </c>
      <c r="E5619" t="s">
        <v>1673</v>
      </c>
      <c r="F5619" t="s">
        <v>75</v>
      </c>
      <c r="I5619" s="6">
        <v>1</v>
      </c>
      <c r="J5619" s="6">
        <v>0</v>
      </c>
      <c r="K5619" s="6">
        <v>0</v>
      </c>
      <c r="L5619" s="6">
        <v>0</v>
      </c>
      <c r="M5619" s="6">
        <v>0</v>
      </c>
      <c r="N5619" s="6">
        <v>0</v>
      </c>
      <c r="O5619" s="6">
        <v>0</v>
      </c>
      <c r="P5619" s="6">
        <v>0</v>
      </c>
      <c r="Q5619">
        <v>1</v>
      </c>
      <c r="R5619">
        <f t="shared" si="435"/>
        <v>0</v>
      </c>
      <c r="S5619">
        <f t="shared" si="436"/>
        <v>1</v>
      </c>
      <c r="T5619">
        <f t="shared" si="437"/>
        <v>1</v>
      </c>
      <c r="U5619">
        <f t="shared" si="438"/>
        <v>1</v>
      </c>
      <c r="V5619">
        <f t="shared" si="439"/>
        <v>0</v>
      </c>
    </row>
    <row r="5620" spans="1:22" x14ac:dyDescent="0.25">
      <c r="A5620">
        <v>5617</v>
      </c>
      <c r="B5620" t="s">
        <v>38</v>
      </c>
      <c r="C5620" t="s">
        <v>1573</v>
      </c>
      <c r="D5620" s="4">
        <v>45923</v>
      </c>
      <c r="E5620" t="s">
        <v>1674</v>
      </c>
      <c r="F5620" t="s">
        <v>75</v>
      </c>
      <c r="I5620" s="6">
        <v>1</v>
      </c>
      <c r="J5620" s="6">
        <v>0</v>
      </c>
      <c r="K5620" s="6">
        <v>0</v>
      </c>
      <c r="L5620" s="6">
        <v>0</v>
      </c>
      <c r="M5620" s="6">
        <v>0</v>
      </c>
      <c r="N5620" s="6">
        <v>0</v>
      </c>
      <c r="O5620" s="6">
        <v>0</v>
      </c>
      <c r="P5620" s="6">
        <v>0</v>
      </c>
      <c r="Q5620">
        <v>1</v>
      </c>
      <c r="R5620">
        <f t="shared" si="435"/>
        <v>0</v>
      </c>
      <c r="S5620">
        <f t="shared" si="436"/>
        <v>1</v>
      </c>
      <c r="T5620">
        <f t="shared" si="437"/>
        <v>1</v>
      </c>
      <c r="U5620">
        <f t="shared" si="438"/>
        <v>1</v>
      </c>
      <c r="V5620">
        <f t="shared" si="439"/>
        <v>0</v>
      </c>
    </row>
    <row r="5621" spans="1:22" x14ac:dyDescent="0.25">
      <c r="A5621">
        <v>5618</v>
      </c>
      <c r="B5621" t="s">
        <v>38</v>
      </c>
      <c r="C5621" t="s">
        <v>1573</v>
      </c>
      <c r="D5621" s="4">
        <v>45923</v>
      </c>
      <c r="E5621" t="s">
        <v>1675</v>
      </c>
      <c r="F5621" t="s">
        <v>75</v>
      </c>
      <c r="I5621" s="6">
        <v>1</v>
      </c>
      <c r="J5621" s="6">
        <v>0</v>
      </c>
      <c r="K5621" s="6">
        <v>1</v>
      </c>
      <c r="L5621" s="6">
        <v>0</v>
      </c>
      <c r="M5621" s="6">
        <v>0</v>
      </c>
      <c r="N5621" s="6">
        <v>0</v>
      </c>
      <c r="O5621" s="6">
        <v>0</v>
      </c>
      <c r="P5621" s="6">
        <v>0</v>
      </c>
      <c r="Q5621">
        <v>1</v>
      </c>
      <c r="R5621">
        <f t="shared" si="435"/>
        <v>0</v>
      </c>
      <c r="S5621">
        <f t="shared" si="436"/>
        <v>1</v>
      </c>
      <c r="T5621">
        <f t="shared" si="437"/>
        <v>2</v>
      </c>
      <c r="U5621">
        <f t="shared" si="438"/>
        <v>1</v>
      </c>
      <c r="V5621">
        <f t="shared" si="439"/>
        <v>0</v>
      </c>
    </row>
    <row r="5622" spans="1:22" x14ac:dyDescent="0.25">
      <c r="A5622">
        <v>5619</v>
      </c>
      <c r="B5622" t="s">
        <v>38</v>
      </c>
      <c r="C5622" t="s">
        <v>1573</v>
      </c>
      <c r="D5622" s="4">
        <v>45924</v>
      </c>
      <c r="E5622" t="s">
        <v>1676</v>
      </c>
      <c r="F5622" t="s">
        <v>75</v>
      </c>
      <c r="I5622" s="6">
        <v>1</v>
      </c>
      <c r="J5622" s="6">
        <v>0</v>
      </c>
      <c r="K5622" s="6">
        <v>0</v>
      </c>
      <c r="L5622" s="6">
        <v>0</v>
      </c>
      <c r="M5622" s="6">
        <v>0</v>
      </c>
      <c r="N5622" s="6">
        <v>0</v>
      </c>
      <c r="O5622" s="6">
        <v>0</v>
      </c>
      <c r="P5622" s="6">
        <v>0</v>
      </c>
      <c r="Q5622">
        <v>1</v>
      </c>
      <c r="R5622">
        <f t="shared" si="435"/>
        <v>0</v>
      </c>
      <c r="S5622">
        <f t="shared" si="436"/>
        <v>1</v>
      </c>
      <c r="T5622">
        <f t="shared" si="437"/>
        <v>1</v>
      </c>
      <c r="U5622">
        <f t="shared" si="438"/>
        <v>1</v>
      </c>
      <c r="V5622">
        <f t="shared" si="439"/>
        <v>0</v>
      </c>
    </row>
    <row r="5623" spans="1:22" x14ac:dyDescent="0.25">
      <c r="A5623">
        <v>5620</v>
      </c>
      <c r="B5623" t="s">
        <v>38</v>
      </c>
      <c r="C5623" t="s">
        <v>1573</v>
      </c>
      <c r="D5623" s="4">
        <v>45925</v>
      </c>
      <c r="E5623" t="s">
        <v>1677</v>
      </c>
      <c r="F5623" t="s">
        <v>75</v>
      </c>
      <c r="I5623" s="6">
        <v>0</v>
      </c>
      <c r="J5623" s="6">
        <v>0</v>
      </c>
      <c r="K5623" s="6">
        <v>1</v>
      </c>
      <c r="L5623" s="6">
        <v>0</v>
      </c>
      <c r="M5623" s="6">
        <v>0</v>
      </c>
      <c r="N5623" s="6">
        <v>0</v>
      </c>
      <c r="O5623" s="6">
        <v>0</v>
      </c>
      <c r="P5623" s="6">
        <v>0</v>
      </c>
      <c r="Q5623">
        <v>1</v>
      </c>
      <c r="R5623">
        <f t="shared" si="435"/>
        <v>0</v>
      </c>
      <c r="S5623">
        <f t="shared" si="436"/>
        <v>1</v>
      </c>
      <c r="T5623">
        <f t="shared" si="437"/>
        <v>1</v>
      </c>
      <c r="U5623">
        <f t="shared" si="438"/>
        <v>1</v>
      </c>
      <c r="V5623">
        <f t="shared" si="439"/>
        <v>0</v>
      </c>
    </row>
    <row r="5624" spans="1:22" x14ac:dyDescent="0.25">
      <c r="A5624">
        <v>5621</v>
      </c>
      <c r="B5624" t="s">
        <v>38</v>
      </c>
      <c r="C5624" t="s">
        <v>1573</v>
      </c>
      <c r="D5624" s="4">
        <v>45925</v>
      </c>
      <c r="E5624" t="s">
        <v>2064</v>
      </c>
      <c r="F5624" t="s">
        <v>75</v>
      </c>
      <c r="I5624" s="6">
        <v>0</v>
      </c>
      <c r="J5624" s="6">
        <v>0</v>
      </c>
      <c r="K5624" s="6">
        <v>0</v>
      </c>
      <c r="L5624" s="6">
        <v>0</v>
      </c>
      <c r="M5624" s="6">
        <v>0</v>
      </c>
      <c r="N5624" s="6">
        <v>0</v>
      </c>
      <c r="O5624" s="6">
        <v>0</v>
      </c>
      <c r="P5624" s="6">
        <v>0</v>
      </c>
      <c r="Q5624">
        <v>1</v>
      </c>
      <c r="R5624">
        <f t="shared" si="435"/>
        <v>0</v>
      </c>
      <c r="S5624">
        <f t="shared" si="436"/>
        <v>1</v>
      </c>
      <c r="T5624">
        <f t="shared" si="437"/>
        <v>0</v>
      </c>
      <c r="U5624">
        <f t="shared" si="438"/>
        <v>0</v>
      </c>
      <c r="V5624">
        <f t="shared" si="439"/>
        <v>0</v>
      </c>
    </row>
    <row r="5625" spans="1:22" x14ac:dyDescent="0.25">
      <c r="A5625">
        <v>5622</v>
      </c>
      <c r="B5625" t="s">
        <v>38</v>
      </c>
      <c r="C5625" t="s">
        <v>1573</v>
      </c>
      <c r="D5625" s="4">
        <v>45925</v>
      </c>
      <c r="E5625" t="s">
        <v>1678</v>
      </c>
      <c r="F5625" t="s">
        <v>75</v>
      </c>
      <c r="I5625" s="6">
        <v>0</v>
      </c>
      <c r="J5625" s="6">
        <v>0</v>
      </c>
      <c r="K5625" s="6">
        <v>0</v>
      </c>
      <c r="L5625" s="6">
        <v>0</v>
      </c>
      <c r="M5625" s="6">
        <v>0</v>
      </c>
      <c r="N5625" s="6">
        <v>0</v>
      </c>
      <c r="O5625" s="6">
        <v>0</v>
      </c>
      <c r="P5625" s="6">
        <v>0</v>
      </c>
      <c r="Q5625">
        <v>1</v>
      </c>
      <c r="R5625">
        <f t="shared" si="435"/>
        <v>0</v>
      </c>
      <c r="S5625">
        <f t="shared" si="436"/>
        <v>1</v>
      </c>
      <c r="T5625">
        <f t="shared" si="437"/>
        <v>0</v>
      </c>
      <c r="U5625">
        <f t="shared" si="438"/>
        <v>0</v>
      </c>
      <c r="V5625">
        <f t="shared" si="439"/>
        <v>0</v>
      </c>
    </row>
    <row r="5626" spans="1:22" x14ac:dyDescent="0.25">
      <c r="A5626">
        <v>5623</v>
      </c>
      <c r="B5626" t="s">
        <v>38</v>
      </c>
      <c r="C5626" t="s">
        <v>1573</v>
      </c>
      <c r="D5626" s="4">
        <v>45925</v>
      </c>
      <c r="E5626" t="s">
        <v>1679</v>
      </c>
      <c r="F5626" t="s">
        <v>75</v>
      </c>
      <c r="I5626" s="6">
        <v>1</v>
      </c>
      <c r="J5626" s="6">
        <v>0</v>
      </c>
      <c r="K5626" s="6">
        <v>1</v>
      </c>
      <c r="L5626" s="6">
        <v>1</v>
      </c>
      <c r="M5626" s="6">
        <v>1</v>
      </c>
      <c r="N5626" s="6">
        <v>0</v>
      </c>
      <c r="O5626" s="6">
        <v>0</v>
      </c>
      <c r="P5626" s="6">
        <v>0</v>
      </c>
      <c r="Q5626">
        <v>1</v>
      </c>
      <c r="R5626">
        <f t="shared" si="435"/>
        <v>0</v>
      </c>
      <c r="S5626">
        <f t="shared" si="436"/>
        <v>1</v>
      </c>
      <c r="T5626">
        <f t="shared" si="437"/>
        <v>4</v>
      </c>
      <c r="U5626">
        <f t="shared" si="438"/>
        <v>1</v>
      </c>
      <c r="V5626">
        <f t="shared" si="439"/>
        <v>0</v>
      </c>
    </row>
    <row r="5627" spans="1:22" x14ac:dyDescent="0.25">
      <c r="A5627">
        <v>5624</v>
      </c>
      <c r="B5627" t="s">
        <v>38</v>
      </c>
      <c r="C5627" t="s">
        <v>1573</v>
      </c>
      <c r="D5627" s="4">
        <v>45926</v>
      </c>
      <c r="E5627" t="s">
        <v>1680</v>
      </c>
      <c r="F5627" t="s">
        <v>75</v>
      </c>
      <c r="I5627" s="6">
        <v>0</v>
      </c>
      <c r="J5627" s="6">
        <v>0</v>
      </c>
      <c r="K5627" s="6">
        <v>1</v>
      </c>
      <c r="L5627" s="6">
        <v>0</v>
      </c>
      <c r="M5627" s="6">
        <v>0</v>
      </c>
      <c r="N5627" s="6">
        <v>0</v>
      </c>
      <c r="O5627" s="6">
        <v>0</v>
      </c>
      <c r="P5627" s="6">
        <v>0</v>
      </c>
      <c r="Q5627">
        <v>1</v>
      </c>
      <c r="R5627">
        <f t="shared" si="435"/>
        <v>0</v>
      </c>
      <c r="S5627">
        <f t="shared" si="436"/>
        <v>1</v>
      </c>
      <c r="T5627">
        <f t="shared" si="437"/>
        <v>1</v>
      </c>
      <c r="U5627">
        <f t="shared" si="438"/>
        <v>1</v>
      </c>
      <c r="V5627">
        <f t="shared" si="439"/>
        <v>0</v>
      </c>
    </row>
    <row r="5628" spans="1:22" x14ac:dyDescent="0.25">
      <c r="A5628">
        <v>5625</v>
      </c>
      <c r="B5628" t="s">
        <v>38</v>
      </c>
      <c r="C5628" t="s">
        <v>1573</v>
      </c>
      <c r="D5628" s="4">
        <v>45926</v>
      </c>
      <c r="E5628" t="s">
        <v>1681</v>
      </c>
      <c r="F5628" t="s">
        <v>75</v>
      </c>
      <c r="I5628" s="6">
        <v>1</v>
      </c>
      <c r="J5628" s="6">
        <v>0</v>
      </c>
      <c r="K5628" s="6">
        <v>0</v>
      </c>
      <c r="L5628" s="6">
        <v>0</v>
      </c>
      <c r="M5628" s="6">
        <v>0</v>
      </c>
      <c r="N5628" s="6">
        <v>0</v>
      </c>
      <c r="O5628" s="6">
        <v>0</v>
      </c>
      <c r="P5628" s="6">
        <v>0</v>
      </c>
      <c r="Q5628">
        <v>1</v>
      </c>
      <c r="R5628">
        <f t="shared" si="435"/>
        <v>0</v>
      </c>
      <c r="S5628">
        <f t="shared" si="436"/>
        <v>1</v>
      </c>
      <c r="T5628">
        <f t="shared" si="437"/>
        <v>1</v>
      </c>
      <c r="U5628">
        <f t="shared" si="438"/>
        <v>1</v>
      </c>
      <c r="V5628">
        <f t="shared" si="439"/>
        <v>0</v>
      </c>
    </row>
    <row r="5629" spans="1:22" x14ac:dyDescent="0.25">
      <c r="A5629">
        <v>5626</v>
      </c>
      <c r="B5629" t="s">
        <v>38</v>
      </c>
      <c r="C5629" t="s">
        <v>1573</v>
      </c>
      <c r="D5629" s="4">
        <v>45926</v>
      </c>
      <c r="E5629" t="s">
        <v>1682</v>
      </c>
      <c r="F5629" t="s">
        <v>75</v>
      </c>
      <c r="I5629" s="6">
        <v>1</v>
      </c>
      <c r="J5629" s="6">
        <v>0</v>
      </c>
      <c r="K5629" s="6">
        <v>0</v>
      </c>
      <c r="L5629" s="6">
        <v>0</v>
      </c>
      <c r="M5629" s="6">
        <v>1</v>
      </c>
      <c r="N5629" s="6">
        <v>0</v>
      </c>
      <c r="O5629" s="6">
        <v>0</v>
      </c>
      <c r="P5629" s="6">
        <v>0</v>
      </c>
      <c r="Q5629">
        <v>1</v>
      </c>
      <c r="R5629">
        <f t="shared" si="435"/>
        <v>0</v>
      </c>
      <c r="S5629">
        <f t="shared" si="436"/>
        <v>1</v>
      </c>
      <c r="T5629">
        <f t="shared" si="437"/>
        <v>2</v>
      </c>
      <c r="U5629">
        <f t="shared" si="438"/>
        <v>1</v>
      </c>
      <c r="V5629">
        <f t="shared" si="439"/>
        <v>0</v>
      </c>
    </row>
    <row r="5630" spans="1:22" x14ac:dyDescent="0.25">
      <c r="A5630">
        <v>5627</v>
      </c>
      <c r="B5630" t="s">
        <v>38</v>
      </c>
      <c r="C5630" t="s">
        <v>1573</v>
      </c>
      <c r="D5630" s="4">
        <v>45927</v>
      </c>
      <c r="E5630" t="s">
        <v>1683</v>
      </c>
      <c r="F5630" t="s">
        <v>75</v>
      </c>
      <c r="I5630" s="6">
        <v>0</v>
      </c>
      <c r="J5630" s="6">
        <v>0</v>
      </c>
      <c r="K5630" s="6">
        <v>0</v>
      </c>
      <c r="L5630" s="6">
        <v>0</v>
      </c>
      <c r="M5630" s="6">
        <v>0</v>
      </c>
      <c r="N5630" s="6">
        <v>0</v>
      </c>
      <c r="O5630" s="6">
        <v>0</v>
      </c>
      <c r="P5630" s="6">
        <v>0</v>
      </c>
      <c r="Q5630">
        <v>1</v>
      </c>
      <c r="R5630">
        <f t="shared" si="435"/>
        <v>0</v>
      </c>
      <c r="S5630">
        <f t="shared" si="436"/>
        <v>1</v>
      </c>
      <c r="T5630">
        <f t="shared" si="437"/>
        <v>0</v>
      </c>
      <c r="U5630">
        <f t="shared" si="438"/>
        <v>0</v>
      </c>
      <c r="V5630">
        <f t="shared" si="439"/>
        <v>0</v>
      </c>
    </row>
    <row r="5631" spans="1:22" x14ac:dyDescent="0.25">
      <c r="A5631">
        <v>5628</v>
      </c>
      <c r="B5631" t="s">
        <v>38</v>
      </c>
      <c r="C5631" t="s">
        <v>1573</v>
      </c>
      <c r="D5631" s="4">
        <v>45927</v>
      </c>
      <c r="E5631" t="s">
        <v>1684</v>
      </c>
      <c r="F5631" t="s">
        <v>75</v>
      </c>
      <c r="I5631" s="6">
        <v>1</v>
      </c>
      <c r="J5631" s="6">
        <v>0</v>
      </c>
      <c r="K5631" s="6">
        <v>0</v>
      </c>
      <c r="L5631" s="6">
        <v>0</v>
      </c>
      <c r="M5631" s="6">
        <v>0</v>
      </c>
      <c r="N5631" s="6">
        <v>0</v>
      </c>
      <c r="O5631" s="6">
        <v>0</v>
      </c>
      <c r="P5631" s="6">
        <v>0</v>
      </c>
      <c r="Q5631">
        <v>1</v>
      </c>
      <c r="R5631">
        <f t="shared" si="435"/>
        <v>0</v>
      </c>
      <c r="S5631">
        <f t="shared" si="436"/>
        <v>1</v>
      </c>
      <c r="T5631">
        <f t="shared" si="437"/>
        <v>1</v>
      </c>
      <c r="U5631">
        <f t="shared" si="438"/>
        <v>1</v>
      </c>
      <c r="V5631">
        <f t="shared" si="439"/>
        <v>0</v>
      </c>
    </row>
    <row r="5632" spans="1:22" x14ac:dyDescent="0.25">
      <c r="A5632">
        <v>5629</v>
      </c>
      <c r="B5632" t="s">
        <v>38</v>
      </c>
      <c r="C5632" t="s">
        <v>1573</v>
      </c>
      <c r="D5632" s="4">
        <v>45927</v>
      </c>
      <c r="E5632" t="s">
        <v>1685</v>
      </c>
      <c r="F5632" t="s">
        <v>75</v>
      </c>
      <c r="I5632" s="6">
        <v>0</v>
      </c>
      <c r="J5632" s="6">
        <v>0</v>
      </c>
      <c r="K5632" s="6">
        <v>0</v>
      </c>
      <c r="L5632" s="6">
        <v>0</v>
      </c>
      <c r="M5632" s="6">
        <v>0</v>
      </c>
      <c r="N5632" s="6">
        <v>0</v>
      </c>
      <c r="O5632" s="6">
        <v>0</v>
      </c>
      <c r="P5632" s="6">
        <v>0</v>
      </c>
      <c r="Q5632">
        <v>1</v>
      </c>
      <c r="R5632">
        <f t="shared" si="435"/>
        <v>0</v>
      </c>
      <c r="S5632">
        <f t="shared" si="436"/>
        <v>1</v>
      </c>
      <c r="T5632">
        <f t="shared" si="437"/>
        <v>0</v>
      </c>
      <c r="U5632">
        <f t="shared" si="438"/>
        <v>0</v>
      </c>
      <c r="V5632">
        <f t="shared" si="439"/>
        <v>0</v>
      </c>
    </row>
    <row r="5633" spans="1:22" x14ac:dyDescent="0.25">
      <c r="A5633">
        <v>5630</v>
      </c>
      <c r="B5633" t="s">
        <v>38</v>
      </c>
      <c r="C5633" t="s">
        <v>1573</v>
      </c>
      <c r="D5633" s="4">
        <v>45928</v>
      </c>
      <c r="E5633" t="s">
        <v>2063</v>
      </c>
      <c r="F5633" t="s">
        <v>75</v>
      </c>
      <c r="I5633" s="6">
        <v>0</v>
      </c>
      <c r="J5633" s="6">
        <v>0</v>
      </c>
      <c r="K5633" s="6">
        <v>0</v>
      </c>
      <c r="L5633" s="6">
        <v>0</v>
      </c>
      <c r="M5633" s="6">
        <v>0</v>
      </c>
      <c r="N5633" s="6">
        <v>0</v>
      </c>
      <c r="O5633" s="6">
        <v>0</v>
      </c>
      <c r="P5633" s="6">
        <v>1</v>
      </c>
      <c r="Q5633">
        <v>1</v>
      </c>
      <c r="R5633">
        <f t="shared" si="435"/>
        <v>0</v>
      </c>
      <c r="S5633">
        <f t="shared" si="436"/>
        <v>1</v>
      </c>
      <c r="T5633">
        <f t="shared" si="437"/>
        <v>1</v>
      </c>
      <c r="U5633">
        <f t="shared" si="438"/>
        <v>1</v>
      </c>
      <c r="V5633">
        <f t="shared" si="439"/>
        <v>0</v>
      </c>
    </row>
    <row r="5634" spans="1:22" x14ac:dyDescent="0.25">
      <c r="A5634">
        <v>5631</v>
      </c>
      <c r="B5634" t="s">
        <v>38</v>
      </c>
      <c r="C5634" t="s">
        <v>1573</v>
      </c>
      <c r="D5634" s="4">
        <v>45928</v>
      </c>
      <c r="E5634" t="s">
        <v>1686</v>
      </c>
      <c r="F5634" t="s">
        <v>75</v>
      </c>
      <c r="I5634" s="6">
        <v>0</v>
      </c>
      <c r="J5634" s="6">
        <v>0</v>
      </c>
      <c r="K5634" s="6">
        <v>0</v>
      </c>
      <c r="L5634" s="6">
        <v>0</v>
      </c>
      <c r="M5634" s="6">
        <v>0</v>
      </c>
      <c r="N5634" s="6">
        <v>0</v>
      </c>
      <c r="O5634" s="6">
        <v>0</v>
      </c>
      <c r="P5634" s="6">
        <v>0</v>
      </c>
      <c r="Q5634">
        <v>1</v>
      </c>
      <c r="R5634">
        <f t="shared" si="435"/>
        <v>0</v>
      </c>
      <c r="S5634">
        <f t="shared" si="436"/>
        <v>1</v>
      </c>
      <c r="T5634">
        <f t="shared" si="437"/>
        <v>0</v>
      </c>
      <c r="U5634">
        <f t="shared" si="438"/>
        <v>0</v>
      </c>
      <c r="V5634">
        <f t="shared" si="439"/>
        <v>0</v>
      </c>
    </row>
    <row r="5635" spans="1:22" x14ac:dyDescent="0.25">
      <c r="A5635">
        <v>5632</v>
      </c>
      <c r="B5635" t="s">
        <v>38</v>
      </c>
      <c r="C5635" t="s">
        <v>1573</v>
      </c>
      <c r="D5635" s="4">
        <v>45928</v>
      </c>
      <c r="E5635" t="s">
        <v>1687</v>
      </c>
      <c r="F5635" t="s">
        <v>75</v>
      </c>
      <c r="I5635" s="6">
        <v>0</v>
      </c>
      <c r="J5635" s="6">
        <v>0</v>
      </c>
      <c r="K5635" s="6">
        <v>0</v>
      </c>
      <c r="L5635" s="6">
        <v>1</v>
      </c>
      <c r="M5635" s="6">
        <v>0</v>
      </c>
      <c r="N5635" s="6">
        <v>0</v>
      </c>
      <c r="O5635" s="6">
        <v>0</v>
      </c>
      <c r="P5635" s="6">
        <v>0</v>
      </c>
      <c r="Q5635">
        <v>1</v>
      </c>
      <c r="R5635">
        <f t="shared" ref="R5635:R5698" si="440">IF(AND(Q5635=1,F5635="ai_full"),1,0)</f>
        <v>0</v>
      </c>
      <c r="S5635">
        <f t="shared" ref="S5635:S5698" si="441">IF(AND(Q5635=1,F5635="conventional"),1,0)</f>
        <v>1</v>
      </c>
      <c r="T5635">
        <f t="shared" ref="T5635:T5698" si="442">SUM(I5635:P5635)</f>
        <v>1</v>
      </c>
      <c r="U5635">
        <f t="shared" ref="U5635:U5698" si="443">IF(T5635&gt;=1,1,0)</f>
        <v>1</v>
      </c>
      <c r="V5635">
        <f t="shared" ref="V5635:V5698" si="444">IF(F5635="ai_full",1,0)</f>
        <v>0</v>
      </c>
    </row>
    <row r="5636" spans="1:22" x14ac:dyDescent="0.25">
      <c r="A5636">
        <v>5633</v>
      </c>
      <c r="B5636" t="s">
        <v>38</v>
      </c>
      <c r="C5636" t="s">
        <v>1573</v>
      </c>
      <c r="D5636" s="4">
        <v>45929</v>
      </c>
      <c r="E5636" t="s">
        <v>1688</v>
      </c>
      <c r="F5636" t="s">
        <v>75</v>
      </c>
      <c r="I5636" s="6">
        <v>1</v>
      </c>
      <c r="J5636" s="6">
        <v>0</v>
      </c>
      <c r="K5636" s="6">
        <v>0</v>
      </c>
      <c r="L5636" s="6">
        <v>0</v>
      </c>
      <c r="M5636" s="6">
        <v>0</v>
      </c>
      <c r="N5636" s="6">
        <v>0</v>
      </c>
      <c r="O5636" s="6">
        <v>0</v>
      </c>
      <c r="P5636" s="6">
        <v>0</v>
      </c>
      <c r="Q5636">
        <v>1</v>
      </c>
      <c r="R5636">
        <f t="shared" si="440"/>
        <v>0</v>
      </c>
      <c r="S5636">
        <f t="shared" si="441"/>
        <v>1</v>
      </c>
      <c r="T5636">
        <f t="shared" si="442"/>
        <v>1</v>
      </c>
      <c r="U5636">
        <f t="shared" si="443"/>
        <v>1</v>
      </c>
      <c r="V5636">
        <f t="shared" si="444"/>
        <v>0</v>
      </c>
    </row>
    <row r="5637" spans="1:22" x14ac:dyDescent="0.25">
      <c r="A5637">
        <v>5634</v>
      </c>
      <c r="B5637" t="s">
        <v>38</v>
      </c>
      <c r="C5637" t="s">
        <v>1573</v>
      </c>
      <c r="D5637" s="4">
        <v>45929</v>
      </c>
      <c r="E5637" t="s">
        <v>2062</v>
      </c>
      <c r="F5637" t="s">
        <v>75</v>
      </c>
      <c r="I5637" s="6">
        <v>1</v>
      </c>
      <c r="J5637" s="6">
        <v>0</v>
      </c>
      <c r="K5637" s="6">
        <v>1</v>
      </c>
      <c r="L5637" s="6">
        <v>1</v>
      </c>
      <c r="M5637" s="6">
        <v>1</v>
      </c>
      <c r="N5637" s="6">
        <v>0</v>
      </c>
      <c r="O5637" s="6">
        <v>0</v>
      </c>
      <c r="P5637" s="6">
        <v>0</v>
      </c>
      <c r="Q5637">
        <v>1</v>
      </c>
      <c r="R5637">
        <f t="shared" si="440"/>
        <v>0</v>
      </c>
      <c r="S5637">
        <f t="shared" si="441"/>
        <v>1</v>
      </c>
      <c r="T5637">
        <f t="shared" si="442"/>
        <v>4</v>
      </c>
      <c r="U5637">
        <f t="shared" si="443"/>
        <v>1</v>
      </c>
      <c r="V5637">
        <f t="shared" si="444"/>
        <v>0</v>
      </c>
    </row>
    <row r="5638" spans="1:22" x14ac:dyDescent="0.25">
      <c r="A5638">
        <v>5635</v>
      </c>
      <c r="B5638" t="s">
        <v>38</v>
      </c>
      <c r="C5638" t="s">
        <v>1573</v>
      </c>
      <c r="D5638" s="4">
        <v>45930</v>
      </c>
      <c r="E5638" t="s">
        <v>1689</v>
      </c>
      <c r="F5638" t="s">
        <v>75</v>
      </c>
      <c r="I5638" s="6">
        <v>0</v>
      </c>
      <c r="J5638" s="6">
        <v>0</v>
      </c>
      <c r="K5638" s="6">
        <v>0</v>
      </c>
      <c r="L5638" s="6">
        <v>0</v>
      </c>
      <c r="M5638" s="6">
        <v>0</v>
      </c>
      <c r="N5638" s="6">
        <v>0</v>
      </c>
      <c r="O5638" s="6">
        <v>0</v>
      </c>
      <c r="P5638" s="6">
        <v>0</v>
      </c>
      <c r="Q5638">
        <v>1</v>
      </c>
      <c r="R5638">
        <f t="shared" si="440"/>
        <v>0</v>
      </c>
      <c r="S5638">
        <f t="shared" si="441"/>
        <v>1</v>
      </c>
      <c r="T5638">
        <f t="shared" si="442"/>
        <v>0</v>
      </c>
      <c r="U5638">
        <f t="shared" si="443"/>
        <v>0</v>
      </c>
      <c r="V5638">
        <f t="shared" si="444"/>
        <v>0</v>
      </c>
    </row>
    <row r="5639" spans="1:22" x14ac:dyDescent="0.25">
      <c r="A5639">
        <v>5636</v>
      </c>
      <c r="B5639" t="s">
        <v>38</v>
      </c>
      <c r="C5639" t="s">
        <v>1573</v>
      </c>
      <c r="D5639" s="4">
        <v>45930</v>
      </c>
      <c r="E5639" t="s">
        <v>1690</v>
      </c>
      <c r="F5639" t="s">
        <v>75</v>
      </c>
      <c r="I5639" s="6">
        <v>0</v>
      </c>
      <c r="J5639" s="6">
        <v>0</v>
      </c>
      <c r="K5639" s="6">
        <v>0</v>
      </c>
      <c r="L5639" s="6">
        <v>0</v>
      </c>
      <c r="M5639" s="6">
        <v>0</v>
      </c>
      <c r="N5639" s="6">
        <v>0</v>
      </c>
      <c r="O5639" s="6">
        <v>0</v>
      </c>
      <c r="P5639" s="6">
        <v>0</v>
      </c>
      <c r="Q5639">
        <v>1</v>
      </c>
      <c r="R5639">
        <f t="shared" si="440"/>
        <v>0</v>
      </c>
      <c r="S5639">
        <f t="shared" si="441"/>
        <v>1</v>
      </c>
      <c r="T5639">
        <f t="shared" si="442"/>
        <v>0</v>
      </c>
      <c r="U5639">
        <f t="shared" si="443"/>
        <v>0</v>
      </c>
      <c r="V5639">
        <f t="shared" si="444"/>
        <v>0</v>
      </c>
    </row>
    <row r="5640" spans="1:22" x14ac:dyDescent="0.25">
      <c r="A5640">
        <v>5637</v>
      </c>
      <c r="B5640" t="s">
        <v>38</v>
      </c>
      <c r="C5640" t="s">
        <v>1573</v>
      </c>
      <c r="D5640" s="4">
        <v>45930</v>
      </c>
      <c r="E5640" t="s">
        <v>1691</v>
      </c>
      <c r="F5640" t="s">
        <v>75</v>
      </c>
      <c r="I5640" s="6">
        <v>0</v>
      </c>
      <c r="J5640" s="6">
        <v>0</v>
      </c>
      <c r="K5640" s="6">
        <v>0</v>
      </c>
      <c r="L5640" s="6">
        <v>0</v>
      </c>
      <c r="M5640" s="6">
        <v>0</v>
      </c>
      <c r="N5640" s="6">
        <v>0</v>
      </c>
      <c r="O5640" s="6">
        <v>0</v>
      </c>
      <c r="P5640" s="6">
        <v>0</v>
      </c>
      <c r="Q5640">
        <v>1</v>
      </c>
      <c r="R5640">
        <f t="shared" si="440"/>
        <v>0</v>
      </c>
      <c r="S5640">
        <f t="shared" si="441"/>
        <v>1</v>
      </c>
      <c r="T5640">
        <f t="shared" si="442"/>
        <v>0</v>
      </c>
      <c r="U5640">
        <f t="shared" si="443"/>
        <v>0</v>
      </c>
      <c r="V5640">
        <f t="shared" si="444"/>
        <v>0</v>
      </c>
    </row>
    <row r="5641" spans="1:22" x14ac:dyDescent="0.25">
      <c r="A5641">
        <v>5638</v>
      </c>
      <c r="B5641" t="s">
        <v>38</v>
      </c>
      <c r="C5641" t="s">
        <v>1573</v>
      </c>
      <c r="D5641" s="4">
        <v>45931</v>
      </c>
      <c r="E5641" t="s">
        <v>1692</v>
      </c>
      <c r="F5641" t="s">
        <v>75</v>
      </c>
      <c r="I5641" s="6">
        <v>0</v>
      </c>
      <c r="J5641" s="6">
        <v>0</v>
      </c>
      <c r="K5641" s="6">
        <v>0</v>
      </c>
      <c r="L5641" s="6">
        <v>0</v>
      </c>
      <c r="M5641" s="6">
        <v>0</v>
      </c>
      <c r="N5641" s="6">
        <v>0</v>
      </c>
      <c r="O5641" s="6">
        <v>0</v>
      </c>
      <c r="P5641" s="6">
        <v>0</v>
      </c>
      <c r="Q5641">
        <v>1</v>
      </c>
      <c r="R5641">
        <f t="shared" si="440"/>
        <v>0</v>
      </c>
      <c r="S5641">
        <f t="shared" si="441"/>
        <v>1</v>
      </c>
      <c r="T5641">
        <f t="shared" si="442"/>
        <v>0</v>
      </c>
      <c r="U5641">
        <f t="shared" si="443"/>
        <v>0</v>
      </c>
      <c r="V5641">
        <f t="shared" si="444"/>
        <v>0</v>
      </c>
    </row>
    <row r="5642" spans="1:22" x14ac:dyDescent="0.25">
      <c r="A5642">
        <v>5639</v>
      </c>
      <c r="B5642" t="s">
        <v>38</v>
      </c>
      <c r="C5642" t="s">
        <v>1573</v>
      </c>
      <c r="D5642" s="4">
        <v>45932</v>
      </c>
      <c r="E5642" t="s">
        <v>2061</v>
      </c>
      <c r="F5642" t="s">
        <v>75</v>
      </c>
      <c r="I5642" s="6">
        <v>0</v>
      </c>
      <c r="J5642" s="6">
        <v>0</v>
      </c>
      <c r="K5642" s="6">
        <v>0</v>
      </c>
      <c r="L5642" s="6">
        <v>0</v>
      </c>
      <c r="M5642" s="6">
        <v>0</v>
      </c>
      <c r="N5642" s="6">
        <v>0</v>
      </c>
      <c r="O5642" s="6">
        <v>0</v>
      </c>
      <c r="P5642" s="6">
        <v>0</v>
      </c>
      <c r="Q5642">
        <v>1</v>
      </c>
      <c r="R5642">
        <f t="shared" si="440"/>
        <v>0</v>
      </c>
      <c r="S5642">
        <f t="shared" si="441"/>
        <v>1</v>
      </c>
      <c r="T5642">
        <f t="shared" si="442"/>
        <v>0</v>
      </c>
      <c r="U5642">
        <f t="shared" si="443"/>
        <v>0</v>
      </c>
      <c r="V5642">
        <f t="shared" si="444"/>
        <v>0</v>
      </c>
    </row>
    <row r="5643" spans="1:22" x14ac:dyDescent="0.25">
      <c r="A5643">
        <v>5640</v>
      </c>
      <c r="B5643" t="s">
        <v>38</v>
      </c>
      <c r="C5643" t="s">
        <v>1573</v>
      </c>
      <c r="D5643" s="4">
        <v>45934</v>
      </c>
      <c r="E5643" t="s">
        <v>1693</v>
      </c>
      <c r="F5643" t="s">
        <v>413</v>
      </c>
      <c r="G5643">
        <v>272</v>
      </c>
      <c r="I5643" s="6">
        <v>0</v>
      </c>
      <c r="J5643" s="6">
        <v>0</v>
      </c>
      <c r="K5643" s="6">
        <v>0</v>
      </c>
      <c r="L5643" s="6">
        <v>0</v>
      </c>
      <c r="M5643" s="6">
        <v>0</v>
      </c>
      <c r="N5643" s="6">
        <v>0</v>
      </c>
      <c r="O5643" s="6">
        <v>0</v>
      </c>
      <c r="P5643" s="6">
        <v>0</v>
      </c>
      <c r="Q5643">
        <v>1</v>
      </c>
      <c r="R5643">
        <f t="shared" si="440"/>
        <v>1</v>
      </c>
      <c r="S5643">
        <f t="shared" si="441"/>
        <v>0</v>
      </c>
      <c r="T5643">
        <f t="shared" si="442"/>
        <v>0</v>
      </c>
      <c r="U5643">
        <f t="shared" si="443"/>
        <v>0</v>
      </c>
      <c r="V5643">
        <f t="shared" si="444"/>
        <v>1</v>
      </c>
    </row>
    <row r="5644" spans="1:22" x14ac:dyDescent="0.25">
      <c r="A5644">
        <v>5641</v>
      </c>
      <c r="B5644" t="s">
        <v>38</v>
      </c>
      <c r="C5644" t="s">
        <v>1573</v>
      </c>
      <c r="D5644" s="4">
        <v>45935</v>
      </c>
      <c r="E5644" t="s">
        <v>1694</v>
      </c>
      <c r="F5644" t="s">
        <v>413</v>
      </c>
      <c r="G5644">
        <v>273</v>
      </c>
      <c r="I5644" s="6">
        <v>0</v>
      </c>
      <c r="J5644" s="6">
        <v>0</v>
      </c>
      <c r="K5644" s="6">
        <v>0</v>
      </c>
      <c r="L5644" s="6">
        <v>0</v>
      </c>
      <c r="M5644" s="6">
        <v>0</v>
      </c>
      <c r="N5644" s="6">
        <v>0</v>
      </c>
      <c r="O5644" s="6">
        <v>0</v>
      </c>
      <c r="P5644" s="6">
        <v>0</v>
      </c>
      <c r="Q5644">
        <v>1</v>
      </c>
      <c r="R5644">
        <f t="shared" si="440"/>
        <v>1</v>
      </c>
      <c r="S5644">
        <f t="shared" si="441"/>
        <v>0</v>
      </c>
      <c r="T5644">
        <f t="shared" si="442"/>
        <v>0</v>
      </c>
      <c r="U5644">
        <f t="shared" si="443"/>
        <v>0</v>
      </c>
      <c r="V5644">
        <f t="shared" si="444"/>
        <v>1</v>
      </c>
    </row>
    <row r="5645" spans="1:22" x14ac:dyDescent="0.25">
      <c r="A5645">
        <v>5642</v>
      </c>
      <c r="B5645" t="s">
        <v>38</v>
      </c>
      <c r="C5645" t="s">
        <v>1573</v>
      </c>
      <c r="D5645" s="4">
        <v>45935</v>
      </c>
      <c r="E5645" t="s">
        <v>2060</v>
      </c>
      <c r="F5645" t="s">
        <v>75</v>
      </c>
      <c r="I5645" s="6">
        <v>0</v>
      </c>
      <c r="J5645" s="6">
        <v>0</v>
      </c>
      <c r="K5645" s="6">
        <v>0</v>
      </c>
      <c r="L5645" s="6">
        <v>0</v>
      </c>
      <c r="M5645" s="6">
        <v>0</v>
      </c>
      <c r="N5645" s="6">
        <v>0</v>
      </c>
      <c r="O5645" s="6">
        <v>0</v>
      </c>
      <c r="P5645" s="6">
        <v>0</v>
      </c>
      <c r="Q5645">
        <v>1</v>
      </c>
      <c r="R5645">
        <f t="shared" si="440"/>
        <v>0</v>
      </c>
      <c r="S5645">
        <f t="shared" si="441"/>
        <v>1</v>
      </c>
      <c r="T5645">
        <f t="shared" si="442"/>
        <v>0</v>
      </c>
      <c r="U5645">
        <f t="shared" si="443"/>
        <v>0</v>
      </c>
      <c r="V5645">
        <f t="shared" si="444"/>
        <v>0</v>
      </c>
    </row>
    <row r="5646" spans="1:22" x14ac:dyDescent="0.25">
      <c r="A5646">
        <v>5643</v>
      </c>
      <c r="B5646" t="s">
        <v>38</v>
      </c>
      <c r="C5646" t="s">
        <v>1573</v>
      </c>
      <c r="D5646" s="4">
        <v>45936</v>
      </c>
      <c r="E5646" t="s">
        <v>1695</v>
      </c>
      <c r="F5646" t="s">
        <v>357</v>
      </c>
      <c r="I5646" s="6">
        <v>1</v>
      </c>
      <c r="J5646" s="6">
        <v>0</v>
      </c>
      <c r="K5646" s="6">
        <v>1</v>
      </c>
      <c r="L5646" s="6">
        <v>1</v>
      </c>
      <c r="M5646" s="6">
        <v>1</v>
      </c>
      <c r="N5646" s="6">
        <v>0</v>
      </c>
      <c r="O5646" s="6">
        <v>0</v>
      </c>
      <c r="P5646" s="6">
        <v>0</v>
      </c>
      <c r="Q5646">
        <v>1</v>
      </c>
      <c r="R5646">
        <f t="shared" si="440"/>
        <v>0</v>
      </c>
      <c r="S5646">
        <f t="shared" si="441"/>
        <v>0</v>
      </c>
      <c r="T5646">
        <f t="shared" si="442"/>
        <v>4</v>
      </c>
      <c r="U5646">
        <f t="shared" si="443"/>
        <v>1</v>
      </c>
      <c r="V5646">
        <f t="shared" si="444"/>
        <v>0</v>
      </c>
    </row>
    <row r="5647" spans="1:22" x14ac:dyDescent="0.25">
      <c r="A5647">
        <v>5644</v>
      </c>
      <c r="B5647" t="s">
        <v>38</v>
      </c>
      <c r="C5647" t="s">
        <v>1573</v>
      </c>
      <c r="D5647" s="4">
        <v>45936</v>
      </c>
      <c r="E5647" t="s">
        <v>1696</v>
      </c>
      <c r="F5647" t="s">
        <v>75</v>
      </c>
      <c r="I5647" s="6">
        <v>1</v>
      </c>
      <c r="J5647" s="6">
        <v>0</v>
      </c>
      <c r="K5647" s="6">
        <v>0</v>
      </c>
      <c r="L5647" s="6">
        <v>0</v>
      </c>
      <c r="M5647" s="6">
        <v>0</v>
      </c>
      <c r="N5647" s="6">
        <v>0</v>
      </c>
      <c r="O5647" s="6">
        <v>0</v>
      </c>
      <c r="P5647" s="6">
        <v>0</v>
      </c>
      <c r="Q5647">
        <v>1</v>
      </c>
      <c r="R5647">
        <f t="shared" si="440"/>
        <v>0</v>
      </c>
      <c r="S5647">
        <f t="shared" si="441"/>
        <v>1</v>
      </c>
      <c r="T5647">
        <f t="shared" si="442"/>
        <v>1</v>
      </c>
      <c r="U5647">
        <f t="shared" si="443"/>
        <v>1</v>
      </c>
      <c r="V5647">
        <f t="shared" si="444"/>
        <v>0</v>
      </c>
    </row>
    <row r="5648" spans="1:22" x14ac:dyDescent="0.25">
      <c r="A5648">
        <v>5645</v>
      </c>
      <c r="B5648" t="s">
        <v>38</v>
      </c>
      <c r="C5648" t="s">
        <v>1573</v>
      </c>
      <c r="D5648" s="4">
        <v>45936</v>
      </c>
      <c r="E5648" t="s">
        <v>1697</v>
      </c>
      <c r="F5648" t="s">
        <v>75</v>
      </c>
      <c r="I5648" s="6">
        <v>0</v>
      </c>
      <c r="J5648" s="6">
        <v>0</v>
      </c>
      <c r="K5648" s="6">
        <v>0</v>
      </c>
      <c r="L5648" s="6">
        <v>1</v>
      </c>
      <c r="M5648" s="6">
        <v>0</v>
      </c>
      <c r="N5648" s="6">
        <v>0</v>
      </c>
      <c r="O5648" s="6">
        <v>0</v>
      </c>
      <c r="P5648" s="6">
        <v>0</v>
      </c>
      <c r="Q5648">
        <v>1</v>
      </c>
      <c r="R5648">
        <f t="shared" si="440"/>
        <v>0</v>
      </c>
      <c r="S5648">
        <f t="shared" si="441"/>
        <v>1</v>
      </c>
      <c r="T5648">
        <f t="shared" si="442"/>
        <v>1</v>
      </c>
      <c r="U5648">
        <f t="shared" si="443"/>
        <v>1</v>
      </c>
      <c r="V5648">
        <f t="shared" si="444"/>
        <v>0</v>
      </c>
    </row>
    <row r="5649" spans="1:22" x14ac:dyDescent="0.25">
      <c r="A5649">
        <v>5646</v>
      </c>
      <c r="B5649" t="s">
        <v>38</v>
      </c>
      <c r="C5649" t="s">
        <v>1573</v>
      </c>
      <c r="D5649" s="4">
        <v>45937</v>
      </c>
      <c r="E5649" t="s">
        <v>1698</v>
      </c>
      <c r="F5649" t="s">
        <v>75</v>
      </c>
      <c r="I5649" s="6">
        <v>1</v>
      </c>
      <c r="J5649" s="6">
        <v>0</v>
      </c>
      <c r="K5649" s="6">
        <v>0</v>
      </c>
      <c r="L5649" s="6">
        <v>0</v>
      </c>
      <c r="M5649" s="6">
        <v>0</v>
      </c>
      <c r="N5649" s="6">
        <v>0</v>
      </c>
      <c r="O5649" s="6">
        <v>0</v>
      </c>
      <c r="P5649" s="6">
        <v>0</v>
      </c>
      <c r="Q5649">
        <v>1</v>
      </c>
      <c r="R5649">
        <f t="shared" si="440"/>
        <v>0</v>
      </c>
      <c r="S5649">
        <f t="shared" si="441"/>
        <v>1</v>
      </c>
      <c r="T5649">
        <f t="shared" si="442"/>
        <v>1</v>
      </c>
      <c r="U5649">
        <f t="shared" si="443"/>
        <v>1</v>
      </c>
      <c r="V5649">
        <f t="shared" si="444"/>
        <v>0</v>
      </c>
    </row>
    <row r="5650" spans="1:22" x14ac:dyDescent="0.25">
      <c r="A5650">
        <v>5647</v>
      </c>
      <c r="B5650" t="s">
        <v>38</v>
      </c>
      <c r="C5650" t="s">
        <v>1573</v>
      </c>
      <c r="D5650" s="4">
        <v>45938</v>
      </c>
      <c r="E5650" t="s">
        <v>1699</v>
      </c>
      <c r="F5650" t="s">
        <v>75</v>
      </c>
      <c r="I5650" s="6">
        <v>1</v>
      </c>
      <c r="J5650" s="6">
        <v>0</v>
      </c>
      <c r="K5650" s="6">
        <v>1</v>
      </c>
      <c r="L5650" s="6">
        <v>0</v>
      </c>
      <c r="M5650" s="6">
        <v>0</v>
      </c>
      <c r="N5650" s="6">
        <v>0</v>
      </c>
      <c r="O5650" s="6">
        <v>0</v>
      </c>
      <c r="P5650" s="6">
        <v>0</v>
      </c>
      <c r="Q5650">
        <v>1</v>
      </c>
      <c r="R5650">
        <f t="shared" si="440"/>
        <v>0</v>
      </c>
      <c r="S5650">
        <f t="shared" si="441"/>
        <v>1</v>
      </c>
      <c r="T5650">
        <f t="shared" si="442"/>
        <v>2</v>
      </c>
      <c r="U5650">
        <f t="shared" si="443"/>
        <v>1</v>
      </c>
      <c r="V5650">
        <f t="shared" si="444"/>
        <v>0</v>
      </c>
    </row>
    <row r="5651" spans="1:22" x14ac:dyDescent="0.25">
      <c r="A5651">
        <v>5648</v>
      </c>
      <c r="B5651" t="s">
        <v>38</v>
      </c>
      <c r="C5651" t="s">
        <v>1573</v>
      </c>
      <c r="D5651" s="4">
        <v>45940</v>
      </c>
      <c r="E5651" t="s">
        <v>1700</v>
      </c>
      <c r="F5651" t="s">
        <v>75</v>
      </c>
      <c r="I5651" s="6">
        <v>1</v>
      </c>
      <c r="J5651" s="6">
        <v>0</v>
      </c>
      <c r="K5651" s="6">
        <v>1</v>
      </c>
      <c r="L5651" s="6">
        <v>0</v>
      </c>
      <c r="M5651" s="6">
        <v>1</v>
      </c>
      <c r="N5651" s="6">
        <v>0</v>
      </c>
      <c r="O5651" s="6">
        <v>0</v>
      </c>
      <c r="P5651" s="6">
        <v>0</v>
      </c>
      <c r="Q5651">
        <v>1</v>
      </c>
      <c r="R5651">
        <f t="shared" si="440"/>
        <v>0</v>
      </c>
      <c r="S5651">
        <f t="shared" si="441"/>
        <v>1</v>
      </c>
      <c r="T5651">
        <f t="shared" si="442"/>
        <v>3</v>
      </c>
      <c r="U5651">
        <f t="shared" si="443"/>
        <v>1</v>
      </c>
      <c r="V5651">
        <f t="shared" si="444"/>
        <v>0</v>
      </c>
    </row>
    <row r="5652" spans="1:22" x14ac:dyDescent="0.25">
      <c r="A5652">
        <v>5649</v>
      </c>
      <c r="B5652" t="s">
        <v>38</v>
      </c>
      <c r="C5652" t="s">
        <v>1573</v>
      </c>
      <c r="D5652" s="4">
        <v>45940</v>
      </c>
      <c r="E5652" t="s">
        <v>1701</v>
      </c>
      <c r="F5652" t="s">
        <v>75</v>
      </c>
      <c r="I5652" s="6">
        <v>0</v>
      </c>
      <c r="J5652" s="6">
        <v>0</v>
      </c>
      <c r="K5652" s="6">
        <v>0</v>
      </c>
      <c r="L5652" s="6">
        <v>0</v>
      </c>
      <c r="M5652" s="6">
        <v>0</v>
      </c>
      <c r="N5652" s="6">
        <v>0</v>
      </c>
      <c r="O5652" s="6">
        <v>0</v>
      </c>
      <c r="P5652" s="6">
        <v>0</v>
      </c>
      <c r="Q5652">
        <v>1</v>
      </c>
      <c r="R5652">
        <f t="shared" si="440"/>
        <v>0</v>
      </c>
      <c r="S5652">
        <f t="shared" si="441"/>
        <v>1</v>
      </c>
      <c r="T5652">
        <f t="shared" si="442"/>
        <v>0</v>
      </c>
      <c r="U5652">
        <f t="shared" si="443"/>
        <v>0</v>
      </c>
      <c r="V5652">
        <f t="shared" si="444"/>
        <v>0</v>
      </c>
    </row>
    <row r="5653" spans="1:22" x14ac:dyDescent="0.25">
      <c r="A5653">
        <v>5650</v>
      </c>
      <c r="B5653" t="s">
        <v>38</v>
      </c>
      <c r="C5653" t="s">
        <v>1573</v>
      </c>
      <c r="D5653" s="4">
        <v>45940</v>
      </c>
      <c r="E5653" t="s">
        <v>1702</v>
      </c>
      <c r="F5653" t="s">
        <v>75</v>
      </c>
      <c r="I5653" s="6">
        <v>0</v>
      </c>
      <c r="J5653" s="6">
        <v>0</v>
      </c>
      <c r="K5653" s="6">
        <v>0</v>
      </c>
      <c r="L5653" s="6">
        <v>0</v>
      </c>
      <c r="M5653" s="6">
        <v>0</v>
      </c>
      <c r="N5653" s="6">
        <v>0</v>
      </c>
      <c r="O5653" s="6">
        <v>0</v>
      </c>
      <c r="P5653" s="6">
        <v>0</v>
      </c>
      <c r="Q5653">
        <v>1</v>
      </c>
      <c r="R5653">
        <f t="shared" si="440"/>
        <v>0</v>
      </c>
      <c r="S5653">
        <f t="shared" si="441"/>
        <v>1</v>
      </c>
      <c r="T5653">
        <f t="shared" si="442"/>
        <v>0</v>
      </c>
      <c r="U5653">
        <f t="shared" si="443"/>
        <v>0</v>
      </c>
      <c r="V5653">
        <f t="shared" si="444"/>
        <v>0</v>
      </c>
    </row>
    <row r="5654" spans="1:22" x14ac:dyDescent="0.25">
      <c r="A5654">
        <v>5651</v>
      </c>
      <c r="B5654" t="s">
        <v>38</v>
      </c>
      <c r="C5654" t="s">
        <v>1573</v>
      </c>
      <c r="D5654" s="4">
        <v>45943</v>
      </c>
      <c r="E5654" t="s">
        <v>1703</v>
      </c>
      <c r="F5654" t="s">
        <v>75</v>
      </c>
      <c r="I5654" s="6">
        <v>0</v>
      </c>
      <c r="J5654" s="6">
        <v>0</v>
      </c>
      <c r="K5654" s="6">
        <v>0</v>
      </c>
      <c r="L5654" s="6">
        <v>0</v>
      </c>
      <c r="M5654" s="6">
        <v>0</v>
      </c>
      <c r="N5654" s="6">
        <v>0</v>
      </c>
      <c r="O5654" s="6">
        <v>0</v>
      </c>
      <c r="P5654" s="6">
        <v>1</v>
      </c>
      <c r="Q5654">
        <v>1</v>
      </c>
      <c r="R5654">
        <f t="shared" si="440"/>
        <v>0</v>
      </c>
      <c r="S5654">
        <f t="shared" si="441"/>
        <v>1</v>
      </c>
      <c r="T5654">
        <f t="shared" si="442"/>
        <v>1</v>
      </c>
      <c r="U5654">
        <f t="shared" si="443"/>
        <v>1</v>
      </c>
      <c r="V5654">
        <f t="shared" si="444"/>
        <v>0</v>
      </c>
    </row>
    <row r="5655" spans="1:22" x14ac:dyDescent="0.25">
      <c r="A5655">
        <v>5652</v>
      </c>
      <c r="B5655" t="s">
        <v>38</v>
      </c>
      <c r="C5655" t="s">
        <v>1573</v>
      </c>
      <c r="D5655" s="4">
        <v>45943</v>
      </c>
      <c r="E5655" t="s">
        <v>1704</v>
      </c>
      <c r="F5655" t="s">
        <v>75</v>
      </c>
      <c r="I5655" s="6">
        <v>0</v>
      </c>
      <c r="J5655" s="6">
        <v>0</v>
      </c>
      <c r="K5655" s="6">
        <v>0</v>
      </c>
      <c r="L5655" s="6">
        <v>0</v>
      </c>
      <c r="M5655" s="6">
        <v>0</v>
      </c>
      <c r="N5655" s="6">
        <v>0</v>
      </c>
      <c r="O5655" s="6">
        <v>0</v>
      </c>
      <c r="P5655" s="6">
        <v>1</v>
      </c>
      <c r="Q5655">
        <v>1</v>
      </c>
      <c r="R5655">
        <f t="shared" si="440"/>
        <v>0</v>
      </c>
      <c r="S5655">
        <f t="shared" si="441"/>
        <v>1</v>
      </c>
      <c r="T5655">
        <f t="shared" si="442"/>
        <v>1</v>
      </c>
      <c r="U5655">
        <f t="shared" si="443"/>
        <v>1</v>
      </c>
      <c r="V5655">
        <f t="shared" si="444"/>
        <v>0</v>
      </c>
    </row>
    <row r="5656" spans="1:22" x14ac:dyDescent="0.25">
      <c r="A5656">
        <v>5653</v>
      </c>
      <c r="B5656" t="s">
        <v>38</v>
      </c>
      <c r="C5656" t="s">
        <v>1573</v>
      </c>
      <c r="D5656" s="4">
        <v>45944</v>
      </c>
      <c r="E5656" t="s">
        <v>1705</v>
      </c>
      <c r="F5656" t="s">
        <v>75</v>
      </c>
      <c r="I5656" s="6">
        <v>0</v>
      </c>
      <c r="J5656" s="6">
        <v>0</v>
      </c>
      <c r="K5656" s="6">
        <v>0</v>
      </c>
      <c r="L5656" s="6">
        <v>0</v>
      </c>
      <c r="M5656" s="6">
        <v>0</v>
      </c>
      <c r="N5656" s="6">
        <v>0</v>
      </c>
      <c r="O5656" s="6">
        <v>0</v>
      </c>
      <c r="P5656" s="6">
        <v>0</v>
      </c>
      <c r="Q5656">
        <v>1</v>
      </c>
      <c r="R5656">
        <f t="shared" si="440"/>
        <v>0</v>
      </c>
      <c r="S5656">
        <f t="shared" si="441"/>
        <v>1</v>
      </c>
      <c r="T5656">
        <f t="shared" si="442"/>
        <v>0</v>
      </c>
      <c r="U5656">
        <f t="shared" si="443"/>
        <v>0</v>
      </c>
      <c r="V5656">
        <f t="shared" si="444"/>
        <v>0</v>
      </c>
    </row>
    <row r="5657" spans="1:22" x14ac:dyDescent="0.25">
      <c r="A5657">
        <v>5654</v>
      </c>
      <c r="B5657" t="s">
        <v>38</v>
      </c>
      <c r="C5657" t="s">
        <v>1573</v>
      </c>
      <c r="D5657" s="4">
        <v>45945</v>
      </c>
      <c r="E5657" t="s">
        <v>1706</v>
      </c>
      <c r="F5657" t="s">
        <v>75</v>
      </c>
      <c r="I5657" s="6">
        <v>1</v>
      </c>
      <c r="J5657" s="6">
        <v>1</v>
      </c>
      <c r="K5657" s="6">
        <v>1</v>
      </c>
      <c r="L5657" s="6">
        <v>1</v>
      </c>
      <c r="M5657" s="6">
        <v>0</v>
      </c>
      <c r="N5657" s="6">
        <v>0</v>
      </c>
      <c r="O5657" s="6">
        <v>0</v>
      </c>
      <c r="P5657" s="6">
        <v>0</v>
      </c>
      <c r="Q5657">
        <v>1</v>
      </c>
      <c r="R5657">
        <f t="shared" si="440"/>
        <v>0</v>
      </c>
      <c r="S5657">
        <f t="shared" si="441"/>
        <v>1</v>
      </c>
      <c r="T5657">
        <f t="shared" si="442"/>
        <v>4</v>
      </c>
      <c r="U5657">
        <f t="shared" si="443"/>
        <v>1</v>
      </c>
      <c r="V5657">
        <f t="shared" si="444"/>
        <v>0</v>
      </c>
    </row>
    <row r="5658" spans="1:22" x14ac:dyDescent="0.25">
      <c r="A5658">
        <v>5655</v>
      </c>
      <c r="B5658" t="s">
        <v>38</v>
      </c>
      <c r="C5658" t="s">
        <v>1573</v>
      </c>
      <c r="D5658" s="4">
        <v>45946</v>
      </c>
      <c r="E5658" t="s">
        <v>2059</v>
      </c>
      <c r="F5658" t="s">
        <v>75</v>
      </c>
      <c r="I5658" s="6">
        <v>0</v>
      </c>
      <c r="J5658" s="6">
        <v>0</v>
      </c>
      <c r="K5658" s="6">
        <v>0</v>
      </c>
      <c r="L5658" s="6">
        <v>0</v>
      </c>
      <c r="M5658" s="6">
        <v>0</v>
      </c>
      <c r="N5658" s="6">
        <v>0</v>
      </c>
      <c r="O5658" s="6">
        <v>0</v>
      </c>
      <c r="P5658" s="6">
        <v>0</v>
      </c>
      <c r="Q5658">
        <v>1</v>
      </c>
      <c r="R5658">
        <f t="shared" si="440"/>
        <v>0</v>
      </c>
      <c r="S5658">
        <f t="shared" si="441"/>
        <v>1</v>
      </c>
      <c r="T5658">
        <f t="shared" si="442"/>
        <v>0</v>
      </c>
      <c r="U5658">
        <f t="shared" si="443"/>
        <v>0</v>
      </c>
      <c r="V5658">
        <f t="shared" si="444"/>
        <v>0</v>
      </c>
    </row>
    <row r="5659" spans="1:22" x14ac:dyDescent="0.25">
      <c r="A5659">
        <v>5656</v>
      </c>
      <c r="B5659" t="s">
        <v>38</v>
      </c>
      <c r="C5659" t="s">
        <v>1573</v>
      </c>
      <c r="D5659" s="4">
        <v>45946</v>
      </c>
      <c r="E5659" t="s">
        <v>1707</v>
      </c>
      <c r="F5659" t="s">
        <v>75</v>
      </c>
      <c r="I5659" s="6">
        <v>0</v>
      </c>
      <c r="J5659" s="6">
        <v>0</v>
      </c>
      <c r="K5659" s="6">
        <v>0</v>
      </c>
      <c r="L5659" s="6">
        <v>0</v>
      </c>
      <c r="M5659" s="6">
        <v>0</v>
      </c>
      <c r="N5659" s="6">
        <v>0</v>
      </c>
      <c r="O5659" s="6">
        <v>0</v>
      </c>
      <c r="P5659" s="6">
        <v>0</v>
      </c>
      <c r="Q5659">
        <v>1</v>
      </c>
      <c r="R5659">
        <f t="shared" si="440"/>
        <v>0</v>
      </c>
      <c r="S5659">
        <f t="shared" si="441"/>
        <v>1</v>
      </c>
      <c r="T5659">
        <f t="shared" si="442"/>
        <v>0</v>
      </c>
      <c r="U5659">
        <f t="shared" si="443"/>
        <v>0</v>
      </c>
      <c r="V5659">
        <f t="shared" si="444"/>
        <v>0</v>
      </c>
    </row>
    <row r="5660" spans="1:22" x14ac:dyDescent="0.25">
      <c r="A5660">
        <v>5657</v>
      </c>
      <c r="B5660" t="s">
        <v>38</v>
      </c>
      <c r="C5660" t="s">
        <v>1573</v>
      </c>
      <c r="D5660" s="4">
        <v>45946</v>
      </c>
      <c r="E5660" t="s">
        <v>1708</v>
      </c>
      <c r="F5660" t="s">
        <v>413</v>
      </c>
      <c r="G5660">
        <v>275</v>
      </c>
      <c r="I5660" s="6">
        <v>0</v>
      </c>
      <c r="J5660" s="6">
        <v>0</v>
      </c>
      <c r="K5660" s="6">
        <v>0</v>
      </c>
      <c r="L5660" s="6">
        <v>0</v>
      </c>
      <c r="M5660" s="6">
        <v>0</v>
      </c>
      <c r="N5660" s="6">
        <v>0</v>
      </c>
      <c r="O5660" s="6">
        <v>0</v>
      </c>
      <c r="P5660" s="6">
        <v>0</v>
      </c>
      <c r="Q5660">
        <v>1</v>
      </c>
      <c r="R5660">
        <f t="shared" si="440"/>
        <v>1</v>
      </c>
      <c r="S5660">
        <f t="shared" si="441"/>
        <v>0</v>
      </c>
      <c r="T5660">
        <f t="shared" si="442"/>
        <v>0</v>
      </c>
      <c r="U5660">
        <f t="shared" si="443"/>
        <v>0</v>
      </c>
      <c r="V5660">
        <f t="shared" si="444"/>
        <v>1</v>
      </c>
    </row>
    <row r="5661" spans="1:22" x14ac:dyDescent="0.25">
      <c r="A5661">
        <v>5658</v>
      </c>
      <c r="B5661" t="s">
        <v>38</v>
      </c>
      <c r="C5661" t="s">
        <v>1573</v>
      </c>
      <c r="D5661" s="4">
        <v>45947</v>
      </c>
      <c r="E5661" t="s">
        <v>1709</v>
      </c>
      <c r="F5661" t="s">
        <v>75</v>
      </c>
      <c r="I5661" s="6">
        <v>0</v>
      </c>
      <c r="J5661" s="6">
        <v>0</v>
      </c>
      <c r="K5661" s="6">
        <v>0</v>
      </c>
      <c r="L5661" s="6">
        <v>0</v>
      </c>
      <c r="M5661" s="6">
        <v>0</v>
      </c>
      <c r="N5661" s="6">
        <v>0</v>
      </c>
      <c r="O5661" s="6">
        <v>0</v>
      </c>
      <c r="P5661" s="6">
        <v>0</v>
      </c>
      <c r="Q5661">
        <v>1</v>
      </c>
      <c r="R5661">
        <f t="shared" si="440"/>
        <v>0</v>
      </c>
      <c r="S5661">
        <f t="shared" si="441"/>
        <v>1</v>
      </c>
      <c r="T5661">
        <f t="shared" si="442"/>
        <v>0</v>
      </c>
      <c r="U5661">
        <f t="shared" si="443"/>
        <v>0</v>
      </c>
      <c r="V5661">
        <f t="shared" si="444"/>
        <v>0</v>
      </c>
    </row>
    <row r="5662" spans="1:22" x14ac:dyDescent="0.25">
      <c r="A5662">
        <v>5659</v>
      </c>
      <c r="B5662" t="s">
        <v>38</v>
      </c>
      <c r="C5662" t="s">
        <v>1573</v>
      </c>
      <c r="D5662" s="4">
        <v>45947</v>
      </c>
      <c r="E5662" t="s">
        <v>1710</v>
      </c>
      <c r="F5662" t="s">
        <v>75</v>
      </c>
      <c r="I5662" s="6">
        <v>0</v>
      </c>
      <c r="J5662" s="6">
        <v>0</v>
      </c>
      <c r="K5662" s="6">
        <v>0</v>
      </c>
      <c r="L5662" s="6">
        <v>0</v>
      </c>
      <c r="M5662" s="6">
        <v>0</v>
      </c>
      <c r="N5662" s="6">
        <v>0</v>
      </c>
      <c r="O5662" s="6">
        <v>0</v>
      </c>
      <c r="P5662" s="6">
        <v>0</v>
      </c>
      <c r="Q5662">
        <v>1</v>
      </c>
      <c r="R5662">
        <f t="shared" si="440"/>
        <v>0</v>
      </c>
      <c r="S5662">
        <f t="shared" si="441"/>
        <v>1</v>
      </c>
      <c r="T5662">
        <f t="shared" si="442"/>
        <v>0</v>
      </c>
      <c r="U5662">
        <f t="shared" si="443"/>
        <v>0</v>
      </c>
      <c r="V5662">
        <f t="shared" si="444"/>
        <v>0</v>
      </c>
    </row>
    <row r="5663" spans="1:22" x14ac:dyDescent="0.25">
      <c r="A5663">
        <v>5660</v>
      </c>
      <c r="B5663" t="s">
        <v>38</v>
      </c>
      <c r="C5663" t="s">
        <v>1573</v>
      </c>
      <c r="D5663" s="4">
        <v>45948</v>
      </c>
      <c r="E5663" t="s">
        <v>2058</v>
      </c>
      <c r="F5663" t="s">
        <v>75</v>
      </c>
      <c r="I5663" s="6">
        <v>1</v>
      </c>
      <c r="J5663" s="6">
        <v>0</v>
      </c>
      <c r="K5663" s="6">
        <v>0</v>
      </c>
      <c r="L5663" s="6">
        <v>0</v>
      </c>
      <c r="M5663" s="6">
        <v>0</v>
      </c>
      <c r="N5663" s="6">
        <v>0</v>
      </c>
      <c r="O5663" s="6">
        <v>0</v>
      </c>
      <c r="P5663" s="6">
        <v>0</v>
      </c>
      <c r="Q5663">
        <v>1</v>
      </c>
      <c r="R5663">
        <f t="shared" si="440"/>
        <v>0</v>
      </c>
      <c r="S5663">
        <f t="shared" si="441"/>
        <v>1</v>
      </c>
      <c r="T5663">
        <f t="shared" si="442"/>
        <v>1</v>
      </c>
      <c r="U5663">
        <f t="shared" si="443"/>
        <v>1</v>
      </c>
      <c r="V5663">
        <f t="shared" si="444"/>
        <v>0</v>
      </c>
    </row>
    <row r="5664" spans="1:22" x14ac:dyDescent="0.25">
      <c r="A5664">
        <v>5661</v>
      </c>
      <c r="B5664" t="s">
        <v>38</v>
      </c>
      <c r="C5664" t="s">
        <v>1573</v>
      </c>
      <c r="D5664" s="4">
        <v>45948</v>
      </c>
      <c r="E5664" t="s">
        <v>2057</v>
      </c>
      <c r="F5664" t="s">
        <v>75</v>
      </c>
      <c r="I5664" s="6">
        <v>0</v>
      </c>
      <c r="J5664" s="6">
        <v>0</v>
      </c>
      <c r="K5664" s="6">
        <v>0</v>
      </c>
      <c r="L5664" s="6">
        <v>0</v>
      </c>
      <c r="M5664" s="6">
        <v>0</v>
      </c>
      <c r="N5664" s="6">
        <v>0</v>
      </c>
      <c r="O5664" s="6">
        <v>0</v>
      </c>
      <c r="P5664" s="6">
        <v>0</v>
      </c>
      <c r="Q5664">
        <v>1</v>
      </c>
      <c r="R5664">
        <f t="shared" si="440"/>
        <v>0</v>
      </c>
      <c r="S5664">
        <f t="shared" si="441"/>
        <v>1</v>
      </c>
      <c r="T5664">
        <f t="shared" si="442"/>
        <v>0</v>
      </c>
      <c r="U5664">
        <f t="shared" si="443"/>
        <v>0</v>
      </c>
      <c r="V5664">
        <f t="shared" si="444"/>
        <v>0</v>
      </c>
    </row>
    <row r="5665" spans="1:22" x14ac:dyDescent="0.25">
      <c r="A5665">
        <v>5662</v>
      </c>
      <c r="B5665" t="s">
        <v>38</v>
      </c>
      <c r="C5665" t="s">
        <v>1573</v>
      </c>
      <c r="D5665" s="4">
        <v>45948</v>
      </c>
      <c r="E5665" t="s">
        <v>1711</v>
      </c>
      <c r="F5665" t="s">
        <v>75</v>
      </c>
      <c r="I5665" s="6">
        <v>0</v>
      </c>
      <c r="J5665" s="6">
        <v>0</v>
      </c>
      <c r="K5665" s="6">
        <v>0</v>
      </c>
      <c r="L5665" s="6">
        <v>0</v>
      </c>
      <c r="M5665" s="6">
        <v>0</v>
      </c>
      <c r="N5665" s="6">
        <v>0</v>
      </c>
      <c r="O5665" s="6">
        <v>0</v>
      </c>
      <c r="P5665" s="6">
        <v>0</v>
      </c>
      <c r="Q5665">
        <v>1</v>
      </c>
      <c r="R5665">
        <f t="shared" si="440"/>
        <v>0</v>
      </c>
      <c r="S5665">
        <f t="shared" si="441"/>
        <v>1</v>
      </c>
      <c r="T5665">
        <f t="shared" si="442"/>
        <v>0</v>
      </c>
      <c r="U5665">
        <f t="shared" si="443"/>
        <v>0</v>
      </c>
      <c r="V5665">
        <f t="shared" si="444"/>
        <v>0</v>
      </c>
    </row>
    <row r="5666" spans="1:22" x14ac:dyDescent="0.25">
      <c r="A5666">
        <v>5663</v>
      </c>
      <c r="B5666" t="s">
        <v>38</v>
      </c>
      <c r="C5666" t="s">
        <v>1573</v>
      </c>
      <c r="D5666" s="4">
        <v>45948</v>
      </c>
      <c r="E5666" t="s">
        <v>1712</v>
      </c>
      <c r="F5666" t="s">
        <v>75</v>
      </c>
      <c r="I5666" s="6">
        <v>0</v>
      </c>
      <c r="J5666" s="6">
        <v>0</v>
      </c>
      <c r="K5666" s="6">
        <v>0</v>
      </c>
      <c r="L5666" s="6">
        <v>0</v>
      </c>
      <c r="M5666" s="6">
        <v>0</v>
      </c>
      <c r="N5666" s="6">
        <v>0</v>
      </c>
      <c r="O5666" s="6">
        <v>0</v>
      </c>
      <c r="P5666" s="6">
        <v>0</v>
      </c>
      <c r="Q5666">
        <v>1</v>
      </c>
      <c r="R5666">
        <f t="shared" si="440"/>
        <v>0</v>
      </c>
      <c r="S5666">
        <f t="shared" si="441"/>
        <v>1</v>
      </c>
      <c r="T5666">
        <f t="shared" si="442"/>
        <v>0</v>
      </c>
      <c r="U5666">
        <f t="shared" si="443"/>
        <v>0</v>
      </c>
      <c r="V5666">
        <f t="shared" si="444"/>
        <v>0</v>
      </c>
    </row>
    <row r="5667" spans="1:22" x14ac:dyDescent="0.25">
      <c r="A5667">
        <v>5664</v>
      </c>
      <c r="B5667" t="s">
        <v>38</v>
      </c>
      <c r="C5667" t="s">
        <v>1573</v>
      </c>
      <c r="D5667" s="4">
        <v>45949</v>
      </c>
      <c r="E5667" t="s">
        <v>2056</v>
      </c>
      <c r="F5667" t="s">
        <v>75</v>
      </c>
      <c r="I5667" s="6">
        <v>0</v>
      </c>
      <c r="J5667" s="6">
        <v>0</v>
      </c>
      <c r="K5667" s="6">
        <v>0</v>
      </c>
      <c r="L5667" s="6">
        <v>0</v>
      </c>
      <c r="M5667" s="6">
        <v>0</v>
      </c>
      <c r="N5667" s="6">
        <v>0</v>
      </c>
      <c r="O5667" s="6">
        <v>0</v>
      </c>
      <c r="P5667" s="6">
        <v>0</v>
      </c>
      <c r="Q5667">
        <v>1</v>
      </c>
      <c r="R5667">
        <f t="shared" si="440"/>
        <v>0</v>
      </c>
      <c r="S5667">
        <f t="shared" si="441"/>
        <v>1</v>
      </c>
      <c r="T5667">
        <f t="shared" si="442"/>
        <v>0</v>
      </c>
      <c r="U5667">
        <f t="shared" si="443"/>
        <v>0</v>
      </c>
      <c r="V5667">
        <f t="shared" si="444"/>
        <v>0</v>
      </c>
    </row>
    <row r="5668" spans="1:22" x14ac:dyDescent="0.25">
      <c r="A5668">
        <v>5665</v>
      </c>
      <c r="B5668" t="s">
        <v>38</v>
      </c>
      <c r="C5668" t="s">
        <v>1573</v>
      </c>
      <c r="D5668" s="4">
        <v>45949</v>
      </c>
      <c r="E5668" t="s">
        <v>1713</v>
      </c>
      <c r="F5668" t="s">
        <v>75</v>
      </c>
      <c r="I5668" s="6">
        <v>0</v>
      </c>
      <c r="J5668" s="6">
        <v>0</v>
      </c>
      <c r="K5668" s="6">
        <v>0</v>
      </c>
      <c r="L5668" s="6">
        <v>0</v>
      </c>
      <c r="M5668" s="6">
        <v>0</v>
      </c>
      <c r="N5668" s="6">
        <v>0</v>
      </c>
      <c r="O5668" s="6">
        <v>0</v>
      </c>
      <c r="P5668" s="6">
        <v>0</v>
      </c>
      <c r="Q5668">
        <v>1</v>
      </c>
      <c r="R5668">
        <f t="shared" si="440"/>
        <v>0</v>
      </c>
      <c r="S5668">
        <f t="shared" si="441"/>
        <v>1</v>
      </c>
      <c r="T5668">
        <f t="shared" si="442"/>
        <v>0</v>
      </c>
      <c r="U5668">
        <f t="shared" si="443"/>
        <v>0</v>
      </c>
      <c r="V5668">
        <f t="shared" si="444"/>
        <v>0</v>
      </c>
    </row>
    <row r="5669" spans="1:22" x14ac:dyDescent="0.25">
      <c r="A5669">
        <v>5666</v>
      </c>
      <c r="B5669" t="s">
        <v>38</v>
      </c>
      <c r="C5669" t="s">
        <v>1573</v>
      </c>
      <c r="D5669" s="4">
        <v>45949</v>
      </c>
      <c r="E5669" t="s">
        <v>1714</v>
      </c>
      <c r="F5669" t="s">
        <v>75</v>
      </c>
      <c r="I5669" s="6">
        <v>0</v>
      </c>
      <c r="J5669" s="6">
        <v>0</v>
      </c>
      <c r="K5669" s="6">
        <v>0</v>
      </c>
      <c r="L5669" s="6">
        <v>0</v>
      </c>
      <c r="M5669" s="6">
        <v>0</v>
      </c>
      <c r="N5669" s="6">
        <v>0</v>
      </c>
      <c r="O5669" s="6">
        <v>0</v>
      </c>
      <c r="P5669" s="6">
        <v>0</v>
      </c>
      <c r="Q5669">
        <v>1</v>
      </c>
      <c r="R5669">
        <f t="shared" si="440"/>
        <v>0</v>
      </c>
      <c r="S5669">
        <f t="shared" si="441"/>
        <v>1</v>
      </c>
      <c r="T5669">
        <f t="shared" si="442"/>
        <v>0</v>
      </c>
      <c r="U5669">
        <f t="shared" si="443"/>
        <v>0</v>
      </c>
      <c r="V5669">
        <f t="shared" si="444"/>
        <v>0</v>
      </c>
    </row>
    <row r="5670" spans="1:22" x14ac:dyDescent="0.25">
      <c r="A5670">
        <v>5667</v>
      </c>
      <c r="B5670" t="s">
        <v>38</v>
      </c>
      <c r="C5670" t="s">
        <v>1573</v>
      </c>
      <c r="D5670" s="4">
        <v>45950</v>
      </c>
      <c r="E5670" t="s">
        <v>2055</v>
      </c>
      <c r="F5670" t="s">
        <v>75</v>
      </c>
      <c r="I5670" s="6">
        <v>0</v>
      </c>
      <c r="J5670" s="6">
        <v>0</v>
      </c>
      <c r="K5670" s="6">
        <v>0</v>
      </c>
      <c r="L5670" s="6">
        <v>0</v>
      </c>
      <c r="M5670" s="6">
        <v>0</v>
      </c>
      <c r="N5670" s="6">
        <v>0</v>
      </c>
      <c r="O5670" s="6">
        <v>0</v>
      </c>
      <c r="P5670" s="6">
        <v>0</v>
      </c>
      <c r="Q5670">
        <v>1</v>
      </c>
      <c r="R5670">
        <f t="shared" si="440"/>
        <v>0</v>
      </c>
      <c r="S5670">
        <f t="shared" si="441"/>
        <v>1</v>
      </c>
      <c r="T5670">
        <f t="shared" si="442"/>
        <v>0</v>
      </c>
      <c r="U5670">
        <f t="shared" si="443"/>
        <v>0</v>
      </c>
      <c r="V5670">
        <f t="shared" si="444"/>
        <v>0</v>
      </c>
    </row>
    <row r="5671" spans="1:22" x14ac:dyDescent="0.25">
      <c r="A5671">
        <v>5668</v>
      </c>
      <c r="B5671" t="s">
        <v>38</v>
      </c>
      <c r="C5671" t="s">
        <v>1573</v>
      </c>
      <c r="D5671" s="4">
        <v>45950</v>
      </c>
      <c r="E5671" t="s">
        <v>1715</v>
      </c>
      <c r="F5671" t="s">
        <v>75</v>
      </c>
      <c r="I5671" s="6">
        <v>0</v>
      </c>
      <c r="J5671" s="6">
        <v>0</v>
      </c>
      <c r="K5671" s="6">
        <v>0</v>
      </c>
      <c r="L5671" s="6">
        <v>1</v>
      </c>
      <c r="M5671" s="6">
        <v>0</v>
      </c>
      <c r="N5671" s="6">
        <v>0</v>
      </c>
      <c r="O5671" s="6">
        <v>0</v>
      </c>
      <c r="P5671" s="6">
        <v>0</v>
      </c>
      <c r="Q5671">
        <v>1</v>
      </c>
      <c r="R5671">
        <f t="shared" si="440"/>
        <v>0</v>
      </c>
      <c r="S5671">
        <f t="shared" si="441"/>
        <v>1</v>
      </c>
      <c r="T5671">
        <f t="shared" si="442"/>
        <v>1</v>
      </c>
      <c r="U5671">
        <f t="shared" si="443"/>
        <v>1</v>
      </c>
      <c r="V5671">
        <f t="shared" si="444"/>
        <v>0</v>
      </c>
    </row>
    <row r="5672" spans="1:22" x14ac:dyDescent="0.25">
      <c r="A5672">
        <v>5669</v>
      </c>
      <c r="B5672" t="s">
        <v>38</v>
      </c>
      <c r="C5672" t="s">
        <v>1573</v>
      </c>
      <c r="D5672" s="4">
        <v>45950</v>
      </c>
      <c r="E5672" t="s">
        <v>1716</v>
      </c>
      <c r="F5672" t="s">
        <v>413</v>
      </c>
      <c r="G5672">
        <v>276</v>
      </c>
      <c r="I5672" s="6">
        <v>1</v>
      </c>
      <c r="J5672" s="6">
        <v>0</v>
      </c>
      <c r="K5672" s="6">
        <v>0</v>
      </c>
      <c r="L5672" s="6">
        <v>1</v>
      </c>
      <c r="M5672" s="6">
        <v>1</v>
      </c>
      <c r="N5672" s="6">
        <v>0</v>
      </c>
      <c r="O5672" s="6">
        <v>0</v>
      </c>
      <c r="P5672" s="6">
        <v>0</v>
      </c>
      <c r="Q5672">
        <v>1</v>
      </c>
      <c r="R5672">
        <f t="shared" si="440"/>
        <v>1</v>
      </c>
      <c r="S5672">
        <f t="shared" si="441"/>
        <v>0</v>
      </c>
      <c r="T5672">
        <f t="shared" si="442"/>
        <v>3</v>
      </c>
      <c r="U5672">
        <f t="shared" si="443"/>
        <v>1</v>
      </c>
      <c r="V5672">
        <f t="shared" si="444"/>
        <v>1</v>
      </c>
    </row>
    <row r="5673" spans="1:22" x14ac:dyDescent="0.25">
      <c r="A5673">
        <v>5670</v>
      </c>
      <c r="B5673" t="s">
        <v>38</v>
      </c>
      <c r="C5673" t="s">
        <v>1573</v>
      </c>
      <c r="D5673" s="4">
        <v>45950</v>
      </c>
      <c r="E5673" t="s">
        <v>1717</v>
      </c>
      <c r="F5673" t="s">
        <v>75</v>
      </c>
      <c r="I5673" s="6">
        <v>0</v>
      </c>
      <c r="J5673" s="6">
        <v>0</v>
      </c>
      <c r="K5673" s="6">
        <v>0</v>
      </c>
      <c r="L5673" s="6">
        <v>0</v>
      </c>
      <c r="M5673" s="6">
        <v>0</v>
      </c>
      <c r="N5673" s="6">
        <v>0</v>
      </c>
      <c r="O5673" s="6">
        <v>0</v>
      </c>
      <c r="P5673" s="6">
        <v>0</v>
      </c>
      <c r="Q5673">
        <v>1</v>
      </c>
      <c r="R5673">
        <f t="shared" si="440"/>
        <v>0</v>
      </c>
      <c r="S5673">
        <f t="shared" si="441"/>
        <v>1</v>
      </c>
      <c r="T5673">
        <f t="shared" si="442"/>
        <v>0</v>
      </c>
      <c r="U5673">
        <f t="shared" si="443"/>
        <v>0</v>
      </c>
      <c r="V5673">
        <f t="shared" si="444"/>
        <v>0</v>
      </c>
    </row>
    <row r="5674" spans="1:22" x14ac:dyDescent="0.25">
      <c r="A5674">
        <v>5671</v>
      </c>
      <c r="B5674" t="s">
        <v>38</v>
      </c>
      <c r="C5674" t="s">
        <v>1573</v>
      </c>
      <c r="D5674" s="4">
        <v>45950</v>
      </c>
      <c r="E5674" t="s">
        <v>1718</v>
      </c>
      <c r="F5674" t="s">
        <v>75</v>
      </c>
      <c r="I5674" s="6">
        <v>0</v>
      </c>
      <c r="J5674" s="6">
        <v>0</v>
      </c>
      <c r="K5674" s="6">
        <v>0</v>
      </c>
      <c r="L5674" s="6">
        <v>0</v>
      </c>
      <c r="M5674" s="6">
        <v>0</v>
      </c>
      <c r="N5674" s="6">
        <v>0</v>
      </c>
      <c r="O5674" s="6">
        <v>0</v>
      </c>
      <c r="P5674" s="6">
        <v>0</v>
      </c>
      <c r="Q5674">
        <v>1</v>
      </c>
      <c r="R5674">
        <f t="shared" si="440"/>
        <v>0</v>
      </c>
      <c r="S5674">
        <f t="shared" si="441"/>
        <v>1</v>
      </c>
      <c r="T5674">
        <f t="shared" si="442"/>
        <v>0</v>
      </c>
      <c r="U5674">
        <f t="shared" si="443"/>
        <v>0</v>
      </c>
      <c r="V5674">
        <f t="shared" si="444"/>
        <v>0</v>
      </c>
    </row>
    <row r="5675" spans="1:22" x14ac:dyDescent="0.25">
      <c r="A5675">
        <v>5672</v>
      </c>
      <c r="B5675" t="s">
        <v>38</v>
      </c>
      <c r="C5675" t="s">
        <v>1573</v>
      </c>
      <c r="D5675" s="4">
        <v>45951</v>
      </c>
      <c r="E5675" t="s">
        <v>1719</v>
      </c>
      <c r="F5675" t="s">
        <v>75</v>
      </c>
      <c r="I5675" s="6">
        <v>1</v>
      </c>
      <c r="J5675" s="6">
        <v>0</v>
      </c>
      <c r="K5675" s="6">
        <v>1</v>
      </c>
      <c r="L5675" s="6">
        <v>0</v>
      </c>
      <c r="M5675" s="6">
        <v>1</v>
      </c>
      <c r="N5675" s="6">
        <v>0</v>
      </c>
      <c r="O5675" s="6">
        <v>0</v>
      </c>
      <c r="P5675" s="6">
        <v>0</v>
      </c>
      <c r="Q5675">
        <v>1</v>
      </c>
      <c r="R5675">
        <f t="shared" si="440"/>
        <v>0</v>
      </c>
      <c r="S5675">
        <f t="shared" si="441"/>
        <v>1</v>
      </c>
      <c r="T5675">
        <f t="shared" si="442"/>
        <v>3</v>
      </c>
      <c r="U5675">
        <f t="shared" si="443"/>
        <v>1</v>
      </c>
      <c r="V5675">
        <f t="shared" si="444"/>
        <v>0</v>
      </c>
    </row>
    <row r="5676" spans="1:22" x14ac:dyDescent="0.25">
      <c r="A5676">
        <v>5673</v>
      </c>
      <c r="B5676" t="s">
        <v>38</v>
      </c>
      <c r="C5676" t="s">
        <v>1573</v>
      </c>
      <c r="D5676" s="4">
        <v>45951</v>
      </c>
      <c r="E5676" t="s">
        <v>1720</v>
      </c>
      <c r="F5676" t="s">
        <v>75</v>
      </c>
      <c r="I5676" s="6">
        <v>0</v>
      </c>
      <c r="J5676" s="6">
        <v>0</v>
      </c>
      <c r="K5676" s="6">
        <v>0</v>
      </c>
      <c r="L5676" s="6">
        <v>0</v>
      </c>
      <c r="M5676" s="6">
        <v>0</v>
      </c>
      <c r="N5676" s="6">
        <v>0</v>
      </c>
      <c r="O5676" s="6">
        <v>0</v>
      </c>
      <c r="P5676" s="6">
        <v>0</v>
      </c>
      <c r="Q5676">
        <v>1</v>
      </c>
      <c r="R5676">
        <f t="shared" si="440"/>
        <v>0</v>
      </c>
      <c r="S5676">
        <f t="shared" si="441"/>
        <v>1</v>
      </c>
      <c r="T5676">
        <f t="shared" si="442"/>
        <v>0</v>
      </c>
      <c r="U5676">
        <f t="shared" si="443"/>
        <v>0</v>
      </c>
      <c r="V5676">
        <f t="shared" si="444"/>
        <v>0</v>
      </c>
    </row>
    <row r="5677" spans="1:22" x14ac:dyDescent="0.25">
      <c r="A5677">
        <v>5674</v>
      </c>
      <c r="B5677" t="s">
        <v>38</v>
      </c>
      <c r="C5677" t="s">
        <v>1573</v>
      </c>
      <c r="D5677" s="4">
        <v>45952</v>
      </c>
      <c r="E5677" t="s">
        <v>1721</v>
      </c>
      <c r="F5677" t="s">
        <v>75</v>
      </c>
      <c r="I5677" s="6">
        <v>0</v>
      </c>
      <c r="J5677" s="6">
        <v>0</v>
      </c>
      <c r="K5677" s="6">
        <v>0</v>
      </c>
      <c r="L5677" s="6">
        <v>0</v>
      </c>
      <c r="M5677" s="6">
        <v>0</v>
      </c>
      <c r="N5677" s="6">
        <v>0</v>
      </c>
      <c r="O5677" s="6">
        <v>0</v>
      </c>
      <c r="P5677" s="6">
        <v>0</v>
      </c>
      <c r="Q5677">
        <v>1</v>
      </c>
      <c r="R5677">
        <f t="shared" si="440"/>
        <v>0</v>
      </c>
      <c r="S5677">
        <f t="shared" si="441"/>
        <v>1</v>
      </c>
      <c r="T5677">
        <f t="shared" si="442"/>
        <v>0</v>
      </c>
      <c r="U5677">
        <f t="shared" si="443"/>
        <v>0</v>
      </c>
      <c r="V5677">
        <f t="shared" si="444"/>
        <v>0</v>
      </c>
    </row>
    <row r="5678" spans="1:22" x14ac:dyDescent="0.25">
      <c r="A5678">
        <v>5675</v>
      </c>
      <c r="B5678" t="s">
        <v>38</v>
      </c>
      <c r="C5678" t="s">
        <v>1573</v>
      </c>
      <c r="D5678" s="4">
        <v>45955</v>
      </c>
      <c r="E5678" t="s">
        <v>1722</v>
      </c>
      <c r="F5678" t="s">
        <v>75</v>
      </c>
      <c r="I5678" s="6">
        <v>1</v>
      </c>
      <c r="J5678" s="6">
        <v>0</v>
      </c>
      <c r="K5678" s="6">
        <v>0</v>
      </c>
      <c r="L5678" s="6">
        <v>0</v>
      </c>
      <c r="M5678" s="6">
        <v>0</v>
      </c>
      <c r="N5678" s="6">
        <v>0</v>
      </c>
      <c r="O5678" s="6">
        <v>0</v>
      </c>
      <c r="P5678" s="6">
        <v>0</v>
      </c>
      <c r="Q5678">
        <v>1</v>
      </c>
      <c r="R5678">
        <f t="shared" si="440"/>
        <v>0</v>
      </c>
      <c r="S5678">
        <f t="shared" si="441"/>
        <v>1</v>
      </c>
      <c r="T5678">
        <f t="shared" si="442"/>
        <v>1</v>
      </c>
      <c r="U5678">
        <f t="shared" si="443"/>
        <v>1</v>
      </c>
      <c r="V5678">
        <f t="shared" si="444"/>
        <v>0</v>
      </c>
    </row>
    <row r="5679" spans="1:22" x14ac:dyDescent="0.25">
      <c r="A5679">
        <v>5676</v>
      </c>
      <c r="B5679" t="s">
        <v>38</v>
      </c>
      <c r="C5679" t="s">
        <v>1573</v>
      </c>
      <c r="D5679" s="4">
        <v>45955</v>
      </c>
      <c r="E5679" t="s">
        <v>1723</v>
      </c>
      <c r="F5679" t="s">
        <v>75</v>
      </c>
      <c r="I5679" s="6">
        <v>1</v>
      </c>
      <c r="J5679" s="6">
        <v>0</v>
      </c>
      <c r="K5679" s="6">
        <v>0</v>
      </c>
      <c r="L5679" s="6">
        <v>1</v>
      </c>
      <c r="M5679" s="6">
        <v>1</v>
      </c>
      <c r="N5679" s="6">
        <v>0</v>
      </c>
      <c r="O5679" s="6">
        <v>0</v>
      </c>
      <c r="P5679" s="6">
        <v>0</v>
      </c>
      <c r="Q5679">
        <v>1</v>
      </c>
      <c r="R5679">
        <f t="shared" si="440"/>
        <v>0</v>
      </c>
      <c r="S5679">
        <f t="shared" si="441"/>
        <v>1</v>
      </c>
      <c r="T5679">
        <f t="shared" si="442"/>
        <v>3</v>
      </c>
      <c r="U5679">
        <f t="shared" si="443"/>
        <v>1</v>
      </c>
      <c r="V5679">
        <f t="shared" si="444"/>
        <v>0</v>
      </c>
    </row>
    <row r="5680" spans="1:22" x14ac:dyDescent="0.25">
      <c r="A5680">
        <v>5677</v>
      </c>
      <c r="B5680" t="s">
        <v>38</v>
      </c>
      <c r="C5680" t="s">
        <v>1573</v>
      </c>
      <c r="D5680" s="4">
        <v>45955</v>
      </c>
      <c r="E5680" t="s">
        <v>1724</v>
      </c>
      <c r="F5680" t="s">
        <v>75</v>
      </c>
      <c r="I5680" s="6">
        <v>0</v>
      </c>
      <c r="J5680" s="6">
        <v>0</v>
      </c>
      <c r="K5680" s="6">
        <v>0</v>
      </c>
      <c r="L5680" s="6">
        <v>0</v>
      </c>
      <c r="M5680" s="6">
        <v>0</v>
      </c>
      <c r="N5680" s="6">
        <v>0</v>
      </c>
      <c r="O5680" s="6">
        <v>0</v>
      </c>
      <c r="P5680" s="6">
        <v>0</v>
      </c>
      <c r="Q5680">
        <v>1</v>
      </c>
      <c r="R5680">
        <f t="shared" si="440"/>
        <v>0</v>
      </c>
      <c r="S5680">
        <f t="shared" si="441"/>
        <v>1</v>
      </c>
      <c r="T5680">
        <f t="shared" si="442"/>
        <v>0</v>
      </c>
      <c r="U5680">
        <f t="shared" si="443"/>
        <v>0</v>
      </c>
      <c r="V5680">
        <f t="shared" si="444"/>
        <v>0</v>
      </c>
    </row>
    <row r="5681" spans="1:22" x14ac:dyDescent="0.25">
      <c r="A5681">
        <v>5678</v>
      </c>
      <c r="B5681" t="s">
        <v>38</v>
      </c>
      <c r="C5681" t="s">
        <v>1573</v>
      </c>
      <c r="D5681" s="4">
        <v>45955</v>
      </c>
      <c r="E5681" t="s">
        <v>2054</v>
      </c>
      <c r="F5681" t="s">
        <v>75</v>
      </c>
      <c r="I5681" s="6">
        <v>0</v>
      </c>
      <c r="J5681" s="6">
        <v>1</v>
      </c>
      <c r="K5681" s="6">
        <v>0</v>
      </c>
      <c r="L5681" s="6">
        <v>1</v>
      </c>
      <c r="M5681" s="6">
        <v>0</v>
      </c>
      <c r="N5681" s="6">
        <v>0</v>
      </c>
      <c r="O5681" s="6">
        <v>0</v>
      </c>
      <c r="P5681" s="6">
        <v>0</v>
      </c>
      <c r="Q5681">
        <v>1</v>
      </c>
      <c r="R5681">
        <f t="shared" si="440"/>
        <v>0</v>
      </c>
      <c r="S5681">
        <f t="shared" si="441"/>
        <v>1</v>
      </c>
      <c r="T5681">
        <f t="shared" si="442"/>
        <v>2</v>
      </c>
      <c r="U5681">
        <f t="shared" si="443"/>
        <v>1</v>
      </c>
      <c r="V5681">
        <f t="shared" si="444"/>
        <v>0</v>
      </c>
    </row>
    <row r="5682" spans="1:22" x14ac:dyDescent="0.25">
      <c r="A5682">
        <v>5679</v>
      </c>
      <c r="B5682" t="s">
        <v>38</v>
      </c>
      <c r="C5682" t="s">
        <v>1573</v>
      </c>
      <c r="D5682" s="4">
        <v>45955</v>
      </c>
      <c r="E5682" t="s">
        <v>1725</v>
      </c>
      <c r="F5682" t="s">
        <v>75</v>
      </c>
      <c r="I5682" s="6">
        <v>1</v>
      </c>
      <c r="J5682" s="6">
        <v>1</v>
      </c>
      <c r="K5682" s="6">
        <v>0</v>
      </c>
      <c r="L5682" s="6">
        <v>1</v>
      </c>
      <c r="M5682" s="6">
        <v>0</v>
      </c>
      <c r="N5682" s="6">
        <v>0</v>
      </c>
      <c r="O5682" s="6">
        <v>0</v>
      </c>
      <c r="P5682" s="6">
        <v>0</v>
      </c>
      <c r="Q5682">
        <v>1</v>
      </c>
      <c r="R5682">
        <f t="shared" si="440"/>
        <v>0</v>
      </c>
      <c r="S5682">
        <f t="shared" si="441"/>
        <v>1</v>
      </c>
      <c r="T5682">
        <f t="shared" si="442"/>
        <v>3</v>
      </c>
      <c r="U5682">
        <f t="shared" si="443"/>
        <v>1</v>
      </c>
      <c r="V5682">
        <f t="shared" si="444"/>
        <v>0</v>
      </c>
    </row>
    <row r="5683" spans="1:22" x14ac:dyDescent="0.25">
      <c r="A5683">
        <v>5680</v>
      </c>
      <c r="B5683" t="s">
        <v>38</v>
      </c>
      <c r="C5683" t="s">
        <v>1573</v>
      </c>
      <c r="D5683" s="4">
        <v>45955</v>
      </c>
      <c r="E5683" t="s">
        <v>1726</v>
      </c>
      <c r="F5683" t="s">
        <v>75</v>
      </c>
      <c r="I5683" s="6">
        <v>0</v>
      </c>
      <c r="J5683" s="6">
        <v>0</v>
      </c>
      <c r="K5683" s="6">
        <v>0</v>
      </c>
      <c r="L5683" s="6">
        <v>0</v>
      </c>
      <c r="M5683" s="6">
        <v>0</v>
      </c>
      <c r="N5683" s="6">
        <v>0</v>
      </c>
      <c r="O5683" s="6">
        <v>0</v>
      </c>
      <c r="P5683" s="6">
        <v>0</v>
      </c>
      <c r="Q5683">
        <v>1</v>
      </c>
      <c r="R5683">
        <f t="shared" si="440"/>
        <v>0</v>
      </c>
      <c r="S5683">
        <f t="shared" si="441"/>
        <v>1</v>
      </c>
      <c r="T5683">
        <f t="shared" si="442"/>
        <v>0</v>
      </c>
      <c r="U5683">
        <f t="shared" si="443"/>
        <v>0</v>
      </c>
      <c r="V5683">
        <f t="shared" si="444"/>
        <v>0</v>
      </c>
    </row>
    <row r="5684" spans="1:22" x14ac:dyDescent="0.25">
      <c r="A5684">
        <v>5681</v>
      </c>
      <c r="B5684" t="s">
        <v>38</v>
      </c>
      <c r="C5684" t="s">
        <v>1573</v>
      </c>
      <c r="D5684" s="4">
        <v>45955</v>
      </c>
      <c r="E5684" t="s">
        <v>1727</v>
      </c>
      <c r="F5684" t="s">
        <v>75</v>
      </c>
      <c r="I5684" s="6">
        <v>0</v>
      </c>
      <c r="J5684" s="6">
        <v>0</v>
      </c>
      <c r="K5684" s="6">
        <v>0</v>
      </c>
      <c r="L5684" s="6">
        <v>0</v>
      </c>
      <c r="M5684" s="6">
        <v>0</v>
      </c>
      <c r="N5684" s="6">
        <v>0</v>
      </c>
      <c r="O5684" s="6">
        <v>0</v>
      </c>
      <c r="P5684" s="6">
        <v>0</v>
      </c>
      <c r="Q5684">
        <v>1</v>
      </c>
      <c r="R5684">
        <f t="shared" si="440"/>
        <v>0</v>
      </c>
      <c r="S5684">
        <f t="shared" si="441"/>
        <v>1</v>
      </c>
      <c r="T5684">
        <f t="shared" si="442"/>
        <v>0</v>
      </c>
      <c r="U5684">
        <f t="shared" si="443"/>
        <v>0</v>
      </c>
      <c r="V5684">
        <f t="shared" si="444"/>
        <v>0</v>
      </c>
    </row>
    <row r="5685" spans="1:22" x14ac:dyDescent="0.25">
      <c r="A5685">
        <v>5682</v>
      </c>
      <c r="B5685" t="s">
        <v>38</v>
      </c>
      <c r="C5685" t="s">
        <v>1573</v>
      </c>
      <c r="D5685" s="4">
        <v>45955</v>
      </c>
      <c r="E5685" t="s">
        <v>1728</v>
      </c>
      <c r="F5685" t="s">
        <v>75</v>
      </c>
      <c r="I5685" s="6">
        <v>0</v>
      </c>
      <c r="J5685" s="6">
        <v>0</v>
      </c>
      <c r="K5685" s="6">
        <v>0</v>
      </c>
      <c r="L5685" s="6">
        <v>0</v>
      </c>
      <c r="M5685" s="6">
        <v>0</v>
      </c>
      <c r="N5685" s="6">
        <v>0</v>
      </c>
      <c r="O5685" s="6">
        <v>0</v>
      </c>
      <c r="P5685" s="6">
        <v>0</v>
      </c>
      <c r="Q5685">
        <v>1</v>
      </c>
      <c r="R5685">
        <f t="shared" si="440"/>
        <v>0</v>
      </c>
      <c r="S5685">
        <f t="shared" si="441"/>
        <v>1</v>
      </c>
      <c r="T5685">
        <f t="shared" si="442"/>
        <v>0</v>
      </c>
      <c r="U5685">
        <f t="shared" si="443"/>
        <v>0</v>
      </c>
      <c r="V5685">
        <f t="shared" si="444"/>
        <v>0</v>
      </c>
    </row>
    <row r="5686" spans="1:22" x14ac:dyDescent="0.25">
      <c r="A5686">
        <v>5683</v>
      </c>
      <c r="B5686" t="s">
        <v>38</v>
      </c>
      <c r="C5686" t="s">
        <v>1573</v>
      </c>
      <c r="D5686" s="4">
        <v>45956</v>
      </c>
      <c r="E5686" t="s">
        <v>1729</v>
      </c>
      <c r="F5686" t="s">
        <v>75</v>
      </c>
      <c r="I5686" s="6">
        <v>0</v>
      </c>
      <c r="J5686" s="6">
        <v>0</v>
      </c>
      <c r="K5686" s="6">
        <v>0</v>
      </c>
      <c r="L5686" s="6">
        <v>0</v>
      </c>
      <c r="M5686" s="6">
        <v>0</v>
      </c>
      <c r="N5686" s="6">
        <v>0</v>
      </c>
      <c r="O5686" s="6">
        <v>0</v>
      </c>
      <c r="P5686" s="6">
        <v>0</v>
      </c>
      <c r="Q5686">
        <v>1</v>
      </c>
      <c r="R5686">
        <f t="shared" si="440"/>
        <v>0</v>
      </c>
      <c r="S5686">
        <f t="shared" si="441"/>
        <v>1</v>
      </c>
      <c r="T5686">
        <f t="shared" si="442"/>
        <v>0</v>
      </c>
      <c r="U5686">
        <f t="shared" si="443"/>
        <v>0</v>
      </c>
      <c r="V5686">
        <f t="shared" si="444"/>
        <v>0</v>
      </c>
    </row>
    <row r="5687" spans="1:22" x14ac:dyDescent="0.25">
      <c r="A5687">
        <v>5684</v>
      </c>
      <c r="B5687" t="s">
        <v>38</v>
      </c>
      <c r="C5687" t="s">
        <v>1573</v>
      </c>
      <c r="D5687" s="4">
        <v>45956</v>
      </c>
      <c r="E5687" t="s">
        <v>1730</v>
      </c>
      <c r="F5687" t="s">
        <v>75</v>
      </c>
      <c r="I5687" s="6">
        <v>1</v>
      </c>
      <c r="J5687" s="6">
        <v>0</v>
      </c>
      <c r="K5687" s="6">
        <v>0</v>
      </c>
      <c r="L5687" s="6">
        <v>0</v>
      </c>
      <c r="M5687" s="6">
        <v>1</v>
      </c>
      <c r="N5687" s="6">
        <v>0</v>
      </c>
      <c r="O5687" s="6">
        <v>0</v>
      </c>
      <c r="P5687" s="6">
        <v>0</v>
      </c>
      <c r="Q5687">
        <v>1</v>
      </c>
      <c r="R5687">
        <f t="shared" si="440"/>
        <v>0</v>
      </c>
      <c r="S5687">
        <f t="shared" si="441"/>
        <v>1</v>
      </c>
      <c r="T5687">
        <f t="shared" si="442"/>
        <v>2</v>
      </c>
      <c r="U5687">
        <f t="shared" si="443"/>
        <v>1</v>
      </c>
      <c r="V5687">
        <f t="shared" si="444"/>
        <v>0</v>
      </c>
    </row>
    <row r="5688" spans="1:22" x14ac:dyDescent="0.25">
      <c r="A5688">
        <v>5685</v>
      </c>
      <c r="B5688" t="s">
        <v>38</v>
      </c>
      <c r="C5688" t="s">
        <v>1573</v>
      </c>
      <c r="D5688" s="4">
        <v>45956</v>
      </c>
      <c r="E5688" t="s">
        <v>1731</v>
      </c>
      <c r="F5688" t="s">
        <v>75</v>
      </c>
      <c r="I5688" s="6">
        <v>0</v>
      </c>
      <c r="J5688" s="6">
        <v>0</v>
      </c>
      <c r="K5688" s="6">
        <v>1</v>
      </c>
      <c r="L5688" s="6">
        <v>0</v>
      </c>
      <c r="M5688" s="6">
        <v>0</v>
      </c>
      <c r="N5688" s="6">
        <v>0</v>
      </c>
      <c r="O5688" s="6">
        <v>0</v>
      </c>
      <c r="P5688" s="6">
        <v>0</v>
      </c>
      <c r="Q5688">
        <v>1</v>
      </c>
      <c r="R5688">
        <f t="shared" si="440"/>
        <v>0</v>
      </c>
      <c r="S5688">
        <f t="shared" si="441"/>
        <v>1</v>
      </c>
      <c r="T5688">
        <f t="shared" si="442"/>
        <v>1</v>
      </c>
      <c r="U5688">
        <f t="shared" si="443"/>
        <v>1</v>
      </c>
      <c r="V5688">
        <f t="shared" si="444"/>
        <v>0</v>
      </c>
    </row>
    <row r="5689" spans="1:22" x14ac:dyDescent="0.25">
      <c r="A5689">
        <v>5686</v>
      </c>
      <c r="B5689" t="s">
        <v>38</v>
      </c>
      <c r="C5689" t="s">
        <v>1573</v>
      </c>
      <c r="D5689" s="4">
        <v>45959</v>
      </c>
      <c r="E5689" t="s">
        <v>1732</v>
      </c>
      <c r="F5689" t="s">
        <v>75</v>
      </c>
      <c r="I5689" s="6">
        <v>0</v>
      </c>
      <c r="J5689" s="6">
        <v>0</v>
      </c>
      <c r="K5689" s="6">
        <v>0</v>
      </c>
      <c r="L5689" s="6">
        <v>0</v>
      </c>
      <c r="M5689" s="6">
        <v>0</v>
      </c>
      <c r="N5689" s="6">
        <v>0</v>
      </c>
      <c r="O5689" s="6">
        <v>0</v>
      </c>
      <c r="P5689" s="6">
        <v>0</v>
      </c>
      <c r="Q5689">
        <v>1</v>
      </c>
      <c r="R5689">
        <f t="shared" si="440"/>
        <v>0</v>
      </c>
      <c r="S5689">
        <f t="shared" si="441"/>
        <v>1</v>
      </c>
      <c r="T5689">
        <f t="shared" si="442"/>
        <v>0</v>
      </c>
      <c r="U5689">
        <f t="shared" si="443"/>
        <v>0</v>
      </c>
      <c r="V5689">
        <f t="shared" si="444"/>
        <v>0</v>
      </c>
    </row>
    <row r="5690" spans="1:22" x14ac:dyDescent="0.25">
      <c r="A5690">
        <v>5687</v>
      </c>
      <c r="B5690" t="s">
        <v>38</v>
      </c>
      <c r="C5690" t="s">
        <v>1573</v>
      </c>
      <c r="D5690" s="4">
        <v>45959</v>
      </c>
      <c r="E5690" t="s">
        <v>1733</v>
      </c>
      <c r="F5690" t="s">
        <v>75</v>
      </c>
      <c r="I5690" s="6">
        <v>0</v>
      </c>
      <c r="J5690" s="6">
        <v>0</v>
      </c>
      <c r="K5690" s="6">
        <v>0</v>
      </c>
      <c r="L5690" s="6">
        <v>0</v>
      </c>
      <c r="M5690" s="6">
        <v>0</v>
      </c>
      <c r="N5690" s="6">
        <v>0</v>
      </c>
      <c r="O5690" s="6">
        <v>0</v>
      </c>
      <c r="P5690" s="6">
        <v>0</v>
      </c>
      <c r="Q5690">
        <v>1</v>
      </c>
      <c r="R5690">
        <f t="shared" si="440"/>
        <v>0</v>
      </c>
      <c r="S5690">
        <f t="shared" si="441"/>
        <v>1</v>
      </c>
      <c r="T5690">
        <f t="shared" si="442"/>
        <v>0</v>
      </c>
      <c r="U5690">
        <f t="shared" si="443"/>
        <v>0</v>
      </c>
      <c r="V5690">
        <f t="shared" si="444"/>
        <v>0</v>
      </c>
    </row>
    <row r="5691" spans="1:22" x14ac:dyDescent="0.25">
      <c r="A5691">
        <v>5688</v>
      </c>
      <c r="B5691" t="s">
        <v>38</v>
      </c>
      <c r="C5691" t="s">
        <v>1573</v>
      </c>
      <c r="D5691" s="4">
        <v>45959</v>
      </c>
      <c r="E5691" t="s">
        <v>1734</v>
      </c>
      <c r="F5691" t="s">
        <v>75</v>
      </c>
      <c r="I5691" s="6">
        <v>1</v>
      </c>
      <c r="J5691" s="6">
        <v>0</v>
      </c>
      <c r="K5691" s="6">
        <v>0</v>
      </c>
      <c r="L5691" s="6">
        <v>1</v>
      </c>
      <c r="M5691" s="6">
        <v>1</v>
      </c>
      <c r="N5691" s="6">
        <v>0</v>
      </c>
      <c r="O5691" s="6">
        <v>0</v>
      </c>
      <c r="P5691" s="6">
        <v>0</v>
      </c>
      <c r="Q5691">
        <v>1</v>
      </c>
      <c r="R5691">
        <f t="shared" si="440"/>
        <v>0</v>
      </c>
      <c r="S5691">
        <f t="shared" si="441"/>
        <v>1</v>
      </c>
      <c r="T5691">
        <f t="shared" si="442"/>
        <v>3</v>
      </c>
      <c r="U5691">
        <f t="shared" si="443"/>
        <v>1</v>
      </c>
      <c r="V5691">
        <f t="shared" si="444"/>
        <v>0</v>
      </c>
    </row>
    <row r="5692" spans="1:22" x14ac:dyDescent="0.25">
      <c r="A5692">
        <v>5689</v>
      </c>
      <c r="B5692" t="s">
        <v>38</v>
      </c>
      <c r="C5692" t="s">
        <v>1573</v>
      </c>
      <c r="D5692" s="4">
        <v>45959</v>
      </c>
      <c r="E5692" t="s">
        <v>1735</v>
      </c>
      <c r="F5692" t="s">
        <v>75</v>
      </c>
      <c r="I5692" s="6">
        <v>1</v>
      </c>
      <c r="J5692" s="6">
        <v>0</v>
      </c>
      <c r="K5692" s="6">
        <v>0</v>
      </c>
      <c r="L5692" s="6">
        <v>1</v>
      </c>
      <c r="M5692" s="6">
        <v>0</v>
      </c>
      <c r="N5692" s="6">
        <v>0</v>
      </c>
      <c r="O5692" s="6">
        <v>0</v>
      </c>
      <c r="P5692" s="6">
        <v>0</v>
      </c>
      <c r="Q5692">
        <v>1</v>
      </c>
      <c r="R5692">
        <f t="shared" si="440"/>
        <v>0</v>
      </c>
      <c r="S5692">
        <f t="shared" si="441"/>
        <v>1</v>
      </c>
      <c r="T5692">
        <f t="shared" si="442"/>
        <v>2</v>
      </c>
      <c r="U5692">
        <f t="shared" si="443"/>
        <v>1</v>
      </c>
      <c r="V5692">
        <f t="shared" si="444"/>
        <v>0</v>
      </c>
    </row>
    <row r="5693" spans="1:22" x14ac:dyDescent="0.25">
      <c r="A5693">
        <v>5690</v>
      </c>
      <c r="B5693" t="s">
        <v>38</v>
      </c>
      <c r="C5693" t="s">
        <v>1573</v>
      </c>
      <c r="D5693" s="4">
        <v>45959</v>
      </c>
      <c r="E5693" t="s">
        <v>1736</v>
      </c>
      <c r="F5693" t="s">
        <v>75</v>
      </c>
      <c r="I5693" s="6">
        <v>1</v>
      </c>
      <c r="J5693" s="6">
        <v>0</v>
      </c>
      <c r="K5693" s="6">
        <v>0</v>
      </c>
      <c r="L5693" s="6">
        <v>0</v>
      </c>
      <c r="M5693" s="6">
        <v>0</v>
      </c>
      <c r="N5693" s="6">
        <v>0</v>
      </c>
      <c r="O5693" s="6">
        <v>0</v>
      </c>
      <c r="P5693" s="6">
        <v>0</v>
      </c>
      <c r="Q5693">
        <v>1</v>
      </c>
      <c r="R5693">
        <f t="shared" si="440"/>
        <v>0</v>
      </c>
      <c r="S5693">
        <f t="shared" si="441"/>
        <v>1</v>
      </c>
      <c r="T5693">
        <f t="shared" si="442"/>
        <v>1</v>
      </c>
      <c r="U5693">
        <f t="shared" si="443"/>
        <v>1</v>
      </c>
      <c r="V5693">
        <f t="shared" si="444"/>
        <v>0</v>
      </c>
    </row>
    <row r="5694" spans="1:22" x14ac:dyDescent="0.25">
      <c r="A5694">
        <v>5691</v>
      </c>
      <c r="B5694" t="s">
        <v>38</v>
      </c>
      <c r="C5694" t="s">
        <v>1573</v>
      </c>
      <c r="D5694" s="4">
        <v>45959</v>
      </c>
      <c r="E5694" t="s">
        <v>1737</v>
      </c>
      <c r="F5694" t="s">
        <v>75</v>
      </c>
      <c r="I5694" s="6">
        <v>1</v>
      </c>
      <c r="J5694" s="6">
        <v>0</v>
      </c>
      <c r="K5694" s="6">
        <v>0</v>
      </c>
      <c r="L5694" s="6">
        <v>0</v>
      </c>
      <c r="M5694" s="6">
        <v>0</v>
      </c>
      <c r="N5694" s="6">
        <v>0</v>
      </c>
      <c r="O5694" s="6">
        <v>0</v>
      </c>
      <c r="P5694" s="6">
        <v>0</v>
      </c>
      <c r="Q5694">
        <v>1</v>
      </c>
      <c r="R5694">
        <f t="shared" si="440"/>
        <v>0</v>
      </c>
      <c r="S5694">
        <f t="shared" si="441"/>
        <v>1</v>
      </c>
      <c r="T5694">
        <f t="shared" si="442"/>
        <v>1</v>
      </c>
      <c r="U5694">
        <f t="shared" si="443"/>
        <v>1</v>
      </c>
      <c r="V5694">
        <f t="shared" si="444"/>
        <v>0</v>
      </c>
    </row>
    <row r="5695" spans="1:22" x14ac:dyDescent="0.25">
      <c r="A5695">
        <v>5692</v>
      </c>
      <c r="B5695" t="s">
        <v>38</v>
      </c>
      <c r="C5695" t="s">
        <v>1573</v>
      </c>
      <c r="D5695" s="4">
        <v>45959</v>
      </c>
      <c r="E5695" t="s">
        <v>1738</v>
      </c>
      <c r="F5695" t="s">
        <v>75</v>
      </c>
      <c r="I5695" s="6">
        <v>1</v>
      </c>
      <c r="J5695" s="6">
        <v>0</v>
      </c>
      <c r="K5695" s="6">
        <v>0</v>
      </c>
      <c r="L5695" s="6">
        <v>0</v>
      </c>
      <c r="M5695" s="6">
        <v>1</v>
      </c>
      <c r="N5695" s="6">
        <v>0</v>
      </c>
      <c r="O5695" s="6">
        <v>0</v>
      </c>
      <c r="P5695" s="6">
        <v>0</v>
      </c>
      <c r="Q5695">
        <v>1</v>
      </c>
      <c r="R5695">
        <f t="shared" si="440"/>
        <v>0</v>
      </c>
      <c r="S5695">
        <f t="shared" si="441"/>
        <v>1</v>
      </c>
      <c r="T5695">
        <f t="shared" si="442"/>
        <v>2</v>
      </c>
      <c r="U5695">
        <f t="shared" si="443"/>
        <v>1</v>
      </c>
      <c r="V5695">
        <f t="shared" si="444"/>
        <v>0</v>
      </c>
    </row>
    <row r="5696" spans="1:22" x14ac:dyDescent="0.25">
      <c r="A5696">
        <v>5693</v>
      </c>
      <c r="B5696" t="s">
        <v>38</v>
      </c>
      <c r="C5696" t="s">
        <v>1573</v>
      </c>
      <c r="D5696" s="4">
        <v>45959</v>
      </c>
      <c r="E5696" t="s">
        <v>1739</v>
      </c>
      <c r="F5696" t="s">
        <v>75</v>
      </c>
      <c r="I5696" s="6">
        <v>0</v>
      </c>
      <c r="J5696" s="6">
        <v>0</v>
      </c>
      <c r="K5696" s="6">
        <v>0</v>
      </c>
      <c r="L5696" s="6">
        <v>0</v>
      </c>
      <c r="M5696" s="6">
        <v>0</v>
      </c>
      <c r="N5696" s="6">
        <v>0</v>
      </c>
      <c r="O5696" s="6">
        <v>0</v>
      </c>
      <c r="P5696" s="6">
        <v>0</v>
      </c>
      <c r="Q5696">
        <v>1</v>
      </c>
      <c r="R5696">
        <f t="shared" si="440"/>
        <v>0</v>
      </c>
      <c r="S5696">
        <f t="shared" si="441"/>
        <v>1</v>
      </c>
      <c r="T5696">
        <f t="shared" si="442"/>
        <v>0</v>
      </c>
      <c r="U5696">
        <f t="shared" si="443"/>
        <v>0</v>
      </c>
      <c r="V5696">
        <f t="shared" si="444"/>
        <v>0</v>
      </c>
    </row>
    <row r="5697" spans="1:22" x14ac:dyDescent="0.25">
      <c r="A5697">
        <v>5694</v>
      </c>
      <c r="B5697" t="s">
        <v>38</v>
      </c>
      <c r="C5697" t="s">
        <v>1573</v>
      </c>
      <c r="D5697" s="4">
        <v>45959</v>
      </c>
      <c r="E5697" t="s">
        <v>2053</v>
      </c>
      <c r="F5697" t="s">
        <v>75</v>
      </c>
      <c r="I5697" s="6">
        <v>0</v>
      </c>
      <c r="J5697" s="6">
        <v>0</v>
      </c>
      <c r="K5697" s="6">
        <v>0</v>
      </c>
      <c r="L5697" s="6">
        <v>0</v>
      </c>
      <c r="M5697" s="6">
        <v>0</v>
      </c>
      <c r="N5697" s="6">
        <v>0</v>
      </c>
      <c r="O5697" s="6">
        <v>0</v>
      </c>
      <c r="P5697" s="6">
        <v>0</v>
      </c>
      <c r="Q5697">
        <v>1</v>
      </c>
      <c r="R5697">
        <f t="shared" si="440"/>
        <v>0</v>
      </c>
      <c r="S5697">
        <f t="shared" si="441"/>
        <v>1</v>
      </c>
      <c r="T5697">
        <f t="shared" si="442"/>
        <v>0</v>
      </c>
      <c r="U5697">
        <f t="shared" si="443"/>
        <v>0</v>
      </c>
      <c r="V5697">
        <f t="shared" si="444"/>
        <v>0</v>
      </c>
    </row>
    <row r="5698" spans="1:22" x14ac:dyDescent="0.25">
      <c r="A5698">
        <v>5695</v>
      </c>
      <c r="B5698" t="s">
        <v>38</v>
      </c>
      <c r="C5698" t="s">
        <v>1573</v>
      </c>
      <c r="D5698" s="4">
        <v>45959</v>
      </c>
      <c r="E5698" t="s">
        <v>1740</v>
      </c>
      <c r="F5698" t="s">
        <v>75</v>
      </c>
      <c r="I5698" s="6">
        <v>0</v>
      </c>
      <c r="J5698" s="6">
        <v>0</v>
      </c>
      <c r="K5698" s="6">
        <v>0</v>
      </c>
      <c r="L5698" s="6">
        <v>0</v>
      </c>
      <c r="M5698" s="6">
        <v>0</v>
      </c>
      <c r="N5698" s="6">
        <v>0</v>
      </c>
      <c r="O5698" s="6">
        <v>0</v>
      </c>
      <c r="P5698" s="6">
        <v>0</v>
      </c>
      <c r="Q5698">
        <v>1</v>
      </c>
      <c r="R5698">
        <f t="shared" si="440"/>
        <v>0</v>
      </c>
      <c r="S5698">
        <f t="shared" si="441"/>
        <v>1</v>
      </c>
      <c r="T5698">
        <f t="shared" si="442"/>
        <v>0</v>
      </c>
      <c r="U5698">
        <f t="shared" si="443"/>
        <v>0</v>
      </c>
      <c r="V5698">
        <f t="shared" si="444"/>
        <v>0</v>
      </c>
    </row>
    <row r="5699" spans="1:22" x14ac:dyDescent="0.25">
      <c r="A5699">
        <v>5696</v>
      </c>
      <c r="B5699" t="s">
        <v>36</v>
      </c>
      <c r="C5699" t="s">
        <v>1573</v>
      </c>
      <c r="D5699" s="4">
        <v>45952</v>
      </c>
      <c r="E5699" t="s">
        <v>1741</v>
      </c>
      <c r="F5699" t="s">
        <v>75</v>
      </c>
      <c r="H5699" t="s">
        <v>1742</v>
      </c>
      <c r="I5699" s="6">
        <v>0</v>
      </c>
      <c r="J5699" s="6">
        <v>0</v>
      </c>
      <c r="K5699" s="6">
        <v>0</v>
      </c>
      <c r="L5699" s="6">
        <v>0</v>
      </c>
      <c r="M5699" s="6">
        <v>0</v>
      </c>
      <c r="N5699" s="6">
        <v>0</v>
      </c>
      <c r="O5699" s="6">
        <v>0</v>
      </c>
      <c r="P5699" s="6">
        <v>0</v>
      </c>
      <c r="Q5699">
        <v>1</v>
      </c>
      <c r="R5699">
        <f t="shared" ref="R5699:R5762" si="445">IF(AND(Q5699=1,F5699="ai_full"),1,0)</f>
        <v>0</v>
      </c>
      <c r="S5699">
        <f t="shared" ref="S5699:S5762" si="446">IF(AND(Q5699=1,F5699="conventional"),1,0)</f>
        <v>1</v>
      </c>
      <c r="T5699">
        <f t="shared" ref="T5699:T5762" si="447">SUM(I5699:P5699)</f>
        <v>0</v>
      </c>
      <c r="U5699">
        <f t="shared" ref="U5699:U5762" si="448">IF(T5699&gt;=1,1,0)</f>
        <v>0</v>
      </c>
      <c r="V5699">
        <f t="shared" ref="V5699:V5762" si="449">IF(F5699="ai_full",1,0)</f>
        <v>0</v>
      </c>
    </row>
    <row r="5700" spans="1:22" x14ac:dyDescent="0.25">
      <c r="A5700">
        <v>5697</v>
      </c>
      <c r="B5700" t="s">
        <v>36</v>
      </c>
      <c r="C5700" t="s">
        <v>1573</v>
      </c>
      <c r="D5700" s="4">
        <v>45952</v>
      </c>
      <c r="E5700" t="s">
        <v>1743</v>
      </c>
      <c r="F5700" t="s">
        <v>75</v>
      </c>
      <c r="I5700" s="6">
        <v>0</v>
      </c>
      <c r="J5700" s="6">
        <v>0</v>
      </c>
      <c r="K5700" s="6">
        <v>0</v>
      </c>
      <c r="L5700" s="6">
        <v>0</v>
      </c>
      <c r="M5700" s="6">
        <v>0</v>
      </c>
      <c r="N5700" s="6">
        <v>0</v>
      </c>
      <c r="O5700" s="6">
        <v>0</v>
      </c>
      <c r="P5700" s="6">
        <v>0</v>
      </c>
      <c r="Q5700">
        <v>1</v>
      </c>
      <c r="R5700">
        <f t="shared" si="445"/>
        <v>0</v>
      </c>
      <c r="S5700">
        <f t="shared" si="446"/>
        <v>1</v>
      </c>
      <c r="T5700">
        <f t="shared" si="447"/>
        <v>0</v>
      </c>
      <c r="U5700">
        <f t="shared" si="448"/>
        <v>0</v>
      </c>
      <c r="V5700">
        <f t="shared" si="449"/>
        <v>0</v>
      </c>
    </row>
    <row r="5701" spans="1:22" x14ac:dyDescent="0.25">
      <c r="A5701">
        <v>5698</v>
      </c>
      <c r="B5701" t="s">
        <v>36</v>
      </c>
      <c r="C5701" t="s">
        <v>1573</v>
      </c>
      <c r="D5701" s="4">
        <v>45953</v>
      </c>
      <c r="E5701" t="s">
        <v>1744</v>
      </c>
      <c r="F5701" t="s">
        <v>75</v>
      </c>
      <c r="H5701" t="s">
        <v>1745</v>
      </c>
      <c r="I5701" s="6">
        <v>1</v>
      </c>
      <c r="J5701" s="6">
        <v>0</v>
      </c>
      <c r="K5701" s="6">
        <v>0</v>
      </c>
      <c r="L5701" s="6">
        <v>0</v>
      </c>
      <c r="M5701" s="6">
        <v>0</v>
      </c>
      <c r="N5701" s="6">
        <v>0</v>
      </c>
      <c r="O5701" s="6">
        <v>0</v>
      </c>
      <c r="P5701" s="6">
        <v>0</v>
      </c>
      <c r="Q5701">
        <v>1</v>
      </c>
      <c r="R5701">
        <f t="shared" si="445"/>
        <v>0</v>
      </c>
      <c r="S5701">
        <f t="shared" si="446"/>
        <v>1</v>
      </c>
      <c r="T5701">
        <f t="shared" si="447"/>
        <v>1</v>
      </c>
      <c r="U5701">
        <f t="shared" si="448"/>
        <v>1</v>
      </c>
      <c r="V5701">
        <f t="shared" si="449"/>
        <v>0</v>
      </c>
    </row>
    <row r="5702" spans="1:22" x14ac:dyDescent="0.25">
      <c r="A5702">
        <v>5699</v>
      </c>
      <c r="B5702" t="s">
        <v>36</v>
      </c>
      <c r="C5702" t="s">
        <v>1573</v>
      </c>
      <c r="D5702" s="4">
        <v>45955</v>
      </c>
      <c r="E5702" t="s">
        <v>1746</v>
      </c>
      <c r="F5702" t="s">
        <v>75</v>
      </c>
      <c r="H5702" t="s">
        <v>1747</v>
      </c>
      <c r="I5702" s="6">
        <v>0</v>
      </c>
      <c r="J5702" s="6">
        <v>0</v>
      </c>
      <c r="K5702" s="6">
        <v>0</v>
      </c>
      <c r="L5702" s="6">
        <v>0</v>
      </c>
      <c r="M5702" s="6">
        <v>0</v>
      </c>
      <c r="N5702" s="6">
        <v>0</v>
      </c>
      <c r="O5702" s="6">
        <v>0</v>
      </c>
      <c r="P5702" s="6">
        <v>0</v>
      </c>
      <c r="Q5702">
        <v>1</v>
      </c>
      <c r="R5702">
        <f t="shared" si="445"/>
        <v>0</v>
      </c>
      <c r="S5702">
        <f t="shared" si="446"/>
        <v>1</v>
      </c>
      <c r="T5702">
        <f t="shared" si="447"/>
        <v>0</v>
      </c>
      <c r="U5702">
        <f t="shared" si="448"/>
        <v>0</v>
      </c>
      <c r="V5702">
        <f t="shared" si="449"/>
        <v>0</v>
      </c>
    </row>
    <row r="5703" spans="1:22" x14ac:dyDescent="0.25">
      <c r="A5703">
        <v>5700</v>
      </c>
      <c r="B5703" t="s">
        <v>36</v>
      </c>
      <c r="C5703" t="s">
        <v>1573</v>
      </c>
      <c r="D5703" s="4">
        <v>45958</v>
      </c>
      <c r="E5703" t="s">
        <v>1748</v>
      </c>
      <c r="F5703" t="s">
        <v>75</v>
      </c>
      <c r="H5703" t="s">
        <v>1749</v>
      </c>
      <c r="I5703" s="6">
        <v>0</v>
      </c>
      <c r="J5703" s="6">
        <v>0</v>
      </c>
      <c r="K5703" s="6">
        <v>0</v>
      </c>
      <c r="L5703" s="6">
        <v>0</v>
      </c>
      <c r="M5703" s="6">
        <v>0</v>
      </c>
      <c r="N5703" s="6">
        <v>0</v>
      </c>
      <c r="O5703" s="6">
        <v>0</v>
      </c>
      <c r="P5703" s="6">
        <v>0</v>
      </c>
      <c r="Q5703">
        <v>1</v>
      </c>
      <c r="R5703">
        <f t="shared" si="445"/>
        <v>0</v>
      </c>
      <c r="S5703">
        <f t="shared" si="446"/>
        <v>1</v>
      </c>
      <c r="T5703">
        <f t="shared" si="447"/>
        <v>0</v>
      </c>
      <c r="U5703">
        <f t="shared" si="448"/>
        <v>0</v>
      </c>
      <c r="V5703">
        <f t="shared" si="449"/>
        <v>0</v>
      </c>
    </row>
    <row r="5704" spans="1:22" x14ac:dyDescent="0.25">
      <c r="A5704">
        <v>5701</v>
      </c>
      <c r="B5704" t="s">
        <v>36</v>
      </c>
      <c r="C5704" t="s">
        <v>1573</v>
      </c>
      <c r="D5704" s="4">
        <v>45958</v>
      </c>
      <c r="E5704" t="s">
        <v>1750</v>
      </c>
      <c r="F5704" t="s">
        <v>75</v>
      </c>
      <c r="I5704" s="6">
        <v>1</v>
      </c>
      <c r="J5704" s="6">
        <v>0</v>
      </c>
      <c r="K5704" s="6">
        <v>0</v>
      </c>
      <c r="L5704" s="6">
        <v>0</v>
      </c>
      <c r="M5704" s="6">
        <v>0</v>
      </c>
      <c r="N5704" s="6">
        <v>0</v>
      </c>
      <c r="O5704" s="6">
        <v>0</v>
      </c>
      <c r="P5704" s="6">
        <v>0</v>
      </c>
      <c r="Q5704">
        <v>1</v>
      </c>
      <c r="R5704">
        <f t="shared" si="445"/>
        <v>0</v>
      </c>
      <c r="S5704">
        <f t="shared" si="446"/>
        <v>1</v>
      </c>
      <c r="T5704">
        <f t="shared" si="447"/>
        <v>1</v>
      </c>
      <c r="U5704">
        <f t="shared" si="448"/>
        <v>1</v>
      </c>
      <c r="V5704">
        <f t="shared" si="449"/>
        <v>0</v>
      </c>
    </row>
    <row r="5705" spans="1:22" x14ac:dyDescent="0.25">
      <c r="A5705">
        <v>5702</v>
      </c>
      <c r="B5705" t="s">
        <v>36</v>
      </c>
      <c r="C5705" t="s">
        <v>1573</v>
      </c>
      <c r="D5705" s="4">
        <v>45958</v>
      </c>
      <c r="E5705" t="s">
        <v>1751</v>
      </c>
      <c r="F5705" t="s">
        <v>75</v>
      </c>
      <c r="I5705" s="6">
        <v>0</v>
      </c>
      <c r="J5705" s="6">
        <v>0</v>
      </c>
      <c r="K5705" s="6">
        <v>0</v>
      </c>
      <c r="L5705" s="6">
        <v>0</v>
      </c>
      <c r="M5705" s="6">
        <v>0</v>
      </c>
      <c r="N5705" s="6">
        <v>0</v>
      </c>
      <c r="O5705" s="6">
        <v>0</v>
      </c>
      <c r="P5705" s="6">
        <v>0</v>
      </c>
      <c r="Q5705">
        <v>1</v>
      </c>
      <c r="R5705">
        <f t="shared" si="445"/>
        <v>0</v>
      </c>
      <c r="S5705">
        <f t="shared" si="446"/>
        <v>1</v>
      </c>
      <c r="T5705">
        <f t="shared" si="447"/>
        <v>0</v>
      </c>
      <c r="U5705">
        <f t="shared" si="448"/>
        <v>0</v>
      </c>
      <c r="V5705">
        <f t="shared" si="449"/>
        <v>0</v>
      </c>
    </row>
    <row r="5706" spans="1:22" x14ac:dyDescent="0.25">
      <c r="A5706">
        <v>5703</v>
      </c>
      <c r="B5706" t="s">
        <v>36</v>
      </c>
      <c r="C5706" t="s">
        <v>1573</v>
      </c>
      <c r="D5706" s="4">
        <v>45959</v>
      </c>
      <c r="E5706" t="s">
        <v>1732</v>
      </c>
      <c r="F5706" t="s">
        <v>75</v>
      </c>
      <c r="H5706" t="s">
        <v>1752</v>
      </c>
      <c r="I5706" s="6">
        <v>0</v>
      </c>
      <c r="J5706" s="6">
        <v>0</v>
      </c>
      <c r="K5706" s="6">
        <v>0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>
        <v>1</v>
      </c>
      <c r="R5706">
        <f t="shared" si="445"/>
        <v>0</v>
      </c>
      <c r="S5706">
        <f t="shared" si="446"/>
        <v>1</v>
      </c>
      <c r="T5706">
        <f t="shared" si="447"/>
        <v>0</v>
      </c>
      <c r="U5706">
        <f t="shared" si="448"/>
        <v>0</v>
      </c>
      <c r="V5706">
        <f t="shared" si="449"/>
        <v>0</v>
      </c>
    </row>
    <row r="5707" spans="1:22" x14ac:dyDescent="0.25">
      <c r="A5707">
        <v>5704</v>
      </c>
      <c r="B5707" t="s">
        <v>36</v>
      </c>
      <c r="C5707" t="s">
        <v>1573</v>
      </c>
      <c r="D5707" s="4">
        <v>45959</v>
      </c>
      <c r="E5707" t="s">
        <v>1734</v>
      </c>
      <c r="F5707" t="s">
        <v>75</v>
      </c>
      <c r="H5707" t="s">
        <v>1753</v>
      </c>
      <c r="I5707" s="6">
        <v>0</v>
      </c>
      <c r="J5707" s="6">
        <v>0</v>
      </c>
      <c r="K5707" s="6">
        <v>0</v>
      </c>
      <c r="L5707" s="6">
        <v>0</v>
      </c>
      <c r="M5707" s="6">
        <v>0</v>
      </c>
      <c r="N5707" s="6">
        <v>0</v>
      </c>
      <c r="O5707" s="6">
        <v>0</v>
      </c>
      <c r="P5707" s="6">
        <v>0</v>
      </c>
      <c r="Q5707">
        <v>1</v>
      </c>
      <c r="R5707">
        <f t="shared" si="445"/>
        <v>0</v>
      </c>
      <c r="S5707">
        <f t="shared" si="446"/>
        <v>1</v>
      </c>
      <c r="T5707">
        <f t="shared" si="447"/>
        <v>0</v>
      </c>
      <c r="U5707">
        <f t="shared" si="448"/>
        <v>0</v>
      </c>
      <c r="V5707">
        <f t="shared" si="449"/>
        <v>0</v>
      </c>
    </row>
    <row r="5708" spans="1:22" x14ac:dyDescent="0.25">
      <c r="A5708">
        <v>5705</v>
      </c>
      <c r="B5708" t="s">
        <v>36</v>
      </c>
      <c r="C5708" t="s">
        <v>1573</v>
      </c>
      <c r="D5708" s="4">
        <v>45959</v>
      </c>
      <c r="E5708" t="s">
        <v>1735</v>
      </c>
      <c r="F5708" t="s">
        <v>75</v>
      </c>
      <c r="I5708" s="6">
        <v>0</v>
      </c>
      <c r="J5708" s="6">
        <v>0</v>
      </c>
      <c r="K5708" s="6">
        <v>0</v>
      </c>
      <c r="L5708" s="6">
        <v>0</v>
      </c>
      <c r="M5708" s="6">
        <v>0</v>
      </c>
      <c r="N5708" s="6">
        <v>0</v>
      </c>
      <c r="O5708" s="6">
        <v>0</v>
      </c>
      <c r="P5708" s="6">
        <v>0</v>
      </c>
      <c r="Q5708">
        <v>1</v>
      </c>
      <c r="R5708">
        <f t="shared" si="445"/>
        <v>0</v>
      </c>
      <c r="S5708">
        <f t="shared" si="446"/>
        <v>1</v>
      </c>
      <c r="T5708">
        <f t="shared" si="447"/>
        <v>0</v>
      </c>
      <c r="U5708">
        <f t="shared" si="448"/>
        <v>0</v>
      </c>
      <c r="V5708">
        <f t="shared" si="449"/>
        <v>0</v>
      </c>
    </row>
    <row r="5709" spans="1:22" x14ac:dyDescent="0.25">
      <c r="A5709">
        <v>5706</v>
      </c>
      <c r="B5709" t="s">
        <v>36</v>
      </c>
      <c r="C5709" t="s">
        <v>1573</v>
      </c>
      <c r="D5709" s="4">
        <v>45959</v>
      </c>
      <c r="E5709" t="s">
        <v>1736</v>
      </c>
      <c r="F5709" t="s">
        <v>75</v>
      </c>
      <c r="H5709" t="s">
        <v>1754</v>
      </c>
      <c r="I5709" s="6">
        <v>0</v>
      </c>
      <c r="J5709" s="6">
        <v>0</v>
      </c>
      <c r="K5709" s="6">
        <v>0</v>
      </c>
      <c r="L5709" s="6">
        <v>0</v>
      </c>
      <c r="M5709" s="6">
        <v>0</v>
      </c>
      <c r="N5709" s="6">
        <v>0</v>
      </c>
      <c r="O5709" s="6">
        <v>0</v>
      </c>
      <c r="P5709" s="6">
        <v>0</v>
      </c>
      <c r="Q5709">
        <v>1</v>
      </c>
      <c r="R5709">
        <f t="shared" si="445"/>
        <v>0</v>
      </c>
      <c r="S5709">
        <f t="shared" si="446"/>
        <v>1</v>
      </c>
      <c r="T5709">
        <f t="shared" si="447"/>
        <v>0</v>
      </c>
      <c r="U5709">
        <f t="shared" si="448"/>
        <v>0</v>
      </c>
      <c r="V5709">
        <f t="shared" si="449"/>
        <v>0</v>
      </c>
    </row>
    <row r="5710" spans="1:22" x14ac:dyDescent="0.25">
      <c r="A5710">
        <v>5707</v>
      </c>
      <c r="B5710" t="s">
        <v>42</v>
      </c>
      <c r="C5710" t="s">
        <v>1755</v>
      </c>
      <c r="D5710" s="4">
        <v>45357</v>
      </c>
      <c r="E5710" t="s">
        <v>1220</v>
      </c>
      <c r="F5710" t="s">
        <v>75</v>
      </c>
      <c r="I5710" s="6">
        <v>0</v>
      </c>
      <c r="J5710" s="6">
        <v>0</v>
      </c>
      <c r="K5710" s="6">
        <v>0</v>
      </c>
      <c r="L5710" s="6">
        <v>0</v>
      </c>
      <c r="M5710" s="6">
        <v>0</v>
      </c>
      <c r="N5710" s="6">
        <v>0</v>
      </c>
      <c r="O5710" s="6">
        <v>0</v>
      </c>
      <c r="P5710" s="6">
        <v>0</v>
      </c>
      <c r="Q5710">
        <v>1</v>
      </c>
      <c r="R5710">
        <f t="shared" si="445"/>
        <v>0</v>
      </c>
      <c r="S5710">
        <f t="shared" si="446"/>
        <v>1</v>
      </c>
      <c r="T5710">
        <f t="shared" si="447"/>
        <v>0</v>
      </c>
      <c r="U5710">
        <f t="shared" si="448"/>
        <v>0</v>
      </c>
      <c r="V5710">
        <f t="shared" si="449"/>
        <v>0</v>
      </c>
    </row>
    <row r="5711" spans="1:22" x14ac:dyDescent="0.25">
      <c r="A5711">
        <v>5708</v>
      </c>
      <c r="B5711" t="s">
        <v>42</v>
      </c>
      <c r="C5711" t="s">
        <v>1755</v>
      </c>
      <c r="D5711" s="4">
        <v>45364</v>
      </c>
      <c r="E5711" t="s">
        <v>1756</v>
      </c>
      <c r="F5711" t="s">
        <v>75</v>
      </c>
      <c r="I5711" s="6">
        <v>0</v>
      </c>
      <c r="J5711" s="6">
        <v>0</v>
      </c>
      <c r="K5711" s="6">
        <v>0</v>
      </c>
      <c r="L5711" s="6">
        <v>0</v>
      </c>
      <c r="M5711" s="6">
        <v>0</v>
      </c>
      <c r="N5711" s="6">
        <v>0</v>
      </c>
      <c r="O5711" s="6">
        <v>0</v>
      </c>
      <c r="P5711" s="6">
        <v>0</v>
      </c>
      <c r="Q5711">
        <v>1</v>
      </c>
      <c r="R5711">
        <f t="shared" si="445"/>
        <v>0</v>
      </c>
      <c r="S5711">
        <f t="shared" si="446"/>
        <v>1</v>
      </c>
      <c r="T5711">
        <f t="shared" si="447"/>
        <v>0</v>
      </c>
      <c r="U5711">
        <f t="shared" si="448"/>
        <v>0</v>
      </c>
      <c r="V5711">
        <f t="shared" si="449"/>
        <v>0</v>
      </c>
    </row>
    <row r="5712" spans="1:22" x14ac:dyDescent="0.25">
      <c r="A5712">
        <v>5709</v>
      </c>
      <c r="B5712" t="s">
        <v>42</v>
      </c>
      <c r="C5712" t="s">
        <v>1755</v>
      </c>
      <c r="D5712" s="4">
        <v>45367</v>
      </c>
      <c r="E5712" t="s">
        <v>853</v>
      </c>
      <c r="F5712" t="s">
        <v>75</v>
      </c>
      <c r="I5712" s="6">
        <v>0</v>
      </c>
      <c r="J5712" s="6">
        <v>0</v>
      </c>
      <c r="K5712" s="6">
        <v>0</v>
      </c>
      <c r="L5712" s="6">
        <v>0</v>
      </c>
      <c r="M5712" s="6">
        <v>0</v>
      </c>
      <c r="N5712" s="6">
        <v>0</v>
      </c>
      <c r="O5712" s="6">
        <v>0</v>
      </c>
      <c r="P5712" s="6">
        <v>0</v>
      </c>
      <c r="Q5712">
        <v>1</v>
      </c>
      <c r="R5712">
        <f t="shared" si="445"/>
        <v>0</v>
      </c>
      <c r="S5712">
        <f t="shared" si="446"/>
        <v>1</v>
      </c>
      <c r="T5712">
        <f t="shared" si="447"/>
        <v>0</v>
      </c>
      <c r="U5712">
        <f t="shared" si="448"/>
        <v>0</v>
      </c>
      <c r="V5712">
        <f t="shared" si="449"/>
        <v>0</v>
      </c>
    </row>
    <row r="5713" spans="1:22" x14ac:dyDescent="0.25">
      <c r="A5713">
        <v>5710</v>
      </c>
      <c r="B5713" t="s">
        <v>42</v>
      </c>
      <c r="C5713" t="s">
        <v>1755</v>
      </c>
      <c r="D5713" s="4">
        <v>45370</v>
      </c>
      <c r="E5713" t="s">
        <v>935</v>
      </c>
      <c r="F5713" t="s">
        <v>75</v>
      </c>
      <c r="I5713" s="6">
        <v>0</v>
      </c>
      <c r="J5713" s="6">
        <v>0</v>
      </c>
      <c r="K5713" s="6">
        <v>0</v>
      </c>
      <c r="L5713" s="6">
        <v>0</v>
      </c>
      <c r="M5713" s="6">
        <v>0</v>
      </c>
      <c r="N5713" s="6">
        <v>0</v>
      </c>
      <c r="O5713" s="6">
        <v>0</v>
      </c>
      <c r="P5713" s="6">
        <v>0</v>
      </c>
      <c r="Q5713">
        <v>1</v>
      </c>
      <c r="R5713">
        <f t="shared" si="445"/>
        <v>0</v>
      </c>
      <c r="S5713">
        <f t="shared" si="446"/>
        <v>1</v>
      </c>
      <c r="T5713">
        <f t="shared" si="447"/>
        <v>0</v>
      </c>
      <c r="U5713">
        <f t="shared" si="448"/>
        <v>0</v>
      </c>
      <c r="V5713">
        <f t="shared" si="449"/>
        <v>0</v>
      </c>
    </row>
    <row r="5714" spans="1:22" x14ac:dyDescent="0.25">
      <c r="A5714">
        <v>5711</v>
      </c>
      <c r="B5714" t="s">
        <v>42</v>
      </c>
      <c r="C5714" t="s">
        <v>1755</v>
      </c>
      <c r="D5714" s="4">
        <v>45370</v>
      </c>
      <c r="E5714" t="s">
        <v>937</v>
      </c>
      <c r="F5714" t="s">
        <v>75</v>
      </c>
      <c r="I5714" s="6">
        <v>0</v>
      </c>
      <c r="J5714" s="6">
        <v>0</v>
      </c>
      <c r="K5714" s="6">
        <v>0</v>
      </c>
      <c r="L5714" s="6">
        <v>0</v>
      </c>
      <c r="M5714" s="6">
        <v>0</v>
      </c>
      <c r="N5714" s="6">
        <v>0</v>
      </c>
      <c r="O5714" s="6">
        <v>0</v>
      </c>
      <c r="P5714" s="6">
        <v>0</v>
      </c>
      <c r="Q5714">
        <v>1</v>
      </c>
      <c r="R5714">
        <f t="shared" si="445"/>
        <v>0</v>
      </c>
      <c r="S5714">
        <f t="shared" si="446"/>
        <v>1</v>
      </c>
      <c r="T5714">
        <f t="shared" si="447"/>
        <v>0</v>
      </c>
      <c r="U5714">
        <f t="shared" si="448"/>
        <v>0</v>
      </c>
      <c r="V5714">
        <f t="shared" si="449"/>
        <v>0</v>
      </c>
    </row>
    <row r="5715" spans="1:22" x14ac:dyDescent="0.25">
      <c r="A5715">
        <v>5712</v>
      </c>
      <c r="B5715" t="s">
        <v>42</v>
      </c>
      <c r="C5715" t="s">
        <v>1755</v>
      </c>
      <c r="D5715" s="4">
        <v>45371</v>
      </c>
      <c r="E5715" t="s">
        <v>1532</v>
      </c>
      <c r="F5715" t="s">
        <v>75</v>
      </c>
      <c r="I5715" s="6">
        <v>0</v>
      </c>
      <c r="J5715" s="6">
        <v>0</v>
      </c>
      <c r="K5715" s="6">
        <v>0</v>
      </c>
      <c r="L5715" s="6">
        <v>0</v>
      </c>
      <c r="M5715" s="6">
        <v>0</v>
      </c>
      <c r="N5715" s="6">
        <v>0</v>
      </c>
      <c r="O5715" s="6">
        <v>0</v>
      </c>
      <c r="P5715" s="6">
        <v>0</v>
      </c>
      <c r="Q5715">
        <v>1</v>
      </c>
      <c r="R5715">
        <f t="shared" si="445"/>
        <v>0</v>
      </c>
      <c r="S5715">
        <f t="shared" si="446"/>
        <v>1</v>
      </c>
      <c r="T5715">
        <f t="shared" si="447"/>
        <v>0</v>
      </c>
      <c r="U5715">
        <f t="shared" si="448"/>
        <v>0</v>
      </c>
      <c r="V5715">
        <f t="shared" si="449"/>
        <v>0</v>
      </c>
    </row>
    <row r="5716" spans="1:22" x14ac:dyDescent="0.25">
      <c r="A5716">
        <v>5713</v>
      </c>
      <c r="B5716" t="s">
        <v>42</v>
      </c>
      <c r="C5716" t="s">
        <v>1755</v>
      </c>
      <c r="D5716" s="4">
        <v>45371</v>
      </c>
      <c r="E5716" t="s">
        <v>938</v>
      </c>
      <c r="F5716" t="s">
        <v>75</v>
      </c>
      <c r="I5716" s="6">
        <v>0</v>
      </c>
      <c r="J5716" s="6">
        <v>0</v>
      </c>
      <c r="K5716" s="6">
        <v>0</v>
      </c>
      <c r="L5716" s="6">
        <v>0</v>
      </c>
      <c r="M5716" s="6">
        <v>0</v>
      </c>
      <c r="N5716" s="6">
        <v>0</v>
      </c>
      <c r="O5716" s="6">
        <v>0</v>
      </c>
      <c r="P5716" s="6">
        <v>0</v>
      </c>
      <c r="Q5716">
        <v>1</v>
      </c>
      <c r="R5716">
        <f t="shared" si="445"/>
        <v>0</v>
      </c>
      <c r="S5716">
        <f t="shared" si="446"/>
        <v>1</v>
      </c>
      <c r="T5716">
        <f t="shared" si="447"/>
        <v>0</v>
      </c>
      <c r="U5716">
        <f t="shared" si="448"/>
        <v>0</v>
      </c>
      <c r="V5716">
        <f t="shared" si="449"/>
        <v>0</v>
      </c>
    </row>
    <row r="5717" spans="1:22" x14ac:dyDescent="0.25">
      <c r="A5717">
        <v>5714</v>
      </c>
      <c r="B5717" t="s">
        <v>42</v>
      </c>
      <c r="C5717" t="s">
        <v>1755</v>
      </c>
      <c r="D5717" s="4">
        <v>45371</v>
      </c>
      <c r="E5717" t="s">
        <v>939</v>
      </c>
      <c r="F5717" t="s">
        <v>75</v>
      </c>
      <c r="I5717" s="6">
        <v>0</v>
      </c>
      <c r="J5717" s="6">
        <v>0</v>
      </c>
      <c r="K5717" s="6">
        <v>0</v>
      </c>
      <c r="L5717" s="6">
        <v>0</v>
      </c>
      <c r="M5717" s="6">
        <v>0</v>
      </c>
      <c r="N5717" s="6">
        <v>0</v>
      </c>
      <c r="O5717" s="6">
        <v>0</v>
      </c>
      <c r="P5717" s="6">
        <v>1</v>
      </c>
      <c r="Q5717">
        <v>1</v>
      </c>
      <c r="R5717">
        <f t="shared" si="445"/>
        <v>0</v>
      </c>
      <c r="S5717">
        <f t="shared" si="446"/>
        <v>1</v>
      </c>
      <c r="T5717">
        <f t="shared" si="447"/>
        <v>1</v>
      </c>
      <c r="U5717">
        <f t="shared" si="448"/>
        <v>1</v>
      </c>
      <c r="V5717">
        <f t="shared" si="449"/>
        <v>0</v>
      </c>
    </row>
    <row r="5718" spans="1:22" x14ac:dyDescent="0.25">
      <c r="A5718">
        <v>5715</v>
      </c>
      <c r="B5718" t="s">
        <v>42</v>
      </c>
      <c r="C5718" t="s">
        <v>1755</v>
      </c>
      <c r="D5718" s="4">
        <v>45373</v>
      </c>
      <c r="E5718" t="s">
        <v>857</v>
      </c>
      <c r="F5718" t="s">
        <v>75</v>
      </c>
      <c r="I5718" s="6">
        <v>1</v>
      </c>
      <c r="J5718" s="6">
        <v>0</v>
      </c>
      <c r="K5718" s="6">
        <v>0</v>
      </c>
      <c r="L5718" s="6">
        <v>0</v>
      </c>
      <c r="M5718" s="6">
        <v>0</v>
      </c>
      <c r="N5718" s="6">
        <v>0</v>
      </c>
      <c r="O5718" s="6">
        <v>0</v>
      </c>
      <c r="P5718" s="6">
        <v>0</v>
      </c>
      <c r="Q5718">
        <v>1</v>
      </c>
      <c r="R5718">
        <f t="shared" si="445"/>
        <v>0</v>
      </c>
      <c r="S5718">
        <f t="shared" si="446"/>
        <v>1</v>
      </c>
      <c r="T5718">
        <f t="shared" si="447"/>
        <v>1</v>
      </c>
      <c r="U5718">
        <f t="shared" si="448"/>
        <v>1</v>
      </c>
      <c r="V5718">
        <f t="shared" si="449"/>
        <v>0</v>
      </c>
    </row>
    <row r="5719" spans="1:22" x14ac:dyDescent="0.25">
      <c r="A5719">
        <v>5716</v>
      </c>
      <c r="B5719" t="s">
        <v>42</v>
      </c>
      <c r="C5719" t="s">
        <v>1755</v>
      </c>
      <c r="D5719" s="4">
        <v>45379</v>
      </c>
      <c r="E5719" t="s">
        <v>1757</v>
      </c>
      <c r="F5719" t="s">
        <v>75</v>
      </c>
      <c r="I5719" s="6">
        <v>0</v>
      </c>
      <c r="J5719" s="6">
        <v>0</v>
      </c>
      <c r="K5719" s="6">
        <v>0</v>
      </c>
      <c r="L5719" s="6">
        <v>0</v>
      </c>
      <c r="M5719" s="6">
        <v>0</v>
      </c>
      <c r="N5719" s="6">
        <v>0</v>
      </c>
      <c r="O5719" s="6">
        <v>0</v>
      </c>
      <c r="P5719" s="6">
        <v>0</v>
      </c>
      <c r="Q5719">
        <v>1</v>
      </c>
      <c r="R5719">
        <f t="shared" si="445"/>
        <v>0</v>
      </c>
      <c r="S5719">
        <f t="shared" si="446"/>
        <v>1</v>
      </c>
      <c r="T5719">
        <f t="shared" si="447"/>
        <v>0</v>
      </c>
      <c r="U5719">
        <f t="shared" si="448"/>
        <v>0</v>
      </c>
      <c r="V5719">
        <f t="shared" si="449"/>
        <v>0</v>
      </c>
    </row>
    <row r="5720" spans="1:22" x14ac:dyDescent="0.25">
      <c r="A5720">
        <v>5717</v>
      </c>
      <c r="B5720" t="s">
        <v>42</v>
      </c>
      <c r="C5720" t="s">
        <v>1755</v>
      </c>
      <c r="D5720" s="4">
        <v>45382</v>
      </c>
      <c r="E5720" t="s">
        <v>950</v>
      </c>
      <c r="F5720" t="s">
        <v>75</v>
      </c>
      <c r="I5720" s="6">
        <v>0</v>
      </c>
      <c r="J5720" s="6">
        <v>0</v>
      </c>
      <c r="K5720" s="6">
        <v>0</v>
      </c>
      <c r="L5720" s="6">
        <v>0</v>
      </c>
      <c r="M5720" s="6">
        <v>0</v>
      </c>
      <c r="N5720" s="6">
        <v>0</v>
      </c>
      <c r="O5720" s="6">
        <v>0</v>
      </c>
      <c r="P5720" s="6">
        <v>0</v>
      </c>
      <c r="Q5720">
        <v>1</v>
      </c>
      <c r="R5720">
        <f t="shared" si="445"/>
        <v>0</v>
      </c>
      <c r="S5720">
        <f t="shared" si="446"/>
        <v>1</v>
      </c>
      <c r="T5720">
        <f t="shared" si="447"/>
        <v>0</v>
      </c>
      <c r="U5720">
        <f t="shared" si="448"/>
        <v>0</v>
      </c>
      <c r="V5720">
        <f t="shared" si="449"/>
        <v>0</v>
      </c>
    </row>
    <row r="5721" spans="1:22" x14ac:dyDescent="0.25">
      <c r="A5721">
        <v>5718</v>
      </c>
      <c r="B5721" t="s">
        <v>42</v>
      </c>
      <c r="C5721" t="s">
        <v>1755</v>
      </c>
      <c r="D5721" s="4">
        <v>45385</v>
      </c>
      <c r="E5721" t="s">
        <v>280</v>
      </c>
      <c r="F5721" t="s">
        <v>75</v>
      </c>
      <c r="I5721" s="6">
        <v>0</v>
      </c>
      <c r="J5721" s="6">
        <v>0</v>
      </c>
      <c r="K5721" s="6">
        <v>0</v>
      </c>
      <c r="L5721" s="6">
        <v>0</v>
      </c>
      <c r="M5721" s="6">
        <v>0</v>
      </c>
      <c r="N5721" s="6">
        <v>0</v>
      </c>
      <c r="O5721" s="6">
        <v>0</v>
      </c>
      <c r="P5721" s="6">
        <v>0</v>
      </c>
      <c r="Q5721">
        <v>1</v>
      </c>
      <c r="R5721">
        <f t="shared" si="445"/>
        <v>0</v>
      </c>
      <c r="S5721">
        <f t="shared" si="446"/>
        <v>1</v>
      </c>
      <c r="T5721">
        <f t="shared" si="447"/>
        <v>0</v>
      </c>
      <c r="U5721">
        <f t="shared" si="448"/>
        <v>0</v>
      </c>
      <c r="V5721">
        <f t="shared" si="449"/>
        <v>0</v>
      </c>
    </row>
    <row r="5722" spans="1:22" x14ac:dyDescent="0.25">
      <c r="A5722">
        <v>5719</v>
      </c>
      <c r="B5722" t="s">
        <v>42</v>
      </c>
      <c r="C5722" t="s">
        <v>1755</v>
      </c>
      <c r="D5722" s="4">
        <v>45386</v>
      </c>
      <c r="E5722" t="s">
        <v>448</v>
      </c>
      <c r="F5722" t="s">
        <v>75</v>
      </c>
      <c r="I5722" s="6">
        <v>0</v>
      </c>
      <c r="J5722" s="6">
        <v>0</v>
      </c>
      <c r="K5722" s="6">
        <v>0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>
        <v>1</v>
      </c>
      <c r="R5722">
        <f t="shared" si="445"/>
        <v>0</v>
      </c>
      <c r="S5722">
        <f t="shared" si="446"/>
        <v>1</v>
      </c>
      <c r="T5722">
        <f t="shared" si="447"/>
        <v>0</v>
      </c>
      <c r="U5722">
        <f t="shared" si="448"/>
        <v>0</v>
      </c>
      <c r="V5722">
        <f t="shared" si="449"/>
        <v>0</v>
      </c>
    </row>
    <row r="5723" spans="1:22" x14ac:dyDescent="0.25">
      <c r="A5723">
        <v>5720</v>
      </c>
      <c r="B5723" t="s">
        <v>42</v>
      </c>
      <c r="C5723" t="s">
        <v>1755</v>
      </c>
      <c r="D5723" s="4">
        <v>45390</v>
      </c>
      <c r="E5723" t="s">
        <v>867</v>
      </c>
      <c r="F5723" t="s">
        <v>75</v>
      </c>
      <c r="I5723" s="6">
        <v>0</v>
      </c>
      <c r="J5723" s="6">
        <v>0</v>
      </c>
      <c r="K5723" s="6">
        <v>0</v>
      </c>
      <c r="L5723" s="6">
        <v>0</v>
      </c>
      <c r="M5723" s="6">
        <v>0</v>
      </c>
      <c r="N5723" s="6">
        <v>0</v>
      </c>
      <c r="O5723" s="6">
        <v>0</v>
      </c>
      <c r="P5723" s="6">
        <v>0</v>
      </c>
      <c r="Q5723">
        <v>1</v>
      </c>
      <c r="R5723">
        <f t="shared" si="445"/>
        <v>0</v>
      </c>
      <c r="S5723">
        <f t="shared" si="446"/>
        <v>1</v>
      </c>
      <c r="T5723">
        <f t="shared" si="447"/>
        <v>0</v>
      </c>
      <c r="U5723">
        <f t="shared" si="448"/>
        <v>0</v>
      </c>
      <c r="V5723">
        <f t="shared" si="449"/>
        <v>0</v>
      </c>
    </row>
    <row r="5724" spans="1:22" x14ac:dyDescent="0.25">
      <c r="A5724">
        <v>5721</v>
      </c>
      <c r="B5724" t="s">
        <v>42</v>
      </c>
      <c r="C5724" t="s">
        <v>1755</v>
      </c>
      <c r="D5724" s="4">
        <v>45393</v>
      </c>
      <c r="E5724" t="s">
        <v>287</v>
      </c>
      <c r="F5724" t="s">
        <v>75</v>
      </c>
      <c r="I5724" s="6">
        <v>0</v>
      </c>
      <c r="J5724" s="6">
        <v>0</v>
      </c>
      <c r="K5724" s="6">
        <v>0</v>
      </c>
      <c r="L5724" s="6">
        <v>0</v>
      </c>
      <c r="M5724" s="6">
        <v>0</v>
      </c>
      <c r="N5724" s="6">
        <v>0</v>
      </c>
      <c r="O5724" s="6">
        <v>0</v>
      </c>
      <c r="P5724" s="6">
        <v>0</v>
      </c>
      <c r="Q5724">
        <v>1</v>
      </c>
      <c r="R5724">
        <f t="shared" si="445"/>
        <v>0</v>
      </c>
      <c r="S5724">
        <f t="shared" si="446"/>
        <v>1</v>
      </c>
      <c r="T5724">
        <f t="shared" si="447"/>
        <v>0</v>
      </c>
      <c r="U5724">
        <f t="shared" si="448"/>
        <v>0</v>
      </c>
      <c r="V5724">
        <f t="shared" si="449"/>
        <v>0</v>
      </c>
    </row>
    <row r="5725" spans="1:22" x14ac:dyDescent="0.25">
      <c r="A5725">
        <v>5722</v>
      </c>
      <c r="B5725" t="s">
        <v>42</v>
      </c>
      <c r="C5725" t="s">
        <v>1755</v>
      </c>
      <c r="D5725" s="4">
        <v>45398</v>
      </c>
      <c r="E5725" t="s">
        <v>456</v>
      </c>
      <c r="F5725" t="s">
        <v>75</v>
      </c>
      <c r="I5725" s="6">
        <v>0</v>
      </c>
      <c r="J5725" s="6">
        <v>0</v>
      </c>
      <c r="K5725" s="6">
        <v>0</v>
      </c>
      <c r="L5725" s="6">
        <v>1</v>
      </c>
      <c r="M5725" s="6">
        <v>0</v>
      </c>
      <c r="N5725" s="6">
        <v>0</v>
      </c>
      <c r="O5725" s="6">
        <v>0</v>
      </c>
      <c r="P5725" s="6">
        <v>0</v>
      </c>
      <c r="Q5725">
        <v>1</v>
      </c>
      <c r="R5725">
        <f t="shared" si="445"/>
        <v>0</v>
      </c>
      <c r="S5725">
        <f t="shared" si="446"/>
        <v>1</v>
      </c>
      <c r="T5725">
        <f t="shared" si="447"/>
        <v>1</v>
      </c>
      <c r="U5725">
        <f t="shared" si="448"/>
        <v>1</v>
      </c>
      <c r="V5725">
        <f t="shared" si="449"/>
        <v>0</v>
      </c>
    </row>
    <row r="5726" spans="1:22" x14ac:dyDescent="0.25">
      <c r="A5726">
        <v>5723</v>
      </c>
      <c r="B5726" t="s">
        <v>42</v>
      </c>
      <c r="C5726" t="s">
        <v>1755</v>
      </c>
      <c r="D5726" s="4">
        <v>45399</v>
      </c>
      <c r="E5726" t="s">
        <v>457</v>
      </c>
      <c r="F5726" t="s">
        <v>75</v>
      </c>
      <c r="I5726" s="6">
        <v>0</v>
      </c>
      <c r="J5726" s="6">
        <v>0</v>
      </c>
      <c r="K5726" s="6">
        <v>0</v>
      </c>
      <c r="L5726" s="6">
        <v>1</v>
      </c>
      <c r="M5726" s="6">
        <v>0</v>
      </c>
      <c r="N5726" s="6">
        <v>0</v>
      </c>
      <c r="O5726" s="6">
        <v>0</v>
      </c>
      <c r="P5726" s="6">
        <v>0</v>
      </c>
      <c r="Q5726">
        <v>1</v>
      </c>
      <c r="R5726">
        <f t="shared" si="445"/>
        <v>0</v>
      </c>
      <c r="S5726">
        <f t="shared" si="446"/>
        <v>1</v>
      </c>
      <c r="T5726">
        <f t="shared" si="447"/>
        <v>1</v>
      </c>
      <c r="U5726">
        <f t="shared" si="448"/>
        <v>1</v>
      </c>
      <c r="V5726">
        <f t="shared" si="449"/>
        <v>0</v>
      </c>
    </row>
    <row r="5727" spans="1:22" x14ac:dyDescent="0.25">
      <c r="A5727">
        <v>5724</v>
      </c>
      <c r="B5727" t="s">
        <v>42</v>
      </c>
      <c r="C5727" t="s">
        <v>1755</v>
      </c>
      <c r="D5727" s="4">
        <v>45401</v>
      </c>
      <c r="E5727" t="s">
        <v>974</v>
      </c>
      <c r="F5727" t="s">
        <v>75</v>
      </c>
      <c r="I5727" s="6">
        <v>0</v>
      </c>
      <c r="J5727" s="6">
        <v>0</v>
      </c>
      <c r="K5727" s="6">
        <v>0</v>
      </c>
      <c r="L5727" s="6">
        <v>1</v>
      </c>
      <c r="M5727" s="6">
        <v>0</v>
      </c>
      <c r="N5727" s="6">
        <v>0</v>
      </c>
      <c r="O5727" s="6">
        <v>0</v>
      </c>
      <c r="P5727" s="6">
        <v>0</v>
      </c>
      <c r="Q5727">
        <v>1</v>
      </c>
      <c r="R5727">
        <f t="shared" si="445"/>
        <v>0</v>
      </c>
      <c r="S5727">
        <f t="shared" si="446"/>
        <v>1</v>
      </c>
      <c r="T5727">
        <f t="shared" si="447"/>
        <v>1</v>
      </c>
      <c r="U5727">
        <f t="shared" si="448"/>
        <v>1</v>
      </c>
      <c r="V5727">
        <f t="shared" si="449"/>
        <v>0</v>
      </c>
    </row>
    <row r="5728" spans="1:22" x14ac:dyDescent="0.25">
      <c r="A5728">
        <v>5725</v>
      </c>
      <c r="B5728" t="s">
        <v>42</v>
      </c>
      <c r="C5728" t="s">
        <v>1755</v>
      </c>
      <c r="D5728" s="4">
        <v>45404</v>
      </c>
      <c r="E5728" t="s">
        <v>1226</v>
      </c>
      <c r="F5728" t="s">
        <v>75</v>
      </c>
      <c r="I5728" s="6">
        <v>0</v>
      </c>
      <c r="J5728" s="6">
        <v>0</v>
      </c>
      <c r="K5728" s="6">
        <v>0</v>
      </c>
      <c r="L5728" s="6">
        <v>0</v>
      </c>
      <c r="M5728" s="6">
        <v>0</v>
      </c>
      <c r="N5728" s="6">
        <v>0</v>
      </c>
      <c r="O5728" s="6">
        <v>0</v>
      </c>
      <c r="P5728" s="6">
        <v>0</v>
      </c>
      <c r="Q5728">
        <v>1</v>
      </c>
      <c r="R5728">
        <f t="shared" si="445"/>
        <v>0</v>
      </c>
      <c r="S5728">
        <f t="shared" si="446"/>
        <v>1</v>
      </c>
      <c r="T5728">
        <f t="shared" si="447"/>
        <v>0</v>
      </c>
      <c r="U5728">
        <f t="shared" si="448"/>
        <v>0</v>
      </c>
      <c r="V5728">
        <f t="shared" si="449"/>
        <v>0</v>
      </c>
    </row>
    <row r="5729" spans="1:22" x14ac:dyDescent="0.25">
      <c r="A5729">
        <v>5726</v>
      </c>
      <c r="B5729" t="s">
        <v>42</v>
      </c>
      <c r="C5729" t="s">
        <v>1755</v>
      </c>
      <c r="D5729" s="4">
        <v>45405</v>
      </c>
      <c r="E5729" t="s">
        <v>303</v>
      </c>
      <c r="F5729" t="s">
        <v>75</v>
      </c>
      <c r="I5729" s="6">
        <v>0</v>
      </c>
      <c r="J5729" s="6">
        <v>0</v>
      </c>
      <c r="K5729" s="6">
        <v>0</v>
      </c>
      <c r="L5729" s="6">
        <v>1</v>
      </c>
      <c r="M5729" s="6">
        <v>0</v>
      </c>
      <c r="N5729" s="6">
        <v>0</v>
      </c>
      <c r="O5729" s="6">
        <v>0</v>
      </c>
      <c r="P5729" s="6">
        <v>0</v>
      </c>
      <c r="Q5729">
        <v>1</v>
      </c>
      <c r="R5729">
        <f t="shared" si="445"/>
        <v>0</v>
      </c>
      <c r="S5729">
        <f t="shared" si="446"/>
        <v>1</v>
      </c>
      <c r="T5729">
        <f t="shared" si="447"/>
        <v>1</v>
      </c>
      <c r="U5729">
        <f t="shared" si="448"/>
        <v>1</v>
      </c>
      <c r="V5729">
        <f t="shared" si="449"/>
        <v>0</v>
      </c>
    </row>
    <row r="5730" spans="1:22" x14ac:dyDescent="0.25">
      <c r="A5730">
        <v>5727</v>
      </c>
      <c r="B5730" t="s">
        <v>42</v>
      </c>
      <c r="C5730" t="s">
        <v>1755</v>
      </c>
      <c r="D5730" s="4">
        <v>45405</v>
      </c>
      <c r="E5730" t="s">
        <v>1072</v>
      </c>
      <c r="F5730" t="s">
        <v>75</v>
      </c>
      <c r="I5730" s="6">
        <v>0</v>
      </c>
      <c r="J5730" s="6">
        <v>0</v>
      </c>
      <c r="K5730" s="6">
        <v>0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>
        <v>1</v>
      </c>
      <c r="R5730">
        <f t="shared" si="445"/>
        <v>0</v>
      </c>
      <c r="S5730">
        <f t="shared" si="446"/>
        <v>1</v>
      </c>
      <c r="T5730">
        <f t="shared" si="447"/>
        <v>0</v>
      </c>
      <c r="U5730">
        <f t="shared" si="448"/>
        <v>0</v>
      </c>
      <c r="V5730">
        <f t="shared" si="449"/>
        <v>0</v>
      </c>
    </row>
    <row r="5731" spans="1:22" x14ac:dyDescent="0.25">
      <c r="A5731">
        <v>5728</v>
      </c>
      <c r="B5731" t="s">
        <v>42</v>
      </c>
      <c r="C5731" t="s">
        <v>1755</v>
      </c>
      <c r="D5731" s="4">
        <v>45412</v>
      </c>
      <c r="E5731" t="s">
        <v>986</v>
      </c>
      <c r="F5731" t="s">
        <v>75</v>
      </c>
      <c r="I5731" s="6">
        <v>0</v>
      </c>
      <c r="J5731" s="6">
        <v>0</v>
      </c>
      <c r="K5731" s="6">
        <v>0</v>
      </c>
      <c r="L5731" s="6">
        <v>0</v>
      </c>
      <c r="M5731" s="6">
        <v>0</v>
      </c>
      <c r="N5731" s="6">
        <v>0</v>
      </c>
      <c r="O5731" s="6">
        <v>0</v>
      </c>
      <c r="P5731" s="6">
        <v>0</v>
      </c>
      <c r="Q5731">
        <v>1</v>
      </c>
      <c r="R5731">
        <f t="shared" si="445"/>
        <v>0</v>
      </c>
      <c r="S5731">
        <f t="shared" si="446"/>
        <v>1</v>
      </c>
      <c r="T5731">
        <f t="shared" si="447"/>
        <v>0</v>
      </c>
      <c r="U5731">
        <f t="shared" si="448"/>
        <v>0</v>
      </c>
      <c r="V5731">
        <f t="shared" si="449"/>
        <v>0</v>
      </c>
    </row>
    <row r="5732" spans="1:22" x14ac:dyDescent="0.25">
      <c r="A5732">
        <v>5729</v>
      </c>
      <c r="B5732" t="s">
        <v>42</v>
      </c>
      <c r="C5732" t="s">
        <v>1755</v>
      </c>
      <c r="D5732" s="4">
        <v>45427</v>
      </c>
      <c r="E5732" t="s">
        <v>1006</v>
      </c>
      <c r="F5732" t="s">
        <v>75</v>
      </c>
      <c r="I5732" s="6">
        <v>0</v>
      </c>
      <c r="J5732" s="6">
        <v>0</v>
      </c>
      <c r="K5732" s="6">
        <v>0</v>
      </c>
      <c r="L5732" s="6">
        <v>0</v>
      </c>
      <c r="M5732" s="6">
        <v>0</v>
      </c>
      <c r="N5732" s="6">
        <v>0</v>
      </c>
      <c r="O5732" s="6">
        <v>0</v>
      </c>
      <c r="P5732" s="6">
        <v>0</v>
      </c>
      <c r="Q5732">
        <v>1</v>
      </c>
      <c r="R5732">
        <f t="shared" si="445"/>
        <v>0</v>
      </c>
      <c r="S5732">
        <f t="shared" si="446"/>
        <v>1</v>
      </c>
      <c r="T5732">
        <f t="shared" si="447"/>
        <v>0</v>
      </c>
      <c r="U5732">
        <f t="shared" si="448"/>
        <v>0</v>
      </c>
      <c r="V5732">
        <f t="shared" si="449"/>
        <v>0</v>
      </c>
    </row>
    <row r="5733" spans="1:22" x14ac:dyDescent="0.25">
      <c r="A5733">
        <v>5730</v>
      </c>
      <c r="B5733" t="s">
        <v>42</v>
      </c>
      <c r="C5733" t="s">
        <v>1755</v>
      </c>
      <c r="D5733" s="4">
        <v>45435</v>
      </c>
      <c r="E5733" t="s">
        <v>361</v>
      </c>
      <c r="F5733" t="s">
        <v>75</v>
      </c>
      <c r="I5733" s="6">
        <v>0</v>
      </c>
      <c r="J5733" s="6">
        <v>0</v>
      </c>
      <c r="K5733" s="6">
        <v>0</v>
      </c>
      <c r="L5733" s="6">
        <v>0</v>
      </c>
      <c r="M5733" s="6">
        <v>0</v>
      </c>
      <c r="N5733" s="6">
        <v>0</v>
      </c>
      <c r="O5733" s="6">
        <v>0</v>
      </c>
      <c r="P5733" s="6">
        <v>0</v>
      </c>
      <c r="Q5733">
        <v>1</v>
      </c>
      <c r="R5733">
        <f t="shared" si="445"/>
        <v>0</v>
      </c>
      <c r="S5733">
        <f t="shared" si="446"/>
        <v>1</v>
      </c>
      <c r="T5733">
        <f t="shared" si="447"/>
        <v>0</v>
      </c>
      <c r="U5733">
        <f t="shared" si="448"/>
        <v>0</v>
      </c>
      <c r="V5733">
        <f t="shared" si="449"/>
        <v>0</v>
      </c>
    </row>
    <row r="5734" spans="1:22" x14ac:dyDescent="0.25">
      <c r="A5734">
        <v>5731</v>
      </c>
      <c r="B5734" t="s">
        <v>42</v>
      </c>
      <c r="C5734" t="s">
        <v>1755</v>
      </c>
      <c r="D5734" s="4">
        <v>45435</v>
      </c>
      <c r="E5734" t="s">
        <v>362</v>
      </c>
      <c r="F5734" t="s">
        <v>75</v>
      </c>
      <c r="I5734" s="6">
        <v>0</v>
      </c>
      <c r="J5734" s="6">
        <v>0</v>
      </c>
      <c r="K5734" s="6">
        <v>0</v>
      </c>
      <c r="L5734" s="6">
        <v>0</v>
      </c>
      <c r="M5734" s="6">
        <v>0</v>
      </c>
      <c r="N5734" s="6">
        <v>0</v>
      </c>
      <c r="O5734" s="6">
        <v>0</v>
      </c>
      <c r="P5734" s="6">
        <v>1</v>
      </c>
      <c r="Q5734">
        <v>1</v>
      </c>
      <c r="R5734">
        <f t="shared" si="445"/>
        <v>0</v>
      </c>
      <c r="S5734">
        <f t="shared" si="446"/>
        <v>1</v>
      </c>
      <c r="T5734">
        <f t="shared" si="447"/>
        <v>1</v>
      </c>
      <c r="U5734">
        <f t="shared" si="448"/>
        <v>1</v>
      </c>
      <c r="V5734">
        <f t="shared" si="449"/>
        <v>0</v>
      </c>
    </row>
    <row r="5735" spans="1:22" x14ac:dyDescent="0.25">
      <c r="A5735">
        <v>5732</v>
      </c>
      <c r="B5735" t="s">
        <v>42</v>
      </c>
      <c r="C5735" t="s">
        <v>1755</v>
      </c>
      <c r="D5735" s="4">
        <v>45436</v>
      </c>
      <c r="E5735" t="s">
        <v>483</v>
      </c>
      <c r="F5735" t="s">
        <v>75</v>
      </c>
      <c r="I5735" s="6">
        <v>0</v>
      </c>
      <c r="J5735" s="6">
        <v>0</v>
      </c>
      <c r="K5735" s="6">
        <v>0</v>
      </c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>
        <v>1</v>
      </c>
      <c r="R5735">
        <f t="shared" si="445"/>
        <v>0</v>
      </c>
      <c r="S5735">
        <f t="shared" si="446"/>
        <v>1</v>
      </c>
      <c r="T5735">
        <f t="shared" si="447"/>
        <v>0</v>
      </c>
      <c r="U5735">
        <f t="shared" si="448"/>
        <v>0</v>
      </c>
      <c r="V5735">
        <f t="shared" si="449"/>
        <v>0</v>
      </c>
    </row>
    <row r="5736" spans="1:22" x14ac:dyDescent="0.25">
      <c r="A5736">
        <v>5733</v>
      </c>
      <c r="B5736" t="s">
        <v>42</v>
      </c>
      <c r="C5736" t="s">
        <v>1755</v>
      </c>
      <c r="D5736" s="4">
        <v>45440</v>
      </c>
      <c r="E5736" t="s">
        <v>488</v>
      </c>
      <c r="F5736" t="s">
        <v>75</v>
      </c>
      <c r="I5736" s="6">
        <v>1</v>
      </c>
      <c r="J5736" s="6">
        <v>0</v>
      </c>
      <c r="K5736" s="6">
        <v>0</v>
      </c>
      <c r="L5736" s="6">
        <v>0</v>
      </c>
      <c r="M5736" s="6">
        <v>0</v>
      </c>
      <c r="N5736" s="6">
        <v>0</v>
      </c>
      <c r="O5736" s="6">
        <v>0</v>
      </c>
      <c r="P5736" s="6">
        <v>0</v>
      </c>
      <c r="Q5736">
        <v>1</v>
      </c>
      <c r="R5736">
        <f t="shared" si="445"/>
        <v>0</v>
      </c>
      <c r="S5736">
        <f t="shared" si="446"/>
        <v>1</v>
      </c>
      <c r="T5736">
        <f t="shared" si="447"/>
        <v>1</v>
      </c>
      <c r="U5736">
        <f t="shared" si="448"/>
        <v>1</v>
      </c>
      <c r="V5736">
        <f t="shared" si="449"/>
        <v>0</v>
      </c>
    </row>
    <row r="5737" spans="1:22" x14ac:dyDescent="0.25">
      <c r="A5737">
        <v>5734</v>
      </c>
      <c r="B5737" t="s">
        <v>42</v>
      </c>
      <c r="C5737" t="s">
        <v>1755</v>
      </c>
      <c r="D5737" s="4">
        <v>45440</v>
      </c>
      <c r="E5737" t="s">
        <v>371</v>
      </c>
      <c r="F5737" t="s">
        <v>75</v>
      </c>
      <c r="I5737" s="6">
        <v>1</v>
      </c>
      <c r="J5737" s="6">
        <v>0</v>
      </c>
      <c r="K5737" s="6">
        <v>0</v>
      </c>
      <c r="L5737" s="6">
        <v>0</v>
      </c>
      <c r="M5737" s="6">
        <v>0</v>
      </c>
      <c r="N5737" s="6">
        <v>0</v>
      </c>
      <c r="O5737" s="6">
        <v>0</v>
      </c>
      <c r="P5737" s="6">
        <v>0</v>
      </c>
      <c r="Q5737">
        <v>1</v>
      </c>
      <c r="R5737">
        <f t="shared" si="445"/>
        <v>0</v>
      </c>
      <c r="S5737">
        <f t="shared" si="446"/>
        <v>1</v>
      </c>
      <c r="T5737">
        <f t="shared" si="447"/>
        <v>1</v>
      </c>
      <c r="U5737">
        <f t="shared" si="448"/>
        <v>1</v>
      </c>
      <c r="V5737">
        <f t="shared" si="449"/>
        <v>0</v>
      </c>
    </row>
    <row r="5738" spans="1:22" x14ac:dyDescent="0.25">
      <c r="A5738">
        <v>5735</v>
      </c>
      <c r="B5738" t="s">
        <v>42</v>
      </c>
      <c r="C5738" t="s">
        <v>1755</v>
      </c>
      <c r="D5738" s="4">
        <v>45441</v>
      </c>
      <c r="E5738" t="s">
        <v>374</v>
      </c>
      <c r="F5738" t="s">
        <v>75</v>
      </c>
      <c r="I5738" s="6">
        <v>1</v>
      </c>
      <c r="J5738" s="6">
        <v>0</v>
      </c>
      <c r="K5738" s="6">
        <v>0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>
        <v>1</v>
      </c>
      <c r="R5738">
        <f t="shared" si="445"/>
        <v>0</v>
      </c>
      <c r="S5738">
        <f t="shared" si="446"/>
        <v>1</v>
      </c>
      <c r="T5738">
        <f t="shared" si="447"/>
        <v>1</v>
      </c>
      <c r="U5738">
        <f t="shared" si="448"/>
        <v>1</v>
      </c>
      <c r="V5738">
        <f t="shared" si="449"/>
        <v>0</v>
      </c>
    </row>
    <row r="5739" spans="1:22" x14ac:dyDescent="0.25">
      <c r="A5739">
        <v>5736</v>
      </c>
      <c r="B5739" t="s">
        <v>42</v>
      </c>
      <c r="C5739" t="s">
        <v>1755</v>
      </c>
      <c r="D5739" s="4">
        <v>45441</v>
      </c>
      <c r="E5739" t="s">
        <v>375</v>
      </c>
      <c r="F5739" t="s">
        <v>75</v>
      </c>
      <c r="I5739" s="6">
        <v>0</v>
      </c>
      <c r="J5739" s="6">
        <v>0</v>
      </c>
      <c r="K5739" s="6">
        <v>0</v>
      </c>
      <c r="L5739" s="6">
        <v>0</v>
      </c>
      <c r="M5739" s="6">
        <v>0</v>
      </c>
      <c r="N5739" s="6">
        <v>0</v>
      </c>
      <c r="O5739" s="6">
        <v>1</v>
      </c>
      <c r="P5739" s="6">
        <v>0</v>
      </c>
      <c r="Q5739">
        <v>1</v>
      </c>
      <c r="R5739">
        <f t="shared" si="445"/>
        <v>0</v>
      </c>
      <c r="S5739">
        <f t="shared" si="446"/>
        <v>1</v>
      </c>
      <c r="T5739">
        <f t="shared" si="447"/>
        <v>1</v>
      </c>
      <c r="U5739">
        <f t="shared" si="448"/>
        <v>1</v>
      </c>
      <c r="V5739">
        <f t="shared" si="449"/>
        <v>0</v>
      </c>
    </row>
    <row r="5740" spans="1:22" x14ac:dyDescent="0.25">
      <c r="A5740">
        <v>5737</v>
      </c>
      <c r="B5740" t="s">
        <v>42</v>
      </c>
      <c r="C5740" t="s">
        <v>1755</v>
      </c>
      <c r="D5740" s="4">
        <v>45442</v>
      </c>
      <c r="E5740" t="s">
        <v>1099</v>
      </c>
      <c r="F5740" t="s">
        <v>75</v>
      </c>
      <c r="I5740" s="6">
        <v>1</v>
      </c>
      <c r="J5740" s="6">
        <v>0</v>
      </c>
      <c r="K5740" s="6">
        <v>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>
        <v>1</v>
      </c>
      <c r="R5740">
        <f t="shared" si="445"/>
        <v>0</v>
      </c>
      <c r="S5740">
        <f t="shared" si="446"/>
        <v>1</v>
      </c>
      <c r="T5740">
        <f t="shared" si="447"/>
        <v>1</v>
      </c>
      <c r="U5740">
        <f t="shared" si="448"/>
        <v>1</v>
      </c>
      <c r="V5740">
        <f t="shared" si="449"/>
        <v>0</v>
      </c>
    </row>
    <row r="5741" spans="1:22" x14ac:dyDescent="0.25">
      <c r="A5741">
        <v>5738</v>
      </c>
      <c r="B5741" t="s">
        <v>42</v>
      </c>
      <c r="C5741" t="s">
        <v>1755</v>
      </c>
      <c r="D5741" s="4">
        <v>45442</v>
      </c>
      <c r="E5741" t="s">
        <v>490</v>
      </c>
      <c r="F5741" t="s">
        <v>75</v>
      </c>
      <c r="I5741" s="6">
        <v>1</v>
      </c>
      <c r="J5741" s="6">
        <v>0</v>
      </c>
      <c r="K5741" s="6">
        <v>0</v>
      </c>
      <c r="L5741" s="6">
        <v>0</v>
      </c>
      <c r="M5741" s="6">
        <v>1</v>
      </c>
      <c r="N5741" s="6">
        <v>0</v>
      </c>
      <c r="O5741" s="6">
        <v>0</v>
      </c>
      <c r="P5741" s="6">
        <v>0</v>
      </c>
      <c r="Q5741">
        <v>1</v>
      </c>
      <c r="R5741">
        <f t="shared" si="445"/>
        <v>0</v>
      </c>
      <c r="S5741">
        <f t="shared" si="446"/>
        <v>1</v>
      </c>
      <c r="T5741">
        <f t="shared" si="447"/>
        <v>2</v>
      </c>
      <c r="U5741">
        <f t="shared" si="448"/>
        <v>1</v>
      </c>
      <c r="V5741">
        <f t="shared" si="449"/>
        <v>0</v>
      </c>
    </row>
    <row r="5742" spans="1:22" x14ac:dyDescent="0.25">
      <c r="A5742">
        <v>5739</v>
      </c>
      <c r="B5742" t="s">
        <v>42</v>
      </c>
      <c r="C5742" t="s">
        <v>1755</v>
      </c>
      <c r="D5742" s="4">
        <v>45442</v>
      </c>
      <c r="E5742" t="s">
        <v>1100</v>
      </c>
      <c r="F5742" t="s">
        <v>75</v>
      </c>
      <c r="I5742" s="6">
        <v>0</v>
      </c>
      <c r="J5742" s="6">
        <v>0</v>
      </c>
      <c r="K5742" s="6">
        <v>0</v>
      </c>
      <c r="L5742" s="6">
        <v>0</v>
      </c>
      <c r="M5742" s="6">
        <v>0</v>
      </c>
      <c r="N5742" s="6">
        <v>0</v>
      </c>
      <c r="O5742" s="6">
        <v>0</v>
      </c>
      <c r="P5742" s="6">
        <v>0</v>
      </c>
      <c r="Q5742">
        <v>1</v>
      </c>
      <c r="R5742">
        <f t="shared" si="445"/>
        <v>0</v>
      </c>
      <c r="S5742">
        <f t="shared" si="446"/>
        <v>1</v>
      </c>
      <c r="T5742">
        <f t="shared" si="447"/>
        <v>0</v>
      </c>
      <c r="U5742">
        <f t="shared" si="448"/>
        <v>0</v>
      </c>
      <c r="V5742">
        <f t="shared" si="449"/>
        <v>0</v>
      </c>
    </row>
    <row r="5743" spans="1:22" x14ac:dyDescent="0.25">
      <c r="A5743">
        <v>5740</v>
      </c>
      <c r="B5743" t="s">
        <v>42</v>
      </c>
      <c r="C5743" t="s">
        <v>1755</v>
      </c>
      <c r="D5743" s="4">
        <v>45442</v>
      </c>
      <c r="E5743" t="s">
        <v>1101</v>
      </c>
      <c r="F5743" t="s">
        <v>75</v>
      </c>
      <c r="I5743" s="6">
        <v>0</v>
      </c>
      <c r="J5743" s="6">
        <v>0</v>
      </c>
      <c r="K5743" s="6">
        <v>0</v>
      </c>
      <c r="L5743" s="6">
        <v>0</v>
      </c>
      <c r="M5743" s="6">
        <v>0</v>
      </c>
      <c r="N5743" s="6">
        <v>0</v>
      </c>
      <c r="O5743" s="6">
        <v>0</v>
      </c>
      <c r="P5743" s="6">
        <v>0</v>
      </c>
      <c r="Q5743">
        <v>1</v>
      </c>
      <c r="R5743">
        <f t="shared" si="445"/>
        <v>0</v>
      </c>
      <c r="S5743">
        <f t="shared" si="446"/>
        <v>1</v>
      </c>
      <c r="T5743">
        <f t="shared" si="447"/>
        <v>0</v>
      </c>
      <c r="U5743">
        <f t="shared" si="448"/>
        <v>0</v>
      </c>
      <c r="V5743">
        <f t="shared" si="449"/>
        <v>0</v>
      </c>
    </row>
    <row r="5744" spans="1:22" x14ac:dyDescent="0.25">
      <c r="A5744">
        <v>5741</v>
      </c>
      <c r="B5744" t="s">
        <v>42</v>
      </c>
      <c r="C5744" t="s">
        <v>1755</v>
      </c>
      <c r="D5744" s="4">
        <v>45443</v>
      </c>
      <c r="E5744" t="s">
        <v>896</v>
      </c>
      <c r="F5744" t="s">
        <v>75</v>
      </c>
      <c r="I5744" s="6">
        <v>0</v>
      </c>
      <c r="J5744" s="6">
        <v>0</v>
      </c>
      <c r="K5744" s="6">
        <v>0</v>
      </c>
      <c r="L5744" s="6">
        <v>0</v>
      </c>
      <c r="M5744" s="6">
        <v>0</v>
      </c>
      <c r="N5744" s="6">
        <v>0</v>
      </c>
      <c r="O5744" s="6">
        <v>0</v>
      </c>
      <c r="P5744" s="6">
        <v>0</v>
      </c>
      <c r="Q5744">
        <v>1</v>
      </c>
      <c r="R5744">
        <f t="shared" si="445"/>
        <v>0</v>
      </c>
      <c r="S5744">
        <f t="shared" si="446"/>
        <v>1</v>
      </c>
      <c r="T5744">
        <f t="shared" si="447"/>
        <v>0</v>
      </c>
      <c r="U5744">
        <f t="shared" si="448"/>
        <v>0</v>
      </c>
      <c r="V5744">
        <f t="shared" si="449"/>
        <v>0</v>
      </c>
    </row>
    <row r="5745" spans="1:22" x14ac:dyDescent="0.25">
      <c r="A5745">
        <v>5742</v>
      </c>
      <c r="B5745" t="s">
        <v>42</v>
      </c>
      <c r="C5745" t="s">
        <v>1755</v>
      </c>
      <c r="D5745" s="4">
        <v>45443</v>
      </c>
      <c r="E5745" t="s">
        <v>897</v>
      </c>
      <c r="F5745" t="s">
        <v>75</v>
      </c>
      <c r="I5745" s="6">
        <v>1</v>
      </c>
      <c r="J5745" s="6">
        <v>0</v>
      </c>
      <c r="K5745" s="6">
        <v>0</v>
      </c>
      <c r="L5745" s="6">
        <v>0</v>
      </c>
      <c r="M5745" s="6">
        <v>1</v>
      </c>
      <c r="N5745" s="6">
        <v>0</v>
      </c>
      <c r="O5745" s="6">
        <v>0</v>
      </c>
      <c r="P5745" s="6">
        <v>0</v>
      </c>
      <c r="Q5745">
        <v>1</v>
      </c>
      <c r="R5745">
        <f t="shared" si="445"/>
        <v>0</v>
      </c>
      <c r="S5745">
        <f t="shared" si="446"/>
        <v>1</v>
      </c>
      <c r="T5745">
        <f t="shared" si="447"/>
        <v>2</v>
      </c>
      <c r="U5745">
        <f t="shared" si="448"/>
        <v>1</v>
      </c>
      <c r="V5745">
        <f t="shared" si="449"/>
        <v>0</v>
      </c>
    </row>
    <row r="5746" spans="1:22" x14ac:dyDescent="0.25">
      <c r="A5746">
        <v>5743</v>
      </c>
      <c r="B5746" t="s">
        <v>42</v>
      </c>
      <c r="C5746" t="s">
        <v>1755</v>
      </c>
      <c r="D5746" s="4">
        <v>45444</v>
      </c>
      <c r="E5746" t="s">
        <v>376</v>
      </c>
      <c r="F5746" t="s">
        <v>75</v>
      </c>
      <c r="I5746" s="6">
        <v>0</v>
      </c>
      <c r="J5746" s="6">
        <v>0</v>
      </c>
      <c r="K5746" s="6">
        <v>0</v>
      </c>
      <c r="L5746" s="6">
        <v>0</v>
      </c>
      <c r="M5746" s="6">
        <v>0</v>
      </c>
      <c r="N5746" s="6">
        <v>0</v>
      </c>
      <c r="O5746" s="6">
        <v>0</v>
      </c>
      <c r="P5746" s="6">
        <v>0</v>
      </c>
      <c r="Q5746">
        <v>1</v>
      </c>
      <c r="R5746">
        <f t="shared" si="445"/>
        <v>0</v>
      </c>
      <c r="S5746">
        <f t="shared" si="446"/>
        <v>1</v>
      </c>
      <c r="T5746">
        <f t="shared" si="447"/>
        <v>0</v>
      </c>
      <c r="U5746">
        <f t="shared" si="448"/>
        <v>0</v>
      </c>
      <c r="V5746">
        <f t="shared" si="449"/>
        <v>0</v>
      </c>
    </row>
    <row r="5747" spans="1:22" x14ac:dyDescent="0.25">
      <c r="A5747">
        <v>5744</v>
      </c>
      <c r="B5747" t="s">
        <v>42</v>
      </c>
      <c r="C5747" t="s">
        <v>1755</v>
      </c>
      <c r="D5747" s="4">
        <v>45444</v>
      </c>
      <c r="E5747" t="s">
        <v>899</v>
      </c>
      <c r="F5747" t="s">
        <v>75</v>
      </c>
      <c r="I5747" s="6">
        <v>0</v>
      </c>
      <c r="J5747" s="6">
        <v>0</v>
      </c>
      <c r="K5747" s="6">
        <v>0</v>
      </c>
      <c r="L5747" s="6">
        <v>0</v>
      </c>
      <c r="M5747" s="6">
        <v>0</v>
      </c>
      <c r="N5747" s="6">
        <v>0</v>
      </c>
      <c r="O5747" s="6">
        <v>0</v>
      </c>
      <c r="P5747" s="6">
        <v>0</v>
      </c>
      <c r="Q5747">
        <v>1</v>
      </c>
      <c r="R5747">
        <f t="shared" si="445"/>
        <v>0</v>
      </c>
      <c r="S5747">
        <f t="shared" si="446"/>
        <v>1</v>
      </c>
      <c r="T5747">
        <f t="shared" si="447"/>
        <v>0</v>
      </c>
      <c r="U5747">
        <f t="shared" si="448"/>
        <v>0</v>
      </c>
      <c r="V5747">
        <f t="shared" si="449"/>
        <v>0</v>
      </c>
    </row>
    <row r="5748" spans="1:22" x14ac:dyDescent="0.25">
      <c r="A5748">
        <v>5745</v>
      </c>
      <c r="B5748" t="s">
        <v>42</v>
      </c>
      <c r="C5748" t="s">
        <v>1755</v>
      </c>
      <c r="D5748" s="4">
        <v>45445</v>
      </c>
      <c r="E5748" t="s">
        <v>380</v>
      </c>
      <c r="F5748" t="s">
        <v>75</v>
      </c>
      <c r="I5748" s="6">
        <v>0</v>
      </c>
      <c r="J5748" s="6">
        <v>0</v>
      </c>
      <c r="K5748" s="6">
        <v>0</v>
      </c>
      <c r="L5748" s="6">
        <v>0</v>
      </c>
      <c r="M5748" s="6">
        <v>0</v>
      </c>
      <c r="N5748" s="6">
        <v>0</v>
      </c>
      <c r="O5748" s="6">
        <v>0</v>
      </c>
      <c r="P5748" s="6">
        <v>0</v>
      </c>
      <c r="Q5748">
        <v>1</v>
      </c>
      <c r="R5748">
        <f t="shared" si="445"/>
        <v>0</v>
      </c>
      <c r="S5748">
        <f t="shared" si="446"/>
        <v>1</v>
      </c>
      <c r="T5748">
        <f t="shared" si="447"/>
        <v>0</v>
      </c>
      <c r="U5748">
        <f t="shared" si="448"/>
        <v>0</v>
      </c>
      <c r="V5748">
        <f t="shared" si="449"/>
        <v>0</v>
      </c>
    </row>
    <row r="5749" spans="1:22" x14ac:dyDescent="0.25">
      <c r="A5749">
        <v>5746</v>
      </c>
      <c r="B5749" t="s">
        <v>42</v>
      </c>
      <c r="C5749" t="s">
        <v>1755</v>
      </c>
      <c r="D5749" s="4">
        <v>45445</v>
      </c>
      <c r="E5749" t="s">
        <v>381</v>
      </c>
      <c r="F5749" t="s">
        <v>75</v>
      </c>
      <c r="I5749" s="6">
        <v>0</v>
      </c>
      <c r="J5749" s="6">
        <v>0</v>
      </c>
      <c r="K5749" s="6">
        <v>0</v>
      </c>
      <c r="L5749" s="6">
        <v>0</v>
      </c>
      <c r="M5749" s="6">
        <v>0</v>
      </c>
      <c r="N5749" s="6">
        <v>0</v>
      </c>
      <c r="O5749" s="6">
        <v>0</v>
      </c>
      <c r="P5749" s="6">
        <v>0</v>
      </c>
      <c r="Q5749">
        <v>1</v>
      </c>
      <c r="R5749">
        <f t="shared" si="445"/>
        <v>0</v>
      </c>
      <c r="S5749">
        <f t="shared" si="446"/>
        <v>1</v>
      </c>
      <c r="T5749">
        <f t="shared" si="447"/>
        <v>0</v>
      </c>
      <c r="U5749">
        <f t="shared" si="448"/>
        <v>0</v>
      </c>
      <c r="V5749">
        <f t="shared" si="449"/>
        <v>0</v>
      </c>
    </row>
    <row r="5750" spans="1:22" x14ac:dyDescent="0.25">
      <c r="A5750">
        <v>5747</v>
      </c>
      <c r="B5750" t="s">
        <v>42</v>
      </c>
      <c r="C5750" t="s">
        <v>1755</v>
      </c>
      <c r="D5750" s="4">
        <v>45445</v>
      </c>
      <c r="E5750" t="s">
        <v>382</v>
      </c>
      <c r="F5750" t="s">
        <v>75</v>
      </c>
      <c r="I5750" s="6">
        <v>0</v>
      </c>
      <c r="J5750" s="6">
        <v>0</v>
      </c>
      <c r="K5750" s="6">
        <v>0</v>
      </c>
      <c r="L5750" s="6">
        <v>0</v>
      </c>
      <c r="M5750" s="6">
        <v>0</v>
      </c>
      <c r="N5750" s="6">
        <v>0</v>
      </c>
      <c r="O5750" s="6">
        <v>0</v>
      </c>
      <c r="P5750" s="6">
        <v>0</v>
      </c>
      <c r="Q5750">
        <v>1</v>
      </c>
      <c r="R5750">
        <f t="shared" si="445"/>
        <v>0</v>
      </c>
      <c r="S5750">
        <f t="shared" si="446"/>
        <v>1</v>
      </c>
      <c r="T5750">
        <f t="shared" si="447"/>
        <v>0</v>
      </c>
      <c r="U5750">
        <f t="shared" si="448"/>
        <v>0</v>
      </c>
      <c r="V5750">
        <f t="shared" si="449"/>
        <v>0</v>
      </c>
    </row>
    <row r="5751" spans="1:22" x14ac:dyDescent="0.25">
      <c r="A5751">
        <v>5748</v>
      </c>
      <c r="B5751" t="s">
        <v>42</v>
      </c>
      <c r="C5751" t="s">
        <v>1755</v>
      </c>
      <c r="D5751" s="4">
        <v>45446</v>
      </c>
      <c r="E5751" t="s">
        <v>383</v>
      </c>
      <c r="F5751" t="s">
        <v>75</v>
      </c>
      <c r="I5751" s="6">
        <v>0</v>
      </c>
      <c r="J5751" s="6">
        <v>0</v>
      </c>
      <c r="K5751" s="6">
        <v>0</v>
      </c>
      <c r="L5751" s="6">
        <v>0</v>
      </c>
      <c r="M5751" s="6">
        <v>0</v>
      </c>
      <c r="N5751" s="6">
        <v>0</v>
      </c>
      <c r="O5751" s="6">
        <v>0</v>
      </c>
      <c r="P5751" s="6">
        <v>0</v>
      </c>
      <c r="Q5751">
        <v>1</v>
      </c>
      <c r="R5751">
        <f t="shared" si="445"/>
        <v>0</v>
      </c>
      <c r="S5751">
        <f t="shared" si="446"/>
        <v>1</v>
      </c>
      <c r="T5751">
        <f t="shared" si="447"/>
        <v>0</v>
      </c>
      <c r="U5751">
        <f t="shared" si="448"/>
        <v>0</v>
      </c>
      <c r="V5751">
        <f t="shared" si="449"/>
        <v>0</v>
      </c>
    </row>
    <row r="5752" spans="1:22" x14ac:dyDescent="0.25">
      <c r="A5752">
        <v>5749</v>
      </c>
      <c r="B5752" t="s">
        <v>42</v>
      </c>
      <c r="C5752" t="s">
        <v>1755</v>
      </c>
      <c r="D5752" s="4">
        <v>45446</v>
      </c>
      <c r="E5752" t="s">
        <v>384</v>
      </c>
      <c r="F5752" t="s">
        <v>75</v>
      </c>
      <c r="I5752" s="6">
        <v>0</v>
      </c>
      <c r="J5752" s="6">
        <v>0</v>
      </c>
      <c r="K5752" s="6">
        <v>0</v>
      </c>
      <c r="L5752" s="6">
        <v>0</v>
      </c>
      <c r="M5752" s="6">
        <v>0</v>
      </c>
      <c r="N5752" s="6">
        <v>0</v>
      </c>
      <c r="O5752" s="6">
        <v>0</v>
      </c>
      <c r="P5752" s="6">
        <v>0</v>
      </c>
      <c r="Q5752">
        <v>1</v>
      </c>
      <c r="R5752">
        <f t="shared" si="445"/>
        <v>0</v>
      </c>
      <c r="S5752">
        <f t="shared" si="446"/>
        <v>1</v>
      </c>
      <c r="T5752">
        <f t="shared" si="447"/>
        <v>0</v>
      </c>
      <c r="U5752">
        <f t="shared" si="448"/>
        <v>0</v>
      </c>
      <c r="V5752">
        <f t="shared" si="449"/>
        <v>0</v>
      </c>
    </row>
    <row r="5753" spans="1:22" x14ac:dyDescent="0.25">
      <c r="A5753">
        <v>5750</v>
      </c>
      <c r="B5753" t="s">
        <v>42</v>
      </c>
      <c r="C5753" t="s">
        <v>1755</v>
      </c>
      <c r="D5753" s="4">
        <v>45447</v>
      </c>
      <c r="E5753" t="s">
        <v>387</v>
      </c>
      <c r="F5753" t="s">
        <v>75</v>
      </c>
      <c r="I5753" s="6">
        <v>0</v>
      </c>
      <c r="J5753" s="6">
        <v>0</v>
      </c>
      <c r="K5753" s="6">
        <v>0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>
        <v>1</v>
      </c>
      <c r="R5753">
        <f t="shared" si="445"/>
        <v>0</v>
      </c>
      <c r="S5753">
        <f t="shared" si="446"/>
        <v>1</v>
      </c>
      <c r="T5753">
        <f t="shared" si="447"/>
        <v>0</v>
      </c>
      <c r="U5753">
        <f t="shared" si="448"/>
        <v>0</v>
      </c>
      <c r="V5753">
        <f t="shared" si="449"/>
        <v>0</v>
      </c>
    </row>
    <row r="5754" spans="1:22" x14ac:dyDescent="0.25">
      <c r="A5754">
        <v>5751</v>
      </c>
      <c r="B5754" t="s">
        <v>42</v>
      </c>
      <c r="C5754" t="s">
        <v>1755</v>
      </c>
      <c r="D5754" s="4">
        <v>45447</v>
      </c>
      <c r="E5754" t="s">
        <v>494</v>
      </c>
      <c r="F5754" t="s">
        <v>75</v>
      </c>
      <c r="I5754" s="6">
        <v>0</v>
      </c>
      <c r="J5754" s="6">
        <v>0</v>
      </c>
      <c r="K5754" s="6">
        <v>0</v>
      </c>
      <c r="L5754" s="6">
        <v>0</v>
      </c>
      <c r="M5754" s="6">
        <v>0</v>
      </c>
      <c r="N5754" s="6">
        <v>0</v>
      </c>
      <c r="O5754" s="6">
        <v>0</v>
      </c>
      <c r="P5754" s="6">
        <v>0</v>
      </c>
      <c r="Q5754">
        <v>1</v>
      </c>
      <c r="R5754">
        <f t="shared" si="445"/>
        <v>0</v>
      </c>
      <c r="S5754">
        <f t="shared" si="446"/>
        <v>1</v>
      </c>
      <c r="T5754">
        <f t="shared" si="447"/>
        <v>0</v>
      </c>
      <c r="U5754">
        <f t="shared" si="448"/>
        <v>0</v>
      </c>
      <c r="V5754">
        <f t="shared" si="449"/>
        <v>0</v>
      </c>
    </row>
    <row r="5755" spans="1:22" x14ac:dyDescent="0.25">
      <c r="A5755">
        <v>5752</v>
      </c>
      <c r="B5755" t="s">
        <v>42</v>
      </c>
      <c r="C5755" t="s">
        <v>1755</v>
      </c>
      <c r="D5755" s="4">
        <v>45447</v>
      </c>
      <c r="E5755" t="s">
        <v>900</v>
      </c>
      <c r="F5755" t="s">
        <v>75</v>
      </c>
      <c r="I5755" s="6">
        <v>0</v>
      </c>
      <c r="J5755" s="6">
        <v>0</v>
      </c>
      <c r="K5755" s="6">
        <v>0</v>
      </c>
      <c r="L5755" s="6">
        <v>0</v>
      </c>
      <c r="M5755" s="6">
        <v>0</v>
      </c>
      <c r="N5755" s="6">
        <v>0</v>
      </c>
      <c r="O5755" s="6">
        <v>0</v>
      </c>
      <c r="P5755" s="6">
        <v>0</v>
      </c>
      <c r="Q5755">
        <v>1</v>
      </c>
      <c r="R5755">
        <f t="shared" si="445"/>
        <v>0</v>
      </c>
      <c r="S5755">
        <f t="shared" si="446"/>
        <v>1</v>
      </c>
      <c r="T5755">
        <f t="shared" si="447"/>
        <v>0</v>
      </c>
      <c r="U5755">
        <f t="shared" si="448"/>
        <v>0</v>
      </c>
      <c r="V5755">
        <f t="shared" si="449"/>
        <v>0</v>
      </c>
    </row>
    <row r="5756" spans="1:22" x14ac:dyDescent="0.25">
      <c r="A5756">
        <v>5753</v>
      </c>
      <c r="B5756" t="s">
        <v>42</v>
      </c>
      <c r="C5756" t="s">
        <v>1755</v>
      </c>
      <c r="D5756" s="4">
        <v>45447</v>
      </c>
      <c r="E5756" t="s">
        <v>1029</v>
      </c>
      <c r="F5756" t="s">
        <v>75</v>
      </c>
      <c r="I5756" s="6">
        <v>0</v>
      </c>
      <c r="J5756" s="6">
        <v>0</v>
      </c>
      <c r="K5756" s="6">
        <v>0</v>
      </c>
      <c r="L5756" s="6">
        <v>0</v>
      </c>
      <c r="M5756" s="6">
        <v>0</v>
      </c>
      <c r="N5756" s="6">
        <v>0</v>
      </c>
      <c r="O5756" s="6">
        <v>0</v>
      </c>
      <c r="P5756" s="6">
        <v>0</v>
      </c>
      <c r="Q5756">
        <v>1</v>
      </c>
      <c r="R5756">
        <f t="shared" si="445"/>
        <v>0</v>
      </c>
      <c r="S5756">
        <f t="shared" si="446"/>
        <v>1</v>
      </c>
      <c r="T5756">
        <f t="shared" si="447"/>
        <v>0</v>
      </c>
      <c r="U5756">
        <f t="shared" si="448"/>
        <v>0</v>
      </c>
      <c r="V5756">
        <f t="shared" si="449"/>
        <v>0</v>
      </c>
    </row>
    <row r="5757" spans="1:22" x14ac:dyDescent="0.25">
      <c r="A5757">
        <v>5754</v>
      </c>
      <c r="B5757" t="s">
        <v>42</v>
      </c>
      <c r="C5757" t="s">
        <v>1755</v>
      </c>
      <c r="D5757" s="4">
        <v>45448</v>
      </c>
      <c r="E5757" t="s">
        <v>497</v>
      </c>
      <c r="F5757" t="s">
        <v>75</v>
      </c>
      <c r="I5757" s="6">
        <v>0</v>
      </c>
      <c r="J5757" s="6">
        <v>0</v>
      </c>
      <c r="K5757" s="6">
        <v>0</v>
      </c>
      <c r="L5757" s="6">
        <v>0</v>
      </c>
      <c r="M5757" s="6">
        <v>0</v>
      </c>
      <c r="N5757" s="6">
        <v>0</v>
      </c>
      <c r="O5757" s="6">
        <v>0</v>
      </c>
      <c r="P5757" s="6">
        <v>0</v>
      </c>
      <c r="Q5757">
        <v>1</v>
      </c>
      <c r="R5757">
        <f t="shared" si="445"/>
        <v>0</v>
      </c>
      <c r="S5757">
        <f t="shared" si="446"/>
        <v>1</v>
      </c>
      <c r="T5757">
        <f t="shared" si="447"/>
        <v>0</v>
      </c>
      <c r="U5757">
        <f t="shared" si="448"/>
        <v>0</v>
      </c>
      <c r="V5757">
        <f t="shared" si="449"/>
        <v>0</v>
      </c>
    </row>
    <row r="5758" spans="1:22" x14ac:dyDescent="0.25">
      <c r="A5758">
        <v>5755</v>
      </c>
      <c r="B5758" t="s">
        <v>42</v>
      </c>
      <c r="C5758" t="s">
        <v>1755</v>
      </c>
      <c r="D5758" s="4">
        <v>45448</v>
      </c>
      <c r="E5758" t="s">
        <v>388</v>
      </c>
      <c r="F5758" t="s">
        <v>75</v>
      </c>
      <c r="I5758" s="6">
        <v>0</v>
      </c>
      <c r="J5758" s="6">
        <v>0</v>
      </c>
      <c r="K5758" s="6">
        <v>0</v>
      </c>
      <c r="L5758" s="6">
        <v>0</v>
      </c>
      <c r="M5758" s="6">
        <v>1</v>
      </c>
      <c r="N5758" s="6">
        <v>0</v>
      </c>
      <c r="O5758" s="6">
        <v>0</v>
      </c>
      <c r="P5758" s="6">
        <v>0</v>
      </c>
      <c r="Q5758">
        <v>1</v>
      </c>
      <c r="R5758">
        <f t="shared" si="445"/>
        <v>0</v>
      </c>
      <c r="S5758">
        <f t="shared" si="446"/>
        <v>1</v>
      </c>
      <c r="T5758">
        <f t="shared" si="447"/>
        <v>1</v>
      </c>
      <c r="U5758">
        <f t="shared" si="448"/>
        <v>1</v>
      </c>
      <c r="V5758">
        <f t="shared" si="449"/>
        <v>0</v>
      </c>
    </row>
    <row r="5759" spans="1:22" x14ac:dyDescent="0.25">
      <c r="A5759">
        <v>5756</v>
      </c>
      <c r="B5759" t="s">
        <v>42</v>
      </c>
      <c r="C5759" t="s">
        <v>1755</v>
      </c>
      <c r="D5759" s="4">
        <v>45448</v>
      </c>
      <c r="E5759" t="s">
        <v>500</v>
      </c>
      <c r="F5759" t="s">
        <v>75</v>
      </c>
      <c r="I5759" s="6">
        <v>0</v>
      </c>
      <c r="J5759" s="6">
        <v>0</v>
      </c>
      <c r="K5759" s="6">
        <v>0</v>
      </c>
      <c r="L5759" s="6">
        <v>0</v>
      </c>
      <c r="M5759" s="6">
        <v>0</v>
      </c>
      <c r="N5759" s="6">
        <v>0</v>
      </c>
      <c r="O5759" s="6">
        <v>0</v>
      </c>
      <c r="P5759" s="6">
        <v>0</v>
      </c>
      <c r="Q5759">
        <v>1</v>
      </c>
      <c r="R5759">
        <f t="shared" si="445"/>
        <v>0</v>
      </c>
      <c r="S5759">
        <f t="shared" si="446"/>
        <v>1</v>
      </c>
      <c r="T5759">
        <f t="shared" si="447"/>
        <v>0</v>
      </c>
      <c r="U5759">
        <f t="shared" si="448"/>
        <v>0</v>
      </c>
      <c r="V5759">
        <f t="shared" si="449"/>
        <v>0</v>
      </c>
    </row>
    <row r="5760" spans="1:22" x14ac:dyDescent="0.25">
      <c r="A5760">
        <v>5757</v>
      </c>
      <c r="B5760" t="s">
        <v>42</v>
      </c>
      <c r="C5760" t="s">
        <v>1755</v>
      </c>
      <c r="D5760" s="4">
        <v>45449</v>
      </c>
      <c r="E5760" t="s">
        <v>389</v>
      </c>
      <c r="F5760" t="s">
        <v>75</v>
      </c>
      <c r="I5760" s="6">
        <v>0</v>
      </c>
      <c r="J5760" s="6">
        <v>0</v>
      </c>
      <c r="K5760" s="6">
        <v>0</v>
      </c>
      <c r="L5760" s="6">
        <v>1</v>
      </c>
      <c r="M5760" s="6">
        <v>0</v>
      </c>
      <c r="N5760" s="6">
        <v>0</v>
      </c>
      <c r="O5760" s="6">
        <v>0</v>
      </c>
      <c r="P5760" s="6">
        <v>0</v>
      </c>
      <c r="Q5760">
        <v>1</v>
      </c>
      <c r="R5760">
        <f t="shared" si="445"/>
        <v>0</v>
      </c>
      <c r="S5760">
        <f t="shared" si="446"/>
        <v>1</v>
      </c>
      <c r="T5760">
        <f t="shared" si="447"/>
        <v>1</v>
      </c>
      <c r="U5760">
        <f t="shared" si="448"/>
        <v>1</v>
      </c>
      <c r="V5760">
        <f t="shared" si="449"/>
        <v>0</v>
      </c>
    </row>
    <row r="5761" spans="1:22" x14ac:dyDescent="0.25">
      <c r="A5761">
        <v>5758</v>
      </c>
      <c r="B5761" t="s">
        <v>42</v>
      </c>
      <c r="C5761" t="s">
        <v>1755</v>
      </c>
      <c r="D5761" s="4">
        <v>45449</v>
      </c>
      <c r="E5761" t="s">
        <v>507</v>
      </c>
      <c r="F5761" t="s">
        <v>75</v>
      </c>
      <c r="I5761" s="6">
        <v>0</v>
      </c>
      <c r="J5761" s="6">
        <v>0</v>
      </c>
      <c r="K5761" s="6">
        <v>0</v>
      </c>
      <c r="L5761" s="6">
        <v>1</v>
      </c>
      <c r="M5761" s="6">
        <v>0</v>
      </c>
      <c r="N5761" s="6">
        <v>0</v>
      </c>
      <c r="O5761" s="6">
        <v>0</v>
      </c>
      <c r="P5761" s="6">
        <v>0</v>
      </c>
      <c r="Q5761">
        <v>1</v>
      </c>
      <c r="R5761">
        <f t="shared" si="445"/>
        <v>0</v>
      </c>
      <c r="S5761">
        <f t="shared" si="446"/>
        <v>1</v>
      </c>
      <c r="T5761">
        <f t="shared" si="447"/>
        <v>1</v>
      </c>
      <c r="U5761">
        <f t="shared" si="448"/>
        <v>1</v>
      </c>
      <c r="V5761">
        <f t="shared" si="449"/>
        <v>0</v>
      </c>
    </row>
    <row r="5762" spans="1:22" x14ac:dyDescent="0.25">
      <c r="A5762">
        <v>5759</v>
      </c>
      <c r="B5762" t="s">
        <v>42</v>
      </c>
      <c r="C5762" t="s">
        <v>1755</v>
      </c>
      <c r="D5762" s="4">
        <v>45449</v>
      </c>
      <c r="E5762" t="s">
        <v>390</v>
      </c>
      <c r="F5762" t="s">
        <v>75</v>
      </c>
      <c r="I5762" s="6">
        <v>0</v>
      </c>
      <c r="J5762" s="6">
        <v>0</v>
      </c>
      <c r="K5762" s="6">
        <v>0</v>
      </c>
      <c r="L5762" s="6">
        <v>1</v>
      </c>
      <c r="M5762" s="6">
        <v>0</v>
      </c>
      <c r="N5762" s="6">
        <v>0</v>
      </c>
      <c r="O5762" s="6">
        <v>0</v>
      </c>
      <c r="P5762" s="6">
        <v>0</v>
      </c>
      <c r="Q5762">
        <v>1</v>
      </c>
      <c r="R5762">
        <f t="shared" si="445"/>
        <v>0</v>
      </c>
      <c r="S5762">
        <f t="shared" si="446"/>
        <v>1</v>
      </c>
      <c r="T5762">
        <f t="shared" si="447"/>
        <v>1</v>
      </c>
      <c r="U5762">
        <f t="shared" si="448"/>
        <v>1</v>
      </c>
      <c r="V5762">
        <f t="shared" si="449"/>
        <v>0</v>
      </c>
    </row>
    <row r="5763" spans="1:22" x14ac:dyDescent="0.25">
      <c r="A5763">
        <v>5760</v>
      </c>
      <c r="B5763" t="s">
        <v>42</v>
      </c>
      <c r="C5763" t="s">
        <v>1755</v>
      </c>
      <c r="D5763" s="4">
        <v>45450</v>
      </c>
      <c r="E5763" t="s">
        <v>392</v>
      </c>
      <c r="F5763" t="s">
        <v>75</v>
      </c>
      <c r="I5763" s="6">
        <v>0</v>
      </c>
      <c r="J5763" s="6">
        <v>0</v>
      </c>
      <c r="K5763" s="6">
        <v>0</v>
      </c>
      <c r="L5763" s="6">
        <v>1</v>
      </c>
      <c r="M5763" s="6">
        <v>0</v>
      </c>
      <c r="N5763" s="6">
        <v>0</v>
      </c>
      <c r="O5763" s="6">
        <v>0</v>
      </c>
      <c r="P5763" s="6">
        <v>0</v>
      </c>
      <c r="Q5763">
        <v>1</v>
      </c>
      <c r="R5763">
        <f t="shared" ref="R5763:R5826" si="450">IF(AND(Q5763=1,F5763="ai_full"),1,0)</f>
        <v>0</v>
      </c>
      <c r="S5763">
        <f t="shared" ref="S5763:S5826" si="451">IF(AND(Q5763=1,F5763="conventional"),1,0)</f>
        <v>1</v>
      </c>
      <c r="T5763">
        <f t="shared" ref="T5763:T5826" si="452">SUM(I5763:P5763)</f>
        <v>1</v>
      </c>
      <c r="U5763">
        <f t="shared" ref="U5763:U5826" si="453">IF(T5763&gt;=1,1,0)</f>
        <v>1</v>
      </c>
      <c r="V5763">
        <f t="shared" ref="V5763:V5826" si="454">IF(F5763="ai_full",1,0)</f>
        <v>0</v>
      </c>
    </row>
    <row r="5764" spans="1:22" x14ac:dyDescent="0.25">
      <c r="A5764">
        <v>5761</v>
      </c>
      <c r="B5764" t="s">
        <v>42</v>
      </c>
      <c r="C5764" t="s">
        <v>1755</v>
      </c>
      <c r="D5764" s="4">
        <v>45450</v>
      </c>
      <c r="E5764" t="s">
        <v>515</v>
      </c>
      <c r="F5764" t="s">
        <v>75</v>
      </c>
      <c r="I5764" s="6">
        <v>0</v>
      </c>
      <c r="J5764" s="6">
        <v>0</v>
      </c>
      <c r="K5764" s="6">
        <v>0</v>
      </c>
      <c r="L5764" s="6">
        <v>1</v>
      </c>
      <c r="M5764" s="6">
        <v>0</v>
      </c>
      <c r="N5764" s="6">
        <v>0</v>
      </c>
      <c r="O5764" s="6">
        <v>0</v>
      </c>
      <c r="P5764" s="6">
        <v>0</v>
      </c>
      <c r="Q5764">
        <v>1</v>
      </c>
      <c r="R5764">
        <f t="shared" si="450"/>
        <v>0</v>
      </c>
      <c r="S5764">
        <f t="shared" si="451"/>
        <v>1</v>
      </c>
      <c r="T5764">
        <f t="shared" si="452"/>
        <v>1</v>
      </c>
      <c r="U5764">
        <f t="shared" si="453"/>
        <v>1</v>
      </c>
      <c r="V5764">
        <f t="shared" si="454"/>
        <v>0</v>
      </c>
    </row>
    <row r="5765" spans="1:22" x14ac:dyDescent="0.25">
      <c r="A5765">
        <v>5762</v>
      </c>
      <c r="B5765" t="s">
        <v>42</v>
      </c>
      <c r="C5765" t="s">
        <v>1755</v>
      </c>
      <c r="D5765" s="4">
        <v>45451</v>
      </c>
      <c r="E5765" t="s">
        <v>1758</v>
      </c>
      <c r="F5765" t="s">
        <v>75</v>
      </c>
      <c r="I5765" s="6">
        <v>0</v>
      </c>
      <c r="J5765" s="6">
        <v>0</v>
      </c>
      <c r="K5765" s="6">
        <v>0</v>
      </c>
      <c r="L5765" s="6">
        <v>0</v>
      </c>
      <c r="M5765" s="6">
        <v>0</v>
      </c>
      <c r="N5765" s="6">
        <v>0</v>
      </c>
      <c r="O5765" s="6">
        <v>0</v>
      </c>
      <c r="P5765" s="6">
        <v>0</v>
      </c>
      <c r="Q5765">
        <v>1</v>
      </c>
      <c r="R5765">
        <f t="shared" si="450"/>
        <v>0</v>
      </c>
      <c r="S5765">
        <f t="shared" si="451"/>
        <v>1</v>
      </c>
      <c r="T5765">
        <f t="shared" si="452"/>
        <v>0</v>
      </c>
      <c r="U5765">
        <f t="shared" si="453"/>
        <v>0</v>
      </c>
      <c r="V5765">
        <f t="shared" si="454"/>
        <v>0</v>
      </c>
    </row>
    <row r="5766" spans="1:22" x14ac:dyDescent="0.25">
      <c r="A5766">
        <v>5763</v>
      </c>
      <c r="B5766" t="s">
        <v>42</v>
      </c>
      <c r="C5766" t="s">
        <v>1755</v>
      </c>
      <c r="D5766" s="4">
        <v>45452</v>
      </c>
      <c r="E5766" t="s">
        <v>398</v>
      </c>
      <c r="F5766" t="s">
        <v>75</v>
      </c>
      <c r="I5766" s="6">
        <v>0</v>
      </c>
      <c r="J5766" s="6">
        <v>0</v>
      </c>
      <c r="K5766" s="6">
        <v>0</v>
      </c>
      <c r="L5766" s="6">
        <v>0</v>
      </c>
      <c r="M5766" s="6">
        <v>0</v>
      </c>
      <c r="N5766" s="6">
        <v>0</v>
      </c>
      <c r="O5766" s="6">
        <v>0</v>
      </c>
      <c r="P5766" s="6">
        <v>0</v>
      </c>
      <c r="Q5766">
        <v>1</v>
      </c>
      <c r="R5766">
        <f t="shared" si="450"/>
        <v>0</v>
      </c>
      <c r="S5766">
        <f t="shared" si="451"/>
        <v>1</v>
      </c>
      <c r="T5766">
        <f t="shared" si="452"/>
        <v>0</v>
      </c>
      <c r="U5766">
        <f t="shared" si="453"/>
        <v>0</v>
      </c>
      <c r="V5766">
        <f t="shared" si="454"/>
        <v>0</v>
      </c>
    </row>
    <row r="5767" spans="1:22" x14ac:dyDescent="0.25">
      <c r="A5767">
        <v>5764</v>
      </c>
      <c r="B5767" t="s">
        <v>42</v>
      </c>
      <c r="C5767" t="s">
        <v>1755</v>
      </c>
      <c r="D5767" s="4">
        <v>45452</v>
      </c>
      <c r="E5767" t="s">
        <v>399</v>
      </c>
      <c r="F5767" t="s">
        <v>75</v>
      </c>
      <c r="I5767" s="6">
        <v>0</v>
      </c>
      <c r="J5767" s="6">
        <v>0</v>
      </c>
      <c r="K5767" s="6">
        <v>0</v>
      </c>
      <c r="L5767" s="6">
        <v>0</v>
      </c>
      <c r="M5767" s="6">
        <v>0</v>
      </c>
      <c r="N5767" s="6">
        <v>0</v>
      </c>
      <c r="O5767" s="6">
        <v>0</v>
      </c>
      <c r="P5767" s="6">
        <v>0</v>
      </c>
      <c r="Q5767">
        <v>1</v>
      </c>
      <c r="R5767">
        <f t="shared" si="450"/>
        <v>0</v>
      </c>
      <c r="S5767">
        <f t="shared" si="451"/>
        <v>1</v>
      </c>
      <c r="T5767">
        <f t="shared" si="452"/>
        <v>0</v>
      </c>
      <c r="U5767">
        <f t="shared" si="453"/>
        <v>0</v>
      </c>
      <c r="V5767">
        <f t="shared" si="454"/>
        <v>0</v>
      </c>
    </row>
    <row r="5768" spans="1:22" x14ac:dyDescent="0.25">
      <c r="A5768">
        <v>5765</v>
      </c>
      <c r="B5768" t="s">
        <v>42</v>
      </c>
      <c r="C5768" t="s">
        <v>1755</v>
      </c>
      <c r="D5768" s="4">
        <v>45452</v>
      </c>
      <c r="E5768" t="s">
        <v>902</v>
      </c>
      <c r="F5768" t="s">
        <v>75</v>
      </c>
      <c r="I5768" s="6">
        <v>0</v>
      </c>
      <c r="J5768" s="6">
        <v>0</v>
      </c>
      <c r="K5768" s="6">
        <v>0</v>
      </c>
      <c r="L5768" s="6">
        <v>0</v>
      </c>
      <c r="M5768" s="6">
        <v>0</v>
      </c>
      <c r="N5768" s="6">
        <v>0</v>
      </c>
      <c r="O5768" s="6">
        <v>0</v>
      </c>
      <c r="P5768" s="6">
        <v>0</v>
      </c>
      <c r="Q5768">
        <v>1</v>
      </c>
      <c r="R5768">
        <f t="shared" si="450"/>
        <v>0</v>
      </c>
      <c r="S5768">
        <f t="shared" si="451"/>
        <v>1</v>
      </c>
      <c r="T5768">
        <f t="shared" si="452"/>
        <v>0</v>
      </c>
      <c r="U5768">
        <f t="shared" si="453"/>
        <v>0</v>
      </c>
      <c r="V5768">
        <f t="shared" si="454"/>
        <v>0</v>
      </c>
    </row>
    <row r="5769" spans="1:22" x14ac:dyDescent="0.25">
      <c r="A5769">
        <v>5766</v>
      </c>
      <c r="B5769" t="s">
        <v>42</v>
      </c>
      <c r="C5769" t="s">
        <v>1755</v>
      </c>
      <c r="D5769" s="4">
        <v>45452</v>
      </c>
      <c r="E5769" t="s">
        <v>400</v>
      </c>
      <c r="F5769" t="s">
        <v>75</v>
      </c>
      <c r="I5769" s="6">
        <v>0</v>
      </c>
      <c r="J5769" s="6">
        <v>0</v>
      </c>
      <c r="K5769" s="6">
        <v>0</v>
      </c>
      <c r="L5769" s="6">
        <v>0</v>
      </c>
      <c r="M5769" s="6">
        <v>0</v>
      </c>
      <c r="N5769" s="6">
        <v>0</v>
      </c>
      <c r="O5769" s="6">
        <v>0</v>
      </c>
      <c r="P5769" s="6">
        <v>0</v>
      </c>
      <c r="Q5769">
        <v>1</v>
      </c>
      <c r="R5769">
        <f t="shared" si="450"/>
        <v>0</v>
      </c>
      <c r="S5769">
        <f t="shared" si="451"/>
        <v>1</v>
      </c>
      <c r="T5769">
        <f t="shared" si="452"/>
        <v>0</v>
      </c>
      <c r="U5769">
        <f t="shared" si="453"/>
        <v>0</v>
      </c>
      <c r="V5769">
        <f t="shared" si="454"/>
        <v>0</v>
      </c>
    </row>
    <row r="5770" spans="1:22" x14ac:dyDescent="0.25">
      <c r="A5770">
        <v>5767</v>
      </c>
      <c r="B5770" t="s">
        <v>42</v>
      </c>
      <c r="C5770" t="s">
        <v>1755</v>
      </c>
      <c r="D5770" s="4">
        <v>45454</v>
      </c>
      <c r="E5770" t="s">
        <v>1759</v>
      </c>
      <c r="F5770" t="s">
        <v>75</v>
      </c>
      <c r="I5770" s="6">
        <v>0</v>
      </c>
      <c r="J5770" s="6">
        <v>0</v>
      </c>
      <c r="K5770" s="6">
        <v>0</v>
      </c>
      <c r="L5770" s="6">
        <v>0</v>
      </c>
      <c r="M5770" s="6">
        <v>0</v>
      </c>
      <c r="N5770" s="6">
        <v>0</v>
      </c>
      <c r="O5770" s="6">
        <v>0</v>
      </c>
      <c r="P5770" s="6">
        <v>0</v>
      </c>
      <c r="Q5770">
        <v>1</v>
      </c>
      <c r="R5770">
        <f t="shared" si="450"/>
        <v>0</v>
      </c>
      <c r="S5770">
        <f t="shared" si="451"/>
        <v>1</v>
      </c>
      <c r="T5770">
        <f t="shared" si="452"/>
        <v>0</v>
      </c>
      <c r="U5770">
        <f t="shared" si="453"/>
        <v>0</v>
      </c>
      <c r="V5770">
        <f t="shared" si="454"/>
        <v>0</v>
      </c>
    </row>
    <row r="5771" spans="1:22" x14ac:dyDescent="0.25">
      <c r="A5771">
        <v>5768</v>
      </c>
      <c r="B5771" t="s">
        <v>42</v>
      </c>
      <c r="C5771" t="s">
        <v>1755</v>
      </c>
      <c r="D5771" s="4">
        <v>45454</v>
      </c>
      <c r="E5771" t="s">
        <v>1760</v>
      </c>
      <c r="F5771" t="s">
        <v>75</v>
      </c>
      <c r="I5771" s="6">
        <v>0</v>
      </c>
      <c r="J5771" s="6">
        <v>0</v>
      </c>
      <c r="K5771" s="6">
        <v>0</v>
      </c>
      <c r="L5771" s="6">
        <v>0</v>
      </c>
      <c r="M5771" s="6">
        <v>0</v>
      </c>
      <c r="N5771" s="6">
        <v>0</v>
      </c>
      <c r="O5771" s="6">
        <v>0</v>
      </c>
      <c r="P5771" s="6">
        <v>0</v>
      </c>
      <c r="Q5771">
        <v>1</v>
      </c>
      <c r="R5771">
        <f t="shared" si="450"/>
        <v>0</v>
      </c>
      <c r="S5771">
        <f t="shared" si="451"/>
        <v>1</v>
      </c>
      <c r="T5771">
        <f t="shared" si="452"/>
        <v>0</v>
      </c>
      <c r="U5771">
        <f t="shared" si="453"/>
        <v>0</v>
      </c>
      <c r="V5771">
        <f t="shared" si="454"/>
        <v>0</v>
      </c>
    </row>
    <row r="5772" spans="1:22" x14ac:dyDescent="0.25">
      <c r="A5772">
        <v>5769</v>
      </c>
      <c r="B5772" t="s">
        <v>42</v>
      </c>
      <c r="C5772" t="s">
        <v>1755</v>
      </c>
      <c r="D5772" s="4">
        <v>45454</v>
      </c>
      <c r="E5772" t="s">
        <v>1761</v>
      </c>
      <c r="F5772" t="s">
        <v>75</v>
      </c>
      <c r="I5772" s="6">
        <v>0</v>
      </c>
      <c r="J5772" s="6">
        <v>0</v>
      </c>
      <c r="K5772" s="6">
        <v>1</v>
      </c>
      <c r="L5772" s="6">
        <v>0</v>
      </c>
      <c r="M5772" s="6">
        <v>0</v>
      </c>
      <c r="N5772" s="6">
        <v>0</v>
      </c>
      <c r="O5772" s="6">
        <v>0</v>
      </c>
      <c r="P5772" s="6">
        <v>0</v>
      </c>
      <c r="Q5772">
        <v>1</v>
      </c>
      <c r="R5772">
        <f t="shared" si="450"/>
        <v>0</v>
      </c>
      <c r="S5772">
        <f t="shared" si="451"/>
        <v>1</v>
      </c>
      <c r="T5772">
        <f t="shared" si="452"/>
        <v>1</v>
      </c>
      <c r="U5772">
        <f t="shared" si="453"/>
        <v>1</v>
      </c>
      <c r="V5772">
        <f t="shared" si="454"/>
        <v>0</v>
      </c>
    </row>
    <row r="5773" spans="1:22" x14ac:dyDescent="0.25">
      <c r="A5773">
        <v>5770</v>
      </c>
      <c r="B5773" t="s">
        <v>42</v>
      </c>
      <c r="C5773" t="s">
        <v>1755</v>
      </c>
      <c r="D5773" s="4">
        <v>45455</v>
      </c>
      <c r="E5773" t="s">
        <v>1762</v>
      </c>
      <c r="F5773" t="s">
        <v>75</v>
      </c>
      <c r="I5773" s="6">
        <v>0</v>
      </c>
      <c r="J5773" s="6">
        <v>0</v>
      </c>
      <c r="K5773" s="6">
        <v>0</v>
      </c>
      <c r="L5773" s="6">
        <v>0</v>
      </c>
      <c r="M5773" s="6">
        <v>0</v>
      </c>
      <c r="N5773" s="6">
        <v>0</v>
      </c>
      <c r="O5773" s="6">
        <v>0</v>
      </c>
      <c r="P5773" s="6">
        <v>0</v>
      </c>
      <c r="Q5773">
        <v>1</v>
      </c>
      <c r="R5773">
        <f t="shared" si="450"/>
        <v>0</v>
      </c>
      <c r="S5773">
        <f t="shared" si="451"/>
        <v>1</v>
      </c>
      <c r="T5773">
        <f t="shared" si="452"/>
        <v>0</v>
      </c>
      <c r="U5773">
        <f t="shared" si="453"/>
        <v>0</v>
      </c>
      <c r="V5773">
        <f t="shared" si="454"/>
        <v>0</v>
      </c>
    </row>
    <row r="5774" spans="1:22" x14ac:dyDescent="0.25">
      <c r="A5774">
        <v>5771</v>
      </c>
      <c r="B5774" t="s">
        <v>42</v>
      </c>
      <c r="C5774" t="s">
        <v>1755</v>
      </c>
      <c r="D5774" s="4">
        <v>45455</v>
      </c>
      <c r="E5774" t="s">
        <v>1763</v>
      </c>
      <c r="F5774" t="s">
        <v>75</v>
      </c>
      <c r="I5774" s="6">
        <v>0</v>
      </c>
      <c r="J5774" s="6">
        <v>0</v>
      </c>
      <c r="K5774" s="6">
        <v>0</v>
      </c>
      <c r="L5774" s="6">
        <v>0</v>
      </c>
      <c r="M5774" s="6">
        <v>0</v>
      </c>
      <c r="N5774" s="6">
        <v>0</v>
      </c>
      <c r="O5774" s="6">
        <v>0</v>
      </c>
      <c r="P5774" s="6">
        <v>0</v>
      </c>
      <c r="Q5774">
        <v>1</v>
      </c>
      <c r="R5774">
        <f t="shared" si="450"/>
        <v>0</v>
      </c>
      <c r="S5774">
        <f t="shared" si="451"/>
        <v>1</v>
      </c>
      <c r="T5774">
        <f t="shared" si="452"/>
        <v>0</v>
      </c>
      <c r="U5774">
        <f t="shared" si="453"/>
        <v>0</v>
      </c>
      <c r="V5774">
        <f t="shared" si="454"/>
        <v>0</v>
      </c>
    </row>
    <row r="5775" spans="1:22" x14ac:dyDescent="0.25">
      <c r="A5775">
        <v>5772</v>
      </c>
      <c r="B5775" t="s">
        <v>42</v>
      </c>
      <c r="C5775" t="s">
        <v>1755</v>
      </c>
      <c r="D5775" s="4">
        <v>45457</v>
      </c>
      <c r="E5775" t="s">
        <v>1764</v>
      </c>
      <c r="F5775" t="s">
        <v>75</v>
      </c>
      <c r="I5775" s="6">
        <v>0</v>
      </c>
      <c r="J5775" s="6">
        <v>0</v>
      </c>
      <c r="K5775" s="6">
        <v>0</v>
      </c>
      <c r="L5775" s="6">
        <v>0</v>
      </c>
      <c r="M5775" s="6">
        <v>0</v>
      </c>
      <c r="N5775" s="6">
        <v>0</v>
      </c>
      <c r="O5775" s="6">
        <v>0</v>
      </c>
      <c r="P5775" s="6">
        <v>0</v>
      </c>
      <c r="Q5775">
        <v>1</v>
      </c>
      <c r="R5775">
        <f t="shared" si="450"/>
        <v>0</v>
      </c>
      <c r="S5775">
        <f t="shared" si="451"/>
        <v>1</v>
      </c>
      <c r="T5775">
        <f t="shared" si="452"/>
        <v>0</v>
      </c>
      <c r="U5775">
        <f t="shared" si="453"/>
        <v>0</v>
      </c>
      <c r="V5775">
        <f t="shared" si="454"/>
        <v>0</v>
      </c>
    </row>
    <row r="5776" spans="1:22" x14ac:dyDescent="0.25">
      <c r="A5776">
        <v>5773</v>
      </c>
      <c r="B5776" t="s">
        <v>42</v>
      </c>
      <c r="C5776" t="s">
        <v>1755</v>
      </c>
      <c r="D5776" s="4">
        <v>45457</v>
      </c>
      <c r="E5776" t="s">
        <v>1765</v>
      </c>
      <c r="F5776" t="s">
        <v>75</v>
      </c>
      <c r="I5776" s="6">
        <v>0</v>
      </c>
      <c r="J5776" s="6">
        <v>0</v>
      </c>
      <c r="K5776" s="6">
        <v>0</v>
      </c>
      <c r="L5776" s="6">
        <v>0</v>
      </c>
      <c r="M5776" s="6">
        <v>0</v>
      </c>
      <c r="N5776" s="6">
        <v>0</v>
      </c>
      <c r="O5776" s="6">
        <v>0</v>
      </c>
      <c r="P5776" s="6">
        <v>0</v>
      </c>
      <c r="Q5776">
        <v>1</v>
      </c>
      <c r="R5776">
        <f t="shared" si="450"/>
        <v>0</v>
      </c>
      <c r="S5776">
        <f t="shared" si="451"/>
        <v>1</v>
      </c>
      <c r="T5776">
        <f t="shared" si="452"/>
        <v>0</v>
      </c>
      <c r="U5776">
        <f t="shared" si="453"/>
        <v>0</v>
      </c>
      <c r="V5776">
        <f t="shared" si="454"/>
        <v>0</v>
      </c>
    </row>
    <row r="5777" spans="1:22" x14ac:dyDescent="0.25">
      <c r="A5777">
        <v>5774</v>
      </c>
      <c r="B5777" t="s">
        <v>42</v>
      </c>
      <c r="C5777" t="s">
        <v>1755</v>
      </c>
      <c r="D5777" s="4">
        <v>45458</v>
      </c>
      <c r="E5777" t="s">
        <v>1248</v>
      </c>
      <c r="F5777" t="s">
        <v>75</v>
      </c>
      <c r="I5777" s="6">
        <v>0</v>
      </c>
      <c r="J5777" s="6">
        <v>0</v>
      </c>
      <c r="K5777" s="6">
        <v>0</v>
      </c>
      <c r="L5777" s="6">
        <v>0</v>
      </c>
      <c r="M5777" s="6">
        <v>0</v>
      </c>
      <c r="N5777" s="6">
        <v>0</v>
      </c>
      <c r="O5777" s="6">
        <v>0</v>
      </c>
      <c r="P5777" s="6">
        <v>0</v>
      </c>
      <c r="Q5777">
        <v>1</v>
      </c>
      <c r="R5777">
        <f t="shared" si="450"/>
        <v>0</v>
      </c>
      <c r="S5777">
        <f t="shared" si="451"/>
        <v>1</v>
      </c>
      <c r="T5777">
        <f t="shared" si="452"/>
        <v>0</v>
      </c>
      <c r="U5777">
        <f t="shared" si="453"/>
        <v>0</v>
      </c>
      <c r="V5777">
        <f t="shared" si="454"/>
        <v>0</v>
      </c>
    </row>
    <row r="5778" spans="1:22" x14ac:dyDescent="0.25">
      <c r="A5778">
        <v>5775</v>
      </c>
      <c r="B5778" t="s">
        <v>42</v>
      </c>
      <c r="C5778" t="s">
        <v>1755</v>
      </c>
      <c r="D5778" s="4">
        <v>45458</v>
      </c>
      <c r="E5778" t="s">
        <v>1249</v>
      </c>
      <c r="F5778" t="s">
        <v>75</v>
      </c>
      <c r="I5778" s="6">
        <v>0</v>
      </c>
      <c r="J5778" s="6">
        <v>0</v>
      </c>
      <c r="K5778" s="6">
        <v>0</v>
      </c>
      <c r="L5778" s="6">
        <v>0</v>
      </c>
      <c r="M5778" s="6">
        <v>0</v>
      </c>
      <c r="N5778" s="6">
        <v>0</v>
      </c>
      <c r="O5778" s="6">
        <v>0</v>
      </c>
      <c r="P5778" s="6">
        <v>0</v>
      </c>
      <c r="Q5778">
        <v>1</v>
      </c>
      <c r="R5778">
        <f t="shared" si="450"/>
        <v>0</v>
      </c>
      <c r="S5778">
        <f t="shared" si="451"/>
        <v>1</v>
      </c>
      <c r="T5778">
        <f t="shared" si="452"/>
        <v>0</v>
      </c>
      <c r="U5778">
        <f t="shared" si="453"/>
        <v>0</v>
      </c>
      <c r="V5778">
        <f t="shared" si="454"/>
        <v>0</v>
      </c>
    </row>
    <row r="5779" spans="1:22" x14ac:dyDescent="0.25">
      <c r="A5779">
        <v>5776</v>
      </c>
      <c r="B5779" t="s">
        <v>42</v>
      </c>
      <c r="C5779" t="s">
        <v>1755</v>
      </c>
      <c r="D5779" s="4">
        <v>45459</v>
      </c>
      <c r="E5779" t="s">
        <v>1766</v>
      </c>
      <c r="F5779" t="s">
        <v>75</v>
      </c>
      <c r="I5779" s="6">
        <v>0</v>
      </c>
      <c r="J5779" s="6">
        <v>0</v>
      </c>
      <c r="K5779" s="6">
        <v>0</v>
      </c>
      <c r="L5779" s="6">
        <v>0</v>
      </c>
      <c r="M5779" s="6">
        <v>0</v>
      </c>
      <c r="N5779" s="6">
        <v>0</v>
      </c>
      <c r="O5779" s="6">
        <v>0</v>
      </c>
      <c r="P5779" s="6">
        <v>0</v>
      </c>
      <c r="Q5779">
        <v>1</v>
      </c>
      <c r="R5779">
        <f t="shared" si="450"/>
        <v>0</v>
      </c>
      <c r="S5779">
        <f t="shared" si="451"/>
        <v>1</v>
      </c>
      <c r="T5779">
        <f t="shared" si="452"/>
        <v>0</v>
      </c>
      <c r="U5779">
        <f t="shared" si="453"/>
        <v>0</v>
      </c>
      <c r="V5779">
        <f t="shared" si="454"/>
        <v>0</v>
      </c>
    </row>
    <row r="5780" spans="1:22" x14ac:dyDescent="0.25">
      <c r="A5780">
        <v>5777</v>
      </c>
      <c r="B5780" t="s">
        <v>42</v>
      </c>
      <c r="C5780" t="s">
        <v>1755</v>
      </c>
      <c r="D5780" s="4">
        <v>45459</v>
      </c>
      <c r="E5780" t="s">
        <v>1767</v>
      </c>
      <c r="F5780" t="s">
        <v>75</v>
      </c>
      <c r="I5780" s="6">
        <v>0</v>
      </c>
      <c r="J5780" s="6">
        <v>0</v>
      </c>
      <c r="K5780" s="6">
        <v>0</v>
      </c>
      <c r="L5780" s="6">
        <v>0</v>
      </c>
      <c r="M5780" s="6">
        <v>0</v>
      </c>
      <c r="N5780" s="6">
        <v>0</v>
      </c>
      <c r="O5780" s="6">
        <v>0</v>
      </c>
      <c r="P5780" s="6">
        <v>0</v>
      </c>
      <c r="Q5780">
        <v>1</v>
      </c>
      <c r="R5780">
        <f t="shared" si="450"/>
        <v>0</v>
      </c>
      <c r="S5780">
        <f t="shared" si="451"/>
        <v>1</v>
      </c>
      <c r="T5780">
        <f t="shared" si="452"/>
        <v>0</v>
      </c>
      <c r="U5780">
        <f t="shared" si="453"/>
        <v>0</v>
      </c>
      <c r="V5780">
        <f t="shared" si="454"/>
        <v>0</v>
      </c>
    </row>
    <row r="5781" spans="1:22" x14ac:dyDescent="0.25">
      <c r="A5781">
        <v>5778</v>
      </c>
      <c r="B5781" t="s">
        <v>42</v>
      </c>
      <c r="C5781" t="s">
        <v>1755</v>
      </c>
      <c r="D5781" s="4">
        <v>45459</v>
      </c>
      <c r="E5781" t="s">
        <v>1768</v>
      </c>
      <c r="F5781" t="s">
        <v>75</v>
      </c>
      <c r="I5781" s="6">
        <v>0</v>
      </c>
      <c r="J5781" s="6">
        <v>0</v>
      </c>
      <c r="K5781" s="6">
        <v>0</v>
      </c>
      <c r="L5781" s="6">
        <v>0</v>
      </c>
      <c r="M5781" s="6">
        <v>0</v>
      </c>
      <c r="N5781" s="6">
        <v>0</v>
      </c>
      <c r="O5781" s="6">
        <v>0</v>
      </c>
      <c r="P5781" s="6">
        <v>0</v>
      </c>
      <c r="Q5781">
        <v>1</v>
      </c>
      <c r="R5781">
        <f t="shared" si="450"/>
        <v>0</v>
      </c>
      <c r="S5781">
        <f t="shared" si="451"/>
        <v>1</v>
      </c>
      <c r="T5781">
        <f t="shared" si="452"/>
        <v>0</v>
      </c>
      <c r="U5781">
        <f t="shared" si="453"/>
        <v>0</v>
      </c>
      <c r="V5781">
        <f t="shared" si="454"/>
        <v>0</v>
      </c>
    </row>
    <row r="5782" spans="1:22" x14ac:dyDescent="0.25">
      <c r="A5782">
        <v>5779</v>
      </c>
      <c r="B5782" t="s">
        <v>42</v>
      </c>
      <c r="C5782" t="s">
        <v>1755</v>
      </c>
      <c r="D5782" s="4">
        <v>45461</v>
      </c>
      <c r="E5782" t="s">
        <v>1769</v>
      </c>
      <c r="F5782" t="s">
        <v>75</v>
      </c>
      <c r="I5782" s="6">
        <v>0</v>
      </c>
      <c r="J5782" s="6">
        <v>0</v>
      </c>
      <c r="K5782" s="6">
        <v>0</v>
      </c>
      <c r="L5782" s="6">
        <v>0</v>
      </c>
      <c r="M5782" s="6">
        <v>0</v>
      </c>
      <c r="N5782" s="6">
        <v>0</v>
      </c>
      <c r="O5782" s="6">
        <v>0</v>
      </c>
      <c r="P5782" s="6">
        <v>0</v>
      </c>
      <c r="Q5782">
        <v>1</v>
      </c>
      <c r="R5782">
        <f t="shared" si="450"/>
        <v>0</v>
      </c>
      <c r="S5782">
        <f t="shared" si="451"/>
        <v>1</v>
      </c>
      <c r="T5782">
        <f t="shared" si="452"/>
        <v>0</v>
      </c>
      <c r="U5782">
        <f t="shared" si="453"/>
        <v>0</v>
      </c>
      <c r="V5782">
        <f t="shared" si="454"/>
        <v>0</v>
      </c>
    </row>
    <row r="5783" spans="1:22" x14ac:dyDescent="0.25">
      <c r="A5783">
        <v>5780</v>
      </c>
      <c r="B5783" t="s">
        <v>42</v>
      </c>
      <c r="C5783" t="s">
        <v>1755</v>
      </c>
      <c r="D5783" s="4">
        <v>45461</v>
      </c>
      <c r="E5783" t="s">
        <v>1770</v>
      </c>
      <c r="F5783" t="s">
        <v>75</v>
      </c>
      <c r="I5783" s="6">
        <v>0</v>
      </c>
      <c r="J5783" s="6">
        <v>0</v>
      </c>
      <c r="K5783" s="6">
        <v>0</v>
      </c>
      <c r="L5783" s="6">
        <v>0</v>
      </c>
      <c r="M5783" s="6">
        <v>0</v>
      </c>
      <c r="N5783" s="6">
        <v>0</v>
      </c>
      <c r="O5783" s="6">
        <v>0</v>
      </c>
      <c r="P5783" s="6">
        <v>0</v>
      </c>
      <c r="Q5783">
        <v>1</v>
      </c>
      <c r="R5783">
        <f t="shared" si="450"/>
        <v>0</v>
      </c>
      <c r="S5783">
        <f t="shared" si="451"/>
        <v>1</v>
      </c>
      <c r="T5783">
        <f t="shared" si="452"/>
        <v>0</v>
      </c>
      <c r="U5783">
        <f t="shared" si="453"/>
        <v>0</v>
      </c>
      <c r="V5783">
        <f t="shared" si="454"/>
        <v>0</v>
      </c>
    </row>
    <row r="5784" spans="1:22" x14ac:dyDescent="0.25">
      <c r="A5784">
        <v>5781</v>
      </c>
      <c r="B5784" t="s">
        <v>42</v>
      </c>
      <c r="C5784" t="s">
        <v>1755</v>
      </c>
      <c r="D5784" s="4">
        <v>45461</v>
      </c>
      <c r="E5784" t="s">
        <v>1427</v>
      </c>
      <c r="F5784" t="s">
        <v>75</v>
      </c>
      <c r="I5784" s="6">
        <v>0</v>
      </c>
      <c r="J5784" s="6">
        <v>0</v>
      </c>
      <c r="K5784" s="6">
        <v>0</v>
      </c>
      <c r="L5784" s="6">
        <v>0</v>
      </c>
      <c r="M5784" s="6">
        <v>0</v>
      </c>
      <c r="N5784" s="6">
        <v>0</v>
      </c>
      <c r="O5784" s="6">
        <v>0</v>
      </c>
      <c r="P5784" s="6">
        <v>0</v>
      </c>
      <c r="Q5784">
        <v>1</v>
      </c>
      <c r="R5784">
        <f t="shared" si="450"/>
        <v>0</v>
      </c>
      <c r="S5784">
        <f t="shared" si="451"/>
        <v>1</v>
      </c>
      <c r="T5784">
        <f t="shared" si="452"/>
        <v>0</v>
      </c>
      <c r="U5784">
        <f t="shared" si="453"/>
        <v>0</v>
      </c>
      <c r="V5784">
        <f t="shared" si="454"/>
        <v>0</v>
      </c>
    </row>
    <row r="5785" spans="1:22" x14ac:dyDescent="0.25">
      <c r="A5785">
        <v>5782</v>
      </c>
      <c r="B5785" t="s">
        <v>42</v>
      </c>
      <c r="C5785" t="s">
        <v>1755</v>
      </c>
      <c r="D5785" s="4">
        <v>45462</v>
      </c>
      <c r="E5785" t="s">
        <v>1252</v>
      </c>
      <c r="F5785" t="s">
        <v>75</v>
      </c>
      <c r="I5785" s="6">
        <v>0</v>
      </c>
      <c r="J5785" s="6">
        <v>0</v>
      </c>
      <c r="K5785" s="6">
        <v>0</v>
      </c>
      <c r="L5785" s="6">
        <v>0</v>
      </c>
      <c r="M5785" s="6">
        <v>0</v>
      </c>
      <c r="N5785" s="6">
        <v>0</v>
      </c>
      <c r="O5785" s="6">
        <v>0</v>
      </c>
      <c r="P5785" s="6">
        <v>0</v>
      </c>
      <c r="Q5785">
        <v>1</v>
      </c>
      <c r="R5785">
        <f t="shared" si="450"/>
        <v>0</v>
      </c>
      <c r="S5785">
        <f t="shared" si="451"/>
        <v>1</v>
      </c>
      <c r="T5785">
        <f t="shared" si="452"/>
        <v>0</v>
      </c>
      <c r="U5785">
        <f t="shared" si="453"/>
        <v>0</v>
      </c>
      <c r="V5785">
        <f t="shared" si="454"/>
        <v>0</v>
      </c>
    </row>
    <row r="5786" spans="1:22" x14ac:dyDescent="0.25">
      <c r="A5786">
        <v>5783</v>
      </c>
      <c r="B5786" t="s">
        <v>42</v>
      </c>
      <c r="C5786" t="s">
        <v>1755</v>
      </c>
      <c r="D5786" s="4">
        <v>45463</v>
      </c>
      <c r="E5786" t="s">
        <v>1429</v>
      </c>
      <c r="F5786" t="s">
        <v>75</v>
      </c>
      <c r="I5786" s="6">
        <v>1</v>
      </c>
      <c r="J5786" s="6">
        <v>0</v>
      </c>
      <c r="K5786" s="6">
        <v>0</v>
      </c>
      <c r="L5786" s="6">
        <v>0</v>
      </c>
      <c r="M5786" s="6">
        <v>1</v>
      </c>
      <c r="N5786" s="6">
        <v>0</v>
      </c>
      <c r="O5786" s="6">
        <v>0</v>
      </c>
      <c r="P5786" s="6">
        <v>0</v>
      </c>
      <c r="Q5786">
        <v>1</v>
      </c>
      <c r="R5786">
        <f t="shared" si="450"/>
        <v>0</v>
      </c>
      <c r="S5786">
        <f t="shared" si="451"/>
        <v>1</v>
      </c>
      <c r="T5786">
        <f t="shared" si="452"/>
        <v>2</v>
      </c>
      <c r="U5786">
        <f t="shared" si="453"/>
        <v>1</v>
      </c>
      <c r="V5786">
        <f t="shared" si="454"/>
        <v>0</v>
      </c>
    </row>
    <row r="5787" spans="1:22" x14ac:dyDescent="0.25">
      <c r="A5787">
        <v>5784</v>
      </c>
      <c r="B5787" t="s">
        <v>42</v>
      </c>
      <c r="C5787" t="s">
        <v>1755</v>
      </c>
      <c r="D5787" s="4">
        <v>45463</v>
      </c>
      <c r="E5787" t="s">
        <v>1771</v>
      </c>
      <c r="F5787" t="s">
        <v>75</v>
      </c>
      <c r="I5787" s="6">
        <v>0</v>
      </c>
      <c r="J5787" s="6">
        <v>0</v>
      </c>
      <c r="K5787" s="6">
        <v>0</v>
      </c>
      <c r="L5787" s="6">
        <v>0</v>
      </c>
      <c r="M5787" s="6">
        <v>0</v>
      </c>
      <c r="N5787" s="6">
        <v>0</v>
      </c>
      <c r="O5787" s="6">
        <v>0</v>
      </c>
      <c r="P5787" s="6">
        <v>0</v>
      </c>
      <c r="Q5787">
        <v>1</v>
      </c>
      <c r="R5787">
        <f t="shared" si="450"/>
        <v>0</v>
      </c>
      <c r="S5787">
        <f t="shared" si="451"/>
        <v>1</v>
      </c>
      <c r="T5787">
        <f t="shared" si="452"/>
        <v>0</v>
      </c>
      <c r="U5787">
        <f t="shared" si="453"/>
        <v>0</v>
      </c>
      <c r="V5787">
        <f t="shared" si="454"/>
        <v>0</v>
      </c>
    </row>
    <row r="5788" spans="1:22" x14ac:dyDescent="0.25">
      <c r="A5788">
        <v>5785</v>
      </c>
      <c r="B5788" t="s">
        <v>42</v>
      </c>
      <c r="C5788" t="s">
        <v>1755</v>
      </c>
      <c r="D5788" s="4">
        <v>45463</v>
      </c>
      <c r="E5788" t="s">
        <v>1772</v>
      </c>
      <c r="F5788" t="s">
        <v>75</v>
      </c>
      <c r="I5788" s="6">
        <v>0</v>
      </c>
      <c r="J5788" s="6">
        <v>0</v>
      </c>
      <c r="K5788" s="6">
        <v>0</v>
      </c>
      <c r="L5788" s="6">
        <v>0</v>
      </c>
      <c r="M5788" s="6">
        <v>0</v>
      </c>
      <c r="N5788" s="6">
        <v>1</v>
      </c>
      <c r="O5788" s="6">
        <v>0</v>
      </c>
      <c r="P5788" s="6">
        <v>0</v>
      </c>
      <c r="Q5788">
        <v>1</v>
      </c>
      <c r="R5788">
        <f t="shared" si="450"/>
        <v>0</v>
      </c>
      <c r="S5788">
        <f t="shared" si="451"/>
        <v>1</v>
      </c>
      <c r="T5788">
        <f t="shared" si="452"/>
        <v>1</v>
      </c>
      <c r="U5788">
        <f t="shared" si="453"/>
        <v>1</v>
      </c>
      <c r="V5788">
        <f t="shared" si="454"/>
        <v>0</v>
      </c>
    </row>
    <row r="5789" spans="1:22" x14ac:dyDescent="0.25">
      <c r="A5789">
        <v>5786</v>
      </c>
      <c r="B5789" t="s">
        <v>42</v>
      </c>
      <c r="C5789" t="s">
        <v>1755</v>
      </c>
      <c r="D5789" s="4">
        <v>45464</v>
      </c>
      <c r="E5789" t="s">
        <v>1773</v>
      </c>
      <c r="F5789" t="s">
        <v>75</v>
      </c>
      <c r="I5789" s="6">
        <v>0</v>
      </c>
      <c r="J5789" s="6">
        <v>0</v>
      </c>
      <c r="K5789" s="6">
        <v>0</v>
      </c>
      <c r="L5789" s="6">
        <v>0</v>
      </c>
      <c r="M5789" s="6">
        <v>0</v>
      </c>
      <c r="N5789" s="6">
        <v>0</v>
      </c>
      <c r="O5789" s="6">
        <v>0</v>
      </c>
      <c r="P5789" s="6">
        <v>0</v>
      </c>
      <c r="Q5789">
        <v>1</v>
      </c>
      <c r="R5789">
        <f t="shared" si="450"/>
        <v>0</v>
      </c>
      <c r="S5789">
        <f t="shared" si="451"/>
        <v>1</v>
      </c>
      <c r="T5789">
        <f t="shared" si="452"/>
        <v>0</v>
      </c>
      <c r="U5789">
        <f t="shared" si="453"/>
        <v>0</v>
      </c>
      <c r="V5789">
        <f t="shared" si="454"/>
        <v>0</v>
      </c>
    </row>
    <row r="5790" spans="1:22" x14ac:dyDescent="0.25">
      <c r="A5790">
        <v>5787</v>
      </c>
      <c r="B5790" t="s">
        <v>42</v>
      </c>
      <c r="C5790" t="s">
        <v>1755</v>
      </c>
      <c r="D5790" s="4">
        <v>45465</v>
      </c>
      <c r="E5790" t="s">
        <v>1774</v>
      </c>
      <c r="F5790" t="s">
        <v>75</v>
      </c>
      <c r="I5790" s="6">
        <v>1</v>
      </c>
      <c r="J5790" s="6">
        <v>0</v>
      </c>
      <c r="K5790" s="6">
        <v>0</v>
      </c>
      <c r="L5790" s="6">
        <v>0</v>
      </c>
      <c r="M5790" s="6">
        <v>0</v>
      </c>
      <c r="N5790" s="6">
        <v>0</v>
      </c>
      <c r="O5790" s="6">
        <v>0</v>
      </c>
      <c r="P5790" s="6">
        <v>0</v>
      </c>
      <c r="Q5790">
        <v>1</v>
      </c>
      <c r="R5790">
        <f t="shared" si="450"/>
        <v>0</v>
      </c>
      <c r="S5790">
        <f t="shared" si="451"/>
        <v>1</v>
      </c>
      <c r="T5790">
        <f t="shared" si="452"/>
        <v>1</v>
      </c>
      <c r="U5790">
        <f t="shared" si="453"/>
        <v>1</v>
      </c>
      <c r="V5790">
        <f t="shared" si="454"/>
        <v>0</v>
      </c>
    </row>
    <row r="5791" spans="1:22" x14ac:dyDescent="0.25">
      <c r="A5791">
        <v>5788</v>
      </c>
      <c r="B5791" t="s">
        <v>42</v>
      </c>
      <c r="C5791" t="s">
        <v>1755</v>
      </c>
      <c r="D5791" s="4">
        <v>45467</v>
      </c>
      <c r="E5791" t="s">
        <v>1775</v>
      </c>
      <c r="F5791" t="s">
        <v>75</v>
      </c>
      <c r="I5791" s="6">
        <v>0</v>
      </c>
      <c r="J5791" s="6">
        <v>0</v>
      </c>
      <c r="K5791" s="6">
        <v>0</v>
      </c>
      <c r="L5791" s="6">
        <v>0</v>
      </c>
      <c r="M5791" s="6">
        <v>0</v>
      </c>
      <c r="N5791" s="6">
        <v>0</v>
      </c>
      <c r="O5791" s="6">
        <v>0</v>
      </c>
      <c r="P5791" s="6">
        <v>0</v>
      </c>
      <c r="Q5791">
        <v>1</v>
      </c>
      <c r="R5791">
        <f t="shared" si="450"/>
        <v>0</v>
      </c>
      <c r="S5791">
        <f t="shared" si="451"/>
        <v>1</v>
      </c>
      <c r="T5791">
        <f t="shared" si="452"/>
        <v>0</v>
      </c>
      <c r="U5791">
        <f t="shared" si="453"/>
        <v>0</v>
      </c>
      <c r="V5791">
        <f t="shared" si="454"/>
        <v>0</v>
      </c>
    </row>
    <row r="5792" spans="1:22" x14ac:dyDescent="0.25">
      <c r="A5792">
        <v>5789</v>
      </c>
      <c r="B5792" t="s">
        <v>42</v>
      </c>
      <c r="C5792" t="s">
        <v>1755</v>
      </c>
      <c r="D5792" s="4">
        <v>45468</v>
      </c>
      <c r="E5792" t="s">
        <v>1776</v>
      </c>
      <c r="F5792" t="s">
        <v>75</v>
      </c>
      <c r="I5792" s="6">
        <v>0</v>
      </c>
      <c r="J5792" s="6">
        <v>0</v>
      </c>
      <c r="K5792" s="6">
        <v>0</v>
      </c>
      <c r="L5792" s="6">
        <v>0</v>
      </c>
      <c r="M5792" s="6">
        <v>0</v>
      </c>
      <c r="N5792" s="6">
        <v>0</v>
      </c>
      <c r="O5792" s="6">
        <v>0</v>
      </c>
      <c r="P5792" s="6">
        <v>0</v>
      </c>
      <c r="Q5792">
        <v>1</v>
      </c>
      <c r="R5792">
        <f t="shared" si="450"/>
        <v>0</v>
      </c>
      <c r="S5792">
        <f t="shared" si="451"/>
        <v>1</v>
      </c>
      <c r="T5792">
        <f t="shared" si="452"/>
        <v>0</v>
      </c>
      <c r="U5792">
        <f t="shared" si="453"/>
        <v>0</v>
      </c>
      <c r="V5792">
        <f t="shared" si="454"/>
        <v>0</v>
      </c>
    </row>
    <row r="5793" spans="1:22" x14ac:dyDescent="0.25">
      <c r="A5793">
        <v>5790</v>
      </c>
      <c r="B5793" t="s">
        <v>42</v>
      </c>
      <c r="C5793" t="s">
        <v>1755</v>
      </c>
      <c r="D5793" s="4">
        <v>45468</v>
      </c>
      <c r="E5793" t="s">
        <v>1777</v>
      </c>
      <c r="F5793" t="s">
        <v>75</v>
      </c>
      <c r="I5793" s="6">
        <v>0</v>
      </c>
      <c r="J5793" s="6">
        <v>0</v>
      </c>
      <c r="K5793" s="6">
        <v>0</v>
      </c>
      <c r="L5793" s="6">
        <v>0</v>
      </c>
      <c r="M5793" s="6">
        <v>0</v>
      </c>
      <c r="N5793" s="6">
        <v>0</v>
      </c>
      <c r="O5793" s="6">
        <v>0</v>
      </c>
      <c r="P5793" s="6">
        <v>0</v>
      </c>
      <c r="Q5793">
        <v>1</v>
      </c>
      <c r="R5793">
        <f t="shared" si="450"/>
        <v>0</v>
      </c>
      <c r="S5793">
        <f t="shared" si="451"/>
        <v>1</v>
      </c>
      <c r="T5793">
        <f t="shared" si="452"/>
        <v>0</v>
      </c>
      <c r="U5793">
        <f t="shared" si="453"/>
        <v>0</v>
      </c>
      <c r="V5793">
        <f t="shared" si="454"/>
        <v>0</v>
      </c>
    </row>
    <row r="5794" spans="1:22" x14ac:dyDescent="0.25">
      <c r="A5794">
        <v>5791</v>
      </c>
      <c r="B5794" t="s">
        <v>42</v>
      </c>
      <c r="C5794" t="s">
        <v>1755</v>
      </c>
      <c r="D5794" s="4">
        <v>45468</v>
      </c>
      <c r="E5794" t="s">
        <v>1778</v>
      </c>
      <c r="F5794" t="s">
        <v>75</v>
      </c>
      <c r="I5794" s="6">
        <v>1</v>
      </c>
      <c r="J5794" s="6">
        <v>0</v>
      </c>
      <c r="K5794" s="6">
        <v>0</v>
      </c>
      <c r="L5794" s="6">
        <v>0</v>
      </c>
      <c r="M5794" s="6">
        <v>0</v>
      </c>
      <c r="N5794" s="6">
        <v>0</v>
      </c>
      <c r="O5794" s="6">
        <v>0</v>
      </c>
      <c r="P5794" s="6">
        <v>0</v>
      </c>
      <c r="Q5794">
        <v>1</v>
      </c>
      <c r="R5794">
        <f t="shared" si="450"/>
        <v>0</v>
      </c>
      <c r="S5794">
        <f t="shared" si="451"/>
        <v>1</v>
      </c>
      <c r="T5794">
        <f t="shared" si="452"/>
        <v>1</v>
      </c>
      <c r="U5794">
        <f t="shared" si="453"/>
        <v>1</v>
      </c>
      <c r="V5794">
        <f t="shared" si="454"/>
        <v>0</v>
      </c>
    </row>
    <row r="5795" spans="1:22" x14ac:dyDescent="0.25">
      <c r="A5795">
        <v>5792</v>
      </c>
      <c r="B5795" t="s">
        <v>42</v>
      </c>
      <c r="C5795" t="s">
        <v>1755</v>
      </c>
      <c r="D5795" s="4">
        <v>45468</v>
      </c>
      <c r="E5795" t="s">
        <v>1779</v>
      </c>
      <c r="F5795" t="s">
        <v>75</v>
      </c>
      <c r="I5795" s="6">
        <v>0</v>
      </c>
      <c r="J5795" s="6">
        <v>0</v>
      </c>
      <c r="K5795" s="6">
        <v>0</v>
      </c>
      <c r="L5795" s="6">
        <v>0</v>
      </c>
      <c r="M5795" s="6">
        <v>0</v>
      </c>
      <c r="N5795" s="6">
        <v>0</v>
      </c>
      <c r="O5795" s="6">
        <v>0</v>
      </c>
      <c r="P5795" s="6">
        <v>0</v>
      </c>
      <c r="Q5795">
        <v>1</v>
      </c>
      <c r="R5795">
        <f t="shared" si="450"/>
        <v>0</v>
      </c>
      <c r="S5795">
        <f t="shared" si="451"/>
        <v>1</v>
      </c>
      <c r="T5795">
        <f t="shared" si="452"/>
        <v>0</v>
      </c>
      <c r="U5795">
        <f t="shared" si="453"/>
        <v>0</v>
      </c>
      <c r="V5795">
        <f t="shared" si="454"/>
        <v>0</v>
      </c>
    </row>
    <row r="5796" spans="1:22" x14ac:dyDescent="0.25">
      <c r="A5796">
        <v>5793</v>
      </c>
      <c r="B5796" t="s">
        <v>42</v>
      </c>
      <c r="C5796" t="s">
        <v>1755</v>
      </c>
      <c r="D5796" s="4">
        <v>45469</v>
      </c>
      <c r="E5796" t="s">
        <v>1780</v>
      </c>
      <c r="F5796" t="s">
        <v>75</v>
      </c>
      <c r="I5796" s="6">
        <v>0</v>
      </c>
      <c r="J5796" s="6">
        <v>0</v>
      </c>
      <c r="K5796" s="6">
        <v>0</v>
      </c>
      <c r="L5796" s="6">
        <v>0</v>
      </c>
      <c r="M5796" s="6">
        <v>0</v>
      </c>
      <c r="N5796" s="6">
        <v>0</v>
      </c>
      <c r="O5796" s="6">
        <v>0</v>
      </c>
      <c r="P5796" s="6">
        <v>0</v>
      </c>
      <c r="Q5796">
        <v>1</v>
      </c>
      <c r="R5796">
        <f t="shared" si="450"/>
        <v>0</v>
      </c>
      <c r="S5796">
        <f t="shared" si="451"/>
        <v>1</v>
      </c>
      <c r="T5796">
        <f t="shared" si="452"/>
        <v>0</v>
      </c>
      <c r="U5796">
        <f t="shared" si="453"/>
        <v>0</v>
      </c>
      <c r="V5796">
        <f t="shared" si="454"/>
        <v>0</v>
      </c>
    </row>
    <row r="5797" spans="1:22" x14ac:dyDescent="0.25">
      <c r="A5797">
        <v>5794</v>
      </c>
      <c r="B5797" t="s">
        <v>42</v>
      </c>
      <c r="C5797" t="s">
        <v>1755</v>
      </c>
      <c r="D5797" s="4">
        <v>45471</v>
      </c>
      <c r="E5797" t="s">
        <v>1262</v>
      </c>
      <c r="F5797" t="s">
        <v>75</v>
      </c>
      <c r="I5797" s="6">
        <v>0</v>
      </c>
      <c r="J5797" s="6">
        <v>0</v>
      </c>
      <c r="K5797" s="6">
        <v>0</v>
      </c>
      <c r="L5797" s="6">
        <v>0</v>
      </c>
      <c r="M5797" s="6">
        <v>0</v>
      </c>
      <c r="N5797" s="6">
        <v>0</v>
      </c>
      <c r="O5797" s="6">
        <v>0</v>
      </c>
      <c r="P5797" s="6">
        <v>0</v>
      </c>
      <c r="Q5797">
        <v>1</v>
      </c>
      <c r="R5797">
        <f t="shared" si="450"/>
        <v>0</v>
      </c>
      <c r="S5797">
        <f t="shared" si="451"/>
        <v>1</v>
      </c>
      <c r="T5797">
        <f t="shared" si="452"/>
        <v>0</v>
      </c>
      <c r="U5797">
        <f t="shared" si="453"/>
        <v>0</v>
      </c>
      <c r="V5797">
        <f t="shared" si="454"/>
        <v>0</v>
      </c>
    </row>
    <row r="5798" spans="1:22" x14ac:dyDescent="0.25">
      <c r="A5798">
        <v>5795</v>
      </c>
      <c r="B5798" t="s">
        <v>42</v>
      </c>
      <c r="C5798" t="s">
        <v>1755</v>
      </c>
      <c r="D5798" s="4">
        <v>45472</v>
      </c>
      <c r="E5798" t="s">
        <v>1442</v>
      </c>
      <c r="F5798" t="s">
        <v>75</v>
      </c>
      <c r="I5798" s="6">
        <v>0</v>
      </c>
      <c r="J5798" s="6">
        <v>0</v>
      </c>
      <c r="K5798" s="6">
        <v>0</v>
      </c>
      <c r="L5798" s="6">
        <v>0</v>
      </c>
      <c r="M5798" s="6">
        <v>0</v>
      </c>
      <c r="N5798" s="6">
        <v>0</v>
      </c>
      <c r="O5798" s="6">
        <v>0</v>
      </c>
      <c r="P5798" s="6">
        <v>0</v>
      </c>
      <c r="Q5798">
        <v>1</v>
      </c>
      <c r="R5798">
        <f t="shared" si="450"/>
        <v>0</v>
      </c>
      <c r="S5798">
        <f t="shared" si="451"/>
        <v>1</v>
      </c>
      <c r="T5798">
        <f t="shared" si="452"/>
        <v>0</v>
      </c>
      <c r="U5798">
        <f t="shared" si="453"/>
        <v>0</v>
      </c>
      <c r="V5798">
        <f t="shared" si="454"/>
        <v>0</v>
      </c>
    </row>
    <row r="5799" spans="1:22" x14ac:dyDescent="0.25">
      <c r="A5799">
        <v>5796</v>
      </c>
      <c r="B5799" t="s">
        <v>42</v>
      </c>
      <c r="C5799" t="s">
        <v>1755</v>
      </c>
      <c r="D5799" s="4">
        <v>45472</v>
      </c>
      <c r="E5799" t="s">
        <v>1781</v>
      </c>
      <c r="F5799" t="s">
        <v>75</v>
      </c>
      <c r="I5799" s="6">
        <v>0</v>
      </c>
      <c r="J5799" s="6">
        <v>0</v>
      </c>
      <c r="K5799" s="6">
        <v>0</v>
      </c>
      <c r="L5799" s="6">
        <v>0</v>
      </c>
      <c r="M5799" s="6">
        <v>0</v>
      </c>
      <c r="N5799" s="6">
        <v>0</v>
      </c>
      <c r="O5799" s="6">
        <v>0</v>
      </c>
      <c r="P5799" s="6">
        <v>0</v>
      </c>
      <c r="Q5799">
        <v>1</v>
      </c>
      <c r="R5799">
        <f t="shared" si="450"/>
        <v>0</v>
      </c>
      <c r="S5799">
        <f t="shared" si="451"/>
        <v>1</v>
      </c>
      <c r="T5799">
        <f t="shared" si="452"/>
        <v>0</v>
      </c>
      <c r="U5799">
        <f t="shared" si="453"/>
        <v>0</v>
      </c>
      <c r="V5799">
        <f t="shared" si="454"/>
        <v>0</v>
      </c>
    </row>
    <row r="5800" spans="1:22" x14ac:dyDescent="0.25">
      <c r="A5800">
        <v>5797</v>
      </c>
      <c r="B5800" t="s">
        <v>42</v>
      </c>
      <c r="C5800" t="s">
        <v>1755</v>
      </c>
      <c r="D5800" s="4">
        <v>45474</v>
      </c>
      <c r="E5800" t="s">
        <v>1265</v>
      </c>
      <c r="F5800" t="s">
        <v>75</v>
      </c>
      <c r="I5800" s="6">
        <v>0</v>
      </c>
      <c r="J5800" s="6">
        <v>0</v>
      </c>
      <c r="K5800" s="6">
        <v>0</v>
      </c>
      <c r="L5800" s="6">
        <v>0</v>
      </c>
      <c r="M5800" s="6">
        <v>0</v>
      </c>
      <c r="N5800" s="6">
        <v>0</v>
      </c>
      <c r="O5800" s="6">
        <v>0</v>
      </c>
      <c r="P5800" s="6">
        <v>0</v>
      </c>
      <c r="Q5800">
        <v>1</v>
      </c>
      <c r="R5800">
        <f t="shared" si="450"/>
        <v>0</v>
      </c>
      <c r="S5800">
        <f t="shared" si="451"/>
        <v>1</v>
      </c>
      <c r="T5800">
        <f t="shared" si="452"/>
        <v>0</v>
      </c>
      <c r="U5800">
        <f t="shared" si="453"/>
        <v>0</v>
      </c>
      <c r="V5800">
        <f t="shared" si="454"/>
        <v>0</v>
      </c>
    </row>
    <row r="5801" spans="1:22" x14ac:dyDescent="0.25">
      <c r="A5801">
        <v>5798</v>
      </c>
      <c r="B5801" t="s">
        <v>42</v>
      </c>
      <c r="C5801" t="s">
        <v>1755</v>
      </c>
      <c r="D5801" s="4">
        <v>45474</v>
      </c>
      <c r="E5801" t="s">
        <v>1266</v>
      </c>
      <c r="F5801" t="s">
        <v>75</v>
      </c>
      <c r="I5801" s="6">
        <v>0</v>
      </c>
      <c r="J5801" s="6">
        <v>0</v>
      </c>
      <c r="K5801" s="6">
        <v>0</v>
      </c>
      <c r="L5801" s="6">
        <v>1</v>
      </c>
      <c r="M5801" s="6">
        <v>0</v>
      </c>
      <c r="N5801" s="6">
        <v>0</v>
      </c>
      <c r="O5801" s="6">
        <v>0</v>
      </c>
      <c r="P5801" s="6">
        <v>0</v>
      </c>
      <c r="Q5801">
        <v>1</v>
      </c>
      <c r="R5801">
        <f t="shared" si="450"/>
        <v>0</v>
      </c>
      <c r="S5801">
        <f t="shared" si="451"/>
        <v>1</v>
      </c>
      <c r="T5801">
        <f t="shared" si="452"/>
        <v>1</v>
      </c>
      <c r="U5801">
        <f t="shared" si="453"/>
        <v>1</v>
      </c>
      <c r="V5801">
        <f t="shared" si="454"/>
        <v>0</v>
      </c>
    </row>
    <row r="5802" spans="1:22" x14ac:dyDescent="0.25">
      <c r="A5802">
        <v>5799</v>
      </c>
      <c r="B5802" t="s">
        <v>42</v>
      </c>
      <c r="C5802" t="s">
        <v>1755</v>
      </c>
      <c r="D5802" s="4">
        <v>45475</v>
      </c>
      <c r="E5802" t="s">
        <v>1782</v>
      </c>
      <c r="F5802" t="s">
        <v>75</v>
      </c>
      <c r="I5802" s="6">
        <v>0</v>
      </c>
      <c r="J5802" s="6">
        <v>0</v>
      </c>
      <c r="K5802" s="6">
        <v>0</v>
      </c>
      <c r="L5802" s="6">
        <v>0</v>
      </c>
      <c r="M5802" s="6">
        <v>0</v>
      </c>
      <c r="N5802" s="6">
        <v>0</v>
      </c>
      <c r="O5802" s="6">
        <v>0</v>
      </c>
      <c r="P5802" s="6">
        <v>0</v>
      </c>
      <c r="Q5802">
        <v>1</v>
      </c>
      <c r="R5802">
        <f t="shared" si="450"/>
        <v>0</v>
      </c>
      <c r="S5802">
        <f t="shared" si="451"/>
        <v>1</v>
      </c>
      <c r="T5802">
        <f t="shared" si="452"/>
        <v>0</v>
      </c>
      <c r="U5802">
        <f t="shared" si="453"/>
        <v>0</v>
      </c>
      <c r="V5802">
        <f t="shared" si="454"/>
        <v>0</v>
      </c>
    </row>
    <row r="5803" spans="1:22" x14ac:dyDescent="0.25">
      <c r="A5803">
        <v>5800</v>
      </c>
      <c r="B5803" t="s">
        <v>42</v>
      </c>
      <c r="C5803" t="s">
        <v>1755</v>
      </c>
      <c r="D5803" s="4">
        <v>45476</v>
      </c>
      <c r="E5803" t="s">
        <v>1783</v>
      </c>
      <c r="F5803" t="s">
        <v>75</v>
      </c>
      <c r="I5803" s="6">
        <v>0</v>
      </c>
      <c r="J5803" s="6">
        <v>0</v>
      </c>
      <c r="K5803" s="6">
        <v>0</v>
      </c>
      <c r="L5803" s="6">
        <v>0</v>
      </c>
      <c r="M5803" s="6">
        <v>0</v>
      </c>
      <c r="N5803" s="6">
        <v>0</v>
      </c>
      <c r="O5803" s="6">
        <v>0</v>
      </c>
      <c r="P5803" s="6">
        <v>0</v>
      </c>
      <c r="Q5803">
        <v>1</v>
      </c>
      <c r="R5803">
        <f t="shared" si="450"/>
        <v>0</v>
      </c>
      <c r="S5803">
        <f t="shared" si="451"/>
        <v>1</v>
      </c>
      <c r="T5803">
        <f t="shared" si="452"/>
        <v>0</v>
      </c>
      <c r="U5803">
        <f t="shared" si="453"/>
        <v>0</v>
      </c>
      <c r="V5803">
        <f t="shared" si="454"/>
        <v>0</v>
      </c>
    </row>
    <row r="5804" spans="1:22" x14ac:dyDescent="0.25">
      <c r="A5804">
        <v>5801</v>
      </c>
      <c r="B5804" t="s">
        <v>42</v>
      </c>
      <c r="C5804" t="s">
        <v>1755</v>
      </c>
      <c r="D5804" s="4">
        <v>45476</v>
      </c>
      <c r="E5804" t="s">
        <v>1784</v>
      </c>
      <c r="F5804" t="s">
        <v>75</v>
      </c>
      <c r="I5804" s="6">
        <v>0</v>
      </c>
      <c r="J5804" s="6">
        <v>0</v>
      </c>
      <c r="K5804" s="6">
        <v>0</v>
      </c>
      <c r="L5804" s="6">
        <v>0</v>
      </c>
      <c r="M5804" s="6">
        <v>0</v>
      </c>
      <c r="N5804" s="6">
        <v>0</v>
      </c>
      <c r="O5804" s="6">
        <v>0</v>
      </c>
      <c r="P5804" s="6">
        <v>0</v>
      </c>
      <c r="Q5804">
        <v>1</v>
      </c>
      <c r="R5804">
        <f t="shared" si="450"/>
        <v>0</v>
      </c>
      <c r="S5804">
        <f t="shared" si="451"/>
        <v>1</v>
      </c>
      <c r="T5804">
        <f t="shared" si="452"/>
        <v>0</v>
      </c>
      <c r="U5804">
        <f t="shared" si="453"/>
        <v>0</v>
      </c>
      <c r="V5804">
        <f t="shared" si="454"/>
        <v>0</v>
      </c>
    </row>
    <row r="5805" spans="1:22" x14ac:dyDescent="0.25">
      <c r="A5805">
        <v>5802</v>
      </c>
      <c r="B5805" t="s">
        <v>42</v>
      </c>
      <c r="C5805" t="s">
        <v>1755</v>
      </c>
      <c r="D5805" s="4">
        <v>45477</v>
      </c>
      <c r="E5805" t="s">
        <v>1785</v>
      </c>
      <c r="F5805" t="s">
        <v>75</v>
      </c>
      <c r="I5805" s="6">
        <v>0</v>
      </c>
      <c r="J5805" s="6">
        <v>0</v>
      </c>
      <c r="K5805" s="6">
        <v>0</v>
      </c>
      <c r="L5805" s="6">
        <v>0</v>
      </c>
      <c r="M5805" s="6">
        <v>0</v>
      </c>
      <c r="N5805" s="6">
        <v>0</v>
      </c>
      <c r="O5805" s="6">
        <v>0</v>
      </c>
      <c r="P5805" s="6">
        <v>0</v>
      </c>
      <c r="Q5805">
        <v>1</v>
      </c>
      <c r="R5805">
        <f t="shared" si="450"/>
        <v>0</v>
      </c>
      <c r="S5805">
        <f t="shared" si="451"/>
        <v>1</v>
      </c>
      <c r="T5805">
        <f t="shared" si="452"/>
        <v>0</v>
      </c>
      <c r="U5805">
        <f t="shared" si="453"/>
        <v>0</v>
      </c>
      <c r="V5805">
        <f t="shared" si="454"/>
        <v>0</v>
      </c>
    </row>
    <row r="5806" spans="1:22" x14ac:dyDescent="0.25">
      <c r="A5806">
        <v>5803</v>
      </c>
      <c r="B5806" t="s">
        <v>42</v>
      </c>
      <c r="C5806" t="s">
        <v>1755</v>
      </c>
      <c r="D5806" s="4">
        <v>45477</v>
      </c>
      <c r="E5806" t="s">
        <v>1786</v>
      </c>
      <c r="F5806" t="s">
        <v>75</v>
      </c>
      <c r="I5806" s="6">
        <v>1</v>
      </c>
      <c r="J5806" s="6">
        <v>0</v>
      </c>
      <c r="K5806" s="6">
        <v>0</v>
      </c>
      <c r="L5806" s="6">
        <v>1</v>
      </c>
      <c r="M5806" s="6">
        <v>1</v>
      </c>
      <c r="N5806" s="6">
        <v>0</v>
      </c>
      <c r="O5806" s="6">
        <v>1</v>
      </c>
      <c r="P5806" s="6">
        <v>0</v>
      </c>
      <c r="Q5806">
        <v>1</v>
      </c>
      <c r="R5806">
        <f t="shared" si="450"/>
        <v>0</v>
      </c>
      <c r="S5806">
        <f t="shared" si="451"/>
        <v>1</v>
      </c>
      <c r="T5806">
        <f t="shared" si="452"/>
        <v>4</v>
      </c>
      <c r="U5806">
        <f t="shared" si="453"/>
        <v>1</v>
      </c>
      <c r="V5806">
        <f t="shared" si="454"/>
        <v>0</v>
      </c>
    </row>
    <row r="5807" spans="1:22" x14ac:dyDescent="0.25">
      <c r="A5807">
        <v>5804</v>
      </c>
      <c r="B5807" t="s">
        <v>42</v>
      </c>
      <c r="C5807" t="s">
        <v>1755</v>
      </c>
      <c r="D5807" s="4">
        <v>45477</v>
      </c>
      <c r="E5807" t="s">
        <v>1787</v>
      </c>
      <c r="F5807" t="s">
        <v>75</v>
      </c>
      <c r="I5807" s="6">
        <v>0</v>
      </c>
      <c r="J5807" s="6">
        <v>0</v>
      </c>
      <c r="K5807" s="6">
        <v>0</v>
      </c>
      <c r="L5807" s="6">
        <v>0</v>
      </c>
      <c r="M5807" s="6">
        <v>0</v>
      </c>
      <c r="N5807" s="6">
        <v>0</v>
      </c>
      <c r="O5807" s="6">
        <v>0</v>
      </c>
      <c r="P5807" s="6">
        <v>0</v>
      </c>
      <c r="Q5807">
        <v>1</v>
      </c>
      <c r="R5807">
        <f t="shared" si="450"/>
        <v>0</v>
      </c>
      <c r="S5807">
        <f t="shared" si="451"/>
        <v>1</v>
      </c>
      <c r="T5807">
        <f t="shared" si="452"/>
        <v>0</v>
      </c>
      <c r="U5807">
        <f t="shared" si="453"/>
        <v>0</v>
      </c>
      <c r="V5807">
        <f t="shared" si="454"/>
        <v>0</v>
      </c>
    </row>
    <row r="5808" spans="1:22" x14ac:dyDescent="0.25">
      <c r="A5808">
        <v>5805</v>
      </c>
      <c r="B5808" t="s">
        <v>42</v>
      </c>
      <c r="C5808" t="s">
        <v>1755</v>
      </c>
      <c r="D5808" s="4">
        <v>45477</v>
      </c>
      <c r="E5808" t="s">
        <v>1447</v>
      </c>
      <c r="F5808" t="s">
        <v>75</v>
      </c>
      <c r="I5808" s="6">
        <v>0</v>
      </c>
      <c r="J5808" s="6">
        <v>0</v>
      </c>
      <c r="K5808" s="6">
        <v>0</v>
      </c>
      <c r="L5808" s="6">
        <v>0</v>
      </c>
      <c r="M5808" s="6">
        <v>0</v>
      </c>
      <c r="N5808" s="6">
        <v>0</v>
      </c>
      <c r="O5808" s="6">
        <v>0</v>
      </c>
      <c r="P5808" s="6">
        <v>0</v>
      </c>
      <c r="Q5808">
        <v>1</v>
      </c>
      <c r="R5808">
        <f t="shared" si="450"/>
        <v>0</v>
      </c>
      <c r="S5808">
        <f t="shared" si="451"/>
        <v>1</v>
      </c>
      <c r="T5808">
        <f t="shared" si="452"/>
        <v>0</v>
      </c>
      <c r="U5808">
        <f t="shared" si="453"/>
        <v>0</v>
      </c>
      <c r="V5808">
        <f t="shared" si="454"/>
        <v>0</v>
      </c>
    </row>
    <row r="5809" spans="1:22" x14ac:dyDescent="0.25">
      <c r="A5809">
        <v>5806</v>
      </c>
      <c r="B5809" t="s">
        <v>42</v>
      </c>
      <c r="C5809" t="s">
        <v>1755</v>
      </c>
      <c r="D5809" s="4">
        <v>45477</v>
      </c>
      <c r="E5809" t="s">
        <v>1788</v>
      </c>
      <c r="F5809" t="s">
        <v>75</v>
      </c>
      <c r="I5809" s="6">
        <v>0</v>
      </c>
      <c r="J5809" s="6">
        <v>0</v>
      </c>
      <c r="K5809" s="6">
        <v>0</v>
      </c>
      <c r="L5809" s="6">
        <v>0</v>
      </c>
      <c r="M5809" s="6">
        <v>0</v>
      </c>
      <c r="N5809" s="6">
        <v>0</v>
      </c>
      <c r="O5809" s="6">
        <v>0</v>
      </c>
      <c r="P5809" s="6">
        <v>0</v>
      </c>
      <c r="Q5809">
        <v>1</v>
      </c>
      <c r="R5809">
        <f t="shared" si="450"/>
        <v>0</v>
      </c>
      <c r="S5809">
        <f t="shared" si="451"/>
        <v>1</v>
      </c>
      <c r="T5809">
        <f t="shared" si="452"/>
        <v>0</v>
      </c>
      <c r="U5809">
        <f t="shared" si="453"/>
        <v>0</v>
      </c>
      <c r="V5809">
        <f t="shared" si="454"/>
        <v>0</v>
      </c>
    </row>
    <row r="5810" spans="1:22" x14ac:dyDescent="0.25">
      <c r="A5810">
        <v>5807</v>
      </c>
      <c r="B5810" t="s">
        <v>42</v>
      </c>
      <c r="C5810" t="s">
        <v>1755</v>
      </c>
      <c r="D5810" s="4">
        <v>45477</v>
      </c>
      <c r="E5810" t="s">
        <v>1789</v>
      </c>
      <c r="F5810" t="s">
        <v>75</v>
      </c>
      <c r="I5810" s="6">
        <v>0</v>
      </c>
      <c r="J5810" s="6">
        <v>0</v>
      </c>
      <c r="K5810" s="6">
        <v>0</v>
      </c>
      <c r="L5810" s="6">
        <v>0</v>
      </c>
      <c r="M5810" s="6">
        <v>0</v>
      </c>
      <c r="N5810" s="6">
        <v>0</v>
      </c>
      <c r="O5810" s="6">
        <v>0</v>
      </c>
      <c r="P5810" s="6">
        <v>0</v>
      </c>
      <c r="Q5810">
        <v>1</v>
      </c>
      <c r="R5810">
        <f t="shared" si="450"/>
        <v>0</v>
      </c>
      <c r="S5810">
        <f t="shared" si="451"/>
        <v>1</v>
      </c>
      <c r="T5810">
        <f t="shared" si="452"/>
        <v>0</v>
      </c>
      <c r="U5810">
        <f t="shared" si="453"/>
        <v>0</v>
      </c>
      <c r="V5810">
        <f t="shared" si="454"/>
        <v>0</v>
      </c>
    </row>
    <row r="5811" spans="1:22" x14ac:dyDescent="0.25">
      <c r="A5811">
        <v>5808</v>
      </c>
      <c r="B5811" t="s">
        <v>42</v>
      </c>
      <c r="C5811" t="s">
        <v>1755</v>
      </c>
      <c r="D5811" s="4">
        <v>45477</v>
      </c>
      <c r="E5811" t="s">
        <v>1790</v>
      </c>
      <c r="F5811" t="s">
        <v>75</v>
      </c>
      <c r="I5811" s="6">
        <v>0</v>
      </c>
      <c r="J5811" s="6">
        <v>0</v>
      </c>
      <c r="K5811" s="6">
        <v>0</v>
      </c>
      <c r="L5811" s="6">
        <v>1</v>
      </c>
      <c r="M5811" s="6">
        <v>0</v>
      </c>
      <c r="N5811" s="6">
        <v>0</v>
      </c>
      <c r="O5811" s="6">
        <v>0</v>
      </c>
      <c r="P5811" s="6">
        <v>0</v>
      </c>
      <c r="Q5811">
        <v>1</v>
      </c>
      <c r="R5811">
        <f t="shared" si="450"/>
        <v>0</v>
      </c>
      <c r="S5811">
        <f t="shared" si="451"/>
        <v>1</v>
      </c>
      <c r="T5811">
        <f t="shared" si="452"/>
        <v>1</v>
      </c>
      <c r="U5811">
        <f t="shared" si="453"/>
        <v>1</v>
      </c>
      <c r="V5811">
        <f t="shared" si="454"/>
        <v>0</v>
      </c>
    </row>
    <row r="5812" spans="1:22" x14ac:dyDescent="0.25">
      <c r="A5812">
        <v>5809</v>
      </c>
      <c r="B5812" t="s">
        <v>40</v>
      </c>
      <c r="C5812" t="s">
        <v>1755</v>
      </c>
      <c r="D5812" s="4">
        <v>45357</v>
      </c>
      <c r="E5812" t="s">
        <v>260</v>
      </c>
      <c r="F5812" t="s">
        <v>75</v>
      </c>
      <c r="I5812" s="6">
        <v>0</v>
      </c>
      <c r="J5812" s="6">
        <v>0</v>
      </c>
      <c r="K5812" s="6">
        <v>0</v>
      </c>
      <c r="L5812" s="6">
        <v>0</v>
      </c>
      <c r="M5812" s="6">
        <v>1</v>
      </c>
      <c r="N5812" s="6">
        <v>0</v>
      </c>
      <c r="O5812" s="6">
        <v>0</v>
      </c>
      <c r="P5812" s="6">
        <v>0</v>
      </c>
      <c r="Q5812">
        <v>1</v>
      </c>
      <c r="R5812">
        <f t="shared" si="450"/>
        <v>0</v>
      </c>
      <c r="S5812">
        <f t="shared" si="451"/>
        <v>1</v>
      </c>
      <c r="T5812">
        <f t="shared" si="452"/>
        <v>1</v>
      </c>
      <c r="U5812">
        <f t="shared" si="453"/>
        <v>1</v>
      </c>
      <c r="V5812">
        <f t="shared" si="454"/>
        <v>0</v>
      </c>
    </row>
    <row r="5813" spans="1:22" x14ac:dyDescent="0.25">
      <c r="A5813">
        <v>5810</v>
      </c>
      <c r="B5813" t="s">
        <v>40</v>
      </c>
      <c r="C5813" t="s">
        <v>1755</v>
      </c>
      <c r="D5813" s="4">
        <v>45357</v>
      </c>
      <c r="E5813" t="s">
        <v>422</v>
      </c>
      <c r="F5813" t="s">
        <v>75</v>
      </c>
      <c r="I5813" s="6">
        <v>0</v>
      </c>
      <c r="J5813" s="6">
        <v>0</v>
      </c>
      <c r="K5813" s="6">
        <v>0</v>
      </c>
      <c r="L5813" s="6">
        <v>0</v>
      </c>
      <c r="M5813" s="6">
        <v>1</v>
      </c>
      <c r="N5813" s="6">
        <v>0</v>
      </c>
      <c r="O5813" s="6">
        <v>0</v>
      </c>
      <c r="P5813" s="6">
        <v>0</v>
      </c>
      <c r="Q5813">
        <v>1</v>
      </c>
      <c r="R5813">
        <f t="shared" si="450"/>
        <v>0</v>
      </c>
      <c r="S5813">
        <f t="shared" si="451"/>
        <v>1</v>
      </c>
      <c r="T5813">
        <f t="shared" si="452"/>
        <v>1</v>
      </c>
      <c r="U5813">
        <f t="shared" si="453"/>
        <v>1</v>
      </c>
      <c r="V5813">
        <f t="shared" si="454"/>
        <v>0</v>
      </c>
    </row>
    <row r="5814" spans="1:22" x14ac:dyDescent="0.25">
      <c r="A5814">
        <v>5811</v>
      </c>
      <c r="B5814" t="s">
        <v>40</v>
      </c>
      <c r="C5814" t="s">
        <v>1755</v>
      </c>
      <c r="D5814" s="4">
        <v>45359</v>
      </c>
      <c r="E5814" t="s">
        <v>423</v>
      </c>
      <c r="F5814" t="s">
        <v>75</v>
      </c>
      <c r="I5814" s="6">
        <v>1</v>
      </c>
      <c r="J5814" s="6">
        <v>0</v>
      </c>
      <c r="K5814" s="6">
        <v>0</v>
      </c>
      <c r="L5814" s="6">
        <v>0</v>
      </c>
      <c r="M5814" s="6">
        <v>1</v>
      </c>
      <c r="N5814" s="6">
        <v>0</v>
      </c>
      <c r="O5814" s="6">
        <v>1</v>
      </c>
      <c r="P5814" s="6">
        <v>0</v>
      </c>
      <c r="Q5814">
        <v>1</v>
      </c>
      <c r="R5814">
        <f t="shared" si="450"/>
        <v>0</v>
      </c>
      <c r="S5814">
        <f t="shared" si="451"/>
        <v>1</v>
      </c>
      <c r="T5814">
        <f t="shared" si="452"/>
        <v>3</v>
      </c>
      <c r="U5814">
        <f t="shared" si="453"/>
        <v>1</v>
      </c>
      <c r="V5814">
        <f t="shared" si="454"/>
        <v>0</v>
      </c>
    </row>
    <row r="5815" spans="1:22" x14ac:dyDescent="0.25">
      <c r="A5815">
        <v>5812</v>
      </c>
      <c r="B5815" t="s">
        <v>40</v>
      </c>
      <c r="C5815" t="s">
        <v>1755</v>
      </c>
      <c r="D5815" s="4">
        <v>45362</v>
      </c>
      <c r="E5815" t="s">
        <v>1318</v>
      </c>
      <c r="F5815" t="s">
        <v>75</v>
      </c>
      <c r="I5815" s="6">
        <v>0</v>
      </c>
      <c r="J5815" s="6">
        <v>0</v>
      </c>
      <c r="K5815" s="6">
        <v>0</v>
      </c>
      <c r="L5815" s="6">
        <v>0</v>
      </c>
      <c r="M5815" s="6">
        <v>0</v>
      </c>
      <c r="N5815" s="6">
        <v>0</v>
      </c>
      <c r="O5815" s="6">
        <v>0</v>
      </c>
      <c r="P5815" s="6">
        <v>0</v>
      </c>
      <c r="Q5815">
        <v>1</v>
      </c>
      <c r="R5815">
        <f t="shared" si="450"/>
        <v>0</v>
      </c>
      <c r="S5815">
        <f t="shared" si="451"/>
        <v>1</v>
      </c>
      <c r="T5815">
        <f t="shared" si="452"/>
        <v>0</v>
      </c>
      <c r="U5815">
        <f t="shared" si="453"/>
        <v>0</v>
      </c>
      <c r="V5815">
        <f t="shared" si="454"/>
        <v>0</v>
      </c>
    </row>
    <row r="5816" spans="1:22" x14ac:dyDescent="0.25">
      <c r="A5816">
        <v>5813</v>
      </c>
      <c r="B5816" t="s">
        <v>40</v>
      </c>
      <c r="C5816" t="s">
        <v>1755</v>
      </c>
      <c r="D5816" s="4">
        <v>45362</v>
      </c>
      <c r="E5816" t="s">
        <v>266</v>
      </c>
      <c r="F5816" t="s">
        <v>75</v>
      </c>
      <c r="I5816" s="6"/>
      <c r="J5816" s="6"/>
      <c r="K5816" s="6"/>
      <c r="L5816" s="6"/>
      <c r="M5816" s="6"/>
      <c r="N5816" s="6"/>
      <c r="O5816" s="6"/>
      <c r="P5816" s="6"/>
      <c r="Q5816">
        <v>0</v>
      </c>
      <c r="R5816">
        <f t="shared" si="450"/>
        <v>0</v>
      </c>
      <c r="S5816">
        <f t="shared" si="451"/>
        <v>0</v>
      </c>
      <c r="T5816">
        <f t="shared" si="452"/>
        <v>0</v>
      </c>
      <c r="U5816">
        <f t="shared" si="453"/>
        <v>0</v>
      </c>
      <c r="V5816">
        <f t="shared" si="454"/>
        <v>0</v>
      </c>
    </row>
    <row r="5817" spans="1:22" x14ac:dyDescent="0.25">
      <c r="A5817">
        <v>5814</v>
      </c>
      <c r="B5817" t="s">
        <v>40</v>
      </c>
      <c r="C5817" t="s">
        <v>1755</v>
      </c>
      <c r="D5817" s="4">
        <v>45362</v>
      </c>
      <c r="E5817" t="s">
        <v>2052</v>
      </c>
      <c r="F5817" t="s">
        <v>75</v>
      </c>
      <c r="I5817" s="6">
        <v>0</v>
      </c>
      <c r="J5817" s="6">
        <v>0</v>
      </c>
      <c r="K5817" s="6">
        <v>0</v>
      </c>
      <c r="L5817" s="6">
        <v>0</v>
      </c>
      <c r="M5817" s="6">
        <v>0</v>
      </c>
      <c r="N5817" s="6">
        <v>0</v>
      </c>
      <c r="O5817" s="6">
        <v>0</v>
      </c>
      <c r="P5817" s="6">
        <v>0</v>
      </c>
      <c r="Q5817">
        <v>1</v>
      </c>
      <c r="R5817">
        <f t="shared" si="450"/>
        <v>0</v>
      </c>
      <c r="S5817">
        <f t="shared" si="451"/>
        <v>1</v>
      </c>
      <c r="T5817">
        <f t="shared" si="452"/>
        <v>0</v>
      </c>
      <c r="U5817">
        <f t="shared" si="453"/>
        <v>0</v>
      </c>
      <c r="V5817">
        <f t="shared" si="454"/>
        <v>0</v>
      </c>
    </row>
    <row r="5818" spans="1:22" x14ac:dyDescent="0.25">
      <c r="A5818">
        <v>5815</v>
      </c>
      <c r="B5818" t="s">
        <v>40</v>
      </c>
      <c r="C5818" t="s">
        <v>1755</v>
      </c>
      <c r="D5818" s="4">
        <v>45362</v>
      </c>
      <c r="E5818" t="s">
        <v>1320</v>
      </c>
      <c r="F5818" t="s">
        <v>75</v>
      </c>
      <c r="I5818" s="6">
        <v>0</v>
      </c>
      <c r="J5818" s="6">
        <v>0</v>
      </c>
      <c r="K5818" s="6">
        <v>0</v>
      </c>
      <c r="L5818" s="6">
        <v>0</v>
      </c>
      <c r="M5818" s="6">
        <v>0</v>
      </c>
      <c r="N5818" s="6">
        <v>0</v>
      </c>
      <c r="O5818" s="6">
        <v>0</v>
      </c>
      <c r="P5818" s="6">
        <v>0</v>
      </c>
      <c r="Q5818">
        <v>1</v>
      </c>
      <c r="R5818">
        <f t="shared" si="450"/>
        <v>0</v>
      </c>
      <c r="S5818">
        <f t="shared" si="451"/>
        <v>1</v>
      </c>
      <c r="T5818">
        <f t="shared" si="452"/>
        <v>0</v>
      </c>
      <c r="U5818">
        <f t="shared" si="453"/>
        <v>0</v>
      </c>
      <c r="V5818">
        <f t="shared" si="454"/>
        <v>0</v>
      </c>
    </row>
    <row r="5819" spans="1:22" x14ac:dyDescent="0.25">
      <c r="A5819">
        <v>5816</v>
      </c>
      <c r="B5819" t="s">
        <v>40</v>
      </c>
      <c r="C5819" t="s">
        <v>1755</v>
      </c>
      <c r="D5819" s="4">
        <v>45362</v>
      </c>
      <c r="E5819" t="s">
        <v>2051</v>
      </c>
      <c r="F5819" t="s">
        <v>75</v>
      </c>
      <c r="I5819" s="6">
        <v>1</v>
      </c>
      <c r="J5819" s="6">
        <v>0</v>
      </c>
      <c r="K5819" s="6">
        <v>1</v>
      </c>
      <c r="L5819" s="6">
        <v>0</v>
      </c>
      <c r="M5819" s="6">
        <v>1</v>
      </c>
      <c r="N5819" s="6">
        <v>0</v>
      </c>
      <c r="O5819" s="6">
        <v>0</v>
      </c>
      <c r="P5819" s="6">
        <v>0</v>
      </c>
      <c r="Q5819">
        <v>1</v>
      </c>
      <c r="R5819">
        <f t="shared" si="450"/>
        <v>0</v>
      </c>
      <c r="S5819">
        <f t="shared" si="451"/>
        <v>1</v>
      </c>
      <c r="T5819">
        <f t="shared" si="452"/>
        <v>3</v>
      </c>
      <c r="U5819">
        <f t="shared" si="453"/>
        <v>1</v>
      </c>
      <c r="V5819">
        <f t="shared" si="454"/>
        <v>0</v>
      </c>
    </row>
    <row r="5820" spans="1:22" x14ac:dyDescent="0.25">
      <c r="A5820">
        <v>5817</v>
      </c>
      <c r="B5820" t="s">
        <v>40</v>
      </c>
      <c r="C5820" t="s">
        <v>1755</v>
      </c>
      <c r="D5820" s="4">
        <v>45362</v>
      </c>
      <c r="E5820" t="s">
        <v>1321</v>
      </c>
      <c r="F5820" t="s">
        <v>75</v>
      </c>
      <c r="I5820" s="6">
        <v>0</v>
      </c>
      <c r="J5820" s="6">
        <v>0</v>
      </c>
      <c r="K5820" s="6">
        <v>0</v>
      </c>
      <c r="L5820" s="6">
        <v>0</v>
      </c>
      <c r="M5820" s="6">
        <v>0</v>
      </c>
      <c r="N5820" s="6">
        <v>0</v>
      </c>
      <c r="O5820" s="6">
        <v>0</v>
      </c>
      <c r="P5820" s="6">
        <v>0</v>
      </c>
      <c r="Q5820">
        <v>1</v>
      </c>
      <c r="R5820">
        <f t="shared" si="450"/>
        <v>0</v>
      </c>
      <c r="S5820">
        <f t="shared" si="451"/>
        <v>1</v>
      </c>
      <c r="T5820">
        <f t="shared" si="452"/>
        <v>0</v>
      </c>
      <c r="U5820">
        <f t="shared" si="453"/>
        <v>0</v>
      </c>
      <c r="V5820">
        <f t="shared" si="454"/>
        <v>0</v>
      </c>
    </row>
    <row r="5821" spans="1:22" x14ac:dyDescent="0.25">
      <c r="A5821">
        <v>5818</v>
      </c>
      <c r="B5821" t="s">
        <v>40</v>
      </c>
      <c r="C5821" t="s">
        <v>1755</v>
      </c>
      <c r="D5821" s="4">
        <v>45362</v>
      </c>
      <c r="E5821" t="s">
        <v>1791</v>
      </c>
      <c r="F5821" t="s">
        <v>75</v>
      </c>
      <c r="I5821" s="6">
        <v>0</v>
      </c>
      <c r="J5821" s="6">
        <v>0</v>
      </c>
      <c r="K5821" s="6">
        <v>1</v>
      </c>
      <c r="L5821" s="6">
        <v>1</v>
      </c>
      <c r="M5821" s="6">
        <v>0</v>
      </c>
      <c r="N5821" s="6">
        <v>0</v>
      </c>
      <c r="O5821" s="6">
        <v>0</v>
      </c>
      <c r="P5821" s="6">
        <v>0</v>
      </c>
      <c r="Q5821">
        <v>1</v>
      </c>
      <c r="R5821">
        <f t="shared" si="450"/>
        <v>0</v>
      </c>
      <c r="S5821">
        <f t="shared" si="451"/>
        <v>1</v>
      </c>
      <c r="T5821">
        <f t="shared" si="452"/>
        <v>2</v>
      </c>
      <c r="U5821">
        <f t="shared" si="453"/>
        <v>1</v>
      </c>
      <c r="V5821">
        <f t="shared" si="454"/>
        <v>0</v>
      </c>
    </row>
    <row r="5822" spans="1:22" x14ac:dyDescent="0.25">
      <c r="A5822">
        <v>5819</v>
      </c>
      <c r="B5822" t="s">
        <v>40</v>
      </c>
      <c r="C5822" t="s">
        <v>1755</v>
      </c>
      <c r="D5822" s="4">
        <v>45362</v>
      </c>
      <c r="E5822" t="s">
        <v>2050</v>
      </c>
      <c r="F5822" t="s">
        <v>75</v>
      </c>
      <c r="I5822" s="6"/>
      <c r="J5822" s="6"/>
      <c r="K5822" s="6"/>
      <c r="L5822" s="6"/>
      <c r="M5822" s="6"/>
      <c r="N5822" s="6"/>
      <c r="O5822" s="6"/>
      <c r="P5822" s="6"/>
      <c r="Q5822">
        <v>0</v>
      </c>
      <c r="R5822">
        <f t="shared" si="450"/>
        <v>0</v>
      </c>
      <c r="S5822">
        <f t="shared" si="451"/>
        <v>0</v>
      </c>
      <c r="T5822">
        <f t="shared" si="452"/>
        <v>0</v>
      </c>
      <c r="U5822">
        <f t="shared" si="453"/>
        <v>0</v>
      </c>
      <c r="V5822">
        <f t="shared" si="454"/>
        <v>0</v>
      </c>
    </row>
    <row r="5823" spans="1:22" x14ac:dyDescent="0.25">
      <c r="A5823">
        <v>5820</v>
      </c>
      <c r="B5823" t="s">
        <v>40</v>
      </c>
      <c r="C5823" t="s">
        <v>1755</v>
      </c>
      <c r="D5823" s="4">
        <v>45363</v>
      </c>
      <c r="E5823" t="s">
        <v>847</v>
      </c>
      <c r="F5823" t="s">
        <v>75</v>
      </c>
      <c r="I5823" s="6">
        <v>0</v>
      </c>
      <c r="J5823" s="6">
        <v>0</v>
      </c>
      <c r="K5823" s="6">
        <v>0</v>
      </c>
      <c r="L5823" s="6">
        <v>1</v>
      </c>
      <c r="M5823" s="6">
        <v>0</v>
      </c>
      <c r="N5823" s="6">
        <v>0</v>
      </c>
      <c r="O5823" s="6">
        <v>0</v>
      </c>
      <c r="P5823" s="6">
        <v>0</v>
      </c>
      <c r="Q5823">
        <v>1</v>
      </c>
      <c r="R5823">
        <f t="shared" si="450"/>
        <v>0</v>
      </c>
      <c r="S5823">
        <f t="shared" si="451"/>
        <v>1</v>
      </c>
      <c r="T5823">
        <f t="shared" si="452"/>
        <v>1</v>
      </c>
      <c r="U5823">
        <f t="shared" si="453"/>
        <v>1</v>
      </c>
      <c r="V5823">
        <f t="shared" si="454"/>
        <v>0</v>
      </c>
    </row>
    <row r="5824" spans="1:22" x14ac:dyDescent="0.25">
      <c r="A5824">
        <v>5821</v>
      </c>
      <c r="B5824" t="s">
        <v>40</v>
      </c>
      <c r="C5824" t="s">
        <v>1755</v>
      </c>
      <c r="D5824" s="4">
        <v>45363</v>
      </c>
      <c r="E5824" t="s">
        <v>848</v>
      </c>
      <c r="F5824" t="s">
        <v>75</v>
      </c>
      <c r="I5824" s="6">
        <v>0</v>
      </c>
      <c r="J5824" s="6">
        <v>0</v>
      </c>
      <c r="K5824" s="6">
        <v>0</v>
      </c>
      <c r="L5824" s="6">
        <v>0</v>
      </c>
      <c r="M5824" s="6">
        <v>1</v>
      </c>
      <c r="N5824" s="6">
        <v>0</v>
      </c>
      <c r="O5824" s="6">
        <v>0</v>
      </c>
      <c r="P5824" s="6">
        <v>0</v>
      </c>
      <c r="Q5824">
        <v>1</v>
      </c>
      <c r="R5824">
        <f t="shared" si="450"/>
        <v>0</v>
      </c>
      <c r="S5824">
        <f t="shared" si="451"/>
        <v>1</v>
      </c>
      <c r="T5824">
        <f t="shared" si="452"/>
        <v>1</v>
      </c>
      <c r="U5824">
        <f t="shared" si="453"/>
        <v>1</v>
      </c>
      <c r="V5824">
        <f t="shared" si="454"/>
        <v>0</v>
      </c>
    </row>
    <row r="5825" spans="1:22" x14ac:dyDescent="0.25">
      <c r="A5825">
        <v>5822</v>
      </c>
      <c r="B5825" t="s">
        <v>40</v>
      </c>
      <c r="C5825" t="s">
        <v>1755</v>
      </c>
      <c r="D5825" s="4">
        <v>45363</v>
      </c>
      <c r="E5825" t="s">
        <v>1469</v>
      </c>
      <c r="F5825" t="s">
        <v>75</v>
      </c>
      <c r="I5825" s="6">
        <v>0</v>
      </c>
      <c r="J5825" s="6">
        <v>0</v>
      </c>
      <c r="K5825" s="6">
        <v>0</v>
      </c>
      <c r="L5825" s="6">
        <v>1</v>
      </c>
      <c r="M5825" s="6">
        <v>0</v>
      </c>
      <c r="N5825" s="6">
        <v>0</v>
      </c>
      <c r="O5825" s="6">
        <v>0</v>
      </c>
      <c r="P5825" s="6">
        <v>0</v>
      </c>
      <c r="Q5825">
        <v>1</v>
      </c>
      <c r="R5825">
        <f t="shared" si="450"/>
        <v>0</v>
      </c>
      <c r="S5825">
        <f t="shared" si="451"/>
        <v>1</v>
      </c>
      <c r="T5825">
        <f t="shared" si="452"/>
        <v>1</v>
      </c>
      <c r="U5825">
        <f t="shared" si="453"/>
        <v>1</v>
      </c>
      <c r="V5825">
        <f t="shared" si="454"/>
        <v>0</v>
      </c>
    </row>
    <row r="5826" spans="1:22" x14ac:dyDescent="0.25">
      <c r="A5826">
        <v>5823</v>
      </c>
      <c r="B5826" t="s">
        <v>40</v>
      </c>
      <c r="C5826" t="s">
        <v>1755</v>
      </c>
      <c r="D5826" s="4">
        <v>45363</v>
      </c>
      <c r="E5826" t="s">
        <v>1792</v>
      </c>
      <c r="F5826" t="s">
        <v>75</v>
      </c>
      <c r="I5826" s="6">
        <v>0</v>
      </c>
      <c r="J5826" s="6">
        <v>0</v>
      </c>
      <c r="K5826" s="6">
        <v>0</v>
      </c>
      <c r="L5826" s="6">
        <v>0</v>
      </c>
      <c r="M5826" s="6">
        <v>0</v>
      </c>
      <c r="N5826" s="6">
        <v>0</v>
      </c>
      <c r="O5826" s="6">
        <v>0</v>
      </c>
      <c r="P5826" s="6">
        <v>0</v>
      </c>
      <c r="Q5826">
        <v>1</v>
      </c>
      <c r="R5826">
        <f t="shared" si="450"/>
        <v>0</v>
      </c>
      <c r="S5826">
        <f t="shared" si="451"/>
        <v>1</v>
      </c>
      <c r="T5826">
        <f t="shared" si="452"/>
        <v>0</v>
      </c>
      <c r="U5826">
        <f t="shared" si="453"/>
        <v>0</v>
      </c>
      <c r="V5826">
        <f t="shared" si="454"/>
        <v>0</v>
      </c>
    </row>
    <row r="5827" spans="1:22" x14ac:dyDescent="0.25">
      <c r="A5827">
        <v>5824</v>
      </c>
      <c r="B5827" t="s">
        <v>40</v>
      </c>
      <c r="C5827" t="s">
        <v>1755</v>
      </c>
      <c r="D5827" s="4">
        <v>45363</v>
      </c>
      <c r="E5827" t="s">
        <v>2049</v>
      </c>
      <c r="F5827" t="s">
        <v>75</v>
      </c>
      <c r="I5827" s="6">
        <v>1</v>
      </c>
      <c r="J5827" s="6">
        <v>0</v>
      </c>
      <c r="K5827" s="6">
        <v>1</v>
      </c>
      <c r="L5827" s="6">
        <v>1</v>
      </c>
      <c r="M5827" s="6">
        <v>0</v>
      </c>
      <c r="N5827" s="6">
        <v>0</v>
      </c>
      <c r="O5827" s="6">
        <v>0</v>
      </c>
      <c r="P5827" s="6">
        <v>0</v>
      </c>
      <c r="Q5827">
        <v>1</v>
      </c>
      <c r="R5827">
        <f t="shared" ref="R5827:R5890" si="455">IF(AND(Q5827=1,F5827="ai_full"),1,0)</f>
        <v>0</v>
      </c>
      <c r="S5827">
        <f t="shared" ref="S5827:S5890" si="456">IF(AND(Q5827=1,F5827="conventional"),1,0)</f>
        <v>1</v>
      </c>
      <c r="T5827">
        <f t="shared" ref="T5827:T5890" si="457">SUM(I5827:P5827)</f>
        <v>3</v>
      </c>
      <c r="U5827">
        <f t="shared" ref="U5827:U5890" si="458">IF(T5827&gt;=1,1,0)</f>
        <v>1</v>
      </c>
      <c r="V5827">
        <f t="shared" ref="V5827:V5890" si="459">IF(F5827="ai_full",1,0)</f>
        <v>0</v>
      </c>
    </row>
    <row r="5828" spans="1:22" x14ac:dyDescent="0.25">
      <c r="A5828">
        <v>5825</v>
      </c>
      <c r="B5828" t="s">
        <v>40</v>
      </c>
      <c r="C5828" t="s">
        <v>1755</v>
      </c>
      <c r="D5828" s="4">
        <v>45363</v>
      </c>
      <c r="E5828" t="s">
        <v>1531</v>
      </c>
      <c r="F5828" t="s">
        <v>75</v>
      </c>
      <c r="I5828" s="6">
        <v>1</v>
      </c>
      <c r="J5828" s="6">
        <v>0</v>
      </c>
      <c r="K5828" s="6">
        <v>1</v>
      </c>
      <c r="L5828" s="6">
        <v>0</v>
      </c>
      <c r="M5828" s="6">
        <v>1</v>
      </c>
      <c r="N5828" s="6">
        <v>0</v>
      </c>
      <c r="O5828" s="6">
        <v>0</v>
      </c>
      <c r="P5828" s="6">
        <v>0</v>
      </c>
      <c r="Q5828">
        <v>1</v>
      </c>
      <c r="R5828">
        <f t="shared" si="455"/>
        <v>0</v>
      </c>
      <c r="S5828">
        <f t="shared" si="456"/>
        <v>1</v>
      </c>
      <c r="T5828">
        <f t="shared" si="457"/>
        <v>3</v>
      </c>
      <c r="U5828">
        <f t="shared" si="458"/>
        <v>1</v>
      </c>
      <c r="V5828">
        <f t="shared" si="459"/>
        <v>0</v>
      </c>
    </row>
    <row r="5829" spans="1:22" x14ac:dyDescent="0.25">
      <c r="A5829">
        <v>5826</v>
      </c>
      <c r="B5829" t="s">
        <v>40</v>
      </c>
      <c r="C5829" t="s">
        <v>1755</v>
      </c>
      <c r="D5829" s="4">
        <v>45363</v>
      </c>
      <c r="E5829" t="s">
        <v>2048</v>
      </c>
      <c r="F5829" t="s">
        <v>75</v>
      </c>
      <c r="I5829" s="6">
        <v>1</v>
      </c>
      <c r="J5829" s="6">
        <v>0</v>
      </c>
      <c r="K5829" s="6">
        <v>0</v>
      </c>
      <c r="L5829" s="6">
        <v>0</v>
      </c>
      <c r="M5829" s="6">
        <v>0</v>
      </c>
      <c r="N5829" s="6">
        <v>0</v>
      </c>
      <c r="O5829" s="6">
        <v>0</v>
      </c>
      <c r="P5829" s="6">
        <v>0</v>
      </c>
      <c r="Q5829">
        <v>1</v>
      </c>
      <c r="R5829">
        <f t="shared" si="455"/>
        <v>0</v>
      </c>
      <c r="S5829">
        <f t="shared" si="456"/>
        <v>1</v>
      </c>
      <c r="T5829">
        <f t="shared" si="457"/>
        <v>1</v>
      </c>
      <c r="U5829">
        <f t="shared" si="458"/>
        <v>1</v>
      </c>
      <c r="V5829">
        <f t="shared" si="459"/>
        <v>0</v>
      </c>
    </row>
    <row r="5830" spans="1:22" x14ac:dyDescent="0.25">
      <c r="A5830">
        <v>5827</v>
      </c>
      <c r="B5830" t="s">
        <v>40</v>
      </c>
      <c r="C5830" t="s">
        <v>1755</v>
      </c>
      <c r="D5830" s="4">
        <v>45363</v>
      </c>
      <c r="E5830" t="s">
        <v>2047</v>
      </c>
      <c r="F5830" t="s">
        <v>75</v>
      </c>
      <c r="I5830" s="6"/>
      <c r="J5830" s="6"/>
      <c r="K5830" s="6"/>
      <c r="L5830" s="6"/>
      <c r="M5830" s="6"/>
      <c r="N5830" s="6"/>
      <c r="O5830" s="6"/>
      <c r="P5830" s="6"/>
      <c r="Q5830">
        <v>0</v>
      </c>
      <c r="R5830">
        <f t="shared" si="455"/>
        <v>0</v>
      </c>
      <c r="S5830">
        <f t="shared" si="456"/>
        <v>0</v>
      </c>
      <c r="T5830">
        <f t="shared" si="457"/>
        <v>0</v>
      </c>
      <c r="U5830">
        <f t="shared" si="458"/>
        <v>0</v>
      </c>
      <c r="V5830">
        <f t="shared" si="459"/>
        <v>0</v>
      </c>
    </row>
    <row r="5831" spans="1:22" x14ac:dyDescent="0.25">
      <c r="A5831">
        <v>5828</v>
      </c>
      <c r="B5831" t="s">
        <v>40</v>
      </c>
      <c r="C5831" t="s">
        <v>1755</v>
      </c>
      <c r="D5831" s="4">
        <v>45364</v>
      </c>
      <c r="E5831" t="s">
        <v>1127</v>
      </c>
      <c r="F5831" t="s">
        <v>75</v>
      </c>
      <c r="I5831" s="6">
        <v>0</v>
      </c>
      <c r="J5831" s="6">
        <v>0</v>
      </c>
      <c r="K5831" s="6">
        <v>0</v>
      </c>
      <c r="L5831" s="6">
        <v>0</v>
      </c>
      <c r="M5831" s="6">
        <v>0</v>
      </c>
      <c r="N5831" s="6">
        <v>0</v>
      </c>
      <c r="O5831" s="6">
        <v>0</v>
      </c>
      <c r="P5831" s="6">
        <v>0</v>
      </c>
      <c r="Q5831">
        <v>1</v>
      </c>
      <c r="R5831">
        <f t="shared" si="455"/>
        <v>0</v>
      </c>
      <c r="S5831">
        <f t="shared" si="456"/>
        <v>1</v>
      </c>
      <c r="T5831">
        <f t="shared" si="457"/>
        <v>0</v>
      </c>
      <c r="U5831">
        <f t="shared" si="458"/>
        <v>0</v>
      </c>
      <c r="V5831">
        <f t="shared" si="459"/>
        <v>0</v>
      </c>
    </row>
    <row r="5832" spans="1:22" x14ac:dyDescent="0.25">
      <c r="A5832">
        <v>5829</v>
      </c>
      <c r="B5832" t="s">
        <v>40</v>
      </c>
      <c r="C5832" t="s">
        <v>1755</v>
      </c>
      <c r="D5832" s="4">
        <v>45364</v>
      </c>
      <c r="E5832" t="s">
        <v>849</v>
      </c>
      <c r="F5832" t="s">
        <v>75</v>
      </c>
      <c r="I5832" s="6">
        <v>1</v>
      </c>
      <c r="J5832" s="6">
        <v>0</v>
      </c>
      <c r="K5832" s="6">
        <v>0</v>
      </c>
      <c r="L5832" s="6">
        <v>1</v>
      </c>
      <c r="M5832" s="6">
        <v>0</v>
      </c>
      <c r="N5832" s="6">
        <v>0</v>
      </c>
      <c r="O5832" s="6">
        <v>0</v>
      </c>
      <c r="P5832" s="6">
        <v>0</v>
      </c>
      <c r="Q5832">
        <v>1</v>
      </c>
      <c r="R5832">
        <f t="shared" si="455"/>
        <v>0</v>
      </c>
      <c r="S5832">
        <f t="shared" si="456"/>
        <v>1</v>
      </c>
      <c r="T5832">
        <f t="shared" si="457"/>
        <v>2</v>
      </c>
      <c r="U5832">
        <f t="shared" si="458"/>
        <v>1</v>
      </c>
      <c r="V5832">
        <f t="shared" si="459"/>
        <v>0</v>
      </c>
    </row>
    <row r="5833" spans="1:22" x14ac:dyDescent="0.25">
      <c r="A5833">
        <v>5830</v>
      </c>
      <c r="B5833" t="s">
        <v>40</v>
      </c>
      <c r="C5833" t="s">
        <v>1755</v>
      </c>
      <c r="D5833" s="4">
        <v>45364</v>
      </c>
      <c r="E5833" t="s">
        <v>850</v>
      </c>
      <c r="F5833" t="s">
        <v>75</v>
      </c>
      <c r="I5833" s="6">
        <v>0</v>
      </c>
      <c r="J5833" s="6">
        <v>0</v>
      </c>
      <c r="K5833" s="6">
        <v>0</v>
      </c>
      <c r="L5833" s="6">
        <v>0</v>
      </c>
      <c r="M5833" s="6">
        <v>0</v>
      </c>
      <c r="N5833" s="6">
        <v>0</v>
      </c>
      <c r="O5833" s="6">
        <v>0</v>
      </c>
      <c r="P5833" s="6">
        <v>0</v>
      </c>
      <c r="Q5833">
        <v>1</v>
      </c>
      <c r="R5833">
        <f t="shared" si="455"/>
        <v>0</v>
      </c>
      <c r="S5833">
        <f t="shared" si="456"/>
        <v>1</v>
      </c>
      <c r="T5833">
        <f t="shared" si="457"/>
        <v>0</v>
      </c>
      <c r="U5833">
        <f t="shared" si="458"/>
        <v>0</v>
      </c>
      <c r="V5833">
        <f t="shared" si="459"/>
        <v>0</v>
      </c>
    </row>
    <row r="5834" spans="1:22" x14ac:dyDescent="0.25">
      <c r="A5834">
        <v>5831</v>
      </c>
      <c r="B5834" t="s">
        <v>40</v>
      </c>
      <c r="C5834" t="s">
        <v>1755</v>
      </c>
      <c r="D5834" s="4">
        <v>45365</v>
      </c>
      <c r="E5834" t="s">
        <v>924</v>
      </c>
      <c r="F5834" t="s">
        <v>75</v>
      </c>
      <c r="I5834" s="6">
        <v>0</v>
      </c>
      <c r="J5834" s="6">
        <v>0</v>
      </c>
      <c r="K5834" s="6">
        <v>0</v>
      </c>
      <c r="L5834" s="6">
        <v>1</v>
      </c>
      <c r="M5834" s="6">
        <v>1</v>
      </c>
      <c r="N5834" s="6">
        <v>0</v>
      </c>
      <c r="O5834" s="6">
        <v>1</v>
      </c>
      <c r="P5834" s="6">
        <v>0</v>
      </c>
      <c r="Q5834">
        <v>1</v>
      </c>
      <c r="R5834">
        <f t="shared" si="455"/>
        <v>0</v>
      </c>
      <c r="S5834">
        <f t="shared" si="456"/>
        <v>1</v>
      </c>
      <c r="T5834">
        <f t="shared" si="457"/>
        <v>3</v>
      </c>
      <c r="U5834">
        <f t="shared" si="458"/>
        <v>1</v>
      </c>
      <c r="V5834">
        <f t="shared" si="459"/>
        <v>0</v>
      </c>
    </row>
    <row r="5835" spans="1:22" x14ac:dyDescent="0.25">
      <c r="A5835">
        <v>5832</v>
      </c>
      <c r="B5835" t="s">
        <v>40</v>
      </c>
      <c r="C5835" t="s">
        <v>1755</v>
      </c>
      <c r="D5835" s="4">
        <v>45365</v>
      </c>
      <c r="E5835" t="s">
        <v>926</v>
      </c>
      <c r="F5835" t="s">
        <v>75</v>
      </c>
      <c r="I5835" s="6">
        <v>0</v>
      </c>
      <c r="J5835" s="6">
        <v>0</v>
      </c>
      <c r="K5835" s="6">
        <v>0</v>
      </c>
      <c r="L5835" s="6">
        <v>1</v>
      </c>
      <c r="M5835" s="6">
        <v>0</v>
      </c>
      <c r="N5835" s="6">
        <v>0</v>
      </c>
      <c r="O5835" s="6">
        <v>0</v>
      </c>
      <c r="P5835" s="6">
        <v>0</v>
      </c>
      <c r="Q5835">
        <v>1</v>
      </c>
      <c r="R5835">
        <f t="shared" si="455"/>
        <v>0</v>
      </c>
      <c r="S5835">
        <f t="shared" si="456"/>
        <v>1</v>
      </c>
      <c r="T5835">
        <f t="shared" si="457"/>
        <v>1</v>
      </c>
      <c r="U5835">
        <f t="shared" si="458"/>
        <v>1</v>
      </c>
      <c r="V5835">
        <f t="shared" si="459"/>
        <v>0</v>
      </c>
    </row>
    <row r="5836" spans="1:22" x14ac:dyDescent="0.25">
      <c r="A5836">
        <v>5833</v>
      </c>
      <c r="B5836" t="s">
        <v>40</v>
      </c>
      <c r="C5836" t="s">
        <v>1755</v>
      </c>
      <c r="D5836" s="4">
        <v>45366</v>
      </c>
      <c r="E5836" t="s">
        <v>928</v>
      </c>
      <c r="F5836" t="s">
        <v>75</v>
      </c>
      <c r="I5836" s="6">
        <v>0</v>
      </c>
      <c r="J5836" s="6">
        <v>0</v>
      </c>
      <c r="K5836" s="6">
        <v>0</v>
      </c>
      <c r="L5836" s="6">
        <v>0</v>
      </c>
      <c r="M5836" s="6">
        <v>1</v>
      </c>
      <c r="N5836" s="6">
        <v>0</v>
      </c>
      <c r="O5836" s="6">
        <v>0</v>
      </c>
      <c r="P5836" s="6">
        <v>0</v>
      </c>
      <c r="Q5836">
        <v>1</v>
      </c>
      <c r="R5836">
        <f t="shared" si="455"/>
        <v>0</v>
      </c>
      <c r="S5836">
        <f t="shared" si="456"/>
        <v>1</v>
      </c>
      <c r="T5836">
        <f t="shared" si="457"/>
        <v>1</v>
      </c>
      <c r="U5836">
        <f t="shared" si="458"/>
        <v>1</v>
      </c>
      <c r="V5836">
        <f t="shared" si="459"/>
        <v>0</v>
      </c>
    </row>
    <row r="5837" spans="1:22" x14ac:dyDescent="0.25">
      <c r="A5837">
        <v>5834</v>
      </c>
      <c r="B5837" t="s">
        <v>40</v>
      </c>
      <c r="C5837" t="s">
        <v>1755</v>
      </c>
      <c r="D5837" s="4">
        <v>45366</v>
      </c>
      <c r="E5837" t="s">
        <v>930</v>
      </c>
      <c r="F5837" t="s">
        <v>75</v>
      </c>
      <c r="I5837" s="6">
        <v>0</v>
      </c>
      <c r="J5837" s="6">
        <v>0</v>
      </c>
      <c r="K5837" s="6">
        <v>0</v>
      </c>
      <c r="L5837" s="6">
        <v>0</v>
      </c>
      <c r="M5837" s="6">
        <v>1</v>
      </c>
      <c r="N5837" s="6">
        <v>0</v>
      </c>
      <c r="O5837" s="6">
        <v>0</v>
      </c>
      <c r="P5837" s="6">
        <v>0</v>
      </c>
      <c r="Q5837">
        <v>1</v>
      </c>
      <c r="R5837">
        <f t="shared" si="455"/>
        <v>0</v>
      </c>
      <c r="S5837">
        <f t="shared" si="456"/>
        <v>1</v>
      </c>
      <c r="T5837">
        <f t="shared" si="457"/>
        <v>1</v>
      </c>
      <c r="U5837">
        <f t="shared" si="458"/>
        <v>1</v>
      </c>
      <c r="V5837">
        <f t="shared" si="459"/>
        <v>0</v>
      </c>
    </row>
    <row r="5838" spans="1:22" x14ac:dyDescent="0.25">
      <c r="A5838">
        <v>5835</v>
      </c>
      <c r="B5838" t="s">
        <v>40</v>
      </c>
      <c r="C5838" t="s">
        <v>1755</v>
      </c>
      <c r="D5838" s="4">
        <v>45366</v>
      </c>
      <c r="E5838" t="s">
        <v>1128</v>
      </c>
      <c r="F5838" t="s">
        <v>75</v>
      </c>
      <c r="I5838" s="6">
        <v>1</v>
      </c>
      <c r="J5838" s="6">
        <v>0</v>
      </c>
      <c r="K5838" s="6">
        <v>0</v>
      </c>
      <c r="L5838" s="6">
        <v>0</v>
      </c>
      <c r="M5838" s="6">
        <v>1</v>
      </c>
      <c r="N5838" s="6">
        <v>0</v>
      </c>
      <c r="O5838" s="6">
        <v>0</v>
      </c>
      <c r="P5838" s="6">
        <v>0</v>
      </c>
      <c r="Q5838">
        <v>1</v>
      </c>
      <c r="R5838">
        <f t="shared" si="455"/>
        <v>0</v>
      </c>
      <c r="S5838">
        <f t="shared" si="456"/>
        <v>1</v>
      </c>
      <c r="T5838">
        <f t="shared" si="457"/>
        <v>2</v>
      </c>
      <c r="U5838">
        <f t="shared" si="458"/>
        <v>1</v>
      </c>
      <c r="V5838">
        <f t="shared" si="459"/>
        <v>0</v>
      </c>
    </row>
    <row r="5839" spans="1:22" x14ac:dyDescent="0.25">
      <c r="A5839">
        <v>5836</v>
      </c>
      <c r="B5839" t="s">
        <v>40</v>
      </c>
      <c r="C5839" t="s">
        <v>1755</v>
      </c>
      <c r="D5839" s="4">
        <v>45366</v>
      </c>
      <c r="E5839" t="s">
        <v>2046</v>
      </c>
      <c r="F5839" t="s">
        <v>75</v>
      </c>
      <c r="I5839" s="6">
        <v>0</v>
      </c>
      <c r="J5839" s="6">
        <v>0</v>
      </c>
      <c r="K5839" s="6">
        <v>0</v>
      </c>
      <c r="L5839" s="6">
        <v>0</v>
      </c>
      <c r="M5839" s="6">
        <v>0</v>
      </c>
      <c r="N5839" s="6">
        <v>0</v>
      </c>
      <c r="O5839" s="6">
        <v>0</v>
      </c>
      <c r="P5839" s="6">
        <v>1</v>
      </c>
      <c r="Q5839">
        <v>1</v>
      </c>
      <c r="R5839">
        <f t="shared" si="455"/>
        <v>0</v>
      </c>
      <c r="S5839">
        <f t="shared" si="456"/>
        <v>1</v>
      </c>
      <c r="T5839">
        <f t="shared" si="457"/>
        <v>1</v>
      </c>
      <c r="U5839">
        <f t="shared" si="458"/>
        <v>1</v>
      </c>
      <c r="V5839">
        <f t="shared" si="459"/>
        <v>0</v>
      </c>
    </row>
    <row r="5840" spans="1:22" x14ac:dyDescent="0.25">
      <c r="A5840">
        <v>5837</v>
      </c>
      <c r="B5840" t="s">
        <v>40</v>
      </c>
      <c r="C5840" t="s">
        <v>1755</v>
      </c>
      <c r="D5840" s="4">
        <v>45366</v>
      </c>
      <c r="E5840" t="s">
        <v>2045</v>
      </c>
      <c r="F5840" t="s">
        <v>75</v>
      </c>
      <c r="I5840" s="6"/>
      <c r="J5840" s="6"/>
      <c r="K5840" s="6"/>
      <c r="L5840" s="6"/>
      <c r="M5840" s="6"/>
      <c r="N5840" s="6"/>
      <c r="O5840" s="6"/>
      <c r="P5840" s="6"/>
      <c r="Q5840">
        <v>0</v>
      </c>
      <c r="R5840">
        <f t="shared" si="455"/>
        <v>0</v>
      </c>
      <c r="S5840">
        <f t="shared" si="456"/>
        <v>0</v>
      </c>
      <c r="T5840">
        <f t="shared" si="457"/>
        <v>0</v>
      </c>
      <c r="U5840">
        <f t="shared" si="458"/>
        <v>0</v>
      </c>
      <c r="V5840">
        <f t="shared" si="459"/>
        <v>0</v>
      </c>
    </row>
    <row r="5841" spans="1:22" x14ac:dyDescent="0.25">
      <c r="A5841">
        <v>5838</v>
      </c>
      <c r="B5841" t="s">
        <v>40</v>
      </c>
      <c r="C5841" t="s">
        <v>1755</v>
      </c>
      <c r="D5841" s="4">
        <v>45367</v>
      </c>
      <c r="E5841" t="s">
        <v>425</v>
      </c>
      <c r="F5841" t="s">
        <v>75</v>
      </c>
      <c r="I5841" s="6">
        <v>0</v>
      </c>
      <c r="J5841" s="6">
        <v>0</v>
      </c>
      <c r="K5841" s="6">
        <v>0</v>
      </c>
      <c r="L5841" s="6">
        <v>0</v>
      </c>
      <c r="M5841" s="6">
        <v>0</v>
      </c>
      <c r="N5841" s="6">
        <v>0</v>
      </c>
      <c r="O5841" s="6">
        <v>0</v>
      </c>
      <c r="P5841" s="6">
        <v>0</v>
      </c>
      <c r="Q5841">
        <v>1</v>
      </c>
      <c r="R5841">
        <f t="shared" si="455"/>
        <v>0</v>
      </c>
      <c r="S5841">
        <f t="shared" si="456"/>
        <v>1</v>
      </c>
      <c r="T5841">
        <f t="shared" si="457"/>
        <v>0</v>
      </c>
      <c r="U5841">
        <f t="shared" si="458"/>
        <v>0</v>
      </c>
      <c r="V5841">
        <f t="shared" si="459"/>
        <v>0</v>
      </c>
    </row>
    <row r="5842" spans="1:22" x14ac:dyDescent="0.25">
      <c r="A5842">
        <v>5839</v>
      </c>
      <c r="B5842" t="s">
        <v>40</v>
      </c>
      <c r="C5842" t="s">
        <v>1755</v>
      </c>
      <c r="D5842" s="4">
        <v>45367</v>
      </c>
      <c r="E5842" t="s">
        <v>426</v>
      </c>
      <c r="F5842" t="s">
        <v>75</v>
      </c>
      <c r="I5842" s="6">
        <v>0</v>
      </c>
      <c r="J5842" s="6">
        <v>0</v>
      </c>
      <c r="K5842" s="6">
        <v>0</v>
      </c>
      <c r="L5842" s="6">
        <v>0</v>
      </c>
      <c r="M5842" s="6">
        <v>1</v>
      </c>
      <c r="N5842" s="6">
        <v>0</v>
      </c>
      <c r="O5842" s="6">
        <v>0</v>
      </c>
      <c r="P5842" s="6">
        <v>0</v>
      </c>
      <c r="Q5842">
        <v>1</v>
      </c>
      <c r="R5842">
        <f t="shared" si="455"/>
        <v>0</v>
      </c>
      <c r="S5842">
        <f t="shared" si="456"/>
        <v>1</v>
      </c>
      <c r="T5842">
        <f t="shared" si="457"/>
        <v>1</v>
      </c>
      <c r="U5842">
        <f t="shared" si="458"/>
        <v>1</v>
      </c>
      <c r="V5842">
        <f t="shared" si="459"/>
        <v>0</v>
      </c>
    </row>
    <row r="5843" spans="1:22" x14ac:dyDescent="0.25">
      <c r="A5843">
        <v>5840</v>
      </c>
      <c r="B5843" t="s">
        <v>40</v>
      </c>
      <c r="C5843" t="s">
        <v>1755</v>
      </c>
      <c r="D5843" s="4">
        <v>45367</v>
      </c>
      <c r="E5843" t="s">
        <v>1470</v>
      </c>
      <c r="F5843" t="s">
        <v>75</v>
      </c>
      <c r="I5843" s="6">
        <v>0</v>
      </c>
      <c r="J5843" s="6">
        <v>0</v>
      </c>
      <c r="K5843" s="6">
        <v>0</v>
      </c>
      <c r="L5843" s="6">
        <v>0</v>
      </c>
      <c r="M5843" s="6">
        <v>1</v>
      </c>
      <c r="N5843" s="6">
        <v>0</v>
      </c>
      <c r="O5843" s="6">
        <v>0</v>
      </c>
      <c r="P5843" s="6">
        <v>0</v>
      </c>
      <c r="Q5843">
        <v>1</v>
      </c>
      <c r="R5843">
        <f t="shared" si="455"/>
        <v>0</v>
      </c>
      <c r="S5843">
        <f t="shared" si="456"/>
        <v>1</v>
      </c>
      <c r="T5843">
        <f t="shared" si="457"/>
        <v>1</v>
      </c>
      <c r="U5843">
        <f t="shared" si="458"/>
        <v>1</v>
      </c>
      <c r="V5843">
        <f t="shared" si="459"/>
        <v>0</v>
      </c>
    </row>
    <row r="5844" spans="1:22" x14ac:dyDescent="0.25">
      <c r="A5844">
        <v>5841</v>
      </c>
      <c r="B5844" t="s">
        <v>40</v>
      </c>
      <c r="C5844" t="s">
        <v>1755</v>
      </c>
      <c r="D5844" s="4">
        <v>45367</v>
      </c>
      <c r="E5844" t="s">
        <v>2044</v>
      </c>
      <c r="F5844" t="s">
        <v>75</v>
      </c>
      <c r="I5844" s="6">
        <v>0</v>
      </c>
      <c r="J5844" s="6">
        <v>0</v>
      </c>
      <c r="K5844" s="6">
        <v>0</v>
      </c>
      <c r="L5844" s="6">
        <v>0</v>
      </c>
      <c r="M5844" s="6">
        <v>0</v>
      </c>
      <c r="N5844" s="6">
        <v>0</v>
      </c>
      <c r="O5844" s="6">
        <v>0</v>
      </c>
      <c r="P5844" s="6">
        <v>0</v>
      </c>
      <c r="Q5844">
        <v>1</v>
      </c>
      <c r="R5844">
        <f t="shared" si="455"/>
        <v>0</v>
      </c>
      <c r="S5844">
        <f t="shared" si="456"/>
        <v>1</v>
      </c>
      <c r="T5844">
        <f t="shared" si="457"/>
        <v>0</v>
      </c>
      <c r="U5844">
        <f t="shared" si="458"/>
        <v>0</v>
      </c>
      <c r="V5844">
        <f t="shared" si="459"/>
        <v>0</v>
      </c>
    </row>
    <row r="5845" spans="1:22" x14ac:dyDescent="0.25">
      <c r="A5845">
        <v>5842</v>
      </c>
      <c r="B5845" t="s">
        <v>40</v>
      </c>
      <c r="C5845" t="s">
        <v>1755</v>
      </c>
      <c r="D5845" s="4">
        <v>45367</v>
      </c>
      <c r="E5845" t="s">
        <v>1793</v>
      </c>
      <c r="F5845" t="s">
        <v>75</v>
      </c>
      <c r="I5845" s="6">
        <v>0</v>
      </c>
      <c r="J5845" s="6">
        <v>0</v>
      </c>
      <c r="K5845" s="6">
        <v>0</v>
      </c>
      <c r="L5845" s="6">
        <v>0</v>
      </c>
      <c r="M5845" s="6">
        <v>1</v>
      </c>
      <c r="N5845" s="6">
        <v>0</v>
      </c>
      <c r="O5845" s="6">
        <v>0</v>
      </c>
      <c r="P5845" s="6">
        <v>0</v>
      </c>
      <c r="Q5845">
        <v>1</v>
      </c>
      <c r="R5845">
        <f t="shared" si="455"/>
        <v>0</v>
      </c>
      <c r="S5845">
        <f t="shared" si="456"/>
        <v>1</v>
      </c>
      <c r="T5845">
        <f t="shared" si="457"/>
        <v>1</v>
      </c>
      <c r="U5845">
        <f t="shared" si="458"/>
        <v>1</v>
      </c>
      <c r="V5845">
        <f t="shared" si="459"/>
        <v>0</v>
      </c>
    </row>
    <row r="5846" spans="1:22" x14ac:dyDescent="0.25">
      <c r="A5846">
        <v>5843</v>
      </c>
      <c r="B5846" t="s">
        <v>40</v>
      </c>
      <c r="C5846" t="s">
        <v>1755</v>
      </c>
      <c r="D5846" s="4">
        <v>45368</v>
      </c>
      <c r="E5846" t="s">
        <v>1794</v>
      </c>
      <c r="F5846" t="s">
        <v>75</v>
      </c>
      <c r="I5846" s="6">
        <v>1</v>
      </c>
      <c r="J5846" s="6">
        <v>0</v>
      </c>
      <c r="K5846" s="6">
        <v>1</v>
      </c>
      <c r="L5846" s="6">
        <v>0</v>
      </c>
      <c r="M5846" s="6">
        <v>1</v>
      </c>
      <c r="N5846" s="6">
        <v>0</v>
      </c>
      <c r="O5846" s="6">
        <v>0</v>
      </c>
      <c r="P5846" s="6">
        <v>0</v>
      </c>
      <c r="Q5846">
        <v>1</v>
      </c>
      <c r="R5846">
        <f t="shared" si="455"/>
        <v>0</v>
      </c>
      <c r="S5846">
        <f t="shared" si="456"/>
        <v>1</v>
      </c>
      <c r="T5846">
        <f t="shared" si="457"/>
        <v>3</v>
      </c>
      <c r="U5846">
        <f t="shared" si="458"/>
        <v>1</v>
      </c>
      <c r="V5846">
        <f t="shared" si="459"/>
        <v>0</v>
      </c>
    </row>
    <row r="5847" spans="1:22" x14ac:dyDescent="0.25">
      <c r="A5847">
        <v>5844</v>
      </c>
      <c r="B5847" t="s">
        <v>40</v>
      </c>
      <c r="C5847" t="s">
        <v>1755</v>
      </c>
      <c r="D5847" s="4">
        <v>45368</v>
      </c>
      <c r="E5847" t="s">
        <v>2043</v>
      </c>
      <c r="F5847" t="s">
        <v>75</v>
      </c>
      <c r="I5847" s="6">
        <v>1</v>
      </c>
      <c r="J5847" s="6">
        <v>0</v>
      </c>
      <c r="K5847" s="6">
        <v>1</v>
      </c>
      <c r="L5847" s="6">
        <v>0</v>
      </c>
      <c r="M5847" s="6">
        <v>1</v>
      </c>
      <c r="N5847" s="6">
        <v>0</v>
      </c>
      <c r="O5847" s="6">
        <v>0</v>
      </c>
      <c r="P5847" s="6">
        <v>0</v>
      </c>
      <c r="Q5847">
        <v>1</v>
      </c>
      <c r="R5847">
        <f t="shared" si="455"/>
        <v>0</v>
      </c>
      <c r="S5847">
        <f t="shared" si="456"/>
        <v>1</v>
      </c>
      <c r="T5847">
        <f t="shared" si="457"/>
        <v>3</v>
      </c>
      <c r="U5847">
        <f t="shared" si="458"/>
        <v>1</v>
      </c>
      <c r="V5847">
        <f t="shared" si="459"/>
        <v>0</v>
      </c>
    </row>
    <row r="5848" spans="1:22" x14ac:dyDescent="0.25">
      <c r="A5848">
        <v>5845</v>
      </c>
      <c r="B5848" t="s">
        <v>40</v>
      </c>
      <c r="C5848" t="s">
        <v>1755</v>
      </c>
      <c r="D5848" s="4">
        <v>45369</v>
      </c>
      <c r="E5848" t="s">
        <v>854</v>
      </c>
      <c r="F5848" t="s">
        <v>75</v>
      </c>
      <c r="I5848" s="6">
        <v>0</v>
      </c>
      <c r="J5848" s="6">
        <v>0</v>
      </c>
      <c r="K5848" s="6">
        <v>0</v>
      </c>
      <c r="L5848" s="6">
        <v>0</v>
      </c>
      <c r="M5848" s="6">
        <v>0</v>
      </c>
      <c r="N5848" s="6">
        <v>0</v>
      </c>
      <c r="O5848" s="6">
        <v>0</v>
      </c>
      <c r="P5848" s="6">
        <v>0</v>
      </c>
      <c r="Q5848">
        <v>1</v>
      </c>
      <c r="R5848">
        <f t="shared" si="455"/>
        <v>0</v>
      </c>
      <c r="S5848">
        <f t="shared" si="456"/>
        <v>1</v>
      </c>
      <c r="T5848">
        <f t="shared" si="457"/>
        <v>0</v>
      </c>
      <c r="U5848">
        <f t="shared" si="458"/>
        <v>0</v>
      </c>
      <c r="V5848">
        <f t="shared" si="459"/>
        <v>0</v>
      </c>
    </row>
    <row r="5849" spans="1:22" x14ac:dyDescent="0.25">
      <c r="A5849">
        <v>5846</v>
      </c>
      <c r="B5849" t="s">
        <v>40</v>
      </c>
      <c r="C5849" t="s">
        <v>1755</v>
      </c>
      <c r="D5849" s="4">
        <v>45369</v>
      </c>
      <c r="E5849" t="s">
        <v>855</v>
      </c>
      <c r="F5849" t="s">
        <v>75</v>
      </c>
      <c r="I5849" s="6">
        <v>0</v>
      </c>
      <c r="J5849" s="6">
        <v>0</v>
      </c>
      <c r="K5849" s="6">
        <v>0</v>
      </c>
      <c r="L5849" s="6">
        <v>0</v>
      </c>
      <c r="M5849" s="6">
        <v>0</v>
      </c>
      <c r="N5849" s="6">
        <v>0</v>
      </c>
      <c r="O5849" s="6">
        <v>0</v>
      </c>
      <c r="P5849" s="6">
        <v>0</v>
      </c>
      <c r="Q5849">
        <v>1</v>
      </c>
      <c r="R5849">
        <f t="shared" si="455"/>
        <v>0</v>
      </c>
      <c r="S5849">
        <f t="shared" si="456"/>
        <v>1</v>
      </c>
      <c r="T5849">
        <f t="shared" si="457"/>
        <v>0</v>
      </c>
      <c r="U5849">
        <f t="shared" si="458"/>
        <v>0</v>
      </c>
      <c r="V5849">
        <f t="shared" si="459"/>
        <v>0</v>
      </c>
    </row>
    <row r="5850" spans="1:22" x14ac:dyDescent="0.25">
      <c r="A5850">
        <v>5847</v>
      </c>
      <c r="B5850" t="s">
        <v>40</v>
      </c>
      <c r="C5850" t="s">
        <v>1755</v>
      </c>
      <c r="D5850" s="4">
        <v>45370</v>
      </c>
      <c r="E5850" t="s">
        <v>935</v>
      </c>
      <c r="F5850" t="s">
        <v>75</v>
      </c>
      <c r="I5850" s="6">
        <v>0</v>
      </c>
      <c r="J5850" s="6">
        <v>0</v>
      </c>
      <c r="K5850" s="6">
        <v>0</v>
      </c>
      <c r="L5850" s="6">
        <v>0</v>
      </c>
      <c r="M5850" s="6">
        <v>1</v>
      </c>
      <c r="N5850" s="6">
        <v>0</v>
      </c>
      <c r="O5850" s="6">
        <v>0</v>
      </c>
      <c r="P5850" s="6">
        <v>0</v>
      </c>
      <c r="Q5850">
        <v>1</v>
      </c>
      <c r="R5850">
        <f t="shared" si="455"/>
        <v>0</v>
      </c>
      <c r="S5850">
        <f t="shared" si="456"/>
        <v>1</v>
      </c>
      <c r="T5850">
        <f t="shared" si="457"/>
        <v>1</v>
      </c>
      <c r="U5850">
        <f t="shared" si="458"/>
        <v>1</v>
      </c>
      <c r="V5850">
        <f t="shared" si="459"/>
        <v>0</v>
      </c>
    </row>
    <row r="5851" spans="1:22" x14ac:dyDescent="0.25">
      <c r="A5851">
        <v>5848</v>
      </c>
      <c r="B5851" t="s">
        <v>40</v>
      </c>
      <c r="C5851" t="s">
        <v>1755</v>
      </c>
      <c r="D5851" s="4">
        <v>45370</v>
      </c>
      <c r="E5851" t="s">
        <v>937</v>
      </c>
      <c r="F5851" t="s">
        <v>75</v>
      </c>
      <c r="I5851" s="6">
        <v>0</v>
      </c>
      <c r="J5851" s="6">
        <v>0</v>
      </c>
      <c r="K5851" s="6">
        <v>0</v>
      </c>
      <c r="L5851" s="6">
        <v>1</v>
      </c>
      <c r="M5851" s="6">
        <v>0</v>
      </c>
      <c r="N5851" s="6">
        <v>0</v>
      </c>
      <c r="O5851" s="6">
        <v>0</v>
      </c>
      <c r="P5851" s="6">
        <v>0</v>
      </c>
      <c r="Q5851">
        <v>1</v>
      </c>
      <c r="R5851">
        <f t="shared" si="455"/>
        <v>0</v>
      </c>
      <c r="S5851">
        <f t="shared" si="456"/>
        <v>1</v>
      </c>
      <c r="T5851">
        <f t="shared" si="457"/>
        <v>1</v>
      </c>
      <c r="U5851">
        <f t="shared" si="458"/>
        <v>1</v>
      </c>
      <c r="V5851">
        <f t="shared" si="459"/>
        <v>0</v>
      </c>
    </row>
    <row r="5852" spans="1:22" x14ac:dyDescent="0.25">
      <c r="A5852">
        <v>5849</v>
      </c>
      <c r="B5852" t="s">
        <v>40</v>
      </c>
      <c r="C5852" t="s">
        <v>1755</v>
      </c>
      <c r="D5852" s="4">
        <v>45370</v>
      </c>
      <c r="E5852" t="s">
        <v>1056</v>
      </c>
      <c r="F5852" t="s">
        <v>75</v>
      </c>
      <c r="I5852" s="6">
        <v>1</v>
      </c>
      <c r="J5852" s="6">
        <v>0</v>
      </c>
      <c r="K5852" s="6">
        <v>0</v>
      </c>
      <c r="L5852" s="6">
        <v>0</v>
      </c>
      <c r="M5852" s="6">
        <v>0</v>
      </c>
      <c r="N5852" s="6">
        <v>0</v>
      </c>
      <c r="O5852" s="6">
        <v>0</v>
      </c>
      <c r="P5852" s="6">
        <v>0</v>
      </c>
      <c r="Q5852">
        <v>1</v>
      </c>
      <c r="R5852">
        <f t="shared" si="455"/>
        <v>0</v>
      </c>
      <c r="S5852">
        <f t="shared" si="456"/>
        <v>1</v>
      </c>
      <c r="T5852">
        <f t="shared" si="457"/>
        <v>1</v>
      </c>
      <c r="U5852">
        <f t="shared" si="458"/>
        <v>1</v>
      </c>
      <c r="V5852">
        <f t="shared" si="459"/>
        <v>0</v>
      </c>
    </row>
    <row r="5853" spans="1:22" x14ac:dyDescent="0.25">
      <c r="A5853">
        <v>5850</v>
      </c>
      <c r="B5853" t="s">
        <v>40</v>
      </c>
      <c r="C5853" t="s">
        <v>1755</v>
      </c>
      <c r="D5853" s="4">
        <v>45370</v>
      </c>
      <c r="E5853" t="s">
        <v>1795</v>
      </c>
      <c r="F5853" t="s">
        <v>75</v>
      </c>
      <c r="I5853" s="6">
        <v>0</v>
      </c>
      <c r="J5853" s="6">
        <v>0</v>
      </c>
      <c r="K5853" s="6">
        <v>0</v>
      </c>
      <c r="L5853" s="6">
        <v>0</v>
      </c>
      <c r="M5853" s="6">
        <v>0</v>
      </c>
      <c r="N5853" s="6">
        <v>0</v>
      </c>
      <c r="O5853" s="6">
        <v>0</v>
      </c>
      <c r="P5853" s="6">
        <v>0</v>
      </c>
      <c r="Q5853">
        <v>1</v>
      </c>
      <c r="R5853">
        <f t="shared" si="455"/>
        <v>0</v>
      </c>
      <c r="S5853">
        <f t="shared" si="456"/>
        <v>1</v>
      </c>
      <c r="T5853">
        <f t="shared" si="457"/>
        <v>0</v>
      </c>
      <c r="U5853">
        <f t="shared" si="458"/>
        <v>0</v>
      </c>
      <c r="V5853">
        <f t="shared" si="459"/>
        <v>0</v>
      </c>
    </row>
    <row r="5854" spans="1:22" x14ac:dyDescent="0.25">
      <c r="A5854">
        <v>5851</v>
      </c>
      <c r="B5854" t="s">
        <v>40</v>
      </c>
      <c r="C5854" t="s">
        <v>1755</v>
      </c>
      <c r="D5854" s="4">
        <v>45370</v>
      </c>
      <c r="E5854" t="s">
        <v>1796</v>
      </c>
      <c r="F5854" t="s">
        <v>75</v>
      </c>
      <c r="I5854" s="6">
        <v>0</v>
      </c>
      <c r="J5854" s="6">
        <v>0</v>
      </c>
      <c r="K5854" s="6">
        <v>0</v>
      </c>
      <c r="L5854" s="6">
        <v>0</v>
      </c>
      <c r="M5854" s="6">
        <v>0</v>
      </c>
      <c r="N5854" s="6">
        <v>0</v>
      </c>
      <c r="O5854" s="6">
        <v>0</v>
      </c>
      <c r="P5854" s="6">
        <v>0</v>
      </c>
      <c r="Q5854">
        <v>1</v>
      </c>
      <c r="R5854">
        <f t="shared" si="455"/>
        <v>0</v>
      </c>
      <c r="S5854">
        <f t="shared" si="456"/>
        <v>1</v>
      </c>
      <c r="T5854">
        <f t="shared" si="457"/>
        <v>0</v>
      </c>
      <c r="U5854">
        <f t="shared" si="458"/>
        <v>0</v>
      </c>
      <c r="V5854">
        <f t="shared" si="459"/>
        <v>0</v>
      </c>
    </row>
    <row r="5855" spans="1:22" x14ac:dyDescent="0.25">
      <c r="A5855">
        <v>5852</v>
      </c>
      <c r="B5855" t="s">
        <v>40</v>
      </c>
      <c r="C5855" t="s">
        <v>1755</v>
      </c>
      <c r="D5855" s="4">
        <v>45371</v>
      </c>
      <c r="E5855" t="s">
        <v>1532</v>
      </c>
      <c r="F5855" t="s">
        <v>75</v>
      </c>
      <c r="I5855" s="6"/>
      <c r="J5855" s="6"/>
      <c r="K5855" s="6"/>
      <c r="L5855" s="6"/>
      <c r="M5855" s="6"/>
      <c r="N5855" s="6"/>
      <c r="O5855" s="6"/>
      <c r="P5855" s="6"/>
      <c r="Q5855">
        <v>0</v>
      </c>
      <c r="R5855">
        <f t="shared" si="455"/>
        <v>0</v>
      </c>
      <c r="S5855">
        <f t="shared" si="456"/>
        <v>0</v>
      </c>
      <c r="T5855">
        <f t="shared" si="457"/>
        <v>0</v>
      </c>
      <c r="U5855">
        <f t="shared" si="458"/>
        <v>0</v>
      </c>
      <c r="V5855">
        <f t="shared" si="459"/>
        <v>0</v>
      </c>
    </row>
    <row r="5856" spans="1:22" x14ac:dyDescent="0.25">
      <c r="A5856">
        <v>5853</v>
      </c>
      <c r="B5856" t="s">
        <v>40</v>
      </c>
      <c r="C5856" t="s">
        <v>1755</v>
      </c>
      <c r="D5856" s="4">
        <v>45371</v>
      </c>
      <c r="E5856" t="s">
        <v>938</v>
      </c>
      <c r="F5856" t="s">
        <v>75</v>
      </c>
      <c r="I5856" s="6">
        <v>0</v>
      </c>
      <c r="J5856" s="6">
        <v>0</v>
      </c>
      <c r="K5856" s="6">
        <v>0</v>
      </c>
      <c r="L5856" s="6">
        <v>0</v>
      </c>
      <c r="M5856" s="6">
        <v>0</v>
      </c>
      <c r="N5856" s="6">
        <v>0</v>
      </c>
      <c r="O5856" s="6">
        <v>0</v>
      </c>
      <c r="P5856" s="6">
        <v>0</v>
      </c>
      <c r="Q5856">
        <v>1</v>
      </c>
      <c r="R5856">
        <f t="shared" si="455"/>
        <v>0</v>
      </c>
      <c r="S5856">
        <f t="shared" si="456"/>
        <v>1</v>
      </c>
      <c r="T5856">
        <f t="shared" si="457"/>
        <v>0</v>
      </c>
      <c r="U5856">
        <f t="shared" si="458"/>
        <v>0</v>
      </c>
      <c r="V5856">
        <f t="shared" si="459"/>
        <v>0</v>
      </c>
    </row>
    <row r="5857" spans="1:22" x14ac:dyDescent="0.25">
      <c r="A5857">
        <v>5854</v>
      </c>
      <c r="B5857" t="s">
        <v>40</v>
      </c>
      <c r="C5857" t="s">
        <v>1755</v>
      </c>
      <c r="D5857" s="4">
        <v>45371</v>
      </c>
      <c r="E5857" t="s">
        <v>939</v>
      </c>
      <c r="F5857" t="s">
        <v>75</v>
      </c>
      <c r="I5857" s="6">
        <v>1</v>
      </c>
      <c r="J5857" s="6">
        <v>0</v>
      </c>
      <c r="K5857" s="6">
        <v>0</v>
      </c>
      <c r="L5857" s="6">
        <v>0</v>
      </c>
      <c r="M5857" s="6">
        <v>0</v>
      </c>
      <c r="N5857" s="6">
        <v>0</v>
      </c>
      <c r="O5857" s="6">
        <v>0</v>
      </c>
      <c r="P5857" s="6">
        <v>0</v>
      </c>
      <c r="Q5857">
        <v>1</v>
      </c>
      <c r="R5857">
        <f t="shared" si="455"/>
        <v>0</v>
      </c>
      <c r="S5857">
        <f t="shared" si="456"/>
        <v>1</v>
      </c>
      <c r="T5857">
        <f t="shared" si="457"/>
        <v>1</v>
      </c>
      <c r="U5857">
        <f t="shared" si="458"/>
        <v>1</v>
      </c>
      <c r="V5857">
        <f t="shared" si="459"/>
        <v>0</v>
      </c>
    </row>
    <row r="5858" spans="1:22" x14ac:dyDescent="0.25">
      <c r="A5858">
        <v>5855</v>
      </c>
      <c r="B5858" t="s">
        <v>40</v>
      </c>
      <c r="C5858" t="s">
        <v>1755</v>
      </c>
      <c r="D5858" s="4">
        <v>45371</v>
      </c>
      <c r="E5858" t="s">
        <v>1334</v>
      </c>
      <c r="F5858" t="s">
        <v>75</v>
      </c>
      <c r="I5858" s="6">
        <v>1</v>
      </c>
      <c r="J5858" s="6">
        <v>0</v>
      </c>
      <c r="K5858" s="6">
        <v>0</v>
      </c>
      <c r="L5858" s="6">
        <v>0</v>
      </c>
      <c r="M5858" s="6">
        <v>1</v>
      </c>
      <c r="N5858" s="6">
        <v>1</v>
      </c>
      <c r="O5858" s="6">
        <v>0</v>
      </c>
      <c r="P5858" s="6">
        <v>0</v>
      </c>
      <c r="Q5858">
        <v>1</v>
      </c>
      <c r="R5858">
        <f t="shared" si="455"/>
        <v>0</v>
      </c>
      <c r="S5858">
        <f t="shared" si="456"/>
        <v>1</v>
      </c>
      <c r="T5858">
        <f t="shared" si="457"/>
        <v>3</v>
      </c>
      <c r="U5858">
        <f t="shared" si="458"/>
        <v>1</v>
      </c>
      <c r="V5858">
        <f t="shared" si="459"/>
        <v>0</v>
      </c>
    </row>
    <row r="5859" spans="1:22" x14ac:dyDescent="0.25">
      <c r="A5859">
        <v>5856</v>
      </c>
      <c r="B5859" t="s">
        <v>40</v>
      </c>
      <c r="C5859" t="s">
        <v>1755</v>
      </c>
      <c r="D5859" s="4">
        <v>45372</v>
      </c>
      <c r="E5859" t="s">
        <v>940</v>
      </c>
      <c r="F5859" t="s">
        <v>75</v>
      </c>
      <c r="I5859" s="6"/>
      <c r="J5859" s="6"/>
      <c r="K5859" s="6"/>
      <c r="L5859" s="6"/>
      <c r="M5859" s="6"/>
      <c r="N5859" s="6"/>
      <c r="O5859" s="6"/>
      <c r="P5859" s="6"/>
      <c r="Q5859">
        <v>0</v>
      </c>
      <c r="R5859">
        <f t="shared" si="455"/>
        <v>0</v>
      </c>
      <c r="S5859">
        <f t="shared" si="456"/>
        <v>0</v>
      </c>
      <c r="T5859">
        <f t="shared" si="457"/>
        <v>0</v>
      </c>
      <c r="U5859">
        <f t="shared" si="458"/>
        <v>0</v>
      </c>
      <c r="V5859">
        <f t="shared" si="459"/>
        <v>0</v>
      </c>
    </row>
    <row r="5860" spans="1:22" x14ac:dyDescent="0.25">
      <c r="A5860">
        <v>5857</v>
      </c>
      <c r="B5860" t="s">
        <v>40</v>
      </c>
      <c r="C5860" t="s">
        <v>1755</v>
      </c>
      <c r="D5860" s="4">
        <v>45372</v>
      </c>
      <c r="E5860" t="s">
        <v>269</v>
      </c>
      <c r="F5860" t="s">
        <v>413</v>
      </c>
      <c r="G5860">
        <v>277</v>
      </c>
      <c r="I5860" s="6">
        <v>1</v>
      </c>
      <c r="J5860" s="6">
        <v>0</v>
      </c>
      <c r="K5860" s="6">
        <v>0</v>
      </c>
      <c r="L5860" s="6">
        <v>0</v>
      </c>
      <c r="M5860" s="6">
        <v>0</v>
      </c>
      <c r="N5860" s="6">
        <v>0</v>
      </c>
      <c r="O5860" s="6">
        <v>0</v>
      </c>
      <c r="P5860" s="6">
        <v>0</v>
      </c>
      <c r="Q5860">
        <v>1</v>
      </c>
      <c r="R5860">
        <f t="shared" si="455"/>
        <v>1</v>
      </c>
      <c r="S5860">
        <f t="shared" si="456"/>
        <v>0</v>
      </c>
      <c r="T5860">
        <f t="shared" si="457"/>
        <v>1</v>
      </c>
      <c r="U5860">
        <f t="shared" si="458"/>
        <v>1</v>
      </c>
      <c r="V5860">
        <f t="shared" si="459"/>
        <v>1</v>
      </c>
    </row>
    <row r="5861" spans="1:22" x14ac:dyDescent="0.25">
      <c r="A5861">
        <v>5858</v>
      </c>
      <c r="B5861" t="s">
        <v>40</v>
      </c>
      <c r="C5861" t="s">
        <v>1755</v>
      </c>
      <c r="D5861" s="4">
        <v>45372</v>
      </c>
      <c r="E5861" t="s">
        <v>1471</v>
      </c>
      <c r="F5861" t="s">
        <v>75</v>
      </c>
      <c r="I5861" s="6"/>
      <c r="J5861" s="6"/>
      <c r="K5861" s="6"/>
      <c r="L5861" s="6"/>
      <c r="M5861" s="6"/>
      <c r="N5861" s="6"/>
      <c r="O5861" s="6"/>
      <c r="P5861" s="6"/>
      <c r="Q5861">
        <v>0</v>
      </c>
      <c r="R5861">
        <f t="shared" si="455"/>
        <v>0</v>
      </c>
      <c r="S5861">
        <f t="shared" si="456"/>
        <v>0</v>
      </c>
      <c r="T5861">
        <f t="shared" si="457"/>
        <v>0</v>
      </c>
      <c r="U5861">
        <f t="shared" si="458"/>
        <v>0</v>
      </c>
      <c r="V5861">
        <f t="shared" si="459"/>
        <v>0</v>
      </c>
    </row>
    <row r="5862" spans="1:22" x14ac:dyDescent="0.25">
      <c r="A5862">
        <v>5859</v>
      </c>
      <c r="B5862" t="s">
        <v>40</v>
      </c>
      <c r="C5862" t="s">
        <v>1755</v>
      </c>
      <c r="D5862" s="4">
        <v>45372</v>
      </c>
      <c r="E5862" t="s">
        <v>1797</v>
      </c>
      <c r="F5862" t="s">
        <v>75</v>
      </c>
      <c r="I5862" s="6">
        <v>0</v>
      </c>
      <c r="J5862" s="6">
        <v>0</v>
      </c>
      <c r="K5862" s="6">
        <v>0</v>
      </c>
      <c r="L5862" s="6">
        <v>0</v>
      </c>
      <c r="M5862" s="6">
        <v>0</v>
      </c>
      <c r="N5862" s="6">
        <v>0</v>
      </c>
      <c r="O5862" s="6">
        <v>0</v>
      </c>
      <c r="P5862" s="6">
        <v>0</v>
      </c>
      <c r="Q5862">
        <v>1</v>
      </c>
      <c r="R5862">
        <f t="shared" si="455"/>
        <v>0</v>
      </c>
      <c r="S5862">
        <f t="shared" si="456"/>
        <v>1</v>
      </c>
      <c r="T5862">
        <f t="shared" si="457"/>
        <v>0</v>
      </c>
      <c r="U5862">
        <f t="shared" si="458"/>
        <v>0</v>
      </c>
      <c r="V5862">
        <f t="shared" si="459"/>
        <v>0</v>
      </c>
    </row>
    <row r="5863" spans="1:22" x14ac:dyDescent="0.25">
      <c r="A5863">
        <v>5860</v>
      </c>
      <c r="B5863" t="s">
        <v>40</v>
      </c>
      <c r="C5863" t="s">
        <v>1755</v>
      </c>
      <c r="D5863" s="4">
        <v>45372</v>
      </c>
      <c r="E5863" t="s">
        <v>1337</v>
      </c>
      <c r="F5863" t="s">
        <v>75</v>
      </c>
      <c r="I5863" s="6"/>
      <c r="J5863" s="6"/>
      <c r="K5863" s="6"/>
      <c r="L5863" s="6"/>
      <c r="M5863" s="6"/>
      <c r="N5863" s="6"/>
      <c r="O5863" s="6"/>
      <c r="P5863" s="6"/>
      <c r="Q5863">
        <v>0</v>
      </c>
      <c r="R5863">
        <f t="shared" si="455"/>
        <v>0</v>
      </c>
      <c r="S5863">
        <f t="shared" si="456"/>
        <v>0</v>
      </c>
      <c r="T5863">
        <f t="shared" si="457"/>
        <v>0</v>
      </c>
      <c r="U5863">
        <f t="shared" si="458"/>
        <v>0</v>
      </c>
      <c r="V5863">
        <f t="shared" si="459"/>
        <v>0</v>
      </c>
    </row>
    <row r="5864" spans="1:22" x14ac:dyDescent="0.25">
      <c r="A5864">
        <v>5861</v>
      </c>
      <c r="B5864" t="s">
        <v>40</v>
      </c>
      <c r="C5864" t="s">
        <v>1755</v>
      </c>
      <c r="D5864" s="4">
        <v>45372</v>
      </c>
      <c r="E5864" t="s">
        <v>1798</v>
      </c>
      <c r="F5864" t="s">
        <v>75</v>
      </c>
      <c r="I5864" s="6">
        <v>1</v>
      </c>
      <c r="J5864" s="6">
        <v>0</v>
      </c>
      <c r="K5864" s="6">
        <v>0</v>
      </c>
      <c r="L5864" s="6">
        <v>0</v>
      </c>
      <c r="M5864" s="6">
        <v>1</v>
      </c>
      <c r="N5864" s="6">
        <v>0</v>
      </c>
      <c r="O5864" s="6">
        <v>0</v>
      </c>
      <c r="P5864" s="6">
        <v>0</v>
      </c>
      <c r="Q5864">
        <v>1</v>
      </c>
      <c r="R5864">
        <f t="shared" si="455"/>
        <v>0</v>
      </c>
      <c r="S5864">
        <f t="shared" si="456"/>
        <v>1</v>
      </c>
      <c r="T5864">
        <f t="shared" si="457"/>
        <v>2</v>
      </c>
      <c r="U5864">
        <f t="shared" si="458"/>
        <v>1</v>
      </c>
      <c r="V5864">
        <f t="shared" si="459"/>
        <v>0</v>
      </c>
    </row>
    <row r="5865" spans="1:22" x14ac:dyDescent="0.25">
      <c r="A5865">
        <v>5862</v>
      </c>
      <c r="B5865" t="s">
        <v>40</v>
      </c>
      <c r="C5865" t="s">
        <v>1755</v>
      </c>
      <c r="D5865" s="4">
        <v>45372</v>
      </c>
      <c r="E5865" t="s">
        <v>2042</v>
      </c>
      <c r="F5865" t="s">
        <v>75</v>
      </c>
      <c r="I5865" s="6">
        <v>1</v>
      </c>
      <c r="J5865" s="6">
        <v>0</v>
      </c>
      <c r="K5865" s="6">
        <v>0</v>
      </c>
      <c r="L5865" s="6">
        <v>0</v>
      </c>
      <c r="M5865" s="6">
        <v>0</v>
      </c>
      <c r="N5865" s="6">
        <v>0</v>
      </c>
      <c r="O5865" s="6">
        <v>0</v>
      </c>
      <c r="P5865" s="6">
        <v>0</v>
      </c>
      <c r="Q5865">
        <v>1</v>
      </c>
      <c r="R5865">
        <f t="shared" si="455"/>
        <v>0</v>
      </c>
      <c r="S5865">
        <f t="shared" si="456"/>
        <v>1</v>
      </c>
      <c r="T5865">
        <f t="shared" si="457"/>
        <v>1</v>
      </c>
      <c r="U5865">
        <f t="shared" si="458"/>
        <v>1</v>
      </c>
      <c r="V5865">
        <f t="shared" si="459"/>
        <v>0</v>
      </c>
    </row>
    <row r="5866" spans="1:22" x14ac:dyDescent="0.25">
      <c r="A5866">
        <v>5863</v>
      </c>
      <c r="B5866" t="s">
        <v>40</v>
      </c>
      <c r="C5866" t="s">
        <v>1755</v>
      </c>
      <c r="D5866" s="4">
        <v>45373</v>
      </c>
      <c r="E5866" t="s">
        <v>428</v>
      </c>
      <c r="F5866" t="s">
        <v>75</v>
      </c>
      <c r="I5866" s="6">
        <v>0</v>
      </c>
      <c r="J5866" s="6">
        <v>0</v>
      </c>
      <c r="K5866" s="6">
        <v>0</v>
      </c>
      <c r="L5866" s="6">
        <v>0</v>
      </c>
      <c r="M5866" s="6">
        <v>0</v>
      </c>
      <c r="N5866" s="6">
        <v>0</v>
      </c>
      <c r="O5866" s="6">
        <v>0</v>
      </c>
      <c r="P5866" s="6">
        <v>0</v>
      </c>
      <c r="Q5866">
        <v>1</v>
      </c>
      <c r="R5866">
        <f t="shared" si="455"/>
        <v>0</v>
      </c>
      <c r="S5866">
        <f t="shared" si="456"/>
        <v>1</v>
      </c>
      <c r="T5866">
        <f t="shared" si="457"/>
        <v>0</v>
      </c>
      <c r="U5866">
        <f t="shared" si="458"/>
        <v>0</v>
      </c>
      <c r="V5866">
        <f t="shared" si="459"/>
        <v>0</v>
      </c>
    </row>
    <row r="5867" spans="1:22" x14ac:dyDescent="0.25">
      <c r="A5867">
        <v>5864</v>
      </c>
      <c r="B5867" t="s">
        <v>40</v>
      </c>
      <c r="C5867" t="s">
        <v>1755</v>
      </c>
      <c r="D5867" s="4">
        <v>45373</v>
      </c>
      <c r="E5867" t="s">
        <v>429</v>
      </c>
      <c r="F5867" t="s">
        <v>75</v>
      </c>
      <c r="I5867" s="6"/>
      <c r="J5867" s="6"/>
      <c r="K5867" s="6"/>
      <c r="L5867" s="6"/>
      <c r="M5867" s="6"/>
      <c r="N5867" s="6"/>
      <c r="O5867" s="6"/>
      <c r="P5867" s="6"/>
      <c r="Q5867">
        <v>0</v>
      </c>
      <c r="R5867">
        <f t="shared" si="455"/>
        <v>0</v>
      </c>
      <c r="S5867">
        <f t="shared" si="456"/>
        <v>0</v>
      </c>
      <c r="T5867">
        <f t="shared" si="457"/>
        <v>0</v>
      </c>
      <c r="U5867">
        <f t="shared" si="458"/>
        <v>0</v>
      </c>
      <c r="V5867">
        <f t="shared" si="459"/>
        <v>0</v>
      </c>
    </row>
    <row r="5868" spans="1:22" x14ac:dyDescent="0.25">
      <c r="A5868">
        <v>5865</v>
      </c>
      <c r="B5868" t="s">
        <v>40</v>
      </c>
      <c r="C5868" t="s">
        <v>1755</v>
      </c>
      <c r="D5868" s="4">
        <v>45374</v>
      </c>
      <c r="E5868" t="s">
        <v>430</v>
      </c>
      <c r="F5868" t="s">
        <v>75</v>
      </c>
      <c r="I5868" s="6">
        <v>0</v>
      </c>
      <c r="J5868" s="6">
        <v>0</v>
      </c>
      <c r="K5868" s="6">
        <v>0</v>
      </c>
      <c r="L5868" s="6">
        <v>0</v>
      </c>
      <c r="M5868" s="6">
        <v>0</v>
      </c>
      <c r="N5868" s="6">
        <v>0</v>
      </c>
      <c r="O5868" s="6">
        <v>0</v>
      </c>
      <c r="P5868" s="6">
        <v>0</v>
      </c>
      <c r="Q5868">
        <v>1</v>
      </c>
      <c r="R5868">
        <f t="shared" si="455"/>
        <v>0</v>
      </c>
      <c r="S5868">
        <f t="shared" si="456"/>
        <v>1</v>
      </c>
      <c r="T5868">
        <f t="shared" si="457"/>
        <v>0</v>
      </c>
      <c r="U5868">
        <f t="shared" si="458"/>
        <v>0</v>
      </c>
      <c r="V5868">
        <f t="shared" si="459"/>
        <v>0</v>
      </c>
    </row>
    <row r="5869" spans="1:22" x14ac:dyDescent="0.25">
      <c r="A5869">
        <v>5866</v>
      </c>
      <c r="B5869" t="s">
        <v>40</v>
      </c>
      <c r="C5869" t="s">
        <v>1755</v>
      </c>
      <c r="D5869" s="4">
        <v>45374</v>
      </c>
      <c r="E5869" t="s">
        <v>431</v>
      </c>
      <c r="F5869" t="s">
        <v>75</v>
      </c>
      <c r="I5869" s="6">
        <v>0</v>
      </c>
      <c r="J5869" s="6">
        <v>0</v>
      </c>
      <c r="K5869" s="6">
        <v>0</v>
      </c>
      <c r="L5869" s="6">
        <v>0</v>
      </c>
      <c r="M5869" s="6">
        <v>0</v>
      </c>
      <c r="N5869" s="6">
        <v>0</v>
      </c>
      <c r="O5869" s="6">
        <v>0</v>
      </c>
      <c r="P5869" s="6">
        <v>0</v>
      </c>
      <c r="Q5869">
        <v>1</v>
      </c>
      <c r="R5869">
        <f t="shared" si="455"/>
        <v>0</v>
      </c>
      <c r="S5869">
        <f t="shared" si="456"/>
        <v>1</v>
      </c>
      <c r="T5869">
        <f t="shared" si="457"/>
        <v>0</v>
      </c>
      <c r="U5869">
        <f t="shared" si="458"/>
        <v>0</v>
      </c>
      <c r="V5869">
        <f t="shared" si="459"/>
        <v>0</v>
      </c>
    </row>
    <row r="5870" spans="1:22" x14ac:dyDescent="0.25">
      <c r="A5870">
        <v>5867</v>
      </c>
      <c r="B5870" t="s">
        <v>40</v>
      </c>
      <c r="C5870" t="s">
        <v>1755</v>
      </c>
      <c r="D5870" s="4">
        <v>45375</v>
      </c>
      <c r="E5870" t="s">
        <v>859</v>
      </c>
      <c r="F5870" t="s">
        <v>75</v>
      </c>
      <c r="I5870" s="6"/>
      <c r="J5870" s="6"/>
      <c r="K5870" s="6"/>
      <c r="L5870" s="6"/>
      <c r="M5870" s="6"/>
      <c r="N5870" s="6"/>
      <c r="O5870" s="6"/>
      <c r="P5870" s="6"/>
      <c r="Q5870">
        <v>0</v>
      </c>
      <c r="R5870">
        <f t="shared" si="455"/>
        <v>0</v>
      </c>
      <c r="S5870">
        <f t="shared" si="456"/>
        <v>0</v>
      </c>
      <c r="T5870">
        <f t="shared" si="457"/>
        <v>0</v>
      </c>
      <c r="U5870">
        <f t="shared" si="458"/>
        <v>0</v>
      </c>
      <c r="V5870">
        <f t="shared" si="459"/>
        <v>0</v>
      </c>
    </row>
    <row r="5871" spans="1:22" x14ac:dyDescent="0.25">
      <c r="A5871">
        <v>5868</v>
      </c>
      <c r="B5871" t="s">
        <v>40</v>
      </c>
      <c r="C5871" t="s">
        <v>1755</v>
      </c>
      <c r="D5871" s="4">
        <v>45375</v>
      </c>
      <c r="E5871" t="s">
        <v>860</v>
      </c>
      <c r="F5871" t="s">
        <v>75</v>
      </c>
      <c r="I5871" s="6">
        <v>0</v>
      </c>
      <c r="J5871" s="6">
        <v>0</v>
      </c>
      <c r="K5871" s="6">
        <v>0</v>
      </c>
      <c r="L5871" s="6">
        <v>1</v>
      </c>
      <c r="M5871" s="6">
        <v>0</v>
      </c>
      <c r="N5871" s="6">
        <v>0</v>
      </c>
      <c r="O5871" s="6">
        <v>0</v>
      </c>
      <c r="P5871" s="6">
        <v>0</v>
      </c>
      <c r="Q5871">
        <v>1</v>
      </c>
      <c r="R5871">
        <f t="shared" si="455"/>
        <v>0</v>
      </c>
      <c r="S5871">
        <f t="shared" si="456"/>
        <v>1</v>
      </c>
      <c r="T5871">
        <f t="shared" si="457"/>
        <v>1</v>
      </c>
      <c r="U5871">
        <f t="shared" si="458"/>
        <v>1</v>
      </c>
      <c r="V5871">
        <f t="shared" si="459"/>
        <v>0</v>
      </c>
    </row>
    <row r="5872" spans="1:22" x14ac:dyDescent="0.25">
      <c r="A5872">
        <v>5869</v>
      </c>
      <c r="B5872" t="s">
        <v>40</v>
      </c>
      <c r="C5872" t="s">
        <v>1755</v>
      </c>
      <c r="D5872" s="4">
        <v>45375</v>
      </c>
      <c r="E5872" t="s">
        <v>861</v>
      </c>
      <c r="F5872" t="s">
        <v>75</v>
      </c>
      <c r="I5872" s="6"/>
      <c r="J5872" s="6"/>
      <c r="K5872" s="6"/>
      <c r="L5872" s="6"/>
      <c r="M5872" s="6"/>
      <c r="N5872" s="6"/>
      <c r="O5872" s="6"/>
      <c r="P5872" s="6"/>
      <c r="Q5872">
        <v>0</v>
      </c>
      <c r="R5872">
        <f t="shared" si="455"/>
        <v>0</v>
      </c>
      <c r="S5872">
        <f t="shared" si="456"/>
        <v>0</v>
      </c>
      <c r="T5872">
        <f t="shared" si="457"/>
        <v>0</v>
      </c>
      <c r="U5872">
        <f t="shared" si="458"/>
        <v>0</v>
      </c>
      <c r="V5872">
        <f t="shared" si="459"/>
        <v>0</v>
      </c>
    </row>
    <row r="5873" spans="1:22" x14ac:dyDescent="0.25">
      <c r="A5873">
        <v>5870</v>
      </c>
      <c r="B5873" t="s">
        <v>40</v>
      </c>
      <c r="C5873" t="s">
        <v>1755</v>
      </c>
      <c r="D5873" s="4">
        <v>45375</v>
      </c>
      <c r="E5873" t="s">
        <v>2041</v>
      </c>
      <c r="F5873" t="s">
        <v>75</v>
      </c>
      <c r="I5873" s="6"/>
      <c r="J5873" s="6"/>
      <c r="K5873" s="6"/>
      <c r="L5873" s="6"/>
      <c r="M5873" s="6"/>
      <c r="N5873" s="6"/>
      <c r="O5873" s="6"/>
      <c r="P5873" s="6"/>
      <c r="Q5873">
        <v>0</v>
      </c>
      <c r="R5873">
        <f t="shared" si="455"/>
        <v>0</v>
      </c>
      <c r="S5873">
        <f t="shared" si="456"/>
        <v>0</v>
      </c>
      <c r="T5873">
        <f t="shared" si="457"/>
        <v>0</v>
      </c>
      <c r="U5873">
        <f t="shared" si="458"/>
        <v>0</v>
      </c>
      <c r="V5873">
        <f t="shared" si="459"/>
        <v>0</v>
      </c>
    </row>
    <row r="5874" spans="1:22" x14ac:dyDescent="0.25">
      <c r="A5874">
        <v>5871</v>
      </c>
      <c r="B5874" t="s">
        <v>40</v>
      </c>
      <c r="C5874" t="s">
        <v>1755</v>
      </c>
      <c r="D5874" s="4">
        <v>45375</v>
      </c>
      <c r="E5874" t="s">
        <v>1799</v>
      </c>
      <c r="F5874" t="s">
        <v>75</v>
      </c>
      <c r="I5874" s="6">
        <v>1</v>
      </c>
      <c r="J5874" s="6">
        <v>0</v>
      </c>
      <c r="K5874" s="6">
        <v>0</v>
      </c>
      <c r="L5874" s="6">
        <v>0</v>
      </c>
      <c r="M5874" s="6">
        <v>0</v>
      </c>
      <c r="N5874" s="6">
        <v>0</v>
      </c>
      <c r="O5874" s="6">
        <v>0</v>
      </c>
      <c r="P5874" s="6">
        <v>0</v>
      </c>
      <c r="Q5874">
        <v>1</v>
      </c>
      <c r="R5874">
        <f t="shared" si="455"/>
        <v>0</v>
      </c>
      <c r="S5874">
        <f t="shared" si="456"/>
        <v>1</v>
      </c>
      <c r="T5874">
        <f t="shared" si="457"/>
        <v>1</v>
      </c>
      <c r="U5874">
        <f t="shared" si="458"/>
        <v>1</v>
      </c>
      <c r="V5874">
        <f t="shared" si="459"/>
        <v>0</v>
      </c>
    </row>
    <row r="5875" spans="1:22" x14ac:dyDescent="0.25">
      <c r="A5875">
        <v>5872</v>
      </c>
      <c r="B5875" t="s">
        <v>40</v>
      </c>
      <c r="C5875" t="s">
        <v>1755</v>
      </c>
      <c r="D5875" s="4">
        <v>45376</v>
      </c>
      <c r="E5875" t="s">
        <v>434</v>
      </c>
      <c r="F5875" t="s">
        <v>75</v>
      </c>
      <c r="H5875" t="s">
        <v>1800</v>
      </c>
      <c r="I5875" s="6">
        <v>0</v>
      </c>
      <c r="J5875" s="6">
        <v>0</v>
      </c>
      <c r="K5875" s="6">
        <v>0</v>
      </c>
      <c r="L5875" s="6">
        <v>0</v>
      </c>
      <c r="M5875" s="6">
        <v>1</v>
      </c>
      <c r="N5875" s="6">
        <v>0</v>
      </c>
      <c r="O5875" s="6">
        <v>0</v>
      </c>
      <c r="P5875" s="6">
        <v>0</v>
      </c>
      <c r="Q5875">
        <v>1</v>
      </c>
      <c r="R5875">
        <f t="shared" si="455"/>
        <v>0</v>
      </c>
      <c r="S5875">
        <f t="shared" si="456"/>
        <v>1</v>
      </c>
      <c r="T5875">
        <f t="shared" si="457"/>
        <v>1</v>
      </c>
      <c r="U5875">
        <f t="shared" si="458"/>
        <v>1</v>
      </c>
      <c r="V5875">
        <f t="shared" si="459"/>
        <v>0</v>
      </c>
    </row>
    <row r="5876" spans="1:22" x14ac:dyDescent="0.25">
      <c r="A5876">
        <v>5873</v>
      </c>
      <c r="B5876" t="s">
        <v>40</v>
      </c>
      <c r="C5876" t="s">
        <v>1755</v>
      </c>
      <c r="D5876" s="4">
        <v>45376</v>
      </c>
      <c r="E5876" t="s">
        <v>435</v>
      </c>
      <c r="F5876" t="s">
        <v>75</v>
      </c>
      <c r="I5876" s="6"/>
      <c r="J5876" s="6"/>
      <c r="K5876" s="6"/>
      <c r="L5876" s="6"/>
      <c r="M5876" s="6"/>
      <c r="N5876" s="6"/>
      <c r="O5876" s="6"/>
      <c r="P5876" s="6"/>
      <c r="Q5876">
        <v>0</v>
      </c>
      <c r="R5876">
        <f t="shared" si="455"/>
        <v>0</v>
      </c>
      <c r="S5876">
        <f t="shared" si="456"/>
        <v>0</v>
      </c>
      <c r="T5876">
        <f t="shared" si="457"/>
        <v>0</v>
      </c>
      <c r="U5876">
        <f t="shared" si="458"/>
        <v>0</v>
      </c>
      <c r="V5876">
        <f t="shared" si="459"/>
        <v>0</v>
      </c>
    </row>
    <row r="5877" spans="1:22" x14ac:dyDescent="0.25">
      <c r="A5877">
        <v>5874</v>
      </c>
      <c r="B5877" t="s">
        <v>40</v>
      </c>
      <c r="C5877" t="s">
        <v>1755</v>
      </c>
      <c r="D5877" s="4">
        <v>45377</v>
      </c>
      <c r="E5877" t="s">
        <v>437</v>
      </c>
      <c r="F5877" t="s">
        <v>75</v>
      </c>
      <c r="I5877" s="6">
        <v>0</v>
      </c>
      <c r="J5877" s="6">
        <v>0</v>
      </c>
      <c r="K5877" s="6">
        <v>0</v>
      </c>
      <c r="L5877" s="6">
        <v>0</v>
      </c>
      <c r="M5877" s="6">
        <v>0</v>
      </c>
      <c r="N5877" s="6">
        <v>0</v>
      </c>
      <c r="O5877" s="6">
        <v>0</v>
      </c>
      <c r="P5877" s="6">
        <v>0</v>
      </c>
      <c r="Q5877">
        <v>1</v>
      </c>
      <c r="R5877">
        <f t="shared" si="455"/>
        <v>0</v>
      </c>
      <c r="S5877">
        <f t="shared" si="456"/>
        <v>1</v>
      </c>
      <c r="T5877">
        <f t="shared" si="457"/>
        <v>0</v>
      </c>
      <c r="U5877">
        <f t="shared" si="458"/>
        <v>0</v>
      </c>
      <c r="V5877">
        <f t="shared" si="459"/>
        <v>0</v>
      </c>
    </row>
    <row r="5878" spans="1:22" x14ac:dyDescent="0.25">
      <c r="A5878">
        <v>5875</v>
      </c>
      <c r="B5878" t="s">
        <v>40</v>
      </c>
      <c r="C5878" t="s">
        <v>1755</v>
      </c>
      <c r="D5878" s="4">
        <v>45377</v>
      </c>
      <c r="E5878" t="s">
        <v>1534</v>
      </c>
      <c r="F5878" t="s">
        <v>75</v>
      </c>
      <c r="I5878" s="6"/>
      <c r="J5878" s="6"/>
      <c r="K5878" s="6"/>
      <c r="L5878" s="6"/>
      <c r="M5878" s="6"/>
      <c r="N5878" s="6"/>
      <c r="O5878" s="6"/>
      <c r="P5878" s="6"/>
      <c r="Q5878">
        <v>0</v>
      </c>
      <c r="R5878">
        <f t="shared" si="455"/>
        <v>0</v>
      </c>
      <c r="S5878">
        <f t="shared" si="456"/>
        <v>0</v>
      </c>
      <c r="T5878">
        <f t="shared" si="457"/>
        <v>0</v>
      </c>
      <c r="U5878">
        <f t="shared" si="458"/>
        <v>0</v>
      </c>
      <c r="V5878">
        <f t="shared" si="459"/>
        <v>0</v>
      </c>
    </row>
    <row r="5879" spans="1:22" x14ac:dyDescent="0.25">
      <c r="A5879">
        <v>5876</v>
      </c>
      <c r="B5879" t="s">
        <v>40</v>
      </c>
      <c r="C5879" t="s">
        <v>1755</v>
      </c>
      <c r="D5879" s="4">
        <v>45378</v>
      </c>
      <c r="E5879" t="s">
        <v>438</v>
      </c>
      <c r="F5879" t="s">
        <v>75</v>
      </c>
      <c r="I5879" s="6">
        <v>1</v>
      </c>
      <c r="J5879" s="6">
        <v>0</v>
      </c>
      <c r="K5879" s="6">
        <v>0</v>
      </c>
      <c r="L5879" s="6">
        <v>0</v>
      </c>
      <c r="M5879" s="6">
        <v>0</v>
      </c>
      <c r="N5879" s="6">
        <v>0</v>
      </c>
      <c r="O5879" s="6">
        <v>0</v>
      </c>
      <c r="P5879" s="6">
        <v>0</v>
      </c>
      <c r="Q5879">
        <v>1</v>
      </c>
      <c r="R5879">
        <f t="shared" si="455"/>
        <v>0</v>
      </c>
      <c r="S5879">
        <f t="shared" si="456"/>
        <v>1</v>
      </c>
      <c r="T5879">
        <f t="shared" si="457"/>
        <v>1</v>
      </c>
      <c r="U5879">
        <f t="shared" si="458"/>
        <v>1</v>
      </c>
      <c r="V5879">
        <f t="shared" si="459"/>
        <v>0</v>
      </c>
    </row>
    <row r="5880" spans="1:22" x14ac:dyDescent="0.25">
      <c r="A5880">
        <v>5877</v>
      </c>
      <c r="B5880" t="s">
        <v>40</v>
      </c>
      <c r="C5880" t="s">
        <v>1755</v>
      </c>
      <c r="D5880" s="4">
        <v>45378</v>
      </c>
      <c r="E5880" t="s">
        <v>439</v>
      </c>
      <c r="F5880" t="s">
        <v>75</v>
      </c>
      <c r="I5880" s="6">
        <v>1</v>
      </c>
      <c r="J5880" s="6">
        <v>0</v>
      </c>
      <c r="K5880" s="6">
        <v>0</v>
      </c>
      <c r="L5880" s="6">
        <v>0</v>
      </c>
      <c r="M5880" s="6">
        <v>0</v>
      </c>
      <c r="N5880" s="6">
        <v>0</v>
      </c>
      <c r="O5880" s="6">
        <v>0</v>
      </c>
      <c r="P5880" s="6">
        <v>0</v>
      </c>
      <c r="Q5880">
        <v>1</v>
      </c>
      <c r="R5880">
        <f t="shared" si="455"/>
        <v>0</v>
      </c>
      <c r="S5880">
        <f t="shared" si="456"/>
        <v>1</v>
      </c>
      <c r="T5880">
        <f t="shared" si="457"/>
        <v>1</v>
      </c>
      <c r="U5880">
        <f t="shared" si="458"/>
        <v>1</v>
      </c>
      <c r="V5880">
        <f t="shared" si="459"/>
        <v>0</v>
      </c>
    </row>
    <row r="5881" spans="1:22" x14ac:dyDescent="0.25">
      <c r="A5881">
        <v>5878</v>
      </c>
      <c r="B5881" t="s">
        <v>40</v>
      </c>
      <c r="C5881" t="s">
        <v>1755</v>
      </c>
      <c r="D5881" s="4">
        <v>45379</v>
      </c>
      <c r="E5881" t="s">
        <v>440</v>
      </c>
      <c r="F5881" t="s">
        <v>75</v>
      </c>
      <c r="I5881" s="6"/>
      <c r="J5881" s="6"/>
      <c r="K5881" s="6"/>
      <c r="L5881" s="6"/>
      <c r="M5881" s="6"/>
      <c r="N5881" s="6"/>
      <c r="O5881" s="6"/>
      <c r="P5881" s="6"/>
      <c r="Q5881">
        <v>0</v>
      </c>
      <c r="R5881">
        <f t="shared" si="455"/>
        <v>0</v>
      </c>
      <c r="S5881">
        <f t="shared" si="456"/>
        <v>0</v>
      </c>
      <c r="T5881">
        <f t="shared" si="457"/>
        <v>0</v>
      </c>
      <c r="U5881">
        <f t="shared" si="458"/>
        <v>0</v>
      </c>
      <c r="V5881">
        <f t="shared" si="459"/>
        <v>0</v>
      </c>
    </row>
    <row r="5882" spans="1:22" x14ac:dyDescent="0.25">
      <c r="A5882">
        <v>5879</v>
      </c>
      <c r="B5882" t="s">
        <v>40</v>
      </c>
      <c r="C5882" t="s">
        <v>1755</v>
      </c>
      <c r="D5882" s="4">
        <v>45379</v>
      </c>
      <c r="E5882" t="s">
        <v>441</v>
      </c>
      <c r="F5882" t="s">
        <v>75</v>
      </c>
      <c r="I5882" s="6">
        <v>0</v>
      </c>
      <c r="J5882" s="6">
        <v>0</v>
      </c>
      <c r="K5882" s="6">
        <v>0</v>
      </c>
      <c r="L5882" s="6">
        <v>0</v>
      </c>
      <c r="M5882" s="6">
        <v>0</v>
      </c>
      <c r="N5882" s="6">
        <v>0</v>
      </c>
      <c r="O5882" s="6">
        <v>0</v>
      </c>
      <c r="P5882" s="6">
        <v>0</v>
      </c>
      <c r="Q5882">
        <v>1</v>
      </c>
      <c r="R5882">
        <f t="shared" si="455"/>
        <v>0</v>
      </c>
      <c r="S5882">
        <f t="shared" si="456"/>
        <v>1</v>
      </c>
      <c r="T5882">
        <f t="shared" si="457"/>
        <v>0</v>
      </c>
      <c r="U5882">
        <f t="shared" si="458"/>
        <v>0</v>
      </c>
      <c r="V5882">
        <f t="shared" si="459"/>
        <v>0</v>
      </c>
    </row>
    <row r="5883" spans="1:22" x14ac:dyDescent="0.25">
      <c r="A5883">
        <v>5880</v>
      </c>
      <c r="B5883" t="s">
        <v>40</v>
      </c>
      <c r="C5883" t="s">
        <v>1755</v>
      </c>
      <c r="D5883" s="4">
        <v>45379</v>
      </c>
      <c r="E5883" t="s">
        <v>442</v>
      </c>
      <c r="F5883" t="s">
        <v>75</v>
      </c>
      <c r="I5883" s="6"/>
      <c r="J5883" s="6"/>
      <c r="K5883" s="6"/>
      <c r="L5883" s="6"/>
      <c r="M5883" s="6"/>
      <c r="N5883" s="6"/>
      <c r="O5883" s="6"/>
      <c r="P5883" s="6"/>
      <c r="Q5883">
        <v>0</v>
      </c>
      <c r="R5883">
        <f t="shared" si="455"/>
        <v>0</v>
      </c>
      <c r="S5883">
        <f t="shared" si="456"/>
        <v>0</v>
      </c>
      <c r="T5883">
        <f t="shared" si="457"/>
        <v>0</v>
      </c>
      <c r="U5883">
        <f t="shared" si="458"/>
        <v>0</v>
      </c>
      <c r="V5883">
        <f t="shared" si="459"/>
        <v>0</v>
      </c>
    </row>
    <row r="5884" spans="1:22" x14ac:dyDescent="0.25">
      <c r="A5884">
        <v>5881</v>
      </c>
      <c r="B5884" t="s">
        <v>40</v>
      </c>
      <c r="C5884" t="s">
        <v>1755</v>
      </c>
      <c r="D5884" s="4">
        <v>45380</v>
      </c>
      <c r="E5884" t="s">
        <v>948</v>
      </c>
      <c r="F5884" t="s">
        <v>75</v>
      </c>
      <c r="I5884" s="6">
        <v>0</v>
      </c>
      <c r="J5884" s="6">
        <v>0</v>
      </c>
      <c r="K5884" s="6">
        <v>0</v>
      </c>
      <c r="L5884" s="6">
        <v>0</v>
      </c>
      <c r="M5884" s="6">
        <v>0</v>
      </c>
      <c r="N5884" s="6">
        <v>0</v>
      </c>
      <c r="O5884" s="6">
        <v>0</v>
      </c>
      <c r="P5884" s="6">
        <v>0</v>
      </c>
      <c r="Q5884">
        <v>1</v>
      </c>
      <c r="R5884">
        <f t="shared" si="455"/>
        <v>0</v>
      </c>
      <c r="S5884">
        <f t="shared" si="456"/>
        <v>1</v>
      </c>
      <c r="T5884">
        <f t="shared" si="457"/>
        <v>0</v>
      </c>
      <c r="U5884">
        <f t="shared" si="458"/>
        <v>0</v>
      </c>
      <c r="V5884">
        <f t="shared" si="459"/>
        <v>0</v>
      </c>
    </row>
    <row r="5885" spans="1:22" x14ac:dyDescent="0.25">
      <c r="A5885">
        <v>5882</v>
      </c>
      <c r="B5885" t="s">
        <v>40</v>
      </c>
      <c r="C5885" t="s">
        <v>1755</v>
      </c>
      <c r="D5885" s="4">
        <v>45380</v>
      </c>
      <c r="E5885" t="s">
        <v>443</v>
      </c>
      <c r="F5885" t="s">
        <v>75</v>
      </c>
      <c r="I5885" s="6">
        <v>0</v>
      </c>
      <c r="J5885" s="6">
        <v>0</v>
      </c>
      <c r="K5885" s="6">
        <v>0</v>
      </c>
      <c r="L5885" s="6">
        <v>0</v>
      </c>
      <c r="M5885" s="6">
        <v>0</v>
      </c>
      <c r="N5885" s="6">
        <v>0</v>
      </c>
      <c r="O5885" s="6">
        <v>0</v>
      </c>
      <c r="P5885" s="6">
        <v>0</v>
      </c>
      <c r="Q5885">
        <v>1</v>
      </c>
      <c r="R5885">
        <f t="shared" si="455"/>
        <v>0</v>
      </c>
      <c r="S5885">
        <f t="shared" si="456"/>
        <v>1</v>
      </c>
      <c r="T5885">
        <f t="shared" si="457"/>
        <v>0</v>
      </c>
      <c r="U5885">
        <f t="shared" si="458"/>
        <v>0</v>
      </c>
      <c r="V5885">
        <f t="shared" si="459"/>
        <v>0</v>
      </c>
    </row>
    <row r="5886" spans="1:22" x14ac:dyDescent="0.25">
      <c r="A5886">
        <v>5883</v>
      </c>
      <c r="B5886" t="s">
        <v>40</v>
      </c>
      <c r="C5886" t="s">
        <v>1755</v>
      </c>
      <c r="D5886" s="4">
        <v>45380</v>
      </c>
      <c r="E5886" t="s">
        <v>2040</v>
      </c>
      <c r="F5886" t="s">
        <v>75</v>
      </c>
      <c r="I5886" s="6">
        <v>0</v>
      </c>
      <c r="J5886" s="6">
        <v>0</v>
      </c>
      <c r="K5886" s="6">
        <v>0</v>
      </c>
      <c r="L5886" s="6">
        <v>0</v>
      </c>
      <c r="M5886" s="6">
        <v>0</v>
      </c>
      <c r="N5886" s="6">
        <v>0</v>
      </c>
      <c r="O5886" s="6">
        <v>0</v>
      </c>
      <c r="P5886" s="6">
        <v>0</v>
      </c>
      <c r="Q5886">
        <v>1</v>
      </c>
      <c r="R5886">
        <f t="shared" si="455"/>
        <v>0</v>
      </c>
      <c r="S5886">
        <f t="shared" si="456"/>
        <v>1</v>
      </c>
      <c r="T5886">
        <f t="shared" si="457"/>
        <v>0</v>
      </c>
      <c r="U5886">
        <f t="shared" si="458"/>
        <v>0</v>
      </c>
      <c r="V5886">
        <f t="shared" si="459"/>
        <v>0</v>
      </c>
    </row>
    <row r="5887" spans="1:22" x14ac:dyDescent="0.25">
      <c r="A5887">
        <v>5884</v>
      </c>
      <c r="B5887" t="s">
        <v>40</v>
      </c>
      <c r="C5887" t="s">
        <v>1755</v>
      </c>
      <c r="D5887" s="4">
        <v>45380</v>
      </c>
      <c r="E5887" t="s">
        <v>2039</v>
      </c>
      <c r="F5887" t="s">
        <v>75</v>
      </c>
      <c r="I5887" s="6"/>
      <c r="J5887" s="6"/>
      <c r="K5887" s="6"/>
      <c r="L5887" s="6"/>
      <c r="M5887" s="6"/>
      <c r="N5887" s="6"/>
      <c r="O5887" s="6"/>
      <c r="P5887" s="6"/>
      <c r="Q5887">
        <v>0</v>
      </c>
      <c r="R5887">
        <f t="shared" si="455"/>
        <v>0</v>
      </c>
      <c r="S5887">
        <f t="shared" si="456"/>
        <v>0</v>
      </c>
      <c r="T5887">
        <f t="shared" si="457"/>
        <v>0</v>
      </c>
      <c r="U5887">
        <f t="shared" si="458"/>
        <v>0</v>
      </c>
      <c r="V5887">
        <f t="shared" si="459"/>
        <v>0</v>
      </c>
    </row>
    <row r="5888" spans="1:22" x14ac:dyDescent="0.25">
      <c r="A5888">
        <v>5885</v>
      </c>
      <c r="B5888" t="s">
        <v>40</v>
      </c>
      <c r="C5888" t="s">
        <v>1755</v>
      </c>
      <c r="D5888" s="4">
        <v>45381</v>
      </c>
      <c r="E5888" t="s">
        <v>444</v>
      </c>
      <c r="F5888" t="s">
        <v>75</v>
      </c>
      <c r="I5888" s="6">
        <v>0</v>
      </c>
      <c r="J5888" s="6">
        <v>0</v>
      </c>
      <c r="K5888" s="6">
        <v>0</v>
      </c>
      <c r="L5888" s="6">
        <v>0</v>
      </c>
      <c r="M5888" s="6">
        <v>0</v>
      </c>
      <c r="N5888" s="6">
        <v>0</v>
      </c>
      <c r="O5888" s="6">
        <v>0</v>
      </c>
      <c r="P5888" s="6">
        <v>0</v>
      </c>
      <c r="Q5888">
        <v>1</v>
      </c>
      <c r="R5888">
        <f t="shared" si="455"/>
        <v>0</v>
      </c>
      <c r="S5888">
        <f t="shared" si="456"/>
        <v>1</v>
      </c>
      <c r="T5888">
        <f t="shared" si="457"/>
        <v>0</v>
      </c>
      <c r="U5888">
        <f t="shared" si="458"/>
        <v>0</v>
      </c>
      <c r="V5888">
        <f t="shared" si="459"/>
        <v>0</v>
      </c>
    </row>
    <row r="5889" spans="1:22" x14ac:dyDescent="0.25">
      <c r="A5889">
        <v>5886</v>
      </c>
      <c r="B5889" t="s">
        <v>40</v>
      </c>
      <c r="C5889" t="s">
        <v>1755</v>
      </c>
      <c r="D5889" s="4">
        <v>45381</v>
      </c>
      <c r="E5889" t="s">
        <v>1801</v>
      </c>
      <c r="F5889" t="s">
        <v>413</v>
      </c>
      <c r="G5889">
        <v>278</v>
      </c>
      <c r="I5889" s="6">
        <v>1</v>
      </c>
      <c r="J5889" s="6">
        <v>0</v>
      </c>
      <c r="K5889" s="6">
        <v>0</v>
      </c>
      <c r="L5889" s="6">
        <v>0</v>
      </c>
      <c r="M5889" s="6">
        <v>0</v>
      </c>
      <c r="N5889" s="6">
        <v>0</v>
      </c>
      <c r="O5889" s="6">
        <v>0</v>
      </c>
      <c r="P5889" s="6">
        <v>0</v>
      </c>
      <c r="Q5889">
        <v>1</v>
      </c>
      <c r="R5889">
        <f t="shared" si="455"/>
        <v>1</v>
      </c>
      <c r="S5889">
        <f t="shared" si="456"/>
        <v>0</v>
      </c>
      <c r="T5889">
        <f t="shared" si="457"/>
        <v>1</v>
      </c>
      <c r="U5889">
        <f t="shared" si="458"/>
        <v>1</v>
      </c>
      <c r="V5889">
        <f t="shared" si="459"/>
        <v>1</v>
      </c>
    </row>
    <row r="5890" spans="1:22" x14ac:dyDescent="0.25">
      <c r="A5890">
        <v>5887</v>
      </c>
      <c r="B5890" t="s">
        <v>40</v>
      </c>
      <c r="C5890" t="s">
        <v>1755</v>
      </c>
      <c r="D5890" s="4">
        <v>45381</v>
      </c>
      <c r="E5890" t="s">
        <v>1540</v>
      </c>
      <c r="F5890" t="s">
        <v>75</v>
      </c>
      <c r="I5890" s="6">
        <v>0</v>
      </c>
      <c r="J5890" s="6">
        <v>0</v>
      </c>
      <c r="K5890" s="6">
        <v>0</v>
      </c>
      <c r="L5890" s="6">
        <v>0</v>
      </c>
      <c r="M5890" s="6">
        <v>1</v>
      </c>
      <c r="N5890" s="6">
        <v>0</v>
      </c>
      <c r="O5890" s="6">
        <v>0</v>
      </c>
      <c r="P5890" s="6">
        <v>0</v>
      </c>
      <c r="Q5890">
        <v>1</v>
      </c>
      <c r="R5890">
        <f t="shared" si="455"/>
        <v>0</v>
      </c>
      <c r="S5890">
        <f t="shared" si="456"/>
        <v>1</v>
      </c>
      <c r="T5890">
        <f t="shared" si="457"/>
        <v>1</v>
      </c>
      <c r="U5890">
        <f t="shared" si="458"/>
        <v>1</v>
      </c>
      <c r="V5890">
        <f t="shared" si="459"/>
        <v>0</v>
      </c>
    </row>
    <row r="5891" spans="1:22" x14ac:dyDescent="0.25">
      <c r="A5891">
        <v>5888</v>
      </c>
      <c r="B5891" t="s">
        <v>40</v>
      </c>
      <c r="C5891" t="s">
        <v>1755</v>
      </c>
      <c r="D5891" s="4">
        <v>45382</v>
      </c>
      <c r="E5891" t="s">
        <v>276</v>
      </c>
      <c r="F5891" t="s">
        <v>75</v>
      </c>
      <c r="I5891" s="6">
        <v>0</v>
      </c>
      <c r="J5891" s="6">
        <v>0</v>
      </c>
      <c r="K5891" s="6">
        <v>0</v>
      </c>
      <c r="L5891" s="6">
        <v>1</v>
      </c>
      <c r="M5891" s="6">
        <v>0</v>
      </c>
      <c r="N5891" s="6">
        <v>0</v>
      </c>
      <c r="O5891" s="6">
        <v>0</v>
      </c>
      <c r="P5891" s="6">
        <v>0</v>
      </c>
      <c r="Q5891">
        <v>1</v>
      </c>
      <c r="R5891">
        <f t="shared" ref="R5891:R5954" si="460">IF(AND(Q5891=1,F5891="ai_full"),1,0)</f>
        <v>0</v>
      </c>
      <c r="S5891">
        <f t="shared" ref="S5891:S5954" si="461">IF(AND(Q5891=1,F5891="conventional"),1,0)</f>
        <v>1</v>
      </c>
      <c r="T5891">
        <f t="shared" ref="T5891:T5954" si="462">SUM(I5891:P5891)</f>
        <v>1</v>
      </c>
      <c r="U5891">
        <f t="shared" ref="U5891:U5954" si="463">IF(T5891&gt;=1,1,0)</f>
        <v>1</v>
      </c>
      <c r="V5891">
        <f t="shared" ref="V5891:V5954" si="464">IF(F5891="ai_full",1,0)</f>
        <v>0</v>
      </c>
    </row>
    <row r="5892" spans="1:22" x14ac:dyDescent="0.25">
      <c r="A5892">
        <v>5889</v>
      </c>
      <c r="B5892" t="s">
        <v>40</v>
      </c>
      <c r="C5892" t="s">
        <v>1755</v>
      </c>
      <c r="D5892" s="4">
        <v>45382</v>
      </c>
      <c r="E5892" t="s">
        <v>277</v>
      </c>
      <c r="F5892" t="s">
        <v>75</v>
      </c>
      <c r="I5892" s="6"/>
      <c r="J5892" s="6"/>
      <c r="K5892" s="6"/>
      <c r="L5892" s="6"/>
      <c r="M5892" s="6"/>
      <c r="N5892" s="6"/>
      <c r="O5892" s="6"/>
      <c r="P5892" s="6"/>
      <c r="Q5892">
        <v>0</v>
      </c>
      <c r="R5892">
        <f t="shared" si="460"/>
        <v>0</v>
      </c>
      <c r="S5892">
        <f t="shared" si="461"/>
        <v>0</v>
      </c>
      <c r="T5892">
        <f t="shared" si="462"/>
        <v>0</v>
      </c>
      <c r="U5892">
        <f t="shared" si="463"/>
        <v>0</v>
      </c>
      <c r="V5892">
        <f t="shared" si="464"/>
        <v>0</v>
      </c>
    </row>
    <row r="5893" spans="1:22" x14ac:dyDescent="0.25">
      <c r="A5893">
        <v>5890</v>
      </c>
      <c r="B5893" t="s">
        <v>40</v>
      </c>
      <c r="C5893" t="s">
        <v>1755</v>
      </c>
      <c r="D5893" s="4">
        <v>45382</v>
      </c>
      <c r="E5893" t="s">
        <v>278</v>
      </c>
      <c r="F5893" t="s">
        <v>75</v>
      </c>
      <c r="I5893" s="6">
        <v>0</v>
      </c>
      <c r="J5893" s="6">
        <v>0</v>
      </c>
      <c r="K5893" s="6">
        <v>0</v>
      </c>
      <c r="L5893" s="6">
        <v>0</v>
      </c>
      <c r="M5893" s="6">
        <v>0</v>
      </c>
      <c r="N5893" s="6">
        <v>0</v>
      </c>
      <c r="O5893" s="6">
        <v>0</v>
      </c>
      <c r="P5893" s="6">
        <v>0</v>
      </c>
      <c r="Q5893">
        <v>1</v>
      </c>
      <c r="R5893">
        <f t="shared" si="460"/>
        <v>0</v>
      </c>
      <c r="S5893">
        <f t="shared" si="461"/>
        <v>1</v>
      </c>
      <c r="T5893">
        <f t="shared" si="462"/>
        <v>0</v>
      </c>
      <c r="U5893">
        <f t="shared" si="463"/>
        <v>0</v>
      </c>
      <c r="V5893">
        <f t="shared" si="464"/>
        <v>0</v>
      </c>
    </row>
    <row r="5894" spans="1:22" x14ac:dyDescent="0.25">
      <c r="A5894">
        <v>5891</v>
      </c>
      <c r="B5894" t="s">
        <v>40</v>
      </c>
      <c r="C5894" t="s">
        <v>1755</v>
      </c>
      <c r="D5894" s="4">
        <v>45383</v>
      </c>
      <c r="E5894" t="s">
        <v>279</v>
      </c>
      <c r="F5894" t="s">
        <v>75</v>
      </c>
      <c r="I5894" s="6">
        <v>1</v>
      </c>
      <c r="J5894" s="6">
        <v>0</v>
      </c>
      <c r="K5894" s="6">
        <v>1</v>
      </c>
      <c r="L5894" s="6">
        <v>0</v>
      </c>
      <c r="M5894" s="6">
        <v>1</v>
      </c>
      <c r="N5894" s="6">
        <v>0</v>
      </c>
      <c r="O5894" s="6">
        <v>0</v>
      </c>
      <c r="P5894" s="6">
        <v>0</v>
      </c>
      <c r="Q5894">
        <v>1</v>
      </c>
      <c r="R5894">
        <f t="shared" si="460"/>
        <v>0</v>
      </c>
      <c r="S5894">
        <f t="shared" si="461"/>
        <v>1</v>
      </c>
      <c r="T5894">
        <f t="shared" si="462"/>
        <v>3</v>
      </c>
      <c r="U5894">
        <f t="shared" si="463"/>
        <v>1</v>
      </c>
      <c r="V5894">
        <f t="shared" si="464"/>
        <v>0</v>
      </c>
    </row>
    <row r="5895" spans="1:22" x14ac:dyDescent="0.25">
      <c r="A5895">
        <v>5892</v>
      </c>
      <c r="B5895" t="s">
        <v>40</v>
      </c>
      <c r="C5895" t="s">
        <v>1755</v>
      </c>
      <c r="D5895" s="4">
        <v>45383</v>
      </c>
      <c r="E5895" t="s">
        <v>863</v>
      </c>
      <c r="F5895" t="s">
        <v>75</v>
      </c>
      <c r="I5895" s="6"/>
      <c r="J5895" s="6"/>
      <c r="K5895" s="6"/>
      <c r="L5895" s="6"/>
      <c r="M5895" s="6"/>
      <c r="N5895" s="6"/>
      <c r="O5895" s="6"/>
      <c r="P5895" s="6"/>
      <c r="Q5895">
        <v>0</v>
      </c>
      <c r="R5895">
        <f t="shared" si="460"/>
        <v>0</v>
      </c>
      <c r="S5895">
        <f t="shared" si="461"/>
        <v>0</v>
      </c>
      <c r="T5895">
        <f t="shared" si="462"/>
        <v>0</v>
      </c>
      <c r="U5895">
        <f t="shared" si="463"/>
        <v>0</v>
      </c>
      <c r="V5895">
        <f t="shared" si="464"/>
        <v>0</v>
      </c>
    </row>
    <row r="5896" spans="1:22" x14ac:dyDescent="0.25">
      <c r="A5896">
        <v>5893</v>
      </c>
      <c r="B5896" t="s">
        <v>40</v>
      </c>
      <c r="C5896" t="s">
        <v>1755</v>
      </c>
      <c r="D5896" s="4">
        <v>45384</v>
      </c>
      <c r="E5896" t="s">
        <v>446</v>
      </c>
      <c r="F5896" t="s">
        <v>75</v>
      </c>
      <c r="I5896" s="6">
        <v>1</v>
      </c>
      <c r="J5896" s="6">
        <v>0</v>
      </c>
      <c r="K5896" s="6">
        <v>0</v>
      </c>
      <c r="L5896" s="6">
        <v>0</v>
      </c>
      <c r="M5896" s="6">
        <v>0</v>
      </c>
      <c r="N5896" s="6">
        <v>0</v>
      </c>
      <c r="O5896" s="6">
        <v>0</v>
      </c>
      <c r="P5896" s="6">
        <v>0</v>
      </c>
      <c r="Q5896">
        <v>1</v>
      </c>
      <c r="R5896">
        <f t="shared" si="460"/>
        <v>0</v>
      </c>
      <c r="S5896">
        <f t="shared" si="461"/>
        <v>1</v>
      </c>
      <c r="T5896">
        <f t="shared" si="462"/>
        <v>1</v>
      </c>
      <c r="U5896">
        <f t="shared" si="463"/>
        <v>1</v>
      </c>
      <c r="V5896">
        <f t="shared" si="464"/>
        <v>0</v>
      </c>
    </row>
    <row r="5897" spans="1:22" x14ac:dyDescent="0.25">
      <c r="A5897">
        <v>5894</v>
      </c>
      <c r="B5897" t="s">
        <v>40</v>
      </c>
      <c r="C5897" t="s">
        <v>1755</v>
      </c>
      <c r="D5897" s="4">
        <v>45384</v>
      </c>
      <c r="E5897" t="s">
        <v>447</v>
      </c>
      <c r="F5897" t="s">
        <v>75</v>
      </c>
      <c r="I5897" s="6"/>
      <c r="J5897" s="6"/>
      <c r="K5897" s="6"/>
      <c r="L5897" s="6"/>
      <c r="M5897" s="6"/>
      <c r="N5897" s="6"/>
      <c r="O5897" s="6"/>
      <c r="P5897" s="6"/>
      <c r="Q5897">
        <v>0</v>
      </c>
      <c r="R5897">
        <f t="shared" si="460"/>
        <v>0</v>
      </c>
      <c r="S5897">
        <f t="shared" si="461"/>
        <v>0</v>
      </c>
      <c r="T5897">
        <f t="shared" si="462"/>
        <v>0</v>
      </c>
      <c r="U5897">
        <f t="shared" si="463"/>
        <v>0</v>
      </c>
      <c r="V5897">
        <f t="shared" si="464"/>
        <v>0</v>
      </c>
    </row>
    <row r="5898" spans="1:22" x14ac:dyDescent="0.25">
      <c r="A5898">
        <v>5895</v>
      </c>
      <c r="B5898" t="s">
        <v>40</v>
      </c>
      <c r="C5898" t="s">
        <v>1755</v>
      </c>
      <c r="D5898" s="4">
        <v>45384</v>
      </c>
      <c r="E5898" t="s">
        <v>2038</v>
      </c>
      <c r="F5898" t="s">
        <v>75</v>
      </c>
      <c r="I5898" s="6"/>
      <c r="J5898" s="6"/>
      <c r="K5898" s="6"/>
      <c r="L5898" s="6"/>
      <c r="M5898" s="6"/>
      <c r="N5898" s="6"/>
      <c r="O5898" s="6"/>
      <c r="P5898" s="6"/>
      <c r="Q5898">
        <v>0</v>
      </c>
      <c r="R5898">
        <f t="shared" si="460"/>
        <v>0</v>
      </c>
      <c r="S5898">
        <f t="shared" si="461"/>
        <v>0</v>
      </c>
      <c r="T5898">
        <f t="shared" si="462"/>
        <v>0</v>
      </c>
      <c r="U5898">
        <f t="shared" si="463"/>
        <v>0</v>
      </c>
      <c r="V5898">
        <f t="shared" si="464"/>
        <v>0</v>
      </c>
    </row>
    <row r="5899" spans="1:22" x14ac:dyDescent="0.25">
      <c r="A5899">
        <v>5896</v>
      </c>
      <c r="B5899" t="s">
        <v>40</v>
      </c>
      <c r="C5899" t="s">
        <v>1755</v>
      </c>
      <c r="D5899" s="4">
        <v>45385</v>
      </c>
      <c r="E5899" t="s">
        <v>865</v>
      </c>
      <c r="F5899" t="s">
        <v>75</v>
      </c>
      <c r="I5899" s="6">
        <v>0</v>
      </c>
      <c r="J5899" s="6">
        <v>0</v>
      </c>
      <c r="K5899" s="6">
        <v>0</v>
      </c>
      <c r="L5899" s="6">
        <v>0</v>
      </c>
      <c r="M5899" s="6">
        <v>1</v>
      </c>
      <c r="N5899" s="6">
        <v>1</v>
      </c>
      <c r="O5899" s="6">
        <v>0</v>
      </c>
      <c r="P5899" s="6">
        <v>0</v>
      </c>
      <c r="Q5899">
        <v>1</v>
      </c>
      <c r="R5899">
        <f t="shared" si="460"/>
        <v>0</v>
      </c>
      <c r="S5899">
        <f t="shared" si="461"/>
        <v>1</v>
      </c>
      <c r="T5899">
        <f t="shared" si="462"/>
        <v>2</v>
      </c>
      <c r="U5899">
        <f t="shared" si="463"/>
        <v>1</v>
      </c>
      <c r="V5899">
        <f t="shared" si="464"/>
        <v>0</v>
      </c>
    </row>
    <row r="5900" spans="1:22" x14ac:dyDescent="0.25">
      <c r="A5900">
        <v>5897</v>
      </c>
      <c r="B5900" t="s">
        <v>40</v>
      </c>
      <c r="C5900" t="s">
        <v>1755</v>
      </c>
      <c r="D5900" s="4">
        <v>45385</v>
      </c>
      <c r="E5900" t="s">
        <v>956</v>
      </c>
      <c r="F5900" t="s">
        <v>75</v>
      </c>
      <c r="H5900" t="s">
        <v>1802</v>
      </c>
      <c r="I5900" s="6">
        <v>1</v>
      </c>
      <c r="J5900" s="6">
        <v>0</v>
      </c>
      <c r="K5900" s="6">
        <v>0</v>
      </c>
      <c r="L5900" s="6">
        <v>0</v>
      </c>
      <c r="M5900" s="6">
        <v>1</v>
      </c>
      <c r="N5900" s="6">
        <v>0</v>
      </c>
      <c r="O5900" s="6">
        <v>0</v>
      </c>
      <c r="P5900" s="6">
        <v>0</v>
      </c>
      <c r="Q5900">
        <v>1</v>
      </c>
      <c r="R5900">
        <f t="shared" si="460"/>
        <v>0</v>
      </c>
      <c r="S5900">
        <f t="shared" si="461"/>
        <v>1</v>
      </c>
      <c r="T5900">
        <f t="shared" si="462"/>
        <v>2</v>
      </c>
      <c r="U5900">
        <f t="shared" si="463"/>
        <v>1</v>
      </c>
      <c r="V5900">
        <f t="shared" si="464"/>
        <v>0</v>
      </c>
    </row>
    <row r="5901" spans="1:22" x14ac:dyDescent="0.25">
      <c r="A5901">
        <v>5898</v>
      </c>
      <c r="B5901" t="s">
        <v>40</v>
      </c>
      <c r="C5901" t="s">
        <v>1755</v>
      </c>
      <c r="D5901" s="4">
        <v>45385</v>
      </c>
      <c r="E5901" t="s">
        <v>2037</v>
      </c>
      <c r="F5901" t="s">
        <v>75</v>
      </c>
      <c r="I5901" s="6">
        <v>0</v>
      </c>
      <c r="J5901" s="6">
        <v>0</v>
      </c>
      <c r="K5901" s="6">
        <v>0</v>
      </c>
      <c r="L5901" s="6">
        <v>0</v>
      </c>
      <c r="M5901" s="6">
        <v>0</v>
      </c>
      <c r="N5901" s="6">
        <v>0</v>
      </c>
      <c r="O5901" s="6">
        <v>1</v>
      </c>
      <c r="P5901" s="6">
        <v>0</v>
      </c>
      <c r="Q5901">
        <v>1</v>
      </c>
      <c r="R5901">
        <f t="shared" si="460"/>
        <v>0</v>
      </c>
      <c r="S5901">
        <f t="shared" si="461"/>
        <v>1</v>
      </c>
      <c r="T5901">
        <f t="shared" si="462"/>
        <v>1</v>
      </c>
      <c r="U5901">
        <f t="shared" si="463"/>
        <v>1</v>
      </c>
      <c r="V5901">
        <f t="shared" si="464"/>
        <v>0</v>
      </c>
    </row>
    <row r="5902" spans="1:22" x14ac:dyDescent="0.25">
      <c r="A5902">
        <v>5899</v>
      </c>
      <c r="B5902" t="s">
        <v>40</v>
      </c>
      <c r="C5902" t="s">
        <v>1755</v>
      </c>
      <c r="D5902" s="4">
        <v>45386</v>
      </c>
      <c r="E5902" t="s">
        <v>281</v>
      </c>
      <c r="F5902" t="s">
        <v>75</v>
      </c>
      <c r="I5902" s="6">
        <v>0</v>
      </c>
      <c r="J5902" s="6">
        <v>0</v>
      </c>
      <c r="K5902" s="6">
        <v>0</v>
      </c>
      <c r="L5902" s="6">
        <v>0</v>
      </c>
      <c r="M5902" s="6">
        <v>0</v>
      </c>
      <c r="N5902" s="6">
        <v>0</v>
      </c>
      <c r="O5902" s="6">
        <v>0</v>
      </c>
      <c r="P5902" s="6">
        <v>0</v>
      </c>
      <c r="Q5902">
        <v>1</v>
      </c>
      <c r="R5902">
        <f t="shared" si="460"/>
        <v>0</v>
      </c>
      <c r="S5902">
        <f t="shared" si="461"/>
        <v>1</v>
      </c>
      <c r="T5902">
        <f t="shared" si="462"/>
        <v>0</v>
      </c>
      <c r="U5902">
        <f t="shared" si="463"/>
        <v>0</v>
      </c>
      <c r="V5902">
        <f t="shared" si="464"/>
        <v>0</v>
      </c>
    </row>
    <row r="5903" spans="1:22" x14ac:dyDescent="0.25">
      <c r="A5903">
        <v>5900</v>
      </c>
      <c r="B5903" t="s">
        <v>40</v>
      </c>
      <c r="C5903" t="s">
        <v>1755</v>
      </c>
      <c r="D5903" s="4">
        <v>45386</v>
      </c>
      <c r="E5903" t="s">
        <v>282</v>
      </c>
      <c r="F5903" t="s">
        <v>75</v>
      </c>
      <c r="I5903" s="6">
        <v>0</v>
      </c>
      <c r="J5903" s="6">
        <v>0</v>
      </c>
      <c r="K5903" s="6">
        <v>0</v>
      </c>
      <c r="L5903" s="6">
        <v>0</v>
      </c>
      <c r="M5903" s="6">
        <v>0</v>
      </c>
      <c r="N5903" s="6">
        <v>0</v>
      </c>
      <c r="O5903" s="6">
        <v>0</v>
      </c>
      <c r="P5903" s="6">
        <v>0</v>
      </c>
      <c r="Q5903">
        <v>1</v>
      </c>
      <c r="R5903">
        <f t="shared" si="460"/>
        <v>0</v>
      </c>
      <c r="S5903">
        <f t="shared" si="461"/>
        <v>1</v>
      </c>
      <c r="T5903">
        <f t="shared" si="462"/>
        <v>0</v>
      </c>
      <c r="U5903">
        <f t="shared" si="463"/>
        <v>0</v>
      </c>
      <c r="V5903">
        <f t="shared" si="464"/>
        <v>0</v>
      </c>
    </row>
    <row r="5904" spans="1:22" x14ac:dyDescent="0.25">
      <c r="A5904">
        <v>5901</v>
      </c>
      <c r="B5904" t="s">
        <v>40</v>
      </c>
      <c r="C5904" t="s">
        <v>1755</v>
      </c>
      <c r="D5904" s="4">
        <v>45387</v>
      </c>
      <c r="E5904" t="s">
        <v>1221</v>
      </c>
      <c r="F5904" t="s">
        <v>75</v>
      </c>
      <c r="I5904" s="6">
        <v>0</v>
      </c>
      <c r="J5904" s="6">
        <v>0</v>
      </c>
      <c r="K5904" s="6">
        <v>0</v>
      </c>
      <c r="L5904" s="6">
        <v>0</v>
      </c>
      <c r="M5904" s="6">
        <v>0</v>
      </c>
      <c r="N5904" s="6">
        <v>0</v>
      </c>
      <c r="O5904" s="6">
        <v>0</v>
      </c>
      <c r="P5904" s="6">
        <v>0</v>
      </c>
      <c r="Q5904">
        <v>1</v>
      </c>
      <c r="R5904">
        <f t="shared" si="460"/>
        <v>0</v>
      </c>
      <c r="S5904">
        <f t="shared" si="461"/>
        <v>1</v>
      </c>
      <c r="T5904">
        <f t="shared" si="462"/>
        <v>0</v>
      </c>
      <c r="U5904">
        <f t="shared" si="463"/>
        <v>0</v>
      </c>
      <c r="V5904">
        <f t="shared" si="464"/>
        <v>0</v>
      </c>
    </row>
    <row r="5905" spans="1:22" x14ac:dyDescent="0.25">
      <c r="A5905">
        <v>5902</v>
      </c>
      <c r="B5905" t="s">
        <v>40</v>
      </c>
      <c r="C5905" t="s">
        <v>1755</v>
      </c>
      <c r="D5905" s="4">
        <v>45388</v>
      </c>
      <c r="E5905" t="s">
        <v>1057</v>
      </c>
      <c r="F5905" t="s">
        <v>75</v>
      </c>
      <c r="I5905" s="6"/>
      <c r="J5905" s="6"/>
      <c r="K5905" s="6"/>
      <c r="L5905" s="6"/>
      <c r="M5905" s="6"/>
      <c r="N5905" s="6"/>
      <c r="O5905" s="6"/>
      <c r="P5905" s="6"/>
      <c r="Q5905">
        <v>0</v>
      </c>
      <c r="R5905">
        <f t="shared" si="460"/>
        <v>0</v>
      </c>
      <c r="S5905">
        <f t="shared" si="461"/>
        <v>0</v>
      </c>
      <c r="T5905">
        <f t="shared" si="462"/>
        <v>0</v>
      </c>
      <c r="U5905">
        <f t="shared" si="463"/>
        <v>0</v>
      </c>
      <c r="V5905">
        <f t="shared" si="464"/>
        <v>0</v>
      </c>
    </row>
    <row r="5906" spans="1:22" x14ac:dyDescent="0.25">
      <c r="A5906">
        <v>5903</v>
      </c>
      <c r="B5906" t="s">
        <v>40</v>
      </c>
      <c r="C5906" t="s">
        <v>1755</v>
      </c>
      <c r="D5906" s="4">
        <v>45388</v>
      </c>
      <c r="E5906" t="s">
        <v>1222</v>
      </c>
      <c r="F5906" t="s">
        <v>75</v>
      </c>
      <c r="I5906" s="6">
        <v>0</v>
      </c>
      <c r="J5906" s="6">
        <v>0</v>
      </c>
      <c r="K5906" s="6">
        <v>0</v>
      </c>
      <c r="L5906" s="6">
        <v>0</v>
      </c>
      <c r="M5906" s="6">
        <v>1</v>
      </c>
      <c r="N5906" s="6">
        <v>0</v>
      </c>
      <c r="O5906" s="6">
        <v>0</v>
      </c>
      <c r="P5906" s="6">
        <v>0</v>
      </c>
      <c r="Q5906">
        <v>1</v>
      </c>
      <c r="R5906">
        <f t="shared" si="460"/>
        <v>0</v>
      </c>
      <c r="S5906">
        <f t="shared" si="461"/>
        <v>1</v>
      </c>
      <c r="T5906">
        <f t="shared" si="462"/>
        <v>1</v>
      </c>
      <c r="U5906">
        <f t="shared" si="463"/>
        <v>1</v>
      </c>
      <c r="V5906">
        <f t="shared" si="464"/>
        <v>0</v>
      </c>
    </row>
    <row r="5907" spans="1:22" x14ac:dyDescent="0.25">
      <c r="A5907">
        <v>5904</v>
      </c>
      <c r="B5907" t="s">
        <v>40</v>
      </c>
      <c r="C5907" t="s">
        <v>1755</v>
      </c>
      <c r="D5907" s="4">
        <v>45389</v>
      </c>
      <c r="E5907" t="s">
        <v>450</v>
      </c>
      <c r="F5907" t="s">
        <v>75</v>
      </c>
      <c r="I5907" s="6"/>
      <c r="J5907" s="6"/>
      <c r="K5907" s="6"/>
      <c r="L5907" s="6"/>
      <c r="M5907" s="6"/>
      <c r="N5907" s="6"/>
      <c r="O5907" s="6"/>
      <c r="P5907" s="6"/>
      <c r="Q5907">
        <v>0</v>
      </c>
      <c r="R5907">
        <f t="shared" si="460"/>
        <v>0</v>
      </c>
      <c r="S5907">
        <f t="shared" si="461"/>
        <v>0</v>
      </c>
      <c r="T5907">
        <f t="shared" si="462"/>
        <v>0</v>
      </c>
      <c r="U5907">
        <f t="shared" si="463"/>
        <v>0</v>
      </c>
      <c r="V5907">
        <f t="shared" si="464"/>
        <v>0</v>
      </c>
    </row>
    <row r="5908" spans="1:22" x14ac:dyDescent="0.25">
      <c r="A5908">
        <v>5905</v>
      </c>
      <c r="B5908" t="s">
        <v>40</v>
      </c>
      <c r="C5908" t="s">
        <v>1755</v>
      </c>
      <c r="D5908" s="4">
        <v>45389</v>
      </c>
      <c r="E5908" t="s">
        <v>1223</v>
      </c>
      <c r="F5908" t="s">
        <v>75</v>
      </c>
      <c r="I5908" s="6">
        <v>0</v>
      </c>
      <c r="J5908" s="6">
        <v>0</v>
      </c>
      <c r="K5908" s="6">
        <v>0</v>
      </c>
      <c r="L5908" s="6">
        <v>0</v>
      </c>
      <c r="M5908" s="6">
        <v>0</v>
      </c>
      <c r="N5908" s="6">
        <v>0</v>
      </c>
      <c r="O5908" s="6">
        <v>0</v>
      </c>
      <c r="P5908" s="6">
        <v>0</v>
      </c>
      <c r="Q5908">
        <v>1</v>
      </c>
      <c r="R5908">
        <f t="shared" si="460"/>
        <v>0</v>
      </c>
      <c r="S5908">
        <f t="shared" si="461"/>
        <v>1</v>
      </c>
      <c r="T5908">
        <f t="shared" si="462"/>
        <v>0</v>
      </c>
      <c r="U5908">
        <f t="shared" si="463"/>
        <v>0</v>
      </c>
      <c r="V5908">
        <f t="shared" si="464"/>
        <v>0</v>
      </c>
    </row>
    <row r="5909" spans="1:22" x14ac:dyDescent="0.25">
      <c r="A5909">
        <v>5906</v>
      </c>
      <c r="B5909" t="s">
        <v>40</v>
      </c>
      <c r="C5909" t="s">
        <v>1755</v>
      </c>
      <c r="D5909" s="4">
        <v>45389</v>
      </c>
      <c r="E5909" t="s">
        <v>1059</v>
      </c>
      <c r="F5909" t="s">
        <v>75</v>
      </c>
      <c r="I5909" s="6">
        <v>0</v>
      </c>
      <c r="J5909" s="6">
        <v>0</v>
      </c>
      <c r="K5909" s="6">
        <v>0</v>
      </c>
      <c r="L5909" s="6">
        <v>0</v>
      </c>
      <c r="M5909" s="6">
        <v>0</v>
      </c>
      <c r="N5909" s="6">
        <v>0</v>
      </c>
      <c r="O5909" s="6">
        <v>0</v>
      </c>
      <c r="P5909" s="6">
        <v>0</v>
      </c>
      <c r="Q5909">
        <v>1</v>
      </c>
      <c r="R5909">
        <f t="shared" si="460"/>
        <v>0</v>
      </c>
      <c r="S5909">
        <f t="shared" si="461"/>
        <v>1</v>
      </c>
      <c r="T5909">
        <f t="shared" si="462"/>
        <v>0</v>
      </c>
      <c r="U5909">
        <f t="shared" si="463"/>
        <v>0</v>
      </c>
      <c r="V5909">
        <f t="shared" si="464"/>
        <v>0</v>
      </c>
    </row>
    <row r="5910" spans="1:22" x14ac:dyDescent="0.25">
      <c r="A5910">
        <v>5907</v>
      </c>
      <c r="B5910" t="s">
        <v>40</v>
      </c>
      <c r="C5910" t="s">
        <v>1755</v>
      </c>
      <c r="D5910" s="4">
        <v>45390</v>
      </c>
      <c r="E5910" t="s">
        <v>1477</v>
      </c>
      <c r="F5910" t="s">
        <v>75</v>
      </c>
      <c r="I5910" s="6">
        <v>0</v>
      </c>
      <c r="J5910" s="6">
        <v>0</v>
      </c>
      <c r="K5910" s="6">
        <v>0</v>
      </c>
      <c r="L5910" s="6">
        <v>0</v>
      </c>
      <c r="M5910" s="6">
        <v>0</v>
      </c>
      <c r="N5910" s="6">
        <v>0</v>
      </c>
      <c r="O5910" s="6">
        <v>0</v>
      </c>
      <c r="P5910" s="6">
        <v>0</v>
      </c>
      <c r="Q5910">
        <v>1</v>
      </c>
      <c r="R5910">
        <f t="shared" si="460"/>
        <v>0</v>
      </c>
      <c r="S5910">
        <f t="shared" si="461"/>
        <v>1</v>
      </c>
      <c r="T5910">
        <f t="shared" si="462"/>
        <v>0</v>
      </c>
      <c r="U5910">
        <f t="shared" si="463"/>
        <v>0</v>
      </c>
      <c r="V5910">
        <f t="shared" si="464"/>
        <v>0</v>
      </c>
    </row>
    <row r="5911" spans="1:22" x14ac:dyDescent="0.25">
      <c r="A5911">
        <v>5908</v>
      </c>
      <c r="B5911" t="s">
        <v>40</v>
      </c>
      <c r="C5911" t="s">
        <v>1755</v>
      </c>
      <c r="D5911" s="4">
        <v>45390</v>
      </c>
      <c r="E5911" t="s">
        <v>1060</v>
      </c>
      <c r="F5911" t="s">
        <v>75</v>
      </c>
      <c r="I5911" s="6">
        <v>0</v>
      </c>
      <c r="J5911" s="6">
        <v>0</v>
      </c>
      <c r="K5911" s="6">
        <v>0</v>
      </c>
      <c r="L5911" s="6">
        <v>0</v>
      </c>
      <c r="M5911" s="6">
        <v>0</v>
      </c>
      <c r="N5911" s="6">
        <v>0</v>
      </c>
      <c r="O5911" s="6">
        <v>0</v>
      </c>
      <c r="P5911" s="6">
        <v>0</v>
      </c>
      <c r="Q5911">
        <v>1</v>
      </c>
      <c r="R5911">
        <f t="shared" si="460"/>
        <v>0</v>
      </c>
      <c r="S5911">
        <f t="shared" si="461"/>
        <v>1</v>
      </c>
      <c r="T5911">
        <f t="shared" si="462"/>
        <v>0</v>
      </c>
      <c r="U5911">
        <f t="shared" si="463"/>
        <v>0</v>
      </c>
      <c r="V5911">
        <f t="shared" si="464"/>
        <v>0</v>
      </c>
    </row>
    <row r="5912" spans="1:22" x14ac:dyDescent="0.25">
      <c r="A5912">
        <v>5909</v>
      </c>
      <c r="B5912" t="s">
        <v>40</v>
      </c>
      <c r="C5912" t="s">
        <v>1755</v>
      </c>
      <c r="D5912" s="4">
        <v>45390</v>
      </c>
      <c r="E5912" t="s">
        <v>1803</v>
      </c>
      <c r="F5912" t="s">
        <v>75</v>
      </c>
      <c r="I5912" s="6">
        <v>0</v>
      </c>
      <c r="J5912" s="6">
        <v>0</v>
      </c>
      <c r="K5912" s="6">
        <v>0</v>
      </c>
      <c r="L5912" s="6">
        <v>0</v>
      </c>
      <c r="M5912" s="6">
        <v>0</v>
      </c>
      <c r="N5912" s="6">
        <v>0</v>
      </c>
      <c r="O5912" s="6">
        <v>0</v>
      </c>
      <c r="P5912" s="6">
        <v>0</v>
      </c>
      <c r="Q5912">
        <v>1</v>
      </c>
      <c r="R5912">
        <f t="shared" si="460"/>
        <v>0</v>
      </c>
      <c r="S5912">
        <f t="shared" si="461"/>
        <v>1</v>
      </c>
      <c r="T5912">
        <f t="shared" si="462"/>
        <v>0</v>
      </c>
      <c r="U5912">
        <f t="shared" si="463"/>
        <v>0</v>
      </c>
      <c r="V5912">
        <f t="shared" si="464"/>
        <v>0</v>
      </c>
    </row>
    <row r="5913" spans="1:22" x14ac:dyDescent="0.25">
      <c r="A5913">
        <v>5910</v>
      </c>
      <c r="B5913" t="s">
        <v>40</v>
      </c>
      <c r="C5913" t="s">
        <v>1755</v>
      </c>
      <c r="D5913" s="4">
        <v>45390</v>
      </c>
      <c r="E5913" t="s">
        <v>2036</v>
      </c>
      <c r="F5913" t="s">
        <v>75</v>
      </c>
      <c r="I5913" s="6"/>
      <c r="J5913" s="6"/>
      <c r="K5913" s="6"/>
      <c r="L5913" s="6"/>
      <c r="M5913" s="6"/>
      <c r="N5913" s="6"/>
      <c r="O5913" s="6"/>
      <c r="P5913" s="6"/>
      <c r="Q5913">
        <v>0</v>
      </c>
      <c r="R5913">
        <f t="shared" si="460"/>
        <v>0</v>
      </c>
      <c r="S5913">
        <f t="shared" si="461"/>
        <v>0</v>
      </c>
      <c r="T5913">
        <f t="shared" si="462"/>
        <v>0</v>
      </c>
      <c r="U5913">
        <f t="shared" si="463"/>
        <v>0</v>
      </c>
      <c r="V5913">
        <f t="shared" si="464"/>
        <v>0</v>
      </c>
    </row>
    <row r="5914" spans="1:22" x14ac:dyDescent="0.25">
      <c r="A5914">
        <v>5911</v>
      </c>
      <c r="B5914" t="s">
        <v>40</v>
      </c>
      <c r="C5914" t="s">
        <v>1755</v>
      </c>
      <c r="D5914" s="4">
        <v>45390</v>
      </c>
      <c r="E5914" t="s">
        <v>2035</v>
      </c>
      <c r="F5914" t="s">
        <v>75</v>
      </c>
      <c r="I5914" s="6">
        <v>0</v>
      </c>
      <c r="J5914" s="6">
        <v>0</v>
      </c>
      <c r="K5914" s="6">
        <v>0</v>
      </c>
      <c r="L5914" s="6">
        <v>0</v>
      </c>
      <c r="M5914" s="6">
        <v>1</v>
      </c>
      <c r="N5914" s="6">
        <v>0</v>
      </c>
      <c r="O5914" s="6">
        <v>0</v>
      </c>
      <c r="P5914" s="6">
        <v>0</v>
      </c>
      <c r="Q5914">
        <v>1</v>
      </c>
      <c r="R5914">
        <f t="shared" si="460"/>
        <v>0</v>
      </c>
      <c r="S5914">
        <f t="shared" si="461"/>
        <v>1</v>
      </c>
      <c r="T5914">
        <f t="shared" si="462"/>
        <v>1</v>
      </c>
      <c r="U5914">
        <f t="shared" si="463"/>
        <v>1</v>
      </c>
      <c r="V5914">
        <f t="shared" si="464"/>
        <v>0</v>
      </c>
    </row>
    <row r="5915" spans="1:22" x14ac:dyDescent="0.25">
      <c r="A5915">
        <v>5912</v>
      </c>
      <c r="B5915" t="s">
        <v>40</v>
      </c>
      <c r="C5915" t="s">
        <v>1755</v>
      </c>
      <c r="D5915" s="4">
        <v>45390</v>
      </c>
      <c r="E5915" t="s">
        <v>2034</v>
      </c>
      <c r="F5915" t="s">
        <v>75</v>
      </c>
      <c r="I5915" s="6">
        <v>0</v>
      </c>
      <c r="J5915" s="6">
        <v>0</v>
      </c>
      <c r="K5915" s="6">
        <v>0</v>
      </c>
      <c r="L5915" s="6">
        <v>0</v>
      </c>
      <c r="M5915" s="6">
        <v>0</v>
      </c>
      <c r="N5915" s="6">
        <v>0</v>
      </c>
      <c r="O5915" s="6">
        <v>0</v>
      </c>
      <c r="P5915" s="6">
        <v>0</v>
      </c>
      <c r="Q5915">
        <v>1</v>
      </c>
      <c r="R5915">
        <f t="shared" si="460"/>
        <v>0</v>
      </c>
      <c r="S5915">
        <f t="shared" si="461"/>
        <v>1</v>
      </c>
      <c r="T5915">
        <f t="shared" si="462"/>
        <v>0</v>
      </c>
      <c r="U5915">
        <f t="shared" si="463"/>
        <v>0</v>
      </c>
      <c r="V5915">
        <f t="shared" si="464"/>
        <v>0</v>
      </c>
    </row>
    <row r="5916" spans="1:22" x14ac:dyDescent="0.25">
      <c r="A5916">
        <v>5913</v>
      </c>
      <c r="B5916" t="s">
        <v>40</v>
      </c>
      <c r="C5916" t="s">
        <v>1755</v>
      </c>
      <c r="D5916" s="4">
        <v>45391</v>
      </c>
      <c r="E5916" t="s">
        <v>868</v>
      </c>
      <c r="F5916" t="s">
        <v>75</v>
      </c>
      <c r="I5916" s="6"/>
      <c r="J5916" s="6"/>
      <c r="K5916" s="6"/>
      <c r="L5916" s="6"/>
      <c r="M5916" s="6"/>
      <c r="N5916" s="6"/>
      <c r="O5916" s="6"/>
      <c r="P5916" s="6"/>
      <c r="Q5916">
        <v>0</v>
      </c>
      <c r="R5916">
        <f t="shared" si="460"/>
        <v>0</v>
      </c>
      <c r="S5916">
        <f t="shared" si="461"/>
        <v>0</v>
      </c>
      <c r="T5916">
        <f t="shared" si="462"/>
        <v>0</v>
      </c>
      <c r="U5916">
        <f t="shared" si="463"/>
        <v>0</v>
      </c>
      <c r="V5916">
        <f t="shared" si="464"/>
        <v>0</v>
      </c>
    </row>
    <row r="5917" spans="1:22" x14ac:dyDescent="0.25">
      <c r="A5917">
        <v>5914</v>
      </c>
      <c r="B5917" t="s">
        <v>40</v>
      </c>
      <c r="C5917" t="s">
        <v>1755</v>
      </c>
      <c r="D5917" s="4">
        <v>45391</v>
      </c>
      <c r="E5917" t="s">
        <v>869</v>
      </c>
      <c r="F5917" t="s">
        <v>75</v>
      </c>
      <c r="I5917" s="6">
        <v>0</v>
      </c>
      <c r="J5917" s="6">
        <v>0</v>
      </c>
      <c r="K5917" s="6">
        <v>0</v>
      </c>
      <c r="L5917" s="6">
        <v>0</v>
      </c>
      <c r="M5917" s="6">
        <v>0</v>
      </c>
      <c r="N5917" s="6">
        <v>0</v>
      </c>
      <c r="O5917" s="6">
        <v>0</v>
      </c>
      <c r="P5917" s="6">
        <v>0</v>
      </c>
      <c r="Q5917">
        <v>1</v>
      </c>
      <c r="R5917">
        <f t="shared" si="460"/>
        <v>0</v>
      </c>
      <c r="S5917">
        <f t="shared" si="461"/>
        <v>1</v>
      </c>
      <c r="T5917">
        <f t="shared" si="462"/>
        <v>0</v>
      </c>
      <c r="U5917">
        <f t="shared" si="463"/>
        <v>0</v>
      </c>
      <c r="V5917">
        <f t="shared" si="464"/>
        <v>0</v>
      </c>
    </row>
    <row r="5918" spans="1:22" x14ac:dyDescent="0.25">
      <c r="A5918">
        <v>5915</v>
      </c>
      <c r="B5918" t="s">
        <v>40</v>
      </c>
      <c r="C5918" t="s">
        <v>1755</v>
      </c>
      <c r="D5918" s="4">
        <v>45391</v>
      </c>
      <c r="E5918" t="s">
        <v>1363</v>
      </c>
      <c r="F5918" t="s">
        <v>75</v>
      </c>
      <c r="I5918" s="6">
        <v>0</v>
      </c>
      <c r="J5918" s="6">
        <v>0</v>
      </c>
      <c r="K5918" s="6">
        <v>0</v>
      </c>
      <c r="L5918" s="6">
        <v>0</v>
      </c>
      <c r="M5918" s="6">
        <v>0</v>
      </c>
      <c r="N5918" s="6">
        <v>0</v>
      </c>
      <c r="O5918" s="6">
        <v>0</v>
      </c>
      <c r="P5918" s="6">
        <v>0</v>
      </c>
      <c r="Q5918">
        <v>1</v>
      </c>
      <c r="R5918">
        <f t="shared" si="460"/>
        <v>0</v>
      </c>
      <c r="S5918">
        <f t="shared" si="461"/>
        <v>1</v>
      </c>
      <c r="T5918">
        <f t="shared" si="462"/>
        <v>0</v>
      </c>
      <c r="U5918">
        <f t="shared" si="463"/>
        <v>0</v>
      </c>
      <c r="V5918">
        <f t="shared" si="464"/>
        <v>0</v>
      </c>
    </row>
    <row r="5919" spans="1:22" x14ac:dyDescent="0.25">
      <c r="A5919">
        <v>5916</v>
      </c>
      <c r="B5919" t="s">
        <v>40</v>
      </c>
      <c r="C5919" t="s">
        <v>1755</v>
      </c>
      <c r="D5919" s="4">
        <v>45391</v>
      </c>
      <c r="E5919" t="s">
        <v>1136</v>
      </c>
      <c r="F5919" t="s">
        <v>75</v>
      </c>
      <c r="I5919" s="6">
        <v>0</v>
      </c>
      <c r="J5919" s="6">
        <v>0</v>
      </c>
      <c r="K5919" s="6">
        <v>0</v>
      </c>
      <c r="L5919" s="6">
        <v>0</v>
      </c>
      <c r="M5919" s="6">
        <v>0</v>
      </c>
      <c r="N5919" s="6">
        <v>0</v>
      </c>
      <c r="O5919" s="6">
        <v>0</v>
      </c>
      <c r="P5919" s="6">
        <v>0</v>
      </c>
      <c r="Q5919">
        <v>1</v>
      </c>
      <c r="R5919">
        <f t="shared" si="460"/>
        <v>0</v>
      </c>
      <c r="S5919">
        <f t="shared" si="461"/>
        <v>1</v>
      </c>
      <c r="T5919">
        <f t="shared" si="462"/>
        <v>0</v>
      </c>
      <c r="U5919">
        <f t="shared" si="463"/>
        <v>0</v>
      </c>
      <c r="V5919">
        <f t="shared" si="464"/>
        <v>0</v>
      </c>
    </row>
    <row r="5920" spans="1:22" x14ac:dyDescent="0.25">
      <c r="A5920">
        <v>5917</v>
      </c>
      <c r="B5920" t="s">
        <v>40</v>
      </c>
      <c r="C5920" t="s">
        <v>1755</v>
      </c>
      <c r="D5920" s="4">
        <v>45392</v>
      </c>
      <c r="E5920" t="s">
        <v>452</v>
      </c>
      <c r="F5920" t="s">
        <v>75</v>
      </c>
      <c r="I5920" s="6">
        <v>0</v>
      </c>
      <c r="J5920" s="6">
        <v>0</v>
      </c>
      <c r="K5920" s="6">
        <v>0</v>
      </c>
      <c r="L5920" s="6">
        <v>0</v>
      </c>
      <c r="M5920" s="6">
        <v>1</v>
      </c>
      <c r="N5920" s="6">
        <v>0</v>
      </c>
      <c r="O5920" s="6">
        <v>0</v>
      </c>
      <c r="P5920" s="6">
        <v>0</v>
      </c>
      <c r="Q5920">
        <v>1</v>
      </c>
      <c r="R5920">
        <f t="shared" si="460"/>
        <v>0</v>
      </c>
      <c r="S5920">
        <f t="shared" si="461"/>
        <v>1</v>
      </c>
      <c r="T5920">
        <f t="shared" si="462"/>
        <v>1</v>
      </c>
      <c r="U5920">
        <f t="shared" si="463"/>
        <v>1</v>
      </c>
      <c r="V5920">
        <f t="shared" si="464"/>
        <v>0</v>
      </c>
    </row>
    <row r="5921" spans="1:22" x14ac:dyDescent="0.25">
      <c r="A5921">
        <v>5918</v>
      </c>
      <c r="B5921" t="s">
        <v>40</v>
      </c>
      <c r="C5921" t="s">
        <v>1755</v>
      </c>
      <c r="D5921" s="4">
        <v>45392</v>
      </c>
      <c r="E5921" t="s">
        <v>453</v>
      </c>
      <c r="F5921" t="s">
        <v>75</v>
      </c>
      <c r="I5921" s="6">
        <v>0</v>
      </c>
      <c r="J5921" s="6">
        <v>0</v>
      </c>
      <c r="K5921" s="6">
        <v>1</v>
      </c>
      <c r="L5921" s="6">
        <v>0</v>
      </c>
      <c r="M5921" s="6">
        <v>1</v>
      </c>
      <c r="N5921" s="6">
        <v>1</v>
      </c>
      <c r="O5921" s="6">
        <v>0</v>
      </c>
      <c r="P5921" s="6">
        <v>0</v>
      </c>
      <c r="Q5921">
        <v>1</v>
      </c>
      <c r="R5921">
        <f t="shared" si="460"/>
        <v>0</v>
      </c>
      <c r="S5921">
        <f t="shared" si="461"/>
        <v>1</v>
      </c>
      <c r="T5921">
        <f t="shared" si="462"/>
        <v>3</v>
      </c>
      <c r="U5921">
        <f t="shared" si="463"/>
        <v>1</v>
      </c>
      <c r="V5921">
        <f t="shared" si="464"/>
        <v>0</v>
      </c>
    </row>
    <row r="5922" spans="1:22" x14ac:dyDescent="0.25">
      <c r="A5922">
        <v>5919</v>
      </c>
      <c r="B5922" t="s">
        <v>40</v>
      </c>
      <c r="C5922" t="s">
        <v>1755</v>
      </c>
      <c r="D5922" s="4">
        <v>45392</v>
      </c>
      <c r="E5922" t="s">
        <v>1061</v>
      </c>
      <c r="F5922" t="s">
        <v>75</v>
      </c>
      <c r="I5922" s="6">
        <v>0</v>
      </c>
      <c r="J5922" s="6">
        <v>0</v>
      </c>
      <c r="K5922" s="6">
        <v>0</v>
      </c>
      <c r="L5922" s="6">
        <v>0</v>
      </c>
      <c r="M5922" s="6">
        <v>1</v>
      </c>
      <c r="N5922" s="6">
        <v>0</v>
      </c>
      <c r="O5922" s="6">
        <v>0</v>
      </c>
      <c r="P5922" s="6">
        <v>0</v>
      </c>
      <c r="Q5922">
        <v>1</v>
      </c>
      <c r="R5922">
        <f t="shared" si="460"/>
        <v>0</v>
      </c>
      <c r="S5922">
        <f t="shared" si="461"/>
        <v>1</v>
      </c>
      <c r="T5922">
        <f t="shared" si="462"/>
        <v>1</v>
      </c>
      <c r="U5922">
        <f t="shared" si="463"/>
        <v>1</v>
      </c>
      <c r="V5922">
        <f t="shared" si="464"/>
        <v>0</v>
      </c>
    </row>
    <row r="5923" spans="1:22" x14ac:dyDescent="0.25">
      <c r="A5923">
        <v>5920</v>
      </c>
      <c r="B5923" t="s">
        <v>40</v>
      </c>
      <c r="C5923" t="s">
        <v>1755</v>
      </c>
      <c r="D5923" s="4">
        <v>45392</v>
      </c>
      <c r="E5923" t="s">
        <v>1062</v>
      </c>
      <c r="F5923" t="s">
        <v>75</v>
      </c>
      <c r="I5923" s="6">
        <v>1</v>
      </c>
      <c r="J5923" s="6">
        <v>0</v>
      </c>
      <c r="K5923" s="6">
        <v>0</v>
      </c>
      <c r="L5923" s="6">
        <v>0</v>
      </c>
      <c r="M5923" s="6">
        <v>0</v>
      </c>
      <c r="N5923" s="6">
        <v>0</v>
      </c>
      <c r="O5923" s="6">
        <v>0</v>
      </c>
      <c r="P5923" s="6">
        <v>0</v>
      </c>
      <c r="Q5923">
        <v>1</v>
      </c>
      <c r="R5923">
        <f t="shared" si="460"/>
        <v>0</v>
      </c>
      <c r="S5923">
        <f t="shared" si="461"/>
        <v>1</v>
      </c>
      <c r="T5923">
        <f t="shared" si="462"/>
        <v>1</v>
      </c>
      <c r="U5923">
        <f t="shared" si="463"/>
        <v>1</v>
      </c>
      <c r="V5923">
        <f t="shared" si="464"/>
        <v>0</v>
      </c>
    </row>
    <row r="5924" spans="1:22" x14ac:dyDescent="0.25">
      <c r="A5924">
        <v>5921</v>
      </c>
      <c r="B5924" t="s">
        <v>40</v>
      </c>
      <c r="C5924" t="s">
        <v>1755</v>
      </c>
      <c r="D5924" s="4">
        <v>45393</v>
      </c>
      <c r="E5924" t="s">
        <v>454</v>
      </c>
      <c r="F5924" t="s">
        <v>75</v>
      </c>
      <c r="I5924" s="6">
        <v>1</v>
      </c>
      <c r="J5924" s="6">
        <v>0</v>
      </c>
      <c r="K5924" s="6">
        <v>0</v>
      </c>
      <c r="L5924" s="6">
        <v>0</v>
      </c>
      <c r="M5924" s="6">
        <v>0</v>
      </c>
      <c r="N5924" s="6">
        <v>0</v>
      </c>
      <c r="O5924" s="6">
        <v>0</v>
      </c>
      <c r="P5924" s="6">
        <v>0</v>
      </c>
      <c r="Q5924">
        <v>1</v>
      </c>
      <c r="R5924">
        <f t="shared" si="460"/>
        <v>0</v>
      </c>
      <c r="S5924">
        <f t="shared" si="461"/>
        <v>1</v>
      </c>
      <c r="T5924">
        <f t="shared" si="462"/>
        <v>1</v>
      </c>
      <c r="U5924">
        <f t="shared" si="463"/>
        <v>1</v>
      </c>
      <c r="V5924">
        <f t="shared" si="464"/>
        <v>0</v>
      </c>
    </row>
    <row r="5925" spans="1:22" x14ac:dyDescent="0.25">
      <c r="A5925">
        <v>5922</v>
      </c>
      <c r="B5925" t="s">
        <v>40</v>
      </c>
      <c r="C5925" t="s">
        <v>1755</v>
      </c>
      <c r="D5925" s="4">
        <v>45393</v>
      </c>
      <c r="E5925" t="s">
        <v>455</v>
      </c>
      <c r="F5925" t="s">
        <v>75</v>
      </c>
      <c r="I5925" s="6">
        <v>0</v>
      </c>
      <c r="J5925" s="6">
        <v>0</v>
      </c>
      <c r="K5925" s="6">
        <v>0</v>
      </c>
      <c r="L5925" s="6">
        <v>0</v>
      </c>
      <c r="M5925" s="6">
        <v>1</v>
      </c>
      <c r="N5925" s="6">
        <v>0</v>
      </c>
      <c r="O5925" s="6">
        <v>0</v>
      </c>
      <c r="P5925" s="6">
        <v>0</v>
      </c>
      <c r="Q5925">
        <v>1</v>
      </c>
      <c r="R5925">
        <f t="shared" si="460"/>
        <v>0</v>
      </c>
      <c r="S5925">
        <f t="shared" si="461"/>
        <v>1</v>
      </c>
      <c r="T5925">
        <f t="shared" si="462"/>
        <v>1</v>
      </c>
      <c r="U5925">
        <f t="shared" si="463"/>
        <v>1</v>
      </c>
      <c r="V5925">
        <f t="shared" si="464"/>
        <v>0</v>
      </c>
    </row>
    <row r="5926" spans="1:22" x14ac:dyDescent="0.25">
      <c r="A5926">
        <v>5923</v>
      </c>
      <c r="B5926" t="s">
        <v>40</v>
      </c>
      <c r="C5926" t="s">
        <v>1755</v>
      </c>
      <c r="D5926" s="4">
        <v>45394</v>
      </c>
      <c r="E5926" t="s">
        <v>966</v>
      </c>
      <c r="F5926" t="s">
        <v>75</v>
      </c>
      <c r="I5926" s="6">
        <v>1</v>
      </c>
      <c r="J5926" s="6">
        <v>0</v>
      </c>
      <c r="K5926" s="6">
        <v>1</v>
      </c>
      <c r="L5926" s="6">
        <v>0</v>
      </c>
      <c r="M5926" s="6">
        <v>1</v>
      </c>
      <c r="N5926" s="6">
        <v>0</v>
      </c>
      <c r="O5926" s="6">
        <v>0</v>
      </c>
      <c r="P5926" s="6">
        <v>0</v>
      </c>
      <c r="Q5926">
        <v>1</v>
      </c>
      <c r="R5926">
        <f t="shared" si="460"/>
        <v>0</v>
      </c>
      <c r="S5926">
        <f t="shared" si="461"/>
        <v>1</v>
      </c>
      <c r="T5926">
        <f t="shared" si="462"/>
        <v>3</v>
      </c>
      <c r="U5926">
        <f t="shared" si="463"/>
        <v>1</v>
      </c>
      <c r="V5926">
        <f t="shared" si="464"/>
        <v>0</v>
      </c>
    </row>
    <row r="5927" spans="1:22" x14ac:dyDescent="0.25">
      <c r="A5927">
        <v>5924</v>
      </c>
      <c r="B5927" t="s">
        <v>40</v>
      </c>
      <c r="C5927" t="s">
        <v>1755</v>
      </c>
      <c r="D5927" s="4">
        <v>45394</v>
      </c>
      <c r="E5927" t="s">
        <v>870</v>
      </c>
      <c r="F5927" t="s">
        <v>75</v>
      </c>
      <c r="I5927" s="6">
        <v>1</v>
      </c>
      <c r="J5927" s="6">
        <v>0</v>
      </c>
      <c r="K5927" s="6">
        <v>0</v>
      </c>
      <c r="L5927" s="6">
        <v>0</v>
      </c>
      <c r="M5927" s="6">
        <v>0</v>
      </c>
      <c r="N5927" s="6">
        <v>0</v>
      </c>
      <c r="O5927" s="6">
        <v>0</v>
      </c>
      <c r="P5927" s="6">
        <v>0</v>
      </c>
      <c r="Q5927">
        <v>1</v>
      </c>
      <c r="R5927">
        <f t="shared" si="460"/>
        <v>0</v>
      </c>
      <c r="S5927">
        <f t="shared" si="461"/>
        <v>1</v>
      </c>
      <c r="T5927">
        <f t="shared" si="462"/>
        <v>1</v>
      </c>
      <c r="U5927">
        <f t="shared" si="463"/>
        <v>1</v>
      </c>
      <c r="V5927">
        <f t="shared" si="464"/>
        <v>0</v>
      </c>
    </row>
    <row r="5928" spans="1:22" x14ac:dyDescent="0.25">
      <c r="A5928">
        <v>5925</v>
      </c>
      <c r="B5928" t="s">
        <v>40</v>
      </c>
      <c r="C5928" t="s">
        <v>1755</v>
      </c>
      <c r="D5928" s="4">
        <v>45394</v>
      </c>
      <c r="E5928" t="s">
        <v>871</v>
      </c>
      <c r="F5928" t="s">
        <v>75</v>
      </c>
      <c r="I5928" s="6">
        <v>0</v>
      </c>
      <c r="J5928" s="6">
        <v>0</v>
      </c>
      <c r="K5928" s="6">
        <v>0</v>
      </c>
      <c r="L5928" s="6">
        <v>0</v>
      </c>
      <c r="M5928" s="6">
        <v>0</v>
      </c>
      <c r="N5928" s="6">
        <v>0</v>
      </c>
      <c r="O5928" s="6">
        <v>0</v>
      </c>
      <c r="P5928" s="6">
        <v>0</v>
      </c>
      <c r="Q5928">
        <v>1</v>
      </c>
      <c r="R5928">
        <f t="shared" si="460"/>
        <v>0</v>
      </c>
      <c r="S5928">
        <f t="shared" si="461"/>
        <v>1</v>
      </c>
      <c r="T5928">
        <f t="shared" si="462"/>
        <v>0</v>
      </c>
      <c r="U5928">
        <f t="shared" si="463"/>
        <v>0</v>
      </c>
      <c r="V5928">
        <f t="shared" si="464"/>
        <v>0</v>
      </c>
    </row>
    <row r="5929" spans="1:22" x14ac:dyDescent="0.25">
      <c r="A5929">
        <v>5926</v>
      </c>
      <c r="B5929" t="s">
        <v>40</v>
      </c>
      <c r="C5929" t="s">
        <v>1755</v>
      </c>
      <c r="D5929" s="4">
        <v>45394</v>
      </c>
      <c r="E5929" t="s">
        <v>1065</v>
      </c>
      <c r="F5929" t="s">
        <v>75</v>
      </c>
      <c r="I5929" s="6"/>
      <c r="J5929" s="6"/>
      <c r="K5929" s="6"/>
      <c r="L5929" s="6"/>
      <c r="M5929" s="6"/>
      <c r="N5929" s="6"/>
      <c r="O5929" s="6"/>
      <c r="P5929" s="6"/>
      <c r="Q5929">
        <v>0</v>
      </c>
      <c r="R5929">
        <f t="shared" si="460"/>
        <v>0</v>
      </c>
      <c r="S5929">
        <f t="shared" si="461"/>
        <v>0</v>
      </c>
      <c r="T5929">
        <f t="shared" si="462"/>
        <v>0</v>
      </c>
      <c r="U5929">
        <f t="shared" si="463"/>
        <v>0</v>
      </c>
      <c r="V5929">
        <f t="shared" si="464"/>
        <v>0</v>
      </c>
    </row>
    <row r="5930" spans="1:22" x14ac:dyDescent="0.25">
      <c r="A5930">
        <v>5927</v>
      </c>
      <c r="B5930" t="s">
        <v>40</v>
      </c>
      <c r="C5930" t="s">
        <v>1755</v>
      </c>
      <c r="D5930" s="4">
        <v>45395</v>
      </c>
      <c r="E5930" t="s">
        <v>872</v>
      </c>
      <c r="F5930" t="s">
        <v>75</v>
      </c>
      <c r="I5930" s="6">
        <v>0</v>
      </c>
      <c r="J5930" s="6">
        <v>0</v>
      </c>
      <c r="K5930" s="6">
        <v>0</v>
      </c>
      <c r="L5930" s="6">
        <v>0</v>
      </c>
      <c r="M5930" s="6">
        <v>0</v>
      </c>
      <c r="N5930" s="6">
        <v>0</v>
      </c>
      <c r="O5930" s="6">
        <v>0</v>
      </c>
      <c r="P5930" s="6">
        <v>0</v>
      </c>
      <c r="Q5930">
        <v>1</v>
      </c>
      <c r="R5930">
        <f t="shared" si="460"/>
        <v>0</v>
      </c>
      <c r="S5930">
        <f t="shared" si="461"/>
        <v>1</v>
      </c>
      <c r="T5930">
        <f t="shared" si="462"/>
        <v>0</v>
      </c>
      <c r="U5930">
        <f t="shared" si="463"/>
        <v>0</v>
      </c>
      <c r="V5930">
        <f t="shared" si="464"/>
        <v>0</v>
      </c>
    </row>
    <row r="5931" spans="1:22" x14ac:dyDescent="0.25">
      <c r="A5931">
        <v>5928</v>
      </c>
      <c r="B5931" t="s">
        <v>40</v>
      </c>
      <c r="C5931" t="s">
        <v>1755</v>
      </c>
      <c r="D5931" s="4">
        <v>45395</v>
      </c>
      <c r="E5931" t="s">
        <v>873</v>
      </c>
      <c r="F5931" t="s">
        <v>75</v>
      </c>
      <c r="I5931" s="6">
        <v>0</v>
      </c>
      <c r="J5931" s="6">
        <v>0</v>
      </c>
      <c r="K5931" s="6">
        <v>0</v>
      </c>
      <c r="L5931" s="6">
        <v>0</v>
      </c>
      <c r="M5931" s="6">
        <v>0</v>
      </c>
      <c r="N5931" s="6">
        <v>0</v>
      </c>
      <c r="O5931" s="6">
        <v>0</v>
      </c>
      <c r="P5931" s="6">
        <v>0</v>
      </c>
      <c r="Q5931">
        <v>1</v>
      </c>
      <c r="R5931">
        <f t="shared" si="460"/>
        <v>0</v>
      </c>
      <c r="S5931">
        <f t="shared" si="461"/>
        <v>1</v>
      </c>
      <c r="T5931">
        <f t="shared" si="462"/>
        <v>0</v>
      </c>
      <c r="U5931">
        <f t="shared" si="463"/>
        <v>0</v>
      </c>
      <c r="V5931">
        <f t="shared" si="464"/>
        <v>0</v>
      </c>
    </row>
    <row r="5932" spans="1:22" x14ac:dyDescent="0.25">
      <c r="A5932">
        <v>5929</v>
      </c>
      <c r="B5932" t="s">
        <v>40</v>
      </c>
      <c r="C5932" t="s">
        <v>1755</v>
      </c>
      <c r="D5932" s="4">
        <v>45396</v>
      </c>
      <c r="E5932" t="s">
        <v>874</v>
      </c>
      <c r="F5932" t="s">
        <v>75</v>
      </c>
      <c r="I5932" s="6"/>
      <c r="J5932" s="6"/>
      <c r="K5932" s="6"/>
      <c r="L5932" s="6"/>
      <c r="M5932" s="6"/>
      <c r="N5932" s="6"/>
      <c r="O5932" s="6"/>
      <c r="P5932" s="6"/>
      <c r="Q5932">
        <v>0</v>
      </c>
      <c r="R5932">
        <f t="shared" si="460"/>
        <v>0</v>
      </c>
      <c r="S5932">
        <f t="shared" si="461"/>
        <v>0</v>
      </c>
      <c r="T5932">
        <f t="shared" si="462"/>
        <v>0</v>
      </c>
      <c r="U5932">
        <f t="shared" si="463"/>
        <v>0</v>
      </c>
      <c r="V5932">
        <f t="shared" si="464"/>
        <v>0</v>
      </c>
    </row>
    <row r="5933" spans="1:22" x14ac:dyDescent="0.25">
      <c r="A5933">
        <v>5930</v>
      </c>
      <c r="B5933" t="s">
        <v>40</v>
      </c>
      <c r="C5933" t="s">
        <v>1755</v>
      </c>
      <c r="D5933" s="4">
        <v>45396</v>
      </c>
      <c r="E5933" t="s">
        <v>875</v>
      </c>
      <c r="F5933" t="s">
        <v>75</v>
      </c>
      <c r="I5933" s="6">
        <v>0</v>
      </c>
      <c r="J5933" s="6">
        <v>0</v>
      </c>
      <c r="K5933" s="6">
        <v>0</v>
      </c>
      <c r="L5933" s="6">
        <v>1</v>
      </c>
      <c r="M5933" s="6">
        <v>0</v>
      </c>
      <c r="N5933" s="6">
        <v>0</v>
      </c>
      <c r="O5933" s="6">
        <v>0</v>
      </c>
      <c r="P5933" s="6">
        <v>0</v>
      </c>
      <c r="Q5933">
        <v>1</v>
      </c>
      <c r="R5933">
        <f t="shared" si="460"/>
        <v>0</v>
      </c>
      <c r="S5933">
        <f t="shared" si="461"/>
        <v>1</v>
      </c>
      <c r="T5933">
        <f t="shared" si="462"/>
        <v>1</v>
      </c>
      <c r="U5933">
        <f t="shared" si="463"/>
        <v>1</v>
      </c>
      <c r="V5933">
        <f t="shared" si="464"/>
        <v>0</v>
      </c>
    </row>
    <row r="5934" spans="1:22" x14ac:dyDescent="0.25">
      <c r="A5934">
        <v>5931</v>
      </c>
      <c r="B5934" t="s">
        <v>40</v>
      </c>
      <c r="C5934" t="s">
        <v>1755</v>
      </c>
      <c r="D5934" s="4">
        <v>45397</v>
      </c>
      <c r="E5934" t="s">
        <v>1068</v>
      </c>
      <c r="F5934" t="s">
        <v>75</v>
      </c>
      <c r="H5934" t="s">
        <v>1804</v>
      </c>
      <c r="I5934" s="6">
        <v>1</v>
      </c>
      <c r="J5934" s="6">
        <v>0</v>
      </c>
      <c r="K5934" s="6">
        <v>0</v>
      </c>
      <c r="L5934" s="6">
        <v>0</v>
      </c>
      <c r="M5934" s="6">
        <v>0</v>
      </c>
      <c r="N5934" s="6">
        <v>0</v>
      </c>
      <c r="O5934" s="6">
        <v>0</v>
      </c>
      <c r="P5934" s="6">
        <v>0</v>
      </c>
      <c r="Q5934">
        <v>1</v>
      </c>
      <c r="R5934">
        <f t="shared" si="460"/>
        <v>0</v>
      </c>
      <c r="S5934">
        <f t="shared" si="461"/>
        <v>1</v>
      </c>
      <c r="T5934">
        <f t="shared" si="462"/>
        <v>1</v>
      </c>
      <c r="U5934">
        <f t="shared" si="463"/>
        <v>1</v>
      </c>
      <c r="V5934">
        <f t="shared" si="464"/>
        <v>0</v>
      </c>
    </row>
    <row r="5935" spans="1:22" x14ac:dyDescent="0.25">
      <c r="A5935">
        <v>5932</v>
      </c>
      <c r="B5935" t="s">
        <v>40</v>
      </c>
      <c r="C5935" t="s">
        <v>1755</v>
      </c>
      <c r="D5935" s="4">
        <v>45397</v>
      </c>
      <c r="E5935" t="s">
        <v>1069</v>
      </c>
      <c r="F5935" t="s">
        <v>75</v>
      </c>
      <c r="I5935" s="6"/>
      <c r="J5935" s="6"/>
      <c r="K5935" s="6"/>
      <c r="L5935" s="6"/>
      <c r="M5935" s="6"/>
      <c r="N5935" s="6"/>
      <c r="O5935" s="6"/>
      <c r="P5935" s="6"/>
      <c r="Q5935">
        <v>0</v>
      </c>
      <c r="R5935">
        <f t="shared" si="460"/>
        <v>0</v>
      </c>
      <c r="S5935">
        <f t="shared" si="461"/>
        <v>0</v>
      </c>
      <c r="T5935">
        <f t="shared" si="462"/>
        <v>0</v>
      </c>
      <c r="U5935">
        <f t="shared" si="463"/>
        <v>0</v>
      </c>
      <c r="V5935">
        <f t="shared" si="464"/>
        <v>0</v>
      </c>
    </row>
    <row r="5936" spans="1:22" x14ac:dyDescent="0.25">
      <c r="A5936">
        <v>5933</v>
      </c>
      <c r="B5936" t="s">
        <v>40</v>
      </c>
      <c r="C5936" t="s">
        <v>1755</v>
      </c>
      <c r="D5936" s="4">
        <v>45397</v>
      </c>
      <c r="E5936" t="s">
        <v>2033</v>
      </c>
      <c r="F5936" t="s">
        <v>75</v>
      </c>
      <c r="I5936" s="6"/>
      <c r="J5936" s="6"/>
      <c r="K5936" s="6"/>
      <c r="L5936" s="6"/>
      <c r="M5936" s="6"/>
      <c r="N5936" s="6"/>
      <c r="O5936" s="6"/>
      <c r="P5936" s="6"/>
      <c r="Q5936">
        <v>0</v>
      </c>
      <c r="R5936">
        <f t="shared" si="460"/>
        <v>0</v>
      </c>
      <c r="S5936">
        <f t="shared" si="461"/>
        <v>0</v>
      </c>
      <c r="T5936">
        <f t="shared" si="462"/>
        <v>0</v>
      </c>
      <c r="U5936">
        <f t="shared" si="463"/>
        <v>0</v>
      </c>
      <c r="V5936">
        <f t="shared" si="464"/>
        <v>0</v>
      </c>
    </row>
    <row r="5937" spans="1:22" x14ac:dyDescent="0.25">
      <c r="A5937">
        <v>5934</v>
      </c>
      <c r="B5937" t="s">
        <v>40</v>
      </c>
      <c r="C5937" t="s">
        <v>1755</v>
      </c>
      <c r="D5937" s="4">
        <v>45397</v>
      </c>
      <c r="E5937" t="s">
        <v>1805</v>
      </c>
      <c r="F5937" t="s">
        <v>75</v>
      </c>
      <c r="I5937" s="6">
        <v>1</v>
      </c>
      <c r="J5937" s="6">
        <v>0</v>
      </c>
      <c r="K5937" s="6">
        <v>0</v>
      </c>
      <c r="L5937" s="6">
        <v>0</v>
      </c>
      <c r="M5937" s="6">
        <v>0</v>
      </c>
      <c r="N5937" s="6">
        <v>0</v>
      </c>
      <c r="O5937" s="6">
        <v>0</v>
      </c>
      <c r="P5937" s="6">
        <v>0</v>
      </c>
      <c r="Q5937">
        <v>1</v>
      </c>
      <c r="R5937">
        <f t="shared" si="460"/>
        <v>0</v>
      </c>
      <c r="S5937">
        <f t="shared" si="461"/>
        <v>1</v>
      </c>
      <c r="T5937">
        <f t="shared" si="462"/>
        <v>1</v>
      </c>
      <c r="U5937">
        <f t="shared" si="463"/>
        <v>1</v>
      </c>
      <c r="V5937">
        <f t="shared" si="464"/>
        <v>0</v>
      </c>
    </row>
    <row r="5938" spans="1:22" x14ac:dyDescent="0.25">
      <c r="A5938">
        <v>5935</v>
      </c>
      <c r="B5938" t="s">
        <v>40</v>
      </c>
      <c r="C5938" t="s">
        <v>1755</v>
      </c>
      <c r="D5938" s="4">
        <v>45398</v>
      </c>
      <c r="E5938" t="s">
        <v>456</v>
      </c>
      <c r="F5938" t="s">
        <v>413</v>
      </c>
      <c r="G5938">
        <v>279</v>
      </c>
      <c r="I5938" s="6">
        <v>1</v>
      </c>
      <c r="J5938" s="6">
        <v>0</v>
      </c>
      <c r="K5938" s="6">
        <v>0</v>
      </c>
      <c r="L5938" s="6">
        <v>0</v>
      </c>
      <c r="M5938" s="6">
        <v>1</v>
      </c>
      <c r="N5938" s="6">
        <v>0</v>
      </c>
      <c r="O5938" s="6">
        <v>0</v>
      </c>
      <c r="P5938" s="6">
        <v>0</v>
      </c>
      <c r="Q5938">
        <v>1</v>
      </c>
      <c r="R5938">
        <f t="shared" si="460"/>
        <v>1</v>
      </c>
      <c r="S5938">
        <f t="shared" si="461"/>
        <v>0</v>
      </c>
      <c r="T5938">
        <f t="shared" si="462"/>
        <v>2</v>
      </c>
      <c r="U5938">
        <f t="shared" si="463"/>
        <v>1</v>
      </c>
      <c r="V5938">
        <f t="shared" si="464"/>
        <v>1</v>
      </c>
    </row>
    <row r="5939" spans="1:22" x14ac:dyDescent="0.25">
      <c r="A5939">
        <v>5936</v>
      </c>
      <c r="B5939" t="s">
        <v>40</v>
      </c>
      <c r="C5939" t="s">
        <v>1755</v>
      </c>
      <c r="D5939" s="4">
        <v>45399</v>
      </c>
      <c r="E5939" t="s">
        <v>294</v>
      </c>
      <c r="F5939" t="s">
        <v>75</v>
      </c>
      <c r="I5939" s="6">
        <v>0</v>
      </c>
      <c r="J5939" s="6">
        <v>0</v>
      </c>
      <c r="K5939" s="6">
        <v>0</v>
      </c>
      <c r="L5939" s="6">
        <v>0</v>
      </c>
      <c r="M5939" s="6">
        <v>1</v>
      </c>
      <c r="N5939" s="6">
        <v>0</v>
      </c>
      <c r="O5939" s="6">
        <v>0</v>
      </c>
      <c r="P5939" s="6">
        <v>0</v>
      </c>
      <c r="Q5939">
        <v>1</v>
      </c>
      <c r="R5939">
        <f t="shared" si="460"/>
        <v>0</v>
      </c>
      <c r="S5939">
        <f t="shared" si="461"/>
        <v>1</v>
      </c>
      <c r="T5939">
        <f t="shared" si="462"/>
        <v>1</v>
      </c>
      <c r="U5939">
        <f t="shared" si="463"/>
        <v>1</v>
      </c>
      <c r="V5939">
        <f t="shared" si="464"/>
        <v>0</v>
      </c>
    </row>
    <row r="5940" spans="1:22" x14ac:dyDescent="0.25">
      <c r="A5940">
        <v>5937</v>
      </c>
      <c r="B5940" t="s">
        <v>40</v>
      </c>
      <c r="C5940" t="s">
        <v>1755</v>
      </c>
      <c r="D5940" s="4">
        <v>45399</v>
      </c>
      <c r="E5940" t="s">
        <v>295</v>
      </c>
      <c r="F5940" t="s">
        <v>75</v>
      </c>
      <c r="I5940" s="6">
        <v>0</v>
      </c>
      <c r="J5940" s="6">
        <v>0</v>
      </c>
      <c r="K5940" s="6">
        <v>0</v>
      </c>
      <c r="L5940" s="6">
        <v>0</v>
      </c>
      <c r="M5940" s="6">
        <v>0</v>
      </c>
      <c r="N5940" s="6">
        <v>0</v>
      </c>
      <c r="O5940" s="6">
        <v>0</v>
      </c>
      <c r="P5940" s="6">
        <v>0</v>
      </c>
      <c r="Q5940">
        <v>1</v>
      </c>
      <c r="R5940">
        <f t="shared" si="460"/>
        <v>0</v>
      </c>
      <c r="S5940">
        <f t="shared" si="461"/>
        <v>1</v>
      </c>
      <c r="T5940">
        <f t="shared" si="462"/>
        <v>0</v>
      </c>
      <c r="U5940">
        <f t="shared" si="463"/>
        <v>0</v>
      </c>
      <c r="V5940">
        <f t="shared" si="464"/>
        <v>0</v>
      </c>
    </row>
    <row r="5941" spans="1:22" x14ac:dyDescent="0.25">
      <c r="A5941">
        <v>5938</v>
      </c>
      <c r="B5941" t="s">
        <v>40</v>
      </c>
      <c r="C5941" t="s">
        <v>1755</v>
      </c>
      <c r="D5941" s="4">
        <v>45399</v>
      </c>
      <c r="E5941" t="s">
        <v>1806</v>
      </c>
      <c r="F5941" t="s">
        <v>75</v>
      </c>
      <c r="H5941" t="s">
        <v>1800</v>
      </c>
      <c r="I5941" s="6">
        <v>0</v>
      </c>
      <c r="J5941" s="6">
        <v>0</v>
      </c>
      <c r="K5941" s="6">
        <v>0</v>
      </c>
      <c r="L5941" s="6">
        <v>0</v>
      </c>
      <c r="M5941" s="6">
        <v>1</v>
      </c>
      <c r="N5941" s="6">
        <v>0</v>
      </c>
      <c r="O5941" s="6">
        <v>0</v>
      </c>
      <c r="P5941" s="6">
        <v>0</v>
      </c>
      <c r="Q5941">
        <v>1</v>
      </c>
      <c r="R5941">
        <f t="shared" si="460"/>
        <v>0</v>
      </c>
      <c r="S5941">
        <f t="shared" si="461"/>
        <v>1</v>
      </c>
      <c r="T5941">
        <f t="shared" si="462"/>
        <v>1</v>
      </c>
      <c r="U5941">
        <f t="shared" si="463"/>
        <v>1</v>
      </c>
      <c r="V5941">
        <f t="shared" si="464"/>
        <v>0</v>
      </c>
    </row>
    <row r="5942" spans="1:22" x14ac:dyDescent="0.25">
      <c r="A5942">
        <v>5939</v>
      </c>
      <c r="B5942" t="s">
        <v>40</v>
      </c>
      <c r="C5942" t="s">
        <v>1755</v>
      </c>
      <c r="D5942" s="4">
        <v>45399</v>
      </c>
      <c r="E5942" t="s">
        <v>1807</v>
      </c>
      <c r="F5942" t="s">
        <v>75</v>
      </c>
      <c r="I5942" s="6">
        <v>0</v>
      </c>
      <c r="J5942" s="6">
        <v>0</v>
      </c>
      <c r="K5942" s="6">
        <v>1</v>
      </c>
      <c r="L5942" s="6">
        <v>0</v>
      </c>
      <c r="M5942" s="6">
        <v>1</v>
      </c>
      <c r="N5942" s="6">
        <v>1</v>
      </c>
      <c r="O5942" s="6">
        <v>0</v>
      </c>
      <c r="P5942" s="6">
        <v>0</v>
      </c>
      <c r="Q5942">
        <v>1</v>
      </c>
      <c r="R5942">
        <f t="shared" si="460"/>
        <v>0</v>
      </c>
      <c r="S5942">
        <f t="shared" si="461"/>
        <v>1</v>
      </c>
      <c r="T5942">
        <f t="shared" si="462"/>
        <v>3</v>
      </c>
      <c r="U5942">
        <f t="shared" si="463"/>
        <v>1</v>
      </c>
      <c r="V5942">
        <f t="shared" si="464"/>
        <v>0</v>
      </c>
    </row>
    <row r="5943" spans="1:22" x14ac:dyDescent="0.25">
      <c r="A5943">
        <v>5940</v>
      </c>
      <c r="B5943" t="s">
        <v>40</v>
      </c>
      <c r="C5943" t="s">
        <v>1755</v>
      </c>
      <c r="D5943" s="4">
        <v>45400</v>
      </c>
      <c r="E5943" t="s">
        <v>876</v>
      </c>
      <c r="F5943" t="s">
        <v>75</v>
      </c>
      <c r="I5943" s="6"/>
      <c r="J5943" s="6"/>
      <c r="K5943" s="6"/>
      <c r="L5943" s="6"/>
      <c r="M5943" s="6"/>
      <c r="N5943" s="6"/>
      <c r="O5943" s="6"/>
      <c r="P5943" s="6"/>
      <c r="Q5943">
        <v>0</v>
      </c>
      <c r="R5943">
        <f t="shared" si="460"/>
        <v>0</v>
      </c>
      <c r="S5943">
        <f t="shared" si="461"/>
        <v>0</v>
      </c>
      <c r="T5943">
        <f t="shared" si="462"/>
        <v>0</v>
      </c>
      <c r="U5943">
        <f t="shared" si="463"/>
        <v>0</v>
      </c>
      <c r="V5943">
        <f t="shared" si="464"/>
        <v>0</v>
      </c>
    </row>
    <row r="5944" spans="1:22" x14ac:dyDescent="0.25">
      <c r="A5944">
        <v>5941</v>
      </c>
      <c r="B5944" t="s">
        <v>40</v>
      </c>
      <c r="C5944" t="s">
        <v>1755</v>
      </c>
      <c r="D5944" s="4">
        <v>45400</v>
      </c>
      <c r="E5944" t="s">
        <v>296</v>
      </c>
      <c r="F5944" t="s">
        <v>75</v>
      </c>
      <c r="I5944" s="6">
        <v>1</v>
      </c>
      <c r="J5944" s="6">
        <v>0</v>
      </c>
      <c r="K5944" s="6">
        <v>0</v>
      </c>
      <c r="L5944" s="6">
        <v>1</v>
      </c>
      <c r="M5944" s="6">
        <v>0</v>
      </c>
      <c r="N5944" s="6">
        <v>0</v>
      </c>
      <c r="O5944" s="6">
        <v>0</v>
      </c>
      <c r="P5944" s="6">
        <v>0</v>
      </c>
      <c r="Q5944">
        <v>1</v>
      </c>
      <c r="R5944">
        <f t="shared" si="460"/>
        <v>0</v>
      </c>
      <c r="S5944">
        <f t="shared" si="461"/>
        <v>1</v>
      </c>
      <c r="T5944">
        <f t="shared" si="462"/>
        <v>2</v>
      </c>
      <c r="U5944">
        <f t="shared" si="463"/>
        <v>1</v>
      </c>
      <c r="V5944">
        <f t="shared" si="464"/>
        <v>0</v>
      </c>
    </row>
    <row r="5945" spans="1:22" x14ac:dyDescent="0.25">
      <c r="A5945">
        <v>5942</v>
      </c>
      <c r="B5945" t="s">
        <v>40</v>
      </c>
      <c r="C5945" t="s">
        <v>1755</v>
      </c>
      <c r="D5945" s="4">
        <v>45400</v>
      </c>
      <c r="E5945" t="s">
        <v>297</v>
      </c>
      <c r="F5945" t="s">
        <v>75</v>
      </c>
      <c r="I5945" s="6">
        <v>0</v>
      </c>
      <c r="J5945" s="6">
        <v>0</v>
      </c>
      <c r="K5945" s="6">
        <v>0</v>
      </c>
      <c r="L5945" s="6">
        <v>0</v>
      </c>
      <c r="M5945" s="6">
        <v>1</v>
      </c>
      <c r="N5945" s="6">
        <v>0</v>
      </c>
      <c r="O5945" s="6">
        <v>0</v>
      </c>
      <c r="P5945" s="6">
        <v>0</v>
      </c>
      <c r="Q5945">
        <v>1</v>
      </c>
      <c r="R5945">
        <f t="shared" si="460"/>
        <v>0</v>
      </c>
      <c r="S5945">
        <f t="shared" si="461"/>
        <v>1</v>
      </c>
      <c r="T5945">
        <f t="shared" si="462"/>
        <v>1</v>
      </c>
      <c r="U5945">
        <f t="shared" si="463"/>
        <v>1</v>
      </c>
      <c r="V5945">
        <f t="shared" si="464"/>
        <v>0</v>
      </c>
    </row>
    <row r="5946" spans="1:22" x14ac:dyDescent="0.25">
      <c r="A5946">
        <v>5943</v>
      </c>
      <c r="B5946" t="s">
        <v>40</v>
      </c>
      <c r="C5946" t="s">
        <v>1755</v>
      </c>
      <c r="D5946" s="4">
        <v>45400</v>
      </c>
      <c r="E5946" t="s">
        <v>1070</v>
      </c>
      <c r="F5946" t="s">
        <v>75</v>
      </c>
      <c r="I5946" s="6">
        <v>0</v>
      </c>
      <c r="J5946" s="6">
        <v>0</v>
      </c>
      <c r="K5946" s="6">
        <v>0</v>
      </c>
      <c r="L5946" s="6">
        <v>0</v>
      </c>
      <c r="M5946" s="6">
        <v>0</v>
      </c>
      <c r="N5946" s="6">
        <v>0</v>
      </c>
      <c r="O5946" s="6">
        <v>0</v>
      </c>
      <c r="P5946" s="6">
        <v>0</v>
      </c>
      <c r="Q5946">
        <v>1</v>
      </c>
      <c r="R5946">
        <f t="shared" si="460"/>
        <v>0</v>
      </c>
      <c r="S5946">
        <f t="shared" si="461"/>
        <v>1</v>
      </c>
      <c r="T5946">
        <f t="shared" si="462"/>
        <v>0</v>
      </c>
      <c r="U5946">
        <f t="shared" si="463"/>
        <v>0</v>
      </c>
      <c r="V5946">
        <f t="shared" si="464"/>
        <v>0</v>
      </c>
    </row>
    <row r="5947" spans="1:22" x14ac:dyDescent="0.25">
      <c r="A5947">
        <v>5944</v>
      </c>
      <c r="B5947" t="s">
        <v>40</v>
      </c>
      <c r="C5947" t="s">
        <v>1755</v>
      </c>
      <c r="D5947" s="4">
        <v>45401</v>
      </c>
      <c r="E5947" t="s">
        <v>298</v>
      </c>
      <c r="F5947" t="s">
        <v>75</v>
      </c>
      <c r="H5947" t="s">
        <v>1808</v>
      </c>
      <c r="I5947" s="6">
        <v>0</v>
      </c>
      <c r="J5947" s="6">
        <v>0</v>
      </c>
      <c r="K5947" s="6">
        <v>0</v>
      </c>
      <c r="L5947" s="6">
        <v>0</v>
      </c>
      <c r="M5947" s="6">
        <v>0</v>
      </c>
      <c r="N5947" s="6">
        <v>0</v>
      </c>
      <c r="O5947" s="6">
        <v>0</v>
      </c>
      <c r="P5947" s="6">
        <v>0</v>
      </c>
      <c r="Q5947">
        <v>1</v>
      </c>
      <c r="R5947">
        <f t="shared" si="460"/>
        <v>0</v>
      </c>
      <c r="S5947">
        <f t="shared" si="461"/>
        <v>1</v>
      </c>
      <c r="T5947">
        <f t="shared" si="462"/>
        <v>0</v>
      </c>
      <c r="U5947">
        <f t="shared" si="463"/>
        <v>0</v>
      </c>
      <c r="V5947">
        <f t="shared" si="464"/>
        <v>0</v>
      </c>
    </row>
    <row r="5948" spans="1:22" x14ac:dyDescent="0.25">
      <c r="A5948">
        <v>5945</v>
      </c>
      <c r="B5948" t="s">
        <v>40</v>
      </c>
      <c r="C5948" t="s">
        <v>1755</v>
      </c>
      <c r="D5948" s="4">
        <v>45401</v>
      </c>
      <c r="E5948" t="s">
        <v>459</v>
      </c>
      <c r="F5948" t="s">
        <v>75</v>
      </c>
      <c r="I5948" s="6"/>
      <c r="J5948" s="6"/>
      <c r="K5948" s="6"/>
      <c r="L5948" s="6"/>
      <c r="M5948" s="6"/>
      <c r="N5948" s="6"/>
      <c r="O5948" s="6"/>
      <c r="P5948" s="6"/>
      <c r="Q5948">
        <v>0</v>
      </c>
      <c r="R5948">
        <f t="shared" si="460"/>
        <v>0</v>
      </c>
      <c r="S5948">
        <f t="shared" si="461"/>
        <v>0</v>
      </c>
      <c r="T5948">
        <f t="shared" si="462"/>
        <v>0</v>
      </c>
      <c r="U5948">
        <f t="shared" si="463"/>
        <v>0</v>
      </c>
      <c r="V5948">
        <f t="shared" si="464"/>
        <v>0</v>
      </c>
    </row>
    <row r="5949" spans="1:22" x14ac:dyDescent="0.25">
      <c r="A5949">
        <v>5946</v>
      </c>
      <c r="B5949" t="s">
        <v>40</v>
      </c>
      <c r="C5949" t="s">
        <v>1755</v>
      </c>
      <c r="D5949" s="4">
        <v>45401</v>
      </c>
      <c r="E5949" t="s">
        <v>877</v>
      </c>
      <c r="F5949" t="s">
        <v>75</v>
      </c>
      <c r="I5949" s="6"/>
      <c r="J5949" s="6"/>
      <c r="K5949" s="6"/>
      <c r="L5949" s="6"/>
      <c r="M5949" s="6"/>
      <c r="N5949" s="6"/>
      <c r="O5949" s="6"/>
      <c r="P5949" s="6"/>
      <c r="Q5949">
        <v>0</v>
      </c>
      <c r="R5949">
        <f t="shared" si="460"/>
        <v>0</v>
      </c>
      <c r="S5949">
        <f t="shared" si="461"/>
        <v>0</v>
      </c>
      <c r="T5949">
        <f t="shared" si="462"/>
        <v>0</v>
      </c>
      <c r="U5949">
        <f t="shared" si="463"/>
        <v>0</v>
      </c>
      <c r="V5949">
        <f t="shared" si="464"/>
        <v>0</v>
      </c>
    </row>
    <row r="5950" spans="1:22" x14ac:dyDescent="0.25">
      <c r="A5950">
        <v>5947</v>
      </c>
      <c r="B5950" t="s">
        <v>40</v>
      </c>
      <c r="C5950" t="s">
        <v>1755</v>
      </c>
      <c r="D5950" s="4">
        <v>45401</v>
      </c>
      <c r="E5950" t="s">
        <v>1479</v>
      </c>
      <c r="F5950" t="s">
        <v>75</v>
      </c>
      <c r="I5950" s="6"/>
      <c r="J5950" s="6"/>
      <c r="K5950" s="6"/>
      <c r="L5950" s="6"/>
      <c r="M5950" s="6"/>
      <c r="N5950" s="6"/>
      <c r="O5950" s="6"/>
      <c r="P5950" s="6"/>
      <c r="Q5950">
        <v>0</v>
      </c>
      <c r="R5950">
        <f t="shared" si="460"/>
        <v>0</v>
      </c>
      <c r="S5950">
        <f t="shared" si="461"/>
        <v>0</v>
      </c>
      <c r="T5950">
        <f t="shared" si="462"/>
        <v>0</v>
      </c>
      <c r="U5950">
        <f t="shared" si="463"/>
        <v>0</v>
      </c>
      <c r="V5950">
        <f t="shared" si="464"/>
        <v>0</v>
      </c>
    </row>
    <row r="5951" spans="1:22" x14ac:dyDescent="0.25">
      <c r="A5951">
        <v>5948</v>
      </c>
      <c r="B5951" t="s">
        <v>40</v>
      </c>
      <c r="C5951" t="s">
        <v>1755</v>
      </c>
      <c r="D5951" s="4">
        <v>45401</v>
      </c>
      <c r="E5951" t="s">
        <v>1153</v>
      </c>
      <c r="F5951" t="s">
        <v>75</v>
      </c>
      <c r="I5951" s="6">
        <v>1</v>
      </c>
      <c r="J5951" s="6">
        <v>0</v>
      </c>
      <c r="K5951" s="6">
        <v>0</v>
      </c>
      <c r="L5951" s="6">
        <v>0</v>
      </c>
      <c r="M5951" s="6">
        <v>0</v>
      </c>
      <c r="N5951" s="6">
        <v>0</v>
      </c>
      <c r="O5951" s="6">
        <v>0</v>
      </c>
      <c r="P5951" s="6">
        <v>0</v>
      </c>
      <c r="Q5951">
        <v>1</v>
      </c>
      <c r="R5951">
        <f t="shared" si="460"/>
        <v>0</v>
      </c>
      <c r="S5951">
        <f t="shared" si="461"/>
        <v>1</v>
      </c>
      <c r="T5951">
        <f t="shared" si="462"/>
        <v>1</v>
      </c>
      <c r="U5951">
        <f t="shared" si="463"/>
        <v>1</v>
      </c>
      <c r="V5951">
        <f t="shared" si="464"/>
        <v>0</v>
      </c>
    </row>
    <row r="5952" spans="1:22" x14ac:dyDescent="0.25">
      <c r="A5952">
        <v>5949</v>
      </c>
      <c r="B5952" t="s">
        <v>40</v>
      </c>
      <c r="C5952" t="s">
        <v>1755</v>
      </c>
      <c r="D5952" s="4">
        <v>45402</v>
      </c>
      <c r="E5952" t="s">
        <v>299</v>
      </c>
      <c r="F5952" t="s">
        <v>75</v>
      </c>
      <c r="I5952" s="6">
        <v>0</v>
      </c>
      <c r="J5952" s="6">
        <v>0</v>
      </c>
      <c r="K5952" s="6">
        <v>0</v>
      </c>
      <c r="L5952" s="6">
        <v>0</v>
      </c>
      <c r="M5952" s="6">
        <v>0</v>
      </c>
      <c r="N5952" s="6">
        <v>0</v>
      </c>
      <c r="O5952" s="6">
        <v>0</v>
      </c>
      <c r="P5952" s="6">
        <v>0</v>
      </c>
      <c r="Q5952">
        <v>1</v>
      </c>
      <c r="R5952">
        <f t="shared" si="460"/>
        <v>0</v>
      </c>
      <c r="S5952">
        <f t="shared" si="461"/>
        <v>1</v>
      </c>
      <c r="T5952">
        <f t="shared" si="462"/>
        <v>0</v>
      </c>
      <c r="U5952">
        <f t="shared" si="463"/>
        <v>0</v>
      </c>
      <c r="V5952">
        <f t="shared" si="464"/>
        <v>0</v>
      </c>
    </row>
    <row r="5953" spans="1:22" x14ac:dyDescent="0.25">
      <c r="A5953">
        <v>5950</v>
      </c>
      <c r="B5953" t="s">
        <v>40</v>
      </c>
      <c r="C5953" t="s">
        <v>1755</v>
      </c>
      <c r="D5953" s="4">
        <v>45402</v>
      </c>
      <c r="E5953" t="s">
        <v>2032</v>
      </c>
      <c r="F5953" t="s">
        <v>75</v>
      </c>
      <c r="I5953" s="6">
        <v>0</v>
      </c>
      <c r="J5953" s="6">
        <v>0</v>
      </c>
      <c r="K5953" s="6">
        <v>0</v>
      </c>
      <c r="L5953" s="6">
        <v>0</v>
      </c>
      <c r="M5953" s="6">
        <v>0</v>
      </c>
      <c r="N5953" s="6">
        <v>0</v>
      </c>
      <c r="O5953" s="6">
        <v>0</v>
      </c>
      <c r="P5953" s="6">
        <v>0</v>
      </c>
      <c r="Q5953">
        <v>1</v>
      </c>
      <c r="R5953">
        <f t="shared" si="460"/>
        <v>0</v>
      </c>
      <c r="S5953">
        <f t="shared" si="461"/>
        <v>1</v>
      </c>
      <c r="T5953">
        <f t="shared" si="462"/>
        <v>0</v>
      </c>
      <c r="U5953">
        <f t="shared" si="463"/>
        <v>0</v>
      </c>
      <c r="V5953">
        <f t="shared" si="464"/>
        <v>0</v>
      </c>
    </row>
    <row r="5954" spans="1:22" x14ac:dyDescent="0.25">
      <c r="A5954">
        <v>5951</v>
      </c>
      <c r="B5954" t="s">
        <v>40</v>
      </c>
      <c r="C5954" t="s">
        <v>1755</v>
      </c>
      <c r="D5954" s="4">
        <v>45403</v>
      </c>
      <c r="E5954" t="s">
        <v>300</v>
      </c>
      <c r="F5954" t="s">
        <v>75</v>
      </c>
      <c r="H5954" t="s">
        <v>1809</v>
      </c>
      <c r="I5954" s="6">
        <v>0</v>
      </c>
      <c r="J5954" s="6">
        <v>0</v>
      </c>
      <c r="K5954" s="6">
        <v>0</v>
      </c>
      <c r="L5954" s="6">
        <v>0</v>
      </c>
      <c r="M5954" s="6">
        <v>1</v>
      </c>
      <c r="N5954" s="6">
        <v>0</v>
      </c>
      <c r="O5954" s="6">
        <v>0</v>
      </c>
      <c r="P5954" s="6">
        <v>0</v>
      </c>
      <c r="Q5954">
        <v>1</v>
      </c>
      <c r="R5954">
        <f t="shared" si="460"/>
        <v>0</v>
      </c>
      <c r="S5954">
        <f t="shared" si="461"/>
        <v>1</v>
      </c>
      <c r="T5954">
        <f t="shared" si="462"/>
        <v>1</v>
      </c>
      <c r="U5954">
        <f t="shared" si="463"/>
        <v>1</v>
      </c>
      <c r="V5954">
        <f t="shared" si="464"/>
        <v>0</v>
      </c>
    </row>
    <row r="5955" spans="1:22" x14ac:dyDescent="0.25">
      <c r="A5955">
        <v>5952</v>
      </c>
      <c r="B5955" t="s">
        <v>40</v>
      </c>
      <c r="C5955" t="s">
        <v>1755</v>
      </c>
      <c r="D5955" s="4">
        <v>45403</v>
      </c>
      <c r="E5955" t="s">
        <v>461</v>
      </c>
      <c r="F5955" t="s">
        <v>75</v>
      </c>
      <c r="I5955" s="6">
        <v>0</v>
      </c>
      <c r="J5955" s="6">
        <v>0</v>
      </c>
      <c r="K5955" s="6">
        <v>0</v>
      </c>
      <c r="L5955" s="6">
        <v>0</v>
      </c>
      <c r="M5955" s="6">
        <v>1</v>
      </c>
      <c r="N5955" s="6">
        <v>1</v>
      </c>
      <c r="O5955" s="6">
        <v>0</v>
      </c>
      <c r="P5955" s="6">
        <v>0</v>
      </c>
      <c r="Q5955">
        <v>1</v>
      </c>
      <c r="R5955">
        <f t="shared" ref="R5955:R6018" si="465">IF(AND(Q5955=1,F5955="ai_full"),1,0)</f>
        <v>0</v>
      </c>
      <c r="S5955">
        <f t="shared" ref="S5955:S6018" si="466">IF(AND(Q5955=1,F5955="conventional"),1,0)</f>
        <v>1</v>
      </c>
      <c r="T5955">
        <f t="shared" ref="T5955:T6018" si="467">SUM(I5955:P5955)</f>
        <v>2</v>
      </c>
      <c r="U5955">
        <f t="shared" ref="U5955:U6018" si="468">IF(T5955&gt;=1,1,0)</f>
        <v>1</v>
      </c>
      <c r="V5955">
        <f t="shared" ref="V5955:V6018" si="469">IF(F5955="ai_full",1,0)</f>
        <v>0</v>
      </c>
    </row>
    <row r="5956" spans="1:22" x14ac:dyDescent="0.25">
      <c r="A5956">
        <v>5953</v>
      </c>
      <c r="B5956" t="s">
        <v>40</v>
      </c>
      <c r="C5956" t="s">
        <v>1755</v>
      </c>
      <c r="D5956" s="4">
        <v>45403</v>
      </c>
      <c r="E5956" t="s">
        <v>462</v>
      </c>
      <c r="F5956" t="s">
        <v>75</v>
      </c>
      <c r="I5956" s="6">
        <v>0</v>
      </c>
      <c r="J5956" s="6">
        <v>0</v>
      </c>
      <c r="K5956" s="6">
        <v>0</v>
      </c>
      <c r="L5956" s="6">
        <v>0</v>
      </c>
      <c r="M5956" s="6">
        <v>0</v>
      </c>
      <c r="N5956" s="6">
        <v>0</v>
      </c>
      <c r="O5956" s="6">
        <v>1</v>
      </c>
      <c r="P5956" s="6">
        <v>0</v>
      </c>
      <c r="Q5956">
        <v>1</v>
      </c>
      <c r="R5956">
        <f t="shared" si="465"/>
        <v>0</v>
      </c>
      <c r="S5956">
        <f t="shared" si="466"/>
        <v>1</v>
      </c>
      <c r="T5956">
        <f t="shared" si="467"/>
        <v>1</v>
      </c>
      <c r="U5956">
        <f t="shared" si="468"/>
        <v>1</v>
      </c>
      <c r="V5956">
        <f t="shared" si="469"/>
        <v>0</v>
      </c>
    </row>
    <row r="5957" spans="1:22" x14ac:dyDescent="0.25">
      <c r="A5957">
        <v>5954</v>
      </c>
      <c r="B5957" t="s">
        <v>40</v>
      </c>
      <c r="C5957" t="s">
        <v>1755</v>
      </c>
      <c r="D5957" s="4">
        <v>45403</v>
      </c>
      <c r="E5957" t="s">
        <v>1810</v>
      </c>
      <c r="F5957" t="s">
        <v>75</v>
      </c>
      <c r="I5957" s="6">
        <v>0</v>
      </c>
      <c r="J5957" s="6">
        <v>0</v>
      </c>
      <c r="K5957" s="6">
        <v>0</v>
      </c>
      <c r="L5957" s="6">
        <v>0</v>
      </c>
      <c r="M5957" s="6">
        <v>0</v>
      </c>
      <c r="N5957" s="6">
        <v>0</v>
      </c>
      <c r="O5957" s="6">
        <v>1</v>
      </c>
      <c r="P5957" s="6">
        <v>0</v>
      </c>
      <c r="Q5957">
        <v>1</v>
      </c>
      <c r="R5957">
        <f t="shared" si="465"/>
        <v>0</v>
      </c>
      <c r="S5957">
        <f t="shared" si="466"/>
        <v>1</v>
      </c>
      <c r="T5957">
        <f t="shared" si="467"/>
        <v>1</v>
      </c>
      <c r="U5957">
        <f t="shared" si="468"/>
        <v>1</v>
      </c>
      <c r="V5957">
        <f t="shared" si="469"/>
        <v>0</v>
      </c>
    </row>
    <row r="5958" spans="1:22" x14ac:dyDescent="0.25">
      <c r="A5958">
        <v>5955</v>
      </c>
      <c r="B5958" t="s">
        <v>40</v>
      </c>
      <c r="C5958" t="s">
        <v>1755</v>
      </c>
      <c r="D5958" s="4">
        <v>45404</v>
      </c>
      <c r="E5958" t="s">
        <v>301</v>
      </c>
      <c r="F5958" t="s">
        <v>75</v>
      </c>
      <c r="I5958" s="6">
        <v>1</v>
      </c>
      <c r="J5958" s="6">
        <v>0</v>
      </c>
      <c r="K5958" s="6">
        <v>0</v>
      </c>
      <c r="L5958" s="6">
        <v>0</v>
      </c>
      <c r="M5958" s="6">
        <v>1</v>
      </c>
      <c r="N5958" s="6">
        <v>0</v>
      </c>
      <c r="O5958" s="6">
        <v>0</v>
      </c>
      <c r="P5958" s="6">
        <v>0</v>
      </c>
      <c r="Q5958">
        <v>1</v>
      </c>
      <c r="R5958">
        <f t="shared" si="465"/>
        <v>0</v>
      </c>
      <c r="S5958">
        <f t="shared" si="466"/>
        <v>1</v>
      </c>
      <c r="T5958">
        <f t="shared" si="467"/>
        <v>2</v>
      </c>
      <c r="U5958">
        <f t="shared" si="468"/>
        <v>1</v>
      </c>
      <c r="V5958">
        <f t="shared" si="469"/>
        <v>0</v>
      </c>
    </row>
    <row r="5959" spans="1:22" x14ac:dyDescent="0.25">
      <c r="A5959">
        <v>5956</v>
      </c>
      <c r="B5959" t="s">
        <v>40</v>
      </c>
      <c r="C5959" t="s">
        <v>1755</v>
      </c>
      <c r="D5959" s="4">
        <v>45404</v>
      </c>
      <c r="E5959" t="s">
        <v>302</v>
      </c>
      <c r="F5959" t="s">
        <v>75</v>
      </c>
      <c r="I5959" s="6">
        <v>1</v>
      </c>
      <c r="J5959" s="6">
        <v>0</v>
      </c>
      <c r="K5959" s="6">
        <v>0</v>
      </c>
      <c r="L5959" s="6">
        <v>0</v>
      </c>
      <c r="M5959" s="6">
        <v>0</v>
      </c>
      <c r="N5959" s="6">
        <v>0</v>
      </c>
      <c r="O5959" s="6">
        <v>0</v>
      </c>
      <c r="P5959" s="6">
        <v>0</v>
      </c>
      <c r="Q5959">
        <v>1</v>
      </c>
      <c r="R5959">
        <f t="shared" si="465"/>
        <v>0</v>
      </c>
      <c r="S5959">
        <f t="shared" si="466"/>
        <v>1</v>
      </c>
      <c r="T5959">
        <f t="shared" si="467"/>
        <v>1</v>
      </c>
      <c r="U5959">
        <f t="shared" si="468"/>
        <v>1</v>
      </c>
      <c r="V5959">
        <f t="shared" si="469"/>
        <v>0</v>
      </c>
    </row>
    <row r="5960" spans="1:22" x14ac:dyDescent="0.25">
      <c r="A5960">
        <v>5957</v>
      </c>
      <c r="B5960" t="s">
        <v>40</v>
      </c>
      <c r="C5960" t="s">
        <v>1755</v>
      </c>
      <c r="D5960" s="4">
        <v>45404</v>
      </c>
      <c r="E5960" t="s">
        <v>2031</v>
      </c>
      <c r="F5960" t="s">
        <v>75</v>
      </c>
      <c r="I5960" s="6">
        <v>1</v>
      </c>
      <c r="J5960" s="6">
        <v>0</v>
      </c>
      <c r="K5960" s="6">
        <v>0</v>
      </c>
      <c r="L5960" s="6">
        <v>0</v>
      </c>
      <c r="M5960" s="6">
        <v>0</v>
      </c>
      <c r="N5960" s="6">
        <v>0</v>
      </c>
      <c r="O5960" s="6">
        <v>0</v>
      </c>
      <c r="P5960" s="6">
        <v>0</v>
      </c>
      <c r="Q5960">
        <v>1</v>
      </c>
      <c r="R5960">
        <f t="shared" si="465"/>
        <v>0</v>
      </c>
      <c r="S5960">
        <f t="shared" si="466"/>
        <v>1</v>
      </c>
      <c r="T5960">
        <f t="shared" si="467"/>
        <v>1</v>
      </c>
      <c r="U5960">
        <f t="shared" si="468"/>
        <v>1</v>
      </c>
      <c r="V5960">
        <f t="shared" si="469"/>
        <v>0</v>
      </c>
    </row>
    <row r="5961" spans="1:22" x14ac:dyDescent="0.25">
      <c r="A5961">
        <v>5958</v>
      </c>
      <c r="B5961" t="s">
        <v>40</v>
      </c>
      <c r="C5961" t="s">
        <v>1755</v>
      </c>
      <c r="D5961" s="4">
        <v>45404</v>
      </c>
      <c r="E5961" t="s">
        <v>1155</v>
      </c>
      <c r="F5961" t="s">
        <v>75</v>
      </c>
      <c r="I5961" s="6">
        <v>0</v>
      </c>
      <c r="J5961" s="6">
        <v>0</v>
      </c>
      <c r="K5961" s="6">
        <v>0</v>
      </c>
      <c r="L5961" s="6">
        <v>0</v>
      </c>
      <c r="M5961" s="6">
        <v>0</v>
      </c>
      <c r="N5961" s="6">
        <v>1</v>
      </c>
      <c r="O5961" s="6">
        <v>0</v>
      </c>
      <c r="P5961" s="6">
        <v>0</v>
      </c>
      <c r="Q5961">
        <v>1</v>
      </c>
      <c r="R5961">
        <f t="shared" si="465"/>
        <v>0</v>
      </c>
      <c r="S5961">
        <f t="shared" si="466"/>
        <v>1</v>
      </c>
      <c r="T5961">
        <f t="shared" si="467"/>
        <v>1</v>
      </c>
      <c r="U5961">
        <f t="shared" si="468"/>
        <v>1</v>
      </c>
      <c r="V5961">
        <f t="shared" si="469"/>
        <v>0</v>
      </c>
    </row>
    <row r="5962" spans="1:22" x14ac:dyDescent="0.25">
      <c r="A5962">
        <v>5959</v>
      </c>
      <c r="B5962" t="s">
        <v>40</v>
      </c>
      <c r="C5962" t="s">
        <v>1755</v>
      </c>
      <c r="D5962" s="4">
        <v>45404</v>
      </c>
      <c r="E5962" t="s">
        <v>1156</v>
      </c>
      <c r="F5962" t="s">
        <v>75</v>
      </c>
      <c r="I5962" s="6">
        <v>0</v>
      </c>
      <c r="J5962" s="6">
        <v>0</v>
      </c>
      <c r="K5962" s="6">
        <v>1</v>
      </c>
      <c r="L5962" s="6">
        <v>0</v>
      </c>
      <c r="M5962" s="6">
        <v>1</v>
      </c>
      <c r="N5962" s="6">
        <v>1</v>
      </c>
      <c r="O5962" s="6">
        <v>0</v>
      </c>
      <c r="P5962" s="6">
        <v>0</v>
      </c>
      <c r="Q5962">
        <v>1</v>
      </c>
      <c r="R5962">
        <f t="shared" si="465"/>
        <v>0</v>
      </c>
      <c r="S5962">
        <f t="shared" si="466"/>
        <v>1</v>
      </c>
      <c r="T5962">
        <f t="shared" si="467"/>
        <v>3</v>
      </c>
      <c r="U5962">
        <f t="shared" si="468"/>
        <v>1</v>
      </c>
      <c r="V5962">
        <f t="shared" si="469"/>
        <v>0</v>
      </c>
    </row>
    <row r="5963" spans="1:22" x14ac:dyDescent="0.25">
      <c r="A5963">
        <v>5960</v>
      </c>
      <c r="B5963" t="s">
        <v>40</v>
      </c>
      <c r="C5963" t="s">
        <v>1755</v>
      </c>
      <c r="D5963" s="4">
        <v>45405</v>
      </c>
      <c r="E5963" t="s">
        <v>303</v>
      </c>
      <c r="F5963" t="s">
        <v>75</v>
      </c>
      <c r="I5963" s="6"/>
      <c r="J5963" s="6"/>
      <c r="K5963" s="6"/>
      <c r="L5963" s="6"/>
      <c r="M5963" s="6"/>
      <c r="N5963" s="6"/>
      <c r="O5963" s="6"/>
      <c r="P5963" s="6"/>
      <c r="Q5963">
        <v>0</v>
      </c>
      <c r="R5963">
        <f t="shared" si="465"/>
        <v>0</v>
      </c>
      <c r="S5963">
        <f t="shared" si="466"/>
        <v>0</v>
      </c>
      <c r="T5963">
        <f t="shared" si="467"/>
        <v>0</v>
      </c>
      <c r="U5963">
        <f t="shared" si="468"/>
        <v>0</v>
      </c>
      <c r="V5963">
        <f t="shared" si="469"/>
        <v>0</v>
      </c>
    </row>
    <row r="5964" spans="1:22" x14ac:dyDescent="0.25">
      <c r="A5964">
        <v>5961</v>
      </c>
      <c r="B5964" t="s">
        <v>40</v>
      </c>
      <c r="C5964" t="s">
        <v>1755</v>
      </c>
      <c r="D5964" s="4">
        <v>45405</v>
      </c>
      <c r="E5964" t="s">
        <v>1072</v>
      </c>
      <c r="F5964" t="s">
        <v>75</v>
      </c>
      <c r="I5964" s="6">
        <v>0</v>
      </c>
      <c r="J5964" s="6">
        <v>0</v>
      </c>
      <c r="K5964" s="6">
        <v>0</v>
      </c>
      <c r="L5964" s="6">
        <v>1</v>
      </c>
      <c r="M5964" s="6">
        <v>0</v>
      </c>
      <c r="N5964" s="6">
        <v>0</v>
      </c>
      <c r="O5964" s="6">
        <v>0</v>
      </c>
      <c r="P5964" s="6">
        <v>0</v>
      </c>
      <c r="Q5964">
        <v>1</v>
      </c>
      <c r="R5964">
        <f t="shared" si="465"/>
        <v>0</v>
      </c>
      <c r="S5964">
        <f t="shared" si="466"/>
        <v>1</v>
      </c>
      <c r="T5964">
        <f t="shared" si="467"/>
        <v>1</v>
      </c>
      <c r="U5964">
        <f t="shared" si="468"/>
        <v>1</v>
      </c>
      <c r="V5964">
        <f t="shared" si="469"/>
        <v>0</v>
      </c>
    </row>
    <row r="5965" spans="1:22" x14ac:dyDescent="0.25">
      <c r="A5965">
        <v>5962</v>
      </c>
      <c r="B5965" t="s">
        <v>40</v>
      </c>
      <c r="C5965" t="s">
        <v>1755</v>
      </c>
      <c r="D5965" s="4">
        <v>45405</v>
      </c>
      <c r="E5965" t="s">
        <v>1157</v>
      </c>
      <c r="F5965" t="s">
        <v>75</v>
      </c>
      <c r="I5965" s="6"/>
      <c r="J5965" s="6"/>
      <c r="K5965" s="6"/>
      <c r="L5965" s="6"/>
      <c r="M5965" s="6"/>
      <c r="N5965" s="6"/>
      <c r="O5965" s="6"/>
      <c r="P5965" s="6"/>
      <c r="Q5965">
        <v>0</v>
      </c>
      <c r="R5965">
        <f t="shared" si="465"/>
        <v>0</v>
      </c>
      <c r="S5965">
        <f t="shared" si="466"/>
        <v>0</v>
      </c>
      <c r="T5965">
        <f t="shared" si="467"/>
        <v>0</v>
      </c>
      <c r="U5965">
        <f t="shared" si="468"/>
        <v>0</v>
      </c>
      <c r="V5965">
        <f t="shared" si="469"/>
        <v>0</v>
      </c>
    </row>
    <row r="5966" spans="1:22" x14ac:dyDescent="0.25">
      <c r="A5966">
        <v>5963</v>
      </c>
      <c r="B5966" t="s">
        <v>40</v>
      </c>
      <c r="C5966" t="s">
        <v>1755</v>
      </c>
      <c r="D5966" s="4">
        <v>45405</v>
      </c>
      <c r="E5966" t="s">
        <v>1379</v>
      </c>
      <c r="F5966" t="s">
        <v>75</v>
      </c>
      <c r="I5966" s="6">
        <v>0</v>
      </c>
      <c r="J5966" s="6">
        <v>0</v>
      </c>
      <c r="K5966" s="6">
        <v>0</v>
      </c>
      <c r="L5966" s="6">
        <v>1</v>
      </c>
      <c r="M5966" s="6">
        <v>0</v>
      </c>
      <c r="N5966" s="6">
        <v>0</v>
      </c>
      <c r="O5966" s="6">
        <v>0</v>
      </c>
      <c r="P5966" s="6">
        <v>0</v>
      </c>
      <c r="Q5966">
        <v>1</v>
      </c>
      <c r="R5966">
        <f t="shared" si="465"/>
        <v>0</v>
      </c>
      <c r="S5966">
        <f t="shared" si="466"/>
        <v>1</v>
      </c>
      <c r="T5966">
        <f t="shared" si="467"/>
        <v>1</v>
      </c>
      <c r="U5966">
        <f t="shared" si="468"/>
        <v>1</v>
      </c>
      <c r="V5966">
        <f t="shared" si="469"/>
        <v>0</v>
      </c>
    </row>
    <row r="5967" spans="1:22" x14ac:dyDescent="0.25">
      <c r="A5967">
        <v>5964</v>
      </c>
      <c r="B5967" t="s">
        <v>40</v>
      </c>
      <c r="C5967" t="s">
        <v>1755</v>
      </c>
      <c r="D5967" s="4">
        <v>45405</v>
      </c>
      <c r="E5967" t="s">
        <v>1380</v>
      </c>
      <c r="F5967" t="s">
        <v>75</v>
      </c>
      <c r="I5967" s="6"/>
      <c r="J5967" s="6"/>
      <c r="K5967" s="6"/>
      <c r="L5967" s="6"/>
      <c r="M5967" s="6"/>
      <c r="N5967" s="6"/>
      <c r="O5967" s="6"/>
      <c r="P5967" s="6"/>
      <c r="Q5967">
        <v>0</v>
      </c>
      <c r="R5967">
        <f t="shared" si="465"/>
        <v>0</v>
      </c>
      <c r="S5967">
        <f t="shared" si="466"/>
        <v>0</v>
      </c>
      <c r="T5967">
        <f t="shared" si="467"/>
        <v>0</v>
      </c>
      <c r="U5967">
        <f t="shared" si="468"/>
        <v>0</v>
      </c>
      <c r="V5967">
        <f t="shared" si="469"/>
        <v>0</v>
      </c>
    </row>
    <row r="5968" spans="1:22" x14ac:dyDescent="0.25">
      <c r="A5968">
        <v>5965</v>
      </c>
      <c r="B5968" t="s">
        <v>40</v>
      </c>
      <c r="C5968" t="s">
        <v>1755</v>
      </c>
      <c r="D5968" s="4">
        <v>45405</v>
      </c>
      <c r="E5968" t="s">
        <v>2030</v>
      </c>
      <c r="F5968" t="s">
        <v>75</v>
      </c>
      <c r="I5968" s="6">
        <v>0</v>
      </c>
      <c r="J5968" s="6">
        <v>0</v>
      </c>
      <c r="K5968" s="6">
        <v>0</v>
      </c>
      <c r="L5968" s="6">
        <v>1</v>
      </c>
      <c r="M5968" s="6">
        <v>0</v>
      </c>
      <c r="N5968" s="6">
        <v>0</v>
      </c>
      <c r="O5968" s="6">
        <v>0</v>
      </c>
      <c r="P5968" s="6">
        <v>0</v>
      </c>
      <c r="Q5968">
        <v>1</v>
      </c>
      <c r="R5968">
        <f t="shared" si="465"/>
        <v>0</v>
      </c>
      <c r="S5968">
        <f t="shared" si="466"/>
        <v>1</v>
      </c>
      <c r="T5968">
        <f t="shared" si="467"/>
        <v>1</v>
      </c>
      <c r="U5968">
        <f t="shared" si="468"/>
        <v>1</v>
      </c>
      <c r="V5968">
        <f t="shared" si="469"/>
        <v>0</v>
      </c>
    </row>
    <row r="5969" spans="1:22" x14ac:dyDescent="0.25">
      <c r="A5969">
        <v>5966</v>
      </c>
      <c r="B5969" t="s">
        <v>40</v>
      </c>
      <c r="C5969" t="s">
        <v>1755</v>
      </c>
      <c r="D5969" s="4">
        <v>45405</v>
      </c>
      <c r="E5969" t="s">
        <v>1811</v>
      </c>
      <c r="F5969" t="s">
        <v>75</v>
      </c>
      <c r="I5969" s="6">
        <v>0</v>
      </c>
      <c r="J5969" s="6">
        <v>0</v>
      </c>
      <c r="K5969" s="6">
        <v>0</v>
      </c>
      <c r="L5969" s="6">
        <v>1</v>
      </c>
      <c r="M5969" s="6">
        <v>0</v>
      </c>
      <c r="N5969" s="6">
        <v>0</v>
      </c>
      <c r="O5969" s="6">
        <v>0</v>
      </c>
      <c r="P5969" s="6">
        <v>0</v>
      </c>
      <c r="Q5969">
        <v>1</v>
      </c>
      <c r="R5969">
        <f t="shared" si="465"/>
        <v>0</v>
      </c>
      <c r="S5969">
        <f t="shared" si="466"/>
        <v>1</v>
      </c>
      <c r="T5969">
        <f t="shared" si="467"/>
        <v>1</v>
      </c>
      <c r="U5969">
        <f t="shared" si="468"/>
        <v>1</v>
      </c>
      <c r="V5969">
        <f t="shared" si="469"/>
        <v>0</v>
      </c>
    </row>
    <row r="5970" spans="1:22" x14ac:dyDescent="0.25">
      <c r="A5970">
        <v>5967</v>
      </c>
      <c r="B5970" t="s">
        <v>40</v>
      </c>
      <c r="C5970" t="s">
        <v>1755</v>
      </c>
      <c r="D5970" s="4">
        <v>45405</v>
      </c>
      <c r="E5970" t="s">
        <v>2029</v>
      </c>
      <c r="F5970" t="s">
        <v>75</v>
      </c>
      <c r="I5970" s="6"/>
      <c r="J5970" s="6"/>
      <c r="K5970" s="6"/>
      <c r="L5970" s="6"/>
      <c r="M5970" s="6"/>
      <c r="N5970" s="6"/>
      <c r="O5970" s="6"/>
      <c r="P5970" s="6"/>
      <c r="Q5970">
        <v>0</v>
      </c>
      <c r="R5970">
        <f t="shared" si="465"/>
        <v>0</v>
      </c>
      <c r="S5970">
        <f t="shared" si="466"/>
        <v>0</v>
      </c>
      <c r="T5970">
        <f t="shared" si="467"/>
        <v>0</v>
      </c>
      <c r="U5970">
        <f t="shared" si="468"/>
        <v>0</v>
      </c>
      <c r="V5970">
        <f t="shared" si="469"/>
        <v>0</v>
      </c>
    </row>
    <row r="5971" spans="1:22" x14ac:dyDescent="0.25">
      <c r="A5971">
        <v>5968</v>
      </c>
      <c r="B5971" t="s">
        <v>40</v>
      </c>
      <c r="C5971" t="s">
        <v>1755</v>
      </c>
      <c r="D5971" s="4">
        <v>45406</v>
      </c>
      <c r="E5971" t="s">
        <v>977</v>
      </c>
      <c r="F5971" t="s">
        <v>75</v>
      </c>
      <c r="I5971" s="6">
        <v>0</v>
      </c>
      <c r="J5971" s="6">
        <v>0</v>
      </c>
      <c r="K5971" s="6">
        <v>0</v>
      </c>
      <c r="L5971" s="6">
        <v>0</v>
      </c>
      <c r="M5971" s="6">
        <v>1</v>
      </c>
      <c r="N5971" s="6">
        <v>0</v>
      </c>
      <c r="O5971" s="6">
        <v>0</v>
      </c>
      <c r="P5971" s="6">
        <v>0</v>
      </c>
      <c r="Q5971">
        <v>1</v>
      </c>
      <c r="R5971">
        <f t="shared" si="465"/>
        <v>0</v>
      </c>
      <c r="S5971">
        <f t="shared" si="466"/>
        <v>1</v>
      </c>
      <c r="T5971">
        <f t="shared" si="467"/>
        <v>1</v>
      </c>
      <c r="U5971">
        <f t="shared" si="468"/>
        <v>1</v>
      </c>
      <c r="V5971">
        <f t="shared" si="469"/>
        <v>0</v>
      </c>
    </row>
    <row r="5972" spans="1:22" x14ac:dyDescent="0.25">
      <c r="A5972">
        <v>5969</v>
      </c>
      <c r="B5972" t="s">
        <v>40</v>
      </c>
      <c r="C5972" t="s">
        <v>1755</v>
      </c>
      <c r="D5972" s="4">
        <v>45406</v>
      </c>
      <c r="E5972" t="s">
        <v>979</v>
      </c>
      <c r="F5972" t="s">
        <v>75</v>
      </c>
      <c r="I5972" s="6">
        <v>1</v>
      </c>
      <c r="J5972" s="6">
        <v>0</v>
      </c>
      <c r="K5972" s="6">
        <v>0</v>
      </c>
      <c r="L5972" s="6">
        <v>0</v>
      </c>
      <c r="M5972" s="6">
        <v>1</v>
      </c>
      <c r="N5972" s="6">
        <v>1</v>
      </c>
      <c r="O5972" s="6">
        <v>0</v>
      </c>
      <c r="P5972" s="6">
        <v>0</v>
      </c>
      <c r="Q5972">
        <v>1</v>
      </c>
      <c r="R5972">
        <f t="shared" si="465"/>
        <v>0</v>
      </c>
      <c r="S5972">
        <f t="shared" si="466"/>
        <v>1</v>
      </c>
      <c r="T5972">
        <f t="shared" si="467"/>
        <v>3</v>
      </c>
      <c r="U5972">
        <f t="shared" si="468"/>
        <v>1</v>
      </c>
      <c r="V5972">
        <f t="shared" si="469"/>
        <v>0</v>
      </c>
    </row>
    <row r="5973" spans="1:22" x14ac:dyDescent="0.25">
      <c r="A5973">
        <v>5970</v>
      </c>
      <c r="B5973" t="s">
        <v>40</v>
      </c>
      <c r="C5973" t="s">
        <v>1755</v>
      </c>
      <c r="D5973" s="4">
        <v>45407</v>
      </c>
      <c r="E5973" t="s">
        <v>304</v>
      </c>
      <c r="F5973" t="s">
        <v>75</v>
      </c>
      <c r="I5973" s="6"/>
      <c r="J5973" s="6"/>
      <c r="K5973" s="6"/>
      <c r="L5973" s="6"/>
      <c r="M5973" s="6"/>
      <c r="N5973" s="6"/>
      <c r="O5973" s="6"/>
      <c r="P5973" s="6"/>
      <c r="Q5973">
        <v>0</v>
      </c>
      <c r="R5973">
        <f t="shared" si="465"/>
        <v>0</v>
      </c>
      <c r="S5973">
        <f t="shared" si="466"/>
        <v>0</v>
      </c>
      <c r="T5973">
        <f t="shared" si="467"/>
        <v>0</v>
      </c>
      <c r="U5973">
        <f t="shared" si="468"/>
        <v>0</v>
      </c>
      <c r="V5973">
        <f t="shared" si="469"/>
        <v>0</v>
      </c>
    </row>
    <row r="5974" spans="1:22" x14ac:dyDescent="0.25">
      <c r="A5974">
        <v>5971</v>
      </c>
      <c r="B5974" t="s">
        <v>40</v>
      </c>
      <c r="C5974" t="s">
        <v>1755</v>
      </c>
      <c r="D5974" s="4">
        <v>45407</v>
      </c>
      <c r="E5974" t="s">
        <v>464</v>
      </c>
      <c r="F5974" t="s">
        <v>75</v>
      </c>
      <c r="I5974" s="6">
        <v>0</v>
      </c>
      <c r="J5974" s="6">
        <v>0</v>
      </c>
      <c r="K5974" s="6">
        <v>0</v>
      </c>
      <c r="L5974" s="6">
        <v>0</v>
      </c>
      <c r="M5974" s="6">
        <v>0</v>
      </c>
      <c r="N5974" s="6">
        <v>0</v>
      </c>
      <c r="O5974" s="6">
        <v>0</v>
      </c>
      <c r="P5974" s="6">
        <v>0</v>
      </c>
      <c r="Q5974">
        <v>1</v>
      </c>
      <c r="R5974">
        <f t="shared" si="465"/>
        <v>0</v>
      </c>
      <c r="S5974">
        <f t="shared" si="466"/>
        <v>1</v>
      </c>
      <c r="T5974">
        <f t="shared" si="467"/>
        <v>0</v>
      </c>
      <c r="U5974">
        <f t="shared" si="468"/>
        <v>0</v>
      </c>
      <c r="V5974">
        <f t="shared" si="469"/>
        <v>0</v>
      </c>
    </row>
    <row r="5975" spans="1:22" x14ac:dyDescent="0.25">
      <c r="A5975">
        <v>5972</v>
      </c>
      <c r="B5975" t="s">
        <v>40</v>
      </c>
      <c r="C5975" t="s">
        <v>1755</v>
      </c>
      <c r="D5975" s="4">
        <v>45407</v>
      </c>
      <c r="E5975" t="s">
        <v>1812</v>
      </c>
      <c r="F5975" t="s">
        <v>75</v>
      </c>
      <c r="I5975" s="6">
        <v>1</v>
      </c>
      <c r="J5975" s="6">
        <v>0</v>
      </c>
      <c r="K5975" s="6">
        <v>1</v>
      </c>
      <c r="L5975" s="6">
        <v>0</v>
      </c>
      <c r="M5975" s="6">
        <v>1</v>
      </c>
      <c r="N5975" s="6">
        <v>0</v>
      </c>
      <c r="O5975" s="6">
        <v>0</v>
      </c>
      <c r="P5975" s="6">
        <v>0</v>
      </c>
      <c r="Q5975">
        <v>1</v>
      </c>
      <c r="R5975">
        <f t="shared" si="465"/>
        <v>0</v>
      </c>
      <c r="S5975">
        <f t="shared" si="466"/>
        <v>1</v>
      </c>
      <c r="T5975">
        <f t="shared" si="467"/>
        <v>3</v>
      </c>
      <c r="U5975">
        <f t="shared" si="468"/>
        <v>1</v>
      </c>
      <c r="V5975">
        <f t="shared" si="469"/>
        <v>0</v>
      </c>
    </row>
    <row r="5976" spans="1:22" x14ac:dyDescent="0.25">
      <c r="A5976">
        <v>5973</v>
      </c>
      <c r="B5976" t="s">
        <v>40</v>
      </c>
      <c r="C5976" t="s">
        <v>1755</v>
      </c>
      <c r="D5976" s="4">
        <v>45407</v>
      </c>
      <c r="E5976" t="s">
        <v>1553</v>
      </c>
      <c r="F5976" t="s">
        <v>75</v>
      </c>
      <c r="I5976" s="6">
        <v>1</v>
      </c>
      <c r="J5976" s="6">
        <v>0</v>
      </c>
      <c r="K5976" s="6">
        <v>0</v>
      </c>
      <c r="L5976" s="6">
        <v>0</v>
      </c>
      <c r="M5976" s="6">
        <v>0</v>
      </c>
      <c r="N5976" s="6">
        <v>0</v>
      </c>
      <c r="O5976" s="6">
        <v>0</v>
      </c>
      <c r="P5976" s="6">
        <v>0</v>
      </c>
      <c r="Q5976">
        <v>1</v>
      </c>
      <c r="R5976">
        <f t="shared" si="465"/>
        <v>0</v>
      </c>
      <c r="S5976">
        <f t="shared" si="466"/>
        <v>1</v>
      </c>
      <c r="T5976">
        <f t="shared" si="467"/>
        <v>1</v>
      </c>
      <c r="U5976">
        <f t="shared" si="468"/>
        <v>1</v>
      </c>
      <c r="V5976">
        <f t="shared" si="469"/>
        <v>0</v>
      </c>
    </row>
    <row r="5977" spans="1:22" x14ac:dyDescent="0.25">
      <c r="A5977">
        <v>5974</v>
      </c>
      <c r="B5977" t="s">
        <v>40</v>
      </c>
      <c r="C5977" t="s">
        <v>1755</v>
      </c>
      <c r="D5977" s="4">
        <v>45408</v>
      </c>
      <c r="E5977" t="s">
        <v>305</v>
      </c>
      <c r="F5977" t="s">
        <v>75</v>
      </c>
      <c r="I5977" s="6">
        <v>1</v>
      </c>
      <c r="J5977" s="6">
        <v>0</v>
      </c>
      <c r="K5977" s="6">
        <v>0</v>
      </c>
      <c r="L5977" s="6">
        <v>0</v>
      </c>
      <c r="M5977" s="6">
        <v>0</v>
      </c>
      <c r="N5977" s="6">
        <v>0</v>
      </c>
      <c r="O5977" s="6">
        <v>0</v>
      </c>
      <c r="P5977" s="6">
        <v>0</v>
      </c>
      <c r="Q5977">
        <v>1</v>
      </c>
      <c r="R5977">
        <f t="shared" si="465"/>
        <v>0</v>
      </c>
      <c r="S5977">
        <f t="shared" si="466"/>
        <v>1</v>
      </c>
      <c r="T5977">
        <f t="shared" si="467"/>
        <v>1</v>
      </c>
      <c r="U5977">
        <f t="shared" si="468"/>
        <v>1</v>
      </c>
      <c r="V5977">
        <f t="shared" si="469"/>
        <v>0</v>
      </c>
    </row>
    <row r="5978" spans="1:22" x14ac:dyDescent="0.25">
      <c r="A5978">
        <v>5975</v>
      </c>
      <c r="B5978" t="s">
        <v>40</v>
      </c>
      <c r="C5978" t="s">
        <v>1755</v>
      </c>
      <c r="D5978" s="4">
        <v>45408</v>
      </c>
      <c r="E5978" t="s">
        <v>306</v>
      </c>
      <c r="F5978" t="s">
        <v>75</v>
      </c>
      <c r="I5978" s="6">
        <v>0</v>
      </c>
      <c r="J5978" s="6">
        <v>0</v>
      </c>
      <c r="K5978" s="6">
        <v>0</v>
      </c>
      <c r="L5978" s="6">
        <v>0</v>
      </c>
      <c r="M5978" s="6">
        <v>1</v>
      </c>
      <c r="N5978" s="6">
        <v>0</v>
      </c>
      <c r="O5978" s="6">
        <v>0</v>
      </c>
      <c r="P5978" s="6">
        <v>0</v>
      </c>
      <c r="Q5978">
        <v>1</v>
      </c>
      <c r="R5978">
        <f t="shared" si="465"/>
        <v>0</v>
      </c>
      <c r="S5978">
        <f t="shared" si="466"/>
        <v>1</v>
      </c>
      <c r="T5978">
        <f t="shared" si="467"/>
        <v>1</v>
      </c>
      <c r="U5978">
        <f t="shared" si="468"/>
        <v>1</v>
      </c>
      <c r="V5978">
        <f t="shared" si="469"/>
        <v>0</v>
      </c>
    </row>
    <row r="5979" spans="1:22" x14ac:dyDescent="0.25">
      <c r="A5979">
        <v>5976</v>
      </c>
      <c r="B5979" t="s">
        <v>40</v>
      </c>
      <c r="C5979" t="s">
        <v>1755</v>
      </c>
      <c r="D5979" s="4">
        <v>45408</v>
      </c>
      <c r="E5979" t="s">
        <v>307</v>
      </c>
      <c r="F5979" t="s">
        <v>75</v>
      </c>
      <c r="I5979" s="6"/>
      <c r="J5979" s="6"/>
      <c r="K5979" s="6"/>
      <c r="L5979" s="6"/>
      <c r="M5979" s="6"/>
      <c r="N5979" s="6"/>
      <c r="O5979" s="6"/>
      <c r="P5979" s="6"/>
      <c r="Q5979">
        <v>0</v>
      </c>
      <c r="R5979">
        <f t="shared" si="465"/>
        <v>0</v>
      </c>
      <c r="S5979">
        <f t="shared" si="466"/>
        <v>0</v>
      </c>
      <c r="T5979">
        <f t="shared" si="467"/>
        <v>0</v>
      </c>
      <c r="U5979">
        <f t="shared" si="468"/>
        <v>0</v>
      </c>
      <c r="V5979">
        <f t="shared" si="469"/>
        <v>0</v>
      </c>
    </row>
    <row r="5980" spans="1:22" x14ac:dyDescent="0.25">
      <c r="A5980">
        <v>5977</v>
      </c>
      <c r="B5980" t="s">
        <v>40</v>
      </c>
      <c r="C5980" t="s">
        <v>1755</v>
      </c>
      <c r="D5980" s="4">
        <v>45408</v>
      </c>
      <c r="E5980" t="s">
        <v>2028</v>
      </c>
      <c r="F5980" t="s">
        <v>75</v>
      </c>
      <c r="I5980" s="6"/>
      <c r="J5980" s="6"/>
      <c r="K5980" s="6"/>
      <c r="L5980" s="6"/>
      <c r="M5980" s="6"/>
      <c r="N5980" s="6"/>
      <c r="O5980" s="6"/>
      <c r="P5980" s="6"/>
      <c r="Q5980">
        <v>0</v>
      </c>
      <c r="R5980">
        <f t="shared" si="465"/>
        <v>0</v>
      </c>
      <c r="S5980">
        <f t="shared" si="466"/>
        <v>0</v>
      </c>
      <c r="T5980">
        <f t="shared" si="467"/>
        <v>0</v>
      </c>
      <c r="U5980">
        <f t="shared" si="468"/>
        <v>0</v>
      </c>
      <c r="V5980">
        <f t="shared" si="469"/>
        <v>0</v>
      </c>
    </row>
    <row r="5981" spans="1:22" x14ac:dyDescent="0.25">
      <c r="A5981">
        <v>5978</v>
      </c>
      <c r="B5981" t="s">
        <v>40</v>
      </c>
      <c r="C5981" t="s">
        <v>1755</v>
      </c>
      <c r="D5981" s="4">
        <v>45409</v>
      </c>
      <c r="E5981" t="s">
        <v>1480</v>
      </c>
      <c r="F5981" t="s">
        <v>75</v>
      </c>
      <c r="I5981" s="6">
        <v>0</v>
      </c>
      <c r="J5981" s="6">
        <v>0</v>
      </c>
      <c r="K5981" s="6">
        <v>0</v>
      </c>
      <c r="L5981" s="6">
        <v>0</v>
      </c>
      <c r="M5981" s="6">
        <v>0</v>
      </c>
      <c r="N5981" s="6">
        <v>1</v>
      </c>
      <c r="O5981" s="6">
        <v>0</v>
      </c>
      <c r="P5981" s="6">
        <v>0</v>
      </c>
      <c r="Q5981">
        <v>1</v>
      </c>
      <c r="R5981">
        <f t="shared" si="465"/>
        <v>0</v>
      </c>
      <c r="S5981">
        <f t="shared" si="466"/>
        <v>1</v>
      </c>
      <c r="T5981">
        <f t="shared" si="467"/>
        <v>1</v>
      </c>
      <c r="U5981">
        <f t="shared" si="468"/>
        <v>1</v>
      </c>
      <c r="V5981">
        <f t="shared" si="469"/>
        <v>0</v>
      </c>
    </row>
    <row r="5982" spans="1:22" x14ac:dyDescent="0.25">
      <c r="A5982">
        <v>5979</v>
      </c>
      <c r="B5982" t="s">
        <v>40</v>
      </c>
      <c r="C5982" t="s">
        <v>1755</v>
      </c>
      <c r="D5982" s="4">
        <v>45409</v>
      </c>
      <c r="E5982" t="s">
        <v>309</v>
      </c>
      <c r="F5982" t="s">
        <v>75</v>
      </c>
      <c r="I5982" s="6">
        <v>0</v>
      </c>
      <c r="J5982" s="6">
        <v>0</v>
      </c>
      <c r="K5982" s="6">
        <v>0</v>
      </c>
      <c r="L5982" s="6">
        <v>0</v>
      </c>
      <c r="M5982" s="6">
        <v>0</v>
      </c>
      <c r="N5982" s="6">
        <v>0</v>
      </c>
      <c r="O5982" s="6">
        <v>0</v>
      </c>
      <c r="P5982" s="6">
        <v>0</v>
      </c>
      <c r="Q5982">
        <v>1</v>
      </c>
      <c r="R5982">
        <f t="shared" si="465"/>
        <v>0</v>
      </c>
      <c r="S5982">
        <f t="shared" si="466"/>
        <v>1</v>
      </c>
      <c r="T5982">
        <f t="shared" si="467"/>
        <v>0</v>
      </c>
      <c r="U5982">
        <f t="shared" si="468"/>
        <v>0</v>
      </c>
      <c r="V5982">
        <f t="shared" si="469"/>
        <v>0</v>
      </c>
    </row>
    <row r="5983" spans="1:22" x14ac:dyDescent="0.25">
      <c r="A5983">
        <v>5980</v>
      </c>
      <c r="B5983" t="s">
        <v>40</v>
      </c>
      <c r="C5983" t="s">
        <v>1755</v>
      </c>
      <c r="D5983" s="4">
        <v>45409</v>
      </c>
      <c r="E5983" t="s">
        <v>310</v>
      </c>
      <c r="F5983" t="s">
        <v>75</v>
      </c>
      <c r="I5983" s="6">
        <v>1</v>
      </c>
      <c r="J5983" s="6">
        <v>0</v>
      </c>
      <c r="K5983" s="6">
        <v>0</v>
      </c>
      <c r="L5983" s="6">
        <v>0</v>
      </c>
      <c r="M5983" s="6">
        <v>1</v>
      </c>
      <c r="N5983" s="6">
        <v>0</v>
      </c>
      <c r="O5983" s="6">
        <v>0</v>
      </c>
      <c r="P5983" s="6">
        <v>0</v>
      </c>
      <c r="Q5983">
        <v>1</v>
      </c>
      <c r="R5983">
        <f t="shared" si="465"/>
        <v>0</v>
      </c>
      <c r="S5983">
        <f t="shared" si="466"/>
        <v>1</v>
      </c>
      <c r="T5983">
        <f t="shared" si="467"/>
        <v>2</v>
      </c>
      <c r="U5983">
        <f t="shared" si="468"/>
        <v>1</v>
      </c>
      <c r="V5983">
        <f t="shared" si="469"/>
        <v>0</v>
      </c>
    </row>
    <row r="5984" spans="1:22" x14ac:dyDescent="0.25">
      <c r="A5984">
        <v>5981</v>
      </c>
      <c r="B5984" t="s">
        <v>40</v>
      </c>
      <c r="C5984" t="s">
        <v>1755</v>
      </c>
      <c r="D5984" s="4">
        <v>45410</v>
      </c>
      <c r="E5984" t="s">
        <v>879</v>
      </c>
      <c r="F5984" t="s">
        <v>75</v>
      </c>
      <c r="I5984" s="6">
        <v>1</v>
      </c>
      <c r="J5984" s="6">
        <v>0</v>
      </c>
      <c r="K5984" s="6">
        <v>0</v>
      </c>
      <c r="L5984" s="6">
        <v>0</v>
      </c>
      <c r="M5984" s="6">
        <v>0</v>
      </c>
      <c r="N5984" s="6">
        <v>0</v>
      </c>
      <c r="O5984" s="6">
        <v>0</v>
      </c>
      <c r="P5984" s="6">
        <v>0</v>
      </c>
      <c r="Q5984">
        <v>1</v>
      </c>
      <c r="R5984">
        <f t="shared" si="465"/>
        <v>0</v>
      </c>
      <c r="S5984">
        <f t="shared" si="466"/>
        <v>1</v>
      </c>
      <c r="T5984">
        <f t="shared" si="467"/>
        <v>1</v>
      </c>
      <c r="U5984">
        <f t="shared" si="468"/>
        <v>1</v>
      </c>
      <c r="V5984">
        <f t="shared" si="469"/>
        <v>0</v>
      </c>
    </row>
    <row r="5985" spans="1:22" x14ac:dyDescent="0.25">
      <c r="A5985">
        <v>5982</v>
      </c>
      <c r="B5985" t="s">
        <v>40</v>
      </c>
      <c r="C5985" t="s">
        <v>1755</v>
      </c>
      <c r="D5985" s="4">
        <v>45411</v>
      </c>
      <c r="E5985" t="s">
        <v>1386</v>
      </c>
      <c r="F5985" t="s">
        <v>75</v>
      </c>
      <c r="H5985" t="s">
        <v>1813</v>
      </c>
      <c r="I5985" s="6">
        <v>1</v>
      </c>
      <c r="J5985" s="6">
        <v>0</v>
      </c>
      <c r="K5985" s="6">
        <v>0</v>
      </c>
      <c r="L5985" s="6">
        <v>0</v>
      </c>
      <c r="M5985" s="6">
        <v>0</v>
      </c>
      <c r="N5985" s="6">
        <v>0</v>
      </c>
      <c r="O5985" s="6">
        <v>0</v>
      </c>
      <c r="P5985" s="6">
        <v>0</v>
      </c>
      <c r="Q5985">
        <v>1</v>
      </c>
      <c r="R5985">
        <f t="shared" si="465"/>
        <v>0</v>
      </c>
      <c r="S5985">
        <f t="shared" si="466"/>
        <v>1</v>
      </c>
      <c r="T5985">
        <f t="shared" si="467"/>
        <v>1</v>
      </c>
      <c r="U5985">
        <f t="shared" si="468"/>
        <v>1</v>
      </c>
      <c r="V5985">
        <f t="shared" si="469"/>
        <v>0</v>
      </c>
    </row>
    <row r="5986" spans="1:22" x14ac:dyDescent="0.25">
      <c r="A5986">
        <v>5983</v>
      </c>
      <c r="B5986" t="s">
        <v>40</v>
      </c>
      <c r="C5986" t="s">
        <v>1755</v>
      </c>
      <c r="D5986" s="4">
        <v>45411</v>
      </c>
      <c r="E5986" t="s">
        <v>1075</v>
      </c>
      <c r="F5986" t="s">
        <v>75</v>
      </c>
      <c r="I5986" s="6">
        <v>0</v>
      </c>
      <c r="J5986" s="6">
        <v>0</v>
      </c>
      <c r="K5986" s="6">
        <v>0</v>
      </c>
      <c r="L5986" s="6">
        <v>0</v>
      </c>
      <c r="M5986" s="6">
        <v>0</v>
      </c>
      <c r="N5986" s="6">
        <v>0</v>
      </c>
      <c r="O5986" s="6">
        <v>0</v>
      </c>
      <c r="P5986" s="6">
        <v>0</v>
      </c>
      <c r="Q5986">
        <v>1</v>
      </c>
      <c r="R5986">
        <f t="shared" si="465"/>
        <v>0</v>
      </c>
      <c r="S5986">
        <f t="shared" si="466"/>
        <v>1</v>
      </c>
      <c r="T5986">
        <f t="shared" si="467"/>
        <v>0</v>
      </c>
      <c r="U5986">
        <f t="shared" si="468"/>
        <v>0</v>
      </c>
      <c r="V5986">
        <f t="shared" si="469"/>
        <v>0</v>
      </c>
    </row>
    <row r="5987" spans="1:22" x14ac:dyDescent="0.25">
      <c r="A5987">
        <v>5984</v>
      </c>
      <c r="B5987" t="s">
        <v>40</v>
      </c>
      <c r="C5987" t="s">
        <v>1755</v>
      </c>
      <c r="D5987" s="4">
        <v>45411</v>
      </c>
      <c r="E5987" t="s">
        <v>1076</v>
      </c>
      <c r="F5987" t="s">
        <v>75</v>
      </c>
      <c r="I5987" s="6">
        <v>1</v>
      </c>
      <c r="J5987" s="6">
        <v>0</v>
      </c>
      <c r="K5987" s="6">
        <v>0</v>
      </c>
      <c r="L5987" s="6">
        <v>0</v>
      </c>
      <c r="M5987" s="6">
        <v>0</v>
      </c>
      <c r="N5987" s="6">
        <v>0</v>
      </c>
      <c r="O5987" s="6">
        <v>0</v>
      </c>
      <c r="P5987" s="6">
        <v>0</v>
      </c>
      <c r="Q5987">
        <v>1</v>
      </c>
      <c r="R5987">
        <f t="shared" si="465"/>
        <v>0</v>
      </c>
      <c r="S5987">
        <f t="shared" si="466"/>
        <v>1</v>
      </c>
      <c r="T5987">
        <f t="shared" si="467"/>
        <v>1</v>
      </c>
      <c r="U5987">
        <f t="shared" si="468"/>
        <v>1</v>
      </c>
      <c r="V5987">
        <f t="shared" si="469"/>
        <v>0</v>
      </c>
    </row>
    <row r="5988" spans="1:22" x14ac:dyDescent="0.25">
      <c r="A5988">
        <v>5985</v>
      </c>
      <c r="B5988" t="s">
        <v>40</v>
      </c>
      <c r="C5988" t="s">
        <v>1755</v>
      </c>
      <c r="D5988" s="4">
        <v>45411</v>
      </c>
      <c r="E5988" t="s">
        <v>1158</v>
      </c>
      <c r="F5988" t="s">
        <v>75</v>
      </c>
      <c r="I5988" s="6">
        <v>0</v>
      </c>
      <c r="J5988" s="6">
        <v>0</v>
      </c>
      <c r="K5988" s="6">
        <v>0</v>
      </c>
      <c r="L5988" s="6">
        <v>0</v>
      </c>
      <c r="M5988" s="6">
        <v>1</v>
      </c>
      <c r="N5988" s="6">
        <v>0</v>
      </c>
      <c r="O5988" s="6">
        <v>0</v>
      </c>
      <c r="P5988" s="6">
        <v>0</v>
      </c>
      <c r="Q5988">
        <v>1</v>
      </c>
      <c r="R5988">
        <f t="shared" si="465"/>
        <v>0</v>
      </c>
      <c r="S5988">
        <f t="shared" si="466"/>
        <v>1</v>
      </c>
      <c r="T5988">
        <f t="shared" si="467"/>
        <v>1</v>
      </c>
      <c r="U5988">
        <f t="shared" si="468"/>
        <v>1</v>
      </c>
      <c r="V5988">
        <f t="shared" si="469"/>
        <v>0</v>
      </c>
    </row>
    <row r="5989" spans="1:22" x14ac:dyDescent="0.25">
      <c r="A5989">
        <v>5986</v>
      </c>
      <c r="B5989" t="s">
        <v>40</v>
      </c>
      <c r="C5989" t="s">
        <v>1755</v>
      </c>
      <c r="D5989" s="4">
        <v>45412</v>
      </c>
      <c r="E5989" t="s">
        <v>1159</v>
      </c>
      <c r="F5989" t="s">
        <v>75</v>
      </c>
      <c r="I5989" s="6">
        <v>0</v>
      </c>
      <c r="J5989" s="6">
        <v>0</v>
      </c>
      <c r="K5989" s="6">
        <v>0</v>
      </c>
      <c r="L5989" s="6">
        <v>0</v>
      </c>
      <c r="M5989" s="6">
        <v>0</v>
      </c>
      <c r="N5989" s="6">
        <v>0</v>
      </c>
      <c r="O5989" s="6">
        <v>0</v>
      </c>
      <c r="P5989" s="6">
        <v>0</v>
      </c>
      <c r="Q5989">
        <v>1</v>
      </c>
      <c r="R5989">
        <f t="shared" si="465"/>
        <v>0</v>
      </c>
      <c r="S5989">
        <f t="shared" si="466"/>
        <v>1</v>
      </c>
      <c r="T5989">
        <f t="shared" si="467"/>
        <v>0</v>
      </c>
      <c r="U5989">
        <f t="shared" si="468"/>
        <v>0</v>
      </c>
      <c r="V5989">
        <f t="shared" si="469"/>
        <v>0</v>
      </c>
    </row>
    <row r="5990" spans="1:22" x14ac:dyDescent="0.25">
      <c r="A5990">
        <v>5987</v>
      </c>
      <c r="B5990" t="s">
        <v>40</v>
      </c>
      <c r="C5990" t="s">
        <v>1755</v>
      </c>
      <c r="D5990" s="4">
        <v>45412</v>
      </c>
      <c r="E5990" t="s">
        <v>880</v>
      </c>
      <c r="F5990" t="s">
        <v>413</v>
      </c>
      <c r="G5990">
        <v>280</v>
      </c>
      <c r="I5990" s="6">
        <v>1</v>
      </c>
      <c r="J5990" s="6">
        <v>0</v>
      </c>
      <c r="K5990" s="6">
        <v>0</v>
      </c>
      <c r="L5990" s="6">
        <v>0</v>
      </c>
      <c r="M5990" s="6">
        <v>1</v>
      </c>
      <c r="N5990" s="6">
        <v>0</v>
      </c>
      <c r="O5990" s="6">
        <v>0</v>
      </c>
      <c r="P5990" s="6">
        <v>0</v>
      </c>
      <c r="Q5990">
        <v>1</v>
      </c>
      <c r="R5990">
        <f t="shared" si="465"/>
        <v>1</v>
      </c>
      <c r="S5990">
        <f t="shared" si="466"/>
        <v>0</v>
      </c>
      <c r="T5990">
        <f t="shared" si="467"/>
        <v>2</v>
      </c>
      <c r="U5990">
        <f t="shared" si="468"/>
        <v>1</v>
      </c>
      <c r="V5990">
        <f t="shared" si="469"/>
        <v>1</v>
      </c>
    </row>
    <row r="5991" spans="1:22" x14ac:dyDescent="0.25">
      <c r="A5991">
        <v>5988</v>
      </c>
      <c r="B5991" t="s">
        <v>40</v>
      </c>
      <c r="C5991" t="s">
        <v>1755</v>
      </c>
      <c r="D5991" s="4">
        <v>45412</v>
      </c>
      <c r="E5991" t="s">
        <v>1160</v>
      </c>
      <c r="F5991" t="s">
        <v>75</v>
      </c>
      <c r="I5991" s="6">
        <v>0</v>
      </c>
      <c r="J5991" s="6">
        <v>0</v>
      </c>
      <c r="K5991" s="6">
        <v>0</v>
      </c>
      <c r="L5991" s="6">
        <v>0</v>
      </c>
      <c r="M5991" s="6">
        <v>0</v>
      </c>
      <c r="N5991" s="6">
        <v>0</v>
      </c>
      <c r="O5991" s="6">
        <v>0</v>
      </c>
      <c r="P5991" s="6">
        <v>0</v>
      </c>
      <c r="Q5991">
        <v>1</v>
      </c>
      <c r="R5991">
        <f t="shared" si="465"/>
        <v>0</v>
      </c>
      <c r="S5991">
        <f t="shared" si="466"/>
        <v>1</v>
      </c>
      <c r="T5991">
        <f t="shared" si="467"/>
        <v>0</v>
      </c>
      <c r="U5991">
        <f t="shared" si="468"/>
        <v>0</v>
      </c>
      <c r="V5991">
        <f t="shared" si="469"/>
        <v>0</v>
      </c>
    </row>
    <row r="5992" spans="1:22" x14ac:dyDescent="0.25">
      <c r="A5992">
        <v>5989</v>
      </c>
      <c r="B5992" t="s">
        <v>40</v>
      </c>
      <c r="C5992" t="s">
        <v>1755</v>
      </c>
      <c r="D5992" s="4">
        <v>45412</v>
      </c>
      <c r="E5992" t="s">
        <v>2027</v>
      </c>
      <c r="F5992" t="s">
        <v>75</v>
      </c>
      <c r="I5992" s="6">
        <v>0</v>
      </c>
      <c r="J5992" s="6">
        <v>0</v>
      </c>
      <c r="K5992" s="6">
        <v>1</v>
      </c>
      <c r="L5992" s="6">
        <v>0</v>
      </c>
      <c r="M5992" s="6">
        <v>1</v>
      </c>
      <c r="N5992" s="6">
        <v>1</v>
      </c>
      <c r="O5992" s="6">
        <v>0</v>
      </c>
      <c r="P5992" s="6">
        <v>0</v>
      </c>
      <c r="Q5992">
        <v>1</v>
      </c>
      <c r="R5992">
        <f t="shared" si="465"/>
        <v>0</v>
      </c>
      <c r="S5992">
        <f t="shared" si="466"/>
        <v>1</v>
      </c>
      <c r="T5992">
        <f t="shared" si="467"/>
        <v>3</v>
      </c>
      <c r="U5992">
        <f t="shared" si="468"/>
        <v>1</v>
      </c>
      <c r="V5992">
        <f t="shared" si="469"/>
        <v>0</v>
      </c>
    </row>
    <row r="5993" spans="1:22" x14ac:dyDescent="0.25">
      <c r="A5993">
        <v>5990</v>
      </c>
      <c r="B5993" t="s">
        <v>40</v>
      </c>
      <c r="C5993" t="s">
        <v>1755</v>
      </c>
      <c r="D5993" s="4">
        <v>45413</v>
      </c>
      <c r="E5993" t="s">
        <v>467</v>
      </c>
      <c r="F5993" t="s">
        <v>75</v>
      </c>
      <c r="H5993" t="s">
        <v>1814</v>
      </c>
      <c r="I5993" s="6">
        <v>0</v>
      </c>
      <c r="J5993" s="6">
        <v>0</v>
      </c>
      <c r="K5993" s="6">
        <v>1</v>
      </c>
      <c r="L5993" s="6">
        <v>0</v>
      </c>
      <c r="M5993" s="6">
        <v>1</v>
      </c>
      <c r="N5993" s="6">
        <v>1</v>
      </c>
      <c r="O5993" s="6">
        <v>0</v>
      </c>
      <c r="P5993" s="6">
        <v>0</v>
      </c>
      <c r="Q5993">
        <v>1</v>
      </c>
      <c r="R5993">
        <f t="shared" si="465"/>
        <v>0</v>
      </c>
      <c r="S5993">
        <f t="shared" si="466"/>
        <v>1</v>
      </c>
      <c r="T5993">
        <f t="shared" si="467"/>
        <v>3</v>
      </c>
      <c r="U5993">
        <f t="shared" si="468"/>
        <v>1</v>
      </c>
      <c r="V5993">
        <f t="shared" si="469"/>
        <v>0</v>
      </c>
    </row>
    <row r="5994" spans="1:22" x14ac:dyDescent="0.25">
      <c r="A5994">
        <v>5991</v>
      </c>
      <c r="B5994" t="s">
        <v>40</v>
      </c>
      <c r="C5994" t="s">
        <v>1755</v>
      </c>
      <c r="D5994" s="4">
        <v>45413</v>
      </c>
      <c r="E5994" t="s">
        <v>468</v>
      </c>
      <c r="F5994" t="s">
        <v>75</v>
      </c>
      <c r="I5994" s="6">
        <v>1</v>
      </c>
      <c r="J5994" s="6">
        <v>0</v>
      </c>
      <c r="K5994" s="6">
        <v>0</v>
      </c>
      <c r="L5994" s="6">
        <v>0</v>
      </c>
      <c r="M5994" s="6">
        <v>1</v>
      </c>
      <c r="N5994" s="6">
        <v>0</v>
      </c>
      <c r="O5994" s="6">
        <v>0</v>
      </c>
      <c r="P5994" s="6">
        <v>0</v>
      </c>
      <c r="Q5994">
        <v>1</v>
      </c>
      <c r="R5994">
        <f t="shared" si="465"/>
        <v>0</v>
      </c>
      <c r="S5994">
        <f t="shared" si="466"/>
        <v>1</v>
      </c>
      <c r="T5994">
        <f t="shared" si="467"/>
        <v>2</v>
      </c>
      <c r="U5994">
        <f t="shared" si="468"/>
        <v>1</v>
      </c>
      <c r="V5994">
        <f t="shared" si="469"/>
        <v>0</v>
      </c>
    </row>
    <row r="5995" spans="1:22" x14ac:dyDescent="0.25">
      <c r="A5995">
        <v>5992</v>
      </c>
      <c r="B5995" t="s">
        <v>40</v>
      </c>
      <c r="C5995" t="s">
        <v>1755</v>
      </c>
      <c r="D5995" s="4">
        <v>45413</v>
      </c>
      <c r="E5995" t="s">
        <v>1815</v>
      </c>
      <c r="F5995" t="s">
        <v>75</v>
      </c>
      <c r="I5995" s="6">
        <v>0</v>
      </c>
      <c r="J5995" s="6">
        <v>0</v>
      </c>
      <c r="K5995" s="6">
        <v>1</v>
      </c>
      <c r="L5995" s="6">
        <v>0</v>
      </c>
      <c r="M5995" s="6">
        <v>0</v>
      </c>
      <c r="N5995" s="6">
        <v>0</v>
      </c>
      <c r="O5995" s="6">
        <v>0</v>
      </c>
      <c r="P5995" s="6">
        <v>0</v>
      </c>
      <c r="Q5995">
        <v>1</v>
      </c>
      <c r="R5995">
        <f t="shared" si="465"/>
        <v>0</v>
      </c>
      <c r="S5995">
        <f t="shared" si="466"/>
        <v>1</v>
      </c>
      <c r="T5995">
        <f t="shared" si="467"/>
        <v>1</v>
      </c>
      <c r="U5995">
        <f t="shared" si="468"/>
        <v>1</v>
      </c>
      <c r="V5995">
        <f t="shared" si="469"/>
        <v>0</v>
      </c>
    </row>
    <row r="5996" spans="1:22" x14ac:dyDescent="0.25">
      <c r="A5996">
        <v>5993</v>
      </c>
      <c r="B5996" t="s">
        <v>40</v>
      </c>
      <c r="C5996" t="s">
        <v>1755</v>
      </c>
      <c r="D5996" s="4">
        <v>45413</v>
      </c>
      <c r="E5996" t="s">
        <v>2026</v>
      </c>
      <c r="F5996" t="s">
        <v>75</v>
      </c>
      <c r="I5996" s="6">
        <v>0</v>
      </c>
      <c r="J5996" s="6">
        <v>0</v>
      </c>
      <c r="K5996" s="6">
        <v>1</v>
      </c>
      <c r="L5996" s="6">
        <v>0</v>
      </c>
      <c r="M5996" s="6">
        <v>0</v>
      </c>
      <c r="N5996" s="6">
        <v>0</v>
      </c>
      <c r="O5996" s="6">
        <v>0</v>
      </c>
      <c r="P5996" s="6">
        <v>0</v>
      </c>
      <c r="Q5996">
        <v>1</v>
      </c>
      <c r="R5996">
        <f t="shared" si="465"/>
        <v>0</v>
      </c>
      <c r="S5996">
        <f t="shared" si="466"/>
        <v>1</v>
      </c>
      <c r="T5996">
        <f t="shared" si="467"/>
        <v>1</v>
      </c>
      <c r="U5996">
        <f t="shared" si="468"/>
        <v>1</v>
      </c>
      <c r="V5996">
        <f t="shared" si="469"/>
        <v>0</v>
      </c>
    </row>
    <row r="5997" spans="1:22" x14ac:dyDescent="0.25">
      <c r="A5997">
        <v>5994</v>
      </c>
      <c r="B5997" t="s">
        <v>40</v>
      </c>
      <c r="C5997" t="s">
        <v>1755</v>
      </c>
      <c r="D5997" s="4">
        <v>45413</v>
      </c>
      <c r="E5997" t="s">
        <v>1162</v>
      </c>
      <c r="F5997" t="s">
        <v>75</v>
      </c>
      <c r="I5997" s="6"/>
      <c r="J5997" s="6"/>
      <c r="K5997" s="6"/>
      <c r="L5997" s="6"/>
      <c r="M5997" s="6"/>
      <c r="N5997" s="6"/>
      <c r="O5997" s="6"/>
      <c r="P5997" s="6"/>
      <c r="Q5997">
        <v>0</v>
      </c>
      <c r="R5997">
        <f t="shared" si="465"/>
        <v>0</v>
      </c>
      <c r="S5997">
        <f t="shared" si="466"/>
        <v>0</v>
      </c>
      <c r="T5997">
        <f t="shared" si="467"/>
        <v>0</v>
      </c>
      <c r="U5997">
        <f t="shared" si="468"/>
        <v>0</v>
      </c>
      <c r="V5997">
        <f t="shared" si="469"/>
        <v>0</v>
      </c>
    </row>
    <row r="5998" spans="1:22" x14ac:dyDescent="0.25">
      <c r="A5998">
        <v>5995</v>
      </c>
      <c r="B5998" t="s">
        <v>40</v>
      </c>
      <c r="C5998" t="s">
        <v>1755</v>
      </c>
      <c r="D5998" s="4">
        <v>45413</v>
      </c>
      <c r="E5998" t="s">
        <v>1393</v>
      </c>
      <c r="F5998" t="s">
        <v>75</v>
      </c>
      <c r="I5998" s="6">
        <v>1</v>
      </c>
      <c r="J5998" s="6">
        <v>0</v>
      </c>
      <c r="K5998" s="6">
        <v>0</v>
      </c>
      <c r="L5998" s="6">
        <v>0</v>
      </c>
      <c r="M5998" s="6">
        <v>0</v>
      </c>
      <c r="N5998" s="6">
        <v>0</v>
      </c>
      <c r="O5998" s="6">
        <v>0</v>
      </c>
      <c r="P5998" s="6">
        <v>0</v>
      </c>
      <c r="Q5998">
        <v>1</v>
      </c>
      <c r="R5998">
        <f t="shared" si="465"/>
        <v>0</v>
      </c>
      <c r="S5998">
        <f t="shared" si="466"/>
        <v>1</v>
      </c>
      <c r="T5998">
        <f t="shared" si="467"/>
        <v>1</v>
      </c>
      <c r="U5998">
        <f t="shared" si="468"/>
        <v>1</v>
      </c>
      <c r="V5998">
        <f t="shared" si="469"/>
        <v>0</v>
      </c>
    </row>
    <row r="5999" spans="1:22" x14ac:dyDescent="0.25">
      <c r="A5999">
        <v>5996</v>
      </c>
      <c r="B5999" t="s">
        <v>40</v>
      </c>
      <c r="C5999" t="s">
        <v>1755</v>
      </c>
      <c r="D5999" s="4">
        <v>45413</v>
      </c>
      <c r="E5999" t="s">
        <v>2025</v>
      </c>
      <c r="F5999" t="s">
        <v>75</v>
      </c>
      <c r="I5999" s="6">
        <v>0</v>
      </c>
      <c r="J5999" s="6">
        <v>0</v>
      </c>
      <c r="K5999" s="6">
        <v>0</v>
      </c>
      <c r="L5999" s="6">
        <v>0</v>
      </c>
      <c r="M5999" s="6">
        <v>0</v>
      </c>
      <c r="N5999" s="6">
        <v>0</v>
      </c>
      <c r="O5999" s="6">
        <v>0</v>
      </c>
      <c r="P5999" s="6">
        <v>0</v>
      </c>
      <c r="Q5999">
        <v>1</v>
      </c>
      <c r="R5999">
        <f t="shared" si="465"/>
        <v>0</v>
      </c>
      <c r="S5999">
        <f t="shared" si="466"/>
        <v>1</v>
      </c>
      <c r="T5999">
        <f t="shared" si="467"/>
        <v>0</v>
      </c>
      <c r="U5999">
        <f t="shared" si="468"/>
        <v>0</v>
      </c>
      <c r="V5999">
        <f t="shared" si="469"/>
        <v>0</v>
      </c>
    </row>
    <row r="6000" spans="1:22" x14ac:dyDescent="0.25">
      <c r="A6000">
        <v>5997</v>
      </c>
      <c r="B6000" t="s">
        <v>40</v>
      </c>
      <c r="C6000" t="s">
        <v>1755</v>
      </c>
      <c r="D6000" s="4">
        <v>45413</v>
      </c>
      <c r="E6000" t="s">
        <v>2024</v>
      </c>
      <c r="F6000" t="s">
        <v>75</v>
      </c>
      <c r="I6000" s="6">
        <v>0</v>
      </c>
      <c r="J6000" s="6">
        <v>0</v>
      </c>
      <c r="K6000" s="6">
        <v>1</v>
      </c>
      <c r="L6000" s="6">
        <v>0</v>
      </c>
      <c r="M6000" s="6">
        <v>1</v>
      </c>
      <c r="N6000" s="6">
        <v>1</v>
      </c>
      <c r="O6000" s="6">
        <v>0</v>
      </c>
      <c r="P6000" s="6">
        <v>0</v>
      </c>
      <c r="Q6000">
        <v>1</v>
      </c>
      <c r="R6000">
        <f t="shared" si="465"/>
        <v>0</v>
      </c>
      <c r="S6000">
        <f t="shared" si="466"/>
        <v>1</v>
      </c>
      <c r="T6000">
        <f t="shared" si="467"/>
        <v>3</v>
      </c>
      <c r="U6000">
        <f t="shared" si="468"/>
        <v>1</v>
      </c>
      <c r="V6000">
        <f t="shared" si="469"/>
        <v>0</v>
      </c>
    </row>
    <row r="6001" spans="1:22" x14ac:dyDescent="0.25">
      <c r="A6001">
        <v>5998</v>
      </c>
      <c r="B6001" t="s">
        <v>40</v>
      </c>
      <c r="C6001" t="s">
        <v>1755</v>
      </c>
      <c r="D6001" s="4">
        <v>45414</v>
      </c>
      <c r="E6001" t="s">
        <v>313</v>
      </c>
      <c r="F6001" t="s">
        <v>75</v>
      </c>
      <c r="I6001" s="6"/>
      <c r="J6001" s="6"/>
      <c r="K6001" s="6"/>
      <c r="L6001" s="6"/>
      <c r="M6001" s="6"/>
      <c r="N6001" s="6"/>
      <c r="O6001" s="6"/>
      <c r="P6001" s="6"/>
      <c r="Q6001">
        <v>0</v>
      </c>
      <c r="R6001">
        <f t="shared" si="465"/>
        <v>0</v>
      </c>
      <c r="S6001">
        <f t="shared" si="466"/>
        <v>0</v>
      </c>
      <c r="T6001">
        <f t="shared" si="467"/>
        <v>0</v>
      </c>
      <c r="U6001">
        <f t="shared" si="468"/>
        <v>0</v>
      </c>
      <c r="V6001">
        <f t="shared" si="469"/>
        <v>0</v>
      </c>
    </row>
    <row r="6002" spans="1:22" x14ac:dyDescent="0.25">
      <c r="A6002">
        <v>5999</v>
      </c>
      <c r="B6002" t="s">
        <v>40</v>
      </c>
      <c r="C6002" t="s">
        <v>1755</v>
      </c>
      <c r="D6002" s="4">
        <v>45414</v>
      </c>
      <c r="E6002" t="s">
        <v>1394</v>
      </c>
      <c r="F6002" t="s">
        <v>75</v>
      </c>
      <c r="I6002" s="6">
        <v>0</v>
      </c>
      <c r="J6002" s="6">
        <v>0</v>
      </c>
      <c r="K6002" s="6">
        <v>1</v>
      </c>
      <c r="L6002" s="6">
        <v>0</v>
      </c>
      <c r="M6002" s="6">
        <v>1</v>
      </c>
      <c r="N6002" s="6">
        <v>0</v>
      </c>
      <c r="O6002" s="6">
        <v>0</v>
      </c>
      <c r="P6002" s="6">
        <v>0</v>
      </c>
      <c r="Q6002">
        <v>1</v>
      </c>
      <c r="R6002">
        <f t="shared" si="465"/>
        <v>0</v>
      </c>
      <c r="S6002">
        <f t="shared" si="466"/>
        <v>1</v>
      </c>
      <c r="T6002">
        <f t="shared" si="467"/>
        <v>2</v>
      </c>
      <c r="U6002">
        <f t="shared" si="468"/>
        <v>1</v>
      </c>
      <c r="V6002">
        <f t="shared" si="469"/>
        <v>0</v>
      </c>
    </row>
    <row r="6003" spans="1:22" x14ac:dyDescent="0.25">
      <c r="A6003">
        <v>6000</v>
      </c>
      <c r="B6003" t="s">
        <v>40</v>
      </c>
      <c r="C6003" t="s">
        <v>1755</v>
      </c>
      <c r="D6003" s="4">
        <v>45414</v>
      </c>
      <c r="E6003" t="s">
        <v>2023</v>
      </c>
      <c r="F6003" t="s">
        <v>75</v>
      </c>
      <c r="I6003" s="6">
        <v>0</v>
      </c>
      <c r="J6003" s="6">
        <v>0</v>
      </c>
      <c r="K6003" s="6">
        <v>0</v>
      </c>
      <c r="L6003" s="6">
        <v>0</v>
      </c>
      <c r="M6003" s="6">
        <v>0</v>
      </c>
      <c r="N6003" s="6">
        <v>0</v>
      </c>
      <c r="O6003" s="6">
        <v>0</v>
      </c>
      <c r="P6003" s="6">
        <v>0</v>
      </c>
      <c r="Q6003">
        <v>1</v>
      </c>
      <c r="R6003">
        <f t="shared" si="465"/>
        <v>0</v>
      </c>
      <c r="S6003">
        <f t="shared" si="466"/>
        <v>1</v>
      </c>
      <c r="T6003">
        <f t="shared" si="467"/>
        <v>0</v>
      </c>
      <c r="U6003">
        <f t="shared" si="468"/>
        <v>0</v>
      </c>
      <c r="V6003">
        <f t="shared" si="469"/>
        <v>0</v>
      </c>
    </row>
    <row r="6004" spans="1:22" x14ac:dyDescent="0.25">
      <c r="A6004">
        <v>6001</v>
      </c>
      <c r="B6004" t="s">
        <v>40</v>
      </c>
      <c r="C6004" t="s">
        <v>1755</v>
      </c>
      <c r="D6004" s="4">
        <v>45414</v>
      </c>
      <c r="E6004" t="s">
        <v>1816</v>
      </c>
      <c r="F6004" t="s">
        <v>75</v>
      </c>
      <c r="I6004" s="6">
        <v>0</v>
      </c>
      <c r="J6004" s="6">
        <v>0</v>
      </c>
      <c r="K6004" s="6">
        <v>0</v>
      </c>
      <c r="L6004" s="6">
        <v>0</v>
      </c>
      <c r="M6004" s="6">
        <v>0</v>
      </c>
      <c r="N6004" s="6">
        <v>0</v>
      </c>
      <c r="O6004" s="6">
        <v>0</v>
      </c>
      <c r="P6004" s="6">
        <v>0</v>
      </c>
      <c r="Q6004">
        <v>1</v>
      </c>
      <c r="R6004">
        <f t="shared" si="465"/>
        <v>0</v>
      </c>
      <c r="S6004">
        <f t="shared" si="466"/>
        <v>1</v>
      </c>
      <c r="T6004">
        <f t="shared" si="467"/>
        <v>0</v>
      </c>
      <c r="U6004">
        <f t="shared" si="468"/>
        <v>0</v>
      </c>
      <c r="V6004">
        <f t="shared" si="469"/>
        <v>0</v>
      </c>
    </row>
    <row r="6005" spans="1:22" x14ac:dyDescent="0.25">
      <c r="A6005">
        <v>6002</v>
      </c>
      <c r="B6005" t="s">
        <v>40</v>
      </c>
      <c r="C6005" t="s">
        <v>1755</v>
      </c>
      <c r="D6005" s="4">
        <v>45414</v>
      </c>
      <c r="E6005" t="s">
        <v>2022</v>
      </c>
      <c r="F6005" t="s">
        <v>75</v>
      </c>
      <c r="I6005" s="6">
        <v>0</v>
      </c>
      <c r="J6005" s="6">
        <v>0</v>
      </c>
      <c r="K6005" s="6">
        <v>0</v>
      </c>
      <c r="L6005" s="6">
        <v>0</v>
      </c>
      <c r="M6005" s="6">
        <v>0</v>
      </c>
      <c r="N6005" s="6">
        <v>0</v>
      </c>
      <c r="O6005" s="6">
        <v>0</v>
      </c>
      <c r="P6005" s="6">
        <v>0</v>
      </c>
      <c r="Q6005">
        <v>1</v>
      </c>
      <c r="R6005">
        <f t="shared" si="465"/>
        <v>0</v>
      </c>
      <c r="S6005">
        <f t="shared" si="466"/>
        <v>1</v>
      </c>
      <c r="T6005">
        <f t="shared" si="467"/>
        <v>0</v>
      </c>
      <c r="U6005">
        <f t="shared" si="468"/>
        <v>0</v>
      </c>
      <c r="V6005">
        <f t="shared" si="469"/>
        <v>0</v>
      </c>
    </row>
    <row r="6006" spans="1:22" x14ac:dyDescent="0.25">
      <c r="A6006">
        <v>6003</v>
      </c>
      <c r="B6006" t="s">
        <v>40</v>
      </c>
      <c r="C6006" t="s">
        <v>1755</v>
      </c>
      <c r="D6006" s="4">
        <v>45414</v>
      </c>
      <c r="E6006" t="s">
        <v>314</v>
      </c>
      <c r="F6006" t="s">
        <v>75</v>
      </c>
      <c r="I6006" s="6">
        <v>0</v>
      </c>
      <c r="J6006" s="6">
        <v>0</v>
      </c>
      <c r="K6006" s="6">
        <v>0</v>
      </c>
      <c r="L6006" s="6">
        <v>0</v>
      </c>
      <c r="M6006" s="6">
        <v>0</v>
      </c>
      <c r="N6006" s="6">
        <v>0</v>
      </c>
      <c r="O6006" s="6">
        <v>0</v>
      </c>
      <c r="P6006" s="6">
        <v>0</v>
      </c>
      <c r="Q6006">
        <v>1</v>
      </c>
      <c r="R6006">
        <f t="shared" si="465"/>
        <v>0</v>
      </c>
      <c r="S6006">
        <f t="shared" si="466"/>
        <v>1</v>
      </c>
      <c r="T6006">
        <f t="shared" si="467"/>
        <v>0</v>
      </c>
      <c r="U6006">
        <f t="shared" si="468"/>
        <v>0</v>
      </c>
      <c r="V6006">
        <f t="shared" si="469"/>
        <v>0</v>
      </c>
    </row>
    <row r="6007" spans="1:22" x14ac:dyDescent="0.25">
      <c r="A6007">
        <v>6004</v>
      </c>
      <c r="B6007" t="s">
        <v>40</v>
      </c>
      <c r="C6007" t="s">
        <v>1755</v>
      </c>
      <c r="D6007" s="4">
        <v>45414</v>
      </c>
      <c r="E6007" t="s">
        <v>989</v>
      </c>
      <c r="F6007" t="s">
        <v>75</v>
      </c>
      <c r="I6007" s="6">
        <v>0</v>
      </c>
      <c r="J6007" s="6">
        <v>0</v>
      </c>
      <c r="K6007" s="6">
        <v>0</v>
      </c>
      <c r="L6007" s="6">
        <v>0</v>
      </c>
      <c r="M6007" s="6">
        <v>0</v>
      </c>
      <c r="N6007" s="6">
        <v>0</v>
      </c>
      <c r="O6007" s="6">
        <v>0</v>
      </c>
      <c r="P6007" s="6">
        <v>0</v>
      </c>
      <c r="Q6007">
        <v>1</v>
      </c>
      <c r="R6007">
        <f t="shared" si="465"/>
        <v>0</v>
      </c>
      <c r="S6007">
        <f t="shared" si="466"/>
        <v>1</v>
      </c>
      <c r="T6007">
        <f t="shared" si="467"/>
        <v>0</v>
      </c>
      <c r="U6007">
        <f t="shared" si="468"/>
        <v>0</v>
      </c>
      <c r="V6007">
        <f t="shared" si="469"/>
        <v>0</v>
      </c>
    </row>
    <row r="6008" spans="1:22" x14ac:dyDescent="0.25">
      <c r="A6008">
        <v>6005</v>
      </c>
      <c r="B6008" t="s">
        <v>40</v>
      </c>
      <c r="C6008" t="s">
        <v>1755</v>
      </c>
      <c r="D6008" s="4">
        <v>45414</v>
      </c>
      <c r="E6008" t="s">
        <v>990</v>
      </c>
      <c r="F6008" t="s">
        <v>75</v>
      </c>
      <c r="I6008" s="6">
        <v>0</v>
      </c>
      <c r="J6008" s="6">
        <v>0</v>
      </c>
      <c r="K6008" s="6">
        <v>0</v>
      </c>
      <c r="L6008" s="6">
        <v>1</v>
      </c>
      <c r="M6008" s="6">
        <v>0</v>
      </c>
      <c r="N6008" s="6">
        <v>0</v>
      </c>
      <c r="O6008" s="6">
        <v>0</v>
      </c>
      <c r="P6008" s="6">
        <v>0</v>
      </c>
      <c r="Q6008">
        <v>1</v>
      </c>
      <c r="R6008">
        <f t="shared" si="465"/>
        <v>0</v>
      </c>
      <c r="S6008">
        <f t="shared" si="466"/>
        <v>1</v>
      </c>
      <c r="T6008">
        <f t="shared" si="467"/>
        <v>1</v>
      </c>
      <c r="U6008">
        <f t="shared" si="468"/>
        <v>1</v>
      </c>
      <c r="V6008">
        <f t="shared" si="469"/>
        <v>0</v>
      </c>
    </row>
    <row r="6009" spans="1:22" x14ac:dyDescent="0.25">
      <c r="A6009">
        <v>6006</v>
      </c>
      <c r="B6009" t="s">
        <v>40</v>
      </c>
      <c r="C6009" t="s">
        <v>1755</v>
      </c>
      <c r="D6009" s="4">
        <v>45414</v>
      </c>
      <c r="E6009" t="s">
        <v>2021</v>
      </c>
      <c r="F6009" t="s">
        <v>75</v>
      </c>
      <c r="I6009" s="6">
        <v>0</v>
      </c>
      <c r="J6009" s="6">
        <v>0</v>
      </c>
      <c r="K6009" s="6">
        <v>0</v>
      </c>
      <c r="L6009" s="6">
        <v>0</v>
      </c>
      <c r="M6009" s="6">
        <v>1</v>
      </c>
      <c r="N6009" s="6">
        <v>0</v>
      </c>
      <c r="O6009" s="6">
        <v>0</v>
      </c>
      <c r="P6009" s="6">
        <v>0</v>
      </c>
      <c r="Q6009">
        <v>1</v>
      </c>
      <c r="R6009">
        <f t="shared" si="465"/>
        <v>0</v>
      </c>
      <c r="S6009">
        <f t="shared" si="466"/>
        <v>1</v>
      </c>
      <c r="T6009">
        <f t="shared" si="467"/>
        <v>1</v>
      </c>
      <c r="U6009">
        <f t="shared" si="468"/>
        <v>1</v>
      </c>
      <c r="V6009">
        <f t="shared" si="469"/>
        <v>0</v>
      </c>
    </row>
    <row r="6010" spans="1:22" x14ac:dyDescent="0.25">
      <c r="A6010">
        <v>6007</v>
      </c>
      <c r="B6010" t="s">
        <v>40</v>
      </c>
      <c r="C6010" t="s">
        <v>1755</v>
      </c>
      <c r="D6010" s="4">
        <v>45414</v>
      </c>
      <c r="E6010" t="s">
        <v>1395</v>
      </c>
      <c r="F6010" t="s">
        <v>75</v>
      </c>
      <c r="I6010" s="6"/>
      <c r="J6010" s="6"/>
      <c r="K6010" s="6"/>
      <c r="L6010" s="6"/>
      <c r="M6010" s="6"/>
      <c r="N6010" s="6"/>
      <c r="O6010" s="6"/>
      <c r="P6010" s="6"/>
      <c r="Q6010">
        <v>0</v>
      </c>
      <c r="R6010">
        <f t="shared" si="465"/>
        <v>0</v>
      </c>
      <c r="S6010">
        <f t="shared" si="466"/>
        <v>0</v>
      </c>
      <c r="T6010">
        <f t="shared" si="467"/>
        <v>0</v>
      </c>
      <c r="U6010">
        <f t="shared" si="468"/>
        <v>0</v>
      </c>
      <c r="V6010">
        <f t="shared" si="469"/>
        <v>0</v>
      </c>
    </row>
    <row r="6011" spans="1:22" x14ac:dyDescent="0.25">
      <c r="A6011">
        <v>6008</v>
      </c>
      <c r="B6011" t="s">
        <v>40</v>
      </c>
      <c r="C6011" t="s">
        <v>1755</v>
      </c>
      <c r="D6011" s="4">
        <v>45414</v>
      </c>
      <c r="E6011" t="s">
        <v>1164</v>
      </c>
      <c r="F6011" t="s">
        <v>75</v>
      </c>
      <c r="I6011" s="6">
        <v>0</v>
      </c>
      <c r="J6011" s="6">
        <v>0</v>
      </c>
      <c r="K6011" s="6">
        <v>0</v>
      </c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>
        <v>1</v>
      </c>
      <c r="R6011">
        <f t="shared" si="465"/>
        <v>0</v>
      </c>
      <c r="S6011">
        <f t="shared" si="466"/>
        <v>1</v>
      </c>
      <c r="T6011">
        <f t="shared" si="467"/>
        <v>0</v>
      </c>
      <c r="U6011">
        <f t="shared" si="468"/>
        <v>0</v>
      </c>
      <c r="V6011">
        <f t="shared" si="469"/>
        <v>0</v>
      </c>
    </row>
    <row r="6012" spans="1:22" x14ac:dyDescent="0.25">
      <c r="A6012">
        <v>6009</v>
      </c>
      <c r="B6012" t="s">
        <v>40</v>
      </c>
      <c r="C6012" t="s">
        <v>1755</v>
      </c>
      <c r="D6012" s="4">
        <v>45414</v>
      </c>
      <c r="E6012" t="s">
        <v>1396</v>
      </c>
      <c r="F6012" t="s">
        <v>75</v>
      </c>
      <c r="I6012" s="6">
        <v>0</v>
      </c>
      <c r="J6012" s="6">
        <v>0</v>
      </c>
      <c r="K6012" s="6">
        <v>0</v>
      </c>
      <c r="L6012" s="6">
        <v>0</v>
      </c>
      <c r="M6012" s="6">
        <v>0</v>
      </c>
      <c r="N6012" s="6">
        <v>0</v>
      </c>
      <c r="O6012" s="6">
        <v>0</v>
      </c>
      <c r="P6012" s="6">
        <v>0</v>
      </c>
      <c r="Q6012">
        <v>1</v>
      </c>
      <c r="R6012">
        <f t="shared" si="465"/>
        <v>0</v>
      </c>
      <c r="S6012">
        <f t="shared" si="466"/>
        <v>1</v>
      </c>
      <c r="T6012">
        <f t="shared" si="467"/>
        <v>0</v>
      </c>
      <c r="U6012">
        <f t="shared" si="468"/>
        <v>0</v>
      </c>
      <c r="V6012">
        <f t="shared" si="469"/>
        <v>0</v>
      </c>
    </row>
    <row r="6013" spans="1:22" x14ac:dyDescent="0.25">
      <c r="A6013">
        <v>6010</v>
      </c>
      <c r="B6013" t="s">
        <v>40</v>
      </c>
      <c r="C6013" t="s">
        <v>1755</v>
      </c>
      <c r="D6013" s="4">
        <v>45414</v>
      </c>
      <c r="E6013" t="s">
        <v>1165</v>
      </c>
      <c r="F6013" t="s">
        <v>75</v>
      </c>
      <c r="I6013" s="6">
        <v>1</v>
      </c>
      <c r="J6013" s="6">
        <v>0</v>
      </c>
      <c r="K6013" s="6">
        <v>0</v>
      </c>
      <c r="L6013" s="6">
        <v>0</v>
      </c>
      <c r="M6013" s="6">
        <v>0</v>
      </c>
      <c r="N6013" s="6">
        <v>0</v>
      </c>
      <c r="O6013" s="6">
        <v>0</v>
      </c>
      <c r="P6013" s="6">
        <v>0</v>
      </c>
      <c r="Q6013">
        <v>1</v>
      </c>
      <c r="R6013">
        <f t="shared" si="465"/>
        <v>0</v>
      </c>
      <c r="S6013">
        <f t="shared" si="466"/>
        <v>1</v>
      </c>
      <c r="T6013">
        <f t="shared" si="467"/>
        <v>1</v>
      </c>
      <c r="U6013">
        <f t="shared" si="468"/>
        <v>1</v>
      </c>
      <c r="V6013">
        <f t="shared" si="469"/>
        <v>0</v>
      </c>
    </row>
    <row r="6014" spans="1:22" x14ac:dyDescent="0.25">
      <c r="A6014">
        <v>6011</v>
      </c>
      <c r="B6014" t="s">
        <v>40</v>
      </c>
      <c r="C6014" t="s">
        <v>1755</v>
      </c>
      <c r="D6014" s="4">
        <v>45415</v>
      </c>
      <c r="E6014" t="s">
        <v>882</v>
      </c>
      <c r="F6014" t="s">
        <v>75</v>
      </c>
      <c r="I6014" s="6">
        <v>0</v>
      </c>
      <c r="J6014" s="6">
        <v>0</v>
      </c>
      <c r="K6014" s="6">
        <v>0</v>
      </c>
      <c r="L6014" s="6">
        <v>0</v>
      </c>
      <c r="M6014" s="6">
        <v>0</v>
      </c>
      <c r="N6014" s="6">
        <v>0</v>
      </c>
      <c r="O6014" s="6">
        <v>0</v>
      </c>
      <c r="P6014" s="6">
        <v>0</v>
      </c>
      <c r="Q6014">
        <v>1</v>
      </c>
      <c r="R6014">
        <f t="shared" si="465"/>
        <v>0</v>
      </c>
      <c r="S6014">
        <f t="shared" si="466"/>
        <v>1</v>
      </c>
      <c r="T6014">
        <f t="shared" si="467"/>
        <v>0</v>
      </c>
      <c r="U6014">
        <f t="shared" si="468"/>
        <v>0</v>
      </c>
      <c r="V6014">
        <f t="shared" si="469"/>
        <v>0</v>
      </c>
    </row>
    <row r="6015" spans="1:22" x14ac:dyDescent="0.25">
      <c r="A6015">
        <v>6012</v>
      </c>
      <c r="B6015" t="s">
        <v>40</v>
      </c>
      <c r="C6015" t="s">
        <v>1755</v>
      </c>
      <c r="D6015" s="4">
        <v>45415</v>
      </c>
      <c r="E6015" t="s">
        <v>883</v>
      </c>
      <c r="F6015" t="s">
        <v>75</v>
      </c>
      <c r="I6015" s="6">
        <v>0</v>
      </c>
      <c r="J6015" s="6">
        <v>0</v>
      </c>
      <c r="K6015" s="6">
        <v>0</v>
      </c>
      <c r="L6015" s="6">
        <v>0</v>
      </c>
      <c r="M6015" s="6">
        <v>0</v>
      </c>
      <c r="N6015" s="6">
        <v>0</v>
      </c>
      <c r="O6015" s="6">
        <v>0</v>
      </c>
      <c r="P6015" s="6">
        <v>0</v>
      </c>
      <c r="Q6015">
        <v>1</v>
      </c>
      <c r="R6015">
        <f t="shared" si="465"/>
        <v>0</v>
      </c>
      <c r="S6015">
        <f t="shared" si="466"/>
        <v>1</v>
      </c>
      <c r="T6015">
        <f t="shared" si="467"/>
        <v>0</v>
      </c>
      <c r="U6015">
        <f t="shared" si="468"/>
        <v>0</v>
      </c>
      <c r="V6015">
        <f t="shared" si="469"/>
        <v>0</v>
      </c>
    </row>
    <row r="6016" spans="1:22" x14ac:dyDescent="0.25">
      <c r="A6016">
        <v>6013</v>
      </c>
      <c r="B6016" t="s">
        <v>40</v>
      </c>
      <c r="C6016" t="s">
        <v>1755</v>
      </c>
      <c r="D6016" s="4">
        <v>45415</v>
      </c>
      <c r="E6016" t="s">
        <v>884</v>
      </c>
      <c r="F6016" t="s">
        <v>75</v>
      </c>
      <c r="I6016" s="6">
        <v>0</v>
      </c>
      <c r="J6016" s="6">
        <v>0</v>
      </c>
      <c r="K6016" s="6">
        <v>0</v>
      </c>
      <c r="L6016" s="6">
        <v>0</v>
      </c>
      <c r="M6016" s="6">
        <v>0</v>
      </c>
      <c r="N6016" s="6">
        <v>0</v>
      </c>
      <c r="O6016" s="6">
        <v>0</v>
      </c>
      <c r="P6016" s="6">
        <v>0</v>
      </c>
      <c r="Q6016">
        <v>1</v>
      </c>
      <c r="R6016">
        <f t="shared" si="465"/>
        <v>0</v>
      </c>
      <c r="S6016">
        <f t="shared" si="466"/>
        <v>1</v>
      </c>
      <c r="T6016">
        <f t="shared" si="467"/>
        <v>0</v>
      </c>
      <c r="U6016">
        <f t="shared" si="468"/>
        <v>0</v>
      </c>
      <c r="V6016">
        <f t="shared" si="469"/>
        <v>0</v>
      </c>
    </row>
    <row r="6017" spans="1:22" x14ac:dyDescent="0.25">
      <c r="A6017">
        <v>6014</v>
      </c>
      <c r="B6017" t="s">
        <v>40</v>
      </c>
      <c r="C6017" t="s">
        <v>1755</v>
      </c>
      <c r="D6017" s="4">
        <v>45415</v>
      </c>
      <c r="E6017" t="s">
        <v>1166</v>
      </c>
      <c r="F6017" t="s">
        <v>75</v>
      </c>
      <c r="I6017" s="6"/>
      <c r="J6017" s="6"/>
      <c r="K6017" s="6"/>
      <c r="L6017" s="6"/>
      <c r="M6017" s="6"/>
      <c r="N6017" s="6"/>
      <c r="O6017" s="6"/>
      <c r="P6017" s="6"/>
      <c r="Q6017">
        <v>0</v>
      </c>
      <c r="R6017">
        <f t="shared" si="465"/>
        <v>0</v>
      </c>
      <c r="S6017">
        <f t="shared" si="466"/>
        <v>0</v>
      </c>
      <c r="T6017">
        <f t="shared" si="467"/>
        <v>0</v>
      </c>
      <c r="U6017">
        <f t="shared" si="468"/>
        <v>0</v>
      </c>
      <c r="V6017">
        <f t="shared" si="469"/>
        <v>0</v>
      </c>
    </row>
    <row r="6018" spans="1:22" x14ac:dyDescent="0.25">
      <c r="A6018">
        <v>6015</v>
      </c>
      <c r="B6018" t="s">
        <v>40</v>
      </c>
      <c r="C6018" t="s">
        <v>1755</v>
      </c>
      <c r="D6018" s="4">
        <v>45415</v>
      </c>
      <c r="E6018" t="s">
        <v>1397</v>
      </c>
      <c r="F6018" t="s">
        <v>75</v>
      </c>
      <c r="I6018" s="6"/>
      <c r="J6018" s="6"/>
      <c r="K6018" s="6"/>
      <c r="L6018" s="6"/>
      <c r="M6018" s="6"/>
      <c r="N6018" s="6"/>
      <c r="O6018" s="6"/>
      <c r="P6018" s="6"/>
      <c r="Q6018">
        <v>0</v>
      </c>
      <c r="R6018">
        <f t="shared" si="465"/>
        <v>0</v>
      </c>
      <c r="S6018">
        <f t="shared" si="466"/>
        <v>0</v>
      </c>
      <c r="T6018">
        <f t="shared" si="467"/>
        <v>0</v>
      </c>
      <c r="U6018">
        <f t="shared" si="468"/>
        <v>0</v>
      </c>
      <c r="V6018">
        <f t="shared" si="469"/>
        <v>0</v>
      </c>
    </row>
    <row r="6019" spans="1:22" x14ac:dyDescent="0.25">
      <c r="A6019">
        <v>6016</v>
      </c>
      <c r="B6019" t="s">
        <v>40</v>
      </c>
      <c r="C6019" t="s">
        <v>1755</v>
      </c>
      <c r="D6019" s="4">
        <v>45415</v>
      </c>
      <c r="E6019" t="s">
        <v>1167</v>
      </c>
      <c r="F6019" t="s">
        <v>75</v>
      </c>
      <c r="I6019" s="6"/>
      <c r="J6019" s="6"/>
      <c r="K6019" s="6"/>
      <c r="L6019" s="6"/>
      <c r="M6019" s="6"/>
      <c r="N6019" s="6"/>
      <c r="O6019" s="6"/>
      <c r="P6019" s="6"/>
      <c r="Q6019">
        <v>0</v>
      </c>
      <c r="R6019">
        <f t="shared" ref="R6019:R6082" si="470">IF(AND(Q6019=1,F6019="ai_full"),1,0)</f>
        <v>0</v>
      </c>
      <c r="S6019">
        <f t="shared" ref="S6019:S6082" si="471">IF(AND(Q6019=1,F6019="conventional"),1,0)</f>
        <v>0</v>
      </c>
      <c r="T6019">
        <f t="shared" ref="T6019:T6082" si="472">SUM(I6019:P6019)</f>
        <v>0</v>
      </c>
      <c r="U6019">
        <f t="shared" ref="U6019:U6082" si="473">IF(T6019&gt;=1,1,0)</f>
        <v>0</v>
      </c>
      <c r="V6019">
        <f t="shared" ref="V6019:V6082" si="474">IF(F6019="ai_full",1,0)</f>
        <v>0</v>
      </c>
    </row>
    <row r="6020" spans="1:22" x14ac:dyDescent="0.25">
      <c r="A6020">
        <v>6017</v>
      </c>
      <c r="B6020" t="s">
        <v>40</v>
      </c>
      <c r="C6020" t="s">
        <v>1755</v>
      </c>
      <c r="D6020" s="4">
        <v>45415</v>
      </c>
      <c r="E6020" t="s">
        <v>2020</v>
      </c>
      <c r="F6020" t="s">
        <v>75</v>
      </c>
      <c r="I6020" s="6"/>
      <c r="J6020" s="6"/>
      <c r="K6020" s="6"/>
      <c r="L6020" s="6"/>
      <c r="M6020" s="6"/>
      <c r="N6020" s="6"/>
      <c r="O6020" s="6"/>
      <c r="P6020" s="6"/>
      <c r="Q6020">
        <v>0</v>
      </c>
      <c r="R6020">
        <f t="shared" si="470"/>
        <v>0</v>
      </c>
      <c r="S6020">
        <f t="shared" si="471"/>
        <v>0</v>
      </c>
      <c r="T6020">
        <f t="shared" si="472"/>
        <v>0</v>
      </c>
      <c r="U6020">
        <f t="shared" si="473"/>
        <v>0</v>
      </c>
      <c r="V6020">
        <f t="shared" si="474"/>
        <v>0</v>
      </c>
    </row>
    <row r="6021" spans="1:22" x14ac:dyDescent="0.25">
      <c r="A6021">
        <v>6018</v>
      </c>
      <c r="B6021" t="s">
        <v>40</v>
      </c>
      <c r="C6021" t="s">
        <v>1755</v>
      </c>
      <c r="D6021" s="4">
        <v>45415</v>
      </c>
      <c r="E6021" t="s">
        <v>1168</v>
      </c>
      <c r="F6021" t="s">
        <v>75</v>
      </c>
      <c r="I6021" s="6"/>
      <c r="J6021" s="6"/>
      <c r="K6021" s="6"/>
      <c r="L6021" s="6"/>
      <c r="M6021" s="6"/>
      <c r="N6021" s="6"/>
      <c r="O6021" s="6"/>
      <c r="P6021" s="6"/>
      <c r="Q6021">
        <v>0</v>
      </c>
      <c r="R6021">
        <f t="shared" si="470"/>
        <v>0</v>
      </c>
      <c r="S6021">
        <f t="shared" si="471"/>
        <v>0</v>
      </c>
      <c r="T6021">
        <f t="shared" si="472"/>
        <v>0</v>
      </c>
      <c r="U6021">
        <f t="shared" si="473"/>
        <v>0</v>
      </c>
      <c r="V6021">
        <f t="shared" si="474"/>
        <v>0</v>
      </c>
    </row>
    <row r="6022" spans="1:22" x14ac:dyDescent="0.25">
      <c r="A6022">
        <v>6019</v>
      </c>
      <c r="B6022" t="s">
        <v>40</v>
      </c>
      <c r="C6022" t="s">
        <v>1755</v>
      </c>
      <c r="D6022" s="4">
        <v>45416</v>
      </c>
      <c r="E6022" t="s">
        <v>1399</v>
      </c>
      <c r="F6022" t="s">
        <v>75</v>
      </c>
      <c r="H6022" t="s">
        <v>1817</v>
      </c>
      <c r="I6022" s="6">
        <v>1</v>
      </c>
      <c r="J6022" s="6">
        <v>0</v>
      </c>
      <c r="K6022" s="6">
        <v>0</v>
      </c>
      <c r="L6022" s="6">
        <v>0</v>
      </c>
      <c r="M6022" s="6">
        <v>1</v>
      </c>
      <c r="N6022" s="6">
        <v>0</v>
      </c>
      <c r="O6022" s="6">
        <v>0</v>
      </c>
      <c r="P6022" s="6">
        <v>0</v>
      </c>
      <c r="Q6022">
        <v>1</v>
      </c>
      <c r="R6022">
        <f t="shared" si="470"/>
        <v>0</v>
      </c>
      <c r="S6022">
        <f t="shared" si="471"/>
        <v>1</v>
      </c>
      <c r="T6022">
        <f t="shared" si="472"/>
        <v>2</v>
      </c>
      <c r="U6022">
        <f t="shared" si="473"/>
        <v>1</v>
      </c>
      <c r="V6022">
        <f t="shared" si="474"/>
        <v>0</v>
      </c>
    </row>
    <row r="6023" spans="1:22" x14ac:dyDescent="0.25">
      <c r="A6023">
        <v>6020</v>
      </c>
      <c r="B6023" t="s">
        <v>40</v>
      </c>
      <c r="C6023" t="s">
        <v>1755</v>
      </c>
      <c r="D6023" s="4">
        <v>45417</v>
      </c>
      <c r="E6023" t="s">
        <v>885</v>
      </c>
      <c r="F6023" t="s">
        <v>75</v>
      </c>
      <c r="I6023" s="6">
        <v>0</v>
      </c>
      <c r="J6023" s="6">
        <v>0</v>
      </c>
      <c r="K6023" s="6">
        <v>0</v>
      </c>
      <c r="L6023" s="6">
        <v>0</v>
      </c>
      <c r="M6023" s="6">
        <v>0</v>
      </c>
      <c r="N6023" s="6">
        <v>0</v>
      </c>
      <c r="O6023" s="6">
        <v>0</v>
      </c>
      <c r="P6023" s="6">
        <v>0</v>
      </c>
      <c r="Q6023">
        <v>1</v>
      </c>
      <c r="R6023">
        <f t="shared" si="470"/>
        <v>0</v>
      </c>
      <c r="S6023">
        <f t="shared" si="471"/>
        <v>1</v>
      </c>
      <c r="T6023">
        <f t="shared" si="472"/>
        <v>0</v>
      </c>
      <c r="U6023">
        <f t="shared" si="473"/>
        <v>0</v>
      </c>
      <c r="V6023">
        <f t="shared" si="474"/>
        <v>0</v>
      </c>
    </row>
    <row r="6024" spans="1:22" x14ac:dyDescent="0.25">
      <c r="A6024">
        <v>6021</v>
      </c>
      <c r="B6024" t="s">
        <v>40</v>
      </c>
      <c r="C6024" t="s">
        <v>1755</v>
      </c>
      <c r="D6024" s="4">
        <v>45418</v>
      </c>
      <c r="E6024" t="s">
        <v>470</v>
      </c>
      <c r="F6024" t="s">
        <v>75</v>
      </c>
      <c r="I6024" s="6">
        <v>0</v>
      </c>
      <c r="J6024" s="6">
        <v>0</v>
      </c>
      <c r="K6024" s="6">
        <v>0</v>
      </c>
      <c r="L6024" s="6">
        <v>0</v>
      </c>
      <c r="M6024" s="6">
        <v>0</v>
      </c>
      <c r="N6024" s="6">
        <v>0</v>
      </c>
      <c r="O6024" s="6">
        <v>0</v>
      </c>
      <c r="P6024" s="6">
        <v>0</v>
      </c>
      <c r="Q6024">
        <v>1</v>
      </c>
      <c r="R6024">
        <f t="shared" si="470"/>
        <v>0</v>
      </c>
      <c r="S6024">
        <f t="shared" si="471"/>
        <v>1</v>
      </c>
      <c r="T6024">
        <f t="shared" si="472"/>
        <v>0</v>
      </c>
      <c r="U6024">
        <f t="shared" si="473"/>
        <v>0</v>
      </c>
      <c r="V6024">
        <f t="shared" si="474"/>
        <v>0</v>
      </c>
    </row>
    <row r="6025" spans="1:22" x14ac:dyDescent="0.25">
      <c r="A6025">
        <v>6022</v>
      </c>
      <c r="B6025" t="s">
        <v>40</v>
      </c>
      <c r="C6025" t="s">
        <v>1755</v>
      </c>
      <c r="D6025" s="4">
        <v>45419</v>
      </c>
      <c r="E6025" t="s">
        <v>1080</v>
      </c>
      <c r="F6025" t="s">
        <v>75</v>
      </c>
      <c r="I6025" s="6">
        <v>0</v>
      </c>
      <c r="J6025" s="6">
        <v>0</v>
      </c>
      <c r="K6025" s="6">
        <v>0</v>
      </c>
      <c r="L6025" s="6">
        <v>0</v>
      </c>
      <c r="M6025" s="6">
        <v>1</v>
      </c>
      <c r="N6025" s="6">
        <v>0</v>
      </c>
      <c r="O6025" s="6">
        <v>0</v>
      </c>
      <c r="P6025" s="6">
        <v>0</v>
      </c>
      <c r="Q6025">
        <v>1</v>
      </c>
      <c r="R6025">
        <f t="shared" si="470"/>
        <v>0</v>
      </c>
      <c r="S6025">
        <f t="shared" si="471"/>
        <v>1</v>
      </c>
      <c r="T6025">
        <f t="shared" si="472"/>
        <v>1</v>
      </c>
      <c r="U6025">
        <f t="shared" si="473"/>
        <v>1</v>
      </c>
      <c r="V6025">
        <f t="shared" si="474"/>
        <v>0</v>
      </c>
    </row>
    <row r="6026" spans="1:22" x14ac:dyDescent="0.25">
      <c r="A6026">
        <v>6023</v>
      </c>
      <c r="B6026" t="s">
        <v>40</v>
      </c>
      <c r="C6026" t="s">
        <v>1755</v>
      </c>
      <c r="D6026" s="4">
        <v>45419</v>
      </c>
      <c r="E6026" t="s">
        <v>320</v>
      </c>
      <c r="F6026" t="s">
        <v>75</v>
      </c>
      <c r="I6026" s="6">
        <v>1</v>
      </c>
      <c r="J6026" s="6">
        <v>0</v>
      </c>
      <c r="K6026" s="6">
        <v>0</v>
      </c>
      <c r="L6026" s="6">
        <v>0</v>
      </c>
      <c r="M6026" s="6">
        <v>0</v>
      </c>
      <c r="N6026" s="6">
        <v>0</v>
      </c>
      <c r="O6026" s="6">
        <v>0</v>
      </c>
      <c r="P6026" s="6">
        <v>0</v>
      </c>
      <c r="Q6026">
        <v>1</v>
      </c>
      <c r="R6026">
        <f t="shared" si="470"/>
        <v>0</v>
      </c>
      <c r="S6026">
        <f t="shared" si="471"/>
        <v>1</v>
      </c>
      <c r="T6026">
        <f t="shared" si="472"/>
        <v>1</v>
      </c>
      <c r="U6026">
        <f t="shared" si="473"/>
        <v>1</v>
      </c>
      <c r="V6026">
        <f t="shared" si="474"/>
        <v>0</v>
      </c>
    </row>
    <row r="6027" spans="1:22" x14ac:dyDescent="0.25">
      <c r="A6027">
        <v>6024</v>
      </c>
      <c r="B6027" t="s">
        <v>40</v>
      </c>
      <c r="C6027" t="s">
        <v>1755</v>
      </c>
      <c r="D6027" s="4">
        <v>45420</v>
      </c>
      <c r="E6027" t="s">
        <v>471</v>
      </c>
      <c r="F6027" t="s">
        <v>75</v>
      </c>
      <c r="I6027" s="6"/>
      <c r="J6027" s="6"/>
      <c r="K6027" s="6"/>
      <c r="L6027" s="6"/>
      <c r="M6027" s="6"/>
      <c r="N6027" s="6"/>
      <c r="O6027" s="6"/>
      <c r="P6027" s="6"/>
      <c r="Q6027">
        <v>0</v>
      </c>
      <c r="R6027">
        <f t="shared" si="470"/>
        <v>0</v>
      </c>
      <c r="S6027">
        <f t="shared" si="471"/>
        <v>0</v>
      </c>
      <c r="T6027">
        <f t="shared" si="472"/>
        <v>0</v>
      </c>
      <c r="U6027">
        <f t="shared" si="473"/>
        <v>0</v>
      </c>
      <c r="V6027">
        <f t="shared" si="474"/>
        <v>0</v>
      </c>
    </row>
    <row r="6028" spans="1:22" x14ac:dyDescent="0.25">
      <c r="A6028">
        <v>6025</v>
      </c>
      <c r="B6028" t="s">
        <v>40</v>
      </c>
      <c r="C6028" t="s">
        <v>1755</v>
      </c>
      <c r="D6028" s="4">
        <v>45420</v>
      </c>
      <c r="E6028" t="s">
        <v>472</v>
      </c>
      <c r="F6028" t="s">
        <v>75</v>
      </c>
      <c r="I6028" s="6"/>
      <c r="J6028" s="6"/>
      <c r="K6028" s="6"/>
      <c r="L6028" s="6"/>
      <c r="M6028" s="6"/>
      <c r="N6028" s="6"/>
      <c r="O6028" s="6"/>
      <c r="P6028" s="6"/>
      <c r="Q6028">
        <v>0</v>
      </c>
      <c r="R6028">
        <f t="shared" si="470"/>
        <v>0</v>
      </c>
      <c r="S6028">
        <f t="shared" si="471"/>
        <v>0</v>
      </c>
      <c r="T6028">
        <f t="shared" si="472"/>
        <v>0</v>
      </c>
      <c r="U6028">
        <f t="shared" si="473"/>
        <v>0</v>
      </c>
      <c r="V6028">
        <f t="shared" si="474"/>
        <v>0</v>
      </c>
    </row>
    <row r="6029" spans="1:22" x14ac:dyDescent="0.25">
      <c r="A6029">
        <v>6026</v>
      </c>
      <c r="B6029" t="s">
        <v>40</v>
      </c>
      <c r="C6029" t="s">
        <v>1755</v>
      </c>
      <c r="D6029" s="4">
        <v>45420</v>
      </c>
      <c r="E6029" t="s">
        <v>473</v>
      </c>
      <c r="F6029" t="s">
        <v>75</v>
      </c>
      <c r="I6029" s="6"/>
      <c r="J6029" s="6"/>
      <c r="K6029" s="6"/>
      <c r="L6029" s="6"/>
      <c r="M6029" s="6"/>
      <c r="N6029" s="6"/>
      <c r="O6029" s="6"/>
      <c r="P6029" s="6"/>
      <c r="Q6029">
        <v>0</v>
      </c>
      <c r="R6029">
        <f t="shared" si="470"/>
        <v>0</v>
      </c>
      <c r="S6029">
        <f t="shared" si="471"/>
        <v>0</v>
      </c>
      <c r="T6029">
        <f t="shared" si="472"/>
        <v>0</v>
      </c>
      <c r="U6029">
        <f t="shared" si="473"/>
        <v>0</v>
      </c>
      <c r="V6029">
        <f t="shared" si="474"/>
        <v>0</v>
      </c>
    </row>
    <row r="6030" spans="1:22" x14ac:dyDescent="0.25">
      <c r="A6030">
        <v>6027</v>
      </c>
      <c r="B6030" t="s">
        <v>40</v>
      </c>
      <c r="C6030" t="s">
        <v>1755</v>
      </c>
      <c r="D6030" s="4">
        <v>45420</v>
      </c>
      <c r="E6030" t="s">
        <v>1082</v>
      </c>
      <c r="F6030" t="s">
        <v>75</v>
      </c>
      <c r="I6030" s="6">
        <v>1</v>
      </c>
      <c r="J6030" s="6">
        <v>0</v>
      </c>
      <c r="K6030" s="6">
        <v>0</v>
      </c>
      <c r="L6030" s="6">
        <v>0</v>
      </c>
      <c r="M6030" s="6">
        <v>1</v>
      </c>
      <c r="N6030" s="6">
        <v>1</v>
      </c>
      <c r="O6030" s="6">
        <v>0</v>
      </c>
      <c r="P6030" s="6">
        <v>0</v>
      </c>
      <c r="Q6030">
        <v>1</v>
      </c>
      <c r="R6030">
        <f t="shared" si="470"/>
        <v>0</v>
      </c>
      <c r="S6030">
        <f t="shared" si="471"/>
        <v>1</v>
      </c>
      <c r="T6030">
        <f t="shared" si="472"/>
        <v>3</v>
      </c>
      <c r="U6030">
        <f t="shared" si="473"/>
        <v>1</v>
      </c>
      <c r="V6030">
        <f t="shared" si="474"/>
        <v>0</v>
      </c>
    </row>
    <row r="6031" spans="1:22" x14ac:dyDescent="0.25">
      <c r="A6031">
        <v>6028</v>
      </c>
      <c r="B6031" t="s">
        <v>40</v>
      </c>
      <c r="C6031" t="s">
        <v>1755</v>
      </c>
      <c r="D6031" s="4">
        <v>45421</v>
      </c>
      <c r="E6031" t="s">
        <v>321</v>
      </c>
      <c r="F6031" t="s">
        <v>75</v>
      </c>
      <c r="I6031" s="6">
        <v>0</v>
      </c>
      <c r="J6031" s="6">
        <v>0</v>
      </c>
      <c r="K6031" s="6">
        <v>0</v>
      </c>
      <c r="L6031" s="6">
        <v>0</v>
      </c>
      <c r="M6031" s="6">
        <v>1</v>
      </c>
      <c r="N6031" s="6">
        <v>1</v>
      </c>
      <c r="O6031" s="6">
        <v>0</v>
      </c>
      <c r="P6031" s="6">
        <v>0</v>
      </c>
      <c r="Q6031">
        <v>1</v>
      </c>
      <c r="R6031">
        <f t="shared" si="470"/>
        <v>0</v>
      </c>
      <c r="S6031">
        <f t="shared" si="471"/>
        <v>1</v>
      </c>
      <c r="T6031">
        <f t="shared" si="472"/>
        <v>2</v>
      </c>
      <c r="U6031">
        <f t="shared" si="473"/>
        <v>1</v>
      </c>
      <c r="V6031">
        <f t="shared" si="474"/>
        <v>0</v>
      </c>
    </row>
    <row r="6032" spans="1:22" x14ac:dyDescent="0.25">
      <c r="A6032">
        <v>6029</v>
      </c>
      <c r="B6032" t="s">
        <v>40</v>
      </c>
      <c r="C6032" t="s">
        <v>1755</v>
      </c>
      <c r="D6032" s="4">
        <v>45421</v>
      </c>
      <c r="E6032" t="s">
        <v>322</v>
      </c>
      <c r="F6032" t="s">
        <v>75</v>
      </c>
      <c r="H6032" t="s">
        <v>1818</v>
      </c>
      <c r="I6032" s="6">
        <v>0</v>
      </c>
      <c r="J6032" s="6">
        <v>0</v>
      </c>
      <c r="K6032" s="6">
        <v>0</v>
      </c>
      <c r="L6032" s="6">
        <v>0</v>
      </c>
      <c r="M6032" s="6">
        <v>0</v>
      </c>
      <c r="N6032" s="6">
        <v>0</v>
      </c>
      <c r="O6032" s="6">
        <v>0</v>
      </c>
      <c r="P6032" s="6">
        <v>0</v>
      </c>
      <c r="Q6032">
        <v>1</v>
      </c>
      <c r="R6032">
        <f t="shared" si="470"/>
        <v>0</v>
      </c>
      <c r="S6032">
        <f t="shared" si="471"/>
        <v>1</v>
      </c>
      <c r="T6032">
        <f t="shared" si="472"/>
        <v>0</v>
      </c>
      <c r="U6032">
        <f t="shared" si="473"/>
        <v>0</v>
      </c>
      <c r="V6032">
        <f t="shared" si="474"/>
        <v>0</v>
      </c>
    </row>
    <row r="6033" spans="1:22" x14ac:dyDescent="0.25">
      <c r="A6033">
        <v>6030</v>
      </c>
      <c r="B6033" t="s">
        <v>40</v>
      </c>
      <c r="C6033" t="s">
        <v>1755</v>
      </c>
      <c r="D6033" s="4">
        <v>45421</v>
      </c>
      <c r="E6033" t="s">
        <v>323</v>
      </c>
      <c r="F6033" t="s">
        <v>75</v>
      </c>
      <c r="H6033" t="s">
        <v>1813</v>
      </c>
      <c r="I6033" s="6">
        <v>1</v>
      </c>
      <c r="J6033" s="6">
        <v>0</v>
      </c>
      <c r="K6033" s="6">
        <v>0</v>
      </c>
      <c r="L6033" s="6">
        <v>0</v>
      </c>
      <c r="M6033" s="6">
        <v>0</v>
      </c>
      <c r="N6033" s="6">
        <v>0</v>
      </c>
      <c r="O6033" s="6">
        <v>0</v>
      </c>
      <c r="P6033" s="6">
        <v>0</v>
      </c>
      <c r="Q6033">
        <v>1</v>
      </c>
      <c r="R6033">
        <f t="shared" si="470"/>
        <v>0</v>
      </c>
      <c r="S6033">
        <f t="shared" si="471"/>
        <v>1</v>
      </c>
      <c r="T6033">
        <f t="shared" si="472"/>
        <v>1</v>
      </c>
      <c r="U6033">
        <f t="shared" si="473"/>
        <v>1</v>
      </c>
      <c r="V6033">
        <f t="shared" si="474"/>
        <v>0</v>
      </c>
    </row>
    <row r="6034" spans="1:22" x14ac:dyDescent="0.25">
      <c r="A6034">
        <v>6031</v>
      </c>
      <c r="B6034" t="s">
        <v>40</v>
      </c>
      <c r="C6034" t="s">
        <v>1755</v>
      </c>
      <c r="D6034" s="4">
        <v>45421</v>
      </c>
      <c r="E6034" t="s">
        <v>324</v>
      </c>
      <c r="F6034" t="s">
        <v>75</v>
      </c>
      <c r="I6034" s="6"/>
      <c r="J6034" s="6"/>
      <c r="K6034" s="6"/>
      <c r="L6034" s="6"/>
      <c r="M6034" s="6"/>
      <c r="N6034" s="6"/>
      <c r="O6034" s="6"/>
      <c r="P6034" s="6"/>
      <c r="Q6034">
        <v>0</v>
      </c>
      <c r="R6034">
        <f t="shared" si="470"/>
        <v>0</v>
      </c>
      <c r="S6034">
        <f t="shared" si="471"/>
        <v>0</v>
      </c>
      <c r="T6034">
        <f t="shared" si="472"/>
        <v>0</v>
      </c>
      <c r="U6034">
        <f t="shared" si="473"/>
        <v>0</v>
      </c>
      <c r="V6034">
        <f t="shared" si="474"/>
        <v>0</v>
      </c>
    </row>
    <row r="6035" spans="1:22" x14ac:dyDescent="0.25">
      <c r="A6035">
        <v>6032</v>
      </c>
      <c r="B6035" t="s">
        <v>40</v>
      </c>
      <c r="C6035" t="s">
        <v>1755</v>
      </c>
      <c r="D6035" s="4">
        <v>45421</v>
      </c>
      <c r="E6035" t="s">
        <v>325</v>
      </c>
      <c r="F6035" t="s">
        <v>75</v>
      </c>
      <c r="I6035" s="6">
        <v>0</v>
      </c>
      <c r="J6035" s="6">
        <v>0</v>
      </c>
      <c r="K6035" s="6">
        <v>0</v>
      </c>
      <c r="L6035" s="6">
        <v>0</v>
      </c>
      <c r="M6035" s="6">
        <v>0</v>
      </c>
      <c r="N6035" s="6">
        <v>0</v>
      </c>
      <c r="O6035" s="6">
        <v>0</v>
      </c>
      <c r="P6035" s="6">
        <v>0</v>
      </c>
      <c r="Q6035">
        <v>1</v>
      </c>
      <c r="R6035">
        <f t="shared" si="470"/>
        <v>0</v>
      </c>
      <c r="S6035">
        <f t="shared" si="471"/>
        <v>1</v>
      </c>
      <c r="T6035">
        <f t="shared" si="472"/>
        <v>0</v>
      </c>
      <c r="U6035">
        <f t="shared" si="473"/>
        <v>0</v>
      </c>
      <c r="V6035">
        <f t="shared" si="474"/>
        <v>0</v>
      </c>
    </row>
    <row r="6036" spans="1:22" x14ac:dyDescent="0.25">
      <c r="A6036">
        <v>6033</v>
      </c>
      <c r="B6036" t="s">
        <v>40</v>
      </c>
      <c r="C6036" t="s">
        <v>1755</v>
      </c>
      <c r="D6036" s="4">
        <v>45421</v>
      </c>
      <c r="E6036" t="s">
        <v>1085</v>
      </c>
      <c r="F6036" t="s">
        <v>75</v>
      </c>
      <c r="H6036" t="s">
        <v>1819</v>
      </c>
      <c r="I6036" s="6">
        <v>0</v>
      </c>
      <c r="J6036" s="6">
        <v>0</v>
      </c>
      <c r="K6036" s="6">
        <v>0</v>
      </c>
      <c r="L6036" s="6">
        <v>0</v>
      </c>
      <c r="M6036" s="6">
        <v>0</v>
      </c>
      <c r="N6036" s="6">
        <v>0</v>
      </c>
      <c r="O6036" s="6">
        <v>0</v>
      </c>
      <c r="P6036" s="6">
        <v>0</v>
      </c>
      <c r="Q6036">
        <v>1</v>
      </c>
      <c r="R6036">
        <f t="shared" si="470"/>
        <v>0</v>
      </c>
      <c r="S6036">
        <f t="shared" si="471"/>
        <v>1</v>
      </c>
      <c r="T6036">
        <f t="shared" si="472"/>
        <v>0</v>
      </c>
      <c r="U6036">
        <f t="shared" si="473"/>
        <v>0</v>
      </c>
      <c r="V6036">
        <f t="shared" si="474"/>
        <v>0</v>
      </c>
    </row>
    <row r="6037" spans="1:22" x14ac:dyDescent="0.25">
      <c r="A6037">
        <v>6034</v>
      </c>
      <c r="B6037" t="s">
        <v>40</v>
      </c>
      <c r="C6037" t="s">
        <v>1755</v>
      </c>
      <c r="D6037" s="4">
        <v>45422</v>
      </c>
      <c r="E6037" t="s">
        <v>1087</v>
      </c>
      <c r="F6037" t="s">
        <v>75</v>
      </c>
      <c r="I6037" s="6">
        <v>1</v>
      </c>
      <c r="J6037" s="6">
        <v>0</v>
      </c>
      <c r="K6037" s="6">
        <v>0</v>
      </c>
      <c r="L6037" s="6">
        <v>0</v>
      </c>
      <c r="M6037" s="6">
        <v>0</v>
      </c>
      <c r="N6037" s="6">
        <v>0</v>
      </c>
      <c r="O6037" s="6">
        <v>0</v>
      </c>
      <c r="P6037" s="6">
        <v>0</v>
      </c>
      <c r="Q6037">
        <v>1</v>
      </c>
      <c r="R6037">
        <f t="shared" si="470"/>
        <v>0</v>
      </c>
      <c r="S6037">
        <f t="shared" si="471"/>
        <v>1</v>
      </c>
      <c r="T6037">
        <f t="shared" si="472"/>
        <v>1</v>
      </c>
      <c r="U6037">
        <f t="shared" si="473"/>
        <v>1</v>
      </c>
      <c r="V6037">
        <f t="shared" si="474"/>
        <v>0</v>
      </c>
    </row>
    <row r="6038" spans="1:22" x14ac:dyDescent="0.25">
      <c r="A6038">
        <v>6035</v>
      </c>
      <c r="B6038" t="s">
        <v>40</v>
      </c>
      <c r="C6038" t="s">
        <v>1755</v>
      </c>
      <c r="D6038" s="4">
        <v>45422</v>
      </c>
      <c r="E6038" t="s">
        <v>1088</v>
      </c>
      <c r="F6038" t="s">
        <v>75</v>
      </c>
      <c r="H6038" t="s">
        <v>1820</v>
      </c>
      <c r="I6038" s="6">
        <v>1</v>
      </c>
      <c r="J6038" s="6">
        <v>0</v>
      </c>
      <c r="K6038" s="6">
        <v>0</v>
      </c>
      <c r="L6038" s="6">
        <v>1</v>
      </c>
      <c r="M6038" s="6">
        <v>0</v>
      </c>
      <c r="N6038" s="6">
        <v>0</v>
      </c>
      <c r="O6038" s="6">
        <v>0</v>
      </c>
      <c r="P6038" s="6">
        <v>0</v>
      </c>
      <c r="Q6038">
        <v>1</v>
      </c>
      <c r="R6038">
        <f t="shared" si="470"/>
        <v>0</v>
      </c>
      <c r="S6038">
        <f t="shared" si="471"/>
        <v>1</v>
      </c>
      <c r="T6038">
        <f t="shared" si="472"/>
        <v>2</v>
      </c>
      <c r="U6038">
        <f t="shared" si="473"/>
        <v>1</v>
      </c>
      <c r="V6038">
        <f t="shared" si="474"/>
        <v>0</v>
      </c>
    </row>
    <row r="6039" spans="1:22" x14ac:dyDescent="0.25">
      <c r="A6039">
        <v>6036</v>
      </c>
      <c r="B6039" t="s">
        <v>40</v>
      </c>
      <c r="C6039" t="s">
        <v>1755</v>
      </c>
      <c r="D6039" s="4">
        <v>45422</v>
      </c>
      <c r="E6039" t="s">
        <v>1089</v>
      </c>
      <c r="F6039" t="s">
        <v>413</v>
      </c>
      <c r="G6039">
        <v>281</v>
      </c>
      <c r="I6039" s="6">
        <v>0</v>
      </c>
      <c r="J6039" s="6">
        <v>0</v>
      </c>
      <c r="K6039" s="6">
        <v>0</v>
      </c>
      <c r="L6039" s="6">
        <v>0</v>
      </c>
      <c r="M6039" s="6">
        <v>1</v>
      </c>
      <c r="N6039" s="6">
        <v>1</v>
      </c>
      <c r="O6039" s="6">
        <v>0</v>
      </c>
      <c r="P6039" s="6">
        <v>0</v>
      </c>
      <c r="Q6039">
        <v>1</v>
      </c>
      <c r="R6039">
        <f t="shared" si="470"/>
        <v>1</v>
      </c>
      <c r="S6039">
        <f t="shared" si="471"/>
        <v>0</v>
      </c>
      <c r="T6039">
        <f t="shared" si="472"/>
        <v>2</v>
      </c>
      <c r="U6039">
        <f t="shared" si="473"/>
        <v>1</v>
      </c>
      <c r="V6039">
        <f t="shared" si="474"/>
        <v>1</v>
      </c>
    </row>
    <row r="6040" spans="1:22" x14ac:dyDescent="0.25">
      <c r="A6040">
        <v>6037</v>
      </c>
      <c r="B6040" t="s">
        <v>40</v>
      </c>
      <c r="C6040" t="s">
        <v>1755</v>
      </c>
      <c r="D6040" s="4">
        <v>45422</v>
      </c>
      <c r="E6040" t="s">
        <v>1183</v>
      </c>
      <c r="F6040" t="s">
        <v>413</v>
      </c>
      <c r="G6040">
        <v>289</v>
      </c>
      <c r="H6040" t="s">
        <v>3813</v>
      </c>
      <c r="I6040" s="6">
        <v>1</v>
      </c>
      <c r="J6040" s="6">
        <v>0</v>
      </c>
      <c r="K6040" s="6">
        <v>0</v>
      </c>
      <c r="L6040" s="6">
        <v>0</v>
      </c>
      <c r="M6040" s="6">
        <v>1</v>
      </c>
      <c r="N6040" s="6">
        <v>0</v>
      </c>
      <c r="O6040" s="6">
        <v>0</v>
      </c>
      <c r="P6040" s="6">
        <v>0</v>
      </c>
      <c r="Q6040">
        <v>1</v>
      </c>
      <c r="R6040">
        <f t="shared" si="470"/>
        <v>1</v>
      </c>
      <c r="S6040">
        <f t="shared" si="471"/>
        <v>0</v>
      </c>
      <c r="T6040">
        <f t="shared" si="472"/>
        <v>2</v>
      </c>
      <c r="U6040">
        <f t="shared" si="473"/>
        <v>1</v>
      </c>
      <c r="V6040">
        <f t="shared" si="474"/>
        <v>1</v>
      </c>
    </row>
    <row r="6041" spans="1:22" x14ac:dyDescent="0.25">
      <c r="A6041">
        <v>6038</v>
      </c>
      <c r="B6041" t="s">
        <v>40</v>
      </c>
      <c r="C6041" t="s">
        <v>1755</v>
      </c>
      <c r="D6041" s="4">
        <v>45423</v>
      </c>
      <c r="E6041" t="s">
        <v>887</v>
      </c>
      <c r="F6041" t="s">
        <v>75</v>
      </c>
      <c r="H6041" t="s">
        <v>1821</v>
      </c>
      <c r="I6041" s="6">
        <v>0</v>
      </c>
      <c r="J6041" s="6">
        <v>0</v>
      </c>
      <c r="K6041" s="6">
        <v>0</v>
      </c>
      <c r="L6041" s="6">
        <v>0</v>
      </c>
      <c r="M6041" s="6">
        <v>1</v>
      </c>
      <c r="N6041" s="6">
        <v>0</v>
      </c>
      <c r="O6041" s="6">
        <v>0</v>
      </c>
      <c r="P6041" s="6">
        <v>0</v>
      </c>
      <c r="Q6041">
        <v>1</v>
      </c>
      <c r="R6041">
        <f t="shared" si="470"/>
        <v>0</v>
      </c>
      <c r="S6041">
        <f t="shared" si="471"/>
        <v>1</v>
      </c>
      <c r="T6041">
        <f t="shared" si="472"/>
        <v>1</v>
      </c>
      <c r="U6041">
        <f t="shared" si="473"/>
        <v>1</v>
      </c>
      <c r="V6041">
        <f t="shared" si="474"/>
        <v>0</v>
      </c>
    </row>
    <row r="6042" spans="1:22" x14ac:dyDescent="0.25">
      <c r="A6042">
        <v>6039</v>
      </c>
      <c r="B6042" t="s">
        <v>40</v>
      </c>
      <c r="C6042" t="s">
        <v>1755</v>
      </c>
      <c r="D6042" s="4">
        <v>45425</v>
      </c>
      <c r="E6042" t="s">
        <v>333</v>
      </c>
      <c r="F6042" t="s">
        <v>75</v>
      </c>
      <c r="H6042" t="s">
        <v>1809</v>
      </c>
      <c r="I6042" s="6">
        <v>0</v>
      </c>
      <c r="J6042" s="6">
        <v>0</v>
      </c>
      <c r="K6042" s="6">
        <v>0</v>
      </c>
      <c r="L6042" s="6">
        <v>0</v>
      </c>
      <c r="M6042" s="6">
        <v>1</v>
      </c>
      <c r="N6042" s="6">
        <v>0</v>
      </c>
      <c r="O6042" s="6">
        <v>0</v>
      </c>
      <c r="P6042" s="6">
        <v>0</v>
      </c>
      <c r="Q6042">
        <v>1</v>
      </c>
      <c r="R6042">
        <f t="shared" si="470"/>
        <v>0</v>
      </c>
      <c r="S6042">
        <f t="shared" si="471"/>
        <v>1</v>
      </c>
      <c r="T6042">
        <f t="shared" si="472"/>
        <v>1</v>
      </c>
      <c r="U6042">
        <f t="shared" si="473"/>
        <v>1</v>
      </c>
      <c r="V6042">
        <f t="shared" si="474"/>
        <v>0</v>
      </c>
    </row>
    <row r="6043" spans="1:22" x14ac:dyDescent="0.25">
      <c r="A6043">
        <v>6040</v>
      </c>
      <c r="B6043" t="s">
        <v>40</v>
      </c>
      <c r="C6043" t="s">
        <v>1755</v>
      </c>
      <c r="D6043" s="4">
        <v>45425</v>
      </c>
      <c r="E6043" t="s">
        <v>334</v>
      </c>
      <c r="F6043" t="s">
        <v>75</v>
      </c>
      <c r="I6043" s="6">
        <v>1</v>
      </c>
      <c r="J6043" s="6">
        <v>0</v>
      </c>
      <c r="K6043" s="6">
        <v>1</v>
      </c>
      <c r="L6043" s="6">
        <v>0</v>
      </c>
      <c r="M6043" s="6">
        <v>0</v>
      </c>
      <c r="N6043" s="6">
        <v>0</v>
      </c>
      <c r="O6043" s="6">
        <v>0</v>
      </c>
      <c r="P6043" s="6">
        <v>0</v>
      </c>
      <c r="Q6043">
        <v>1</v>
      </c>
      <c r="R6043">
        <f t="shared" si="470"/>
        <v>0</v>
      </c>
      <c r="S6043">
        <f t="shared" si="471"/>
        <v>1</v>
      </c>
      <c r="T6043">
        <f t="shared" si="472"/>
        <v>2</v>
      </c>
      <c r="U6043">
        <f t="shared" si="473"/>
        <v>1</v>
      </c>
      <c r="V6043">
        <f t="shared" si="474"/>
        <v>0</v>
      </c>
    </row>
    <row r="6044" spans="1:22" x14ac:dyDescent="0.25">
      <c r="A6044">
        <v>6041</v>
      </c>
      <c r="B6044" t="s">
        <v>40</v>
      </c>
      <c r="C6044" t="s">
        <v>1755</v>
      </c>
      <c r="D6044" s="4">
        <v>45425</v>
      </c>
      <c r="E6044" t="s">
        <v>1090</v>
      </c>
      <c r="F6044" t="s">
        <v>75</v>
      </c>
      <c r="I6044" s="6">
        <v>0</v>
      </c>
      <c r="J6044" s="6">
        <v>0</v>
      </c>
      <c r="K6044" s="6">
        <v>0</v>
      </c>
      <c r="L6044" s="6">
        <v>0</v>
      </c>
      <c r="M6044" s="6">
        <v>0</v>
      </c>
      <c r="N6044" s="6">
        <v>0</v>
      </c>
      <c r="O6044" s="6">
        <v>0</v>
      </c>
      <c r="P6044" s="6">
        <v>0</v>
      </c>
      <c r="Q6044">
        <v>1</v>
      </c>
      <c r="R6044">
        <f t="shared" si="470"/>
        <v>0</v>
      </c>
      <c r="S6044">
        <f t="shared" si="471"/>
        <v>1</v>
      </c>
      <c r="T6044">
        <f t="shared" si="472"/>
        <v>0</v>
      </c>
      <c r="U6044">
        <f t="shared" si="473"/>
        <v>0</v>
      </c>
      <c r="V6044">
        <f t="shared" si="474"/>
        <v>0</v>
      </c>
    </row>
    <row r="6045" spans="1:22" x14ac:dyDescent="0.25">
      <c r="A6045">
        <v>6042</v>
      </c>
      <c r="B6045" t="s">
        <v>40</v>
      </c>
      <c r="C6045" t="s">
        <v>1755</v>
      </c>
      <c r="D6045" s="4">
        <v>45426</v>
      </c>
      <c r="E6045" t="s">
        <v>335</v>
      </c>
      <c r="F6045" t="s">
        <v>75</v>
      </c>
      <c r="I6045" s="6">
        <v>0</v>
      </c>
      <c r="J6045" s="6">
        <v>0</v>
      </c>
      <c r="K6045" s="6">
        <v>0</v>
      </c>
      <c r="L6045" s="6">
        <v>0</v>
      </c>
      <c r="M6045" s="6">
        <v>0</v>
      </c>
      <c r="N6045" s="6">
        <v>0</v>
      </c>
      <c r="O6045" s="6">
        <v>0</v>
      </c>
      <c r="P6045" s="6">
        <v>0</v>
      </c>
      <c r="Q6045">
        <v>1</v>
      </c>
      <c r="R6045">
        <f t="shared" si="470"/>
        <v>0</v>
      </c>
      <c r="S6045">
        <f t="shared" si="471"/>
        <v>1</v>
      </c>
      <c r="T6045">
        <f t="shared" si="472"/>
        <v>0</v>
      </c>
      <c r="U6045">
        <f t="shared" si="473"/>
        <v>0</v>
      </c>
      <c r="V6045">
        <f t="shared" si="474"/>
        <v>0</v>
      </c>
    </row>
    <row r="6046" spans="1:22" x14ac:dyDescent="0.25">
      <c r="A6046">
        <v>6043</v>
      </c>
      <c r="B6046" t="s">
        <v>40</v>
      </c>
      <c r="C6046" t="s">
        <v>1755</v>
      </c>
      <c r="D6046" s="4">
        <v>45426</v>
      </c>
      <c r="E6046" t="s">
        <v>1185</v>
      </c>
      <c r="F6046" t="s">
        <v>75</v>
      </c>
      <c r="I6046" s="6">
        <v>1</v>
      </c>
      <c r="J6046" s="6">
        <v>0</v>
      </c>
      <c r="K6046" s="6">
        <v>0</v>
      </c>
      <c r="L6046" s="6">
        <v>0</v>
      </c>
      <c r="M6046" s="6">
        <v>0</v>
      </c>
      <c r="N6046" s="6">
        <v>0</v>
      </c>
      <c r="O6046" s="6">
        <v>0</v>
      </c>
      <c r="P6046" s="6">
        <v>0</v>
      </c>
      <c r="Q6046">
        <v>1</v>
      </c>
      <c r="R6046">
        <f t="shared" si="470"/>
        <v>0</v>
      </c>
      <c r="S6046">
        <f t="shared" si="471"/>
        <v>1</v>
      </c>
      <c r="T6046">
        <f t="shared" si="472"/>
        <v>1</v>
      </c>
      <c r="U6046">
        <f t="shared" si="473"/>
        <v>1</v>
      </c>
      <c r="V6046">
        <f t="shared" si="474"/>
        <v>0</v>
      </c>
    </row>
    <row r="6047" spans="1:22" x14ac:dyDescent="0.25">
      <c r="A6047">
        <v>6044</v>
      </c>
      <c r="B6047" t="s">
        <v>40</v>
      </c>
      <c r="C6047" t="s">
        <v>1755</v>
      </c>
      <c r="D6047" s="4">
        <v>45426</v>
      </c>
      <c r="E6047" t="s">
        <v>2019</v>
      </c>
      <c r="F6047" t="s">
        <v>75</v>
      </c>
      <c r="I6047" s="6">
        <v>1</v>
      </c>
      <c r="J6047" s="6">
        <v>0</v>
      </c>
      <c r="K6047" s="6">
        <v>0</v>
      </c>
      <c r="L6047" s="6">
        <v>0</v>
      </c>
      <c r="M6047" s="6">
        <v>1</v>
      </c>
      <c r="N6047" s="6">
        <v>0</v>
      </c>
      <c r="O6047" s="6">
        <v>0</v>
      </c>
      <c r="P6047" s="6">
        <v>0</v>
      </c>
      <c r="Q6047">
        <v>1</v>
      </c>
      <c r="R6047">
        <f t="shared" si="470"/>
        <v>0</v>
      </c>
      <c r="S6047">
        <f t="shared" si="471"/>
        <v>1</v>
      </c>
      <c r="T6047">
        <f t="shared" si="472"/>
        <v>2</v>
      </c>
      <c r="U6047">
        <f t="shared" si="473"/>
        <v>1</v>
      </c>
      <c r="V6047">
        <f t="shared" si="474"/>
        <v>0</v>
      </c>
    </row>
    <row r="6048" spans="1:22" x14ac:dyDescent="0.25">
      <c r="A6048">
        <v>6045</v>
      </c>
      <c r="B6048" t="s">
        <v>40</v>
      </c>
      <c r="C6048" t="s">
        <v>1755</v>
      </c>
      <c r="D6048" s="4">
        <v>45427</v>
      </c>
      <c r="E6048" t="s">
        <v>336</v>
      </c>
      <c r="F6048" t="s">
        <v>75</v>
      </c>
      <c r="I6048" s="6">
        <v>0</v>
      </c>
      <c r="J6048" s="6">
        <v>0</v>
      </c>
      <c r="K6048" s="6">
        <v>0</v>
      </c>
      <c r="L6048" s="6">
        <v>0</v>
      </c>
      <c r="M6048" s="6">
        <v>0</v>
      </c>
      <c r="N6048" s="6">
        <v>0</v>
      </c>
      <c r="O6048" s="6">
        <v>0</v>
      </c>
      <c r="P6048" s="6">
        <v>0</v>
      </c>
      <c r="Q6048">
        <v>1</v>
      </c>
      <c r="R6048">
        <f t="shared" si="470"/>
        <v>0</v>
      </c>
      <c r="S6048">
        <f t="shared" si="471"/>
        <v>1</v>
      </c>
      <c r="T6048">
        <f t="shared" si="472"/>
        <v>0</v>
      </c>
      <c r="U6048">
        <f t="shared" si="473"/>
        <v>0</v>
      </c>
      <c r="V6048">
        <f t="shared" si="474"/>
        <v>0</v>
      </c>
    </row>
    <row r="6049" spans="1:22" x14ac:dyDescent="0.25">
      <c r="A6049">
        <v>6046</v>
      </c>
      <c r="B6049" t="s">
        <v>40</v>
      </c>
      <c r="C6049" t="s">
        <v>1755</v>
      </c>
      <c r="D6049" s="4">
        <v>45427</v>
      </c>
      <c r="E6049" t="s">
        <v>337</v>
      </c>
      <c r="F6049" t="s">
        <v>75</v>
      </c>
      <c r="I6049" s="6">
        <v>1</v>
      </c>
      <c r="J6049" s="6">
        <v>0</v>
      </c>
      <c r="K6049" s="6">
        <v>0</v>
      </c>
      <c r="L6049" s="6">
        <v>0</v>
      </c>
      <c r="M6049" s="6">
        <v>1</v>
      </c>
      <c r="N6049" s="6">
        <v>0</v>
      </c>
      <c r="O6049" s="6">
        <v>0</v>
      </c>
      <c r="P6049" s="6">
        <v>0</v>
      </c>
      <c r="Q6049">
        <v>1</v>
      </c>
      <c r="R6049">
        <f t="shared" si="470"/>
        <v>0</v>
      </c>
      <c r="S6049">
        <f t="shared" si="471"/>
        <v>1</v>
      </c>
      <c r="T6049">
        <f t="shared" si="472"/>
        <v>2</v>
      </c>
      <c r="U6049">
        <f t="shared" si="473"/>
        <v>1</v>
      </c>
      <c r="V6049">
        <f t="shared" si="474"/>
        <v>0</v>
      </c>
    </row>
    <row r="6050" spans="1:22" x14ac:dyDescent="0.25">
      <c r="A6050">
        <v>6047</v>
      </c>
      <c r="B6050" t="s">
        <v>40</v>
      </c>
      <c r="C6050" t="s">
        <v>1755</v>
      </c>
      <c r="D6050" s="4">
        <v>45427</v>
      </c>
      <c r="E6050" t="s">
        <v>338</v>
      </c>
      <c r="F6050" t="s">
        <v>75</v>
      </c>
      <c r="I6050" s="6">
        <v>1</v>
      </c>
      <c r="J6050" s="6">
        <v>0</v>
      </c>
      <c r="K6050" s="6">
        <v>0</v>
      </c>
      <c r="L6050" s="6">
        <v>0</v>
      </c>
      <c r="M6050" s="6">
        <v>0</v>
      </c>
      <c r="N6050" s="6">
        <v>0</v>
      </c>
      <c r="O6050" s="6">
        <v>0</v>
      </c>
      <c r="P6050" s="6">
        <v>0</v>
      </c>
      <c r="Q6050">
        <v>1</v>
      </c>
      <c r="R6050">
        <f t="shared" si="470"/>
        <v>0</v>
      </c>
      <c r="S6050">
        <f t="shared" si="471"/>
        <v>1</v>
      </c>
      <c r="T6050">
        <f t="shared" si="472"/>
        <v>1</v>
      </c>
      <c r="U6050">
        <f t="shared" si="473"/>
        <v>1</v>
      </c>
      <c r="V6050">
        <f t="shared" si="474"/>
        <v>0</v>
      </c>
    </row>
    <row r="6051" spans="1:22" x14ac:dyDescent="0.25">
      <c r="A6051">
        <v>6048</v>
      </c>
      <c r="B6051" t="s">
        <v>40</v>
      </c>
      <c r="C6051" t="s">
        <v>1755</v>
      </c>
      <c r="D6051" s="4">
        <v>45428</v>
      </c>
      <c r="E6051" t="s">
        <v>341</v>
      </c>
      <c r="F6051" t="s">
        <v>75</v>
      </c>
      <c r="I6051" s="6"/>
      <c r="J6051" s="6"/>
      <c r="K6051" s="6"/>
      <c r="L6051" s="6"/>
      <c r="M6051" s="6"/>
      <c r="N6051" s="6"/>
      <c r="O6051" s="6"/>
      <c r="P6051" s="6"/>
      <c r="Q6051">
        <v>0</v>
      </c>
      <c r="R6051">
        <f t="shared" si="470"/>
        <v>0</v>
      </c>
      <c r="S6051">
        <f t="shared" si="471"/>
        <v>0</v>
      </c>
      <c r="T6051">
        <f t="shared" si="472"/>
        <v>0</v>
      </c>
      <c r="U6051">
        <f t="shared" si="473"/>
        <v>0</v>
      </c>
      <c r="V6051">
        <f t="shared" si="474"/>
        <v>0</v>
      </c>
    </row>
    <row r="6052" spans="1:22" x14ac:dyDescent="0.25">
      <c r="A6052">
        <v>6049</v>
      </c>
      <c r="B6052" t="s">
        <v>40</v>
      </c>
      <c r="C6052" t="s">
        <v>1755</v>
      </c>
      <c r="D6052" s="4">
        <v>45428</v>
      </c>
      <c r="E6052" t="s">
        <v>342</v>
      </c>
      <c r="F6052" t="s">
        <v>75</v>
      </c>
      <c r="H6052" t="s">
        <v>1820</v>
      </c>
      <c r="I6052" s="6">
        <v>1</v>
      </c>
      <c r="J6052" s="6">
        <v>0</v>
      </c>
      <c r="K6052" s="6">
        <v>0</v>
      </c>
      <c r="L6052" s="6">
        <v>1</v>
      </c>
      <c r="M6052" s="6">
        <v>0</v>
      </c>
      <c r="N6052" s="6">
        <v>0</v>
      </c>
      <c r="O6052" s="6">
        <v>0</v>
      </c>
      <c r="P6052" s="6">
        <v>0</v>
      </c>
      <c r="Q6052">
        <v>1</v>
      </c>
      <c r="R6052">
        <f t="shared" si="470"/>
        <v>0</v>
      </c>
      <c r="S6052">
        <f t="shared" si="471"/>
        <v>1</v>
      </c>
      <c r="T6052">
        <f t="shared" si="472"/>
        <v>2</v>
      </c>
      <c r="U6052">
        <f t="shared" si="473"/>
        <v>1</v>
      </c>
      <c r="V6052">
        <f t="shared" si="474"/>
        <v>0</v>
      </c>
    </row>
    <row r="6053" spans="1:22" x14ac:dyDescent="0.25">
      <c r="A6053">
        <v>6050</v>
      </c>
      <c r="B6053" t="s">
        <v>40</v>
      </c>
      <c r="C6053" t="s">
        <v>1755</v>
      </c>
      <c r="D6053" s="4">
        <v>45428</v>
      </c>
      <c r="E6053" t="s">
        <v>343</v>
      </c>
      <c r="F6053" t="s">
        <v>75</v>
      </c>
      <c r="I6053" s="6"/>
      <c r="J6053" s="6"/>
      <c r="K6053" s="6"/>
      <c r="L6053" s="6"/>
      <c r="M6053" s="6"/>
      <c r="N6053" s="6"/>
      <c r="O6053" s="6"/>
      <c r="P6053" s="6"/>
      <c r="Q6053">
        <v>0</v>
      </c>
      <c r="R6053">
        <f t="shared" si="470"/>
        <v>0</v>
      </c>
      <c r="S6053">
        <f t="shared" si="471"/>
        <v>0</v>
      </c>
      <c r="T6053">
        <f t="shared" si="472"/>
        <v>0</v>
      </c>
      <c r="U6053">
        <f t="shared" si="473"/>
        <v>0</v>
      </c>
      <c r="V6053">
        <f t="shared" si="474"/>
        <v>0</v>
      </c>
    </row>
    <row r="6054" spans="1:22" x14ac:dyDescent="0.25">
      <c r="A6054">
        <v>6051</v>
      </c>
      <c r="B6054" t="s">
        <v>40</v>
      </c>
      <c r="C6054" t="s">
        <v>1755</v>
      </c>
      <c r="D6054" s="4">
        <v>45430</v>
      </c>
      <c r="E6054" t="s">
        <v>891</v>
      </c>
      <c r="F6054" t="s">
        <v>75</v>
      </c>
      <c r="I6054" s="6"/>
      <c r="J6054" s="6"/>
      <c r="K6054" s="6"/>
      <c r="L6054" s="6"/>
      <c r="M6054" s="6"/>
      <c r="N6054" s="6"/>
      <c r="O6054" s="6"/>
      <c r="P6054" s="6"/>
      <c r="Q6054">
        <v>0</v>
      </c>
      <c r="R6054">
        <f t="shared" si="470"/>
        <v>0</v>
      </c>
      <c r="S6054">
        <f t="shared" si="471"/>
        <v>0</v>
      </c>
      <c r="T6054">
        <f t="shared" si="472"/>
        <v>0</v>
      </c>
      <c r="U6054">
        <f t="shared" si="473"/>
        <v>0</v>
      </c>
      <c r="V6054">
        <f t="shared" si="474"/>
        <v>0</v>
      </c>
    </row>
    <row r="6055" spans="1:22" x14ac:dyDescent="0.25">
      <c r="A6055">
        <v>6052</v>
      </c>
      <c r="B6055" t="s">
        <v>40</v>
      </c>
      <c r="C6055" t="s">
        <v>1755</v>
      </c>
      <c r="D6055" s="4">
        <v>45430</v>
      </c>
      <c r="E6055" t="s">
        <v>349</v>
      </c>
      <c r="F6055" t="s">
        <v>75</v>
      </c>
      <c r="I6055" s="6"/>
      <c r="J6055" s="6"/>
      <c r="K6055" s="6"/>
      <c r="L6055" s="6"/>
      <c r="M6055" s="6"/>
      <c r="N6055" s="6"/>
      <c r="O6055" s="6"/>
      <c r="P6055" s="6"/>
      <c r="Q6055">
        <v>0</v>
      </c>
      <c r="R6055">
        <f t="shared" si="470"/>
        <v>0</v>
      </c>
      <c r="S6055">
        <f t="shared" si="471"/>
        <v>0</v>
      </c>
      <c r="T6055">
        <f t="shared" si="472"/>
        <v>0</v>
      </c>
      <c r="U6055">
        <f t="shared" si="473"/>
        <v>0</v>
      </c>
      <c r="V6055">
        <f t="shared" si="474"/>
        <v>0</v>
      </c>
    </row>
    <row r="6056" spans="1:22" x14ac:dyDescent="0.25">
      <c r="A6056">
        <v>6053</v>
      </c>
      <c r="B6056" t="s">
        <v>40</v>
      </c>
      <c r="C6056" t="s">
        <v>1755</v>
      </c>
      <c r="D6056" s="4">
        <v>45431</v>
      </c>
      <c r="E6056" t="s">
        <v>479</v>
      </c>
      <c r="F6056" t="s">
        <v>75</v>
      </c>
      <c r="I6056" s="6">
        <v>1</v>
      </c>
      <c r="J6056" s="6">
        <v>0</v>
      </c>
      <c r="K6056" s="6">
        <v>0</v>
      </c>
      <c r="L6056" s="6">
        <v>1</v>
      </c>
      <c r="M6056" s="6">
        <v>0</v>
      </c>
      <c r="N6056" s="6">
        <v>0</v>
      </c>
      <c r="O6056" s="6">
        <v>0</v>
      </c>
      <c r="P6056" s="6">
        <v>0</v>
      </c>
      <c r="Q6056">
        <v>1</v>
      </c>
      <c r="R6056">
        <f t="shared" si="470"/>
        <v>0</v>
      </c>
      <c r="S6056">
        <f t="shared" si="471"/>
        <v>1</v>
      </c>
      <c r="T6056">
        <f t="shared" si="472"/>
        <v>2</v>
      </c>
      <c r="U6056">
        <f t="shared" si="473"/>
        <v>1</v>
      </c>
      <c r="V6056">
        <f t="shared" si="474"/>
        <v>0</v>
      </c>
    </row>
    <row r="6057" spans="1:22" x14ac:dyDescent="0.25">
      <c r="A6057">
        <v>6054</v>
      </c>
      <c r="B6057" t="s">
        <v>40</v>
      </c>
      <c r="C6057" t="s">
        <v>1755</v>
      </c>
      <c r="D6057" s="4">
        <v>45433</v>
      </c>
      <c r="E6057" t="s">
        <v>892</v>
      </c>
      <c r="F6057" t="s">
        <v>413</v>
      </c>
      <c r="G6057">
        <v>282</v>
      </c>
      <c r="I6057" s="6">
        <v>0</v>
      </c>
      <c r="J6057" s="6">
        <v>0</v>
      </c>
      <c r="K6057" s="6">
        <v>0</v>
      </c>
      <c r="L6057" s="6">
        <v>0</v>
      </c>
      <c r="M6057" s="6">
        <v>1</v>
      </c>
      <c r="N6057" s="6">
        <v>0</v>
      </c>
      <c r="O6057" s="6">
        <v>0</v>
      </c>
      <c r="P6057" s="6">
        <v>0</v>
      </c>
      <c r="Q6057">
        <v>1</v>
      </c>
      <c r="R6057">
        <f t="shared" si="470"/>
        <v>1</v>
      </c>
      <c r="S6057">
        <f t="shared" si="471"/>
        <v>0</v>
      </c>
      <c r="T6057">
        <f t="shared" si="472"/>
        <v>1</v>
      </c>
      <c r="U6057">
        <f t="shared" si="473"/>
        <v>1</v>
      </c>
      <c r="V6057">
        <f t="shared" si="474"/>
        <v>1</v>
      </c>
    </row>
    <row r="6058" spans="1:22" x14ac:dyDescent="0.25">
      <c r="A6058">
        <v>6055</v>
      </c>
      <c r="B6058" t="s">
        <v>40</v>
      </c>
      <c r="C6058" t="s">
        <v>1755</v>
      </c>
      <c r="D6058" s="4">
        <v>45434</v>
      </c>
      <c r="E6058" t="s">
        <v>1011</v>
      </c>
      <c r="F6058" t="s">
        <v>75</v>
      </c>
      <c r="I6058" s="6">
        <v>0</v>
      </c>
      <c r="J6058" s="6">
        <v>0</v>
      </c>
      <c r="K6058" s="6">
        <v>0</v>
      </c>
      <c r="L6058" s="6">
        <v>0</v>
      </c>
      <c r="M6058" s="6">
        <v>0</v>
      </c>
      <c r="N6058" s="6">
        <v>0</v>
      </c>
      <c r="O6058" s="6">
        <v>0</v>
      </c>
      <c r="P6058" s="6">
        <v>0</v>
      </c>
      <c r="Q6058">
        <v>1</v>
      </c>
      <c r="R6058">
        <f t="shared" si="470"/>
        <v>0</v>
      </c>
      <c r="S6058">
        <f t="shared" si="471"/>
        <v>1</v>
      </c>
      <c r="T6058">
        <f t="shared" si="472"/>
        <v>0</v>
      </c>
      <c r="U6058">
        <f t="shared" si="473"/>
        <v>0</v>
      </c>
      <c r="V6058">
        <f t="shared" si="474"/>
        <v>0</v>
      </c>
    </row>
    <row r="6059" spans="1:22" x14ac:dyDescent="0.25">
      <c r="A6059">
        <v>6056</v>
      </c>
      <c r="B6059" t="s">
        <v>40</v>
      </c>
      <c r="C6059" t="s">
        <v>1755</v>
      </c>
      <c r="D6059" s="4">
        <v>45434</v>
      </c>
      <c r="E6059" t="s">
        <v>358</v>
      </c>
      <c r="F6059" t="s">
        <v>75</v>
      </c>
      <c r="I6059" s="6">
        <v>0</v>
      </c>
      <c r="J6059" s="6">
        <v>0</v>
      </c>
      <c r="K6059" s="6">
        <v>0</v>
      </c>
      <c r="L6059" s="6">
        <v>0</v>
      </c>
      <c r="M6059" s="6">
        <v>1</v>
      </c>
      <c r="N6059" s="6">
        <v>1</v>
      </c>
      <c r="O6059" s="6">
        <v>0</v>
      </c>
      <c r="P6059" s="6">
        <v>0</v>
      </c>
      <c r="Q6059">
        <v>1</v>
      </c>
      <c r="R6059">
        <f t="shared" si="470"/>
        <v>0</v>
      </c>
      <c r="S6059">
        <f t="shared" si="471"/>
        <v>1</v>
      </c>
      <c r="T6059">
        <f t="shared" si="472"/>
        <v>2</v>
      </c>
      <c r="U6059">
        <f t="shared" si="473"/>
        <v>1</v>
      </c>
      <c r="V6059">
        <f t="shared" si="474"/>
        <v>0</v>
      </c>
    </row>
    <row r="6060" spans="1:22" x14ac:dyDescent="0.25">
      <c r="A6060">
        <v>6057</v>
      </c>
      <c r="B6060" t="s">
        <v>40</v>
      </c>
      <c r="C6060" t="s">
        <v>1755</v>
      </c>
      <c r="D6060" s="4">
        <v>45435</v>
      </c>
      <c r="E6060" t="s">
        <v>361</v>
      </c>
      <c r="F6060" t="s">
        <v>75</v>
      </c>
      <c r="I6060" s="6">
        <v>0</v>
      </c>
      <c r="J6060" s="6">
        <v>0</v>
      </c>
      <c r="K6060" s="6">
        <v>0</v>
      </c>
      <c r="L6060" s="6">
        <v>0</v>
      </c>
      <c r="M6060" s="6">
        <v>0</v>
      </c>
      <c r="N6060" s="6">
        <v>0</v>
      </c>
      <c r="O6060" s="6">
        <v>0</v>
      </c>
      <c r="P6060" s="6">
        <v>0</v>
      </c>
      <c r="Q6060">
        <v>1</v>
      </c>
      <c r="R6060">
        <f t="shared" si="470"/>
        <v>0</v>
      </c>
      <c r="S6060">
        <f t="shared" si="471"/>
        <v>1</v>
      </c>
      <c r="T6060">
        <f t="shared" si="472"/>
        <v>0</v>
      </c>
      <c r="U6060">
        <f t="shared" si="473"/>
        <v>0</v>
      </c>
      <c r="V6060">
        <f t="shared" si="474"/>
        <v>0</v>
      </c>
    </row>
    <row r="6061" spans="1:22" x14ac:dyDescent="0.25">
      <c r="A6061">
        <v>6058</v>
      </c>
      <c r="B6061" t="s">
        <v>40</v>
      </c>
      <c r="C6061" t="s">
        <v>1755</v>
      </c>
      <c r="D6061" s="4">
        <v>45435</v>
      </c>
      <c r="E6061" t="s">
        <v>362</v>
      </c>
      <c r="F6061" t="s">
        <v>75</v>
      </c>
      <c r="I6061" s="6">
        <v>0</v>
      </c>
      <c r="J6061" s="6">
        <v>0</v>
      </c>
      <c r="K6061" s="6">
        <v>0</v>
      </c>
      <c r="L6061" s="6">
        <v>0</v>
      </c>
      <c r="M6061" s="6">
        <v>0</v>
      </c>
      <c r="N6061" s="6">
        <v>0</v>
      </c>
      <c r="O6061" s="6">
        <v>0</v>
      </c>
      <c r="P6061" s="6">
        <v>0</v>
      </c>
      <c r="Q6061">
        <v>1</v>
      </c>
      <c r="R6061">
        <f t="shared" si="470"/>
        <v>0</v>
      </c>
      <c r="S6061">
        <f t="shared" si="471"/>
        <v>1</v>
      </c>
      <c r="T6061">
        <f t="shared" si="472"/>
        <v>0</v>
      </c>
      <c r="U6061">
        <f t="shared" si="473"/>
        <v>0</v>
      </c>
      <c r="V6061">
        <f t="shared" si="474"/>
        <v>0</v>
      </c>
    </row>
    <row r="6062" spans="1:22" x14ac:dyDescent="0.25">
      <c r="A6062">
        <v>6059</v>
      </c>
      <c r="B6062" t="s">
        <v>40</v>
      </c>
      <c r="C6062" t="s">
        <v>1755</v>
      </c>
      <c r="D6062" s="4">
        <v>45435</v>
      </c>
      <c r="E6062" t="s">
        <v>1412</v>
      </c>
      <c r="F6062" t="s">
        <v>75</v>
      </c>
      <c r="I6062" s="6">
        <v>0</v>
      </c>
      <c r="J6062" s="6">
        <v>0</v>
      </c>
      <c r="K6062" s="6">
        <v>0</v>
      </c>
      <c r="L6062" s="6">
        <v>0</v>
      </c>
      <c r="M6062" s="6">
        <v>0</v>
      </c>
      <c r="N6062" s="6">
        <v>0</v>
      </c>
      <c r="O6062" s="6">
        <v>0</v>
      </c>
      <c r="P6062" s="6">
        <v>0</v>
      </c>
      <c r="Q6062">
        <v>1</v>
      </c>
      <c r="R6062">
        <f t="shared" si="470"/>
        <v>0</v>
      </c>
      <c r="S6062">
        <f t="shared" si="471"/>
        <v>1</v>
      </c>
      <c r="T6062">
        <f t="shared" si="472"/>
        <v>0</v>
      </c>
      <c r="U6062">
        <f t="shared" si="473"/>
        <v>0</v>
      </c>
      <c r="V6062">
        <f t="shared" si="474"/>
        <v>0</v>
      </c>
    </row>
    <row r="6063" spans="1:22" x14ac:dyDescent="0.25">
      <c r="A6063">
        <v>6060</v>
      </c>
      <c r="B6063" t="s">
        <v>40</v>
      </c>
      <c r="C6063" t="s">
        <v>1755</v>
      </c>
      <c r="D6063" s="4">
        <v>45435</v>
      </c>
      <c r="E6063" t="s">
        <v>2018</v>
      </c>
      <c r="F6063" t="s">
        <v>75</v>
      </c>
      <c r="I6063" s="6">
        <v>1</v>
      </c>
      <c r="J6063" s="6">
        <v>0</v>
      </c>
      <c r="K6063" s="6">
        <v>0</v>
      </c>
      <c r="L6063" s="6">
        <v>0</v>
      </c>
      <c r="M6063" s="6">
        <v>0</v>
      </c>
      <c r="N6063" s="6">
        <v>0</v>
      </c>
      <c r="O6063" s="6">
        <v>0</v>
      </c>
      <c r="P6063" s="6">
        <v>0</v>
      </c>
      <c r="Q6063">
        <v>1</v>
      </c>
      <c r="R6063">
        <f t="shared" si="470"/>
        <v>0</v>
      </c>
      <c r="S6063">
        <f t="shared" si="471"/>
        <v>1</v>
      </c>
      <c r="T6063">
        <f t="shared" si="472"/>
        <v>1</v>
      </c>
      <c r="U6063">
        <f t="shared" si="473"/>
        <v>1</v>
      </c>
      <c r="V6063">
        <f t="shared" si="474"/>
        <v>0</v>
      </c>
    </row>
    <row r="6064" spans="1:22" x14ac:dyDescent="0.25">
      <c r="A6064">
        <v>6061</v>
      </c>
      <c r="B6064" t="s">
        <v>40</v>
      </c>
      <c r="C6064" t="s">
        <v>1755</v>
      </c>
      <c r="D6064" s="4">
        <v>45435</v>
      </c>
      <c r="E6064" t="s">
        <v>1192</v>
      </c>
      <c r="F6064" t="s">
        <v>75</v>
      </c>
      <c r="I6064" s="6">
        <v>0</v>
      </c>
      <c r="J6064" s="6">
        <v>0</v>
      </c>
      <c r="K6064" s="6">
        <v>0</v>
      </c>
      <c r="L6064" s="6">
        <v>0</v>
      </c>
      <c r="M6064" s="6">
        <v>0</v>
      </c>
      <c r="N6064" s="6">
        <v>0</v>
      </c>
      <c r="O6064" s="6">
        <v>0</v>
      </c>
      <c r="P6064" s="6">
        <v>0</v>
      </c>
      <c r="Q6064">
        <v>1</v>
      </c>
      <c r="R6064">
        <f t="shared" si="470"/>
        <v>0</v>
      </c>
      <c r="S6064">
        <f t="shared" si="471"/>
        <v>1</v>
      </c>
      <c r="T6064">
        <f t="shared" si="472"/>
        <v>0</v>
      </c>
      <c r="U6064">
        <f t="shared" si="473"/>
        <v>0</v>
      </c>
      <c r="V6064">
        <f t="shared" si="474"/>
        <v>0</v>
      </c>
    </row>
    <row r="6065" spans="1:22" x14ac:dyDescent="0.25">
      <c r="A6065">
        <v>6062</v>
      </c>
      <c r="B6065" t="s">
        <v>40</v>
      </c>
      <c r="C6065" t="s">
        <v>1755</v>
      </c>
      <c r="D6065" s="4">
        <v>45435</v>
      </c>
      <c r="E6065" t="s">
        <v>1486</v>
      </c>
      <c r="F6065" t="s">
        <v>75</v>
      </c>
      <c r="I6065" s="6"/>
      <c r="J6065" s="6"/>
      <c r="K6065" s="6"/>
      <c r="L6065" s="6"/>
      <c r="M6065" s="6"/>
      <c r="N6065" s="6"/>
      <c r="O6065" s="6"/>
      <c r="P6065" s="6"/>
      <c r="Q6065">
        <v>0</v>
      </c>
      <c r="R6065">
        <f t="shared" si="470"/>
        <v>0</v>
      </c>
      <c r="S6065">
        <f t="shared" si="471"/>
        <v>0</v>
      </c>
      <c r="T6065">
        <f t="shared" si="472"/>
        <v>0</v>
      </c>
      <c r="U6065">
        <f t="shared" si="473"/>
        <v>0</v>
      </c>
      <c r="V6065">
        <f t="shared" si="474"/>
        <v>0</v>
      </c>
    </row>
    <row r="6066" spans="1:22" x14ac:dyDescent="0.25">
      <c r="A6066">
        <v>6063</v>
      </c>
      <c r="B6066" t="s">
        <v>40</v>
      </c>
      <c r="C6066" t="s">
        <v>1755</v>
      </c>
      <c r="D6066" s="4">
        <v>45435</v>
      </c>
      <c r="E6066" t="s">
        <v>1487</v>
      </c>
      <c r="F6066" t="s">
        <v>75</v>
      </c>
      <c r="I6066" s="6">
        <v>1</v>
      </c>
      <c r="J6066" s="6">
        <v>0</v>
      </c>
      <c r="K6066" s="6">
        <v>0</v>
      </c>
      <c r="L6066" s="6">
        <v>0</v>
      </c>
      <c r="M6066" s="6">
        <v>1</v>
      </c>
      <c r="N6066" s="6">
        <v>0</v>
      </c>
      <c r="O6066" s="6">
        <v>0</v>
      </c>
      <c r="P6066" s="6">
        <v>0</v>
      </c>
      <c r="Q6066">
        <v>1</v>
      </c>
      <c r="R6066">
        <f t="shared" si="470"/>
        <v>0</v>
      </c>
      <c r="S6066">
        <f t="shared" si="471"/>
        <v>1</v>
      </c>
      <c r="T6066">
        <f t="shared" si="472"/>
        <v>2</v>
      </c>
      <c r="U6066">
        <f t="shared" si="473"/>
        <v>1</v>
      </c>
      <c r="V6066">
        <f t="shared" si="474"/>
        <v>0</v>
      </c>
    </row>
    <row r="6067" spans="1:22" x14ac:dyDescent="0.25">
      <c r="A6067">
        <v>6064</v>
      </c>
      <c r="B6067" t="s">
        <v>40</v>
      </c>
      <c r="C6067" t="s">
        <v>1755</v>
      </c>
      <c r="D6067" s="4">
        <v>45436</v>
      </c>
      <c r="E6067" t="s">
        <v>363</v>
      </c>
      <c r="F6067" t="s">
        <v>75</v>
      </c>
      <c r="I6067" s="6">
        <v>0</v>
      </c>
      <c r="J6067" s="6">
        <v>0</v>
      </c>
      <c r="K6067" s="6">
        <v>0</v>
      </c>
      <c r="L6067" s="6">
        <v>0</v>
      </c>
      <c r="M6067" s="6">
        <v>0</v>
      </c>
      <c r="N6067" s="6">
        <v>0</v>
      </c>
      <c r="O6067" s="6">
        <v>0</v>
      </c>
      <c r="P6067" s="6">
        <v>0</v>
      </c>
      <c r="Q6067">
        <v>1</v>
      </c>
      <c r="R6067">
        <f t="shared" si="470"/>
        <v>0</v>
      </c>
      <c r="S6067">
        <f t="shared" si="471"/>
        <v>1</v>
      </c>
      <c r="T6067">
        <f t="shared" si="472"/>
        <v>0</v>
      </c>
      <c r="U6067">
        <f t="shared" si="473"/>
        <v>0</v>
      </c>
      <c r="V6067">
        <f t="shared" si="474"/>
        <v>0</v>
      </c>
    </row>
    <row r="6068" spans="1:22" x14ac:dyDescent="0.25">
      <c r="A6068">
        <v>6065</v>
      </c>
      <c r="B6068" t="s">
        <v>40</v>
      </c>
      <c r="C6068" t="s">
        <v>1755</v>
      </c>
      <c r="D6068" s="4">
        <v>45436</v>
      </c>
      <c r="E6068" t="s">
        <v>1822</v>
      </c>
      <c r="F6068" t="s">
        <v>75</v>
      </c>
      <c r="I6068" s="6">
        <v>1</v>
      </c>
      <c r="J6068" s="6">
        <v>0</v>
      </c>
      <c r="K6068" s="6">
        <v>0</v>
      </c>
      <c r="L6068" s="6">
        <v>0</v>
      </c>
      <c r="M6068" s="6">
        <v>0</v>
      </c>
      <c r="N6068" s="6">
        <v>0</v>
      </c>
      <c r="O6068" s="6">
        <v>0</v>
      </c>
      <c r="P6068" s="6">
        <v>0</v>
      </c>
      <c r="Q6068">
        <v>1</v>
      </c>
      <c r="R6068">
        <f t="shared" si="470"/>
        <v>0</v>
      </c>
      <c r="S6068">
        <f t="shared" si="471"/>
        <v>1</v>
      </c>
      <c r="T6068">
        <f t="shared" si="472"/>
        <v>1</v>
      </c>
      <c r="U6068">
        <f t="shared" si="473"/>
        <v>1</v>
      </c>
      <c r="V6068">
        <f t="shared" si="474"/>
        <v>0</v>
      </c>
    </row>
    <row r="6069" spans="1:22" x14ac:dyDescent="0.25">
      <c r="A6069">
        <v>6066</v>
      </c>
      <c r="B6069" t="s">
        <v>40</v>
      </c>
      <c r="C6069" t="s">
        <v>1755</v>
      </c>
      <c r="D6069" s="4">
        <v>45436</v>
      </c>
      <c r="E6069" t="s">
        <v>893</v>
      </c>
      <c r="F6069" t="s">
        <v>75</v>
      </c>
      <c r="I6069" s="6"/>
      <c r="J6069" s="6"/>
      <c r="K6069" s="6"/>
      <c r="L6069" s="6"/>
      <c r="M6069" s="6"/>
      <c r="N6069" s="6"/>
      <c r="O6069" s="6"/>
      <c r="P6069" s="6"/>
      <c r="Q6069">
        <v>0</v>
      </c>
      <c r="R6069">
        <f t="shared" si="470"/>
        <v>0</v>
      </c>
      <c r="S6069">
        <f t="shared" si="471"/>
        <v>0</v>
      </c>
      <c r="T6069">
        <f t="shared" si="472"/>
        <v>0</v>
      </c>
      <c r="U6069">
        <f t="shared" si="473"/>
        <v>0</v>
      </c>
      <c r="V6069">
        <f t="shared" si="474"/>
        <v>0</v>
      </c>
    </row>
    <row r="6070" spans="1:22" x14ac:dyDescent="0.25">
      <c r="A6070">
        <v>6067</v>
      </c>
      <c r="B6070" t="s">
        <v>40</v>
      </c>
      <c r="C6070" t="s">
        <v>1755</v>
      </c>
      <c r="D6070" s="4">
        <v>45436</v>
      </c>
      <c r="E6070" t="s">
        <v>364</v>
      </c>
      <c r="F6070" t="s">
        <v>75</v>
      </c>
      <c r="I6070" s="6">
        <v>1</v>
      </c>
      <c r="J6070" s="6">
        <v>0</v>
      </c>
      <c r="K6070" s="6">
        <v>0</v>
      </c>
      <c r="L6070" s="6">
        <v>0</v>
      </c>
      <c r="M6070" s="6">
        <v>1</v>
      </c>
      <c r="N6070" s="6">
        <v>0</v>
      </c>
      <c r="O6070" s="6">
        <v>0</v>
      </c>
      <c r="P6070" s="6">
        <v>0</v>
      </c>
      <c r="Q6070">
        <v>1</v>
      </c>
      <c r="R6070">
        <f t="shared" si="470"/>
        <v>0</v>
      </c>
      <c r="S6070">
        <f t="shared" si="471"/>
        <v>1</v>
      </c>
      <c r="T6070">
        <f t="shared" si="472"/>
        <v>2</v>
      </c>
      <c r="U6070">
        <f t="shared" si="473"/>
        <v>1</v>
      </c>
      <c r="V6070">
        <f t="shared" si="474"/>
        <v>0</v>
      </c>
    </row>
    <row r="6071" spans="1:22" x14ac:dyDescent="0.25">
      <c r="A6071">
        <v>6068</v>
      </c>
      <c r="B6071" t="s">
        <v>40</v>
      </c>
      <c r="C6071" t="s">
        <v>1755</v>
      </c>
      <c r="D6071" s="4">
        <v>45436</v>
      </c>
      <c r="E6071" t="s">
        <v>365</v>
      </c>
      <c r="F6071" t="s">
        <v>75</v>
      </c>
      <c r="I6071" s="6">
        <v>1</v>
      </c>
      <c r="J6071" s="6">
        <v>0</v>
      </c>
      <c r="K6071" s="6">
        <v>0</v>
      </c>
      <c r="L6071" s="6">
        <v>0</v>
      </c>
      <c r="M6071" s="6">
        <v>1</v>
      </c>
      <c r="N6071" s="6">
        <v>0</v>
      </c>
      <c r="O6071" s="6">
        <v>0</v>
      </c>
      <c r="P6071" s="6">
        <v>0</v>
      </c>
      <c r="Q6071">
        <v>1</v>
      </c>
      <c r="R6071">
        <f t="shared" si="470"/>
        <v>0</v>
      </c>
      <c r="S6071">
        <f t="shared" si="471"/>
        <v>1</v>
      </c>
      <c r="T6071">
        <f t="shared" si="472"/>
        <v>2</v>
      </c>
      <c r="U6071">
        <f t="shared" si="473"/>
        <v>1</v>
      </c>
      <c r="V6071">
        <f t="shared" si="474"/>
        <v>0</v>
      </c>
    </row>
    <row r="6072" spans="1:22" x14ac:dyDescent="0.25">
      <c r="A6072">
        <v>6069</v>
      </c>
      <c r="B6072" t="s">
        <v>40</v>
      </c>
      <c r="C6072" t="s">
        <v>1755</v>
      </c>
      <c r="D6072" s="4">
        <v>45436</v>
      </c>
      <c r="E6072" t="s">
        <v>366</v>
      </c>
      <c r="F6072" t="s">
        <v>357</v>
      </c>
      <c r="I6072" s="6"/>
      <c r="J6072" s="6"/>
      <c r="K6072" s="6"/>
      <c r="L6072" s="6"/>
      <c r="M6072" s="6"/>
      <c r="N6072" s="6"/>
      <c r="O6072" s="6"/>
      <c r="P6072" s="6"/>
      <c r="Q6072">
        <v>0</v>
      </c>
      <c r="R6072">
        <f t="shared" si="470"/>
        <v>0</v>
      </c>
      <c r="S6072">
        <f t="shared" si="471"/>
        <v>0</v>
      </c>
      <c r="T6072">
        <f t="shared" si="472"/>
        <v>0</v>
      </c>
      <c r="U6072">
        <f t="shared" si="473"/>
        <v>0</v>
      </c>
      <c r="V6072">
        <f t="shared" si="474"/>
        <v>0</v>
      </c>
    </row>
    <row r="6073" spans="1:22" x14ac:dyDescent="0.25">
      <c r="A6073">
        <v>6070</v>
      </c>
      <c r="B6073" t="s">
        <v>40</v>
      </c>
      <c r="C6073" t="s">
        <v>1755</v>
      </c>
      <c r="D6073" s="4">
        <v>45436</v>
      </c>
      <c r="E6073" t="s">
        <v>367</v>
      </c>
      <c r="F6073" t="s">
        <v>75</v>
      </c>
      <c r="I6073" s="6">
        <v>1</v>
      </c>
      <c r="J6073" s="6">
        <v>0</v>
      </c>
      <c r="K6073" s="6">
        <v>0</v>
      </c>
      <c r="L6073" s="6">
        <v>0</v>
      </c>
      <c r="M6073" s="6">
        <v>0</v>
      </c>
      <c r="N6073" s="6">
        <v>0</v>
      </c>
      <c r="O6073" s="6">
        <v>0</v>
      </c>
      <c r="P6073" s="6">
        <v>0</v>
      </c>
      <c r="Q6073">
        <v>1</v>
      </c>
      <c r="R6073">
        <f t="shared" si="470"/>
        <v>0</v>
      </c>
      <c r="S6073">
        <f t="shared" si="471"/>
        <v>1</v>
      </c>
      <c r="T6073">
        <f t="shared" si="472"/>
        <v>1</v>
      </c>
      <c r="U6073">
        <f t="shared" si="473"/>
        <v>1</v>
      </c>
      <c r="V6073">
        <f t="shared" si="474"/>
        <v>0</v>
      </c>
    </row>
    <row r="6074" spans="1:22" x14ac:dyDescent="0.25">
      <c r="A6074">
        <v>6071</v>
      </c>
      <c r="B6074" t="s">
        <v>40</v>
      </c>
      <c r="C6074" t="s">
        <v>1755</v>
      </c>
      <c r="D6074" s="4">
        <v>45436</v>
      </c>
      <c r="E6074" t="s">
        <v>368</v>
      </c>
      <c r="F6074" t="s">
        <v>75</v>
      </c>
      <c r="I6074" s="6">
        <v>0</v>
      </c>
      <c r="J6074" s="6">
        <v>0</v>
      </c>
      <c r="K6074" s="6">
        <v>0</v>
      </c>
      <c r="L6074" s="6">
        <v>0</v>
      </c>
      <c r="M6074" s="6">
        <v>0</v>
      </c>
      <c r="N6074" s="6">
        <v>0</v>
      </c>
      <c r="O6074" s="6">
        <v>0</v>
      </c>
      <c r="P6074" s="6">
        <v>0</v>
      </c>
      <c r="Q6074">
        <v>1</v>
      </c>
      <c r="R6074">
        <f t="shared" si="470"/>
        <v>0</v>
      </c>
      <c r="S6074">
        <f t="shared" si="471"/>
        <v>1</v>
      </c>
      <c r="T6074">
        <f t="shared" si="472"/>
        <v>0</v>
      </c>
      <c r="U6074">
        <f t="shared" si="473"/>
        <v>0</v>
      </c>
      <c r="V6074">
        <f t="shared" si="474"/>
        <v>0</v>
      </c>
    </row>
    <row r="6075" spans="1:22" x14ac:dyDescent="0.25">
      <c r="A6075">
        <v>6072</v>
      </c>
      <c r="B6075" t="s">
        <v>40</v>
      </c>
      <c r="C6075" t="s">
        <v>1755</v>
      </c>
      <c r="D6075" s="4">
        <v>45436</v>
      </c>
      <c r="E6075" t="s">
        <v>1561</v>
      </c>
      <c r="F6075" t="s">
        <v>75</v>
      </c>
      <c r="H6075" t="s">
        <v>1813</v>
      </c>
      <c r="I6075" s="6">
        <v>1</v>
      </c>
      <c r="J6075" s="6">
        <v>0</v>
      </c>
      <c r="K6075" s="6">
        <v>0</v>
      </c>
      <c r="L6075" s="6">
        <v>0</v>
      </c>
      <c r="M6075" s="6">
        <v>0</v>
      </c>
      <c r="N6075" s="6">
        <v>0</v>
      </c>
      <c r="O6075" s="6">
        <v>0</v>
      </c>
      <c r="P6075" s="6">
        <v>0</v>
      </c>
      <c r="Q6075">
        <v>1</v>
      </c>
      <c r="R6075">
        <f t="shared" si="470"/>
        <v>0</v>
      </c>
      <c r="S6075">
        <f t="shared" si="471"/>
        <v>1</v>
      </c>
      <c r="T6075">
        <f t="shared" si="472"/>
        <v>1</v>
      </c>
      <c r="U6075">
        <f t="shared" si="473"/>
        <v>1</v>
      </c>
      <c r="V6075">
        <f t="shared" si="474"/>
        <v>0</v>
      </c>
    </row>
    <row r="6076" spans="1:22" x14ac:dyDescent="0.25">
      <c r="A6076">
        <v>6073</v>
      </c>
      <c r="B6076" t="s">
        <v>40</v>
      </c>
      <c r="C6076" t="s">
        <v>1755</v>
      </c>
      <c r="D6076" s="4">
        <v>45436</v>
      </c>
      <c r="E6076" t="s">
        <v>2017</v>
      </c>
      <c r="F6076" t="s">
        <v>75</v>
      </c>
      <c r="I6076" s="6"/>
      <c r="J6076" s="6"/>
      <c r="K6076" s="6"/>
      <c r="L6076" s="6"/>
      <c r="M6076" s="6"/>
      <c r="N6076" s="6"/>
      <c r="O6076" s="6"/>
      <c r="P6076" s="6"/>
      <c r="Q6076">
        <v>0</v>
      </c>
      <c r="R6076">
        <f t="shared" si="470"/>
        <v>0</v>
      </c>
      <c r="S6076">
        <f t="shared" si="471"/>
        <v>0</v>
      </c>
      <c r="T6076">
        <f t="shared" si="472"/>
        <v>0</v>
      </c>
      <c r="U6076">
        <f t="shared" si="473"/>
        <v>0</v>
      </c>
      <c r="V6076">
        <f t="shared" si="474"/>
        <v>0</v>
      </c>
    </row>
    <row r="6077" spans="1:22" x14ac:dyDescent="0.25">
      <c r="A6077">
        <v>6074</v>
      </c>
      <c r="B6077" t="s">
        <v>40</v>
      </c>
      <c r="C6077" t="s">
        <v>1755</v>
      </c>
      <c r="D6077" s="4">
        <v>45437</v>
      </c>
      <c r="E6077" t="s">
        <v>1015</v>
      </c>
      <c r="F6077" t="s">
        <v>75</v>
      </c>
      <c r="I6077" s="6">
        <v>0</v>
      </c>
      <c r="J6077" s="6">
        <v>0</v>
      </c>
      <c r="K6077" s="6">
        <v>0</v>
      </c>
      <c r="L6077" s="6">
        <v>0</v>
      </c>
      <c r="M6077" s="6">
        <v>0</v>
      </c>
      <c r="N6077" s="6">
        <v>0</v>
      </c>
      <c r="O6077" s="6">
        <v>0</v>
      </c>
      <c r="P6077" s="6">
        <v>0</v>
      </c>
      <c r="Q6077">
        <v>1</v>
      </c>
      <c r="R6077">
        <f t="shared" si="470"/>
        <v>0</v>
      </c>
      <c r="S6077">
        <f t="shared" si="471"/>
        <v>1</v>
      </c>
      <c r="T6077">
        <f t="shared" si="472"/>
        <v>0</v>
      </c>
      <c r="U6077">
        <f t="shared" si="473"/>
        <v>0</v>
      </c>
      <c r="V6077">
        <f t="shared" si="474"/>
        <v>0</v>
      </c>
    </row>
    <row r="6078" spans="1:22" x14ac:dyDescent="0.25">
      <c r="A6078">
        <v>6075</v>
      </c>
      <c r="B6078" t="s">
        <v>40</v>
      </c>
      <c r="C6078" t="s">
        <v>1755</v>
      </c>
      <c r="D6078" s="4">
        <v>45437</v>
      </c>
      <c r="E6078" t="s">
        <v>1017</v>
      </c>
      <c r="F6078" t="s">
        <v>75</v>
      </c>
      <c r="I6078" s="6">
        <v>1</v>
      </c>
      <c r="J6078" s="6">
        <v>0</v>
      </c>
      <c r="K6078" s="6">
        <v>0</v>
      </c>
      <c r="L6078" s="6">
        <v>0</v>
      </c>
      <c r="M6078" s="6">
        <v>1</v>
      </c>
      <c r="N6078" s="6">
        <v>0</v>
      </c>
      <c r="O6078" s="6">
        <v>0</v>
      </c>
      <c r="P6078" s="6">
        <v>0</v>
      </c>
      <c r="Q6078">
        <v>1</v>
      </c>
      <c r="R6078">
        <f t="shared" si="470"/>
        <v>0</v>
      </c>
      <c r="S6078">
        <f t="shared" si="471"/>
        <v>1</v>
      </c>
      <c r="T6078">
        <f t="shared" si="472"/>
        <v>2</v>
      </c>
      <c r="U6078">
        <f t="shared" si="473"/>
        <v>1</v>
      </c>
      <c r="V6078">
        <f t="shared" si="474"/>
        <v>0</v>
      </c>
    </row>
    <row r="6079" spans="1:22" x14ac:dyDescent="0.25">
      <c r="A6079">
        <v>6076</v>
      </c>
      <c r="B6079" t="s">
        <v>40</v>
      </c>
      <c r="C6079" t="s">
        <v>1755</v>
      </c>
      <c r="D6079" s="4">
        <v>45437</v>
      </c>
      <c r="E6079" t="s">
        <v>1098</v>
      </c>
      <c r="F6079" t="s">
        <v>75</v>
      </c>
      <c r="I6079" s="6">
        <v>0</v>
      </c>
      <c r="J6079" s="6">
        <v>0</v>
      </c>
      <c r="K6079" s="6">
        <v>0</v>
      </c>
      <c r="L6079" s="6">
        <v>0</v>
      </c>
      <c r="M6079" s="6">
        <v>1</v>
      </c>
      <c r="N6079" s="6">
        <v>0</v>
      </c>
      <c r="O6079" s="6">
        <v>0</v>
      </c>
      <c r="P6079" s="6">
        <v>0</v>
      </c>
      <c r="Q6079">
        <v>1</v>
      </c>
      <c r="R6079">
        <f t="shared" si="470"/>
        <v>0</v>
      </c>
      <c r="S6079">
        <f t="shared" si="471"/>
        <v>1</v>
      </c>
      <c r="T6079">
        <f t="shared" si="472"/>
        <v>1</v>
      </c>
      <c r="U6079">
        <f t="shared" si="473"/>
        <v>1</v>
      </c>
      <c r="V6079">
        <f t="shared" si="474"/>
        <v>0</v>
      </c>
    </row>
    <row r="6080" spans="1:22" x14ac:dyDescent="0.25">
      <c r="A6080">
        <v>6077</v>
      </c>
      <c r="B6080" t="s">
        <v>40</v>
      </c>
      <c r="C6080" t="s">
        <v>1755</v>
      </c>
      <c r="D6080" s="4">
        <v>45437</v>
      </c>
      <c r="E6080" t="s">
        <v>2016</v>
      </c>
      <c r="F6080" t="s">
        <v>75</v>
      </c>
      <c r="I6080" s="6"/>
      <c r="J6080" s="6"/>
      <c r="K6080" s="6"/>
      <c r="L6080" s="6"/>
      <c r="M6080" s="6"/>
      <c r="N6080" s="6"/>
      <c r="O6080" s="6"/>
      <c r="P6080" s="6"/>
      <c r="Q6080">
        <v>0</v>
      </c>
      <c r="R6080">
        <f t="shared" si="470"/>
        <v>0</v>
      </c>
      <c r="S6080">
        <f t="shared" si="471"/>
        <v>0</v>
      </c>
      <c r="T6080">
        <f t="shared" si="472"/>
        <v>0</v>
      </c>
      <c r="U6080">
        <f t="shared" si="473"/>
        <v>0</v>
      </c>
      <c r="V6080">
        <f t="shared" si="474"/>
        <v>0</v>
      </c>
    </row>
    <row r="6081" spans="1:22" x14ac:dyDescent="0.25">
      <c r="A6081">
        <v>6078</v>
      </c>
      <c r="B6081" t="s">
        <v>40</v>
      </c>
      <c r="C6081" t="s">
        <v>1755</v>
      </c>
      <c r="D6081" s="4">
        <v>45438</v>
      </c>
      <c r="E6081" t="s">
        <v>484</v>
      </c>
      <c r="F6081" t="s">
        <v>75</v>
      </c>
      <c r="H6081" t="s">
        <v>1823</v>
      </c>
      <c r="I6081" s="6">
        <v>0</v>
      </c>
      <c r="J6081" s="6">
        <v>0</v>
      </c>
      <c r="K6081" s="6">
        <v>0</v>
      </c>
      <c r="L6081" s="6">
        <v>0</v>
      </c>
      <c r="M6081" s="6">
        <v>1</v>
      </c>
      <c r="N6081" s="6">
        <v>1</v>
      </c>
      <c r="O6081" s="6">
        <v>0</v>
      </c>
      <c r="P6081" s="6">
        <v>0</v>
      </c>
      <c r="Q6081">
        <v>1</v>
      </c>
      <c r="R6081">
        <f t="shared" si="470"/>
        <v>0</v>
      </c>
      <c r="S6081">
        <f t="shared" si="471"/>
        <v>1</v>
      </c>
      <c r="T6081">
        <f t="shared" si="472"/>
        <v>2</v>
      </c>
      <c r="U6081">
        <f t="shared" si="473"/>
        <v>1</v>
      </c>
      <c r="V6081">
        <f t="shared" si="474"/>
        <v>0</v>
      </c>
    </row>
    <row r="6082" spans="1:22" x14ac:dyDescent="0.25">
      <c r="A6082">
        <v>6079</v>
      </c>
      <c r="B6082" t="s">
        <v>40</v>
      </c>
      <c r="C6082" t="s">
        <v>1755</v>
      </c>
      <c r="D6082" s="4">
        <v>45438</v>
      </c>
      <c r="E6082" t="s">
        <v>369</v>
      </c>
      <c r="F6082" t="s">
        <v>75</v>
      </c>
      <c r="I6082" s="6">
        <v>1</v>
      </c>
      <c r="J6082" s="6">
        <v>0</v>
      </c>
      <c r="K6082" s="6">
        <v>0</v>
      </c>
      <c r="L6082" s="6">
        <v>0</v>
      </c>
      <c r="M6082" s="6">
        <v>0</v>
      </c>
      <c r="N6082" s="6">
        <v>0</v>
      </c>
      <c r="O6082" s="6">
        <v>0</v>
      </c>
      <c r="P6082" s="6">
        <v>0</v>
      </c>
      <c r="Q6082">
        <v>1</v>
      </c>
      <c r="R6082">
        <f t="shared" si="470"/>
        <v>0</v>
      </c>
      <c r="S6082">
        <f t="shared" si="471"/>
        <v>1</v>
      </c>
      <c r="T6082">
        <f t="shared" si="472"/>
        <v>1</v>
      </c>
      <c r="U6082">
        <f t="shared" si="473"/>
        <v>1</v>
      </c>
      <c r="V6082">
        <f t="shared" si="474"/>
        <v>0</v>
      </c>
    </row>
    <row r="6083" spans="1:22" x14ac:dyDescent="0.25">
      <c r="A6083">
        <v>6080</v>
      </c>
      <c r="B6083" t="s">
        <v>40</v>
      </c>
      <c r="C6083" t="s">
        <v>1755</v>
      </c>
      <c r="D6083" s="4">
        <v>45438</v>
      </c>
      <c r="E6083" t="s">
        <v>485</v>
      </c>
      <c r="F6083" t="s">
        <v>75</v>
      </c>
      <c r="I6083" s="6">
        <v>1</v>
      </c>
      <c r="J6083" s="6">
        <v>0</v>
      </c>
      <c r="K6083" s="6">
        <v>0</v>
      </c>
      <c r="L6083" s="6">
        <v>0</v>
      </c>
      <c r="M6083" s="6">
        <v>0</v>
      </c>
      <c r="N6083" s="6">
        <v>0</v>
      </c>
      <c r="O6083" s="6">
        <v>0</v>
      </c>
      <c r="P6083" s="6">
        <v>0</v>
      </c>
      <c r="Q6083">
        <v>1</v>
      </c>
      <c r="R6083">
        <f t="shared" ref="R6083:R6146" si="475">IF(AND(Q6083=1,F6083="ai_full"),1,0)</f>
        <v>0</v>
      </c>
      <c r="S6083">
        <f t="shared" ref="S6083:S6146" si="476">IF(AND(Q6083=1,F6083="conventional"),1,0)</f>
        <v>1</v>
      </c>
      <c r="T6083">
        <f t="shared" ref="T6083:T6146" si="477">SUM(I6083:P6083)</f>
        <v>1</v>
      </c>
      <c r="U6083">
        <f t="shared" ref="U6083:U6146" si="478">IF(T6083&gt;=1,1,0)</f>
        <v>1</v>
      </c>
      <c r="V6083">
        <f t="shared" ref="V6083:V6146" si="479">IF(F6083="ai_full",1,0)</f>
        <v>0</v>
      </c>
    </row>
    <row r="6084" spans="1:22" x14ac:dyDescent="0.25">
      <c r="A6084">
        <v>6081</v>
      </c>
      <c r="B6084" t="s">
        <v>40</v>
      </c>
      <c r="C6084" t="s">
        <v>1755</v>
      </c>
      <c r="D6084" s="4">
        <v>45438</v>
      </c>
      <c r="E6084" t="s">
        <v>486</v>
      </c>
      <c r="F6084" t="s">
        <v>75</v>
      </c>
      <c r="I6084" s="6">
        <v>1</v>
      </c>
      <c r="J6084" s="6">
        <v>0</v>
      </c>
      <c r="K6084" s="6">
        <v>0</v>
      </c>
      <c r="L6084" s="6">
        <v>0</v>
      </c>
      <c r="M6084" s="6">
        <v>1</v>
      </c>
      <c r="N6084" s="6">
        <v>1</v>
      </c>
      <c r="O6084" s="6">
        <v>0</v>
      </c>
      <c r="P6084" s="6">
        <v>0</v>
      </c>
      <c r="Q6084">
        <v>1</v>
      </c>
      <c r="R6084">
        <f t="shared" si="475"/>
        <v>0</v>
      </c>
      <c r="S6084">
        <f t="shared" si="476"/>
        <v>1</v>
      </c>
      <c r="T6084">
        <f t="shared" si="477"/>
        <v>3</v>
      </c>
      <c r="U6084">
        <f t="shared" si="478"/>
        <v>1</v>
      </c>
      <c r="V6084">
        <f t="shared" si="479"/>
        <v>0</v>
      </c>
    </row>
    <row r="6085" spans="1:22" x14ac:dyDescent="0.25">
      <c r="A6085">
        <v>6082</v>
      </c>
      <c r="B6085" t="s">
        <v>40</v>
      </c>
      <c r="C6085" t="s">
        <v>1755</v>
      </c>
      <c r="D6085" s="4">
        <v>45439</v>
      </c>
      <c r="E6085" t="s">
        <v>1018</v>
      </c>
      <c r="F6085" t="s">
        <v>75</v>
      </c>
      <c r="I6085" s="6">
        <v>1</v>
      </c>
      <c r="J6085" s="6">
        <v>0</v>
      </c>
      <c r="K6085" s="6">
        <v>0</v>
      </c>
      <c r="L6085" s="6">
        <v>0</v>
      </c>
      <c r="M6085" s="6">
        <v>0</v>
      </c>
      <c r="N6085" s="6">
        <v>0</v>
      </c>
      <c r="O6085" s="6">
        <v>0</v>
      </c>
      <c r="P6085" s="6">
        <v>0</v>
      </c>
      <c r="Q6085">
        <v>1</v>
      </c>
      <c r="R6085">
        <f t="shared" si="475"/>
        <v>0</v>
      </c>
      <c r="S6085">
        <f t="shared" si="476"/>
        <v>1</v>
      </c>
      <c r="T6085">
        <f t="shared" si="477"/>
        <v>1</v>
      </c>
      <c r="U6085">
        <f t="shared" si="478"/>
        <v>1</v>
      </c>
      <c r="V6085">
        <f t="shared" si="479"/>
        <v>0</v>
      </c>
    </row>
    <row r="6086" spans="1:22" x14ac:dyDescent="0.25">
      <c r="A6086">
        <v>6083</v>
      </c>
      <c r="B6086" t="s">
        <v>40</v>
      </c>
      <c r="C6086" t="s">
        <v>1755</v>
      </c>
      <c r="D6086" s="4">
        <v>45439</v>
      </c>
      <c r="E6086" t="s">
        <v>1019</v>
      </c>
      <c r="F6086" t="s">
        <v>75</v>
      </c>
      <c r="I6086" s="6"/>
      <c r="J6086" s="6"/>
      <c r="K6086" s="6"/>
      <c r="L6086" s="6"/>
      <c r="M6086" s="6"/>
      <c r="N6086" s="6"/>
      <c r="O6086" s="6"/>
      <c r="P6086" s="6"/>
      <c r="Q6086">
        <v>0</v>
      </c>
      <c r="R6086">
        <f t="shared" si="475"/>
        <v>0</v>
      </c>
      <c r="S6086">
        <f t="shared" si="476"/>
        <v>0</v>
      </c>
      <c r="T6086">
        <f t="shared" si="477"/>
        <v>0</v>
      </c>
      <c r="U6086">
        <f t="shared" si="478"/>
        <v>0</v>
      </c>
      <c r="V6086">
        <f t="shared" si="479"/>
        <v>0</v>
      </c>
    </row>
    <row r="6087" spans="1:22" x14ac:dyDescent="0.25">
      <c r="A6087">
        <v>6084</v>
      </c>
      <c r="B6087" t="s">
        <v>40</v>
      </c>
      <c r="C6087" t="s">
        <v>1755</v>
      </c>
      <c r="D6087" s="4">
        <v>45440</v>
      </c>
      <c r="E6087" t="s">
        <v>1236</v>
      </c>
      <c r="F6087" t="s">
        <v>75</v>
      </c>
      <c r="I6087" s="6"/>
      <c r="J6087" s="6"/>
      <c r="K6087" s="6"/>
      <c r="L6087" s="6"/>
      <c r="M6087" s="6"/>
      <c r="N6087" s="6"/>
      <c r="O6087" s="6"/>
      <c r="P6087" s="6"/>
      <c r="Q6087">
        <v>0</v>
      </c>
      <c r="R6087">
        <f t="shared" si="475"/>
        <v>0</v>
      </c>
      <c r="S6087">
        <f t="shared" si="476"/>
        <v>0</v>
      </c>
      <c r="T6087">
        <f t="shared" si="477"/>
        <v>0</v>
      </c>
      <c r="U6087">
        <f t="shared" si="478"/>
        <v>0</v>
      </c>
      <c r="V6087">
        <f t="shared" si="479"/>
        <v>0</v>
      </c>
    </row>
    <row r="6088" spans="1:22" x14ac:dyDescent="0.25">
      <c r="A6088">
        <v>6085</v>
      </c>
      <c r="B6088" t="s">
        <v>40</v>
      </c>
      <c r="C6088" t="s">
        <v>1755</v>
      </c>
      <c r="D6088" s="4">
        <v>45442</v>
      </c>
      <c r="E6088" t="s">
        <v>1099</v>
      </c>
      <c r="F6088" t="s">
        <v>75</v>
      </c>
      <c r="I6088" s="6">
        <v>0</v>
      </c>
      <c r="J6088" s="6">
        <v>0</v>
      </c>
      <c r="K6088" s="6">
        <v>0</v>
      </c>
      <c r="L6088" s="6">
        <v>0</v>
      </c>
      <c r="M6088" s="6">
        <v>0</v>
      </c>
      <c r="N6088" s="6">
        <v>0</v>
      </c>
      <c r="O6088" s="6">
        <v>0</v>
      </c>
      <c r="P6088" s="6">
        <v>0</v>
      </c>
      <c r="Q6088">
        <v>1</v>
      </c>
      <c r="R6088">
        <f t="shared" si="475"/>
        <v>0</v>
      </c>
      <c r="S6088">
        <f t="shared" si="476"/>
        <v>1</v>
      </c>
      <c r="T6088">
        <f t="shared" si="477"/>
        <v>0</v>
      </c>
      <c r="U6088">
        <f t="shared" si="478"/>
        <v>0</v>
      </c>
      <c r="V6088">
        <f t="shared" si="479"/>
        <v>0</v>
      </c>
    </row>
    <row r="6089" spans="1:22" x14ac:dyDescent="0.25">
      <c r="A6089">
        <v>6086</v>
      </c>
      <c r="B6089" t="s">
        <v>40</v>
      </c>
      <c r="C6089" t="s">
        <v>1755</v>
      </c>
      <c r="D6089" s="4">
        <v>45442</v>
      </c>
      <c r="E6089" t="s">
        <v>490</v>
      </c>
      <c r="F6089" t="s">
        <v>75</v>
      </c>
      <c r="I6089" s="6">
        <v>1</v>
      </c>
      <c r="J6089" s="6">
        <v>0</v>
      </c>
      <c r="K6089" s="6">
        <v>0</v>
      </c>
      <c r="L6089" s="6">
        <v>0</v>
      </c>
      <c r="M6089" s="6">
        <v>0</v>
      </c>
      <c r="N6089" s="6">
        <v>0</v>
      </c>
      <c r="O6089" s="6">
        <v>0</v>
      </c>
      <c r="P6089" s="6">
        <v>0</v>
      </c>
      <c r="Q6089">
        <v>1</v>
      </c>
      <c r="R6089">
        <f t="shared" si="475"/>
        <v>0</v>
      </c>
      <c r="S6089">
        <f t="shared" si="476"/>
        <v>1</v>
      </c>
      <c r="T6089">
        <f t="shared" si="477"/>
        <v>1</v>
      </c>
      <c r="U6089">
        <f t="shared" si="478"/>
        <v>1</v>
      </c>
      <c r="V6089">
        <f t="shared" si="479"/>
        <v>0</v>
      </c>
    </row>
    <row r="6090" spans="1:22" x14ac:dyDescent="0.25">
      <c r="A6090">
        <v>6087</v>
      </c>
      <c r="B6090" t="s">
        <v>40</v>
      </c>
      <c r="C6090" t="s">
        <v>1755</v>
      </c>
      <c r="D6090" s="4">
        <v>45442</v>
      </c>
      <c r="E6090" t="s">
        <v>1100</v>
      </c>
      <c r="F6090" t="s">
        <v>75</v>
      </c>
      <c r="I6090" s="6">
        <v>1</v>
      </c>
      <c r="J6090" s="6">
        <v>0</v>
      </c>
      <c r="K6090" s="6">
        <v>0</v>
      </c>
      <c r="L6090" s="6">
        <v>0</v>
      </c>
      <c r="M6090" s="6">
        <v>1</v>
      </c>
      <c r="N6090" s="6">
        <v>0</v>
      </c>
      <c r="O6090" s="6">
        <v>0</v>
      </c>
      <c r="P6090" s="6">
        <v>0</v>
      </c>
      <c r="Q6090">
        <v>1</v>
      </c>
      <c r="R6090">
        <f t="shared" si="475"/>
        <v>0</v>
      </c>
      <c r="S6090">
        <f t="shared" si="476"/>
        <v>1</v>
      </c>
      <c r="T6090">
        <f t="shared" si="477"/>
        <v>2</v>
      </c>
      <c r="U6090">
        <f t="shared" si="478"/>
        <v>1</v>
      </c>
      <c r="V6090">
        <f t="shared" si="479"/>
        <v>0</v>
      </c>
    </row>
    <row r="6091" spans="1:22" x14ac:dyDescent="0.25">
      <c r="A6091">
        <v>6088</v>
      </c>
      <c r="B6091" t="s">
        <v>40</v>
      </c>
      <c r="C6091" t="s">
        <v>1755</v>
      </c>
      <c r="D6091" s="4">
        <v>45443</v>
      </c>
      <c r="E6091" t="s">
        <v>896</v>
      </c>
      <c r="F6091" t="s">
        <v>75</v>
      </c>
      <c r="I6091" s="6">
        <v>1</v>
      </c>
      <c r="J6091" s="6">
        <v>0</v>
      </c>
      <c r="K6091" s="6">
        <v>0</v>
      </c>
      <c r="L6091" s="6">
        <v>0</v>
      </c>
      <c r="M6091" s="6">
        <v>1</v>
      </c>
      <c r="N6091" s="6">
        <v>0</v>
      </c>
      <c r="O6091" s="6">
        <v>0</v>
      </c>
      <c r="P6091" s="6">
        <v>0</v>
      </c>
      <c r="Q6091">
        <v>1</v>
      </c>
      <c r="R6091">
        <f t="shared" si="475"/>
        <v>0</v>
      </c>
      <c r="S6091">
        <f t="shared" si="476"/>
        <v>1</v>
      </c>
      <c r="T6091">
        <f t="shared" si="477"/>
        <v>2</v>
      </c>
      <c r="U6091">
        <f t="shared" si="478"/>
        <v>1</v>
      </c>
      <c r="V6091">
        <f t="shared" si="479"/>
        <v>0</v>
      </c>
    </row>
    <row r="6092" spans="1:22" x14ac:dyDescent="0.25">
      <c r="A6092">
        <v>6089</v>
      </c>
      <c r="B6092" t="s">
        <v>40</v>
      </c>
      <c r="C6092" t="s">
        <v>1755</v>
      </c>
      <c r="D6092" s="4">
        <v>45443</v>
      </c>
      <c r="E6092" t="s">
        <v>897</v>
      </c>
      <c r="F6092" t="s">
        <v>75</v>
      </c>
      <c r="I6092" s="6">
        <v>1</v>
      </c>
      <c r="J6092" s="6">
        <v>0</v>
      </c>
      <c r="K6092" s="6">
        <v>0</v>
      </c>
      <c r="L6092" s="6">
        <v>0</v>
      </c>
      <c r="M6092" s="6">
        <v>0</v>
      </c>
      <c r="N6092" s="6">
        <v>0</v>
      </c>
      <c r="O6092" s="6">
        <v>0</v>
      </c>
      <c r="P6092" s="6">
        <v>0</v>
      </c>
      <c r="Q6092">
        <v>1</v>
      </c>
      <c r="R6092">
        <f t="shared" si="475"/>
        <v>0</v>
      </c>
      <c r="S6092">
        <f t="shared" si="476"/>
        <v>1</v>
      </c>
      <c r="T6092">
        <f t="shared" si="477"/>
        <v>1</v>
      </c>
      <c r="U6092">
        <f t="shared" si="478"/>
        <v>1</v>
      </c>
      <c r="V6092">
        <f t="shared" si="479"/>
        <v>0</v>
      </c>
    </row>
    <row r="6093" spans="1:22" x14ac:dyDescent="0.25">
      <c r="A6093">
        <v>6090</v>
      </c>
      <c r="B6093" t="s">
        <v>40</v>
      </c>
      <c r="C6093" t="s">
        <v>1755</v>
      </c>
      <c r="D6093" s="4">
        <v>45444</v>
      </c>
      <c r="E6093" t="s">
        <v>376</v>
      </c>
      <c r="F6093" t="s">
        <v>75</v>
      </c>
      <c r="I6093" s="6">
        <v>1</v>
      </c>
      <c r="J6093" s="6">
        <v>0</v>
      </c>
      <c r="K6093" s="6">
        <v>0</v>
      </c>
      <c r="L6093" s="6">
        <v>0</v>
      </c>
      <c r="M6093" s="6">
        <v>1</v>
      </c>
      <c r="N6093" s="6">
        <v>0</v>
      </c>
      <c r="O6093" s="6">
        <v>0</v>
      </c>
      <c r="P6093" s="6">
        <v>0</v>
      </c>
      <c r="Q6093">
        <v>1</v>
      </c>
      <c r="R6093">
        <f t="shared" si="475"/>
        <v>0</v>
      </c>
      <c r="S6093">
        <f t="shared" si="476"/>
        <v>1</v>
      </c>
      <c r="T6093">
        <f t="shared" si="477"/>
        <v>2</v>
      </c>
      <c r="U6093">
        <f t="shared" si="478"/>
        <v>1</v>
      </c>
      <c r="V6093">
        <f t="shared" si="479"/>
        <v>0</v>
      </c>
    </row>
    <row r="6094" spans="1:22" x14ac:dyDescent="0.25">
      <c r="A6094">
        <v>6091</v>
      </c>
      <c r="B6094" t="s">
        <v>40</v>
      </c>
      <c r="C6094" t="s">
        <v>1755</v>
      </c>
      <c r="D6094" s="4">
        <v>45444</v>
      </c>
      <c r="E6094" t="s">
        <v>899</v>
      </c>
      <c r="F6094" t="s">
        <v>75</v>
      </c>
      <c r="I6094" s="6">
        <v>0</v>
      </c>
      <c r="J6094" s="6">
        <v>1</v>
      </c>
      <c r="K6094" s="6">
        <v>0</v>
      </c>
      <c r="L6094" s="6">
        <v>0</v>
      </c>
      <c r="M6094" s="6">
        <v>0</v>
      </c>
      <c r="N6094" s="6">
        <v>0</v>
      </c>
      <c r="O6094" s="6">
        <v>0</v>
      </c>
      <c r="P6094" s="6">
        <v>0</v>
      </c>
      <c r="Q6094">
        <v>1</v>
      </c>
      <c r="R6094">
        <f t="shared" si="475"/>
        <v>0</v>
      </c>
      <c r="S6094">
        <f t="shared" si="476"/>
        <v>1</v>
      </c>
      <c r="T6094">
        <f t="shared" si="477"/>
        <v>1</v>
      </c>
      <c r="U6094">
        <f t="shared" si="478"/>
        <v>1</v>
      </c>
      <c r="V6094">
        <f t="shared" si="479"/>
        <v>0</v>
      </c>
    </row>
    <row r="6095" spans="1:22" x14ac:dyDescent="0.25">
      <c r="A6095">
        <v>6092</v>
      </c>
      <c r="B6095" t="s">
        <v>40</v>
      </c>
      <c r="C6095" t="s">
        <v>1755</v>
      </c>
      <c r="D6095" s="4">
        <v>45444</v>
      </c>
      <c r="E6095" t="s">
        <v>377</v>
      </c>
      <c r="F6095" t="s">
        <v>75</v>
      </c>
      <c r="I6095" s="6"/>
      <c r="J6095" s="6"/>
      <c r="K6095" s="6"/>
      <c r="L6095" s="6"/>
      <c r="M6095" s="6"/>
      <c r="N6095" s="6"/>
      <c r="O6095" s="6"/>
      <c r="P6095" s="6"/>
      <c r="Q6095">
        <v>0</v>
      </c>
      <c r="R6095">
        <f t="shared" si="475"/>
        <v>0</v>
      </c>
      <c r="S6095">
        <f t="shared" si="476"/>
        <v>0</v>
      </c>
      <c r="T6095">
        <f t="shared" si="477"/>
        <v>0</v>
      </c>
      <c r="U6095">
        <f t="shared" si="478"/>
        <v>0</v>
      </c>
      <c r="V6095">
        <f t="shared" si="479"/>
        <v>0</v>
      </c>
    </row>
    <row r="6096" spans="1:22" x14ac:dyDescent="0.25">
      <c r="A6096">
        <v>6093</v>
      </c>
      <c r="B6096" t="s">
        <v>40</v>
      </c>
      <c r="C6096" t="s">
        <v>1755</v>
      </c>
      <c r="D6096" s="4">
        <v>45444</v>
      </c>
      <c r="E6096" t="s">
        <v>378</v>
      </c>
      <c r="F6096" t="s">
        <v>75</v>
      </c>
      <c r="I6096" s="6"/>
      <c r="J6096" s="6"/>
      <c r="K6096" s="6"/>
      <c r="L6096" s="6"/>
      <c r="M6096" s="6"/>
      <c r="N6096" s="6"/>
      <c r="O6096" s="6"/>
      <c r="P6096" s="6"/>
      <c r="Q6096">
        <v>0</v>
      </c>
      <c r="R6096">
        <f t="shared" si="475"/>
        <v>0</v>
      </c>
      <c r="S6096">
        <f t="shared" si="476"/>
        <v>0</v>
      </c>
      <c r="T6096">
        <f t="shared" si="477"/>
        <v>0</v>
      </c>
      <c r="U6096">
        <f t="shared" si="478"/>
        <v>0</v>
      </c>
      <c r="V6096">
        <f t="shared" si="479"/>
        <v>0</v>
      </c>
    </row>
    <row r="6097" spans="1:22" x14ac:dyDescent="0.25">
      <c r="A6097">
        <v>6094</v>
      </c>
      <c r="B6097" t="s">
        <v>40</v>
      </c>
      <c r="C6097" t="s">
        <v>1755</v>
      </c>
      <c r="D6097" s="4">
        <v>45445</v>
      </c>
      <c r="E6097" t="s">
        <v>380</v>
      </c>
      <c r="F6097" t="s">
        <v>75</v>
      </c>
      <c r="I6097" s="6">
        <v>0</v>
      </c>
      <c r="J6097" s="6">
        <v>0</v>
      </c>
      <c r="K6097" s="6">
        <v>0</v>
      </c>
      <c r="L6097" s="6">
        <v>0</v>
      </c>
      <c r="M6097" s="6">
        <v>0</v>
      </c>
      <c r="N6097" s="6">
        <v>0</v>
      </c>
      <c r="O6097" s="6">
        <v>0</v>
      </c>
      <c r="P6097" s="6">
        <v>0</v>
      </c>
      <c r="Q6097">
        <v>1</v>
      </c>
      <c r="R6097">
        <f t="shared" si="475"/>
        <v>0</v>
      </c>
      <c r="S6097">
        <f t="shared" si="476"/>
        <v>1</v>
      </c>
      <c r="T6097">
        <f t="shared" si="477"/>
        <v>0</v>
      </c>
      <c r="U6097">
        <f t="shared" si="478"/>
        <v>0</v>
      </c>
      <c r="V6097">
        <f t="shared" si="479"/>
        <v>0</v>
      </c>
    </row>
    <row r="6098" spans="1:22" x14ac:dyDescent="0.25">
      <c r="A6098">
        <v>6095</v>
      </c>
      <c r="B6098" t="s">
        <v>40</v>
      </c>
      <c r="C6098" t="s">
        <v>1755</v>
      </c>
      <c r="D6098" s="4">
        <v>45445</v>
      </c>
      <c r="E6098" t="s">
        <v>381</v>
      </c>
      <c r="F6098" t="s">
        <v>75</v>
      </c>
      <c r="I6098" s="6"/>
      <c r="J6098" s="6"/>
      <c r="K6098" s="6"/>
      <c r="L6098" s="6"/>
      <c r="M6098" s="6"/>
      <c r="N6098" s="6"/>
      <c r="O6098" s="6"/>
      <c r="P6098" s="6"/>
      <c r="Q6098">
        <v>0</v>
      </c>
      <c r="R6098">
        <f t="shared" si="475"/>
        <v>0</v>
      </c>
      <c r="S6098">
        <f t="shared" si="476"/>
        <v>0</v>
      </c>
      <c r="T6098">
        <f t="shared" si="477"/>
        <v>0</v>
      </c>
      <c r="U6098">
        <f t="shared" si="478"/>
        <v>0</v>
      </c>
      <c r="V6098">
        <f t="shared" si="479"/>
        <v>0</v>
      </c>
    </row>
    <row r="6099" spans="1:22" x14ac:dyDescent="0.25">
      <c r="A6099">
        <v>6096</v>
      </c>
      <c r="B6099" t="s">
        <v>40</v>
      </c>
      <c r="C6099" t="s">
        <v>1755</v>
      </c>
      <c r="D6099" s="4">
        <v>45446</v>
      </c>
      <c r="E6099" t="s">
        <v>1824</v>
      </c>
      <c r="F6099" t="s">
        <v>413</v>
      </c>
      <c r="G6099">
        <v>283</v>
      </c>
      <c r="I6099" s="6">
        <v>1</v>
      </c>
      <c r="J6099" s="6">
        <v>0</v>
      </c>
      <c r="K6099" s="6">
        <v>0</v>
      </c>
      <c r="L6099" s="6">
        <v>0</v>
      </c>
      <c r="M6099" s="6">
        <v>1</v>
      </c>
      <c r="N6099" s="6">
        <v>0</v>
      </c>
      <c r="O6099" s="6">
        <v>0</v>
      </c>
      <c r="P6099" s="6">
        <v>0</v>
      </c>
      <c r="Q6099">
        <v>1</v>
      </c>
      <c r="R6099">
        <f t="shared" si="475"/>
        <v>1</v>
      </c>
      <c r="S6099">
        <f t="shared" si="476"/>
        <v>0</v>
      </c>
      <c r="T6099">
        <f t="shared" si="477"/>
        <v>2</v>
      </c>
      <c r="U6099">
        <f t="shared" si="478"/>
        <v>1</v>
      </c>
      <c r="V6099">
        <f t="shared" si="479"/>
        <v>1</v>
      </c>
    </row>
    <row r="6100" spans="1:22" x14ac:dyDescent="0.25">
      <c r="A6100">
        <v>6097</v>
      </c>
      <c r="B6100" t="s">
        <v>40</v>
      </c>
      <c r="C6100" t="s">
        <v>1755</v>
      </c>
      <c r="D6100" s="4">
        <v>45450</v>
      </c>
      <c r="E6100" t="s">
        <v>1242</v>
      </c>
      <c r="F6100" t="s">
        <v>75</v>
      </c>
      <c r="I6100" s="6">
        <v>0</v>
      </c>
      <c r="J6100" s="6">
        <v>0</v>
      </c>
      <c r="K6100" s="6">
        <v>0</v>
      </c>
      <c r="L6100" s="6">
        <v>0</v>
      </c>
      <c r="M6100" s="6">
        <v>0</v>
      </c>
      <c r="N6100" s="6">
        <v>0</v>
      </c>
      <c r="O6100" s="6">
        <v>0</v>
      </c>
      <c r="P6100" s="6">
        <v>0</v>
      </c>
      <c r="Q6100">
        <v>1</v>
      </c>
      <c r="R6100">
        <f t="shared" si="475"/>
        <v>0</v>
      </c>
      <c r="S6100">
        <f t="shared" si="476"/>
        <v>1</v>
      </c>
      <c r="T6100">
        <f t="shared" si="477"/>
        <v>0</v>
      </c>
      <c r="U6100">
        <f t="shared" si="478"/>
        <v>0</v>
      </c>
      <c r="V6100">
        <f t="shared" si="479"/>
        <v>0</v>
      </c>
    </row>
    <row r="6101" spans="1:22" x14ac:dyDescent="0.25">
      <c r="A6101">
        <v>6098</v>
      </c>
      <c r="B6101" t="s">
        <v>40</v>
      </c>
      <c r="C6101" t="s">
        <v>1755</v>
      </c>
      <c r="D6101" s="4">
        <v>45451</v>
      </c>
      <c r="E6101" t="s">
        <v>1758</v>
      </c>
      <c r="F6101" t="s">
        <v>75</v>
      </c>
      <c r="I6101" s="6">
        <v>0</v>
      </c>
      <c r="J6101" s="6">
        <v>0</v>
      </c>
      <c r="K6101" s="6">
        <v>0</v>
      </c>
      <c r="L6101" s="6">
        <v>0</v>
      </c>
      <c r="M6101" s="6">
        <v>0</v>
      </c>
      <c r="N6101" s="6">
        <v>0</v>
      </c>
      <c r="O6101" s="6">
        <v>0</v>
      </c>
      <c r="P6101" s="6">
        <v>0</v>
      </c>
      <c r="Q6101">
        <v>1</v>
      </c>
      <c r="R6101">
        <f t="shared" si="475"/>
        <v>0</v>
      </c>
      <c r="S6101">
        <f t="shared" si="476"/>
        <v>1</v>
      </c>
      <c r="T6101">
        <f t="shared" si="477"/>
        <v>0</v>
      </c>
      <c r="U6101">
        <f t="shared" si="478"/>
        <v>0</v>
      </c>
      <c r="V6101">
        <f t="shared" si="479"/>
        <v>0</v>
      </c>
    </row>
    <row r="6102" spans="1:22" x14ac:dyDescent="0.25">
      <c r="A6102">
        <v>6099</v>
      </c>
      <c r="B6102" t="s">
        <v>40</v>
      </c>
      <c r="C6102" t="s">
        <v>1755</v>
      </c>
      <c r="D6102" s="4">
        <v>45452</v>
      </c>
      <c r="E6102" t="s">
        <v>398</v>
      </c>
      <c r="F6102" t="s">
        <v>75</v>
      </c>
      <c r="I6102" s="6">
        <v>0</v>
      </c>
      <c r="J6102" s="6">
        <v>0</v>
      </c>
      <c r="K6102" s="6">
        <v>0</v>
      </c>
      <c r="L6102" s="6">
        <v>0</v>
      </c>
      <c r="M6102" s="6">
        <v>1</v>
      </c>
      <c r="N6102" s="6">
        <v>0</v>
      </c>
      <c r="O6102" s="6">
        <v>0</v>
      </c>
      <c r="P6102" s="6">
        <v>0</v>
      </c>
      <c r="Q6102">
        <v>1</v>
      </c>
      <c r="R6102">
        <f t="shared" si="475"/>
        <v>0</v>
      </c>
      <c r="S6102">
        <f t="shared" si="476"/>
        <v>1</v>
      </c>
      <c r="T6102">
        <f t="shared" si="477"/>
        <v>1</v>
      </c>
      <c r="U6102">
        <f t="shared" si="478"/>
        <v>1</v>
      </c>
      <c r="V6102">
        <f t="shared" si="479"/>
        <v>0</v>
      </c>
    </row>
    <row r="6103" spans="1:22" x14ac:dyDescent="0.25">
      <c r="A6103">
        <v>6100</v>
      </c>
      <c r="B6103" t="s">
        <v>40</v>
      </c>
      <c r="C6103" t="s">
        <v>1755</v>
      </c>
      <c r="D6103" s="4">
        <v>45452</v>
      </c>
      <c r="E6103" t="s">
        <v>399</v>
      </c>
      <c r="F6103" t="s">
        <v>75</v>
      </c>
      <c r="I6103" s="6">
        <v>0</v>
      </c>
      <c r="J6103" s="6">
        <v>0</v>
      </c>
      <c r="K6103" s="6">
        <v>0</v>
      </c>
      <c r="L6103" s="6">
        <v>0</v>
      </c>
      <c r="M6103" s="6">
        <v>0</v>
      </c>
      <c r="N6103" s="6">
        <v>0</v>
      </c>
      <c r="O6103" s="6">
        <v>0</v>
      </c>
      <c r="P6103" s="6">
        <v>1</v>
      </c>
      <c r="Q6103">
        <v>1</v>
      </c>
      <c r="R6103">
        <f t="shared" si="475"/>
        <v>0</v>
      </c>
      <c r="S6103">
        <f t="shared" si="476"/>
        <v>1</v>
      </c>
      <c r="T6103">
        <f t="shared" si="477"/>
        <v>1</v>
      </c>
      <c r="U6103">
        <f t="shared" si="478"/>
        <v>1</v>
      </c>
      <c r="V6103">
        <f t="shared" si="479"/>
        <v>0</v>
      </c>
    </row>
    <row r="6104" spans="1:22" x14ac:dyDescent="0.25">
      <c r="A6104">
        <v>6101</v>
      </c>
      <c r="B6104" t="s">
        <v>40</v>
      </c>
      <c r="C6104" t="s">
        <v>1755</v>
      </c>
      <c r="D6104" s="4">
        <v>45453</v>
      </c>
      <c r="E6104" t="s">
        <v>1825</v>
      </c>
      <c r="F6104" t="s">
        <v>75</v>
      </c>
      <c r="I6104" s="6">
        <v>0</v>
      </c>
      <c r="J6104" s="6">
        <v>0</v>
      </c>
      <c r="K6104" s="6">
        <v>0</v>
      </c>
      <c r="L6104" s="6">
        <v>0</v>
      </c>
      <c r="M6104" s="6">
        <v>1</v>
      </c>
      <c r="N6104" s="6">
        <v>0</v>
      </c>
      <c r="O6104" s="6">
        <v>0</v>
      </c>
      <c r="P6104" s="6">
        <v>0</v>
      </c>
      <c r="Q6104">
        <v>1</v>
      </c>
      <c r="R6104">
        <f t="shared" si="475"/>
        <v>0</v>
      </c>
      <c r="S6104">
        <f t="shared" si="476"/>
        <v>1</v>
      </c>
      <c r="T6104">
        <f t="shared" si="477"/>
        <v>1</v>
      </c>
      <c r="U6104">
        <f t="shared" si="478"/>
        <v>1</v>
      </c>
      <c r="V6104">
        <f t="shared" si="479"/>
        <v>0</v>
      </c>
    </row>
    <row r="6105" spans="1:22" x14ac:dyDescent="0.25">
      <c r="A6105">
        <v>6102</v>
      </c>
      <c r="B6105" t="s">
        <v>40</v>
      </c>
      <c r="C6105" t="s">
        <v>1755</v>
      </c>
      <c r="D6105" s="4">
        <v>45453</v>
      </c>
      <c r="E6105" t="s">
        <v>2015</v>
      </c>
      <c r="F6105" t="s">
        <v>75</v>
      </c>
      <c r="I6105" s="6">
        <v>0</v>
      </c>
      <c r="J6105" s="6">
        <v>0</v>
      </c>
      <c r="K6105" s="6">
        <v>0</v>
      </c>
      <c r="L6105" s="6">
        <v>0</v>
      </c>
      <c r="M6105" s="6">
        <v>1</v>
      </c>
      <c r="N6105" s="6">
        <v>0</v>
      </c>
      <c r="O6105" s="6">
        <v>0</v>
      </c>
      <c r="P6105" s="6">
        <v>0</v>
      </c>
      <c r="Q6105">
        <v>1</v>
      </c>
      <c r="R6105">
        <f t="shared" si="475"/>
        <v>0</v>
      </c>
      <c r="S6105">
        <f t="shared" si="476"/>
        <v>1</v>
      </c>
      <c r="T6105">
        <f t="shared" si="477"/>
        <v>1</v>
      </c>
      <c r="U6105">
        <f t="shared" si="478"/>
        <v>1</v>
      </c>
      <c r="V6105">
        <f t="shared" si="479"/>
        <v>0</v>
      </c>
    </row>
    <row r="6106" spans="1:22" x14ac:dyDescent="0.25">
      <c r="A6106">
        <v>6103</v>
      </c>
      <c r="B6106" t="s">
        <v>40</v>
      </c>
      <c r="C6106" t="s">
        <v>1755</v>
      </c>
      <c r="D6106" s="4">
        <v>45454</v>
      </c>
      <c r="E6106" t="s">
        <v>1759</v>
      </c>
      <c r="F6106" t="s">
        <v>75</v>
      </c>
      <c r="I6106" s="6">
        <v>0</v>
      </c>
      <c r="J6106" s="6">
        <v>0</v>
      </c>
      <c r="K6106" s="6">
        <v>0</v>
      </c>
      <c r="L6106" s="6">
        <v>0</v>
      </c>
      <c r="M6106" s="6">
        <v>1</v>
      </c>
      <c r="N6106" s="6">
        <v>0</v>
      </c>
      <c r="O6106" s="6">
        <v>0</v>
      </c>
      <c r="P6106" s="6">
        <v>0</v>
      </c>
      <c r="Q6106">
        <v>1</v>
      </c>
      <c r="R6106">
        <f t="shared" si="475"/>
        <v>0</v>
      </c>
      <c r="S6106">
        <f t="shared" si="476"/>
        <v>1</v>
      </c>
      <c r="T6106">
        <f t="shared" si="477"/>
        <v>1</v>
      </c>
      <c r="U6106">
        <f t="shared" si="478"/>
        <v>1</v>
      </c>
      <c r="V6106">
        <f t="shared" si="479"/>
        <v>0</v>
      </c>
    </row>
    <row r="6107" spans="1:22" x14ac:dyDescent="0.25">
      <c r="A6107">
        <v>6104</v>
      </c>
      <c r="B6107" t="s">
        <v>40</v>
      </c>
      <c r="C6107" t="s">
        <v>1755</v>
      </c>
      <c r="D6107" s="4">
        <v>45454</v>
      </c>
      <c r="E6107" t="s">
        <v>1760</v>
      </c>
      <c r="F6107" t="s">
        <v>75</v>
      </c>
      <c r="I6107" s="6">
        <v>0</v>
      </c>
      <c r="J6107" s="6">
        <v>0</v>
      </c>
      <c r="K6107" s="6">
        <v>0</v>
      </c>
      <c r="L6107" s="6">
        <v>0</v>
      </c>
      <c r="M6107" s="6">
        <v>0</v>
      </c>
      <c r="N6107" s="6">
        <v>0</v>
      </c>
      <c r="O6107" s="6">
        <v>0</v>
      </c>
      <c r="P6107" s="6">
        <v>0</v>
      </c>
      <c r="Q6107">
        <v>1</v>
      </c>
      <c r="R6107">
        <f t="shared" si="475"/>
        <v>0</v>
      </c>
      <c r="S6107">
        <f t="shared" si="476"/>
        <v>1</v>
      </c>
      <c r="T6107">
        <f t="shared" si="477"/>
        <v>0</v>
      </c>
      <c r="U6107">
        <f t="shared" si="478"/>
        <v>0</v>
      </c>
      <c r="V6107">
        <f t="shared" si="479"/>
        <v>0</v>
      </c>
    </row>
    <row r="6108" spans="1:22" x14ac:dyDescent="0.25">
      <c r="A6108">
        <v>6105</v>
      </c>
      <c r="B6108" t="s">
        <v>40</v>
      </c>
      <c r="C6108" t="s">
        <v>1755</v>
      </c>
      <c r="D6108" s="4">
        <v>45454</v>
      </c>
      <c r="E6108" t="s">
        <v>1761</v>
      </c>
      <c r="F6108" t="s">
        <v>75</v>
      </c>
      <c r="I6108" s="6"/>
      <c r="J6108" s="6"/>
      <c r="K6108" s="6"/>
      <c r="L6108" s="6"/>
      <c r="M6108" s="6"/>
      <c r="N6108" s="6"/>
      <c r="O6108" s="6"/>
      <c r="P6108" s="6"/>
      <c r="Q6108">
        <v>0</v>
      </c>
      <c r="R6108">
        <f t="shared" si="475"/>
        <v>0</v>
      </c>
      <c r="S6108">
        <f t="shared" si="476"/>
        <v>0</v>
      </c>
      <c r="T6108">
        <f t="shared" si="477"/>
        <v>0</v>
      </c>
      <c r="U6108">
        <f t="shared" si="478"/>
        <v>0</v>
      </c>
      <c r="V6108">
        <f t="shared" si="479"/>
        <v>0</v>
      </c>
    </row>
    <row r="6109" spans="1:22" x14ac:dyDescent="0.25">
      <c r="A6109">
        <v>6106</v>
      </c>
      <c r="B6109" t="s">
        <v>40</v>
      </c>
      <c r="C6109" t="s">
        <v>1755</v>
      </c>
      <c r="D6109" s="4">
        <v>45454</v>
      </c>
      <c r="E6109" t="s">
        <v>2014</v>
      </c>
      <c r="F6109" t="s">
        <v>75</v>
      </c>
      <c r="I6109" s="6">
        <v>0</v>
      </c>
      <c r="J6109" s="6">
        <v>0</v>
      </c>
      <c r="K6109" s="6">
        <v>0</v>
      </c>
      <c r="L6109" s="6">
        <v>0</v>
      </c>
      <c r="M6109" s="6">
        <v>1</v>
      </c>
      <c r="N6109" s="6">
        <v>0</v>
      </c>
      <c r="O6109" s="6">
        <v>0</v>
      </c>
      <c r="P6109" s="6">
        <v>0</v>
      </c>
      <c r="Q6109">
        <v>1</v>
      </c>
      <c r="R6109">
        <f t="shared" si="475"/>
        <v>0</v>
      </c>
      <c r="S6109">
        <f t="shared" si="476"/>
        <v>1</v>
      </c>
      <c r="T6109">
        <f t="shared" si="477"/>
        <v>1</v>
      </c>
      <c r="U6109">
        <f t="shared" si="478"/>
        <v>1</v>
      </c>
      <c r="V6109">
        <f t="shared" si="479"/>
        <v>0</v>
      </c>
    </row>
    <row r="6110" spans="1:22" x14ac:dyDescent="0.25">
      <c r="A6110">
        <v>6107</v>
      </c>
      <c r="B6110" t="s">
        <v>40</v>
      </c>
      <c r="C6110" t="s">
        <v>1755</v>
      </c>
      <c r="D6110" s="4">
        <v>45455</v>
      </c>
      <c r="E6110" t="s">
        <v>1762</v>
      </c>
      <c r="F6110" t="s">
        <v>75</v>
      </c>
      <c r="I6110" s="6"/>
      <c r="J6110" s="6"/>
      <c r="K6110" s="6"/>
      <c r="L6110" s="6"/>
      <c r="M6110" s="6"/>
      <c r="N6110" s="6"/>
      <c r="O6110" s="6"/>
      <c r="P6110" s="6"/>
      <c r="Q6110">
        <v>0</v>
      </c>
      <c r="R6110">
        <f t="shared" si="475"/>
        <v>0</v>
      </c>
      <c r="S6110">
        <f t="shared" si="476"/>
        <v>0</v>
      </c>
      <c r="T6110">
        <f t="shared" si="477"/>
        <v>0</v>
      </c>
      <c r="U6110">
        <f t="shared" si="478"/>
        <v>0</v>
      </c>
      <c r="V6110">
        <f t="shared" si="479"/>
        <v>0</v>
      </c>
    </row>
    <row r="6111" spans="1:22" x14ac:dyDescent="0.25">
      <c r="A6111">
        <v>6108</v>
      </c>
      <c r="B6111" t="s">
        <v>40</v>
      </c>
      <c r="C6111" t="s">
        <v>1755</v>
      </c>
      <c r="D6111" s="4">
        <v>45455</v>
      </c>
      <c r="E6111" t="s">
        <v>1763</v>
      </c>
      <c r="F6111" t="s">
        <v>75</v>
      </c>
      <c r="I6111" s="6">
        <v>0</v>
      </c>
      <c r="J6111" s="6">
        <v>0</v>
      </c>
      <c r="K6111" s="6">
        <v>0</v>
      </c>
      <c r="L6111" s="6">
        <v>0</v>
      </c>
      <c r="M6111" s="6">
        <v>0</v>
      </c>
      <c r="N6111" s="6">
        <v>0</v>
      </c>
      <c r="O6111" s="6">
        <v>0</v>
      </c>
      <c r="P6111" s="6">
        <v>0</v>
      </c>
      <c r="Q6111">
        <v>1</v>
      </c>
      <c r="R6111">
        <f t="shared" si="475"/>
        <v>0</v>
      </c>
      <c r="S6111">
        <f t="shared" si="476"/>
        <v>1</v>
      </c>
      <c r="T6111">
        <f t="shared" si="477"/>
        <v>0</v>
      </c>
      <c r="U6111">
        <f t="shared" si="478"/>
        <v>0</v>
      </c>
      <c r="V6111">
        <f t="shared" si="479"/>
        <v>0</v>
      </c>
    </row>
    <row r="6112" spans="1:22" x14ac:dyDescent="0.25">
      <c r="A6112">
        <v>6109</v>
      </c>
      <c r="B6112" t="s">
        <v>40</v>
      </c>
      <c r="C6112" t="s">
        <v>1755</v>
      </c>
      <c r="D6112" s="4">
        <v>45455</v>
      </c>
      <c r="E6112" t="s">
        <v>1826</v>
      </c>
      <c r="F6112" t="s">
        <v>75</v>
      </c>
      <c r="I6112" s="6">
        <v>0</v>
      </c>
      <c r="J6112" s="6">
        <v>0</v>
      </c>
      <c r="K6112" s="6">
        <v>0</v>
      </c>
      <c r="L6112" s="6">
        <v>0</v>
      </c>
      <c r="M6112" s="6">
        <v>1</v>
      </c>
      <c r="N6112" s="6">
        <v>0</v>
      </c>
      <c r="O6112" s="6">
        <v>0</v>
      </c>
      <c r="P6112" s="6">
        <v>0</v>
      </c>
      <c r="Q6112">
        <v>1</v>
      </c>
      <c r="R6112">
        <f t="shared" si="475"/>
        <v>0</v>
      </c>
      <c r="S6112">
        <f t="shared" si="476"/>
        <v>1</v>
      </c>
      <c r="T6112">
        <f t="shared" si="477"/>
        <v>1</v>
      </c>
      <c r="U6112">
        <f t="shared" si="478"/>
        <v>1</v>
      </c>
      <c r="V6112">
        <f t="shared" si="479"/>
        <v>0</v>
      </c>
    </row>
    <row r="6113" spans="1:22" x14ac:dyDescent="0.25">
      <c r="A6113">
        <v>6110</v>
      </c>
      <c r="B6113" t="s">
        <v>40</v>
      </c>
      <c r="C6113" t="s">
        <v>1755</v>
      </c>
      <c r="D6113" s="4">
        <v>45456</v>
      </c>
      <c r="E6113" t="s">
        <v>1827</v>
      </c>
      <c r="F6113" t="s">
        <v>357</v>
      </c>
      <c r="I6113" s="6">
        <v>0</v>
      </c>
      <c r="J6113" s="6">
        <v>0</v>
      </c>
      <c r="K6113" s="6">
        <v>0</v>
      </c>
      <c r="L6113" s="6">
        <v>0</v>
      </c>
      <c r="M6113" s="6">
        <v>1</v>
      </c>
      <c r="N6113" s="6">
        <v>0</v>
      </c>
      <c r="O6113" s="6">
        <v>0</v>
      </c>
      <c r="P6113" s="6">
        <v>0</v>
      </c>
      <c r="Q6113">
        <v>1</v>
      </c>
      <c r="R6113">
        <f t="shared" si="475"/>
        <v>0</v>
      </c>
      <c r="S6113">
        <f t="shared" si="476"/>
        <v>0</v>
      </c>
      <c r="T6113">
        <f t="shared" si="477"/>
        <v>1</v>
      </c>
      <c r="U6113">
        <f t="shared" si="478"/>
        <v>1</v>
      </c>
      <c r="V6113">
        <f t="shared" si="479"/>
        <v>0</v>
      </c>
    </row>
    <row r="6114" spans="1:22" x14ac:dyDescent="0.25">
      <c r="A6114">
        <v>6111</v>
      </c>
      <c r="B6114" t="s">
        <v>40</v>
      </c>
      <c r="C6114" t="s">
        <v>1755</v>
      </c>
      <c r="D6114" s="4">
        <v>45456</v>
      </c>
      <c r="E6114" t="s">
        <v>2013</v>
      </c>
      <c r="F6114" t="s">
        <v>75</v>
      </c>
      <c r="I6114" s="6">
        <v>1</v>
      </c>
      <c r="J6114" s="6">
        <v>0</v>
      </c>
      <c r="K6114" s="6">
        <v>0</v>
      </c>
      <c r="L6114" s="6">
        <v>0</v>
      </c>
      <c r="M6114" s="6">
        <v>0</v>
      </c>
      <c r="N6114" s="6">
        <v>0</v>
      </c>
      <c r="O6114" s="6">
        <v>0</v>
      </c>
      <c r="P6114" s="6">
        <v>0</v>
      </c>
      <c r="Q6114">
        <v>1</v>
      </c>
      <c r="R6114">
        <f t="shared" si="475"/>
        <v>0</v>
      </c>
      <c r="S6114">
        <f t="shared" si="476"/>
        <v>1</v>
      </c>
      <c r="T6114">
        <f t="shared" si="477"/>
        <v>1</v>
      </c>
      <c r="U6114">
        <f t="shared" si="478"/>
        <v>1</v>
      </c>
      <c r="V6114">
        <f t="shared" si="479"/>
        <v>0</v>
      </c>
    </row>
    <row r="6115" spans="1:22" x14ac:dyDescent="0.25">
      <c r="A6115">
        <v>6112</v>
      </c>
      <c r="B6115" t="s">
        <v>40</v>
      </c>
      <c r="C6115" t="s">
        <v>1755</v>
      </c>
      <c r="D6115" s="4">
        <v>45456</v>
      </c>
      <c r="E6115" t="s">
        <v>2012</v>
      </c>
      <c r="F6115" t="s">
        <v>75</v>
      </c>
      <c r="I6115" s="6"/>
      <c r="J6115" s="6"/>
      <c r="K6115" s="6"/>
      <c r="L6115" s="6"/>
      <c r="M6115" s="6"/>
      <c r="N6115" s="6"/>
      <c r="O6115" s="6"/>
      <c r="P6115" s="6"/>
      <c r="Q6115">
        <v>0</v>
      </c>
      <c r="R6115">
        <f t="shared" si="475"/>
        <v>0</v>
      </c>
      <c r="S6115">
        <f t="shared" si="476"/>
        <v>0</v>
      </c>
      <c r="T6115">
        <f t="shared" si="477"/>
        <v>0</v>
      </c>
      <c r="U6115">
        <f t="shared" si="478"/>
        <v>0</v>
      </c>
      <c r="V6115">
        <f t="shared" si="479"/>
        <v>0</v>
      </c>
    </row>
    <row r="6116" spans="1:22" x14ac:dyDescent="0.25">
      <c r="A6116">
        <v>6113</v>
      </c>
      <c r="B6116" t="s">
        <v>40</v>
      </c>
      <c r="C6116" t="s">
        <v>1755</v>
      </c>
      <c r="D6116" s="4">
        <v>45456</v>
      </c>
      <c r="E6116" t="s">
        <v>1828</v>
      </c>
      <c r="F6116" t="s">
        <v>75</v>
      </c>
      <c r="I6116" s="6">
        <v>1</v>
      </c>
      <c r="J6116" s="6">
        <v>0</v>
      </c>
      <c r="K6116" s="6">
        <v>0</v>
      </c>
      <c r="L6116" s="6">
        <v>0</v>
      </c>
      <c r="M6116" s="6">
        <v>1</v>
      </c>
      <c r="N6116" s="6">
        <v>0</v>
      </c>
      <c r="O6116" s="6">
        <v>0</v>
      </c>
      <c r="P6116" s="6">
        <v>0</v>
      </c>
      <c r="Q6116">
        <v>1</v>
      </c>
      <c r="R6116">
        <f t="shared" si="475"/>
        <v>0</v>
      </c>
      <c r="S6116">
        <f t="shared" si="476"/>
        <v>1</v>
      </c>
      <c r="T6116">
        <f t="shared" si="477"/>
        <v>2</v>
      </c>
      <c r="U6116">
        <f t="shared" si="478"/>
        <v>1</v>
      </c>
      <c r="V6116">
        <f t="shared" si="479"/>
        <v>0</v>
      </c>
    </row>
    <row r="6117" spans="1:22" x14ac:dyDescent="0.25">
      <c r="A6117">
        <v>6114</v>
      </c>
      <c r="B6117" t="s">
        <v>40</v>
      </c>
      <c r="C6117" t="s">
        <v>1755</v>
      </c>
      <c r="D6117" s="4">
        <v>45457</v>
      </c>
      <c r="E6117" t="s">
        <v>1764</v>
      </c>
      <c r="F6117" t="s">
        <v>75</v>
      </c>
      <c r="I6117" s="6">
        <v>0</v>
      </c>
      <c r="J6117" s="6">
        <v>0</v>
      </c>
      <c r="K6117" s="6">
        <v>0</v>
      </c>
      <c r="L6117" s="6">
        <v>0</v>
      </c>
      <c r="M6117" s="6">
        <v>0</v>
      </c>
      <c r="N6117" s="6">
        <v>0</v>
      </c>
      <c r="O6117" s="6">
        <v>0</v>
      </c>
      <c r="P6117" s="6">
        <v>0</v>
      </c>
      <c r="Q6117">
        <v>1</v>
      </c>
      <c r="R6117">
        <f t="shared" si="475"/>
        <v>0</v>
      </c>
      <c r="S6117">
        <f t="shared" si="476"/>
        <v>1</v>
      </c>
      <c r="T6117">
        <f t="shared" si="477"/>
        <v>0</v>
      </c>
      <c r="U6117">
        <f t="shared" si="478"/>
        <v>0</v>
      </c>
      <c r="V6117">
        <f t="shared" si="479"/>
        <v>0</v>
      </c>
    </row>
    <row r="6118" spans="1:22" x14ac:dyDescent="0.25">
      <c r="A6118">
        <v>6115</v>
      </c>
      <c r="B6118" t="s">
        <v>40</v>
      </c>
      <c r="C6118" t="s">
        <v>1755</v>
      </c>
      <c r="D6118" s="4">
        <v>45457</v>
      </c>
      <c r="E6118" t="s">
        <v>1765</v>
      </c>
      <c r="F6118" t="s">
        <v>75</v>
      </c>
      <c r="I6118" s="6"/>
      <c r="J6118" s="6"/>
      <c r="K6118" s="6"/>
      <c r="L6118" s="6"/>
      <c r="M6118" s="6"/>
      <c r="N6118" s="6"/>
      <c r="O6118" s="6"/>
      <c r="P6118" s="6"/>
      <c r="Q6118">
        <v>0</v>
      </c>
      <c r="R6118">
        <f t="shared" si="475"/>
        <v>0</v>
      </c>
      <c r="S6118">
        <f t="shared" si="476"/>
        <v>0</v>
      </c>
      <c r="T6118">
        <f t="shared" si="477"/>
        <v>0</v>
      </c>
      <c r="U6118">
        <f t="shared" si="478"/>
        <v>0</v>
      </c>
      <c r="V6118">
        <f t="shared" si="479"/>
        <v>0</v>
      </c>
    </row>
    <row r="6119" spans="1:22" x14ac:dyDescent="0.25">
      <c r="A6119">
        <v>6116</v>
      </c>
      <c r="B6119" t="s">
        <v>40</v>
      </c>
      <c r="C6119" t="s">
        <v>1755</v>
      </c>
      <c r="D6119" s="4">
        <v>45457</v>
      </c>
      <c r="E6119" t="s">
        <v>1829</v>
      </c>
      <c r="F6119" t="s">
        <v>75</v>
      </c>
      <c r="I6119" s="6">
        <v>1</v>
      </c>
      <c r="J6119" s="6">
        <v>0</v>
      </c>
      <c r="K6119" s="6">
        <v>0</v>
      </c>
      <c r="L6119" s="6">
        <v>0</v>
      </c>
      <c r="M6119" s="6">
        <v>0</v>
      </c>
      <c r="N6119" s="6">
        <v>0</v>
      </c>
      <c r="O6119" s="6">
        <v>0</v>
      </c>
      <c r="P6119" s="6">
        <v>0</v>
      </c>
      <c r="Q6119">
        <v>1</v>
      </c>
      <c r="R6119">
        <f t="shared" si="475"/>
        <v>0</v>
      </c>
      <c r="S6119">
        <f t="shared" si="476"/>
        <v>1</v>
      </c>
      <c r="T6119">
        <f t="shared" si="477"/>
        <v>1</v>
      </c>
      <c r="U6119">
        <f t="shared" si="478"/>
        <v>1</v>
      </c>
      <c r="V6119">
        <f t="shared" si="479"/>
        <v>0</v>
      </c>
    </row>
    <row r="6120" spans="1:22" x14ac:dyDescent="0.25">
      <c r="A6120">
        <v>6117</v>
      </c>
      <c r="B6120" t="s">
        <v>40</v>
      </c>
      <c r="C6120" t="s">
        <v>1755</v>
      </c>
      <c r="D6120" s="4">
        <v>45457</v>
      </c>
      <c r="E6120" t="s">
        <v>2011</v>
      </c>
      <c r="F6120" t="s">
        <v>75</v>
      </c>
      <c r="I6120" s="6">
        <v>0</v>
      </c>
      <c r="J6120" s="6">
        <v>0</v>
      </c>
      <c r="K6120" s="6">
        <v>0</v>
      </c>
      <c r="L6120" s="6">
        <v>0</v>
      </c>
      <c r="M6120" s="6">
        <v>1</v>
      </c>
      <c r="N6120" s="6">
        <v>0</v>
      </c>
      <c r="O6120" s="6">
        <v>0</v>
      </c>
      <c r="P6120" s="6">
        <v>0</v>
      </c>
      <c r="Q6120">
        <v>1</v>
      </c>
      <c r="R6120">
        <f t="shared" si="475"/>
        <v>0</v>
      </c>
      <c r="S6120">
        <f t="shared" si="476"/>
        <v>1</v>
      </c>
      <c r="T6120">
        <f t="shared" si="477"/>
        <v>1</v>
      </c>
      <c r="U6120">
        <f t="shared" si="478"/>
        <v>1</v>
      </c>
      <c r="V6120">
        <f t="shared" si="479"/>
        <v>0</v>
      </c>
    </row>
    <row r="6121" spans="1:22" x14ac:dyDescent="0.25">
      <c r="A6121">
        <v>6118</v>
      </c>
      <c r="B6121" t="s">
        <v>40</v>
      </c>
      <c r="C6121" t="s">
        <v>1755</v>
      </c>
      <c r="D6121" s="4">
        <v>45457</v>
      </c>
      <c r="E6121" t="s">
        <v>2010</v>
      </c>
      <c r="F6121" t="s">
        <v>75</v>
      </c>
      <c r="I6121" s="6"/>
      <c r="J6121" s="6"/>
      <c r="K6121" s="6"/>
      <c r="L6121" s="6"/>
      <c r="M6121" s="6"/>
      <c r="N6121" s="6"/>
      <c r="O6121" s="6"/>
      <c r="P6121" s="6"/>
      <c r="Q6121">
        <v>0</v>
      </c>
      <c r="R6121">
        <f t="shared" si="475"/>
        <v>0</v>
      </c>
      <c r="S6121">
        <f t="shared" si="476"/>
        <v>0</v>
      </c>
      <c r="T6121">
        <f t="shared" si="477"/>
        <v>0</v>
      </c>
      <c r="U6121">
        <f t="shared" si="478"/>
        <v>0</v>
      </c>
      <c r="V6121">
        <f t="shared" si="479"/>
        <v>0</v>
      </c>
    </row>
    <row r="6122" spans="1:22" x14ac:dyDescent="0.25">
      <c r="A6122">
        <v>6119</v>
      </c>
      <c r="B6122" t="s">
        <v>40</v>
      </c>
      <c r="C6122" t="s">
        <v>1755</v>
      </c>
      <c r="D6122" s="4">
        <v>45457</v>
      </c>
      <c r="E6122" t="s">
        <v>2009</v>
      </c>
      <c r="F6122" t="s">
        <v>75</v>
      </c>
      <c r="I6122" s="6">
        <v>0</v>
      </c>
      <c r="J6122" s="6">
        <v>0</v>
      </c>
      <c r="K6122" s="6">
        <v>0</v>
      </c>
      <c r="L6122" s="6">
        <v>0</v>
      </c>
      <c r="M6122" s="6">
        <v>0</v>
      </c>
      <c r="N6122" s="6">
        <v>0</v>
      </c>
      <c r="O6122" s="6">
        <v>0</v>
      </c>
      <c r="P6122" s="6">
        <v>0</v>
      </c>
      <c r="Q6122">
        <v>1</v>
      </c>
      <c r="R6122">
        <f t="shared" si="475"/>
        <v>0</v>
      </c>
      <c r="S6122">
        <f t="shared" si="476"/>
        <v>1</v>
      </c>
      <c r="T6122">
        <f t="shared" si="477"/>
        <v>0</v>
      </c>
      <c r="U6122">
        <f t="shared" si="478"/>
        <v>0</v>
      </c>
      <c r="V6122">
        <f t="shared" si="479"/>
        <v>0</v>
      </c>
    </row>
    <row r="6123" spans="1:22" x14ac:dyDescent="0.25">
      <c r="A6123">
        <v>6120</v>
      </c>
      <c r="B6123" t="s">
        <v>40</v>
      </c>
      <c r="C6123" t="s">
        <v>1755</v>
      </c>
      <c r="D6123" s="4">
        <v>45457</v>
      </c>
      <c r="E6123" t="s">
        <v>2008</v>
      </c>
      <c r="F6123" t="s">
        <v>75</v>
      </c>
      <c r="I6123" s="6">
        <v>0</v>
      </c>
      <c r="J6123" s="6">
        <v>0</v>
      </c>
      <c r="K6123" s="6">
        <v>0</v>
      </c>
      <c r="L6123" s="6">
        <v>0</v>
      </c>
      <c r="M6123" s="6">
        <v>0</v>
      </c>
      <c r="N6123" s="6">
        <v>0</v>
      </c>
      <c r="O6123" s="6">
        <v>0</v>
      </c>
      <c r="P6123" s="6">
        <v>0</v>
      </c>
      <c r="Q6123">
        <v>1</v>
      </c>
      <c r="R6123">
        <f t="shared" si="475"/>
        <v>0</v>
      </c>
      <c r="S6123">
        <f t="shared" si="476"/>
        <v>1</v>
      </c>
      <c r="T6123">
        <f t="shared" si="477"/>
        <v>0</v>
      </c>
      <c r="U6123">
        <f t="shared" si="478"/>
        <v>0</v>
      </c>
      <c r="V6123">
        <f t="shared" si="479"/>
        <v>0</v>
      </c>
    </row>
    <row r="6124" spans="1:22" x14ac:dyDescent="0.25">
      <c r="A6124">
        <v>6121</v>
      </c>
      <c r="B6124" t="s">
        <v>40</v>
      </c>
      <c r="C6124" t="s">
        <v>1755</v>
      </c>
      <c r="D6124" s="4">
        <v>45458</v>
      </c>
      <c r="E6124" t="s">
        <v>1248</v>
      </c>
      <c r="F6124" t="s">
        <v>75</v>
      </c>
      <c r="I6124" s="6">
        <v>0</v>
      </c>
      <c r="J6124" s="6">
        <v>0</v>
      </c>
      <c r="K6124" s="6">
        <v>0</v>
      </c>
      <c r="L6124" s="6">
        <v>0</v>
      </c>
      <c r="M6124" s="6">
        <v>0</v>
      </c>
      <c r="N6124" s="6">
        <v>0</v>
      </c>
      <c r="O6124" s="6">
        <v>0</v>
      </c>
      <c r="P6124" s="6">
        <v>0</v>
      </c>
      <c r="Q6124">
        <v>1</v>
      </c>
      <c r="R6124">
        <f t="shared" si="475"/>
        <v>0</v>
      </c>
      <c r="S6124">
        <f t="shared" si="476"/>
        <v>1</v>
      </c>
      <c r="T6124">
        <f t="shared" si="477"/>
        <v>0</v>
      </c>
      <c r="U6124">
        <f t="shared" si="478"/>
        <v>0</v>
      </c>
      <c r="V6124">
        <f t="shared" si="479"/>
        <v>0</v>
      </c>
    </row>
    <row r="6125" spans="1:22" x14ac:dyDescent="0.25">
      <c r="A6125">
        <v>6122</v>
      </c>
      <c r="B6125" t="s">
        <v>40</v>
      </c>
      <c r="C6125" t="s">
        <v>1755</v>
      </c>
      <c r="D6125" s="4">
        <v>45458</v>
      </c>
      <c r="E6125" t="s">
        <v>1249</v>
      </c>
      <c r="F6125" t="s">
        <v>75</v>
      </c>
      <c r="I6125" s="6"/>
      <c r="J6125" s="6"/>
      <c r="K6125" s="6"/>
      <c r="L6125" s="6"/>
      <c r="M6125" s="6"/>
      <c r="N6125" s="6"/>
      <c r="O6125" s="6"/>
      <c r="P6125" s="6"/>
      <c r="Q6125">
        <v>0</v>
      </c>
      <c r="R6125">
        <f t="shared" si="475"/>
        <v>0</v>
      </c>
      <c r="S6125">
        <f t="shared" si="476"/>
        <v>0</v>
      </c>
      <c r="T6125">
        <f t="shared" si="477"/>
        <v>0</v>
      </c>
      <c r="U6125">
        <f t="shared" si="478"/>
        <v>0</v>
      </c>
      <c r="V6125">
        <f t="shared" si="479"/>
        <v>0</v>
      </c>
    </row>
    <row r="6126" spans="1:22" x14ac:dyDescent="0.25">
      <c r="A6126">
        <v>6123</v>
      </c>
      <c r="B6126" t="s">
        <v>40</v>
      </c>
      <c r="C6126" t="s">
        <v>1755</v>
      </c>
      <c r="D6126" s="4">
        <v>45458</v>
      </c>
      <c r="E6126" t="s">
        <v>2007</v>
      </c>
      <c r="F6126" t="s">
        <v>75</v>
      </c>
      <c r="I6126" s="6">
        <v>0</v>
      </c>
      <c r="J6126" s="6">
        <v>0</v>
      </c>
      <c r="K6126" s="6">
        <v>0</v>
      </c>
      <c r="L6126" s="6">
        <v>0</v>
      </c>
      <c r="M6126" s="6">
        <v>0</v>
      </c>
      <c r="N6126" s="6">
        <v>0</v>
      </c>
      <c r="O6126" s="6">
        <v>0</v>
      </c>
      <c r="P6126" s="6">
        <v>0</v>
      </c>
      <c r="Q6126">
        <v>1</v>
      </c>
      <c r="R6126">
        <f t="shared" si="475"/>
        <v>0</v>
      </c>
      <c r="S6126">
        <f t="shared" si="476"/>
        <v>1</v>
      </c>
      <c r="T6126">
        <f t="shared" si="477"/>
        <v>0</v>
      </c>
      <c r="U6126">
        <f t="shared" si="478"/>
        <v>0</v>
      </c>
      <c r="V6126">
        <f t="shared" si="479"/>
        <v>0</v>
      </c>
    </row>
    <row r="6127" spans="1:22" x14ac:dyDescent="0.25">
      <c r="A6127">
        <v>6124</v>
      </c>
      <c r="B6127" t="s">
        <v>40</v>
      </c>
      <c r="C6127" t="s">
        <v>1755</v>
      </c>
      <c r="D6127" s="4">
        <v>45458</v>
      </c>
      <c r="E6127" t="s">
        <v>2006</v>
      </c>
      <c r="F6127" t="s">
        <v>75</v>
      </c>
      <c r="I6127" s="6">
        <v>0</v>
      </c>
      <c r="J6127" s="6">
        <v>0</v>
      </c>
      <c r="K6127" s="6">
        <v>0</v>
      </c>
      <c r="L6127" s="6">
        <v>0</v>
      </c>
      <c r="M6127" s="6">
        <v>0</v>
      </c>
      <c r="N6127" s="6">
        <v>0</v>
      </c>
      <c r="O6127" s="6">
        <v>0</v>
      </c>
      <c r="P6127" s="6">
        <v>0</v>
      </c>
      <c r="Q6127">
        <v>1</v>
      </c>
      <c r="R6127">
        <f t="shared" si="475"/>
        <v>0</v>
      </c>
      <c r="S6127">
        <f t="shared" si="476"/>
        <v>1</v>
      </c>
      <c r="T6127">
        <f t="shared" si="477"/>
        <v>0</v>
      </c>
      <c r="U6127">
        <f t="shared" si="478"/>
        <v>0</v>
      </c>
      <c r="V6127">
        <f t="shared" si="479"/>
        <v>0</v>
      </c>
    </row>
    <row r="6128" spans="1:22" x14ac:dyDescent="0.25">
      <c r="A6128">
        <v>6125</v>
      </c>
      <c r="B6128" t="s">
        <v>40</v>
      </c>
      <c r="C6128" t="s">
        <v>1755</v>
      </c>
      <c r="D6128" s="4">
        <v>45458</v>
      </c>
      <c r="E6128" t="s">
        <v>2005</v>
      </c>
      <c r="F6128" t="s">
        <v>75</v>
      </c>
      <c r="I6128" s="6">
        <v>0</v>
      </c>
      <c r="J6128" s="6">
        <v>0</v>
      </c>
      <c r="K6128" s="6">
        <v>0</v>
      </c>
      <c r="L6128" s="6">
        <v>0</v>
      </c>
      <c r="M6128" s="6">
        <v>1</v>
      </c>
      <c r="N6128" s="6">
        <v>0</v>
      </c>
      <c r="O6128" s="6">
        <v>0</v>
      </c>
      <c r="P6128" s="6">
        <v>0</v>
      </c>
      <c r="Q6128">
        <v>1</v>
      </c>
      <c r="R6128">
        <f t="shared" si="475"/>
        <v>0</v>
      </c>
      <c r="S6128">
        <f t="shared" si="476"/>
        <v>1</v>
      </c>
      <c r="T6128">
        <f t="shared" si="477"/>
        <v>1</v>
      </c>
      <c r="U6128">
        <f t="shared" si="478"/>
        <v>1</v>
      </c>
      <c r="V6128">
        <f t="shared" si="479"/>
        <v>0</v>
      </c>
    </row>
    <row r="6129" spans="1:22" x14ac:dyDescent="0.25">
      <c r="A6129">
        <v>6126</v>
      </c>
      <c r="B6129" t="s">
        <v>40</v>
      </c>
      <c r="C6129" t="s">
        <v>1755</v>
      </c>
      <c r="D6129" s="4">
        <v>45459</v>
      </c>
      <c r="E6129" t="s">
        <v>1766</v>
      </c>
      <c r="F6129" t="s">
        <v>75</v>
      </c>
      <c r="I6129" s="6">
        <v>0</v>
      </c>
      <c r="J6129" s="6">
        <v>0</v>
      </c>
      <c r="K6129" s="6">
        <v>0</v>
      </c>
      <c r="L6129" s="6">
        <v>0</v>
      </c>
      <c r="M6129" s="6">
        <v>0</v>
      </c>
      <c r="N6129" s="6">
        <v>0</v>
      </c>
      <c r="O6129" s="6">
        <v>0</v>
      </c>
      <c r="P6129" s="6">
        <v>0</v>
      </c>
      <c r="Q6129">
        <v>1</v>
      </c>
      <c r="R6129">
        <f t="shared" si="475"/>
        <v>0</v>
      </c>
      <c r="S6129">
        <f t="shared" si="476"/>
        <v>1</v>
      </c>
      <c r="T6129">
        <f t="shared" si="477"/>
        <v>0</v>
      </c>
      <c r="U6129">
        <f t="shared" si="478"/>
        <v>0</v>
      </c>
      <c r="V6129">
        <f t="shared" si="479"/>
        <v>0</v>
      </c>
    </row>
    <row r="6130" spans="1:22" x14ac:dyDescent="0.25">
      <c r="A6130">
        <v>6127</v>
      </c>
      <c r="B6130" t="s">
        <v>40</v>
      </c>
      <c r="C6130" t="s">
        <v>1755</v>
      </c>
      <c r="D6130" s="4">
        <v>45459</v>
      </c>
      <c r="E6130" t="s">
        <v>1767</v>
      </c>
      <c r="F6130" t="s">
        <v>75</v>
      </c>
      <c r="I6130" s="6">
        <v>0</v>
      </c>
      <c r="J6130" s="6">
        <v>0</v>
      </c>
      <c r="K6130" s="6">
        <v>0</v>
      </c>
      <c r="L6130" s="6">
        <v>0</v>
      </c>
      <c r="M6130" s="6">
        <v>0</v>
      </c>
      <c r="N6130" s="6">
        <v>0</v>
      </c>
      <c r="O6130" s="6">
        <v>0</v>
      </c>
      <c r="P6130" s="6">
        <v>0</v>
      </c>
      <c r="Q6130">
        <v>1</v>
      </c>
      <c r="R6130">
        <f t="shared" si="475"/>
        <v>0</v>
      </c>
      <c r="S6130">
        <f t="shared" si="476"/>
        <v>1</v>
      </c>
      <c r="T6130">
        <f t="shared" si="477"/>
        <v>0</v>
      </c>
      <c r="U6130">
        <f t="shared" si="478"/>
        <v>0</v>
      </c>
      <c r="V6130">
        <f t="shared" si="479"/>
        <v>0</v>
      </c>
    </row>
    <row r="6131" spans="1:22" x14ac:dyDescent="0.25">
      <c r="A6131">
        <v>6128</v>
      </c>
      <c r="B6131" t="s">
        <v>40</v>
      </c>
      <c r="C6131" t="s">
        <v>1755</v>
      </c>
      <c r="D6131" s="4">
        <v>45459</v>
      </c>
      <c r="E6131" t="s">
        <v>1768</v>
      </c>
      <c r="F6131" t="s">
        <v>75</v>
      </c>
      <c r="I6131" s="6"/>
      <c r="J6131" s="6"/>
      <c r="K6131" s="6"/>
      <c r="L6131" s="6"/>
      <c r="M6131" s="6"/>
      <c r="N6131" s="6"/>
      <c r="O6131" s="6"/>
      <c r="P6131" s="6"/>
      <c r="Q6131">
        <v>0</v>
      </c>
      <c r="R6131">
        <f t="shared" si="475"/>
        <v>0</v>
      </c>
      <c r="S6131">
        <f t="shared" si="476"/>
        <v>0</v>
      </c>
      <c r="T6131">
        <f t="shared" si="477"/>
        <v>0</v>
      </c>
      <c r="U6131">
        <f t="shared" si="478"/>
        <v>0</v>
      </c>
      <c r="V6131">
        <f t="shared" si="479"/>
        <v>0</v>
      </c>
    </row>
    <row r="6132" spans="1:22" x14ac:dyDescent="0.25">
      <c r="A6132">
        <v>6129</v>
      </c>
      <c r="B6132" t="s">
        <v>40</v>
      </c>
      <c r="C6132" t="s">
        <v>1755</v>
      </c>
      <c r="D6132" s="4">
        <v>45460</v>
      </c>
      <c r="E6132" t="s">
        <v>1250</v>
      </c>
      <c r="F6132" t="s">
        <v>75</v>
      </c>
      <c r="I6132" s="6">
        <v>0</v>
      </c>
      <c r="J6132" s="6">
        <v>0</v>
      </c>
      <c r="K6132" s="6">
        <v>0</v>
      </c>
      <c r="L6132" s="6">
        <v>0</v>
      </c>
      <c r="M6132" s="6">
        <v>0</v>
      </c>
      <c r="N6132" s="6">
        <v>0</v>
      </c>
      <c r="O6132" s="6">
        <v>0</v>
      </c>
      <c r="P6132" s="6">
        <v>0</v>
      </c>
      <c r="Q6132">
        <v>1</v>
      </c>
      <c r="R6132">
        <f t="shared" si="475"/>
        <v>0</v>
      </c>
      <c r="S6132">
        <f t="shared" si="476"/>
        <v>1</v>
      </c>
      <c r="T6132">
        <f t="shared" si="477"/>
        <v>0</v>
      </c>
      <c r="U6132">
        <f t="shared" si="478"/>
        <v>0</v>
      </c>
      <c r="V6132">
        <f t="shared" si="479"/>
        <v>0</v>
      </c>
    </row>
    <row r="6133" spans="1:22" x14ac:dyDescent="0.25">
      <c r="A6133">
        <v>6130</v>
      </c>
      <c r="B6133" t="s">
        <v>40</v>
      </c>
      <c r="C6133" t="s">
        <v>1755</v>
      </c>
      <c r="D6133" s="4">
        <v>45460</v>
      </c>
      <c r="E6133" t="s">
        <v>1251</v>
      </c>
      <c r="F6133" t="s">
        <v>75</v>
      </c>
      <c r="I6133" s="6">
        <v>0</v>
      </c>
      <c r="J6133" s="6">
        <v>0</v>
      </c>
      <c r="K6133" s="6">
        <v>0</v>
      </c>
      <c r="L6133" s="6">
        <v>0</v>
      </c>
      <c r="M6133" s="6">
        <v>0</v>
      </c>
      <c r="N6133" s="6">
        <v>0</v>
      </c>
      <c r="O6133" s="6">
        <v>0</v>
      </c>
      <c r="P6133" s="6">
        <v>0</v>
      </c>
      <c r="Q6133">
        <v>1</v>
      </c>
      <c r="R6133">
        <f t="shared" si="475"/>
        <v>0</v>
      </c>
      <c r="S6133">
        <f t="shared" si="476"/>
        <v>1</v>
      </c>
      <c r="T6133">
        <f t="shared" si="477"/>
        <v>0</v>
      </c>
      <c r="U6133">
        <f t="shared" si="478"/>
        <v>0</v>
      </c>
      <c r="V6133">
        <f t="shared" si="479"/>
        <v>0</v>
      </c>
    </row>
    <row r="6134" spans="1:22" x14ac:dyDescent="0.25">
      <c r="A6134">
        <v>6131</v>
      </c>
      <c r="B6134" t="s">
        <v>40</v>
      </c>
      <c r="C6134" t="s">
        <v>1755</v>
      </c>
      <c r="D6134" s="4">
        <v>45460</v>
      </c>
      <c r="E6134" t="s">
        <v>2004</v>
      </c>
      <c r="F6134" t="s">
        <v>75</v>
      </c>
      <c r="I6134" s="6">
        <v>0</v>
      </c>
      <c r="J6134" s="6">
        <v>0</v>
      </c>
      <c r="K6134" s="6">
        <v>0</v>
      </c>
      <c r="L6134" s="6">
        <v>0</v>
      </c>
      <c r="M6134" s="6">
        <v>0</v>
      </c>
      <c r="N6134" s="6">
        <v>0</v>
      </c>
      <c r="O6134" s="6">
        <v>0</v>
      </c>
      <c r="P6134" s="6">
        <v>0</v>
      </c>
      <c r="Q6134">
        <v>1</v>
      </c>
      <c r="R6134">
        <f t="shared" si="475"/>
        <v>0</v>
      </c>
      <c r="S6134">
        <f t="shared" si="476"/>
        <v>1</v>
      </c>
      <c r="T6134">
        <f t="shared" si="477"/>
        <v>0</v>
      </c>
      <c r="U6134">
        <f t="shared" si="478"/>
        <v>0</v>
      </c>
      <c r="V6134">
        <f t="shared" si="479"/>
        <v>0</v>
      </c>
    </row>
    <row r="6135" spans="1:22" x14ac:dyDescent="0.25">
      <c r="A6135">
        <v>6132</v>
      </c>
      <c r="B6135" t="s">
        <v>40</v>
      </c>
      <c r="C6135" t="s">
        <v>1755</v>
      </c>
      <c r="D6135" s="4">
        <v>45460</v>
      </c>
      <c r="E6135" t="s">
        <v>2003</v>
      </c>
      <c r="F6135" t="s">
        <v>75</v>
      </c>
      <c r="I6135" s="6">
        <v>0</v>
      </c>
      <c r="J6135" s="6">
        <v>0</v>
      </c>
      <c r="K6135" s="6">
        <v>0</v>
      </c>
      <c r="L6135" s="6">
        <v>0</v>
      </c>
      <c r="M6135" s="6">
        <v>0</v>
      </c>
      <c r="N6135" s="6">
        <v>0</v>
      </c>
      <c r="O6135" s="6">
        <v>0</v>
      </c>
      <c r="P6135" s="6">
        <v>0</v>
      </c>
      <c r="Q6135">
        <v>1</v>
      </c>
      <c r="R6135">
        <f t="shared" si="475"/>
        <v>0</v>
      </c>
      <c r="S6135">
        <f t="shared" si="476"/>
        <v>1</v>
      </c>
      <c r="T6135">
        <f t="shared" si="477"/>
        <v>0</v>
      </c>
      <c r="U6135">
        <f t="shared" si="478"/>
        <v>0</v>
      </c>
      <c r="V6135">
        <f t="shared" si="479"/>
        <v>0</v>
      </c>
    </row>
    <row r="6136" spans="1:22" x14ac:dyDescent="0.25">
      <c r="A6136">
        <v>6133</v>
      </c>
      <c r="B6136" t="s">
        <v>40</v>
      </c>
      <c r="C6136" t="s">
        <v>1755</v>
      </c>
      <c r="D6136" s="4">
        <v>45460</v>
      </c>
      <c r="E6136" t="s">
        <v>1830</v>
      </c>
      <c r="F6136" t="s">
        <v>75</v>
      </c>
      <c r="I6136" s="6">
        <v>1</v>
      </c>
      <c r="J6136" s="6">
        <v>0</v>
      </c>
      <c r="K6136" s="6">
        <v>0</v>
      </c>
      <c r="L6136" s="6">
        <v>0</v>
      </c>
      <c r="M6136" s="6">
        <v>1</v>
      </c>
      <c r="N6136" s="6">
        <v>1</v>
      </c>
      <c r="O6136" s="6">
        <v>0</v>
      </c>
      <c r="P6136" s="6">
        <v>0</v>
      </c>
      <c r="Q6136">
        <v>1</v>
      </c>
      <c r="R6136">
        <f t="shared" si="475"/>
        <v>0</v>
      </c>
      <c r="S6136">
        <f t="shared" si="476"/>
        <v>1</v>
      </c>
      <c r="T6136">
        <f t="shared" si="477"/>
        <v>3</v>
      </c>
      <c r="U6136">
        <f t="shared" si="478"/>
        <v>1</v>
      </c>
      <c r="V6136">
        <f t="shared" si="479"/>
        <v>0</v>
      </c>
    </row>
    <row r="6137" spans="1:22" x14ac:dyDescent="0.25">
      <c r="A6137">
        <v>6134</v>
      </c>
      <c r="B6137" t="s">
        <v>40</v>
      </c>
      <c r="C6137" t="s">
        <v>1755</v>
      </c>
      <c r="D6137" s="4">
        <v>45460</v>
      </c>
      <c r="E6137" t="s">
        <v>1831</v>
      </c>
      <c r="F6137" t="s">
        <v>75</v>
      </c>
      <c r="I6137" s="6">
        <v>0</v>
      </c>
      <c r="J6137" s="6">
        <v>0</v>
      </c>
      <c r="K6137" s="6">
        <v>1</v>
      </c>
      <c r="L6137" s="6">
        <v>1</v>
      </c>
      <c r="M6137" s="6">
        <v>1</v>
      </c>
      <c r="N6137" s="6">
        <v>0</v>
      </c>
      <c r="O6137" s="6">
        <v>0</v>
      </c>
      <c r="P6137" s="6">
        <v>0</v>
      </c>
      <c r="Q6137">
        <v>1</v>
      </c>
      <c r="R6137">
        <f t="shared" si="475"/>
        <v>0</v>
      </c>
      <c r="S6137">
        <f t="shared" si="476"/>
        <v>1</v>
      </c>
      <c r="T6137">
        <f t="shared" si="477"/>
        <v>3</v>
      </c>
      <c r="U6137">
        <f t="shared" si="478"/>
        <v>1</v>
      </c>
      <c r="V6137">
        <f t="shared" si="479"/>
        <v>0</v>
      </c>
    </row>
    <row r="6138" spans="1:22" x14ac:dyDescent="0.25">
      <c r="A6138">
        <v>6135</v>
      </c>
      <c r="B6138" t="s">
        <v>40</v>
      </c>
      <c r="C6138" t="s">
        <v>1755</v>
      </c>
      <c r="D6138" s="4">
        <v>45461</v>
      </c>
      <c r="E6138" t="s">
        <v>1769</v>
      </c>
      <c r="F6138" t="s">
        <v>75</v>
      </c>
      <c r="I6138" s="6">
        <v>1</v>
      </c>
      <c r="J6138" s="6">
        <v>0</v>
      </c>
      <c r="K6138" s="6">
        <v>0</v>
      </c>
      <c r="L6138" s="6">
        <v>0</v>
      </c>
      <c r="M6138" s="6">
        <v>1</v>
      </c>
      <c r="N6138" s="6">
        <v>0</v>
      </c>
      <c r="O6138" s="6">
        <v>0</v>
      </c>
      <c r="P6138" s="6">
        <v>0</v>
      </c>
      <c r="Q6138">
        <v>1</v>
      </c>
      <c r="R6138">
        <f t="shared" si="475"/>
        <v>0</v>
      </c>
      <c r="S6138">
        <f t="shared" si="476"/>
        <v>1</v>
      </c>
      <c r="T6138">
        <f t="shared" si="477"/>
        <v>2</v>
      </c>
      <c r="U6138">
        <f t="shared" si="478"/>
        <v>1</v>
      </c>
      <c r="V6138">
        <f t="shared" si="479"/>
        <v>0</v>
      </c>
    </row>
    <row r="6139" spans="1:22" x14ac:dyDescent="0.25">
      <c r="A6139">
        <v>6136</v>
      </c>
      <c r="B6139" t="s">
        <v>40</v>
      </c>
      <c r="C6139" t="s">
        <v>1755</v>
      </c>
      <c r="D6139" s="4">
        <v>45461</v>
      </c>
      <c r="E6139" t="s">
        <v>1770</v>
      </c>
      <c r="F6139" t="s">
        <v>75</v>
      </c>
      <c r="I6139" s="6">
        <v>0</v>
      </c>
      <c r="J6139" s="6">
        <v>0</v>
      </c>
      <c r="K6139" s="6">
        <v>0</v>
      </c>
      <c r="L6139" s="6">
        <v>0</v>
      </c>
      <c r="M6139" s="6">
        <v>1</v>
      </c>
      <c r="N6139" s="6">
        <v>0</v>
      </c>
      <c r="O6139" s="6">
        <v>0</v>
      </c>
      <c r="P6139" s="6">
        <v>0</v>
      </c>
      <c r="Q6139">
        <v>1</v>
      </c>
      <c r="R6139">
        <f t="shared" si="475"/>
        <v>0</v>
      </c>
      <c r="S6139">
        <f t="shared" si="476"/>
        <v>1</v>
      </c>
      <c r="T6139">
        <f t="shared" si="477"/>
        <v>1</v>
      </c>
      <c r="U6139">
        <f t="shared" si="478"/>
        <v>1</v>
      </c>
      <c r="V6139">
        <f t="shared" si="479"/>
        <v>0</v>
      </c>
    </row>
    <row r="6140" spans="1:22" x14ac:dyDescent="0.25">
      <c r="A6140">
        <v>6137</v>
      </c>
      <c r="B6140" t="s">
        <v>40</v>
      </c>
      <c r="C6140" t="s">
        <v>1755</v>
      </c>
      <c r="D6140" s="4">
        <v>45461</v>
      </c>
      <c r="E6140" t="s">
        <v>1427</v>
      </c>
      <c r="F6140" t="s">
        <v>75</v>
      </c>
      <c r="I6140" s="6"/>
      <c r="J6140" s="6"/>
      <c r="K6140" s="6"/>
      <c r="L6140" s="6"/>
      <c r="M6140" s="6"/>
      <c r="N6140" s="6"/>
      <c r="O6140" s="6"/>
      <c r="P6140" s="6"/>
      <c r="Q6140">
        <v>0</v>
      </c>
      <c r="R6140">
        <f t="shared" si="475"/>
        <v>0</v>
      </c>
      <c r="S6140">
        <f t="shared" si="476"/>
        <v>0</v>
      </c>
      <c r="T6140">
        <f t="shared" si="477"/>
        <v>0</v>
      </c>
      <c r="U6140">
        <f t="shared" si="478"/>
        <v>0</v>
      </c>
      <c r="V6140">
        <f t="shared" si="479"/>
        <v>0</v>
      </c>
    </row>
    <row r="6141" spans="1:22" x14ac:dyDescent="0.25">
      <c r="A6141">
        <v>6138</v>
      </c>
      <c r="B6141" t="s">
        <v>40</v>
      </c>
      <c r="C6141" t="s">
        <v>1755</v>
      </c>
      <c r="D6141" s="4">
        <v>45461</v>
      </c>
      <c r="E6141" t="s">
        <v>1832</v>
      </c>
      <c r="F6141" t="s">
        <v>75</v>
      </c>
      <c r="I6141" s="6">
        <v>0</v>
      </c>
      <c r="J6141" s="6">
        <v>0</v>
      </c>
      <c r="K6141" s="6">
        <v>0</v>
      </c>
      <c r="L6141" s="6">
        <v>0</v>
      </c>
      <c r="M6141" s="6">
        <v>0</v>
      </c>
      <c r="N6141" s="6">
        <v>0</v>
      </c>
      <c r="O6141" s="6">
        <v>0</v>
      </c>
      <c r="P6141" s="6">
        <v>0</v>
      </c>
      <c r="Q6141">
        <v>1</v>
      </c>
      <c r="R6141">
        <f t="shared" si="475"/>
        <v>0</v>
      </c>
      <c r="S6141">
        <f t="shared" si="476"/>
        <v>1</v>
      </c>
      <c r="T6141">
        <f t="shared" si="477"/>
        <v>0</v>
      </c>
      <c r="U6141">
        <f t="shared" si="478"/>
        <v>0</v>
      </c>
      <c r="V6141">
        <f t="shared" si="479"/>
        <v>0</v>
      </c>
    </row>
    <row r="6142" spans="1:22" x14ac:dyDescent="0.25">
      <c r="A6142">
        <v>6139</v>
      </c>
      <c r="B6142" t="s">
        <v>40</v>
      </c>
      <c r="C6142" t="s">
        <v>1755</v>
      </c>
      <c r="D6142" s="4">
        <v>45461</v>
      </c>
      <c r="E6142" t="s">
        <v>1833</v>
      </c>
      <c r="F6142" t="s">
        <v>75</v>
      </c>
      <c r="I6142" s="6">
        <v>0</v>
      </c>
      <c r="J6142" s="6">
        <v>0</v>
      </c>
      <c r="K6142" s="6">
        <v>0</v>
      </c>
      <c r="L6142" s="6">
        <v>1</v>
      </c>
      <c r="M6142" s="6">
        <v>0</v>
      </c>
      <c r="N6142" s="6">
        <v>0</v>
      </c>
      <c r="O6142" s="6">
        <v>1</v>
      </c>
      <c r="P6142" s="6">
        <v>0</v>
      </c>
      <c r="Q6142">
        <v>1</v>
      </c>
      <c r="R6142">
        <f t="shared" si="475"/>
        <v>0</v>
      </c>
      <c r="S6142">
        <f t="shared" si="476"/>
        <v>1</v>
      </c>
      <c r="T6142">
        <f t="shared" si="477"/>
        <v>2</v>
      </c>
      <c r="U6142">
        <f t="shared" si="478"/>
        <v>1</v>
      </c>
      <c r="V6142">
        <f t="shared" si="479"/>
        <v>0</v>
      </c>
    </row>
    <row r="6143" spans="1:22" x14ac:dyDescent="0.25">
      <c r="A6143">
        <v>6140</v>
      </c>
      <c r="B6143" t="s">
        <v>40</v>
      </c>
      <c r="C6143" t="s">
        <v>1755</v>
      </c>
      <c r="D6143" s="4">
        <v>45461</v>
      </c>
      <c r="E6143" t="s">
        <v>1834</v>
      </c>
      <c r="F6143" t="s">
        <v>75</v>
      </c>
      <c r="I6143" s="6">
        <v>1</v>
      </c>
      <c r="J6143" s="6">
        <v>0</v>
      </c>
      <c r="K6143" s="6">
        <v>0</v>
      </c>
      <c r="L6143" s="6">
        <v>0</v>
      </c>
      <c r="M6143" s="6">
        <v>0</v>
      </c>
      <c r="N6143" s="6">
        <v>0</v>
      </c>
      <c r="O6143" s="6">
        <v>0</v>
      </c>
      <c r="P6143" s="6">
        <v>0</v>
      </c>
      <c r="Q6143">
        <v>1</v>
      </c>
      <c r="R6143">
        <f t="shared" si="475"/>
        <v>0</v>
      </c>
      <c r="S6143">
        <f t="shared" si="476"/>
        <v>1</v>
      </c>
      <c r="T6143">
        <f t="shared" si="477"/>
        <v>1</v>
      </c>
      <c r="U6143">
        <f t="shared" si="478"/>
        <v>1</v>
      </c>
      <c r="V6143">
        <f t="shared" si="479"/>
        <v>0</v>
      </c>
    </row>
    <row r="6144" spans="1:22" x14ac:dyDescent="0.25">
      <c r="A6144">
        <v>6141</v>
      </c>
      <c r="B6144" t="s">
        <v>40</v>
      </c>
      <c r="C6144" t="s">
        <v>1755</v>
      </c>
      <c r="D6144" s="4">
        <v>45462</v>
      </c>
      <c r="E6144" t="s">
        <v>2002</v>
      </c>
      <c r="F6144" t="s">
        <v>75</v>
      </c>
      <c r="I6144" s="6">
        <v>0</v>
      </c>
      <c r="J6144" s="6">
        <v>0</v>
      </c>
      <c r="K6144" s="6">
        <v>0</v>
      </c>
      <c r="L6144" s="6">
        <v>0</v>
      </c>
      <c r="M6144" s="6">
        <v>0</v>
      </c>
      <c r="N6144" s="6">
        <v>0</v>
      </c>
      <c r="O6144" s="6">
        <v>0</v>
      </c>
      <c r="P6144" s="6">
        <v>0</v>
      </c>
      <c r="Q6144">
        <v>1</v>
      </c>
      <c r="R6144">
        <f t="shared" si="475"/>
        <v>0</v>
      </c>
      <c r="S6144">
        <f t="shared" si="476"/>
        <v>1</v>
      </c>
      <c r="T6144">
        <f t="shared" si="477"/>
        <v>0</v>
      </c>
      <c r="U6144">
        <f t="shared" si="478"/>
        <v>0</v>
      </c>
      <c r="V6144">
        <f t="shared" si="479"/>
        <v>0</v>
      </c>
    </row>
    <row r="6145" spans="1:22" x14ac:dyDescent="0.25">
      <c r="A6145">
        <v>6142</v>
      </c>
      <c r="B6145" t="s">
        <v>40</v>
      </c>
      <c r="C6145" t="s">
        <v>1755</v>
      </c>
      <c r="D6145" s="4">
        <v>45462</v>
      </c>
      <c r="E6145" t="s">
        <v>1835</v>
      </c>
      <c r="F6145" t="s">
        <v>75</v>
      </c>
      <c r="I6145" s="6">
        <v>0</v>
      </c>
      <c r="J6145" s="6">
        <v>0</v>
      </c>
      <c r="K6145" s="6">
        <v>0</v>
      </c>
      <c r="L6145" s="6">
        <v>0</v>
      </c>
      <c r="M6145" s="6">
        <v>0</v>
      </c>
      <c r="N6145" s="6">
        <v>0</v>
      </c>
      <c r="O6145" s="6">
        <v>0</v>
      </c>
      <c r="P6145" s="6">
        <v>0</v>
      </c>
      <c r="Q6145">
        <v>1</v>
      </c>
      <c r="R6145">
        <f t="shared" si="475"/>
        <v>0</v>
      </c>
      <c r="S6145">
        <f t="shared" si="476"/>
        <v>1</v>
      </c>
      <c r="T6145">
        <f t="shared" si="477"/>
        <v>0</v>
      </c>
      <c r="U6145">
        <f t="shared" si="478"/>
        <v>0</v>
      </c>
      <c r="V6145">
        <f t="shared" si="479"/>
        <v>0</v>
      </c>
    </row>
    <row r="6146" spans="1:22" x14ac:dyDescent="0.25">
      <c r="A6146">
        <v>6143</v>
      </c>
      <c r="B6146" t="s">
        <v>40</v>
      </c>
      <c r="C6146" t="s">
        <v>1755</v>
      </c>
      <c r="D6146" s="4">
        <v>45462</v>
      </c>
      <c r="E6146" t="s">
        <v>1836</v>
      </c>
      <c r="F6146" t="s">
        <v>75</v>
      </c>
      <c r="I6146" s="6">
        <v>1</v>
      </c>
      <c r="J6146" s="6">
        <v>0</v>
      </c>
      <c r="K6146" s="6">
        <v>0</v>
      </c>
      <c r="L6146" s="6">
        <v>0</v>
      </c>
      <c r="M6146" s="6">
        <v>0</v>
      </c>
      <c r="N6146" s="6">
        <v>0</v>
      </c>
      <c r="O6146" s="6">
        <v>0</v>
      </c>
      <c r="P6146" s="6">
        <v>0</v>
      </c>
      <c r="Q6146">
        <v>1</v>
      </c>
      <c r="R6146">
        <f t="shared" si="475"/>
        <v>0</v>
      </c>
      <c r="S6146">
        <f t="shared" si="476"/>
        <v>1</v>
      </c>
      <c r="T6146">
        <f t="shared" si="477"/>
        <v>1</v>
      </c>
      <c r="U6146">
        <f t="shared" si="478"/>
        <v>1</v>
      </c>
      <c r="V6146">
        <f t="shared" si="479"/>
        <v>0</v>
      </c>
    </row>
    <row r="6147" spans="1:22" x14ac:dyDescent="0.25">
      <c r="A6147">
        <v>6144</v>
      </c>
      <c r="B6147" t="s">
        <v>40</v>
      </c>
      <c r="C6147" t="s">
        <v>1755</v>
      </c>
      <c r="D6147" s="4">
        <v>45462</v>
      </c>
      <c r="E6147" t="s">
        <v>1837</v>
      </c>
      <c r="F6147" t="s">
        <v>75</v>
      </c>
      <c r="I6147" s="6">
        <v>1</v>
      </c>
      <c r="J6147" s="6">
        <v>0</v>
      </c>
      <c r="K6147" s="6">
        <v>0</v>
      </c>
      <c r="L6147" s="6">
        <v>0</v>
      </c>
      <c r="M6147" s="6">
        <v>0</v>
      </c>
      <c r="N6147" s="6">
        <v>0</v>
      </c>
      <c r="O6147" s="6">
        <v>0</v>
      </c>
      <c r="P6147" s="6">
        <v>0</v>
      </c>
      <c r="Q6147">
        <v>1</v>
      </c>
      <c r="R6147">
        <f t="shared" ref="R6147:R6208" si="480">IF(AND(Q6147=1,F6147="ai_full"),1,0)</f>
        <v>0</v>
      </c>
      <c r="S6147">
        <f t="shared" ref="S6147:S6208" si="481">IF(AND(Q6147=1,F6147="conventional"),1,0)</f>
        <v>1</v>
      </c>
      <c r="T6147">
        <f t="shared" ref="T6147:T6208" si="482">SUM(I6147:P6147)</f>
        <v>1</v>
      </c>
      <c r="U6147">
        <f t="shared" ref="U6147:U6208" si="483">IF(T6147&gt;=1,1,0)</f>
        <v>1</v>
      </c>
      <c r="V6147">
        <f t="shared" ref="V6147:V6208" si="484">IF(F6147="ai_full",1,0)</f>
        <v>0</v>
      </c>
    </row>
    <row r="6148" spans="1:22" x14ac:dyDescent="0.25">
      <c r="A6148">
        <v>6145</v>
      </c>
      <c r="B6148" t="s">
        <v>40</v>
      </c>
      <c r="C6148" t="s">
        <v>1755</v>
      </c>
      <c r="D6148" s="4">
        <v>45462</v>
      </c>
      <c r="E6148" t="s">
        <v>1838</v>
      </c>
      <c r="F6148" t="s">
        <v>75</v>
      </c>
      <c r="I6148" s="6">
        <v>0</v>
      </c>
      <c r="J6148" s="6">
        <v>0</v>
      </c>
      <c r="K6148" s="6">
        <v>0</v>
      </c>
      <c r="L6148" s="6">
        <v>0</v>
      </c>
      <c r="M6148" s="6">
        <v>1</v>
      </c>
      <c r="N6148" s="6">
        <v>0</v>
      </c>
      <c r="O6148" s="6">
        <v>0</v>
      </c>
      <c r="P6148" s="6">
        <v>0</v>
      </c>
      <c r="Q6148">
        <v>1</v>
      </c>
      <c r="R6148">
        <f t="shared" si="480"/>
        <v>0</v>
      </c>
      <c r="S6148">
        <f t="shared" si="481"/>
        <v>1</v>
      </c>
      <c r="T6148">
        <f t="shared" si="482"/>
        <v>1</v>
      </c>
      <c r="U6148">
        <f t="shared" si="483"/>
        <v>1</v>
      </c>
      <c r="V6148">
        <f t="shared" si="484"/>
        <v>0</v>
      </c>
    </row>
    <row r="6149" spans="1:22" x14ac:dyDescent="0.25">
      <c r="A6149">
        <v>6146</v>
      </c>
      <c r="B6149" t="s">
        <v>40</v>
      </c>
      <c r="C6149" t="s">
        <v>1755</v>
      </c>
      <c r="D6149" s="4">
        <v>45463</v>
      </c>
      <c r="E6149" t="s">
        <v>1429</v>
      </c>
      <c r="F6149" t="s">
        <v>75</v>
      </c>
      <c r="I6149" s="6">
        <v>1</v>
      </c>
      <c r="J6149" s="6">
        <v>0</v>
      </c>
      <c r="K6149" s="6">
        <v>1</v>
      </c>
      <c r="L6149" s="6">
        <v>1</v>
      </c>
      <c r="M6149" s="6">
        <v>1</v>
      </c>
      <c r="N6149" s="6">
        <v>1</v>
      </c>
      <c r="O6149" s="6">
        <v>1</v>
      </c>
      <c r="P6149" s="6">
        <v>0</v>
      </c>
      <c r="Q6149">
        <v>1</v>
      </c>
      <c r="R6149">
        <f t="shared" si="480"/>
        <v>0</v>
      </c>
      <c r="S6149">
        <f t="shared" si="481"/>
        <v>1</v>
      </c>
      <c r="T6149">
        <f t="shared" si="482"/>
        <v>6</v>
      </c>
      <c r="U6149">
        <f t="shared" si="483"/>
        <v>1</v>
      </c>
      <c r="V6149">
        <f t="shared" si="484"/>
        <v>0</v>
      </c>
    </row>
    <row r="6150" spans="1:22" x14ac:dyDescent="0.25">
      <c r="A6150">
        <v>6147</v>
      </c>
      <c r="B6150" t="s">
        <v>40</v>
      </c>
      <c r="C6150" t="s">
        <v>1755</v>
      </c>
      <c r="D6150" s="4">
        <v>45463</v>
      </c>
      <c r="E6150" t="s">
        <v>1771</v>
      </c>
      <c r="F6150" t="s">
        <v>75</v>
      </c>
      <c r="I6150" s="6"/>
      <c r="J6150" s="6"/>
      <c r="K6150" s="6"/>
      <c r="L6150" s="6"/>
      <c r="M6150" s="6"/>
      <c r="N6150" s="6"/>
      <c r="O6150" s="6"/>
      <c r="P6150" s="6"/>
      <c r="Q6150">
        <v>0</v>
      </c>
      <c r="R6150">
        <f t="shared" si="480"/>
        <v>0</v>
      </c>
      <c r="S6150">
        <f t="shared" si="481"/>
        <v>0</v>
      </c>
      <c r="T6150">
        <f t="shared" si="482"/>
        <v>0</v>
      </c>
      <c r="U6150">
        <f t="shared" si="483"/>
        <v>0</v>
      </c>
      <c r="V6150">
        <f t="shared" si="484"/>
        <v>0</v>
      </c>
    </row>
    <row r="6151" spans="1:22" x14ac:dyDescent="0.25">
      <c r="A6151">
        <v>6148</v>
      </c>
      <c r="B6151" t="s">
        <v>40</v>
      </c>
      <c r="C6151" t="s">
        <v>1755</v>
      </c>
      <c r="D6151" s="4">
        <v>45463</v>
      </c>
      <c r="E6151" t="s">
        <v>1772</v>
      </c>
      <c r="F6151" t="s">
        <v>75</v>
      </c>
      <c r="I6151" s="6">
        <v>0</v>
      </c>
      <c r="J6151" s="6">
        <v>0</v>
      </c>
      <c r="K6151" s="6">
        <v>1</v>
      </c>
      <c r="L6151" s="6">
        <v>0</v>
      </c>
      <c r="M6151" s="6">
        <v>0</v>
      </c>
      <c r="N6151" s="6">
        <v>0</v>
      </c>
      <c r="O6151" s="6">
        <v>0</v>
      </c>
      <c r="P6151" s="6">
        <v>0</v>
      </c>
      <c r="Q6151">
        <v>1</v>
      </c>
      <c r="R6151">
        <f t="shared" si="480"/>
        <v>0</v>
      </c>
      <c r="S6151">
        <f t="shared" si="481"/>
        <v>1</v>
      </c>
      <c r="T6151">
        <f t="shared" si="482"/>
        <v>1</v>
      </c>
      <c r="U6151">
        <f t="shared" si="483"/>
        <v>1</v>
      </c>
      <c r="V6151">
        <f t="shared" si="484"/>
        <v>0</v>
      </c>
    </row>
    <row r="6152" spans="1:22" x14ac:dyDescent="0.25">
      <c r="A6152">
        <v>6149</v>
      </c>
      <c r="B6152" t="s">
        <v>40</v>
      </c>
      <c r="C6152" t="s">
        <v>1755</v>
      </c>
      <c r="D6152" s="4">
        <v>45463</v>
      </c>
      <c r="E6152" t="s">
        <v>2001</v>
      </c>
      <c r="F6152" t="s">
        <v>75</v>
      </c>
      <c r="I6152" s="6">
        <v>1</v>
      </c>
      <c r="J6152" s="6">
        <v>0</v>
      </c>
      <c r="K6152" s="6">
        <v>0</v>
      </c>
      <c r="L6152" s="6">
        <v>0</v>
      </c>
      <c r="M6152" s="6">
        <v>0</v>
      </c>
      <c r="N6152" s="6">
        <v>0</v>
      </c>
      <c r="O6152" s="6">
        <v>0</v>
      </c>
      <c r="P6152" s="6">
        <v>0</v>
      </c>
      <c r="Q6152">
        <v>1</v>
      </c>
      <c r="R6152">
        <f t="shared" si="480"/>
        <v>0</v>
      </c>
      <c r="S6152">
        <f t="shared" si="481"/>
        <v>1</v>
      </c>
      <c r="T6152">
        <f t="shared" si="482"/>
        <v>1</v>
      </c>
      <c r="U6152">
        <f t="shared" si="483"/>
        <v>1</v>
      </c>
      <c r="V6152">
        <f t="shared" si="484"/>
        <v>0</v>
      </c>
    </row>
    <row r="6153" spans="1:22" x14ac:dyDescent="0.25">
      <c r="A6153">
        <v>6150</v>
      </c>
      <c r="B6153" t="s">
        <v>40</v>
      </c>
      <c r="C6153" t="s">
        <v>1755</v>
      </c>
      <c r="D6153" s="4">
        <v>45463</v>
      </c>
      <c r="E6153" t="s">
        <v>1839</v>
      </c>
      <c r="F6153" t="s">
        <v>75</v>
      </c>
      <c r="I6153" s="6">
        <v>1</v>
      </c>
      <c r="J6153" s="6">
        <v>0</v>
      </c>
      <c r="K6153" s="6">
        <v>0</v>
      </c>
      <c r="L6153" s="6">
        <v>0</v>
      </c>
      <c r="M6153" s="6">
        <v>0</v>
      </c>
      <c r="N6153" s="6">
        <v>0</v>
      </c>
      <c r="O6153" s="6">
        <v>0</v>
      </c>
      <c r="P6153" s="6">
        <v>0</v>
      </c>
      <c r="Q6153">
        <v>1</v>
      </c>
      <c r="R6153">
        <f t="shared" si="480"/>
        <v>0</v>
      </c>
      <c r="S6153">
        <f t="shared" si="481"/>
        <v>1</v>
      </c>
      <c r="T6153">
        <f t="shared" si="482"/>
        <v>1</v>
      </c>
      <c r="U6153">
        <f t="shared" si="483"/>
        <v>1</v>
      </c>
      <c r="V6153">
        <f t="shared" si="484"/>
        <v>0</v>
      </c>
    </row>
    <row r="6154" spans="1:22" x14ac:dyDescent="0.25">
      <c r="A6154">
        <v>6151</v>
      </c>
      <c r="B6154" t="s">
        <v>40</v>
      </c>
      <c r="C6154" t="s">
        <v>1755</v>
      </c>
      <c r="D6154" s="4">
        <v>45463</v>
      </c>
      <c r="E6154" t="s">
        <v>2000</v>
      </c>
      <c r="F6154" t="s">
        <v>75</v>
      </c>
      <c r="I6154" s="6">
        <v>1</v>
      </c>
      <c r="J6154" s="6">
        <v>0</v>
      </c>
      <c r="K6154" s="6">
        <v>0</v>
      </c>
      <c r="L6154" s="6">
        <v>0</v>
      </c>
      <c r="M6154" s="6">
        <v>0</v>
      </c>
      <c r="N6154" s="6">
        <v>0</v>
      </c>
      <c r="O6154" s="6">
        <v>0</v>
      </c>
      <c r="P6154" s="6">
        <v>0</v>
      </c>
      <c r="Q6154">
        <v>1</v>
      </c>
      <c r="R6154">
        <f t="shared" si="480"/>
        <v>0</v>
      </c>
      <c r="S6154">
        <f t="shared" si="481"/>
        <v>1</v>
      </c>
      <c r="T6154">
        <f t="shared" si="482"/>
        <v>1</v>
      </c>
      <c r="U6154">
        <f t="shared" si="483"/>
        <v>1</v>
      </c>
      <c r="V6154">
        <f t="shared" si="484"/>
        <v>0</v>
      </c>
    </row>
    <row r="6155" spans="1:22" x14ac:dyDescent="0.25">
      <c r="A6155">
        <v>6152</v>
      </c>
      <c r="B6155" t="s">
        <v>40</v>
      </c>
      <c r="C6155" t="s">
        <v>1755</v>
      </c>
      <c r="D6155" s="4">
        <v>45463</v>
      </c>
      <c r="E6155" t="s">
        <v>1999</v>
      </c>
      <c r="F6155" t="s">
        <v>75</v>
      </c>
      <c r="I6155" s="6">
        <v>0</v>
      </c>
      <c r="J6155" s="6">
        <v>0</v>
      </c>
      <c r="K6155" s="6">
        <v>0</v>
      </c>
      <c r="L6155" s="6">
        <v>0</v>
      </c>
      <c r="M6155" s="6">
        <v>0</v>
      </c>
      <c r="N6155" s="6">
        <v>0</v>
      </c>
      <c r="O6155" s="6">
        <v>0</v>
      </c>
      <c r="P6155" s="6">
        <v>0</v>
      </c>
      <c r="Q6155">
        <v>1</v>
      </c>
      <c r="R6155">
        <f t="shared" si="480"/>
        <v>0</v>
      </c>
      <c r="S6155">
        <f t="shared" si="481"/>
        <v>1</v>
      </c>
      <c r="T6155">
        <f t="shared" si="482"/>
        <v>0</v>
      </c>
      <c r="U6155">
        <f t="shared" si="483"/>
        <v>0</v>
      </c>
      <c r="V6155">
        <f t="shared" si="484"/>
        <v>0</v>
      </c>
    </row>
    <row r="6156" spans="1:22" x14ac:dyDescent="0.25">
      <c r="A6156">
        <v>6153</v>
      </c>
      <c r="B6156" t="s">
        <v>40</v>
      </c>
      <c r="C6156" t="s">
        <v>1755</v>
      </c>
      <c r="D6156" s="4">
        <v>45464</v>
      </c>
      <c r="E6156" t="s">
        <v>1254</v>
      </c>
      <c r="F6156" t="s">
        <v>75</v>
      </c>
      <c r="I6156" s="6">
        <v>0</v>
      </c>
      <c r="J6156" s="6">
        <v>0</v>
      </c>
      <c r="K6156" s="6">
        <v>0</v>
      </c>
      <c r="L6156" s="6">
        <v>0</v>
      </c>
      <c r="M6156" s="6">
        <v>0</v>
      </c>
      <c r="N6156" s="6">
        <v>0</v>
      </c>
      <c r="O6156" s="6">
        <v>0</v>
      </c>
      <c r="P6156" s="6">
        <v>0</v>
      </c>
      <c r="Q6156">
        <v>1</v>
      </c>
      <c r="R6156">
        <f t="shared" si="480"/>
        <v>0</v>
      </c>
      <c r="S6156">
        <f t="shared" si="481"/>
        <v>1</v>
      </c>
      <c r="T6156">
        <f t="shared" si="482"/>
        <v>0</v>
      </c>
      <c r="U6156">
        <f t="shared" si="483"/>
        <v>0</v>
      </c>
      <c r="V6156">
        <f t="shared" si="484"/>
        <v>0</v>
      </c>
    </row>
    <row r="6157" spans="1:22" x14ac:dyDescent="0.25">
      <c r="A6157">
        <v>6154</v>
      </c>
      <c r="B6157" t="s">
        <v>40</v>
      </c>
      <c r="C6157" t="s">
        <v>1755</v>
      </c>
      <c r="D6157" s="4">
        <v>45464</v>
      </c>
      <c r="E6157" t="s">
        <v>1256</v>
      </c>
      <c r="F6157" t="s">
        <v>75</v>
      </c>
      <c r="I6157" s="6">
        <v>1</v>
      </c>
      <c r="J6157" s="6">
        <v>0</v>
      </c>
      <c r="K6157" s="6">
        <v>0</v>
      </c>
      <c r="L6157" s="6">
        <v>0</v>
      </c>
      <c r="M6157" s="6">
        <v>1</v>
      </c>
      <c r="N6157" s="6">
        <v>0</v>
      </c>
      <c r="O6157" s="6">
        <v>1</v>
      </c>
      <c r="P6157" s="6">
        <v>0</v>
      </c>
      <c r="Q6157">
        <v>1</v>
      </c>
      <c r="R6157">
        <f t="shared" si="480"/>
        <v>0</v>
      </c>
      <c r="S6157">
        <f t="shared" si="481"/>
        <v>1</v>
      </c>
      <c r="T6157">
        <f t="shared" si="482"/>
        <v>3</v>
      </c>
      <c r="U6157">
        <f t="shared" si="483"/>
        <v>1</v>
      </c>
      <c r="V6157">
        <f t="shared" si="484"/>
        <v>0</v>
      </c>
    </row>
    <row r="6158" spans="1:22" x14ac:dyDescent="0.25">
      <c r="A6158">
        <v>6155</v>
      </c>
      <c r="B6158" t="s">
        <v>40</v>
      </c>
      <c r="C6158" t="s">
        <v>1755</v>
      </c>
      <c r="D6158" s="4">
        <v>45464</v>
      </c>
      <c r="E6158" t="s">
        <v>1998</v>
      </c>
      <c r="F6158" t="s">
        <v>75</v>
      </c>
      <c r="I6158" s="6">
        <v>1</v>
      </c>
      <c r="J6158" s="6">
        <v>0</v>
      </c>
      <c r="K6158" s="6">
        <v>0</v>
      </c>
      <c r="L6158" s="6">
        <v>0</v>
      </c>
      <c r="M6158" s="6">
        <v>0</v>
      </c>
      <c r="N6158" s="6">
        <v>0</v>
      </c>
      <c r="O6158" s="6">
        <v>0</v>
      </c>
      <c r="P6158" s="6">
        <v>0</v>
      </c>
      <c r="Q6158">
        <v>1</v>
      </c>
      <c r="R6158">
        <f t="shared" si="480"/>
        <v>0</v>
      </c>
      <c r="S6158">
        <f t="shared" si="481"/>
        <v>1</v>
      </c>
      <c r="T6158">
        <f t="shared" si="482"/>
        <v>1</v>
      </c>
      <c r="U6158">
        <f t="shared" si="483"/>
        <v>1</v>
      </c>
      <c r="V6158">
        <f t="shared" si="484"/>
        <v>0</v>
      </c>
    </row>
    <row r="6159" spans="1:22" x14ac:dyDescent="0.25">
      <c r="A6159">
        <v>6156</v>
      </c>
      <c r="B6159" t="s">
        <v>40</v>
      </c>
      <c r="C6159" t="s">
        <v>1755</v>
      </c>
      <c r="D6159" s="4">
        <v>45464</v>
      </c>
      <c r="E6159" t="s">
        <v>1997</v>
      </c>
      <c r="F6159" t="s">
        <v>75</v>
      </c>
      <c r="I6159" s="6">
        <v>0</v>
      </c>
      <c r="J6159" s="6">
        <v>0</v>
      </c>
      <c r="K6159" s="6">
        <v>0</v>
      </c>
      <c r="L6159" s="6">
        <v>0</v>
      </c>
      <c r="M6159" s="6">
        <v>1</v>
      </c>
      <c r="N6159" s="6">
        <v>0</v>
      </c>
      <c r="O6159" s="6">
        <v>0</v>
      </c>
      <c r="P6159" s="6">
        <v>0</v>
      </c>
      <c r="Q6159">
        <v>1</v>
      </c>
      <c r="R6159">
        <f t="shared" si="480"/>
        <v>0</v>
      </c>
      <c r="S6159">
        <f t="shared" si="481"/>
        <v>1</v>
      </c>
      <c r="T6159">
        <f t="shared" si="482"/>
        <v>1</v>
      </c>
      <c r="U6159">
        <f t="shared" si="483"/>
        <v>1</v>
      </c>
      <c r="V6159">
        <f t="shared" si="484"/>
        <v>0</v>
      </c>
    </row>
    <row r="6160" spans="1:22" x14ac:dyDescent="0.25">
      <c r="A6160">
        <v>6157</v>
      </c>
      <c r="B6160" t="s">
        <v>40</v>
      </c>
      <c r="C6160" t="s">
        <v>1755</v>
      </c>
      <c r="D6160" s="4">
        <v>45464</v>
      </c>
      <c r="E6160" t="s">
        <v>1996</v>
      </c>
      <c r="F6160" t="s">
        <v>75</v>
      </c>
      <c r="I6160" s="6">
        <v>0</v>
      </c>
      <c r="J6160" s="6">
        <v>0</v>
      </c>
      <c r="K6160" s="6">
        <v>0</v>
      </c>
      <c r="L6160" s="6">
        <v>0</v>
      </c>
      <c r="M6160" s="6">
        <v>0</v>
      </c>
      <c r="N6160" s="6">
        <v>0</v>
      </c>
      <c r="O6160" s="6">
        <v>0</v>
      </c>
      <c r="P6160" s="6">
        <v>0</v>
      </c>
      <c r="Q6160">
        <v>1</v>
      </c>
      <c r="R6160">
        <f t="shared" si="480"/>
        <v>0</v>
      </c>
      <c r="S6160">
        <f t="shared" si="481"/>
        <v>1</v>
      </c>
      <c r="T6160">
        <f t="shared" si="482"/>
        <v>0</v>
      </c>
      <c r="U6160">
        <f t="shared" si="483"/>
        <v>0</v>
      </c>
      <c r="V6160">
        <f t="shared" si="484"/>
        <v>0</v>
      </c>
    </row>
    <row r="6161" spans="1:22" x14ac:dyDescent="0.25">
      <c r="A6161">
        <v>6158</v>
      </c>
      <c r="B6161" t="s">
        <v>40</v>
      </c>
      <c r="C6161" t="s">
        <v>1755</v>
      </c>
      <c r="D6161" s="4">
        <v>45464</v>
      </c>
      <c r="E6161" t="s">
        <v>1432</v>
      </c>
      <c r="F6161" t="s">
        <v>75</v>
      </c>
      <c r="I6161" s="6">
        <v>0</v>
      </c>
      <c r="J6161" s="6">
        <v>0</v>
      </c>
      <c r="K6161" s="6">
        <v>0</v>
      </c>
      <c r="L6161" s="6">
        <v>0</v>
      </c>
      <c r="M6161" s="6">
        <v>0</v>
      </c>
      <c r="N6161" s="6">
        <v>0</v>
      </c>
      <c r="O6161" s="6">
        <v>0</v>
      </c>
      <c r="P6161" s="6">
        <v>0</v>
      </c>
      <c r="Q6161">
        <v>1</v>
      </c>
      <c r="R6161">
        <f t="shared" si="480"/>
        <v>0</v>
      </c>
      <c r="S6161">
        <f t="shared" si="481"/>
        <v>1</v>
      </c>
      <c r="T6161">
        <f t="shared" si="482"/>
        <v>0</v>
      </c>
      <c r="U6161">
        <f t="shared" si="483"/>
        <v>0</v>
      </c>
      <c r="V6161">
        <f t="shared" si="484"/>
        <v>0</v>
      </c>
    </row>
    <row r="6162" spans="1:22" x14ac:dyDescent="0.25">
      <c r="A6162">
        <v>6159</v>
      </c>
      <c r="B6162" t="s">
        <v>40</v>
      </c>
      <c r="C6162" t="s">
        <v>1755</v>
      </c>
      <c r="D6162" s="4">
        <v>45464</v>
      </c>
      <c r="E6162" t="s">
        <v>1995</v>
      </c>
      <c r="F6162" t="s">
        <v>75</v>
      </c>
      <c r="I6162" s="6">
        <v>1</v>
      </c>
      <c r="J6162" s="6">
        <v>0</v>
      </c>
      <c r="K6162" s="6">
        <v>0</v>
      </c>
      <c r="L6162" s="6">
        <v>0</v>
      </c>
      <c r="M6162" s="6">
        <v>1</v>
      </c>
      <c r="N6162" s="6">
        <v>0</v>
      </c>
      <c r="O6162" s="6">
        <v>0</v>
      </c>
      <c r="P6162" s="6">
        <v>0</v>
      </c>
      <c r="Q6162">
        <v>1</v>
      </c>
      <c r="R6162">
        <f t="shared" si="480"/>
        <v>0</v>
      </c>
      <c r="S6162">
        <f t="shared" si="481"/>
        <v>1</v>
      </c>
      <c r="T6162">
        <f t="shared" si="482"/>
        <v>2</v>
      </c>
      <c r="U6162">
        <f t="shared" si="483"/>
        <v>1</v>
      </c>
      <c r="V6162">
        <f t="shared" si="484"/>
        <v>0</v>
      </c>
    </row>
    <row r="6163" spans="1:22" x14ac:dyDescent="0.25">
      <c r="A6163">
        <v>6160</v>
      </c>
      <c r="B6163" t="s">
        <v>40</v>
      </c>
      <c r="C6163" t="s">
        <v>1755</v>
      </c>
      <c r="D6163" s="4">
        <v>45465</v>
      </c>
      <c r="E6163" t="s">
        <v>1257</v>
      </c>
      <c r="F6163" t="s">
        <v>75</v>
      </c>
      <c r="I6163" s="6">
        <v>1</v>
      </c>
      <c r="J6163" s="6">
        <v>0</v>
      </c>
      <c r="K6163" s="6">
        <v>0</v>
      </c>
      <c r="L6163" s="6">
        <v>0</v>
      </c>
      <c r="M6163" s="6">
        <v>1</v>
      </c>
      <c r="N6163" s="6">
        <v>0</v>
      </c>
      <c r="O6163" s="6">
        <v>0</v>
      </c>
      <c r="P6163" s="6">
        <v>0</v>
      </c>
      <c r="Q6163">
        <v>1</v>
      </c>
      <c r="R6163">
        <f t="shared" si="480"/>
        <v>0</v>
      </c>
      <c r="S6163">
        <f t="shared" si="481"/>
        <v>1</v>
      </c>
      <c r="T6163">
        <f t="shared" si="482"/>
        <v>2</v>
      </c>
      <c r="U6163">
        <f t="shared" si="483"/>
        <v>1</v>
      </c>
      <c r="V6163">
        <f t="shared" si="484"/>
        <v>0</v>
      </c>
    </row>
    <row r="6164" spans="1:22" x14ac:dyDescent="0.25">
      <c r="A6164">
        <v>6161</v>
      </c>
      <c r="B6164" t="s">
        <v>40</v>
      </c>
      <c r="C6164" t="s">
        <v>1755</v>
      </c>
      <c r="D6164" s="4">
        <v>45465</v>
      </c>
      <c r="E6164" t="s">
        <v>1258</v>
      </c>
      <c r="F6164" t="s">
        <v>75</v>
      </c>
      <c r="I6164" s="6">
        <v>1</v>
      </c>
      <c r="J6164" s="6">
        <v>0</v>
      </c>
      <c r="K6164" s="6">
        <v>0</v>
      </c>
      <c r="L6164" s="6">
        <v>0</v>
      </c>
      <c r="M6164" s="6">
        <v>1</v>
      </c>
      <c r="N6164" s="6">
        <v>1</v>
      </c>
      <c r="O6164" s="6">
        <v>0</v>
      </c>
      <c r="P6164" s="6">
        <v>0</v>
      </c>
      <c r="Q6164">
        <v>1</v>
      </c>
      <c r="R6164">
        <f t="shared" si="480"/>
        <v>0</v>
      </c>
      <c r="S6164">
        <f t="shared" si="481"/>
        <v>1</v>
      </c>
      <c r="T6164">
        <f t="shared" si="482"/>
        <v>3</v>
      </c>
      <c r="U6164">
        <f t="shared" si="483"/>
        <v>1</v>
      </c>
      <c r="V6164">
        <f t="shared" si="484"/>
        <v>0</v>
      </c>
    </row>
    <row r="6165" spans="1:22" x14ac:dyDescent="0.25">
      <c r="A6165">
        <v>6162</v>
      </c>
      <c r="B6165" t="s">
        <v>40</v>
      </c>
      <c r="C6165" t="s">
        <v>1755</v>
      </c>
      <c r="D6165" s="4">
        <v>45466</v>
      </c>
      <c r="E6165" t="s">
        <v>1840</v>
      </c>
      <c r="F6165" t="s">
        <v>75</v>
      </c>
      <c r="H6165" t="s">
        <v>1841</v>
      </c>
      <c r="I6165" s="6">
        <v>1</v>
      </c>
      <c r="J6165" s="6">
        <v>0</v>
      </c>
      <c r="K6165" s="6">
        <v>0</v>
      </c>
      <c r="L6165" s="6">
        <v>0</v>
      </c>
      <c r="M6165" s="6">
        <v>0</v>
      </c>
      <c r="N6165" s="6">
        <v>0</v>
      </c>
      <c r="O6165" s="6">
        <v>0</v>
      </c>
      <c r="P6165" s="6">
        <v>0</v>
      </c>
      <c r="Q6165">
        <v>1</v>
      </c>
      <c r="R6165">
        <f t="shared" si="480"/>
        <v>0</v>
      </c>
      <c r="S6165">
        <f t="shared" si="481"/>
        <v>1</v>
      </c>
      <c r="T6165">
        <f t="shared" si="482"/>
        <v>1</v>
      </c>
      <c r="U6165">
        <f t="shared" si="483"/>
        <v>1</v>
      </c>
      <c r="V6165">
        <f t="shared" si="484"/>
        <v>0</v>
      </c>
    </row>
    <row r="6166" spans="1:22" x14ac:dyDescent="0.25">
      <c r="A6166">
        <v>6163</v>
      </c>
      <c r="B6166" t="s">
        <v>40</v>
      </c>
      <c r="C6166" t="s">
        <v>1755</v>
      </c>
      <c r="D6166" s="4">
        <v>45466</v>
      </c>
      <c r="E6166" t="s">
        <v>1994</v>
      </c>
      <c r="F6166" t="s">
        <v>75</v>
      </c>
      <c r="I6166" s="6"/>
      <c r="J6166" s="6"/>
      <c r="K6166" s="6"/>
      <c r="L6166" s="6"/>
      <c r="M6166" s="6"/>
      <c r="N6166" s="6"/>
      <c r="O6166" s="6"/>
      <c r="P6166" s="6"/>
      <c r="Q6166">
        <v>0</v>
      </c>
      <c r="R6166">
        <f t="shared" si="480"/>
        <v>0</v>
      </c>
      <c r="S6166">
        <f t="shared" si="481"/>
        <v>0</v>
      </c>
      <c r="T6166">
        <f t="shared" si="482"/>
        <v>0</v>
      </c>
      <c r="U6166">
        <f t="shared" si="483"/>
        <v>0</v>
      </c>
      <c r="V6166">
        <f t="shared" si="484"/>
        <v>0</v>
      </c>
    </row>
    <row r="6167" spans="1:22" x14ac:dyDescent="0.25">
      <c r="A6167">
        <v>6164</v>
      </c>
      <c r="B6167" t="s">
        <v>40</v>
      </c>
      <c r="C6167" t="s">
        <v>1755</v>
      </c>
      <c r="D6167" s="4">
        <v>45467</v>
      </c>
      <c r="E6167" t="s">
        <v>1993</v>
      </c>
      <c r="F6167" t="s">
        <v>75</v>
      </c>
      <c r="I6167" s="6">
        <v>0</v>
      </c>
      <c r="J6167" s="6">
        <v>0</v>
      </c>
      <c r="K6167" s="6">
        <v>0</v>
      </c>
      <c r="L6167" s="6">
        <v>1</v>
      </c>
      <c r="M6167" s="6">
        <v>0</v>
      </c>
      <c r="N6167" s="6">
        <v>0</v>
      </c>
      <c r="O6167" s="6">
        <v>0</v>
      </c>
      <c r="P6167" s="6">
        <v>0</v>
      </c>
      <c r="Q6167">
        <v>1</v>
      </c>
      <c r="R6167">
        <f t="shared" si="480"/>
        <v>0</v>
      </c>
      <c r="S6167">
        <f t="shared" si="481"/>
        <v>1</v>
      </c>
      <c r="T6167">
        <f t="shared" si="482"/>
        <v>1</v>
      </c>
      <c r="U6167">
        <f t="shared" si="483"/>
        <v>1</v>
      </c>
      <c r="V6167">
        <f t="shared" si="484"/>
        <v>0</v>
      </c>
    </row>
    <row r="6168" spans="1:22" x14ac:dyDescent="0.25">
      <c r="A6168">
        <v>6165</v>
      </c>
      <c r="B6168" t="s">
        <v>40</v>
      </c>
      <c r="C6168" t="s">
        <v>1755</v>
      </c>
      <c r="D6168" s="4">
        <v>45467</v>
      </c>
      <c r="E6168" t="s">
        <v>1992</v>
      </c>
      <c r="F6168" t="s">
        <v>75</v>
      </c>
      <c r="I6168" s="6">
        <v>0</v>
      </c>
      <c r="J6168" s="6">
        <v>0</v>
      </c>
      <c r="K6168" s="6">
        <v>0</v>
      </c>
      <c r="L6168" s="6">
        <v>0</v>
      </c>
      <c r="M6168" s="6">
        <v>0</v>
      </c>
      <c r="N6168" s="6">
        <v>0</v>
      </c>
      <c r="O6168" s="6">
        <v>0</v>
      </c>
      <c r="P6168" s="6">
        <v>0</v>
      </c>
      <c r="Q6168">
        <v>1</v>
      </c>
      <c r="R6168">
        <f t="shared" si="480"/>
        <v>0</v>
      </c>
      <c r="S6168">
        <f t="shared" si="481"/>
        <v>1</v>
      </c>
      <c r="T6168">
        <f t="shared" si="482"/>
        <v>0</v>
      </c>
      <c r="U6168">
        <f t="shared" si="483"/>
        <v>0</v>
      </c>
      <c r="V6168">
        <f t="shared" si="484"/>
        <v>0</v>
      </c>
    </row>
    <row r="6169" spans="1:22" x14ac:dyDescent="0.25">
      <c r="A6169">
        <v>6166</v>
      </c>
      <c r="B6169" t="s">
        <v>40</v>
      </c>
      <c r="C6169" t="s">
        <v>1755</v>
      </c>
      <c r="D6169" s="4">
        <v>45467</v>
      </c>
      <c r="E6169" t="s">
        <v>1433</v>
      </c>
      <c r="F6169" t="s">
        <v>75</v>
      </c>
      <c r="I6169" s="6">
        <v>1</v>
      </c>
      <c r="J6169" s="6">
        <v>0</v>
      </c>
      <c r="K6169" s="6">
        <v>0</v>
      </c>
      <c r="L6169" s="6">
        <v>1</v>
      </c>
      <c r="M6169" s="6">
        <v>1</v>
      </c>
      <c r="N6169" s="6">
        <v>1</v>
      </c>
      <c r="O6169" s="6">
        <v>0</v>
      </c>
      <c r="P6169" s="6">
        <v>0</v>
      </c>
      <c r="Q6169">
        <v>1</v>
      </c>
      <c r="R6169">
        <f t="shared" si="480"/>
        <v>0</v>
      </c>
      <c r="S6169">
        <f t="shared" si="481"/>
        <v>1</v>
      </c>
      <c r="T6169">
        <f t="shared" si="482"/>
        <v>4</v>
      </c>
      <c r="U6169">
        <f t="shared" si="483"/>
        <v>1</v>
      </c>
      <c r="V6169">
        <f t="shared" si="484"/>
        <v>0</v>
      </c>
    </row>
    <row r="6170" spans="1:22" x14ac:dyDescent="0.25">
      <c r="A6170">
        <v>6167</v>
      </c>
      <c r="B6170" t="s">
        <v>40</v>
      </c>
      <c r="C6170" t="s">
        <v>1755</v>
      </c>
      <c r="D6170" s="4">
        <v>45467</v>
      </c>
      <c r="E6170" t="s">
        <v>1991</v>
      </c>
      <c r="F6170" t="s">
        <v>75</v>
      </c>
      <c r="I6170" s="6"/>
      <c r="J6170" s="6"/>
      <c r="K6170" s="6"/>
      <c r="L6170" s="6"/>
      <c r="M6170" s="6"/>
      <c r="N6170" s="6"/>
      <c r="O6170" s="6"/>
      <c r="P6170" s="6"/>
      <c r="Q6170">
        <v>0</v>
      </c>
      <c r="R6170">
        <f t="shared" si="480"/>
        <v>0</v>
      </c>
      <c r="S6170">
        <f t="shared" si="481"/>
        <v>0</v>
      </c>
      <c r="T6170">
        <f t="shared" si="482"/>
        <v>0</v>
      </c>
      <c r="U6170">
        <f t="shared" si="483"/>
        <v>0</v>
      </c>
      <c r="V6170">
        <f t="shared" si="484"/>
        <v>0</v>
      </c>
    </row>
    <row r="6171" spans="1:22" x14ac:dyDescent="0.25">
      <c r="A6171">
        <v>6168</v>
      </c>
      <c r="B6171" t="s">
        <v>40</v>
      </c>
      <c r="C6171" t="s">
        <v>1755</v>
      </c>
      <c r="D6171" s="4">
        <v>45467</v>
      </c>
      <c r="E6171" t="s">
        <v>1990</v>
      </c>
      <c r="F6171" t="s">
        <v>75</v>
      </c>
      <c r="I6171" s="6"/>
      <c r="J6171" s="6"/>
      <c r="K6171" s="6"/>
      <c r="L6171" s="6"/>
      <c r="M6171" s="6"/>
      <c r="N6171" s="6"/>
      <c r="O6171" s="6"/>
      <c r="P6171" s="6"/>
      <c r="Q6171">
        <v>0</v>
      </c>
      <c r="R6171">
        <f t="shared" si="480"/>
        <v>0</v>
      </c>
      <c r="S6171">
        <f t="shared" si="481"/>
        <v>0</v>
      </c>
      <c r="T6171">
        <f t="shared" si="482"/>
        <v>0</v>
      </c>
      <c r="U6171">
        <f t="shared" si="483"/>
        <v>0</v>
      </c>
      <c r="V6171">
        <f t="shared" si="484"/>
        <v>0</v>
      </c>
    </row>
    <row r="6172" spans="1:22" x14ac:dyDescent="0.25">
      <c r="A6172">
        <v>6169</v>
      </c>
      <c r="B6172" t="s">
        <v>40</v>
      </c>
      <c r="C6172" t="s">
        <v>1755</v>
      </c>
      <c r="D6172" s="4">
        <v>45468</v>
      </c>
      <c r="E6172" t="s">
        <v>1776</v>
      </c>
      <c r="F6172" t="s">
        <v>75</v>
      </c>
      <c r="H6172" t="s">
        <v>1842</v>
      </c>
      <c r="I6172" s="6">
        <v>0</v>
      </c>
      <c r="J6172" s="6">
        <v>0</v>
      </c>
      <c r="K6172" s="6">
        <v>0</v>
      </c>
      <c r="L6172" s="6">
        <v>0</v>
      </c>
      <c r="M6172" s="6">
        <v>0</v>
      </c>
      <c r="N6172" s="6">
        <v>0</v>
      </c>
      <c r="O6172" s="6">
        <v>0</v>
      </c>
      <c r="P6172" s="6">
        <v>0</v>
      </c>
      <c r="Q6172">
        <v>1</v>
      </c>
      <c r="R6172">
        <f t="shared" si="480"/>
        <v>0</v>
      </c>
      <c r="S6172">
        <f t="shared" si="481"/>
        <v>1</v>
      </c>
      <c r="T6172">
        <f t="shared" si="482"/>
        <v>0</v>
      </c>
      <c r="U6172">
        <f t="shared" si="483"/>
        <v>0</v>
      </c>
      <c r="V6172">
        <f t="shared" si="484"/>
        <v>0</v>
      </c>
    </row>
    <row r="6173" spans="1:22" x14ac:dyDescent="0.25">
      <c r="A6173">
        <v>6170</v>
      </c>
      <c r="B6173" t="s">
        <v>40</v>
      </c>
      <c r="C6173" t="s">
        <v>1755</v>
      </c>
      <c r="D6173" s="4">
        <v>45468</v>
      </c>
      <c r="E6173" t="s">
        <v>1777</v>
      </c>
      <c r="F6173" t="s">
        <v>75</v>
      </c>
      <c r="I6173" s="6">
        <v>1</v>
      </c>
      <c r="J6173" s="6">
        <v>0</v>
      </c>
      <c r="K6173" s="6">
        <v>0</v>
      </c>
      <c r="L6173" s="6">
        <v>0</v>
      </c>
      <c r="M6173" s="6">
        <v>0</v>
      </c>
      <c r="N6173" s="6">
        <v>0</v>
      </c>
      <c r="O6173" s="6">
        <v>0</v>
      </c>
      <c r="P6173" s="6">
        <v>0</v>
      </c>
      <c r="Q6173">
        <v>1</v>
      </c>
      <c r="R6173">
        <f t="shared" si="480"/>
        <v>0</v>
      </c>
      <c r="S6173">
        <f t="shared" si="481"/>
        <v>1</v>
      </c>
      <c r="T6173">
        <f t="shared" si="482"/>
        <v>1</v>
      </c>
      <c r="U6173">
        <f t="shared" si="483"/>
        <v>1</v>
      </c>
      <c r="V6173">
        <f t="shared" si="484"/>
        <v>0</v>
      </c>
    </row>
    <row r="6174" spans="1:22" x14ac:dyDescent="0.25">
      <c r="A6174">
        <v>6171</v>
      </c>
      <c r="B6174" t="s">
        <v>40</v>
      </c>
      <c r="C6174" t="s">
        <v>1755</v>
      </c>
      <c r="D6174" s="4">
        <v>45468</v>
      </c>
      <c r="E6174" t="s">
        <v>1778</v>
      </c>
      <c r="F6174" t="s">
        <v>75</v>
      </c>
      <c r="I6174" s="6">
        <v>0</v>
      </c>
      <c r="J6174" s="6">
        <v>0</v>
      </c>
      <c r="K6174" s="6">
        <v>0</v>
      </c>
      <c r="L6174" s="6">
        <v>0</v>
      </c>
      <c r="M6174" s="6">
        <v>0</v>
      </c>
      <c r="N6174" s="6">
        <v>0</v>
      </c>
      <c r="O6174" s="6">
        <v>0</v>
      </c>
      <c r="P6174" s="6">
        <v>0</v>
      </c>
      <c r="Q6174">
        <v>1</v>
      </c>
      <c r="R6174">
        <f t="shared" si="480"/>
        <v>0</v>
      </c>
      <c r="S6174">
        <f t="shared" si="481"/>
        <v>1</v>
      </c>
      <c r="T6174">
        <f t="shared" si="482"/>
        <v>0</v>
      </c>
      <c r="U6174">
        <f t="shared" si="483"/>
        <v>0</v>
      </c>
      <c r="V6174">
        <f t="shared" si="484"/>
        <v>0</v>
      </c>
    </row>
    <row r="6175" spans="1:22" x14ac:dyDescent="0.25">
      <c r="A6175">
        <v>6172</v>
      </c>
      <c r="B6175" t="s">
        <v>40</v>
      </c>
      <c r="C6175" t="s">
        <v>1755</v>
      </c>
      <c r="D6175" s="4">
        <v>45468</v>
      </c>
      <c r="E6175" t="s">
        <v>1779</v>
      </c>
      <c r="F6175" t="s">
        <v>75</v>
      </c>
      <c r="I6175" s="6"/>
      <c r="J6175" s="6"/>
      <c r="K6175" s="6"/>
      <c r="L6175" s="6"/>
      <c r="M6175" s="6"/>
      <c r="N6175" s="6"/>
      <c r="O6175" s="6"/>
      <c r="P6175" s="6"/>
      <c r="Q6175">
        <v>0</v>
      </c>
      <c r="R6175">
        <f t="shared" si="480"/>
        <v>0</v>
      </c>
      <c r="S6175">
        <f t="shared" si="481"/>
        <v>0</v>
      </c>
      <c r="T6175">
        <f t="shared" si="482"/>
        <v>0</v>
      </c>
      <c r="U6175">
        <f t="shared" si="483"/>
        <v>0</v>
      </c>
      <c r="V6175">
        <f t="shared" si="484"/>
        <v>0</v>
      </c>
    </row>
    <row r="6176" spans="1:22" x14ac:dyDescent="0.25">
      <c r="A6176">
        <v>6173</v>
      </c>
      <c r="B6176" t="s">
        <v>40</v>
      </c>
      <c r="C6176" t="s">
        <v>1755</v>
      </c>
      <c r="D6176" s="4">
        <v>45469</v>
      </c>
      <c r="E6176" t="s">
        <v>1780</v>
      </c>
      <c r="F6176" t="s">
        <v>75</v>
      </c>
      <c r="I6176" s="6">
        <v>1</v>
      </c>
      <c r="J6176" s="6">
        <v>0</v>
      </c>
      <c r="K6176" s="6">
        <v>0</v>
      </c>
      <c r="L6176" s="6">
        <v>0</v>
      </c>
      <c r="M6176" s="6">
        <v>0</v>
      </c>
      <c r="N6176" s="6">
        <v>0</v>
      </c>
      <c r="O6176" s="6">
        <v>0</v>
      </c>
      <c r="P6176" s="6">
        <v>0</v>
      </c>
      <c r="Q6176">
        <v>1</v>
      </c>
      <c r="R6176">
        <f t="shared" si="480"/>
        <v>0</v>
      </c>
      <c r="S6176">
        <f t="shared" si="481"/>
        <v>1</v>
      </c>
      <c r="T6176">
        <f t="shared" si="482"/>
        <v>1</v>
      </c>
      <c r="U6176">
        <f t="shared" si="483"/>
        <v>1</v>
      </c>
      <c r="V6176">
        <f t="shared" si="484"/>
        <v>0</v>
      </c>
    </row>
    <row r="6177" spans="1:22" x14ac:dyDescent="0.25">
      <c r="A6177">
        <v>6174</v>
      </c>
      <c r="B6177" t="s">
        <v>40</v>
      </c>
      <c r="C6177" t="s">
        <v>1755</v>
      </c>
      <c r="D6177" s="4">
        <v>45470</v>
      </c>
      <c r="E6177" t="s">
        <v>1260</v>
      </c>
      <c r="F6177" t="s">
        <v>75</v>
      </c>
      <c r="I6177" s="6">
        <v>1</v>
      </c>
      <c r="J6177" s="6">
        <v>0</v>
      </c>
      <c r="K6177" s="6">
        <v>0</v>
      </c>
      <c r="L6177" s="6">
        <v>0</v>
      </c>
      <c r="M6177" s="6">
        <v>0</v>
      </c>
      <c r="N6177" s="6">
        <v>0</v>
      </c>
      <c r="O6177" s="6">
        <v>0</v>
      </c>
      <c r="P6177" s="6">
        <v>0</v>
      </c>
      <c r="Q6177">
        <v>1</v>
      </c>
      <c r="R6177">
        <f t="shared" si="480"/>
        <v>0</v>
      </c>
      <c r="S6177">
        <f t="shared" si="481"/>
        <v>1</v>
      </c>
      <c r="T6177">
        <f t="shared" si="482"/>
        <v>1</v>
      </c>
      <c r="U6177">
        <f t="shared" si="483"/>
        <v>1</v>
      </c>
      <c r="V6177">
        <f t="shared" si="484"/>
        <v>0</v>
      </c>
    </row>
    <row r="6178" spans="1:22" x14ac:dyDescent="0.25">
      <c r="A6178">
        <v>6175</v>
      </c>
      <c r="B6178" t="s">
        <v>40</v>
      </c>
      <c r="C6178" t="s">
        <v>1755</v>
      </c>
      <c r="D6178" s="4">
        <v>45470</v>
      </c>
      <c r="E6178" t="s">
        <v>1261</v>
      </c>
      <c r="F6178" t="s">
        <v>75</v>
      </c>
      <c r="I6178" s="6">
        <v>0</v>
      </c>
      <c r="J6178" s="6">
        <v>0</v>
      </c>
      <c r="K6178" s="6">
        <v>0</v>
      </c>
      <c r="L6178" s="6">
        <v>0</v>
      </c>
      <c r="M6178" s="6">
        <v>0</v>
      </c>
      <c r="N6178" s="6">
        <v>0</v>
      </c>
      <c r="O6178" s="6">
        <v>0</v>
      </c>
      <c r="P6178" s="6">
        <v>0</v>
      </c>
      <c r="Q6178">
        <v>1</v>
      </c>
      <c r="R6178">
        <f t="shared" si="480"/>
        <v>0</v>
      </c>
      <c r="S6178">
        <f t="shared" si="481"/>
        <v>1</v>
      </c>
      <c r="T6178">
        <f t="shared" si="482"/>
        <v>0</v>
      </c>
      <c r="U6178">
        <f t="shared" si="483"/>
        <v>0</v>
      </c>
      <c r="V6178">
        <f t="shared" si="484"/>
        <v>0</v>
      </c>
    </row>
    <row r="6179" spans="1:22" x14ac:dyDescent="0.25">
      <c r="A6179">
        <v>6176</v>
      </c>
      <c r="B6179" t="s">
        <v>40</v>
      </c>
      <c r="C6179" t="s">
        <v>1755</v>
      </c>
      <c r="D6179" s="4">
        <v>45470</v>
      </c>
      <c r="E6179" t="s">
        <v>1843</v>
      </c>
      <c r="F6179" t="s">
        <v>75</v>
      </c>
      <c r="I6179" s="6">
        <v>0</v>
      </c>
      <c r="J6179" s="6">
        <v>0</v>
      </c>
      <c r="K6179" s="6">
        <v>1</v>
      </c>
      <c r="L6179" s="6">
        <v>0</v>
      </c>
      <c r="M6179" s="6">
        <v>0</v>
      </c>
      <c r="N6179" s="6">
        <v>0</v>
      </c>
      <c r="O6179" s="6">
        <v>0</v>
      </c>
      <c r="P6179" s="6">
        <v>0</v>
      </c>
      <c r="Q6179">
        <v>1</v>
      </c>
      <c r="R6179">
        <f t="shared" si="480"/>
        <v>0</v>
      </c>
      <c r="S6179">
        <f t="shared" si="481"/>
        <v>1</v>
      </c>
      <c r="T6179">
        <f t="shared" si="482"/>
        <v>1</v>
      </c>
      <c r="U6179">
        <f t="shared" si="483"/>
        <v>1</v>
      </c>
      <c r="V6179">
        <f t="shared" si="484"/>
        <v>0</v>
      </c>
    </row>
    <row r="6180" spans="1:22" x14ac:dyDescent="0.25">
      <c r="A6180">
        <v>6177</v>
      </c>
      <c r="B6180" t="s">
        <v>40</v>
      </c>
      <c r="C6180" t="s">
        <v>1755</v>
      </c>
      <c r="D6180" s="4">
        <v>45471</v>
      </c>
      <c r="E6180" t="s">
        <v>1262</v>
      </c>
      <c r="F6180" t="s">
        <v>75</v>
      </c>
      <c r="I6180" s="6"/>
      <c r="J6180" s="6"/>
      <c r="K6180" s="6"/>
      <c r="L6180" s="6"/>
      <c r="M6180" s="6"/>
      <c r="N6180" s="6"/>
      <c r="O6180" s="6"/>
      <c r="P6180" s="6"/>
      <c r="Q6180">
        <v>0</v>
      </c>
      <c r="R6180">
        <f t="shared" si="480"/>
        <v>0</v>
      </c>
      <c r="S6180">
        <f t="shared" si="481"/>
        <v>0</v>
      </c>
      <c r="T6180">
        <f t="shared" si="482"/>
        <v>0</v>
      </c>
      <c r="U6180">
        <f t="shared" si="483"/>
        <v>0</v>
      </c>
      <c r="V6180">
        <f t="shared" si="484"/>
        <v>0</v>
      </c>
    </row>
    <row r="6181" spans="1:22" x14ac:dyDescent="0.25">
      <c r="A6181">
        <v>6178</v>
      </c>
      <c r="B6181" t="s">
        <v>40</v>
      </c>
      <c r="C6181" t="s">
        <v>1755</v>
      </c>
      <c r="D6181" s="4">
        <v>45472</v>
      </c>
      <c r="E6181" t="s">
        <v>1442</v>
      </c>
      <c r="F6181" t="s">
        <v>75</v>
      </c>
      <c r="I6181" s="6">
        <v>0</v>
      </c>
      <c r="J6181" s="6">
        <v>0</v>
      </c>
      <c r="K6181" s="6">
        <v>0</v>
      </c>
      <c r="L6181" s="6">
        <v>0</v>
      </c>
      <c r="M6181" s="6">
        <v>0</v>
      </c>
      <c r="N6181" s="6">
        <v>0</v>
      </c>
      <c r="O6181" s="6">
        <v>0</v>
      </c>
      <c r="P6181" s="6">
        <v>0</v>
      </c>
      <c r="Q6181">
        <v>1</v>
      </c>
      <c r="R6181">
        <f t="shared" si="480"/>
        <v>0</v>
      </c>
      <c r="S6181">
        <f t="shared" si="481"/>
        <v>1</v>
      </c>
      <c r="T6181">
        <f t="shared" si="482"/>
        <v>0</v>
      </c>
      <c r="U6181">
        <f t="shared" si="483"/>
        <v>0</v>
      </c>
      <c r="V6181">
        <f t="shared" si="484"/>
        <v>0</v>
      </c>
    </row>
    <row r="6182" spans="1:22" x14ac:dyDescent="0.25">
      <c r="A6182">
        <v>6179</v>
      </c>
      <c r="B6182" t="s">
        <v>40</v>
      </c>
      <c r="C6182" t="s">
        <v>1755</v>
      </c>
      <c r="D6182" s="4">
        <v>45472</v>
      </c>
      <c r="E6182" t="s">
        <v>1781</v>
      </c>
      <c r="F6182" t="s">
        <v>75</v>
      </c>
      <c r="I6182" s="6"/>
      <c r="J6182" s="6"/>
      <c r="K6182" s="6"/>
      <c r="L6182" s="6"/>
      <c r="M6182" s="6"/>
      <c r="N6182" s="6"/>
      <c r="O6182" s="6"/>
      <c r="P6182" s="6"/>
      <c r="Q6182">
        <v>0</v>
      </c>
      <c r="R6182">
        <f t="shared" si="480"/>
        <v>0</v>
      </c>
      <c r="S6182">
        <f t="shared" si="481"/>
        <v>0</v>
      </c>
      <c r="T6182">
        <f t="shared" si="482"/>
        <v>0</v>
      </c>
      <c r="U6182">
        <f t="shared" si="483"/>
        <v>0</v>
      </c>
      <c r="V6182">
        <f t="shared" si="484"/>
        <v>0</v>
      </c>
    </row>
    <row r="6183" spans="1:22" x14ac:dyDescent="0.25">
      <c r="A6183">
        <v>6180</v>
      </c>
      <c r="B6183" t="s">
        <v>40</v>
      </c>
      <c r="C6183" t="s">
        <v>1755</v>
      </c>
      <c r="D6183" s="4">
        <v>45472</v>
      </c>
      <c r="E6183" t="s">
        <v>1844</v>
      </c>
      <c r="F6183" t="s">
        <v>75</v>
      </c>
      <c r="I6183" s="6">
        <v>0</v>
      </c>
      <c r="J6183" s="6">
        <v>0</v>
      </c>
      <c r="K6183" s="6">
        <v>0</v>
      </c>
      <c r="L6183" s="6">
        <v>0</v>
      </c>
      <c r="M6183" s="6">
        <v>1</v>
      </c>
      <c r="N6183" s="6">
        <v>0</v>
      </c>
      <c r="O6183" s="6">
        <v>0</v>
      </c>
      <c r="P6183" s="6">
        <v>1</v>
      </c>
      <c r="Q6183">
        <v>1</v>
      </c>
      <c r="R6183">
        <f t="shared" si="480"/>
        <v>0</v>
      </c>
      <c r="S6183">
        <f t="shared" si="481"/>
        <v>1</v>
      </c>
      <c r="T6183">
        <f t="shared" si="482"/>
        <v>2</v>
      </c>
      <c r="U6183">
        <f t="shared" si="483"/>
        <v>1</v>
      </c>
      <c r="V6183">
        <f t="shared" si="484"/>
        <v>0</v>
      </c>
    </row>
    <row r="6184" spans="1:22" x14ac:dyDescent="0.25">
      <c r="A6184">
        <v>6181</v>
      </c>
      <c r="B6184" t="s">
        <v>40</v>
      </c>
      <c r="C6184" t="s">
        <v>1755</v>
      </c>
      <c r="D6184" s="4">
        <v>45473</v>
      </c>
      <c r="E6184" t="s">
        <v>1989</v>
      </c>
      <c r="F6184" t="s">
        <v>75</v>
      </c>
      <c r="I6184" s="6"/>
      <c r="J6184" s="6"/>
      <c r="K6184" s="6"/>
      <c r="L6184" s="6"/>
      <c r="M6184" s="6"/>
      <c r="N6184" s="6"/>
      <c r="O6184" s="6"/>
      <c r="P6184" s="6"/>
      <c r="Q6184">
        <v>0</v>
      </c>
      <c r="R6184">
        <f t="shared" si="480"/>
        <v>0</v>
      </c>
      <c r="S6184">
        <f t="shared" si="481"/>
        <v>0</v>
      </c>
      <c r="T6184">
        <f t="shared" si="482"/>
        <v>0</v>
      </c>
      <c r="U6184">
        <f t="shared" si="483"/>
        <v>0</v>
      </c>
      <c r="V6184">
        <f t="shared" si="484"/>
        <v>0</v>
      </c>
    </row>
    <row r="6185" spans="1:22" x14ac:dyDescent="0.25">
      <c r="A6185">
        <v>6182</v>
      </c>
      <c r="B6185" t="s">
        <v>40</v>
      </c>
      <c r="C6185" t="s">
        <v>1755</v>
      </c>
      <c r="D6185" s="4">
        <v>45473</v>
      </c>
      <c r="E6185" t="s">
        <v>1845</v>
      </c>
      <c r="F6185" t="s">
        <v>75</v>
      </c>
      <c r="I6185" s="6">
        <v>0</v>
      </c>
      <c r="J6185" s="6">
        <v>0</v>
      </c>
      <c r="K6185" s="6">
        <v>0</v>
      </c>
      <c r="L6185" s="6">
        <v>0</v>
      </c>
      <c r="M6185" s="6">
        <v>0</v>
      </c>
      <c r="N6185" s="6">
        <v>0</v>
      </c>
      <c r="O6185" s="6">
        <v>0</v>
      </c>
      <c r="P6185" s="6">
        <v>0</v>
      </c>
      <c r="Q6185">
        <v>1</v>
      </c>
      <c r="R6185">
        <f t="shared" si="480"/>
        <v>0</v>
      </c>
      <c r="S6185">
        <f t="shared" si="481"/>
        <v>1</v>
      </c>
      <c r="T6185">
        <f t="shared" si="482"/>
        <v>0</v>
      </c>
      <c r="U6185">
        <f t="shared" si="483"/>
        <v>0</v>
      </c>
      <c r="V6185">
        <f t="shared" si="484"/>
        <v>0</v>
      </c>
    </row>
    <row r="6186" spans="1:22" x14ac:dyDescent="0.25">
      <c r="A6186">
        <v>6183</v>
      </c>
      <c r="B6186" t="s">
        <v>40</v>
      </c>
      <c r="C6186" t="s">
        <v>1755</v>
      </c>
      <c r="D6186" s="4">
        <v>45473</v>
      </c>
      <c r="E6186" t="s">
        <v>1988</v>
      </c>
      <c r="F6186" t="s">
        <v>75</v>
      </c>
      <c r="I6186" s="6"/>
      <c r="J6186" s="6"/>
      <c r="K6186" s="6"/>
      <c r="L6186" s="6"/>
      <c r="M6186" s="6"/>
      <c r="N6186" s="6"/>
      <c r="O6186" s="6"/>
      <c r="P6186" s="6"/>
      <c r="Q6186">
        <v>0</v>
      </c>
      <c r="R6186">
        <f t="shared" si="480"/>
        <v>0</v>
      </c>
      <c r="S6186">
        <f t="shared" si="481"/>
        <v>0</v>
      </c>
      <c r="T6186">
        <f t="shared" si="482"/>
        <v>0</v>
      </c>
      <c r="U6186">
        <f t="shared" si="483"/>
        <v>0</v>
      </c>
      <c r="V6186">
        <f t="shared" si="484"/>
        <v>0</v>
      </c>
    </row>
    <row r="6187" spans="1:22" x14ac:dyDescent="0.25">
      <c r="A6187">
        <v>6184</v>
      </c>
      <c r="B6187" t="s">
        <v>40</v>
      </c>
      <c r="C6187" t="s">
        <v>1755</v>
      </c>
      <c r="D6187" s="4">
        <v>45473</v>
      </c>
      <c r="E6187" t="s">
        <v>1987</v>
      </c>
      <c r="F6187" t="s">
        <v>75</v>
      </c>
      <c r="I6187" s="6"/>
      <c r="J6187" s="6"/>
      <c r="K6187" s="6"/>
      <c r="L6187" s="6"/>
      <c r="M6187" s="6"/>
      <c r="N6187" s="6"/>
      <c r="O6187" s="6"/>
      <c r="P6187" s="6"/>
      <c r="Q6187">
        <v>0</v>
      </c>
      <c r="R6187">
        <f t="shared" si="480"/>
        <v>0</v>
      </c>
      <c r="S6187">
        <f t="shared" si="481"/>
        <v>0</v>
      </c>
      <c r="T6187">
        <f t="shared" si="482"/>
        <v>0</v>
      </c>
      <c r="U6187">
        <f t="shared" si="483"/>
        <v>0</v>
      </c>
      <c r="V6187">
        <f t="shared" si="484"/>
        <v>0</v>
      </c>
    </row>
    <row r="6188" spans="1:22" x14ac:dyDescent="0.25">
      <c r="A6188">
        <v>6185</v>
      </c>
      <c r="B6188" t="s">
        <v>40</v>
      </c>
      <c r="C6188" t="s">
        <v>1755</v>
      </c>
      <c r="D6188" s="4">
        <v>45473</v>
      </c>
      <c r="E6188" t="s">
        <v>1986</v>
      </c>
      <c r="F6188" t="s">
        <v>75</v>
      </c>
      <c r="I6188" s="6">
        <v>1</v>
      </c>
      <c r="J6188" s="6">
        <v>0</v>
      </c>
      <c r="K6188" s="6">
        <v>0</v>
      </c>
      <c r="L6188" s="6">
        <v>0</v>
      </c>
      <c r="M6188" s="6">
        <v>0</v>
      </c>
      <c r="N6188" s="6">
        <v>0</v>
      </c>
      <c r="O6188" s="6">
        <v>0</v>
      </c>
      <c r="P6188" s="6">
        <v>0</v>
      </c>
      <c r="Q6188">
        <v>1</v>
      </c>
      <c r="R6188">
        <f t="shared" si="480"/>
        <v>0</v>
      </c>
      <c r="S6188">
        <f t="shared" si="481"/>
        <v>1</v>
      </c>
      <c r="T6188">
        <f t="shared" si="482"/>
        <v>1</v>
      </c>
      <c r="U6188">
        <f t="shared" si="483"/>
        <v>1</v>
      </c>
      <c r="V6188">
        <f t="shared" si="484"/>
        <v>0</v>
      </c>
    </row>
    <row r="6189" spans="1:22" x14ac:dyDescent="0.25">
      <c r="A6189">
        <v>6186</v>
      </c>
      <c r="B6189" t="s">
        <v>40</v>
      </c>
      <c r="C6189" t="s">
        <v>1755</v>
      </c>
      <c r="D6189" s="4">
        <v>45474</v>
      </c>
      <c r="E6189" t="s">
        <v>1846</v>
      </c>
      <c r="F6189" t="s">
        <v>75</v>
      </c>
      <c r="I6189" s="6">
        <v>0</v>
      </c>
      <c r="J6189" s="6">
        <v>0</v>
      </c>
      <c r="K6189" s="6">
        <v>0</v>
      </c>
      <c r="L6189" s="6">
        <v>0</v>
      </c>
      <c r="M6189" s="6">
        <v>0</v>
      </c>
      <c r="N6189" s="6">
        <v>0</v>
      </c>
      <c r="O6189" s="6">
        <v>0</v>
      </c>
      <c r="P6189" s="6">
        <v>0</v>
      </c>
      <c r="Q6189">
        <v>1</v>
      </c>
      <c r="R6189">
        <f t="shared" si="480"/>
        <v>0</v>
      </c>
      <c r="S6189">
        <f t="shared" si="481"/>
        <v>1</v>
      </c>
      <c r="T6189">
        <f t="shared" si="482"/>
        <v>0</v>
      </c>
      <c r="U6189">
        <f t="shared" si="483"/>
        <v>0</v>
      </c>
      <c r="V6189">
        <f t="shared" si="484"/>
        <v>0</v>
      </c>
    </row>
    <row r="6190" spans="1:22" x14ac:dyDescent="0.25">
      <c r="A6190">
        <v>6187</v>
      </c>
      <c r="B6190" t="s">
        <v>40</v>
      </c>
      <c r="C6190" t="s">
        <v>1755</v>
      </c>
      <c r="D6190" s="4">
        <v>45475</v>
      </c>
      <c r="E6190" t="s">
        <v>1985</v>
      </c>
      <c r="F6190" t="s">
        <v>75</v>
      </c>
      <c r="I6190" s="6"/>
      <c r="J6190" s="6"/>
      <c r="K6190" s="6"/>
      <c r="L6190" s="6"/>
      <c r="M6190" s="6"/>
      <c r="N6190" s="6"/>
      <c r="O6190" s="6"/>
      <c r="P6190" s="6"/>
      <c r="Q6190">
        <v>0</v>
      </c>
      <c r="R6190">
        <f t="shared" si="480"/>
        <v>0</v>
      </c>
      <c r="S6190">
        <f t="shared" si="481"/>
        <v>0</v>
      </c>
      <c r="T6190">
        <f t="shared" si="482"/>
        <v>0</v>
      </c>
      <c r="U6190">
        <f t="shared" si="483"/>
        <v>0</v>
      </c>
      <c r="V6190">
        <f t="shared" si="484"/>
        <v>0</v>
      </c>
    </row>
    <row r="6191" spans="1:22" x14ac:dyDescent="0.25">
      <c r="A6191">
        <v>6188</v>
      </c>
      <c r="B6191" t="s">
        <v>40</v>
      </c>
      <c r="C6191" t="s">
        <v>1755</v>
      </c>
      <c r="D6191" s="4">
        <v>45475</v>
      </c>
      <c r="E6191" t="s">
        <v>1984</v>
      </c>
      <c r="F6191" t="s">
        <v>75</v>
      </c>
      <c r="I6191" s="6">
        <v>0</v>
      </c>
      <c r="J6191" s="6">
        <v>0</v>
      </c>
      <c r="K6191" s="6">
        <v>0</v>
      </c>
      <c r="L6191" s="6">
        <v>0</v>
      </c>
      <c r="M6191" s="6">
        <v>0</v>
      </c>
      <c r="N6191" s="6">
        <v>0</v>
      </c>
      <c r="O6191" s="6">
        <v>0</v>
      </c>
      <c r="P6191" s="6">
        <v>0</v>
      </c>
      <c r="Q6191">
        <v>1</v>
      </c>
      <c r="R6191">
        <f t="shared" si="480"/>
        <v>0</v>
      </c>
      <c r="S6191">
        <f t="shared" si="481"/>
        <v>1</v>
      </c>
      <c r="T6191">
        <f t="shared" si="482"/>
        <v>0</v>
      </c>
      <c r="U6191">
        <f t="shared" si="483"/>
        <v>0</v>
      </c>
      <c r="V6191">
        <f t="shared" si="484"/>
        <v>0</v>
      </c>
    </row>
    <row r="6192" spans="1:22" x14ac:dyDescent="0.25">
      <c r="A6192">
        <v>6189</v>
      </c>
      <c r="B6192" t="s">
        <v>40</v>
      </c>
      <c r="C6192" t="s">
        <v>1755</v>
      </c>
      <c r="D6192" s="4">
        <v>45475</v>
      </c>
      <c r="E6192" t="s">
        <v>1444</v>
      </c>
      <c r="F6192" t="s">
        <v>75</v>
      </c>
      <c r="I6192" s="6">
        <v>0</v>
      </c>
      <c r="J6192" s="6">
        <v>0</v>
      </c>
      <c r="K6192" s="6">
        <v>0</v>
      </c>
      <c r="L6192" s="6">
        <v>0</v>
      </c>
      <c r="M6192" s="6">
        <v>0</v>
      </c>
      <c r="N6192" s="6">
        <v>0</v>
      </c>
      <c r="O6192" s="6">
        <v>0</v>
      </c>
      <c r="P6192" s="6">
        <v>0</v>
      </c>
      <c r="Q6192">
        <v>1</v>
      </c>
      <c r="R6192">
        <f t="shared" si="480"/>
        <v>0</v>
      </c>
      <c r="S6192">
        <f t="shared" si="481"/>
        <v>1</v>
      </c>
      <c r="T6192">
        <f t="shared" si="482"/>
        <v>0</v>
      </c>
      <c r="U6192">
        <f t="shared" si="483"/>
        <v>0</v>
      </c>
      <c r="V6192">
        <f t="shared" si="484"/>
        <v>0</v>
      </c>
    </row>
    <row r="6193" spans="1:22" x14ac:dyDescent="0.25">
      <c r="A6193">
        <v>6190</v>
      </c>
      <c r="B6193" t="s">
        <v>40</v>
      </c>
      <c r="C6193" t="s">
        <v>1755</v>
      </c>
      <c r="D6193" s="4">
        <v>45475</v>
      </c>
      <c r="E6193" t="s">
        <v>1847</v>
      </c>
      <c r="F6193" t="s">
        <v>75</v>
      </c>
      <c r="H6193" t="s">
        <v>1841</v>
      </c>
      <c r="I6193" s="6">
        <v>1</v>
      </c>
      <c r="J6193" s="6">
        <v>0</v>
      </c>
      <c r="K6193" s="6">
        <v>0</v>
      </c>
      <c r="L6193" s="6">
        <v>0</v>
      </c>
      <c r="M6193" s="6">
        <v>0</v>
      </c>
      <c r="N6193" s="6">
        <v>0</v>
      </c>
      <c r="O6193" s="6">
        <v>0</v>
      </c>
      <c r="P6193" s="6">
        <v>0</v>
      </c>
      <c r="Q6193">
        <v>1</v>
      </c>
      <c r="R6193">
        <f t="shared" si="480"/>
        <v>0</v>
      </c>
      <c r="S6193">
        <f t="shared" si="481"/>
        <v>1</v>
      </c>
      <c r="T6193">
        <f t="shared" si="482"/>
        <v>1</v>
      </c>
      <c r="U6193">
        <f t="shared" si="483"/>
        <v>1</v>
      </c>
      <c r="V6193">
        <f t="shared" si="484"/>
        <v>0</v>
      </c>
    </row>
    <row r="6194" spans="1:22" x14ac:dyDescent="0.25">
      <c r="A6194">
        <v>6191</v>
      </c>
      <c r="B6194" t="s">
        <v>40</v>
      </c>
      <c r="C6194" t="s">
        <v>1755</v>
      </c>
      <c r="D6194" s="4">
        <v>45475</v>
      </c>
      <c r="E6194" t="s">
        <v>1983</v>
      </c>
      <c r="F6194" t="s">
        <v>75</v>
      </c>
      <c r="I6194" s="6">
        <v>0</v>
      </c>
      <c r="J6194" s="6">
        <v>0</v>
      </c>
      <c r="K6194" s="6">
        <v>0</v>
      </c>
      <c r="L6194" s="6">
        <v>0</v>
      </c>
      <c r="M6194" s="6">
        <v>0</v>
      </c>
      <c r="N6194" s="6">
        <v>0</v>
      </c>
      <c r="O6194" s="6">
        <v>0</v>
      </c>
      <c r="P6194" s="6">
        <v>0</v>
      </c>
      <c r="Q6194">
        <v>1</v>
      </c>
      <c r="R6194">
        <f t="shared" si="480"/>
        <v>0</v>
      </c>
      <c r="S6194">
        <f t="shared" si="481"/>
        <v>1</v>
      </c>
      <c r="T6194">
        <f t="shared" si="482"/>
        <v>0</v>
      </c>
      <c r="U6194">
        <f t="shared" si="483"/>
        <v>0</v>
      </c>
      <c r="V6194">
        <f t="shared" si="484"/>
        <v>0</v>
      </c>
    </row>
    <row r="6195" spans="1:22" x14ac:dyDescent="0.25">
      <c r="A6195">
        <v>6192</v>
      </c>
      <c r="B6195" t="s">
        <v>40</v>
      </c>
      <c r="C6195" t="s">
        <v>1755</v>
      </c>
      <c r="D6195" s="4">
        <v>45475</v>
      </c>
      <c r="E6195" t="s">
        <v>1982</v>
      </c>
      <c r="F6195" t="s">
        <v>75</v>
      </c>
      <c r="I6195" s="6">
        <v>0</v>
      </c>
      <c r="J6195" s="6">
        <v>0</v>
      </c>
      <c r="K6195" s="6">
        <v>1</v>
      </c>
      <c r="L6195" s="6">
        <v>0</v>
      </c>
      <c r="M6195" s="6">
        <v>0</v>
      </c>
      <c r="N6195" s="6">
        <v>0</v>
      </c>
      <c r="O6195" s="6">
        <v>0</v>
      </c>
      <c r="P6195" s="6">
        <v>0</v>
      </c>
      <c r="Q6195">
        <v>1</v>
      </c>
      <c r="R6195">
        <f t="shared" si="480"/>
        <v>0</v>
      </c>
      <c r="S6195">
        <f t="shared" si="481"/>
        <v>1</v>
      </c>
      <c r="T6195">
        <f t="shared" si="482"/>
        <v>1</v>
      </c>
      <c r="U6195">
        <f t="shared" si="483"/>
        <v>1</v>
      </c>
      <c r="V6195">
        <f t="shared" si="484"/>
        <v>0</v>
      </c>
    </row>
    <row r="6196" spans="1:22" x14ac:dyDescent="0.25">
      <c r="A6196">
        <v>6193</v>
      </c>
      <c r="B6196" t="s">
        <v>40</v>
      </c>
      <c r="C6196" t="s">
        <v>1755</v>
      </c>
      <c r="D6196" s="4">
        <v>45475</v>
      </c>
      <c r="E6196" t="s">
        <v>1981</v>
      </c>
      <c r="F6196" t="s">
        <v>75</v>
      </c>
      <c r="I6196" s="6">
        <v>0</v>
      </c>
      <c r="J6196" s="6">
        <v>0</v>
      </c>
      <c r="K6196" s="6">
        <v>0</v>
      </c>
      <c r="L6196" s="6">
        <v>0</v>
      </c>
      <c r="M6196" s="6">
        <v>1</v>
      </c>
      <c r="N6196" s="6">
        <v>0</v>
      </c>
      <c r="O6196" s="6">
        <v>0</v>
      </c>
      <c r="P6196" s="6">
        <v>1</v>
      </c>
      <c r="Q6196">
        <v>1</v>
      </c>
      <c r="R6196">
        <f t="shared" si="480"/>
        <v>0</v>
      </c>
      <c r="S6196">
        <f t="shared" si="481"/>
        <v>1</v>
      </c>
      <c r="T6196">
        <f t="shared" si="482"/>
        <v>2</v>
      </c>
      <c r="U6196">
        <f t="shared" si="483"/>
        <v>1</v>
      </c>
      <c r="V6196">
        <f t="shared" si="484"/>
        <v>0</v>
      </c>
    </row>
    <row r="6197" spans="1:22" x14ac:dyDescent="0.25">
      <c r="A6197">
        <v>6194</v>
      </c>
      <c r="B6197" t="s">
        <v>40</v>
      </c>
      <c r="C6197" t="s">
        <v>1755</v>
      </c>
      <c r="D6197" s="4">
        <v>45476</v>
      </c>
      <c r="E6197" t="s">
        <v>1783</v>
      </c>
      <c r="F6197" t="s">
        <v>75</v>
      </c>
      <c r="I6197" s="6"/>
      <c r="J6197" s="6"/>
      <c r="K6197" s="6"/>
      <c r="L6197" s="6"/>
      <c r="M6197" s="6"/>
      <c r="N6197" s="6"/>
      <c r="O6197" s="6"/>
      <c r="P6197" s="6"/>
      <c r="Q6197">
        <v>0</v>
      </c>
      <c r="R6197">
        <f t="shared" si="480"/>
        <v>0</v>
      </c>
      <c r="S6197">
        <f t="shared" si="481"/>
        <v>0</v>
      </c>
      <c r="T6197">
        <f t="shared" si="482"/>
        <v>0</v>
      </c>
      <c r="U6197">
        <f t="shared" si="483"/>
        <v>0</v>
      </c>
      <c r="V6197">
        <f t="shared" si="484"/>
        <v>0</v>
      </c>
    </row>
    <row r="6198" spans="1:22" x14ac:dyDescent="0.25">
      <c r="A6198">
        <v>6195</v>
      </c>
      <c r="B6198" t="s">
        <v>40</v>
      </c>
      <c r="C6198" t="s">
        <v>1755</v>
      </c>
      <c r="D6198" s="4">
        <v>45476</v>
      </c>
      <c r="E6198" t="s">
        <v>1784</v>
      </c>
      <c r="F6198" t="s">
        <v>75</v>
      </c>
      <c r="I6198" s="6">
        <v>0</v>
      </c>
      <c r="J6198" s="6">
        <v>0</v>
      </c>
      <c r="K6198" s="6">
        <v>0</v>
      </c>
      <c r="L6198" s="6">
        <v>0</v>
      </c>
      <c r="M6198" s="6">
        <v>0</v>
      </c>
      <c r="N6198" s="6">
        <v>0</v>
      </c>
      <c r="O6198" s="6">
        <v>0</v>
      </c>
      <c r="P6198" s="6">
        <v>0</v>
      </c>
      <c r="Q6198">
        <v>1</v>
      </c>
      <c r="R6198">
        <f t="shared" si="480"/>
        <v>0</v>
      </c>
      <c r="S6198">
        <f t="shared" si="481"/>
        <v>1</v>
      </c>
      <c r="T6198">
        <f t="shared" si="482"/>
        <v>0</v>
      </c>
      <c r="U6198">
        <f t="shared" si="483"/>
        <v>0</v>
      </c>
      <c r="V6198">
        <f t="shared" si="484"/>
        <v>0</v>
      </c>
    </row>
    <row r="6199" spans="1:22" x14ac:dyDescent="0.25">
      <c r="A6199">
        <v>6196</v>
      </c>
      <c r="B6199" t="s">
        <v>40</v>
      </c>
      <c r="C6199" t="s">
        <v>1755</v>
      </c>
      <c r="D6199" s="4">
        <v>45476</v>
      </c>
      <c r="E6199" t="s">
        <v>1980</v>
      </c>
      <c r="F6199" t="s">
        <v>75</v>
      </c>
      <c r="I6199" s="6">
        <v>0</v>
      </c>
      <c r="J6199" s="6">
        <v>0</v>
      </c>
      <c r="K6199" s="6">
        <v>0</v>
      </c>
      <c r="L6199" s="6">
        <v>0</v>
      </c>
      <c r="M6199" s="6">
        <v>0</v>
      </c>
      <c r="N6199" s="6">
        <v>0</v>
      </c>
      <c r="O6199" s="6">
        <v>0</v>
      </c>
      <c r="P6199" s="6">
        <v>0</v>
      </c>
      <c r="Q6199">
        <v>1</v>
      </c>
      <c r="R6199">
        <f t="shared" si="480"/>
        <v>0</v>
      </c>
      <c r="S6199">
        <f t="shared" si="481"/>
        <v>1</v>
      </c>
      <c r="T6199">
        <f t="shared" si="482"/>
        <v>0</v>
      </c>
      <c r="U6199">
        <f t="shared" si="483"/>
        <v>0</v>
      </c>
      <c r="V6199">
        <f t="shared" si="484"/>
        <v>0</v>
      </c>
    </row>
    <row r="6200" spans="1:22" x14ac:dyDescent="0.25">
      <c r="A6200">
        <v>6197</v>
      </c>
      <c r="B6200" t="s">
        <v>40</v>
      </c>
      <c r="C6200" t="s">
        <v>1755</v>
      </c>
      <c r="D6200" s="4">
        <v>45477</v>
      </c>
      <c r="E6200" t="s">
        <v>1785</v>
      </c>
      <c r="F6200" t="s">
        <v>75</v>
      </c>
      <c r="I6200" s="6">
        <v>1</v>
      </c>
      <c r="J6200" s="6">
        <v>0</v>
      </c>
      <c r="K6200" s="6">
        <v>0</v>
      </c>
      <c r="L6200" s="6">
        <v>0</v>
      </c>
      <c r="M6200" s="6">
        <v>1</v>
      </c>
      <c r="N6200" s="6">
        <v>0</v>
      </c>
      <c r="O6200" s="6">
        <v>0</v>
      </c>
      <c r="P6200" s="6">
        <v>0</v>
      </c>
      <c r="Q6200">
        <v>1</v>
      </c>
      <c r="R6200">
        <f t="shared" si="480"/>
        <v>0</v>
      </c>
      <c r="S6200">
        <f t="shared" si="481"/>
        <v>1</v>
      </c>
      <c r="T6200">
        <f t="shared" si="482"/>
        <v>2</v>
      </c>
      <c r="U6200">
        <f t="shared" si="483"/>
        <v>1</v>
      </c>
      <c r="V6200">
        <f t="shared" si="484"/>
        <v>0</v>
      </c>
    </row>
    <row r="6201" spans="1:22" x14ac:dyDescent="0.25">
      <c r="A6201">
        <v>6198</v>
      </c>
      <c r="B6201" t="s">
        <v>40</v>
      </c>
      <c r="C6201" t="s">
        <v>1755</v>
      </c>
      <c r="D6201" s="4">
        <v>45477</v>
      </c>
      <c r="E6201" t="s">
        <v>1786</v>
      </c>
      <c r="F6201" t="s">
        <v>75</v>
      </c>
      <c r="I6201" s="6">
        <v>0</v>
      </c>
      <c r="J6201" s="6">
        <v>0</v>
      </c>
      <c r="K6201" s="6">
        <v>0</v>
      </c>
      <c r="L6201" s="6">
        <v>0</v>
      </c>
      <c r="M6201" s="6">
        <v>0</v>
      </c>
      <c r="N6201" s="6">
        <v>0</v>
      </c>
      <c r="O6201" s="6">
        <v>0</v>
      </c>
      <c r="P6201" s="6">
        <v>0</v>
      </c>
      <c r="Q6201">
        <v>1</v>
      </c>
      <c r="R6201">
        <f t="shared" si="480"/>
        <v>0</v>
      </c>
      <c r="S6201">
        <f t="shared" si="481"/>
        <v>1</v>
      </c>
      <c r="T6201">
        <f t="shared" si="482"/>
        <v>0</v>
      </c>
      <c r="U6201">
        <f t="shared" si="483"/>
        <v>0</v>
      </c>
      <c r="V6201">
        <f t="shared" si="484"/>
        <v>0</v>
      </c>
    </row>
    <row r="6202" spans="1:22" x14ac:dyDescent="0.25">
      <c r="A6202">
        <v>6199</v>
      </c>
      <c r="B6202" t="s">
        <v>40</v>
      </c>
      <c r="C6202" t="s">
        <v>1755</v>
      </c>
      <c r="D6202" s="4">
        <v>45477</v>
      </c>
      <c r="E6202" t="s">
        <v>1787</v>
      </c>
      <c r="F6202" t="s">
        <v>75</v>
      </c>
      <c r="I6202" s="6">
        <v>0</v>
      </c>
      <c r="J6202" s="6">
        <v>0</v>
      </c>
      <c r="K6202" s="6">
        <v>0</v>
      </c>
      <c r="L6202" s="6">
        <v>0</v>
      </c>
      <c r="M6202" s="6">
        <v>0</v>
      </c>
      <c r="N6202" s="6">
        <v>0</v>
      </c>
      <c r="O6202" s="6">
        <v>0</v>
      </c>
      <c r="P6202" s="6">
        <v>0</v>
      </c>
      <c r="Q6202">
        <v>1</v>
      </c>
      <c r="R6202">
        <f t="shared" si="480"/>
        <v>0</v>
      </c>
      <c r="S6202">
        <f t="shared" si="481"/>
        <v>1</v>
      </c>
      <c r="T6202">
        <f t="shared" si="482"/>
        <v>0</v>
      </c>
      <c r="U6202">
        <f t="shared" si="483"/>
        <v>0</v>
      </c>
      <c r="V6202">
        <f t="shared" si="484"/>
        <v>0</v>
      </c>
    </row>
    <row r="6203" spans="1:22" x14ac:dyDescent="0.25">
      <c r="A6203">
        <v>6200</v>
      </c>
      <c r="B6203" t="s">
        <v>40</v>
      </c>
      <c r="C6203" t="s">
        <v>1755</v>
      </c>
      <c r="D6203" s="4">
        <v>45477</v>
      </c>
      <c r="E6203" t="s">
        <v>1447</v>
      </c>
      <c r="F6203" t="s">
        <v>75</v>
      </c>
      <c r="I6203" s="6"/>
      <c r="J6203" s="6"/>
      <c r="K6203" s="6"/>
      <c r="L6203" s="6"/>
      <c r="M6203" s="6"/>
      <c r="N6203" s="6"/>
      <c r="O6203" s="6"/>
      <c r="P6203" s="6"/>
      <c r="Q6203">
        <v>0</v>
      </c>
      <c r="R6203">
        <f t="shared" si="480"/>
        <v>0</v>
      </c>
      <c r="S6203">
        <f t="shared" si="481"/>
        <v>0</v>
      </c>
      <c r="T6203">
        <f t="shared" si="482"/>
        <v>0</v>
      </c>
      <c r="U6203">
        <f t="shared" si="483"/>
        <v>0</v>
      </c>
      <c r="V6203">
        <f t="shared" si="484"/>
        <v>0</v>
      </c>
    </row>
    <row r="6204" spans="1:22" x14ac:dyDescent="0.25">
      <c r="A6204">
        <v>6201</v>
      </c>
      <c r="B6204" t="s">
        <v>40</v>
      </c>
      <c r="C6204" t="s">
        <v>1755</v>
      </c>
      <c r="D6204" s="4">
        <v>45477</v>
      </c>
      <c r="E6204" t="s">
        <v>1788</v>
      </c>
      <c r="F6204" t="s">
        <v>75</v>
      </c>
      <c r="I6204" s="6"/>
      <c r="J6204" s="6"/>
      <c r="K6204" s="6"/>
      <c r="L6204" s="6"/>
      <c r="M6204" s="6"/>
      <c r="N6204" s="6"/>
      <c r="O6204" s="6"/>
      <c r="P6204" s="6"/>
      <c r="Q6204">
        <v>0</v>
      </c>
      <c r="R6204">
        <f t="shared" si="480"/>
        <v>0</v>
      </c>
      <c r="S6204">
        <f t="shared" si="481"/>
        <v>0</v>
      </c>
      <c r="T6204">
        <f t="shared" si="482"/>
        <v>0</v>
      </c>
      <c r="U6204">
        <f t="shared" si="483"/>
        <v>0</v>
      </c>
      <c r="V6204">
        <f t="shared" si="484"/>
        <v>0</v>
      </c>
    </row>
    <row r="6205" spans="1:22" x14ac:dyDescent="0.25">
      <c r="A6205">
        <v>6202</v>
      </c>
      <c r="B6205" t="s">
        <v>40</v>
      </c>
      <c r="C6205" t="s">
        <v>1755</v>
      </c>
      <c r="D6205" s="4">
        <v>45477</v>
      </c>
      <c r="E6205" t="s">
        <v>1789</v>
      </c>
      <c r="F6205" t="s">
        <v>75</v>
      </c>
      <c r="I6205" s="6">
        <v>0</v>
      </c>
      <c r="J6205" s="6">
        <v>0</v>
      </c>
      <c r="K6205" s="6">
        <v>0</v>
      </c>
      <c r="L6205" s="6">
        <v>0</v>
      </c>
      <c r="M6205" s="6">
        <v>0</v>
      </c>
      <c r="N6205" s="6">
        <v>0</v>
      </c>
      <c r="O6205" s="6">
        <v>0</v>
      </c>
      <c r="P6205" s="6">
        <v>0</v>
      </c>
      <c r="Q6205">
        <v>1</v>
      </c>
      <c r="R6205">
        <f t="shared" si="480"/>
        <v>0</v>
      </c>
      <c r="S6205">
        <f t="shared" si="481"/>
        <v>1</v>
      </c>
      <c r="T6205">
        <f t="shared" si="482"/>
        <v>0</v>
      </c>
      <c r="U6205">
        <f t="shared" si="483"/>
        <v>0</v>
      </c>
      <c r="V6205">
        <f t="shared" si="484"/>
        <v>0</v>
      </c>
    </row>
    <row r="6206" spans="1:22" x14ac:dyDescent="0.25">
      <c r="A6206">
        <v>6203</v>
      </c>
      <c r="B6206" t="s">
        <v>40</v>
      </c>
      <c r="C6206" t="s">
        <v>1755</v>
      </c>
      <c r="D6206" s="4">
        <v>45477</v>
      </c>
      <c r="E6206" t="s">
        <v>1790</v>
      </c>
      <c r="F6206" t="s">
        <v>75</v>
      </c>
      <c r="I6206" s="6"/>
      <c r="J6206" s="6"/>
      <c r="K6206" s="6"/>
      <c r="L6206" s="6"/>
      <c r="M6206" s="6"/>
      <c r="N6206" s="6"/>
      <c r="O6206" s="6"/>
      <c r="P6206" s="6"/>
      <c r="Q6206">
        <v>0</v>
      </c>
      <c r="R6206">
        <f t="shared" si="480"/>
        <v>0</v>
      </c>
      <c r="S6206">
        <f t="shared" si="481"/>
        <v>0</v>
      </c>
      <c r="T6206">
        <f t="shared" si="482"/>
        <v>0</v>
      </c>
      <c r="U6206">
        <f t="shared" si="483"/>
        <v>0</v>
      </c>
      <c r="V6206">
        <f t="shared" si="484"/>
        <v>0</v>
      </c>
    </row>
    <row r="6207" spans="1:22" x14ac:dyDescent="0.25">
      <c r="A6207">
        <v>6204</v>
      </c>
      <c r="B6207" t="s">
        <v>40</v>
      </c>
      <c r="C6207" t="s">
        <v>1755</v>
      </c>
      <c r="D6207" s="4">
        <v>45477</v>
      </c>
      <c r="E6207" t="s">
        <v>1848</v>
      </c>
      <c r="F6207" t="s">
        <v>75</v>
      </c>
      <c r="H6207" t="s">
        <v>1817</v>
      </c>
      <c r="I6207" s="6">
        <v>1</v>
      </c>
      <c r="J6207" s="6">
        <v>0</v>
      </c>
      <c r="K6207" s="6">
        <v>0</v>
      </c>
      <c r="L6207" s="6">
        <v>0</v>
      </c>
      <c r="M6207" s="6">
        <v>1</v>
      </c>
      <c r="N6207" s="6">
        <v>0</v>
      </c>
      <c r="O6207" s="6">
        <v>0</v>
      </c>
      <c r="P6207" s="6">
        <v>0</v>
      </c>
      <c r="Q6207">
        <v>1</v>
      </c>
      <c r="R6207">
        <f t="shared" si="480"/>
        <v>0</v>
      </c>
      <c r="S6207">
        <f t="shared" si="481"/>
        <v>1</v>
      </c>
      <c r="T6207">
        <f t="shared" si="482"/>
        <v>2</v>
      </c>
      <c r="U6207">
        <f t="shared" si="483"/>
        <v>1</v>
      </c>
      <c r="V6207">
        <f t="shared" si="484"/>
        <v>0</v>
      </c>
    </row>
    <row r="6208" spans="1:22" x14ac:dyDescent="0.25">
      <c r="A6208">
        <v>6205</v>
      </c>
      <c r="B6208" t="s">
        <v>40</v>
      </c>
      <c r="C6208" t="s">
        <v>1755</v>
      </c>
      <c r="D6208" s="4">
        <v>45477</v>
      </c>
      <c r="E6208" t="s">
        <v>1849</v>
      </c>
      <c r="F6208" t="s">
        <v>75</v>
      </c>
      <c r="I6208" s="6">
        <v>0</v>
      </c>
      <c r="J6208" s="6">
        <v>0</v>
      </c>
      <c r="K6208" s="6">
        <v>0</v>
      </c>
      <c r="L6208" s="6">
        <v>0</v>
      </c>
      <c r="M6208" s="6">
        <v>0</v>
      </c>
      <c r="N6208" s="6">
        <v>0</v>
      </c>
      <c r="O6208" s="6">
        <v>0</v>
      </c>
      <c r="P6208" s="6">
        <v>0</v>
      </c>
      <c r="Q6208">
        <v>1</v>
      </c>
      <c r="R6208">
        <f t="shared" si="480"/>
        <v>0</v>
      </c>
      <c r="S6208">
        <f t="shared" si="481"/>
        <v>1</v>
      </c>
      <c r="T6208">
        <f t="shared" si="482"/>
        <v>0</v>
      </c>
      <c r="U6208">
        <f t="shared" si="483"/>
        <v>0</v>
      </c>
      <c r="V6208">
        <f t="shared" si="484"/>
        <v>0</v>
      </c>
    </row>
  </sheetData>
  <mergeCells count="4">
    <mergeCell ref="A1:E1"/>
    <mergeCell ref="F1:H1"/>
    <mergeCell ref="I1:P1"/>
    <mergeCell ref="R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9A1C-38EC-48EE-9CD1-9BC5B9DDC715}">
  <sheetPr>
    <tabColor rgb="FF1F4E79"/>
  </sheetPr>
  <dimension ref="A1:R133"/>
  <sheetViews>
    <sheetView showGridLines="0" tabSelected="1" topLeftCell="A104" zoomScale="70" zoomScaleNormal="70" workbookViewId="0">
      <selection activeCell="I155" sqref="I155"/>
    </sheetView>
  </sheetViews>
  <sheetFormatPr defaultRowHeight="15" x14ac:dyDescent="0.25"/>
  <cols>
    <col min="1" max="1" width="39.7109375" customWidth="1"/>
    <col min="2" max="2" width="32" customWidth="1"/>
    <col min="3" max="3" width="30.140625" customWidth="1"/>
    <col min="4" max="4" width="29.85546875" customWidth="1"/>
    <col min="5" max="5" width="14.140625" customWidth="1"/>
    <col min="6" max="6" width="11" customWidth="1"/>
    <col min="7" max="9" width="10.140625" customWidth="1"/>
    <col min="10" max="10" width="9" customWidth="1"/>
    <col min="11" max="11" width="10.140625" customWidth="1"/>
    <col min="12" max="12" width="13" customWidth="1"/>
    <col min="13" max="13" width="12" customWidth="1"/>
    <col min="14" max="14" width="9" customWidth="1"/>
    <col min="15" max="15" width="8" customWidth="1"/>
    <col min="16" max="18" width="9.140625" customWidth="1"/>
  </cols>
  <sheetData>
    <row r="1" spans="1:18" ht="15.6" customHeight="1" x14ac:dyDescent="0.25">
      <c r="A1" s="107" t="s">
        <v>1850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ht="27.95" customHeight="1" x14ac:dyDescent="0.25">
      <c r="A2" s="106" t="s">
        <v>3833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8" ht="15" customHeight="1" x14ac:dyDescent="0.25"/>
    <row r="4" spans="1:18" ht="15" customHeight="1" x14ac:dyDescent="0.25">
      <c r="A4" s="70" t="s">
        <v>1851</v>
      </c>
      <c r="B4" s="7">
        <f>SUMPRODUCT(is_ai)</f>
        <v>217</v>
      </c>
    </row>
    <row r="5" spans="1:18" ht="15" customHeight="1" x14ac:dyDescent="0.25">
      <c r="A5" s="70" t="s">
        <v>1852</v>
      </c>
      <c r="B5" s="7">
        <f>SUMPRODUCT(is_conv)</f>
        <v>3742</v>
      </c>
      <c r="P5" t="s">
        <v>3834</v>
      </c>
    </row>
    <row r="6" spans="1:18" ht="15" customHeight="1" x14ac:dyDescent="0.25"/>
    <row r="7" spans="1:18" ht="26.25" customHeight="1" x14ac:dyDescent="0.25">
      <c r="A7" s="9" t="s">
        <v>46</v>
      </c>
      <c r="B7" s="10" t="s">
        <v>2</v>
      </c>
      <c r="C7" s="10" t="s">
        <v>1853</v>
      </c>
      <c r="D7" s="10" t="s">
        <v>1854</v>
      </c>
      <c r="E7" s="10" t="s">
        <v>1855</v>
      </c>
      <c r="F7" s="10" t="s">
        <v>1856</v>
      </c>
      <c r="G7" s="10" t="s">
        <v>1857</v>
      </c>
      <c r="H7" s="10" t="s">
        <v>1858</v>
      </c>
      <c r="I7" s="10" t="s">
        <v>3676</v>
      </c>
      <c r="J7" s="71" t="s">
        <v>1859</v>
      </c>
      <c r="K7" s="10" t="s">
        <v>1860</v>
      </c>
      <c r="L7" s="10" t="s">
        <v>1861</v>
      </c>
      <c r="M7" s="10" t="s">
        <v>1862</v>
      </c>
      <c r="N7" s="10" t="s">
        <v>1863</v>
      </c>
      <c r="P7" s="10" t="s">
        <v>3793</v>
      </c>
      <c r="Q7" s="10" t="s">
        <v>3794</v>
      </c>
    </row>
    <row r="8" spans="1:18" ht="15" customHeight="1" x14ac:dyDescent="0.25">
      <c r="A8" s="13" t="s">
        <v>47</v>
      </c>
      <c r="B8" s="7" t="str">
        <f>README!$B$45</f>
        <v>Immigration</v>
      </c>
      <c r="C8" s="7">
        <f>SUMPRODUCT(is_ai,T_IMM)</f>
        <v>79</v>
      </c>
      <c r="D8" s="7">
        <f>SUMPRODUCT(is_conv,T_IMM)</f>
        <v>832</v>
      </c>
      <c r="E8" s="72">
        <f t="shared" ref="E8:E15" si="0">IF($B$4&gt;0,C8/$B$4,0)</f>
        <v>0.36405529953917048</v>
      </c>
      <c r="F8" s="72">
        <f t="shared" ref="F8:F15" si="1">IF($B$5&gt;0,D8/$B$5,0)</f>
        <v>0.22234099412079103</v>
      </c>
      <c r="G8" s="16">
        <f t="shared" ref="G8:G15" si="2">(E8-F8)*100</f>
        <v>14.171430541837946</v>
      </c>
      <c r="H8" s="17">
        <f t="shared" ref="H8:H15" si="3">IF(F8&gt;0,E8/F8,"")</f>
        <v>1.6373737149946825</v>
      </c>
      <c r="I8" s="17">
        <f t="shared" ref="I8:I15" si="4">IFERROR(($B$4+$B$5)*(C8*($B$5-D8)-($B$4-C8)*D8)^2/($B$4*$B$5*(C8+D8)*(($B$4-C8)+($B$5-D8))),"")</f>
        <v>23.251076452431821</v>
      </c>
      <c r="J8" s="53">
        <f t="shared" ref="J8:J15" si="5">IF(I8="","",_xlfn.CHISQ.DIST.RT(I8,1))</f>
        <v>1.421708506171506E-6</v>
      </c>
      <c r="K8" s="2">
        <f t="shared" ref="K8:K15" si="6">IFERROR(MIN($B$4,$B$5)*MIN(C8+D8,($B$4-C8)+($B$5-D8))/($B$4+$B$5),"")</f>
        <v>49.933569083101794</v>
      </c>
      <c r="L8" s="7" t="str">
        <f t="shared" ref="L8:L15" si="7">IF(K8="","",IF(K8&lt;5,"expected &lt; 5",""))</f>
        <v/>
      </c>
      <c r="M8" s="7">
        <f t="shared" ref="M8:M15" si="8">F8+ROW()/1000000</f>
        <v>0.22234899412079104</v>
      </c>
      <c r="N8" s="7">
        <f t="shared" ref="N8:N15" si="9">RANK(M8,$M$8:$M$15,0)</f>
        <v>3</v>
      </c>
      <c r="P8" s="72">
        <f>SUMPRODUCT(COUNTIFS(acct,acc_tbl,is_conv,1,T_IMM,1)/COUNTIFS(acct,acc_tbl,is_conv,1),COUNTIFS(acct,acc_tbl,is_ai,1))/$B$4</f>
        <v>0.24873130060977861</v>
      </c>
      <c r="Q8" s="16">
        <f t="shared" ref="Q8:Q15" si="10">(E8-P8)*100</f>
        <v>11.532399892939187</v>
      </c>
    </row>
    <row r="9" spans="1:18" ht="15" customHeight="1" x14ac:dyDescent="0.25">
      <c r="A9" s="13" t="s">
        <v>49</v>
      </c>
      <c r="B9" s="7" t="str">
        <f>README!$B$46</f>
        <v>Islam</v>
      </c>
      <c r="C9" s="7">
        <f>SUMPRODUCT(is_ai,T_ISL)</f>
        <v>29</v>
      </c>
      <c r="D9" s="7">
        <f>SUMPRODUCT(is_conv,T_ISL)</f>
        <v>132</v>
      </c>
      <c r="E9" s="72">
        <f t="shared" si="0"/>
        <v>0.13364055299539171</v>
      </c>
      <c r="F9" s="72">
        <f t="shared" si="1"/>
        <v>3.5275253874933188E-2</v>
      </c>
      <c r="G9" s="16">
        <f t="shared" si="2"/>
        <v>9.8365299120458527</v>
      </c>
      <c r="H9" s="17">
        <f t="shared" si="3"/>
        <v>3.7885071917329984</v>
      </c>
      <c r="I9" s="17">
        <f t="shared" si="4"/>
        <v>50.86886131931184</v>
      </c>
      <c r="J9" s="53">
        <f t="shared" si="5"/>
        <v>9.8747792799693247E-13</v>
      </c>
      <c r="K9" s="2">
        <f t="shared" si="6"/>
        <v>8.8247032078807788</v>
      </c>
      <c r="L9" s="7" t="str">
        <f t="shared" si="7"/>
        <v/>
      </c>
      <c r="M9" s="7">
        <f t="shared" si="8"/>
        <v>3.528425387493319E-2</v>
      </c>
      <c r="N9" s="7">
        <f t="shared" si="9"/>
        <v>8</v>
      </c>
      <c r="P9" s="72">
        <f>SUMPRODUCT(COUNTIFS(acct,acc_tbl,is_conv,1,T_ISL,1)/COUNTIFS(acct,acc_tbl,is_conv,1),COUNTIFS(acct,acc_tbl,is_ai,1))/$B$4</f>
        <v>4.3672602390882519E-2</v>
      </c>
      <c r="Q9" s="16">
        <f t="shared" si="10"/>
        <v>8.9967950604509177</v>
      </c>
    </row>
    <row r="10" spans="1:18" ht="15" customHeight="1" x14ac:dyDescent="0.25">
      <c r="A10" s="13" t="s">
        <v>51</v>
      </c>
      <c r="B10" s="7" t="str">
        <f>README!$B$47</f>
        <v>Crime &amp; security</v>
      </c>
      <c r="C10" s="7">
        <f>SUMPRODUCT(is_ai,T_CRI)</f>
        <v>50</v>
      </c>
      <c r="D10" s="7">
        <f>SUMPRODUCT(is_conv,T_CRI)</f>
        <v>606</v>
      </c>
      <c r="E10" s="72">
        <f t="shared" si="0"/>
        <v>0.2304147465437788</v>
      </c>
      <c r="F10" s="72">
        <f t="shared" si="1"/>
        <v>0.16194548369855691</v>
      </c>
      <c r="G10" s="16">
        <f t="shared" si="2"/>
        <v>6.8469262845221897</v>
      </c>
      <c r="H10" s="17">
        <f t="shared" si="3"/>
        <v>1.4227920487901327</v>
      </c>
      <c r="I10" s="17">
        <f t="shared" si="4"/>
        <v>6.9554928749050058</v>
      </c>
      <c r="J10" s="53">
        <f t="shared" si="5"/>
        <v>8.3562275226468034E-3</v>
      </c>
      <c r="K10" s="2">
        <f t="shared" si="6"/>
        <v>35.956554685526648</v>
      </c>
      <c r="L10" s="7" t="str">
        <f t="shared" si="7"/>
        <v/>
      </c>
      <c r="M10" s="7">
        <f t="shared" si="8"/>
        <v>0.16195548369855692</v>
      </c>
      <c r="N10" s="7">
        <f t="shared" si="9"/>
        <v>4</v>
      </c>
      <c r="P10" s="72">
        <f>SUMPRODUCT(COUNTIFS(acct,acc_tbl,is_conv,1,T_CRI,1)/COUNTIFS(acct,acc_tbl,is_conv,1),COUNTIFS(acct,acc_tbl,is_ai,1))/$B$4</f>
        <v>0.19322331417432118</v>
      </c>
      <c r="Q10" s="16">
        <f t="shared" si="10"/>
        <v>3.7191432369457629</v>
      </c>
    </row>
    <row r="11" spans="1:18" ht="15" customHeight="1" x14ac:dyDescent="0.25">
      <c r="A11" s="13" t="s">
        <v>53</v>
      </c>
      <c r="B11" s="7" t="str">
        <f>README!$B$48</f>
        <v>Sovereignty &amp; identity</v>
      </c>
      <c r="C11" s="7">
        <f>SUMPRODUCT(is_ai,T_SOV)</f>
        <v>55</v>
      </c>
      <c r="D11" s="7">
        <f>SUMPRODUCT(is_conv,T_SOV)</f>
        <v>987</v>
      </c>
      <c r="E11" s="72">
        <f t="shared" si="0"/>
        <v>0.25345622119815669</v>
      </c>
      <c r="F11" s="72">
        <f t="shared" si="1"/>
        <v>0.26376269374665956</v>
      </c>
      <c r="G11" s="16">
        <f t="shared" si="2"/>
        <v>-1.0306472548502865</v>
      </c>
      <c r="H11" s="17">
        <f t="shared" si="3"/>
        <v>0.96092520741996179</v>
      </c>
      <c r="I11" s="17">
        <f t="shared" si="4"/>
        <v>0.11234790345252117</v>
      </c>
      <c r="J11" s="53">
        <f t="shared" si="5"/>
        <v>0.73748675258099494</v>
      </c>
      <c r="K11" s="2">
        <f t="shared" si="6"/>
        <v>57.113917655973729</v>
      </c>
      <c r="L11" s="7" t="str">
        <f t="shared" si="7"/>
        <v/>
      </c>
      <c r="M11" s="7">
        <f t="shared" si="8"/>
        <v>0.26377369374665954</v>
      </c>
      <c r="N11" s="7">
        <f t="shared" si="9"/>
        <v>1</v>
      </c>
      <c r="P11" s="72">
        <f>SUMPRODUCT(COUNTIFS(acct,acc_tbl,is_conv,1,T_SOV,1)/COUNTIFS(acct,acc_tbl,is_conv,1),COUNTIFS(acct,acc_tbl,is_ai,1))/$B$4</f>
        <v>0.23533092825123339</v>
      </c>
      <c r="Q11" s="16">
        <f t="shared" si="10"/>
        <v>1.8125292946923306</v>
      </c>
    </row>
    <row r="12" spans="1:18" ht="15" customHeight="1" x14ac:dyDescent="0.25">
      <c r="A12" s="13" t="s">
        <v>55</v>
      </c>
      <c r="B12" s="7" t="str">
        <f>README!$B$49</f>
        <v>Economy &amp; services</v>
      </c>
      <c r="C12" s="7">
        <f>SUMPRODUCT(is_ai,T_ECON)</f>
        <v>68</v>
      </c>
      <c r="D12" s="7">
        <f>SUMPRODUCT(is_conv,T_ECON)</f>
        <v>943</v>
      </c>
      <c r="E12" s="72">
        <f t="shared" si="0"/>
        <v>0.31336405529953915</v>
      </c>
      <c r="F12" s="72">
        <f t="shared" si="1"/>
        <v>0.2520042757883485</v>
      </c>
      <c r="G12" s="16">
        <f t="shared" si="2"/>
        <v>6.1359779511190649</v>
      </c>
      <c r="H12" s="17">
        <f t="shared" si="3"/>
        <v>1.2434870571907479</v>
      </c>
      <c r="I12" s="17">
        <f t="shared" si="4"/>
        <v>4.0610465225129939</v>
      </c>
      <c r="J12" s="53">
        <f t="shared" si="5"/>
        <v>4.3883295201568875E-2</v>
      </c>
      <c r="K12" s="2">
        <f t="shared" si="6"/>
        <v>55.414751199797927</v>
      </c>
      <c r="L12" s="7" t="str">
        <f t="shared" si="7"/>
        <v/>
      </c>
      <c r="M12" s="7">
        <f t="shared" si="8"/>
        <v>0.25201627578834851</v>
      </c>
      <c r="N12" s="7">
        <f t="shared" si="9"/>
        <v>2</v>
      </c>
      <c r="P12" s="72">
        <f>SUMPRODUCT(COUNTIFS(acct,acc_tbl,is_conv,1,T_ECON,1)/COUNTIFS(acct,acc_tbl,is_conv,1),COUNTIFS(acct,acc_tbl,is_ai,1))/$B$4</f>
        <v>0.24888659847900929</v>
      </c>
      <c r="Q12" s="16">
        <f t="shared" si="10"/>
        <v>6.4477456820529859</v>
      </c>
    </row>
    <row r="13" spans="1:18" ht="15" customHeight="1" x14ac:dyDescent="0.25">
      <c r="A13" s="13" t="s">
        <v>57</v>
      </c>
      <c r="B13" s="7" t="str">
        <f>README!$B$50</f>
        <v>Land &amp; environment</v>
      </c>
      <c r="C13" s="7">
        <f>SUMPRODUCT(is_ai,T_LAND)</f>
        <v>33</v>
      </c>
      <c r="D13" s="7">
        <f>SUMPRODUCT(is_conv,T_LAND)</f>
        <v>441</v>
      </c>
      <c r="E13" s="72">
        <f t="shared" si="0"/>
        <v>0.15207373271889402</v>
      </c>
      <c r="F13" s="72">
        <f t="shared" si="1"/>
        <v>0.11785141635489044</v>
      </c>
      <c r="G13" s="16">
        <f t="shared" si="2"/>
        <v>3.4222316364003582</v>
      </c>
      <c r="H13" s="17">
        <f t="shared" si="3"/>
        <v>1.2903852785353773</v>
      </c>
      <c r="I13" s="17">
        <f t="shared" si="4"/>
        <v>2.2792223670039595</v>
      </c>
      <c r="J13" s="53">
        <f t="shared" si="5"/>
        <v>0.13111760057387584</v>
      </c>
      <c r="K13" s="2">
        <f t="shared" si="6"/>
        <v>25.980803233139682</v>
      </c>
      <c r="L13" s="7" t="str">
        <f t="shared" si="7"/>
        <v/>
      </c>
      <c r="M13" s="7">
        <f t="shared" si="8"/>
        <v>0.11786441635489044</v>
      </c>
      <c r="N13" s="7">
        <f t="shared" si="9"/>
        <v>5</v>
      </c>
      <c r="P13" s="72">
        <f>SUMPRODUCT(COUNTIFS(acct,acc_tbl,is_conv,1,T_LAND,1)/COUNTIFS(acct,acc_tbl,is_conv,1),COUNTIFS(acct,acc_tbl,is_ai,1))/$B$4</f>
        <v>0.15373176000408997</v>
      </c>
      <c r="Q13" s="16">
        <f t="shared" si="10"/>
        <v>-0.16580272851959565</v>
      </c>
    </row>
    <row r="14" spans="1:18" ht="15" customHeight="1" x14ac:dyDescent="0.25">
      <c r="A14" s="13" t="s">
        <v>59</v>
      </c>
      <c r="B14" s="7" t="str">
        <f>README!$B$51</f>
        <v>Gender &amp; culture</v>
      </c>
      <c r="C14" s="7">
        <f>SUMPRODUCT(is_ai,T_CULT)</f>
        <v>34</v>
      </c>
      <c r="D14" s="7">
        <f>SUMPRODUCT(is_conv,T_CULT)</f>
        <v>219</v>
      </c>
      <c r="E14" s="72">
        <f t="shared" si="0"/>
        <v>0.15668202764976957</v>
      </c>
      <c r="F14" s="72">
        <f t="shared" si="1"/>
        <v>5.8524853019775523E-2</v>
      </c>
      <c r="G14" s="16">
        <f t="shared" si="2"/>
        <v>9.8157174629994035</v>
      </c>
      <c r="H14" s="17">
        <f t="shared" si="3"/>
        <v>2.6771878879700353</v>
      </c>
      <c r="I14" s="17">
        <f t="shared" si="4"/>
        <v>33.034457629626857</v>
      </c>
      <c r="J14" s="53">
        <f t="shared" si="5"/>
        <v>9.0539932118291467E-9</v>
      </c>
      <c r="K14" s="2">
        <f t="shared" si="6"/>
        <v>13.867390755241223</v>
      </c>
      <c r="L14" s="7" t="str">
        <f t="shared" si="7"/>
        <v/>
      </c>
      <c r="M14" s="7">
        <f t="shared" si="8"/>
        <v>5.8538853019775523E-2</v>
      </c>
      <c r="N14" s="7">
        <f t="shared" si="9"/>
        <v>6</v>
      </c>
      <c r="P14" s="72">
        <f>SUMPRODUCT(COUNTIFS(acct,acc_tbl,is_conv,1,T_CULT,1)/COUNTIFS(acct,acc_tbl,is_conv,1),COUNTIFS(acct,acc_tbl,is_ai,1))/$B$4</f>
        <v>7.2717902436806023E-2</v>
      </c>
      <c r="Q14" s="16">
        <f t="shared" si="10"/>
        <v>8.3964125212963552</v>
      </c>
    </row>
    <row r="15" spans="1:18" ht="15" customHeight="1" x14ac:dyDescent="0.25">
      <c r="A15" s="14" t="s">
        <v>61</v>
      </c>
      <c r="B15" s="11" t="str">
        <f>README!$B$52</f>
        <v>Defence &amp; foreign</v>
      </c>
      <c r="C15" s="11">
        <f>SUMPRODUCT(is_ai,T_DEF)</f>
        <v>14</v>
      </c>
      <c r="D15" s="11">
        <f>SUMPRODUCT(is_conv,T_DEF)</f>
        <v>151</v>
      </c>
      <c r="E15" s="73">
        <f t="shared" si="0"/>
        <v>6.4516129032258063E-2</v>
      </c>
      <c r="F15" s="73">
        <f t="shared" si="1"/>
        <v>4.0352752538749329E-2</v>
      </c>
      <c r="G15" s="18">
        <f t="shared" si="2"/>
        <v>2.4163376493508735</v>
      </c>
      <c r="H15" s="19">
        <f t="shared" si="3"/>
        <v>1.598803674428541</v>
      </c>
      <c r="I15" s="19">
        <f t="shared" si="4"/>
        <v>2.9983545737275681</v>
      </c>
      <c r="J15" s="54">
        <f t="shared" si="5"/>
        <v>8.3349127185763039E-2</v>
      </c>
      <c r="K15" s="20">
        <f t="shared" si="6"/>
        <v>9.0439504925486229</v>
      </c>
      <c r="L15" s="11" t="str">
        <f t="shared" si="7"/>
        <v/>
      </c>
      <c r="M15" s="11">
        <f t="shared" si="8"/>
        <v>4.036775253874933E-2</v>
      </c>
      <c r="N15" s="11">
        <f t="shared" si="9"/>
        <v>7</v>
      </c>
      <c r="P15" s="72">
        <f>SUMPRODUCT(COUNTIFS(acct,acc_tbl,is_conv,1,T_DEF,1)/COUNTIFS(acct,acc_tbl,is_conv,1),COUNTIFS(acct,acc_tbl,is_ai,1))/$B$4</f>
        <v>5.2166382051661256E-2</v>
      </c>
      <c r="Q15" s="16">
        <f t="shared" si="10"/>
        <v>1.2349746980596807</v>
      </c>
    </row>
    <row r="16" spans="1:18" ht="15" customHeight="1" x14ac:dyDescent="0.25"/>
    <row r="17" spans="1:15" ht="15.6" customHeight="1" x14ac:dyDescent="0.25">
      <c r="A17" s="112" t="s">
        <v>3835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</row>
    <row r="18" spans="1:15" ht="15" customHeight="1" x14ac:dyDescent="0.25">
      <c r="A18" s="9" t="s">
        <v>1863</v>
      </c>
      <c r="B18" s="10" t="s">
        <v>2</v>
      </c>
      <c r="C18" s="10" t="s">
        <v>1864</v>
      </c>
      <c r="D18" s="10" t="s">
        <v>1865</v>
      </c>
      <c r="E18" s="10" t="s">
        <v>1857</v>
      </c>
      <c r="F18" s="71" t="s">
        <v>1859</v>
      </c>
    </row>
    <row r="19" spans="1:15" ht="15" customHeight="1" x14ac:dyDescent="0.25">
      <c r="A19" s="13">
        <v>1</v>
      </c>
      <c r="B19" s="7" t="str">
        <f t="shared" ref="B19:B26" si="11">INDEX($B$8:$B$15,MATCH(A19,$N$8:$N$15,0))</f>
        <v>Sovereignty &amp; identity</v>
      </c>
      <c r="C19" s="72">
        <f t="shared" ref="C19:C26" si="12">INDEX($F$8:$F$15,MATCH(A19,$N$8:$N$15,0))</f>
        <v>0.26376269374665956</v>
      </c>
      <c r="D19" s="72">
        <f t="shared" ref="D19:D26" si="13">INDEX($E$8:$E$15,MATCH(A19,$N$8:$N$15,0))</f>
        <v>0.25345622119815669</v>
      </c>
      <c r="E19" s="16">
        <f t="shared" ref="E19:E26" si="14">INDEX($G$8:$G$15,MATCH(A19,$N$8:$N$15,0))</f>
        <v>-1.0306472548502865</v>
      </c>
      <c r="F19" s="53">
        <f t="shared" ref="F19:F26" si="15">INDEX($J$8:$J$15,MATCH(A19,$N$8:$N$15,0))</f>
        <v>0.73748675258099494</v>
      </c>
    </row>
    <row r="20" spans="1:15" ht="15" customHeight="1" x14ac:dyDescent="0.25">
      <c r="A20" s="13">
        <v>2</v>
      </c>
      <c r="B20" s="7" t="str">
        <f t="shared" si="11"/>
        <v>Economy &amp; services</v>
      </c>
      <c r="C20" s="72">
        <f t="shared" si="12"/>
        <v>0.2520042757883485</v>
      </c>
      <c r="D20" s="72">
        <f t="shared" si="13"/>
        <v>0.31336405529953915</v>
      </c>
      <c r="E20" s="16">
        <f t="shared" si="14"/>
        <v>6.1359779511190649</v>
      </c>
      <c r="F20" s="53">
        <f t="shared" si="15"/>
        <v>4.3883295201568875E-2</v>
      </c>
    </row>
    <row r="21" spans="1:15" ht="15" customHeight="1" x14ac:dyDescent="0.25">
      <c r="A21" s="13">
        <v>3</v>
      </c>
      <c r="B21" s="7" t="str">
        <f t="shared" si="11"/>
        <v>Immigration</v>
      </c>
      <c r="C21" s="72">
        <f t="shared" si="12"/>
        <v>0.22234099412079103</v>
      </c>
      <c r="D21" s="72">
        <f t="shared" si="13"/>
        <v>0.36405529953917048</v>
      </c>
      <c r="E21" s="16">
        <f t="shared" si="14"/>
        <v>14.171430541837946</v>
      </c>
      <c r="F21" s="53">
        <f t="shared" si="15"/>
        <v>1.421708506171506E-6</v>
      </c>
    </row>
    <row r="22" spans="1:15" ht="15" customHeight="1" x14ac:dyDescent="0.25">
      <c r="A22" s="13">
        <v>4</v>
      </c>
      <c r="B22" s="7" t="str">
        <f t="shared" si="11"/>
        <v>Crime &amp; security</v>
      </c>
      <c r="C22" s="72">
        <f t="shared" si="12"/>
        <v>0.16194548369855691</v>
      </c>
      <c r="D22" s="72">
        <f t="shared" si="13"/>
        <v>0.2304147465437788</v>
      </c>
      <c r="E22" s="16">
        <f t="shared" si="14"/>
        <v>6.8469262845221897</v>
      </c>
      <c r="F22" s="53">
        <f t="shared" si="15"/>
        <v>8.3562275226468034E-3</v>
      </c>
    </row>
    <row r="23" spans="1:15" ht="15" customHeight="1" x14ac:dyDescent="0.25">
      <c r="A23" s="13">
        <v>5</v>
      </c>
      <c r="B23" s="7" t="str">
        <f t="shared" si="11"/>
        <v>Land &amp; environment</v>
      </c>
      <c r="C23" s="72">
        <f t="shared" si="12"/>
        <v>0.11785141635489044</v>
      </c>
      <c r="D23" s="72">
        <f t="shared" si="13"/>
        <v>0.15207373271889402</v>
      </c>
      <c r="E23" s="16">
        <f t="shared" si="14"/>
        <v>3.4222316364003582</v>
      </c>
      <c r="F23" s="53">
        <f t="shared" si="15"/>
        <v>0.13111760057387584</v>
      </c>
    </row>
    <row r="24" spans="1:15" ht="15" customHeight="1" x14ac:dyDescent="0.25">
      <c r="A24" s="13">
        <v>6</v>
      </c>
      <c r="B24" s="7" t="str">
        <f t="shared" si="11"/>
        <v>Gender &amp; culture</v>
      </c>
      <c r="C24" s="72">
        <f t="shared" si="12"/>
        <v>5.8524853019775523E-2</v>
      </c>
      <c r="D24" s="72">
        <f t="shared" si="13"/>
        <v>0.15668202764976957</v>
      </c>
      <c r="E24" s="16">
        <f t="shared" si="14"/>
        <v>9.8157174629994035</v>
      </c>
      <c r="F24" s="53">
        <f t="shared" si="15"/>
        <v>9.0539932118291467E-9</v>
      </c>
    </row>
    <row r="25" spans="1:15" ht="15" customHeight="1" x14ac:dyDescent="0.25">
      <c r="A25" s="13">
        <v>7</v>
      </c>
      <c r="B25" s="7" t="str">
        <f t="shared" si="11"/>
        <v>Defence &amp; foreign</v>
      </c>
      <c r="C25" s="72">
        <f t="shared" si="12"/>
        <v>4.0352752538749329E-2</v>
      </c>
      <c r="D25" s="72">
        <f t="shared" si="13"/>
        <v>6.4516129032258063E-2</v>
      </c>
      <c r="E25" s="16">
        <f t="shared" si="14"/>
        <v>2.4163376493508735</v>
      </c>
      <c r="F25" s="53">
        <f t="shared" si="15"/>
        <v>8.3349127185763039E-2</v>
      </c>
    </row>
    <row r="26" spans="1:15" ht="15" customHeight="1" x14ac:dyDescent="0.25">
      <c r="A26" s="14">
        <v>8</v>
      </c>
      <c r="B26" s="11" t="str">
        <f t="shared" si="11"/>
        <v>Islam</v>
      </c>
      <c r="C26" s="73">
        <f t="shared" si="12"/>
        <v>3.5275253874933188E-2</v>
      </c>
      <c r="D26" s="73">
        <f t="shared" si="13"/>
        <v>0.13364055299539171</v>
      </c>
      <c r="E26" s="18">
        <f t="shared" si="14"/>
        <v>9.8365299120458527</v>
      </c>
      <c r="F26" s="54">
        <f t="shared" si="15"/>
        <v>9.8747792799693247E-13</v>
      </c>
    </row>
    <row r="29" spans="1:15" ht="27.95" customHeight="1" x14ac:dyDescent="0.25">
      <c r="A29" s="111" t="s">
        <v>3679</v>
      </c>
      <c r="B29" s="111"/>
      <c r="C29" s="111"/>
      <c r="D29" s="111"/>
      <c r="E29" s="111"/>
      <c r="F29" s="111"/>
      <c r="G29" s="111"/>
      <c r="H29" s="111"/>
      <c r="I29" s="111"/>
      <c r="J29" s="111"/>
    </row>
    <row r="30" spans="1:15" ht="53.1" customHeight="1" x14ac:dyDescent="0.25">
      <c r="A30" s="106" t="s">
        <v>3836</v>
      </c>
      <c r="B30" s="106"/>
      <c r="C30" s="106"/>
      <c r="D30" s="106"/>
      <c r="E30" s="106"/>
      <c r="F30" s="106"/>
      <c r="G30" s="106"/>
      <c r="H30" s="106"/>
      <c r="I30" s="106"/>
      <c r="J30" s="106"/>
    </row>
    <row r="31" spans="1:15" ht="40.5" customHeight="1" x14ac:dyDescent="0.25">
      <c r="A31" s="106"/>
      <c r="B31" s="106"/>
      <c r="C31" s="106"/>
      <c r="D31" s="106"/>
      <c r="E31" s="106"/>
      <c r="F31" s="106"/>
      <c r="G31" s="106"/>
      <c r="H31" s="106"/>
      <c r="I31" s="106"/>
      <c r="J31" s="106"/>
    </row>
    <row r="32" spans="1:15" ht="27.95" customHeight="1" x14ac:dyDescent="0.25">
      <c r="A32" s="106" t="s">
        <v>3837</v>
      </c>
      <c r="B32" s="106"/>
      <c r="C32" s="106"/>
      <c r="D32" s="106"/>
      <c r="E32" s="106"/>
      <c r="F32" s="106"/>
      <c r="G32" s="106"/>
      <c r="H32" s="106"/>
      <c r="I32" s="106"/>
      <c r="J32" s="106"/>
    </row>
    <row r="33" spans="1:13" ht="27.95" customHeight="1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</row>
    <row r="34" spans="1:13" ht="15" customHeight="1" x14ac:dyDescent="0.25">
      <c r="A34" s="106"/>
      <c r="B34" s="106"/>
      <c r="C34" s="106"/>
      <c r="D34" s="106"/>
      <c r="E34" s="106"/>
      <c r="F34" s="106"/>
      <c r="G34" s="106"/>
      <c r="H34" s="106"/>
      <c r="I34" s="106"/>
      <c r="J34" s="106"/>
    </row>
    <row r="35" spans="1:13" ht="12" customHeight="1" x14ac:dyDescent="0.25"/>
    <row r="36" spans="1:13" x14ac:dyDescent="0.25">
      <c r="A36" s="37" t="s">
        <v>3838</v>
      </c>
    </row>
    <row r="37" spans="1:13" x14ac:dyDescent="0.25">
      <c r="A37" s="9" t="s">
        <v>1868</v>
      </c>
      <c r="B37" s="10" t="s">
        <v>1891</v>
      </c>
      <c r="C37" s="10" t="s">
        <v>1890</v>
      </c>
      <c r="D37" s="10" t="s">
        <v>1889</v>
      </c>
      <c r="E37" s="10" t="s">
        <v>1888</v>
      </c>
      <c r="F37" t="s">
        <v>3795</v>
      </c>
    </row>
    <row r="38" spans="1:13" x14ac:dyDescent="0.25">
      <c r="A38" s="13" t="s">
        <v>1887</v>
      </c>
      <c r="B38" s="7">
        <f>SUMPRODUCT(Posts!$V$3:$V$6208)</f>
        <v>217</v>
      </c>
      <c r="C38" s="7">
        <f>SUMPRODUCT(Posts!$V$3:$V$6208,1-Posts!$U$3:$U$6208)</f>
        <v>27</v>
      </c>
      <c r="D38" s="72">
        <f>C38/B38</f>
        <v>0.12442396313364056</v>
      </c>
      <c r="E38" s="7">
        <f>SUMPRODUCT(Posts!$V$3:$V$6208,Posts!$U$3:$U$6208)</f>
        <v>190</v>
      </c>
    </row>
    <row r="39" spans="1:13" x14ac:dyDescent="0.25">
      <c r="A39" s="14" t="s">
        <v>1886</v>
      </c>
      <c r="B39" s="11">
        <f>SUMPRODUCT(Posts!$S$3:$S$6208)</f>
        <v>3742</v>
      </c>
      <c r="C39" s="11">
        <f>SUMPRODUCT(Posts!$S$3:$S$6208,1-Posts!$U$3:$U$6208)</f>
        <v>1281</v>
      </c>
      <c r="D39" s="73">
        <f>C39/B39</f>
        <v>0.34233030464991981</v>
      </c>
      <c r="E39" s="11">
        <f>SUMPRODUCT(Posts!$S$3:$S$6208,Posts!$U$3:$U$6208)</f>
        <v>2461</v>
      </c>
      <c r="F39" s="73">
        <f>SUMPRODUCT(COUNTIFS(acct,acc_tbl,is_conv,1,topical,0)/COUNTIFS(acct,acc_tbl,is_conv,1),COUNTIFS(acct,acc_tbl,ai_full,1))/$B$38</f>
        <v>0.29232879578258147</v>
      </c>
    </row>
    <row r="41" spans="1:13" x14ac:dyDescent="0.25">
      <c r="A41" s="7" t="s">
        <v>3676</v>
      </c>
      <c r="B41" s="17">
        <f>(B38+B39)*(C38*(B39-C39)-(B38-C38)*C39)^2/(B38*B39*(C38+C39)*(B38+B39-C38-C39))</f>
        <v>44.022153683393519</v>
      </c>
    </row>
    <row r="42" spans="1:13" x14ac:dyDescent="0.25">
      <c r="A42" s="82" t="s">
        <v>1859</v>
      </c>
      <c r="B42" s="53">
        <f>_xlfn.CHISQ.DIST.RT(B41,1)</f>
        <v>3.2468019289595389E-11</v>
      </c>
    </row>
    <row r="45" spans="1:13" ht="15.6" customHeight="1" x14ac:dyDescent="0.25">
      <c r="A45" s="109" t="s">
        <v>3839</v>
      </c>
      <c r="B45" s="109"/>
      <c r="C45" s="109"/>
      <c r="D45" s="109"/>
      <c r="E45" s="109"/>
      <c r="F45" s="109"/>
      <c r="G45" s="109"/>
      <c r="H45" s="109"/>
      <c r="I45" s="109"/>
      <c r="J45" s="109"/>
    </row>
    <row r="46" spans="1:13" ht="26.25" x14ac:dyDescent="0.25">
      <c r="A46" s="9" t="s">
        <v>46</v>
      </c>
      <c r="B46" s="10" t="s">
        <v>2</v>
      </c>
      <c r="C46" s="10" t="s">
        <v>1853</v>
      </c>
      <c r="D46" s="10" t="s">
        <v>1854</v>
      </c>
      <c r="E46" s="10" t="s">
        <v>1855</v>
      </c>
      <c r="F46" s="10" t="s">
        <v>1856</v>
      </c>
      <c r="G46" s="10" t="s">
        <v>1857</v>
      </c>
      <c r="H46" s="10" t="s">
        <v>1858</v>
      </c>
      <c r="I46" s="10" t="s">
        <v>3676</v>
      </c>
      <c r="J46" s="71" t="s">
        <v>1859</v>
      </c>
      <c r="L46" t="s">
        <v>3793</v>
      </c>
      <c r="M46" t="s">
        <v>3794</v>
      </c>
    </row>
    <row r="47" spans="1:13" x14ac:dyDescent="0.25">
      <c r="A47" s="13" t="s">
        <v>47</v>
      </c>
      <c r="B47" s="7" t="s">
        <v>48</v>
      </c>
      <c r="C47" s="7">
        <f>SUMPRODUCT(Posts!$V$3:$V$6208,Posts!$U$3:$U$6208,Posts!$I$3:$I$6208)</f>
        <v>79</v>
      </c>
      <c r="D47" s="7">
        <f>SUMPRODUCT(Posts!$S$3:$S$6208,Posts!$U$3:$U$6208,Posts!$I$3:$I$6208)</f>
        <v>832</v>
      </c>
      <c r="E47" s="72">
        <f t="shared" ref="E47:E54" si="16">C47/$E$38</f>
        <v>0.41578947368421054</v>
      </c>
      <c r="F47" s="72">
        <f t="shared" ref="F47:F54" si="17">D47/$E$39</f>
        <v>0.33807395367736692</v>
      </c>
      <c r="G47" s="2">
        <f t="shared" ref="G47:G54" si="18">(E47-F47)*100</f>
        <v>7.7715520006843617</v>
      </c>
      <c r="H47" s="17">
        <f t="shared" ref="H47:H54" si="19">E47/F47</f>
        <v>1.2298772773279352</v>
      </c>
      <c r="I47" s="7">
        <f t="shared" ref="I47:I54" si="20">($E$38+$E$39)*(C47*($E$39-D47)-($E$38-C47)*D47)^2/($E$38*$E$39*(C47+D47)*($E$38+$E$39-C47-D47))</f>
        <v>4.7230531374721201</v>
      </c>
      <c r="J47" s="53">
        <f t="shared" ref="J47:J54" si="21">_xlfn.CHISQ.DIST.RT(I47,1)</f>
        <v>2.976085615618005E-2</v>
      </c>
      <c r="L47" s="72">
        <f>SUMPRODUCT(COUNTIFS(acct,acc_tbl,is_conv,1,topical,1,T_IMM,1)/COUNTIFS(acct,acc_tbl,is_conv,1,topical,1),COUNTIFS(acct,acc_tbl,ai_full,1,topical,1))/$E$38</f>
        <v>0.34084381018490478</v>
      </c>
      <c r="M47" s="2">
        <f t="shared" ref="M47:M54" si="22">(E47-L47)*100</f>
        <v>7.4945663499305759</v>
      </c>
    </row>
    <row r="48" spans="1:13" x14ac:dyDescent="0.25">
      <c r="A48" s="13" t="s">
        <v>49</v>
      </c>
      <c r="B48" s="7" t="s">
        <v>50</v>
      </c>
      <c r="C48" s="7">
        <f>SUMPRODUCT(Posts!$V$3:$V$6208,Posts!$U$3:$U$6208,Posts!$J$3:$J$6208)</f>
        <v>29</v>
      </c>
      <c r="D48" s="7">
        <f>SUMPRODUCT(Posts!$S$3:$S$6208,Posts!$U$3:$U$6208,Posts!$J$3:$J$6208)</f>
        <v>132</v>
      </c>
      <c r="E48" s="72">
        <f t="shared" si="16"/>
        <v>0.15263157894736842</v>
      </c>
      <c r="F48" s="72">
        <f t="shared" si="17"/>
        <v>5.3636733035351485E-2</v>
      </c>
      <c r="G48" s="2">
        <f t="shared" si="18"/>
        <v>9.8994845912016931</v>
      </c>
      <c r="H48" s="17">
        <f t="shared" si="19"/>
        <v>2.8456539074960125</v>
      </c>
      <c r="I48" s="7">
        <f t="shared" si="20"/>
        <v>30.302250721741636</v>
      </c>
      <c r="J48" s="53">
        <f t="shared" si="21"/>
        <v>3.6969666754507143E-8</v>
      </c>
      <c r="L48" s="72">
        <f>SUMPRODUCT(COUNTIFS(acct,acc_tbl,is_conv,1,topical,1,T_ISL,1)/COUNTIFS(acct,acc_tbl,is_conv,1,topical,1),COUNTIFS(acct,acc_tbl,ai_full,1,topical,1))/$E$38</f>
        <v>5.9606099788041267E-2</v>
      </c>
      <c r="M48" s="2">
        <f t="shared" si="22"/>
        <v>9.3025479159327151</v>
      </c>
    </row>
    <row r="49" spans="1:13" x14ac:dyDescent="0.25">
      <c r="A49" s="13" t="s">
        <v>51</v>
      </c>
      <c r="B49" s="7" t="s">
        <v>52</v>
      </c>
      <c r="C49" s="7">
        <f>SUMPRODUCT(Posts!$V$3:$V$6208,Posts!$U$3:$U$6208,Posts!$K$3:$K$6208)</f>
        <v>50</v>
      </c>
      <c r="D49" s="7">
        <f>SUMPRODUCT(Posts!$S$3:$S$6208,Posts!$U$3:$U$6208,Posts!$K$3:$K$6208)</f>
        <v>606</v>
      </c>
      <c r="E49" s="72">
        <f t="shared" si="16"/>
        <v>0.26315789473684209</v>
      </c>
      <c r="F49" s="72">
        <f t="shared" si="17"/>
        <v>0.24624136529865909</v>
      </c>
      <c r="G49" s="2">
        <f t="shared" si="18"/>
        <v>1.6916529438183003</v>
      </c>
      <c r="H49" s="17">
        <f t="shared" si="19"/>
        <v>1.0686989751606739</v>
      </c>
      <c r="I49" s="7">
        <f t="shared" si="20"/>
        <v>0.27105082948707859</v>
      </c>
      <c r="J49" s="53">
        <f t="shared" si="21"/>
        <v>0.60262773659428626</v>
      </c>
      <c r="L49" s="72">
        <f>SUMPRODUCT(COUNTIFS(acct,acc_tbl,is_conv,1,topical,1,T_CRI,1)/COUNTIFS(acct,acc_tbl,is_conv,1,topical,1),COUNTIFS(acct,acc_tbl,ai_full,1,topical,1))/$E$38</f>
        <v>0.27871445598683603</v>
      </c>
      <c r="M49" s="2">
        <f t="shared" si="22"/>
        <v>-1.5556561249993939</v>
      </c>
    </row>
    <row r="50" spans="1:13" x14ac:dyDescent="0.25">
      <c r="A50" s="13" t="s">
        <v>53</v>
      </c>
      <c r="B50" s="7" t="s">
        <v>54</v>
      </c>
      <c r="C50" s="7">
        <f>SUMPRODUCT(Posts!$V$3:$V$6208,Posts!$U$3:$U$6208,Posts!$L$3:$L$6208)</f>
        <v>55</v>
      </c>
      <c r="D50" s="7">
        <f>SUMPRODUCT(Posts!$S$3:$S$6208,Posts!$U$3:$U$6208,Posts!$L$3:$L$6208)</f>
        <v>987</v>
      </c>
      <c r="E50" s="72">
        <f t="shared" si="16"/>
        <v>0.28947368421052633</v>
      </c>
      <c r="F50" s="72">
        <f t="shared" si="17"/>
        <v>0.40105648110524178</v>
      </c>
      <c r="G50" s="2">
        <f t="shared" si="18"/>
        <v>-11.158279689471545</v>
      </c>
      <c r="H50" s="17">
        <f t="shared" si="19"/>
        <v>0.72177784887751295</v>
      </c>
      <c r="I50" s="7">
        <f t="shared" si="20"/>
        <v>9.2054636089580661</v>
      </c>
      <c r="J50" s="53">
        <f t="shared" si="21"/>
        <v>2.4129388079529128E-3</v>
      </c>
      <c r="L50" s="72">
        <f>SUMPRODUCT(COUNTIFS(acct,acc_tbl,is_conv,1,topical,1,T_SOV,1)/COUNTIFS(acct,acc_tbl,is_conv,1,topical,1),COUNTIFS(acct,acc_tbl,ai_full,1,topical,1))/$E$38</f>
        <v>0.33380647855278256</v>
      </c>
      <c r="M50" s="2">
        <f t="shared" si="22"/>
        <v>-4.4332794342256232</v>
      </c>
    </row>
    <row r="51" spans="1:13" x14ac:dyDescent="0.25">
      <c r="A51" s="13" t="s">
        <v>55</v>
      </c>
      <c r="B51" s="7" t="s">
        <v>56</v>
      </c>
      <c r="C51" s="7">
        <f>SUMPRODUCT(Posts!$V$3:$V$6208,Posts!$U$3:$U$6208,Posts!$M$3:$M$6208)</f>
        <v>68</v>
      </c>
      <c r="D51" s="7">
        <f>SUMPRODUCT(Posts!$S$3:$S$6208,Posts!$U$3:$U$6208,Posts!$M$3:$M$6208)</f>
        <v>943</v>
      </c>
      <c r="E51" s="72">
        <f t="shared" si="16"/>
        <v>0.35789473684210527</v>
      </c>
      <c r="F51" s="72">
        <f t="shared" si="17"/>
        <v>0.38317757009345793</v>
      </c>
      <c r="G51" s="2">
        <f t="shared" si="18"/>
        <v>-2.5282833251352663</v>
      </c>
      <c r="H51" s="17">
        <f t="shared" si="19"/>
        <v>0.93401797175866497</v>
      </c>
      <c r="I51" s="7">
        <f t="shared" si="20"/>
        <v>0.47789382560315175</v>
      </c>
      <c r="J51" s="53">
        <f t="shared" si="21"/>
        <v>0.489377879064122</v>
      </c>
      <c r="L51" s="72">
        <f>SUMPRODUCT(COUNTIFS(acct,acc_tbl,is_conv,1,topical,1,T_ECON,1)/COUNTIFS(acct,acc_tbl,is_conv,1,topical,1),COUNTIFS(acct,acc_tbl,ai_full,1,topical,1))/$E$38</f>
        <v>0.35738439878681</v>
      </c>
      <c r="M51" s="2">
        <f t="shared" si="22"/>
        <v>5.1033805529526743E-2</v>
      </c>
    </row>
    <row r="52" spans="1:13" x14ac:dyDescent="0.25">
      <c r="A52" s="13" t="s">
        <v>57</v>
      </c>
      <c r="B52" s="7" t="s">
        <v>58</v>
      </c>
      <c r="C52" s="7">
        <f>SUMPRODUCT(Posts!$V$3:$V$6208,Posts!$U$3:$U$6208,Posts!$N$3:$N$6208)</f>
        <v>33</v>
      </c>
      <c r="D52" s="7">
        <f>SUMPRODUCT(Posts!$S$3:$S$6208,Posts!$U$3:$U$6208,Posts!$N$3:$N$6208)</f>
        <v>441</v>
      </c>
      <c r="E52" s="72">
        <f t="shared" si="16"/>
        <v>0.1736842105263158</v>
      </c>
      <c r="F52" s="72">
        <f t="shared" si="17"/>
        <v>0.17919544900446974</v>
      </c>
      <c r="G52" s="2">
        <f t="shared" si="18"/>
        <v>-0.55112384781539348</v>
      </c>
      <c r="H52" s="17">
        <f t="shared" si="19"/>
        <v>0.96924453992123172</v>
      </c>
      <c r="I52" s="7">
        <f t="shared" si="20"/>
        <v>3.6486867491549897E-2</v>
      </c>
      <c r="J52" s="53">
        <f t="shared" si="21"/>
        <v>0.84851355973014342</v>
      </c>
      <c r="L52" s="72">
        <f>SUMPRODUCT(COUNTIFS(acct,acc_tbl,is_conv,1,topical,1,T_LAND,1)/COUNTIFS(acct,acc_tbl,is_conv,1,topical,1),COUNTIFS(acct,acc_tbl,ai_full,1,topical,1))/$E$38</f>
        <v>0.2257217780176595</v>
      </c>
      <c r="M52" s="2">
        <f t="shared" si="22"/>
        <v>-5.203756749134369</v>
      </c>
    </row>
    <row r="53" spans="1:13" x14ac:dyDescent="0.25">
      <c r="A53" s="13" t="s">
        <v>59</v>
      </c>
      <c r="B53" s="7" t="s">
        <v>60</v>
      </c>
      <c r="C53" s="7">
        <f>SUMPRODUCT(Posts!$V$3:$V$6208,Posts!$U$3:$U$6208,Posts!$O$3:$O$6208)</f>
        <v>34</v>
      </c>
      <c r="D53" s="7">
        <f>SUMPRODUCT(Posts!$S$3:$S$6208,Posts!$U$3:$U$6208,Posts!$O$3:$O$6208)</f>
        <v>219</v>
      </c>
      <c r="E53" s="72">
        <f t="shared" si="16"/>
        <v>0.17894736842105263</v>
      </c>
      <c r="F53" s="72">
        <f t="shared" si="17"/>
        <v>8.8988216172287693E-2</v>
      </c>
      <c r="G53" s="2">
        <f t="shared" si="18"/>
        <v>8.9959152248764944</v>
      </c>
      <c r="H53" s="17">
        <f t="shared" si="19"/>
        <v>2.0109108387406871</v>
      </c>
      <c r="I53" s="7">
        <f t="shared" si="20"/>
        <v>16.534685952538052</v>
      </c>
      <c r="J53" s="53">
        <f t="shared" si="21"/>
        <v>4.7768204721902693E-5</v>
      </c>
      <c r="L53" s="72">
        <f>SUMPRODUCT(COUNTIFS(acct,acc_tbl,is_conv,1,topical,1,T_CULT,1)/COUNTIFS(acct,acc_tbl,is_conv,1,topical,1),COUNTIFS(acct,acc_tbl,ai_full,1,topical,1))/$E$38</f>
        <v>0.10598203640738005</v>
      </c>
      <c r="M53" s="2">
        <f t="shared" si="22"/>
        <v>7.2965332013672581</v>
      </c>
    </row>
    <row r="54" spans="1:13" x14ac:dyDescent="0.25">
      <c r="A54" s="14" t="s">
        <v>61</v>
      </c>
      <c r="B54" s="11" t="s">
        <v>62</v>
      </c>
      <c r="C54" s="11">
        <f>SUMPRODUCT(Posts!$V$3:$V$6208,Posts!$U$3:$U$6208,Posts!$P$3:$P$6208)</f>
        <v>14</v>
      </c>
      <c r="D54" s="11">
        <f>SUMPRODUCT(Posts!$S$3:$S$6208,Posts!$U$3:$U$6208,Posts!$P$3:$P$6208)</f>
        <v>151</v>
      </c>
      <c r="E54" s="73">
        <f t="shared" si="16"/>
        <v>7.3684210526315783E-2</v>
      </c>
      <c r="F54" s="73">
        <f t="shared" si="17"/>
        <v>6.1357171881349044E-2</v>
      </c>
      <c r="G54" s="20">
        <f t="shared" si="18"/>
        <v>1.2327038644966739</v>
      </c>
      <c r="H54" s="19">
        <f t="shared" si="19"/>
        <v>1.200906239107703</v>
      </c>
      <c r="I54" s="11">
        <f t="shared" si="20"/>
        <v>0.45920582543981719</v>
      </c>
      <c r="J54" s="54">
        <f t="shared" si="21"/>
        <v>0.49799536573799685</v>
      </c>
      <c r="L54" s="72">
        <f>SUMPRODUCT(COUNTIFS(acct,acc_tbl,is_conv,1,topical,1,T_DEF,1)/COUNTIFS(acct,acc_tbl,is_conv,1,topical,1),COUNTIFS(acct,acc_tbl,ai_full,1,topical,1))/$E$38</f>
        <v>7.344549979360529E-2</v>
      </c>
      <c r="M54" s="2">
        <f t="shared" si="22"/>
        <v>2.3871073271049259E-2</v>
      </c>
    </row>
    <row r="56" spans="1:13" ht="27.95" customHeight="1" x14ac:dyDescent="0.25">
      <c r="A56" s="106" t="s">
        <v>3840</v>
      </c>
      <c r="B56" s="106"/>
      <c r="C56" s="106"/>
      <c r="D56" s="106"/>
      <c r="E56" s="106"/>
      <c r="F56" s="106"/>
      <c r="G56" s="106"/>
      <c r="H56" s="106"/>
      <c r="I56" s="106"/>
      <c r="J56" s="106"/>
    </row>
    <row r="58" spans="1:13" ht="15.6" customHeight="1" x14ac:dyDescent="0.25">
      <c r="A58" s="111" t="s">
        <v>3680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</row>
    <row r="59" spans="1:13" ht="27.95" customHeight="1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</row>
    <row r="60" spans="1:13" ht="15.6" customHeight="1" x14ac:dyDescent="0.25">
      <c r="A60" s="106" t="s">
        <v>3841</v>
      </c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</row>
    <row r="61" spans="1:13" ht="27.95" customHeight="1" x14ac:dyDescent="0.25">
      <c r="A61" s="106" t="s">
        <v>3842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</row>
    <row r="62" spans="1:13" ht="1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</row>
    <row r="63" spans="1:13" ht="15" customHeight="1" x14ac:dyDescent="0.25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</row>
    <row r="65" spans="1:13" ht="15.6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</row>
    <row r="67" spans="1:13" ht="15.6" customHeight="1" x14ac:dyDescent="0.25">
      <c r="A67" s="109" t="s">
        <v>1897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</row>
    <row r="68" spans="1:13" ht="39" x14ac:dyDescent="0.25">
      <c r="A68" s="9" t="s">
        <v>1</v>
      </c>
      <c r="B68" s="10" t="s">
        <v>2</v>
      </c>
      <c r="C68" s="10" t="s">
        <v>1853</v>
      </c>
      <c r="D68" s="10" t="s">
        <v>1896</v>
      </c>
      <c r="E68" s="10" t="s">
        <v>1895</v>
      </c>
      <c r="F68" s="10" t="s">
        <v>1867</v>
      </c>
      <c r="G68" s="10" t="s">
        <v>1894</v>
      </c>
      <c r="H68" s="10" t="s">
        <v>1893</v>
      </c>
      <c r="I68" s="15"/>
      <c r="J68" s="15"/>
      <c r="K68" s="15"/>
      <c r="L68" s="15"/>
      <c r="M68" s="15"/>
    </row>
    <row r="69" spans="1:13" x14ac:dyDescent="0.25">
      <c r="A69" s="23" t="s">
        <v>14</v>
      </c>
      <c r="B69" s="8" t="s">
        <v>15</v>
      </c>
      <c r="C69" s="7">
        <f t="shared" ref="C69:C74" si="23">SUMPRODUCT((acct=A69)*ai_full)</f>
        <v>56</v>
      </c>
      <c r="D69" s="7">
        <f t="shared" ref="D69:D74" si="24">SUMPRODUCT((acct=A69)*ai_full*topical)</f>
        <v>53</v>
      </c>
      <c r="E69" s="72">
        <f t="shared" ref="E69:E74" si="25">1-D69/C69</f>
        <v>5.3571428571428603E-2</v>
      </c>
      <c r="F69" s="7">
        <f t="shared" ref="F69:F74" si="26">SUMPRODUCT((acct=A69)*is_conv)</f>
        <v>115</v>
      </c>
      <c r="G69" s="7">
        <f t="shared" ref="G69:G74" si="27">SUMPRODUCT((acct=A69)*is_conv*topical)</f>
        <v>95</v>
      </c>
      <c r="H69" s="72">
        <f t="shared" ref="H69:H74" si="28">1-G69/F69</f>
        <v>0.17391304347826086</v>
      </c>
      <c r="I69" s="8"/>
      <c r="J69" s="8"/>
      <c r="K69" s="8"/>
      <c r="L69" s="8"/>
      <c r="M69" s="8"/>
    </row>
    <row r="70" spans="1:13" x14ac:dyDescent="0.25">
      <c r="A70" s="23" t="s">
        <v>22</v>
      </c>
      <c r="B70" s="8" t="s">
        <v>23</v>
      </c>
      <c r="C70" s="7">
        <f t="shared" si="23"/>
        <v>37</v>
      </c>
      <c r="D70" s="7">
        <f t="shared" si="24"/>
        <v>35</v>
      </c>
      <c r="E70" s="72">
        <f t="shared" si="25"/>
        <v>5.4054054054054057E-2</v>
      </c>
      <c r="F70" s="7">
        <f t="shared" si="26"/>
        <v>298</v>
      </c>
      <c r="G70" s="7">
        <f t="shared" si="27"/>
        <v>194</v>
      </c>
      <c r="H70" s="72">
        <f t="shared" si="28"/>
        <v>0.34899328859060408</v>
      </c>
      <c r="I70" s="8"/>
      <c r="J70" s="8"/>
      <c r="K70" s="8"/>
      <c r="L70" s="8"/>
      <c r="M70" s="8"/>
    </row>
    <row r="71" spans="1:13" x14ac:dyDescent="0.25">
      <c r="A71" s="23" t="s">
        <v>32</v>
      </c>
      <c r="B71" s="8" t="s">
        <v>33</v>
      </c>
      <c r="C71" s="7">
        <f t="shared" si="23"/>
        <v>30</v>
      </c>
      <c r="D71" s="7">
        <f t="shared" si="24"/>
        <v>28</v>
      </c>
      <c r="E71" s="72">
        <f t="shared" si="25"/>
        <v>6.6666666666666652E-2</v>
      </c>
      <c r="F71" s="7">
        <f t="shared" si="26"/>
        <v>300</v>
      </c>
      <c r="G71" s="7">
        <f t="shared" si="27"/>
        <v>226</v>
      </c>
      <c r="H71" s="72">
        <f t="shared" si="28"/>
        <v>0.2466666666666667</v>
      </c>
      <c r="I71" s="8"/>
      <c r="J71" s="8"/>
      <c r="K71" s="8"/>
      <c r="L71" s="8"/>
      <c r="M71" s="8"/>
    </row>
    <row r="72" spans="1:13" x14ac:dyDescent="0.25">
      <c r="A72" s="23" t="s">
        <v>26</v>
      </c>
      <c r="B72" s="8" t="s">
        <v>27</v>
      </c>
      <c r="C72" s="7">
        <f t="shared" si="23"/>
        <v>24</v>
      </c>
      <c r="D72" s="7">
        <f t="shared" si="24"/>
        <v>22</v>
      </c>
      <c r="E72" s="72">
        <f t="shared" si="25"/>
        <v>8.333333333333337E-2</v>
      </c>
      <c r="F72" s="7">
        <f t="shared" si="26"/>
        <v>300</v>
      </c>
      <c r="G72" s="7">
        <f t="shared" si="27"/>
        <v>196</v>
      </c>
      <c r="H72" s="72">
        <f t="shared" si="28"/>
        <v>0.34666666666666668</v>
      </c>
      <c r="I72" s="8"/>
      <c r="J72" s="8"/>
      <c r="K72" s="8"/>
      <c r="L72" s="8"/>
      <c r="M72" s="8"/>
    </row>
    <row r="73" spans="1:13" x14ac:dyDescent="0.25">
      <c r="A73" s="23" t="s">
        <v>38</v>
      </c>
      <c r="B73" s="8" t="s">
        <v>1892</v>
      </c>
      <c r="C73" s="7">
        <f t="shared" si="23"/>
        <v>15</v>
      </c>
      <c r="D73" s="7">
        <f t="shared" si="24"/>
        <v>6</v>
      </c>
      <c r="E73" s="72">
        <f t="shared" si="25"/>
        <v>0.6</v>
      </c>
      <c r="F73" s="7">
        <f t="shared" si="26"/>
        <v>181</v>
      </c>
      <c r="G73" s="7">
        <f t="shared" si="27"/>
        <v>110</v>
      </c>
      <c r="H73" s="72">
        <f t="shared" si="28"/>
        <v>0.39226519337016574</v>
      </c>
      <c r="I73" s="8"/>
      <c r="J73" s="8"/>
      <c r="K73" s="8"/>
      <c r="L73" s="8"/>
      <c r="M73" s="8"/>
    </row>
    <row r="74" spans="1:13" x14ac:dyDescent="0.25">
      <c r="A74" s="23" t="s">
        <v>16</v>
      </c>
      <c r="B74" s="8" t="s">
        <v>17</v>
      </c>
      <c r="C74" s="7">
        <f t="shared" si="23"/>
        <v>15</v>
      </c>
      <c r="D74" s="7">
        <f t="shared" si="24"/>
        <v>14</v>
      </c>
      <c r="E74" s="72">
        <f t="shared" si="25"/>
        <v>6.6666666666666652E-2</v>
      </c>
      <c r="F74" s="7">
        <f t="shared" si="26"/>
        <v>279</v>
      </c>
      <c r="G74" s="7">
        <f t="shared" si="27"/>
        <v>172</v>
      </c>
      <c r="H74" s="72">
        <f t="shared" si="28"/>
        <v>0.38351254480286734</v>
      </c>
      <c r="I74" s="8"/>
      <c r="J74" s="8"/>
      <c r="K74" s="8"/>
      <c r="L74" s="8"/>
      <c r="M74" s="8"/>
    </row>
    <row r="75" spans="1:13" ht="15.6" customHeight="1" x14ac:dyDescent="0.25">
      <c r="A75" s="110" t="s">
        <v>3655</v>
      </c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</row>
    <row r="76" spans="1:13" x14ac:dyDescent="0.25">
      <c r="A76" s="42" t="s">
        <v>3658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 x14ac:dyDescent="0.25">
      <c r="A77" s="83" t="s">
        <v>1</v>
      </c>
      <c r="B77" s="84" t="s">
        <v>2</v>
      </c>
      <c r="C77" s="84" t="s">
        <v>46</v>
      </c>
      <c r="D77" s="84" t="s">
        <v>1866</v>
      </c>
      <c r="E77" s="84" t="s">
        <v>1853</v>
      </c>
      <c r="F77" s="84" t="s">
        <v>1854</v>
      </c>
      <c r="G77" s="84" t="s">
        <v>1855</v>
      </c>
      <c r="H77" s="84" t="s">
        <v>1856</v>
      </c>
      <c r="I77" s="84" t="s">
        <v>1857</v>
      </c>
      <c r="J77" s="84" t="s">
        <v>3676</v>
      </c>
      <c r="K77" s="85" t="s">
        <v>1859</v>
      </c>
      <c r="L77" s="84" t="s">
        <v>1896</v>
      </c>
      <c r="M77" s="84" t="s">
        <v>1894</v>
      </c>
    </row>
    <row r="78" spans="1:13" x14ac:dyDescent="0.25">
      <c r="A78" s="23" t="s">
        <v>14</v>
      </c>
      <c r="B78" s="8" t="s">
        <v>15</v>
      </c>
      <c r="C78" s="8" t="s">
        <v>47</v>
      </c>
      <c r="D78" s="7" t="s">
        <v>48</v>
      </c>
      <c r="E78" s="7">
        <f>SUMPRODUCT((acct=$A78)*ai_full*topical*T_IMM)</f>
        <v>22</v>
      </c>
      <c r="F78" s="7">
        <f>SUMPRODUCT((acct=$A78)*is_conv*topical*T_IMM)</f>
        <v>39</v>
      </c>
      <c r="G78" s="72">
        <f t="shared" ref="G78:H85" si="29">E78/L78</f>
        <v>0.41509433962264153</v>
      </c>
      <c r="H78" s="72">
        <f t="shared" si="29"/>
        <v>0.41052631578947368</v>
      </c>
      <c r="I78" s="2">
        <f t="shared" ref="I78:I85" si="30">(G78-H78)*100</f>
        <v>0.45680238331678447</v>
      </c>
      <c r="J78" s="17">
        <f t="shared" ref="J78:J85" si="31">IFERROR((E78+(L78-E78)+F78+(M78-F78))*(E78*(M78-F78)-(L78-E78)*F78)^2/((E78+(L78-E78))*(F78+(M78-F78))*(E78+F78)*((L78-E78)+(M78-F78))),"")</f>
        <v>2.9300081266446726E-3</v>
      </c>
      <c r="K78" s="53">
        <f t="shared" ref="K78:K85" si="32">IFERROR(_xlfn.CHISQ.DIST.RT(J78,1),"")</f>
        <v>0.95683194967365215</v>
      </c>
      <c r="L78" s="7">
        <f t="shared" ref="L78:L85" si="33">$D$69</f>
        <v>53</v>
      </c>
      <c r="M78" s="7">
        <f t="shared" ref="M78:M85" si="34">$G$69</f>
        <v>95</v>
      </c>
    </row>
    <row r="79" spans="1:13" x14ac:dyDescent="0.25">
      <c r="A79" s="23" t="s">
        <v>14</v>
      </c>
      <c r="B79" s="8" t="s">
        <v>15</v>
      </c>
      <c r="C79" s="8" t="s">
        <v>49</v>
      </c>
      <c r="D79" s="7" t="s">
        <v>50</v>
      </c>
      <c r="E79" s="7">
        <f>SUMPRODUCT((acct=$A79)*ai_full*topical*T_ISL)</f>
        <v>2</v>
      </c>
      <c r="F79" s="7">
        <f>SUMPRODUCT((acct=$A79)*is_conv*topical*T_ISL)</f>
        <v>2</v>
      </c>
      <c r="G79" s="72">
        <f t="shared" si="29"/>
        <v>3.7735849056603772E-2</v>
      </c>
      <c r="H79" s="72">
        <f t="shared" si="29"/>
        <v>2.1052631578947368E-2</v>
      </c>
      <c r="I79" s="2">
        <f t="shared" si="30"/>
        <v>1.6683217477656405</v>
      </c>
      <c r="J79" s="17">
        <f t="shared" si="31"/>
        <v>0.36007944389275076</v>
      </c>
      <c r="K79" s="53">
        <f t="shared" si="32"/>
        <v>0.54846211771086695</v>
      </c>
      <c r="L79" s="7">
        <f t="shared" si="33"/>
        <v>53</v>
      </c>
      <c r="M79" s="7">
        <f t="shared" si="34"/>
        <v>95</v>
      </c>
    </row>
    <row r="80" spans="1:13" x14ac:dyDescent="0.25">
      <c r="A80" s="23" t="s">
        <v>14</v>
      </c>
      <c r="B80" s="8" t="s">
        <v>15</v>
      </c>
      <c r="C80" s="8" t="s">
        <v>51</v>
      </c>
      <c r="D80" s="7" t="s">
        <v>52</v>
      </c>
      <c r="E80" s="7">
        <f>SUMPRODUCT((acct=$A80)*ai_full*topical*T_CRI)</f>
        <v>13</v>
      </c>
      <c r="F80" s="7">
        <f>SUMPRODUCT((acct=$A80)*is_conv*topical*T_CRI)</f>
        <v>17</v>
      </c>
      <c r="G80" s="72">
        <f t="shared" si="29"/>
        <v>0.24528301886792453</v>
      </c>
      <c r="H80" s="72">
        <f t="shared" si="29"/>
        <v>0.17894736842105263</v>
      </c>
      <c r="I80" s="2">
        <f t="shared" si="30"/>
        <v>6.6335650446871899</v>
      </c>
      <c r="J80" s="17">
        <f t="shared" si="31"/>
        <v>0.92630052906490723</v>
      </c>
      <c r="K80" s="53">
        <f t="shared" si="32"/>
        <v>0.33582607896431549</v>
      </c>
      <c r="L80" s="7">
        <f t="shared" si="33"/>
        <v>53</v>
      </c>
      <c r="M80" s="7">
        <f t="shared" si="34"/>
        <v>95</v>
      </c>
    </row>
    <row r="81" spans="1:13" x14ac:dyDescent="0.25">
      <c r="A81" s="23" t="s">
        <v>14</v>
      </c>
      <c r="B81" s="8" t="s">
        <v>15</v>
      </c>
      <c r="C81" s="8" t="s">
        <v>53</v>
      </c>
      <c r="D81" s="7" t="s">
        <v>54</v>
      </c>
      <c r="E81" s="7">
        <f>SUMPRODUCT((acct=$A81)*ai_full*topical*T_SOV)</f>
        <v>0</v>
      </c>
      <c r="F81" s="7">
        <f>SUMPRODUCT((acct=$A81)*is_conv*topical*T_SOV)</f>
        <v>15</v>
      </c>
      <c r="G81" s="72">
        <f t="shared" si="29"/>
        <v>0</v>
      </c>
      <c r="H81" s="72">
        <f t="shared" si="29"/>
        <v>0.15789473684210525</v>
      </c>
      <c r="I81" s="2">
        <f t="shared" si="30"/>
        <v>-15.789473684210526</v>
      </c>
      <c r="J81" s="17">
        <f t="shared" si="31"/>
        <v>9.3122279382667195</v>
      </c>
      <c r="K81" s="53">
        <f t="shared" si="32"/>
        <v>2.276295140161116E-3</v>
      </c>
      <c r="L81" s="7">
        <f t="shared" si="33"/>
        <v>53</v>
      </c>
      <c r="M81" s="7">
        <f t="shared" si="34"/>
        <v>95</v>
      </c>
    </row>
    <row r="82" spans="1:13" x14ac:dyDescent="0.25">
      <c r="A82" s="23" t="s">
        <v>14</v>
      </c>
      <c r="B82" s="8" t="s">
        <v>15</v>
      </c>
      <c r="C82" s="8" t="s">
        <v>55</v>
      </c>
      <c r="D82" s="7" t="s">
        <v>56</v>
      </c>
      <c r="E82" s="7">
        <f>SUMPRODUCT((acct=$A82)*ai_full*topical*T_ECON)</f>
        <v>33</v>
      </c>
      <c r="F82" s="7">
        <f>SUMPRODUCT((acct=$A82)*is_conv*topical*T_ECON)</f>
        <v>45</v>
      </c>
      <c r="G82" s="72">
        <f t="shared" si="29"/>
        <v>0.62264150943396224</v>
      </c>
      <c r="H82" s="72">
        <f t="shared" si="29"/>
        <v>0.47368421052631576</v>
      </c>
      <c r="I82" s="2">
        <f t="shared" si="30"/>
        <v>14.895729890764647</v>
      </c>
      <c r="J82" s="17">
        <f t="shared" si="31"/>
        <v>3.0282527799906149</v>
      </c>
      <c r="K82" s="53">
        <f t="shared" si="32"/>
        <v>8.1826087453023472E-2</v>
      </c>
      <c r="L82" s="7">
        <f t="shared" si="33"/>
        <v>53</v>
      </c>
      <c r="M82" s="7">
        <f t="shared" si="34"/>
        <v>95</v>
      </c>
    </row>
    <row r="83" spans="1:13" x14ac:dyDescent="0.25">
      <c r="A83" s="23" t="s">
        <v>14</v>
      </c>
      <c r="B83" s="8" t="s">
        <v>15</v>
      </c>
      <c r="C83" s="8" t="s">
        <v>57</v>
      </c>
      <c r="D83" s="7" t="s">
        <v>58</v>
      </c>
      <c r="E83" s="7">
        <f>SUMPRODUCT((acct=$A83)*ai_full*topical*T_LAND)</f>
        <v>10</v>
      </c>
      <c r="F83" s="7">
        <f>SUMPRODUCT((acct=$A83)*is_conv*topical*T_LAND)</f>
        <v>30</v>
      </c>
      <c r="G83" s="72">
        <f t="shared" si="29"/>
        <v>0.18867924528301888</v>
      </c>
      <c r="H83" s="72">
        <f t="shared" si="29"/>
        <v>0.31578947368421051</v>
      </c>
      <c r="I83" s="2">
        <f t="shared" si="30"/>
        <v>-12.711022840119163</v>
      </c>
      <c r="J83" s="17">
        <f t="shared" si="31"/>
        <v>2.7870094523520543</v>
      </c>
      <c r="K83" s="53">
        <f t="shared" si="32"/>
        <v>9.5031425560216098E-2</v>
      </c>
      <c r="L83" s="7">
        <f t="shared" si="33"/>
        <v>53</v>
      </c>
      <c r="M83" s="7">
        <f t="shared" si="34"/>
        <v>95</v>
      </c>
    </row>
    <row r="84" spans="1:13" x14ac:dyDescent="0.25">
      <c r="A84" s="23" t="s">
        <v>14</v>
      </c>
      <c r="B84" s="8" t="s">
        <v>15</v>
      </c>
      <c r="C84" s="8" t="s">
        <v>59</v>
      </c>
      <c r="D84" s="7" t="s">
        <v>60</v>
      </c>
      <c r="E84" s="7">
        <f>SUMPRODUCT((acct=$A84)*ai_full*topical*T_CULT)</f>
        <v>11</v>
      </c>
      <c r="F84" s="7">
        <f>SUMPRODUCT((acct=$A84)*is_conv*topical*T_CULT)</f>
        <v>13</v>
      </c>
      <c r="G84" s="72">
        <f t="shared" si="29"/>
        <v>0.20754716981132076</v>
      </c>
      <c r="H84" s="72">
        <f t="shared" si="29"/>
        <v>0.1368421052631579</v>
      </c>
      <c r="I84" s="2">
        <f t="shared" si="30"/>
        <v>7.0705064548162859</v>
      </c>
      <c r="J84" s="17">
        <f t="shared" si="31"/>
        <v>1.2517837503069909</v>
      </c>
      <c r="K84" s="53">
        <f t="shared" si="32"/>
        <v>0.26321206393066188</v>
      </c>
      <c r="L84" s="7">
        <f t="shared" si="33"/>
        <v>53</v>
      </c>
      <c r="M84" s="7">
        <f t="shared" si="34"/>
        <v>95</v>
      </c>
    </row>
    <row r="85" spans="1:13" x14ac:dyDescent="0.25">
      <c r="A85" s="24" t="s">
        <v>14</v>
      </c>
      <c r="B85" s="12" t="s">
        <v>15</v>
      </c>
      <c r="C85" s="12" t="s">
        <v>61</v>
      </c>
      <c r="D85" s="11" t="s">
        <v>62</v>
      </c>
      <c r="E85" s="11">
        <f>SUMPRODUCT((acct=$A85)*ai_full*topical*T_DEF)</f>
        <v>4</v>
      </c>
      <c r="F85" s="11">
        <f>SUMPRODUCT((acct=$A85)*is_conv*topical*T_DEF)</f>
        <v>9</v>
      </c>
      <c r="G85" s="73">
        <f t="shared" si="29"/>
        <v>7.5471698113207544E-2</v>
      </c>
      <c r="H85" s="73">
        <f t="shared" si="29"/>
        <v>9.4736842105263161E-2</v>
      </c>
      <c r="I85" s="20">
        <f t="shared" si="30"/>
        <v>-1.9265143992055616</v>
      </c>
      <c r="J85" s="19">
        <f t="shared" si="31"/>
        <v>0.1575899755840173</v>
      </c>
      <c r="K85" s="54">
        <f t="shared" si="32"/>
        <v>0.69138513000276203</v>
      </c>
      <c r="L85" s="11">
        <f t="shared" si="33"/>
        <v>53</v>
      </c>
      <c r="M85" s="11">
        <f t="shared" si="34"/>
        <v>95</v>
      </c>
    </row>
    <row r="86" spans="1:13" x14ac:dyDescent="0.25">
      <c r="A86" s="23"/>
      <c r="B86" s="8"/>
      <c r="C86" s="8"/>
      <c r="D86" s="7"/>
      <c r="E86" s="7"/>
      <c r="F86" s="7"/>
      <c r="G86" s="72"/>
      <c r="H86" s="72"/>
      <c r="I86" s="2"/>
      <c r="J86" s="17"/>
      <c r="K86" s="22"/>
      <c r="L86" s="7"/>
      <c r="M86" s="7"/>
    </row>
    <row r="87" spans="1:13" x14ac:dyDescent="0.25">
      <c r="A87" s="43" t="s">
        <v>3659</v>
      </c>
      <c r="B87" s="8"/>
      <c r="C87" s="8"/>
      <c r="D87" s="7"/>
      <c r="E87" s="7"/>
      <c r="F87" s="7"/>
      <c r="G87" s="72"/>
      <c r="H87" s="72"/>
      <c r="I87" s="2"/>
      <c r="J87" s="17"/>
      <c r="K87" s="22"/>
      <c r="L87" s="7"/>
      <c r="M87" s="7"/>
    </row>
    <row r="88" spans="1:13" x14ac:dyDescent="0.25">
      <c r="A88" s="83" t="s">
        <v>1</v>
      </c>
      <c r="B88" s="84" t="s">
        <v>2</v>
      </c>
      <c r="C88" s="84" t="s">
        <v>46</v>
      </c>
      <c r="D88" s="84" t="s">
        <v>1866</v>
      </c>
      <c r="E88" s="84" t="s">
        <v>1853</v>
      </c>
      <c r="F88" s="84" t="s">
        <v>1854</v>
      </c>
      <c r="G88" s="84" t="s">
        <v>1855</v>
      </c>
      <c r="H88" s="84" t="s">
        <v>1856</v>
      </c>
      <c r="I88" s="84" t="s">
        <v>1857</v>
      </c>
      <c r="J88" s="84" t="s">
        <v>3676</v>
      </c>
      <c r="K88" s="85" t="s">
        <v>1859</v>
      </c>
      <c r="L88" s="84" t="s">
        <v>1896</v>
      </c>
      <c r="M88" s="84" t="s">
        <v>1894</v>
      </c>
    </row>
    <row r="89" spans="1:13" x14ac:dyDescent="0.25">
      <c r="A89" s="23" t="s">
        <v>22</v>
      </c>
      <c r="B89" s="8" t="s">
        <v>23</v>
      </c>
      <c r="C89" s="8" t="s">
        <v>47</v>
      </c>
      <c r="D89" s="7" t="s">
        <v>48</v>
      </c>
      <c r="E89" s="7">
        <f>SUMPRODUCT((acct=$A89)*ai_full*topical*T_IMM)</f>
        <v>25</v>
      </c>
      <c r="F89" s="7">
        <f>SUMPRODUCT((acct=$A89)*is_conv*topical*T_IMM)</f>
        <v>62</v>
      </c>
      <c r="G89" s="72">
        <f t="shared" ref="G89:H96" si="35">E89/L89</f>
        <v>0.7142857142857143</v>
      </c>
      <c r="H89" s="72">
        <f t="shared" si="35"/>
        <v>0.31958762886597936</v>
      </c>
      <c r="I89" s="2">
        <f t="shared" ref="I89:I96" si="36">(G89-H89)*100</f>
        <v>39.469808541973492</v>
      </c>
      <c r="J89" s="17">
        <f t="shared" ref="J89:J96" si="37">IFERROR((E89+(L89-E89)+F89+(M89-F89))*(E89*(M89-F89)-(L89-E89)*F89)^2/((E89+(L89-E89))*(F89+(M89-F89))*(E89+F89)*((L89-E89)+(M89-F89))),"")</f>
        <v>19.607747206070883</v>
      </c>
      <c r="K89" s="53">
        <f t="shared" ref="K89:K96" si="38">IFERROR(_xlfn.CHISQ.DIST.RT(J89,1),"")</f>
        <v>9.5082869315743622E-6</v>
      </c>
      <c r="L89" s="7">
        <f t="shared" ref="L89:L96" si="39">$D$70</f>
        <v>35</v>
      </c>
      <c r="M89" s="7">
        <f t="shared" ref="M89:M96" si="40">$G$70</f>
        <v>194</v>
      </c>
    </row>
    <row r="90" spans="1:13" x14ac:dyDescent="0.25">
      <c r="A90" s="23" t="s">
        <v>22</v>
      </c>
      <c r="B90" s="8" t="s">
        <v>23</v>
      </c>
      <c r="C90" s="8" t="s">
        <v>49</v>
      </c>
      <c r="D90" s="7" t="s">
        <v>50</v>
      </c>
      <c r="E90" s="7">
        <f>SUMPRODUCT((acct=$A90)*ai_full*topical*T_ISL)</f>
        <v>8</v>
      </c>
      <c r="F90" s="7">
        <f>SUMPRODUCT((acct=$A90)*is_conv*topical*T_ISL)</f>
        <v>22</v>
      </c>
      <c r="G90" s="72">
        <f t="shared" si="35"/>
        <v>0.22857142857142856</v>
      </c>
      <c r="H90" s="72">
        <f t="shared" si="35"/>
        <v>0.1134020618556701</v>
      </c>
      <c r="I90" s="2">
        <f t="shared" si="36"/>
        <v>11.516936671575847</v>
      </c>
      <c r="J90" s="17">
        <f t="shared" si="37"/>
        <v>3.4546565917461631</v>
      </c>
      <c r="K90" s="53">
        <f t="shared" si="38"/>
        <v>6.3073835850348245E-2</v>
      </c>
      <c r="L90" s="7">
        <f t="shared" si="39"/>
        <v>35</v>
      </c>
      <c r="M90" s="7">
        <f t="shared" si="40"/>
        <v>194</v>
      </c>
    </row>
    <row r="91" spans="1:13" x14ac:dyDescent="0.25">
      <c r="A91" s="23" t="s">
        <v>22</v>
      </c>
      <c r="B91" s="8" t="s">
        <v>23</v>
      </c>
      <c r="C91" s="8" t="s">
        <v>51</v>
      </c>
      <c r="D91" s="7" t="s">
        <v>52</v>
      </c>
      <c r="E91" s="7">
        <f>SUMPRODUCT((acct=$A91)*ai_full*topical*T_CRI)</f>
        <v>17</v>
      </c>
      <c r="F91" s="7">
        <f>SUMPRODUCT((acct=$A91)*is_conv*topical*T_CRI)</f>
        <v>71</v>
      </c>
      <c r="G91" s="72">
        <f t="shared" si="35"/>
        <v>0.48571428571428571</v>
      </c>
      <c r="H91" s="72">
        <f t="shared" si="35"/>
        <v>0.36597938144329895</v>
      </c>
      <c r="I91" s="2">
        <f t="shared" si="36"/>
        <v>11.973490427098676</v>
      </c>
      <c r="J91" s="17">
        <f t="shared" si="37"/>
        <v>1.7965736035186572</v>
      </c>
      <c r="K91" s="53">
        <f t="shared" si="38"/>
        <v>0.18012728207981904</v>
      </c>
      <c r="L91" s="7">
        <f t="shared" si="39"/>
        <v>35</v>
      </c>
      <c r="M91" s="7">
        <f t="shared" si="40"/>
        <v>194</v>
      </c>
    </row>
    <row r="92" spans="1:13" x14ac:dyDescent="0.25">
      <c r="A92" s="23" t="s">
        <v>22</v>
      </c>
      <c r="B92" s="8" t="s">
        <v>23</v>
      </c>
      <c r="C92" s="8" t="s">
        <v>53</v>
      </c>
      <c r="D92" s="7" t="s">
        <v>54</v>
      </c>
      <c r="E92" s="7">
        <f>SUMPRODUCT((acct=$A92)*ai_full*topical*T_SOV)</f>
        <v>7</v>
      </c>
      <c r="F92" s="7">
        <f>SUMPRODUCT((acct=$A92)*is_conv*topical*T_SOV)</f>
        <v>112</v>
      </c>
      <c r="G92" s="72">
        <f t="shared" si="35"/>
        <v>0.2</v>
      </c>
      <c r="H92" s="72">
        <f t="shared" si="35"/>
        <v>0.57731958762886593</v>
      </c>
      <c r="I92" s="2">
        <f t="shared" si="36"/>
        <v>-37.731958762886592</v>
      </c>
      <c r="J92" s="17">
        <f t="shared" si="37"/>
        <v>16.911584982634103</v>
      </c>
      <c r="K92" s="53">
        <f t="shared" si="38"/>
        <v>3.9161841800637884E-5</v>
      </c>
      <c r="L92" s="7">
        <f t="shared" si="39"/>
        <v>35</v>
      </c>
      <c r="M92" s="7">
        <f t="shared" si="40"/>
        <v>194</v>
      </c>
    </row>
    <row r="93" spans="1:13" x14ac:dyDescent="0.25">
      <c r="A93" s="23" t="s">
        <v>22</v>
      </c>
      <c r="B93" s="8" t="s">
        <v>23</v>
      </c>
      <c r="C93" s="8" t="s">
        <v>55</v>
      </c>
      <c r="D93" s="7" t="s">
        <v>56</v>
      </c>
      <c r="E93" s="7">
        <f>SUMPRODUCT((acct=$A93)*ai_full*topical*T_ECON)</f>
        <v>5</v>
      </c>
      <c r="F93" s="7">
        <f>SUMPRODUCT((acct=$A93)*is_conv*topical*T_ECON)</f>
        <v>63</v>
      </c>
      <c r="G93" s="72">
        <f t="shared" si="35"/>
        <v>0.14285714285714285</v>
      </c>
      <c r="H93" s="72">
        <f t="shared" si="35"/>
        <v>0.32474226804123713</v>
      </c>
      <c r="I93" s="2">
        <f t="shared" si="36"/>
        <v>-18.188512518409429</v>
      </c>
      <c r="J93" s="17">
        <f t="shared" si="37"/>
        <v>4.6985606210211559</v>
      </c>
      <c r="K93" s="53">
        <f t="shared" si="38"/>
        <v>3.0187889060645019E-2</v>
      </c>
      <c r="L93" s="7">
        <f t="shared" si="39"/>
        <v>35</v>
      </c>
      <c r="M93" s="7">
        <f t="shared" si="40"/>
        <v>194</v>
      </c>
    </row>
    <row r="94" spans="1:13" x14ac:dyDescent="0.25">
      <c r="A94" s="23" t="s">
        <v>22</v>
      </c>
      <c r="B94" s="8" t="s">
        <v>23</v>
      </c>
      <c r="C94" s="8" t="s">
        <v>57</v>
      </c>
      <c r="D94" s="7" t="s">
        <v>58</v>
      </c>
      <c r="E94" s="7">
        <f>SUMPRODUCT((acct=$A94)*ai_full*topical*T_LAND)</f>
        <v>2</v>
      </c>
      <c r="F94" s="7">
        <f>SUMPRODUCT((acct=$A94)*is_conv*topical*T_LAND)</f>
        <v>52</v>
      </c>
      <c r="G94" s="72">
        <f t="shared" si="35"/>
        <v>5.7142857142857141E-2</v>
      </c>
      <c r="H94" s="72">
        <f t="shared" si="35"/>
        <v>0.26804123711340205</v>
      </c>
      <c r="I94" s="2">
        <f t="shared" si="36"/>
        <v>-21.089837997054492</v>
      </c>
      <c r="J94" s="17">
        <f t="shared" si="37"/>
        <v>7.3184639097334241</v>
      </c>
      <c r="K94" s="53">
        <f t="shared" si="38"/>
        <v>6.8249722241459946E-3</v>
      </c>
      <c r="L94" s="7">
        <f t="shared" si="39"/>
        <v>35</v>
      </c>
      <c r="M94" s="7">
        <f t="shared" si="40"/>
        <v>194</v>
      </c>
    </row>
    <row r="95" spans="1:13" x14ac:dyDescent="0.25">
      <c r="A95" s="23" t="s">
        <v>22</v>
      </c>
      <c r="B95" s="8" t="s">
        <v>23</v>
      </c>
      <c r="C95" s="8" t="s">
        <v>59</v>
      </c>
      <c r="D95" s="7" t="s">
        <v>60</v>
      </c>
      <c r="E95" s="7">
        <f>SUMPRODUCT((acct=$A95)*ai_full*topical*T_CULT)</f>
        <v>10</v>
      </c>
      <c r="F95" s="7">
        <f>SUMPRODUCT((acct=$A95)*is_conv*topical*T_CULT)</f>
        <v>29</v>
      </c>
      <c r="G95" s="72">
        <f t="shared" si="35"/>
        <v>0.2857142857142857</v>
      </c>
      <c r="H95" s="72">
        <f t="shared" si="35"/>
        <v>0.14948453608247422</v>
      </c>
      <c r="I95" s="2">
        <f t="shared" si="36"/>
        <v>13.622974963181148</v>
      </c>
      <c r="J95" s="17">
        <f t="shared" si="37"/>
        <v>3.8943139967285383</v>
      </c>
      <c r="K95" s="53">
        <f t="shared" si="38"/>
        <v>4.8449821963513752E-2</v>
      </c>
      <c r="L95" s="7">
        <f t="shared" si="39"/>
        <v>35</v>
      </c>
      <c r="M95" s="7">
        <f t="shared" si="40"/>
        <v>194</v>
      </c>
    </row>
    <row r="96" spans="1:13" x14ac:dyDescent="0.25">
      <c r="A96" s="24" t="s">
        <v>22</v>
      </c>
      <c r="B96" s="12" t="s">
        <v>23</v>
      </c>
      <c r="C96" s="12" t="s">
        <v>61</v>
      </c>
      <c r="D96" s="11" t="s">
        <v>62</v>
      </c>
      <c r="E96" s="11">
        <f>SUMPRODUCT((acct=$A96)*ai_full*topical*T_DEF)</f>
        <v>0</v>
      </c>
      <c r="F96" s="11">
        <f>SUMPRODUCT((acct=$A96)*is_conv*topical*T_DEF)</f>
        <v>11</v>
      </c>
      <c r="G96" s="73">
        <f t="shared" si="35"/>
        <v>0</v>
      </c>
      <c r="H96" s="73">
        <f t="shared" si="35"/>
        <v>5.6701030927835051E-2</v>
      </c>
      <c r="I96" s="20">
        <f t="shared" si="36"/>
        <v>-5.6701030927835054</v>
      </c>
      <c r="J96" s="19">
        <f t="shared" si="37"/>
        <v>2.0846732242504493</v>
      </c>
      <c r="K96" s="54">
        <f t="shared" si="38"/>
        <v>0.14878405766308464</v>
      </c>
      <c r="L96" s="11">
        <f t="shared" si="39"/>
        <v>35</v>
      </c>
      <c r="M96" s="11">
        <f t="shared" si="40"/>
        <v>194</v>
      </c>
    </row>
    <row r="97" spans="1:13" x14ac:dyDescent="0.25">
      <c r="A97" s="23"/>
      <c r="B97" s="8"/>
      <c r="C97" s="8"/>
      <c r="D97" s="7"/>
      <c r="E97" s="7"/>
      <c r="F97" s="7"/>
      <c r="G97" s="72"/>
      <c r="H97" s="72"/>
      <c r="I97" s="2"/>
      <c r="J97" s="17"/>
      <c r="K97" s="22"/>
      <c r="L97" s="7"/>
      <c r="M97" s="7"/>
    </row>
    <row r="98" spans="1:13" x14ac:dyDescent="0.25">
      <c r="A98" s="43" t="s">
        <v>3660</v>
      </c>
      <c r="B98" s="8"/>
      <c r="C98" s="8"/>
      <c r="D98" s="7"/>
      <c r="E98" s="7"/>
      <c r="F98" s="7"/>
      <c r="G98" s="72"/>
      <c r="H98" s="72"/>
      <c r="I98" s="2"/>
      <c r="J98" s="17"/>
      <c r="K98" s="22"/>
      <c r="L98" s="7"/>
      <c r="M98" s="7"/>
    </row>
    <row r="99" spans="1:13" x14ac:dyDescent="0.25">
      <c r="A99" s="83" t="s">
        <v>1</v>
      </c>
      <c r="B99" s="84" t="s">
        <v>2</v>
      </c>
      <c r="C99" s="84" t="s">
        <v>46</v>
      </c>
      <c r="D99" s="84" t="s">
        <v>1866</v>
      </c>
      <c r="E99" s="84" t="s">
        <v>1853</v>
      </c>
      <c r="F99" s="84" t="s">
        <v>1854</v>
      </c>
      <c r="G99" s="84" t="s">
        <v>1855</v>
      </c>
      <c r="H99" s="84" t="s">
        <v>1856</v>
      </c>
      <c r="I99" s="84" t="s">
        <v>1857</v>
      </c>
      <c r="J99" s="84" t="s">
        <v>3676</v>
      </c>
      <c r="K99" s="85" t="s">
        <v>1859</v>
      </c>
      <c r="L99" s="84" t="s">
        <v>1896</v>
      </c>
      <c r="M99" s="84" t="s">
        <v>1894</v>
      </c>
    </row>
    <row r="100" spans="1:13" x14ac:dyDescent="0.25">
      <c r="A100" s="23" t="s">
        <v>32</v>
      </c>
      <c r="B100" s="8" t="s">
        <v>33</v>
      </c>
      <c r="C100" s="8" t="s">
        <v>47</v>
      </c>
      <c r="D100" s="7" t="s">
        <v>48</v>
      </c>
      <c r="E100" s="7">
        <f>SUMPRODUCT((acct=$A100)*ai_full*topical*T_IMM)</f>
        <v>5</v>
      </c>
      <c r="F100" s="7">
        <f>SUMPRODUCT((acct=$A100)*is_conv*topical*T_IMM)</f>
        <v>27</v>
      </c>
      <c r="G100" s="72">
        <f t="shared" ref="G100:H107" si="41">E100/L100</f>
        <v>0.17857142857142858</v>
      </c>
      <c r="H100" s="72">
        <f t="shared" si="41"/>
        <v>0.11946902654867257</v>
      </c>
      <c r="I100" s="2">
        <f t="shared" ref="I100:I107" si="42">(G100-H100)*100</f>
        <v>5.9102402022756007</v>
      </c>
      <c r="J100" s="17">
        <f t="shared" ref="J100:J107" si="43">IFERROR((E100+(L100-E100)+F100+(M100-F100))*(E100*(M100-F100)-(L100-E100)*F100)^2/((E100+(L100-E100))*(F100+(M100-F100))*(E100+F100)*((L100-E100)+(M100-F100))),"")</f>
        <v>0.79032823515677497</v>
      </c>
      <c r="K100" s="53">
        <f t="shared" ref="K100:K107" si="44">IFERROR(_xlfn.CHISQ.DIST.RT(J100,1),"")</f>
        <v>0.37400089285622756</v>
      </c>
      <c r="L100" s="7">
        <f t="shared" ref="L100:L107" si="45">$D$71</f>
        <v>28</v>
      </c>
      <c r="M100" s="7">
        <f t="shared" ref="M100:M107" si="46">$G$71</f>
        <v>226</v>
      </c>
    </row>
    <row r="101" spans="1:13" x14ac:dyDescent="0.25">
      <c r="A101" s="23" t="s">
        <v>32</v>
      </c>
      <c r="B101" s="8" t="s">
        <v>33</v>
      </c>
      <c r="C101" s="8" t="s">
        <v>49</v>
      </c>
      <c r="D101" s="7" t="s">
        <v>50</v>
      </c>
      <c r="E101" s="7">
        <f>SUMPRODUCT((acct=$A101)*ai_full*topical*T_ISL)</f>
        <v>9</v>
      </c>
      <c r="F101" s="7">
        <f>SUMPRODUCT((acct=$A101)*is_conv*topical*T_ISL)</f>
        <v>25</v>
      </c>
      <c r="G101" s="72">
        <f t="shared" si="41"/>
        <v>0.32142857142857145</v>
      </c>
      <c r="H101" s="72">
        <f t="shared" si="41"/>
        <v>0.11061946902654868</v>
      </c>
      <c r="I101" s="2">
        <f t="shared" si="42"/>
        <v>21.080910240202279</v>
      </c>
      <c r="J101" s="17">
        <f t="shared" si="43"/>
        <v>9.5494268745309867</v>
      </c>
      <c r="K101" s="53">
        <f t="shared" si="44"/>
        <v>2.000118585471204E-3</v>
      </c>
      <c r="L101" s="7">
        <f t="shared" si="45"/>
        <v>28</v>
      </c>
      <c r="M101" s="7">
        <f t="shared" si="46"/>
        <v>226</v>
      </c>
    </row>
    <row r="102" spans="1:13" x14ac:dyDescent="0.25">
      <c r="A102" s="23" t="s">
        <v>32</v>
      </c>
      <c r="B102" s="8" t="s">
        <v>33</v>
      </c>
      <c r="C102" s="8" t="s">
        <v>51</v>
      </c>
      <c r="D102" s="7" t="s">
        <v>52</v>
      </c>
      <c r="E102" s="7">
        <f>SUMPRODUCT((acct=$A102)*ai_full*topical*T_CRI)</f>
        <v>8</v>
      </c>
      <c r="F102" s="7">
        <f>SUMPRODUCT((acct=$A102)*is_conv*topical*T_CRI)</f>
        <v>106</v>
      </c>
      <c r="G102" s="72">
        <f t="shared" si="41"/>
        <v>0.2857142857142857</v>
      </c>
      <c r="H102" s="72">
        <f t="shared" si="41"/>
        <v>0.46902654867256638</v>
      </c>
      <c r="I102" s="2">
        <f t="shared" si="42"/>
        <v>-18.331226295828067</v>
      </c>
      <c r="J102" s="17">
        <f t="shared" si="43"/>
        <v>3.384155711655878</v>
      </c>
      <c r="K102" s="53">
        <f t="shared" si="44"/>
        <v>6.5825884171032426E-2</v>
      </c>
      <c r="L102" s="7">
        <f t="shared" si="45"/>
        <v>28</v>
      </c>
      <c r="M102" s="7">
        <f t="shared" si="46"/>
        <v>226</v>
      </c>
    </row>
    <row r="103" spans="1:13" x14ac:dyDescent="0.25">
      <c r="A103" s="23" t="s">
        <v>32</v>
      </c>
      <c r="B103" s="8" t="s">
        <v>33</v>
      </c>
      <c r="C103" s="8" t="s">
        <v>53</v>
      </c>
      <c r="D103" s="7" t="s">
        <v>54</v>
      </c>
      <c r="E103" s="7">
        <f>SUMPRODUCT((acct=$A103)*ai_full*topical*T_SOV)</f>
        <v>13</v>
      </c>
      <c r="F103" s="7">
        <f>SUMPRODUCT((acct=$A103)*is_conv*topical*T_SOV)</f>
        <v>54</v>
      </c>
      <c r="G103" s="72">
        <f t="shared" si="41"/>
        <v>0.4642857142857143</v>
      </c>
      <c r="H103" s="72">
        <f t="shared" si="41"/>
        <v>0.23893805309734514</v>
      </c>
      <c r="I103" s="2">
        <f t="shared" si="42"/>
        <v>22.534766118836917</v>
      </c>
      <c r="J103" s="17">
        <f t="shared" si="43"/>
        <v>6.514631995615936</v>
      </c>
      <c r="K103" s="53">
        <f t="shared" si="44"/>
        <v>1.0699045990772177E-2</v>
      </c>
      <c r="L103" s="7">
        <f t="shared" si="45"/>
        <v>28</v>
      </c>
      <c r="M103" s="7">
        <f t="shared" si="46"/>
        <v>226</v>
      </c>
    </row>
    <row r="104" spans="1:13" x14ac:dyDescent="0.25">
      <c r="A104" s="23" t="s">
        <v>32</v>
      </c>
      <c r="B104" s="8" t="s">
        <v>33</v>
      </c>
      <c r="C104" s="8" t="s">
        <v>55</v>
      </c>
      <c r="D104" s="7" t="s">
        <v>56</v>
      </c>
      <c r="E104" s="7">
        <f>SUMPRODUCT((acct=$A104)*ai_full*topical*T_ECON)</f>
        <v>1</v>
      </c>
      <c r="F104" s="7">
        <f>SUMPRODUCT((acct=$A104)*is_conv*topical*T_ECON)</f>
        <v>49</v>
      </c>
      <c r="G104" s="72">
        <f t="shared" si="41"/>
        <v>3.5714285714285712E-2</v>
      </c>
      <c r="H104" s="72">
        <f t="shared" si="41"/>
        <v>0.2168141592920354</v>
      </c>
      <c r="I104" s="2">
        <f t="shared" si="42"/>
        <v>-18.109987357774969</v>
      </c>
      <c r="J104" s="17">
        <f t="shared" si="43"/>
        <v>5.1681642745593814</v>
      </c>
      <c r="K104" s="53">
        <f t="shared" si="44"/>
        <v>2.3004513282984276E-2</v>
      </c>
      <c r="L104" s="7">
        <f t="shared" si="45"/>
        <v>28</v>
      </c>
      <c r="M104" s="7">
        <f t="shared" si="46"/>
        <v>226</v>
      </c>
    </row>
    <row r="105" spans="1:13" x14ac:dyDescent="0.25">
      <c r="A105" s="23" t="s">
        <v>32</v>
      </c>
      <c r="B105" s="8" t="s">
        <v>33</v>
      </c>
      <c r="C105" s="8" t="s">
        <v>57</v>
      </c>
      <c r="D105" s="7" t="s">
        <v>58</v>
      </c>
      <c r="E105" s="7">
        <f>SUMPRODUCT((acct=$A105)*ai_full*topical*T_LAND)</f>
        <v>6</v>
      </c>
      <c r="F105" s="7">
        <f>SUMPRODUCT((acct=$A105)*is_conv*topical*T_LAND)</f>
        <v>37</v>
      </c>
      <c r="G105" s="72">
        <f t="shared" si="41"/>
        <v>0.21428571428571427</v>
      </c>
      <c r="H105" s="72">
        <f t="shared" si="41"/>
        <v>0.16371681415929204</v>
      </c>
      <c r="I105" s="2">
        <f t="shared" si="42"/>
        <v>5.0568900126422234</v>
      </c>
      <c r="J105" s="17">
        <f t="shared" si="43"/>
        <v>0.45301886942307951</v>
      </c>
      <c r="K105" s="53">
        <f t="shared" si="44"/>
        <v>0.50090481690127697</v>
      </c>
      <c r="L105" s="7">
        <f t="shared" si="45"/>
        <v>28</v>
      </c>
      <c r="M105" s="7">
        <f t="shared" si="46"/>
        <v>226</v>
      </c>
    </row>
    <row r="106" spans="1:13" x14ac:dyDescent="0.25">
      <c r="A106" s="23" t="s">
        <v>32</v>
      </c>
      <c r="B106" s="8" t="s">
        <v>33</v>
      </c>
      <c r="C106" s="8" t="s">
        <v>59</v>
      </c>
      <c r="D106" s="7" t="s">
        <v>60</v>
      </c>
      <c r="E106" s="7">
        <f>SUMPRODUCT((acct=$A106)*ai_full*topical*T_CULT)</f>
        <v>6</v>
      </c>
      <c r="F106" s="7">
        <f>SUMPRODUCT((acct=$A106)*is_conv*topical*T_CULT)</f>
        <v>20</v>
      </c>
      <c r="G106" s="72">
        <f t="shared" si="41"/>
        <v>0.21428571428571427</v>
      </c>
      <c r="H106" s="72">
        <f t="shared" si="41"/>
        <v>8.8495575221238937E-2</v>
      </c>
      <c r="I106" s="2">
        <f t="shared" si="42"/>
        <v>12.579013906447534</v>
      </c>
      <c r="J106" s="17">
        <f t="shared" si="43"/>
        <v>4.2902755527347978</v>
      </c>
      <c r="K106" s="53">
        <f t="shared" si="44"/>
        <v>3.8330952742710374E-2</v>
      </c>
      <c r="L106" s="7">
        <f t="shared" si="45"/>
        <v>28</v>
      </c>
      <c r="M106" s="7">
        <f t="shared" si="46"/>
        <v>226</v>
      </c>
    </row>
    <row r="107" spans="1:13" x14ac:dyDescent="0.25">
      <c r="A107" s="24" t="s">
        <v>32</v>
      </c>
      <c r="B107" s="12" t="s">
        <v>33</v>
      </c>
      <c r="C107" s="12" t="s">
        <v>61</v>
      </c>
      <c r="D107" s="11" t="s">
        <v>62</v>
      </c>
      <c r="E107" s="11">
        <f>SUMPRODUCT((acct=$A107)*ai_full*topical*T_DEF)</f>
        <v>4</v>
      </c>
      <c r="F107" s="11">
        <f>SUMPRODUCT((acct=$A107)*is_conv*topical*T_DEF)</f>
        <v>18</v>
      </c>
      <c r="G107" s="73">
        <f t="shared" si="41"/>
        <v>0.14285714285714285</v>
      </c>
      <c r="H107" s="73">
        <f t="shared" si="41"/>
        <v>7.9646017699115043E-2</v>
      </c>
      <c r="I107" s="20">
        <f t="shared" si="42"/>
        <v>6.3211125158027803</v>
      </c>
      <c r="J107" s="19">
        <f t="shared" si="43"/>
        <v>1.2582778832397385</v>
      </c>
      <c r="K107" s="54">
        <f t="shared" si="44"/>
        <v>0.26197731566683424</v>
      </c>
      <c r="L107" s="11">
        <f t="shared" si="45"/>
        <v>28</v>
      </c>
      <c r="M107" s="11">
        <f t="shared" si="46"/>
        <v>226</v>
      </c>
    </row>
    <row r="108" spans="1:13" x14ac:dyDescent="0.25">
      <c r="A108" s="23"/>
      <c r="B108" s="8"/>
      <c r="C108" s="8"/>
      <c r="D108" s="7"/>
      <c r="E108" s="7"/>
      <c r="F108" s="7"/>
      <c r="G108" s="72"/>
      <c r="H108" s="72"/>
      <c r="I108" s="2"/>
      <c r="J108" s="17"/>
      <c r="K108" s="22"/>
      <c r="L108" s="7"/>
      <c r="M108" s="7"/>
    </row>
    <row r="109" spans="1:13" x14ac:dyDescent="0.25">
      <c r="A109" s="43" t="s">
        <v>3661</v>
      </c>
      <c r="B109" s="8"/>
      <c r="C109" s="8"/>
      <c r="D109" s="7"/>
      <c r="E109" s="7"/>
      <c r="F109" s="7"/>
      <c r="G109" s="72"/>
      <c r="H109" s="72"/>
      <c r="I109" s="2"/>
      <c r="J109" s="17"/>
      <c r="K109" s="22"/>
      <c r="L109" s="7"/>
      <c r="M109" s="7"/>
    </row>
    <row r="110" spans="1:13" x14ac:dyDescent="0.25">
      <c r="A110" s="83" t="s">
        <v>1</v>
      </c>
      <c r="B110" s="84" t="s">
        <v>2</v>
      </c>
      <c r="C110" s="84" t="s">
        <v>46</v>
      </c>
      <c r="D110" s="84" t="s">
        <v>1866</v>
      </c>
      <c r="E110" s="84" t="s">
        <v>1853</v>
      </c>
      <c r="F110" s="84" t="s">
        <v>1854</v>
      </c>
      <c r="G110" s="84" t="s">
        <v>1855</v>
      </c>
      <c r="H110" s="84" t="s">
        <v>1856</v>
      </c>
      <c r="I110" s="84" t="s">
        <v>1857</v>
      </c>
      <c r="J110" s="84" t="s">
        <v>3676</v>
      </c>
      <c r="K110" s="85" t="s">
        <v>1859</v>
      </c>
      <c r="L110" s="84" t="s">
        <v>1896</v>
      </c>
      <c r="M110" s="84" t="s">
        <v>1894</v>
      </c>
    </row>
    <row r="111" spans="1:13" x14ac:dyDescent="0.25">
      <c r="A111" s="23" t="s">
        <v>26</v>
      </c>
      <c r="B111" s="8" t="s">
        <v>27</v>
      </c>
      <c r="C111" s="8" t="s">
        <v>47</v>
      </c>
      <c r="D111" s="7" t="s">
        <v>48</v>
      </c>
      <c r="E111" s="7">
        <f>SUMPRODUCT((acct=$A111)*ai_full*topical*T_IMM)</f>
        <v>9</v>
      </c>
      <c r="F111" s="7">
        <f>SUMPRODUCT((acct=$A111)*is_conv*topical*T_IMM)</f>
        <v>68</v>
      </c>
      <c r="G111" s="72">
        <f t="shared" ref="G111:H118" si="47">E111/L111</f>
        <v>0.40909090909090912</v>
      </c>
      <c r="H111" s="72">
        <f t="shared" si="47"/>
        <v>0.34693877551020408</v>
      </c>
      <c r="I111" s="2">
        <f t="shared" ref="I111:I118" si="48">(G111-H111)*100</f>
        <v>6.2152133580705033</v>
      </c>
      <c r="J111" s="17">
        <f t="shared" ref="J111:J118" si="49">IFERROR((E111+(L111-E111)+F111+(M111-F111))*(E111*(M111-F111)-(L111-E111)*F111)^2/((E111+(L111-E111))*(F111+(M111-F111))*(E111+F111)*((L111-E111)+(M111-F111))),"")</f>
        <v>0.33445484501419448</v>
      </c>
      <c r="K111" s="53">
        <f t="shared" ref="K111:K118" si="50">IFERROR(_xlfn.CHISQ.DIST.RT(J111,1),"")</f>
        <v>0.56304761393710856</v>
      </c>
      <c r="L111" s="7">
        <f t="shared" ref="L111:L118" si="51">$D$72</f>
        <v>22</v>
      </c>
      <c r="M111" s="7">
        <f t="shared" ref="M111:M118" si="52">$G$72</f>
        <v>196</v>
      </c>
    </row>
    <row r="112" spans="1:13" x14ac:dyDescent="0.25">
      <c r="A112" s="23" t="s">
        <v>26</v>
      </c>
      <c r="B112" s="8" t="s">
        <v>27</v>
      </c>
      <c r="C112" s="8" t="s">
        <v>49</v>
      </c>
      <c r="D112" s="7" t="s">
        <v>50</v>
      </c>
      <c r="E112" s="7">
        <f>SUMPRODUCT((acct=$A112)*ai_full*topical*T_ISL)</f>
        <v>0</v>
      </c>
      <c r="F112" s="7">
        <f>SUMPRODUCT((acct=$A112)*is_conv*topical*T_ISL)</f>
        <v>7</v>
      </c>
      <c r="G112" s="72">
        <f t="shared" si="47"/>
        <v>0</v>
      </c>
      <c r="H112" s="72">
        <f t="shared" si="47"/>
        <v>3.5714285714285712E-2</v>
      </c>
      <c r="I112" s="2">
        <f t="shared" si="48"/>
        <v>-3.5714285714285712</v>
      </c>
      <c r="J112" s="17">
        <f t="shared" si="49"/>
        <v>0.81178063642518616</v>
      </c>
      <c r="K112" s="53">
        <f t="shared" si="50"/>
        <v>0.36759432815705245</v>
      </c>
      <c r="L112" s="7">
        <f t="shared" si="51"/>
        <v>22</v>
      </c>
      <c r="M112" s="7">
        <f t="shared" si="52"/>
        <v>196</v>
      </c>
    </row>
    <row r="113" spans="1:18" x14ac:dyDescent="0.25">
      <c r="A113" s="23" t="s">
        <v>26</v>
      </c>
      <c r="B113" s="8" t="s">
        <v>27</v>
      </c>
      <c r="C113" s="8" t="s">
        <v>51</v>
      </c>
      <c r="D113" s="7" t="s">
        <v>52</v>
      </c>
      <c r="E113" s="7">
        <f>SUMPRODUCT((acct=$A113)*ai_full*topical*T_CRI)</f>
        <v>0</v>
      </c>
      <c r="F113" s="7">
        <f>SUMPRODUCT((acct=$A113)*is_conv*topical*T_CRI)</f>
        <v>46</v>
      </c>
      <c r="G113" s="72">
        <f t="shared" si="47"/>
        <v>0</v>
      </c>
      <c r="H113" s="72">
        <f t="shared" si="47"/>
        <v>0.23469387755102042</v>
      </c>
      <c r="I113" s="2">
        <f t="shared" si="48"/>
        <v>-23.469387755102041</v>
      </c>
      <c r="J113" s="17">
        <f t="shared" si="49"/>
        <v>6.5441385856668246</v>
      </c>
      <c r="K113" s="53">
        <f t="shared" si="50"/>
        <v>1.0523026661513024E-2</v>
      </c>
      <c r="L113" s="7">
        <f t="shared" si="51"/>
        <v>22</v>
      </c>
      <c r="M113" s="7">
        <f t="shared" si="52"/>
        <v>196</v>
      </c>
    </row>
    <row r="114" spans="1:18" x14ac:dyDescent="0.25">
      <c r="A114" s="23" t="s">
        <v>26</v>
      </c>
      <c r="B114" s="8" t="s">
        <v>27</v>
      </c>
      <c r="C114" s="8" t="s">
        <v>53</v>
      </c>
      <c r="D114" s="7" t="s">
        <v>54</v>
      </c>
      <c r="E114" s="7">
        <f>SUMPRODUCT((acct=$A114)*ai_full*topical*T_SOV)</f>
        <v>19</v>
      </c>
      <c r="F114" s="7">
        <f>SUMPRODUCT((acct=$A114)*is_conv*topical*T_SOV)</f>
        <v>96</v>
      </c>
      <c r="G114" s="72">
        <f t="shared" si="47"/>
        <v>0.86363636363636365</v>
      </c>
      <c r="H114" s="72">
        <f t="shared" si="47"/>
        <v>0.48979591836734693</v>
      </c>
      <c r="I114" s="2">
        <f t="shared" si="48"/>
        <v>37.384044526901675</v>
      </c>
      <c r="J114" s="17">
        <f t="shared" si="49"/>
        <v>11.091052251131851</v>
      </c>
      <c r="K114" s="53">
        <f t="shared" si="50"/>
        <v>8.674524916408063E-4</v>
      </c>
      <c r="L114" s="7">
        <f t="shared" si="51"/>
        <v>22</v>
      </c>
      <c r="M114" s="7">
        <f t="shared" si="52"/>
        <v>196</v>
      </c>
    </row>
    <row r="115" spans="1:18" x14ac:dyDescent="0.25">
      <c r="A115" s="23" t="s">
        <v>26</v>
      </c>
      <c r="B115" s="8" t="s">
        <v>27</v>
      </c>
      <c r="C115" s="8" t="s">
        <v>55</v>
      </c>
      <c r="D115" s="7" t="s">
        <v>56</v>
      </c>
      <c r="E115" s="7">
        <f>SUMPRODUCT((acct=$A115)*ai_full*topical*T_ECON)</f>
        <v>5</v>
      </c>
      <c r="F115" s="7">
        <f>SUMPRODUCT((acct=$A115)*is_conv*topical*T_ECON)</f>
        <v>55</v>
      </c>
      <c r="G115" s="72">
        <f t="shared" si="47"/>
        <v>0.22727272727272727</v>
      </c>
      <c r="H115" s="72">
        <f t="shared" si="47"/>
        <v>0.28061224489795916</v>
      </c>
      <c r="I115" s="2">
        <f t="shared" si="48"/>
        <v>-5.3339517625231894</v>
      </c>
      <c r="J115" s="17">
        <f t="shared" si="49"/>
        <v>0.2821142841486422</v>
      </c>
      <c r="K115" s="53">
        <f t="shared" si="50"/>
        <v>0.59531877684221879</v>
      </c>
      <c r="L115" s="7">
        <f t="shared" si="51"/>
        <v>22</v>
      </c>
      <c r="M115" s="7">
        <f t="shared" si="52"/>
        <v>196</v>
      </c>
    </row>
    <row r="116" spans="1:18" x14ac:dyDescent="0.25">
      <c r="A116" s="23" t="s">
        <v>26</v>
      </c>
      <c r="B116" s="8" t="s">
        <v>27</v>
      </c>
      <c r="C116" s="8" t="s">
        <v>57</v>
      </c>
      <c r="D116" s="7" t="s">
        <v>58</v>
      </c>
      <c r="E116" s="7">
        <f>SUMPRODUCT((acct=$A116)*ai_full*topical*T_LAND)</f>
        <v>5</v>
      </c>
      <c r="F116" s="7">
        <f>SUMPRODUCT((acct=$A116)*is_conv*topical*T_LAND)</f>
        <v>45</v>
      </c>
      <c r="G116" s="72">
        <f t="shared" si="47"/>
        <v>0.22727272727272727</v>
      </c>
      <c r="H116" s="72">
        <f t="shared" si="47"/>
        <v>0.22959183673469388</v>
      </c>
      <c r="I116" s="2">
        <f t="shared" si="48"/>
        <v>-0.23191094619666175</v>
      </c>
      <c r="J116" s="17">
        <f t="shared" si="49"/>
        <v>6.0186412227228553E-4</v>
      </c>
      <c r="K116" s="53">
        <f t="shared" si="50"/>
        <v>0.98042752592270765</v>
      </c>
      <c r="L116" s="7">
        <f t="shared" si="51"/>
        <v>22</v>
      </c>
      <c r="M116" s="7">
        <f t="shared" si="52"/>
        <v>196</v>
      </c>
    </row>
    <row r="117" spans="1:18" x14ac:dyDescent="0.25">
      <c r="A117" s="23" t="s">
        <v>26</v>
      </c>
      <c r="B117" s="8" t="s">
        <v>27</v>
      </c>
      <c r="C117" s="8" t="s">
        <v>59</v>
      </c>
      <c r="D117" s="7" t="s">
        <v>60</v>
      </c>
      <c r="E117" s="7">
        <f>SUMPRODUCT((acct=$A117)*ai_full*topical*T_CULT)</f>
        <v>0</v>
      </c>
      <c r="F117" s="7">
        <f>SUMPRODUCT((acct=$A117)*is_conv*topical*T_CULT)</f>
        <v>10</v>
      </c>
      <c r="G117" s="72">
        <f t="shared" si="47"/>
        <v>0</v>
      </c>
      <c r="H117" s="72">
        <f t="shared" si="47"/>
        <v>5.1020408163265307E-2</v>
      </c>
      <c r="I117" s="2">
        <f t="shared" si="48"/>
        <v>-5.1020408163265305</v>
      </c>
      <c r="J117" s="17">
        <f t="shared" si="49"/>
        <v>1.1764128728414442</v>
      </c>
      <c r="K117" s="53">
        <f t="shared" si="50"/>
        <v>0.27808747503660608</v>
      </c>
      <c r="L117" s="7">
        <f t="shared" si="51"/>
        <v>22</v>
      </c>
      <c r="M117" s="7">
        <f t="shared" si="52"/>
        <v>196</v>
      </c>
    </row>
    <row r="118" spans="1:18" x14ac:dyDescent="0.25">
      <c r="A118" s="24" t="s">
        <v>26</v>
      </c>
      <c r="B118" s="12" t="s">
        <v>27</v>
      </c>
      <c r="C118" s="12" t="s">
        <v>61</v>
      </c>
      <c r="D118" s="11" t="s">
        <v>62</v>
      </c>
      <c r="E118" s="11">
        <f>SUMPRODUCT((acct=$A118)*ai_full*topical*T_DEF)</f>
        <v>1</v>
      </c>
      <c r="F118" s="11">
        <f>SUMPRODUCT((acct=$A118)*is_conv*topical*T_DEF)</f>
        <v>3</v>
      </c>
      <c r="G118" s="73">
        <f t="shared" si="47"/>
        <v>4.5454545454545456E-2</v>
      </c>
      <c r="H118" s="73">
        <f t="shared" si="47"/>
        <v>1.5306122448979591E-2</v>
      </c>
      <c r="I118" s="20">
        <f t="shared" si="48"/>
        <v>3.0148423005565865</v>
      </c>
      <c r="J118" s="19">
        <f t="shared" si="49"/>
        <v>0.99813821025436511</v>
      </c>
      <c r="K118" s="54">
        <f t="shared" si="50"/>
        <v>0.31776142623422832</v>
      </c>
      <c r="L118" s="11">
        <f t="shared" si="51"/>
        <v>22</v>
      </c>
      <c r="M118" s="11">
        <f t="shared" si="52"/>
        <v>196</v>
      </c>
    </row>
    <row r="120" spans="1:18" ht="15.6" customHeight="1" x14ac:dyDescent="0.25">
      <c r="A120" s="106" t="s">
        <v>3843</v>
      </c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</row>
    <row r="122" spans="1:18" ht="15.6" customHeight="1" x14ac:dyDescent="0.25">
      <c r="A122" s="107" t="s">
        <v>3844</v>
      </c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</row>
    <row r="123" spans="1:18" ht="15.6" customHeight="1" x14ac:dyDescent="0.25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</row>
    <row r="124" spans="1:18" ht="15" customHeight="1" x14ac:dyDescent="0.25"/>
    <row r="125" spans="1:18" ht="15" customHeight="1" x14ac:dyDescent="0.25"/>
    <row r="126" spans="1:18" ht="26.25" customHeight="1" x14ac:dyDescent="0.25">
      <c r="A126" s="9" t="s">
        <v>1870</v>
      </c>
      <c r="B126" s="10" t="s">
        <v>1853</v>
      </c>
      <c r="C126" s="10" t="s">
        <v>1854</v>
      </c>
      <c r="D126" s="10" t="s">
        <v>1855</v>
      </c>
      <c r="E126" s="10" t="s">
        <v>1856</v>
      </c>
    </row>
    <row r="127" spans="1:18" ht="15" customHeight="1" x14ac:dyDescent="0.25">
      <c r="A127" s="52" t="s">
        <v>1871</v>
      </c>
      <c r="B127" s="7" cm="1">
        <f t="array" ref="B127">SUMPRODUCT(is_ai*(n_top=0))</f>
        <v>27</v>
      </c>
      <c r="C127" s="7" cm="1">
        <f t="array" ref="C127">SUMPRODUCT(is_conv*(n_top=0))</f>
        <v>1281</v>
      </c>
      <c r="D127" s="72">
        <f>IF($B$133&gt;0,B127/$B$133,0)</f>
        <v>0.12442396313364056</v>
      </c>
      <c r="E127" s="72">
        <f>IF($C$133&gt;0,C127/$C$133,0)</f>
        <v>0.34233030464991981</v>
      </c>
    </row>
    <row r="128" spans="1:18" ht="15" customHeight="1" x14ac:dyDescent="0.25">
      <c r="A128" s="52" t="s">
        <v>1872</v>
      </c>
      <c r="B128" s="7" cm="1">
        <f t="array" ref="B128">SUMPRODUCT(is_ai*(n_top=1))</f>
        <v>72</v>
      </c>
      <c r="C128" s="7" cm="1">
        <f t="array" ref="C128">SUMPRODUCT(is_conv*(n_top=1))</f>
        <v>1289</v>
      </c>
      <c r="D128" s="72">
        <f>IF($B$133&gt;0,B128/$B$133,0)</f>
        <v>0.33179723502304148</v>
      </c>
      <c r="E128" s="72">
        <f>IF($C$133&gt;0,C128/$C$133,0)</f>
        <v>0.34446819882415819</v>
      </c>
    </row>
    <row r="129" spans="1:5" ht="15" customHeight="1" x14ac:dyDescent="0.25">
      <c r="A129" s="52" t="s">
        <v>1873</v>
      </c>
      <c r="B129" s="7" cm="1">
        <f t="array" ref="B129">SUMPRODUCT(is_ai*(n_top=2))</f>
        <v>79</v>
      </c>
      <c r="C129" s="7" cm="1">
        <f t="array" ref="C129">SUMPRODUCT(is_conv*(n_top=2))</f>
        <v>730</v>
      </c>
      <c r="D129" s="72">
        <f>IF($B$133&gt;0,B129/$B$133,0)</f>
        <v>0.36405529953917048</v>
      </c>
      <c r="E129" s="72">
        <f>IF($C$133&gt;0,C129/$C$133,0)</f>
        <v>0.19508284339925175</v>
      </c>
    </row>
    <row r="130" spans="1:5" ht="15" customHeight="1" x14ac:dyDescent="0.25">
      <c r="A130" s="14" t="s">
        <v>1874</v>
      </c>
      <c r="B130" s="11" cm="1">
        <f t="array" ref="B130">SUMPRODUCT(is_ai*(n_top&gt;=3))</f>
        <v>39</v>
      </c>
      <c r="C130" s="11" cm="1">
        <f t="array" ref="C130">SUMPRODUCT(is_conv*(n_top&gt;=3))</f>
        <v>442</v>
      </c>
      <c r="D130" s="73">
        <f>IF($B$133&gt;0,B130/$B$133,0)</f>
        <v>0.17972350230414746</v>
      </c>
      <c r="E130" s="73">
        <f>IF($C$133&gt;0,C130/$C$133,0)</f>
        <v>0.11811865312667023</v>
      </c>
    </row>
    <row r="131" spans="1:5" ht="15" customHeight="1" x14ac:dyDescent="0.25"/>
    <row r="132" spans="1:5" ht="26.25" customHeight="1" x14ac:dyDescent="0.25">
      <c r="A132" s="74" t="s">
        <v>1875</v>
      </c>
      <c r="B132" s="21">
        <f>IF(B133&gt;0,SUMPRODUCT(is_ai,n_top)/B133,0)</f>
        <v>1.6682027649769586</v>
      </c>
      <c r="C132" s="21">
        <f>IF(C133&gt;0,SUMPRODUCT(is_conv,n_top)/C133,0)</f>
        <v>1.1520577231427045</v>
      </c>
    </row>
    <row r="133" spans="1:5" ht="15" customHeight="1" x14ac:dyDescent="0.25">
      <c r="A133" s="80" t="s">
        <v>1869</v>
      </c>
      <c r="B133" s="78">
        <f>SUM(is_ai)</f>
        <v>217</v>
      </c>
      <c r="C133" s="78">
        <f>SUM(is_conv)</f>
        <v>3742</v>
      </c>
    </row>
  </sheetData>
  <mergeCells count="23">
    <mergeCell ref="A1:R1"/>
    <mergeCell ref="A2:O2"/>
    <mergeCell ref="A17:O17"/>
    <mergeCell ref="A29:J29"/>
    <mergeCell ref="A30:J30"/>
    <mergeCell ref="A31:J31"/>
    <mergeCell ref="A32:J32"/>
    <mergeCell ref="A33:J33"/>
    <mergeCell ref="A34:J34"/>
    <mergeCell ref="A45:J45"/>
    <mergeCell ref="A56:J56"/>
    <mergeCell ref="A58:M58"/>
    <mergeCell ref="A59:M59"/>
    <mergeCell ref="A60:M60"/>
    <mergeCell ref="A61:M61"/>
    <mergeCell ref="A120:M120"/>
    <mergeCell ref="A122:R122"/>
    <mergeCell ref="A123:R123"/>
    <mergeCell ref="A62:M62"/>
    <mergeCell ref="A63:M63"/>
    <mergeCell ref="A65:M65"/>
    <mergeCell ref="A67:M67"/>
    <mergeCell ref="A75:M7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06A9-D7F9-42F0-8D28-F0FE44500A76}">
  <sheetPr>
    <tabColor theme="5"/>
  </sheetPr>
  <dimension ref="A1:U139"/>
  <sheetViews>
    <sheetView showGridLines="0" zoomScale="130" zoomScaleNormal="130" workbookViewId="0">
      <selection activeCell="A66" sqref="A66"/>
    </sheetView>
  </sheetViews>
  <sheetFormatPr defaultRowHeight="15" x14ac:dyDescent="0.25"/>
  <cols>
    <col min="1" max="1" width="46.7109375" customWidth="1"/>
    <col min="2" max="2" width="17" customWidth="1"/>
    <col min="3" max="3" width="15" customWidth="1"/>
    <col min="4" max="4" width="42.7109375" customWidth="1"/>
    <col min="5" max="5" width="15" customWidth="1"/>
    <col min="6" max="6" width="10.140625" customWidth="1"/>
    <col min="8" max="9" width="11" customWidth="1"/>
  </cols>
  <sheetData>
    <row r="1" spans="1:21" ht="15.6" customHeight="1" x14ac:dyDescent="0.25">
      <c r="A1" s="108" t="s">
        <v>3681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21" ht="27.95" customHeight="1" x14ac:dyDescent="0.25">
      <c r="A2" s="122" t="s">
        <v>3845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1:21" ht="27.95" customHeight="1" x14ac:dyDescent="0.25">
      <c r="A3" s="122" t="s">
        <v>3846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21" ht="27.95" customHeight="1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</row>
    <row r="5" spans="1:21" ht="15.6" customHeight="1" x14ac:dyDescent="0.25">
      <c r="A5" s="122" t="s">
        <v>3847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</row>
    <row r="6" spans="1:21" ht="15.6" customHeight="1" x14ac:dyDescent="0.25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</row>
    <row r="7" spans="1:21" ht="15.6" customHeight="1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</row>
    <row r="8" spans="1:21" ht="15.6" customHeight="1" x14ac:dyDescent="0.25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</row>
    <row r="10" spans="1:21" x14ac:dyDescent="0.25">
      <c r="A10" s="70" t="s">
        <v>3017</v>
      </c>
    </row>
    <row r="11" spans="1:21" x14ac:dyDescent="0.25">
      <c r="A11" s="7" t="s">
        <v>3016</v>
      </c>
      <c r="B11" s="7">
        <f>SUM(Register_AI!$P$2:$P$288)</f>
        <v>217</v>
      </c>
    </row>
    <row r="12" spans="1:21" x14ac:dyDescent="0.25">
      <c r="A12" s="7" t="s">
        <v>3015</v>
      </c>
      <c r="B12" s="7">
        <f>SUM(Register_Conv!$P$2:$P$487)</f>
        <v>444</v>
      </c>
    </row>
    <row r="14" spans="1:21" x14ac:dyDescent="0.25">
      <c r="A14" s="86" t="s">
        <v>3656</v>
      </c>
    </row>
    <row r="15" spans="1:21" x14ac:dyDescent="0.25">
      <c r="A15" s="37" t="s">
        <v>3866</v>
      </c>
    </row>
    <row r="16" spans="1:21" x14ac:dyDescent="0.25">
      <c r="A16" s="9" t="s">
        <v>2</v>
      </c>
      <c r="B16" s="10" t="s">
        <v>1853</v>
      </c>
      <c r="C16" s="10" t="s">
        <v>1854</v>
      </c>
      <c r="D16" s="10" t="s">
        <v>1855</v>
      </c>
      <c r="E16" s="10" t="s">
        <v>1856</v>
      </c>
      <c r="F16" s="10" t="s">
        <v>1857</v>
      </c>
      <c r="G16" s="10" t="s">
        <v>3676</v>
      </c>
      <c r="H16" s="71" t="s">
        <v>1859</v>
      </c>
    </row>
    <row r="17" spans="1:8" x14ac:dyDescent="0.25">
      <c r="A17" s="13" t="s">
        <v>3026</v>
      </c>
      <c r="B17" s="7">
        <f>SUMPRODUCT((Register_AI!$G$2:$G$288="own_leader")*Register_AI!$P$2:$P$288)</f>
        <v>14</v>
      </c>
      <c r="C17" s="7">
        <f>SUMPRODUCT((Register_Conv!$G$2:$G$487="own_leader")*Register_Conv!$P$2:$P$487)</f>
        <v>223</v>
      </c>
      <c r="D17" s="72">
        <f t="shared" ref="D17:D26" si="0">B17/$B$11</f>
        <v>6.4516129032258063E-2</v>
      </c>
      <c r="E17" s="72">
        <f t="shared" ref="E17:E26" si="1">C17/$B$12</f>
        <v>0.50225225225225223</v>
      </c>
      <c r="F17" s="2">
        <f t="shared" ref="F17:F26" si="2">(D17-E17)*100</f>
        <v>-43.773612321999416</v>
      </c>
      <c r="G17" s="17">
        <f t="shared" ref="G17:G26" si="3">IFERROR((B17+($B$11-B17)+C17+($B$12-C17))*(B17*($B$12-C17)-($B$11-B17)*C17)^2/((B17+($B$11-B17))*(C17+($B$12-C17))*(B17+C17)*(($B$11-B17)+($B$12-C17))),"")</f>
        <v>121.43803617234846</v>
      </c>
      <c r="H17" s="53">
        <f t="shared" ref="H17:H26" si="4">IFERROR(_xlfn.CHISQ.DIST.RT(G17,1),"")</f>
        <v>3.0642396268303484E-28</v>
      </c>
    </row>
    <row r="18" spans="1:8" x14ac:dyDescent="0.25">
      <c r="A18" s="13" t="s">
        <v>3863</v>
      </c>
      <c r="B18" s="7">
        <f>SUMPRODUCT((Register_AI!$G$2:$G$288="party_politician")*Register_AI!$P$2:$P$288)</f>
        <v>0</v>
      </c>
      <c r="C18" s="7">
        <f>SUMPRODUCT((Register_Conv!$G$2:$G$487="party_politician")*Register_Conv!$P$2:$P$487)</f>
        <v>47</v>
      </c>
      <c r="D18" s="72">
        <f t="shared" si="0"/>
        <v>0</v>
      </c>
      <c r="E18" s="72">
        <f t="shared" si="1"/>
        <v>0.10585585585585586</v>
      </c>
      <c r="F18" s="2">
        <f t="shared" si="2"/>
        <v>-10.585585585585585</v>
      </c>
      <c r="G18" s="17">
        <f t="shared" si="3"/>
        <v>24.729065792176542</v>
      </c>
      <c r="H18" s="53">
        <f t="shared" si="4"/>
        <v>6.5981574723972289E-7</v>
      </c>
    </row>
    <row r="19" spans="1:8" x14ac:dyDescent="0.25">
      <c r="A19" s="13" t="s">
        <v>3025</v>
      </c>
      <c r="B19" s="7">
        <f>SUMPRODUCT((Register_AI!$G$2:$G$288="politician")*Register_AI!$P$2:$P$288)</f>
        <v>25</v>
      </c>
      <c r="C19" s="7">
        <f>SUMPRODUCT((Register_Conv!$G$2:$G$487="politician")*Register_Conv!$P$2:$P$487)</f>
        <v>59</v>
      </c>
      <c r="D19" s="72">
        <f t="shared" si="0"/>
        <v>0.1152073732718894</v>
      </c>
      <c r="E19" s="72">
        <f t="shared" si="1"/>
        <v>0.13288288288288289</v>
      </c>
      <c r="F19" s="2">
        <f t="shared" si="2"/>
        <v>-1.7675509610993485</v>
      </c>
      <c r="G19" s="17">
        <f t="shared" si="3"/>
        <v>0.41051870688767794</v>
      </c>
      <c r="H19" s="53">
        <f t="shared" si="4"/>
        <v>0.52170634759777701</v>
      </c>
    </row>
    <row r="20" spans="1:8" x14ac:dyDescent="0.25">
      <c r="A20" s="13" t="s">
        <v>3024</v>
      </c>
      <c r="B20" s="7">
        <f>SUMPRODUCT((Register_AI!$G$2:$G$288="individual")*Register_AI!$P$2:$P$288)</f>
        <v>107</v>
      </c>
      <c r="C20" s="7">
        <f>SUMPRODUCT((Register_Conv!$G$2:$G$487="individual")*Register_Conv!$P$2:$P$487)</f>
        <v>39</v>
      </c>
      <c r="D20" s="72">
        <f t="shared" si="0"/>
        <v>0.49308755760368661</v>
      </c>
      <c r="E20" s="72">
        <f t="shared" si="1"/>
        <v>8.7837837837837843E-2</v>
      </c>
      <c r="F20" s="2">
        <f t="shared" si="2"/>
        <v>40.524971976584879</v>
      </c>
      <c r="G20" s="17">
        <f t="shared" si="3"/>
        <v>139.10076710677285</v>
      </c>
      <c r="H20" s="53">
        <f t="shared" si="4"/>
        <v>4.1865816861485923E-32</v>
      </c>
    </row>
    <row r="21" spans="1:8" x14ac:dyDescent="0.25">
      <c r="A21" s="13" t="s">
        <v>3023</v>
      </c>
      <c r="B21" s="7">
        <f>SUMPRODUCT((Register_AI!$G$2:$G$288="mass")*Register_AI!$P$2:$P$288)</f>
        <v>25</v>
      </c>
      <c r="C21" s="7">
        <f>SUMPRODUCT((Register_Conv!$G$2:$G$487="mass")*Register_Conv!$P$2:$P$487)</f>
        <v>25</v>
      </c>
      <c r="D21" s="72">
        <f t="shared" si="0"/>
        <v>0.1152073732718894</v>
      </c>
      <c r="E21" s="72">
        <f t="shared" si="1"/>
        <v>5.6306306306306307E-2</v>
      </c>
      <c r="F21" s="2">
        <f t="shared" si="2"/>
        <v>5.8901066965583091</v>
      </c>
      <c r="G21" s="17">
        <f t="shared" si="3"/>
        <v>7.2323472954049484</v>
      </c>
      <c r="H21" s="53">
        <f t="shared" si="4"/>
        <v>7.1601527883481909E-3</v>
      </c>
    </row>
    <row r="22" spans="1:8" x14ac:dyDescent="0.25">
      <c r="A22" s="13" t="s">
        <v>3022</v>
      </c>
      <c r="B22" s="7">
        <f>SUMPRODUCT((Register_AI!$G$2:$G$288="institution")*Register_AI!$P$2:$P$288)</f>
        <v>12</v>
      </c>
      <c r="C22" s="7">
        <f>SUMPRODUCT((Register_Conv!$G$2:$G$487="institution")*Register_Conv!$P$2:$P$487)</f>
        <v>7</v>
      </c>
      <c r="D22" s="72">
        <f t="shared" si="0"/>
        <v>5.5299539170506916E-2</v>
      </c>
      <c r="E22" s="72">
        <f t="shared" si="1"/>
        <v>1.5765765765765764E-2</v>
      </c>
      <c r="F22" s="2">
        <f t="shared" si="2"/>
        <v>3.9533773404741153</v>
      </c>
      <c r="G22" s="17">
        <f t="shared" si="3"/>
        <v>8.160035944910117</v>
      </c>
      <c r="H22" s="53">
        <f t="shared" si="4"/>
        <v>4.2823522560627662E-3</v>
      </c>
    </row>
    <row r="23" spans="1:8" x14ac:dyDescent="0.25">
      <c r="A23" s="13" t="s">
        <v>3021</v>
      </c>
      <c r="B23" s="7">
        <f>SUMPRODUCT((Register_AI!$G$2:$G$288="economy")*Register_AI!$P$2:$P$288)</f>
        <v>9</v>
      </c>
      <c r="C23" s="7">
        <f>SUMPRODUCT((Register_Conv!$G$2:$G$487="economy")*Register_Conv!$P$2:$P$487)</f>
        <v>4</v>
      </c>
      <c r="D23" s="72">
        <f t="shared" si="0"/>
        <v>4.1474654377880185E-2</v>
      </c>
      <c r="E23" s="72">
        <f t="shared" si="1"/>
        <v>9.0090090090090089E-3</v>
      </c>
      <c r="F23" s="2">
        <f t="shared" si="2"/>
        <v>3.2465645368871177</v>
      </c>
      <c r="G23" s="17">
        <f t="shared" si="3"/>
        <v>7.9684506279488359</v>
      </c>
      <c r="H23" s="53">
        <f t="shared" si="4"/>
        <v>4.7599663912333296E-3</v>
      </c>
    </row>
    <row r="24" spans="1:8" x14ac:dyDescent="0.25">
      <c r="A24" s="13" t="s">
        <v>3020</v>
      </c>
      <c r="B24" s="7">
        <f>SUMPRODUCT((Register_AI!$G$2:$G$288="place")*Register_AI!$P$2:$P$288)</f>
        <v>6</v>
      </c>
      <c r="C24" s="7">
        <f>SUMPRODUCT((Register_Conv!$G$2:$G$487="place")*Register_Conv!$P$2:$P$487)</f>
        <v>7</v>
      </c>
      <c r="D24" s="72">
        <f t="shared" si="0"/>
        <v>2.7649769585253458E-2</v>
      </c>
      <c r="E24" s="72">
        <f t="shared" si="1"/>
        <v>1.5765765765765764E-2</v>
      </c>
      <c r="F24" s="2">
        <f t="shared" si="2"/>
        <v>1.1884003819487694</v>
      </c>
      <c r="G24" s="17">
        <f t="shared" si="3"/>
        <v>1.067705231571719</v>
      </c>
      <c r="H24" s="53">
        <f t="shared" si="4"/>
        <v>0.30146435546094291</v>
      </c>
    </row>
    <row r="25" spans="1:8" x14ac:dyDescent="0.25">
      <c r="A25" s="13" t="s">
        <v>3019</v>
      </c>
      <c r="B25" s="7">
        <f>SUMPRODUCT((Register_AI!$G$2:$G$288="object")*Register_AI!$P$2:$P$288)</f>
        <v>17</v>
      </c>
      <c r="C25" s="7">
        <f>SUMPRODUCT((Register_Conv!$G$2:$G$487="object")*Register_Conv!$P$2:$P$487)</f>
        <v>21</v>
      </c>
      <c r="D25" s="72">
        <f t="shared" si="0"/>
        <v>7.8341013824884786E-2</v>
      </c>
      <c r="E25" s="72">
        <f t="shared" si="1"/>
        <v>4.72972972972973E-2</v>
      </c>
      <c r="F25" s="2">
        <f t="shared" si="2"/>
        <v>3.1043716527587488</v>
      </c>
      <c r="G25" s="17">
        <f t="shared" si="3"/>
        <v>2.5925070036573197</v>
      </c>
      <c r="H25" s="53">
        <f t="shared" si="4"/>
        <v>0.10737026615632383</v>
      </c>
    </row>
    <row r="26" spans="1:8" x14ac:dyDescent="0.25">
      <c r="A26" s="14" t="s">
        <v>3018</v>
      </c>
      <c r="B26" s="11">
        <f>SUMPRODUCT((Register_AI!$G$2:$G$288="none")*Register_AI!$P$2:$P$288)</f>
        <v>2</v>
      </c>
      <c r="C26" s="11">
        <f>SUMPRODUCT((Register_Conv!$G$2:$G$487="none")*Register_Conv!$P$2:$P$487)</f>
        <v>12</v>
      </c>
      <c r="D26" s="73">
        <f t="shared" si="0"/>
        <v>9.2165898617511521E-3</v>
      </c>
      <c r="E26" s="73">
        <f t="shared" si="1"/>
        <v>2.7027027027027029E-2</v>
      </c>
      <c r="F26" s="20">
        <f t="shared" si="2"/>
        <v>-1.7810437165275874</v>
      </c>
      <c r="G26" s="19">
        <f t="shared" si="3"/>
        <v>2.2302883005167211</v>
      </c>
      <c r="H26" s="54">
        <f t="shared" si="4"/>
        <v>0.13532859432042177</v>
      </c>
    </row>
    <row r="27" spans="1:8" x14ac:dyDescent="0.25">
      <c r="A27" s="37" t="s">
        <v>3848</v>
      </c>
    </row>
    <row r="28" spans="1:8" x14ac:dyDescent="0.25">
      <c r="A28" s="74" t="s">
        <v>1865</v>
      </c>
      <c r="B28" s="75">
        <f>SUM(Register_AI!$T$2:$T$288)</f>
        <v>37</v>
      </c>
      <c r="C28" s="76"/>
      <c r="D28" s="87">
        <f>B28/$B$11</f>
        <v>0.17050691244239632</v>
      </c>
    </row>
    <row r="29" spans="1:8" x14ac:dyDescent="0.25">
      <c r="A29" s="77" t="s">
        <v>1886</v>
      </c>
      <c r="B29" s="78">
        <f>SUM(Register_Conv!$T$2:$T$487)</f>
        <v>240</v>
      </c>
      <c r="C29" s="79"/>
      <c r="D29" s="88">
        <f>B29/$B$12</f>
        <v>0.54054054054054057</v>
      </c>
    </row>
    <row r="31" spans="1:8" x14ac:dyDescent="0.25">
      <c r="A31" s="37" t="s">
        <v>3864</v>
      </c>
    </row>
    <row r="32" spans="1:8" x14ac:dyDescent="0.25">
      <c r="A32" s="74" t="s">
        <v>1865</v>
      </c>
      <c r="B32" s="75">
        <f>SUMPRODUCT(Register_AI!$P$2:$P$288*(((Register_AI!$G$2:$G$288="party_politician")+(Register_AI!$I$2:$I$288="party_politician")+(Register_AI!$K$2:$K$288="party_politician"))&gt;0))</f>
        <v>11</v>
      </c>
      <c r="D32" s="87">
        <f>B32/$B$11</f>
        <v>5.0691244239631339E-2</v>
      </c>
    </row>
    <row r="33" spans="1:21" x14ac:dyDescent="0.25">
      <c r="A33" s="77" t="s">
        <v>1886</v>
      </c>
      <c r="B33" s="78">
        <f>SUMPRODUCT(Register_Conv!$P$2:$P$487*(((Register_Conv!$G$2:$G$487="party_politician")+(Register_Conv!$I$2:$I$487="party_politician")+(Register_Conv!$K$2:$K$487="party_politician"))&gt;0))</f>
        <v>77</v>
      </c>
      <c r="D33" s="88">
        <f>B33/$B$12</f>
        <v>0.17342342342342343</v>
      </c>
    </row>
    <row r="35" spans="1:21" ht="15.6" customHeight="1" x14ac:dyDescent="0.25">
      <c r="A35" s="106" t="s">
        <v>3867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</row>
    <row r="37" spans="1:21" x14ac:dyDescent="0.25">
      <c r="A37" s="9"/>
      <c r="B37" s="10" t="s">
        <v>3041</v>
      </c>
      <c r="C37" s="10" t="s">
        <v>3040</v>
      </c>
      <c r="D37" s="10" t="s">
        <v>3039</v>
      </c>
      <c r="E37" s="10" t="s">
        <v>1886</v>
      </c>
    </row>
    <row r="38" spans="1:21" x14ac:dyDescent="0.25">
      <c r="A38" s="13" t="s">
        <v>3035</v>
      </c>
      <c r="B38" s="8">
        <f>COUNTIFS(Register_AI!$F$2:$F$288,0,Register_AI!$H$2:$H$288,"none")</f>
        <v>51</v>
      </c>
      <c r="C38" s="8">
        <f>COUNTIFS(Register_Conv!$F$2:$F$487,0,Register_Conv!$H$2:$H$487,"none")</f>
        <v>306</v>
      </c>
      <c r="D38" s="38">
        <f t="shared" ref="D38:E45" si="5">B38/B$46</f>
        <v>0.23502304147465439</v>
      </c>
      <c r="E38" s="38">
        <f t="shared" si="5"/>
        <v>0.68918918918918914</v>
      </c>
    </row>
    <row r="39" spans="1:21" x14ac:dyDescent="0.25">
      <c r="A39" s="13" t="s">
        <v>3034</v>
      </c>
      <c r="B39" s="8">
        <f>COUNTIFS(Register_AI!$F$2:$F$288,0,Register_AI!$H$2:$H$288,"menace")</f>
        <v>39</v>
      </c>
      <c r="C39" s="8">
        <f>COUNTIFS(Register_Conv!$F$2:$F$487,0,Register_Conv!$H$2:$H$487,"menace")</f>
        <v>19</v>
      </c>
      <c r="D39" s="38">
        <f t="shared" si="5"/>
        <v>0.17972350230414746</v>
      </c>
      <c r="E39" s="38">
        <f t="shared" si="5"/>
        <v>4.2792792792792793E-2</v>
      </c>
    </row>
    <row r="40" spans="1:21" x14ac:dyDescent="0.25">
      <c r="A40" s="13" t="s">
        <v>3033</v>
      </c>
      <c r="B40" s="8">
        <f>COUNTIFS(Register_AI!$F$2:$F$288,0,Register_AI!$H$2:$H$288,"othering")</f>
        <v>15</v>
      </c>
      <c r="C40" s="8">
        <f>COUNTIFS(Register_Conv!$F$2:$F$487,0,Register_Conv!$H$2:$H$487,"othering")</f>
        <v>5</v>
      </c>
      <c r="D40" s="38">
        <f t="shared" si="5"/>
        <v>6.9124423963133647E-2</v>
      </c>
      <c r="E40" s="38">
        <f t="shared" si="5"/>
        <v>1.1261261261261261E-2</v>
      </c>
    </row>
    <row r="41" spans="1:21" x14ac:dyDescent="0.25">
      <c r="A41" s="13" t="s">
        <v>3032</v>
      </c>
      <c r="B41" s="8">
        <f>COUNTIFS(Register_AI!$F$2:$F$288,0,Register_AI!$H$2:$H$288,"ridicule")</f>
        <v>16</v>
      </c>
      <c r="C41" s="8">
        <f>COUNTIFS(Register_Conv!$F$2:$F$487,0,Register_Conv!$H$2:$H$487,"ridicule")</f>
        <v>3</v>
      </c>
      <c r="D41" s="38">
        <f t="shared" si="5"/>
        <v>7.3732718894009217E-2</v>
      </c>
      <c r="E41" s="38">
        <f t="shared" si="5"/>
        <v>6.7567567567567571E-3</v>
      </c>
    </row>
    <row r="42" spans="1:21" x14ac:dyDescent="0.25">
      <c r="A42" s="13" t="s">
        <v>3031</v>
      </c>
      <c r="B42" s="8">
        <f>COUNTIFS(Register_AI!$F$2:$F$288,0,Register_AI!$H$2:$H$288,"blame")</f>
        <v>4</v>
      </c>
      <c r="C42" s="8">
        <f>COUNTIFS(Register_Conv!$F$2:$F$487,0,Register_Conv!$H$2:$H$487,"blame")</f>
        <v>5</v>
      </c>
      <c r="D42" s="38">
        <f t="shared" si="5"/>
        <v>1.8433179723502304E-2</v>
      </c>
      <c r="E42" s="38">
        <f t="shared" si="5"/>
        <v>1.1261261261261261E-2</v>
      </c>
    </row>
    <row r="43" spans="1:21" x14ac:dyDescent="0.25">
      <c r="A43" s="13" t="s">
        <v>3030</v>
      </c>
      <c r="B43" s="8">
        <f>COUNTIFS(Register_AI!$F$2:$F$288,0,Register_AI!$H$2:$H$288,"victim")</f>
        <v>26</v>
      </c>
      <c r="C43" s="8">
        <f>COUNTIFS(Register_Conv!$F$2:$F$487,0,Register_Conv!$H$2:$H$487,"victim")</f>
        <v>15</v>
      </c>
      <c r="D43" s="38">
        <f t="shared" si="5"/>
        <v>0.11981566820276497</v>
      </c>
      <c r="E43" s="38">
        <f t="shared" si="5"/>
        <v>3.3783783783783786E-2</v>
      </c>
    </row>
    <row r="44" spans="1:21" x14ac:dyDescent="0.25">
      <c r="A44" s="13" t="s">
        <v>3029</v>
      </c>
      <c r="B44" s="8">
        <f>COUNTIFS(Register_AI!$F$2:$F$288,0,Register_AI!$H$2:$H$288,"heroic")</f>
        <v>9</v>
      </c>
      <c r="C44" s="8">
        <f>COUNTIFS(Register_Conv!$F$2:$F$487,0,Register_Conv!$H$2:$H$487,"heroic")</f>
        <v>41</v>
      </c>
      <c r="D44" s="38">
        <f t="shared" si="5"/>
        <v>4.1474654377880185E-2</v>
      </c>
      <c r="E44" s="38">
        <f t="shared" si="5"/>
        <v>9.2342342342342343E-2</v>
      </c>
    </row>
    <row r="45" spans="1:21" x14ac:dyDescent="0.25">
      <c r="A45" s="13" t="s">
        <v>3028</v>
      </c>
      <c r="B45" s="8">
        <f>COUNTIFS(Register_AI!$F$2:$F$288,0,Register_AI!$H$2:$H$288,"wholesome")</f>
        <v>57</v>
      </c>
      <c r="C45" s="8">
        <f>COUNTIFS(Register_Conv!$F$2:$F$487,0,Register_Conv!$H$2:$H$487,"wholesome")</f>
        <v>50</v>
      </c>
      <c r="D45" s="38">
        <f t="shared" si="5"/>
        <v>0.26267281105990781</v>
      </c>
      <c r="E45" s="38">
        <f t="shared" si="5"/>
        <v>0.11261261261261261</v>
      </c>
    </row>
    <row r="46" spans="1:21" x14ac:dyDescent="0.25">
      <c r="A46" s="14" t="s">
        <v>3038</v>
      </c>
      <c r="B46" s="12">
        <f>COUNTIFS(Register_AI!$F$2:$F$288,0)</f>
        <v>217</v>
      </c>
      <c r="C46" s="12">
        <f>COUNTIFS(Register_Conv!$F$2:$F$487,0)</f>
        <v>444</v>
      </c>
      <c r="D46" s="12"/>
      <c r="E46" s="12"/>
    </row>
    <row r="57" spans="1:21" x14ac:dyDescent="0.25">
      <c r="A57" s="86" t="s">
        <v>3849</v>
      </c>
    </row>
    <row r="58" spans="1:21" x14ac:dyDescent="0.25">
      <c r="A58" s="37" t="s">
        <v>3850</v>
      </c>
    </row>
    <row r="59" spans="1:21" x14ac:dyDescent="0.25">
      <c r="A59" s="9" t="s">
        <v>2</v>
      </c>
      <c r="B59" s="10" t="s">
        <v>1853</v>
      </c>
      <c r="C59" s="10" t="s">
        <v>1854</v>
      </c>
      <c r="D59" s="10" t="s">
        <v>1855</v>
      </c>
      <c r="E59" s="10" t="s">
        <v>1856</v>
      </c>
      <c r="F59" s="10" t="s">
        <v>1857</v>
      </c>
      <c r="G59" s="10" t="s">
        <v>3676</v>
      </c>
      <c r="H59" s="71" t="s">
        <v>1859</v>
      </c>
    </row>
    <row r="60" spans="1:21" x14ac:dyDescent="0.25">
      <c r="A60" s="13" t="s">
        <v>3851</v>
      </c>
      <c r="B60" s="7">
        <f>SUM(Register_AI!$Q$2:$Q$288)</f>
        <v>113</v>
      </c>
      <c r="C60" s="7">
        <f>SUM(Register_Conv!$Q$2:$Q$487)</f>
        <v>61</v>
      </c>
      <c r="D60" s="72">
        <f>B60/$B$11</f>
        <v>0.52073732718894006</v>
      </c>
      <c r="E60" s="72">
        <f>C60/$B$12</f>
        <v>0.1373873873873874</v>
      </c>
      <c r="F60" s="2">
        <f>(D60-E60)*100</f>
        <v>38.334993980155261</v>
      </c>
      <c r="G60" s="17">
        <f>IFERROR((B60+($B$11-B60)+C60+($B$12-C60))*(B60*($B$12-C60)-($B$11-B60)*C60)^2/((B60+($B$11-B60))*(C60+($B$12-C60))*(B60+C60)*(($B$11-B60)+($B$12-C60))),"")</f>
        <v>110.44771941234158</v>
      </c>
      <c r="H60" s="53">
        <f>IFERROR(_xlfn.CHISQ.DIST.RT(G60,1),"")</f>
        <v>7.8180291396938312E-26</v>
      </c>
    </row>
    <row r="61" spans="1:21" x14ac:dyDescent="0.25">
      <c r="A61" s="13" t="s">
        <v>3027</v>
      </c>
      <c r="B61" s="7">
        <f>SUM(Register_AI!$S$2:$S$288)</f>
        <v>41</v>
      </c>
      <c r="C61" s="7">
        <f>SUM(Register_Conv!$S$2:$S$487)</f>
        <v>284</v>
      </c>
      <c r="D61" s="72">
        <f>B61/$B$11</f>
        <v>0.1889400921658986</v>
      </c>
      <c r="E61" s="72">
        <f>C61/$B$12</f>
        <v>0.63963963963963966</v>
      </c>
      <c r="F61" s="2">
        <f>(D61-E61)*100</f>
        <v>-45.069954747374105</v>
      </c>
      <c r="G61" s="17">
        <f>IFERROR((B61+($B$11-B61)+C61+($B$12-C61))*(B61*($B$12-C61)-($B$11-B61)*C61)^2/((B61+($B$11-B61))*(C61+($B$12-C61))*(B61+C61)*(($B$11-B61)+($B$12-C61))),"")</f>
        <v>118.46655765402309</v>
      </c>
      <c r="H61" s="53">
        <f>IFERROR(_xlfn.CHISQ.DIST.RT(G61,1),"")</f>
        <v>1.3704537777165363E-27</v>
      </c>
    </row>
    <row r="62" spans="1:21" x14ac:dyDescent="0.25">
      <c r="A62" s="14" t="s">
        <v>3852</v>
      </c>
      <c r="B62" s="11">
        <f>SUM(Register_AI!$R$2:$R$288)</f>
        <v>63</v>
      </c>
      <c r="C62" s="11">
        <f>SUM(Register_Conv!$R$2:$R$487)</f>
        <v>99</v>
      </c>
      <c r="D62" s="73">
        <f>B62/$B$11</f>
        <v>0.29032258064516131</v>
      </c>
      <c r="E62" s="73">
        <f>C62/$B$12</f>
        <v>0.22297297297297297</v>
      </c>
      <c r="F62" s="20">
        <f>(D62-E62)*100</f>
        <v>6.7349607672188334</v>
      </c>
      <c r="G62" s="19">
        <f>IFERROR((B62+($B$11-B62)+C62+($B$12-C62))*(B62*($B$12-C62)-($B$11-B62)*C62)^2/((B62+($B$11-B62))*(C62+($B$12-C62))*(B62+C62)*(($B$11-B62)+($B$12-C62))),"")</f>
        <v>3.5735407898039613</v>
      </c>
      <c r="H62" s="54">
        <f>IFERROR(_xlfn.CHISQ.DIST.RT(G62,1),"")</f>
        <v>5.8707006228321437E-2</v>
      </c>
    </row>
    <row r="64" spans="1:21" ht="15.6" customHeight="1" x14ac:dyDescent="0.25">
      <c r="A64" s="106" t="s">
        <v>3853</v>
      </c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</row>
    <row r="66" spans="1:21" x14ac:dyDescent="0.25">
      <c r="A66" s="37" t="s">
        <v>3039</v>
      </c>
    </row>
    <row r="67" spans="1:21" ht="60" x14ac:dyDescent="0.25">
      <c r="A67" s="9"/>
      <c r="B67" s="10" t="s">
        <v>3035</v>
      </c>
      <c r="C67" s="10" t="s">
        <v>3034</v>
      </c>
      <c r="D67" s="10" t="s">
        <v>3033</v>
      </c>
      <c r="E67" s="10" t="s">
        <v>3032</v>
      </c>
      <c r="F67" s="10" t="s">
        <v>3031</v>
      </c>
      <c r="G67" s="10" t="s">
        <v>3030</v>
      </c>
      <c r="H67" s="10" t="s">
        <v>3029</v>
      </c>
      <c r="I67" s="10" t="s">
        <v>3028</v>
      </c>
      <c r="J67" s="10" t="s">
        <v>44</v>
      </c>
      <c r="K67" s="15"/>
      <c r="L67" s="15"/>
      <c r="M67" s="15"/>
      <c r="N67" s="15" t="s">
        <v>3044</v>
      </c>
    </row>
    <row r="68" spans="1:21" x14ac:dyDescent="0.25">
      <c r="A68" s="13" t="s">
        <v>3026</v>
      </c>
      <c r="B68" s="105">
        <f>COUNTIFS(Register_AI!$G$2:$G$288,"own_leader",Register_AI!$H$2:$H$288,"none")+COUNTIFS(Register_AI!$I$2:$I$288,"own_leader",Register_AI!$J$2:$J$288,"none")+COUNTIFS(Register_AI!$K$2:$K$288,"own_leader",Register_AI!$L$2:$L$288,"none")</f>
        <v>34</v>
      </c>
      <c r="C68" s="105">
        <f>COUNTIFS(Register_AI!$G$2:$G$288,"own_leader",Register_AI!$H$2:$H$288,"menace")+COUNTIFS(Register_AI!$I$2:$I$288,"own_leader",Register_AI!$J$2:$J$288,"menace")+COUNTIFS(Register_AI!$K$2:$K$288,"own_leader",Register_AI!$L$2:$L$288,"menace")</f>
        <v>0</v>
      </c>
      <c r="D68" s="105">
        <f>COUNTIFS(Register_AI!$G$2:$G$288,"own_leader",Register_AI!$H$2:$H$288,"othering")+COUNTIFS(Register_AI!$I$2:$I$288,"own_leader",Register_AI!$J$2:$J$288,"othering")+COUNTIFS(Register_AI!$K$2:$K$288,"own_leader",Register_AI!$L$2:$L$288,"othering")</f>
        <v>0</v>
      </c>
      <c r="E68" s="105">
        <f>COUNTIFS(Register_AI!$G$2:$G$288,"own_leader",Register_AI!$H$2:$H$288,"ridicule")+COUNTIFS(Register_AI!$I$2:$I$288,"own_leader",Register_AI!$J$2:$J$288,"ridicule")+COUNTIFS(Register_AI!$K$2:$K$288,"own_leader",Register_AI!$L$2:$L$288,"ridicule")</f>
        <v>0</v>
      </c>
      <c r="F68" s="105">
        <f>COUNTIFS(Register_AI!$G$2:$G$288,"own_leader",Register_AI!$H$2:$H$288,"blame")+COUNTIFS(Register_AI!$I$2:$I$288,"own_leader",Register_AI!$J$2:$J$288,"blame")+COUNTIFS(Register_AI!$K$2:$K$288,"own_leader",Register_AI!$L$2:$L$288,"blame")</f>
        <v>0</v>
      </c>
      <c r="G68" s="105">
        <f>COUNTIFS(Register_AI!$G$2:$G$288,"own_leader",Register_AI!$H$2:$H$288,"victim")+COUNTIFS(Register_AI!$I$2:$I$288,"own_leader",Register_AI!$J$2:$J$288,"victim")+COUNTIFS(Register_AI!$K$2:$K$288,"own_leader",Register_AI!$L$2:$L$288,"victim")</f>
        <v>1</v>
      </c>
      <c r="H68" s="105">
        <f>COUNTIFS(Register_AI!$G$2:$G$288,"own_leader",Register_AI!$H$2:$H$288,"heroic")+COUNTIFS(Register_AI!$I$2:$I$288,"own_leader",Register_AI!$J$2:$J$288,"heroic")+COUNTIFS(Register_AI!$K$2:$K$288,"own_leader",Register_AI!$L$2:$L$288,"heroic")</f>
        <v>7</v>
      </c>
      <c r="I68" s="105">
        <f>COUNTIFS(Register_AI!$G$2:$G$288,"own_leader",Register_AI!$H$2:$H$288,"wholesome")+COUNTIFS(Register_AI!$I$2:$I$288,"own_leader",Register_AI!$J$2:$J$288,"wholesome")+COUNTIFS(Register_AI!$K$2:$K$288,"own_leader",Register_AI!$L$2:$L$288,"wholesome")</f>
        <v>1</v>
      </c>
      <c r="J68" s="8">
        <f t="shared" ref="J68:J76" si="6">SUM(B68:I68)</f>
        <v>43</v>
      </c>
      <c r="K68" s="8"/>
      <c r="L68" s="8"/>
      <c r="M68" s="8"/>
      <c r="N68" s="38">
        <f>G71/G77</f>
        <v>0.45454545454545453</v>
      </c>
    </row>
    <row r="69" spans="1:21" x14ac:dyDescent="0.25">
      <c r="A69" s="13" t="s">
        <v>3863</v>
      </c>
      <c r="B69" s="105">
        <f>COUNTIFS(Register_AI!$G$2:$G$288,"party_politician",Register_AI!$H$2:$H$288,"none")+COUNTIFS(Register_AI!$I$2:$I$288,"party_politician",Register_AI!$J$2:$J$288,"none")+COUNTIFS(Register_AI!$K$2:$K$288,"party_politician",Register_AI!$L$2:$L$288,"none")</f>
        <v>7</v>
      </c>
      <c r="C69" s="105">
        <f>COUNTIFS(Register_AI!$G$2:$G$288,"party_politician",Register_AI!$H$2:$H$288,"menace")+COUNTIFS(Register_AI!$I$2:$I$288,"party_politician",Register_AI!$J$2:$J$288,"menace")+COUNTIFS(Register_AI!$K$2:$K$288,"party_politician",Register_AI!$L$2:$L$288,"menace")</f>
        <v>0</v>
      </c>
      <c r="D69" s="105">
        <f>COUNTIFS(Register_AI!$G$2:$G$288,"party_politician",Register_AI!$H$2:$H$288,"othering")+COUNTIFS(Register_AI!$I$2:$I$288,"party_politician",Register_AI!$J$2:$J$288,"othering")+COUNTIFS(Register_AI!$K$2:$K$288,"party_politician",Register_AI!$L$2:$L$288,"othering")</f>
        <v>0</v>
      </c>
      <c r="E69" s="105">
        <f>COUNTIFS(Register_AI!$G$2:$G$288,"party_politician",Register_AI!$H$2:$H$288,"ridicule")+COUNTIFS(Register_AI!$I$2:$I$288,"party_politician",Register_AI!$J$2:$J$288,"ridicule")+COUNTIFS(Register_AI!$K$2:$K$288,"party_politician",Register_AI!$L$2:$L$288,"ridicule")</f>
        <v>0</v>
      </c>
      <c r="F69" s="105">
        <f>COUNTIFS(Register_AI!$G$2:$G$288,"party_politician",Register_AI!$H$2:$H$288,"blame")+COUNTIFS(Register_AI!$I$2:$I$288,"party_politician",Register_AI!$J$2:$J$288,"blame")+COUNTIFS(Register_AI!$K$2:$K$288,"party_politician",Register_AI!$L$2:$L$288,"blame")</f>
        <v>0</v>
      </c>
      <c r="G69" s="105">
        <f>COUNTIFS(Register_AI!$G$2:$G$288,"party_politician",Register_AI!$H$2:$H$288,"victim")+COUNTIFS(Register_AI!$I$2:$I$288,"party_politician",Register_AI!$J$2:$J$288,"victim")+COUNTIFS(Register_AI!$K$2:$K$288,"party_politician",Register_AI!$L$2:$L$288,"victim")</f>
        <v>2</v>
      </c>
      <c r="H69" s="105">
        <f>COUNTIFS(Register_AI!$G$2:$G$288,"party_politician",Register_AI!$H$2:$H$288,"heroic")+COUNTIFS(Register_AI!$I$2:$I$288,"party_politician",Register_AI!$J$2:$J$288,"heroic")+COUNTIFS(Register_AI!$K$2:$K$288,"party_politician",Register_AI!$L$2:$L$288,"heroic")</f>
        <v>2</v>
      </c>
      <c r="I69" s="105">
        <f>COUNTIFS(Register_AI!$G$2:$G$288,"party_politician",Register_AI!$H$2:$H$288,"wholesome")+COUNTIFS(Register_AI!$I$2:$I$288,"party_politician",Register_AI!$J$2:$J$288,"wholesome")+COUNTIFS(Register_AI!$K$2:$K$288,"party_politician",Register_AI!$L$2:$L$288,"wholesome")</f>
        <v>0</v>
      </c>
      <c r="J69" s="8">
        <f t="shared" si="6"/>
        <v>11</v>
      </c>
    </row>
    <row r="70" spans="1:21" x14ac:dyDescent="0.25">
      <c r="A70" s="13" t="s">
        <v>3025</v>
      </c>
      <c r="B70" s="105">
        <f>COUNTIFS(Register_AI!$G$2:$G$288,"politician",Register_AI!$H$2:$H$288,"none")+COUNTIFS(Register_AI!$I$2:$I$288,"politician",Register_AI!$J$2:$J$288,"none")+COUNTIFS(Register_AI!$K$2:$K$288,"politician",Register_AI!$L$2:$L$288,"none")</f>
        <v>23</v>
      </c>
      <c r="C70" s="105">
        <f>COUNTIFS(Register_AI!$G$2:$G$288,"politician",Register_AI!$H$2:$H$288,"menace")+COUNTIFS(Register_AI!$I$2:$I$288,"politician",Register_AI!$J$2:$J$288,"menace")+COUNTIFS(Register_AI!$K$2:$K$288,"politician",Register_AI!$L$2:$L$288,"menace")</f>
        <v>0</v>
      </c>
      <c r="D70" s="105">
        <f>COUNTIFS(Register_AI!$G$2:$G$288,"politician",Register_AI!$H$2:$H$288,"othering")+COUNTIFS(Register_AI!$I$2:$I$288,"politician",Register_AI!$J$2:$J$288,"othering")+COUNTIFS(Register_AI!$K$2:$K$288,"politician",Register_AI!$L$2:$L$288,"othering")</f>
        <v>0</v>
      </c>
      <c r="E70" s="105">
        <f>COUNTIFS(Register_AI!$G$2:$G$288,"politician",Register_AI!$H$2:$H$288,"ridicule")+COUNTIFS(Register_AI!$I$2:$I$288,"politician",Register_AI!$J$2:$J$288,"ridicule")+COUNTIFS(Register_AI!$K$2:$K$288,"politician",Register_AI!$L$2:$L$288,"ridicule")</f>
        <v>10</v>
      </c>
      <c r="F70" s="105">
        <f>COUNTIFS(Register_AI!$G$2:$G$288,"politician",Register_AI!$H$2:$H$288,"blame")+COUNTIFS(Register_AI!$I$2:$I$288,"politician",Register_AI!$J$2:$J$288,"blame")+COUNTIFS(Register_AI!$K$2:$K$288,"politician",Register_AI!$L$2:$L$288,"blame")</f>
        <v>25</v>
      </c>
      <c r="G70" s="105">
        <f>COUNTIFS(Register_AI!$G$2:$G$288,"politician",Register_AI!$H$2:$H$288,"victim")+COUNTIFS(Register_AI!$I$2:$I$288,"politician",Register_AI!$J$2:$J$288,"victim")+COUNTIFS(Register_AI!$K$2:$K$288,"politician",Register_AI!$L$2:$L$288,"victim")</f>
        <v>0</v>
      </c>
      <c r="H70" s="105">
        <f>COUNTIFS(Register_AI!$G$2:$G$288,"politician",Register_AI!$H$2:$H$288,"heroic")+COUNTIFS(Register_AI!$I$2:$I$288,"politician",Register_AI!$J$2:$J$288,"heroic")+COUNTIFS(Register_AI!$K$2:$K$288,"politician",Register_AI!$L$2:$L$288,"heroic")</f>
        <v>1</v>
      </c>
      <c r="I70" s="105">
        <f>COUNTIFS(Register_AI!$G$2:$G$288,"politician",Register_AI!$H$2:$H$288,"wholesome")+COUNTIFS(Register_AI!$I$2:$I$288,"politician",Register_AI!$J$2:$J$288,"wholesome")+COUNTIFS(Register_AI!$K$2:$K$288,"politician",Register_AI!$L$2:$L$288,"wholesome")</f>
        <v>0</v>
      </c>
      <c r="J70" s="8">
        <f t="shared" si="6"/>
        <v>59</v>
      </c>
      <c r="K70" s="8"/>
      <c r="L70" s="8"/>
      <c r="M70" s="8"/>
      <c r="N70" s="8"/>
    </row>
    <row r="71" spans="1:21" x14ac:dyDescent="0.25">
      <c r="A71" s="13" t="s">
        <v>3042</v>
      </c>
      <c r="B71" s="105">
        <f>COUNTIFS(Register_AI!$G$2:$G$288,"individual",Register_AI!$H$2:$H$288,"none")+COUNTIFS(Register_AI!$I$2:$I$288,"individual",Register_AI!$J$2:$J$288,"none")+COUNTIFS(Register_AI!$K$2:$K$288,"individual",Register_AI!$L$2:$L$288,"none")</f>
        <v>27</v>
      </c>
      <c r="C71" s="105">
        <f>COUNTIFS(Register_AI!$G$2:$G$288,"individual",Register_AI!$H$2:$H$288,"menace")+COUNTIFS(Register_AI!$I$2:$I$288,"individual",Register_AI!$J$2:$J$288,"menace")+COUNTIFS(Register_AI!$K$2:$K$288,"individual",Register_AI!$L$2:$L$288,"menace")</f>
        <v>13</v>
      </c>
      <c r="D71" s="105">
        <f>COUNTIFS(Register_AI!$G$2:$G$288,"individual",Register_AI!$H$2:$H$288,"othering")+COUNTIFS(Register_AI!$I$2:$I$288,"individual",Register_AI!$J$2:$J$288,"othering")+COUNTIFS(Register_AI!$K$2:$K$288,"individual",Register_AI!$L$2:$L$288,"othering")</f>
        <v>16</v>
      </c>
      <c r="E71" s="105">
        <f>COUNTIFS(Register_AI!$G$2:$G$288,"individual",Register_AI!$H$2:$H$288,"ridicule")+COUNTIFS(Register_AI!$I$2:$I$288,"individual",Register_AI!$J$2:$J$288,"ridicule")+COUNTIFS(Register_AI!$K$2:$K$288,"individual",Register_AI!$L$2:$L$288,"ridicule")</f>
        <v>5</v>
      </c>
      <c r="F71" s="105">
        <f>COUNTIFS(Register_AI!$G$2:$G$288,"individual",Register_AI!$H$2:$H$288,"blame")+COUNTIFS(Register_AI!$I$2:$I$288,"individual",Register_AI!$J$2:$J$288,"blame")+COUNTIFS(Register_AI!$K$2:$K$288,"individual",Register_AI!$L$2:$L$288,"blame")</f>
        <v>0</v>
      </c>
      <c r="G71" s="105">
        <f>COUNTIFS(Register_AI!$G$2:$G$288,"individual",Register_AI!$H$2:$H$288,"victim")+COUNTIFS(Register_AI!$I$2:$I$288,"individual",Register_AI!$J$2:$J$288,"victim")+COUNTIFS(Register_AI!$K$2:$K$288,"individual",Register_AI!$L$2:$L$288,"victim")</f>
        <v>20</v>
      </c>
      <c r="H71" s="105">
        <f>COUNTIFS(Register_AI!$G$2:$G$288,"individual",Register_AI!$H$2:$H$288,"heroic")+COUNTIFS(Register_AI!$I$2:$I$288,"individual",Register_AI!$J$2:$J$288,"heroic")+COUNTIFS(Register_AI!$K$2:$K$288,"individual",Register_AI!$L$2:$L$288,"heroic")</f>
        <v>5</v>
      </c>
      <c r="I71" s="105">
        <f>COUNTIFS(Register_AI!$G$2:$G$288,"individual",Register_AI!$H$2:$H$288,"wholesome")+COUNTIFS(Register_AI!$I$2:$I$288,"individual",Register_AI!$J$2:$J$288,"wholesome")+COUNTIFS(Register_AI!$K$2:$K$288,"individual",Register_AI!$L$2:$L$288,"wholesome")</f>
        <v>60</v>
      </c>
      <c r="J71" s="8">
        <f t="shared" si="6"/>
        <v>146</v>
      </c>
      <c r="K71" s="8"/>
      <c r="L71" s="8"/>
      <c r="M71" s="8"/>
      <c r="N71" s="8" t="s">
        <v>3043</v>
      </c>
    </row>
    <row r="72" spans="1:21" x14ac:dyDescent="0.25">
      <c r="A72" s="13" t="s">
        <v>3023</v>
      </c>
      <c r="B72" s="105">
        <f>COUNTIFS(Register_AI!$G$2:$G$288,"mass",Register_AI!$H$2:$H$288,"none")+COUNTIFS(Register_AI!$I$2:$I$288,"mass",Register_AI!$J$2:$J$288,"none")+COUNTIFS(Register_AI!$K$2:$K$288,"mass",Register_AI!$L$2:$L$288,"none")</f>
        <v>4</v>
      </c>
      <c r="C72" s="105">
        <f>COUNTIFS(Register_AI!$G$2:$G$288,"mass",Register_AI!$H$2:$H$288,"menace")+COUNTIFS(Register_AI!$I$2:$I$288,"mass",Register_AI!$J$2:$J$288,"menace")+COUNTIFS(Register_AI!$K$2:$K$288,"mass",Register_AI!$L$2:$L$288,"menace")</f>
        <v>25</v>
      </c>
      <c r="D72" s="105">
        <f>COUNTIFS(Register_AI!$G$2:$G$288,"mass",Register_AI!$H$2:$H$288,"othering")+COUNTIFS(Register_AI!$I$2:$I$288,"mass",Register_AI!$J$2:$J$288,"othering")+COUNTIFS(Register_AI!$K$2:$K$288,"mass",Register_AI!$L$2:$L$288,"othering")</f>
        <v>2</v>
      </c>
      <c r="E72" s="105">
        <f>COUNTIFS(Register_AI!$G$2:$G$288,"mass",Register_AI!$H$2:$H$288,"ridicule")+COUNTIFS(Register_AI!$I$2:$I$288,"mass",Register_AI!$J$2:$J$288,"ridicule")+COUNTIFS(Register_AI!$K$2:$K$288,"mass",Register_AI!$L$2:$L$288,"ridicule")</f>
        <v>0</v>
      </c>
      <c r="F72" s="105">
        <f>COUNTIFS(Register_AI!$G$2:$G$288,"mass",Register_AI!$H$2:$H$288,"blame")+COUNTIFS(Register_AI!$I$2:$I$288,"mass",Register_AI!$J$2:$J$288,"blame")+COUNTIFS(Register_AI!$K$2:$K$288,"mass",Register_AI!$L$2:$L$288,"blame")</f>
        <v>1</v>
      </c>
      <c r="G72" s="105">
        <f>COUNTIFS(Register_AI!$G$2:$G$288,"mass",Register_AI!$H$2:$H$288,"victim")+COUNTIFS(Register_AI!$I$2:$I$288,"mass",Register_AI!$J$2:$J$288,"victim")+COUNTIFS(Register_AI!$K$2:$K$288,"mass",Register_AI!$L$2:$L$288,"victim")</f>
        <v>0</v>
      </c>
      <c r="H72" s="105">
        <f>COUNTIFS(Register_AI!$G$2:$G$288,"mass",Register_AI!$H$2:$H$288,"heroic")+COUNTIFS(Register_AI!$I$2:$I$288,"mass",Register_AI!$J$2:$J$288,"heroic")+COUNTIFS(Register_AI!$K$2:$K$288,"mass",Register_AI!$L$2:$L$288,"heroic")</f>
        <v>0</v>
      </c>
      <c r="I72" s="105">
        <f>COUNTIFS(Register_AI!$G$2:$G$288,"mass",Register_AI!$H$2:$H$288,"wholesome")+COUNTIFS(Register_AI!$I$2:$I$288,"mass",Register_AI!$J$2:$J$288,"wholesome")+COUNTIFS(Register_AI!$K$2:$K$288,"mass",Register_AI!$L$2:$L$288,"wholesome")</f>
        <v>3</v>
      </c>
      <c r="J72" s="8">
        <f t="shared" si="6"/>
        <v>35</v>
      </c>
      <c r="K72" s="8"/>
      <c r="L72" s="8"/>
      <c r="M72" s="8"/>
      <c r="N72" s="38">
        <f>C72/J72</f>
        <v>0.7142857142857143</v>
      </c>
    </row>
    <row r="73" spans="1:21" x14ac:dyDescent="0.25">
      <c r="A73" s="13" t="s">
        <v>3022</v>
      </c>
      <c r="B73" s="105">
        <f>COUNTIFS(Register_AI!$G$2:$G$288,"institution",Register_AI!$H$2:$H$288,"none")+COUNTIFS(Register_AI!$I$2:$I$288,"institution",Register_AI!$J$2:$J$288,"none")+COUNTIFS(Register_AI!$K$2:$K$288,"institution",Register_AI!$L$2:$L$288,"none")</f>
        <v>2</v>
      </c>
      <c r="C73" s="105">
        <f>COUNTIFS(Register_AI!$G$2:$G$288,"institution",Register_AI!$H$2:$H$288,"menace")+COUNTIFS(Register_AI!$I$2:$I$288,"institution",Register_AI!$J$2:$J$288,"menace")+COUNTIFS(Register_AI!$K$2:$K$288,"institution",Register_AI!$L$2:$L$288,"menace")</f>
        <v>5</v>
      </c>
      <c r="D73" s="105">
        <f>COUNTIFS(Register_AI!$G$2:$G$288,"institution",Register_AI!$H$2:$H$288,"othering")+COUNTIFS(Register_AI!$I$2:$I$288,"institution",Register_AI!$J$2:$J$288,"othering")+COUNTIFS(Register_AI!$K$2:$K$288,"institution",Register_AI!$L$2:$L$288,"othering")</f>
        <v>1</v>
      </c>
      <c r="E73" s="105">
        <f>COUNTIFS(Register_AI!$G$2:$G$288,"institution",Register_AI!$H$2:$H$288,"ridicule")+COUNTIFS(Register_AI!$I$2:$I$288,"institution",Register_AI!$J$2:$J$288,"ridicule")+COUNTIFS(Register_AI!$K$2:$K$288,"institution",Register_AI!$L$2:$L$288,"ridicule")</f>
        <v>3</v>
      </c>
      <c r="F73" s="105">
        <f>COUNTIFS(Register_AI!$G$2:$G$288,"institution",Register_AI!$H$2:$H$288,"blame")+COUNTIFS(Register_AI!$I$2:$I$288,"institution",Register_AI!$J$2:$J$288,"blame")+COUNTIFS(Register_AI!$K$2:$K$288,"institution",Register_AI!$L$2:$L$288,"blame")</f>
        <v>2</v>
      </c>
      <c r="G73" s="105">
        <f>COUNTIFS(Register_AI!$G$2:$G$288,"institution",Register_AI!$H$2:$H$288,"victim")+COUNTIFS(Register_AI!$I$2:$I$288,"institution",Register_AI!$J$2:$J$288,"victim")+COUNTIFS(Register_AI!$K$2:$K$288,"institution",Register_AI!$L$2:$L$288,"victim")</f>
        <v>2</v>
      </c>
      <c r="H73" s="105">
        <f>COUNTIFS(Register_AI!$G$2:$G$288,"institution",Register_AI!$H$2:$H$288,"heroic")+COUNTIFS(Register_AI!$I$2:$I$288,"institution",Register_AI!$J$2:$J$288,"heroic")+COUNTIFS(Register_AI!$K$2:$K$288,"institution",Register_AI!$L$2:$L$288,"heroic")</f>
        <v>1</v>
      </c>
      <c r="I73" s="105">
        <f>COUNTIFS(Register_AI!$G$2:$G$288,"institution",Register_AI!$H$2:$H$288,"wholesome")+COUNTIFS(Register_AI!$I$2:$I$288,"institution",Register_AI!$J$2:$J$288,"wholesome")+COUNTIFS(Register_AI!$K$2:$K$288,"institution",Register_AI!$L$2:$L$288,"wholesome")</f>
        <v>0</v>
      </c>
      <c r="J73" s="8">
        <f t="shared" si="6"/>
        <v>16</v>
      </c>
      <c r="K73" s="8"/>
      <c r="L73" s="8"/>
      <c r="M73" s="8"/>
      <c r="N73" s="8"/>
    </row>
    <row r="74" spans="1:21" x14ac:dyDescent="0.25">
      <c r="A74" s="13" t="s">
        <v>3021</v>
      </c>
      <c r="B74" s="105">
        <f>COUNTIFS(Register_AI!$G$2:$G$288,"economy",Register_AI!$H$2:$H$288,"none")+COUNTIFS(Register_AI!$I$2:$I$288,"economy",Register_AI!$J$2:$J$288,"none")+COUNTIFS(Register_AI!$K$2:$K$288,"economy",Register_AI!$L$2:$L$288,"none")</f>
        <v>4</v>
      </c>
      <c r="C74" s="105">
        <f>COUNTIFS(Register_AI!$G$2:$G$288,"economy",Register_AI!$H$2:$H$288,"menace")+COUNTIFS(Register_AI!$I$2:$I$288,"economy",Register_AI!$J$2:$J$288,"menace")+COUNTIFS(Register_AI!$K$2:$K$288,"economy",Register_AI!$L$2:$L$288,"menace")</f>
        <v>0</v>
      </c>
      <c r="D74" s="105">
        <f>COUNTIFS(Register_AI!$G$2:$G$288,"economy",Register_AI!$H$2:$H$288,"othering")+COUNTIFS(Register_AI!$I$2:$I$288,"economy",Register_AI!$J$2:$J$288,"othering")+COUNTIFS(Register_AI!$K$2:$K$288,"economy",Register_AI!$L$2:$L$288,"othering")</f>
        <v>0</v>
      </c>
      <c r="E74" s="105">
        <f>COUNTIFS(Register_AI!$G$2:$G$288,"economy",Register_AI!$H$2:$H$288,"ridicule")+COUNTIFS(Register_AI!$I$2:$I$288,"economy",Register_AI!$J$2:$J$288,"ridicule")+COUNTIFS(Register_AI!$K$2:$K$288,"economy",Register_AI!$L$2:$L$288,"ridicule")</f>
        <v>0</v>
      </c>
      <c r="F74" s="105">
        <f>COUNTIFS(Register_AI!$G$2:$G$288,"economy",Register_AI!$H$2:$H$288,"blame")+COUNTIFS(Register_AI!$I$2:$I$288,"economy",Register_AI!$J$2:$J$288,"blame")+COUNTIFS(Register_AI!$K$2:$K$288,"economy",Register_AI!$L$2:$L$288,"blame")</f>
        <v>0</v>
      </c>
      <c r="G74" s="105">
        <f>COUNTIFS(Register_AI!$G$2:$G$288,"economy",Register_AI!$H$2:$H$288,"victim")+COUNTIFS(Register_AI!$I$2:$I$288,"economy",Register_AI!$J$2:$J$288,"victim")+COUNTIFS(Register_AI!$K$2:$K$288,"economy",Register_AI!$L$2:$L$288,"victim")</f>
        <v>5</v>
      </c>
      <c r="H74" s="105">
        <f>COUNTIFS(Register_AI!$G$2:$G$288,"economy",Register_AI!$H$2:$H$288,"heroic")+COUNTIFS(Register_AI!$I$2:$I$288,"economy",Register_AI!$J$2:$J$288,"heroic")+COUNTIFS(Register_AI!$K$2:$K$288,"economy",Register_AI!$L$2:$L$288,"heroic")</f>
        <v>1</v>
      </c>
      <c r="I74" s="105">
        <f>COUNTIFS(Register_AI!$G$2:$G$288,"economy",Register_AI!$H$2:$H$288,"wholesome")+COUNTIFS(Register_AI!$I$2:$I$288,"economy",Register_AI!$J$2:$J$288,"wholesome")+COUNTIFS(Register_AI!$K$2:$K$288,"economy",Register_AI!$L$2:$L$288,"wholesome")</f>
        <v>0</v>
      </c>
      <c r="J74" s="8">
        <f t="shared" si="6"/>
        <v>10</v>
      </c>
      <c r="K74" s="8"/>
      <c r="L74" s="8"/>
      <c r="M74" s="8"/>
      <c r="N74" s="8"/>
    </row>
    <row r="75" spans="1:21" x14ac:dyDescent="0.25">
      <c r="A75" s="13" t="s">
        <v>3020</v>
      </c>
      <c r="B75" s="105">
        <f>COUNTIFS(Register_AI!$G$2:$G$288,"place",Register_AI!$H$2:$H$288,"none")+COUNTIFS(Register_AI!$I$2:$I$288,"place",Register_AI!$J$2:$J$288,"none")+COUNTIFS(Register_AI!$K$2:$K$288,"place",Register_AI!$L$2:$L$288,"none")</f>
        <v>1</v>
      </c>
      <c r="C75" s="105">
        <f>COUNTIFS(Register_AI!$G$2:$G$288,"place",Register_AI!$H$2:$H$288,"menace")+COUNTIFS(Register_AI!$I$2:$I$288,"place",Register_AI!$J$2:$J$288,"menace")+COUNTIFS(Register_AI!$K$2:$K$288,"place",Register_AI!$L$2:$L$288,"menace")</f>
        <v>0</v>
      </c>
      <c r="D75" s="105">
        <f>COUNTIFS(Register_AI!$G$2:$G$288,"place",Register_AI!$H$2:$H$288,"othering")+COUNTIFS(Register_AI!$I$2:$I$288,"place",Register_AI!$J$2:$J$288,"othering")+COUNTIFS(Register_AI!$K$2:$K$288,"place",Register_AI!$L$2:$L$288,"othering")</f>
        <v>0</v>
      </c>
      <c r="E75" s="105">
        <f>COUNTIFS(Register_AI!$G$2:$G$288,"place",Register_AI!$H$2:$H$288,"ridicule")+COUNTIFS(Register_AI!$I$2:$I$288,"place",Register_AI!$J$2:$J$288,"ridicule")+COUNTIFS(Register_AI!$K$2:$K$288,"place",Register_AI!$L$2:$L$288,"ridicule")</f>
        <v>0</v>
      </c>
      <c r="F75" s="105">
        <f>COUNTIFS(Register_AI!$G$2:$G$288,"place",Register_AI!$H$2:$H$288,"blame")+COUNTIFS(Register_AI!$I$2:$I$288,"place",Register_AI!$J$2:$J$288,"blame")+COUNTIFS(Register_AI!$K$2:$K$288,"place",Register_AI!$L$2:$L$288,"blame")</f>
        <v>0</v>
      </c>
      <c r="G75" s="105">
        <f>COUNTIFS(Register_AI!$G$2:$G$288,"place",Register_AI!$H$2:$H$288,"victim")+COUNTIFS(Register_AI!$I$2:$I$288,"place",Register_AI!$J$2:$J$288,"victim")+COUNTIFS(Register_AI!$K$2:$K$288,"place",Register_AI!$L$2:$L$288,"victim")</f>
        <v>8</v>
      </c>
      <c r="H75" s="105">
        <f>COUNTIFS(Register_AI!$G$2:$G$288,"place",Register_AI!$H$2:$H$288,"heroic")+COUNTIFS(Register_AI!$I$2:$I$288,"place",Register_AI!$J$2:$J$288,"heroic")+COUNTIFS(Register_AI!$K$2:$K$288,"place",Register_AI!$L$2:$L$288,"heroic")</f>
        <v>0</v>
      </c>
      <c r="I75" s="105">
        <f>COUNTIFS(Register_AI!$G$2:$G$288,"place",Register_AI!$H$2:$H$288,"wholesome")+COUNTIFS(Register_AI!$I$2:$I$288,"place",Register_AI!$J$2:$J$288,"wholesome")+COUNTIFS(Register_AI!$K$2:$K$288,"place",Register_AI!$L$2:$L$288,"wholesome")</f>
        <v>3</v>
      </c>
      <c r="J75" s="8">
        <f t="shared" si="6"/>
        <v>12</v>
      </c>
      <c r="K75" s="8"/>
      <c r="L75" s="8"/>
      <c r="M75" s="8"/>
      <c r="N75" s="8"/>
    </row>
    <row r="76" spans="1:21" x14ac:dyDescent="0.25">
      <c r="A76" s="13" t="s">
        <v>3019</v>
      </c>
      <c r="B76" s="105">
        <f>COUNTIFS(Register_AI!$G$2:$G$288,"object",Register_AI!$H$2:$H$288,"none")+COUNTIFS(Register_AI!$I$2:$I$288,"object",Register_AI!$J$2:$J$288,"none")+COUNTIFS(Register_AI!$K$2:$K$288,"object",Register_AI!$L$2:$L$288,"none")</f>
        <v>8</v>
      </c>
      <c r="C76" s="105">
        <f>COUNTIFS(Register_AI!$G$2:$G$288,"object",Register_AI!$H$2:$H$288,"menace")+COUNTIFS(Register_AI!$I$2:$I$288,"object",Register_AI!$J$2:$J$288,"menace")+COUNTIFS(Register_AI!$K$2:$K$288,"object",Register_AI!$L$2:$L$288,"menace")</f>
        <v>10</v>
      </c>
      <c r="D76" s="105">
        <f>COUNTIFS(Register_AI!$G$2:$G$288,"object",Register_AI!$H$2:$H$288,"othering")+COUNTIFS(Register_AI!$I$2:$I$288,"object",Register_AI!$J$2:$J$288,"othering")+COUNTIFS(Register_AI!$K$2:$K$288,"object",Register_AI!$L$2:$L$288,"othering")</f>
        <v>1</v>
      </c>
      <c r="E76" s="105">
        <f>COUNTIFS(Register_AI!$G$2:$G$288,"object",Register_AI!$H$2:$H$288,"ridicule")+COUNTIFS(Register_AI!$I$2:$I$288,"object",Register_AI!$J$2:$J$288,"ridicule")+COUNTIFS(Register_AI!$K$2:$K$288,"object",Register_AI!$L$2:$L$288,"ridicule")</f>
        <v>0</v>
      </c>
      <c r="F76" s="105">
        <f>COUNTIFS(Register_AI!$G$2:$G$288,"object",Register_AI!$H$2:$H$288,"blame")+COUNTIFS(Register_AI!$I$2:$I$288,"object",Register_AI!$J$2:$J$288,"blame")+COUNTIFS(Register_AI!$K$2:$K$288,"object",Register_AI!$L$2:$L$288,"blame")</f>
        <v>1</v>
      </c>
      <c r="G76" s="105">
        <f>COUNTIFS(Register_AI!$G$2:$G$288,"object",Register_AI!$H$2:$H$288,"victim")+COUNTIFS(Register_AI!$I$2:$I$288,"object",Register_AI!$J$2:$J$288,"victim")+COUNTIFS(Register_AI!$K$2:$K$288,"object",Register_AI!$L$2:$L$288,"victim")</f>
        <v>6</v>
      </c>
      <c r="H76" s="105">
        <f>COUNTIFS(Register_AI!$G$2:$G$288,"object",Register_AI!$H$2:$H$288,"heroic")+COUNTIFS(Register_AI!$I$2:$I$288,"object",Register_AI!$J$2:$J$288,"heroic")+COUNTIFS(Register_AI!$K$2:$K$288,"object",Register_AI!$L$2:$L$288,"heroic")</f>
        <v>0</v>
      </c>
      <c r="I76" s="105">
        <f>COUNTIFS(Register_AI!$G$2:$G$288,"object",Register_AI!$H$2:$H$288,"wholesome")+COUNTIFS(Register_AI!$I$2:$I$288,"object",Register_AI!$J$2:$J$288,"wholesome")+COUNTIFS(Register_AI!$K$2:$K$288,"object",Register_AI!$L$2:$L$288,"wholesome")</f>
        <v>9</v>
      </c>
      <c r="J76" s="8">
        <f t="shared" si="6"/>
        <v>35</v>
      </c>
      <c r="K76" s="8"/>
      <c r="L76" s="8"/>
      <c r="M76" s="8"/>
      <c r="N76" s="8"/>
    </row>
    <row r="77" spans="1:21" x14ac:dyDescent="0.25">
      <c r="A77" s="24"/>
      <c r="B77" s="12">
        <f t="shared" ref="B77:J77" si="7">SUM(B68:B76)</f>
        <v>110</v>
      </c>
      <c r="C77" s="12">
        <f t="shared" si="7"/>
        <v>53</v>
      </c>
      <c r="D77" s="12">
        <f t="shared" si="7"/>
        <v>20</v>
      </c>
      <c r="E77" s="12">
        <f t="shared" si="7"/>
        <v>18</v>
      </c>
      <c r="F77" s="12">
        <f t="shared" si="7"/>
        <v>29</v>
      </c>
      <c r="G77" s="12">
        <f t="shared" si="7"/>
        <v>44</v>
      </c>
      <c r="H77" s="12">
        <f t="shared" si="7"/>
        <v>17</v>
      </c>
      <c r="I77" s="12">
        <f t="shared" si="7"/>
        <v>76</v>
      </c>
      <c r="J77" s="12">
        <f t="shared" si="7"/>
        <v>367</v>
      </c>
      <c r="K77" s="12"/>
      <c r="L77" s="12"/>
      <c r="M77" s="12"/>
      <c r="N77" s="12"/>
    </row>
    <row r="78" spans="1:21" x14ac:dyDescent="0.25">
      <c r="A78" s="37" t="s">
        <v>1886</v>
      </c>
    </row>
    <row r="79" spans="1:21" ht="26.25" x14ac:dyDescent="0.25">
      <c r="A79" s="9"/>
      <c r="B79" s="10" t="s">
        <v>3035</v>
      </c>
      <c r="C79" s="10" t="s">
        <v>3034</v>
      </c>
      <c r="D79" s="10" t="s">
        <v>3033</v>
      </c>
      <c r="E79" s="10" t="s">
        <v>3032</v>
      </c>
      <c r="F79" s="10" t="s">
        <v>3031</v>
      </c>
      <c r="G79" s="10" t="s">
        <v>3030</v>
      </c>
      <c r="H79" s="10" t="s">
        <v>3029</v>
      </c>
      <c r="I79" s="10" t="s">
        <v>3028</v>
      </c>
      <c r="J79" s="10" t="s">
        <v>44</v>
      </c>
      <c r="K79" s="15"/>
      <c r="L79" s="15"/>
      <c r="M79" s="10" t="s">
        <v>3035</v>
      </c>
      <c r="N79" s="10" t="s">
        <v>3034</v>
      </c>
      <c r="O79" s="10" t="s">
        <v>3033</v>
      </c>
      <c r="P79" s="10" t="s">
        <v>3032</v>
      </c>
      <c r="Q79" s="10" t="s">
        <v>3031</v>
      </c>
      <c r="R79" s="10" t="s">
        <v>3030</v>
      </c>
      <c r="S79" s="10" t="s">
        <v>3029</v>
      </c>
      <c r="T79" s="10" t="s">
        <v>3028</v>
      </c>
      <c r="U79" s="10" t="s">
        <v>44</v>
      </c>
    </row>
    <row r="80" spans="1:21" x14ac:dyDescent="0.25">
      <c r="A80" s="13" t="s">
        <v>3026</v>
      </c>
      <c r="B80" s="105">
        <f>COUNTIFS(Register_Conv!$G$2:$G$487,"own_leader",Register_Conv!$H$2:$H$487,"none")+COUNTIFS(Register_Conv!$I$2:$I$487,"own_leader",Register_Conv!$J$2:$J$487,"none")+COUNTIFS(Register_Conv!$K$2:$K$487,"own_leader",Register_Conv!$L$2:$L$487,"none")</f>
        <v>181</v>
      </c>
      <c r="C80" s="105">
        <f>COUNTIFS(Register_Conv!$G$2:$G$487,"own_leader",Register_Conv!$H$2:$H$487,"menace")+COUNTIFS(Register_Conv!$I$2:$I$487,"own_leader",Register_Conv!$J$2:$J$487,"menace")+COUNTIFS(Register_Conv!$K$2:$K$487,"own_leader",Register_Conv!$L$2:$L$487,"menace")</f>
        <v>0</v>
      </c>
      <c r="D80" s="105">
        <f>COUNTIFS(Register_Conv!$G$2:$G$487,"own_leader",Register_Conv!$H$2:$H$487,"othering")+COUNTIFS(Register_Conv!$I$2:$I$487,"own_leader",Register_Conv!$J$2:$J$487,"othering")+COUNTIFS(Register_Conv!$K$2:$K$487,"own_leader",Register_Conv!$L$2:$L$487,"othering")</f>
        <v>0</v>
      </c>
      <c r="E80" s="105">
        <f>COUNTIFS(Register_Conv!$G$2:$G$487,"own_leader",Register_Conv!$H$2:$H$487,"ridicule")+COUNTIFS(Register_Conv!$I$2:$I$487,"own_leader",Register_Conv!$J$2:$J$487,"ridicule")+COUNTIFS(Register_Conv!$K$2:$K$487,"own_leader",Register_Conv!$L$2:$L$487,"ridicule")</f>
        <v>0</v>
      </c>
      <c r="F80" s="105">
        <f>COUNTIFS(Register_Conv!$G$2:$G$487,"own_leader",Register_Conv!$H$2:$H$487,"blame")+COUNTIFS(Register_Conv!$I$2:$I$487,"own_leader",Register_Conv!$J$2:$J$487,"blame")+COUNTIFS(Register_Conv!$K$2:$K$487,"own_leader",Register_Conv!$L$2:$L$487,"blame")</f>
        <v>0</v>
      </c>
      <c r="G80" s="105">
        <f>COUNTIFS(Register_Conv!$G$2:$G$487,"own_leader",Register_Conv!$H$2:$H$487,"victim")+COUNTIFS(Register_Conv!$I$2:$I$487,"own_leader",Register_Conv!$J$2:$J$487,"victim")+COUNTIFS(Register_Conv!$K$2:$K$487,"own_leader",Register_Conv!$L$2:$L$487,"victim")</f>
        <v>0</v>
      </c>
      <c r="H80" s="105">
        <f>COUNTIFS(Register_Conv!$G$2:$G$487,"own_leader",Register_Conv!$H$2:$H$487,"heroic")+COUNTIFS(Register_Conv!$I$2:$I$487,"own_leader",Register_Conv!$J$2:$J$487,"heroic")+COUNTIFS(Register_Conv!$K$2:$K$487,"own_leader",Register_Conv!$L$2:$L$487,"heroic")</f>
        <v>28</v>
      </c>
      <c r="I80" s="105">
        <f>COUNTIFS(Register_Conv!$G$2:$G$487,"own_leader",Register_Conv!$H$2:$H$487,"wholesome")+COUNTIFS(Register_Conv!$I$2:$I$487,"own_leader",Register_Conv!$J$2:$J$487,"wholesome")+COUNTIFS(Register_Conv!$K$2:$K$487,"own_leader",Register_Conv!$L$2:$L$487,"wholesome")</f>
        <v>32</v>
      </c>
      <c r="J80" s="8">
        <f t="shared" ref="J80:J88" si="8">SUM(B80:I80)</f>
        <v>241</v>
      </c>
      <c r="K80" s="8"/>
      <c r="L80" s="7" t="s">
        <v>3026</v>
      </c>
      <c r="M80" s="8"/>
      <c r="N80" s="8"/>
      <c r="O80" s="8"/>
      <c r="P80" s="8"/>
      <c r="Q80" s="8"/>
      <c r="R80" s="8"/>
      <c r="S80" s="8"/>
      <c r="T80" s="8"/>
      <c r="U80" s="8"/>
    </row>
    <row r="81" spans="1:21" x14ac:dyDescent="0.25">
      <c r="A81" s="13" t="s">
        <v>3863</v>
      </c>
      <c r="B81" s="105">
        <f>COUNTIFS(Register_Conv!$G$2:$G$487,"party_politician",Register_Conv!$H$2:$H$487,"none")+COUNTIFS(Register_Conv!$I$2:$I$487,"party_politician",Register_Conv!$J$2:$J$487,"none")+COUNTIFS(Register_Conv!$K$2:$K$487,"party_politician",Register_Conv!$L$2:$L$487,"none")</f>
        <v>53</v>
      </c>
      <c r="C81" s="105">
        <f>COUNTIFS(Register_Conv!$G$2:$G$487,"party_politician",Register_Conv!$H$2:$H$487,"menace")+COUNTIFS(Register_Conv!$I$2:$I$487,"party_politician",Register_Conv!$J$2:$J$487,"menace")+COUNTIFS(Register_Conv!$K$2:$K$487,"party_politician",Register_Conv!$L$2:$L$487,"menace")</f>
        <v>0</v>
      </c>
      <c r="D81" s="105">
        <f>COUNTIFS(Register_Conv!$G$2:$G$487,"party_politician",Register_Conv!$H$2:$H$487,"othering")+COUNTIFS(Register_Conv!$I$2:$I$487,"party_politician",Register_Conv!$J$2:$J$487,"othering")+COUNTIFS(Register_Conv!$K$2:$K$487,"party_politician",Register_Conv!$L$2:$L$487,"othering")</f>
        <v>0</v>
      </c>
      <c r="E81" s="105">
        <f>COUNTIFS(Register_Conv!$G$2:$G$487,"party_politician",Register_Conv!$H$2:$H$487,"ridicule")+COUNTIFS(Register_Conv!$I$2:$I$487,"party_politician",Register_Conv!$J$2:$J$487,"ridicule")+COUNTIFS(Register_Conv!$K$2:$K$487,"party_politician",Register_Conv!$L$2:$L$487,"ridicule")</f>
        <v>0</v>
      </c>
      <c r="F81" s="105">
        <f>COUNTIFS(Register_Conv!$G$2:$G$487,"party_politician",Register_Conv!$H$2:$H$487,"blame")+COUNTIFS(Register_Conv!$I$2:$I$487,"party_politician",Register_Conv!$J$2:$J$487,"blame")+COUNTIFS(Register_Conv!$K$2:$K$487,"party_politician",Register_Conv!$L$2:$L$487,"blame")</f>
        <v>0</v>
      </c>
      <c r="G81" s="105">
        <f>COUNTIFS(Register_Conv!$G$2:$G$487,"party_politician",Register_Conv!$H$2:$H$487,"victim")+COUNTIFS(Register_Conv!$I$2:$I$487,"party_politician",Register_Conv!$J$2:$J$487,"victim")+COUNTIFS(Register_Conv!$K$2:$K$487,"party_politician",Register_Conv!$L$2:$L$487,"victim")</f>
        <v>0</v>
      </c>
      <c r="H81" s="105">
        <f>COUNTIFS(Register_Conv!$G$2:$G$487,"party_politician",Register_Conv!$H$2:$H$487,"heroic")+COUNTIFS(Register_Conv!$I$2:$I$487,"party_politician",Register_Conv!$J$2:$J$487,"heroic")+COUNTIFS(Register_Conv!$K$2:$K$487,"party_politician",Register_Conv!$L$2:$L$487,"heroic")</f>
        <v>14</v>
      </c>
      <c r="I81" s="105">
        <f>COUNTIFS(Register_Conv!$G$2:$G$487,"party_politician",Register_Conv!$H$2:$H$487,"wholesome")+COUNTIFS(Register_Conv!$I$2:$I$487,"party_politician",Register_Conv!$J$2:$J$487,"wholesome")+COUNTIFS(Register_Conv!$K$2:$K$487,"party_politician",Register_Conv!$L$2:$L$487,"wholesome")</f>
        <v>10</v>
      </c>
      <c r="J81" s="8">
        <f t="shared" si="8"/>
        <v>77</v>
      </c>
      <c r="K81" s="8"/>
      <c r="L81" s="7" t="s">
        <v>3863</v>
      </c>
    </row>
    <row r="82" spans="1:21" x14ac:dyDescent="0.25">
      <c r="A82" s="13" t="s">
        <v>3025</v>
      </c>
      <c r="B82" s="105">
        <f>COUNTIFS(Register_Conv!$G$2:$G$487,"politician",Register_Conv!$H$2:$H$487,"none")+COUNTIFS(Register_Conv!$I$2:$I$487,"politician",Register_Conv!$J$2:$J$487,"none")+COUNTIFS(Register_Conv!$K$2:$K$487,"politician",Register_Conv!$L$2:$L$487,"none")</f>
        <v>71</v>
      </c>
      <c r="C82" s="105">
        <f>COUNTIFS(Register_Conv!$G$2:$G$487,"politician",Register_Conv!$H$2:$H$487,"menace")+COUNTIFS(Register_Conv!$I$2:$I$487,"politician",Register_Conv!$J$2:$J$487,"menace")+COUNTIFS(Register_Conv!$K$2:$K$487,"politician",Register_Conv!$L$2:$L$487,"menace")</f>
        <v>1</v>
      </c>
      <c r="D82" s="105">
        <f>COUNTIFS(Register_Conv!$G$2:$G$487,"politician",Register_Conv!$H$2:$H$487,"othering")+COUNTIFS(Register_Conv!$I$2:$I$487,"politician",Register_Conv!$J$2:$J$487,"othering")+COUNTIFS(Register_Conv!$K$2:$K$487,"politician",Register_Conv!$L$2:$L$487,"othering")</f>
        <v>0</v>
      </c>
      <c r="E82" s="105">
        <f>COUNTIFS(Register_Conv!$G$2:$G$487,"politician",Register_Conv!$H$2:$H$487,"ridicule")+COUNTIFS(Register_Conv!$I$2:$I$487,"politician",Register_Conv!$J$2:$J$487,"ridicule")+COUNTIFS(Register_Conv!$K$2:$K$487,"politician",Register_Conv!$L$2:$L$487,"ridicule")</f>
        <v>3</v>
      </c>
      <c r="F82" s="105">
        <f>COUNTIFS(Register_Conv!$G$2:$G$487,"politician",Register_Conv!$H$2:$H$487,"blame")+COUNTIFS(Register_Conv!$I$2:$I$487,"politician",Register_Conv!$J$2:$J$487,"blame")+COUNTIFS(Register_Conv!$K$2:$K$487,"politician",Register_Conv!$L$2:$L$487,"blame")</f>
        <v>9</v>
      </c>
      <c r="G82" s="105">
        <f>COUNTIFS(Register_Conv!$G$2:$G$487,"politician",Register_Conv!$H$2:$H$487,"victim")+COUNTIFS(Register_Conv!$I$2:$I$487,"politician",Register_Conv!$J$2:$J$487,"victim")+COUNTIFS(Register_Conv!$K$2:$K$487,"politician",Register_Conv!$L$2:$L$487,"victim")</f>
        <v>2</v>
      </c>
      <c r="H82" s="105">
        <f>COUNTIFS(Register_Conv!$G$2:$G$487,"politician",Register_Conv!$H$2:$H$487,"heroic")+COUNTIFS(Register_Conv!$I$2:$I$487,"politician",Register_Conv!$J$2:$J$487,"heroic")+COUNTIFS(Register_Conv!$K$2:$K$487,"politician",Register_Conv!$L$2:$L$487,"heroic")</f>
        <v>4</v>
      </c>
      <c r="I82" s="105">
        <f>COUNTIFS(Register_Conv!$G$2:$G$487,"politician",Register_Conv!$H$2:$H$487,"wholesome")+COUNTIFS(Register_Conv!$I$2:$I$487,"politician",Register_Conv!$J$2:$J$487,"wholesome")+COUNTIFS(Register_Conv!$K$2:$K$487,"politician",Register_Conv!$L$2:$L$487,"wholesome")</f>
        <v>2</v>
      </c>
      <c r="J82" s="8">
        <f t="shared" si="8"/>
        <v>92</v>
      </c>
      <c r="K82" s="8"/>
      <c r="L82" s="7" t="s">
        <v>3025</v>
      </c>
      <c r="M82" s="8"/>
      <c r="N82" s="8"/>
      <c r="O82" s="8"/>
      <c r="P82" s="8"/>
      <c r="Q82" s="8"/>
      <c r="R82" s="8"/>
      <c r="S82" s="8"/>
      <c r="T82" s="8"/>
      <c r="U82" s="8"/>
    </row>
    <row r="83" spans="1:21" x14ac:dyDescent="0.25">
      <c r="A83" s="13" t="s">
        <v>3042</v>
      </c>
      <c r="B83" s="105">
        <f>COUNTIFS(Register_Conv!$G$2:$G$487,"individual",Register_Conv!$H$2:$H$487,"none")+COUNTIFS(Register_Conv!$I$2:$I$487,"individual",Register_Conv!$J$2:$J$487,"none")+COUNTIFS(Register_Conv!$K$2:$K$487,"individual",Register_Conv!$L$2:$L$487,"none")</f>
        <v>32</v>
      </c>
      <c r="C83" s="105">
        <f>COUNTIFS(Register_Conv!$G$2:$G$487,"individual",Register_Conv!$H$2:$H$487,"menace")+COUNTIFS(Register_Conv!$I$2:$I$487,"individual",Register_Conv!$J$2:$J$487,"menace")+COUNTIFS(Register_Conv!$K$2:$K$487,"individual",Register_Conv!$L$2:$L$487,"menace")</f>
        <v>10</v>
      </c>
      <c r="D83" s="105">
        <f>COUNTIFS(Register_Conv!$G$2:$G$487,"individual",Register_Conv!$H$2:$H$487,"othering")+COUNTIFS(Register_Conv!$I$2:$I$487,"individual",Register_Conv!$J$2:$J$487,"othering")+COUNTIFS(Register_Conv!$K$2:$K$487,"individual",Register_Conv!$L$2:$L$487,"othering")</f>
        <v>4</v>
      </c>
      <c r="E83" s="105">
        <f>COUNTIFS(Register_Conv!$G$2:$G$487,"individual",Register_Conv!$H$2:$H$487,"ridicule")+COUNTIFS(Register_Conv!$I$2:$I$487,"individual",Register_Conv!$J$2:$J$487,"ridicule")+COUNTIFS(Register_Conv!$K$2:$K$487,"individual",Register_Conv!$L$2:$L$487,"ridicule")</f>
        <v>0</v>
      </c>
      <c r="F83" s="105">
        <f>COUNTIFS(Register_Conv!$G$2:$G$487,"individual",Register_Conv!$H$2:$H$487,"blame")+COUNTIFS(Register_Conv!$I$2:$I$487,"individual",Register_Conv!$J$2:$J$487,"blame")+COUNTIFS(Register_Conv!$K$2:$K$487,"individual",Register_Conv!$L$2:$L$487,"blame")</f>
        <v>0</v>
      </c>
      <c r="G83" s="105">
        <f>COUNTIFS(Register_Conv!$G$2:$G$487,"individual",Register_Conv!$H$2:$H$487,"victim")+COUNTIFS(Register_Conv!$I$2:$I$487,"individual",Register_Conv!$J$2:$J$487,"victim")+COUNTIFS(Register_Conv!$K$2:$K$487,"individual",Register_Conv!$L$2:$L$487,"victim")</f>
        <v>15</v>
      </c>
      <c r="H83" s="105">
        <f>COUNTIFS(Register_Conv!$G$2:$G$487,"individual",Register_Conv!$H$2:$H$487,"heroic")+COUNTIFS(Register_Conv!$I$2:$I$487,"individual",Register_Conv!$J$2:$J$487,"heroic")+COUNTIFS(Register_Conv!$K$2:$K$487,"individual",Register_Conv!$L$2:$L$487,"heroic")</f>
        <v>5</v>
      </c>
      <c r="I83" s="105">
        <f>COUNTIFS(Register_Conv!$G$2:$G$487,"individual",Register_Conv!$H$2:$H$487,"wholesome")+COUNTIFS(Register_Conv!$I$2:$I$487,"individual",Register_Conv!$J$2:$J$487,"wholesome")+COUNTIFS(Register_Conv!$K$2:$K$487,"individual",Register_Conv!$L$2:$L$487,"wholesome")</f>
        <v>12</v>
      </c>
      <c r="J83" s="8">
        <f t="shared" si="8"/>
        <v>78</v>
      </c>
      <c r="K83" s="8"/>
      <c r="L83" s="7" t="s">
        <v>3042</v>
      </c>
      <c r="M83" s="8"/>
      <c r="N83" s="8"/>
      <c r="O83" s="8"/>
      <c r="P83" s="8"/>
      <c r="Q83" s="8"/>
      <c r="R83" s="8"/>
      <c r="S83" s="8"/>
      <c r="T83" s="8"/>
      <c r="U83" s="8"/>
    </row>
    <row r="84" spans="1:21" x14ac:dyDescent="0.25">
      <c r="A84" s="13" t="s">
        <v>3023</v>
      </c>
      <c r="B84" s="105">
        <f>COUNTIFS(Register_Conv!$G$2:$G$487,"mass",Register_Conv!$H$2:$H$487,"none")+COUNTIFS(Register_Conv!$I$2:$I$487,"mass",Register_Conv!$J$2:$J$487,"none")+COUNTIFS(Register_Conv!$K$2:$K$487,"mass",Register_Conv!$L$2:$L$487,"none")</f>
        <v>12</v>
      </c>
      <c r="C84" s="105">
        <f>COUNTIFS(Register_Conv!$G$2:$G$487,"mass",Register_Conv!$H$2:$H$487,"menace")+COUNTIFS(Register_Conv!$I$2:$I$487,"mass",Register_Conv!$J$2:$J$487,"menace")+COUNTIFS(Register_Conv!$K$2:$K$487,"mass",Register_Conv!$L$2:$L$487,"menace")</f>
        <v>13</v>
      </c>
      <c r="D84" s="105">
        <f>COUNTIFS(Register_Conv!$G$2:$G$487,"mass",Register_Conv!$H$2:$H$487,"othering")+COUNTIFS(Register_Conv!$I$2:$I$487,"mass",Register_Conv!$J$2:$J$487,"othering")+COUNTIFS(Register_Conv!$K$2:$K$487,"mass",Register_Conv!$L$2:$L$487,"othering")</f>
        <v>3</v>
      </c>
      <c r="E84" s="105">
        <f>COUNTIFS(Register_Conv!$G$2:$G$487,"mass",Register_Conv!$H$2:$H$487,"ridicule")+COUNTIFS(Register_Conv!$I$2:$I$487,"mass",Register_Conv!$J$2:$J$487,"ridicule")+COUNTIFS(Register_Conv!$K$2:$K$487,"mass",Register_Conv!$L$2:$L$487,"ridicule")</f>
        <v>0</v>
      </c>
      <c r="F84" s="105">
        <f>COUNTIFS(Register_Conv!$G$2:$G$487,"mass",Register_Conv!$H$2:$H$487,"blame")+COUNTIFS(Register_Conv!$I$2:$I$487,"mass",Register_Conv!$J$2:$J$487,"blame")+COUNTIFS(Register_Conv!$K$2:$K$487,"mass",Register_Conv!$L$2:$L$487,"blame")</f>
        <v>0</v>
      </c>
      <c r="G84" s="105">
        <f>COUNTIFS(Register_Conv!$G$2:$G$487,"mass",Register_Conv!$H$2:$H$487,"victim")+COUNTIFS(Register_Conv!$I$2:$I$487,"mass",Register_Conv!$J$2:$J$487,"victim")+COUNTIFS(Register_Conv!$K$2:$K$487,"mass",Register_Conv!$L$2:$L$487,"victim")</f>
        <v>1</v>
      </c>
      <c r="H84" s="105">
        <f>COUNTIFS(Register_Conv!$G$2:$G$487,"mass",Register_Conv!$H$2:$H$487,"heroic")+COUNTIFS(Register_Conv!$I$2:$I$487,"mass",Register_Conv!$J$2:$J$487,"heroic")+COUNTIFS(Register_Conv!$K$2:$K$487,"mass",Register_Conv!$L$2:$L$487,"heroic")</f>
        <v>1</v>
      </c>
      <c r="I84" s="105">
        <f>COUNTIFS(Register_Conv!$G$2:$G$487,"mass",Register_Conv!$H$2:$H$487,"wholesome")+COUNTIFS(Register_Conv!$I$2:$I$487,"mass",Register_Conv!$J$2:$J$487,"wholesome")+COUNTIFS(Register_Conv!$K$2:$K$487,"mass",Register_Conv!$L$2:$L$487,"wholesome")</f>
        <v>37</v>
      </c>
      <c r="J84" s="8">
        <f t="shared" si="8"/>
        <v>67</v>
      </c>
      <c r="K84" s="8"/>
      <c r="L84" s="7" t="s">
        <v>3023</v>
      </c>
      <c r="M84" s="38">
        <f t="shared" ref="M84:U84" si="9">B84/$J$84</f>
        <v>0.17910447761194029</v>
      </c>
      <c r="N84" s="38">
        <f t="shared" si="9"/>
        <v>0.19402985074626866</v>
      </c>
      <c r="O84" s="38">
        <f t="shared" si="9"/>
        <v>4.4776119402985072E-2</v>
      </c>
      <c r="P84" s="38">
        <f t="shared" si="9"/>
        <v>0</v>
      </c>
      <c r="Q84" s="38">
        <f t="shared" si="9"/>
        <v>0</v>
      </c>
      <c r="R84" s="38">
        <f t="shared" si="9"/>
        <v>1.4925373134328358E-2</v>
      </c>
      <c r="S84" s="38">
        <f t="shared" si="9"/>
        <v>1.4925373134328358E-2</v>
      </c>
      <c r="T84" s="38">
        <f t="shared" si="9"/>
        <v>0.55223880597014929</v>
      </c>
      <c r="U84" s="38">
        <f t="shared" si="9"/>
        <v>1</v>
      </c>
    </row>
    <row r="85" spans="1:21" x14ac:dyDescent="0.25">
      <c r="A85" s="13" t="s">
        <v>3022</v>
      </c>
      <c r="B85" s="105">
        <f>COUNTIFS(Register_Conv!$G$2:$G$487,"institution",Register_Conv!$H$2:$H$487,"none")+COUNTIFS(Register_Conv!$I$2:$I$487,"institution",Register_Conv!$J$2:$J$487,"none")+COUNTIFS(Register_Conv!$K$2:$K$487,"institution",Register_Conv!$L$2:$L$487,"none")</f>
        <v>4</v>
      </c>
      <c r="C85" s="105">
        <f>COUNTIFS(Register_Conv!$G$2:$G$487,"institution",Register_Conv!$H$2:$H$487,"menace")+COUNTIFS(Register_Conv!$I$2:$I$487,"institution",Register_Conv!$J$2:$J$487,"menace")+COUNTIFS(Register_Conv!$K$2:$K$487,"institution",Register_Conv!$L$2:$L$487,"menace")</f>
        <v>2</v>
      </c>
      <c r="D85" s="105">
        <f>COUNTIFS(Register_Conv!$G$2:$G$487,"institution",Register_Conv!$H$2:$H$487,"othering")+COUNTIFS(Register_Conv!$I$2:$I$487,"institution",Register_Conv!$J$2:$J$487,"othering")+COUNTIFS(Register_Conv!$K$2:$K$487,"institution",Register_Conv!$L$2:$L$487,"othering")</f>
        <v>0</v>
      </c>
      <c r="E85" s="105">
        <f>COUNTIFS(Register_Conv!$G$2:$G$487,"institution",Register_Conv!$H$2:$H$487,"ridicule")+COUNTIFS(Register_Conv!$I$2:$I$487,"institution",Register_Conv!$J$2:$J$487,"ridicule")+COUNTIFS(Register_Conv!$K$2:$K$487,"institution",Register_Conv!$L$2:$L$487,"ridicule")</f>
        <v>1</v>
      </c>
      <c r="F85" s="105">
        <f>COUNTIFS(Register_Conv!$G$2:$G$487,"institution",Register_Conv!$H$2:$H$487,"blame")+COUNTIFS(Register_Conv!$I$2:$I$487,"institution",Register_Conv!$J$2:$J$487,"blame")+COUNTIFS(Register_Conv!$K$2:$K$487,"institution",Register_Conv!$L$2:$L$487,"blame")</f>
        <v>1</v>
      </c>
      <c r="G85" s="105">
        <f>COUNTIFS(Register_Conv!$G$2:$G$487,"institution",Register_Conv!$H$2:$H$487,"victim")+COUNTIFS(Register_Conv!$I$2:$I$487,"institution",Register_Conv!$J$2:$J$487,"victim")+COUNTIFS(Register_Conv!$K$2:$K$487,"institution",Register_Conv!$L$2:$L$487,"victim")</f>
        <v>0</v>
      </c>
      <c r="H85" s="105">
        <f>COUNTIFS(Register_Conv!$G$2:$G$487,"institution",Register_Conv!$H$2:$H$487,"heroic")+COUNTIFS(Register_Conv!$I$2:$I$487,"institution",Register_Conv!$J$2:$J$487,"heroic")+COUNTIFS(Register_Conv!$K$2:$K$487,"institution",Register_Conv!$L$2:$L$487,"heroic")</f>
        <v>2</v>
      </c>
      <c r="I85" s="105">
        <f>COUNTIFS(Register_Conv!$G$2:$G$487,"institution",Register_Conv!$H$2:$H$487,"wholesome")+COUNTIFS(Register_Conv!$I$2:$I$487,"institution",Register_Conv!$J$2:$J$487,"wholesome")+COUNTIFS(Register_Conv!$K$2:$K$487,"institution",Register_Conv!$L$2:$L$487,"wholesome")</f>
        <v>0</v>
      </c>
      <c r="J85" s="8">
        <f t="shared" si="8"/>
        <v>10</v>
      </c>
      <c r="K85" s="8"/>
      <c r="L85" s="7" t="s">
        <v>3022</v>
      </c>
      <c r="M85" s="8"/>
      <c r="N85" s="8"/>
      <c r="O85" s="8"/>
      <c r="P85" s="8"/>
      <c r="Q85" s="8"/>
      <c r="R85" s="8"/>
      <c r="S85" s="8"/>
      <c r="T85" s="8"/>
      <c r="U85" s="8"/>
    </row>
    <row r="86" spans="1:21" x14ac:dyDescent="0.25">
      <c r="A86" s="13" t="s">
        <v>3021</v>
      </c>
      <c r="B86" s="105">
        <f>COUNTIFS(Register_Conv!$G$2:$G$487,"economy",Register_Conv!$H$2:$H$487,"none")+COUNTIFS(Register_Conv!$I$2:$I$487,"economy",Register_Conv!$J$2:$J$487,"none")+COUNTIFS(Register_Conv!$K$2:$K$487,"economy",Register_Conv!$L$2:$L$487,"none")</f>
        <v>6</v>
      </c>
      <c r="C86" s="105">
        <f>COUNTIFS(Register_Conv!$G$2:$G$487,"economy",Register_Conv!$H$2:$H$487,"menace")+COUNTIFS(Register_Conv!$I$2:$I$487,"economy",Register_Conv!$J$2:$J$487,"menace")+COUNTIFS(Register_Conv!$K$2:$K$487,"economy",Register_Conv!$L$2:$L$487,"menace")</f>
        <v>0</v>
      </c>
      <c r="D86" s="105">
        <f>COUNTIFS(Register_Conv!$G$2:$G$487,"economy",Register_Conv!$H$2:$H$487,"othering")+COUNTIFS(Register_Conv!$I$2:$I$487,"economy",Register_Conv!$J$2:$J$487,"othering")+COUNTIFS(Register_Conv!$K$2:$K$487,"economy",Register_Conv!$L$2:$L$487,"othering")</f>
        <v>0</v>
      </c>
      <c r="E86" s="105">
        <f>COUNTIFS(Register_Conv!$G$2:$G$487,"economy",Register_Conv!$H$2:$H$487,"ridicule")+COUNTIFS(Register_Conv!$I$2:$I$487,"economy",Register_Conv!$J$2:$J$487,"ridicule")+COUNTIFS(Register_Conv!$K$2:$K$487,"economy",Register_Conv!$L$2:$L$487,"ridicule")</f>
        <v>0</v>
      </c>
      <c r="F86" s="105">
        <f>COUNTIFS(Register_Conv!$G$2:$G$487,"economy",Register_Conv!$H$2:$H$487,"blame")+COUNTIFS(Register_Conv!$I$2:$I$487,"economy",Register_Conv!$J$2:$J$487,"blame")+COUNTIFS(Register_Conv!$K$2:$K$487,"economy",Register_Conv!$L$2:$L$487,"blame")</f>
        <v>0</v>
      </c>
      <c r="G86" s="105">
        <f>COUNTIFS(Register_Conv!$G$2:$G$487,"economy",Register_Conv!$H$2:$H$487,"victim")+COUNTIFS(Register_Conv!$I$2:$I$487,"economy",Register_Conv!$J$2:$J$487,"victim")+COUNTIFS(Register_Conv!$K$2:$K$487,"economy",Register_Conv!$L$2:$L$487,"victim")</f>
        <v>0</v>
      </c>
      <c r="H86" s="105">
        <f>COUNTIFS(Register_Conv!$G$2:$G$487,"economy",Register_Conv!$H$2:$H$487,"heroic")+COUNTIFS(Register_Conv!$I$2:$I$487,"economy",Register_Conv!$J$2:$J$487,"heroic")+COUNTIFS(Register_Conv!$K$2:$K$487,"economy",Register_Conv!$L$2:$L$487,"heroic")</f>
        <v>2</v>
      </c>
      <c r="I86" s="105">
        <f>COUNTIFS(Register_Conv!$G$2:$G$487,"economy",Register_Conv!$H$2:$H$487,"wholesome")+COUNTIFS(Register_Conv!$I$2:$I$487,"economy",Register_Conv!$J$2:$J$487,"wholesome")+COUNTIFS(Register_Conv!$K$2:$K$487,"economy",Register_Conv!$L$2:$L$487,"wholesome")</f>
        <v>2</v>
      </c>
      <c r="J86" s="8">
        <f t="shared" si="8"/>
        <v>10</v>
      </c>
      <c r="K86" s="8"/>
      <c r="L86" s="7" t="s">
        <v>3021</v>
      </c>
      <c r="M86" s="8"/>
      <c r="N86" s="8"/>
      <c r="O86" s="8"/>
      <c r="P86" s="8"/>
      <c r="Q86" s="8"/>
      <c r="R86" s="8"/>
      <c r="S86" s="8"/>
      <c r="T86" s="8"/>
      <c r="U86" s="8"/>
    </row>
    <row r="87" spans="1:21" x14ac:dyDescent="0.25">
      <c r="A87" s="13" t="s">
        <v>3020</v>
      </c>
      <c r="B87" s="105">
        <f>COUNTIFS(Register_Conv!$G$2:$G$487,"place",Register_Conv!$H$2:$H$487,"none")+COUNTIFS(Register_Conv!$I$2:$I$487,"place",Register_Conv!$J$2:$J$487,"none")+COUNTIFS(Register_Conv!$K$2:$K$487,"place",Register_Conv!$L$2:$L$487,"none")</f>
        <v>10</v>
      </c>
      <c r="C87" s="105">
        <f>COUNTIFS(Register_Conv!$G$2:$G$487,"place",Register_Conv!$H$2:$H$487,"menace")+COUNTIFS(Register_Conv!$I$2:$I$487,"place",Register_Conv!$J$2:$J$487,"menace")+COUNTIFS(Register_Conv!$K$2:$K$487,"place",Register_Conv!$L$2:$L$487,"menace")</f>
        <v>0</v>
      </c>
      <c r="D87" s="105">
        <f>COUNTIFS(Register_Conv!$G$2:$G$487,"place",Register_Conv!$H$2:$H$487,"othering")+COUNTIFS(Register_Conv!$I$2:$I$487,"place",Register_Conv!$J$2:$J$487,"othering")+COUNTIFS(Register_Conv!$K$2:$K$487,"place",Register_Conv!$L$2:$L$487,"othering")</f>
        <v>0</v>
      </c>
      <c r="E87" s="105">
        <f>COUNTIFS(Register_Conv!$G$2:$G$487,"place",Register_Conv!$H$2:$H$487,"ridicule")+COUNTIFS(Register_Conv!$I$2:$I$487,"place",Register_Conv!$J$2:$J$487,"ridicule")+COUNTIFS(Register_Conv!$K$2:$K$487,"place",Register_Conv!$L$2:$L$487,"ridicule")</f>
        <v>0</v>
      </c>
      <c r="F87" s="105">
        <f>COUNTIFS(Register_Conv!$G$2:$G$487,"place",Register_Conv!$H$2:$H$487,"blame")+COUNTIFS(Register_Conv!$I$2:$I$487,"place",Register_Conv!$J$2:$J$487,"blame")+COUNTIFS(Register_Conv!$K$2:$K$487,"place",Register_Conv!$L$2:$L$487,"blame")</f>
        <v>0</v>
      </c>
      <c r="G87" s="105">
        <f>COUNTIFS(Register_Conv!$G$2:$G$487,"place",Register_Conv!$H$2:$H$487,"victim")+COUNTIFS(Register_Conv!$I$2:$I$487,"place",Register_Conv!$J$2:$J$487,"victim")+COUNTIFS(Register_Conv!$K$2:$K$487,"place",Register_Conv!$L$2:$L$487,"victim")</f>
        <v>4</v>
      </c>
      <c r="H87" s="105">
        <f>COUNTIFS(Register_Conv!$G$2:$G$487,"place",Register_Conv!$H$2:$H$487,"heroic")+COUNTIFS(Register_Conv!$I$2:$I$487,"place",Register_Conv!$J$2:$J$487,"heroic")+COUNTIFS(Register_Conv!$K$2:$K$487,"place",Register_Conv!$L$2:$L$487,"heroic")</f>
        <v>1</v>
      </c>
      <c r="I87" s="105">
        <f>COUNTIFS(Register_Conv!$G$2:$G$487,"place",Register_Conv!$H$2:$H$487,"wholesome")+COUNTIFS(Register_Conv!$I$2:$I$487,"place",Register_Conv!$J$2:$J$487,"wholesome")+COUNTIFS(Register_Conv!$K$2:$K$487,"place",Register_Conv!$L$2:$L$487,"wholesome")</f>
        <v>1</v>
      </c>
      <c r="J87" s="8">
        <f t="shared" si="8"/>
        <v>16</v>
      </c>
      <c r="K87" s="8"/>
      <c r="L87" s="7" t="s">
        <v>3020</v>
      </c>
      <c r="M87" s="8"/>
      <c r="N87" s="8"/>
      <c r="O87" s="8"/>
      <c r="P87" s="8"/>
      <c r="Q87" s="8"/>
      <c r="R87" s="8"/>
      <c r="S87" s="8"/>
      <c r="T87" s="8"/>
      <c r="U87" s="8"/>
    </row>
    <row r="88" spans="1:21" x14ac:dyDescent="0.25">
      <c r="A88" s="13" t="s">
        <v>3019</v>
      </c>
      <c r="B88" s="105">
        <f>COUNTIFS(Register_Conv!$G$2:$G$487,"object",Register_Conv!$H$2:$H$487,"none")+COUNTIFS(Register_Conv!$I$2:$I$487,"object",Register_Conv!$J$2:$J$487,"none")+COUNTIFS(Register_Conv!$K$2:$K$487,"object",Register_Conv!$L$2:$L$487,"none")</f>
        <v>21</v>
      </c>
      <c r="C88" s="105">
        <f>COUNTIFS(Register_Conv!$G$2:$G$487,"object",Register_Conv!$H$2:$H$487,"menace")+COUNTIFS(Register_Conv!$I$2:$I$487,"object",Register_Conv!$J$2:$J$487,"menace")+COUNTIFS(Register_Conv!$K$2:$K$487,"object",Register_Conv!$L$2:$L$487,"menace")</f>
        <v>3</v>
      </c>
      <c r="D88" s="105">
        <f>COUNTIFS(Register_Conv!$G$2:$G$487,"object",Register_Conv!$H$2:$H$487,"othering")+COUNTIFS(Register_Conv!$I$2:$I$487,"object",Register_Conv!$J$2:$J$487,"othering")+COUNTIFS(Register_Conv!$K$2:$K$487,"object",Register_Conv!$L$2:$L$487,"othering")</f>
        <v>0</v>
      </c>
      <c r="E88" s="105">
        <f>COUNTIFS(Register_Conv!$G$2:$G$487,"object",Register_Conv!$H$2:$H$487,"ridicule")+COUNTIFS(Register_Conv!$I$2:$I$487,"object",Register_Conv!$J$2:$J$487,"ridicule")+COUNTIFS(Register_Conv!$K$2:$K$487,"object",Register_Conv!$L$2:$L$487,"ridicule")</f>
        <v>0</v>
      </c>
      <c r="F88" s="105">
        <f>COUNTIFS(Register_Conv!$G$2:$G$487,"object",Register_Conv!$H$2:$H$487,"blame")+COUNTIFS(Register_Conv!$I$2:$I$487,"object",Register_Conv!$J$2:$J$487,"blame")+COUNTIFS(Register_Conv!$K$2:$K$487,"object",Register_Conv!$L$2:$L$487,"blame")</f>
        <v>0</v>
      </c>
      <c r="G88" s="105">
        <f>COUNTIFS(Register_Conv!$G$2:$G$487,"object",Register_Conv!$H$2:$H$487,"victim")+COUNTIFS(Register_Conv!$I$2:$I$487,"object",Register_Conv!$J$2:$J$487,"victim")+COUNTIFS(Register_Conv!$K$2:$K$487,"object",Register_Conv!$L$2:$L$487,"victim")</f>
        <v>7</v>
      </c>
      <c r="H88" s="105">
        <f>COUNTIFS(Register_Conv!$G$2:$G$487,"object",Register_Conv!$H$2:$H$487,"heroic")+COUNTIFS(Register_Conv!$I$2:$I$487,"object",Register_Conv!$J$2:$J$487,"heroic")+COUNTIFS(Register_Conv!$K$2:$K$487,"object",Register_Conv!$L$2:$L$487,"heroic")</f>
        <v>3</v>
      </c>
      <c r="I88" s="105">
        <f>COUNTIFS(Register_Conv!$G$2:$G$487,"object",Register_Conv!$H$2:$H$487,"wholesome")+COUNTIFS(Register_Conv!$I$2:$I$487,"object",Register_Conv!$J$2:$J$487,"wholesome")+COUNTIFS(Register_Conv!$K$2:$K$487,"object",Register_Conv!$L$2:$L$487,"wholesome")</f>
        <v>5</v>
      </c>
      <c r="J88" s="8">
        <f t="shared" si="8"/>
        <v>39</v>
      </c>
      <c r="K88" s="8"/>
      <c r="L88" s="7" t="s">
        <v>3019</v>
      </c>
      <c r="M88" s="8"/>
      <c r="N88" s="8"/>
      <c r="O88" s="8"/>
      <c r="P88" s="8"/>
      <c r="Q88" s="8"/>
      <c r="R88" s="8"/>
      <c r="S88" s="8"/>
      <c r="T88" s="8"/>
      <c r="U88" s="8"/>
    </row>
    <row r="89" spans="1:21" x14ac:dyDescent="0.25">
      <c r="A89" s="24"/>
      <c r="B89" s="12">
        <f t="shared" ref="B89:J89" si="10">SUM(B80:B88)</f>
        <v>390</v>
      </c>
      <c r="C89" s="12">
        <f t="shared" si="10"/>
        <v>29</v>
      </c>
      <c r="D89" s="12">
        <f t="shared" si="10"/>
        <v>7</v>
      </c>
      <c r="E89" s="12">
        <f t="shared" si="10"/>
        <v>4</v>
      </c>
      <c r="F89" s="12">
        <f t="shared" si="10"/>
        <v>10</v>
      </c>
      <c r="G89" s="12">
        <f t="shared" si="10"/>
        <v>29</v>
      </c>
      <c r="H89" s="12">
        <f t="shared" si="10"/>
        <v>60</v>
      </c>
      <c r="I89" s="12">
        <f t="shared" si="10"/>
        <v>101</v>
      </c>
      <c r="J89" s="12">
        <f t="shared" si="10"/>
        <v>630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x14ac:dyDescent="0.25">
      <c r="A90" s="86" t="s">
        <v>3657</v>
      </c>
    </row>
    <row r="91" spans="1:21" ht="15.6" customHeight="1" x14ac:dyDescent="0.25">
      <c r="A91" s="109" t="s">
        <v>3854</v>
      </c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</row>
    <row r="92" spans="1:21" ht="39" x14ac:dyDescent="0.25">
      <c r="A92" s="9" t="s">
        <v>1</v>
      </c>
      <c r="B92" s="10" t="s">
        <v>2</v>
      </c>
      <c r="C92" s="10" t="s">
        <v>1853</v>
      </c>
      <c r="D92" s="10" t="s">
        <v>1854</v>
      </c>
      <c r="E92" s="10" t="s">
        <v>3037</v>
      </c>
      <c r="F92" s="10" t="s">
        <v>3036</v>
      </c>
      <c r="G92" s="10" t="s">
        <v>1857</v>
      </c>
    </row>
    <row r="93" spans="1:21" x14ac:dyDescent="0.25">
      <c r="A93" s="13" t="s">
        <v>14</v>
      </c>
      <c r="B93" s="7" t="s">
        <v>15</v>
      </c>
      <c r="C93" s="7">
        <f>SUMPRODUCT((Register_AI!$C$2:$C$288=A93)*Register_AI!$P$2:$P$288)</f>
        <v>56</v>
      </c>
      <c r="D93" s="7">
        <f>SUMPRODUCT((Register_Conv!$C$2:$C$487=A93)*Register_Conv!$P$2:$P$487)</f>
        <v>48</v>
      </c>
      <c r="E93" s="72">
        <f>SUMPRODUCT((Register_AI!$C$2:$C$288=A93)*Register_AI!$Q$2:$Q$288*Register_AI!$P$2:$P$288)/C93</f>
        <v>0.39285714285714285</v>
      </c>
      <c r="F93" s="72">
        <f>SUMPRODUCT((Register_Conv!$C$2:$C$487=A93)*Register_Conv!$Q$2:$Q$487*Register_Conv!$P$2:$P$487)/D93</f>
        <v>0.1875</v>
      </c>
      <c r="G93" s="2">
        <f t="shared" ref="G93:G105" si="11">(E93-F93)*100</f>
        <v>20.535714285714285</v>
      </c>
    </row>
    <row r="94" spans="1:21" x14ac:dyDescent="0.25">
      <c r="A94" s="13" t="s">
        <v>22</v>
      </c>
      <c r="B94" s="7" t="s">
        <v>23</v>
      </c>
      <c r="C94" s="7">
        <f>SUMPRODUCT((Register_AI!$C$2:$C$288=A94)*Register_AI!$P$2:$P$288)</f>
        <v>37</v>
      </c>
      <c r="D94" s="7">
        <f>SUMPRODUCT((Register_Conv!$C$2:$C$487=A94)*Register_Conv!$P$2:$P$487)</f>
        <v>52</v>
      </c>
      <c r="E94" s="72">
        <f>SUMPRODUCT((Register_AI!$C$2:$C$288=A94)*Register_AI!$Q$2:$Q$288*Register_AI!$P$2:$P$288)/C94</f>
        <v>0.6216216216216216</v>
      </c>
      <c r="F94" s="72">
        <f>SUMPRODUCT((Register_Conv!$C$2:$C$487=A94)*Register_Conv!$Q$2:$Q$487*Register_Conv!$P$2:$P$487)/D94</f>
        <v>0.19230769230769232</v>
      </c>
      <c r="G94" s="2">
        <f t="shared" si="11"/>
        <v>42.931392931392928</v>
      </c>
    </row>
    <row r="95" spans="1:21" x14ac:dyDescent="0.25">
      <c r="A95" s="13" t="s">
        <v>32</v>
      </c>
      <c r="B95" s="7" t="s">
        <v>33</v>
      </c>
      <c r="C95" s="7">
        <f>SUMPRODUCT((Register_AI!$C$2:$C$288=A95)*Register_AI!$P$2:$P$288)</f>
        <v>30</v>
      </c>
      <c r="D95" s="7">
        <f>SUMPRODUCT((Register_Conv!$C$2:$C$487=A95)*Register_Conv!$P$2:$P$487)</f>
        <v>45</v>
      </c>
      <c r="E95" s="72">
        <f>SUMPRODUCT((Register_AI!$C$2:$C$288=A95)*Register_AI!$Q$2:$Q$288*Register_AI!$P$2:$P$288)/C95</f>
        <v>0.73333333333333328</v>
      </c>
      <c r="F95" s="72">
        <f>SUMPRODUCT((Register_Conv!$C$2:$C$487=A95)*Register_Conv!$Q$2:$Q$487*Register_Conv!$P$2:$P$487)/D95</f>
        <v>0.37777777777777777</v>
      </c>
      <c r="G95" s="2">
        <f t="shared" si="11"/>
        <v>35.55555555555555</v>
      </c>
    </row>
    <row r="96" spans="1:21" x14ac:dyDescent="0.25">
      <c r="A96" s="13" t="s">
        <v>26</v>
      </c>
      <c r="B96" s="7" t="s">
        <v>27</v>
      </c>
      <c r="C96" s="7">
        <f>SUMPRODUCT((Register_AI!$C$2:$C$288=A96)*Register_AI!$P$2:$P$288)</f>
        <v>24</v>
      </c>
      <c r="D96" s="7">
        <f>SUMPRODUCT((Register_Conv!$C$2:$C$487=A96)*Register_Conv!$P$2:$P$487)</f>
        <v>38</v>
      </c>
      <c r="E96" s="72">
        <f>SUMPRODUCT((Register_AI!$C$2:$C$288=A96)*Register_AI!$Q$2:$Q$288*Register_AI!$P$2:$P$288)/C96</f>
        <v>0.66666666666666663</v>
      </c>
      <c r="F96" s="72">
        <f>SUMPRODUCT((Register_Conv!$C$2:$C$487=A96)*Register_Conv!$Q$2:$Q$487*Register_Conv!$P$2:$P$487)/D96</f>
        <v>0.10526315789473684</v>
      </c>
      <c r="G96" s="2">
        <f t="shared" si="11"/>
        <v>56.140350877192979</v>
      </c>
    </row>
    <row r="97" spans="1:10" x14ac:dyDescent="0.25">
      <c r="A97" s="13" t="s">
        <v>38</v>
      </c>
      <c r="B97" s="7" t="s">
        <v>1892</v>
      </c>
      <c r="C97" s="7">
        <f>SUMPRODUCT((Register_AI!$C$2:$C$288=A97)*Register_AI!$P$2:$P$288)</f>
        <v>15</v>
      </c>
      <c r="D97" s="7">
        <f>SUMPRODUCT((Register_Conv!$C$2:$C$487=A97)*Register_Conv!$P$2:$P$487)</f>
        <v>22</v>
      </c>
      <c r="E97" s="72">
        <f>SUMPRODUCT((Register_AI!$C$2:$C$288=A97)*Register_AI!$Q$2:$Q$288*Register_AI!$P$2:$P$288)/C97</f>
        <v>0.4</v>
      </c>
      <c r="F97" s="72">
        <f>SUMPRODUCT((Register_Conv!$C$2:$C$487=A97)*Register_Conv!$Q$2:$Q$487*Register_Conv!$P$2:$P$487)/D97</f>
        <v>4.5454545454545456E-2</v>
      </c>
      <c r="G97" s="2">
        <f t="shared" si="11"/>
        <v>35.454545454545453</v>
      </c>
    </row>
    <row r="98" spans="1:10" x14ac:dyDescent="0.25">
      <c r="A98" s="13" t="s">
        <v>16</v>
      </c>
      <c r="B98" s="7" t="s">
        <v>17</v>
      </c>
      <c r="C98" s="7">
        <f>SUMPRODUCT((Register_AI!$C$2:$C$288=A98)*Register_AI!$P$2:$P$288)</f>
        <v>15</v>
      </c>
      <c r="D98" s="7">
        <f>SUMPRODUCT((Register_Conv!$C$2:$C$487=A98)*Register_Conv!$P$2:$P$487)</f>
        <v>30</v>
      </c>
      <c r="E98" s="72">
        <f>SUMPRODUCT((Register_AI!$C$2:$C$288=A98)*Register_AI!$Q$2:$Q$288*Register_AI!$P$2:$P$288)/C98</f>
        <v>0.13333333333333333</v>
      </c>
      <c r="F98" s="72">
        <f>SUMPRODUCT((Register_Conv!$C$2:$C$487=A98)*Register_Conv!$Q$2:$Q$487*Register_Conv!$P$2:$P$487)/D98</f>
        <v>3.3333333333333333E-2</v>
      </c>
      <c r="G98" s="2">
        <f t="shared" si="11"/>
        <v>10</v>
      </c>
    </row>
    <row r="99" spans="1:10" x14ac:dyDescent="0.25">
      <c r="A99" s="13" t="s">
        <v>30</v>
      </c>
      <c r="B99" s="7" t="s">
        <v>31</v>
      </c>
      <c r="C99" s="7">
        <f>SUMPRODUCT((Register_AI!$C$2:$C$288=A99)*Register_AI!$P$2:$P$288)</f>
        <v>9</v>
      </c>
      <c r="D99" s="7">
        <f>SUMPRODUCT((Register_Conv!$C$2:$C$487=A99)*Register_Conv!$P$2:$P$487)</f>
        <v>24</v>
      </c>
      <c r="E99" s="72">
        <f>SUMPRODUCT((Register_AI!$C$2:$C$288=A99)*Register_AI!$Q$2:$Q$288*Register_AI!$P$2:$P$288)/C99</f>
        <v>0.88888888888888884</v>
      </c>
      <c r="F99" s="72">
        <f>SUMPRODUCT((Register_Conv!$C$2:$C$487=A99)*Register_Conv!$Q$2:$Q$487*Register_Conv!$P$2:$P$487)/D99</f>
        <v>4.1666666666666664E-2</v>
      </c>
      <c r="G99" s="2">
        <f t="shared" si="11"/>
        <v>84.722222222222214</v>
      </c>
    </row>
    <row r="100" spans="1:10" x14ac:dyDescent="0.25">
      <c r="A100" s="13" t="s">
        <v>40</v>
      </c>
      <c r="B100" s="7" t="s">
        <v>41</v>
      </c>
      <c r="C100" s="7">
        <f>SUMPRODUCT((Register_AI!$C$2:$C$288=A100)*Register_AI!$P$2:$P$288)</f>
        <v>8</v>
      </c>
      <c r="D100" s="7">
        <f>SUMPRODUCT((Register_Conv!$C$2:$C$487=A100)*Register_Conv!$P$2:$P$487)</f>
        <v>18</v>
      </c>
      <c r="E100" s="72">
        <f>SUMPRODUCT((Register_AI!$C$2:$C$288=A100)*Register_AI!$Q$2:$Q$288*Register_AI!$P$2:$P$288)/C100</f>
        <v>0.625</v>
      </c>
      <c r="F100" s="72">
        <f>SUMPRODUCT((Register_Conv!$C$2:$C$487=A100)*Register_Conv!$Q$2:$Q$487*Register_Conv!$P$2:$P$487)/D100</f>
        <v>0.16666666666666666</v>
      </c>
      <c r="G100" s="2">
        <f t="shared" si="11"/>
        <v>45.833333333333336</v>
      </c>
    </row>
    <row r="101" spans="1:10" x14ac:dyDescent="0.25">
      <c r="A101" s="13" t="s">
        <v>20</v>
      </c>
      <c r="B101" s="7" t="s">
        <v>21</v>
      </c>
      <c r="C101" s="7">
        <f>SUMPRODUCT((Register_AI!$C$2:$C$288=A101)*Register_AI!$P$2:$P$288)</f>
        <v>6</v>
      </c>
      <c r="D101" s="7">
        <f>SUMPRODUCT((Register_Conv!$C$2:$C$487=A101)*Register_Conv!$P$2:$P$487)</f>
        <v>20</v>
      </c>
      <c r="E101" s="72">
        <f>SUMPRODUCT((Register_AI!$C$2:$C$288=A101)*Register_AI!$Q$2:$Q$288*Register_AI!$P$2:$P$288)/C101</f>
        <v>0.16666666666666666</v>
      </c>
      <c r="F101" s="72">
        <f>SUMPRODUCT((Register_Conv!$C$2:$C$487=A101)*Register_Conv!$Q$2:$Q$487*Register_Conv!$P$2:$P$487)/D101</f>
        <v>0</v>
      </c>
      <c r="G101" s="2">
        <f t="shared" si="11"/>
        <v>16.666666666666664</v>
      </c>
    </row>
    <row r="102" spans="1:10" x14ac:dyDescent="0.25">
      <c r="A102" s="13" t="s">
        <v>18</v>
      </c>
      <c r="B102" s="7" t="s">
        <v>19</v>
      </c>
      <c r="C102" s="7">
        <f>SUMPRODUCT((Register_AI!$C$2:$C$288=A102)*Register_AI!$P$2:$P$288)</f>
        <v>5</v>
      </c>
      <c r="D102" s="7">
        <f>SUMPRODUCT((Register_Conv!$C$2:$C$487=A102)*Register_Conv!$P$2:$P$487)</f>
        <v>20</v>
      </c>
      <c r="E102" s="72">
        <f>SUMPRODUCT((Register_AI!$C$2:$C$288=A102)*Register_AI!$Q$2:$Q$288*Register_AI!$P$2:$P$288)/C102</f>
        <v>0.4</v>
      </c>
      <c r="F102" s="72">
        <f>SUMPRODUCT((Register_Conv!$C$2:$C$487=A102)*Register_Conv!$Q$2:$Q$487*Register_Conv!$P$2:$P$487)/D102</f>
        <v>0.05</v>
      </c>
      <c r="G102" s="2">
        <f t="shared" si="11"/>
        <v>35</v>
      </c>
    </row>
    <row r="103" spans="1:10" x14ac:dyDescent="0.25">
      <c r="A103" s="13" t="s">
        <v>34</v>
      </c>
      <c r="B103" s="7" t="s">
        <v>3001</v>
      </c>
      <c r="C103" s="7">
        <f>SUMPRODUCT((Register_AI!$C$2:$C$288=A103)*Register_AI!$P$2:$P$288)</f>
        <v>5</v>
      </c>
      <c r="D103" s="7">
        <f>SUMPRODUCT((Register_Conv!$C$2:$C$487=A103)*Register_Conv!$P$2:$P$487)</f>
        <v>16</v>
      </c>
      <c r="E103" s="72">
        <f>SUMPRODUCT((Register_AI!$C$2:$C$288=A103)*Register_AI!$Q$2:$Q$288*Register_AI!$P$2:$P$288)/C103</f>
        <v>0</v>
      </c>
      <c r="F103" s="72">
        <f>SUMPRODUCT((Register_Conv!$C$2:$C$487=A103)*Register_Conv!$Q$2:$Q$487*Register_Conv!$P$2:$P$487)/D103</f>
        <v>0.25</v>
      </c>
      <c r="G103" s="2">
        <f t="shared" si="11"/>
        <v>-25</v>
      </c>
    </row>
    <row r="104" spans="1:10" x14ac:dyDescent="0.25">
      <c r="A104" s="13" t="s">
        <v>24</v>
      </c>
      <c r="B104" s="7" t="s">
        <v>25</v>
      </c>
      <c r="C104" s="7">
        <f>SUMPRODUCT((Register_AI!$C$2:$C$288=A104)*Register_AI!$P$2:$P$288)</f>
        <v>4</v>
      </c>
      <c r="D104" s="7">
        <f>SUMPRODUCT((Register_Conv!$C$2:$C$487=A104)*Register_Conv!$P$2:$P$487)</f>
        <v>18</v>
      </c>
      <c r="E104" s="72">
        <f>SUMPRODUCT((Register_AI!$C$2:$C$288=A104)*Register_AI!$Q$2:$Q$288*Register_AI!$P$2:$P$288)/C104</f>
        <v>1</v>
      </c>
      <c r="F104" s="72">
        <f>SUMPRODUCT((Register_Conv!$C$2:$C$487=A104)*Register_Conv!$Q$2:$Q$487*Register_Conv!$P$2:$P$487)/D104</f>
        <v>0</v>
      </c>
      <c r="G104" s="2">
        <f t="shared" si="11"/>
        <v>100</v>
      </c>
    </row>
    <row r="105" spans="1:10" x14ac:dyDescent="0.25">
      <c r="A105" s="14" t="s">
        <v>10</v>
      </c>
      <c r="B105" s="11" t="s">
        <v>11</v>
      </c>
      <c r="C105" s="11">
        <f>SUMPRODUCT((Register_AI!$C$2:$C$288=A105)*Register_AI!$P$2:$P$288)</f>
        <v>3</v>
      </c>
      <c r="D105" s="11">
        <f>SUMPRODUCT((Register_Conv!$C$2:$C$487=A105)*Register_Conv!$P$2:$P$487)</f>
        <v>17</v>
      </c>
      <c r="E105" s="73">
        <f>SUMPRODUCT((Register_AI!$C$2:$C$288=A105)*Register_AI!$Q$2:$Q$288*Register_AI!$P$2:$P$288)/C105</f>
        <v>0.66666666666666663</v>
      </c>
      <c r="F105" s="73">
        <f>SUMPRODUCT((Register_Conv!$C$2:$C$487=A105)*Register_Conv!$Q$2:$Q$487*Register_Conv!$P$2:$P$487)/D105</f>
        <v>0.41176470588235292</v>
      </c>
      <c r="G105" s="20">
        <f t="shared" si="11"/>
        <v>25.490196078431371</v>
      </c>
    </row>
    <row r="108" spans="1:10" x14ac:dyDescent="0.25">
      <c r="A108" s="37" t="s">
        <v>3868</v>
      </c>
    </row>
    <row r="109" spans="1:10" x14ac:dyDescent="0.25">
      <c r="A109" s="13" t="s">
        <v>3869</v>
      </c>
      <c r="B109" s="7">
        <f>$B$11-SUMPRODUCT(Register_AI!$P$2:$P$288*(((Register_AI!$M$2:$M$288="TRUE")+(Register_AI!$N$2:$N$288="TRUE")+(Register_AI!$O$2:$O$288="TRUE"))&gt;0))</f>
        <v>23</v>
      </c>
      <c r="D109" s="72">
        <f>B109/$B$11</f>
        <v>0.10599078341013825</v>
      </c>
    </row>
    <row r="111" spans="1:10" ht="39" x14ac:dyDescent="0.25">
      <c r="A111" s="9" t="s">
        <v>2</v>
      </c>
      <c r="B111" s="10" t="s">
        <v>3870</v>
      </c>
      <c r="C111" s="10" t="s">
        <v>1854</v>
      </c>
      <c r="D111" s="10" t="s">
        <v>1855</v>
      </c>
      <c r="E111" s="10" t="s">
        <v>1856</v>
      </c>
      <c r="F111" s="10" t="s">
        <v>1857</v>
      </c>
      <c r="G111" s="10" t="s">
        <v>1860</v>
      </c>
      <c r="H111" s="10" t="s">
        <v>3676</v>
      </c>
      <c r="I111" s="10" t="s">
        <v>3871</v>
      </c>
      <c r="J111" s="71" t="s">
        <v>1859</v>
      </c>
    </row>
    <row r="112" spans="1:10" x14ac:dyDescent="0.25">
      <c r="A112" s="13" t="s">
        <v>3026</v>
      </c>
      <c r="B112" s="7">
        <f>SUMPRODUCT(Register_AI!$P$2:$P$288*((((Register_AI!$G$2:$G$288="own_leader")*(Register_AI!$M$2:$M$288="TRUE"))+((Register_AI!$I$2:$I$288="own_leader")*(Register_AI!$N$2:$N$288="TRUE"))+((Register_AI!$K$2:$K$288="own_leader")*(Register_AI!$O$2:$O$288="TRUE")))&gt;0))</f>
        <v>11</v>
      </c>
      <c r="C112" s="7">
        <f>SUMPRODUCT(Register_Conv!$P$2:$P$487*(((Register_Conv!$G$2:$G$487="own_leader")+(Register_Conv!$I$2:$I$487="own_leader")+(Register_Conv!$K$2:$K$487="own_leader"))&gt;0))</f>
        <v>240</v>
      </c>
      <c r="D112" s="72">
        <f t="shared" ref="D112:D120" si="12">B112/$B$11</f>
        <v>5.0691244239631339E-2</v>
      </c>
      <c r="E112" s="72">
        <f t="shared" ref="E112:E120" si="13">C112/$B$12</f>
        <v>0.54054054054054057</v>
      </c>
      <c r="F112" s="2">
        <f t="shared" ref="F112:F120" si="14">(D112-E112)*100</f>
        <v>-48.984929630090924</v>
      </c>
      <c r="G112" s="17">
        <f t="shared" ref="G112:G120" si="15">IFERROR(MIN($B$11,$B$12)*MIN(B112+C112,$B$11+$B$12-B112-C112)/($B$11+$B$12),"")</f>
        <v>82.400907715582449</v>
      </c>
      <c r="H112" s="17">
        <f t="shared" ref="H112:H120" si="16">IFERROR(($B$11+$B$12)*(B112*($B$12-C112)-($B$11-B112)*C112)^2/($B$11*$B$12*(B112+C112)*($B$11+$B$12-B112-C112)),"")</f>
        <v>148.49490820728701</v>
      </c>
      <c r="I112" s="13" t="str">
        <f t="shared" ref="I112:I120" si="17">IF(H112="","",IF(G112&lt;5,"Fisher","χ²"))</f>
        <v>χ²</v>
      </c>
      <c r="J112" s="53">
        <f t="shared" ref="J112:J120" ca="1" si="18">IF(H112="","",IF(G112&lt;5,SUMPRODUCT((_xlfn.HYPGEOM.DIST(ROW(INDIRECT((MAX(0,B112+C112-$B$12)+1)&amp;":"&amp;(MIN($B$11,B112+C112)+1)))-1,$B$11,B112+C112,$B$11+$B$12,FALSE)&lt;=_xlfn.HYPGEOM.DIST(B112,$B$11,B112+C112,$B$11+$B$12,FALSE)*(1+0.0000001))*_xlfn.HYPGEOM.DIST(ROW(INDIRECT((MAX(0,B112+C112-$B$12)+1)&amp;":"&amp;(MIN($B$11,B112+C112)+1)))-1,$B$11,B112+C112,$B$11+$B$12,FALSE)),_xlfn.CHISQ.DIST.RT(H112,1)))</f>
        <v>3.6978364760813095E-34</v>
      </c>
    </row>
    <row r="113" spans="1:10" x14ac:dyDescent="0.25">
      <c r="A113" s="13" t="s">
        <v>3863</v>
      </c>
      <c r="B113" s="7">
        <f>SUMPRODUCT(Register_AI!$P$2:$P$288*((((Register_AI!$G$2:$G$288="party_politician")*(Register_AI!$M$2:$M$288="TRUE"))+((Register_AI!$I$2:$I$288="party_politician")*(Register_AI!$N$2:$N$288="TRUE"))+((Register_AI!$K$2:$K$288="party_politician")*(Register_AI!$O$2:$O$288="TRUE")))&gt;0))</f>
        <v>0</v>
      </c>
      <c r="C113" s="7">
        <f>SUMPRODUCT(Register_Conv!$P$2:$P$487*(((Register_Conv!$G$2:$G$487="party_politician")+(Register_Conv!$I$2:$I$487="party_politician")+(Register_Conv!$K$2:$K$487="party_politician"))&gt;0))</f>
        <v>77</v>
      </c>
      <c r="D113" s="72">
        <f t="shared" si="12"/>
        <v>0</v>
      </c>
      <c r="E113" s="72">
        <f t="shared" si="13"/>
        <v>0.17342342342342343</v>
      </c>
      <c r="F113" s="2">
        <f t="shared" si="14"/>
        <v>-17.342342342342342</v>
      </c>
      <c r="G113" s="17">
        <f t="shared" si="15"/>
        <v>25.278366111951588</v>
      </c>
      <c r="H113" s="17">
        <f t="shared" si="16"/>
        <v>42.594752715043811</v>
      </c>
      <c r="I113" s="13" t="str">
        <f t="shared" si="17"/>
        <v>χ²</v>
      </c>
      <c r="J113" s="53">
        <f t="shared" ca="1" si="18"/>
        <v>6.7339791186251178E-11</v>
      </c>
    </row>
    <row r="114" spans="1:10" x14ac:dyDescent="0.25">
      <c r="A114" s="13" t="s">
        <v>3025</v>
      </c>
      <c r="B114" s="7">
        <f>SUMPRODUCT(Register_AI!$P$2:$P$288*((((Register_AI!$G$2:$G$288="politician")*(Register_AI!$M$2:$M$288="TRUE"))+((Register_AI!$I$2:$I$288="politician")*(Register_AI!$N$2:$N$288="TRUE"))+((Register_AI!$K$2:$K$288="politician")*(Register_AI!$O$2:$O$288="TRUE")))&gt;0))</f>
        <v>10</v>
      </c>
      <c r="C114" s="7">
        <f>SUMPRODUCT(Register_Conv!$P$2:$P$487*(((Register_Conv!$G$2:$G$487="politician")+(Register_Conv!$I$2:$I$487="politician")+(Register_Conv!$K$2:$K$487="politician"))&gt;0))</f>
        <v>91</v>
      </c>
      <c r="D114" s="72">
        <f t="shared" si="12"/>
        <v>4.6082949308755762E-2</v>
      </c>
      <c r="E114" s="72">
        <f t="shared" si="13"/>
        <v>0.20495495495495494</v>
      </c>
      <c r="F114" s="2">
        <f t="shared" si="14"/>
        <v>-15.887200564619919</v>
      </c>
      <c r="G114" s="17">
        <f t="shared" si="15"/>
        <v>33.157337367624812</v>
      </c>
      <c r="H114" s="17">
        <f t="shared" si="16"/>
        <v>28.420356355584005</v>
      </c>
      <c r="I114" s="13" t="str">
        <f t="shared" si="17"/>
        <v>χ²</v>
      </c>
      <c r="J114" s="53">
        <f t="shared" ca="1" si="18"/>
        <v>9.7633300490032649E-8</v>
      </c>
    </row>
    <row r="115" spans="1:10" x14ac:dyDescent="0.25">
      <c r="A115" s="13" t="s">
        <v>3024</v>
      </c>
      <c r="B115" s="7">
        <f>SUMPRODUCT(Register_AI!$P$2:$P$288*((((Register_AI!$G$2:$G$288="individual")*(Register_AI!$M$2:$M$288="TRUE"))+((Register_AI!$I$2:$I$288="individual")*(Register_AI!$N$2:$N$288="TRUE"))+((Register_AI!$K$2:$K$288="individual")*(Register_AI!$O$2:$O$288="TRUE")))&gt;0))</f>
        <v>112</v>
      </c>
      <c r="C115" s="7">
        <f>SUMPRODUCT(Register_Conv!$P$2:$P$487*(((Register_Conv!$G$2:$G$487="individual")+(Register_Conv!$I$2:$I$487="individual")+(Register_Conv!$K$2:$K$487="individual"))&gt;0))</f>
        <v>62</v>
      </c>
      <c r="D115" s="72">
        <f t="shared" si="12"/>
        <v>0.5161290322580645</v>
      </c>
      <c r="E115" s="72">
        <f t="shared" si="13"/>
        <v>0.13963963963963963</v>
      </c>
      <c r="F115" s="2">
        <f t="shared" si="14"/>
        <v>37.648939261842486</v>
      </c>
      <c r="G115" s="17">
        <f t="shared" si="15"/>
        <v>57.122541603630864</v>
      </c>
      <c r="H115" s="17">
        <f t="shared" si="16"/>
        <v>106.52988135904472</v>
      </c>
      <c r="I115" s="13" t="str">
        <f t="shared" si="17"/>
        <v>χ²</v>
      </c>
      <c r="J115" s="53">
        <f t="shared" ca="1" si="18"/>
        <v>5.6435100154912409E-25</v>
      </c>
    </row>
    <row r="116" spans="1:10" x14ac:dyDescent="0.25">
      <c r="A116" s="13" t="s">
        <v>3023</v>
      </c>
      <c r="B116" s="7">
        <f>SUMPRODUCT(Register_AI!$P$2:$P$288*((((Register_AI!$G$2:$G$288="mass")*(Register_AI!$M$2:$M$288="TRUE"))+((Register_AI!$I$2:$I$288="mass")*(Register_AI!$N$2:$N$288="TRUE"))+((Register_AI!$K$2:$K$288="mass")*(Register_AI!$O$2:$O$288="TRUE")))&gt;0))</f>
        <v>32</v>
      </c>
      <c r="C116" s="7">
        <f>SUMPRODUCT(Register_Conv!$P$2:$P$487*(((Register_Conv!$G$2:$G$487="mass")+(Register_Conv!$I$2:$I$487="mass")+(Register_Conv!$K$2:$K$487="mass"))&gt;0))</f>
        <v>66</v>
      </c>
      <c r="D116" s="72">
        <f t="shared" si="12"/>
        <v>0.14746543778801843</v>
      </c>
      <c r="E116" s="72">
        <f t="shared" si="13"/>
        <v>0.14864864864864866</v>
      </c>
      <c r="F116" s="2">
        <f t="shared" si="14"/>
        <v>-0.11832108606302238</v>
      </c>
      <c r="G116" s="17">
        <f t="shared" si="15"/>
        <v>32.172465960665662</v>
      </c>
      <c r="H116" s="17">
        <f t="shared" si="16"/>
        <v>1.61597258114201E-3</v>
      </c>
      <c r="I116" s="13" t="str">
        <f t="shared" si="17"/>
        <v>χ²</v>
      </c>
      <c r="J116" s="53">
        <f t="shared" ca="1" si="18"/>
        <v>0.96793434615862417</v>
      </c>
    </row>
    <row r="117" spans="1:10" x14ac:dyDescent="0.25">
      <c r="A117" s="13" t="s">
        <v>3022</v>
      </c>
      <c r="B117" s="7">
        <f>SUMPRODUCT(Register_AI!$P$2:$P$288*((((Register_AI!$G$2:$G$288="institution")*(Register_AI!$M$2:$M$288="TRUE"))+((Register_AI!$I$2:$I$288="institution")*(Register_AI!$N$2:$N$288="TRUE"))+((Register_AI!$K$2:$K$288="institution")*(Register_AI!$O$2:$O$288="TRUE")))&gt;0))</f>
        <v>16</v>
      </c>
      <c r="C117" s="7">
        <f>SUMPRODUCT(Register_Conv!$P$2:$P$487*(((Register_Conv!$G$2:$G$487="institution")+(Register_Conv!$I$2:$I$487="institution")+(Register_Conv!$K$2:$K$487="institution"))&gt;0))</f>
        <v>10</v>
      </c>
      <c r="D117" s="72">
        <f t="shared" si="12"/>
        <v>7.3732718894009217E-2</v>
      </c>
      <c r="E117" s="72">
        <f t="shared" si="13"/>
        <v>2.2522522522522521E-2</v>
      </c>
      <c r="F117" s="2">
        <f t="shared" si="14"/>
        <v>5.1210196371486694</v>
      </c>
      <c r="G117" s="17">
        <f t="shared" si="15"/>
        <v>8.5355521936459908</v>
      </c>
      <c r="H117" s="17">
        <f t="shared" si="16"/>
        <v>10.11602683106366</v>
      </c>
      <c r="I117" s="13" t="str">
        <f t="shared" si="17"/>
        <v>χ²</v>
      </c>
      <c r="J117" s="53">
        <f t="shared" ca="1" si="18"/>
        <v>1.4698551944337911E-3</v>
      </c>
    </row>
    <row r="118" spans="1:10" x14ac:dyDescent="0.25">
      <c r="A118" s="13" t="s">
        <v>3021</v>
      </c>
      <c r="B118" s="7">
        <f>SUMPRODUCT(Register_AI!$P$2:$P$288*((((Register_AI!$G$2:$G$288="economy")*(Register_AI!$M$2:$M$288="TRUE"))+((Register_AI!$I$2:$I$288="economy")*(Register_AI!$N$2:$N$288="TRUE"))+((Register_AI!$K$2:$K$288="economy")*(Register_AI!$O$2:$O$288="TRUE")))&gt;0))</f>
        <v>9</v>
      </c>
      <c r="C118" s="7">
        <f>SUMPRODUCT(Register_Conv!$P$2:$P$487*(((Register_Conv!$G$2:$G$487="economy")+(Register_Conv!$I$2:$I$487="economy")+(Register_Conv!$K$2:$K$487="economy"))&gt;0))</f>
        <v>10</v>
      </c>
      <c r="D118" s="72">
        <f t="shared" si="12"/>
        <v>4.1474654377880185E-2</v>
      </c>
      <c r="E118" s="72">
        <f t="shared" si="13"/>
        <v>2.2522522522522521E-2</v>
      </c>
      <c r="F118" s="2">
        <f t="shared" si="14"/>
        <v>1.8952131855357663</v>
      </c>
      <c r="G118" s="17">
        <f t="shared" si="15"/>
        <v>6.2375189107413007</v>
      </c>
      <c r="H118" s="17">
        <f t="shared" si="16"/>
        <v>1.8753039694680049</v>
      </c>
      <c r="I118" s="13" t="str">
        <f t="shared" si="17"/>
        <v>χ²</v>
      </c>
      <c r="J118" s="53">
        <f t="shared" ca="1" si="18"/>
        <v>0.17086884353459805</v>
      </c>
    </row>
    <row r="119" spans="1:10" x14ac:dyDescent="0.25">
      <c r="A119" s="13" t="s">
        <v>3020</v>
      </c>
      <c r="B119" s="7">
        <f>SUMPRODUCT(Register_AI!$P$2:$P$288*((((Register_AI!$G$2:$G$288="place")*(Register_AI!$M$2:$M$288="TRUE"))+((Register_AI!$I$2:$I$288="place")*(Register_AI!$N$2:$N$288="TRUE"))+((Register_AI!$K$2:$K$288="place")*(Register_AI!$O$2:$O$288="TRUE")))&gt;0))</f>
        <v>11</v>
      </c>
      <c r="C119" s="7">
        <f>SUMPRODUCT(Register_Conv!$P$2:$P$487*(((Register_Conv!$G$2:$G$487="place")+(Register_Conv!$I$2:$I$487="place")+(Register_Conv!$K$2:$K$487="place"))&gt;0))</f>
        <v>16</v>
      </c>
      <c r="D119" s="72">
        <f t="shared" si="12"/>
        <v>5.0691244239631339E-2</v>
      </c>
      <c r="E119" s="72">
        <f t="shared" si="13"/>
        <v>3.6036036036036036E-2</v>
      </c>
      <c r="F119" s="2">
        <f t="shared" si="14"/>
        <v>1.4655208203595302</v>
      </c>
      <c r="G119" s="17">
        <f t="shared" si="15"/>
        <v>8.8638426626323756</v>
      </c>
      <c r="H119" s="17">
        <f t="shared" si="16"/>
        <v>0.79905215463710766</v>
      </c>
      <c r="I119" s="13" t="str">
        <f t="shared" si="17"/>
        <v>χ²</v>
      </c>
      <c r="J119" s="53">
        <f t="shared" ca="1" si="18"/>
        <v>0.37137691086466035</v>
      </c>
    </row>
    <row r="120" spans="1:10" x14ac:dyDescent="0.25">
      <c r="A120" s="14" t="s">
        <v>3019</v>
      </c>
      <c r="B120" s="11">
        <f>SUMPRODUCT(Register_AI!$P$2:$P$288*((((Register_AI!$G$2:$G$288="object")*(Register_AI!$M$2:$M$288="TRUE"))+((Register_AI!$I$2:$I$288="object")*(Register_AI!$N$2:$N$288="TRUE"))+((Register_AI!$K$2:$K$288="object")*(Register_AI!$O$2:$O$288="TRUE")))&gt;0))</f>
        <v>30</v>
      </c>
      <c r="C120" s="11">
        <f>SUMPRODUCT(Register_Conv!$P$2:$P$487*(((Register_Conv!$G$2:$G$487="object")+(Register_Conv!$I$2:$I$487="object")+(Register_Conv!$K$2:$K$487="object"))&gt;0))</f>
        <v>38</v>
      </c>
      <c r="D120" s="73">
        <f t="shared" si="12"/>
        <v>0.13824884792626729</v>
      </c>
      <c r="E120" s="73">
        <f t="shared" si="13"/>
        <v>8.5585585585585586E-2</v>
      </c>
      <c r="F120" s="20">
        <f t="shared" si="14"/>
        <v>5.2663262340681705</v>
      </c>
      <c r="G120" s="19">
        <f t="shared" si="15"/>
        <v>22.323751891074131</v>
      </c>
      <c r="H120" s="19">
        <f t="shared" si="16"/>
        <v>4.3802215268843643</v>
      </c>
      <c r="I120" s="14" t="str">
        <f t="shared" si="17"/>
        <v>χ²</v>
      </c>
      <c r="J120" s="54">
        <f t="shared" ca="1" si="18"/>
        <v>3.6358271741443557E-2</v>
      </c>
    </row>
    <row r="129" spans="1:10" x14ac:dyDescent="0.25">
      <c r="A129" s="37" t="s">
        <v>3872</v>
      </c>
    </row>
    <row r="131" spans="1:10" ht="39" x14ac:dyDescent="0.25">
      <c r="A131" s="9" t="s">
        <v>2</v>
      </c>
      <c r="B131" s="10" t="s">
        <v>3870</v>
      </c>
      <c r="C131" s="10" t="s">
        <v>1854</v>
      </c>
      <c r="D131" s="10" t="s">
        <v>1855</v>
      </c>
      <c r="E131" s="10" t="s">
        <v>1856</v>
      </c>
      <c r="F131" s="10" t="s">
        <v>1857</v>
      </c>
      <c r="G131" s="10" t="s">
        <v>1860</v>
      </c>
      <c r="H131" s="10" t="s">
        <v>3676</v>
      </c>
      <c r="I131" s="10" t="s">
        <v>3871</v>
      </c>
      <c r="J131" s="71" t="s">
        <v>1859</v>
      </c>
    </row>
    <row r="132" spans="1:10" x14ac:dyDescent="0.25">
      <c r="A132" s="13" t="s">
        <v>3034</v>
      </c>
      <c r="B132" s="7">
        <f>SUMPRODUCT(Register_AI!$P$2:$P$288*((((Register_AI!$H$2:$H$288="menace")*(Register_AI!$M$2:$M$288="TRUE"))+((Register_AI!$J$2:$J$288="menace")*(Register_AI!$N$2:$N$288="TRUE"))+((Register_AI!$L$2:$L$288="menace")*(Register_AI!$O$2:$O$288="TRUE")))&gt;0))</f>
        <v>50</v>
      </c>
      <c r="C132" s="7">
        <f>SUMPRODUCT(Register_Conv!$P$2:$P$487*(((Register_Conv!$H$2:$H$487="menace")+(Register_Conv!$J$2:$J$487="menace")+(Register_Conv!$L$2:$L$487="menace"))&gt;0))</f>
        <v>28</v>
      </c>
      <c r="D132" s="72">
        <f t="shared" ref="D132:D139" si="19">B132/$B$11</f>
        <v>0.2304147465437788</v>
      </c>
      <c r="E132" s="72">
        <f t="shared" ref="E132:E139" si="20">C132/$B$12</f>
        <v>6.3063063063063057E-2</v>
      </c>
      <c r="F132" s="2">
        <f t="shared" ref="F132:F139" si="21">(D132-E132)*100</f>
        <v>16.735168348071575</v>
      </c>
      <c r="G132" s="17">
        <f t="shared" ref="G132:G139" si="22">IFERROR(MIN($B$11,$B$12)*MIN(B132+C132,$B$11+$B$12-B132-C132)/($B$11+$B$12),"")</f>
        <v>25.606656580937972</v>
      </c>
      <c r="H132" s="17">
        <f t="shared" ref="H132:H139" si="23">IFERROR(($B$11+$B$12)*(B132*($B$12-C132)-($B$11-B132)*C132)^2/($B$11*$B$12*(B132+C132)*($B$11+$B$12-B132-C132)),"")</f>
        <v>39.223033335023594</v>
      </c>
      <c r="I132" s="13" t="str">
        <f t="shared" ref="I132:I139" si="24">IF(H132="","",IF(G132&lt;5,"Fisher","χ²"))</f>
        <v>χ²</v>
      </c>
      <c r="J132" s="53">
        <f t="shared" ref="J132:J139" ca="1" si="25">IF(H132="","",IF(G132&lt;5,SUMPRODUCT((_xlfn.HYPGEOM.DIST(ROW(INDIRECT((MAX(0,B132+C132-$B$12)+1)&amp;":"&amp;(MIN($B$11,B132+C132)+1)))-1,$B$11,B132+C132,$B$11+$B$12,FALSE)&lt;=_xlfn.HYPGEOM.DIST(B132,$B$11,B132+C132,$B$11+$B$12,FALSE)*(1+0.0000001))*_xlfn.HYPGEOM.DIST(ROW(INDIRECT((MAX(0,B132+C132-$B$12)+1)&amp;":"&amp;(MIN($B$11,B132+C132)+1)))-1,$B$11,B132+C132,$B$11+$B$12,FALSE)),_xlfn.CHISQ.DIST.RT(H132,1)))</f>
        <v>3.7805391577984202E-10</v>
      </c>
    </row>
    <row r="133" spans="1:10" x14ac:dyDescent="0.25">
      <c r="A133" s="13" t="s">
        <v>3033</v>
      </c>
      <c r="B133" s="7">
        <f>SUMPRODUCT(Register_AI!$P$2:$P$288*((((Register_AI!$H$2:$H$288="othering")*(Register_AI!$M$2:$M$288="TRUE"))+((Register_AI!$J$2:$J$288="othering")*(Register_AI!$N$2:$N$288="TRUE"))+((Register_AI!$L$2:$L$288="othering")*(Register_AI!$O$2:$O$288="TRUE")))&gt;0))</f>
        <v>17</v>
      </c>
      <c r="C133" s="7">
        <f>SUMPRODUCT(Register_Conv!$P$2:$P$487*(((Register_Conv!$H$2:$H$487="othering")+(Register_Conv!$J$2:$J$487="othering")+(Register_Conv!$L$2:$L$487="othering"))&gt;0))</f>
        <v>7</v>
      </c>
      <c r="D133" s="72">
        <f t="shared" si="19"/>
        <v>7.8341013824884786E-2</v>
      </c>
      <c r="E133" s="72">
        <f t="shared" si="20"/>
        <v>1.5765765765765764E-2</v>
      </c>
      <c r="F133" s="2">
        <f t="shared" si="21"/>
        <v>6.2575248059119017</v>
      </c>
      <c r="G133" s="17">
        <f t="shared" si="22"/>
        <v>7.8789712556732221</v>
      </c>
      <c r="H133" s="17">
        <f t="shared" si="23"/>
        <v>16.311678357699588</v>
      </c>
      <c r="I133" s="13" t="str">
        <f t="shared" si="24"/>
        <v>χ²</v>
      </c>
      <c r="J133" s="53">
        <f t="shared" ca="1" si="25"/>
        <v>5.3731787183338761E-5</v>
      </c>
    </row>
    <row r="134" spans="1:10" x14ac:dyDescent="0.25">
      <c r="A134" s="13" t="s">
        <v>3032</v>
      </c>
      <c r="B134" s="7">
        <f>SUMPRODUCT(Register_AI!$P$2:$P$288*((((Register_AI!$H$2:$H$288="ridicule")*(Register_AI!$M$2:$M$288="TRUE"))+((Register_AI!$J$2:$J$288="ridicule")*(Register_AI!$N$2:$N$288="TRUE"))+((Register_AI!$L$2:$L$288="ridicule")*(Register_AI!$O$2:$O$288="TRUE")))&gt;0))</f>
        <v>11</v>
      </c>
      <c r="C134" s="7">
        <f>SUMPRODUCT(Register_Conv!$P$2:$P$487*(((Register_Conv!$H$2:$H$487="ridicule")+(Register_Conv!$J$2:$J$487="ridicule")+(Register_Conv!$L$2:$L$487="ridicule"))&gt;0))</f>
        <v>4</v>
      </c>
      <c r="D134" s="72">
        <f t="shared" si="19"/>
        <v>5.0691244239631339E-2</v>
      </c>
      <c r="E134" s="72">
        <f t="shared" si="20"/>
        <v>9.0090090090090089E-3</v>
      </c>
      <c r="F134" s="2">
        <f t="shared" si="21"/>
        <v>4.1682235230622329</v>
      </c>
      <c r="G134" s="17">
        <f t="shared" si="22"/>
        <v>4.9243570347957641</v>
      </c>
      <c r="H134" s="17">
        <f t="shared" si="23"/>
        <v>11.418850492215117</v>
      </c>
      <c r="I134" s="13" t="str">
        <f t="shared" si="24"/>
        <v>Fisher</v>
      </c>
      <c r="J134" s="53">
        <f t="shared" ca="1" si="25"/>
        <v>1.392845184147673E-3</v>
      </c>
    </row>
    <row r="135" spans="1:10" x14ac:dyDescent="0.25">
      <c r="A135" s="13" t="s">
        <v>3031</v>
      </c>
      <c r="B135" s="7">
        <f>SUMPRODUCT(Register_AI!$P$2:$P$288*((((Register_AI!$H$2:$H$288="blame")*(Register_AI!$M$2:$M$288="TRUE"))+((Register_AI!$J$2:$J$288="blame")*(Register_AI!$N$2:$N$288="TRUE"))+((Register_AI!$L$2:$L$288="blame")*(Register_AI!$O$2:$O$288="TRUE")))&gt;0))</f>
        <v>4</v>
      </c>
      <c r="C135" s="7">
        <f>SUMPRODUCT(Register_Conv!$P$2:$P$487*(((Register_Conv!$H$2:$H$487="blame")+(Register_Conv!$J$2:$J$487="blame")+(Register_Conv!$L$2:$L$487="blame"))&gt;0))</f>
        <v>10</v>
      </c>
      <c r="D135" s="72">
        <f t="shared" si="19"/>
        <v>1.8433179723502304E-2</v>
      </c>
      <c r="E135" s="72">
        <f t="shared" si="20"/>
        <v>2.2522522522522521E-2</v>
      </c>
      <c r="F135" s="2">
        <f t="shared" si="21"/>
        <v>-0.40893427990202175</v>
      </c>
      <c r="G135" s="17">
        <f t="shared" si="22"/>
        <v>4.5960665658093793</v>
      </c>
      <c r="H135" s="17">
        <f t="shared" si="23"/>
        <v>0.11757605459483678</v>
      </c>
      <c r="I135" s="13" t="str">
        <f t="shared" si="24"/>
        <v>Fisher</v>
      </c>
      <c r="J135" s="53">
        <f t="shared" ca="1" si="25"/>
        <v>1.0000000000000002</v>
      </c>
    </row>
    <row r="136" spans="1:10" x14ac:dyDescent="0.25">
      <c r="A136" s="13" t="s">
        <v>3030</v>
      </c>
      <c r="B136" s="7">
        <f>SUMPRODUCT(Register_AI!$P$2:$P$288*((((Register_AI!$H$2:$H$288="victim")*(Register_AI!$M$2:$M$288="TRUE"))+((Register_AI!$J$2:$J$288="victim")*(Register_AI!$N$2:$N$288="TRUE"))+((Register_AI!$L$2:$L$288="victim")*(Register_AI!$O$2:$O$288="TRUE")))&gt;0))</f>
        <v>36</v>
      </c>
      <c r="C136" s="7">
        <f>SUMPRODUCT(Register_Conv!$P$2:$P$487*(((Register_Conv!$H$2:$H$487="victim")+(Register_Conv!$J$2:$J$487="victim")+(Register_Conv!$L$2:$L$487="victim"))&gt;0))</f>
        <v>29</v>
      </c>
      <c r="D136" s="72">
        <f t="shared" si="19"/>
        <v>0.16589861751152074</v>
      </c>
      <c r="E136" s="72">
        <f t="shared" si="20"/>
        <v>6.5315315315315314E-2</v>
      </c>
      <c r="F136" s="2">
        <f t="shared" si="21"/>
        <v>10.058330219620542</v>
      </c>
      <c r="G136" s="17">
        <f t="shared" si="22"/>
        <v>21.338880484114977</v>
      </c>
      <c r="H136" s="17">
        <f t="shared" si="23"/>
        <v>16.631687884012521</v>
      </c>
      <c r="I136" s="13" t="str">
        <f t="shared" si="24"/>
        <v>χ²</v>
      </c>
      <c r="J136" s="53">
        <f t="shared" ca="1" si="25"/>
        <v>4.5386371610078255E-5</v>
      </c>
    </row>
    <row r="137" spans="1:10" x14ac:dyDescent="0.25">
      <c r="A137" s="13" t="s">
        <v>3029</v>
      </c>
      <c r="B137" s="7">
        <f>SUMPRODUCT(Register_AI!$P$2:$P$288*((((Register_AI!$H$2:$H$288="heroic")*(Register_AI!$M$2:$M$288="TRUE"))+((Register_AI!$J$2:$J$288="heroic")*(Register_AI!$N$2:$N$288="TRUE"))+((Register_AI!$L$2:$L$288="heroic")*(Register_AI!$O$2:$O$288="TRUE")))&gt;0))</f>
        <v>9</v>
      </c>
      <c r="C137" s="7">
        <f>SUMPRODUCT(Register_Conv!$P$2:$P$487*(((Register_Conv!$H$2:$H$487="heroic")+(Register_Conv!$J$2:$J$487="heroic")+(Register_Conv!$L$2:$L$487="heroic"))&gt;0))</f>
        <v>48</v>
      </c>
      <c r="D137" s="72">
        <f t="shared" si="19"/>
        <v>4.1474654377880185E-2</v>
      </c>
      <c r="E137" s="72">
        <f t="shared" si="20"/>
        <v>0.10810810810810811</v>
      </c>
      <c r="F137" s="2">
        <f t="shared" si="21"/>
        <v>-6.6633453730227927</v>
      </c>
      <c r="G137" s="17">
        <f t="shared" si="22"/>
        <v>18.712556732223902</v>
      </c>
      <c r="H137" s="17">
        <f t="shared" si="23"/>
        <v>8.2132873509547402</v>
      </c>
      <c r="I137" s="13" t="str">
        <f t="shared" si="24"/>
        <v>χ²</v>
      </c>
      <c r="J137" s="53">
        <f t="shared" ca="1" si="25"/>
        <v>4.1584745166428723E-3</v>
      </c>
    </row>
    <row r="138" spans="1:10" x14ac:dyDescent="0.25">
      <c r="A138" s="13" t="s">
        <v>3028</v>
      </c>
      <c r="B138" s="7">
        <f>SUMPRODUCT(Register_AI!$P$2:$P$288*((((Register_AI!$H$2:$H$288="wholesome")*(Register_AI!$M$2:$M$288="TRUE"))+((Register_AI!$J$2:$J$288="wholesome")*(Register_AI!$N$2:$N$288="TRUE"))+((Register_AI!$L$2:$L$288="wholesome")*(Register_AI!$O$2:$O$288="TRUE")))&gt;0))</f>
        <v>68</v>
      </c>
      <c r="C138" s="7">
        <f>SUMPRODUCT(Register_Conv!$P$2:$P$487*(((Register_Conv!$H$2:$H$487="wholesome")+(Register_Conv!$J$2:$J$487="wholesome")+(Register_Conv!$L$2:$L$487="wholesome"))&gt;0))</f>
        <v>76</v>
      </c>
      <c r="D138" s="72">
        <f t="shared" si="19"/>
        <v>0.31336405529953915</v>
      </c>
      <c r="E138" s="72">
        <f t="shared" si="20"/>
        <v>0.17117117117117117</v>
      </c>
      <c r="F138" s="2">
        <f t="shared" si="21"/>
        <v>14.219288412836798</v>
      </c>
      <c r="G138" s="17">
        <f t="shared" si="22"/>
        <v>47.273827534039334</v>
      </c>
      <c r="H138" s="17">
        <f t="shared" si="23"/>
        <v>17.296046915985144</v>
      </c>
      <c r="I138" s="13" t="str">
        <f t="shared" si="24"/>
        <v>χ²</v>
      </c>
      <c r="J138" s="53">
        <f t="shared" ca="1" si="25"/>
        <v>3.1985155854338746E-5</v>
      </c>
    </row>
    <row r="139" spans="1:10" x14ac:dyDescent="0.25">
      <c r="A139" s="14" t="s">
        <v>3873</v>
      </c>
      <c r="B139" s="11">
        <f>$B$11-SUMPRODUCT(Register_AI!$P$2:$P$288*((((Register_AI!$M$2:$M$288="TRUE")*(Register_AI!$H$2:$H$288&lt;&gt;"none"))+((Register_AI!$N$2:$N$288="TRUE")*(Register_AI!$J$2:$J$288&lt;&gt;"none"))+((Register_AI!$O$2:$O$288="TRUE")*(Register_AI!$L$2:$L$288&lt;&gt;"none")))&gt;0))</f>
        <v>56</v>
      </c>
      <c r="C139" s="11">
        <f>SUM(Register_Conv!$S$2:$S$487)</f>
        <v>284</v>
      </c>
      <c r="D139" s="73">
        <f t="shared" si="19"/>
        <v>0.25806451612903225</v>
      </c>
      <c r="E139" s="73">
        <f t="shared" si="20"/>
        <v>0.63963963963963966</v>
      </c>
      <c r="F139" s="20">
        <f t="shared" si="21"/>
        <v>-38.157512351060738</v>
      </c>
      <c r="G139" s="19">
        <f t="shared" si="22"/>
        <v>105.38124054462935</v>
      </c>
      <c r="H139" s="19">
        <f t="shared" si="23"/>
        <v>84.961138012935351</v>
      </c>
      <c r="I139" s="14" t="str">
        <f t="shared" si="24"/>
        <v>χ²</v>
      </c>
      <c r="J139" s="54">
        <f t="shared" ca="1" si="25"/>
        <v>3.0428731832095147E-20</v>
      </c>
    </row>
  </sheetData>
  <mergeCells count="11">
    <mergeCell ref="A1:M1"/>
    <mergeCell ref="A2:M2"/>
    <mergeCell ref="A3:M3"/>
    <mergeCell ref="A4:M4"/>
    <mergeCell ref="A5:M5"/>
    <mergeCell ref="A91:M91"/>
    <mergeCell ref="A6:U6"/>
    <mergeCell ref="A7:U7"/>
    <mergeCell ref="A8:U8"/>
    <mergeCell ref="A35:U35"/>
    <mergeCell ref="A64:U6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B93D-510D-4EE3-8C65-E00F872C6E43}">
  <sheetPr>
    <tabColor theme="5"/>
  </sheetPr>
  <dimension ref="A1:T288"/>
  <sheetViews>
    <sheetView workbookViewId="0">
      <pane ySplit="1" topLeftCell="A2" activePane="bottomLeft" state="frozen"/>
      <selection pane="bottomLeft" activeCell="X13" sqref="X13"/>
    </sheetView>
  </sheetViews>
  <sheetFormatPr defaultRowHeight="15" x14ac:dyDescent="0.25"/>
  <cols>
    <col min="3" max="3" width="30" customWidth="1"/>
    <col min="5" max="5" width="11" customWidth="1"/>
  </cols>
  <sheetData>
    <row r="1" spans="1:20" x14ac:dyDescent="0.25">
      <c r="A1" s="5" t="s">
        <v>3014</v>
      </c>
      <c r="B1" s="5" t="s">
        <v>63</v>
      </c>
      <c r="C1" s="5" t="s">
        <v>1</v>
      </c>
      <c r="D1" s="5" t="s">
        <v>64</v>
      </c>
      <c r="E1" s="5" t="s">
        <v>65</v>
      </c>
      <c r="F1" s="5" t="s">
        <v>3013</v>
      </c>
      <c r="G1" s="5" t="s">
        <v>3012</v>
      </c>
      <c r="H1" s="5" t="s">
        <v>3011</v>
      </c>
      <c r="I1" s="5" t="s">
        <v>3009</v>
      </c>
      <c r="J1" s="5" t="s">
        <v>3008</v>
      </c>
      <c r="K1" s="5" t="s">
        <v>3814</v>
      </c>
      <c r="L1" s="5" t="s">
        <v>3815</v>
      </c>
      <c r="M1" s="5" t="s">
        <v>3010</v>
      </c>
      <c r="N1" s="5" t="s">
        <v>3007</v>
      </c>
      <c r="O1" s="5" t="s">
        <v>3816</v>
      </c>
      <c r="P1" s="5" t="s">
        <v>3006</v>
      </c>
      <c r="Q1" s="5" t="s">
        <v>3005</v>
      </c>
      <c r="R1" s="5" t="s">
        <v>3004</v>
      </c>
      <c r="S1" s="5" t="s">
        <v>3003</v>
      </c>
      <c r="T1" s="5" t="s">
        <v>3002</v>
      </c>
    </row>
    <row r="2" spans="1:20" x14ac:dyDescent="0.25">
      <c r="A2">
        <v>1</v>
      </c>
      <c r="B2">
        <v>696</v>
      </c>
      <c r="C2" t="s">
        <v>10</v>
      </c>
      <c r="D2" t="s">
        <v>250</v>
      </c>
      <c r="E2" s="4">
        <v>45335</v>
      </c>
      <c r="F2" s="6">
        <v>0</v>
      </c>
      <c r="G2" s="6" t="s">
        <v>3000</v>
      </c>
      <c r="H2" s="6" t="s">
        <v>2993</v>
      </c>
      <c r="I2" s="6" t="s">
        <v>2999</v>
      </c>
      <c r="J2" s="6" t="s">
        <v>2985</v>
      </c>
      <c r="K2" s="6"/>
      <c r="L2" s="6"/>
      <c r="M2" s="6" t="s">
        <v>3047</v>
      </c>
      <c r="N2" s="6" t="s">
        <v>3047</v>
      </c>
      <c r="O2" s="6"/>
      <c r="P2">
        <f t="shared" ref="P2:P65" si="0">IF(F2=0,1,0)</f>
        <v>1</v>
      </c>
      <c r="Q2">
        <f>IF(AND(P2=1,OR(ISNUMBER(MATCH(H2,{"menace","othering","ridicule","blame","victim"},0)),ISNUMBER(MATCH(J2,{"menace","othering","ridicule","blame","victim"},0)),ISNUMBER(MATCH(L2,{"menace","othering","ridicule","blame","victim"},0)))),1,0)</f>
        <v>1</v>
      </c>
      <c r="R2">
        <f>IF(AND(P2=1,Q2=0,OR(ISNUMBER(MATCH(H2,{"wholesome","heroic"},0)),ISNUMBER(MATCH(J2,{"wholesome","heroic"},0)),ISNUMBER(MATCH(L2,{"wholesome","heroic"},0)))),1,0)</f>
        <v>0</v>
      </c>
      <c r="S2">
        <f t="shared" ref="S2:S65" si="1">IF(AND(P2=1,Q2=0,R2=0),1,0)</f>
        <v>0</v>
      </c>
      <c r="T2">
        <f t="shared" ref="T2:T65" si="2">IF(AND(P2=1,OR(G2="own_leader",I2="own_leader",K2="own_leader")),1,0)</f>
        <v>0</v>
      </c>
    </row>
    <row r="3" spans="1:20" x14ac:dyDescent="0.25">
      <c r="A3">
        <v>2</v>
      </c>
      <c r="B3">
        <v>703</v>
      </c>
      <c r="C3" t="s">
        <v>10</v>
      </c>
      <c r="D3" t="s">
        <v>250</v>
      </c>
      <c r="E3" s="4">
        <v>45344</v>
      </c>
      <c r="F3" s="6">
        <v>0</v>
      </c>
      <c r="G3" s="6" t="s">
        <v>2999</v>
      </c>
      <c r="H3" s="6" t="s">
        <v>2994</v>
      </c>
      <c r="K3" s="6"/>
      <c r="L3" s="6"/>
      <c r="M3" s="6" t="s">
        <v>3047</v>
      </c>
      <c r="N3" s="6"/>
      <c r="O3" s="6"/>
      <c r="P3">
        <f t="shared" si="0"/>
        <v>1</v>
      </c>
      <c r="Q3">
        <f>IF(AND(P3=1,OR(ISNUMBER(MATCH(H3,{"menace","othering","ridicule","blame","victim"},0)),ISNUMBER(MATCH(J3,{"menace","othering","ridicule","blame","victim"},0)),ISNUMBER(MATCH(L3,{"menace","othering","ridicule","blame","victim"},0)))),1,0)</f>
        <v>0</v>
      </c>
      <c r="R3">
        <f>IF(AND(P3=1,Q3=0,OR(ISNUMBER(MATCH(H3,{"wholesome","heroic"},0)),ISNUMBER(MATCH(J3,{"wholesome","heroic"},0)),ISNUMBER(MATCH(L3,{"wholesome","heroic"},0)))),1,0)</f>
        <v>1</v>
      </c>
      <c r="S3">
        <f t="shared" si="1"/>
        <v>0</v>
      </c>
      <c r="T3">
        <f t="shared" si="2"/>
        <v>0</v>
      </c>
    </row>
    <row r="4" spans="1:20" x14ac:dyDescent="0.25">
      <c r="A4">
        <v>3</v>
      </c>
      <c r="B4">
        <v>742</v>
      </c>
      <c r="C4" t="s">
        <v>10</v>
      </c>
      <c r="D4" t="s">
        <v>250</v>
      </c>
      <c r="E4" s="4">
        <v>45384</v>
      </c>
      <c r="F4" s="6">
        <v>0</v>
      </c>
      <c r="G4" s="6" t="s">
        <v>2988</v>
      </c>
      <c r="H4" s="6" t="s">
        <v>2987</v>
      </c>
      <c r="K4" s="6"/>
      <c r="L4" s="6"/>
      <c r="M4" s="6" t="s">
        <v>3047</v>
      </c>
      <c r="N4" s="6"/>
      <c r="O4" s="6"/>
      <c r="P4">
        <f t="shared" si="0"/>
        <v>1</v>
      </c>
      <c r="Q4">
        <f>IF(AND(P4=1,OR(ISNUMBER(MATCH(H4,{"menace","othering","ridicule","blame","victim"},0)),ISNUMBER(MATCH(J4,{"menace","othering","ridicule","blame","victim"},0)),ISNUMBER(MATCH(L4,{"menace","othering","ridicule","blame","victim"},0)))),1,0)</f>
        <v>1</v>
      </c>
      <c r="R4">
        <f>IF(AND(P4=1,Q4=0,OR(ISNUMBER(MATCH(H4,{"wholesome","heroic"},0)),ISNUMBER(MATCH(J4,{"wholesome","heroic"},0)),ISNUMBER(MATCH(L4,{"wholesome","heroic"},0)))),1,0)</f>
        <v>0</v>
      </c>
      <c r="S4">
        <f t="shared" si="1"/>
        <v>0</v>
      </c>
      <c r="T4">
        <f t="shared" si="2"/>
        <v>0</v>
      </c>
    </row>
    <row r="5" spans="1:20" x14ac:dyDescent="0.25">
      <c r="A5">
        <v>4</v>
      </c>
      <c r="B5">
        <v>872</v>
      </c>
      <c r="C5" t="s">
        <v>14</v>
      </c>
      <c r="D5" t="s">
        <v>523</v>
      </c>
      <c r="E5" s="4">
        <v>45594</v>
      </c>
      <c r="F5" s="6">
        <v>0</v>
      </c>
      <c r="G5" s="6" t="s">
        <v>2998</v>
      </c>
      <c r="H5" s="6" t="s">
        <v>2993</v>
      </c>
      <c r="K5" s="6"/>
      <c r="L5" s="6"/>
      <c r="M5" s="6" t="s">
        <v>3047</v>
      </c>
      <c r="N5" s="6"/>
      <c r="O5" s="6"/>
      <c r="P5">
        <f t="shared" si="0"/>
        <v>1</v>
      </c>
      <c r="Q5">
        <f>IF(AND(P5=1,OR(ISNUMBER(MATCH(H5,{"menace","othering","ridicule","blame","victim"},0)),ISNUMBER(MATCH(J5,{"menace","othering","ridicule","blame","victim"},0)),ISNUMBER(MATCH(L5,{"menace","othering","ridicule","blame","victim"},0)))),1,0)</f>
        <v>1</v>
      </c>
      <c r="R5">
        <f>IF(AND(P5=1,Q5=0,OR(ISNUMBER(MATCH(H5,{"wholesome","heroic"},0)),ISNUMBER(MATCH(J5,{"wholesome","heroic"},0)),ISNUMBER(MATCH(L5,{"wholesome","heroic"},0)))),1,0)</f>
        <v>0</v>
      </c>
      <c r="S5">
        <f t="shared" si="1"/>
        <v>0</v>
      </c>
      <c r="T5">
        <f t="shared" si="2"/>
        <v>0</v>
      </c>
    </row>
    <row r="6" spans="1:20" x14ac:dyDescent="0.25">
      <c r="A6">
        <v>5</v>
      </c>
      <c r="B6">
        <v>873</v>
      </c>
      <c r="C6" t="s">
        <v>14</v>
      </c>
      <c r="D6" t="s">
        <v>523</v>
      </c>
      <c r="E6" s="4">
        <v>45595</v>
      </c>
      <c r="F6" s="6">
        <v>0</v>
      </c>
      <c r="G6" s="6" t="s">
        <v>2986</v>
      </c>
      <c r="H6" s="6" t="s">
        <v>2996</v>
      </c>
      <c r="K6" s="6"/>
      <c r="L6" s="6"/>
      <c r="M6" s="6" t="s">
        <v>3046</v>
      </c>
      <c r="N6" s="6"/>
      <c r="O6" s="6"/>
      <c r="P6">
        <f t="shared" si="0"/>
        <v>1</v>
      </c>
      <c r="Q6">
        <f>IF(AND(P6=1,OR(ISNUMBER(MATCH(H6,{"menace","othering","ridicule","blame","victim"},0)),ISNUMBER(MATCH(J6,{"menace","othering","ridicule","blame","victim"},0)),ISNUMBER(MATCH(L6,{"menace","othering","ridicule","blame","victim"},0)))),1,0)</f>
        <v>1</v>
      </c>
      <c r="R6">
        <f>IF(AND(P6=1,Q6=0,OR(ISNUMBER(MATCH(H6,{"wholesome","heroic"},0)),ISNUMBER(MATCH(J6,{"wholesome","heroic"},0)),ISNUMBER(MATCH(L6,{"wholesome","heroic"},0)))),1,0)</f>
        <v>0</v>
      </c>
      <c r="S6">
        <f t="shared" si="1"/>
        <v>0</v>
      </c>
      <c r="T6">
        <f t="shared" si="2"/>
        <v>0</v>
      </c>
    </row>
    <row r="7" spans="1:20" x14ac:dyDescent="0.25">
      <c r="A7">
        <v>6</v>
      </c>
      <c r="B7">
        <v>874</v>
      </c>
      <c r="C7" t="s">
        <v>14</v>
      </c>
      <c r="D7" t="s">
        <v>523</v>
      </c>
      <c r="E7" s="4">
        <v>45595</v>
      </c>
      <c r="F7" s="6">
        <v>0</v>
      </c>
      <c r="G7" s="6" t="s">
        <v>3000</v>
      </c>
      <c r="H7" s="6" t="s">
        <v>2989</v>
      </c>
      <c r="K7" s="6"/>
      <c r="L7" s="6"/>
      <c r="M7" s="6" t="s">
        <v>3047</v>
      </c>
      <c r="N7" s="6"/>
      <c r="O7" s="6"/>
      <c r="P7">
        <f t="shared" si="0"/>
        <v>1</v>
      </c>
      <c r="Q7">
        <f>IF(AND(P7=1,OR(ISNUMBER(MATCH(H7,{"menace","othering","ridicule","blame","victim"},0)),ISNUMBER(MATCH(J7,{"menace","othering","ridicule","blame","victim"},0)),ISNUMBER(MATCH(L7,{"menace","othering","ridicule","blame","victim"},0)))),1,0)</f>
        <v>0</v>
      </c>
      <c r="R7">
        <f>IF(AND(P7=1,Q7=0,OR(ISNUMBER(MATCH(H7,{"wholesome","heroic"},0)),ISNUMBER(MATCH(J7,{"wholesome","heroic"},0)),ISNUMBER(MATCH(L7,{"wholesome","heroic"},0)))),1,0)</f>
        <v>0</v>
      </c>
      <c r="S7">
        <f t="shared" si="1"/>
        <v>1</v>
      </c>
      <c r="T7">
        <f t="shared" si="2"/>
        <v>0</v>
      </c>
    </row>
    <row r="8" spans="1:20" x14ac:dyDescent="0.25">
      <c r="A8">
        <v>7</v>
      </c>
      <c r="B8">
        <v>875</v>
      </c>
      <c r="C8" t="s">
        <v>14</v>
      </c>
      <c r="D8" t="s">
        <v>523</v>
      </c>
      <c r="E8" s="4">
        <v>45596</v>
      </c>
      <c r="F8" s="6">
        <v>0</v>
      </c>
      <c r="G8" s="6" t="s">
        <v>2991</v>
      </c>
      <c r="H8" s="6" t="s">
        <v>2990</v>
      </c>
      <c r="K8" s="6"/>
      <c r="L8" s="6"/>
      <c r="M8" s="6" t="s">
        <v>3047</v>
      </c>
      <c r="N8" s="6"/>
      <c r="O8" s="6"/>
      <c r="P8">
        <f t="shared" si="0"/>
        <v>1</v>
      </c>
      <c r="Q8">
        <f>IF(AND(P8=1,OR(ISNUMBER(MATCH(H8,{"menace","othering","ridicule","blame","victim"},0)),ISNUMBER(MATCH(J8,{"menace","othering","ridicule","blame","victim"},0)),ISNUMBER(MATCH(L8,{"menace","othering","ridicule","blame","victim"},0)))),1,0)</f>
        <v>0</v>
      </c>
      <c r="R8">
        <f>IF(AND(P8=1,Q8=0,OR(ISNUMBER(MATCH(H8,{"wholesome","heroic"},0)),ISNUMBER(MATCH(J8,{"wholesome","heroic"},0)),ISNUMBER(MATCH(L8,{"wholesome","heroic"},0)))),1,0)</f>
        <v>1</v>
      </c>
      <c r="S8">
        <f t="shared" si="1"/>
        <v>0</v>
      </c>
      <c r="T8">
        <f t="shared" si="2"/>
        <v>0</v>
      </c>
    </row>
    <row r="9" spans="1:20" x14ac:dyDescent="0.25">
      <c r="A9">
        <v>8</v>
      </c>
      <c r="B9">
        <v>876</v>
      </c>
      <c r="C9" t="s">
        <v>14</v>
      </c>
      <c r="D9" t="s">
        <v>523</v>
      </c>
      <c r="E9" s="4">
        <v>45596</v>
      </c>
      <c r="F9" s="6">
        <v>0</v>
      </c>
      <c r="G9" s="6" t="s">
        <v>2991</v>
      </c>
      <c r="H9" s="6" t="s">
        <v>2987</v>
      </c>
      <c r="K9" s="6"/>
      <c r="L9" s="6"/>
      <c r="M9" s="6" t="s">
        <v>3047</v>
      </c>
      <c r="N9" s="6"/>
      <c r="O9" s="6"/>
      <c r="P9">
        <f t="shared" si="0"/>
        <v>1</v>
      </c>
      <c r="Q9">
        <f>IF(AND(P9=1,OR(ISNUMBER(MATCH(H9,{"menace","othering","ridicule","blame","victim"},0)),ISNUMBER(MATCH(J9,{"menace","othering","ridicule","blame","victim"},0)),ISNUMBER(MATCH(L9,{"menace","othering","ridicule","blame","victim"},0)))),1,0)</f>
        <v>1</v>
      </c>
      <c r="R9">
        <f>IF(AND(P9=1,Q9=0,OR(ISNUMBER(MATCH(H9,{"wholesome","heroic"},0)),ISNUMBER(MATCH(J9,{"wholesome","heroic"},0)),ISNUMBER(MATCH(L9,{"wholesome","heroic"},0)))),1,0)</f>
        <v>0</v>
      </c>
      <c r="S9">
        <f t="shared" si="1"/>
        <v>0</v>
      </c>
      <c r="T9">
        <f t="shared" si="2"/>
        <v>0</v>
      </c>
    </row>
    <row r="10" spans="1:20" x14ac:dyDescent="0.25">
      <c r="A10">
        <v>9</v>
      </c>
      <c r="B10">
        <v>877</v>
      </c>
      <c r="C10" t="s">
        <v>14</v>
      </c>
      <c r="D10" t="s">
        <v>523</v>
      </c>
      <c r="E10" s="4">
        <v>45597</v>
      </c>
      <c r="F10" s="6">
        <v>0</v>
      </c>
      <c r="G10" s="6" t="s">
        <v>2991</v>
      </c>
      <c r="H10" s="6" t="s">
        <v>2990</v>
      </c>
      <c r="K10" s="6"/>
      <c r="L10" s="6"/>
      <c r="M10" s="6" t="s">
        <v>3047</v>
      </c>
      <c r="N10" s="6"/>
      <c r="O10" s="6"/>
      <c r="P10">
        <f t="shared" si="0"/>
        <v>1</v>
      </c>
      <c r="Q10">
        <f>IF(AND(P10=1,OR(ISNUMBER(MATCH(H10,{"menace","othering","ridicule","blame","victim"},0)),ISNUMBER(MATCH(J10,{"menace","othering","ridicule","blame","victim"},0)),ISNUMBER(MATCH(L10,{"menace","othering","ridicule","blame","victim"},0)))),1,0)</f>
        <v>0</v>
      </c>
      <c r="R10">
        <f>IF(AND(P10=1,Q10=0,OR(ISNUMBER(MATCH(H10,{"wholesome","heroic"},0)),ISNUMBER(MATCH(J10,{"wholesome","heroic"},0)),ISNUMBER(MATCH(L10,{"wholesome","heroic"},0)))),1,0)</f>
        <v>1</v>
      </c>
      <c r="S10">
        <f t="shared" si="1"/>
        <v>0</v>
      </c>
      <c r="T10">
        <f t="shared" si="2"/>
        <v>0</v>
      </c>
    </row>
    <row r="11" spans="1:20" x14ac:dyDescent="0.25">
      <c r="A11">
        <v>10</v>
      </c>
      <c r="B11">
        <v>879</v>
      </c>
      <c r="C11" t="s">
        <v>14</v>
      </c>
      <c r="D11" t="s">
        <v>523</v>
      </c>
      <c r="E11" s="4">
        <v>45600</v>
      </c>
      <c r="F11" s="6">
        <v>0</v>
      </c>
      <c r="G11" s="6" t="s">
        <v>2999</v>
      </c>
      <c r="H11" s="6" t="s">
        <v>2996</v>
      </c>
      <c r="I11" s="6" t="s">
        <v>2986</v>
      </c>
      <c r="J11" s="6" t="s">
        <v>2985</v>
      </c>
      <c r="K11" s="6"/>
      <c r="L11" s="6"/>
      <c r="M11" s="6" t="s">
        <v>3047</v>
      </c>
      <c r="N11" s="6" t="s">
        <v>3046</v>
      </c>
      <c r="O11" s="6"/>
      <c r="P11">
        <f t="shared" si="0"/>
        <v>1</v>
      </c>
      <c r="Q11">
        <f>IF(AND(P11=1,OR(ISNUMBER(MATCH(H11,{"menace","othering","ridicule","blame","victim"},0)),ISNUMBER(MATCH(J11,{"menace","othering","ridicule","blame","victim"},0)),ISNUMBER(MATCH(L11,{"menace","othering","ridicule","blame","victim"},0)))),1,0)</f>
        <v>1</v>
      </c>
      <c r="R11">
        <f>IF(AND(P11=1,Q11=0,OR(ISNUMBER(MATCH(H11,{"wholesome","heroic"},0)),ISNUMBER(MATCH(J11,{"wholesome","heroic"},0)),ISNUMBER(MATCH(L11,{"wholesome","heroic"},0)))),1,0)</f>
        <v>0</v>
      </c>
      <c r="S11">
        <f t="shared" si="1"/>
        <v>0</v>
      </c>
      <c r="T11">
        <f t="shared" si="2"/>
        <v>0</v>
      </c>
    </row>
    <row r="12" spans="1:20" x14ac:dyDescent="0.25">
      <c r="A12">
        <v>11</v>
      </c>
      <c r="B12">
        <v>888</v>
      </c>
      <c r="C12" t="s">
        <v>14</v>
      </c>
      <c r="D12" t="s">
        <v>523</v>
      </c>
      <c r="E12" s="4">
        <v>45607</v>
      </c>
      <c r="F12" s="6">
        <v>0</v>
      </c>
      <c r="G12" s="6" t="s">
        <v>2986</v>
      </c>
      <c r="H12" s="6" t="s">
        <v>2996</v>
      </c>
      <c r="K12" s="6"/>
      <c r="L12" s="6"/>
      <c r="M12" s="6" t="s">
        <v>3046</v>
      </c>
      <c r="N12" s="6"/>
      <c r="O12" s="6"/>
      <c r="P12">
        <f t="shared" si="0"/>
        <v>1</v>
      </c>
      <c r="Q12">
        <f>IF(AND(P12=1,OR(ISNUMBER(MATCH(H12,{"menace","othering","ridicule","blame","victim"},0)),ISNUMBER(MATCH(J12,{"menace","othering","ridicule","blame","victim"},0)),ISNUMBER(MATCH(L12,{"menace","othering","ridicule","blame","victim"},0)))),1,0)</f>
        <v>1</v>
      </c>
      <c r="R12">
        <f>IF(AND(P12=1,Q12=0,OR(ISNUMBER(MATCH(H12,{"wholesome","heroic"},0)),ISNUMBER(MATCH(J12,{"wholesome","heroic"},0)),ISNUMBER(MATCH(L12,{"wholesome","heroic"},0)))),1,0)</f>
        <v>0</v>
      </c>
      <c r="S12">
        <f t="shared" si="1"/>
        <v>0</v>
      </c>
      <c r="T12">
        <f t="shared" si="2"/>
        <v>0</v>
      </c>
    </row>
    <row r="13" spans="1:20" x14ac:dyDescent="0.25">
      <c r="A13">
        <v>12</v>
      </c>
      <c r="B13">
        <v>892</v>
      </c>
      <c r="C13" t="s">
        <v>14</v>
      </c>
      <c r="D13" t="s">
        <v>523</v>
      </c>
      <c r="E13" s="4">
        <v>45614</v>
      </c>
      <c r="F13" s="6">
        <v>0</v>
      </c>
      <c r="G13" s="6" t="s">
        <v>2988</v>
      </c>
      <c r="H13" s="6" t="s">
        <v>2987</v>
      </c>
      <c r="I13" s="6" t="s">
        <v>3000</v>
      </c>
      <c r="J13" s="6" t="s">
        <v>2989</v>
      </c>
      <c r="K13" s="6"/>
      <c r="L13" s="6"/>
      <c r="M13" s="6" t="s">
        <v>3047</v>
      </c>
      <c r="N13" s="6" t="s">
        <v>3047</v>
      </c>
      <c r="O13" s="6"/>
      <c r="P13">
        <f t="shared" si="0"/>
        <v>1</v>
      </c>
      <c r="Q13">
        <f>IF(AND(P13=1,OR(ISNUMBER(MATCH(H13,{"menace","othering","ridicule","blame","victim"},0)),ISNUMBER(MATCH(J13,{"menace","othering","ridicule","blame","victim"},0)),ISNUMBER(MATCH(L13,{"menace","othering","ridicule","blame","victim"},0)))),1,0)</f>
        <v>1</v>
      </c>
      <c r="R13">
        <f>IF(AND(P13=1,Q13=0,OR(ISNUMBER(MATCH(H13,{"wholesome","heroic"},0)),ISNUMBER(MATCH(J13,{"wholesome","heroic"},0)),ISNUMBER(MATCH(L13,{"wholesome","heroic"},0)))),1,0)</f>
        <v>0</v>
      </c>
      <c r="S13">
        <f t="shared" si="1"/>
        <v>0</v>
      </c>
      <c r="T13">
        <f t="shared" si="2"/>
        <v>0</v>
      </c>
    </row>
    <row r="14" spans="1:20" x14ac:dyDescent="0.25">
      <c r="A14">
        <v>13</v>
      </c>
      <c r="B14">
        <v>899</v>
      </c>
      <c r="C14" t="s">
        <v>14</v>
      </c>
      <c r="D14" t="s">
        <v>523</v>
      </c>
      <c r="E14" s="4">
        <v>45618</v>
      </c>
      <c r="F14" s="6">
        <v>0</v>
      </c>
      <c r="G14" s="6" t="s">
        <v>2991</v>
      </c>
      <c r="H14" s="6" t="s">
        <v>2993</v>
      </c>
      <c r="I14" s="6" t="s">
        <v>2999</v>
      </c>
      <c r="J14" s="6" t="s">
        <v>2987</v>
      </c>
      <c r="K14" s="6"/>
      <c r="L14" s="6"/>
      <c r="M14" s="6" t="s">
        <v>3047</v>
      </c>
      <c r="N14" s="6" t="s">
        <v>3047</v>
      </c>
      <c r="O14" s="6"/>
      <c r="P14">
        <f t="shared" si="0"/>
        <v>1</v>
      </c>
      <c r="Q14">
        <f>IF(AND(P14=1,OR(ISNUMBER(MATCH(H14,{"menace","othering","ridicule","blame","victim"},0)),ISNUMBER(MATCH(J14,{"menace","othering","ridicule","blame","victim"},0)),ISNUMBER(MATCH(L14,{"menace","othering","ridicule","blame","victim"},0)))),1,0)</f>
        <v>1</v>
      </c>
      <c r="R14">
        <f>IF(AND(P14=1,Q14=0,OR(ISNUMBER(MATCH(H14,{"wholesome","heroic"},0)),ISNUMBER(MATCH(J14,{"wholesome","heroic"},0)),ISNUMBER(MATCH(L14,{"wholesome","heroic"},0)))),1,0)</f>
        <v>0</v>
      </c>
      <c r="S14">
        <f t="shared" si="1"/>
        <v>0</v>
      </c>
      <c r="T14">
        <f t="shared" si="2"/>
        <v>0</v>
      </c>
    </row>
    <row r="15" spans="1:20" x14ac:dyDescent="0.25">
      <c r="A15">
        <v>14</v>
      </c>
      <c r="B15">
        <v>901</v>
      </c>
      <c r="C15" t="s">
        <v>14</v>
      </c>
      <c r="D15" t="s">
        <v>523</v>
      </c>
      <c r="E15" s="4">
        <v>45622</v>
      </c>
      <c r="F15" s="6">
        <v>0</v>
      </c>
      <c r="G15" s="6" t="s">
        <v>2997</v>
      </c>
      <c r="H15" s="6" t="s">
        <v>2993</v>
      </c>
      <c r="K15" s="6"/>
      <c r="L15" s="6"/>
      <c r="M15" s="6" t="s">
        <v>3047</v>
      </c>
      <c r="N15" s="6"/>
      <c r="O15" s="6"/>
      <c r="P15">
        <f t="shared" si="0"/>
        <v>1</v>
      </c>
      <c r="Q15">
        <f>IF(AND(P15=1,OR(ISNUMBER(MATCH(H15,{"menace","othering","ridicule","blame","victim"},0)),ISNUMBER(MATCH(J15,{"menace","othering","ridicule","blame","victim"},0)),ISNUMBER(MATCH(L15,{"menace","othering","ridicule","blame","victim"},0)))),1,0)</f>
        <v>1</v>
      </c>
      <c r="R15">
        <f>IF(AND(P15=1,Q15=0,OR(ISNUMBER(MATCH(H15,{"wholesome","heroic"},0)),ISNUMBER(MATCH(J15,{"wholesome","heroic"},0)),ISNUMBER(MATCH(L15,{"wholesome","heroic"},0)))),1,0)</f>
        <v>0</v>
      </c>
      <c r="S15">
        <f t="shared" si="1"/>
        <v>0</v>
      </c>
      <c r="T15">
        <f t="shared" si="2"/>
        <v>0</v>
      </c>
    </row>
    <row r="16" spans="1:20" x14ac:dyDescent="0.25">
      <c r="A16">
        <v>15</v>
      </c>
      <c r="B16">
        <v>902</v>
      </c>
      <c r="C16" t="s">
        <v>14</v>
      </c>
      <c r="D16" t="s">
        <v>523</v>
      </c>
      <c r="E16" s="4">
        <v>45622</v>
      </c>
      <c r="F16" s="6">
        <v>0</v>
      </c>
      <c r="G16" s="6" t="s">
        <v>2991</v>
      </c>
      <c r="H16" s="6" t="s">
        <v>2993</v>
      </c>
      <c r="K16" s="6"/>
      <c r="L16" s="6"/>
      <c r="M16" s="6" t="s">
        <v>3047</v>
      </c>
      <c r="N16" s="6"/>
      <c r="O16" s="6"/>
      <c r="P16">
        <f t="shared" si="0"/>
        <v>1</v>
      </c>
      <c r="Q16">
        <f>IF(AND(P16=1,OR(ISNUMBER(MATCH(H16,{"menace","othering","ridicule","blame","victim"},0)),ISNUMBER(MATCH(J16,{"menace","othering","ridicule","blame","victim"},0)),ISNUMBER(MATCH(L16,{"menace","othering","ridicule","blame","victim"},0)))),1,0)</f>
        <v>1</v>
      </c>
      <c r="R16">
        <f>IF(AND(P16=1,Q16=0,OR(ISNUMBER(MATCH(H16,{"wholesome","heroic"},0)),ISNUMBER(MATCH(J16,{"wholesome","heroic"},0)),ISNUMBER(MATCH(L16,{"wholesome","heroic"},0)))),1,0)</f>
        <v>0</v>
      </c>
      <c r="S16">
        <f t="shared" si="1"/>
        <v>0</v>
      </c>
      <c r="T16">
        <f t="shared" si="2"/>
        <v>0</v>
      </c>
    </row>
    <row r="17" spans="1:20" x14ac:dyDescent="0.25">
      <c r="A17">
        <v>16</v>
      </c>
      <c r="B17">
        <v>907</v>
      </c>
      <c r="C17" t="s">
        <v>14</v>
      </c>
      <c r="D17" t="s">
        <v>523</v>
      </c>
      <c r="E17" s="4">
        <v>45624</v>
      </c>
      <c r="F17" s="6">
        <v>0</v>
      </c>
      <c r="G17" s="6" t="s">
        <v>2991</v>
      </c>
      <c r="H17" s="6" t="s">
        <v>2996</v>
      </c>
      <c r="K17" s="6"/>
      <c r="L17" s="6"/>
      <c r="M17" s="6" t="s">
        <v>3047</v>
      </c>
      <c r="N17" s="6"/>
      <c r="O17" s="6"/>
      <c r="P17">
        <f t="shared" si="0"/>
        <v>1</v>
      </c>
      <c r="Q17">
        <f>IF(AND(P17=1,OR(ISNUMBER(MATCH(H17,{"menace","othering","ridicule","blame","victim"},0)),ISNUMBER(MATCH(J17,{"menace","othering","ridicule","blame","victim"},0)),ISNUMBER(MATCH(L17,{"menace","othering","ridicule","blame","victim"},0)))),1,0)</f>
        <v>1</v>
      </c>
      <c r="R17">
        <f>IF(AND(P17=1,Q17=0,OR(ISNUMBER(MATCH(H17,{"wholesome","heroic"},0)),ISNUMBER(MATCH(J17,{"wholesome","heroic"},0)),ISNUMBER(MATCH(L17,{"wholesome","heroic"},0)))),1,0)</f>
        <v>0</v>
      </c>
      <c r="S17">
        <f t="shared" si="1"/>
        <v>0</v>
      </c>
      <c r="T17">
        <f t="shared" si="2"/>
        <v>0</v>
      </c>
    </row>
    <row r="18" spans="1:20" x14ac:dyDescent="0.25">
      <c r="A18">
        <v>17</v>
      </c>
      <c r="B18">
        <v>910</v>
      </c>
      <c r="C18" t="s">
        <v>14</v>
      </c>
      <c r="D18" t="s">
        <v>523</v>
      </c>
      <c r="E18" s="4">
        <v>45625</v>
      </c>
      <c r="F18" s="6">
        <v>0</v>
      </c>
      <c r="G18" s="6" t="s">
        <v>2988</v>
      </c>
      <c r="H18" s="6" t="s">
        <v>2987</v>
      </c>
      <c r="K18" s="6"/>
      <c r="L18" s="6"/>
      <c r="M18" s="6" t="s">
        <v>3047</v>
      </c>
      <c r="N18" s="6"/>
      <c r="O18" s="6"/>
      <c r="P18">
        <f t="shared" si="0"/>
        <v>1</v>
      </c>
      <c r="Q18">
        <f>IF(AND(P18=1,OR(ISNUMBER(MATCH(H18,{"menace","othering","ridicule","blame","victim"},0)),ISNUMBER(MATCH(J18,{"menace","othering","ridicule","blame","victim"},0)),ISNUMBER(MATCH(L18,{"menace","othering","ridicule","blame","victim"},0)))),1,0)</f>
        <v>1</v>
      </c>
      <c r="R18">
        <f>IF(AND(P18=1,Q18=0,OR(ISNUMBER(MATCH(H18,{"wholesome","heroic"},0)),ISNUMBER(MATCH(J18,{"wholesome","heroic"},0)),ISNUMBER(MATCH(L18,{"wholesome","heroic"},0)))),1,0)</f>
        <v>0</v>
      </c>
      <c r="S18">
        <f t="shared" si="1"/>
        <v>0</v>
      </c>
      <c r="T18">
        <f t="shared" si="2"/>
        <v>0</v>
      </c>
    </row>
    <row r="19" spans="1:20" x14ac:dyDescent="0.25">
      <c r="A19">
        <v>18</v>
      </c>
      <c r="B19">
        <v>912</v>
      </c>
      <c r="C19" t="s">
        <v>14</v>
      </c>
      <c r="D19" t="s">
        <v>523</v>
      </c>
      <c r="E19" s="4">
        <v>45629</v>
      </c>
      <c r="F19" s="6">
        <v>0</v>
      </c>
      <c r="G19" s="6" t="s">
        <v>3000</v>
      </c>
      <c r="H19" s="6" t="s">
        <v>2987</v>
      </c>
      <c r="I19" s="6" t="s">
        <v>2986</v>
      </c>
      <c r="J19" s="6" t="s">
        <v>2985</v>
      </c>
      <c r="K19" s="6"/>
      <c r="L19" s="6"/>
      <c r="M19" s="6" t="s">
        <v>3047</v>
      </c>
      <c r="N19" s="6" t="s">
        <v>3046</v>
      </c>
      <c r="O19" s="6"/>
      <c r="P19">
        <f t="shared" si="0"/>
        <v>1</v>
      </c>
      <c r="Q19">
        <f>IF(AND(P19=1,OR(ISNUMBER(MATCH(H19,{"menace","othering","ridicule","blame","victim"},0)),ISNUMBER(MATCH(J19,{"menace","othering","ridicule","blame","victim"},0)),ISNUMBER(MATCH(L19,{"menace","othering","ridicule","blame","victim"},0)))),1,0)</f>
        <v>1</v>
      </c>
      <c r="R19">
        <f>IF(AND(P19=1,Q19=0,OR(ISNUMBER(MATCH(H19,{"wholesome","heroic"},0)),ISNUMBER(MATCH(J19,{"wholesome","heroic"},0)),ISNUMBER(MATCH(L19,{"wholesome","heroic"},0)))),1,0)</f>
        <v>0</v>
      </c>
      <c r="S19">
        <f t="shared" si="1"/>
        <v>0</v>
      </c>
      <c r="T19">
        <f t="shared" si="2"/>
        <v>0</v>
      </c>
    </row>
    <row r="20" spans="1:20" x14ac:dyDescent="0.25">
      <c r="A20">
        <v>19</v>
      </c>
      <c r="B20">
        <v>916</v>
      </c>
      <c r="C20" t="s">
        <v>14</v>
      </c>
      <c r="D20" t="s">
        <v>523</v>
      </c>
      <c r="E20" s="4">
        <v>45631</v>
      </c>
      <c r="F20" s="6">
        <v>0</v>
      </c>
      <c r="G20" s="6" t="s">
        <v>2986</v>
      </c>
      <c r="H20" s="6" t="s">
        <v>2996</v>
      </c>
      <c r="K20" s="6"/>
      <c r="L20" s="6"/>
      <c r="M20" s="6" t="s">
        <v>3046</v>
      </c>
      <c r="N20" s="6"/>
      <c r="O20" s="6"/>
      <c r="P20">
        <f t="shared" si="0"/>
        <v>1</v>
      </c>
      <c r="Q20">
        <f>IF(AND(P20=1,OR(ISNUMBER(MATCH(H20,{"menace","othering","ridicule","blame","victim"},0)),ISNUMBER(MATCH(J20,{"menace","othering","ridicule","blame","victim"},0)),ISNUMBER(MATCH(L20,{"menace","othering","ridicule","blame","victim"},0)))),1,0)</f>
        <v>1</v>
      </c>
      <c r="R20">
        <f>IF(AND(P20=1,Q20=0,OR(ISNUMBER(MATCH(H20,{"wholesome","heroic"},0)),ISNUMBER(MATCH(J20,{"wholesome","heroic"},0)),ISNUMBER(MATCH(L20,{"wholesome","heroic"},0)))),1,0)</f>
        <v>0</v>
      </c>
      <c r="S20">
        <f t="shared" si="1"/>
        <v>0</v>
      </c>
      <c r="T20">
        <f t="shared" si="2"/>
        <v>0</v>
      </c>
    </row>
    <row r="21" spans="1:20" x14ac:dyDescent="0.25">
      <c r="A21">
        <v>20</v>
      </c>
      <c r="B21">
        <v>917</v>
      </c>
      <c r="C21" t="s">
        <v>14</v>
      </c>
      <c r="D21" t="s">
        <v>523</v>
      </c>
      <c r="E21" s="4">
        <v>45632</v>
      </c>
      <c r="F21" s="6">
        <v>0</v>
      </c>
      <c r="G21" s="6" t="s">
        <v>3000</v>
      </c>
      <c r="H21" s="6" t="s">
        <v>2989</v>
      </c>
      <c r="K21" s="6"/>
      <c r="L21" s="6"/>
      <c r="M21" s="6" t="s">
        <v>3047</v>
      </c>
      <c r="N21" s="6"/>
      <c r="O21" s="6"/>
      <c r="P21">
        <f t="shared" si="0"/>
        <v>1</v>
      </c>
      <c r="Q21">
        <f>IF(AND(P21=1,OR(ISNUMBER(MATCH(H21,{"menace","othering","ridicule","blame","victim"},0)),ISNUMBER(MATCH(J21,{"menace","othering","ridicule","blame","victim"},0)),ISNUMBER(MATCH(L21,{"menace","othering","ridicule","blame","victim"},0)))),1,0)</f>
        <v>0</v>
      </c>
      <c r="R21">
        <f>IF(AND(P21=1,Q21=0,OR(ISNUMBER(MATCH(H21,{"wholesome","heroic"},0)),ISNUMBER(MATCH(J21,{"wholesome","heroic"},0)),ISNUMBER(MATCH(L21,{"wholesome","heroic"},0)))),1,0)</f>
        <v>0</v>
      </c>
      <c r="S21">
        <f t="shared" si="1"/>
        <v>1</v>
      </c>
      <c r="T21">
        <f t="shared" si="2"/>
        <v>0</v>
      </c>
    </row>
    <row r="22" spans="1:20" x14ac:dyDescent="0.25">
      <c r="A22">
        <v>21</v>
      </c>
      <c r="B22">
        <v>919</v>
      </c>
      <c r="C22" t="s">
        <v>14</v>
      </c>
      <c r="D22" t="s">
        <v>523</v>
      </c>
      <c r="E22" s="4">
        <v>45632</v>
      </c>
      <c r="F22" s="6">
        <v>0</v>
      </c>
      <c r="G22" s="6" t="s">
        <v>2991</v>
      </c>
      <c r="H22" s="6" t="s">
        <v>2993</v>
      </c>
      <c r="K22" s="6"/>
      <c r="L22" s="6"/>
      <c r="M22" s="6" t="s">
        <v>3047</v>
      </c>
      <c r="N22" s="6"/>
      <c r="O22" s="6"/>
      <c r="P22">
        <f t="shared" si="0"/>
        <v>1</v>
      </c>
      <c r="Q22">
        <f>IF(AND(P22=1,OR(ISNUMBER(MATCH(H22,{"menace","othering","ridicule","blame","victim"},0)),ISNUMBER(MATCH(J22,{"menace","othering","ridicule","blame","victim"},0)),ISNUMBER(MATCH(L22,{"menace","othering","ridicule","blame","victim"},0)))),1,0)</f>
        <v>1</v>
      </c>
      <c r="R22">
        <f>IF(AND(P22=1,Q22=0,OR(ISNUMBER(MATCH(H22,{"wholesome","heroic"},0)),ISNUMBER(MATCH(J22,{"wholesome","heroic"},0)),ISNUMBER(MATCH(L22,{"wholesome","heroic"},0)))),1,0)</f>
        <v>0</v>
      </c>
      <c r="S22">
        <f t="shared" si="1"/>
        <v>0</v>
      </c>
      <c r="T22">
        <f t="shared" si="2"/>
        <v>0</v>
      </c>
    </row>
    <row r="23" spans="1:20" x14ac:dyDescent="0.25">
      <c r="A23">
        <v>22</v>
      </c>
      <c r="B23">
        <v>922</v>
      </c>
      <c r="C23" t="s">
        <v>14</v>
      </c>
      <c r="D23" t="s">
        <v>523</v>
      </c>
      <c r="E23" s="4">
        <v>45635</v>
      </c>
      <c r="F23" s="6">
        <v>0</v>
      </c>
      <c r="G23" s="6" t="s">
        <v>2991</v>
      </c>
      <c r="H23" s="6" t="s">
        <v>2993</v>
      </c>
      <c r="K23" s="6"/>
      <c r="L23" s="6"/>
      <c r="M23" s="6" t="s">
        <v>3047</v>
      </c>
      <c r="N23" s="6"/>
      <c r="O23" s="6"/>
      <c r="P23">
        <f t="shared" si="0"/>
        <v>1</v>
      </c>
      <c r="Q23">
        <f>IF(AND(P23=1,OR(ISNUMBER(MATCH(H23,{"menace","othering","ridicule","blame","victim"},0)),ISNUMBER(MATCH(J23,{"menace","othering","ridicule","blame","victim"},0)),ISNUMBER(MATCH(L23,{"menace","othering","ridicule","blame","victim"},0)))),1,0)</f>
        <v>1</v>
      </c>
      <c r="R23">
        <f>IF(AND(P23=1,Q23=0,OR(ISNUMBER(MATCH(H23,{"wholesome","heroic"},0)),ISNUMBER(MATCH(J23,{"wholesome","heroic"},0)),ISNUMBER(MATCH(L23,{"wholesome","heroic"},0)))),1,0)</f>
        <v>0</v>
      </c>
      <c r="S23">
        <f t="shared" si="1"/>
        <v>0</v>
      </c>
      <c r="T23">
        <f t="shared" si="2"/>
        <v>0</v>
      </c>
    </row>
    <row r="24" spans="1:20" x14ac:dyDescent="0.25">
      <c r="A24">
        <v>23</v>
      </c>
      <c r="B24">
        <v>926</v>
      </c>
      <c r="C24" t="s">
        <v>14</v>
      </c>
      <c r="D24" t="s">
        <v>523</v>
      </c>
      <c r="E24" s="4">
        <v>45639</v>
      </c>
      <c r="F24" s="6">
        <v>0</v>
      </c>
      <c r="G24" s="6" t="s">
        <v>2988</v>
      </c>
      <c r="H24" s="6" t="s">
        <v>2987</v>
      </c>
      <c r="K24" s="6"/>
      <c r="L24" s="6"/>
      <c r="M24" s="6" t="s">
        <v>3047</v>
      </c>
      <c r="N24" s="6"/>
      <c r="O24" s="6"/>
      <c r="P24">
        <f t="shared" si="0"/>
        <v>1</v>
      </c>
      <c r="Q24">
        <f>IF(AND(P24=1,OR(ISNUMBER(MATCH(H24,{"menace","othering","ridicule","blame","victim"},0)),ISNUMBER(MATCH(J24,{"menace","othering","ridicule","blame","victim"},0)),ISNUMBER(MATCH(L24,{"menace","othering","ridicule","blame","victim"},0)))),1,0)</f>
        <v>1</v>
      </c>
      <c r="R24">
        <f>IF(AND(P24=1,Q24=0,OR(ISNUMBER(MATCH(H24,{"wholesome","heroic"},0)),ISNUMBER(MATCH(J24,{"wholesome","heroic"},0)),ISNUMBER(MATCH(L24,{"wholesome","heroic"},0)))),1,0)</f>
        <v>0</v>
      </c>
      <c r="S24">
        <f t="shared" si="1"/>
        <v>0</v>
      </c>
      <c r="T24">
        <f t="shared" si="2"/>
        <v>0</v>
      </c>
    </row>
    <row r="25" spans="1:20" x14ac:dyDescent="0.25">
      <c r="A25">
        <v>24</v>
      </c>
      <c r="B25">
        <v>931</v>
      </c>
      <c r="C25" t="s">
        <v>14</v>
      </c>
      <c r="D25" t="s">
        <v>523</v>
      </c>
      <c r="E25" s="4">
        <v>45643</v>
      </c>
      <c r="F25" s="6">
        <v>0</v>
      </c>
      <c r="G25" s="6" t="s">
        <v>2998</v>
      </c>
      <c r="H25" s="6" t="s">
        <v>2989</v>
      </c>
      <c r="K25" s="6"/>
      <c r="L25" s="6"/>
      <c r="M25" s="6" t="s">
        <v>3047</v>
      </c>
      <c r="N25" s="6"/>
      <c r="O25" s="6"/>
      <c r="P25">
        <f t="shared" si="0"/>
        <v>1</v>
      </c>
      <c r="Q25">
        <f>IF(AND(P25=1,OR(ISNUMBER(MATCH(H25,{"menace","othering","ridicule","blame","victim"},0)),ISNUMBER(MATCH(J25,{"menace","othering","ridicule","blame","victim"},0)),ISNUMBER(MATCH(L25,{"menace","othering","ridicule","blame","victim"},0)))),1,0)</f>
        <v>0</v>
      </c>
      <c r="R25">
        <f>IF(AND(P25=1,Q25=0,OR(ISNUMBER(MATCH(H25,{"wholesome","heroic"},0)),ISNUMBER(MATCH(J25,{"wholesome","heroic"},0)),ISNUMBER(MATCH(L25,{"wholesome","heroic"},0)))),1,0)</f>
        <v>0</v>
      </c>
      <c r="S25">
        <f t="shared" si="1"/>
        <v>1</v>
      </c>
      <c r="T25">
        <f t="shared" si="2"/>
        <v>0</v>
      </c>
    </row>
    <row r="26" spans="1:20" x14ac:dyDescent="0.25">
      <c r="A26">
        <v>25</v>
      </c>
      <c r="B26">
        <v>938</v>
      </c>
      <c r="C26" t="s">
        <v>14</v>
      </c>
      <c r="D26" t="s">
        <v>523</v>
      </c>
      <c r="E26" s="4">
        <v>45645</v>
      </c>
      <c r="F26" s="6">
        <v>0</v>
      </c>
      <c r="G26" s="6" t="s">
        <v>3000</v>
      </c>
      <c r="H26" s="6" t="s">
        <v>2993</v>
      </c>
      <c r="K26" s="6"/>
      <c r="L26" s="6"/>
      <c r="M26" s="6" t="s">
        <v>3047</v>
      </c>
      <c r="N26" s="6"/>
      <c r="O26" s="6"/>
      <c r="P26">
        <f t="shared" si="0"/>
        <v>1</v>
      </c>
      <c r="Q26">
        <f>IF(AND(P26=1,OR(ISNUMBER(MATCH(H26,{"menace","othering","ridicule","blame","victim"},0)),ISNUMBER(MATCH(J26,{"menace","othering","ridicule","blame","victim"},0)),ISNUMBER(MATCH(L26,{"menace","othering","ridicule","blame","victim"},0)))),1,0)</f>
        <v>1</v>
      </c>
      <c r="R26">
        <f>IF(AND(P26=1,Q26=0,OR(ISNUMBER(MATCH(H26,{"wholesome","heroic"},0)),ISNUMBER(MATCH(J26,{"wholesome","heroic"},0)),ISNUMBER(MATCH(L26,{"wholesome","heroic"},0)))),1,0)</f>
        <v>0</v>
      </c>
      <c r="S26">
        <f t="shared" si="1"/>
        <v>0</v>
      </c>
      <c r="T26">
        <f t="shared" si="2"/>
        <v>0</v>
      </c>
    </row>
    <row r="27" spans="1:20" x14ac:dyDescent="0.25">
      <c r="A27">
        <v>26</v>
      </c>
      <c r="B27">
        <v>940</v>
      </c>
      <c r="C27" t="s">
        <v>14</v>
      </c>
      <c r="D27" t="s">
        <v>523</v>
      </c>
      <c r="E27" s="4">
        <v>45646</v>
      </c>
      <c r="F27" s="6">
        <v>0</v>
      </c>
      <c r="G27" s="6" t="s">
        <v>2986</v>
      </c>
      <c r="H27" s="6" t="s">
        <v>2989</v>
      </c>
      <c r="K27" s="6"/>
      <c r="L27" s="6"/>
      <c r="M27" s="6" t="s">
        <v>3047</v>
      </c>
      <c r="N27" s="6"/>
      <c r="O27" s="6"/>
      <c r="P27">
        <f t="shared" si="0"/>
        <v>1</v>
      </c>
      <c r="Q27">
        <f>IF(AND(P27=1,OR(ISNUMBER(MATCH(H27,{"menace","othering","ridicule","blame","victim"},0)),ISNUMBER(MATCH(J27,{"menace","othering","ridicule","blame","victim"},0)),ISNUMBER(MATCH(L27,{"menace","othering","ridicule","blame","victim"},0)))),1,0)</f>
        <v>0</v>
      </c>
      <c r="R27">
        <f>IF(AND(P27=1,Q27=0,OR(ISNUMBER(MATCH(H27,{"wholesome","heroic"},0)),ISNUMBER(MATCH(J27,{"wholesome","heroic"},0)),ISNUMBER(MATCH(L27,{"wholesome","heroic"},0)))),1,0)</f>
        <v>0</v>
      </c>
      <c r="S27">
        <f t="shared" si="1"/>
        <v>1</v>
      </c>
      <c r="T27">
        <f t="shared" si="2"/>
        <v>0</v>
      </c>
    </row>
    <row r="28" spans="1:20" x14ac:dyDescent="0.25">
      <c r="A28">
        <v>27</v>
      </c>
      <c r="B28">
        <v>968</v>
      </c>
      <c r="C28" t="s">
        <v>14</v>
      </c>
      <c r="D28" t="s">
        <v>523</v>
      </c>
      <c r="E28" s="4">
        <v>45665</v>
      </c>
      <c r="F28" s="6">
        <v>0</v>
      </c>
      <c r="G28" s="6" t="s">
        <v>2991</v>
      </c>
      <c r="H28" s="6" t="s">
        <v>2994</v>
      </c>
      <c r="K28" s="6"/>
      <c r="L28" s="6"/>
      <c r="M28" s="6" t="s">
        <v>3047</v>
      </c>
      <c r="N28" s="6"/>
      <c r="O28" s="6"/>
      <c r="P28">
        <f t="shared" si="0"/>
        <v>1</v>
      </c>
      <c r="Q28">
        <f>IF(AND(P28=1,OR(ISNUMBER(MATCH(H28,{"menace","othering","ridicule","blame","victim"},0)),ISNUMBER(MATCH(J28,{"menace","othering","ridicule","blame","victim"},0)),ISNUMBER(MATCH(L28,{"menace","othering","ridicule","blame","victim"},0)))),1,0)</f>
        <v>0</v>
      </c>
      <c r="R28">
        <f>IF(AND(P28=1,Q28=0,OR(ISNUMBER(MATCH(H28,{"wholesome","heroic"},0)),ISNUMBER(MATCH(J28,{"wholesome","heroic"},0)),ISNUMBER(MATCH(L28,{"wholesome","heroic"},0)))),1,0)</f>
        <v>1</v>
      </c>
      <c r="S28">
        <f t="shared" si="1"/>
        <v>0</v>
      </c>
      <c r="T28">
        <f t="shared" si="2"/>
        <v>0</v>
      </c>
    </row>
    <row r="29" spans="1:20" x14ac:dyDescent="0.25">
      <c r="A29">
        <v>28</v>
      </c>
      <c r="B29">
        <v>969</v>
      </c>
      <c r="C29" t="s">
        <v>14</v>
      </c>
      <c r="D29" t="s">
        <v>523</v>
      </c>
      <c r="E29" s="4">
        <v>45666</v>
      </c>
      <c r="F29" s="6">
        <v>0</v>
      </c>
      <c r="G29" s="6" t="s">
        <v>2991</v>
      </c>
      <c r="H29" s="6" t="s">
        <v>2990</v>
      </c>
      <c r="K29" s="6"/>
      <c r="L29" s="6"/>
      <c r="M29" s="6" t="s">
        <v>3047</v>
      </c>
      <c r="N29" s="6"/>
      <c r="O29" s="6"/>
      <c r="P29">
        <f t="shared" si="0"/>
        <v>1</v>
      </c>
      <c r="Q29">
        <f>IF(AND(P29=1,OR(ISNUMBER(MATCH(H29,{"menace","othering","ridicule","blame","victim"},0)),ISNUMBER(MATCH(J29,{"menace","othering","ridicule","blame","victim"},0)),ISNUMBER(MATCH(L29,{"menace","othering","ridicule","blame","victim"},0)))),1,0)</f>
        <v>0</v>
      </c>
      <c r="R29">
        <f>IF(AND(P29=1,Q29=0,OR(ISNUMBER(MATCH(H29,{"wholesome","heroic"},0)),ISNUMBER(MATCH(J29,{"wholesome","heroic"},0)),ISNUMBER(MATCH(L29,{"wholesome","heroic"},0)))),1,0)</f>
        <v>1</v>
      </c>
      <c r="S29">
        <f t="shared" si="1"/>
        <v>0</v>
      </c>
      <c r="T29">
        <f t="shared" si="2"/>
        <v>0</v>
      </c>
    </row>
    <row r="30" spans="1:20" x14ac:dyDescent="0.25">
      <c r="A30">
        <v>29</v>
      </c>
      <c r="B30">
        <v>972</v>
      </c>
      <c r="C30" t="s">
        <v>14</v>
      </c>
      <c r="D30" t="s">
        <v>523</v>
      </c>
      <c r="E30" s="4">
        <v>45668</v>
      </c>
      <c r="F30" s="6">
        <v>0</v>
      </c>
      <c r="G30" s="6" t="s">
        <v>2991</v>
      </c>
      <c r="H30" s="6" t="s">
        <v>2990</v>
      </c>
      <c r="K30" s="6"/>
      <c r="L30" s="6"/>
      <c r="M30" s="6" t="s">
        <v>3047</v>
      </c>
      <c r="N30" s="6"/>
      <c r="O30" s="6"/>
      <c r="P30">
        <f t="shared" si="0"/>
        <v>1</v>
      </c>
      <c r="Q30">
        <f>IF(AND(P30=1,OR(ISNUMBER(MATCH(H30,{"menace","othering","ridicule","blame","victim"},0)),ISNUMBER(MATCH(J30,{"menace","othering","ridicule","blame","victim"},0)),ISNUMBER(MATCH(L30,{"menace","othering","ridicule","blame","victim"},0)))),1,0)</f>
        <v>0</v>
      </c>
      <c r="R30">
        <f>IF(AND(P30=1,Q30=0,OR(ISNUMBER(MATCH(H30,{"wholesome","heroic"},0)),ISNUMBER(MATCH(J30,{"wholesome","heroic"},0)),ISNUMBER(MATCH(L30,{"wholesome","heroic"},0)))),1,0)</f>
        <v>1</v>
      </c>
      <c r="S30">
        <f t="shared" si="1"/>
        <v>0</v>
      </c>
      <c r="T30">
        <f t="shared" si="2"/>
        <v>0</v>
      </c>
    </row>
    <row r="31" spans="1:20" x14ac:dyDescent="0.25">
      <c r="A31">
        <v>30</v>
      </c>
      <c r="B31">
        <v>974</v>
      </c>
      <c r="C31" t="s">
        <v>14</v>
      </c>
      <c r="D31" t="s">
        <v>523</v>
      </c>
      <c r="E31" s="4">
        <v>45669</v>
      </c>
      <c r="F31" s="6">
        <v>0</v>
      </c>
      <c r="G31" s="6" t="s">
        <v>2991</v>
      </c>
      <c r="H31" s="6" t="s">
        <v>2990</v>
      </c>
      <c r="K31" s="6"/>
      <c r="L31" s="6"/>
      <c r="M31" s="6" t="s">
        <v>3047</v>
      </c>
      <c r="N31" s="6"/>
      <c r="O31" s="6"/>
      <c r="P31">
        <f t="shared" si="0"/>
        <v>1</v>
      </c>
      <c r="Q31">
        <f>IF(AND(P31=1,OR(ISNUMBER(MATCH(H31,{"menace","othering","ridicule","blame","victim"},0)),ISNUMBER(MATCH(J31,{"menace","othering","ridicule","blame","victim"},0)),ISNUMBER(MATCH(L31,{"menace","othering","ridicule","blame","victim"},0)))),1,0)</f>
        <v>0</v>
      </c>
      <c r="R31">
        <f>IF(AND(P31=1,Q31=0,OR(ISNUMBER(MATCH(H31,{"wholesome","heroic"},0)),ISNUMBER(MATCH(J31,{"wholesome","heroic"},0)),ISNUMBER(MATCH(L31,{"wholesome","heroic"},0)))),1,0)</f>
        <v>1</v>
      </c>
      <c r="S31">
        <f t="shared" si="1"/>
        <v>0</v>
      </c>
      <c r="T31">
        <f t="shared" si="2"/>
        <v>0</v>
      </c>
    </row>
    <row r="32" spans="1:20" x14ac:dyDescent="0.25">
      <c r="A32">
        <v>31</v>
      </c>
      <c r="B32">
        <v>975</v>
      </c>
      <c r="C32" t="s">
        <v>14</v>
      </c>
      <c r="D32" t="s">
        <v>523</v>
      </c>
      <c r="E32" s="4">
        <v>45670</v>
      </c>
      <c r="F32" s="6">
        <v>0</v>
      </c>
      <c r="G32" s="6" t="s">
        <v>2991</v>
      </c>
      <c r="H32" s="6" t="s">
        <v>2994</v>
      </c>
      <c r="K32" s="6"/>
      <c r="L32" s="6"/>
      <c r="M32" s="6" t="s">
        <v>3047</v>
      </c>
      <c r="N32" s="6"/>
      <c r="O32" s="6"/>
      <c r="P32">
        <f t="shared" si="0"/>
        <v>1</v>
      </c>
      <c r="Q32">
        <f>IF(AND(P32=1,OR(ISNUMBER(MATCH(H32,{"menace","othering","ridicule","blame","victim"},0)),ISNUMBER(MATCH(J32,{"menace","othering","ridicule","blame","victim"},0)),ISNUMBER(MATCH(L32,{"menace","othering","ridicule","blame","victim"},0)))),1,0)</f>
        <v>0</v>
      </c>
      <c r="R32">
        <f>IF(AND(P32=1,Q32=0,OR(ISNUMBER(MATCH(H32,{"wholesome","heroic"},0)),ISNUMBER(MATCH(J32,{"wholesome","heroic"},0)),ISNUMBER(MATCH(L32,{"wholesome","heroic"},0)))),1,0)</f>
        <v>1</v>
      </c>
      <c r="S32">
        <f t="shared" si="1"/>
        <v>0</v>
      </c>
      <c r="T32">
        <f t="shared" si="2"/>
        <v>0</v>
      </c>
    </row>
    <row r="33" spans="1:20" x14ac:dyDescent="0.25">
      <c r="A33">
        <v>32</v>
      </c>
      <c r="B33">
        <v>976</v>
      </c>
      <c r="C33" t="s">
        <v>14</v>
      </c>
      <c r="D33" t="s">
        <v>523</v>
      </c>
      <c r="E33" s="4">
        <v>45670</v>
      </c>
      <c r="F33" s="6">
        <v>0</v>
      </c>
      <c r="G33" s="6" t="s">
        <v>2991</v>
      </c>
      <c r="H33" s="6" t="s">
        <v>2990</v>
      </c>
      <c r="K33" s="6"/>
      <c r="L33" s="6"/>
      <c r="M33" s="6" t="s">
        <v>3047</v>
      </c>
      <c r="N33" s="6"/>
      <c r="O33" s="6"/>
      <c r="P33">
        <f t="shared" si="0"/>
        <v>1</v>
      </c>
      <c r="Q33">
        <f>IF(AND(P33=1,OR(ISNUMBER(MATCH(H33,{"menace","othering","ridicule","blame","victim"},0)),ISNUMBER(MATCH(J33,{"menace","othering","ridicule","blame","victim"},0)),ISNUMBER(MATCH(L33,{"menace","othering","ridicule","blame","victim"},0)))),1,0)</f>
        <v>0</v>
      </c>
      <c r="R33">
        <f>IF(AND(P33=1,Q33=0,OR(ISNUMBER(MATCH(H33,{"wholesome","heroic"},0)),ISNUMBER(MATCH(J33,{"wholesome","heroic"},0)),ISNUMBER(MATCH(L33,{"wholesome","heroic"},0)))),1,0)</f>
        <v>1</v>
      </c>
      <c r="S33">
        <f t="shared" si="1"/>
        <v>0</v>
      </c>
      <c r="T33">
        <f t="shared" si="2"/>
        <v>0</v>
      </c>
    </row>
    <row r="34" spans="1:20" x14ac:dyDescent="0.25">
      <c r="A34">
        <v>33</v>
      </c>
      <c r="B34">
        <v>978</v>
      </c>
      <c r="C34" t="s">
        <v>14</v>
      </c>
      <c r="D34" t="s">
        <v>523</v>
      </c>
      <c r="E34" s="4">
        <v>45671</v>
      </c>
      <c r="F34" s="6">
        <v>0</v>
      </c>
      <c r="G34" s="6" t="s">
        <v>2991</v>
      </c>
      <c r="H34" s="6" t="s">
        <v>2990</v>
      </c>
      <c r="K34" s="6"/>
      <c r="L34" s="6"/>
      <c r="M34" s="6" t="s">
        <v>3047</v>
      </c>
      <c r="N34" s="6"/>
      <c r="O34" s="6"/>
      <c r="P34">
        <f t="shared" si="0"/>
        <v>1</v>
      </c>
      <c r="Q34">
        <f>IF(AND(P34=1,OR(ISNUMBER(MATCH(H34,{"menace","othering","ridicule","blame","victim"},0)),ISNUMBER(MATCH(J34,{"menace","othering","ridicule","blame","victim"},0)),ISNUMBER(MATCH(L34,{"menace","othering","ridicule","blame","victim"},0)))),1,0)</f>
        <v>0</v>
      </c>
      <c r="R34">
        <f>IF(AND(P34=1,Q34=0,OR(ISNUMBER(MATCH(H34,{"wholesome","heroic"},0)),ISNUMBER(MATCH(J34,{"wholesome","heroic"},0)),ISNUMBER(MATCH(L34,{"wholesome","heroic"},0)))),1,0)</f>
        <v>1</v>
      </c>
      <c r="S34">
        <f t="shared" si="1"/>
        <v>0</v>
      </c>
      <c r="T34">
        <f t="shared" si="2"/>
        <v>0</v>
      </c>
    </row>
    <row r="35" spans="1:20" x14ac:dyDescent="0.25">
      <c r="A35">
        <v>34</v>
      </c>
      <c r="B35">
        <v>980</v>
      </c>
      <c r="C35" t="s">
        <v>14</v>
      </c>
      <c r="D35" t="s">
        <v>523</v>
      </c>
      <c r="E35" s="4">
        <v>45672</v>
      </c>
      <c r="F35" s="6">
        <v>0</v>
      </c>
      <c r="G35" s="6" t="s">
        <v>2991</v>
      </c>
      <c r="H35" s="6" t="s">
        <v>2990</v>
      </c>
      <c r="K35" s="6"/>
      <c r="L35" s="6"/>
      <c r="M35" s="6" t="s">
        <v>3047</v>
      </c>
      <c r="N35" s="6"/>
      <c r="O35" s="6"/>
      <c r="P35">
        <f t="shared" si="0"/>
        <v>1</v>
      </c>
      <c r="Q35">
        <f>IF(AND(P35=1,OR(ISNUMBER(MATCH(H35,{"menace","othering","ridicule","blame","victim"},0)),ISNUMBER(MATCH(J35,{"menace","othering","ridicule","blame","victim"},0)),ISNUMBER(MATCH(L35,{"menace","othering","ridicule","blame","victim"},0)))),1,0)</f>
        <v>0</v>
      </c>
      <c r="R35">
        <f>IF(AND(P35=1,Q35=0,OR(ISNUMBER(MATCH(H35,{"wholesome","heroic"},0)),ISNUMBER(MATCH(J35,{"wholesome","heroic"},0)),ISNUMBER(MATCH(L35,{"wholesome","heroic"},0)))),1,0)</f>
        <v>1</v>
      </c>
      <c r="S35">
        <f t="shared" si="1"/>
        <v>0</v>
      </c>
      <c r="T35">
        <f t="shared" si="2"/>
        <v>0</v>
      </c>
    </row>
    <row r="36" spans="1:20" x14ac:dyDescent="0.25">
      <c r="A36">
        <v>35</v>
      </c>
      <c r="B36">
        <v>982</v>
      </c>
      <c r="C36" t="s">
        <v>14</v>
      </c>
      <c r="D36" t="s">
        <v>523</v>
      </c>
      <c r="E36" s="4">
        <v>45672</v>
      </c>
      <c r="F36" s="6">
        <v>0</v>
      </c>
      <c r="G36" s="6" t="s">
        <v>2991</v>
      </c>
      <c r="H36" s="6" t="s">
        <v>2989</v>
      </c>
      <c r="K36" s="6"/>
      <c r="L36" s="6"/>
      <c r="M36" s="6" t="s">
        <v>3047</v>
      </c>
      <c r="N36" s="6"/>
      <c r="O36" s="6"/>
      <c r="P36">
        <f t="shared" si="0"/>
        <v>1</v>
      </c>
      <c r="Q36">
        <f>IF(AND(P36=1,OR(ISNUMBER(MATCH(H36,{"menace","othering","ridicule","blame","victim"},0)),ISNUMBER(MATCH(J36,{"menace","othering","ridicule","blame","victim"},0)),ISNUMBER(MATCH(L36,{"menace","othering","ridicule","blame","victim"},0)))),1,0)</f>
        <v>0</v>
      </c>
      <c r="R36">
        <f>IF(AND(P36=1,Q36=0,OR(ISNUMBER(MATCH(H36,{"wholesome","heroic"},0)),ISNUMBER(MATCH(J36,{"wholesome","heroic"},0)),ISNUMBER(MATCH(L36,{"wholesome","heroic"},0)))),1,0)</f>
        <v>0</v>
      </c>
      <c r="S36">
        <f t="shared" si="1"/>
        <v>1</v>
      </c>
      <c r="T36">
        <f t="shared" si="2"/>
        <v>0</v>
      </c>
    </row>
    <row r="37" spans="1:20" x14ac:dyDescent="0.25">
      <c r="A37">
        <v>36</v>
      </c>
      <c r="B37">
        <v>985</v>
      </c>
      <c r="C37" t="s">
        <v>14</v>
      </c>
      <c r="D37" t="s">
        <v>523</v>
      </c>
      <c r="E37" s="4">
        <v>45673</v>
      </c>
      <c r="F37" s="6">
        <v>0</v>
      </c>
      <c r="G37" s="6" t="s">
        <v>2999</v>
      </c>
      <c r="H37" s="6" t="s">
        <v>2987</v>
      </c>
      <c r="K37" s="6"/>
      <c r="L37" s="6"/>
      <c r="M37" s="6" t="s">
        <v>3047</v>
      </c>
      <c r="N37" s="6"/>
      <c r="O37" s="6"/>
      <c r="P37">
        <f t="shared" si="0"/>
        <v>1</v>
      </c>
      <c r="Q37">
        <f>IF(AND(P37=1,OR(ISNUMBER(MATCH(H37,{"menace","othering","ridicule","blame","victim"},0)),ISNUMBER(MATCH(J37,{"menace","othering","ridicule","blame","victim"},0)),ISNUMBER(MATCH(L37,{"menace","othering","ridicule","blame","victim"},0)))),1,0)</f>
        <v>1</v>
      </c>
      <c r="R37">
        <f>IF(AND(P37=1,Q37=0,OR(ISNUMBER(MATCH(H37,{"wholesome","heroic"},0)),ISNUMBER(MATCH(J37,{"wholesome","heroic"},0)),ISNUMBER(MATCH(L37,{"wholesome","heroic"},0)))),1,0)</f>
        <v>0</v>
      </c>
      <c r="S37">
        <f t="shared" si="1"/>
        <v>0</v>
      </c>
      <c r="T37">
        <f t="shared" si="2"/>
        <v>0</v>
      </c>
    </row>
    <row r="38" spans="1:20" x14ac:dyDescent="0.25">
      <c r="A38">
        <v>37</v>
      </c>
      <c r="B38">
        <v>986</v>
      </c>
      <c r="C38" t="s">
        <v>14</v>
      </c>
      <c r="D38" t="s">
        <v>523</v>
      </c>
      <c r="E38" s="4">
        <v>45673</v>
      </c>
      <c r="F38" s="6">
        <v>0</v>
      </c>
      <c r="G38" s="6" t="s">
        <v>2991</v>
      </c>
      <c r="H38" s="6" t="s">
        <v>2990</v>
      </c>
      <c r="K38" s="6"/>
      <c r="L38" s="6"/>
      <c r="M38" s="6" t="s">
        <v>3047</v>
      </c>
      <c r="N38" s="6"/>
      <c r="O38" s="6"/>
      <c r="P38">
        <f t="shared" si="0"/>
        <v>1</v>
      </c>
      <c r="Q38">
        <f>IF(AND(P38=1,OR(ISNUMBER(MATCH(H38,{"menace","othering","ridicule","blame","victim"},0)),ISNUMBER(MATCH(J38,{"menace","othering","ridicule","blame","victim"},0)),ISNUMBER(MATCH(L38,{"menace","othering","ridicule","blame","victim"},0)))),1,0)</f>
        <v>0</v>
      </c>
      <c r="R38">
        <f>IF(AND(P38=1,Q38=0,OR(ISNUMBER(MATCH(H38,{"wholesome","heroic"},0)),ISNUMBER(MATCH(J38,{"wholesome","heroic"},0)),ISNUMBER(MATCH(L38,{"wholesome","heroic"},0)))),1,0)</f>
        <v>1</v>
      </c>
      <c r="S38">
        <f t="shared" si="1"/>
        <v>0</v>
      </c>
      <c r="T38">
        <f t="shared" si="2"/>
        <v>0</v>
      </c>
    </row>
    <row r="39" spans="1:20" x14ac:dyDescent="0.25">
      <c r="A39">
        <v>38</v>
      </c>
      <c r="B39">
        <v>989</v>
      </c>
      <c r="C39" t="s">
        <v>14</v>
      </c>
      <c r="D39" t="s">
        <v>523</v>
      </c>
      <c r="E39" s="4">
        <v>45674</v>
      </c>
      <c r="F39" s="6">
        <v>0</v>
      </c>
      <c r="G39" s="6" t="s">
        <v>2991</v>
      </c>
      <c r="H39" s="6" t="s">
        <v>2990</v>
      </c>
      <c r="K39" s="6"/>
      <c r="L39" s="6"/>
      <c r="M39" s="6" t="s">
        <v>3047</v>
      </c>
      <c r="N39" s="6"/>
      <c r="O39" s="6"/>
      <c r="P39">
        <f t="shared" si="0"/>
        <v>1</v>
      </c>
      <c r="Q39">
        <f>IF(AND(P39=1,OR(ISNUMBER(MATCH(H39,{"menace","othering","ridicule","blame","victim"},0)),ISNUMBER(MATCH(J39,{"menace","othering","ridicule","blame","victim"},0)),ISNUMBER(MATCH(L39,{"menace","othering","ridicule","blame","victim"},0)))),1,0)</f>
        <v>0</v>
      </c>
      <c r="R39">
        <f>IF(AND(P39=1,Q39=0,OR(ISNUMBER(MATCH(H39,{"wholesome","heroic"},0)),ISNUMBER(MATCH(J39,{"wholesome","heroic"},0)),ISNUMBER(MATCH(L39,{"wholesome","heroic"},0)))),1,0)</f>
        <v>1</v>
      </c>
      <c r="S39">
        <f t="shared" si="1"/>
        <v>0</v>
      </c>
      <c r="T39">
        <f t="shared" si="2"/>
        <v>0</v>
      </c>
    </row>
    <row r="40" spans="1:20" x14ac:dyDescent="0.25">
      <c r="A40">
        <v>39</v>
      </c>
      <c r="B40">
        <v>993</v>
      </c>
      <c r="C40" t="s">
        <v>14</v>
      </c>
      <c r="D40" t="s">
        <v>523</v>
      </c>
      <c r="E40" s="4">
        <v>45677</v>
      </c>
      <c r="F40" s="6">
        <v>0</v>
      </c>
      <c r="G40" s="6" t="s">
        <v>3000</v>
      </c>
      <c r="H40" s="6" t="s">
        <v>2989</v>
      </c>
      <c r="I40" s="6" t="s">
        <v>2991</v>
      </c>
      <c r="J40" s="6" t="s">
        <v>2992</v>
      </c>
      <c r="K40" s="6"/>
      <c r="L40" s="6"/>
      <c r="M40" s="6" t="s">
        <v>3047</v>
      </c>
      <c r="N40" s="6" t="s">
        <v>3047</v>
      </c>
      <c r="O40" s="6"/>
      <c r="P40">
        <f t="shared" si="0"/>
        <v>1</v>
      </c>
      <c r="Q40">
        <f>IF(AND(P40=1,OR(ISNUMBER(MATCH(H40,{"menace","othering","ridicule","blame","victim"},0)),ISNUMBER(MATCH(J40,{"menace","othering","ridicule","blame","victim"},0)),ISNUMBER(MATCH(L40,{"menace","othering","ridicule","blame","victim"},0)))),1,0)</f>
        <v>1</v>
      </c>
      <c r="R40">
        <f>IF(AND(P40=1,Q40=0,OR(ISNUMBER(MATCH(H40,{"wholesome","heroic"},0)),ISNUMBER(MATCH(J40,{"wholesome","heroic"},0)),ISNUMBER(MATCH(L40,{"wholesome","heroic"},0)))),1,0)</f>
        <v>0</v>
      </c>
      <c r="S40">
        <f t="shared" si="1"/>
        <v>0</v>
      </c>
      <c r="T40">
        <f t="shared" si="2"/>
        <v>0</v>
      </c>
    </row>
    <row r="41" spans="1:20" x14ac:dyDescent="0.25">
      <c r="A41">
        <v>40</v>
      </c>
      <c r="B41">
        <v>995</v>
      </c>
      <c r="C41" t="s">
        <v>14</v>
      </c>
      <c r="D41" t="s">
        <v>523</v>
      </c>
      <c r="E41" s="4">
        <v>45678</v>
      </c>
      <c r="F41" s="6">
        <v>0</v>
      </c>
      <c r="G41" s="6" t="s">
        <v>2986</v>
      </c>
      <c r="H41" s="6" t="s">
        <v>2994</v>
      </c>
      <c r="K41" s="6"/>
      <c r="L41" s="6"/>
      <c r="M41" s="6" t="s">
        <v>3047</v>
      </c>
      <c r="N41" s="6"/>
      <c r="O41" s="6"/>
      <c r="P41">
        <f t="shared" si="0"/>
        <v>1</v>
      </c>
      <c r="Q41">
        <f>IF(AND(P41=1,OR(ISNUMBER(MATCH(H41,{"menace","othering","ridicule","blame","victim"},0)),ISNUMBER(MATCH(J41,{"menace","othering","ridicule","blame","victim"},0)),ISNUMBER(MATCH(L41,{"menace","othering","ridicule","blame","victim"},0)))),1,0)</f>
        <v>0</v>
      </c>
      <c r="R41">
        <f>IF(AND(P41=1,Q41=0,OR(ISNUMBER(MATCH(H41,{"wholesome","heroic"},0)),ISNUMBER(MATCH(J41,{"wholesome","heroic"},0)),ISNUMBER(MATCH(L41,{"wholesome","heroic"},0)))),1,0)</f>
        <v>1</v>
      </c>
      <c r="S41">
        <f t="shared" si="1"/>
        <v>0</v>
      </c>
      <c r="T41">
        <f t="shared" si="2"/>
        <v>0</v>
      </c>
    </row>
    <row r="42" spans="1:20" x14ac:dyDescent="0.25">
      <c r="A42">
        <v>41</v>
      </c>
      <c r="B42">
        <v>996</v>
      </c>
      <c r="C42" t="s">
        <v>14</v>
      </c>
      <c r="D42" t="s">
        <v>523</v>
      </c>
      <c r="E42" s="4">
        <v>45678</v>
      </c>
      <c r="F42" s="6">
        <v>0</v>
      </c>
      <c r="G42" s="6" t="s">
        <v>2991</v>
      </c>
      <c r="H42" s="6" t="s">
        <v>2990</v>
      </c>
      <c r="K42" s="6"/>
      <c r="L42" s="6"/>
      <c r="M42" s="6" t="s">
        <v>3047</v>
      </c>
      <c r="N42" s="6"/>
      <c r="O42" s="6"/>
      <c r="P42">
        <f t="shared" si="0"/>
        <v>1</v>
      </c>
      <c r="Q42">
        <f>IF(AND(P42=1,OR(ISNUMBER(MATCH(H42,{"menace","othering","ridicule","blame","victim"},0)),ISNUMBER(MATCH(J42,{"menace","othering","ridicule","blame","victim"},0)),ISNUMBER(MATCH(L42,{"menace","othering","ridicule","blame","victim"},0)))),1,0)</f>
        <v>0</v>
      </c>
      <c r="R42">
        <f>IF(AND(P42=1,Q42=0,OR(ISNUMBER(MATCH(H42,{"wholesome","heroic"},0)),ISNUMBER(MATCH(J42,{"wholesome","heroic"},0)),ISNUMBER(MATCH(L42,{"wholesome","heroic"},0)))),1,0)</f>
        <v>1</v>
      </c>
      <c r="S42">
        <f t="shared" si="1"/>
        <v>0</v>
      </c>
      <c r="T42">
        <f t="shared" si="2"/>
        <v>0</v>
      </c>
    </row>
    <row r="43" spans="1:20" x14ac:dyDescent="0.25">
      <c r="A43">
        <v>42</v>
      </c>
      <c r="B43">
        <v>1006</v>
      </c>
      <c r="C43" t="s">
        <v>14</v>
      </c>
      <c r="D43" t="s">
        <v>523</v>
      </c>
      <c r="E43" s="4">
        <v>45684</v>
      </c>
      <c r="F43" s="6">
        <v>0</v>
      </c>
      <c r="G43" s="6" t="s">
        <v>2991</v>
      </c>
      <c r="H43" s="6" t="s">
        <v>2990</v>
      </c>
      <c r="K43" s="6"/>
      <c r="L43" s="6"/>
      <c r="M43" s="6" t="s">
        <v>3047</v>
      </c>
      <c r="N43" s="6"/>
      <c r="O43" s="6"/>
      <c r="P43">
        <f t="shared" si="0"/>
        <v>1</v>
      </c>
      <c r="Q43">
        <f>IF(AND(P43=1,OR(ISNUMBER(MATCH(H43,{"menace","othering","ridicule","blame","victim"},0)),ISNUMBER(MATCH(J43,{"menace","othering","ridicule","blame","victim"},0)),ISNUMBER(MATCH(L43,{"menace","othering","ridicule","blame","victim"},0)))),1,0)</f>
        <v>0</v>
      </c>
      <c r="R43">
        <f>IF(AND(P43=1,Q43=0,OR(ISNUMBER(MATCH(H43,{"wholesome","heroic"},0)),ISNUMBER(MATCH(J43,{"wholesome","heroic"},0)),ISNUMBER(MATCH(L43,{"wholesome","heroic"},0)))),1,0)</f>
        <v>1</v>
      </c>
      <c r="S43">
        <f t="shared" si="1"/>
        <v>0</v>
      </c>
      <c r="T43">
        <f t="shared" si="2"/>
        <v>0</v>
      </c>
    </row>
    <row r="44" spans="1:20" x14ac:dyDescent="0.25">
      <c r="A44">
        <v>43</v>
      </c>
      <c r="B44">
        <v>1009</v>
      </c>
      <c r="C44" t="s">
        <v>14</v>
      </c>
      <c r="D44" t="s">
        <v>523</v>
      </c>
      <c r="E44" s="4">
        <v>45686</v>
      </c>
      <c r="F44" s="6">
        <v>0</v>
      </c>
      <c r="G44" s="6" t="s">
        <v>2991</v>
      </c>
      <c r="H44" s="6" t="s">
        <v>2990</v>
      </c>
      <c r="K44" s="6"/>
      <c r="L44" s="6"/>
      <c r="M44" s="6" t="s">
        <v>3047</v>
      </c>
      <c r="N44" s="6"/>
      <c r="O44" s="6"/>
      <c r="P44">
        <f t="shared" si="0"/>
        <v>1</v>
      </c>
      <c r="Q44">
        <f>IF(AND(P44=1,OR(ISNUMBER(MATCH(H44,{"menace","othering","ridicule","blame","victim"},0)),ISNUMBER(MATCH(J44,{"menace","othering","ridicule","blame","victim"},0)),ISNUMBER(MATCH(L44,{"menace","othering","ridicule","blame","victim"},0)))),1,0)</f>
        <v>0</v>
      </c>
      <c r="R44">
        <f>IF(AND(P44=1,Q44=0,OR(ISNUMBER(MATCH(H44,{"wholesome","heroic"},0)),ISNUMBER(MATCH(J44,{"wholesome","heroic"},0)),ISNUMBER(MATCH(L44,{"wholesome","heroic"},0)))),1,0)</f>
        <v>1</v>
      </c>
      <c r="S44">
        <f t="shared" si="1"/>
        <v>0</v>
      </c>
      <c r="T44">
        <f t="shared" si="2"/>
        <v>0</v>
      </c>
    </row>
    <row r="45" spans="1:20" x14ac:dyDescent="0.25">
      <c r="A45">
        <v>44</v>
      </c>
      <c r="B45">
        <v>1010</v>
      </c>
      <c r="C45" t="s">
        <v>14</v>
      </c>
      <c r="D45" t="s">
        <v>523</v>
      </c>
      <c r="E45" s="4">
        <v>45687</v>
      </c>
      <c r="F45" s="6">
        <v>0</v>
      </c>
      <c r="G45" s="6" t="s">
        <v>3000</v>
      </c>
      <c r="H45" s="6" t="s">
        <v>2989</v>
      </c>
      <c r="I45" s="6" t="s">
        <v>2991</v>
      </c>
      <c r="J45" s="6" t="s">
        <v>2989</v>
      </c>
      <c r="K45" s="6"/>
      <c r="L45" s="6"/>
      <c r="M45" s="6" t="s">
        <v>3047</v>
      </c>
      <c r="N45" s="6" t="s">
        <v>3047</v>
      </c>
      <c r="O45" s="6"/>
      <c r="P45">
        <f t="shared" si="0"/>
        <v>1</v>
      </c>
      <c r="Q45">
        <f>IF(AND(P45=1,OR(ISNUMBER(MATCH(H45,{"menace","othering","ridicule","blame","victim"},0)),ISNUMBER(MATCH(J45,{"menace","othering","ridicule","blame","victim"},0)),ISNUMBER(MATCH(L45,{"menace","othering","ridicule","blame","victim"},0)))),1,0)</f>
        <v>0</v>
      </c>
      <c r="R45">
        <f>IF(AND(P45=1,Q45=0,OR(ISNUMBER(MATCH(H45,{"wholesome","heroic"},0)),ISNUMBER(MATCH(J45,{"wholesome","heroic"},0)),ISNUMBER(MATCH(L45,{"wholesome","heroic"},0)))),1,0)</f>
        <v>0</v>
      </c>
      <c r="S45">
        <f t="shared" si="1"/>
        <v>1</v>
      </c>
      <c r="T45">
        <f t="shared" si="2"/>
        <v>0</v>
      </c>
    </row>
    <row r="46" spans="1:20" x14ac:dyDescent="0.25">
      <c r="A46">
        <v>45</v>
      </c>
      <c r="B46">
        <v>1014</v>
      </c>
      <c r="C46" t="s">
        <v>14</v>
      </c>
      <c r="D46" t="s">
        <v>523</v>
      </c>
      <c r="E46" s="4">
        <v>45692</v>
      </c>
      <c r="F46" s="6">
        <v>0</v>
      </c>
      <c r="G46" s="6" t="s">
        <v>2991</v>
      </c>
      <c r="H46" s="6" t="s">
        <v>2989</v>
      </c>
      <c r="K46" s="6"/>
      <c r="L46" s="6"/>
      <c r="M46" s="6" t="s">
        <v>3047</v>
      </c>
      <c r="N46" s="6"/>
      <c r="O46" s="6"/>
      <c r="P46">
        <f t="shared" si="0"/>
        <v>1</v>
      </c>
      <c r="Q46">
        <f>IF(AND(P46=1,OR(ISNUMBER(MATCH(H46,{"menace","othering","ridicule","blame","victim"},0)),ISNUMBER(MATCH(J46,{"menace","othering","ridicule","blame","victim"},0)),ISNUMBER(MATCH(L46,{"menace","othering","ridicule","blame","victim"},0)))),1,0)</f>
        <v>0</v>
      </c>
      <c r="R46">
        <f>IF(AND(P46=1,Q46=0,OR(ISNUMBER(MATCH(H46,{"wholesome","heroic"},0)),ISNUMBER(MATCH(J46,{"wholesome","heroic"},0)),ISNUMBER(MATCH(L46,{"wholesome","heroic"},0)))),1,0)</f>
        <v>0</v>
      </c>
      <c r="S46">
        <f t="shared" si="1"/>
        <v>1</v>
      </c>
      <c r="T46">
        <f t="shared" si="2"/>
        <v>0</v>
      </c>
    </row>
    <row r="47" spans="1:20" x14ac:dyDescent="0.25">
      <c r="A47">
        <v>46</v>
      </c>
      <c r="B47">
        <v>1016</v>
      </c>
      <c r="C47" t="s">
        <v>14</v>
      </c>
      <c r="D47" t="s">
        <v>523</v>
      </c>
      <c r="E47" s="4">
        <v>45693</v>
      </c>
      <c r="F47" s="6">
        <v>0</v>
      </c>
      <c r="G47" s="6" t="s">
        <v>2991</v>
      </c>
      <c r="H47" s="6" t="s">
        <v>2989</v>
      </c>
      <c r="I47" s="6"/>
      <c r="J47" s="6"/>
      <c r="K47" s="6"/>
      <c r="L47" s="6"/>
      <c r="M47" s="6" t="s">
        <v>3047</v>
      </c>
      <c r="N47" s="6"/>
      <c r="O47" s="6"/>
      <c r="P47">
        <f t="shared" si="0"/>
        <v>1</v>
      </c>
      <c r="Q47">
        <f>IF(AND(P47=1,OR(ISNUMBER(MATCH(H47,{"menace","othering","ridicule","blame","victim"},0)),ISNUMBER(MATCH(J47,{"menace","othering","ridicule","blame","victim"},0)),ISNUMBER(MATCH(L47,{"menace","othering","ridicule","blame","victim"},0)))),1,0)</f>
        <v>0</v>
      </c>
      <c r="R47">
        <f>IF(AND(P47=1,Q47=0,OR(ISNUMBER(MATCH(H47,{"wholesome","heroic"},0)),ISNUMBER(MATCH(J47,{"wholesome","heroic"},0)),ISNUMBER(MATCH(L47,{"wholesome","heroic"},0)))),1,0)</f>
        <v>0</v>
      </c>
      <c r="S47">
        <f t="shared" si="1"/>
        <v>1</v>
      </c>
      <c r="T47">
        <f t="shared" si="2"/>
        <v>0</v>
      </c>
    </row>
    <row r="48" spans="1:20" x14ac:dyDescent="0.25">
      <c r="A48">
        <v>47</v>
      </c>
      <c r="B48">
        <v>1017</v>
      </c>
      <c r="C48" t="s">
        <v>14</v>
      </c>
      <c r="D48" t="s">
        <v>523</v>
      </c>
      <c r="E48" s="4">
        <v>45694</v>
      </c>
      <c r="F48" s="6">
        <v>0</v>
      </c>
      <c r="G48" s="6" t="s">
        <v>2991</v>
      </c>
      <c r="H48" s="6" t="s">
        <v>2996</v>
      </c>
      <c r="I48" s="6" t="s">
        <v>2997</v>
      </c>
      <c r="J48" s="6" t="s">
        <v>2993</v>
      </c>
      <c r="K48" s="6"/>
      <c r="L48" s="6"/>
      <c r="M48" s="6" t="s">
        <v>3047</v>
      </c>
      <c r="N48" s="6" t="s">
        <v>3047</v>
      </c>
      <c r="O48" s="6"/>
      <c r="P48">
        <f t="shared" si="0"/>
        <v>1</v>
      </c>
      <c r="Q48">
        <f>IF(AND(P48=1,OR(ISNUMBER(MATCH(H48,{"menace","othering","ridicule","blame","victim"},0)),ISNUMBER(MATCH(J48,{"menace","othering","ridicule","blame","victim"},0)),ISNUMBER(MATCH(L48,{"menace","othering","ridicule","blame","victim"},0)))),1,0)</f>
        <v>1</v>
      </c>
      <c r="R48">
        <f>IF(AND(P48=1,Q48=0,OR(ISNUMBER(MATCH(H48,{"wholesome","heroic"},0)),ISNUMBER(MATCH(J48,{"wholesome","heroic"},0)),ISNUMBER(MATCH(L48,{"wholesome","heroic"},0)))),1,0)</f>
        <v>0</v>
      </c>
      <c r="S48">
        <f t="shared" si="1"/>
        <v>0</v>
      </c>
      <c r="T48">
        <f t="shared" si="2"/>
        <v>0</v>
      </c>
    </row>
    <row r="49" spans="1:20" x14ac:dyDescent="0.25">
      <c r="A49">
        <v>48</v>
      </c>
      <c r="B49">
        <v>1019</v>
      </c>
      <c r="C49" t="s">
        <v>14</v>
      </c>
      <c r="D49" t="s">
        <v>523</v>
      </c>
      <c r="E49" s="4">
        <v>45694</v>
      </c>
      <c r="F49" s="6">
        <v>0</v>
      </c>
      <c r="G49" s="6" t="s">
        <v>2986</v>
      </c>
      <c r="H49" s="6" t="s">
        <v>2996</v>
      </c>
      <c r="K49" s="6"/>
      <c r="L49" s="6"/>
      <c r="M49" s="6" t="s">
        <v>3046</v>
      </c>
      <c r="N49" s="6"/>
      <c r="O49" s="6"/>
      <c r="P49">
        <f t="shared" si="0"/>
        <v>1</v>
      </c>
      <c r="Q49">
        <f>IF(AND(P49=1,OR(ISNUMBER(MATCH(H49,{"menace","othering","ridicule","blame","victim"},0)),ISNUMBER(MATCH(J49,{"menace","othering","ridicule","blame","victim"},0)),ISNUMBER(MATCH(L49,{"menace","othering","ridicule","blame","victim"},0)))),1,0)</f>
        <v>1</v>
      </c>
      <c r="R49">
        <f>IF(AND(P49=1,Q49=0,OR(ISNUMBER(MATCH(H49,{"wholesome","heroic"},0)),ISNUMBER(MATCH(J49,{"wholesome","heroic"},0)),ISNUMBER(MATCH(L49,{"wholesome","heroic"},0)))),1,0)</f>
        <v>0</v>
      </c>
      <c r="S49">
        <f t="shared" si="1"/>
        <v>0</v>
      </c>
      <c r="T49">
        <f t="shared" si="2"/>
        <v>0</v>
      </c>
    </row>
    <row r="50" spans="1:20" x14ac:dyDescent="0.25">
      <c r="A50">
        <v>49</v>
      </c>
      <c r="B50">
        <v>1020</v>
      </c>
      <c r="C50" t="s">
        <v>14</v>
      </c>
      <c r="D50" t="s">
        <v>523</v>
      </c>
      <c r="E50" s="4">
        <v>45694</v>
      </c>
      <c r="F50" s="6">
        <v>0</v>
      </c>
      <c r="G50" s="6" t="s">
        <v>2986</v>
      </c>
      <c r="H50" s="6" t="s">
        <v>2989</v>
      </c>
      <c r="I50" s="6" t="s">
        <v>2995</v>
      </c>
      <c r="J50" s="6" t="s">
        <v>2994</v>
      </c>
      <c r="K50" s="6" t="s">
        <v>2988</v>
      </c>
      <c r="L50" s="6" t="s">
        <v>2990</v>
      </c>
      <c r="M50" s="6" t="s">
        <v>3047</v>
      </c>
      <c r="N50" s="6" t="s">
        <v>3046</v>
      </c>
      <c r="O50" s="6" t="s">
        <v>3046</v>
      </c>
      <c r="P50">
        <f t="shared" si="0"/>
        <v>1</v>
      </c>
      <c r="Q50">
        <f>IF(AND(P50=1,OR(ISNUMBER(MATCH(H50,{"menace","othering","ridicule","blame","victim"},0)),ISNUMBER(MATCH(J50,{"menace","othering","ridicule","blame","victim"},0)),ISNUMBER(MATCH(L50,{"menace","othering","ridicule","blame","victim"},0)))),1,0)</f>
        <v>0</v>
      </c>
      <c r="R50">
        <f>IF(AND(P50=1,Q50=0,OR(ISNUMBER(MATCH(H50,{"wholesome","heroic"},0)),ISNUMBER(MATCH(J50,{"wholesome","heroic"},0)),ISNUMBER(MATCH(L50,{"wholesome","heroic"},0)))),1,0)</f>
        <v>1</v>
      </c>
      <c r="S50">
        <f t="shared" si="1"/>
        <v>0</v>
      </c>
      <c r="T50">
        <f t="shared" si="2"/>
        <v>1</v>
      </c>
    </row>
    <row r="51" spans="1:20" x14ac:dyDescent="0.25">
      <c r="A51">
        <v>50</v>
      </c>
      <c r="B51">
        <v>1024</v>
      </c>
      <c r="C51" t="s">
        <v>14</v>
      </c>
      <c r="D51" t="s">
        <v>523</v>
      </c>
      <c r="E51" s="4">
        <v>45695</v>
      </c>
      <c r="F51" s="6">
        <v>0</v>
      </c>
      <c r="G51" s="6" t="s">
        <v>2991</v>
      </c>
      <c r="H51" s="6" t="s">
        <v>2990</v>
      </c>
      <c r="K51" s="6"/>
      <c r="L51" s="6"/>
      <c r="M51" s="6" t="s">
        <v>3047</v>
      </c>
      <c r="N51" s="6"/>
      <c r="O51" s="6"/>
      <c r="P51">
        <f t="shared" si="0"/>
        <v>1</v>
      </c>
      <c r="Q51">
        <f>IF(AND(P51=1,OR(ISNUMBER(MATCH(H51,{"menace","othering","ridicule","blame","victim"},0)),ISNUMBER(MATCH(J51,{"menace","othering","ridicule","blame","victim"},0)),ISNUMBER(MATCH(L51,{"menace","othering","ridicule","blame","victim"},0)))),1,0)</f>
        <v>0</v>
      </c>
      <c r="R51">
        <f>IF(AND(P51=1,Q51=0,OR(ISNUMBER(MATCH(H51,{"wholesome","heroic"},0)),ISNUMBER(MATCH(J51,{"wholesome","heroic"},0)),ISNUMBER(MATCH(L51,{"wholesome","heroic"},0)))),1,0)</f>
        <v>1</v>
      </c>
      <c r="S51">
        <f t="shared" si="1"/>
        <v>0</v>
      </c>
      <c r="T51">
        <f t="shared" si="2"/>
        <v>0</v>
      </c>
    </row>
    <row r="52" spans="1:20" x14ac:dyDescent="0.25">
      <c r="A52">
        <v>51</v>
      </c>
      <c r="B52">
        <v>1026</v>
      </c>
      <c r="C52" t="s">
        <v>14</v>
      </c>
      <c r="D52" t="s">
        <v>523</v>
      </c>
      <c r="E52" s="4">
        <v>45697</v>
      </c>
      <c r="F52" s="6">
        <v>0</v>
      </c>
      <c r="G52" s="6" t="s">
        <v>2991</v>
      </c>
      <c r="H52" s="6" t="s">
        <v>2990</v>
      </c>
      <c r="K52" s="6"/>
      <c r="L52" s="6"/>
      <c r="M52" s="6" t="s">
        <v>3047</v>
      </c>
      <c r="N52" s="6"/>
      <c r="O52" s="6"/>
      <c r="P52">
        <f t="shared" si="0"/>
        <v>1</v>
      </c>
      <c r="Q52">
        <f>IF(AND(P52=1,OR(ISNUMBER(MATCH(H52,{"menace","othering","ridicule","blame","victim"},0)),ISNUMBER(MATCH(J52,{"menace","othering","ridicule","blame","victim"},0)),ISNUMBER(MATCH(L52,{"menace","othering","ridicule","blame","victim"},0)))),1,0)</f>
        <v>0</v>
      </c>
      <c r="R52">
        <f>IF(AND(P52=1,Q52=0,OR(ISNUMBER(MATCH(H52,{"wholesome","heroic"},0)),ISNUMBER(MATCH(J52,{"wholesome","heroic"},0)),ISNUMBER(MATCH(L52,{"wholesome","heroic"},0)))),1,0)</f>
        <v>1</v>
      </c>
      <c r="S52">
        <f t="shared" si="1"/>
        <v>0</v>
      </c>
      <c r="T52">
        <f t="shared" si="2"/>
        <v>0</v>
      </c>
    </row>
    <row r="53" spans="1:20" x14ac:dyDescent="0.25">
      <c r="A53">
        <v>52</v>
      </c>
      <c r="B53">
        <v>1030</v>
      </c>
      <c r="C53" t="s">
        <v>14</v>
      </c>
      <c r="D53" t="s">
        <v>523</v>
      </c>
      <c r="E53" s="4">
        <v>45700</v>
      </c>
      <c r="F53" s="6">
        <v>0</v>
      </c>
      <c r="G53" s="6" t="s">
        <v>2991</v>
      </c>
      <c r="H53" s="6" t="s">
        <v>2990</v>
      </c>
      <c r="K53" s="6"/>
      <c r="L53" s="6"/>
      <c r="M53" s="6" t="s">
        <v>3047</v>
      </c>
      <c r="N53" s="6"/>
      <c r="O53" s="6"/>
      <c r="P53">
        <f t="shared" si="0"/>
        <v>1</v>
      </c>
      <c r="Q53">
        <f>IF(AND(P53=1,OR(ISNUMBER(MATCH(H53,{"menace","othering","ridicule","blame","victim"},0)),ISNUMBER(MATCH(J53,{"menace","othering","ridicule","blame","victim"},0)),ISNUMBER(MATCH(L53,{"menace","othering","ridicule","blame","victim"},0)))),1,0)</f>
        <v>0</v>
      </c>
      <c r="R53">
        <f>IF(AND(P53=1,Q53=0,OR(ISNUMBER(MATCH(H53,{"wholesome","heroic"},0)),ISNUMBER(MATCH(J53,{"wholesome","heroic"},0)),ISNUMBER(MATCH(L53,{"wholesome","heroic"},0)))),1,0)</f>
        <v>1</v>
      </c>
      <c r="S53">
        <f t="shared" si="1"/>
        <v>0</v>
      </c>
      <c r="T53">
        <f t="shared" si="2"/>
        <v>0</v>
      </c>
    </row>
    <row r="54" spans="1:20" x14ac:dyDescent="0.25">
      <c r="A54">
        <v>53</v>
      </c>
      <c r="B54">
        <v>1033</v>
      </c>
      <c r="C54" t="s">
        <v>14</v>
      </c>
      <c r="D54" t="s">
        <v>523</v>
      </c>
      <c r="E54" s="4">
        <v>45701</v>
      </c>
      <c r="F54" s="6">
        <v>0</v>
      </c>
      <c r="G54" s="6" t="s">
        <v>2991</v>
      </c>
      <c r="H54" s="6" t="s">
        <v>2990</v>
      </c>
      <c r="K54" s="6"/>
      <c r="L54" s="6"/>
      <c r="M54" s="6" t="s">
        <v>3047</v>
      </c>
      <c r="N54" s="6"/>
      <c r="O54" s="6"/>
      <c r="P54">
        <f t="shared" si="0"/>
        <v>1</v>
      </c>
      <c r="Q54">
        <f>IF(AND(P54=1,OR(ISNUMBER(MATCH(H54,{"menace","othering","ridicule","blame","victim"},0)),ISNUMBER(MATCH(J54,{"menace","othering","ridicule","blame","victim"},0)),ISNUMBER(MATCH(L54,{"menace","othering","ridicule","blame","victim"},0)))),1,0)</f>
        <v>0</v>
      </c>
      <c r="R54">
        <f>IF(AND(P54=1,Q54=0,OR(ISNUMBER(MATCH(H54,{"wholesome","heroic"},0)),ISNUMBER(MATCH(J54,{"wholesome","heroic"},0)),ISNUMBER(MATCH(L54,{"wholesome","heroic"},0)))),1,0)</f>
        <v>1</v>
      </c>
      <c r="S54">
        <f t="shared" si="1"/>
        <v>0</v>
      </c>
      <c r="T54">
        <f t="shared" si="2"/>
        <v>0</v>
      </c>
    </row>
    <row r="55" spans="1:20" x14ac:dyDescent="0.25">
      <c r="A55">
        <v>54</v>
      </c>
      <c r="B55">
        <v>1036</v>
      </c>
      <c r="C55" t="s">
        <v>14</v>
      </c>
      <c r="D55" t="s">
        <v>523</v>
      </c>
      <c r="E55" s="4">
        <v>45703</v>
      </c>
      <c r="F55" s="6">
        <v>0</v>
      </c>
      <c r="G55" s="6" t="s">
        <v>2991</v>
      </c>
      <c r="H55" s="6" t="s">
        <v>2990</v>
      </c>
      <c r="K55" s="6"/>
      <c r="L55" s="6"/>
      <c r="M55" s="6" t="s">
        <v>3047</v>
      </c>
      <c r="N55" s="6"/>
      <c r="O55" s="6"/>
      <c r="P55">
        <f t="shared" si="0"/>
        <v>1</v>
      </c>
      <c r="Q55">
        <f>IF(AND(P55=1,OR(ISNUMBER(MATCH(H55,{"menace","othering","ridicule","blame","victim"},0)),ISNUMBER(MATCH(J55,{"menace","othering","ridicule","blame","victim"},0)),ISNUMBER(MATCH(L55,{"menace","othering","ridicule","blame","victim"},0)))),1,0)</f>
        <v>0</v>
      </c>
      <c r="R55">
        <f>IF(AND(P55=1,Q55=0,OR(ISNUMBER(MATCH(H55,{"wholesome","heroic"},0)),ISNUMBER(MATCH(J55,{"wholesome","heroic"},0)),ISNUMBER(MATCH(L55,{"wholesome","heroic"},0)))),1,0)</f>
        <v>1</v>
      </c>
      <c r="S55">
        <f t="shared" si="1"/>
        <v>0</v>
      </c>
      <c r="T55">
        <f t="shared" si="2"/>
        <v>0</v>
      </c>
    </row>
    <row r="56" spans="1:20" x14ac:dyDescent="0.25">
      <c r="A56">
        <v>55</v>
      </c>
      <c r="B56">
        <v>1037</v>
      </c>
      <c r="C56" t="s">
        <v>14</v>
      </c>
      <c r="D56" t="s">
        <v>523</v>
      </c>
      <c r="E56" s="4">
        <v>45704</v>
      </c>
      <c r="F56" s="6">
        <v>0</v>
      </c>
      <c r="G56" s="6" t="s">
        <v>2991</v>
      </c>
      <c r="H56" s="6" t="s">
        <v>2990</v>
      </c>
      <c r="K56" s="6"/>
      <c r="L56" s="6"/>
      <c r="M56" s="6" t="s">
        <v>3047</v>
      </c>
      <c r="N56" s="6"/>
      <c r="O56" s="6"/>
      <c r="P56">
        <f t="shared" si="0"/>
        <v>1</v>
      </c>
      <c r="Q56">
        <f>IF(AND(P56=1,OR(ISNUMBER(MATCH(H56,{"menace","othering","ridicule","blame","victim"},0)),ISNUMBER(MATCH(J56,{"menace","othering","ridicule","blame","victim"},0)),ISNUMBER(MATCH(L56,{"menace","othering","ridicule","blame","victim"},0)))),1,0)</f>
        <v>0</v>
      </c>
      <c r="R56">
        <f>IF(AND(P56=1,Q56=0,OR(ISNUMBER(MATCH(H56,{"wholesome","heroic"},0)),ISNUMBER(MATCH(J56,{"wholesome","heroic"},0)),ISNUMBER(MATCH(L56,{"wholesome","heroic"},0)))),1,0)</f>
        <v>1</v>
      </c>
      <c r="S56">
        <f t="shared" si="1"/>
        <v>0</v>
      </c>
      <c r="T56">
        <f t="shared" si="2"/>
        <v>0</v>
      </c>
    </row>
    <row r="57" spans="1:20" x14ac:dyDescent="0.25">
      <c r="A57">
        <v>56</v>
      </c>
      <c r="B57">
        <v>1042</v>
      </c>
      <c r="C57" t="s">
        <v>14</v>
      </c>
      <c r="D57" t="s">
        <v>523</v>
      </c>
      <c r="E57" s="4">
        <v>45706</v>
      </c>
      <c r="F57" s="6">
        <v>0</v>
      </c>
      <c r="G57" s="6" t="s">
        <v>2991</v>
      </c>
      <c r="H57" s="6" t="s">
        <v>2990</v>
      </c>
      <c r="K57" s="6"/>
      <c r="L57" s="6"/>
      <c r="M57" s="6" t="s">
        <v>3047</v>
      </c>
      <c r="N57" s="6"/>
      <c r="O57" s="6"/>
      <c r="P57">
        <f t="shared" si="0"/>
        <v>1</v>
      </c>
      <c r="Q57">
        <f>IF(AND(P57=1,OR(ISNUMBER(MATCH(H57,{"menace","othering","ridicule","blame","victim"},0)),ISNUMBER(MATCH(J57,{"menace","othering","ridicule","blame","victim"},0)),ISNUMBER(MATCH(L57,{"menace","othering","ridicule","blame","victim"},0)))),1,0)</f>
        <v>0</v>
      </c>
      <c r="R57">
        <f>IF(AND(P57=1,Q57=0,OR(ISNUMBER(MATCH(H57,{"wholesome","heroic"},0)),ISNUMBER(MATCH(J57,{"wholesome","heroic"},0)),ISNUMBER(MATCH(L57,{"wholesome","heroic"},0)))),1,0)</f>
        <v>1</v>
      </c>
      <c r="S57">
        <f t="shared" si="1"/>
        <v>0</v>
      </c>
      <c r="T57">
        <f t="shared" si="2"/>
        <v>0</v>
      </c>
    </row>
    <row r="58" spans="1:20" x14ac:dyDescent="0.25">
      <c r="A58">
        <v>57</v>
      </c>
      <c r="B58">
        <v>1043</v>
      </c>
      <c r="C58" t="s">
        <v>14</v>
      </c>
      <c r="D58" t="s">
        <v>523</v>
      </c>
      <c r="E58" s="4">
        <v>45707</v>
      </c>
      <c r="F58" s="6">
        <v>0</v>
      </c>
      <c r="G58" s="6" t="s">
        <v>2988</v>
      </c>
      <c r="H58" s="6" t="s">
        <v>2987</v>
      </c>
      <c r="K58" s="6"/>
      <c r="L58" s="6"/>
      <c r="M58" s="6" t="s">
        <v>3047</v>
      </c>
      <c r="N58" s="6"/>
      <c r="O58" s="6"/>
      <c r="P58">
        <f t="shared" si="0"/>
        <v>1</v>
      </c>
      <c r="Q58">
        <f>IF(AND(P58=1,OR(ISNUMBER(MATCH(H58,{"menace","othering","ridicule","blame","victim"},0)),ISNUMBER(MATCH(J58,{"menace","othering","ridicule","blame","victim"},0)),ISNUMBER(MATCH(L58,{"menace","othering","ridicule","blame","victim"},0)))),1,0)</f>
        <v>1</v>
      </c>
      <c r="R58">
        <f>IF(AND(P58=1,Q58=0,OR(ISNUMBER(MATCH(H58,{"wholesome","heroic"},0)),ISNUMBER(MATCH(J58,{"wholesome","heroic"},0)),ISNUMBER(MATCH(L58,{"wholesome","heroic"},0)))),1,0)</f>
        <v>0</v>
      </c>
      <c r="S58">
        <f t="shared" si="1"/>
        <v>0</v>
      </c>
      <c r="T58">
        <f t="shared" si="2"/>
        <v>0</v>
      </c>
    </row>
    <row r="59" spans="1:20" x14ac:dyDescent="0.25">
      <c r="A59">
        <v>58</v>
      </c>
      <c r="B59">
        <v>1050</v>
      </c>
      <c r="C59" t="s">
        <v>14</v>
      </c>
      <c r="D59" t="s">
        <v>523</v>
      </c>
      <c r="E59" s="4">
        <v>45709</v>
      </c>
      <c r="F59" s="6">
        <v>0</v>
      </c>
      <c r="G59" s="6" t="s">
        <v>2991</v>
      </c>
      <c r="H59" s="6" t="s">
        <v>2989</v>
      </c>
      <c r="K59" s="6"/>
      <c r="L59" s="6"/>
      <c r="M59" s="6" t="s">
        <v>3047</v>
      </c>
      <c r="N59" s="6"/>
      <c r="O59" s="6"/>
      <c r="P59">
        <f t="shared" si="0"/>
        <v>1</v>
      </c>
      <c r="Q59">
        <f>IF(AND(P59=1,OR(ISNUMBER(MATCH(H59,{"menace","othering","ridicule","blame","victim"},0)),ISNUMBER(MATCH(J59,{"menace","othering","ridicule","blame","victim"},0)),ISNUMBER(MATCH(L59,{"menace","othering","ridicule","blame","victim"},0)))),1,0)</f>
        <v>0</v>
      </c>
      <c r="R59">
        <f>IF(AND(P59=1,Q59=0,OR(ISNUMBER(MATCH(H59,{"wholesome","heroic"},0)),ISNUMBER(MATCH(J59,{"wholesome","heroic"},0)),ISNUMBER(MATCH(L59,{"wholesome","heroic"},0)))),1,0)</f>
        <v>0</v>
      </c>
      <c r="S59">
        <f t="shared" si="1"/>
        <v>1</v>
      </c>
      <c r="T59">
        <f t="shared" si="2"/>
        <v>0</v>
      </c>
    </row>
    <row r="60" spans="1:20" x14ac:dyDescent="0.25">
      <c r="A60">
        <v>59</v>
      </c>
      <c r="B60">
        <v>1051</v>
      </c>
      <c r="C60" t="s">
        <v>14</v>
      </c>
      <c r="D60" t="s">
        <v>523</v>
      </c>
      <c r="E60" s="4">
        <v>45710</v>
      </c>
      <c r="F60" s="6">
        <v>0</v>
      </c>
      <c r="G60" s="6" t="s">
        <v>2991</v>
      </c>
      <c r="H60" s="6" t="s">
        <v>2990</v>
      </c>
      <c r="K60" s="6"/>
      <c r="L60" s="6"/>
      <c r="M60" s="6" t="s">
        <v>3047</v>
      </c>
      <c r="N60" s="6"/>
      <c r="O60" s="6"/>
      <c r="P60">
        <f t="shared" si="0"/>
        <v>1</v>
      </c>
      <c r="Q60">
        <f>IF(AND(P60=1,OR(ISNUMBER(MATCH(H60,{"menace","othering","ridicule","blame","victim"},0)),ISNUMBER(MATCH(J60,{"menace","othering","ridicule","blame","victim"},0)),ISNUMBER(MATCH(L60,{"menace","othering","ridicule","blame","victim"},0)))),1,0)</f>
        <v>0</v>
      </c>
      <c r="R60">
        <f>IF(AND(P60=1,Q60=0,OR(ISNUMBER(MATCH(H60,{"wholesome","heroic"},0)),ISNUMBER(MATCH(J60,{"wholesome","heroic"},0)),ISNUMBER(MATCH(L60,{"wholesome","heroic"},0)))),1,0)</f>
        <v>1</v>
      </c>
      <c r="S60">
        <f t="shared" si="1"/>
        <v>0</v>
      </c>
      <c r="T60">
        <f t="shared" si="2"/>
        <v>0</v>
      </c>
    </row>
    <row r="61" spans="1:20" x14ac:dyDescent="0.25">
      <c r="A61">
        <v>60</v>
      </c>
      <c r="B61">
        <v>1071</v>
      </c>
      <c r="C61" t="s">
        <v>16</v>
      </c>
      <c r="D61" t="s">
        <v>523</v>
      </c>
      <c r="E61" s="4">
        <v>45627</v>
      </c>
      <c r="F61" s="6">
        <v>1</v>
      </c>
      <c r="P61">
        <f t="shared" si="0"/>
        <v>0</v>
      </c>
      <c r="Q61">
        <f>IF(AND(P61=1,OR(ISNUMBER(MATCH(H61,{"menace","othering","ridicule","blame","victim"},0)),ISNUMBER(MATCH(J61,{"menace","othering","ridicule","blame","victim"},0)),ISNUMBER(MATCH(L61,{"menace","othering","ridicule","blame","victim"},0)))),1,0)</f>
        <v>0</v>
      </c>
      <c r="R61">
        <f>IF(AND(P61=1,Q61=0,OR(ISNUMBER(MATCH(H61,{"wholesome","heroic"},0)),ISNUMBER(MATCH(J61,{"wholesome","heroic"},0)),ISNUMBER(MATCH(L61,{"wholesome","heroic"},0)))),1,0)</f>
        <v>0</v>
      </c>
      <c r="S61">
        <f t="shared" si="1"/>
        <v>0</v>
      </c>
      <c r="T61">
        <f t="shared" si="2"/>
        <v>0</v>
      </c>
    </row>
    <row r="62" spans="1:20" x14ac:dyDescent="0.25">
      <c r="A62">
        <v>61</v>
      </c>
      <c r="B62">
        <v>1073</v>
      </c>
      <c r="C62" t="s">
        <v>16</v>
      </c>
      <c r="D62" t="s">
        <v>523</v>
      </c>
      <c r="E62" s="4">
        <v>45628</v>
      </c>
      <c r="F62" s="6">
        <v>1</v>
      </c>
      <c r="P62">
        <f t="shared" si="0"/>
        <v>0</v>
      </c>
      <c r="Q62">
        <f>IF(AND(P62=1,OR(ISNUMBER(MATCH(H62,{"menace","othering","ridicule","blame","victim"},0)),ISNUMBER(MATCH(J62,{"menace","othering","ridicule","blame","victim"},0)),ISNUMBER(MATCH(L62,{"menace","othering","ridicule","blame","victim"},0)))),1,0)</f>
        <v>0</v>
      </c>
      <c r="R62">
        <f>IF(AND(P62=1,Q62=0,OR(ISNUMBER(MATCH(H62,{"wholesome","heroic"},0)),ISNUMBER(MATCH(J62,{"wholesome","heroic"},0)),ISNUMBER(MATCH(L62,{"wholesome","heroic"},0)))),1,0)</f>
        <v>0</v>
      </c>
      <c r="S62">
        <f t="shared" si="1"/>
        <v>0</v>
      </c>
      <c r="T62">
        <f t="shared" si="2"/>
        <v>0</v>
      </c>
    </row>
    <row r="63" spans="1:20" x14ac:dyDescent="0.25">
      <c r="A63">
        <v>62</v>
      </c>
      <c r="B63">
        <v>1074</v>
      </c>
      <c r="C63" t="s">
        <v>16</v>
      </c>
      <c r="D63" t="s">
        <v>523</v>
      </c>
      <c r="E63" s="4">
        <v>45629</v>
      </c>
      <c r="F63" s="6">
        <v>1</v>
      </c>
      <c r="P63">
        <f t="shared" si="0"/>
        <v>0</v>
      </c>
      <c r="Q63">
        <f>IF(AND(P63=1,OR(ISNUMBER(MATCH(H63,{"menace","othering","ridicule","blame","victim"},0)),ISNUMBER(MATCH(J63,{"menace","othering","ridicule","blame","victim"},0)),ISNUMBER(MATCH(L63,{"menace","othering","ridicule","blame","victim"},0)))),1,0)</f>
        <v>0</v>
      </c>
      <c r="R63">
        <f>IF(AND(P63=1,Q63=0,OR(ISNUMBER(MATCH(H63,{"wholesome","heroic"},0)),ISNUMBER(MATCH(J63,{"wholesome","heroic"},0)),ISNUMBER(MATCH(L63,{"wholesome","heroic"},0)))),1,0)</f>
        <v>0</v>
      </c>
      <c r="S63">
        <f t="shared" si="1"/>
        <v>0</v>
      </c>
      <c r="T63">
        <f t="shared" si="2"/>
        <v>0</v>
      </c>
    </row>
    <row r="64" spans="1:20" x14ac:dyDescent="0.25">
      <c r="A64">
        <v>63</v>
      </c>
      <c r="B64">
        <v>1076</v>
      </c>
      <c r="C64" t="s">
        <v>16</v>
      </c>
      <c r="D64" t="s">
        <v>523</v>
      </c>
      <c r="E64" s="4">
        <v>45630</v>
      </c>
      <c r="F64" s="6">
        <v>1</v>
      </c>
      <c r="P64">
        <f t="shared" si="0"/>
        <v>0</v>
      </c>
      <c r="Q64">
        <f>IF(AND(P64=1,OR(ISNUMBER(MATCH(H64,{"menace","othering","ridicule","blame","victim"},0)),ISNUMBER(MATCH(J64,{"menace","othering","ridicule","blame","victim"},0)),ISNUMBER(MATCH(L64,{"menace","othering","ridicule","blame","victim"},0)))),1,0)</f>
        <v>0</v>
      </c>
      <c r="R64">
        <f>IF(AND(P64=1,Q64=0,OR(ISNUMBER(MATCH(H64,{"wholesome","heroic"},0)),ISNUMBER(MATCH(J64,{"wholesome","heroic"},0)),ISNUMBER(MATCH(L64,{"wholesome","heroic"},0)))),1,0)</f>
        <v>0</v>
      </c>
      <c r="S64">
        <f t="shared" si="1"/>
        <v>0</v>
      </c>
      <c r="T64">
        <f t="shared" si="2"/>
        <v>0</v>
      </c>
    </row>
    <row r="65" spans="1:20" x14ac:dyDescent="0.25">
      <c r="A65">
        <v>64</v>
      </c>
      <c r="B65">
        <v>1077</v>
      </c>
      <c r="C65" t="s">
        <v>16</v>
      </c>
      <c r="D65" t="s">
        <v>523</v>
      </c>
      <c r="E65" s="4">
        <v>45631</v>
      </c>
      <c r="F65" s="6">
        <v>1</v>
      </c>
      <c r="P65">
        <f t="shared" si="0"/>
        <v>0</v>
      </c>
      <c r="Q65">
        <f>IF(AND(P65=1,OR(ISNUMBER(MATCH(H65,{"menace","othering","ridicule","blame","victim"},0)),ISNUMBER(MATCH(J65,{"menace","othering","ridicule","blame","victim"},0)),ISNUMBER(MATCH(L65,{"menace","othering","ridicule","blame","victim"},0)))),1,0)</f>
        <v>0</v>
      </c>
      <c r="R65">
        <f>IF(AND(P65=1,Q65=0,OR(ISNUMBER(MATCH(H65,{"wholesome","heroic"},0)),ISNUMBER(MATCH(J65,{"wholesome","heroic"},0)),ISNUMBER(MATCH(L65,{"wholesome","heroic"},0)))),1,0)</f>
        <v>0</v>
      </c>
      <c r="S65">
        <f t="shared" si="1"/>
        <v>0</v>
      </c>
      <c r="T65">
        <f t="shared" si="2"/>
        <v>0</v>
      </c>
    </row>
    <row r="66" spans="1:20" x14ac:dyDescent="0.25">
      <c r="A66">
        <v>65</v>
      </c>
      <c r="B66">
        <v>1080</v>
      </c>
      <c r="C66" t="s">
        <v>16</v>
      </c>
      <c r="D66" t="s">
        <v>523</v>
      </c>
      <c r="E66" s="4">
        <v>45632</v>
      </c>
      <c r="F66" s="6">
        <v>1</v>
      </c>
      <c r="P66">
        <f t="shared" ref="P66:P129" si="3">IF(F66=0,1,0)</f>
        <v>0</v>
      </c>
      <c r="Q66">
        <f>IF(AND(P66=1,OR(ISNUMBER(MATCH(H66,{"menace","othering","ridicule","blame","victim"},0)),ISNUMBER(MATCH(J66,{"menace","othering","ridicule","blame","victim"},0)),ISNUMBER(MATCH(L66,{"menace","othering","ridicule","blame","victim"},0)))),1,0)</f>
        <v>0</v>
      </c>
      <c r="R66">
        <f>IF(AND(P66=1,Q66=0,OR(ISNUMBER(MATCH(H66,{"wholesome","heroic"},0)),ISNUMBER(MATCH(J66,{"wholesome","heroic"},0)),ISNUMBER(MATCH(L66,{"wholesome","heroic"},0)))),1,0)</f>
        <v>0</v>
      </c>
      <c r="S66">
        <f t="shared" ref="S66:S129" si="4">IF(AND(P66=1,Q66=0,R66=0),1,0)</f>
        <v>0</v>
      </c>
      <c r="T66">
        <f t="shared" ref="T66:T129" si="5">IF(AND(P66=1,OR(G66="own_leader",I66="own_leader",K66="own_leader")),1,0)</f>
        <v>0</v>
      </c>
    </row>
    <row r="67" spans="1:20" x14ac:dyDescent="0.25">
      <c r="A67">
        <v>66</v>
      </c>
      <c r="B67">
        <v>1082</v>
      </c>
      <c r="C67" t="s">
        <v>16</v>
      </c>
      <c r="D67" t="s">
        <v>523</v>
      </c>
      <c r="E67" s="4">
        <v>45633</v>
      </c>
      <c r="F67" s="6">
        <v>1</v>
      </c>
      <c r="P67">
        <f t="shared" si="3"/>
        <v>0</v>
      </c>
      <c r="Q67">
        <f>IF(AND(P67=1,OR(ISNUMBER(MATCH(H67,{"menace","othering","ridicule","blame","victim"},0)),ISNUMBER(MATCH(J67,{"menace","othering","ridicule","blame","victim"},0)),ISNUMBER(MATCH(L67,{"menace","othering","ridicule","blame","victim"},0)))),1,0)</f>
        <v>0</v>
      </c>
      <c r="R67">
        <f>IF(AND(P67=1,Q67=0,OR(ISNUMBER(MATCH(H67,{"wholesome","heroic"},0)),ISNUMBER(MATCH(J67,{"wholesome","heroic"},0)),ISNUMBER(MATCH(L67,{"wholesome","heroic"},0)))),1,0)</f>
        <v>0</v>
      </c>
      <c r="S67">
        <f t="shared" si="4"/>
        <v>0</v>
      </c>
      <c r="T67">
        <f t="shared" si="5"/>
        <v>0</v>
      </c>
    </row>
    <row r="68" spans="1:20" x14ac:dyDescent="0.25">
      <c r="A68">
        <v>67</v>
      </c>
      <c r="B68">
        <v>1087</v>
      </c>
      <c r="C68" t="s">
        <v>16</v>
      </c>
      <c r="D68" t="s">
        <v>523</v>
      </c>
      <c r="E68" s="4">
        <v>45634</v>
      </c>
      <c r="F68" s="6">
        <v>1</v>
      </c>
      <c r="P68">
        <f t="shared" si="3"/>
        <v>0</v>
      </c>
      <c r="Q68">
        <f>IF(AND(P68=1,OR(ISNUMBER(MATCH(H68,{"menace","othering","ridicule","blame","victim"},0)),ISNUMBER(MATCH(J68,{"menace","othering","ridicule","blame","victim"},0)),ISNUMBER(MATCH(L68,{"menace","othering","ridicule","blame","victim"},0)))),1,0)</f>
        <v>0</v>
      </c>
      <c r="R68">
        <f>IF(AND(P68=1,Q68=0,OR(ISNUMBER(MATCH(H68,{"wholesome","heroic"},0)),ISNUMBER(MATCH(J68,{"wholesome","heroic"},0)),ISNUMBER(MATCH(L68,{"wholesome","heroic"},0)))),1,0)</f>
        <v>0</v>
      </c>
      <c r="S68">
        <f t="shared" si="4"/>
        <v>0</v>
      </c>
      <c r="T68">
        <f t="shared" si="5"/>
        <v>0</v>
      </c>
    </row>
    <row r="69" spans="1:20" x14ac:dyDescent="0.25">
      <c r="A69">
        <v>68</v>
      </c>
      <c r="B69">
        <v>1091</v>
      </c>
      <c r="C69" t="s">
        <v>16</v>
      </c>
      <c r="D69" t="s">
        <v>523</v>
      </c>
      <c r="E69" s="4">
        <v>45635</v>
      </c>
      <c r="F69" s="6">
        <v>1</v>
      </c>
      <c r="P69">
        <f t="shared" si="3"/>
        <v>0</v>
      </c>
      <c r="Q69">
        <f>IF(AND(P69=1,OR(ISNUMBER(MATCH(H69,{"menace","othering","ridicule","blame","victim"},0)),ISNUMBER(MATCH(J69,{"menace","othering","ridicule","blame","victim"},0)),ISNUMBER(MATCH(L69,{"menace","othering","ridicule","blame","victim"},0)))),1,0)</f>
        <v>0</v>
      </c>
      <c r="R69">
        <f>IF(AND(P69=1,Q69=0,OR(ISNUMBER(MATCH(H69,{"wholesome","heroic"},0)),ISNUMBER(MATCH(J69,{"wholesome","heroic"},0)),ISNUMBER(MATCH(L69,{"wholesome","heroic"},0)))),1,0)</f>
        <v>0</v>
      </c>
      <c r="S69">
        <f t="shared" si="4"/>
        <v>0</v>
      </c>
      <c r="T69">
        <f t="shared" si="5"/>
        <v>0</v>
      </c>
    </row>
    <row r="70" spans="1:20" x14ac:dyDescent="0.25">
      <c r="A70">
        <v>69</v>
      </c>
      <c r="B70">
        <v>1095</v>
      </c>
      <c r="C70" t="s">
        <v>16</v>
      </c>
      <c r="D70" t="s">
        <v>523</v>
      </c>
      <c r="E70" s="4">
        <v>45638</v>
      </c>
      <c r="F70" s="6">
        <v>1</v>
      </c>
      <c r="P70">
        <f t="shared" si="3"/>
        <v>0</v>
      </c>
      <c r="Q70">
        <f>IF(AND(P70=1,OR(ISNUMBER(MATCH(H70,{"menace","othering","ridicule","blame","victim"},0)),ISNUMBER(MATCH(J70,{"menace","othering","ridicule","blame","victim"},0)),ISNUMBER(MATCH(L70,{"menace","othering","ridicule","blame","victim"},0)))),1,0)</f>
        <v>0</v>
      </c>
      <c r="R70">
        <f>IF(AND(P70=1,Q70=0,OR(ISNUMBER(MATCH(H70,{"wholesome","heroic"},0)),ISNUMBER(MATCH(J70,{"wholesome","heroic"},0)),ISNUMBER(MATCH(L70,{"wholesome","heroic"},0)))),1,0)</f>
        <v>0</v>
      </c>
      <c r="S70">
        <f t="shared" si="4"/>
        <v>0</v>
      </c>
      <c r="T70">
        <f t="shared" si="5"/>
        <v>0</v>
      </c>
    </row>
    <row r="71" spans="1:20" x14ac:dyDescent="0.25">
      <c r="A71">
        <v>70</v>
      </c>
      <c r="B71">
        <v>1096</v>
      </c>
      <c r="C71" t="s">
        <v>16</v>
      </c>
      <c r="D71" t="s">
        <v>523</v>
      </c>
      <c r="E71" s="4">
        <v>45638</v>
      </c>
      <c r="F71" s="6">
        <v>1</v>
      </c>
      <c r="P71">
        <f t="shared" si="3"/>
        <v>0</v>
      </c>
      <c r="Q71">
        <f>IF(AND(P71=1,OR(ISNUMBER(MATCH(H71,{"menace","othering","ridicule","blame","victim"},0)),ISNUMBER(MATCH(J71,{"menace","othering","ridicule","blame","victim"},0)),ISNUMBER(MATCH(L71,{"menace","othering","ridicule","blame","victim"},0)))),1,0)</f>
        <v>0</v>
      </c>
      <c r="R71">
        <f>IF(AND(P71=1,Q71=0,OR(ISNUMBER(MATCH(H71,{"wholesome","heroic"},0)),ISNUMBER(MATCH(J71,{"wholesome","heroic"},0)),ISNUMBER(MATCH(L71,{"wholesome","heroic"},0)))),1,0)</f>
        <v>0</v>
      </c>
      <c r="S71">
        <f t="shared" si="4"/>
        <v>0</v>
      </c>
      <c r="T71">
        <f t="shared" si="5"/>
        <v>0</v>
      </c>
    </row>
    <row r="72" spans="1:20" x14ac:dyDescent="0.25">
      <c r="A72">
        <v>71</v>
      </c>
      <c r="B72">
        <v>1099</v>
      </c>
      <c r="C72" t="s">
        <v>16</v>
      </c>
      <c r="D72" t="s">
        <v>523</v>
      </c>
      <c r="E72" s="4">
        <v>45638</v>
      </c>
      <c r="F72" s="6">
        <v>1</v>
      </c>
      <c r="P72">
        <f t="shared" si="3"/>
        <v>0</v>
      </c>
      <c r="Q72">
        <f>IF(AND(P72=1,OR(ISNUMBER(MATCH(H72,{"menace","othering","ridicule","blame","victim"},0)),ISNUMBER(MATCH(J72,{"menace","othering","ridicule","blame","victim"},0)),ISNUMBER(MATCH(L72,{"menace","othering","ridicule","blame","victim"},0)))),1,0)</f>
        <v>0</v>
      </c>
      <c r="R72">
        <f>IF(AND(P72=1,Q72=0,OR(ISNUMBER(MATCH(H72,{"wholesome","heroic"},0)),ISNUMBER(MATCH(J72,{"wholesome","heroic"},0)),ISNUMBER(MATCH(L72,{"wholesome","heroic"},0)))),1,0)</f>
        <v>0</v>
      </c>
      <c r="S72">
        <f t="shared" si="4"/>
        <v>0</v>
      </c>
      <c r="T72">
        <f t="shared" si="5"/>
        <v>0</v>
      </c>
    </row>
    <row r="73" spans="1:20" x14ac:dyDescent="0.25">
      <c r="A73">
        <v>72</v>
      </c>
      <c r="B73">
        <v>1101</v>
      </c>
      <c r="C73" t="s">
        <v>16</v>
      </c>
      <c r="D73" t="s">
        <v>523</v>
      </c>
      <c r="E73" s="4">
        <v>45639</v>
      </c>
      <c r="F73" s="6">
        <v>1</v>
      </c>
      <c r="P73">
        <f t="shared" si="3"/>
        <v>0</v>
      </c>
      <c r="Q73">
        <f>IF(AND(P73=1,OR(ISNUMBER(MATCH(H73,{"menace","othering","ridicule","blame","victim"},0)),ISNUMBER(MATCH(J73,{"menace","othering","ridicule","blame","victim"},0)),ISNUMBER(MATCH(L73,{"menace","othering","ridicule","blame","victim"},0)))),1,0)</f>
        <v>0</v>
      </c>
      <c r="R73">
        <f>IF(AND(P73=1,Q73=0,OR(ISNUMBER(MATCH(H73,{"wholesome","heroic"},0)),ISNUMBER(MATCH(J73,{"wholesome","heroic"},0)),ISNUMBER(MATCH(L73,{"wholesome","heroic"},0)))),1,0)</f>
        <v>0</v>
      </c>
      <c r="S73">
        <f t="shared" si="4"/>
        <v>0</v>
      </c>
      <c r="T73">
        <f t="shared" si="5"/>
        <v>0</v>
      </c>
    </row>
    <row r="74" spans="1:20" x14ac:dyDescent="0.25">
      <c r="A74">
        <v>73</v>
      </c>
      <c r="B74">
        <v>1169</v>
      </c>
      <c r="C74" t="s">
        <v>16</v>
      </c>
      <c r="D74" t="s">
        <v>523</v>
      </c>
      <c r="E74" s="4">
        <v>45663</v>
      </c>
      <c r="F74" s="6">
        <v>0</v>
      </c>
      <c r="G74" s="6" t="s">
        <v>2991</v>
      </c>
      <c r="H74" s="6" t="s">
        <v>2990</v>
      </c>
      <c r="I74" s="6" t="s">
        <v>3000</v>
      </c>
      <c r="J74" s="6" t="s">
        <v>2990</v>
      </c>
      <c r="K74" s="6" t="s">
        <v>2988</v>
      </c>
      <c r="L74" s="6" t="s">
        <v>2987</v>
      </c>
      <c r="M74" s="6" t="s">
        <v>3047</v>
      </c>
      <c r="N74" s="6" t="s">
        <v>3047</v>
      </c>
      <c r="O74" s="6" t="s">
        <v>3047</v>
      </c>
      <c r="P74">
        <f t="shared" si="3"/>
        <v>1</v>
      </c>
      <c r="Q74">
        <f>IF(AND(P74=1,OR(ISNUMBER(MATCH(H74,{"menace","othering","ridicule","blame","victim"},0)),ISNUMBER(MATCH(J74,{"menace","othering","ridicule","blame","victim"},0)),ISNUMBER(MATCH(L74,{"menace","othering","ridicule","blame","victim"},0)))),1,0)</f>
        <v>1</v>
      </c>
      <c r="R74">
        <f>IF(AND(P74=1,Q74=0,OR(ISNUMBER(MATCH(H74,{"wholesome","heroic"},0)),ISNUMBER(MATCH(J74,{"wholesome","heroic"},0)),ISNUMBER(MATCH(L74,{"wholesome","heroic"},0)))),1,0)</f>
        <v>0</v>
      </c>
      <c r="S74">
        <f t="shared" si="4"/>
        <v>0</v>
      </c>
      <c r="T74">
        <f t="shared" si="5"/>
        <v>0</v>
      </c>
    </row>
    <row r="75" spans="1:20" x14ac:dyDescent="0.25">
      <c r="A75">
        <v>74</v>
      </c>
      <c r="B75">
        <v>1173</v>
      </c>
      <c r="C75" t="s">
        <v>16</v>
      </c>
      <c r="D75" t="s">
        <v>523</v>
      </c>
      <c r="E75" s="4">
        <v>45664</v>
      </c>
      <c r="F75" s="6">
        <v>0</v>
      </c>
      <c r="G75" s="6" t="s">
        <v>2997</v>
      </c>
      <c r="H75" s="6" t="s">
        <v>2990</v>
      </c>
      <c r="I75" s="6" t="s">
        <v>2991</v>
      </c>
      <c r="J75" s="6" t="s">
        <v>2990</v>
      </c>
      <c r="K75" s="6" t="s">
        <v>3000</v>
      </c>
      <c r="L75" s="6" t="s">
        <v>2989</v>
      </c>
      <c r="M75" s="6" t="s">
        <v>3047</v>
      </c>
      <c r="N75" s="6" t="s">
        <v>3047</v>
      </c>
      <c r="O75" s="6" t="s">
        <v>3047</v>
      </c>
      <c r="P75">
        <f t="shared" si="3"/>
        <v>1</v>
      </c>
      <c r="Q75">
        <f>IF(AND(P75=1,OR(ISNUMBER(MATCH(H75,{"menace","othering","ridicule","blame","victim"},0)),ISNUMBER(MATCH(J75,{"menace","othering","ridicule","blame","victim"},0)),ISNUMBER(MATCH(L75,{"menace","othering","ridicule","blame","victim"},0)))),1,0)</f>
        <v>0</v>
      </c>
      <c r="R75">
        <f>IF(AND(P75=1,Q75=0,OR(ISNUMBER(MATCH(H75,{"wholesome","heroic"},0)),ISNUMBER(MATCH(J75,{"wholesome","heroic"},0)),ISNUMBER(MATCH(L75,{"wholesome","heroic"},0)))),1,0)</f>
        <v>1</v>
      </c>
      <c r="S75">
        <f t="shared" si="4"/>
        <v>0</v>
      </c>
      <c r="T75">
        <f t="shared" si="5"/>
        <v>0</v>
      </c>
    </row>
    <row r="76" spans="1:20" x14ac:dyDescent="0.25">
      <c r="A76">
        <v>75</v>
      </c>
      <c r="B76">
        <v>1178</v>
      </c>
      <c r="C76" t="s">
        <v>16</v>
      </c>
      <c r="D76" t="s">
        <v>523</v>
      </c>
      <c r="E76" s="4">
        <v>45665</v>
      </c>
      <c r="F76" s="6">
        <v>0</v>
      </c>
      <c r="G76" s="6" t="s">
        <v>2991</v>
      </c>
      <c r="H76" s="6" t="s">
        <v>2994</v>
      </c>
      <c r="K76" s="6"/>
      <c r="L76" s="6"/>
      <c r="M76" s="6" t="s">
        <v>3047</v>
      </c>
      <c r="N76" s="6"/>
      <c r="O76" s="6"/>
      <c r="P76">
        <f t="shared" si="3"/>
        <v>1</v>
      </c>
      <c r="Q76">
        <f>IF(AND(P76=1,OR(ISNUMBER(MATCH(H76,{"menace","othering","ridicule","blame","victim"},0)),ISNUMBER(MATCH(J76,{"menace","othering","ridicule","blame","victim"},0)),ISNUMBER(MATCH(L76,{"menace","othering","ridicule","blame","victim"},0)))),1,0)</f>
        <v>0</v>
      </c>
      <c r="R76">
        <f>IF(AND(P76=1,Q76=0,OR(ISNUMBER(MATCH(H76,{"wholesome","heroic"},0)),ISNUMBER(MATCH(J76,{"wholesome","heroic"},0)),ISNUMBER(MATCH(L76,{"wholesome","heroic"},0)))),1,0)</f>
        <v>1</v>
      </c>
      <c r="S76">
        <f t="shared" si="4"/>
        <v>0</v>
      </c>
      <c r="T76">
        <f t="shared" si="5"/>
        <v>0</v>
      </c>
    </row>
    <row r="77" spans="1:20" x14ac:dyDescent="0.25">
      <c r="A77">
        <v>76</v>
      </c>
      <c r="B77">
        <v>1181</v>
      </c>
      <c r="C77" t="s">
        <v>16</v>
      </c>
      <c r="D77" t="s">
        <v>523</v>
      </c>
      <c r="E77" s="4">
        <v>45666</v>
      </c>
      <c r="F77" s="6">
        <v>0</v>
      </c>
      <c r="G77" s="6" t="s">
        <v>2991</v>
      </c>
      <c r="H77" s="6" t="s">
        <v>2990</v>
      </c>
      <c r="K77" s="6"/>
      <c r="L77" s="6"/>
      <c r="M77" s="6" t="s">
        <v>3047</v>
      </c>
      <c r="N77" s="6"/>
      <c r="O77" s="6"/>
      <c r="P77">
        <f t="shared" si="3"/>
        <v>1</v>
      </c>
      <c r="Q77">
        <f>IF(AND(P77=1,OR(ISNUMBER(MATCH(H77,{"menace","othering","ridicule","blame","victim"},0)),ISNUMBER(MATCH(J77,{"menace","othering","ridicule","blame","victim"},0)),ISNUMBER(MATCH(L77,{"menace","othering","ridicule","blame","victim"},0)))),1,0)</f>
        <v>0</v>
      </c>
      <c r="R77">
        <f>IF(AND(P77=1,Q77=0,OR(ISNUMBER(MATCH(H77,{"wholesome","heroic"},0)),ISNUMBER(MATCH(J77,{"wholesome","heroic"},0)),ISNUMBER(MATCH(L77,{"wholesome","heroic"},0)))),1,0)</f>
        <v>1</v>
      </c>
      <c r="S77">
        <f t="shared" si="4"/>
        <v>0</v>
      </c>
      <c r="T77">
        <f t="shared" si="5"/>
        <v>0</v>
      </c>
    </row>
    <row r="78" spans="1:20" x14ac:dyDescent="0.25">
      <c r="A78">
        <v>77</v>
      </c>
      <c r="B78">
        <v>1190</v>
      </c>
      <c r="C78" t="s">
        <v>16</v>
      </c>
      <c r="D78" t="s">
        <v>523</v>
      </c>
      <c r="E78" s="4">
        <v>45668</v>
      </c>
      <c r="F78" s="6">
        <v>0</v>
      </c>
      <c r="G78" s="6" t="s">
        <v>2991</v>
      </c>
      <c r="H78" s="6" t="s">
        <v>2990</v>
      </c>
      <c r="K78" s="6"/>
      <c r="L78" s="6"/>
      <c r="M78" s="6" t="s">
        <v>3047</v>
      </c>
      <c r="N78" s="6"/>
      <c r="O78" s="6"/>
      <c r="P78">
        <f t="shared" si="3"/>
        <v>1</v>
      </c>
      <c r="Q78">
        <f>IF(AND(P78=1,OR(ISNUMBER(MATCH(H78,{"menace","othering","ridicule","blame","victim"},0)),ISNUMBER(MATCH(J78,{"menace","othering","ridicule","blame","victim"},0)),ISNUMBER(MATCH(L78,{"menace","othering","ridicule","blame","victim"},0)))),1,0)</f>
        <v>0</v>
      </c>
      <c r="R78">
        <f>IF(AND(P78=1,Q78=0,OR(ISNUMBER(MATCH(H78,{"wholesome","heroic"},0)),ISNUMBER(MATCH(J78,{"wholesome","heroic"},0)),ISNUMBER(MATCH(L78,{"wholesome","heroic"},0)))),1,0)</f>
        <v>1</v>
      </c>
      <c r="S78">
        <f t="shared" si="4"/>
        <v>0</v>
      </c>
      <c r="T78">
        <f t="shared" si="5"/>
        <v>0</v>
      </c>
    </row>
    <row r="79" spans="1:20" x14ac:dyDescent="0.25">
      <c r="A79">
        <v>78</v>
      </c>
      <c r="B79">
        <v>1204</v>
      </c>
      <c r="C79" t="s">
        <v>16</v>
      </c>
      <c r="D79" t="s">
        <v>523</v>
      </c>
      <c r="E79" s="4">
        <v>45669</v>
      </c>
      <c r="F79" s="6">
        <v>0</v>
      </c>
      <c r="G79" s="6" t="s">
        <v>2991</v>
      </c>
      <c r="H79" s="6" t="s">
        <v>2990</v>
      </c>
      <c r="K79" s="6"/>
      <c r="L79" s="6"/>
      <c r="M79" s="6" t="s">
        <v>3047</v>
      </c>
      <c r="N79" s="6"/>
      <c r="O79" s="6"/>
      <c r="P79">
        <f t="shared" si="3"/>
        <v>1</v>
      </c>
      <c r="Q79">
        <f>IF(AND(P79=1,OR(ISNUMBER(MATCH(H79,{"menace","othering","ridicule","blame","victim"},0)),ISNUMBER(MATCH(J79,{"menace","othering","ridicule","blame","victim"},0)),ISNUMBER(MATCH(L79,{"menace","othering","ridicule","blame","victim"},0)))),1,0)</f>
        <v>0</v>
      </c>
      <c r="R79">
        <f>IF(AND(P79=1,Q79=0,OR(ISNUMBER(MATCH(H79,{"wholesome","heroic"},0)),ISNUMBER(MATCH(J79,{"wholesome","heroic"},0)),ISNUMBER(MATCH(L79,{"wholesome","heroic"},0)))),1,0)</f>
        <v>1</v>
      </c>
      <c r="S79">
        <f t="shared" si="4"/>
        <v>0</v>
      </c>
      <c r="T79">
        <f t="shared" si="5"/>
        <v>0</v>
      </c>
    </row>
    <row r="80" spans="1:20" x14ac:dyDescent="0.25">
      <c r="A80">
        <v>79</v>
      </c>
      <c r="B80">
        <v>1205</v>
      </c>
      <c r="C80" t="s">
        <v>16</v>
      </c>
      <c r="D80" t="s">
        <v>523</v>
      </c>
      <c r="E80" s="4">
        <v>45670</v>
      </c>
      <c r="F80" s="6">
        <v>0</v>
      </c>
      <c r="G80" s="6" t="s">
        <v>2991</v>
      </c>
      <c r="H80" s="6" t="s">
        <v>2990</v>
      </c>
      <c r="K80" s="6"/>
      <c r="L80" s="6"/>
      <c r="M80" s="6" t="s">
        <v>3047</v>
      </c>
      <c r="N80" s="6"/>
      <c r="O80" s="6"/>
      <c r="P80">
        <f t="shared" si="3"/>
        <v>1</v>
      </c>
      <c r="Q80">
        <f>IF(AND(P80=1,OR(ISNUMBER(MATCH(H80,{"menace","othering","ridicule","blame","victim"},0)),ISNUMBER(MATCH(J80,{"menace","othering","ridicule","blame","victim"},0)),ISNUMBER(MATCH(L80,{"menace","othering","ridicule","blame","victim"},0)))),1,0)</f>
        <v>0</v>
      </c>
      <c r="R80">
        <f>IF(AND(P80=1,Q80=0,OR(ISNUMBER(MATCH(H80,{"wholesome","heroic"},0)),ISNUMBER(MATCH(J80,{"wholesome","heroic"},0)),ISNUMBER(MATCH(L80,{"wholesome","heroic"},0)))),1,0)</f>
        <v>1</v>
      </c>
      <c r="S80">
        <f t="shared" si="4"/>
        <v>0</v>
      </c>
      <c r="T80">
        <f t="shared" si="5"/>
        <v>0</v>
      </c>
    </row>
    <row r="81" spans="1:20" x14ac:dyDescent="0.25">
      <c r="A81">
        <v>80</v>
      </c>
      <c r="B81">
        <v>1208</v>
      </c>
      <c r="C81" t="s">
        <v>16</v>
      </c>
      <c r="D81" t="s">
        <v>523</v>
      </c>
      <c r="E81" s="4">
        <v>45671</v>
      </c>
      <c r="F81" s="6">
        <v>0</v>
      </c>
      <c r="G81" s="6" t="s">
        <v>2991</v>
      </c>
      <c r="H81" s="6" t="s">
        <v>2990</v>
      </c>
      <c r="K81" s="6"/>
      <c r="L81" s="6"/>
      <c r="M81" s="6" t="s">
        <v>3047</v>
      </c>
      <c r="N81" s="6"/>
      <c r="O81" s="6"/>
      <c r="P81">
        <f t="shared" si="3"/>
        <v>1</v>
      </c>
      <c r="Q81">
        <f>IF(AND(P81=1,OR(ISNUMBER(MATCH(H81,{"menace","othering","ridicule","blame","victim"},0)),ISNUMBER(MATCH(J81,{"menace","othering","ridicule","blame","victim"},0)),ISNUMBER(MATCH(L81,{"menace","othering","ridicule","blame","victim"},0)))),1,0)</f>
        <v>0</v>
      </c>
      <c r="R81">
        <f>IF(AND(P81=1,Q81=0,OR(ISNUMBER(MATCH(H81,{"wholesome","heroic"},0)),ISNUMBER(MATCH(J81,{"wholesome","heroic"},0)),ISNUMBER(MATCH(L81,{"wholesome","heroic"},0)))),1,0)</f>
        <v>1</v>
      </c>
      <c r="S81">
        <f t="shared" si="4"/>
        <v>0</v>
      </c>
      <c r="T81">
        <f t="shared" si="5"/>
        <v>0</v>
      </c>
    </row>
    <row r="82" spans="1:20" x14ac:dyDescent="0.25">
      <c r="A82">
        <v>81</v>
      </c>
      <c r="B82">
        <v>1210</v>
      </c>
      <c r="C82" t="s">
        <v>16</v>
      </c>
      <c r="D82" t="s">
        <v>523</v>
      </c>
      <c r="E82" s="4">
        <v>45672</v>
      </c>
      <c r="F82" s="6">
        <v>0</v>
      </c>
      <c r="G82" s="6" t="s">
        <v>2991</v>
      </c>
      <c r="H82" s="6" t="s">
        <v>2989</v>
      </c>
      <c r="K82" s="6"/>
      <c r="L82" s="6"/>
      <c r="M82" s="6" t="s">
        <v>3047</v>
      </c>
      <c r="N82" s="6"/>
      <c r="O82" s="6"/>
      <c r="P82">
        <f t="shared" si="3"/>
        <v>1</v>
      </c>
      <c r="Q82">
        <f>IF(AND(P82=1,OR(ISNUMBER(MATCH(H82,{"menace","othering","ridicule","blame","victim"},0)),ISNUMBER(MATCH(J82,{"menace","othering","ridicule","blame","victim"},0)),ISNUMBER(MATCH(L82,{"menace","othering","ridicule","blame","victim"},0)))),1,0)</f>
        <v>0</v>
      </c>
      <c r="R82">
        <f>IF(AND(P82=1,Q82=0,OR(ISNUMBER(MATCH(H82,{"wholesome","heroic"},0)),ISNUMBER(MATCH(J82,{"wholesome","heroic"},0)),ISNUMBER(MATCH(L82,{"wholesome","heroic"},0)))),1,0)</f>
        <v>0</v>
      </c>
      <c r="S82">
        <f t="shared" si="4"/>
        <v>1</v>
      </c>
      <c r="T82">
        <f t="shared" si="5"/>
        <v>0</v>
      </c>
    </row>
    <row r="83" spans="1:20" x14ac:dyDescent="0.25">
      <c r="A83">
        <v>82</v>
      </c>
      <c r="B83">
        <v>1212</v>
      </c>
      <c r="C83" t="s">
        <v>16</v>
      </c>
      <c r="D83" t="s">
        <v>523</v>
      </c>
      <c r="E83" s="4">
        <v>45673</v>
      </c>
      <c r="F83" s="6">
        <v>0</v>
      </c>
      <c r="G83" s="6" t="s">
        <v>2991</v>
      </c>
      <c r="H83" s="6" t="s">
        <v>2990</v>
      </c>
      <c r="K83" s="6"/>
      <c r="L83" s="6"/>
      <c r="M83" s="6" t="s">
        <v>3047</v>
      </c>
      <c r="N83" s="6"/>
      <c r="O83" s="6"/>
      <c r="P83">
        <f t="shared" si="3"/>
        <v>1</v>
      </c>
      <c r="Q83">
        <f>IF(AND(P83=1,OR(ISNUMBER(MATCH(H83,{"menace","othering","ridicule","blame","victim"},0)),ISNUMBER(MATCH(J83,{"menace","othering","ridicule","blame","victim"},0)),ISNUMBER(MATCH(L83,{"menace","othering","ridicule","blame","victim"},0)))),1,0)</f>
        <v>0</v>
      </c>
      <c r="R83">
        <f>IF(AND(P83=1,Q83=0,OR(ISNUMBER(MATCH(H83,{"wholesome","heroic"},0)),ISNUMBER(MATCH(J83,{"wholesome","heroic"},0)),ISNUMBER(MATCH(L83,{"wholesome","heroic"},0)))),1,0)</f>
        <v>1</v>
      </c>
      <c r="S83">
        <f t="shared" si="4"/>
        <v>0</v>
      </c>
      <c r="T83">
        <f t="shared" si="5"/>
        <v>0</v>
      </c>
    </row>
    <row r="84" spans="1:20" x14ac:dyDescent="0.25">
      <c r="A84">
        <v>83</v>
      </c>
      <c r="B84">
        <v>1219</v>
      </c>
      <c r="C84" t="s">
        <v>16</v>
      </c>
      <c r="D84" t="s">
        <v>523</v>
      </c>
      <c r="E84" s="4">
        <v>45674</v>
      </c>
      <c r="F84" s="6">
        <v>0</v>
      </c>
      <c r="G84" s="6" t="s">
        <v>2991</v>
      </c>
      <c r="H84" s="6" t="s">
        <v>2990</v>
      </c>
      <c r="K84" s="6"/>
      <c r="L84" s="6"/>
      <c r="M84" s="6" t="s">
        <v>3047</v>
      </c>
      <c r="N84" s="6"/>
      <c r="O84" s="6"/>
      <c r="P84">
        <f t="shared" si="3"/>
        <v>1</v>
      </c>
      <c r="Q84">
        <f>IF(AND(P84=1,OR(ISNUMBER(MATCH(H84,{"menace","othering","ridicule","blame","victim"},0)),ISNUMBER(MATCH(J84,{"menace","othering","ridicule","blame","victim"},0)),ISNUMBER(MATCH(L84,{"menace","othering","ridicule","blame","victim"},0)))),1,0)</f>
        <v>0</v>
      </c>
      <c r="R84">
        <f>IF(AND(P84=1,Q84=0,OR(ISNUMBER(MATCH(H84,{"wholesome","heroic"},0)),ISNUMBER(MATCH(J84,{"wholesome","heroic"},0)),ISNUMBER(MATCH(L84,{"wholesome","heroic"},0)))),1,0)</f>
        <v>1</v>
      </c>
      <c r="S84">
        <f t="shared" si="4"/>
        <v>0</v>
      </c>
      <c r="T84">
        <f t="shared" si="5"/>
        <v>0</v>
      </c>
    </row>
    <row r="85" spans="1:20" x14ac:dyDescent="0.25">
      <c r="A85">
        <v>84</v>
      </c>
      <c r="B85">
        <v>1282</v>
      </c>
      <c r="C85" t="s">
        <v>16</v>
      </c>
      <c r="D85" t="s">
        <v>523</v>
      </c>
      <c r="E85" s="4">
        <v>45694</v>
      </c>
      <c r="F85" s="6">
        <v>0</v>
      </c>
      <c r="G85" s="6" t="s">
        <v>2986</v>
      </c>
      <c r="H85" s="6" t="s">
        <v>2989</v>
      </c>
      <c r="I85" s="6" t="s">
        <v>2995</v>
      </c>
      <c r="J85" s="6" t="s">
        <v>2994</v>
      </c>
      <c r="K85" s="6" t="s">
        <v>2988</v>
      </c>
      <c r="L85" s="6" t="s">
        <v>2990</v>
      </c>
      <c r="M85" s="6" t="s">
        <v>3047</v>
      </c>
      <c r="N85" s="6" t="s">
        <v>3046</v>
      </c>
      <c r="O85" s="6" t="s">
        <v>3046</v>
      </c>
      <c r="P85">
        <f t="shared" si="3"/>
        <v>1</v>
      </c>
      <c r="Q85">
        <f>IF(AND(P85=1,OR(ISNUMBER(MATCH(H85,{"menace","othering","ridicule","blame","victim"},0)),ISNUMBER(MATCH(J85,{"menace","othering","ridicule","blame","victim"},0)),ISNUMBER(MATCH(L85,{"menace","othering","ridicule","blame","victim"},0)))),1,0)</f>
        <v>0</v>
      </c>
      <c r="R85">
        <f>IF(AND(P85=1,Q85=0,OR(ISNUMBER(MATCH(H85,{"wholesome","heroic"},0)),ISNUMBER(MATCH(J85,{"wholesome","heroic"},0)),ISNUMBER(MATCH(L85,{"wholesome","heroic"},0)))),1,0)</f>
        <v>1</v>
      </c>
      <c r="S85">
        <f t="shared" si="4"/>
        <v>0</v>
      </c>
      <c r="T85">
        <f t="shared" si="5"/>
        <v>1</v>
      </c>
    </row>
    <row r="86" spans="1:20" x14ac:dyDescent="0.25">
      <c r="A86">
        <v>85</v>
      </c>
      <c r="B86">
        <v>1312</v>
      </c>
      <c r="C86" t="s">
        <v>16</v>
      </c>
      <c r="D86" t="s">
        <v>523</v>
      </c>
      <c r="E86" s="4">
        <v>45700</v>
      </c>
      <c r="F86" s="6">
        <v>0</v>
      </c>
      <c r="G86" s="6" t="s">
        <v>2991</v>
      </c>
      <c r="H86" s="6" t="s">
        <v>2989</v>
      </c>
      <c r="I86" s="6" t="s">
        <v>2991</v>
      </c>
      <c r="J86" s="6" t="s">
        <v>2990</v>
      </c>
      <c r="K86" s="6" t="s">
        <v>2991</v>
      </c>
      <c r="L86" s="6" t="s">
        <v>2993</v>
      </c>
      <c r="M86" s="6" t="s">
        <v>3047</v>
      </c>
      <c r="N86" s="6" t="s">
        <v>3047</v>
      </c>
      <c r="O86" s="6" t="s">
        <v>3047</v>
      </c>
      <c r="P86">
        <f t="shared" si="3"/>
        <v>1</v>
      </c>
      <c r="Q86">
        <f>IF(AND(P86=1,OR(ISNUMBER(MATCH(H86,{"menace","othering","ridicule","blame","victim"},0)),ISNUMBER(MATCH(J86,{"menace","othering","ridicule","blame","victim"},0)),ISNUMBER(MATCH(L86,{"menace","othering","ridicule","blame","victim"},0)))),1,0)</f>
        <v>1</v>
      </c>
      <c r="R86">
        <f>IF(AND(P86=1,Q86=0,OR(ISNUMBER(MATCH(H86,{"wholesome","heroic"},0)),ISNUMBER(MATCH(J86,{"wholesome","heroic"},0)),ISNUMBER(MATCH(L86,{"wholesome","heroic"},0)))),1,0)</f>
        <v>0</v>
      </c>
      <c r="S86">
        <f t="shared" si="4"/>
        <v>0</v>
      </c>
      <c r="T86">
        <f t="shared" si="5"/>
        <v>0</v>
      </c>
    </row>
    <row r="87" spans="1:20" x14ac:dyDescent="0.25">
      <c r="A87">
        <v>86</v>
      </c>
      <c r="B87">
        <v>1318</v>
      </c>
      <c r="C87" t="s">
        <v>16</v>
      </c>
      <c r="D87" t="s">
        <v>523</v>
      </c>
      <c r="E87" s="4">
        <v>45701</v>
      </c>
      <c r="F87" s="6">
        <v>0</v>
      </c>
      <c r="G87" s="6" t="s">
        <v>2991</v>
      </c>
      <c r="H87" s="6" t="s">
        <v>2990</v>
      </c>
      <c r="I87" s="6" t="s">
        <v>2991</v>
      </c>
      <c r="J87" s="6" t="s">
        <v>2989</v>
      </c>
      <c r="K87" s="6" t="s">
        <v>2997</v>
      </c>
      <c r="L87" s="6" t="s">
        <v>2990</v>
      </c>
      <c r="M87" s="6" t="s">
        <v>3047</v>
      </c>
      <c r="N87" s="6" t="s">
        <v>3047</v>
      </c>
      <c r="O87" s="6" t="s">
        <v>3047</v>
      </c>
      <c r="P87">
        <f t="shared" si="3"/>
        <v>1</v>
      </c>
      <c r="Q87">
        <f>IF(AND(P87=1,OR(ISNUMBER(MATCH(H87,{"menace","othering","ridicule","blame","victim"},0)),ISNUMBER(MATCH(J87,{"menace","othering","ridicule","blame","victim"},0)),ISNUMBER(MATCH(L87,{"menace","othering","ridicule","blame","victim"},0)))),1,0)</f>
        <v>0</v>
      </c>
      <c r="R87">
        <f>IF(AND(P87=1,Q87=0,OR(ISNUMBER(MATCH(H87,{"wholesome","heroic"},0)),ISNUMBER(MATCH(J87,{"wholesome","heroic"},0)),ISNUMBER(MATCH(L87,{"wholesome","heroic"},0)))),1,0)</f>
        <v>1</v>
      </c>
      <c r="S87">
        <f t="shared" si="4"/>
        <v>0</v>
      </c>
      <c r="T87">
        <f t="shared" si="5"/>
        <v>0</v>
      </c>
    </row>
    <row r="88" spans="1:20" x14ac:dyDescent="0.25">
      <c r="A88">
        <v>87</v>
      </c>
      <c r="B88">
        <v>1356</v>
      </c>
      <c r="C88" t="s">
        <v>16</v>
      </c>
      <c r="D88" t="s">
        <v>523</v>
      </c>
      <c r="E88" s="4">
        <v>45709</v>
      </c>
      <c r="F88" s="6">
        <v>0</v>
      </c>
      <c r="G88" s="6" t="s">
        <v>2995</v>
      </c>
      <c r="H88" s="6" t="s">
        <v>2994</v>
      </c>
      <c r="I88" s="6" t="s">
        <v>2995</v>
      </c>
      <c r="J88" s="6" t="s">
        <v>2989</v>
      </c>
      <c r="K88" s="6"/>
      <c r="L88" s="6"/>
      <c r="M88" s="6" t="s">
        <v>3046</v>
      </c>
      <c r="N88" s="6" t="s">
        <v>3046</v>
      </c>
      <c r="O88" s="6"/>
      <c r="P88">
        <f t="shared" si="3"/>
        <v>1</v>
      </c>
      <c r="Q88">
        <f>IF(AND(P88=1,OR(ISNUMBER(MATCH(H88,{"menace","othering","ridicule","blame","victim"},0)),ISNUMBER(MATCH(J88,{"menace","othering","ridicule","blame","victim"},0)),ISNUMBER(MATCH(L88,{"menace","othering","ridicule","blame","victim"},0)))),1,0)</f>
        <v>0</v>
      </c>
      <c r="R88">
        <f>IF(AND(P88=1,Q88=0,OR(ISNUMBER(MATCH(H88,{"wholesome","heroic"},0)),ISNUMBER(MATCH(J88,{"wholesome","heroic"},0)),ISNUMBER(MATCH(L88,{"wholesome","heroic"},0)))),1,0)</f>
        <v>1</v>
      </c>
      <c r="S88">
        <f t="shared" si="4"/>
        <v>0</v>
      </c>
      <c r="T88">
        <f t="shared" si="5"/>
        <v>1</v>
      </c>
    </row>
    <row r="89" spans="1:20" x14ac:dyDescent="0.25">
      <c r="A89">
        <v>88</v>
      </c>
      <c r="B89">
        <v>1385</v>
      </c>
      <c r="C89" t="s">
        <v>18</v>
      </c>
      <c r="D89" t="s">
        <v>835</v>
      </c>
      <c r="E89" s="4">
        <v>45359</v>
      </c>
      <c r="F89" s="6">
        <v>0</v>
      </c>
      <c r="G89" s="6" t="s">
        <v>2991</v>
      </c>
      <c r="H89" s="6" t="s">
        <v>2993</v>
      </c>
      <c r="K89" s="6"/>
      <c r="L89" s="6"/>
      <c r="M89" s="6" t="s">
        <v>3047</v>
      </c>
      <c r="N89" s="6"/>
      <c r="O89" s="6"/>
      <c r="P89">
        <f t="shared" si="3"/>
        <v>1</v>
      </c>
      <c r="Q89">
        <f>IF(AND(P89=1,OR(ISNUMBER(MATCH(H89,{"menace","othering","ridicule","blame","victim"},0)),ISNUMBER(MATCH(J89,{"menace","othering","ridicule","blame","victim"},0)),ISNUMBER(MATCH(L89,{"menace","othering","ridicule","blame","victim"},0)))),1,0)</f>
        <v>1</v>
      </c>
      <c r="R89">
        <f>IF(AND(P89=1,Q89=0,OR(ISNUMBER(MATCH(H89,{"wholesome","heroic"},0)),ISNUMBER(MATCH(J89,{"wholesome","heroic"},0)),ISNUMBER(MATCH(L89,{"wholesome","heroic"},0)))),1,0)</f>
        <v>0</v>
      </c>
      <c r="S89">
        <f t="shared" si="4"/>
        <v>0</v>
      </c>
      <c r="T89">
        <f t="shared" si="5"/>
        <v>0</v>
      </c>
    </row>
    <row r="90" spans="1:20" x14ac:dyDescent="0.25">
      <c r="A90">
        <v>89</v>
      </c>
      <c r="B90">
        <v>1464</v>
      </c>
      <c r="C90" t="s">
        <v>18</v>
      </c>
      <c r="D90" t="s">
        <v>835</v>
      </c>
      <c r="E90" s="4">
        <v>45408</v>
      </c>
      <c r="F90" s="6">
        <v>0</v>
      </c>
      <c r="G90" s="6" t="s">
        <v>2986</v>
      </c>
      <c r="H90" s="6" t="s">
        <v>2989</v>
      </c>
      <c r="I90" s="6" t="s">
        <v>2995</v>
      </c>
      <c r="J90" s="6" t="s">
        <v>2989</v>
      </c>
      <c r="K90" s="6"/>
      <c r="L90" s="6"/>
      <c r="M90" s="6" t="s">
        <v>3047</v>
      </c>
      <c r="N90" s="6" t="s">
        <v>3046</v>
      </c>
      <c r="O90" s="6"/>
      <c r="P90">
        <f t="shared" si="3"/>
        <v>1</v>
      </c>
      <c r="Q90">
        <f>IF(AND(P90=1,OR(ISNUMBER(MATCH(H90,{"menace","othering","ridicule","blame","victim"},0)),ISNUMBER(MATCH(J90,{"menace","othering","ridicule","blame","victim"},0)),ISNUMBER(MATCH(L90,{"menace","othering","ridicule","blame","victim"},0)))),1,0)</f>
        <v>0</v>
      </c>
      <c r="R90">
        <f>IF(AND(P90=1,Q90=0,OR(ISNUMBER(MATCH(H90,{"wholesome","heroic"},0)),ISNUMBER(MATCH(J90,{"wholesome","heroic"},0)),ISNUMBER(MATCH(L90,{"wholesome","heroic"},0)))),1,0)</f>
        <v>0</v>
      </c>
      <c r="S90">
        <f t="shared" si="4"/>
        <v>1</v>
      </c>
      <c r="T90">
        <f t="shared" si="5"/>
        <v>1</v>
      </c>
    </row>
    <row r="91" spans="1:20" x14ac:dyDescent="0.25">
      <c r="A91">
        <v>90</v>
      </c>
      <c r="B91">
        <v>1471</v>
      </c>
      <c r="C91" t="s">
        <v>18</v>
      </c>
      <c r="D91" t="s">
        <v>835</v>
      </c>
      <c r="E91" s="4">
        <v>45413</v>
      </c>
      <c r="F91" s="6">
        <v>0</v>
      </c>
      <c r="G91" s="6" t="s">
        <v>2988</v>
      </c>
      <c r="H91" s="6" t="s">
        <v>2989</v>
      </c>
      <c r="K91" s="6"/>
      <c r="L91" s="6"/>
      <c r="M91" s="6" t="s">
        <v>3047</v>
      </c>
      <c r="N91" s="6"/>
      <c r="O91" s="6"/>
      <c r="P91">
        <f t="shared" si="3"/>
        <v>1</v>
      </c>
      <c r="Q91">
        <f>IF(AND(P91=1,OR(ISNUMBER(MATCH(H91,{"menace","othering","ridicule","blame","victim"},0)),ISNUMBER(MATCH(J91,{"menace","othering","ridicule","blame","victim"},0)),ISNUMBER(MATCH(L91,{"menace","othering","ridicule","blame","victim"},0)))),1,0)</f>
        <v>0</v>
      </c>
      <c r="R91">
        <f>IF(AND(P91=1,Q91=0,OR(ISNUMBER(MATCH(H91,{"wholesome","heroic"},0)),ISNUMBER(MATCH(J91,{"wholesome","heroic"},0)),ISNUMBER(MATCH(L91,{"wholesome","heroic"},0)))),1,0)</f>
        <v>0</v>
      </c>
      <c r="S91">
        <f t="shared" si="4"/>
        <v>1</v>
      </c>
      <c r="T91">
        <f t="shared" si="5"/>
        <v>0</v>
      </c>
    </row>
    <row r="92" spans="1:20" x14ac:dyDescent="0.25">
      <c r="A92">
        <v>91</v>
      </c>
      <c r="B92">
        <v>1472</v>
      </c>
      <c r="C92" t="s">
        <v>18</v>
      </c>
      <c r="D92" t="s">
        <v>835</v>
      </c>
      <c r="E92" s="4">
        <v>45414</v>
      </c>
      <c r="F92" s="6">
        <v>0</v>
      </c>
      <c r="G92" s="6" t="s">
        <v>2995</v>
      </c>
      <c r="H92" s="6" t="s">
        <v>2989</v>
      </c>
      <c r="I92" s="6" t="s">
        <v>2995</v>
      </c>
      <c r="J92" s="6" t="s">
        <v>2989</v>
      </c>
      <c r="K92" s="6"/>
      <c r="L92" s="6"/>
      <c r="M92" s="6" t="s">
        <v>3047</v>
      </c>
      <c r="N92" s="6" t="s">
        <v>3046</v>
      </c>
      <c r="O92" s="6"/>
      <c r="P92">
        <f t="shared" si="3"/>
        <v>1</v>
      </c>
      <c r="Q92">
        <f>IF(AND(P92=1,OR(ISNUMBER(MATCH(H92,{"menace","othering","ridicule","blame","victim"},0)),ISNUMBER(MATCH(J92,{"menace","othering","ridicule","blame","victim"},0)),ISNUMBER(MATCH(L92,{"menace","othering","ridicule","blame","victim"},0)))),1,0)</f>
        <v>0</v>
      </c>
      <c r="R92">
        <f>IF(AND(P92=1,Q92=0,OR(ISNUMBER(MATCH(H92,{"wholesome","heroic"},0)),ISNUMBER(MATCH(J92,{"wholesome","heroic"},0)),ISNUMBER(MATCH(L92,{"wholesome","heroic"},0)))),1,0)</f>
        <v>0</v>
      </c>
      <c r="S92">
        <f t="shared" si="4"/>
        <v>1</v>
      </c>
      <c r="T92">
        <f t="shared" si="5"/>
        <v>1</v>
      </c>
    </row>
    <row r="93" spans="1:20" x14ac:dyDescent="0.25">
      <c r="A93">
        <v>92</v>
      </c>
      <c r="B93">
        <v>1544</v>
      </c>
      <c r="C93" t="s">
        <v>18</v>
      </c>
      <c r="D93" t="s">
        <v>835</v>
      </c>
      <c r="E93" s="4">
        <v>45449</v>
      </c>
      <c r="F93" s="6">
        <v>0</v>
      </c>
      <c r="G93" s="6" t="s">
        <v>2999</v>
      </c>
      <c r="H93" s="6" t="s">
        <v>2987</v>
      </c>
      <c r="I93" s="6" t="s">
        <v>2997</v>
      </c>
      <c r="J93" s="6" t="s">
        <v>2993</v>
      </c>
      <c r="K93" s="6"/>
      <c r="L93" s="6"/>
      <c r="M93" s="6" t="s">
        <v>3047</v>
      </c>
      <c r="N93" s="6" t="s">
        <v>3047</v>
      </c>
      <c r="O93" s="6"/>
      <c r="P93">
        <f t="shared" si="3"/>
        <v>1</v>
      </c>
      <c r="Q93">
        <f>IF(AND(P93=1,OR(ISNUMBER(MATCH(H93,{"menace","othering","ridicule","blame","victim"},0)),ISNUMBER(MATCH(J93,{"menace","othering","ridicule","blame","victim"},0)),ISNUMBER(MATCH(L93,{"menace","othering","ridicule","blame","victim"},0)))),1,0)</f>
        <v>1</v>
      </c>
      <c r="R93">
        <f>IF(AND(P93=1,Q93=0,OR(ISNUMBER(MATCH(H93,{"wholesome","heroic"},0)),ISNUMBER(MATCH(J93,{"wholesome","heroic"},0)),ISNUMBER(MATCH(L93,{"wholesome","heroic"},0)))),1,0)</f>
        <v>0</v>
      </c>
      <c r="S93">
        <f t="shared" si="4"/>
        <v>0</v>
      </c>
      <c r="T93">
        <f t="shared" si="5"/>
        <v>0</v>
      </c>
    </row>
    <row r="94" spans="1:20" x14ac:dyDescent="0.25">
      <c r="A94">
        <v>93</v>
      </c>
      <c r="B94">
        <v>1678</v>
      </c>
      <c r="C94" t="s">
        <v>20</v>
      </c>
      <c r="D94" t="s">
        <v>835</v>
      </c>
      <c r="E94" s="4">
        <v>45408</v>
      </c>
      <c r="F94" s="6">
        <v>0</v>
      </c>
      <c r="G94" s="6" t="s">
        <v>2986</v>
      </c>
      <c r="H94" s="6" t="s">
        <v>2989</v>
      </c>
      <c r="I94" s="6" t="s">
        <v>2995</v>
      </c>
      <c r="J94" s="6" t="s">
        <v>2989</v>
      </c>
      <c r="K94" s="6"/>
      <c r="L94" s="6"/>
      <c r="M94" s="6" t="s">
        <v>3047</v>
      </c>
      <c r="N94" s="6" t="s">
        <v>3046</v>
      </c>
      <c r="O94" s="6"/>
      <c r="P94">
        <f t="shared" si="3"/>
        <v>1</v>
      </c>
      <c r="Q94">
        <f>IF(AND(P94=1,OR(ISNUMBER(MATCH(H94,{"menace","othering","ridicule","blame","victim"},0)),ISNUMBER(MATCH(J94,{"menace","othering","ridicule","blame","victim"},0)),ISNUMBER(MATCH(L94,{"menace","othering","ridicule","blame","victim"},0)))),1,0)</f>
        <v>0</v>
      </c>
      <c r="R94">
        <f>IF(AND(P94=1,Q94=0,OR(ISNUMBER(MATCH(H94,{"wholesome","heroic"},0)),ISNUMBER(MATCH(J94,{"wholesome","heroic"},0)),ISNUMBER(MATCH(L94,{"wholesome","heroic"},0)))),1,0)</f>
        <v>0</v>
      </c>
      <c r="S94">
        <f t="shared" si="4"/>
        <v>1</v>
      </c>
      <c r="T94">
        <f t="shared" si="5"/>
        <v>1</v>
      </c>
    </row>
    <row r="95" spans="1:20" x14ac:dyDescent="0.25">
      <c r="A95">
        <v>94</v>
      </c>
      <c r="B95">
        <v>1688</v>
      </c>
      <c r="C95" t="s">
        <v>20</v>
      </c>
      <c r="D95" t="s">
        <v>835</v>
      </c>
      <c r="E95" s="4">
        <v>45414</v>
      </c>
      <c r="F95" s="6">
        <v>0</v>
      </c>
      <c r="G95" s="6" t="s">
        <v>2995</v>
      </c>
      <c r="H95" s="6" t="s">
        <v>2989</v>
      </c>
      <c r="I95" s="6" t="s">
        <v>2995</v>
      </c>
      <c r="J95" s="6" t="s">
        <v>2989</v>
      </c>
      <c r="K95" s="6"/>
      <c r="L95" s="6"/>
      <c r="M95" s="6" t="s">
        <v>3047</v>
      </c>
      <c r="N95" s="6" t="s">
        <v>3046</v>
      </c>
      <c r="O95" s="6"/>
      <c r="P95">
        <f t="shared" si="3"/>
        <v>1</v>
      </c>
      <c r="Q95">
        <f>IF(AND(P95=1,OR(ISNUMBER(MATCH(H95,{"menace","othering","ridicule","blame","victim"},0)),ISNUMBER(MATCH(J95,{"menace","othering","ridicule","blame","victim"},0)),ISNUMBER(MATCH(L95,{"menace","othering","ridicule","blame","victim"},0)))),1,0)</f>
        <v>0</v>
      </c>
      <c r="R95">
        <f>IF(AND(P95=1,Q95=0,OR(ISNUMBER(MATCH(H95,{"wholesome","heroic"},0)),ISNUMBER(MATCH(J95,{"wholesome","heroic"},0)),ISNUMBER(MATCH(L95,{"wholesome","heroic"},0)))),1,0)</f>
        <v>0</v>
      </c>
      <c r="S95">
        <f t="shared" si="4"/>
        <v>1</v>
      </c>
      <c r="T95">
        <f t="shared" si="5"/>
        <v>1</v>
      </c>
    </row>
    <row r="96" spans="1:20" x14ac:dyDescent="0.25">
      <c r="A96">
        <v>95</v>
      </c>
      <c r="B96">
        <v>1690</v>
      </c>
      <c r="C96" t="s">
        <v>20</v>
      </c>
      <c r="D96" t="s">
        <v>835</v>
      </c>
      <c r="E96" s="4">
        <v>45414</v>
      </c>
      <c r="F96" s="6">
        <v>0</v>
      </c>
      <c r="G96" s="6" t="s">
        <v>2995</v>
      </c>
      <c r="H96" s="6" t="s">
        <v>2989</v>
      </c>
      <c r="I96" s="6" t="s">
        <v>2995</v>
      </c>
      <c r="J96" s="6" t="s">
        <v>2989</v>
      </c>
      <c r="K96" s="6"/>
      <c r="L96" s="6"/>
      <c r="M96" s="6" t="s">
        <v>3047</v>
      </c>
      <c r="N96" s="6" t="s">
        <v>3046</v>
      </c>
      <c r="O96" s="6"/>
      <c r="P96">
        <f t="shared" si="3"/>
        <v>1</v>
      </c>
      <c r="Q96">
        <f>IF(AND(P96=1,OR(ISNUMBER(MATCH(H96,{"menace","othering","ridicule","blame","victim"},0)),ISNUMBER(MATCH(J96,{"menace","othering","ridicule","blame","victim"},0)),ISNUMBER(MATCH(L96,{"menace","othering","ridicule","blame","victim"},0)))),1,0)</f>
        <v>0</v>
      </c>
      <c r="R96">
        <f>IF(AND(P96=1,Q96=0,OR(ISNUMBER(MATCH(H96,{"wholesome","heroic"},0)),ISNUMBER(MATCH(J96,{"wholesome","heroic"},0)),ISNUMBER(MATCH(L96,{"wholesome","heroic"},0)))),1,0)</f>
        <v>0</v>
      </c>
      <c r="S96">
        <f t="shared" si="4"/>
        <v>1</v>
      </c>
      <c r="T96">
        <f t="shared" si="5"/>
        <v>1</v>
      </c>
    </row>
    <row r="97" spans="1:20" x14ac:dyDescent="0.25">
      <c r="A97">
        <v>96</v>
      </c>
      <c r="B97">
        <v>1691</v>
      </c>
      <c r="C97" t="s">
        <v>20</v>
      </c>
      <c r="D97" t="s">
        <v>835</v>
      </c>
      <c r="E97" s="4">
        <v>45414</v>
      </c>
      <c r="F97" s="6">
        <v>0</v>
      </c>
      <c r="G97" s="6" t="s">
        <v>2995</v>
      </c>
      <c r="H97" s="6" t="s">
        <v>2989</v>
      </c>
      <c r="I97" s="6" t="s">
        <v>2995</v>
      </c>
      <c r="J97" s="6" t="s">
        <v>2989</v>
      </c>
      <c r="K97" s="6"/>
      <c r="L97" s="6"/>
      <c r="M97" s="6" t="s">
        <v>3047</v>
      </c>
      <c r="N97" s="6" t="s">
        <v>3046</v>
      </c>
      <c r="O97" s="6"/>
      <c r="P97">
        <f t="shared" si="3"/>
        <v>1</v>
      </c>
      <c r="Q97">
        <f>IF(AND(P97=1,OR(ISNUMBER(MATCH(H97,{"menace","othering","ridicule","blame","victim"},0)),ISNUMBER(MATCH(J97,{"menace","othering","ridicule","blame","victim"},0)),ISNUMBER(MATCH(L97,{"menace","othering","ridicule","blame","victim"},0)))),1,0)</f>
        <v>0</v>
      </c>
      <c r="R97">
        <f>IF(AND(P97=1,Q97=0,OR(ISNUMBER(MATCH(H97,{"wholesome","heroic"},0)),ISNUMBER(MATCH(J97,{"wholesome","heroic"},0)),ISNUMBER(MATCH(L97,{"wholesome","heroic"},0)))),1,0)</f>
        <v>0</v>
      </c>
      <c r="S97">
        <f t="shared" si="4"/>
        <v>1</v>
      </c>
      <c r="T97">
        <f t="shared" si="5"/>
        <v>1</v>
      </c>
    </row>
    <row r="98" spans="1:20" x14ac:dyDescent="0.25">
      <c r="A98">
        <v>97</v>
      </c>
      <c r="B98">
        <v>1758</v>
      </c>
      <c r="C98" t="s">
        <v>20</v>
      </c>
      <c r="D98" t="s">
        <v>835</v>
      </c>
      <c r="E98" s="4">
        <v>45447</v>
      </c>
      <c r="F98" s="6">
        <v>0</v>
      </c>
      <c r="G98" s="6" t="s">
        <v>2999</v>
      </c>
      <c r="H98" s="6" t="s">
        <v>2989</v>
      </c>
      <c r="K98" s="6"/>
      <c r="L98" s="6"/>
      <c r="M98" s="6" t="s">
        <v>3047</v>
      </c>
      <c r="N98" s="6"/>
      <c r="O98" s="6"/>
      <c r="P98">
        <f t="shared" si="3"/>
        <v>1</v>
      </c>
      <c r="Q98">
        <f>IF(AND(P98=1,OR(ISNUMBER(MATCH(H98,{"menace","othering","ridicule","blame","victim"},0)),ISNUMBER(MATCH(J98,{"menace","othering","ridicule","blame","victim"},0)),ISNUMBER(MATCH(L98,{"menace","othering","ridicule","blame","victim"},0)))),1,0)</f>
        <v>0</v>
      </c>
      <c r="R98">
        <f>IF(AND(P98=1,Q98=0,OR(ISNUMBER(MATCH(H98,{"wholesome","heroic"},0)),ISNUMBER(MATCH(J98,{"wholesome","heroic"},0)),ISNUMBER(MATCH(L98,{"wholesome","heroic"},0)))),1,0)</f>
        <v>0</v>
      </c>
      <c r="S98">
        <f t="shared" si="4"/>
        <v>1</v>
      </c>
      <c r="T98">
        <f t="shared" si="5"/>
        <v>0</v>
      </c>
    </row>
    <row r="99" spans="1:20" x14ac:dyDescent="0.25">
      <c r="A99">
        <v>98</v>
      </c>
      <c r="B99">
        <v>1766</v>
      </c>
      <c r="C99" t="s">
        <v>20</v>
      </c>
      <c r="D99" t="s">
        <v>835</v>
      </c>
      <c r="E99" s="4">
        <v>45449</v>
      </c>
      <c r="F99" s="6">
        <v>0</v>
      </c>
      <c r="G99" s="6" t="s">
        <v>2999</v>
      </c>
      <c r="H99" s="6" t="s">
        <v>2987</v>
      </c>
      <c r="I99" s="6" t="s">
        <v>2997</v>
      </c>
      <c r="J99" s="6" t="s">
        <v>2993</v>
      </c>
      <c r="K99" s="6"/>
      <c r="L99" s="6"/>
      <c r="M99" s="6" t="s">
        <v>3047</v>
      </c>
      <c r="N99" s="6" t="s">
        <v>3047</v>
      </c>
      <c r="O99" s="6"/>
      <c r="P99">
        <f t="shared" si="3"/>
        <v>1</v>
      </c>
      <c r="Q99">
        <f>IF(AND(P99=1,OR(ISNUMBER(MATCH(H99,{"menace","othering","ridicule","blame","victim"},0)),ISNUMBER(MATCH(J99,{"menace","othering","ridicule","blame","victim"},0)),ISNUMBER(MATCH(L99,{"menace","othering","ridicule","blame","victim"},0)))),1,0)</f>
        <v>1</v>
      </c>
      <c r="R99">
        <f>IF(AND(P99=1,Q99=0,OR(ISNUMBER(MATCH(H99,{"wholesome","heroic"},0)),ISNUMBER(MATCH(J99,{"wholesome","heroic"},0)),ISNUMBER(MATCH(L99,{"wholesome","heroic"},0)))),1,0)</f>
        <v>0</v>
      </c>
      <c r="S99">
        <f t="shared" si="4"/>
        <v>0</v>
      </c>
      <c r="T99">
        <f t="shared" si="5"/>
        <v>0</v>
      </c>
    </row>
    <row r="100" spans="1:20" x14ac:dyDescent="0.25">
      <c r="A100">
        <v>99</v>
      </c>
      <c r="B100">
        <v>1785</v>
      </c>
      <c r="C100" t="s">
        <v>24</v>
      </c>
      <c r="D100" t="s">
        <v>1038</v>
      </c>
      <c r="E100" s="4">
        <v>45330</v>
      </c>
      <c r="F100" s="6">
        <v>0</v>
      </c>
      <c r="G100" s="6" t="s">
        <v>2998</v>
      </c>
      <c r="H100" s="6" t="s">
        <v>2994</v>
      </c>
      <c r="I100" s="6" t="s">
        <v>2999</v>
      </c>
      <c r="J100" s="6" t="s">
        <v>2996</v>
      </c>
      <c r="K100" s="6"/>
      <c r="L100" s="6"/>
      <c r="M100" s="6" t="s">
        <v>3047</v>
      </c>
      <c r="N100" s="6" t="s">
        <v>3047</v>
      </c>
      <c r="O100" s="6"/>
      <c r="P100">
        <f t="shared" si="3"/>
        <v>1</v>
      </c>
      <c r="Q100">
        <f>IF(AND(P100=1,OR(ISNUMBER(MATCH(H100,{"menace","othering","ridicule","blame","victim"},0)),ISNUMBER(MATCH(J100,{"menace","othering","ridicule","blame","victim"},0)),ISNUMBER(MATCH(L100,{"menace","othering","ridicule","blame","victim"},0)))),1,0)</f>
        <v>1</v>
      </c>
      <c r="R100">
        <f>IF(AND(P100=1,Q100=0,OR(ISNUMBER(MATCH(H100,{"wholesome","heroic"},0)),ISNUMBER(MATCH(J100,{"wholesome","heroic"},0)),ISNUMBER(MATCH(L100,{"wholesome","heroic"},0)))),1,0)</f>
        <v>0</v>
      </c>
      <c r="S100">
        <f t="shared" si="4"/>
        <v>0</v>
      </c>
      <c r="T100">
        <f t="shared" si="5"/>
        <v>0</v>
      </c>
    </row>
    <row r="101" spans="1:20" x14ac:dyDescent="0.25">
      <c r="A101">
        <v>100</v>
      </c>
      <c r="B101">
        <v>1978</v>
      </c>
      <c r="C101" t="s">
        <v>24</v>
      </c>
      <c r="D101" t="s">
        <v>1038</v>
      </c>
      <c r="E101" s="4">
        <v>45422</v>
      </c>
      <c r="F101" s="6">
        <v>0</v>
      </c>
      <c r="G101" s="6" t="s">
        <v>2991</v>
      </c>
      <c r="H101" s="6" t="s">
        <v>2992</v>
      </c>
      <c r="I101" s="6" t="s">
        <v>2995</v>
      </c>
      <c r="J101" s="6" t="s">
        <v>2989</v>
      </c>
      <c r="K101" s="6" t="s">
        <v>2991</v>
      </c>
      <c r="L101" s="6" t="s">
        <v>2989</v>
      </c>
      <c r="M101" s="6" t="s">
        <v>3047</v>
      </c>
      <c r="N101" s="6" t="s">
        <v>3046</v>
      </c>
      <c r="O101" s="6" t="s">
        <v>3046</v>
      </c>
      <c r="P101">
        <f t="shared" si="3"/>
        <v>1</v>
      </c>
      <c r="Q101">
        <f>IF(AND(P101=1,OR(ISNUMBER(MATCH(H101,{"menace","othering","ridicule","blame","victim"},0)),ISNUMBER(MATCH(J101,{"menace","othering","ridicule","blame","victim"},0)),ISNUMBER(MATCH(L101,{"menace","othering","ridicule","blame","victim"},0)))),1,0)</f>
        <v>1</v>
      </c>
      <c r="R101">
        <f>IF(AND(P101=1,Q101=0,OR(ISNUMBER(MATCH(H101,{"wholesome","heroic"},0)),ISNUMBER(MATCH(J101,{"wholesome","heroic"},0)),ISNUMBER(MATCH(L101,{"wholesome","heroic"},0)))),1,0)</f>
        <v>0</v>
      </c>
      <c r="S101">
        <f t="shared" si="4"/>
        <v>0</v>
      </c>
      <c r="T101">
        <f t="shared" si="5"/>
        <v>1</v>
      </c>
    </row>
    <row r="102" spans="1:20" x14ac:dyDescent="0.25">
      <c r="A102">
        <v>101</v>
      </c>
      <c r="B102">
        <v>2061</v>
      </c>
      <c r="C102" t="s">
        <v>24</v>
      </c>
      <c r="D102" t="s">
        <v>1038</v>
      </c>
      <c r="E102" s="4">
        <v>45449</v>
      </c>
      <c r="F102" s="6">
        <v>0</v>
      </c>
      <c r="G102" s="6" t="s">
        <v>2998</v>
      </c>
      <c r="H102" s="6" t="s">
        <v>2993</v>
      </c>
      <c r="I102" s="6" t="s">
        <v>2988</v>
      </c>
      <c r="J102" s="6" t="s">
        <v>2987</v>
      </c>
      <c r="K102" s="6" t="s">
        <v>3000</v>
      </c>
      <c r="L102" s="6" t="s">
        <v>2987</v>
      </c>
      <c r="M102" s="6" t="s">
        <v>3047</v>
      </c>
      <c r="N102" s="6" t="s">
        <v>3047</v>
      </c>
      <c r="O102" s="6" t="s">
        <v>3047</v>
      </c>
      <c r="P102">
        <f t="shared" si="3"/>
        <v>1</v>
      </c>
      <c r="Q102">
        <f>IF(AND(P102=1,OR(ISNUMBER(MATCH(H102,{"menace","othering","ridicule","blame","victim"},0)),ISNUMBER(MATCH(J102,{"menace","othering","ridicule","blame","victim"},0)),ISNUMBER(MATCH(L102,{"menace","othering","ridicule","blame","victim"},0)))),1,0)</f>
        <v>1</v>
      </c>
      <c r="R102">
        <f>IF(AND(P102=1,Q102=0,OR(ISNUMBER(MATCH(H102,{"wholesome","heroic"},0)),ISNUMBER(MATCH(J102,{"wholesome","heroic"},0)),ISNUMBER(MATCH(L102,{"wholesome","heroic"},0)))),1,0)</f>
        <v>0</v>
      </c>
      <c r="S102">
        <f t="shared" si="4"/>
        <v>0</v>
      </c>
      <c r="T102">
        <f t="shared" si="5"/>
        <v>0</v>
      </c>
    </row>
    <row r="103" spans="1:20" x14ac:dyDescent="0.25">
      <c r="A103">
        <v>102</v>
      </c>
      <c r="B103">
        <v>2156</v>
      </c>
      <c r="C103" t="s">
        <v>22</v>
      </c>
      <c r="D103" t="s">
        <v>1038</v>
      </c>
      <c r="E103" s="4">
        <v>45348</v>
      </c>
      <c r="F103" s="6">
        <v>0</v>
      </c>
      <c r="G103" s="6" t="s">
        <v>2986</v>
      </c>
      <c r="H103" s="6" t="s">
        <v>2996</v>
      </c>
      <c r="K103" s="6"/>
      <c r="L103" s="6"/>
      <c r="M103" s="6" t="s">
        <v>3046</v>
      </c>
      <c r="N103" s="6"/>
      <c r="O103" s="6"/>
      <c r="P103">
        <f t="shared" si="3"/>
        <v>1</v>
      </c>
      <c r="Q103">
        <f>IF(AND(P103=1,OR(ISNUMBER(MATCH(H103,{"menace","othering","ridicule","blame","victim"},0)),ISNUMBER(MATCH(J103,{"menace","othering","ridicule","blame","victim"},0)),ISNUMBER(MATCH(L103,{"menace","othering","ridicule","blame","victim"},0)))),1,0)</f>
        <v>1</v>
      </c>
      <c r="R103">
        <f>IF(AND(P103=1,Q103=0,OR(ISNUMBER(MATCH(H103,{"wholesome","heroic"},0)),ISNUMBER(MATCH(J103,{"wholesome","heroic"},0)),ISNUMBER(MATCH(L103,{"wholesome","heroic"},0)))),1,0)</f>
        <v>0</v>
      </c>
      <c r="S103">
        <f t="shared" si="4"/>
        <v>0</v>
      </c>
      <c r="T103">
        <f t="shared" si="5"/>
        <v>0</v>
      </c>
    </row>
    <row r="104" spans="1:20" x14ac:dyDescent="0.25">
      <c r="A104">
        <v>103</v>
      </c>
      <c r="B104">
        <v>2166</v>
      </c>
      <c r="C104" t="s">
        <v>22</v>
      </c>
      <c r="D104" t="s">
        <v>1038</v>
      </c>
      <c r="E104" s="4">
        <v>45351</v>
      </c>
      <c r="F104" s="6">
        <v>0</v>
      </c>
      <c r="G104" s="6" t="s">
        <v>2986</v>
      </c>
      <c r="H104" s="6" t="s">
        <v>2996</v>
      </c>
      <c r="I104" s="6" t="s">
        <v>2986</v>
      </c>
      <c r="J104" s="6" t="s">
        <v>2989</v>
      </c>
      <c r="K104" s="6"/>
      <c r="L104" s="6"/>
      <c r="M104" s="6" t="s">
        <v>3046</v>
      </c>
      <c r="N104" s="6" t="s">
        <v>3046</v>
      </c>
      <c r="O104" s="6"/>
      <c r="P104">
        <f t="shared" si="3"/>
        <v>1</v>
      </c>
      <c r="Q104">
        <f>IF(AND(P104=1,OR(ISNUMBER(MATCH(H104,{"menace","othering","ridicule","blame","victim"},0)),ISNUMBER(MATCH(J104,{"menace","othering","ridicule","blame","victim"},0)),ISNUMBER(MATCH(L104,{"menace","othering","ridicule","blame","victim"},0)))),1,0)</f>
        <v>1</v>
      </c>
      <c r="R104">
        <f>IF(AND(P104=1,Q104=0,OR(ISNUMBER(MATCH(H104,{"wholesome","heroic"},0)),ISNUMBER(MATCH(J104,{"wholesome","heroic"},0)),ISNUMBER(MATCH(L104,{"wholesome","heroic"},0)))),1,0)</f>
        <v>0</v>
      </c>
      <c r="S104">
        <f t="shared" si="4"/>
        <v>0</v>
      </c>
      <c r="T104">
        <f t="shared" si="5"/>
        <v>0</v>
      </c>
    </row>
    <row r="105" spans="1:20" x14ac:dyDescent="0.25">
      <c r="A105">
        <v>104</v>
      </c>
      <c r="B105">
        <v>2167</v>
      </c>
      <c r="C105" t="s">
        <v>22</v>
      </c>
      <c r="D105" t="s">
        <v>1038</v>
      </c>
      <c r="E105" s="4">
        <v>45351</v>
      </c>
      <c r="F105" s="6">
        <v>0</v>
      </c>
      <c r="G105" s="6" t="s">
        <v>2988</v>
      </c>
      <c r="H105" s="6" t="s">
        <v>2985</v>
      </c>
      <c r="I105" s="6" t="s">
        <v>2991</v>
      </c>
      <c r="J105" s="6" t="s">
        <v>2993</v>
      </c>
      <c r="K105" s="6" t="s">
        <v>2991</v>
      </c>
      <c r="L105" s="6" t="s">
        <v>2990</v>
      </c>
      <c r="M105" s="6" t="s">
        <v>3047</v>
      </c>
      <c r="N105" s="6" t="s">
        <v>3047</v>
      </c>
      <c r="O105" s="6" t="s">
        <v>3047</v>
      </c>
      <c r="P105">
        <f t="shared" si="3"/>
        <v>1</v>
      </c>
      <c r="Q105">
        <f>IF(AND(P105=1,OR(ISNUMBER(MATCH(H105,{"menace","othering","ridicule","blame","victim"},0)),ISNUMBER(MATCH(J105,{"menace","othering","ridicule","blame","victim"},0)),ISNUMBER(MATCH(L105,{"menace","othering","ridicule","blame","victim"},0)))),1,0)</f>
        <v>1</v>
      </c>
      <c r="R105">
        <f>IF(AND(P105=1,Q105=0,OR(ISNUMBER(MATCH(H105,{"wholesome","heroic"},0)),ISNUMBER(MATCH(J105,{"wholesome","heroic"},0)),ISNUMBER(MATCH(L105,{"wholesome","heroic"},0)))),1,0)</f>
        <v>0</v>
      </c>
      <c r="S105">
        <f t="shared" si="4"/>
        <v>0</v>
      </c>
      <c r="T105">
        <f t="shared" si="5"/>
        <v>0</v>
      </c>
    </row>
    <row r="106" spans="1:20" x14ac:dyDescent="0.25">
      <c r="A106">
        <v>105</v>
      </c>
      <c r="B106">
        <v>2292</v>
      </c>
      <c r="C106" t="s">
        <v>22</v>
      </c>
      <c r="D106" t="s">
        <v>1038</v>
      </c>
      <c r="E106" s="4">
        <v>45390</v>
      </c>
      <c r="F106" s="6">
        <v>0</v>
      </c>
      <c r="G106" s="6" t="s">
        <v>2988</v>
      </c>
      <c r="H106" s="6" t="s">
        <v>2987</v>
      </c>
      <c r="K106" s="6"/>
      <c r="L106" s="6"/>
      <c r="M106" s="6" t="s">
        <v>3047</v>
      </c>
      <c r="N106" s="6"/>
      <c r="O106" s="6"/>
      <c r="P106">
        <f t="shared" si="3"/>
        <v>1</v>
      </c>
      <c r="Q106">
        <f>IF(AND(P106=1,OR(ISNUMBER(MATCH(H106,{"menace","othering","ridicule","blame","victim"},0)),ISNUMBER(MATCH(J106,{"menace","othering","ridicule","blame","victim"},0)),ISNUMBER(MATCH(L106,{"menace","othering","ridicule","blame","victim"},0)))),1,0)</f>
        <v>1</v>
      </c>
      <c r="R106">
        <f>IF(AND(P106=1,Q106=0,OR(ISNUMBER(MATCH(H106,{"wholesome","heroic"},0)),ISNUMBER(MATCH(J106,{"wholesome","heroic"},0)),ISNUMBER(MATCH(L106,{"wholesome","heroic"},0)))),1,0)</f>
        <v>0</v>
      </c>
      <c r="S106">
        <f t="shared" si="4"/>
        <v>0</v>
      </c>
      <c r="T106">
        <f t="shared" si="5"/>
        <v>0</v>
      </c>
    </row>
    <row r="107" spans="1:20" x14ac:dyDescent="0.25">
      <c r="A107">
        <v>106</v>
      </c>
      <c r="B107">
        <v>2296</v>
      </c>
      <c r="C107" t="s">
        <v>22</v>
      </c>
      <c r="D107" t="s">
        <v>1038</v>
      </c>
      <c r="E107" s="4">
        <v>45391</v>
      </c>
      <c r="F107" s="6">
        <v>0</v>
      </c>
      <c r="G107" s="6" t="s">
        <v>2991</v>
      </c>
      <c r="H107" s="6" t="s">
        <v>2990</v>
      </c>
      <c r="K107" s="6"/>
      <c r="L107" s="6"/>
      <c r="M107" s="6" t="s">
        <v>3047</v>
      </c>
      <c r="N107" s="6"/>
      <c r="O107" s="6"/>
      <c r="P107">
        <f t="shared" si="3"/>
        <v>1</v>
      </c>
      <c r="Q107">
        <f>IF(AND(P107=1,OR(ISNUMBER(MATCH(H107,{"menace","othering","ridicule","blame","victim"},0)),ISNUMBER(MATCH(J107,{"menace","othering","ridicule","blame","victim"},0)),ISNUMBER(MATCH(L107,{"menace","othering","ridicule","blame","victim"},0)))),1,0)</f>
        <v>0</v>
      </c>
      <c r="R107">
        <f>IF(AND(P107=1,Q107=0,OR(ISNUMBER(MATCH(H107,{"wholesome","heroic"},0)),ISNUMBER(MATCH(J107,{"wholesome","heroic"},0)),ISNUMBER(MATCH(L107,{"wholesome","heroic"},0)))),1,0)</f>
        <v>1</v>
      </c>
      <c r="S107">
        <f t="shared" si="4"/>
        <v>0</v>
      </c>
      <c r="T107">
        <f t="shared" si="5"/>
        <v>0</v>
      </c>
    </row>
    <row r="108" spans="1:20" x14ac:dyDescent="0.25">
      <c r="A108">
        <v>107</v>
      </c>
      <c r="B108">
        <v>2300</v>
      </c>
      <c r="C108" t="s">
        <v>22</v>
      </c>
      <c r="D108" t="s">
        <v>1038</v>
      </c>
      <c r="E108" s="4">
        <v>45391</v>
      </c>
      <c r="F108" s="6">
        <v>0</v>
      </c>
      <c r="G108" s="6" t="s">
        <v>2991</v>
      </c>
      <c r="H108" s="6" t="s">
        <v>2990</v>
      </c>
      <c r="K108" s="6"/>
      <c r="L108" s="6"/>
      <c r="M108" s="6" t="s">
        <v>3047</v>
      </c>
      <c r="N108" s="6"/>
      <c r="O108" s="6"/>
      <c r="P108">
        <f t="shared" si="3"/>
        <v>1</v>
      </c>
      <c r="Q108">
        <f>IF(AND(P108=1,OR(ISNUMBER(MATCH(H108,{"menace","othering","ridicule","blame","victim"},0)),ISNUMBER(MATCH(J108,{"menace","othering","ridicule","blame","victim"},0)),ISNUMBER(MATCH(L108,{"menace","othering","ridicule","blame","victim"},0)))),1,0)</f>
        <v>0</v>
      </c>
      <c r="R108">
        <f>IF(AND(P108=1,Q108=0,OR(ISNUMBER(MATCH(H108,{"wholesome","heroic"},0)),ISNUMBER(MATCH(J108,{"wholesome","heroic"},0)),ISNUMBER(MATCH(L108,{"wholesome","heroic"},0)))),1,0)</f>
        <v>1</v>
      </c>
      <c r="S108">
        <f t="shared" si="4"/>
        <v>0</v>
      </c>
      <c r="T108">
        <f t="shared" si="5"/>
        <v>0</v>
      </c>
    </row>
    <row r="109" spans="1:20" x14ac:dyDescent="0.25">
      <c r="A109">
        <v>108</v>
      </c>
      <c r="B109">
        <v>2301</v>
      </c>
      <c r="C109" t="s">
        <v>22</v>
      </c>
      <c r="D109" t="s">
        <v>1038</v>
      </c>
      <c r="E109" s="4">
        <v>45391</v>
      </c>
      <c r="F109" s="6">
        <v>0</v>
      </c>
      <c r="G109" s="6" t="s">
        <v>2991</v>
      </c>
      <c r="H109" s="6" t="s">
        <v>2990</v>
      </c>
      <c r="K109" s="6"/>
      <c r="L109" s="6"/>
      <c r="M109" s="6" t="s">
        <v>3047</v>
      </c>
      <c r="N109" s="6"/>
      <c r="O109" s="6"/>
      <c r="P109">
        <f t="shared" si="3"/>
        <v>1</v>
      </c>
      <c r="Q109">
        <f>IF(AND(P109=1,OR(ISNUMBER(MATCH(H109,{"menace","othering","ridicule","blame","victim"},0)),ISNUMBER(MATCH(J109,{"menace","othering","ridicule","blame","victim"},0)),ISNUMBER(MATCH(L109,{"menace","othering","ridicule","blame","victim"},0)))),1,0)</f>
        <v>0</v>
      </c>
      <c r="R109">
        <f>IF(AND(P109=1,Q109=0,OR(ISNUMBER(MATCH(H109,{"wholesome","heroic"},0)),ISNUMBER(MATCH(J109,{"wholesome","heroic"},0)),ISNUMBER(MATCH(L109,{"wholesome","heroic"},0)))),1,0)</f>
        <v>1</v>
      </c>
      <c r="S109">
        <f t="shared" si="4"/>
        <v>0</v>
      </c>
      <c r="T109">
        <f t="shared" si="5"/>
        <v>0</v>
      </c>
    </row>
    <row r="110" spans="1:20" x14ac:dyDescent="0.25">
      <c r="A110">
        <v>109</v>
      </c>
      <c r="B110">
        <v>2302</v>
      </c>
      <c r="C110" t="s">
        <v>22</v>
      </c>
      <c r="D110" t="s">
        <v>1038</v>
      </c>
      <c r="E110" s="4">
        <v>45391</v>
      </c>
      <c r="F110" s="6">
        <v>0</v>
      </c>
      <c r="G110" s="6" t="s">
        <v>2991</v>
      </c>
      <c r="H110" s="6" t="s">
        <v>2990</v>
      </c>
      <c r="K110" s="6"/>
      <c r="L110" s="6"/>
      <c r="M110" s="6" t="s">
        <v>3047</v>
      </c>
      <c r="N110" s="6"/>
      <c r="O110" s="6"/>
      <c r="P110">
        <f t="shared" si="3"/>
        <v>1</v>
      </c>
      <c r="Q110">
        <f>IF(AND(P110=1,OR(ISNUMBER(MATCH(H110,{"menace","othering","ridicule","blame","victim"},0)),ISNUMBER(MATCH(J110,{"menace","othering","ridicule","blame","victim"},0)),ISNUMBER(MATCH(L110,{"menace","othering","ridicule","blame","victim"},0)))),1,0)</f>
        <v>0</v>
      </c>
      <c r="R110">
        <f>IF(AND(P110=1,Q110=0,OR(ISNUMBER(MATCH(H110,{"wholesome","heroic"},0)),ISNUMBER(MATCH(J110,{"wholesome","heroic"},0)),ISNUMBER(MATCH(L110,{"wholesome","heroic"},0)))),1,0)</f>
        <v>1</v>
      </c>
      <c r="S110">
        <f t="shared" si="4"/>
        <v>0</v>
      </c>
      <c r="T110">
        <f t="shared" si="5"/>
        <v>0</v>
      </c>
    </row>
    <row r="111" spans="1:20" x14ac:dyDescent="0.25">
      <c r="A111">
        <v>110</v>
      </c>
      <c r="B111">
        <v>2303</v>
      </c>
      <c r="C111" t="s">
        <v>22</v>
      </c>
      <c r="D111" t="s">
        <v>1038</v>
      </c>
      <c r="E111" s="4">
        <v>45391</v>
      </c>
      <c r="F111" s="6">
        <v>0</v>
      </c>
      <c r="G111" s="6" t="s">
        <v>2991</v>
      </c>
      <c r="H111" s="6" t="s">
        <v>2990</v>
      </c>
      <c r="I111" s="6" t="s">
        <v>2991</v>
      </c>
      <c r="J111" s="6" t="s">
        <v>2989</v>
      </c>
      <c r="K111" s="6" t="s">
        <v>2986</v>
      </c>
      <c r="L111" s="6" t="s">
        <v>2989</v>
      </c>
      <c r="M111" s="6" t="s">
        <v>3047</v>
      </c>
      <c r="N111" s="6" t="s">
        <v>3046</v>
      </c>
      <c r="O111" s="6" t="s">
        <v>3046</v>
      </c>
      <c r="P111">
        <f t="shared" si="3"/>
        <v>1</v>
      </c>
      <c r="Q111">
        <f>IF(AND(P111=1,OR(ISNUMBER(MATCH(H111,{"menace","othering","ridicule","blame","victim"},0)),ISNUMBER(MATCH(J111,{"menace","othering","ridicule","blame","victim"},0)),ISNUMBER(MATCH(L111,{"menace","othering","ridicule","blame","victim"},0)))),1,0)</f>
        <v>0</v>
      </c>
      <c r="R111">
        <f>IF(AND(P111=1,Q111=0,OR(ISNUMBER(MATCH(H111,{"wholesome","heroic"},0)),ISNUMBER(MATCH(J111,{"wholesome","heroic"},0)),ISNUMBER(MATCH(L111,{"wholesome","heroic"},0)))),1,0)</f>
        <v>1</v>
      </c>
      <c r="S111">
        <f t="shared" si="4"/>
        <v>0</v>
      </c>
      <c r="T111">
        <f t="shared" si="5"/>
        <v>0</v>
      </c>
    </row>
    <row r="112" spans="1:20" x14ac:dyDescent="0.25">
      <c r="A112">
        <v>111</v>
      </c>
      <c r="B112">
        <v>2305</v>
      </c>
      <c r="C112" t="s">
        <v>22</v>
      </c>
      <c r="D112" t="s">
        <v>1038</v>
      </c>
      <c r="E112" s="4">
        <v>45391</v>
      </c>
      <c r="F112" s="6">
        <v>0</v>
      </c>
      <c r="G112" s="6" t="s">
        <v>2988</v>
      </c>
      <c r="H112" s="6" t="s">
        <v>2987</v>
      </c>
      <c r="I112" s="6" t="s">
        <v>2986</v>
      </c>
      <c r="J112" s="6" t="s">
        <v>2985</v>
      </c>
      <c r="K112" s="6" t="s">
        <v>2995</v>
      </c>
      <c r="L112" s="6" t="s">
        <v>2989</v>
      </c>
      <c r="M112" s="6" t="s">
        <v>3047</v>
      </c>
      <c r="N112" s="6" t="s">
        <v>3046</v>
      </c>
      <c r="O112" s="6" t="s">
        <v>3046</v>
      </c>
      <c r="P112">
        <f t="shared" si="3"/>
        <v>1</v>
      </c>
      <c r="Q112">
        <f>IF(AND(P112=1,OR(ISNUMBER(MATCH(H112,{"menace","othering","ridicule","blame","victim"},0)),ISNUMBER(MATCH(J112,{"menace","othering","ridicule","blame","victim"},0)),ISNUMBER(MATCH(L112,{"menace","othering","ridicule","blame","victim"},0)))),1,0)</f>
        <v>1</v>
      </c>
      <c r="R112">
        <f>IF(AND(P112=1,Q112=0,OR(ISNUMBER(MATCH(H112,{"wholesome","heroic"},0)),ISNUMBER(MATCH(J112,{"wholesome","heroic"},0)),ISNUMBER(MATCH(L112,{"wholesome","heroic"},0)))),1,0)</f>
        <v>0</v>
      </c>
      <c r="S112">
        <f t="shared" si="4"/>
        <v>0</v>
      </c>
      <c r="T112">
        <f t="shared" si="5"/>
        <v>1</v>
      </c>
    </row>
    <row r="113" spans="1:20" x14ac:dyDescent="0.25">
      <c r="A113">
        <v>112</v>
      </c>
      <c r="B113">
        <v>2315</v>
      </c>
      <c r="C113" t="s">
        <v>22</v>
      </c>
      <c r="D113" t="s">
        <v>1038</v>
      </c>
      <c r="E113" s="4">
        <v>45392</v>
      </c>
      <c r="F113" s="6">
        <v>0</v>
      </c>
      <c r="G113" s="6" t="s">
        <v>2991</v>
      </c>
      <c r="H113" s="6" t="s">
        <v>2990</v>
      </c>
      <c r="I113" s="6" t="s">
        <v>2991</v>
      </c>
      <c r="J113" s="6" t="s">
        <v>2989</v>
      </c>
      <c r="K113" s="6"/>
      <c r="L113" s="6"/>
      <c r="M113" s="6" t="s">
        <v>3047</v>
      </c>
      <c r="N113" s="6" t="s">
        <v>3046</v>
      </c>
      <c r="O113" s="6"/>
      <c r="P113">
        <f t="shared" si="3"/>
        <v>1</v>
      </c>
      <c r="Q113">
        <f>IF(AND(P113=1,OR(ISNUMBER(MATCH(H113,{"menace","othering","ridicule","blame","victim"},0)),ISNUMBER(MATCH(J113,{"menace","othering","ridicule","blame","victim"},0)),ISNUMBER(MATCH(L113,{"menace","othering","ridicule","blame","victim"},0)))),1,0)</f>
        <v>0</v>
      </c>
      <c r="R113">
        <f>IF(AND(P113=1,Q113=0,OR(ISNUMBER(MATCH(H113,{"wholesome","heroic"},0)),ISNUMBER(MATCH(J113,{"wholesome","heroic"},0)),ISNUMBER(MATCH(L113,{"wholesome","heroic"},0)))),1,0)</f>
        <v>1</v>
      </c>
      <c r="S113">
        <f t="shared" si="4"/>
        <v>0</v>
      </c>
      <c r="T113">
        <f t="shared" si="5"/>
        <v>0</v>
      </c>
    </row>
    <row r="114" spans="1:20" x14ac:dyDescent="0.25">
      <c r="A114">
        <v>113</v>
      </c>
      <c r="B114">
        <v>2321</v>
      </c>
      <c r="C114" t="s">
        <v>22</v>
      </c>
      <c r="D114" t="s">
        <v>1038</v>
      </c>
      <c r="E114" s="4">
        <v>45393</v>
      </c>
      <c r="F114" s="6">
        <v>0</v>
      </c>
      <c r="G114" s="6" t="s">
        <v>2991</v>
      </c>
      <c r="H114" s="6" t="s">
        <v>2990</v>
      </c>
      <c r="I114" s="6" t="s">
        <v>3862</v>
      </c>
      <c r="J114" s="6" t="s">
        <v>2989</v>
      </c>
      <c r="K114" s="6" t="s">
        <v>2991</v>
      </c>
      <c r="L114" s="6" t="s">
        <v>2989</v>
      </c>
      <c r="M114" s="6" t="s">
        <v>3047</v>
      </c>
      <c r="N114" s="6" t="s">
        <v>3046</v>
      </c>
      <c r="O114" s="6" t="s">
        <v>3046</v>
      </c>
      <c r="P114">
        <f t="shared" si="3"/>
        <v>1</v>
      </c>
      <c r="Q114">
        <f>IF(AND(P114=1,OR(ISNUMBER(MATCH(H114,{"menace","othering","ridicule","blame","victim"},0)),ISNUMBER(MATCH(J114,{"menace","othering","ridicule","blame","victim"},0)),ISNUMBER(MATCH(L114,{"menace","othering","ridicule","blame","victim"},0)))),1,0)</f>
        <v>0</v>
      </c>
      <c r="R114">
        <f>IF(AND(P114=1,Q114=0,OR(ISNUMBER(MATCH(H114,{"wholesome","heroic"},0)),ISNUMBER(MATCH(J114,{"wholesome","heroic"},0)),ISNUMBER(MATCH(L114,{"wholesome","heroic"},0)))),1,0)</f>
        <v>1</v>
      </c>
      <c r="S114">
        <f t="shared" si="4"/>
        <v>0</v>
      </c>
      <c r="T114">
        <f t="shared" si="5"/>
        <v>0</v>
      </c>
    </row>
    <row r="115" spans="1:20" x14ac:dyDescent="0.25">
      <c r="A115">
        <v>114</v>
      </c>
      <c r="B115">
        <v>2345</v>
      </c>
      <c r="C115" t="s">
        <v>22</v>
      </c>
      <c r="D115" t="s">
        <v>1038</v>
      </c>
      <c r="E115" s="4">
        <v>45396</v>
      </c>
      <c r="F115" s="6">
        <v>0</v>
      </c>
      <c r="G115" s="6" t="s">
        <v>2991</v>
      </c>
      <c r="H115" s="6" t="s">
        <v>2990</v>
      </c>
      <c r="I115" s="6" t="s">
        <v>3862</v>
      </c>
      <c r="J115" s="6" t="s">
        <v>2989</v>
      </c>
      <c r="K115" s="6"/>
      <c r="L115" s="6"/>
      <c r="M115" s="6" t="s">
        <v>3047</v>
      </c>
      <c r="N115" s="6" t="s">
        <v>3046</v>
      </c>
      <c r="O115" s="6"/>
      <c r="P115">
        <f t="shared" si="3"/>
        <v>1</v>
      </c>
      <c r="Q115">
        <f>IF(AND(P115=1,OR(ISNUMBER(MATCH(H115,{"menace","othering","ridicule","blame","victim"},0)),ISNUMBER(MATCH(J115,{"menace","othering","ridicule","blame","victim"},0)),ISNUMBER(MATCH(L115,{"menace","othering","ridicule","blame","victim"},0)))),1,0)</f>
        <v>0</v>
      </c>
      <c r="R115">
        <f>IF(AND(P115=1,Q115=0,OR(ISNUMBER(MATCH(H115,{"wholesome","heroic"},0)),ISNUMBER(MATCH(J115,{"wholesome","heroic"},0)),ISNUMBER(MATCH(L115,{"wholesome","heroic"},0)))),1,0)</f>
        <v>1</v>
      </c>
      <c r="S115">
        <f t="shared" si="4"/>
        <v>0</v>
      </c>
      <c r="T115">
        <f t="shared" si="5"/>
        <v>0</v>
      </c>
    </row>
    <row r="116" spans="1:20" x14ac:dyDescent="0.25">
      <c r="A116">
        <v>115</v>
      </c>
      <c r="B116">
        <v>2399</v>
      </c>
      <c r="C116" t="s">
        <v>22</v>
      </c>
      <c r="D116" t="s">
        <v>1038</v>
      </c>
      <c r="E116" s="4">
        <v>45408</v>
      </c>
      <c r="F116" s="6">
        <v>0</v>
      </c>
      <c r="G116" s="6" t="s">
        <v>2991</v>
      </c>
      <c r="H116" s="6" t="s">
        <v>2990</v>
      </c>
      <c r="I116" s="6" t="s">
        <v>3000</v>
      </c>
      <c r="J116" s="6" t="s">
        <v>2990</v>
      </c>
      <c r="K116" s="6"/>
      <c r="L116" s="6"/>
      <c r="M116" s="6" t="s">
        <v>3047</v>
      </c>
      <c r="N116" s="6" t="s">
        <v>3047</v>
      </c>
      <c r="O116" s="6"/>
      <c r="P116">
        <f t="shared" si="3"/>
        <v>1</v>
      </c>
      <c r="Q116">
        <f>IF(AND(P116=1,OR(ISNUMBER(MATCH(H116,{"menace","othering","ridicule","blame","victim"},0)),ISNUMBER(MATCH(J116,{"menace","othering","ridicule","blame","victim"},0)),ISNUMBER(MATCH(L116,{"menace","othering","ridicule","blame","victim"},0)))),1,0)</f>
        <v>0</v>
      </c>
      <c r="R116">
        <f>IF(AND(P116=1,Q116=0,OR(ISNUMBER(MATCH(H116,{"wholesome","heroic"},0)),ISNUMBER(MATCH(J116,{"wholesome","heroic"},0)),ISNUMBER(MATCH(L116,{"wholesome","heroic"},0)))),1,0)</f>
        <v>1</v>
      </c>
      <c r="S116">
        <f t="shared" si="4"/>
        <v>0</v>
      </c>
      <c r="T116">
        <f t="shared" si="5"/>
        <v>0</v>
      </c>
    </row>
    <row r="117" spans="1:20" x14ac:dyDescent="0.25">
      <c r="A117">
        <v>116</v>
      </c>
      <c r="B117">
        <v>2402</v>
      </c>
      <c r="C117" t="s">
        <v>22</v>
      </c>
      <c r="D117" t="s">
        <v>1038</v>
      </c>
      <c r="E117" s="4">
        <v>45408</v>
      </c>
      <c r="F117" s="6">
        <v>0</v>
      </c>
      <c r="G117" s="6" t="s">
        <v>2991</v>
      </c>
      <c r="H117" s="6" t="s">
        <v>2989</v>
      </c>
      <c r="I117" s="6" t="s">
        <v>2991</v>
      </c>
      <c r="J117" s="6" t="s">
        <v>2987</v>
      </c>
      <c r="K117" s="6" t="s">
        <v>2991</v>
      </c>
      <c r="L117" s="6" t="s">
        <v>2990</v>
      </c>
      <c r="M117" s="6" t="s">
        <v>3047</v>
      </c>
      <c r="N117" s="6" t="s">
        <v>3047</v>
      </c>
      <c r="O117" s="6" t="s">
        <v>3047</v>
      </c>
      <c r="P117">
        <f t="shared" si="3"/>
        <v>1</v>
      </c>
      <c r="Q117">
        <f>IF(AND(P117=1,OR(ISNUMBER(MATCH(H117,{"menace","othering","ridicule","blame","victim"},0)),ISNUMBER(MATCH(J117,{"menace","othering","ridicule","blame","victim"},0)),ISNUMBER(MATCH(L117,{"menace","othering","ridicule","blame","victim"},0)))),1,0)</f>
        <v>1</v>
      </c>
      <c r="R117">
        <f>IF(AND(P117=1,Q117=0,OR(ISNUMBER(MATCH(H117,{"wholesome","heroic"},0)),ISNUMBER(MATCH(J117,{"wholesome","heroic"},0)),ISNUMBER(MATCH(L117,{"wholesome","heroic"},0)))),1,0)</f>
        <v>0</v>
      </c>
      <c r="S117">
        <f t="shared" si="4"/>
        <v>0</v>
      </c>
      <c r="T117">
        <f t="shared" si="5"/>
        <v>0</v>
      </c>
    </row>
    <row r="118" spans="1:20" x14ac:dyDescent="0.25">
      <c r="A118">
        <v>117</v>
      </c>
      <c r="B118">
        <v>2423</v>
      </c>
      <c r="C118" t="s">
        <v>22</v>
      </c>
      <c r="D118" t="s">
        <v>1038</v>
      </c>
      <c r="E118" s="4">
        <v>45412</v>
      </c>
      <c r="F118" s="6">
        <v>0</v>
      </c>
      <c r="G118" s="6" t="s">
        <v>2991</v>
      </c>
      <c r="H118" s="6" t="s">
        <v>2993</v>
      </c>
      <c r="K118" s="6"/>
      <c r="L118" s="6"/>
      <c r="M118" s="6" t="s">
        <v>3047</v>
      </c>
      <c r="N118" s="6"/>
      <c r="O118" s="6"/>
      <c r="P118">
        <f t="shared" si="3"/>
        <v>1</v>
      </c>
      <c r="Q118">
        <f>IF(AND(P118=1,OR(ISNUMBER(MATCH(H118,{"menace","othering","ridicule","blame","victim"},0)),ISNUMBER(MATCH(J118,{"menace","othering","ridicule","blame","victim"},0)),ISNUMBER(MATCH(L118,{"menace","othering","ridicule","blame","victim"},0)))),1,0)</f>
        <v>1</v>
      </c>
      <c r="R118">
        <f>IF(AND(P118=1,Q118=0,OR(ISNUMBER(MATCH(H118,{"wholesome","heroic"},0)),ISNUMBER(MATCH(J118,{"wholesome","heroic"},0)),ISNUMBER(MATCH(L118,{"wholesome","heroic"},0)))),1,0)</f>
        <v>0</v>
      </c>
      <c r="S118">
        <f t="shared" si="4"/>
        <v>0</v>
      </c>
      <c r="T118">
        <f t="shared" si="5"/>
        <v>0</v>
      </c>
    </row>
    <row r="119" spans="1:20" x14ac:dyDescent="0.25">
      <c r="A119">
        <v>118</v>
      </c>
      <c r="B119">
        <v>2425</v>
      </c>
      <c r="C119" t="s">
        <v>22</v>
      </c>
      <c r="D119" t="s">
        <v>1038</v>
      </c>
      <c r="E119" s="4">
        <v>45412</v>
      </c>
      <c r="F119" s="6">
        <v>0</v>
      </c>
      <c r="G119" s="6" t="s">
        <v>2991</v>
      </c>
      <c r="H119" s="6" t="s">
        <v>2993</v>
      </c>
      <c r="I119" s="6" t="s">
        <v>3862</v>
      </c>
      <c r="J119" s="6" t="s">
        <v>2989</v>
      </c>
      <c r="K119" s="6"/>
      <c r="L119" s="6"/>
      <c r="M119" s="6" t="s">
        <v>3047</v>
      </c>
      <c r="N119" s="6" t="s">
        <v>3046</v>
      </c>
      <c r="O119" s="6"/>
      <c r="P119">
        <f t="shared" si="3"/>
        <v>1</v>
      </c>
      <c r="Q119">
        <f>IF(AND(P119=1,OR(ISNUMBER(MATCH(H119,{"menace","othering","ridicule","blame","victim"},0)),ISNUMBER(MATCH(J119,{"menace","othering","ridicule","blame","victim"},0)),ISNUMBER(MATCH(L119,{"menace","othering","ridicule","blame","victim"},0)))),1,0)</f>
        <v>1</v>
      </c>
      <c r="R119">
        <f>IF(AND(P119=1,Q119=0,OR(ISNUMBER(MATCH(H119,{"wholesome","heroic"},0)),ISNUMBER(MATCH(J119,{"wholesome","heroic"},0)),ISNUMBER(MATCH(L119,{"wholesome","heroic"},0)))),1,0)</f>
        <v>0</v>
      </c>
      <c r="S119">
        <f t="shared" si="4"/>
        <v>0</v>
      </c>
      <c r="T119">
        <f t="shared" si="5"/>
        <v>0</v>
      </c>
    </row>
    <row r="120" spans="1:20" x14ac:dyDescent="0.25">
      <c r="A120">
        <v>119</v>
      </c>
      <c r="B120">
        <v>2430</v>
      </c>
      <c r="C120" t="s">
        <v>22</v>
      </c>
      <c r="D120" t="s">
        <v>1038</v>
      </c>
      <c r="E120" s="4">
        <v>45413</v>
      </c>
      <c r="F120" s="6">
        <v>0</v>
      </c>
      <c r="G120" s="6" t="s">
        <v>2991</v>
      </c>
      <c r="H120" s="6" t="s">
        <v>2990</v>
      </c>
      <c r="K120" s="6"/>
      <c r="L120" s="6"/>
      <c r="M120" s="6" t="s">
        <v>3047</v>
      </c>
      <c r="N120" s="6"/>
      <c r="O120" s="6"/>
      <c r="P120">
        <f t="shared" si="3"/>
        <v>1</v>
      </c>
      <c r="Q120">
        <f>IF(AND(P120=1,OR(ISNUMBER(MATCH(H120,{"menace","othering","ridicule","blame","victim"},0)),ISNUMBER(MATCH(J120,{"menace","othering","ridicule","blame","victim"},0)),ISNUMBER(MATCH(L120,{"menace","othering","ridicule","blame","victim"},0)))),1,0)</f>
        <v>0</v>
      </c>
      <c r="R120">
        <f>IF(AND(P120=1,Q120=0,OR(ISNUMBER(MATCH(H120,{"wholesome","heroic"},0)),ISNUMBER(MATCH(J120,{"wholesome","heroic"},0)),ISNUMBER(MATCH(L120,{"wholesome","heroic"},0)))),1,0)</f>
        <v>1</v>
      </c>
      <c r="S120">
        <f t="shared" si="4"/>
        <v>0</v>
      </c>
      <c r="T120">
        <f t="shared" si="5"/>
        <v>0</v>
      </c>
    </row>
    <row r="121" spans="1:20" x14ac:dyDescent="0.25">
      <c r="A121">
        <v>120</v>
      </c>
      <c r="B121">
        <v>2445</v>
      </c>
      <c r="C121" t="s">
        <v>22</v>
      </c>
      <c r="D121" t="s">
        <v>1038</v>
      </c>
      <c r="E121" s="4">
        <v>45414</v>
      </c>
      <c r="F121" s="6">
        <v>0</v>
      </c>
      <c r="G121" s="6" t="s">
        <v>2991</v>
      </c>
      <c r="H121" s="6" t="s">
        <v>2989</v>
      </c>
      <c r="K121" s="6"/>
      <c r="L121" s="6"/>
      <c r="M121" s="6" t="s">
        <v>3047</v>
      </c>
      <c r="N121" s="6"/>
      <c r="O121" s="6"/>
      <c r="P121">
        <f t="shared" si="3"/>
        <v>1</v>
      </c>
      <c r="Q121">
        <f>IF(AND(P121=1,OR(ISNUMBER(MATCH(H121,{"menace","othering","ridicule","blame","victim"},0)),ISNUMBER(MATCH(J121,{"menace","othering","ridicule","blame","victim"},0)),ISNUMBER(MATCH(L121,{"menace","othering","ridicule","blame","victim"},0)))),1,0)</f>
        <v>0</v>
      </c>
      <c r="R121">
        <f>IF(AND(P121=1,Q121=0,OR(ISNUMBER(MATCH(H121,{"wholesome","heroic"},0)),ISNUMBER(MATCH(J121,{"wholesome","heroic"},0)),ISNUMBER(MATCH(L121,{"wholesome","heroic"},0)))),1,0)</f>
        <v>0</v>
      </c>
      <c r="S121">
        <f t="shared" si="4"/>
        <v>1</v>
      </c>
      <c r="T121">
        <f t="shared" si="5"/>
        <v>0</v>
      </c>
    </row>
    <row r="122" spans="1:20" x14ac:dyDescent="0.25">
      <c r="A122">
        <v>121</v>
      </c>
      <c r="B122">
        <v>2479</v>
      </c>
      <c r="C122" t="s">
        <v>22</v>
      </c>
      <c r="D122" t="s">
        <v>1038</v>
      </c>
      <c r="E122" s="4">
        <v>45417</v>
      </c>
      <c r="F122" s="6">
        <v>0</v>
      </c>
      <c r="G122" s="6" t="s">
        <v>2991</v>
      </c>
      <c r="H122" s="6" t="s">
        <v>2993</v>
      </c>
      <c r="K122" s="6"/>
      <c r="L122" s="6"/>
      <c r="M122" s="6" t="s">
        <v>3047</v>
      </c>
      <c r="N122" s="6"/>
      <c r="O122" s="6"/>
      <c r="P122">
        <f t="shared" si="3"/>
        <v>1</v>
      </c>
      <c r="Q122">
        <f>IF(AND(P122=1,OR(ISNUMBER(MATCH(H122,{"menace","othering","ridicule","blame","victim"},0)),ISNUMBER(MATCH(J122,{"menace","othering","ridicule","blame","victim"},0)),ISNUMBER(MATCH(L122,{"menace","othering","ridicule","blame","victim"},0)))),1,0)</f>
        <v>1</v>
      </c>
      <c r="R122">
        <f>IF(AND(P122=1,Q122=0,OR(ISNUMBER(MATCH(H122,{"wholesome","heroic"},0)),ISNUMBER(MATCH(J122,{"wholesome","heroic"},0)),ISNUMBER(MATCH(L122,{"wholesome","heroic"},0)))),1,0)</f>
        <v>0</v>
      </c>
      <c r="S122">
        <f t="shared" si="4"/>
        <v>0</v>
      </c>
      <c r="T122">
        <f t="shared" si="5"/>
        <v>0</v>
      </c>
    </row>
    <row r="123" spans="1:20" x14ac:dyDescent="0.25">
      <c r="A123">
        <v>122</v>
      </c>
      <c r="B123">
        <v>2489</v>
      </c>
      <c r="C123" t="s">
        <v>22</v>
      </c>
      <c r="D123" t="s">
        <v>1038</v>
      </c>
      <c r="E123" s="4">
        <v>45418</v>
      </c>
      <c r="F123" s="6">
        <v>0</v>
      </c>
      <c r="G123" s="6" t="s">
        <v>2991</v>
      </c>
      <c r="H123" s="6" t="s">
        <v>2992</v>
      </c>
      <c r="K123" s="6"/>
      <c r="L123" s="6"/>
      <c r="M123" s="6" t="s">
        <v>3047</v>
      </c>
      <c r="N123" s="6"/>
      <c r="O123" s="6"/>
      <c r="P123">
        <f t="shared" si="3"/>
        <v>1</v>
      </c>
      <c r="Q123">
        <f>IF(AND(P123=1,OR(ISNUMBER(MATCH(H123,{"menace","othering","ridicule","blame","victim"},0)),ISNUMBER(MATCH(J123,{"menace","othering","ridicule","blame","victim"},0)),ISNUMBER(MATCH(L123,{"menace","othering","ridicule","blame","victim"},0)))),1,0)</f>
        <v>1</v>
      </c>
      <c r="R123">
        <f>IF(AND(P123=1,Q123=0,OR(ISNUMBER(MATCH(H123,{"wholesome","heroic"},0)),ISNUMBER(MATCH(J123,{"wholesome","heroic"},0)),ISNUMBER(MATCH(L123,{"wholesome","heroic"},0)))),1,0)</f>
        <v>0</v>
      </c>
      <c r="S123">
        <f t="shared" si="4"/>
        <v>0</v>
      </c>
      <c r="T123">
        <f t="shared" si="5"/>
        <v>0</v>
      </c>
    </row>
    <row r="124" spans="1:20" x14ac:dyDescent="0.25">
      <c r="A124">
        <v>123</v>
      </c>
      <c r="B124">
        <v>2510</v>
      </c>
      <c r="C124" t="s">
        <v>22</v>
      </c>
      <c r="D124" t="s">
        <v>1038</v>
      </c>
      <c r="E124" s="4">
        <v>45419</v>
      </c>
      <c r="F124" s="6">
        <v>0</v>
      </c>
      <c r="G124" s="6" t="s">
        <v>2991</v>
      </c>
      <c r="H124" s="6" t="s">
        <v>2987</v>
      </c>
      <c r="I124" s="6" t="s">
        <v>2991</v>
      </c>
      <c r="J124" s="6" t="s">
        <v>2993</v>
      </c>
      <c r="K124" s="6"/>
      <c r="L124" s="6"/>
      <c r="M124" s="6" t="s">
        <v>3047</v>
      </c>
      <c r="N124" s="6" t="s">
        <v>3047</v>
      </c>
      <c r="O124" s="6"/>
      <c r="P124">
        <f t="shared" si="3"/>
        <v>1</v>
      </c>
      <c r="Q124">
        <f>IF(AND(P124=1,OR(ISNUMBER(MATCH(H124,{"menace","othering","ridicule","blame","victim"},0)),ISNUMBER(MATCH(J124,{"menace","othering","ridicule","blame","victim"},0)),ISNUMBER(MATCH(L124,{"menace","othering","ridicule","blame","victim"},0)))),1,0)</f>
        <v>1</v>
      </c>
      <c r="R124">
        <f>IF(AND(P124=1,Q124=0,OR(ISNUMBER(MATCH(H124,{"wholesome","heroic"},0)),ISNUMBER(MATCH(J124,{"wholesome","heroic"},0)),ISNUMBER(MATCH(L124,{"wholesome","heroic"},0)))),1,0)</f>
        <v>0</v>
      </c>
      <c r="S124">
        <f t="shared" si="4"/>
        <v>0</v>
      </c>
      <c r="T124">
        <f t="shared" si="5"/>
        <v>0</v>
      </c>
    </row>
    <row r="125" spans="1:20" x14ac:dyDescent="0.25">
      <c r="A125">
        <v>124</v>
      </c>
      <c r="B125">
        <v>2518</v>
      </c>
      <c r="C125" t="s">
        <v>22</v>
      </c>
      <c r="D125" t="s">
        <v>1038</v>
      </c>
      <c r="E125" s="4">
        <v>45420</v>
      </c>
      <c r="F125" s="6">
        <v>0</v>
      </c>
      <c r="G125" s="6" t="s">
        <v>2991</v>
      </c>
      <c r="H125" s="6" t="s">
        <v>2993</v>
      </c>
      <c r="I125" s="6" t="s">
        <v>3862</v>
      </c>
      <c r="J125" s="6" t="s">
        <v>2989</v>
      </c>
      <c r="K125" s="6" t="s">
        <v>2986</v>
      </c>
      <c r="L125" s="6" t="s">
        <v>2989</v>
      </c>
      <c r="M125" s="6" t="s">
        <v>3047</v>
      </c>
      <c r="N125" s="6" t="s">
        <v>3046</v>
      </c>
      <c r="O125" s="6" t="s">
        <v>3046</v>
      </c>
      <c r="P125">
        <f t="shared" si="3"/>
        <v>1</v>
      </c>
      <c r="Q125">
        <f>IF(AND(P125=1,OR(ISNUMBER(MATCH(H125,{"menace","othering","ridicule","blame","victim"},0)),ISNUMBER(MATCH(J125,{"menace","othering","ridicule","blame","victim"},0)),ISNUMBER(MATCH(L125,{"menace","othering","ridicule","blame","victim"},0)))),1,0)</f>
        <v>1</v>
      </c>
      <c r="R125">
        <f>IF(AND(P125=1,Q125=0,OR(ISNUMBER(MATCH(H125,{"wholesome","heroic"},0)),ISNUMBER(MATCH(J125,{"wholesome","heroic"},0)),ISNUMBER(MATCH(L125,{"wholesome","heroic"},0)))),1,0)</f>
        <v>0</v>
      </c>
      <c r="S125">
        <f t="shared" si="4"/>
        <v>0</v>
      </c>
      <c r="T125">
        <f t="shared" si="5"/>
        <v>0</v>
      </c>
    </row>
    <row r="126" spans="1:20" x14ac:dyDescent="0.25">
      <c r="A126">
        <v>125</v>
      </c>
      <c r="B126">
        <v>2550</v>
      </c>
      <c r="C126" t="s">
        <v>22</v>
      </c>
      <c r="D126" t="s">
        <v>1038</v>
      </c>
      <c r="E126" s="4">
        <v>45422</v>
      </c>
      <c r="F126" s="6">
        <v>0</v>
      </c>
      <c r="G126" s="6" t="s">
        <v>2991</v>
      </c>
      <c r="H126" s="6" t="s">
        <v>2992</v>
      </c>
      <c r="I126" s="6" t="s">
        <v>2995</v>
      </c>
      <c r="J126" s="6" t="s">
        <v>2989</v>
      </c>
      <c r="K126" s="6" t="s">
        <v>2991</v>
      </c>
      <c r="L126" s="6" t="s">
        <v>2989</v>
      </c>
      <c r="M126" s="6" t="s">
        <v>3047</v>
      </c>
      <c r="N126" s="6" t="s">
        <v>3046</v>
      </c>
      <c r="O126" s="6" t="s">
        <v>3046</v>
      </c>
      <c r="P126">
        <f t="shared" si="3"/>
        <v>1</v>
      </c>
      <c r="Q126">
        <f>IF(AND(P126=1,OR(ISNUMBER(MATCH(H126,{"menace","othering","ridicule","blame","victim"},0)),ISNUMBER(MATCH(J126,{"menace","othering","ridicule","blame","victim"},0)),ISNUMBER(MATCH(L126,{"menace","othering","ridicule","blame","victim"},0)))),1,0)</f>
        <v>1</v>
      </c>
      <c r="R126">
        <f>IF(AND(P126=1,Q126=0,OR(ISNUMBER(MATCH(H126,{"wholesome","heroic"},0)),ISNUMBER(MATCH(J126,{"wholesome","heroic"},0)),ISNUMBER(MATCH(L126,{"wholesome","heroic"},0)))),1,0)</f>
        <v>0</v>
      </c>
      <c r="S126">
        <f t="shared" si="4"/>
        <v>0</v>
      </c>
      <c r="T126">
        <f t="shared" si="5"/>
        <v>1</v>
      </c>
    </row>
    <row r="127" spans="1:20" x14ac:dyDescent="0.25">
      <c r="A127">
        <v>126</v>
      </c>
      <c r="B127">
        <v>2598</v>
      </c>
      <c r="C127" t="s">
        <v>22</v>
      </c>
      <c r="D127" t="s">
        <v>1038</v>
      </c>
      <c r="E127" s="4">
        <v>45433</v>
      </c>
      <c r="F127" s="6">
        <v>0</v>
      </c>
      <c r="G127" s="6" t="s">
        <v>2988</v>
      </c>
      <c r="H127" s="6" t="s">
        <v>2987</v>
      </c>
      <c r="I127" s="6" t="s">
        <v>2986</v>
      </c>
      <c r="J127" s="6" t="s">
        <v>2985</v>
      </c>
      <c r="K127" s="6" t="s">
        <v>2986</v>
      </c>
      <c r="L127" s="6" t="s">
        <v>2989</v>
      </c>
      <c r="M127" s="6" t="s">
        <v>3047</v>
      </c>
      <c r="N127" s="6" t="s">
        <v>3046</v>
      </c>
      <c r="O127" s="6" t="s">
        <v>3046</v>
      </c>
      <c r="P127">
        <f t="shared" si="3"/>
        <v>1</v>
      </c>
      <c r="Q127">
        <f>IF(AND(P127=1,OR(ISNUMBER(MATCH(H127,{"menace","othering","ridicule","blame","victim"},0)),ISNUMBER(MATCH(J127,{"menace","othering","ridicule","blame","victim"},0)),ISNUMBER(MATCH(L127,{"menace","othering","ridicule","blame","victim"},0)))),1,0)</f>
        <v>1</v>
      </c>
      <c r="R127">
        <f>IF(AND(P127=1,Q127=0,OR(ISNUMBER(MATCH(H127,{"wholesome","heroic"},0)),ISNUMBER(MATCH(J127,{"wholesome","heroic"},0)),ISNUMBER(MATCH(L127,{"wholesome","heroic"},0)))),1,0)</f>
        <v>0</v>
      </c>
      <c r="S127">
        <f t="shared" si="4"/>
        <v>0</v>
      </c>
      <c r="T127">
        <f t="shared" si="5"/>
        <v>0</v>
      </c>
    </row>
    <row r="128" spans="1:20" x14ac:dyDescent="0.25">
      <c r="A128">
        <v>127</v>
      </c>
      <c r="B128">
        <v>2667</v>
      </c>
      <c r="C128" t="s">
        <v>22</v>
      </c>
      <c r="D128" t="s">
        <v>1038</v>
      </c>
      <c r="E128" s="4">
        <v>45440</v>
      </c>
      <c r="F128" s="6">
        <v>0</v>
      </c>
      <c r="G128" s="6" t="s">
        <v>2988</v>
      </c>
      <c r="H128" s="6" t="s">
        <v>2987</v>
      </c>
      <c r="I128" s="6" t="s">
        <v>2986</v>
      </c>
      <c r="J128" s="6" t="s">
        <v>2985</v>
      </c>
      <c r="K128" s="6" t="s">
        <v>2995</v>
      </c>
      <c r="L128" s="6" t="s">
        <v>2989</v>
      </c>
      <c r="M128" s="6" t="s">
        <v>3047</v>
      </c>
      <c r="N128" s="6" t="s">
        <v>3046</v>
      </c>
      <c r="O128" s="6" t="s">
        <v>3046</v>
      </c>
      <c r="P128">
        <f t="shared" si="3"/>
        <v>1</v>
      </c>
      <c r="Q128">
        <f>IF(AND(P128=1,OR(ISNUMBER(MATCH(H128,{"menace","othering","ridicule","blame","victim"},0)),ISNUMBER(MATCH(J128,{"menace","othering","ridicule","blame","victim"},0)),ISNUMBER(MATCH(L128,{"menace","othering","ridicule","blame","victim"},0)))),1,0)</f>
        <v>1</v>
      </c>
      <c r="R128">
        <f>IF(AND(P128=1,Q128=0,OR(ISNUMBER(MATCH(H128,{"wholesome","heroic"},0)),ISNUMBER(MATCH(J128,{"wholesome","heroic"},0)),ISNUMBER(MATCH(L128,{"wholesome","heroic"},0)))),1,0)</f>
        <v>0</v>
      </c>
      <c r="S128">
        <f t="shared" si="4"/>
        <v>0</v>
      </c>
      <c r="T128">
        <f t="shared" si="5"/>
        <v>1</v>
      </c>
    </row>
    <row r="129" spans="1:20" x14ac:dyDescent="0.25">
      <c r="A129">
        <v>128</v>
      </c>
      <c r="B129">
        <v>2669</v>
      </c>
      <c r="C129" t="s">
        <v>22</v>
      </c>
      <c r="D129" t="s">
        <v>1038</v>
      </c>
      <c r="E129" s="4">
        <v>45440</v>
      </c>
      <c r="F129" s="6">
        <v>0</v>
      </c>
      <c r="G129" s="6" t="s">
        <v>2991</v>
      </c>
      <c r="H129" s="6" t="s">
        <v>2990</v>
      </c>
      <c r="I129" s="6" t="s">
        <v>3862</v>
      </c>
      <c r="J129" s="6" t="s">
        <v>2994</v>
      </c>
      <c r="K129" s="6" t="s">
        <v>2986</v>
      </c>
      <c r="L129" s="6" t="s">
        <v>2989</v>
      </c>
      <c r="M129" s="6" t="s">
        <v>3047</v>
      </c>
      <c r="N129" s="6" t="s">
        <v>3046</v>
      </c>
      <c r="O129" s="6" t="s">
        <v>3046</v>
      </c>
      <c r="P129">
        <f t="shared" si="3"/>
        <v>1</v>
      </c>
      <c r="Q129">
        <f>IF(AND(P129=1,OR(ISNUMBER(MATCH(H129,{"menace","othering","ridicule","blame","victim"},0)),ISNUMBER(MATCH(J129,{"menace","othering","ridicule","blame","victim"},0)),ISNUMBER(MATCH(L129,{"menace","othering","ridicule","blame","victim"},0)))),1,0)</f>
        <v>0</v>
      </c>
      <c r="R129">
        <f>IF(AND(P129=1,Q129=0,OR(ISNUMBER(MATCH(H129,{"wholesome","heroic"},0)),ISNUMBER(MATCH(J129,{"wholesome","heroic"},0)),ISNUMBER(MATCH(L129,{"wholesome","heroic"},0)))),1,0)</f>
        <v>1</v>
      </c>
      <c r="S129">
        <f t="shared" si="4"/>
        <v>0</v>
      </c>
      <c r="T129">
        <f t="shared" si="5"/>
        <v>0</v>
      </c>
    </row>
    <row r="130" spans="1:20" x14ac:dyDescent="0.25">
      <c r="A130">
        <v>129</v>
      </c>
      <c r="B130">
        <v>2676</v>
      </c>
      <c r="C130" t="s">
        <v>22</v>
      </c>
      <c r="D130" t="s">
        <v>1038</v>
      </c>
      <c r="E130" s="4">
        <v>45441</v>
      </c>
      <c r="F130" s="6">
        <v>0</v>
      </c>
      <c r="G130" s="6" t="s">
        <v>2988</v>
      </c>
      <c r="H130" s="6" t="s">
        <v>2987</v>
      </c>
      <c r="K130" s="6"/>
      <c r="L130" s="6"/>
      <c r="M130" s="6" t="s">
        <v>3047</v>
      </c>
      <c r="N130" s="6"/>
      <c r="O130" s="6"/>
      <c r="P130">
        <f t="shared" ref="P130:P193" si="6">IF(F130=0,1,0)</f>
        <v>1</v>
      </c>
      <c r="Q130">
        <f>IF(AND(P130=1,OR(ISNUMBER(MATCH(H130,{"menace","othering","ridicule","blame","victim"},0)),ISNUMBER(MATCH(J130,{"menace","othering","ridicule","blame","victim"},0)),ISNUMBER(MATCH(L130,{"menace","othering","ridicule","blame","victim"},0)))),1,0)</f>
        <v>1</v>
      </c>
      <c r="R130">
        <f>IF(AND(P130=1,Q130=0,OR(ISNUMBER(MATCH(H130,{"wholesome","heroic"},0)),ISNUMBER(MATCH(J130,{"wholesome","heroic"},0)),ISNUMBER(MATCH(L130,{"wholesome","heroic"},0)))),1,0)</f>
        <v>0</v>
      </c>
      <c r="S130">
        <f t="shared" ref="S130:S193" si="7">IF(AND(P130=1,Q130=0,R130=0),1,0)</f>
        <v>0</v>
      </c>
      <c r="T130">
        <f t="shared" ref="T130:T193" si="8">IF(AND(P130=1,OR(G130="own_leader",I130="own_leader",K130="own_leader")),1,0)</f>
        <v>0</v>
      </c>
    </row>
    <row r="131" spans="1:20" x14ac:dyDescent="0.25">
      <c r="A131">
        <v>130</v>
      </c>
      <c r="B131">
        <v>2701</v>
      </c>
      <c r="C131" t="s">
        <v>22</v>
      </c>
      <c r="D131" t="s">
        <v>1038</v>
      </c>
      <c r="E131" s="4">
        <v>45443</v>
      </c>
      <c r="F131" s="6">
        <v>0</v>
      </c>
      <c r="G131" s="6" t="s">
        <v>2988</v>
      </c>
      <c r="H131" s="6" t="s">
        <v>2987</v>
      </c>
      <c r="I131" s="6" t="s">
        <v>2986</v>
      </c>
      <c r="J131" s="6" t="s">
        <v>2985</v>
      </c>
      <c r="K131" s="6" t="s">
        <v>2995</v>
      </c>
      <c r="L131" s="6" t="s">
        <v>2989</v>
      </c>
      <c r="M131" s="6" t="s">
        <v>3047</v>
      </c>
      <c r="N131" s="6" t="s">
        <v>3046</v>
      </c>
      <c r="O131" s="6" t="s">
        <v>3046</v>
      </c>
      <c r="P131">
        <f t="shared" si="6"/>
        <v>1</v>
      </c>
      <c r="Q131">
        <f>IF(AND(P131=1,OR(ISNUMBER(MATCH(H131,{"menace","othering","ridicule","blame","victim"},0)),ISNUMBER(MATCH(J131,{"menace","othering","ridicule","blame","victim"},0)),ISNUMBER(MATCH(L131,{"menace","othering","ridicule","blame","victim"},0)))),1,0)</f>
        <v>1</v>
      </c>
      <c r="R131">
        <f>IF(AND(P131=1,Q131=0,OR(ISNUMBER(MATCH(H131,{"wholesome","heroic"},0)),ISNUMBER(MATCH(J131,{"wholesome","heroic"},0)),ISNUMBER(MATCH(L131,{"wholesome","heroic"},0)))),1,0)</f>
        <v>0</v>
      </c>
      <c r="S131">
        <f t="shared" si="7"/>
        <v>0</v>
      </c>
      <c r="T131">
        <f t="shared" si="8"/>
        <v>1</v>
      </c>
    </row>
    <row r="132" spans="1:20" x14ac:dyDescent="0.25">
      <c r="A132">
        <v>131</v>
      </c>
      <c r="B132">
        <v>2727</v>
      </c>
      <c r="C132" t="s">
        <v>22</v>
      </c>
      <c r="D132" t="s">
        <v>1038</v>
      </c>
      <c r="E132" s="4">
        <v>45446</v>
      </c>
      <c r="F132" s="6">
        <v>0</v>
      </c>
      <c r="G132" s="6" t="s">
        <v>2991</v>
      </c>
      <c r="H132" s="6" t="s">
        <v>2992</v>
      </c>
      <c r="I132" s="6" t="s">
        <v>2991</v>
      </c>
      <c r="J132" s="6" t="s">
        <v>2990</v>
      </c>
      <c r="K132" s="6" t="s">
        <v>2991</v>
      </c>
      <c r="L132" s="6" t="s">
        <v>2989</v>
      </c>
      <c r="M132" s="6" t="s">
        <v>3047</v>
      </c>
      <c r="N132" s="6" t="s">
        <v>3047</v>
      </c>
      <c r="O132" s="6" t="s">
        <v>3046</v>
      </c>
      <c r="P132">
        <f t="shared" si="6"/>
        <v>1</v>
      </c>
      <c r="Q132">
        <f>IF(AND(P132=1,OR(ISNUMBER(MATCH(H132,{"menace","othering","ridicule","blame","victim"},0)),ISNUMBER(MATCH(J132,{"menace","othering","ridicule","blame","victim"},0)),ISNUMBER(MATCH(L132,{"menace","othering","ridicule","blame","victim"},0)))),1,0)</f>
        <v>1</v>
      </c>
      <c r="R132">
        <f>IF(AND(P132=1,Q132=0,OR(ISNUMBER(MATCH(H132,{"wholesome","heroic"},0)),ISNUMBER(MATCH(J132,{"wholesome","heroic"},0)),ISNUMBER(MATCH(L132,{"wholesome","heroic"},0)))),1,0)</f>
        <v>0</v>
      </c>
      <c r="S132">
        <f t="shared" si="7"/>
        <v>0</v>
      </c>
      <c r="T132">
        <f t="shared" si="8"/>
        <v>0</v>
      </c>
    </row>
    <row r="133" spans="1:20" x14ac:dyDescent="0.25">
      <c r="A133">
        <v>132</v>
      </c>
      <c r="B133">
        <v>2728</v>
      </c>
      <c r="C133" t="s">
        <v>22</v>
      </c>
      <c r="D133" t="s">
        <v>1038</v>
      </c>
      <c r="E133" s="4">
        <v>45446</v>
      </c>
      <c r="F133" s="6">
        <v>0</v>
      </c>
      <c r="G133" s="6" t="s">
        <v>2991</v>
      </c>
      <c r="H133" s="6" t="s">
        <v>2992</v>
      </c>
      <c r="I133" s="6" t="s">
        <v>2991</v>
      </c>
      <c r="J133" s="6" t="s">
        <v>2990</v>
      </c>
      <c r="K133" s="6"/>
      <c r="L133" s="6"/>
      <c r="M133" s="6" t="s">
        <v>3047</v>
      </c>
      <c r="N133" s="6" t="s">
        <v>3047</v>
      </c>
      <c r="O133" s="6"/>
      <c r="P133">
        <f t="shared" si="6"/>
        <v>1</v>
      </c>
      <c r="Q133">
        <f>IF(AND(P133=1,OR(ISNUMBER(MATCH(H133,{"menace","othering","ridicule","blame","victim"},0)),ISNUMBER(MATCH(J133,{"menace","othering","ridicule","blame","victim"},0)),ISNUMBER(MATCH(L133,{"menace","othering","ridicule","blame","victim"},0)))),1,0)</f>
        <v>1</v>
      </c>
      <c r="R133">
        <f>IF(AND(P133=1,Q133=0,OR(ISNUMBER(MATCH(H133,{"wholesome","heroic"},0)),ISNUMBER(MATCH(J133,{"wholesome","heroic"},0)),ISNUMBER(MATCH(L133,{"wholesome","heroic"},0)))),1,0)</f>
        <v>0</v>
      </c>
      <c r="S133">
        <f t="shared" si="7"/>
        <v>0</v>
      </c>
      <c r="T133">
        <f t="shared" si="8"/>
        <v>0</v>
      </c>
    </row>
    <row r="134" spans="1:20" x14ac:dyDescent="0.25">
      <c r="A134">
        <v>133</v>
      </c>
      <c r="B134">
        <v>2730</v>
      </c>
      <c r="C134" t="s">
        <v>22</v>
      </c>
      <c r="D134" t="s">
        <v>1038</v>
      </c>
      <c r="E134" s="4">
        <v>45446</v>
      </c>
      <c r="F134" s="6">
        <v>0</v>
      </c>
      <c r="G134" s="6" t="s">
        <v>2991</v>
      </c>
      <c r="H134" s="6" t="s">
        <v>2992</v>
      </c>
      <c r="I134" s="6" t="s">
        <v>2991</v>
      </c>
      <c r="J134" s="6" t="s">
        <v>2990</v>
      </c>
      <c r="K134" s="6"/>
      <c r="L134" s="6"/>
      <c r="M134" s="6" t="s">
        <v>3047</v>
      </c>
      <c r="N134" s="6" t="s">
        <v>3047</v>
      </c>
      <c r="O134" s="6"/>
      <c r="P134">
        <f t="shared" si="6"/>
        <v>1</v>
      </c>
      <c r="Q134">
        <f>IF(AND(P134=1,OR(ISNUMBER(MATCH(H134,{"menace","othering","ridicule","blame","victim"},0)),ISNUMBER(MATCH(J134,{"menace","othering","ridicule","blame","victim"},0)),ISNUMBER(MATCH(L134,{"menace","othering","ridicule","blame","victim"},0)))),1,0)</f>
        <v>1</v>
      </c>
      <c r="R134">
        <f>IF(AND(P134=1,Q134=0,OR(ISNUMBER(MATCH(H134,{"wholesome","heroic"},0)),ISNUMBER(MATCH(J134,{"wholesome","heroic"},0)),ISNUMBER(MATCH(L134,{"wholesome","heroic"},0)))),1,0)</f>
        <v>0</v>
      </c>
      <c r="S134">
        <f t="shared" si="7"/>
        <v>0</v>
      </c>
      <c r="T134">
        <f t="shared" si="8"/>
        <v>0</v>
      </c>
    </row>
    <row r="135" spans="1:20" x14ac:dyDescent="0.25">
      <c r="A135">
        <v>134</v>
      </c>
      <c r="B135">
        <v>2740</v>
      </c>
      <c r="C135" t="s">
        <v>22</v>
      </c>
      <c r="D135" t="s">
        <v>1038</v>
      </c>
      <c r="E135" s="4">
        <v>45447</v>
      </c>
      <c r="F135" s="6">
        <v>0</v>
      </c>
      <c r="G135" s="6" t="s">
        <v>2991</v>
      </c>
      <c r="H135" s="6" t="s">
        <v>2990</v>
      </c>
      <c r="I135" s="6" t="s">
        <v>2986</v>
      </c>
      <c r="J135" s="6" t="s">
        <v>2985</v>
      </c>
      <c r="K135" s="6" t="s">
        <v>2995</v>
      </c>
      <c r="L135" s="6" t="s">
        <v>2989</v>
      </c>
      <c r="M135" s="6" t="s">
        <v>3047</v>
      </c>
      <c r="N135" s="6" t="s">
        <v>3046</v>
      </c>
      <c r="O135" s="6" t="s">
        <v>3046</v>
      </c>
      <c r="P135">
        <f t="shared" si="6"/>
        <v>1</v>
      </c>
      <c r="Q135">
        <f>IF(AND(P135=1,OR(ISNUMBER(MATCH(H135,{"menace","othering","ridicule","blame","victim"},0)),ISNUMBER(MATCH(J135,{"menace","othering","ridicule","blame","victim"},0)),ISNUMBER(MATCH(L135,{"menace","othering","ridicule","blame","victim"},0)))),1,0)</f>
        <v>1</v>
      </c>
      <c r="R135">
        <f>IF(AND(P135=1,Q135=0,OR(ISNUMBER(MATCH(H135,{"wholesome","heroic"},0)),ISNUMBER(MATCH(J135,{"wholesome","heroic"},0)),ISNUMBER(MATCH(L135,{"wholesome","heroic"},0)))),1,0)</f>
        <v>0</v>
      </c>
      <c r="S135">
        <f t="shared" si="7"/>
        <v>0</v>
      </c>
      <c r="T135">
        <f t="shared" si="8"/>
        <v>1</v>
      </c>
    </row>
    <row r="136" spans="1:20" x14ac:dyDescent="0.25">
      <c r="A136">
        <v>135</v>
      </c>
      <c r="B136">
        <v>2743</v>
      </c>
      <c r="C136" t="s">
        <v>22</v>
      </c>
      <c r="D136" t="s">
        <v>1038</v>
      </c>
      <c r="E136" s="4">
        <v>45448</v>
      </c>
      <c r="F136" s="6">
        <v>0</v>
      </c>
      <c r="G136" s="6" t="s">
        <v>2991</v>
      </c>
      <c r="H136" s="6" t="s">
        <v>2992</v>
      </c>
      <c r="I136" s="6" t="s">
        <v>2991</v>
      </c>
      <c r="J136" s="6" t="s">
        <v>2990</v>
      </c>
      <c r="K136" s="6" t="s">
        <v>3862</v>
      </c>
      <c r="L136" s="6" t="s">
        <v>2994</v>
      </c>
      <c r="M136" s="6" t="s">
        <v>3047</v>
      </c>
      <c r="N136" s="6" t="s">
        <v>3047</v>
      </c>
      <c r="O136" s="6" t="s">
        <v>3046</v>
      </c>
      <c r="P136">
        <f t="shared" si="6"/>
        <v>1</v>
      </c>
      <c r="Q136">
        <f>IF(AND(P136=1,OR(ISNUMBER(MATCH(H136,{"menace","othering","ridicule","blame","victim"},0)),ISNUMBER(MATCH(J136,{"menace","othering","ridicule","blame","victim"},0)),ISNUMBER(MATCH(L136,{"menace","othering","ridicule","blame","victim"},0)))),1,0)</f>
        <v>1</v>
      </c>
      <c r="R136">
        <f>IF(AND(P136=1,Q136=0,OR(ISNUMBER(MATCH(H136,{"wholesome","heroic"},0)),ISNUMBER(MATCH(J136,{"wholesome","heroic"},0)),ISNUMBER(MATCH(L136,{"wholesome","heroic"},0)))),1,0)</f>
        <v>0</v>
      </c>
      <c r="S136">
        <f t="shared" si="7"/>
        <v>0</v>
      </c>
      <c r="T136">
        <f t="shared" si="8"/>
        <v>0</v>
      </c>
    </row>
    <row r="137" spans="1:20" x14ac:dyDescent="0.25">
      <c r="A137">
        <v>136</v>
      </c>
      <c r="B137">
        <v>2774</v>
      </c>
      <c r="C137" t="s">
        <v>22</v>
      </c>
      <c r="D137" t="s">
        <v>1038</v>
      </c>
      <c r="E137" s="4">
        <v>45449</v>
      </c>
      <c r="F137" s="6">
        <v>0</v>
      </c>
      <c r="G137" s="6" t="s">
        <v>2998</v>
      </c>
      <c r="H137" s="6" t="s">
        <v>2993</v>
      </c>
      <c r="I137" s="6" t="s">
        <v>2988</v>
      </c>
      <c r="J137" s="6" t="s">
        <v>2987</v>
      </c>
      <c r="K137" s="6" t="s">
        <v>3000</v>
      </c>
      <c r="L137" s="6" t="s">
        <v>2987</v>
      </c>
      <c r="M137" s="6" t="s">
        <v>3047</v>
      </c>
      <c r="N137" s="6" t="s">
        <v>3047</v>
      </c>
      <c r="O137" s="6" t="s">
        <v>3047</v>
      </c>
      <c r="P137">
        <f t="shared" si="6"/>
        <v>1</v>
      </c>
      <c r="Q137">
        <f>IF(AND(P137=1,OR(ISNUMBER(MATCH(H137,{"menace","othering","ridicule","blame","victim"},0)),ISNUMBER(MATCH(J137,{"menace","othering","ridicule","blame","victim"},0)),ISNUMBER(MATCH(L137,{"menace","othering","ridicule","blame","victim"},0)))),1,0)</f>
        <v>1</v>
      </c>
      <c r="R137">
        <f>IF(AND(P137=1,Q137=0,OR(ISNUMBER(MATCH(H137,{"wholesome","heroic"},0)),ISNUMBER(MATCH(J137,{"wholesome","heroic"},0)),ISNUMBER(MATCH(L137,{"wholesome","heroic"},0)))),1,0)</f>
        <v>0</v>
      </c>
      <c r="S137">
        <f t="shared" si="7"/>
        <v>0</v>
      </c>
      <c r="T137">
        <f t="shared" si="8"/>
        <v>0</v>
      </c>
    </row>
    <row r="138" spans="1:20" x14ac:dyDescent="0.25">
      <c r="A138">
        <v>137</v>
      </c>
      <c r="B138">
        <v>2845</v>
      </c>
      <c r="C138" t="s">
        <v>28</v>
      </c>
      <c r="D138" t="s">
        <v>1218</v>
      </c>
      <c r="E138" s="4">
        <v>45416</v>
      </c>
      <c r="F138" s="6">
        <v>1</v>
      </c>
      <c r="P138">
        <f t="shared" si="6"/>
        <v>0</v>
      </c>
      <c r="Q138">
        <f>IF(AND(P138=1,OR(ISNUMBER(MATCH(H138,{"menace","othering","ridicule","blame","victim"},0)),ISNUMBER(MATCH(J138,{"menace","othering","ridicule","blame","victim"},0)),ISNUMBER(MATCH(L138,{"menace","othering","ridicule","blame","victim"},0)))),1,0)</f>
        <v>0</v>
      </c>
      <c r="R138">
        <f>IF(AND(P138=1,Q138=0,OR(ISNUMBER(MATCH(H138,{"wholesome","heroic"},0)),ISNUMBER(MATCH(J138,{"wholesome","heroic"},0)),ISNUMBER(MATCH(L138,{"wholesome","heroic"},0)))),1,0)</f>
        <v>0</v>
      </c>
      <c r="S138">
        <f t="shared" si="7"/>
        <v>0</v>
      </c>
      <c r="T138">
        <f t="shared" si="8"/>
        <v>0</v>
      </c>
    </row>
    <row r="139" spans="1:20" x14ac:dyDescent="0.25">
      <c r="A139">
        <v>138</v>
      </c>
      <c r="B139">
        <v>2847</v>
      </c>
      <c r="C139" t="s">
        <v>28</v>
      </c>
      <c r="D139" t="s">
        <v>1218</v>
      </c>
      <c r="E139" s="4">
        <v>45419</v>
      </c>
      <c r="F139" s="6">
        <v>1</v>
      </c>
      <c r="P139">
        <f t="shared" si="6"/>
        <v>0</v>
      </c>
      <c r="Q139">
        <f>IF(AND(P139=1,OR(ISNUMBER(MATCH(H139,{"menace","othering","ridicule","blame","victim"},0)),ISNUMBER(MATCH(J139,{"menace","othering","ridicule","blame","victim"},0)),ISNUMBER(MATCH(L139,{"menace","othering","ridicule","blame","victim"},0)))),1,0)</f>
        <v>0</v>
      </c>
      <c r="R139">
        <f>IF(AND(P139=1,Q139=0,OR(ISNUMBER(MATCH(H139,{"wholesome","heroic"},0)),ISNUMBER(MATCH(J139,{"wholesome","heroic"},0)),ISNUMBER(MATCH(L139,{"wholesome","heroic"},0)))),1,0)</f>
        <v>0</v>
      </c>
      <c r="S139">
        <f t="shared" si="7"/>
        <v>0</v>
      </c>
      <c r="T139">
        <f t="shared" si="8"/>
        <v>0</v>
      </c>
    </row>
    <row r="140" spans="1:20" x14ac:dyDescent="0.25">
      <c r="A140">
        <v>139</v>
      </c>
      <c r="B140">
        <v>2850</v>
      </c>
      <c r="C140" t="s">
        <v>28</v>
      </c>
      <c r="D140" t="s">
        <v>1218</v>
      </c>
      <c r="E140" s="4">
        <v>45423</v>
      </c>
      <c r="F140" s="6">
        <v>1</v>
      </c>
      <c r="P140">
        <f t="shared" si="6"/>
        <v>0</v>
      </c>
      <c r="Q140">
        <f>IF(AND(P140=1,OR(ISNUMBER(MATCH(H140,{"menace","othering","ridicule","blame","victim"},0)),ISNUMBER(MATCH(J140,{"menace","othering","ridicule","blame","victim"},0)),ISNUMBER(MATCH(L140,{"menace","othering","ridicule","blame","victim"},0)))),1,0)</f>
        <v>0</v>
      </c>
      <c r="R140">
        <f>IF(AND(P140=1,Q140=0,OR(ISNUMBER(MATCH(H140,{"wholesome","heroic"},0)),ISNUMBER(MATCH(J140,{"wholesome","heroic"},0)),ISNUMBER(MATCH(L140,{"wholesome","heroic"},0)))),1,0)</f>
        <v>0</v>
      </c>
      <c r="S140">
        <f t="shared" si="7"/>
        <v>0</v>
      </c>
      <c r="T140">
        <f t="shared" si="8"/>
        <v>0</v>
      </c>
    </row>
    <row r="141" spans="1:20" x14ac:dyDescent="0.25">
      <c r="A141">
        <v>140</v>
      </c>
      <c r="B141">
        <v>2851</v>
      </c>
      <c r="C141" t="s">
        <v>28</v>
      </c>
      <c r="D141" t="s">
        <v>1218</v>
      </c>
      <c r="E141" s="4">
        <v>45427</v>
      </c>
      <c r="F141" s="6">
        <v>1</v>
      </c>
      <c r="P141">
        <f t="shared" si="6"/>
        <v>0</v>
      </c>
      <c r="Q141">
        <f>IF(AND(P141=1,OR(ISNUMBER(MATCH(H141,{"menace","othering","ridicule","blame","victim"},0)),ISNUMBER(MATCH(J141,{"menace","othering","ridicule","blame","victim"},0)),ISNUMBER(MATCH(L141,{"menace","othering","ridicule","blame","victim"},0)))),1,0)</f>
        <v>0</v>
      </c>
      <c r="R141">
        <f>IF(AND(P141=1,Q141=0,OR(ISNUMBER(MATCH(H141,{"wholesome","heroic"},0)),ISNUMBER(MATCH(J141,{"wholesome","heroic"},0)),ISNUMBER(MATCH(L141,{"wholesome","heroic"},0)))),1,0)</f>
        <v>0</v>
      </c>
      <c r="S141">
        <f t="shared" si="7"/>
        <v>0</v>
      </c>
      <c r="T141">
        <f t="shared" si="8"/>
        <v>0</v>
      </c>
    </row>
    <row r="142" spans="1:20" x14ac:dyDescent="0.25">
      <c r="A142">
        <v>141</v>
      </c>
      <c r="B142">
        <v>2858</v>
      </c>
      <c r="C142" t="s">
        <v>28</v>
      </c>
      <c r="D142" t="s">
        <v>1218</v>
      </c>
      <c r="E142" s="4">
        <v>45434</v>
      </c>
      <c r="F142" s="6">
        <v>1</v>
      </c>
      <c r="P142">
        <f t="shared" si="6"/>
        <v>0</v>
      </c>
      <c r="Q142">
        <f>IF(AND(P142=1,OR(ISNUMBER(MATCH(H142,{"menace","othering","ridicule","blame","victim"},0)),ISNUMBER(MATCH(J142,{"menace","othering","ridicule","blame","victim"},0)),ISNUMBER(MATCH(L142,{"menace","othering","ridicule","blame","victim"},0)))),1,0)</f>
        <v>0</v>
      </c>
      <c r="R142">
        <f>IF(AND(P142=1,Q142=0,OR(ISNUMBER(MATCH(H142,{"wholesome","heroic"},0)),ISNUMBER(MATCH(J142,{"wholesome","heroic"},0)),ISNUMBER(MATCH(L142,{"wholesome","heroic"},0)))),1,0)</f>
        <v>0</v>
      </c>
      <c r="S142">
        <f t="shared" si="7"/>
        <v>0</v>
      </c>
      <c r="T142">
        <f t="shared" si="8"/>
        <v>0</v>
      </c>
    </row>
    <row r="143" spans="1:20" x14ac:dyDescent="0.25">
      <c r="A143">
        <v>142</v>
      </c>
      <c r="B143">
        <v>2860</v>
      </c>
      <c r="C143" t="s">
        <v>28</v>
      </c>
      <c r="D143" t="s">
        <v>1218</v>
      </c>
      <c r="E143" s="4">
        <v>45436</v>
      </c>
      <c r="F143" s="6">
        <v>1</v>
      </c>
      <c r="P143">
        <f t="shared" si="6"/>
        <v>0</v>
      </c>
      <c r="Q143">
        <f>IF(AND(P143=1,OR(ISNUMBER(MATCH(H143,{"menace","othering","ridicule","blame","victim"},0)),ISNUMBER(MATCH(J143,{"menace","othering","ridicule","blame","victim"},0)),ISNUMBER(MATCH(L143,{"menace","othering","ridicule","blame","victim"},0)))),1,0)</f>
        <v>0</v>
      </c>
      <c r="R143">
        <f>IF(AND(P143=1,Q143=0,OR(ISNUMBER(MATCH(H143,{"wholesome","heroic"},0)),ISNUMBER(MATCH(J143,{"wholesome","heroic"},0)),ISNUMBER(MATCH(L143,{"wholesome","heroic"},0)))),1,0)</f>
        <v>0</v>
      </c>
      <c r="S143">
        <f t="shared" si="7"/>
        <v>0</v>
      </c>
      <c r="T143">
        <f t="shared" si="8"/>
        <v>0</v>
      </c>
    </row>
    <row r="144" spans="1:20" x14ac:dyDescent="0.25">
      <c r="A144">
        <v>143</v>
      </c>
      <c r="B144">
        <v>2864</v>
      </c>
      <c r="C144" t="s">
        <v>28</v>
      </c>
      <c r="D144" t="s">
        <v>1218</v>
      </c>
      <c r="E144" s="4">
        <v>45440</v>
      </c>
      <c r="F144" s="6">
        <v>1</v>
      </c>
      <c r="P144">
        <f t="shared" si="6"/>
        <v>0</v>
      </c>
      <c r="Q144">
        <f>IF(AND(P144=1,OR(ISNUMBER(MATCH(H144,{"menace","othering","ridicule","blame","victim"},0)),ISNUMBER(MATCH(J144,{"menace","othering","ridicule","blame","victim"},0)),ISNUMBER(MATCH(L144,{"menace","othering","ridicule","blame","victim"},0)))),1,0)</f>
        <v>0</v>
      </c>
      <c r="R144">
        <f>IF(AND(P144=1,Q144=0,OR(ISNUMBER(MATCH(H144,{"wholesome","heroic"},0)),ISNUMBER(MATCH(J144,{"wholesome","heroic"},0)),ISNUMBER(MATCH(L144,{"wholesome","heroic"},0)))),1,0)</f>
        <v>0</v>
      </c>
      <c r="S144">
        <f t="shared" si="7"/>
        <v>0</v>
      </c>
      <c r="T144">
        <f t="shared" si="8"/>
        <v>0</v>
      </c>
    </row>
    <row r="145" spans="1:20" x14ac:dyDescent="0.25">
      <c r="A145">
        <v>144</v>
      </c>
      <c r="B145">
        <v>2866</v>
      </c>
      <c r="C145" t="s">
        <v>28</v>
      </c>
      <c r="D145" t="s">
        <v>1218</v>
      </c>
      <c r="E145" s="4">
        <v>45441</v>
      </c>
      <c r="F145" s="6">
        <v>1</v>
      </c>
      <c r="P145">
        <f t="shared" si="6"/>
        <v>0</v>
      </c>
      <c r="Q145">
        <f>IF(AND(P145=1,OR(ISNUMBER(MATCH(H145,{"menace","othering","ridicule","blame","victim"},0)),ISNUMBER(MATCH(J145,{"menace","othering","ridicule","blame","victim"},0)),ISNUMBER(MATCH(L145,{"menace","othering","ridicule","blame","victim"},0)))),1,0)</f>
        <v>0</v>
      </c>
      <c r="R145">
        <f>IF(AND(P145=1,Q145=0,OR(ISNUMBER(MATCH(H145,{"wholesome","heroic"},0)),ISNUMBER(MATCH(J145,{"wholesome","heroic"},0)),ISNUMBER(MATCH(L145,{"wholesome","heroic"},0)))),1,0)</f>
        <v>0</v>
      </c>
      <c r="S145">
        <f t="shared" si="7"/>
        <v>0</v>
      </c>
      <c r="T145">
        <f t="shared" si="8"/>
        <v>0</v>
      </c>
    </row>
    <row r="146" spans="1:20" x14ac:dyDescent="0.25">
      <c r="A146">
        <v>145</v>
      </c>
      <c r="B146">
        <v>2874</v>
      </c>
      <c r="C146" t="s">
        <v>28</v>
      </c>
      <c r="D146" t="s">
        <v>1218</v>
      </c>
      <c r="E146" s="4">
        <v>45448</v>
      </c>
      <c r="F146" s="6">
        <v>1</v>
      </c>
      <c r="P146">
        <f t="shared" si="6"/>
        <v>0</v>
      </c>
      <c r="Q146">
        <f>IF(AND(P146=1,OR(ISNUMBER(MATCH(H146,{"menace","othering","ridicule","blame","victim"},0)),ISNUMBER(MATCH(J146,{"menace","othering","ridicule","blame","victim"},0)),ISNUMBER(MATCH(L146,{"menace","othering","ridicule","blame","victim"},0)))),1,0)</f>
        <v>0</v>
      </c>
      <c r="R146">
        <f>IF(AND(P146=1,Q146=0,OR(ISNUMBER(MATCH(H146,{"wholesome","heroic"},0)),ISNUMBER(MATCH(J146,{"wholesome","heroic"},0)),ISNUMBER(MATCH(L146,{"wholesome","heroic"},0)))),1,0)</f>
        <v>0</v>
      </c>
      <c r="S146">
        <f t="shared" si="7"/>
        <v>0</v>
      </c>
      <c r="T146">
        <f t="shared" si="8"/>
        <v>0</v>
      </c>
    </row>
    <row r="147" spans="1:20" x14ac:dyDescent="0.25">
      <c r="A147">
        <v>146</v>
      </c>
      <c r="B147">
        <v>2922</v>
      </c>
      <c r="C147" t="s">
        <v>26</v>
      </c>
      <c r="D147" t="s">
        <v>1218</v>
      </c>
      <c r="E147" s="4">
        <v>45330</v>
      </c>
      <c r="F147" s="6">
        <v>0</v>
      </c>
      <c r="G147" s="6" t="s">
        <v>2998</v>
      </c>
      <c r="H147" s="6" t="s">
        <v>2989</v>
      </c>
      <c r="K147" s="6"/>
      <c r="L147" s="6"/>
      <c r="M147" s="6" t="s">
        <v>3047</v>
      </c>
      <c r="N147" s="6"/>
      <c r="O147" s="6"/>
      <c r="P147">
        <f t="shared" si="6"/>
        <v>1</v>
      </c>
      <c r="Q147">
        <f>IF(AND(P147=1,OR(ISNUMBER(MATCH(H147,{"menace","othering","ridicule","blame","victim"},0)),ISNUMBER(MATCH(J147,{"menace","othering","ridicule","blame","victim"},0)),ISNUMBER(MATCH(L147,{"menace","othering","ridicule","blame","victim"},0)))),1,0)</f>
        <v>0</v>
      </c>
      <c r="R147">
        <f>IF(AND(P147=1,Q147=0,OR(ISNUMBER(MATCH(H147,{"wholesome","heroic"},0)),ISNUMBER(MATCH(J147,{"wholesome","heroic"},0)),ISNUMBER(MATCH(L147,{"wholesome","heroic"},0)))),1,0)</f>
        <v>0</v>
      </c>
      <c r="S147">
        <f t="shared" si="7"/>
        <v>1</v>
      </c>
      <c r="T147">
        <f t="shared" si="8"/>
        <v>0</v>
      </c>
    </row>
    <row r="148" spans="1:20" x14ac:dyDescent="0.25">
      <c r="A148">
        <v>147</v>
      </c>
      <c r="B148">
        <v>2939</v>
      </c>
      <c r="C148" t="s">
        <v>26</v>
      </c>
      <c r="D148" t="s">
        <v>1218</v>
      </c>
      <c r="E148" s="4">
        <v>45334</v>
      </c>
      <c r="F148" s="6">
        <v>0</v>
      </c>
      <c r="G148" s="6" t="s">
        <v>2991</v>
      </c>
      <c r="H148" s="6" t="s">
        <v>2992</v>
      </c>
      <c r="K148" s="6"/>
      <c r="L148" s="6"/>
      <c r="M148" s="6" t="s">
        <v>3047</v>
      </c>
      <c r="N148" s="6"/>
      <c r="O148" s="6"/>
      <c r="P148">
        <f t="shared" si="6"/>
        <v>1</v>
      </c>
      <c r="Q148">
        <f>IF(AND(P148=1,OR(ISNUMBER(MATCH(H148,{"menace","othering","ridicule","blame","victim"},0)),ISNUMBER(MATCH(J148,{"menace","othering","ridicule","blame","victim"},0)),ISNUMBER(MATCH(L148,{"menace","othering","ridicule","blame","victim"},0)))),1,0)</f>
        <v>1</v>
      </c>
      <c r="R148">
        <f>IF(AND(P148=1,Q148=0,OR(ISNUMBER(MATCH(H148,{"wholesome","heroic"},0)),ISNUMBER(MATCH(J148,{"wholesome","heroic"},0)),ISNUMBER(MATCH(L148,{"wholesome","heroic"},0)))),1,0)</f>
        <v>0</v>
      </c>
      <c r="S148">
        <f t="shared" si="7"/>
        <v>0</v>
      </c>
      <c r="T148">
        <f t="shared" si="8"/>
        <v>0</v>
      </c>
    </row>
    <row r="149" spans="1:20" x14ac:dyDescent="0.25">
      <c r="A149">
        <v>148</v>
      </c>
      <c r="B149">
        <v>3249</v>
      </c>
      <c r="C149" t="s">
        <v>26</v>
      </c>
      <c r="D149" t="s">
        <v>1218</v>
      </c>
      <c r="E149" s="4">
        <v>45362</v>
      </c>
      <c r="F149" s="6">
        <v>0</v>
      </c>
      <c r="G149" s="6" t="s">
        <v>2995</v>
      </c>
      <c r="H149" s="6" t="s">
        <v>2989</v>
      </c>
      <c r="I149" s="6" t="s">
        <v>3862</v>
      </c>
      <c r="J149" s="6" t="s">
        <v>2989</v>
      </c>
      <c r="K149" s="6" t="s">
        <v>2986</v>
      </c>
      <c r="L149" s="6" t="s">
        <v>2989</v>
      </c>
      <c r="M149" s="6" t="s">
        <v>3046</v>
      </c>
      <c r="N149" s="6" t="s">
        <v>3046</v>
      </c>
      <c r="O149" s="6" t="s">
        <v>3046</v>
      </c>
      <c r="P149">
        <f t="shared" si="6"/>
        <v>1</v>
      </c>
      <c r="Q149">
        <f>IF(AND(P149=1,OR(ISNUMBER(MATCH(H149,{"menace","othering","ridicule","blame","victim"},0)),ISNUMBER(MATCH(J149,{"menace","othering","ridicule","blame","victim"},0)),ISNUMBER(MATCH(L149,{"menace","othering","ridicule","blame","victim"},0)))),1,0)</f>
        <v>0</v>
      </c>
      <c r="R149">
        <f>IF(AND(P149=1,Q149=0,OR(ISNUMBER(MATCH(H149,{"wholesome","heroic"},0)),ISNUMBER(MATCH(J149,{"wholesome","heroic"},0)),ISNUMBER(MATCH(L149,{"wholesome","heroic"},0)))),1,0)</f>
        <v>0</v>
      </c>
      <c r="S149">
        <f t="shared" si="7"/>
        <v>1</v>
      </c>
      <c r="T149">
        <f t="shared" si="8"/>
        <v>1</v>
      </c>
    </row>
    <row r="150" spans="1:20" x14ac:dyDescent="0.25">
      <c r="A150">
        <v>149</v>
      </c>
      <c r="B150">
        <v>3251</v>
      </c>
      <c r="C150" t="s">
        <v>26</v>
      </c>
      <c r="D150" t="s">
        <v>1218</v>
      </c>
      <c r="E150" s="4">
        <v>45363</v>
      </c>
      <c r="F150" s="6">
        <v>1</v>
      </c>
      <c r="P150">
        <f t="shared" si="6"/>
        <v>0</v>
      </c>
      <c r="Q150">
        <f>IF(AND(P150=1,OR(ISNUMBER(MATCH(H150,{"menace","othering","ridicule","blame","victim"},0)),ISNUMBER(MATCH(J150,{"menace","othering","ridicule","blame","victim"},0)),ISNUMBER(MATCH(L150,{"menace","othering","ridicule","blame","victim"},0)))),1,0)</f>
        <v>0</v>
      </c>
      <c r="R150">
        <f>IF(AND(P150=1,Q150=0,OR(ISNUMBER(MATCH(H150,{"wholesome","heroic"},0)),ISNUMBER(MATCH(J150,{"wholesome","heroic"},0)),ISNUMBER(MATCH(L150,{"wholesome","heroic"},0)))),1,0)</f>
        <v>0</v>
      </c>
      <c r="S150">
        <f t="shared" si="7"/>
        <v>0</v>
      </c>
      <c r="T150">
        <f t="shared" si="8"/>
        <v>0</v>
      </c>
    </row>
    <row r="151" spans="1:20" x14ac:dyDescent="0.25">
      <c r="A151">
        <v>150</v>
      </c>
      <c r="B151">
        <v>3270</v>
      </c>
      <c r="C151" t="s">
        <v>26</v>
      </c>
      <c r="D151" t="s">
        <v>1218</v>
      </c>
      <c r="E151" s="4">
        <v>45364</v>
      </c>
      <c r="F151" s="6">
        <v>0</v>
      </c>
      <c r="G151" s="6" t="s">
        <v>2991</v>
      </c>
      <c r="H151" s="6" t="s">
        <v>2989</v>
      </c>
      <c r="I151" s="6" t="s">
        <v>2986</v>
      </c>
      <c r="J151" s="6" t="s">
        <v>2985</v>
      </c>
      <c r="K151" s="6"/>
      <c r="L151" s="6"/>
      <c r="M151" s="6" t="s">
        <v>3046</v>
      </c>
      <c r="N151" s="6" t="s">
        <v>3046</v>
      </c>
      <c r="O151" s="6"/>
      <c r="P151">
        <f t="shared" si="6"/>
        <v>1</v>
      </c>
      <c r="Q151">
        <f>IF(AND(P151=1,OR(ISNUMBER(MATCH(H151,{"menace","othering","ridicule","blame","victim"},0)),ISNUMBER(MATCH(J151,{"menace","othering","ridicule","blame","victim"},0)),ISNUMBER(MATCH(L151,{"menace","othering","ridicule","blame","victim"},0)))),1,0)</f>
        <v>1</v>
      </c>
      <c r="R151">
        <f>IF(AND(P151=1,Q151=0,OR(ISNUMBER(MATCH(H151,{"wholesome","heroic"},0)),ISNUMBER(MATCH(J151,{"wholesome","heroic"},0)),ISNUMBER(MATCH(L151,{"wholesome","heroic"},0)))),1,0)</f>
        <v>0</v>
      </c>
      <c r="S151">
        <f t="shared" si="7"/>
        <v>0</v>
      </c>
      <c r="T151">
        <f t="shared" si="8"/>
        <v>0</v>
      </c>
    </row>
    <row r="152" spans="1:20" x14ac:dyDescent="0.25">
      <c r="A152">
        <v>151</v>
      </c>
      <c r="B152">
        <v>3298</v>
      </c>
      <c r="C152" t="s">
        <v>26</v>
      </c>
      <c r="D152" t="s">
        <v>1218</v>
      </c>
      <c r="E152" s="4">
        <v>45366</v>
      </c>
      <c r="F152" s="6">
        <v>0</v>
      </c>
      <c r="G152" s="6" t="s">
        <v>2986</v>
      </c>
      <c r="H152" s="6" t="s">
        <v>2989</v>
      </c>
      <c r="K152" s="6"/>
      <c r="L152" s="6"/>
      <c r="M152" s="6" t="s">
        <v>3046</v>
      </c>
      <c r="N152" s="6"/>
      <c r="O152" s="6"/>
      <c r="P152">
        <f t="shared" si="6"/>
        <v>1</v>
      </c>
      <c r="Q152">
        <f>IF(AND(P152=1,OR(ISNUMBER(MATCH(H152,{"menace","othering","ridicule","blame","victim"},0)),ISNUMBER(MATCH(J152,{"menace","othering","ridicule","blame","victim"},0)),ISNUMBER(MATCH(L152,{"menace","othering","ridicule","blame","victim"},0)))),1,0)</f>
        <v>0</v>
      </c>
      <c r="R152">
        <f>IF(AND(P152=1,Q152=0,OR(ISNUMBER(MATCH(H152,{"wholesome","heroic"},0)),ISNUMBER(MATCH(J152,{"wholesome","heroic"},0)),ISNUMBER(MATCH(L152,{"wholesome","heroic"},0)))),1,0)</f>
        <v>0</v>
      </c>
      <c r="S152">
        <f t="shared" si="7"/>
        <v>1</v>
      </c>
      <c r="T152">
        <f t="shared" si="8"/>
        <v>0</v>
      </c>
    </row>
    <row r="153" spans="1:20" x14ac:dyDescent="0.25">
      <c r="A153">
        <v>152</v>
      </c>
      <c r="B153">
        <v>3326</v>
      </c>
      <c r="C153" t="s">
        <v>26</v>
      </c>
      <c r="D153" t="s">
        <v>1218</v>
      </c>
      <c r="E153" s="4">
        <v>45369</v>
      </c>
      <c r="F153" s="6">
        <v>0</v>
      </c>
      <c r="G153" s="6" t="s">
        <v>2986</v>
      </c>
      <c r="H153" s="6" t="s">
        <v>2989</v>
      </c>
      <c r="I153" s="6" t="s">
        <v>2995</v>
      </c>
      <c r="J153" s="6" t="s">
        <v>2989</v>
      </c>
      <c r="K153" s="6" t="s">
        <v>2991</v>
      </c>
      <c r="L153" s="6" t="s">
        <v>2993</v>
      </c>
      <c r="M153" s="6" t="s">
        <v>3046</v>
      </c>
      <c r="N153" s="6" t="s">
        <v>3046</v>
      </c>
      <c r="O153" s="6" t="s">
        <v>3046</v>
      </c>
      <c r="P153">
        <f t="shared" si="6"/>
        <v>1</v>
      </c>
      <c r="Q153">
        <f>IF(AND(P153=1,OR(ISNUMBER(MATCH(H153,{"menace","othering","ridicule","blame","victim"},0)),ISNUMBER(MATCH(J153,{"menace","othering","ridicule","blame","victim"},0)),ISNUMBER(MATCH(L153,{"menace","othering","ridicule","blame","victim"},0)))),1,0)</f>
        <v>1</v>
      </c>
      <c r="R153">
        <f>IF(AND(P153=1,Q153=0,OR(ISNUMBER(MATCH(H153,{"wholesome","heroic"},0)),ISNUMBER(MATCH(J153,{"wholesome","heroic"},0)),ISNUMBER(MATCH(L153,{"wholesome","heroic"},0)))),1,0)</f>
        <v>0</v>
      </c>
      <c r="S153">
        <f t="shared" si="7"/>
        <v>0</v>
      </c>
      <c r="T153">
        <f t="shared" si="8"/>
        <v>1</v>
      </c>
    </row>
    <row r="154" spans="1:20" x14ac:dyDescent="0.25">
      <c r="A154">
        <v>153</v>
      </c>
      <c r="B154">
        <v>3335</v>
      </c>
      <c r="C154" t="s">
        <v>26</v>
      </c>
      <c r="D154" t="s">
        <v>1218</v>
      </c>
      <c r="E154" s="4">
        <v>45370</v>
      </c>
      <c r="F154" s="6">
        <v>0</v>
      </c>
      <c r="G154" s="6" t="s">
        <v>2995</v>
      </c>
      <c r="H154" s="6" t="s">
        <v>2989</v>
      </c>
      <c r="I154" s="6" t="s">
        <v>3000</v>
      </c>
      <c r="J154" s="6" t="s">
        <v>2989</v>
      </c>
      <c r="K154" s="6"/>
      <c r="L154" s="6"/>
      <c r="M154" s="6" t="s">
        <v>3046</v>
      </c>
      <c r="N154" s="6" t="s">
        <v>3046</v>
      </c>
      <c r="O154" s="6"/>
      <c r="P154">
        <f t="shared" si="6"/>
        <v>1</v>
      </c>
      <c r="Q154">
        <f>IF(AND(P154=1,OR(ISNUMBER(MATCH(H154,{"menace","othering","ridicule","blame","victim"},0)),ISNUMBER(MATCH(J154,{"menace","othering","ridicule","blame","victim"},0)),ISNUMBER(MATCH(L154,{"menace","othering","ridicule","blame","victim"},0)))),1,0)</f>
        <v>0</v>
      </c>
      <c r="R154">
        <f>IF(AND(P154=1,Q154=0,OR(ISNUMBER(MATCH(H154,{"wholesome","heroic"},0)),ISNUMBER(MATCH(J154,{"wholesome","heroic"},0)),ISNUMBER(MATCH(L154,{"wholesome","heroic"},0)))),1,0)</f>
        <v>0</v>
      </c>
      <c r="S154">
        <f t="shared" si="7"/>
        <v>1</v>
      </c>
      <c r="T154">
        <f t="shared" si="8"/>
        <v>1</v>
      </c>
    </row>
    <row r="155" spans="1:20" x14ac:dyDescent="0.25">
      <c r="A155">
        <v>154</v>
      </c>
      <c r="B155">
        <v>3344</v>
      </c>
      <c r="C155" t="s">
        <v>26</v>
      </c>
      <c r="D155" t="s">
        <v>1218</v>
      </c>
      <c r="E155" s="4">
        <v>45371</v>
      </c>
      <c r="F155" s="6">
        <v>1</v>
      </c>
      <c r="P155">
        <f t="shared" si="6"/>
        <v>0</v>
      </c>
      <c r="Q155">
        <f>IF(AND(P155=1,OR(ISNUMBER(MATCH(H155,{"menace","othering","ridicule","blame","victim"},0)),ISNUMBER(MATCH(J155,{"menace","othering","ridicule","blame","victim"},0)),ISNUMBER(MATCH(L155,{"menace","othering","ridicule","blame","victim"},0)))),1,0)</f>
        <v>0</v>
      </c>
      <c r="R155">
        <f>IF(AND(P155=1,Q155=0,OR(ISNUMBER(MATCH(H155,{"wholesome","heroic"},0)),ISNUMBER(MATCH(J155,{"wholesome","heroic"},0)),ISNUMBER(MATCH(L155,{"wholesome","heroic"},0)))),1,0)</f>
        <v>0</v>
      </c>
      <c r="S155">
        <f t="shared" si="7"/>
        <v>0</v>
      </c>
      <c r="T155">
        <f t="shared" si="8"/>
        <v>0</v>
      </c>
    </row>
    <row r="156" spans="1:20" x14ac:dyDescent="0.25">
      <c r="A156">
        <v>155</v>
      </c>
      <c r="B156">
        <v>3349</v>
      </c>
      <c r="C156" t="s">
        <v>26</v>
      </c>
      <c r="D156" t="s">
        <v>1218</v>
      </c>
      <c r="E156" s="4">
        <v>45372</v>
      </c>
      <c r="F156" s="6">
        <v>0</v>
      </c>
      <c r="G156" s="6" t="s">
        <v>2988</v>
      </c>
      <c r="H156" s="6" t="s">
        <v>2987</v>
      </c>
      <c r="I156" s="6" t="s">
        <v>2986</v>
      </c>
      <c r="J156" s="6" t="s">
        <v>2985</v>
      </c>
      <c r="K156" s="6"/>
      <c r="L156" s="6"/>
      <c r="M156" s="6" t="s">
        <v>3047</v>
      </c>
      <c r="N156" s="6" t="s">
        <v>3046</v>
      </c>
      <c r="O156" s="6"/>
      <c r="P156">
        <f t="shared" si="6"/>
        <v>1</v>
      </c>
      <c r="Q156">
        <f>IF(AND(P156=1,OR(ISNUMBER(MATCH(H156,{"menace","othering","ridicule","blame","victim"},0)),ISNUMBER(MATCH(J156,{"menace","othering","ridicule","blame","victim"},0)),ISNUMBER(MATCH(L156,{"menace","othering","ridicule","blame","victim"},0)))),1,0)</f>
        <v>1</v>
      </c>
      <c r="R156">
        <f>IF(AND(P156=1,Q156=0,OR(ISNUMBER(MATCH(H156,{"wholesome","heroic"},0)),ISNUMBER(MATCH(J156,{"wholesome","heroic"},0)),ISNUMBER(MATCH(L156,{"wholesome","heroic"},0)))),1,0)</f>
        <v>0</v>
      </c>
      <c r="S156">
        <f t="shared" si="7"/>
        <v>0</v>
      </c>
      <c r="T156">
        <f t="shared" si="8"/>
        <v>0</v>
      </c>
    </row>
    <row r="157" spans="1:20" x14ac:dyDescent="0.25">
      <c r="A157">
        <v>156</v>
      </c>
      <c r="B157">
        <v>3376</v>
      </c>
      <c r="C157" t="s">
        <v>26</v>
      </c>
      <c r="D157" t="s">
        <v>1218</v>
      </c>
      <c r="E157" s="4">
        <v>45373</v>
      </c>
      <c r="F157" s="6">
        <v>0</v>
      </c>
      <c r="G157" s="6" t="s">
        <v>2986</v>
      </c>
      <c r="H157" s="6" t="s">
        <v>2989</v>
      </c>
      <c r="I157" s="6" t="s">
        <v>2995</v>
      </c>
      <c r="J157" s="6" t="s">
        <v>2989</v>
      </c>
      <c r="K157" s="6" t="s">
        <v>3862</v>
      </c>
      <c r="L157" s="6" t="s">
        <v>2989</v>
      </c>
      <c r="M157" s="6" t="s">
        <v>3046</v>
      </c>
      <c r="N157" s="6" t="s">
        <v>3046</v>
      </c>
      <c r="O157" s="6" t="s">
        <v>3046</v>
      </c>
      <c r="P157">
        <f t="shared" si="6"/>
        <v>1</v>
      </c>
      <c r="Q157">
        <f>IF(AND(P157=1,OR(ISNUMBER(MATCH(H157,{"menace","othering","ridicule","blame","victim"},0)),ISNUMBER(MATCH(J157,{"menace","othering","ridicule","blame","victim"},0)),ISNUMBER(MATCH(L157,{"menace","othering","ridicule","blame","victim"},0)))),1,0)</f>
        <v>0</v>
      </c>
      <c r="R157">
        <f>IF(AND(P157=1,Q157=0,OR(ISNUMBER(MATCH(H157,{"wholesome","heroic"},0)),ISNUMBER(MATCH(J157,{"wholesome","heroic"},0)),ISNUMBER(MATCH(L157,{"wholesome","heroic"},0)))),1,0)</f>
        <v>0</v>
      </c>
      <c r="S157">
        <f t="shared" si="7"/>
        <v>1</v>
      </c>
      <c r="T157">
        <f t="shared" si="8"/>
        <v>1</v>
      </c>
    </row>
    <row r="158" spans="1:20" x14ac:dyDescent="0.25">
      <c r="A158">
        <v>157</v>
      </c>
      <c r="B158">
        <v>3396</v>
      </c>
      <c r="C158" t="s">
        <v>26</v>
      </c>
      <c r="D158" t="s">
        <v>1218</v>
      </c>
      <c r="E158" s="4">
        <v>45376</v>
      </c>
      <c r="F158" s="6">
        <v>0</v>
      </c>
      <c r="G158" s="6" t="s">
        <v>2991</v>
      </c>
      <c r="H158" s="6" t="s">
        <v>2989</v>
      </c>
      <c r="I158" s="6" t="s">
        <v>3000</v>
      </c>
      <c r="J158" s="6" t="s">
        <v>2985</v>
      </c>
      <c r="K158" s="6" t="s">
        <v>2986</v>
      </c>
      <c r="L158" s="6" t="s">
        <v>2985</v>
      </c>
      <c r="M158" s="6" t="s">
        <v>3046</v>
      </c>
      <c r="N158" s="6" t="s">
        <v>3046</v>
      </c>
      <c r="O158" s="6" t="s">
        <v>3046</v>
      </c>
      <c r="P158">
        <f t="shared" si="6"/>
        <v>1</v>
      </c>
      <c r="Q158">
        <f>IF(AND(P158=1,OR(ISNUMBER(MATCH(H158,{"menace","othering","ridicule","blame","victim"},0)),ISNUMBER(MATCH(J158,{"menace","othering","ridicule","blame","victim"},0)),ISNUMBER(MATCH(L158,{"menace","othering","ridicule","blame","victim"},0)))),1,0)</f>
        <v>1</v>
      </c>
      <c r="R158">
        <f>IF(AND(P158=1,Q158=0,OR(ISNUMBER(MATCH(H158,{"wholesome","heroic"},0)),ISNUMBER(MATCH(J158,{"wholesome","heroic"},0)),ISNUMBER(MATCH(L158,{"wholesome","heroic"},0)))),1,0)</f>
        <v>0</v>
      </c>
      <c r="S158">
        <f t="shared" si="7"/>
        <v>0</v>
      </c>
      <c r="T158">
        <f t="shared" si="8"/>
        <v>0</v>
      </c>
    </row>
    <row r="159" spans="1:20" x14ac:dyDescent="0.25">
      <c r="A159">
        <v>158</v>
      </c>
      <c r="B159">
        <v>3412</v>
      </c>
      <c r="C159" t="s">
        <v>26</v>
      </c>
      <c r="D159" t="s">
        <v>1218</v>
      </c>
      <c r="E159" s="4">
        <v>45377</v>
      </c>
      <c r="F159" s="6">
        <v>1</v>
      </c>
      <c r="P159">
        <f t="shared" si="6"/>
        <v>0</v>
      </c>
      <c r="Q159">
        <f>IF(AND(P159=1,OR(ISNUMBER(MATCH(H159,{"menace","othering","ridicule","blame","victim"},0)),ISNUMBER(MATCH(J159,{"menace","othering","ridicule","blame","victim"},0)),ISNUMBER(MATCH(L159,{"menace","othering","ridicule","blame","victim"},0)))),1,0)</f>
        <v>0</v>
      </c>
      <c r="R159">
        <f>IF(AND(P159=1,Q159=0,OR(ISNUMBER(MATCH(H159,{"wholesome","heroic"},0)),ISNUMBER(MATCH(J159,{"wholesome","heroic"},0)),ISNUMBER(MATCH(L159,{"wholesome","heroic"},0)))),1,0)</f>
        <v>0</v>
      </c>
      <c r="S159">
        <f t="shared" si="7"/>
        <v>0</v>
      </c>
      <c r="T159">
        <f t="shared" si="8"/>
        <v>0</v>
      </c>
    </row>
    <row r="160" spans="1:20" x14ac:dyDescent="0.25">
      <c r="A160">
        <v>159</v>
      </c>
      <c r="B160">
        <v>3443</v>
      </c>
      <c r="C160" t="s">
        <v>26</v>
      </c>
      <c r="D160" t="s">
        <v>1218</v>
      </c>
      <c r="E160" s="4">
        <v>45379</v>
      </c>
      <c r="F160" s="6">
        <v>1</v>
      </c>
      <c r="P160">
        <f t="shared" si="6"/>
        <v>0</v>
      </c>
      <c r="Q160">
        <f>IF(AND(P160=1,OR(ISNUMBER(MATCH(H160,{"menace","othering","ridicule","blame","victim"},0)),ISNUMBER(MATCH(J160,{"menace","othering","ridicule","blame","victim"},0)),ISNUMBER(MATCH(L160,{"menace","othering","ridicule","blame","victim"},0)))),1,0)</f>
        <v>0</v>
      </c>
      <c r="R160">
        <f>IF(AND(P160=1,Q160=0,OR(ISNUMBER(MATCH(H160,{"wholesome","heroic"},0)),ISNUMBER(MATCH(J160,{"wholesome","heroic"},0)),ISNUMBER(MATCH(L160,{"wholesome","heroic"},0)))),1,0)</f>
        <v>0</v>
      </c>
      <c r="S160">
        <f t="shared" si="7"/>
        <v>0</v>
      </c>
      <c r="T160">
        <f t="shared" si="8"/>
        <v>0</v>
      </c>
    </row>
    <row r="161" spans="1:20" x14ac:dyDescent="0.25">
      <c r="A161">
        <v>160</v>
      </c>
      <c r="B161">
        <v>3454</v>
      </c>
      <c r="C161" t="s">
        <v>26</v>
      </c>
      <c r="D161" t="s">
        <v>1218</v>
      </c>
      <c r="E161" s="4">
        <v>45384</v>
      </c>
      <c r="F161" s="6">
        <v>0</v>
      </c>
      <c r="G161" s="6" t="s">
        <v>2998</v>
      </c>
      <c r="H161" s="6" t="s">
        <v>2993</v>
      </c>
      <c r="I161" s="6" t="s">
        <v>2986</v>
      </c>
      <c r="J161" s="6" t="s">
        <v>2985</v>
      </c>
      <c r="K161" s="6"/>
      <c r="L161" s="6"/>
      <c r="M161" s="6" t="s">
        <v>3047</v>
      </c>
      <c r="N161" s="6" t="s">
        <v>3046</v>
      </c>
      <c r="O161" s="6"/>
      <c r="P161">
        <f t="shared" si="6"/>
        <v>1</v>
      </c>
      <c r="Q161">
        <f>IF(AND(P161=1,OR(ISNUMBER(MATCH(H161,{"menace","othering","ridicule","blame","victim"},0)),ISNUMBER(MATCH(J161,{"menace","othering","ridicule","blame","victim"},0)),ISNUMBER(MATCH(L161,{"menace","othering","ridicule","blame","victim"},0)))),1,0)</f>
        <v>1</v>
      </c>
      <c r="R161">
        <f>IF(AND(P161=1,Q161=0,OR(ISNUMBER(MATCH(H161,{"wholesome","heroic"},0)),ISNUMBER(MATCH(J161,{"wholesome","heroic"},0)),ISNUMBER(MATCH(L161,{"wholesome","heroic"},0)))),1,0)</f>
        <v>0</v>
      </c>
      <c r="S161">
        <f t="shared" si="7"/>
        <v>0</v>
      </c>
      <c r="T161">
        <f t="shared" si="8"/>
        <v>0</v>
      </c>
    </row>
    <row r="162" spans="1:20" x14ac:dyDescent="0.25">
      <c r="A162">
        <v>161</v>
      </c>
      <c r="B162">
        <v>3474</v>
      </c>
      <c r="C162" t="s">
        <v>26</v>
      </c>
      <c r="D162" t="s">
        <v>1218</v>
      </c>
      <c r="E162" s="4">
        <v>45385</v>
      </c>
      <c r="F162" s="6">
        <v>0</v>
      </c>
      <c r="G162" s="6" t="s">
        <v>2986</v>
      </c>
      <c r="H162" s="6" t="s">
        <v>2989</v>
      </c>
      <c r="K162" s="6"/>
      <c r="L162" s="6"/>
      <c r="M162" s="6" t="s">
        <v>3046</v>
      </c>
      <c r="N162" s="6"/>
      <c r="O162" s="6"/>
      <c r="P162">
        <f t="shared" si="6"/>
        <v>1</v>
      </c>
      <c r="Q162">
        <f>IF(AND(P162=1,OR(ISNUMBER(MATCH(H162,{"menace","othering","ridicule","blame","victim"},0)),ISNUMBER(MATCH(J162,{"menace","othering","ridicule","blame","victim"},0)),ISNUMBER(MATCH(L162,{"menace","othering","ridicule","blame","victim"},0)))),1,0)</f>
        <v>0</v>
      </c>
      <c r="R162">
        <f>IF(AND(P162=1,Q162=0,OR(ISNUMBER(MATCH(H162,{"wholesome","heroic"},0)),ISNUMBER(MATCH(J162,{"wholesome","heroic"},0)),ISNUMBER(MATCH(L162,{"wholesome","heroic"},0)))),1,0)</f>
        <v>0</v>
      </c>
      <c r="S162">
        <f t="shared" si="7"/>
        <v>1</v>
      </c>
      <c r="T162">
        <f t="shared" si="8"/>
        <v>0</v>
      </c>
    </row>
    <row r="163" spans="1:20" x14ac:dyDescent="0.25">
      <c r="A163">
        <v>162</v>
      </c>
      <c r="B163">
        <v>3482</v>
      </c>
      <c r="C163" t="s">
        <v>26</v>
      </c>
      <c r="D163" t="s">
        <v>1218</v>
      </c>
      <c r="E163" s="4">
        <v>45386</v>
      </c>
      <c r="F163" s="6">
        <v>1</v>
      </c>
      <c r="P163">
        <f t="shared" si="6"/>
        <v>0</v>
      </c>
      <c r="Q163">
        <f>IF(AND(P163=1,OR(ISNUMBER(MATCH(H163,{"menace","othering","ridicule","blame","victim"},0)),ISNUMBER(MATCH(J163,{"menace","othering","ridicule","blame","victim"},0)),ISNUMBER(MATCH(L163,{"menace","othering","ridicule","blame","victim"},0)))),1,0)</f>
        <v>0</v>
      </c>
      <c r="R163">
        <f>IF(AND(P163=1,Q163=0,OR(ISNUMBER(MATCH(H163,{"wholesome","heroic"},0)),ISNUMBER(MATCH(J163,{"wholesome","heroic"},0)),ISNUMBER(MATCH(L163,{"wholesome","heroic"},0)))),1,0)</f>
        <v>0</v>
      </c>
      <c r="S163">
        <f t="shared" si="7"/>
        <v>0</v>
      </c>
      <c r="T163">
        <f t="shared" si="8"/>
        <v>0</v>
      </c>
    </row>
    <row r="164" spans="1:20" x14ac:dyDescent="0.25">
      <c r="A164">
        <v>163</v>
      </c>
      <c r="B164">
        <v>3488</v>
      </c>
      <c r="C164" t="s">
        <v>26</v>
      </c>
      <c r="D164" t="s">
        <v>1218</v>
      </c>
      <c r="E164" s="4">
        <v>45387</v>
      </c>
      <c r="F164" s="6">
        <v>0</v>
      </c>
      <c r="G164" s="6" t="s">
        <v>2999</v>
      </c>
      <c r="H164" s="6" t="s">
        <v>2985</v>
      </c>
      <c r="I164" s="6" t="s">
        <v>2986</v>
      </c>
      <c r="J164" s="6" t="s">
        <v>2985</v>
      </c>
      <c r="K164" s="6"/>
      <c r="L164" s="6"/>
      <c r="M164" s="6" t="s">
        <v>3047</v>
      </c>
      <c r="N164" s="6" t="s">
        <v>3046</v>
      </c>
      <c r="O164" s="6"/>
      <c r="P164">
        <f t="shared" si="6"/>
        <v>1</v>
      </c>
      <c r="Q164">
        <f>IF(AND(P164=1,OR(ISNUMBER(MATCH(H164,{"menace","othering","ridicule","blame","victim"},0)),ISNUMBER(MATCH(J164,{"menace","othering","ridicule","blame","victim"},0)),ISNUMBER(MATCH(L164,{"menace","othering","ridicule","blame","victim"},0)))),1,0)</f>
        <v>1</v>
      </c>
      <c r="R164">
        <f>IF(AND(P164=1,Q164=0,OR(ISNUMBER(MATCH(H164,{"wholesome","heroic"},0)),ISNUMBER(MATCH(J164,{"wholesome","heroic"},0)),ISNUMBER(MATCH(L164,{"wholesome","heroic"},0)))),1,0)</f>
        <v>0</v>
      </c>
      <c r="S164">
        <f t="shared" si="7"/>
        <v>0</v>
      </c>
      <c r="T164">
        <f t="shared" si="8"/>
        <v>0</v>
      </c>
    </row>
    <row r="165" spans="1:20" x14ac:dyDescent="0.25">
      <c r="A165">
        <v>164</v>
      </c>
      <c r="B165">
        <v>3529</v>
      </c>
      <c r="C165" t="s">
        <v>26</v>
      </c>
      <c r="D165" t="s">
        <v>1218</v>
      </c>
      <c r="E165" s="4">
        <v>45390</v>
      </c>
      <c r="F165" s="6">
        <v>0</v>
      </c>
      <c r="G165" s="6" t="s">
        <v>2999</v>
      </c>
      <c r="H165" s="6" t="s">
        <v>2989</v>
      </c>
      <c r="I165" s="6" t="s">
        <v>2986</v>
      </c>
      <c r="J165" s="6" t="s">
        <v>2985</v>
      </c>
      <c r="K165" s="6"/>
      <c r="L165" s="6"/>
      <c r="M165" s="6" t="s">
        <v>3047</v>
      </c>
      <c r="N165" s="6" t="s">
        <v>3046</v>
      </c>
      <c r="O165" s="6"/>
      <c r="P165">
        <f t="shared" si="6"/>
        <v>1</v>
      </c>
      <c r="Q165">
        <f>IF(AND(P165=1,OR(ISNUMBER(MATCH(H165,{"menace","othering","ridicule","blame","victim"},0)),ISNUMBER(MATCH(J165,{"menace","othering","ridicule","blame","victim"},0)),ISNUMBER(MATCH(L165,{"menace","othering","ridicule","blame","victim"},0)))),1,0)</f>
        <v>1</v>
      </c>
      <c r="R165">
        <f>IF(AND(P165=1,Q165=0,OR(ISNUMBER(MATCH(H165,{"wholesome","heroic"},0)),ISNUMBER(MATCH(J165,{"wholesome","heroic"},0)),ISNUMBER(MATCH(L165,{"wholesome","heroic"},0)))),1,0)</f>
        <v>0</v>
      </c>
      <c r="S165">
        <f t="shared" si="7"/>
        <v>0</v>
      </c>
      <c r="T165">
        <f t="shared" si="8"/>
        <v>0</v>
      </c>
    </row>
    <row r="166" spans="1:20" x14ac:dyDescent="0.25">
      <c r="A166">
        <v>165</v>
      </c>
      <c r="B166">
        <v>3532</v>
      </c>
      <c r="C166" t="s">
        <v>26</v>
      </c>
      <c r="D166" t="s">
        <v>1218</v>
      </c>
      <c r="E166" s="4">
        <v>45391</v>
      </c>
      <c r="F166" s="6">
        <v>0</v>
      </c>
      <c r="G166" s="6" t="s">
        <v>2986</v>
      </c>
      <c r="H166" s="6" t="s">
        <v>2985</v>
      </c>
      <c r="K166" s="6"/>
      <c r="L166" s="6"/>
      <c r="M166" s="6" t="s">
        <v>3046</v>
      </c>
      <c r="N166" s="6"/>
      <c r="O166" s="6"/>
      <c r="P166">
        <f t="shared" si="6"/>
        <v>1</v>
      </c>
      <c r="Q166">
        <f>IF(AND(P166=1,OR(ISNUMBER(MATCH(H166,{"menace","othering","ridicule","blame","victim"},0)),ISNUMBER(MATCH(J166,{"menace","othering","ridicule","blame","victim"},0)),ISNUMBER(MATCH(L166,{"menace","othering","ridicule","blame","victim"},0)))),1,0)</f>
        <v>1</v>
      </c>
      <c r="R166">
        <f>IF(AND(P166=1,Q166=0,OR(ISNUMBER(MATCH(H166,{"wholesome","heroic"},0)),ISNUMBER(MATCH(J166,{"wholesome","heroic"},0)),ISNUMBER(MATCH(L166,{"wholesome","heroic"},0)))),1,0)</f>
        <v>0</v>
      </c>
      <c r="S166">
        <f t="shared" si="7"/>
        <v>0</v>
      </c>
      <c r="T166">
        <f t="shared" si="8"/>
        <v>0</v>
      </c>
    </row>
    <row r="167" spans="1:20" x14ac:dyDescent="0.25">
      <c r="A167">
        <v>166</v>
      </c>
      <c r="B167">
        <v>3552</v>
      </c>
      <c r="C167" t="s">
        <v>26</v>
      </c>
      <c r="D167" t="s">
        <v>1218</v>
      </c>
      <c r="E167" s="4">
        <v>45392</v>
      </c>
      <c r="F167" s="6">
        <v>0</v>
      </c>
      <c r="G167" s="6" t="s">
        <v>2997</v>
      </c>
      <c r="H167" s="6" t="s">
        <v>2993</v>
      </c>
      <c r="I167" s="6" t="s">
        <v>2986</v>
      </c>
      <c r="J167" s="6" t="s">
        <v>2985</v>
      </c>
      <c r="K167" s="6"/>
      <c r="L167" s="6"/>
      <c r="M167" s="6" t="s">
        <v>3047</v>
      </c>
      <c r="N167" s="6" t="s">
        <v>3046</v>
      </c>
      <c r="O167" s="6"/>
      <c r="P167">
        <f t="shared" si="6"/>
        <v>1</v>
      </c>
      <c r="Q167">
        <f>IF(AND(P167=1,OR(ISNUMBER(MATCH(H167,{"menace","othering","ridicule","blame","victim"},0)),ISNUMBER(MATCH(J167,{"menace","othering","ridicule","blame","victim"},0)),ISNUMBER(MATCH(L167,{"menace","othering","ridicule","blame","victim"},0)))),1,0)</f>
        <v>1</v>
      </c>
      <c r="R167">
        <f>IF(AND(P167=1,Q167=0,OR(ISNUMBER(MATCH(H167,{"wholesome","heroic"},0)),ISNUMBER(MATCH(J167,{"wholesome","heroic"},0)),ISNUMBER(MATCH(L167,{"wholesome","heroic"},0)))),1,0)</f>
        <v>0</v>
      </c>
      <c r="S167">
        <f t="shared" si="7"/>
        <v>0</v>
      </c>
      <c r="T167">
        <f t="shared" si="8"/>
        <v>0</v>
      </c>
    </row>
    <row r="168" spans="1:20" x14ac:dyDescent="0.25">
      <c r="A168">
        <v>167</v>
      </c>
      <c r="B168">
        <v>3555</v>
      </c>
      <c r="C168" t="s">
        <v>26</v>
      </c>
      <c r="D168" t="s">
        <v>1218</v>
      </c>
      <c r="E168" s="4">
        <v>45392</v>
      </c>
      <c r="F168" s="6">
        <v>1</v>
      </c>
      <c r="P168">
        <f t="shared" si="6"/>
        <v>0</v>
      </c>
      <c r="Q168">
        <f>IF(AND(P168=1,OR(ISNUMBER(MATCH(H168,{"menace","othering","ridicule","blame","victim"},0)),ISNUMBER(MATCH(J168,{"menace","othering","ridicule","blame","victim"},0)),ISNUMBER(MATCH(L168,{"menace","othering","ridicule","blame","victim"},0)))),1,0)</f>
        <v>0</v>
      </c>
      <c r="R168">
        <f>IF(AND(P168=1,Q168=0,OR(ISNUMBER(MATCH(H168,{"wholesome","heroic"},0)),ISNUMBER(MATCH(J168,{"wholesome","heroic"},0)),ISNUMBER(MATCH(L168,{"wholesome","heroic"},0)))),1,0)</f>
        <v>0</v>
      </c>
      <c r="S168">
        <f t="shared" si="7"/>
        <v>0</v>
      </c>
      <c r="T168">
        <f t="shared" si="8"/>
        <v>0</v>
      </c>
    </row>
    <row r="169" spans="1:20" x14ac:dyDescent="0.25">
      <c r="A169">
        <v>168</v>
      </c>
      <c r="B169">
        <v>3563</v>
      </c>
      <c r="C169" t="s">
        <v>26</v>
      </c>
      <c r="D169" t="s">
        <v>1218</v>
      </c>
      <c r="E169" s="4">
        <v>45393</v>
      </c>
      <c r="F169" s="6">
        <v>0</v>
      </c>
      <c r="G169" s="6" t="s">
        <v>2988</v>
      </c>
      <c r="H169" s="6" t="s">
        <v>2987</v>
      </c>
      <c r="I169" s="6" t="s">
        <v>2986</v>
      </c>
      <c r="J169" s="6" t="s">
        <v>2985</v>
      </c>
      <c r="K169" s="6"/>
      <c r="L169" s="6"/>
      <c r="M169" s="6" t="s">
        <v>3047</v>
      </c>
      <c r="N169" s="6" t="s">
        <v>3046</v>
      </c>
      <c r="O169" s="6"/>
      <c r="P169">
        <f t="shared" si="6"/>
        <v>1</v>
      </c>
      <c r="Q169">
        <f>IF(AND(P169=1,OR(ISNUMBER(MATCH(H169,{"menace","othering","ridicule","blame","victim"},0)),ISNUMBER(MATCH(J169,{"menace","othering","ridicule","blame","victim"},0)),ISNUMBER(MATCH(L169,{"menace","othering","ridicule","blame","victim"},0)))),1,0)</f>
        <v>1</v>
      </c>
      <c r="R169">
        <f>IF(AND(P169=1,Q169=0,OR(ISNUMBER(MATCH(H169,{"wholesome","heroic"},0)),ISNUMBER(MATCH(J169,{"wholesome","heroic"},0)),ISNUMBER(MATCH(L169,{"wholesome","heroic"},0)))),1,0)</f>
        <v>0</v>
      </c>
      <c r="S169">
        <f t="shared" si="7"/>
        <v>0</v>
      </c>
      <c r="T169">
        <f t="shared" si="8"/>
        <v>0</v>
      </c>
    </row>
    <row r="170" spans="1:20" x14ac:dyDescent="0.25">
      <c r="A170">
        <v>169</v>
      </c>
      <c r="B170">
        <v>3614</v>
      </c>
      <c r="C170" t="s">
        <v>26</v>
      </c>
      <c r="D170" t="s">
        <v>1218</v>
      </c>
      <c r="E170" s="4">
        <v>45399</v>
      </c>
      <c r="F170" s="6">
        <v>1</v>
      </c>
      <c r="P170">
        <f t="shared" si="6"/>
        <v>0</v>
      </c>
      <c r="Q170">
        <f>IF(AND(P170=1,OR(ISNUMBER(MATCH(H170,{"menace","othering","ridicule","blame","victim"},0)),ISNUMBER(MATCH(J170,{"menace","othering","ridicule","blame","victim"},0)),ISNUMBER(MATCH(L170,{"menace","othering","ridicule","blame","victim"},0)))),1,0)</f>
        <v>0</v>
      </c>
      <c r="R170">
        <f>IF(AND(P170=1,Q170=0,OR(ISNUMBER(MATCH(H170,{"wholesome","heroic"},0)),ISNUMBER(MATCH(J170,{"wholesome","heroic"},0)),ISNUMBER(MATCH(L170,{"wholesome","heroic"},0)))),1,0)</f>
        <v>0</v>
      </c>
      <c r="S170">
        <f t="shared" si="7"/>
        <v>0</v>
      </c>
      <c r="T170">
        <f t="shared" si="8"/>
        <v>0</v>
      </c>
    </row>
    <row r="171" spans="1:20" x14ac:dyDescent="0.25">
      <c r="A171">
        <v>170</v>
      </c>
      <c r="B171">
        <v>3625</v>
      </c>
      <c r="C171" t="s">
        <v>26</v>
      </c>
      <c r="D171" t="s">
        <v>1218</v>
      </c>
      <c r="E171" s="4">
        <v>45400</v>
      </c>
      <c r="F171" s="6">
        <v>1</v>
      </c>
      <c r="P171">
        <f t="shared" si="6"/>
        <v>0</v>
      </c>
      <c r="Q171">
        <f>IF(AND(P171=1,OR(ISNUMBER(MATCH(H171,{"menace","othering","ridicule","blame","victim"},0)),ISNUMBER(MATCH(J171,{"menace","othering","ridicule","blame","victim"},0)),ISNUMBER(MATCH(L171,{"menace","othering","ridicule","blame","victim"},0)))),1,0)</f>
        <v>0</v>
      </c>
      <c r="R171">
        <f>IF(AND(P171=1,Q171=0,OR(ISNUMBER(MATCH(H171,{"wholesome","heroic"},0)),ISNUMBER(MATCH(J171,{"wholesome","heroic"},0)),ISNUMBER(MATCH(L171,{"wholesome","heroic"},0)))),1,0)</f>
        <v>0</v>
      </c>
      <c r="S171">
        <f t="shared" si="7"/>
        <v>0</v>
      </c>
      <c r="T171">
        <f t="shared" si="8"/>
        <v>0</v>
      </c>
    </row>
    <row r="172" spans="1:20" x14ac:dyDescent="0.25">
      <c r="A172">
        <v>171</v>
      </c>
      <c r="B172">
        <v>3635</v>
      </c>
      <c r="C172" t="s">
        <v>26</v>
      </c>
      <c r="D172" t="s">
        <v>1218</v>
      </c>
      <c r="E172" s="4">
        <v>45401</v>
      </c>
      <c r="F172" s="6">
        <v>0</v>
      </c>
      <c r="G172" s="6" t="s">
        <v>2995</v>
      </c>
      <c r="H172" s="6" t="s">
        <v>2989</v>
      </c>
      <c r="I172" s="6" t="s">
        <v>2991</v>
      </c>
      <c r="J172" s="6" t="s">
        <v>2989</v>
      </c>
      <c r="K172" s="6" t="s">
        <v>2998</v>
      </c>
      <c r="L172" s="6" t="s">
        <v>2989</v>
      </c>
      <c r="M172" s="6" t="s">
        <v>3046</v>
      </c>
      <c r="N172" s="6" t="s">
        <v>3046</v>
      </c>
      <c r="O172" s="6" t="s">
        <v>3046</v>
      </c>
      <c r="P172">
        <f t="shared" si="6"/>
        <v>1</v>
      </c>
      <c r="Q172">
        <f>IF(AND(P172=1,OR(ISNUMBER(MATCH(H172,{"menace","othering","ridicule","blame","victim"},0)),ISNUMBER(MATCH(J172,{"menace","othering","ridicule","blame","victim"},0)),ISNUMBER(MATCH(L172,{"menace","othering","ridicule","blame","victim"},0)))),1,0)</f>
        <v>0</v>
      </c>
      <c r="R172">
        <f>IF(AND(P172=1,Q172=0,OR(ISNUMBER(MATCH(H172,{"wholesome","heroic"},0)),ISNUMBER(MATCH(J172,{"wholesome","heroic"},0)),ISNUMBER(MATCH(L172,{"wholesome","heroic"},0)))),1,0)</f>
        <v>0</v>
      </c>
      <c r="S172">
        <f t="shared" si="7"/>
        <v>1</v>
      </c>
      <c r="T172">
        <f t="shared" si="8"/>
        <v>1</v>
      </c>
    </row>
    <row r="173" spans="1:20" x14ac:dyDescent="0.25">
      <c r="A173">
        <v>172</v>
      </c>
      <c r="B173">
        <v>3636</v>
      </c>
      <c r="C173" t="s">
        <v>26</v>
      </c>
      <c r="D173" t="s">
        <v>1218</v>
      </c>
      <c r="E173" s="4">
        <v>45402</v>
      </c>
      <c r="F173" s="6">
        <v>1</v>
      </c>
      <c r="P173">
        <f t="shared" si="6"/>
        <v>0</v>
      </c>
      <c r="Q173">
        <f>IF(AND(P173=1,OR(ISNUMBER(MATCH(H173,{"menace","othering","ridicule","blame","victim"},0)),ISNUMBER(MATCH(J173,{"menace","othering","ridicule","blame","victim"},0)),ISNUMBER(MATCH(L173,{"menace","othering","ridicule","blame","victim"},0)))),1,0)</f>
        <v>0</v>
      </c>
      <c r="R173">
        <f>IF(AND(P173=1,Q173=0,OR(ISNUMBER(MATCH(H173,{"wholesome","heroic"},0)),ISNUMBER(MATCH(J173,{"wholesome","heroic"},0)),ISNUMBER(MATCH(L173,{"wholesome","heroic"},0)))),1,0)</f>
        <v>0</v>
      </c>
      <c r="S173">
        <f t="shared" si="7"/>
        <v>0</v>
      </c>
      <c r="T173">
        <f t="shared" si="8"/>
        <v>0</v>
      </c>
    </row>
    <row r="174" spans="1:20" x14ac:dyDescent="0.25">
      <c r="A174">
        <v>173</v>
      </c>
      <c r="B174">
        <v>3645</v>
      </c>
      <c r="C174" t="s">
        <v>26</v>
      </c>
      <c r="D174" t="s">
        <v>1218</v>
      </c>
      <c r="E174" s="4">
        <v>45404</v>
      </c>
      <c r="F174" s="6">
        <v>0</v>
      </c>
      <c r="G174" s="6" t="s">
        <v>2988</v>
      </c>
      <c r="H174" s="6" t="s">
        <v>2990</v>
      </c>
      <c r="I174" s="6" t="s">
        <v>2991</v>
      </c>
      <c r="J174" s="6" t="s">
        <v>2994</v>
      </c>
      <c r="K174" s="6" t="s">
        <v>2986</v>
      </c>
      <c r="L174" s="6" t="s">
        <v>2985</v>
      </c>
      <c r="M174" s="6" t="s">
        <v>3047</v>
      </c>
      <c r="N174" s="6" t="s">
        <v>3047</v>
      </c>
      <c r="O174" s="6" t="s">
        <v>3046</v>
      </c>
      <c r="P174">
        <f t="shared" si="6"/>
        <v>1</v>
      </c>
      <c r="Q174">
        <f>IF(AND(P174=1,OR(ISNUMBER(MATCH(H174,{"menace","othering","ridicule","blame","victim"},0)),ISNUMBER(MATCH(J174,{"menace","othering","ridicule","blame","victim"},0)),ISNUMBER(MATCH(L174,{"menace","othering","ridicule","blame","victim"},0)))),1,0)</f>
        <v>1</v>
      </c>
      <c r="R174">
        <f>IF(AND(P174=1,Q174=0,OR(ISNUMBER(MATCH(H174,{"wholesome","heroic"},0)),ISNUMBER(MATCH(J174,{"wholesome","heroic"},0)),ISNUMBER(MATCH(L174,{"wholesome","heroic"},0)))),1,0)</f>
        <v>0</v>
      </c>
      <c r="S174">
        <f t="shared" si="7"/>
        <v>0</v>
      </c>
      <c r="T174">
        <f t="shared" si="8"/>
        <v>0</v>
      </c>
    </row>
    <row r="175" spans="1:20" x14ac:dyDescent="0.25">
      <c r="A175">
        <v>174</v>
      </c>
      <c r="B175">
        <v>3652</v>
      </c>
      <c r="C175" t="s">
        <v>26</v>
      </c>
      <c r="D175" t="s">
        <v>1218</v>
      </c>
      <c r="E175" s="4">
        <v>45405</v>
      </c>
      <c r="F175" s="6">
        <v>0</v>
      </c>
      <c r="G175" s="6" t="s">
        <v>2988</v>
      </c>
      <c r="H175" s="6" t="s">
        <v>2987</v>
      </c>
      <c r="I175" s="6" t="s">
        <v>2986</v>
      </c>
      <c r="J175" s="6" t="s">
        <v>2985</v>
      </c>
      <c r="K175" s="6"/>
      <c r="L175" s="6"/>
      <c r="M175" s="6" t="s">
        <v>3047</v>
      </c>
      <c r="N175" s="6" t="s">
        <v>3046</v>
      </c>
      <c r="O175" s="6"/>
      <c r="P175">
        <f t="shared" si="6"/>
        <v>1</v>
      </c>
      <c r="Q175">
        <f>IF(AND(P175=1,OR(ISNUMBER(MATCH(H175,{"menace","othering","ridicule","blame","victim"},0)),ISNUMBER(MATCH(J175,{"menace","othering","ridicule","blame","victim"},0)),ISNUMBER(MATCH(L175,{"menace","othering","ridicule","blame","victim"},0)))),1,0)</f>
        <v>1</v>
      </c>
      <c r="R175">
        <f>IF(AND(P175=1,Q175=0,OR(ISNUMBER(MATCH(H175,{"wholesome","heroic"},0)),ISNUMBER(MATCH(J175,{"wholesome","heroic"},0)),ISNUMBER(MATCH(L175,{"wholesome","heroic"},0)))),1,0)</f>
        <v>0</v>
      </c>
      <c r="S175">
        <f t="shared" si="7"/>
        <v>0</v>
      </c>
      <c r="T175">
        <f t="shared" si="8"/>
        <v>0</v>
      </c>
    </row>
    <row r="176" spans="1:20" x14ac:dyDescent="0.25">
      <c r="A176">
        <v>175</v>
      </c>
      <c r="B176">
        <v>3661</v>
      </c>
      <c r="C176" t="s">
        <v>26</v>
      </c>
      <c r="D176" t="s">
        <v>1218</v>
      </c>
      <c r="E176" s="4">
        <v>45406</v>
      </c>
      <c r="F176" s="6">
        <v>1</v>
      </c>
      <c r="P176">
        <f t="shared" si="6"/>
        <v>0</v>
      </c>
      <c r="Q176">
        <f>IF(AND(P176=1,OR(ISNUMBER(MATCH(H176,{"menace","othering","ridicule","blame","victim"},0)),ISNUMBER(MATCH(J176,{"menace","othering","ridicule","blame","victim"},0)),ISNUMBER(MATCH(L176,{"menace","othering","ridicule","blame","victim"},0)))),1,0)</f>
        <v>0</v>
      </c>
      <c r="R176">
        <f>IF(AND(P176=1,Q176=0,OR(ISNUMBER(MATCH(H176,{"wholesome","heroic"},0)),ISNUMBER(MATCH(J176,{"wholesome","heroic"},0)),ISNUMBER(MATCH(L176,{"wholesome","heroic"},0)))),1,0)</f>
        <v>0</v>
      </c>
      <c r="S176">
        <f t="shared" si="7"/>
        <v>0</v>
      </c>
      <c r="T176">
        <f t="shared" si="8"/>
        <v>0</v>
      </c>
    </row>
    <row r="177" spans="1:20" x14ac:dyDescent="0.25">
      <c r="A177">
        <v>176</v>
      </c>
      <c r="B177">
        <v>3671</v>
      </c>
      <c r="C177" t="s">
        <v>26</v>
      </c>
      <c r="D177" t="s">
        <v>1218</v>
      </c>
      <c r="E177" s="4">
        <v>45407</v>
      </c>
      <c r="F177" s="6">
        <v>1</v>
      </c>
      <c r="P177">
        <f t="shared" si="6"/>
        <v>0</v>
      </c>
      <c r="Q177">
        <f>IF(AND(P177=1,OR(ISNUMBER(MATCH(H177,{"menace","othering","ridicule","blame","victim"},0)),ISNUMBER(MATCH(J177,{"menace","othering","ridicule","blame","victim"},0)),ISNUMBER(MATCH(L177,{"menace","othering","ridicule","blame","victim"},0)))),1,0)</f>
        <v>0</v>
      </c>
      <c r="R177">
        <f>IF(AND(P177=1,Q177=0,OR(ISNUMBER(MATCH(H177,{"wholesome","heroic"},0)),ISNUMBER(MATCH(J177,{"wholesome","heroic"},0)),ISNUMBER(MATCH(L177,{"wholesome","heroic"},0)))),1,0)</f>
        <v>0</v>
      </c>
      <c r="S177">
        <f t="shared" si="7"/>
        <v>0</v>
      </c>
      <c r="T177">
        <f t="shared" si="8"/>
        <v>0</v>
      </c>
    </row>
    <row r="178" spans="1:20" x14ac:dyDescent="0.25">
      <c r="A178">
        <v>177</v>
      </c>
      <c r="B178">
        <v>3682</v>
      </c>
      <c r="C178" t="s">
        <v>26</v>
      </c>
      <c r="D178" t="s">
        <v>1218</v>
      </c>
      <c r="E178" s="4">
        <v>45408</v>
      </c>
      <c r="F178" s="6">
        <v>1</v>
      </c>
      <c r="P178">
        <f t="shared" si="6"/>
        <v>0</v>
      </c>
      <c r="Q178">
        <f>IF(AND(P178=1,OR(ISNUMBER(MATCH(H178,{"menace","othering","ridicule","blame","victim"},0)),ISNUMBER(MATCH(J178,{"menace","othering","ridicule","blame","victim"},0)),ISNUMBER(MATCH(L178,{"menace","othering","ridicule","blame","victim"},0)))),1,0)</f>
        <v>0</v>
      </c>
      <c r="R178">
        <f>IF(AND(P178=1,Q178=0,OR(ISNUMBER(MATCH(H178,{"wholesome","heroic"},0)),ISNUMBER(MATCH(J178,{"wholesome","heroic"},0)),ISNUMBER(MATCH(L178,{"wholesome","heroic"},0)))),1,0)</f>
        <v>0</v>
      </c>
      <c r="S178">
        <f t="shared" si="7"/>
        <v>0</v>
      </c>
      <c r="T178">
        <f t="shared" si="8"/>
        <v>0</v>
      </c>
    </row>
    <row r="179" spans="1:20" x14ac:dyDescent="0.25">
      <c r="A179">
        <v>178</v>
      </c>
      <c r="B179">
        <v>3688</v>
      </c>
      <c r="C179" t="s">
        <v>26</v>
      </c>
      <c r="D179" t="s">
        <v>1218</v>
      </c>
      <c r="E179" s="4">
        <v>45411</v>
      </c>
      <c r="F179" s="6">
        <v>1</v>
      </c>
      <c r="P179">
        <f t="shared" si="6"/>
        <v>0</v>
      </c>
      <c r="Q179">
        <f>IF(AND(P179=1,OR(ISNUMBER(MATCH(H179,{"menace","othering","ridicule","blame","victim"},0)),ISNUMBER(MATCH(J179,{"menace","othering","ridicule","blame","victim"},0)),ISNUMBER(MATCH(L179,{"menace","othering","ridicule","blame","victim"},0)))),1,0)</f>
        <v>0</v>
      </c>
      <c r="R179">
        <f>IF(AND(P179=1,Q179=0,OR(ISNUMBER(MATCH(H179,{"wholesome","heroic"},0)),ISNUMBER(MATCH(J179,{"wholesome","heroic"},0)),ISNUMBER(MATCH(L179,{"wholesome","heroic"},0)))),1,0)</f>
        <v>0</v>
      </c>
      <c r="S179">
        <f t="shared" si="7"/>
        <v>0</v>
      </c>
      <c r="T179">
        <f t="shared" si="8"/>
        <v>0</v>
      </c>
    </row>
    <row r="180" spans="1:20" x14ac:dyDescent="0.25">
      <c r="A180">
        <v>179</v>
      </c>
      <c r="B180">
        <v>3692</v>
      </c>
      <c r="C180" t="s">
        <v>26</v>
      </c>
      <c r="D180" t="s">
        <v>1218</v>
      </c>
      <c r="E180" s="4">
        <v>45411</v>
      </c>
      <c r="F180" s="6">
        <v>1</v>
      </c>
      <c r="P180">
        <f t="shared" si="6"/>
        <v>0</v>
      </c>
      <c r="Q180">
        <f>IF(AND(P180=1,OR(ISNUMBER(MATCH(H180,{"menace","othering","ridicule","blame","victim"},0)),ISNUMBER(MATCH(J180,{"menace","othering","ridicule","blame","victim"},0)),ISNUMBER(MATCH(L180,{"menace","othering","ridicule","blame","victim"},0)))),1,0)</f>
        <v>0</v>
      </c>
      <c r="R180">
        <f>IF(AND(P180=1,Q180=0,OR(ISNUMBER(MATCH(H180,{"wholesome","heroic"},0)),ISNUMBER(MATCH(J180,{"wholesome","heroic"},0)),ISNUMBER(MATCH(L180,{"wholesome","heroic"},0)))),1,0)</f>
        <v>0</v>
      </c>
      <c r="S180">
        <f t="shared" si="7"/>
        <v>0</v>
      </c>
      <c r="T180">
        <f t="shared" si="8"/>
        <v>0</v>
      </c>
    </row>
    <row r="181" spans="1:20" x14ac:dyDescent="0.25">
      <c r="A181">
        <v>180</v>
      </c>
      <c r="B181">
        <v>3693</v>
      </c>
      <c r="C181" t="s">
        <v>26</v>
      </c>
      <c r="D181" t="s">
        <v>1218</v>
      </c>
      <c r="E181" s="4">
        <v>45412</v>
      </c>
      <c r="F181" s="6">
        <v>0</v>
      </c>
      <c r="G181" s="6" t="s">
        <v>2988</v>
      </c>
      <c r="H181" s="6" t="s">
        <v>2987</v>
      </c>
      <c r="I181" s="6" t="s">
        <v>2986</v>
      </c>
      <c r="J181" s="6" t="s">
        <v>2985</v>
      </c>
      <c r="K181" s="6"/>
      <c r="L181" s="6"/>
      <c r="M181" s="6" t="s">
        <v>3047</v>
      </c>
      <c r="N181" s="6" t="s">
        <v>3046</v>
      </c>
      <c r="O181" s="6"/>
      <c r="P181">
        <f t="shared" si="6"/>
        <v>1</v>
      </c>
      <c r="Q181">
        <f>IF(AND(P181=1,OR(ISNUMBER(MATCH(H181,{"menace","othering","ridicule","blame","victim"},0)),ISNUMBER(MATCH(J181,{"menace","othering","ridicule","blame","victim"},0)),ISNUMBER(MATCH(L181,{"menace","othering","ridicule","blame","victim"},0)))),1,0)</f>
        <v>1</v>
      </c>
      <c r="R181">
        <f>IF(AND(P181=1,Q181=0,OR(ISNUMBER(MATCH(H181,{"wholesome","heroic"},0)),ISNUMBER(MATCH(J181,{"wholesome","heroic"},0)),ISNUMBER(MATCH(L181,{"wholesome","heroic"},0)))),1,0)</f>
        <v>0</v>
      </c>
      <c r="S181">
        <f t="shared" si="7"/>
        <v>0</v>
      </c>
      <c r="T181">
        <f t="shared" si="8"/>
        <v>0</v>
      </c>
    </row>
    <row r="182" spans="1:20" x14ac:dyDescent="0.25">
      <c r="A182">
        <v>181</v>
      </c>
      <c r="B182">
        <v>3697</v>
      </c>
      <c r="C182" t="s">
        <v>26</v>
      </c>
      <c r="D182" t="s">
        <v>1218</v>
      </c>
      <c r="E182" s="4">
        <v>45412</v>
      </c>
      <c r="F182" s="6">
        <v>1</v>
      </c>
      <c r="P182">
        <f t="shared" si="6"/>
        <v>0</v>
      </c>
      <c r="Q182">
        <f>IF(AND(P182=1,OR(ISNUMBER(MATCH(H182,{"menace","othering","ridicule","blame","victim"},0)),ISNUMBER(MATCH(J182,{"menace","othering","ridicule","blame","victim"},0)),ISNUMBER(MATCH(L182,{"menace","othering","ridicule","blame","victim"},0)))),1,0)</f>
        <v>0</v>
      </c>
      <c r="R182">
        <f>IF(AND(P182=1,Q182=0,OR(ISNUMBER(MATCH(H182,{"wholesome","heroic"},0)),ISNUMBER(MATCH(J182,{"wholesome","heroic"},0)),ISNUMBER(MATCH(L182,{"wholesome","heroic"},0)))),1,0)</f>
        <v>0</v>
      </c>
      <c r="S182">
        <f t="shared" si="7"/>
        <v>0</v>
      </c>
      <c r="T182">
        <f t="shared" si="8"/>
        <v>0</v>
      </c>
    </row>
    <row r="183" spans="1:20" x14ac:dyDescent="0.25">
      <c r="A183">
        <v>182</v>
      </c>
      <c r="B183">
        <v>3699</v>
      </c>
      <c r="C183" t="s">
        <v>26</v>
      </c>
      <c r="D183" t="s">
        <v>1218</v>
      </c>
      <c r="E183" s="4">
        <v>45413</v>
      </c>
      <c r="F183" s="6">
        <v>1</v>
      </c>
      <c r="P183">
        <f t="shared" si="6"/>
        <v>0</v>
      </c>
      <c r="Q183">
        <f>IF(AND(P183=1,OR(ISNUMBER(MATCH(H183,{"menace","othering","ridicule","blame","victim"},0)),ISNUMBER(MATCH(J183,{"menace","othering","ridicule","blame","victim"},0)),ISNUMBER(MATCH(L183,{"menace","othering","ridicule","blame","victim"},0)))),1,0)</f>
        <v>0</v>
      </c>
      <c r="R183">
        <f>IF(AND(P183=1,Q183=0,OR(ISNUMBER(MATCH(H183,{"wholesome","heroic"},0)),ISNUMBER(MATCH(J183,{"wholesome","heroic"},0)),ISNUMBER(MATCH(L183,{"wholesome","heroic"},0)))),1,0)</f>
        <v>0</v>
      </c>
      <c r="S183">
        <f t="shared" si="7"/>
        <v>0</v>
      </c>
      <c r="T183">
        <f t="shared" si="8"/>
        <v>0</v>
      </c>
    </row>
    <row r="184" spans="1:20" x14ac:dyDescent="0.25">
      <c r="A184">
        <v>183</v>
      </c>
      <c r="B184">
        <v>3705</v>
      </c>
      <c r="C184" t="s">
        <v>26</v>
      </c>
      <c r="D184" t="s">
        <v>1218</v>
      </c>
      <c r="E184" s="4">
        <v>45413</v>
      </c>
      <c r="F184" s="6">
        <v>1</v>
      </c>
      <c r="P184">
        <f t="shared" si="6"/>
        <v>0</v>
      </c>
      <c r="Q184">
        <f>IF(AND(P184=1,OR(ISNUMBER(MATCH(H184,{"menace","othering","ridicule","blame","victim"},0)),ISNUMBER(MATCH(J184,{"menace","othering","ridicule","blame","victim"},0)),ISNUMBER(MATCH(L184,{"menace","othering","ridicule","blame","victim"},0)))),1,0)</f>
        <v>0</v>
      </c>
      <c r="R184">
        <f>IF(AND(P184=1,Q184=0,OR(ISNUMBER(MATCH(H184,{"wholesome","heroic"},0)),ISNUMBER(MATCH(J184,{"wholesome","heroic"},0)),ISNUMBER(MATCH(L184,{"wholesome","heroic"},0)))),1,0)</f>
        <v>0</v>
      </c>
      <c r="S184">
        <f t="shared" si="7"/>
        <v>0</v>
      </c>
      <c r="T184">
        <f t="shared" si="8"/>
        <v>0</v>
      </c>
    </row>
    <row r="185" spans="1:20" x14ac:dyDescent="0.25">
      <c r="A185">
        <v>184</v>
      </c>
      <c r="B185">
        <v>3717</v>
      </c>
      <c r="C185" t="s">
        <v>26</v>
      </c>
      <c r="D185" t="s">
        <v>1218</v>
      </c>
      <c r="E185" s="4">
        <v>45414</v>
      </c>
      <c r="F185" s="6">
        <v>1</v>
      </c>
      <c r="P185">
        <f t="shared" si="6"/>
        <v>0</v>
      </c>
      <c r="Q185">
        <f>IF(AND(P185=1,OR(ISNUMBER(MATCH(H185,{"menace","othering","ridicule","blame","victim"},0)),ISNUMBER(MATCH(J185,{"menace","othering","ridicule","blame","victim"},0)),ISNUMBER(MATCH(L185,{"menace","othering","ridicule","blame","victim"},0)))),1,0)</f>
        <v>0</v>
      </c>
      <c r="R185">
        <f>IF(AND(P185=1,Q185=0,OR(ISNUMBER(MATCH(H185,{"wholesome","heroic"},0)),ISNUMBER(MATCH(J185,{"wholesome","heroic"},0)),ISNUMBER(MATCH(L185,{"wholesome","heroic"},0)))),1,0)</f>
        <v>0</v>
      </c>
      <c r="S185">
        <f t="shared" si="7"/>
        <v>0</v>
      </c>
      <c r="T185">
        <f t="shared" si="8"/>
        <v>0</v>
      </c>
    </row>
    <row r="186" spans="1:20" x14ac:dyDescent="0.25">
      <c r="A186">
        <v>185</v>
      </c>
      <c r="B186">
        <v>3722</v>
      </c>
      <c r="C186" t="s">
        <v>26</v>
      </c>
      <c r="D186" t="s">
        <v>1218</v>
      </c>
      <c r="E186" s="4">
        <v>45414</v>
      </c>
      <c r="F186" s="6">
        <v>0</v>
      </c>
      <c r="G186" s="6" t="s">
        <v>2988</v>
      </c>
      <c r="H186" s="6" t="s">
        <v>2987</v>
      </c>
      <c r="I186" s="6" t="s">
        <v>2986</v>
      </c>
      <c r="J186" s="6" t="s">
        <v>2985</v>
      </c>
      <c r="K186" s="6"/>
      <c r="L186" s="6"/>
      <c r="M186" s="6" t="s">
        <v>3047</v>
      </c>
      <c r="N186" s="6" t="s">
        <v>3046</v>
      </c>
      <c r="O186" s="6"/>
      <c r="P186">
        <f t="shared" si="6"/>
        <v>1</v>
      </c>
      <c r="Q186">
        <f>IF(AND(P186=1,OR(ISNUMBER(MATCH(H186,{"menace","othering","ridicule","blame","victim"},0)),ISNUMBER(MATCH(J186,{"menace","othering","ridicule","blame","victim"},0)),ISNUMBER(MATCH(L186,{"menace","othering","ridicule","blame","victim"},0)))),1,0)</f>
        <v>1</v>
      </c>
      <c r="R186">
        <f>IF(AND(P186=1,Q186=0,OR(ISNUMBER(MATCH(H186,{"wholesome","heroic"},0)),ISNUMBER(MATCH(J186,{"wholesome","heroic"},0)),ISNUMBER(MATCH(L186,{"wholesome","heroic"},0)))),1,0)</f>
        <v>0</v>
      </c>
      <c r="S186">
        <f t="shared" si="7"/>
        <v>0</v>
      </c>
      <c r="T186">
        <f t="shared" si="8"/>
        <v>0</v>
      </c>
    </row>
    <row r="187" spans="1:20" x14ac:dyDescent="0.25">
      <c r="A187">
        <v>186</v>
      </c>
      <c r="B187">
        <v>3726</v>
      </c>
      <c r="C187" t="s">
        <v>26</v>
      </c>
      <c r="D187" t="s">
        <v>1218</v>
      </c>
      <c r="E187" s="4">
        <v>45414</v>
      </c>
      <c r="F187" s="6">
        <v>1</v>
      </c>
      <c r="P187">
        <f t="shared" si="6"/>
        <v>0</v>
      </c>
      <c r="Q187">
        <f>IF(AND(P187=1,OR(ISNUMBER(MATCH(H187,{"menace","othering","ridicule","blame","victim"},0)),ISNUMBER(MATCH(J187,{"menace","othering","ridicule","blame","victim"},0)),ISNUMBER(MATCH(L187,{"menace","othering","ridicule","blame","victim"},0)))),1,0)</f>
        <v>0</v>
      </c>
      <c r="R187">
        <f>IF(AND(P187=1,Q187=0,OR(ISNUMBER(MATCH(H187,{"wholesome","heroic"},0)),ISNUMBER(MATCH(J187,{"wholesome","heroic"},0)),ISNUMBER(MATCH(L187,{"wholesome","heroic"},0)))),1,0)</f>
        <v>0</v>
      </c>
      <c r="S187">
        <f t="shared" si="7"/>
        <v>0</v>
      </c>
      <c r="T187">
        <f t="shared" si="8"/>
        <v>0</v>
      </c>
    </row>
    <row r="188" spans="1:20" x14ac:dyDescent="0.25">
      <c r="A188">
        <v>187</v>
      </c>
      <c r="B188">
        <v>3732</v>
      </c>
      <c r="C188" t="s">
        <v>26</v>
      </c>
      <c r="D188" t="s">
        <v>1218</v>
      </c>
      <c r="E188" s="4">
        <v>45415</v>
      </c>
      <c r="F188" s="6">
        <v>1</v>
      </c>
      <c r="P188">
        <f t="shared" si="6"/>
        <v>0</v>
      </c>
      <c r="Q188">
        <f>IF(AND(P188=1,OR(ISNUMBER(MATCH(H188,{"menace","othering","ridicule","blame","victim"},0)),ISNUMBER(MATCH(J188,{"menace","othering","ridicule","blame","victim"},0)),ISNUMBER(MATCH(L188,{"menace","othering","ridicule","blame","victim"},0)))),1,0)</f>
        <v>0</v>
      </c>
      <c r="R188">
        <f>IF(AND(P188=1,Q188=0,OR(ISNUMBER(MATCH(H188,{"wholesome","heroic"},0)),ISNUMBER(MATCH(J188,{"wholesome","heroic"},0)),ISNUMBER(MATCH(L188,{"wholesome","heroic"},0)))),1,0)</f>
        <v>0</v>
      </c>
      <c r="S188">
        <f t="shared" si="7"/>
        <v>0</v>
      </c>
      <c r="T188">
        <f t="shared" si="8"/>
        <v>0</v>
      </c>
    </row>
    <row r="189" spans="1:20" x14ac:dyDescent="0.25">
      <c r="A189">
        <v>188</v>
      </c>
      <c r="B189">
        <v>3737</v>
      </c>
      <c r="C189" t="s">
        <v>26</v>
      </c>
      <c r="D189" t="s">
        <v>1218</v>
      </c>
      <c r="E189" s="4">
        <v>45416</v>
      </c>
      <c r="F189" s="6">
        <v>1</v>
      </c>
      <c r="P189">
        <f t="shared" si="6"/>
        <v>0</v>
      </c>
      <c r="Q189">
        <f>IF(AND(P189=1,OR(ISNUMBER(MATCH(H189,{"menace","othering","ridicule","blame","victim"},0)),ISNUMBER(MATCH(J189,{"menace","othering","ridicule","blame","victim"},0)),ISNUMBER(MATCH(L189,{"menace","othering","ridicule","blame","victim"},0)))),1,0)</f>
        <v>0</v>
      </c>
      <c r="R189">
        <f>IF(AND(P189=1,Q189=0,OR(ISNUMBER(MATCH(H189,{"wholesome","heroic"},0)),ISNUMBER(MATCH(J189,{"wholesome","heroic"},0)),ISNUMBER(MATCH(L189,{"wholesome","heroic"},0)))),1,0)</f>
        <v>0</v>
      </c>
      <c r="S189">
        <f t="shared" si="7"/>
        <v>0</v>
      </c>
      <c r="T189">
        <f t="shared" si="8"/>
        <v>0</v>
      </c>
    </row>
    <row r="190" spans="1:20" x14ac:dyDescent="0.25">
      <c r="A190">
        <v>189</v>
      </c>
      <c r="B190">
        <v>3743</v>
      </c>
      <c r="C190" t="s">
        <v>26</v>
      </c>
      <c r="D190" t="s">
        <v>1218</v>
      </c>
      <c r="E190" s="4">
        <v>45417</v>
      </c>
      <c r="F190" s="6">
        <v>1</v>
      </c>
      <c r="P190">
        <f t="shared" si="6"/>
        <v>0</v>
      </c>
      <c r="Q190">
        <f>IF(AND(P190=1,OR(ISNUMBER(MATCH(H190,{"menace","othering","ridicule","blame","victim"},0)),ISNUMBER(MATCH(J190,{"menace","othering","ridicule","blame","victim"},0)),ISNUMBER(MATCH(L190,{"menace","othering","ridicule","blame","victim"},0)))),1,0)</f>
        <v>0</v>
      </c>
      <c r="R190">
        <f>IF(AND(P190=1,Q190=0,OR(ISNUMBER(MATCH(H190,{"wholesome","heroic"},0)),ISNUMBER(MATCH(J190,{"wholesome","heroic"},0)),ISNUMBER(MATCH(L190,{"wholesome","heroic"},0)))),1,0)</f>
        <v>0</v>
      </c>
      <c r="S190">
        <f t="shared" si="7"/>
        <v>0</v>
      </c>
      <c r="T190">
        <f t="shared" si="8"/>
        <v>0</v>
      </c>
    </row>
    <row r="191" spans="1:20" x14ac:dyDescent="0.25">
      <c r="A191">
        <v>190</v>
      </c>
      <c r="B191">
        <v>3763</v>
      </c>
      <c r="C191" t="s">
        <v>26</v>
      </c>
      <c r="D191" t="s">
        <v>1218</v>
      </c>
      <c r="E191" s="4">
        <v>45419</v>
      </c>
      <c r="F191" s="6">
        <v>1</v>
      </c>
      <c r="P191">
        <f t="shared" si="6"/>
        <v>0</v>
      </c>
      <c r="Q191">
        <f>IF(AND(P191=1,OR(ISNUMBER(MATCH(H191,{"menace","othering","ridicule","blame","victim"},0)),ISNUMBER(MATCH(J191,{"menace","othering","ridicule","blame","victim"},0)),ISNUMBER(MATCH(L191,{"menace","othering","ridicule","blame","victim"},0)))),1,0)</f>
        <v>0</v>
      </c>
      <c r="R191">
        <f>IF(AND(P191=1,Q191=0,OR(ISNUMBER(MATCH(H191,{"wholesome","heroic"},0)),ISNUMBER(MATCH(J191,{"wholesome","heroic"},0)),ISNUMBER(MATCH(L191,{"wholesome","heroic"},0)))),1,0)</f>
        <v>0</v>
      </c>
      <c r="S191">
        <f t="shared" si="7"/>
        <v>0</v>
      </c>
      <c r="T191">
        <f t="shared" si="8"/>
        <v>0</v>
      </c>
    </row>
    <row r="192" spans="1:20" x14ac:dyDescent="0.25">
      <c r="A192">
        <v>191</v>
      </c>
      <c r="B192">
        <v>3784</v>
      </c>
      <c r="C192" t="s">
        <v>26</v>
      </c>
      <c r="D192" t="s">
        <v>1218</v>
      </c>
      <c r="E192" s="4">
        <v>45422</v>
      </c>
      <c r="F192" s="6">
        <v>1</v>
      </c>
      <c r="P192">
        <f t="shared" si="6"/>
        <v>0</v>
      </c>
      <c r="Q192">
        <f>IF(AND(P192=1,OR(ISNUMBER(MATCH(H192,{"menace","othering","ridicule","blame","victim"},0)),ISNUMBER(MATCH(J192,{"menace","othering","ridicule","blame","victim"},0)),ISNUMBER(MATCH(L192,{"menace","othering","ridicule","blame","victim"},0)))),1,0)</f>
        <v>0</v>
      </c>
      <c r="R192">
        <f>IF(AND(P192=1,Q192=0,OR(ISNUMBER(MATCH(H192,{"wholesome","heroic"},0)),ISNUMBER(MATCH(J192,{"wholesome","heroic"},0)),ISNUMBER(MATCH(L192,{"wholesome","heroic"},0)))),1,0)</f>
        <v>0</v>
      </c>
      <c r="S192">
        <f t="shared" si="7"/>
        <v>0</v>
      </c>
      <c r="T192">
        <f t="shared" si="8"/>
        <v>0</v>
      </c>
    </row>
    <row r="193" spans="1:20" x14ac:dyDescent="0.25">
      <c r="A193">
        <v>192</v>
      </c>
      <c r="B193">
        <v>3787</v>
      </c>
      <c r="C193" t="s">
        <v>26</v>
      </c>
      <c r="D193" t="s">
        <v>1218</v>
      </c>
      <c r="E193" s="4">
        <v>45423</v>
      </c>
      <c r="F193" s="6">
        <v>1</v>
      </c>
      <c r="P193">
        <f t="shared" si="6"/>
        <v>0</v>
      </c>
      <c r="Q193">
        <f>IF(AND(P193=1,OR(ISNUMBER(MATCH(H193,{"menace","othering","ridicule","blame","victim"},0)),ISNUMBER(MATCH(J193,{"menace","othering","ridicule","blame","victim"},0)),ISNUMBER(MATCH(L193,{"menace","othering","ridicule","blame","victim"},0)))),1,0)</f>
        <v>0</v>
      </c>
      <c r="R193">
        <f>IF(AND(P193=1,Q193=0,OR(ISNUMBER(MATCH(H193,{"wholesome","heroic"},0)),ISNUMBER(MATCH(J193,{"wholesome","heroic"},0)),ISNUMBER(MATCH(L193,{"wholesome","heroic"},0)))),1,0)</f>
        <v>0</v>
      </c>
      <c r="S193">
        <f t="shared" si="7"/>
        <v>0</v>
      </c>
      <c r="T193">
        <f t="shared" si="8"/>
        <v>0</v>
      </c>
    </row>
    <row r="194" spans="1:20" x14ac:dyDescent="0.25">
      <c r="A194">
        <v>193</v>
      </c>
      <c r="B194">
        <v>3794</v>
      </c>
      <c r="C194" t="s">
        <v>26</v>
      </c>
      <c r="D194" t="s">
        <v>1218</v>
      </c>
      <c r="E194" s="4">
        <v>45425</v>
      </c>
      <c r="F194" s="6">
        <v>1</v>
      </c>
      <c r="P194">
        <f t="shared" ref="P194:P257" si="9">IF(F194=0,1,0)</f>
        <v>0</v>
      </c>
      <c r="Q194">
        <f>IF(AND(P194=1,OR(ISNUMBER(MATCH(H194,{"menace","othering","ridicule","blame","victim"},0)),ISNUMBER(MATCH(J194,{"menace","othering","ridicule","blame","victim"},0)),ISNUMBER(MATCH(L194,{"menace","othering","ridicule","blame","victim"},0)))),1,0)</f>
        <v>0</v>
      </c>
      <c r="R194">
        <f>IF(AND(P194=1,Q194=0,OR(ISNUMBER(MATCH(H194,{"wholesome","heroic"},0)),ISNUMBER(MATCH(J194,{"wholesome","heroic"},0)),ISNUMBER(MATCH(L194,{"wholesome","heroic"},0)))),1,0)</f>
        <v>0</v>
      </c>
      <c r="S194">
        <f t="shared" ref="S194:S257" si="10">IF(AND(P194=1,Q194=0,R194=0),1,0)</f>
        <v>0</v>
      </c>
      <c r="T194">
        <f t="shared" ref="T194:T257" si="11">IF(AND(P194=1,OR(G194="own_leader",I194="own_leader",K194="own_leader")),1,0)</f>
        <v>0</v>
      </c>
    </row>
    <row r="195" spans="1:20" x14ac:dyDescent="0.25">
      <c r="A195">
        <v>194</v>
      </c>
      <c r="B195">
        <v>3796</v>
      </c>
      <c r="C195" t="s">
        <v>26</v>
      </c>
      <c r="D195" t="s">
        <v>1218</v>
      </c>
      <c r="E195" s="4">
        <v>45426</v>
      </c>
      <c r="F195" s="6">
        <v>1</v>
      </c>
      <c r="P195">
        <f t="shared" si="9"/>
        <v>0</v>
      </c>
      <c r="Q195">
        <f>IF(AND(P195=1,OR(ISNUMBER(MATCH(H195,{"menace","othering","ridicule","blame","victim"},0)),ISNUMBER(MATCH(J195,{"menace","othering","ridicule","blame","victim"},0)),ISNUMBER(MATCH(L195,{"menace","othering","ridicule","blame","victim"},0)))),1,0)</f>
        <v>0</v>
      </c>
      <c r="R195">
        <f>IF(AND(P195=1,Q195=0,OR(ISNUMBER(MATCH(H195,{"wholesome","heroic"},0)),ISNUMBER(MATCH(J195,{"wholesome","heroic"},0)),ISNUMBER(MATCH(L195,{"wholesome","heroic"},0)))),1,0)</f>
        <v>0</v>
      </c>
      <c r="S195">
        <f t="shared" si="10"/>
        <v>0</v>
      </c>
      <c r="T195">
        <f t="shared" si="11"/>
        <v>0</v>
      </c>
    </row>
    <row r="196" spans="1:20" x14ac:dyDescent="0.25">
      <c r="A196">
        <v>195</v>
      </c>
      <c r="B196">
        <v>3800</v>
      </c>
      <c r="C196" t="s">
        <v>26</v>
      </c>
      <c r="D196" t="s">
        <v>1218</v>
      </c>
      <c r="E196" s="4">
        <v>45426</v>
      </c>
      <c r="F196" s="6">
        <v>1</v>
      </c>
      <c r="P196">
        <f t="shared" si="9"/>
        <v>0</v>
      </c>
      <c r="Q196">
        <f>IF(AND(P196=1,OR(ISNUMBER(MATCH(H196,{"menace","othering","ridicule","blame","victim"},0)),ISNUMBER(MATCH(J196,{"menace","othering","ridicule","blame","victim"},0)),ISNUMBER(MATCH(L196,{"menace","othering","ridicule","blame","victim"},0)))),1,0)</f>
        <v>0</v>
      </c>
      <c r="R196">
        <f>IF(AND(P196=1,Q196=0,OR(ISNUMBER(MATCH(H196,{"wholesome","heroic"},0)),ISNUMBER(MATCH(J196,{"wholesome","heroic"},0)),ISNUMBER(MATCH(L196,{"wholesome","heroic"},0)))),1,0)</f>
        <v>0</v>
      </c>
      <c r="S196">
        <f t="shared" si="10"/>
        <v>0</v>
      </c>
      <c r="T196">
        <f t="shared" si="11"/>
        <v>0</v>
      </c>
    </row>
    <row r="197" spans="1:20" x14ac:dyDescent="0.25">
      <c r="A197">
        <v>196</v>
      </c>
      <c r="B197">
        <v>3802</v>
      </c>
      <c r="C197" t="s">
        <v>26</v>
      </c>
      <c r="D197" t="s">
        <v>1218</v>
      </c>
      <c r="E197" s="4">
        <v>45427</v>
      </c>
      <c r="F197" s="6">
        <v>1</v>
      </c>
      <c r="P197">
        <f t="shared" si="9"/>
        <v>0</v>
      </c>
      <c r="Q197">
        <f>IF(AND(P197=1,OR(ISNUMBER(MATCH(H197,{"menace","othering","ridicule","blame","victim"},0)),ISNUMBER(MATCH(J197,{"menace","othering","ridicule","blame","victim"},0)),ISNUMBER(MATCH(L197,{"menace","othering","ridicule","blame","victim"},0)))),1,0)</f>
        <v>0</v>
      </c>
      <c r="R197">
        <f>IF(AND(P197=1,Q197=0,OR(ISNUMBER(MATCH(H197,{"wholesome","heroic"},0)),ISNUMBER(MATCH(J197,{"wholesome","heroic"},0)),ISNUMBER(MATCH(L197,{"wholesome","heroic"},0)))),1,0)</f>
        <v>0</v>
      </c>
      <c r="S197">
        <f t="shared" si="10"/>
        <v>0</v>
      </c>
      <c r="T197">
        <f t="shared" si="11"/>
        <v>0</v>
      </c>
    </row>
    <row r="198" spans="1:20" x14ac:dyDescent="0.25">
      <c r="A198">
        <v>197</v>
      </c>
      <c r="B198">
        <v>3804</v>
      </c>
      <c r="C198" t="s">
        <v>26</v>
      </c>
      <c r="D198" t="s">
        <v>1218</v>
      </c>
      <c r="E198" s="4">
        <v>45428</v>
      </c>
      <c r="F198" s="6">
        <v>1</v>
      </c>
      <c r="P198">
        <f t="shared" si="9"/>
        <v>0</v>
      </c>
      <c r="Q198">
        <f>IF(AND(P198=1,OR(ISNUMBER(MATCH(H198,{"menace","othering","ridicule","blame","victim"},0)),ISNUMBER(MATCH(J198,{"menace","othering","ridicule","blame","victim"},0)),ISNUMBER(MATCH(L198,{"menace","othering","ridicule","blame","victim"},0)))),1,0)</f>
        <v>0</v>
      </c>
      <c r="R198">
        <f>IF(AND(P198=1,Q198=0,OR(ISNUMBER(MATCH(H198,{"wholesome","heroic"},0)),ISNUMBER(MATCH(J198,{"wholesome","heroic"},0)),ISNUMBER(MATCH(L198,{"wholesome","heroic"},0)))),1,0)</f>
        <v>0</v>
      </c>
      <c r="S198">
        <f t="shared" si="10"/>
        <v>0</v>
      </c>
      <c r="T198">
        <f t="shared" si="11"/>
        <v>0</v>
      </c>
    </row>
    <row r="199" spans="1:20" x14ac:dyDescent="0.25">
      <c r="A199">
        <v>198</v>
      </c>
      <c r="B199">
        <v>3813</v>
      </c>
      <c r="C199" t="s">
        <v>26</v>
      </c>
      <c r="D199" t="s">
        <v>1218</v>
      </c>
      <c r="E199" s="4">
        <v>45429</v>
      </c>
      <c r="F199" s="6">
        <v>1</v>
      </c>
      <c r="P199">
        <f t="shared" si="9"/>
        <v>0</v>
      </c>
      <c r="Q199">
        <f>IF(AND(P199=1,OR(ISNUMBER(MATCH(H199,{"menace","othering","ridicule","blame","victim"},0)),ISNUMBER(MATCH(J199,{"menace","othering","ridicule","blame","victim"},0)),ISNUMBER(MATCH(L199,{"menace","othering","ridicule","blame","victim"},0)))),1,0)</f>
        <v>0</v>
      </c>
      <c r="R199">
        <f>IF(AND(P199=1,Q199=0,OR(ISNUMBER(MATCH(H199,{"wholesome","heroic"},0)),ISNUMBER(MATCH(J199,{"wholesome","heroic"},0)),ISNUMBER(MATCH(L199,{"wholesome","heroic"},0)))),1,0)</f>
        <v>0</v>
      </c>
      <c r="S199">
        <f t="shared" si="10"/>
        <v>0</v>
      </c>
      <c r="T199">
        <f t="shared" si="11"/>
        <v>0</v>
      </c>
    </row>
    <row r="200" spans="1:20" x14ac:dyDescent="0.25">
      <c r="A200">
        <v>199</v>
      </c>
      <c r="B200">
        <v>3818</v>
      </c>
      <c r="C200" t="s">
        <v>26</v>
      </c>
      <c r="D200" t="s">
        <v>1218</v>
      </c>
      <c r="E200" s="4">
        <v>45432</v>
      </c>
      <c r="F200" s="6">
        <v>0</v>
      </c>
      <c r="G200" s="6" t="s">
        <v>2986</v>
      </c>
      <c r="H200" s="6" t="s">
        <v>2989</v>
      </c>
      <c r="I200" s="6" t="s">
        <v>2986</v>
      </c>
      <c r="J200" s="6" t="s">
        <v>2996</v>
      </c>
      <c r="K200" s="6" t="s">
        <v>2995</v>
      </c>
      <c r="L200" s="6" t="s">
        <v>2989</v>
      </c>
      <c r="M200" s="6" t="s">
        <v>3046</v>
      </c>
      <c r="N200" s="6" t="s">
        <v>3046</v>
      </c>
      <c r="O200" s="6" t="s">
        <v>3046</v>
      </c>
      <c r="P200">
        <f t="shared" si="9"/>
        <v>1</v>
      </c>
      <c r="Q200">
        <f>IF(AND(P200=1,OR(ISNUMBER(MATCH(H200,{"menace","othering","ridicule","blame","victim"},0)),ISNUMBER(MATCH(J200,{"menace","othering","ridicule","blame","victim"},0)),ISNUMBER(MATCH(L200,{"menace","othering","ridicule","blame","victim"},0)))),1,0)</f>
        <v>1</v>
      </c>
      <c r="R200">
        <f>IF(AND(P200=1,Q200=0,OR(ISNUMBER(MATCH(H200,{"wholesome","heroic"},0)),ISNUMBER(MATCH(J200,{"wholesome","heroic"},0)),ISNUMBER(MATCH(L200,{"wholesome","heroic"},0)))),1,0)</f>
        <v>0</v>
      </c>
      <c r="S200">
        <f t="shared" si="10"/>
        <v>0</v>
      </c>
      <c r="T200">
        <f t="shared" si="11"/>
        <v>1</v>
      </c>
    </row>
    <row r="201" spans="1:20" x14ac:dyDescent="0.25">
      <c r="A201">
        <v>200</v>
      </c>
      <c r="B201">
        <v>3823</v>
      </c>
      <c r="C201" t="s">
        <v>26</v>
      </c>
      <c r="D201" t="s">
        <v>1218</v>
      </c>
      <c r="E201" s="4">
        <v>45433</v>
      </c>
      <c r="F201" s="6">
        <v>1</v>
      </c>
      <c r="P201">
        <f t="shared" si="9"/>
        <v>0</v>
      </c>
      <c r="Q201">
        <f>IF(AND(P201=1,OR(ISNUMBER(MATCH(H201,{"menace","othering","ridicule","blame","victim"},0)),ISNUMBER(MATCH(J201,{"menace","othering","ridicule","blame","victim"},0)),ISNUMBER(MATCH(L201,{"menace","othering","ridicule","blame","victim"},0)))),1,0)</f>
        <v>0</v>
      </c>
      <c r="R201">
        <f>IF(AND(P201=1,Q201=0,OR(ISNUMBER(MATCH(H201,{"wholesome","heroic"},0)),ISNUMBER(MATCH(J201,{"wholesome","heroic"},0)),ISNUMBER(MATCH(L201,{"wholesome","heroic"},0)))),1,0)</f>
        <v>0</v>
      </c>
      <c r="S201">
        <f t="shared" si="10"/>
        <v>0</v>
      </c>
      <c r="T201">
        <f t="shared" si="11"/>
        <v>0</v>
      </c>
    </row>
    <row r="202" spans="1:20" x14ac:dyDescent="0.25">
      <c r="A202">
        <v>201</v>
      </c>
      <c r="B202">
        <v>3825</v>
      </c>
      <c r="C202" t="s">
        <v>26</v>
      </c>
      <c r="D202" t="s">
        <v>1218</v>
      </c>
      <c r="E202" s="4">
        <v>45433</v>
      </c>
      <c r="F202" s="6">
        <v>1</v>
      </c>
      <c r="P202">
        <f t="shared" si="9"/>
        <v>0</v>
      </c>
      <c r="Q202">
        <f>IF(AND(P202=1,OR(ISNUMBER(MATCH(H202,{"menace","othering","ridicule","blame","victim"},0)),ISNUMBER(MATCH(J202,{"menace","othering","ridicule","blame","victim"},0)),ISNUMBER(MATCH(L202,{"menace","othering","ridicule","blame","victim"},0)))),1,0)</f>
        <v>0</v>
      </c>
      <c r="R202">
        <f>IF(AND(P202=1,Q202=0,OR(ISNUMBER(MATCH(H202,{"wholesome","heroic"},0)),ISNUMBER(MATCH(J202,{"wholesome","heroic"},0)),ISNUMBER(MATCH(L202,{"wholesome","heroic"},0)))),1,0)</f>
        <v>0</v>
      </c>
      <c r="S202">
        <f t="shared" si="10"/>
        <v>0</v>
      </c>
      <c r="T202">
        <f t="shared" si="11"/>
        <v>0</v>
      </c>
    </row>
    <row r="203" spans="1:20" x14ac:dyDescent="0.25">
      <c r="A203">
        <v>202</v>
      </c>
      <c r="B203">
        <v>3828</v>
      </c>
      <c r="C203" t="s">
        <v>26</v>
      </c>
      <c r="D203" t="s">
        <v>1218</v>
      </c>
      <c r="E203" s="4">
        <v>45434</v>
      </c>
      <c r="F203" s="6">
        <v>1</v>
      </c>
      <c r="P203">
        <f t="shared" si="9"/>
        <v>0</v>
      </c>
      <c r="Q203">
        <f>IF(AND(P203=1,OR(ISNUMBER(MATCH(H203,{"menace","othering","ridicule","blame","victim"},0)),ISNUMBER(MATCH(J203,{"menace","othering","ridicule","blame","victim"},0)),ISNUMBER(MATCH(L203,{"menace","othering","ridicule","blame","victim"},0)))),1,0)</f>
        <v>0</v>
      </c>
      <c r="R203">
        <f>IF(AND(P203=1,Q203=0,OR(ISNUMBER(MATCH(H203,{"wholesome","heroic"},0)),ISNUMBER(MATCH(J203,{"wholesome","heroic"},0)),ISNUMBER(MATCH(L203,{"wholesome","heroic"},0)))),1,0)</f>
        <v>0</v>
      </c>
      <c r="S203">
        <f t="shared" si="10"/>
        <v>0</v>
      </c>
      <c r="T203">
        <f t="shared" si="11"/>
        <v>0</v>
      </c>
    </row>
    <row r="204" spans="1:20" x14ac:dyDescent="0.25">
      <c r="A204">
        <v>203</v>
      </c>
      <c r="B204">
        <v>3831</v>
      </c>
      <c r="C204" t="s">
        <v>26</v>
      </c>
      <c r="D204" t="s">
        <v>1218</v>
      </c>
      <c r="E204" s="4">
        <v>45434</v>
      </c>
      <c r="F204" s="6">
        <v>1</v>
      </c>
      <c r="P204">
        <f t="shared" si="9"/>
        <v>0</v>
      </c>
      <c r="Q204">
        <f>IF(AND(P204=1,OR(ISNUMBER(MATCH(H204,{"menace","othering","ridicule","blame","victim"},0)),ISNUMBER(MATCH(J204,{"menace","othering","ridicule","blame","victim"},0)),ISNUMBER(MATCH(L204,{"menace","othering","ridicule","blame","victim"},0)))),1,0)</f>
        <v>0</v>
      </c>
      <c r="R204">
        <f>IF(AND(P204=1,Q204=0,OR(ISNUMBER(MATCH(H204,{"wholesome","heroic"},0)),ISNUMBER(MATCH(J204,{"wholesome","heroic"},0)),ISNUMBER(MATCH(L204,{"wholesome","heroic"},0)))),1,0)</f>
        <v>0</v>
      </c>
      <c r="S204">
        <f t="shared" si="10"/>
        <v>0</v>
      </c>
      <c r="T204">
        <f t="shared" si="11"/>
        <v>0</v>
      </c>
    </row>
    <row r="205" spans="1:20" x14ac:dyDescent="0.25">
      <c r="A205">
        <v>204</v>
      </c>
      <c r="B205">
        <v>3836</v>
      </c>
      <c r="C205" t="s">
        <v>26</v>
      </c>
      <c r="D205" t="s">
        <v>1218</v>
      </c>
      <c r="E205" s="4">
        <v>45435</v>
      </c>
      <c r="F205" s="6">
        <v>1</v>
      </c>
      <c r="P205">
        <f t="shared" si="9"/>
        <v>0</v>
      </c>
      <c r="Q205">
        <f>IF(AND(P205=1,OR(ISNUMBER(MATCH(H205,{"menace","othering","ridicule","blame","victim"},0)),ISNUMBER(MATCH(J205,{"menace","othering","ridicule","blame","victim"},0)),ISNUMBER(MATCH(L205,{"menace","othering","ridicule","blame","victim"},0)))),1,0)</f>
        <v>0</v>
      </c>
      <c r="R205">
        <f>IF(AND(P205=1,Q205=0,OR(ISNUMBER(MATCH(H205,{"wholesome","heroic"},0)),ISNUMBER(MATCH(J205,{"wholesome","heroic"},0)),ISNUMBER(MATCH(L205,{"wholesome","heroic"},0)))),1,0)</f>
        <v>0</v>
      </c>
      <c r="S205">
        <f t="shared" si="10"/>
        <v>0</v>
      </c>
      <c r="T205">
        <f t="shared" si="11"/>
        <v>0</v>
      </c>
    </row>
    <row r="206" spans="1:20" x14ac:dyDescent="0.25">
      <c r="A206">
        <v>205</v>
      </c>
      <c r="B206">
        <v>3841</v>
      </c>
      <c r="C206" t="s">
        <v>26</v>
      </c>
      <c r="D206" t="s">
        <v>1218</v>
      </c>
      <c r="E206" s="4">
        <v>45435</v>
      </c>
      <c r="F206" s="6">
        <v>1</v>
      </c>
      <c r="P206">
        <f t="shared" si="9"/>
        <v>0</v>
      </c>
      <c r="Q206">
        <f>IF(AND(P206=1,OR(ISNUMBER(MATCH(H206,{"menace","othering","ridicule","blame","victim"},0)),ISNUMBER(MATCH(J206,{"menace","othering","ridicule","blame","victim"},0)),ISNUMBER(MATCH(L206,{"menace","othering","ridicule","blame","victim"},0)))),1,0)</f>
        <v>0</v>
      </c>
      <c r="R206">
        <f>IF(AND(P206=1,Q206=0,OR(ISNUMBER(MATCH(H206,{"wholesome","heroic"},0)),ISNUMBER(MATCH(J206,{"wholesome","heroic"},0)),ISNUMBER(MATCH(L206,{"wholesome","heroic"},0)))),1,0)</f>
        <v>0</v>
      </c>
      <c r="S206">
        <f t="shared" si="10"/>
        <v>0</v>
      </c>
      <c r="T206">
        <f t="shared" si="11"/>
        <v>0</v>
      </c>
    </row>
    <row r="207" spans="1:20" x14ac:dyDescent="0.25">
      <c r="A207">
        <v>206</v>
      </c>
      <c r="B207">
        <v>3842</v>
      </c>
      <c r="C207" t="s">
        <v>26</v>
      </c>
      <c r="D207" t="s">
        <v>1218</v>
      </c>
      <c r="E207" s="4">
        <v>45436</v>
      </c>
      <c r="F207" s="6">
        <v>1</v>
      </c>
      <c r="P207">
        <f t="shared" si="9"/>
        <v>0</v>
      </c>
      <c r="Q207">
        <f>IF(AND(P207=1,OR(ISNUMBER(MATCH(H207,{"menace","othering","ridicule","blame","victim"},0)),ISNUMBER(MATCH(J207,{"menace","othering","ridicule","blame","victim"},0)),ISNUMBER(MATCH(L207,{"menace","othering","ridicule","blame","victim"},0)))),1,0)</f>
        <v>0</v>
      </c>
      <c r="R207">
        <f>IF(AND(P207=1,Q207=0,OR(ISNUMBER(MATCH(H207,{"wholesome","heroic"},0)),ISNUMBER(MATCH(J207,{"wholesome","heroic"},0)),ISNUMBER(MATCH(L207,{"wholesome","heroic"},0)))),1,0)</f>
        <v>0</v>
      </c>
      <c r="S207">
        <f t="shared" si="10"/>
        <v>0</v>
      </c>
      <c r="T207">
        <f t="shared" si="11"/>
        <v>0</v>
      </c>
    </row>
    <row r="208" spans="1:20" x14ac:dyDescent="0.25">
      <c r="A208">
        <v>207</v>
      </c>
      <c r="B208">
        <v>3856</v>
      </c>
      <c r="C208" t="s">
        <v>26</v>
      </c>
      <c r="D208" t="s">
        <v>1218</v>
      </c>
      <c r="E208" s="4">
        <v>45436</v>
      </c>
      <c r="F208" s="6">
        <v>1</v>
      </c>
      <c r="P208">
        <f t="shared" si="9"/>
        <v>0</v>
      </c>
      <c r="Q208">
        <f>IF(AND(P208=1,OR(ISNUMBER(MATCH(H208,{"menace","othering","ridicule","blame","victim"},0)),ISNUMBER(MATCH(J208,{"menace","othering","ridicule","blame","victim"},0)),ISNUMBER(MATCH(L208,{"menace","othering","ridicule","blame","victim"},0)))),1,0)</f>
        <v>0</v>
      </c>
      <c r="R208">
        <f>IF(AND(P208=1,Q208=0,OR(ISNUMBER(MATCH(H208,{"wholesome","heroic"},0)),ISNUMBER(MATCH(J208,{"wholesome","heroic"},0)),ISNUMBER(MATCH(L208,{"wholesome","heroic"},0)))),1,0)</f>
        <v>0</v>
      </c>
      <c r="S208">
        <f t="shared" si="10"/>
        <v>0</v>
      </c>
      <c r="T208">
        <f t="shared" si="11"/>
        <v>0</v>
      </c>
    </row>
    <row r="209" spans="1:20" x14ac:dyDescent="0.25">
      <c r="A209">
        <v>208</v>
      </c>
      <c r="B209">
        <v>3863</v>
      </c>
      <c r="C209" t="s">
        <v>26</v>
      </c>
      <c r="D209" t="s">
        <v>1218</v>
      </c>
      <c r="E209" s="4">
        <v>45437</v>
      </c>
      <c r="F209" s="6">
        <v>1</v>
      </c>
      <c r="P209">
        <f t="shared" si="9"/>
        <v>0</v>
      </c>
      <c r="Q209">
        <f>IF(AND(P209=1,OR(ISNUMBER(MATCH(H209,{"menace","othering","ridicule","blame","victim"},0)),ISNUMBER(MATCH(J209,{"menace","othering","ridicule","blame","victim"},0)),ISNUMBER(MATCH(L209,{"menace","othering","ridicule","blame","victim"},0)))),1,0)</f>
        <v>0</v>
      </c>
      <c r="R209">
        <f>IF(AND(P209=1,Q209=0,OR(ISNUMBER(MATCH(H209,{"wholesome","heroic"},0)),ISNUMBER(MATCH(J209,{"wholesome","heroic"},0)),ISNUMBER(MATCH(L209,{"wholesome","heroic"},0)))),1,0)</f>
        <v>0</v>
      </c>
      <c r="S209">
        <f t="shared" si="10"/>
        <v>0</v>
      </c>
      <c r="T209">
        <f t="shared" si="11"/>
        <v>0</v>
      </c>
    </row>
    <row r="210" spans="1:20" x14ac:dyDescent="0.25">
      <c r="A210">
        <v>209</v>
      </c>
      <c r="B210">
        <v>3867</v>
      </c>
      <c r="C210" t="s">
        <v>26</v>
      </c>
      <c r="D210" t="s">
        <v>1218</v>
      </c>
      <c r="E210" s="4">
        <v>45439</v>
      </c>
      <c r="F210" s="6">
        <v>1</v>
      </c>
      <c r="P210">
        <f t="shared" si="9"/>
        <v>0</v>
      </c>
      <c r="Q210">
        <f>IF(AND(P210=1,OR(ISNUMBER(MATCH(H210,{"menace","othering","ridicule","blame","victim"},0)),ISNUMBER(MATCH(J210,{"menace","othering","ridicule","blame","victim"},0)),ISNUMBER(MATCH(L210,{"menace","othering","ridicule","blame","victim"},0)))),1,0)</f>
        <v>0</v>
      </c>
      <c r="R210">
        <f>IF(AND(P210=1,Q210=0,OR(ISNUMBER(MATCH(H210,{"wholesome","heroic"},0)),ISNUMBER(MATCH(J210,{"wholesome","heroic"},0)),ISNUMBER(MATCH(L210,{"wholesome","heroic"},0)))),1,0)</f>
        <v>0</v>
      </c>
      <c r="S210">
        <f t="shared" si="10"/>
        <v>0</v>
      </c>
      <c r="T210">
        <f t="shared" si="11"/>
        <v>0</v>
      </c>
    </row>
    <row r="211" spans="1:20" x14ac:dyDescent="0.25">
      <c r="A211">
        <v>210</v>
      </c>
      <c r="B211">
        <v>3877</v>
      </c>
      <c r="C211" t="s">
        <v>26</v>
      </c>
      <c r="D211" t="s">
        <v>1218</v>
      </c>
      <c r="E211" s="4">
        <v>45439</v>
      </c>
      <c r="F211" s="6">
        <v>1</v>
      </c>
      <c r="P211">
        <f t="shared" si="9"/>
        <v>0</v>
      </c>
      <c r="Q211">
        <f>IF(AND(P211=1,OR(ISNUMBER(MATCH(H211,{"menace","othering","ridicule","blame","victim"},0)),ISNUMBER(MATCH(J211,{"menace","othering","ridicule","blame","victim"},0)),ISNUMBER(MATCH(L211,{"menace","othering","ridicule","blame","victim"},0)))),1,0)</f>
        <v>0</v>
      </c>
      <c r="R211">
        <f>IF(AND(P211=1,Q211=0,OR(ISNUMBER(MATCH(H211,{"wholesome","heroic"},0)),ISNUMBER(MATCH(J211,{"wholesome","heroic"},0)),ISNUMBER(MATCH(L211,{"wholesome","heroic"},0)))),1,0)</f>
        <v>0</v>
      </c>
      <c r="S211">
        <f t="shared" si="10"/>
        <v>0</v>
      </c>
      <c r="T211">
        <f t="shared" si="11"/>
        <v>0</v>
      </c>
    </row>
    <row r="212" spans="1:20" x14ac:dyDescent="0.25">
      <c r="A212">
        <v>211</v>
      </c>
      <c r="B212">
        <v>3881</v>
      </c>
      <c r="C212" t="s">
        <v>26</v>
      </c>
      <c r="D212" t="s">
        <v>1218</v>
      </c>
      <c r="E212" s="4">
        <v>45440</v>
      </c>
      <c r="F212" s="6">
        <v>1</v>
      </c>
      <c r="P212">
        <f t="shared" si="9"/>
        <v>0</v>
      </c>
      <c r="Q212">
        <f>IF(AND(P212=1,OR(ISNUMBER(MATCH(H212,{"menace","othering","ridicule","blame","victim"},0)),ISNUMBER(MATCH(J212,{"menace","othering","ridicule","blame","victim"},0)),ISNUMBER(MATCH(L212,{"menace","othering","ridicule","blame","victim"},0)))),1,0)</f>
        <v>0</v>
      </c>
      <c r="R212">
        <f>IF(AND(P212=1,Q212=0,OR(ISNUMBER(MATCH(H212,{"wholesome","heroic"},0)),ISNUMBER(MATCH(J212,{"wholesome","heroic"},0)),ISNUMBER(MATCH(L212,{"wholesome","heroic"},0)))),1,0)</f>
        <v>0</v>
      </c>
      <c r="S212">
        <f t="shared" si="10"/>
        <v>0</v>
      </c>
      <c r="T212">
        <f t="shared" si="11"/>
        <v>0</v>
      </c>
    </row>
    <row r="213" spans="1:20" x14ac:dyDescent="0.25">
      <c r="A213">
        <v>212</v>
      </c>
      <c r="B213">
        <v>3884</v>
      </c>
      <c r="C213" t="s">
        <v>26</v>
      </c>
      <c r="D213" t="s">
        <v>1218</v>
      </c>
      <c r="E213" s="4">
        <v>45440</v>
      </c>
      <c r="F213" s="6">
        <v>1</v>
      </c>
      <c r="P213">
        <f t="shared" si="9"/>
        <v>0</v>
      </c>
      <c r="Q213">
        <f>IF(AND(P213=1,OR(ISNUMBER(MATCH(H213,{"menace","othering","ridicule","blame","victim"},0)),ISNUMBER(MATCH(J213,{"menace","othering","ridicule","blame","victim"},0)),ISNUMBER(MATCH(L213,{"menace","othering","ridicule","blame","victim"},0)))),1,0)</f>
        <v>0</v>
      </c>
      <c r="R213">
        <f>IF(AND(P213=1,Q213=0,OR(ISNUMBER(MATCH(H213,{"wholesome","heroic"},0)),ISNUMBER(MATCH(J213,{"wholesome","heroic"},0)),ISNUMBER(MATCH(L213,{"wholesome","heroic"},0)))),1,0)</f>
        <v>0</v>
      </c>
      <c r="S213">
        <f t="shared" si="10"/>
        <v>0</v>
      </c>
      <c r="T213">
        <f t="shared" si="11"/>
        <v>0</v>
      </c>
    </row>
    <row r="214" spans="1:20" x14ac:dyDescent="0.25">
      <c r="A214">
        <v>213</v>
      </c>
      <c r="B214">
        <v>3897</v>
      </c>
      <c r="C214" t="s">
        <v>26</v>
      </c>
      <c r="D214" t="s">
        <v>1218</v>
      </c>
      <c r="E214" s="4">
        <v>45443</v>
      </c>
      <c r="F214" s="6">
        <v>1</v>
      </c>
      <c r="P214">
        <f t="shared" si="9"/>
        <v>0</v>
      </c>
      <c r="Q214">
        <f>IF(AND(P214=1,OR(ISNUMBER(MATCH(H214,{"menace","othering","ridicule","blame","victim"},0)),ISNUMBER(MATCH(J214,{"menace","othering","ridicule","blame","victim"},0)),ISNUMBER(MATCH(L214,{"menace","othering","ridicule","blame","victim"},0)))),1,0)</f>
        <v>0</v>
      </c>
      <c r="R214">
        <f>IF(AND(P214=1,Q214=0,OR(ISNUMBER(MATCH(H214,{"wholesome","heroic"},0)),ISNUMBER(MATCH(J214,{"wholesome","heroic"},0)),ISNUMBER(MATCH(L214,{"wholesome","heroic"},0)))),1,0)</f>
        <v>0</v>
      </c>
      <c r="S214">
        <f t="shared" si="10"/>
        <v>0</v>
      </c>
      <c r="T214">
        <f t="shared" si="11"/>
        <v>0</v>
      </c>
    </row>
    <row r="215" spans="1:20" x14ac:dyDescent="0.25">
      <c r="A215">
        <v>214</v>
      </c>
      <c r="B215">
        <v>3905</v>
      </c>
      <c r="C215" t="s">
        <v>26</v>
      </c>
      <c r="D215" t="s">
        <v>1218</v>
      </c>
      <c r="E215" s="4">
        <v>45444</v>
      </c>
      <c r="F215" s="6">
        <v>1</v>
      </c>
      <c r="P215">
        <f t="shared" si="9"/>
        <v>0</v>
      </c>
      <c r="Q215">
        <f>IF(AND(P215=1,OR(ISNUMBER(MATCH(H215,{"menace","othering","ridicule","blame","victim"},0)),ISNUMBER(MATCH(J215,{"menace","othering","ridicule","blame","victim"},0)),ISNUMBER(MATCH(L215,{"menace","othering","ridicule","blame","victim"},0)))),1,0)</f>
        <v>0</v>
      </c>
      <c r="R215">
        <f>IF(AND(P215=1,Q215=0,OR(ISNUMBER(MATCH(H215,{"wholesome","heroic"},0)),ISNUMBER(MATCH(J215,{"wholesome","heroic"},0)),ISNUMBER(MATCH(L215,{"wholesome","heroic"},0)))),1,0)</f>
        <v>0</v>
      </c>
      <c r="S215">
        <f t="shared" si="10"/>
        <v>0</v>
      </c>
      <c r="T215">
        <f t="shared" si="11"/>
        <v>0</v>
      </c>
    </row>
    <row r="216" spans="1:20" x14ac:dyDescent="0.25">
      <c r="A216">
        <v>215</v>
      </c>
      <c r="B216">
        <v>3938</v>
      </c>
      <c r="C216" t="s">
        <v>26</v>
      </c>
      <c r="D216" t="s">
        <v>1218</v>
      </c>
      <c r="E216" s="4">
        <v>45448</v>
      </c>
      <c r="F216" s="6">
        <v>1</v>
      </c>
      <c r="P216">
        <f t="shared" si="9"/>
        <v>0</v>
      </c>
      <c r="Q216">
        <f>IF(AND(P216=1,OR(ISNUMBER(MATCH(H216,{"menace","othering","ridicule","blame","victim"},0)),ISNUMBER(MATCH(J216,{"menace","othering","ridicule","blame","victim"},0)),ISNUMBER(MATCH(L216,{"menace","othering","ridicule","blame","victim"},0)))),1,0)</f>
        <v>0</v>
      </c>
      <c r="R216">
        <f>IF(AND(P216=1,Q216=0,OR(ISNUMBER(MATCH(H216,{"wholesome","heroic"},0)),ISNUMBER(MATCH(J216,{"wholesome","heroic"},0)),ISNUMBER(MATCH(L216,{"wholesome","heroic"},0)))),1,0)</f>
        <v>0</v>
      </c>
      <c r="S216">
        <f t="shared" si="10"/>
        <v>0</v>
      </c>
      <c r="T216">
        <f t="shared" si="11"/>
        <v>0</v>
      </c>
    </row>
    <row r="217" spans="1:20" x14ac:dyDescent="0.25">
      <c r="A217">
        <v>216</v>
      </c>
      <c r="B217">
        <v>3949</v>
      </c>
      <c r="C217" t="s">
        <v>26</v>
      </c>
      <c r="D217" t="s">
        <v>1218</v>
      </c>
      <c r="E217" s="4">
        <v>45450</v>
      </c>
      <c r="F217" s="6">
        <v>1</v>
      </c>
      <c r="P217">
        <f t="shared" si="9"/>
        <v>0</v>
      </c>
      <c r="Q217">
        <f>IF(AND(P217=1,OR(ISNUMBER(MATCH(H217,{"menace","othering","ridicule","blame","victim"},0)),ISNUMBER(MATCH(J217,{"menace","othering","ridicule","blame","victim"},0)),ISNUMBER(MATCH(L217,{"menace","othering","ridicule","blame","victim"},0)))),1,0)</f>
        <v>0</v>
      </c>
      <c r="R217">
        <f>IF(AND(P217=1,Q217=0,OR(ISNUMBER(MATCH(H217,{"wholesome","heroic"},0)),ISNUMBER(MATCH(J217,{"wholesome","heroic"},0)),ISNUMBER(MATCH(L217,{"wholesome","heroic"},0)))),1,0)</f>
        <v>0</v>
      </c>
      <c r="S217">
        <f t="shared" si="10"/>
        <v>0</v>
      </c>
      <c r="T217">
        <f t="shared" si="11"/>
        <v>0</v>
      </c>
    </row>
    <row r="218" spans="1:20" x14ac:dyDescent="0.25">
      <c r="A218">
        <v>217</v>
      </c>
      <c r="B218">
        <v>4131</v>
      </c>
      <c r="C218" t="s">
        <v>26</v>
      </c>
      <c r="D218" t="s">
        <v>1218</v>
      </c>
      <c r="E218" s="4">
        <v>45479</v>
      </c>
      <c r="F218" s="6">
        <v>0</v>
      </c>
      <c r="G218" s="6" t="s">
        <v>2986</v>
      </c>
      <c r="H218" s="6" t="s">
        <v>2989</v>
      </c>
      <c r="I218" s="6" t="s">
        <v>2995</v>
      </c>
      <c r="J218" s="6" t="s">
        <v>2989</v>
      </c>
      <c r="K218" s="6" t="s">
        <v>3862</v>
      </c>
      <c r="L218" s="6" t="s">
        <v>2989</v>
      </c>
      <c r="M218" s="6" t="s">
        <v>3046</v>
      </c>
      <c r="N218" s="6" t="s">
        <v>3046</v>
      </c>
      <c r="O218" s="6" t="s">
        <v>3046</v>
      </c>
      <c r="P218">
        <f t="shared" si="9"/>
        <v>1</v>
      </c>
      <c r="Q218">
        <f>IF(AND(P218=1,OR(ISNUMBER(MATCH(H218,{"menace","othering","ridicule","blame","victim"},0)),ISNUMBER(MATCH(J218,{"menace","othering","ridicule","blame","victim"},0)),ISNUMBER(MATCH(L218,{"menace","othering","ridicule","blame","victim"},0)))),1,0)</f>
        <v>0</v>
      </c>
      <c r="R218">
        <f>IF(AND(P218=1,Q218=0,OR(ISNUMBER(MATCH(H218,{"wholesome","heroic"},0)),ISNUMBER(MATCH(J218,{"wholesome","heroic"},0)),ISNUMBER(MATCH(L218,{"wholesome","heroic"},0)))),1,0)</f>
        <v>0</v>
      </c>
      <c r="S218">
        <f t="shared" si="10"/>
        <v>1</v>
      </c>
      <c r="T218">
        <f t="shared" si="11"/>
        <v>1</v>
      </c>
    </row>
    <row r="219" spans="1:20" x14ac:dyDescent="0.25">
      <c r="A219">
        <v>218</v>
      </c>
      <c r="B219">
        <v>4194</v>
      </c>
      <c r="C219" t="s">
        <v>30</v>
      </c>
      <c r="D219" t="s">
        <v>1455</v>
      </c>
      <c r="E219" s="4">
        <v>45344</v>
      </c>
      <c r="F219" s="6">
        <v>0</v>
      </c>
      <c r="G219" s="6" t="s">
        <v>2988</v>
      </c>
      <c r="H219" s="6" t="s">
        <v>2987</v>
      </c>
      <c r="K219" s="6"/>
      <c r="L219" s="6"/>
      <c r="M219" s="6" t="s">
        <v>3047</v>
      </c>
      <c r="N219" s="6"/>
      <c r="O219" s="6"/>
      <c r="P219">
        <f t="shared" si="9"/>
        <v>1</v>
      </c>
      <c r="Q219">
        <f>IF(AND(P219=1,OR(ISNUMBER(MATCH(H219,{"menace","othering","ridicule","blame","victim"},0)),ISNUMBER(MATCH(J219,{"menace","othering","ridicule","blame","victim"},0)),ISNUMBER(MATCH(L219,{"menace","othering","ridicule","blame","victim"},0)))),1,0)</f>
        <v>1</v>
      </c>
      <c r="R219">
        <f>IF(AND(P219=1,Q219=0,OR(ISNUMBER(MATCH(H219,{"wholesome","heroic"},0)),ISNUMBER(MATCH(J219,{"wholesome","heroic"},0)),ISNUMBER(MATCH(L219,{"wholesome","heroic"},0)))),1,0)</f>
        <v>0</v>
      </c>
      <c r="S219">
        <f t="shared" si="10"/>
        <v>0</v>
      </c>
      <c r="T219">
        <f t="shared" si="11"/>
        <v>0</v>
      </c>
    </row>
    <row r="220" spans="1:20" x14ac:dyDescent="0.25">
      <c r="A220">
        <v>219</v>
      </c>
      <c r="B220">
        <v>4214</v>
      </c>
      <c r="C220" t="s">
        <v>30</v>
      </c>
      <c r="D220" t="s">
        <v>1455</v>
      </c>
      <c r="E220" s="4">
        <v>45350</v>
      </c>
      <c r="F220" s="6">
        <v>0</v>
      </c>
      <c r="G220" s="6" t="s">
        <v>2991</v>
      </c>
      <c r="H220" s="6" t="s">
        <v>2987</v>
      </c>
      <c r="I220" s="6" t="s">
        <v>2988</v>
      </c>
      <c r="J220" s="6" t="s">
        <v>2987</v>
      </c>
      <c r="K220" s="6" t="s">
        <v>3862</v>
      </c>
      <c r="L220" s="6" t="s">
        <v>2993</v>
      </c>
      <c r="M220" s="6" t="s">
        <v>3047</v>
      </c>
      <c r="N220" s="6" t="s">
        <v>3047</v>
      </c>
      <c r="O220" s="6" t="s">
        <v>3046</v>
      </c>
      <c r="P220">
        <f t="shared" si="9"/>
        <v>1</v>
      </c>
      <c r="Q220">
        <f>IF(AND(P220=1,OR(ISNUMBER(MATCH(H220,{"menace","othering","ridicule","blame","victim"},0)),ISNUMBER(MATCH(J220,{"menace","othering","ridicule","blame","victim"},0)),ISNUMBER(MATCH(L220,{"menace","othering","ridicule","blame","victim"},0)))),1,0)</f>
        <v>1</v>
      </c>
      <c r="R220">
        <f>IF(AND(P220=1,Q220=0,OR(ISNUMBER(MATCH(H220,{"wholesome","heroic"},0)),ISNUMBER(MATCH(J220,{"wholesome","heroic"},0)),ISNUMBER(MATCH(L220,{"wholesome","heroic"},0)))),1,0)</f>
        <v>0</v>
      </c>
      <c r="S220">
        <f t="shared" si="10"/>
        <v>0</v>
      </c>
      <c r="T220">
        <f t="shared" si="11"/>
        <v>0</v>
      </c>
    </row>
    <row r="221" spans="1:20" x14ac:dyDescent="0.25">
      <c r="A221">
        <v>221</v>
      </c>
      <c r="B221">
        <v>4341</v>
      </c>
      <c r="C221" t="s">
        <v>30</v>
      </c>
      <c r="D221" t="s">
        <v>1455</v>
      </c>
      <c r="E221" s="4">
        <v>45392</v>
      </c>
      <c r="F221" s="6">
        <v>0</v>
      </c>
      <c r="G221" s="6" t="s">
        <v>2997</v>
      </c>
      <c r="H221" s="6" t="s">
        <v>2990</v>
      </c>
      <c r="I221" s="6" t="s">
        <v>2995</v>
      </c>
      <c r="J221" s="6" t="s">
        <v>2989</v>
      </c>
      <c r="K221" s="6"/>
      <c r="L221" s="6"/>
      <c r="M221" s="6" t="s">
        <v>3047</v>
      </c>
      <c r="N221" s="6" t="s">
        <v>3046</v>
      </c>
      <c r="O221" s="6"/>
      <c r="P221">
        <f t="shared" si="9"/>
        <v>1</v>
      </c>
      <c r="Q221">
        <f>IF(AND(P221=1,OR(ISNUMBER(MATCH(H221,{"menace","othering","ridicule","blame","victim"},0)),ISNUMBER(MATCH(J221,{"menace","othering","ridicule","blame","victim"},0)),ISNUMBER(MATCH(L221,{"menace","othering","ridicule","blame","victim"},0)))),1,0)</f>
        <v>0</v>
      </c>
      <c r="R221">
        <f>IF(AND(P221=1,Q221=0,OR(ISNUMBER(MATCH(H221,{"wholesome","heroic"},0)),ISNUMBER(MATCH(J221,{"wholesome","heroic"},0)),ISNUMBER(MATCH(L221,{"wholesome","heroic"},0)))),1,0)</f>
        <v>1</v>
      </c>
      <c r="S221">
        <f t="shared" si="10"/>
        <v>0</v>
      </c>
      <c r="T221">
        <f t="shared" si="11"/>
        <v>1</v>
      </c>
    </row>
    <row r="222" spans="1:20" x14ac:dyDescent="0.25">
      <c r="A222">
        <v>222</v>
      </c>
      <c r="B222">
        <v>4437</v>
      </c>
      <c r="C222" t="s">
        <v>30</v>
      </c>
      <c r="D222" t="s">
        <v>1455</v>
      </c>
      <c r="E222" s="4">
        <v>45421</v>
      </c>
      <c r="F222" s="6">
        <v>0</v>
      </c>
      <c r="G222" s="6" t="s">
        <v>2997</v>
      </c>
      <c r="H222" s="6" t="s">
        <v>2993</v>
      </c>
      <c r="I222" s="6" t="s">
        <v>3000</v>
      </c>
      <c r="J222" s="6" t="s">
        <v>2987</v>
      </c>
      <c r="K222" s="6"/>
      <c r="L222" s="6"/>
      <c r="M222" s="6" t="s">
        <v>3047</v>
      </c>
      <c r="N222" s="6" t="s">
        <v>3047</v>
      </c>
      <c r="O222" s="6"/>
      <c r="P222">
        <f t="shared" si="9"/>
        <v>1</v>
      </c>
      <c r="Q222">
        <f>IF(AND(P222=1,OR(ISNUMBER(MATCH(H222,{"menace","othering","ridicule","blame","victim"},0)),ISNUMBER(MATCH(J222,{"menace","othering","ridicule","blame","victim"},0)),ISNUMBER(MATCH(L222,{"menace","othering","ridicule","blame","victim"},0)))),1,0)</f>
        <v>1</v>
      </c>
      <c r="R222">
        <f>IF(AND(P222=1,Q222=0,OR(ISNUMBER(MATCH(H222,{"wholesome","heroic"},0)),ISNUMBER(MATCH(J222,{"wholesome","heroic"},0)),ISNUMBER(MATCH(L222,{"wholesome","heroic"},0)))),1,0)</f>
        <v>0</v>
      </c>
      <c r="S222">
        <f t="shared" si="10"/>
        <v>0</v>
      </c>
      <c r="T222">
        <f t="shared" si="11"/>
        <v>0</v>
      </c>
    </row>
    <row r="223" spans="1:20" x14ac:dyDescent="0.25">
      <c r="A223">
        <v>223</v>
      </c>
      <c r="B223">
        <v>4577</v>
      </c>
      <c r="C223" t="s">
        <v>30</v>
      </c>
      <c r="D223" t="s">
        <v>1455</v>
      </c>
      <c r="E223" s="4">
        <v>45447</v>
      </c>
      <c r="F223" s="6">
        <v>0</v>
      </c>
      <c r="G223" s="6" t="s">
        <v>2986</v>
      </c>
      <c r="H223" s="6" t="s">
        <v>2996</v>
      </c>
      <c r="I223" s="6" t="s">
        <v>2995</v>
      </c>
      <c r="J223" s="6" t="s">
        <v>2994</v>
      </c>
      <c r="K223" s="6"/>
      <c r="L223" s="6"/>
      <c r="M223" s="6" t="s">
        <v>3047</v>
      </c>
      <c r="N223" s="6" t="s">
        <v>3046</v>
      </c>
      <c r="O223" s="6"/>
      <c r="P223">
        <f t="shared" si="9"/>
        <v>1</v>
      </c>
      <c r="Q223">
        <f>IF(AND(P223=1,OR(ISNUMBER(MATCH(H223,{"menace","othering","ridicule","blame","victim"},0)),ISNUMBER(MATCH(J223,{"menace","othering","ridicule","blame","victim"},0)),ISNUMBER(MATCH(L223,{"menace","othering","ridicule","blame","victim"},0)))),1,0)</f>
        <v>1</v>
      </c>
      <c r="R223">
        <f>IF(AND(P223=1,Q223=0,OR(ISNUMBER(MATCH(H223,{"wholesome","heroic"},0)),ISNUMBER(MATCH(J223,{"wholesome","heroic"},0)),ISNUMBER(MATCH(L223,{"wholesome","heroic"},0)))),1,0)</f>
        <v>0</v>
      </c>
      <c r="S223">
        <f t="shared" si="10"/>
        <v>0</v>
      </c>
      <c r="T223">
        <f t="shared" si="11"/>
        <v>1</v>
      </c>
    </row>
    <row r="224" spans="1:20" x14ac:dyDescent="0.25">
      <c r="A224">
        <v>224</v>
      </c>
      <c r="B224">
        <v>4580</v>
      </c>
      <c r="C224" t="s">
        <v>30</v>
      </c>
      <c r="D224" t="s">
        <v>1455</v>
      </c>
      <c r="E224" s="4">
        <v>45447</v>
      </c>
      <c r="F224" s="6">
        <v>0</v>
      </c>
      <c r="G224" s="6" t="s">
        <v>3000</v>
      </c>
      <c r="H224" s="6" t="s">
        <v>2987</v>
      </c>
      <c r="I224" s="6" t="s">
        <v>2997</v>
      </c>
      <c r="J224" s="6" t="s">
        <v>2993</v>
      </c>
      <c r="K224" s="6" t="s">
        <v>2986</v>
      </c>
      <c r="L224" s="6" t="s">
        <v>2985</v>
      </c>
      <c r="M224" s="6" t="s">
        <v>3047</v>
      </c>
      <c r="N224" s="6" t="s">
        <v>3047</v>
      </c>
      <c r="O224" s="6" t="s">
        <v>3046</v>
      </c>
      <c r="P224">
        <f t="shared" si="9"/>
        <v>1</v>
      </c>
      <c r="Q224">
        <f>IF(AND(P224=1,OR(ISNUMBER(MATCH(H224,{"menace","othering","ridicule","blame","victim"},0)),ISNUMBER(MATCH(J224,{"menace","othering","ridicule","blame","victim"},0)),ISNUMBER(MATCH(L224,{"menace","othering","ridicule","blame","victim"},0)))),1,0)</f>
        <v>1</v>
      </c>
      <c r="R224">
        <f>IF(AND(P224=1,Q224=0,OR(ISNUMBER(MATCH(H224,{"wholesome","heroic"},0)),ISNUMBER(MATCH(J224,{"wholesome","heroic"},0)),ISNUMBER(MATCH(L224,{"wholesome","heroic"},0)))),1,0)</f>
        <v>0</v>
      </c>
      <c r="S224">
        <f t="shared" si="10"/>
        <v>0</v>
      </c>
      <c r="T224">
        <f t="shared" si="11"/>
        <v>0</v>
      </c>
    </row>
    <row r="225" spans="1:20" x14ac:dyDescent="0.25">
      <c r="A225">
        <v>225</v>
      </c>
      <c r="B225">
        <v>4597</v>
      </c>
      <c r="C225" t="s">
        <v>30</v>
      </c>
      <c r="D225" t="s">
        <v>1455</v>
      </c>
      <c r="E225" s="4">
        <v>45449</v>
      </c>
      <c r="F225" s="6">
        <v>0</v>
      </c>
      <c r="G225" s="6" t="s">
        <v>2991</v>
      </c>
      <c r="H225" s="6" t="s">
        <v>2993</v>
      </c>
      <c r="I225" s="6" t="s">
        <v>3000</v>
      </c>
      <c r="J225" s="6" t="s">
        <v>2987</v>
      </c>
      <c r="K225" s="6"/>
      <c r="L225" s="6"/>
      <c r="M225" s="6" t="s">
        <v>3047</v>
      </c>
      <c r="N225" s="6" t="s">
        <v>3047</v>
      </c>
      <c r="O225" s="6"/>
      <c r="P225">
        <f t="shared" si="9"/>
        <v>1</v>
      </c>
      <c r="Q225">
        <f>IF(AND(P225=1,OR(ISNUMBER(MATCH(H225,{"menace","othering","ridicule","blame","victim"},0)),ISNUMBER(MATCH(J225,{"menace","othering","ridicule","blame","victim"},0)),ISNUMBER(MATCH(L225,{"menace","othering","ridicule","blame","victim"},0)))),1,0)</f>
        <v>1</v>
      </c>
      <c r="R225">
        <f>IF(AND(P225=1,Q225=0,OR(ISNUMBER(MATCH(H225,{"wholesome","heroic"},0)),ISNUMBER(MATCH(J225,{"wholesome","heroic"},0)),ISNUMBER(MATCH(L225,{"wholesome","heroic"},0)))),1,0)</f>
        <v>0</v>
      </c>
      <c r="S225">
        <f t="shared" si="10"/>
        <v>0</v>
      </c>
      <c r="T225">
        <f t="shared" si="11"/>
        <v>0</v>
      </c>
    </row>
    <row r="226" spans="1:20" x14ac:dyDescent="0.25">
      <c r="A226">
        <v>226</v>
      </c>
      <c r="B226">
        <v>4608</v>
      </c>
      <c r="C226" t="s">
        <v>30</v>
      </c>
      <c r="D226" t="s">
        <v>1455</v>
      </c>
      <c r="E226" s="4">
        <v>45450</v>
      </c>
      <c r="F226" s="6">
        <v>0</v>
      </c>
      <c r="G226" s="6" t="s">
        <v>2991</v>
      </c>
      <c r="H226" s="6" t="s">
        <v>2992</v>
      </c>
      <c r="K226" s="6"/>
      <c r="L226" s="6"/>
      <c r="M226" s="6" t="s">
        <v>3047</v>
      </c>
      <c r="N226" s="6"/>
      <c r="O226" s="6"/>
      <c r="P226">
        <f t="shared" si="9"/>
        <v>1</v>
      </c>
      <c r="Q226">
        <f>IF(AND(P226=1,OR(ISNUMBER(MATCH(H226,{"menace","othering","ridicule","blame","victim"},0)),ISNUMBER(MATCH(J226,{"menace","othering","ridicule","blame","victim"},0)),ISNUMBER(MATCH(L226,{"menace","othering","ridicule","blame","victim"},0)))),1,0)</f>
        <v>1</v>
      </c>
      <c r="R226">
        <f>IF(AND(P226=1,Q226=0,OR(ISNUMBER(MATCH(H226,{"wholesome","heroic"},0)),ISNUMBER(MATCH(J226,{"wholesome","heroic"},0)),ISNUMBER(MATCH(L226,{"wholesome","heroic"},0)))),1,0)</f>
        <v>0</v>
      </c>
      <c r="S226">
        <f t="shared" si="10"/>
        <v>0</v>
      </c>
      <c r="T226">
        <f t="shared" si="11"/>
        <v>0</v>
      </c>
    </row>
    <row r="227" spans="1:20" x14ac:dyDescent="0.25">
      <c r="A227">
        <v>227</v>
      </c>
      <c r="B227">
        <v>4643</v>
      </c>
      <c r="C227" t="s">
        <v>32</v>
      </c>
      <c r="D227" t="s">
        <v>1455</v>
      </c>
      <c r="E227" s="4">
        <v>45331</v>
      </c>
      <c r="F227" s="6">
        <v>0</v>
      </c>
      <c r="G227" s="6" t="s">
        <v>2991</v>
      </c>
      <c r="H227" s="6" t="s">
        <v>2987</v>
      </c>
      <c r="I227" s="6" t="s">
        <v>3000</v>
      </c>
      <c r="J227" s="6" t="s">
        <v>2993</v>
      </c>
      <c r="K227" s="6" t="s">
        <v>3000</v>
      </c>
      <c r="L227" s="6" t="s">
        <v>2993</v>
      </c>
      <c r="M227" s="6" t="s">
        <v>3047</v>
      </c>
      <c r="N227" s="6" t="s">
        <v>3047</v>
      </c>
      <c r="O227" s="6" t="s">
        <v>3046</v>
      </c>
      <c r="P227">
        <f t="shared" si="9"/>
        <v>1</v>
      </c>
      <c r="Q227">
        <f>IF(AND(P227=1,OR(ISNUMBER(MATCH(H227,{"menace","othering","ridicule","blame","victim"},0)),ISNUMBER(MATCH(J227,{"menace","othering","ridicule","blame","victim"},0)),ISNUMBER(MATCH(L227,{"menace","othering","ridicule","blame","victim"},0)))),1,0)</f>
        <v>1</v>
      </c>
      <c r="R227">
        <f>IF(AND(P227=1,Q227=0,OR(ISNUMBER(MATCH(H227,{"wholesome","heroic"},0)),ISNUMBER(MATCH(J227,{"wholesome","heroic"},0)),ISNUMBER(MATCH(L227,{"wholesome","heroic"},0)))),1,0)</f>
        <v>0</v>
      </c>
      <c r="S227">
        <f t="shared" si="10"/>
        <v>0</v>
      </c>
      <c r="T227">
        <f t="shared" si="11"/>
        <v>0</v>
      </c>
    </row>
    <row r="228" spans="1:20" x14ac:dyDescent="0.25">
      <c r="A228">
        <v>228</v>
      </c>
      <c r="B228">
        <v>4682</v>
      </c>
      <c r="C228" t="s">
        <v>32</v>
      </c>
      <c r="D228" t="s">
        <v>1455</v>
      </c>
      <c r="E228" s="4">
        <v>45338</v>
      </c>
      <c r="F228" s="6">
        <v>0</v>
      </c>
      <c r="G228" s="6" t="s">
        <v>2991</v>
      </c>
      <c r="H228" s="6" t="s">
        <v>2990</v>
      </c>
      <c r="I228" s="6" t="s">
        <v>2995</v>
      </c>
      <c r="J228" s="6" t="s">
        <v>2989</v>
      </c>
      <c r="K228" s="6"/>
      <c r="L228" s="6"/>
      <c r="M228" s="6" t="s">
        <v>3047</v>
      </c>
      <c r="N228" s="6" t="s">
        <v>3046</v>
      </c>
      <c r="O228" s="6"/>
      <c r="P228">
        <f t="shared" si="9"/>
        <v>1</v>
      </c>
      <c r="Q228">
        <f>IF(AND(P228=1,OR(ISNUMBER(MATCH(H228,{"menace","othering","ridicule","blame","victim"},0)),ISNUMBER(MATCH(J228,{"menace","othering","ridicule","blame","victim"},0)),ISNUMBER(MATCH(L228,{"menace","othering","ridicule","blame","victim"},0)))),1,0)</f>
        <v>0</v>
      </c>
      <c r="R228">
        <f>IF(AND(P228=1,Q228=0,OR(ISNUMBER(MATCH(H228,{"wholesome","heroic"},0)),ISNUMBER(MATCH(J228,{"wholesome","heroic"},0)),ISNUMBER(MATCH(L228,{"wholesome","heroic"},0)))),1,0)</f>
        <v>1</v>
      </c>
      <c r="S228">
        <f t="shared" si="10"/>
        <v>0</v>
      </c>
      <c r="T228">
        <f t="shared" si="11"/>
        <v>1</v>
      </c>
    </row>
    <row r="229" spans="1:20" x14ac:dyDescent="0.25">
      <c r="A229">
        <v>229</v>
      </c>
      <c r="B229">
        <v>4717</v>
      </c>
      <c r="C229" t="s">
        <v>32</v>
      </c>
      <c r="D229" t="s">
        <v>1455</v>
      </c>
      <c r="E229" s="4">
        <v>45344</v>
      </c>
      <c r="F229" s="6">
        <v>0</v>
      </c>
      <c r="G229" s="6" t="s">
        <v>2991</v>
      </c>
      <c r="H229" s="6" t="s">
        <v>2989</v>
      </c>
      <c r="K229" s="6"/>
      <c r="L229" s="6"/>
      <c r="M229" s="6" t="s">
        <v>3047</v>
      </c>
      <c r="N229" s="6"/>
      <c r="O229" s="6"/>
      <c r="P229">
        <f t="shared" si="9"/>
        <v>1</v>
      </c>
      <c r="Q229">
        <f>IF(AND(P229=1,OR(ISNUMBER(MATCH(H229,{"menace","othering","ridicule","blame","victim"},0)),ISNUMBER(MATCH(J229,{"menace","othering","ridicule","blame","victim"},0)),ISNUMBER(MATCH(L229,{"menace","othering","ridicule","blame","victim"},0)))),1,0)</f>
        <v>0</v>
      </c>
      <c r="R229">
        <f>IF(AND(P229=1,Q229=0,OR(ISNUMBER(MATCH(H229,{"wholesome","heroic"},0)),ISNUMBER(MATCH(J229,{"wholesome","heroic"},0)),ISNUMBER(MATCH(L229,{"wholesome","heroic"},0)))),1,0)</f>
        <v>0</v>
      </c>
      <c r="S229">
        <f t="shared" si="10"/>
        <v>1</v>
      </c>
      <c r="T229">
        <f t="shared" si="11"/>
        <v>0</v>
      </c>
    </row>
    <row r="230" spans="1:20" x14ac:dyDescent="0.25">
      <c r="A230">
        <v>230</v>
      </c>
      <c r="B230">
        <v>4758</v>
      </c>
      <c r="C230" t="s">
        <v>32</v>
      </c>
      <c r="D230" t="s">
        <v>1455</v>
      </c>
      <c r="E230" s="4">
        <v>45352</v>
      </c>
      <c r="F230" s="6">
        <v>0</v>
      </c>
      <c r="G230" s="6" t="s">
        <v>2988</v>
      </c>
      <c r="H230" s="6" t="s">
        <v>2987</v>
      </c>
      <c r="I230" s="6" t="s">
        <v>3862</v>
      </c>
      <c r="J230" s="6" t="s">
        <v>2993</v>
      </c>
      <c r="K230" s="6"/>
      <c r="L230" s="6"/>
      <c r="M230" s="6" t="s">
        <v>3047</v>
      </c>
      <c r="N230" s="6" t="s">
        <v>3046</v>
      </c>
      <c r="O230" s="6"/>
      <c r="P230">
        <f t="shared" si="9"/>
        <v>1</v>
      </c>
      <c r="Q230">
        <f>IF(AND(P230=1,OR(ISNUMBER(MATCH(H230,{"menace","othering","ridicule","blame","victim"},0)),ISNUMBER(MATCH(J230,{"menace","othering","ridicule","blame","victim"},0)),ISNUMBER(MATCH(L230,{"menace","othering","ridicule","blame","victim"},0)))),1,0)</f>
        <v>1</v>
      </c>
      <c r="R230">
        <f>IF(AND(P230=1,Q230=0,OR(ISNUMBER(MATCH(H230,{"wholesome","heroic"},0)),ISNUMBER(MATCH(J230,{"wholesome","heroic"},0)),ISNUMBER(MATCH(L230,{"wholesome","heroic"},0)))),1,0)</f>
        <v>0</v>
      </c>
      <c r="S230">
        <f t="shared" si="10"/>
        <v>0</v>
      </c>
      <c r="T230">
        <f t="shared" si="11"/>
        <v>0</v>
      </c>
    </row>
    <row r="231" spans="1:20" x14ac:dyDescent="0.25">
      <c r="A231">
        <v>231</v>
      </c>
      <c r="B231">
        <v>4761</v>
      </c>
      <c r="C231" t="s">
        <v>32</v>
      </c>
      <c r="D231" t="s">
        <v>1455</v>
      </c>
      <c r="E231" s="4">
        <v>45352</v>
      </c>
      <c r="F231" s="6">
        <v>0</v>
      </c>
      <c r="G231" s="6" t="s">
        <v>2991</v>
      </c>
      <c r="H231" s="6" t="s">
        <v>2989</v>
      </c>
      <c r="I231" s="6" t="s">
        <v>2988</v>
      </c>
      <c r="J231" s="6" t="s">
        <v>2989</v>
      </c>
      <c r="K231" s="6"/>
      <c r="L231" s="6"/>
      <c r="M231" s="6" t="s">
        <v>3047</v>
      </c>
      <c r="N231" s="6" t="s">
        <v>3047</v>
      </c>
      <c r="O231" s="6"/>
      <c r="P231">
        <f t="shared" si="9"/>
        <v>1</v>
      </c>
      <c r="Q231">
        <f>IF(AND(P231=1,OR(ISNUMBER(MATCH(H231,{"menace","othering","ridicule","blame","victim"},0)),ISNUMBER(MATCH(J231,{"menace","othering","ridicule","blame","victim"},0)),ISNUMBER(MATCH(L231,{"menace","othering","ridicule","blame","victim"},0)))),1,0)</f>
        <v>0</v>
      </c>
      <c r="R231">
        <f>IF(AND(P231=1,Q231=0,OR(ISNUMBER(MATCH(H231,{"wholesome","heroic"},0)),ISNUMBER(MATCH(J231,{"wholesome","heroic"},0)),ISNUMBER(MATCH(L231,{"wholesome","heroic"},0)))),1,0)</f>
        <v>0</v>
      </c>
      <c r="S231">
        <f t="shared" si="10"/>
        <v>1</v>
      </c>
      <c r="T231">
        <f t="shared" si="11"/>
        <v>0</v>
      </c>
    </row>
    <row r="232" spans="1:20" x14ac:dyDescent="0.25">
      <c r="A232">
        <v>232</v>
      </c>
      <c r="B232">
        <v>4766</v>
      </c>
      <c r="C232" t="s">
        <v>32</v>
      </c>
      <c r="D232" t="s">
        <v>1455</v>
      </c>
      <c r="E232" s="4">
        <v>45353</v>
      </c>
      <c r="F232" s="6">
        <v>0</v>
      </c>
      <c r="G232" s="6" t="s">
        <v>2991</v>
      </c>
      <c r="H232" s="6" t="s">
        <v>2987</v>
      </c>
      <c r="I232" s="6"/>
      <c r="J232" s="6"/>
      <c r="K232" s="6"/>
      <c r="L232" s="6"/>
      <c r="M232" s="6" t="s">
        <v>3047</v>
      </c>
      <c r="N232" s="6"/>
      <c r="O232" s="6"/>
      <c r="P232">
        <f t="shared" si="9"/>
        <v>1</v>
      </c>
      <c r="Q232">
        <f>IF(AND(P232=1,OR(ISNUMBER(MATCH(H232,{"menace","othering","ridicule","blame","victim"},0)),ISNUMBER(MATCH(J232,{"menace","othering","ridicule","blame","victim"},0)),ISNUMBER(MATCH(L232,{"menace","othering","ridicule","blame","victim"},0)))),1,0)</f>
        <v>1</v>
      </c>
      <c r="R232">
        <f>IF(AND(P232=1,Q232=0,OR(ISNUMBER(MATCH(H232,{"wholesome","heroic"},0)),ISNUMBER(MATCH(J232,{"wholesome","heroic"},0)),ISNUMBER(MATCH(L232,{"wholesome","heroic"},0)))),1,0)</f>
        <v>0</v>
      </c>
      <c r="S232">
        <f t="shared" si="10"/>
        <v>0</v>
      </c>
      <c r="T232">
        <f t="shared" si="11"/>
        <v>0</v>
      </c>
    </row>
    <row r="233" spans="1:20" x14ac:dyDescent="0.25">
      <c r="A233">
        <v>233</v>
      </c>
      <c r="B233">
        <v>4780</v>
      </c>
      <c r="C233" t="s">
        <v>32</v>
      </c>
      <c r="D233" t="s">
        <v>1455</v>
      </c>
      <c r="E233" s="4">
        <v>45355</v>
      </c>
      <c r="F233" s="6">
        <v>0</v>
      </c>
      <c r="G233" s="6" t="s">
        <v>2991</v>
      </c>
      <c r="H233" s="6" t="s">
        <v>2992</v>
      </c>
      <c r="K233" s="6"/>
      <c r="L233" s="6"/>
      <c r="M233" s="6" t="s">
        <v>3047</v>
      </c>
      <c r="N233" s="6"/>
      <c r="O233" s="6"/>
      <c r="P233">
        <f t="shared" si="9"/>
        <v>1</v>
      </c>
      <c r="Q233">
        <f>IF(AND(P233=1,OR(ISNUMBER(MATCH(H233,{"menace","othering","ridicule","blame","victim"},0)),ISNUMBER(MATCH(J233,{"menace","othering","ridicule","blame","victim"},0)),ISNUMBER(MATCH(L233,{"menace","othering","ridicule","blame","victim"},0)))),1,0)</f>
        <v>1</v>
      </c>
      <c r="R233">
        <f>IF(AND(P233=1,Q233=0,OR(ISNUMBER(MATCH(H233,{"wholesome","heroic"},0)),ISNUMBER(MATCH(J233,{"wholesome","heroic"},0)),ISNUMBER(MATCH(L233,{"wholesome","heroic"},0)))),1,0)</f>
        <v>0</v>
      </c>
      <c r="S233">
        <f t="shared" si="10"/>
        <v>0</v>
      </c>
      <c r="T233">
        <f t="shared" si="11"/>
        <v>0</v>
      </c>
    </row>
    <row r="234" spans="1:20" x14ac:dyDescent="0.25">
      <c r="A234">
        <v>234</v>
      </c>
      <c r="B234">
        <v>4788</v>
      </c>
      <c r="C234" t="s">
        <v>32</v>
      </c>
      <c r="D234" t="s">
        <v>1455</v>
      </c>
      <c r="E234" s="4">
        <v>45356</v>
      </c>
      <c r="F234" s="6">
        <v>0</v>
      </c>
      <c r="G234" s="6" t="s">
        <v>2991</v>
      </c>
      <c r="H234" s="6" t="s">
        <v>2987</v>
      </c>
      <c r="I234" s="6" t="s">
        <v>2991</v>
      </c>
      <c r="J234" s="6" t="s">
        <v>2993</v>
      </c>
      <c r="K234" s="6" t="s">
        <v>2988</v>
      </c>
      <c r="L234" s="6" t="s">
        <v>2989</v>
      </c>
      <c r="M234" s="6" t="s">
        <v>3047</v>
      </c>
      <c r="N234" s="6" t="s">
        <v>3047</v>
      </c>
      <c r="O234" s="6" t="s">
        <v>3047</v>
      </c>
      <c r="P234">
        <f t="shared" si="9"/>
        <v>1</v>
      </c>
      <c r="Q234">
        <f>IF(AND(P234=1,OR(ISNUMBER(MATCH(H234,{"menace","othering","ridicule","blame","victim"},0)),ISNUMBER(MATCH(J234,{"menace","othering","ridicule","blame","victim"},0)),ISNUMBER(MATCH(L234,{"menace","othering","ridicule","blame","victim"},0)))),1,0)</f>
        <v>1</v>
      </c>
      <c r="R234">
        <f>IF(AND(P234=1,Q234=0,OR(ISNUMBER(MATCH(H234,{"wholesome","heroic"},0)),ISNUMBER(MATCH(J234,{"wholesome","heroic"},0)),ISNUMBER(MATCH(L234,{"wholesome","heroic"},0)))),1,0)</f>
        <v>0</v>
      </c>
      <c r="S234">
        <f t="shared" si="10"/>
        <v>0</v>
      </c>
      <c r="T234">
        <f t="shared" si="11"/>
        <v>0</v>
      </c>
    </row>
    <row r="235" spans="1:20" x14ac:dyDescent="0.25">
      <c r="A235">
        <v>235</v>
      </c>
      <c r="B235">
        <v>4795</v>
      </c>
      <c r="C235" t="s">
        <v>32</v>
      </c>
      <c r="D235" t="s">
        <v>1455</v>
      </c>
      <c r="E235" s="4">
        <v>45357</v>
      </c>
      <c r="F235" s="6">
        <v>0</v>
      </c>
      <c r="G235" s="6" t="s">
        <v>2991</v>
      </c>
      <c r="H235" s="6" t="s">
        <v>2992</v>
      </c>
      <c r="I235" s="6"/>
      <c r="J235" s="6"/>
      <c r="K235" s="6"/>
      <c r="L235" s="6"/>
      <c r="M235" s="6" t="s">
        <v>3047</v>
      </c>
      <c r="N235" s="6"/>
      <c r="O235" s="6"/>
      <c r="P235">
        <f t="shared" si="9"/>
        <v>1</v>
      </c>
      <c r="Q235">
        <f>IF(AND(P235=1,OR(ISNUMBER(MATCH(H235,{"menace","othering","ridicule","blame","victim"},0)),ISNUMBER(MATCH(J235,{"menace","othering","ridicule","blame","victim"},0)),ISNUMBER(MATCH(L235,{"menace","othering","ridicule","blame","victim"},0)))),1,0)</f>
        <v>1</v>
      </c>
      <c r="R235">
        <f>IF(AND(P235=1,Q235=0,OR(ISNUMBER(MATCH(H235,{"wholesome","heroic"},0)),ISNUMBER(MATCH(J235,{"wholesome","heroic"},0)),ISNUMBER(MATCH(L235,{"wholesome","heroic"},0)))),1,0)</f>
        <v>0</v>
      </c>
      <c r="S235">
        <f t="shared" si="10"/>
        <v>0</v>
      </c>
      <c r="T235">
        <f t="shared" si="11"/>
        <v>0</v>
      </c>
    </row>
    <row r="236" spans="1:20" x14ac:dyDescent="0.25">
      <c r="A236">
        <v>236</v>
      </c>
      <c r="B236">
        <v>4798</v>
      </c>
      <c r="C236" t="s">
        <v>32</v>
      </c>
      <c r="D236" t="s">
        <v>1455</v>
      </c>
      <c r="E236" s="4">
        <v>45357</v>
      </c>
      <c r="F236" s="6">
        <v>0</v>
      </c>
      <c r="G236" s="6" t="s">
        <v>3000</v>
      </c>
      <c r="H236" s="6" t="s">
        <v>2987</v>
      </c>
      <c r="I236" s="6" t="s">
        <v>2991</v>
      </c>
      <c r="J236" s="6" t="s">
        <v>2990</v>
      </c>
      <c r="K236" s="6"/>
      <c r="L236" s="6"/>
      <c r="M236" s="6" t="s">
        <v>3047</v>
      </c>
      <c r="N236" s="6" t="s">
        <v>3047</v>
      </c>
      <c r="O236" s="6"/>
      <c r="P236">
        <f t="shared" si="9"/>
        <v>1</v>
      </c>
      <c r="Q236">
        <f>IF(AND(P236=1,OR(ISNUMBER(MATCH(H236,{"menace","othering","ridicule","blame","victim"},0)),ISNUMBER(MATCH(J236,{"menace","othering","ridicule","blame","victim"},0)),ISNUMBER(MATCH(L236,{"menace","othering","ridicule","blame","victim"},0)))),1,0)</f>
        <v>1</v>
      </c>
      <c r="R236">
        <f>IF(AND(P236=1,Q236=0,OR(ISNUMBER(MATCH(H236,{"wholesome","heroic"},0)),ISNUMBER(MATCH(J236,{"wholesome","heroic"},0)),ISNUMBER(MATCH(L236,{"wholesome","heroic"},0)))),1,0)</f>
        <v>0</v>
      </c>
      <c r="S236">
        <f t="shared" si="10"/>
        <v>0</v>
      </c>
      <c r="T236">
        <f t="shared" si="11"/>
        <v>0</v>
      </c>
    </row>
    <row r="237" spans="1:20" x14ac:dyDescent="0.25">
      <c r="A237">
        <v>237</v>
      </c>
      <c r="B237">
        <v>4820</v>
      </c>
      <c r="C237" t="s">
        <v>32</v>
      </c>
      <c r="D237" t="s">
        <v>1455</v>
      </c>
      <c r="E237" s="4">
        <v>45360</v>
      </c>
      <c r="F237" s="6">
        <v>0</v>
      </c>
      <c r="G237" s="6" t="s">
        <v>2991</v>
      </c>
      <c r="H237" s="6" t="s">
        <v>2992</v>
      </c>
      <c r="I237" s="6" t="s">
        <v>2986</v>
      </c>
      <c r="J237" s="6" t="s">
        <v>2989</v>
      </c>
      <c r="K237" s="6" t="s">
        <v>2991</v>
      </c>
      <c r="L237" s="6" t="s">
        <v>2992</v>
      </c>
      <c r="M237" s="6" t="s">
        <v>3047</v>
      </c>
      <c r="N237" s="6" t="s">
        <v>3046</v>
      </c>
      <c r="O237" s="6" t="s">
        <v>3046</v>
      </c>
      <c r="P237">
        <f t="shared" si="9"/>
        <v>1</v>
      </c>
      <c r="Q237">
        <f>IF(AND(P237=1,OR(ISNUMBER(MATCH(H237,{"menace","othering","ridicule","blame","victim"},0)),ISNUMBER(MATCH(J237,{"menace","othering","ridicule","blame","victim"},0)),ISNUMBER(MATCH(L237,{"menace","othering","ridicule","blame","victim"},0)))),1,0)</f>
        <v>1</v>
      </c>
      <c r="R237">
        <f>IF(AND(P237=1,Q237=0,OR(ISNUMBER(MATCH(H237,{"wholesome","heroic"},0)),ISNUMBER(MATCH(J237,{"wholesome","heroic"},0)),ISNUMBER(MATCH(L237,{"wholesome","heroic"},0)))),1,0)</f>
        <v>0</v>
      </c>
      <c r="S237">
        <f t="shared" si="10"/>
        <v>0</v>
      </c>
      <c r="T237">
        <f t="shared" si="11"/>
        <v>0</v>
      </c>
    </row>
    <row r="238" spans="1:20" x14ac:dyDescent="0.25">
      <c r="A238">
        <v>238</v>
      </c>
      <c r="B238">
        <v>4922</v>
      </c>
      <c r="C238" t="s">
        <v>32</v>
      </c>
      <c r="D238" t="s">
        <v>1455</v>
      </c>
      <c r="E238" s="4">
        <v>45376</v>
      </c>
      <c r="F238" s="6">
        <v>0</v>
      </c>
      <c r="G238" s="6" t="s">
        <v>2991</v>
      </c>
      <c r="H238" s="6" t="s">
        <v>2993</v>
      </c>
      <c r="I238" s="6" t="s">
        <v>2991</v>
      </c>
      <c r="J238" s="6" t="s">
        <v>2987</v>
      </c>
      <c r="K238" s="6"/>
      <c r="L238" s="6"/>
      <c r="M238" s="6" t="s">
        <v>3047</v>
      </c>
      <c r="N238" s="6" t="s">
        <v>3047</v>
      </c>
      <c r="O238" s="6"/>
      <c r="P238">
        <f t="shared" si="9"/>
        <v>1</v>
      </c>
      <c r="Q238">
        <f>IF(AND(P238=1,OR(ISNUMBER(MATCH(H238,{"menace","othering","ridicule","blame","victim"},0)),ISNUMBER(MATCH(J238,{"menace","othering","ridicule","blame","victim"},0)),ISNUMBER(MATCH(L238,{"menace","othering","ridicule","blame","victim"},0)))),1,0)</f>
        <v>1</v>
      </c>
      <c r="R238">
        <f>IF(AND(P238=1,Q238=0,OR(ISNUMBER(MATCH(H238,{"wholesome","heroic"},0)),ISNUMBER(MATCH(J238,{"wholesome","heroic"},0)),ISNUMBER(MATCH(L238,{"wholesome","heroic"},0)))),1,0)</f>
        <v>0</v>
      </c>
      <c r="S238">
        <f t="shared" si="10"/>
        <v>0</v>
      </c>
      <c r="T238">
        <f t="shared" si="11"/>
        <v>0</v>
      </c>
    </row>
    <row r="239" spans="1:20" x14ac:dyDescent="0.25">
      <c r="A239">
        <v>239</v>
      </c>
      <c r="B239">
        <v>4957</v>
      </c>
      <c r="C239" t="s">
        <v>32</v>
      </c>
      <c r="D239" t="s">
        <v>1455</v>
      </c>
      <c r="E239" s="4">
        <v>45381</v>
      </c>
      <c r="F239" s="6">
        <v>0</v>
      </c>
      <c r="G239" s="6" t="s">
        <v>3000</v>
      </c>
      <c r="H239" s="6" t="s">
        <v>2990</v>
      </c>
      <c r="I239" s="6"/>
      <c r="J239" s="6"/>
      <c r="K239" s="6"/>
      <c r="L239" s="6"/>
      <c r="M239" s="6" t="s">
        <v>3047</v>
      </c>
      <c r="N239" s="6"/>
      <c r="O239" s="6"/>
      <c r="P239">
        <f t="shared" si="9"/>
        <v>1</v>
      </c>
      <c r="Q239">
        <f>IF(AND(P239=1,OR(ISNUMBER(MATCH(H239,{"menace","othering","ridicule","blame","victim"},0)),ISNUMBER(MATCH(J239,{"menace","othering","ridicule","blame","victim"},0)),ISNUMBER(MATCH(L239,{"menace","othering","ridicule","blame","victim"},0)))),1,0)</f>
        <v>0</v>
      </c>
      <c r="R239">
        <f>IF(AND(P239=1,Q239=0,OR(ISNUMBER(MATCH(H239,{"wholesome","heroic"},0)),ISNUMBER(MATCH(J239,{"wholesome","heroic"},0)),ISNUMBER(MATCH(L239,{"wholesome","heroic"},0)))),1,0)</f>
        <v>1</v>
      </c>
      <c r="S239">
        <f t="shared" si="10"/>
        <v>0</v>
      </c>
      <c r="T239">
        <f t="shared" si="11"/>
        <v>0</v>
      </c>
    </row>
    <row r="240" spans="1:20" x14ac:dyDescent="0.25">
      <c r="A240">
        <v>240</v>
      </c>
      <c r="B240">
        <v>5075</v>
      </c>
      <c r="C240" t="s">
        <v>32</v>
      </c>
      <c r="D240" t="s">
        <v>1455</v>
      </c>
      <c r="E240" s="4">
        <v>45399</v>
      </c>
      <c r="F240" s="6">
        <v>0</v>
      </c>
      <c r="G240" s="6" t="s">
        <v>2991</v>
      </c>
      <c r="H240" s="6" t="s">
        <v>2987</v>
      </c>
      <c r="I240" s="6" t="s">
        <v>2991</v>
      </c>
      <c r="J240" s="6" t="s">
        <v>2989</v>
      </c>
      <c r="K240" s="6"/>
      <c r="L240" s="6"/>
      <c r="M240" s="6" t="s">
        <v>3047</v>
      </c>
      <c r="N240" s="6" t="s">
        <v>3046</v>
      </c>
      <c r="O240" s="6"/>
      <c r="P240">
        <f t="shared" si="9"/>
        <v>1</v>
      </c>
      <c r="Q240">
        <f>IF(AND(P240=1,OR(ISNUMBER(MATCH(H240,{"menace","othering","ridicule","blame","victim"},0)),ISNUMBER(MATCH(J240,{"menace","othering","ridicule","blame","victim"},0)),ISNUMBER(MATCH(L240,{"menace","othering","ridicule","blame","victim"},0)))),1,0)</f>
        <v>1</v>
      </c>
      <c r="R240">
        <f>IF(AND(P240=1,Q240=0,OR(ISNUMBER(MATCH(H240,{"wholesome","heroic"},0)),ISNUMBER(MATCH(J240,{"wholesome","heroic"},0)),ISNUMBER(MATCH(L240,{"wholesome","heroic"},0)))),1,0)</f>
        <v>0</v>
      </c>
      <c r="S240">
        <f t="shared" si="10"/>
        <v>0</v>
      </c>
      <c r="T240">
        <f t="shared" si="11"/>
        <v>0</v>
      </c>
    </row>
    <row r="241" spans="1:20" x14ac:dyDescent="0.25">
      <c r="A241">
        <v>241</v>
      </c>
      <c r="B241">
        <v>5172</v>
      </c>
      <c r="C241" t="s">
        <v>32</v>
      </c>
      <c r="D241" t="s">
        <v>1455</v>
      </c>
      <c r="E241" s="4">
        <v>45415</v>
      </c>
      <c r="F241" s="6">
        <v>0</v>
      </c>
      <c r="G241" s="6" t="s">
        <v>2998</v>
      </c>
      <c r="H241" s="6" t="s">
        <v>2989</v>
      </c>
      <c r="K241" s="6"/>
      <c r="L241" s="6"/>
      <c r="M241" s="6" t="s">
        <v>3047</v>
      </c>
      <c r="N241" s="6"/>
      <c r="O241" s="6"/>
      <c r="P241">
        <f t="shared" si="9"/>
        <v>1</v>
      </c>
      <c r="Q241">
        <f>IF(AND(P241=1,OR(ISNUMBER(MATCH(H241,{"menace","othering","ridicule","blame","victim"},0)),ISNUMBER(MATCH(J241,{"menace","othering","ridicule","blame","victim"},0)),ISNUMBER(MATCH(L241,{"menace","othering","ridicule","blame","victim"},0)))),1,0)</f>
        <v>0</v>
      </c>
      <c r="R241">
        <f>IF(AND(P241=1,Q241=0,OR(ISNUMBER(MATCH(H241,{"wholesome","heroic"},0)),ISNUMBER(MATCH(J241,{"wholesome","heroic"},0)),ISNUMBER(MATCH(L241,{"wholesome","heroic"},0)))),1,0)</f>
        <v>0</v>
      </c>
      <c r="S241">
        <f t="shared" si="10"/>
        <v>1</v>
      </c>
      <c r="T241">
        <f t="shared" si="11"/>
        <v>0</v>
      </c>
    </row>
    <row r="242" spans="1:20" x14ac:dyDescent="0.25">
      <c r="A242">
        <v>242</v>
      </c>
      <c r="B242">
        <v>5204</v>
      </c>
      <c r="C242" t="s">
        <v>32</v>
      </c>
      <c r="D242" t="s">
        <v>1455</v>
      </c>
      <c r="E242" s="4">
        <v>45421</v>
      </c>
      <c r="F242" s="6">
        <v>0</v>
      </c>
      <c r="G242" s="6" t="s">
        <v>2991</v>
      </c>
      <c r="H242" s="6" t="s">
        <v>2987</v>
      </c>
      <c r="I242" s="6" t="s">
        <v>2997</v>
      </c>
      <c r="J242" s="6" t="s">
        <v>2993</v>
      </c>
      <c r="K242" s="6"/>
      <c r="L242" s="6"/>
      <c r="M242" s="6" t="s">
        <v>3047</v>
      </c>
      <c r="N242" s="6" t="s">
        <v>3046</v>
      </c>
      <c r="O242" s="6"/>
      <c r="P242">
        <f t="shared" si="9"/>
        <v>1</v>
      </c>
      <c r="Q242">
        <f>IF(AND(P242=1,OR(ISNUMBER(MATCH(H242,{"menace","othering","ridicule","blame","victim"},0)),ISNUMBER(MATCH(J242,{"menace","othering","ridicule","blame","victim"},0)),ISNUMBER(MATCH(L242,{"menace","othering","ridicule","blame","victim"},0)))),1,0)</f>
        <v>1</v>
      </c>
      <c r="R242">
        <f>IF(AND(P242=1,Q242=0,OR(ISNUMBER(MATCH(H242,{"wholesome","heroic"},0)),ISNUMBER(MATCH(J242,{"wholesome","heroic"},0)),ISNUMBER(MATCH(L242,{"wholesome","heroic"},0)))),1,0)</f>
        <v>0</v>
      </c>
      <c r="S242">
        <f t="shared" si="10"/>
        <v>0</v>
      </c>
      <c r="T242">
        <f t="shared" si="11"/>
        <v>0</v>
      </c>
    </row>
    <row r="243" spans="1:20" x14ac:dyDescent="0.25">
      <c r="A243">
        <v>243</v>
      </c>
      <c r="B243">
        <v>5295</v>
      </c>
      <c r="C243" t="s">
        <v>32</v>
      </c>
      <c r="D243" t="s">
        <v>1455</v>
      </c>
      <c r="E243" s="4">
        <v>45434</v>
      </c>
      <c r="F243" s="6">
        <v>0</v>
      </c>
      <c r="G243" s="6" t="s">
        <v>2991</v>
      </c>
      <c r="H243" s="6" t="s">
        <v>2996</v>
      </c>
      <c r="I243" s="6" t="s">
        <v>3000</v>
      </c>
      <c r="J243" s="6" t="s">
        <v>2987</v>
      </c>
      <c r="K243" s="6" t="s">
        <v>3000</v>
      </c>
      <c r="L243" s="6" t="s">
        <v>2990</v>
      </c>
      <c r="M243" s="6" t="s">
        <v>3047</v>
      </c>
      <c r="N243" s="6" t="s">
        <v>3047</v>
      </c>
      <c r="O243" s="6" t="s">
        <v>3046</v>
      </c>
      <c r="P243">
        <f t="shared" si="9"/>
        <v>1</v>
      </c>
      <c r="Q243">
        <f>IF(AND(P243=1,OR(ISNUMBER(MATCH(H243,{"menace","othering","ridicule","blame","victim"},0)),ISNUMBER(MATCH(J243,{"menace","othering","ridicule","blame","victim"},0)),ISNUMBER(MATCH(L243,{"menace","othering","ridicule","blame","victim"},0)))),1,0)</f>
        <v>1</v>
      </c>
      <c r="R243">
        <f>IF(AND(P243=1,Q243=0,OR(ISNUMBER(MATCH(H243,{"wholesome","heroic"},0)),ISNUMBER(MATCH(J243,{"wholesome","heroic"},0)),ISNUMBER(MATCH(L243,{"wholesome","heroic"},0)))),1,0)</f>
        <v>0</v>
      </c>
      <c r="S243">
        <f t="shared" si="10"/>
        <v>0</v>
      </c>
      <c r="T243">
        <f t="shared" si="11"/>
        <v>0</v>
      </c>
    </row>
    <row r="244" spans="1:20" x14ac:dyDescent="0.25">
      <c r="A244">
        <v>244</v>
      </c>
      <c r="B244">
        <v>5301</v>
      </c>
      <c r="C244" t="s">
        <v>32</v>
      </c>
      <c r="D244" t="s">
        <v>1455</v>
      </c>
      <c r="E244" s="4">
        <v>45435</v>
      </c>
      <c r="F244" s="6">
        <v>0</v>
      </c>
      <c r="G244" s="6" t="s">
        <v>2991</v>
      </c>
      <c r="H244" s="6" t="s">
        <v>2996</v>
      </c>
      <c r="I244" s="6" t="s">
        <v>2991</v>
      </c>
      <c r="J244" s="6" t="s">
        <v>2990</v>
      </c>
      <c r="K244" s="6"/>
      <c r="L244" s="6"/>
      <c r="M244" s="6" t="s">
        <v>3047</v>
      </c>
      <c r="N244" s="6" t="s">
        <v>3047</v>
      </c>
      <c r="O244" s="6"/>
      <c r="P244">
        <f t="shared" si="9"/>
        <v>1</v>
      </c>
      <c r="Q244">
        <f>IF(AND(P244=1,OR(ISNUMBER(MATCH(H244,{"menace","othering","ridicule","blame","victim"},0)),ISNUMBER(MATCH(J244,{"menace","othering","ridicule","blame","victim"},0)),ISNUMBER(MATCH(L244,{"menace","othering","ridicule","blame","victim"},0)))),1,0)</f>
        <v>1</v>
      </c>
      <c r="R244">
        <f>IF(AND(P244=1,Q244=0,OR(ISNUMBER(MATCH(H244,{"wholesome","heroic"},0)),ISNUMBER(MATCH(J244,{"wholesome","heroic"},0)),ISNUMBER(MATCH(L244,{"wholesome","heroic"},0)))),1,0)</f>
        <v>0</v>
      </c>
      <c r="S244">
        <f t="shared" si="10"/>
        <v>0</v>
      </c>
      <c r="T244">
        <f t="shared" si="11"/>
        <v>0</v>
      </c>
    </row>
    <row r="245" spans="1:20" x14ac:dyDescent="0.25">
      <c r="A245">
        <v>245</v>
      </c>
      <c r="B245">
        <v>5315</v>
      </c>
      <c r="C245" t="s">
        <v>32</v>
      </c>
      <c r="D245" t="s">
        <v>1455</v>
      </c>
      <c r="E245" s="4">
        <v>45436</v>
      </c>
      <c r="F245" s="6">
        <v>0</v>
      </c>
      <c r="G245" s="6" t="s">
        <v>2988</v>
      </c>
      <c r="H245" s="6" t="s">
        <v>2992</v>
      </c>
      <c r="I245" s="6" t="s">
        <v>2991</v>
      </c>
      <c r="J245" s="6" t="s">
        <v>2993</v>
      </c>
      <c r="K245" s="6"/>
      <c r="L245" s="6"/>
      <c r="M245" s="6" t="s">
        <v>3047</v>
      </c>
      <c r="N245" s="6" t="s">
        <v>3046</v>
      </c>
      <c r="O245" s="6"/>
      <c r="P245">
        <f t="shared" si="9"/>
        <v>1</v>
      </c>
      <c r="Q245">
        <f>IF(AND(P245=1,OR(ISNUMBER(MATCH(H245,{"menace","othering","ridicule","blame","victim"},0)),ISNUMBER(MATCH(J245,{"menace","othering","ridicule","blame","victim"},0)),ISNUMBER(MATCH(L245,{"menace","othering","ridicule","blame","victim"},0)))),1,0)</f>
        <v>1</v>
      </c>
      <c r="R245">
        <f>IF(AND(P245=1,Q245=0,OR(ISNUMBER(MATCH(H245,{"wholesome","heroic"},0)),ISNUMBER(MATCH(J245,{"wholesome","heroic"},0)),ISNUMBER(MATCH(L245,{"wholesome","heroic"},0)))),1,0)</f>
        <v>0</v>
      </c>
      <c r="S245">
        <f t="shared" si="10"/>
        <v>0</v>
      </c>
      <c r="T245">
        <f t="shared" si="11"/>
        <v>0</v>
      </c>
    </row>
    <row r="246" spans="1:20" x14ac:dyDescent="0.25">
      <c r="A246">
        <v>246</v>
      </c>
      <c r="B246">
        <v>5322</v>
      </c>
      <c r="C246" t="s">
        <v>32</v>
      </c>
      <c r="D246" t="s">
        <v>1455</v>
      </c>
      <c r="E246" s="4">
        <v>45437</v>
      </c>
      <c r="F246" s="6">
        <v>0</v>
      </c>
      <c r="G246" s="6" t="s">
        <v>2991</v>
      </c>
      <c r="H246" s="6" t="s">
        <v>2996</v>
      </c>
      <c r="I246" s="6" t="s">
        <v>2991</v>
      </c>
      <c r="J246" s="6" t="s">
        <v>2990</v>
      </c>
      <c r="K246" s="6" t="s">
        <v>2986</v>
      </c>
      <c r="L246" s="6" t="s">
        <v>2989</v>
      </c>
      <c r="M246" s="6" t="s">
        <v>3047</v>
      </c>
      <c r="N246" s="6" t="s">
        <v>3047</v>
      </c>
      <c r="O246" s="6" t="s">
        <v>3046</v>
      </c>
      <c r="P246">
        <f t="shared" si="9"/>
        <v>1</v>
      </c>
      <c r="Q246">
        <f>IF(AND(P246=1,OR(ISNUMBER(MATCH(H246,{"menace","othering","ridicule","blame","victim"},0)),ISNUMBER(MATCH(J246,{"menace","othering","ridicule","blame","victim"},0)),ISNUMBER(MATCH(L246,{"menace","othering","ridicule","blame","victim"},0)))),1,0)</f>
        <v>1</v>
      </c>
      <c r="R246">
        <f>IF(AND(P246=1,Q246=0,OR(ISNUMBER(MATCH(H246,{"wholesome","heroic"},0)),ISNUMBER(MATCH(J246,{"wholesome","heroic"},0)),ISNUMBER(MATCH(L246,{"wholesome","heroic"},0)))),1,0)</f>
        <v>0</v>
      </c>
      <c r="S246">
        <f t="shared" si="10"/>
        <v>0</v>
      </c>
      <c r="T246">
        <f t="shared" si="11"/>
        <v>0</v>
      </c>
    </row>
    <row r="247" spans="1:20" x14ac:dyDescent="0.25">
      <c r="A247">
        <v>247</v>
      </c>
      <c r="B247">
        <v>5342</v>
      </c>
      <c r="C247" t="s">
        <v>32</v>
      </c>
      <c r="D247" t="s">
        <v>1455</v>
      </c>
      <c r="E247" s="4">
        <v>45440</v>
      </c>
      <c r="F247" s="6">
        <v>0</v>
      </c>
      <c r="G247" s="6" t="s">
        <v>2991</v>
      </c>
      <c r="H247" s="6" t="s">
        <v>2989</v>
      </c>
      <c r="K247" s="6"/>
      <c r="L247" s="6"/>
      <c r="M247" s="6" t="s">
        <v>3047</v>
      </c>
      <c r="N247" s="6"/>
      <c r="O247" s="6"/>
      <c r="P247">
        <f t="shared" si="9"/>
        <v>1</v>
      </c>
      <c r="Q247">
        <f>IF(AND(P247=1,OR(ISNUMBER(MATCH(H247,{"menace","othering","ridicule","blame","victim"},0)),ISNUMBER(MATCH(J247,{"menace","othering","ridicule","blame","victim"},0)),ISNUMBER(MATCH(L247,{"menace","othering","ridicule","blame","victim"},0)))),1,0)</f>
        <v>0</v>
      </c>
      <c r="R247">
        <f>IF(AND(P247=1,Q247=0,OR(ISNUMBER(MATCH(H247,{"wholesome","heroic"},0)),ISNUMBER(MATCH(J247,{"wholesome","heroic"},0)),ISNUMBER(MATCH(L247,{"wholesome","heroic"},0)))),1,0)</f>
        <v>0</v>
      </c>
      <c r="S247">
        <f t="shared" si="10"/>
        <v>1</v>
      </c>
      <c r="T247">
        <f t="shared" si="11"/>
        <v>0</v>
      </c>
    </row>
    <row r="248" spans="1:20" x14ac:dyDescent="0.25">
      <c r="A248">
        <v>248</v>
      </c>
      <c r="B248">
        <v>5351</v>
      </c>
      <c r="C248" t="s">
        <v>32</v>
      </c>
      <c r="D248" t="s">
        <v>1455</v>
      </c>
      <c r="E248" s="4">
        <v>45441</v>
      </c>
      <c r="F248" s="6">
        <v>0</v>
      </c>
      <c r="G248" s="6" t="s">
        <v>2991</v>
      </c>
      <c r="H248" s="6" t="s">
        <v>2987</v>
      </c>
      <c r="I248" s="6" t="s">
        <v>3000</v>
      </c>
      <c r="J248" s="6" t="s">
        <v>2993</v>
      </c>
      <c r="K248" s="6" t="s">
        <v>2991</v>
      </c>
      <c r="L248" s="6" t="s">
        <v>2994</v>
      </c>
      <c r="M248" s="6" t="s">
        <v>3047</v>
      </c>
      <c r="N248" s="6" t="s">
        <v>3047</v>
      </c>
      <c r="O248" s="6" t="s">
        <v>3046</v>
      </c>
      <c r="P248">
        <f t="shared" si="9"/>
        <v>1</v>
      </c>
      <c r="Q248">
        <f>IF(AND(P248=1,OR(ISNUMBER(MATCH(H248,{"menace","othering","ridicule","blame","victim"},0)),ISNUMBER(MATCH(J248,{"menace","othering","ridicule","blame","victim"},0)),ISNUMBER(MATCH(L248,{"menace","othering","ridicule","blame","victim"},0)))),1,0)</f>
        <v>1</v>
      </c>
      <c r="R248">
        <f>IF(AND(P248=1,Q248=0,OR(ISNUMBER(MATCH(H248,{"wholesome","heroic"},0)),ISNUMBER(MATCH(J248,{"wholesome","heroic"},0)),ISNUMBER(MATCH(L248,{"wholesome","heroic"},0)))),1,0)</f>
        <v>0</v>
      </c>
      <c r="S248">
        <f t="shared" si="10"/>
        <v>0</v>
      </c>
      <c r="T248">
        <f t="shared" si="11"/>
        <v>0</v>
      </c>
    </row>
    <row r="249" spans="1:20" x14ac:dyDescent="0.25">
      <c r="A249">
        <v>249</v>
      </c>
      <c r="B249">
        <v>5356</v>
      </c>
      <c r="C249" t="s">
        <v>32</v>
      </c>
      <c r="D249" t="s">
        <v>1455</v>
      </c>
      <c r="E249" s="4">
        <v>45441</v>
      </c>
      <c r="F249" s="6">
        <v>0</v>
      </c>
      <c r="G249" s="6" t="s">
        <v>2991</v>
      </c>
      <c r="H249" s="6" t="s">
        <v>2992</v>
      </c>
      <c r="I249" s="6" t="s">
        <v>2991</v>
      </c>
      <c r="J249" s="6" t="s">
        <v>2989</v>
      </c>
      <c r="K249" s="6" t="s">
        <v>2991</v>
      </c>
      <c r="L249" s="6" t="s">
        <v>2993</v>
      </c>
      <c r="M249" s="6" t="s">
        <v>3047</v>
      </c>
      <c r="N249" s="6" t="s">
        <v>3047</v>
      </c>
      <c r="O249" s="6" t="s">
        <v>3046</v>
      </c>
      <c r="P249">
        <f t="shared" si="9"/>
        <v>1</v>
      </c>
      <c r="Q249">
        <f>IF(AND(P249=1,OR(ISNUMBER(MATCH(H249,{"menace","othering","ridicule","blame","victim"},0)),ISNUMBER(MATCH(J249,{"menace","othering","ridicule","blame","victim"},0)),ISNUMBER(MATCH(L249,{"menace","othering","ridicule","blame","victim"},0)))),1,0)</f>
        <v>1</v>
      </c>
      <c r="R249">
        <f>IF(AND(P249=1,Q249=0,OR(ISNUMBER(MATCH(H249,{"wholesome","heroic"},0)),ISNUMBER(MATCH(J249,{"wholesome","heroic"},0)),ISNUMBER(MATCH(L249,{"wholesome","heroic"},0)))),1,0)</f>
        <v>0</v>
      </c>
      <c r="S249">
        <f t="shared" si="10"/>
        <v>0</v>
      </c>
      <c r="T249">
        <f t="shared" si="11"/>
        <v>0</v>
      </c>
    </row>
    <row r="250" spans="1:20" x14ac:dyDescent="0.25">
      <c r="A250">
        <v>250</v>
      </c>
      <c r="B250">
        <v>5360</v>
      </c>
      <c r="C250" t="s">
        <v>32</v>
      </c>
      <c r="D250" t="s">
        <v>1455</v>
      </c>
      <c r="E250" s="4">
        <v>45442</v>
      </c>
      <c r="F250" s="6">
        <v>0</v>
      </c>
      <c r="G250" s="6" t="s">
        <v>2999</v>
      </c>
      <c r="H250" s="6" t="s">
        <v>2987</v>
      </c>
      <c r="I250" s="6" t="s">
        <v>2988</v>
      </c>
      <c r="J250" s="6" t="s">
        <v>2989</v>
      </c>
      <c r="K250" s="6"/>
      <c r="L250" s="6"/>
      <c r="M250" s="6" t="s">
        <v>3047</v>
      </c>
      <c r="N250" s="6" t="s">
        <v>3046</v>
      </c>
      <c r="O250" s="6"/>
      <c r="P250">
        <f t="shared" si="9"/>
        <v>1</v>
      </c>
      <c r="Q250">
        <f>IF(AND(P250=1,OR(ISNUMBER(MATCH(H250,{"menace","othering","ridicule","blame","victim"},0)),ISNUMBER(MATCH(J250,{"menace","othering","ridicule","blame","victim"},0)),ISNUMBER(MATCH(L250,{"menace","othering","ridicule","blame","victim"},0)))),1,0)</f>
        <v>1</v>
      </c>
      <c r="R250">
        <f>IF(AND(P250=1,Q250=0,OR(ISNUMBER(MATCH(H250,{"wholesome","heroic"},0)),ISNUMBER(MATCH(J250,{"wholesome","heroic"},0)),ISNUMBER(MATCH(L250,{"wholesome","heroic"},0)))),1,0)</f>
        <v>0</v>
      </c>
      <c r="S250">
        <f t="shared" si="10"/>
        <v>0</v>
      </c>
      <c r="T250">
        <f t="shared" si="11"/>
        <v>0</v>
      </c>
    </row>
    <row r="251" spans="1:20" x14ac:dyDescent="0.25">
      <c r="A251">
        <v>251</v>
      </c>
      <c r="B251">
        <v>5408</v>
      </c>
      <c r="C251" t="s">
        <v>32</v>
      </c>
      <c r="D251" t="s">
        <v>1455</v>
      </c>
      <c r="E251" s="4">
        <v>45447</v>
      </c>
      <c r="F251" s="6">
        <v>0</v>
      </c>
      <c r="G251" s="6" t="s">
        <v>2986</v>
      </c>
      <c r="H251" s="6" t="s">
        <v>2996</v>
      </c>
      <c r="I251" s="6" t="s">
        <v>2995</v>
      </c>
      <c r="J251" s="6" t="s">
        <v>2994</v>
      </c>
      <c r="K251" s="6"/>
      <c r="L251" s="6"/>
      <c r="M251" s="6" t="s">
        <v>3047</v>
      </c>
      <c r="N251" s="6" t="s">
        <v>3046</v>
      </c>
      <c r="O251" s="6"/>
      <c r="P251">
        <f t="shared" si="9"/>
        <v>1</v>
      </c>
      <c r="Q251">
        <f>IF(AND(P251=1,OR(ISNUMBER(MATCH(H251,{"menace","othering","ridicule","blame","victim"},0)),ISNUMBER(MATCH(J251,{"menace","othering","ridicule","blame","victim"},0)),ISNUMBER(MATCH(L251,{"menace","othering","ridicule","blame","victim"},0)))),1,0)</f>
        <v>1</v>
      </c>
      <c r="R251">
        <f>IF(AND(P251=1,Q251=0,OR(ISNUMBER(MATCH(H251,{"wholesome","heroic"},0)),ISNUMBER(MATCH(J251,{"wholesome","heroic"},0)),ISNUMBER(MATCH(L251,{"wholesome","heroic"},0)))),1,0)</f>
        <v>0</v>
      </c>
      <c r="S251">
        <f t="shared" si="10"/>
        <v>0</v>
      </c>
      <c r="T251">
        <f t="shared" si="11"/>
        <v>1</v>
      </c>
    </row>
    <row r="252" spans="1:20" x14ac:dyDescent="0.25">
      <c r="A252">
        <v>252</v>
      </c>
      <c r="B252">
        <v>5418</v>
      </c>
      <c r="C252" t="s">
        <v>32</v>
      </c>
      <c r="D252" t="s">
        <v>1455</v>
      </c>
      <c r="E252" s="4">
        <v>45447</v>
      </c>
      <c r="F252" s="6">
        <v>0</v>
      </c>
      <c r="G252" s="6" t="s">
        <v>2997</v>
      </c>
      <c r="H252" s="6" t="s">
        <v>2989</v>
      </c>
      <c r="I252" s="6" t="s">
        <v>2995</v>
      </c>
      <c r="J252" s="6" t="s">
        <v>2989</v>
      </c>
      <c r="K252" s="6"/>
      <c r="L252" s="6"/>
      <c r="M252" s="6" t="s">
        <v>3047</v>
      </c>
      <c r="N252" s="6" t="s">
        <v>3046</v>
      </c>
      <c r="O252" s="6"/>
      <c r="P252">
        <f t="shared" si="9"/>
        <v>1</v>
      </c>
      <c r="Q252">
        <f>IF(AND(P252=1,OR(ISNUMBER(MATCH(H252,{"menace","othering","ridicule","blame","victim"},0)),ISNUMBER(MATCH(J252,{"menace","othering","ridicule","blame","victim"},0)),ISNUMBER(MATCH(L252,{"menace","othering","ridicule","blame","victim"},0)))),1,0)</f>
        <v>0</v>
      </c>
      <c r="R252">
        <f>IF(AND(P252=1,Q252=0,OR(ISNUMBER(MATCH(H252,{"wholesome","heroic"},0)),ISNUMBER(MATCH(J252,{"wholesome","heroic"},0)),ISNUMBER(MATCH(L252,{"wholesome","heroic"},0)))),1,0)</f>
        <v>0</v>
      </c>
      <c r="S252">
        <f t="shared" si="10"/>
        <v>1</v>
      </c>
      <c r="T252">
        <f t="shared" si="11"/>
        <v>1</v>
      </c>
    </row>
    <row r="253" spans="1:20" x14ac:dyDescent="0.25">
      <c r="A253">
        <v>253</v>
      </c>
      <c r="B253">
        <v>5431</v>
      </c>
      <c r="C253" t="s">
        <v>32</v>
      </c>
      <c r="D253" t="s">
        <v>1455</v>
      </c>
      <c r="E253" s="4">
        <v>45449</v>
      </c>
      <c r="F253" s="6">
        <v>0</v>
      </c>
      <c r="G253" s="6" t="s">
        <v>3000</v>
      </c>
      <c r="H253" s="6" t="s">
        <v>2987</v>
      </c>
      <c r="I253" s="6" t="s">
        <v>2986</v>
      </c>
      <c r="J253" s="6" t="s">
        <v>2985</v>
      </c>
      <c r="K253" s="6"/>
      <c r="L253" s="6"/>
      <c r="M253" s="6" t="s">
        <v>3047</v>
      </c>
      <c r="N253" s="6" t="s">
        <v>3046</v>
      </c>
      <c r="O253" s="6"/>
      <c r="P253">
        <f t="shared" si="9"/>
        <v>1</v>
      </c>
      <c r="Q253">
        <f>IF(AND(P253=1,OR(ISNUMBER(MATCH(H253,{"menace","othering","ridicule","blame","victim"},0)),ISNUMBER(MATCH(J253,{"menace","othering","ridicule","blame","victim"},0)),ISNUMBER(MATCH(L253,{"menace","othering","ridicule","blame","victim"},0)))),1,0)</f>
        <v>1</v>
      </c>
      <c r="R253">
        <f>IF(AND(P253=1,Q253=0,OR(ISNUMBER(MATCH(H253,{"wholesome","heroic"},0)),ISNUMBER(MATCH(J253,{"wholesome","heroic"},0)),ISNUMBER(MATCH(L253,{"wholesome","heroic"},0)))),1,0)</f>
        <v>0</v>
      </c>
      <c r="S253">
        <f t="shared" si="10"/>
        <v>0</v>
      </c>
      <c r="T253">
        <f t="shared" si="11"/>
        <v>0</v>
      </c>
    </row>
    <row r="254" spans="1:20" x14ac:dyDescent="0.25">
      <c r="A254">
        <v>254</v>
      </c>
      <c r="B254">
        <v>5441</v>
      </c>
      <c r="C254" t="s">
        <v>32</v>
      </c>
      <c r="D254" t="s">
        <v>1455</v>
      </c>
      <c r="E254" s="4">
        <v>45450</v>
      </c>
      <c r="F254" s="6">
        <v>0</v>
      </c>
      <c r="G254" s="6" t="s">
        <v>3000</v>
      </c>
      <c r="H254" s="6" t="s">
        <v>2987</v>
      </c>
      <c r="I254" s="6" t="s">
        <v>3000</v>
      </c>
      <c r="J254" s="6" t="s">
        <v>2990</v>
      </c>
      <c r="K254" s="6"/>
      <c r="L254" s="6"/>
      <c r="M254" s="6" t="s">
        <v>3047</v>
      </c>
      <c r="N254" s="6" t="s">
        <v>3047</v>
      </c>
      <c r="O254" s="6"/>
      <c r="P254">
        <f t="shared" si="9"/>
        <v>1</v>
      </c>
      <c r="Q254">
        <f>IF(AND(P254=1,OR(ISNUMBER(MATCH(H254,{"menace","othering","ridicule","blame","victim"},0)),ISNUMBER(MATCH(J254,{"menace","othering","ridicule","blame","victim"},0)),ISNUMBER(MATCH(L254,{"menace","othering","ridicule","blame","victim"},0)))),1,0)</f>
        <v>1</v>
      </c>
      <c r="R254">
        <f>IF(AND(P254=1,Q254=0,OR(ISNUMBER(MATCH(H254,{"wholesome","heroic"},0)),ISNUMBER(MATCH(J254,{"wholesome","heroic"},0)),ISNUMBER(MATCH(L254,{"wholesome","heroic"},0)))),1,0)</f>
        <v>0</v>
      </c>
      <c r="S254">
        <f t="shared" si="10"/>
        <v>0</v>
      </c>
      <c r="T254">
        <f t="shared" si="11"/>
        <v>0</v>
      </c>
    </row>
    <row r="255" spans="1:20" x14ac:dyDescent="0.25">
      <c r="A255">
        <v>255</v>
      </c>
      <c r="B255">
        <v>5455</v>
      </c>
      <c r="C255" t="s">
        <v>32</v>
      </c>
      <c r="D255" t="s">
        <v>1455</v>
      </c>
      <c r="E255" s="4">
        <v>45451</v>
      </c>
      <c r="F255" s="6">
        <v>0</v>
      </c>
      <c r="G255" s="6" t="s">
        <v>2986</v>
      </c>
      <c r="H255" s="6" t="s">
        <v>2985</v>
      </c>
      <c r="K255" s="6"/>
      <c r="L255" s="6"/>
      <c r="M255" s="6" t="s">
        <v>3047</v>
      </c>
      <c r="N255" s="6"/>
      <c r="O255" s="6"/>
      <c r="P255">
        <f t="shared" si="9"/>
        <v>1</v>
      </c>
      <c r="Q255">
        <f>IF(AND(P255=1,OR(ISNUMBER(MATCH(H255,{"menace","othering","ridicule","blame","victim"},0)),ISNUMBER(MATCH(J255,{"menace","othering","ridicule","blame","victim"},0)),ISNUMBER(MATCH(L255,{"menace","othering","ridicule","blame","victim"},0)))),1,0)</f>
        <v>1</v>
      </c>
      <c r="R255">
        <f>IF(AND(P255=1,Q255=0,OR(ISNUMBER(MATCH(H255,{"wholesome","heroic"},0)),ISNUMBER(MATCH(J255,{"wholesome","heroic"},0)),ISNUMBER(MATCH(L255,{"wholesome","heroic"},0)))),1,0)</f>
        <v>0</v>
      </c>
      <c r="S255">
        <f t="shared" si="10"/>
        <v>0</v>
      </c>
      <c r="T255">
        <f t="shared" si="11"/>
        <v>0</v>
      </c>
    </row>
    <row r="256" spans="1:20" x14ac:dyDescent="0.25">
      <c r="A256">
        <v>256</v>
      </c>
      <c r="B256">
        <v>5463</v>
      </c>
      <c r="C256" t="s">
        <v>32</v>
      </c>
      <c r="D256" t="s">
        <v>1455</v>
      </c>
      <c r="E256" s="4">
        <v>45452</v>
      </c>
      <c r="F256" s="6">
        <v>0</v>
      </c>
      <c r="G256" s="6" t="s">
        <v>2991</v>
      </c>
      <c r="H256" s="6" t="s">
        <v>2990</v>
      </c>
      <c r="I256" s="6" t="s">
        <v>2991</v>
      </c>
      <c r="J256" s="6" t="s">
        <v>2989</v>
      </c>
      <c r="K256" s="6"/>
      <c r="L256" s="6"/>
      <c r="M256" s="6" t="s">
        <v>3047</v>
      </c>
      <c r="N256" s="6" t="s">
        <v>3046</v>
      </c>
      <c r="O256" s="6"/>
      <c r="P256">
        <f t="shared" si="9"/>
        <v>1</v>
      </c>
      <c r="Q256">
        <f>IF(AND(P256=1,OR(ISNUMBER(MATCH(H256,{"menace","othering","ridicule","blame","victim"},0)),ISNUMBER(MATCH(J256,{"menace","othering","ridicule","blame","victim"},0)),ISNUMBER(MATCH(L256,{"menace","othering","ridicule","blame","victim"},0)))),1,0)</f>
        <v>0</v>
      </c>
      <c r="R256">
        <f>IF(AND(P256=1,Q256=0,OR(ISNUMBER(MATCH(H256,{"wholesome","heroic"},0)),ISNUMBER(MATCH(J256,{"wholesome","heroic"},0)),ISNUMBER(MATCH(L256,{"wholesome","heroic"},0)))),1,0)</f>
        <v>1</v>
      </c>
      <c r="S256">
        <f t="shared" si="10"/>
        <v>0</v>
      </c>
      <c r="T256">
        <f t="shared" si="11"/>
        <v>0</v>
      </c>
    </row>
    <row r="257" spans="1:20" x14ac:dyDescent="0.25">
      <c r="A257">
        <v>257</v>
      </c>
      <c r="B257">
        <v>5467</v>
      </c>
      <c r="C257" t="s">
        <v>34</v>
      </c>
      <c r="D257" t="s">
        <v>1573</v>
      </c>
      <c r="E257" s="4">
        <v>45344</v>
      </c>
      <c r="F257" s="6">
        <v>0</v>
      </c>
      <c r="G257" s="6" t="s">
        <v>2989</v>
      </c>
      <c r="H257" s="6" t="s">
        <v>2989</v>
      </c>
      <c r="K257" s="6"/>
      <c r="L257" s="6"/>
      <c r="M257" s="6"/>
      <c r="N257" s="6"/>
      <c r="O257" s="6"/>
      <c r="P257">
        <f t="shared" si="9"/>
        <v>1</v>
      </c>
      <c r="Q257">
        <f>IF(AND(P257=1,OR(ISNUMBER(MATCH(H257,{"menace","othering","ridicule","blame","victim"},0)),ISNUMBER(MATCH(J257,{"menace","othering","ridicule","blame","victim"},0)),ISNUMBER(MATCH(L257,{"menace","othering","ridicule","blame","victim"},0)))),1,0)</f>
        <v>0</v>
      </c>
      <c r="R257">
        <f>IF(AND(P257=1,Q257=0,OR(ISNUMBER(MATCH(H257,{"wholesome","heroic"},0)),ISNUMBER(MATCH(J257,{"wholesome","heroic"},0)),ISNUMBER(MATCH(L257,{"wholesome","heroic"},0)))),1,0)</f>
        <v>0</v>
      </c>
      <c r="S257">
        <f t="shared" si="10"/>
        <v>1</v>
      </c>
      <c r="T257">
        <f t="shared" si="11"/>
        <v>0</v>
      </c>
    </row>
    <row r="258" spans="1:20" x14ac:dyDescent="0.25">
      <c r="A258">
        <v>258</v>
      </c>
      <c r="B258">
        <v>5473</v>
      </c>
      <c r="C258" t="s">
        <v>34</v>
      </c>
      <c r="D258" t="s">
        <v>1573</v>
      </c>
      <c r="E258" s="4">
        <v>45382</v>
      </c>
      <c r="F258" s="6">
        <v>0</v>
      </c>
      <c r="G258" s="6" t="s">
        <v>3000</v>
      </c>
      <c r="H258" s="6" t="s">
        <v>2990</v>
      </c>
      <c r="K258" s="6"/>
      <c r="L258" s="6"/>
      <c r="M258" s="6" t="s">
        <v>3047</v>
      </c>
      <c r="N258" s="6"/>
      <c r="O258" s="6"/>
      <c r="P258">
        <f t="shared" ref="P258:P288" si="12">IF(F258=0,1,0)</f>
        <v>1</v>
      </c>
      <c r="Q258">
        <f>IF(AND(P258=1,OR(ISNUMBER(MATCH(H258,{"menace","othering","ridicule","blame","victim"},0)),ISNUMBER(MATCH(J258,{"menace","othering","ridicule","blame","victim"},0)),ISNUMBER(MATCH(L258,{"menace","othering","ridicule","blame","victim"},0)))),1,0)</f>
        <v>0</v>
      </c>
      <c r="R258">
        <f>IF(AND(P258=1,Q258=0,OR(ISNUMBER(MATCH(H258,{"wholesome","heroic"},0)),ISNUMBER(MATCH(J258,{"wholesome","heroic"},0)),ISNUMBER(MATCH(L258,{"wholesome","heroic"},0)))),1,0)</f>
        <v>1</v>
      </c>
      <c r="S258">
        <f t="shared" ref="S258:S288" si="13">IF(AND(P258=1,Q258=0,R258=0),1,0)</f>
        <v>0</v>
      </c>
      <c r="T258">
        <f t="shared" ref="T258:T288" si="14">IF(AND(P258=1,OR(G258="own_leader",I258="own_leader",K258="own_leader")),1,0)</f>
        <v>0</v>
      </c>
    </row>
    <row r="259" spans="1:20" x14ac:dyDescent="0.25">
      <c r="A259">
        <v>259</v>
      </c>
      <c r="B259">
        <v>5485</v>
      </c>
      <c r="C259" t="s">
        <v>34</v>
      </c>
      <c r="D259" t="s">
        <v>1573</v>
      </c>
      <c r="E259" s="4">
        <v>45424</v>
      </c>
      <c r="F259" s="6">
        <v>0</v>
      </c>
      <c r="G259" s="6" t="s">
        <v>3000</v>
      </c>
      <c r="H259" s="6" t="s">
        <v>2990</v>
      </c>
      <c r="K259" s="6"/>
      <c r="L259" s="6"/>
      <c r="M259" s="6" t="s">
        <v>3047</v>
      </c>
      <c r="N259" s="6"/>
      <c r="O259" s="6"/>
      <c r="P259">
        <f t="shared" si="12"/>
        <v>1</v>
      </c>
      <c r="Q259">
        <f>IF(AND(P259=1,OR(ISNUMBER(MATCH(H259,{"menace","othering","ridicule","blame","victim"},0)),ISNUMBER(MATCH(J259,{"menace","othering","ridicule","blame","victim"},0)),ISNUMBER(MATCH(L259,{"menace","othering","ridicule","blame","victim"},0)))),1,0)</f>
        <v>0</v>
      </c>
      <c r="R259">
        <f>IF(AND(P259=1,Q259=0,OR(ISNUMBER(MATCH(H259,{"wholesome","heroic"},0)),ISNUMBER(MATCH(J259,{"wholesome","heroic"},0)),ISNUMBER(MATCH(L259,{"wholesome","heroic"},0)))),1,0)</f>
        <v>1</v>
      </c>
      <c r="S259">
        <f t="shared" si="13"/>
        <v>0</v>
      </c>
      <c r="T259">
        <f t="shared" si="14"/>
        <v>0</v>
      </c>
    </row>
    <row r="260" spans="1:20" x14ac:dyDescent="0.25">
      <c r="A260">
        <v>260</v>
      </c>
      <c r="B260">
        <v>5491</v>
      </c>
      <c r="C260" t="s">
        <v>34</v>
      </c>
      <c r="D260" t="s">
        <v>1573</v>
      </c>
      <c r="E260" s="4">
        <v>45445</v>
      </c>
      <c r="F260" s="6">
        <v>0</v>
      </c>
      <c r="G260" s="6" t="s">
        <v>2991</v>
      </c>
      <c r="H260" s="6" t="s">
        <v>2990</v>
      </c>
      <c r="K260" s="6"/>
      <c r="L260" s="6"/>
      <c r="M260" s="6" t="s">
        <v>3047</v>
      </c>
      <c r="N260" s="6"/>
      <c r="O260" s="6"/>
      <c r="P260">
        <f t="shared" si="12"/>
        <v>1</v>
      </c>
      <c r="Q260">
        <f>IF(AND(P260=1,OR(ISNUMBER(MATCH(H260,{"menace","othering","ridicule","blame","victim"},0)),ISNUMBER(MATCH(J260,{"menace","othering","ridicule","blame","victim"},0)),ISNUMBER(MATCH(L260,{"menace","othering","ridicule","blame","victim"},0)))),1,0)</f>
        <v>0</v>
      </c>
      <c r="R260">
        <f>IF(AND(P260=1,Q260=0,OR(ISNUMBER(MATCH(H260,{"wholesome","heroic"},0)),ISNUMBER(MATCH(J260,{"wholesome","heroic"},0)),ISNUMBER(MATCH(L260,{"wholesome","heroic"},0)))),1,0)</f>
        <v>1</v>
      </c>
      <c r="S260">
        <f t="shared" si="13"/>
        <v>0</v>
      </c>
      <c r="T260">
        <f t="shared" si="14"/>
        <v>0</v>
      </c>
    </row>
    <row r="261" spans="1:20" x14ac:dyDescent="0.25">
      <c r="A261">
        <v>261</v>
      </c>
      <c r="B261">
        <v>5495</v>
      </c>
      <c r="C261" t="s">
        <v>34</v>
      </c>
      <c r="D261" t="s">
        <v>1573</v>
      </c>
      <c r="E261" s="4">
        <v>45448</v>
      </c>
      <c r="F261" s="6">
        <v>0</v>
      </c>
      <c r="G261" s="6" t="s">
        <v>2991</v>
      </c>
      <c r="H261" s="6" t="s">
        <v>2990</v>
      </c>
      <c r="K261" s="6"/>
      <c r="L261" s="6"/>
      <c r="M261" s="6" t="s">
        <v>3047</v>
      </c>
      <c r="N261" s="6"/>
      <c r="O261" s="6"/>
      <c r="P261">
        <f t="shared" si="12"/>
        <v>1</v>
      </c>
      <c r="Q261">
        <f>IF(AND(P261=1,OR(ISNUMBER(MATCH(H261,{"menace","othering","ridicule","blame","victim"},0)),ISNUMBER(MATCH(J261,{"menace","othering","ridicule","blame","victim"},0)),ISNUMBER(MATCH(L261,{"menace","othering","ridicule","blame","victim"},0)))),1,0)</f>
        <v>0</v>
      </c>
      <c r="R261">
        <f>IF(AND(P261=1,Q261=0,OR(ISNUMBER(MATCH(H261,{"wholesome","heroic"},0)),ISNUMBER(MATCH(J261,{"wholesome","heroic"},0)),ISNUMBER(MATCH(L261,{"wholesome","heroic"},0)))),1,0)</f>
        <v>1</v>
      </c>
      <c r="S261">
        <f t="shared" si="13"/>
        <v>0</v>
      </c>
      <c r="T261">
        <f t="shared" si="14"/>
        <v>0</v>
      </c>
    </row>
    <row r="262" spans="1:20" x14ac:dyDescent="0.25">
      <c r="A262">
        <v>262</v>
      </c>
      <c r="B262">
        <v>5516</v>
      </c>
      <c r="C262" t="s">
        <v>38</v>
      </c>
      <c r="D262" t="s">
        <v>1573</v>
      </c>
      <c r="E262" s="4">
        <v>45855</v>
      </c>
      <c r="F262" s="6">
        <v>0</v>
      </c>
      <c r="G262" s="6" t="s">
        <v>2988</v>
      </c>
      <c r="H262" s="6" t="s">
        <v>2992</v>
      </c>
      <c r="I262" s="6" t="s">
        <v>3000</v>
      </c>
      <c r="J262" s="6" t="s">
        <v>2992</v>
      </c>
      <c r="K262" s="6" t="s">
        <v>2999</v>
      </c>
      <c r="L262" s="6" t="s">
        <v>2992</v>
      </c>
      <c r="M262" s="6" t="s">
        <v>3047</v>
      </c>
      <c r="N262" s="6" t="s">
        <v>3047</v>
      </c>
      <c r="O262" s="6" t="s">
        <v>3047</v>
      </c>
      <c r="P262">
        <f t="shared" si="12"/>
        <v>1</v>
      </c>
      <c r="Q262">
        <f>IF(AND(P262=1,OR(ISNUMBER(MATCH(H262,{"menace","othering","ridicule","blame","victim"},0)),ISNUMBER(MATCH(J262,{"menace","othering","ridicule","blame","victim"},0)),ISNUMBER(MATCH(L262,{"menace","othering","ridicule","blame","victim"},0)))),1,0)</f>
        <v>1</v>
      </c>
      <c r="R262">
        <f>IF(AND(P262=1,Q262=0,OR(ISNUMBER(MATCH(H262,{"wholesome","heroic"},0)),ISNUMBER(MATCH(J262,{"wholesome","heroic"},0)),ISNUMBER(MATCH(L262,{"wholesome","heroic"},0)))),1,0)</f>
        <v>0</v>
      </c>
      <c r="S262">
        <f t="shared" si="13"/>
        <v>0</v>
      </c>
      <c r="T262">
        <f t="shared" si="14"/>
        <v>0</v>
      </c>
    </row>
    <row r="263" spans="1:20" x14ac:dyDescent="0.25">
      <c r="A263">
        <v>263</v>
      </c>
      <c r="B263">
        <v>5520</v>
      </c>
      <c r="C263" t="s">
        <v>38</v>
      </c>
      <c r="D263" t="s">
        <v>1573</v>
      </c>
      <c r="E263" s="4">
        <v>45860</v>
      </c>
      <c r="F263" s="6">
        <v>0</v>
      </c>
      <c r="G263" s="6" t="s">
        <v>2995</v>
      </c>
      <c r="H263" s="6" t="s">
        <v>2994</v>
      </c>
      <c r="I263" s="6"/>
      <c r="J263" s="6"/>
      <c r="K263" s="6"/>
      <c r="L263" s="6"/>
      <c r="M263" s="6" t="s">
        <v>3047</v>
      </c>
      <c r="N263" s="6"/>
      <c r="O263" s="6"/>
      <c r="P263">
        <f t="shared" si="12"/>
        <v>1</v>
      </c>
      <c r="Q263">
        <f>IF(AND(P263=1,OR(ISNUMBER(MATCH(H263,{"menace","othering","ridicule","blame","victim"},0)),ISNUMBER(MATCH(J263,{"menace","othering","ridicule","blame","victim"},0)),ISNUMBER(MATCH(L263,{"menace","othering","ridicule","blame","victim"},0)))),1,0)</f>
        <v>0</v>
      </c>
      <c r="R263">
        <f>IF(AND(P263=1,Q263=0,OR(ISNUMBER(MATCH(H263,{"wholesome","heroic"},0)),ISNUMBER(MATCH(J263,{"wholesome","heroic"},0)),ISNUMBER(MATCH(L263,{"wholesome","heroic"},0)))),1,0)</f>
        <v>1</v>
      </c>
      <c r="S263">
        <f t="shared" si="13"/>
        <v>0</v>
      </c>
      <c r="T263">
        <f t="shared" si="14"/>
        <v>1</v>
      </c>
    </row>
    <row r="264" spans="1:20" x14ac:dyDescent="0.25">
      <c r="A264">
        <v>264</v>
      </c>
      <c r="B264">
        <v>5527</v>
      </c>
      <c r="C264" t="s">
        <v>38</v>
      </c>
      <c r="D264" t="s">
        <v>1573</v>
      </c>
      <c r="E264" s="4">
        <v>45867</v>
      </c>
      <c r="F264" s="6">
        <v>0</v>
      </c>
      <c r="G264" s="6" t="s">
        <v>2995</v>
      </c>
      <c r="H264" s="6" t="s">
        <v>2989</v>
      </c>
      <c r="I264" s="6"/>
      <c r="J264" s="6"/>
      <c r="K264" s="6"/>
      <c r="L264" s="6"/>
      <c r="M264" s="6" t="s">
        <v>3047</v>
      </c>
      <c r="N264" s="6"/>
      <c r="O264" s="6"/>
      <c r="P264">
        <f t="shared" si="12"/>
        <v>1</v>
      </c>
      <c r="Q264">
        <f>IF(AND(P264=1,OR(ISNUMBER(MATCH(H264,{"menace","othering","ridicule","blame","victim"},0)),ISNUMBER(MATCH(J264,{"menace","othering","ridicule","blame","victim"},0)),ISNUMBER(MATCH(L264,{"menace","othering","ridicule","blame","victim"},0)))),1,0)</f>
        <v>0</v>
      </c>
      <c r="R264">
        <f>IF(AND(P264=1,Q264=0,OR(ISNUMBER(MATCH(H264,{"wholesome","heroic"},0)),ISNUMBER(MATCH(J264,{"wholesome","heroic"},0)),ISNUMBER(MATCH(L264,{"wholesome","heroic"},0)))),1,0)</f>
        <v>0</v>
      </c>
      <c r="S264">
        <f t="shared" si="13"/>
        <v>1</v>
      </c>
      <c r="T264">
        <f t="shared" si="14"/>
        <v>1</v>
      </c>
    </row>
    <row r="265" spans="1:20" x14ac:dyDescent="0.25">
      <c r="A265">
        <v>265</v>
      </c>
      <c r="B265">
        <v>5529</v>
      </c>
      <c r="C265" t="s">
        <v>38</v>
      </c>
      <c r="D265" t="s">
        <v>1573</v>
      </c>
      <c r="E265" s="4">
        <v>45872</v>
      </c>
      <c r="F265" s="6">
        <v>0</v>
      </c>
      <c r="G265" s="6" t="s">
        <v>2991</v>
      </c>
      <c r="H265" s="6" t="s">
        <v>2989</v>
      </c>
      <c r="K265" s="6"/>
      <c r="L265" s="6"/>
      <c r="M265" s="6" t="s">
        <v>3047</v>
      </c>
      <c r="N265" s="6"/>
      <c r="O265" s="6"/>
      <c r="P265">
        <f t="shared" si="12"/>
        <v>1</v>
      </c>
      <c r="Q265">
        <f>IF(AND(P265=1,OR(ISNUMBER(MATCH(H265,{"menace","othering","ridicule","blame","victim"},0)),ISNUMBER(MATCH(J265,{"menace","othering","ridicule","blame","victim"},0)),ISNUMBER(MATCH(L265,{"menace","othering","ridicule","blame","victim"},0)))),1,0)</f>
        <v>0</v>
      </c>
      <c r="R265">
        <f>IF(AND(P265=1,Q265=0,OR(ISNUMBER(MATCH(H265,{"wholesome","heroic"},0)),ISNUMBER(MATCH(J265,{"wholesome","heroic"},0)),ISNUMBER(MATCH(L265,{"wholesome","heroic"},0)))),1,0)</f>
        <v>0</v>
      </c>
      <c r="S265">
        <f t="shared" si="13"/>
        <v>1</v>
      </c>
      <c r="T265">
        <f t="shared" si="14"/>
        <v>0</v>
      </c>
    </row>
    <row r="266" spans="1:20" x14ac:dyDescent="0.25">
      <c r="A266">
        <v>266</v>
      </c>
      <c r="B266">
        <v>5531</v>
      </c>
      <c r="C266" t="s">
        <v>38</v>
      </c>
      <c r="D266" t="s">
        <v>1573</v>
      </c>
      <c r="E266" s="4">
        <v>45873</v>
      </c>
      <c r="F266" s="6">
        <v>0</v>
      </c>
      <c r="G266" s="6" t="s">
        <v>2991</v>
      </c>
      <c r="H266" s="6" t="s">
        <v>2990</v>
      </c>
      <c r="I266" s="6" t="s">
        <v>2991</v>
      </c>
      <c r="J266" s="6" t="s">
        <v>2992</v>
      </c>
      <c r="K266" s="6"/>
      <c r="L266" s="6"/>
      <c r="M266" s="6" t="s">
        <v>3047</v>
      </c>
      <c r="N266" s="6" t="s">
        <v>3047</v>
      </c>
      <c r="O266" s="6"/>
      <c r="P266">
        <f t="shared" si="12"/>
        <v>1</v>
      </c>
      <c r="Q266">
        <f>IF(AND(P266=1,OR(ISNUMBER(MATCH(H266,{"menace","othering","ridicule","blame","victim"},0)),ISNUMBER(MATCH(J266,{"menace","othering","ridicule","blame","victim"},0)),ISNUMBER(MATCH(L266,{"menace","othering","ridicule","blame","victim"},0)))),1,0)</f>
        <v>1</v>
      </c>
      <c r="R266">
        <f>IF(AND(P266=1,Q266=0,OR(ISNUMBER(MATCH(H266,{"wholesome","heroic"},0)),ISNUMBER(MATCH(J266,{"wholesome","heroic"},0)),ISNUMBER(MATCH(L266,{"wholesome","heroic"},0)))),1,0)</f>
        <v>0</v>
      </c>
      <c r="S266">
        <f t="shared" si="13"/>
        <v>0</v>
      </c>
      <c r="T266">
        <f t="shared" si="14"/>
        <v>0</v>
      </c>
    </row>
    <row r="267" spans="1:20" x14ac:dyDescent="0.25">
      <c r="A267">
        <v>267</v>
      </c>
      <c r="B267">
        <v>5536</v>
      </c>
      <c r="C267" t="s">
        <v>38</v>
      </c>
      <c r="D267" t="s">
        <v>1573</v>
      </c>
      <c r="E267" s="4">
        <v>45878</v>
      </c>
      <c r="F267" s="6">
        <v>0</v>
      </c>
      <c r="G267" s="6" t="s">
        <v>2991</v>
      </c>
      <c r="H267" s="6" t="s">
        <v>2993</v>
      </c>
      <c r="I267" s="6" t="s">
        <v>2988</v>
      </c>
      <c r="J267" s="6" t="s">
        <v>2987</v>
      </c>
      <c r="K267" s="6"/>
      <c r="L267" s="6"/>
      <c r="M267" s="6" t="s">
        <v>3047</v>
      </c>
      <c r="N267" s="6" t="s">
        <v>3047</v>
      </c>
      <c r="O267" s="6"/>
      <c r="P267">
        <f t="shared" si="12"/>
        <v>1</v>
      </c>
      <c r="Q267">
        <f>IF(AND(P267=1,OR(ISNUMBER(MATCH(H267,{"menace","othering","ridicule","blame","victim"},0)),ISNUMBER(MATCH(J267,{"menace","othering","ridicule","blame","victim"},0)),ISNUMBER(MATCH(L267,{"menace","othering","ridicule","blame","victim"},0)))),1,0)</f>
        <v>1</v>
      </c>
      <c r="R267">
        <f>IF(AND(P267=1,Q267=0,OR(ISNUMBER(MATCH(H267,{"wholesome","heroic"},0)),ISNUMBER(MATCH(J267,{"wholesome","heroic"},0)),ISNUMBER(MATCH(L267,{"wholesome","heroic"},0)))),1,0)</f>
        <v>0</v>
      </c>
      <c r="S267">
        <f t="shared" si="13"/>
        <v>0</v>
      </c>
      <c r="T267">
        <f t="shared" si="14"/>
        <v>0</v>
      </c>
    </row>
    <row r="268" spans="1:20" x14ac:dyDescent="0.25">
      <c r="A268">
        <v>268</v>
      </c>
      <c r="B268">
        <v>5540</v>
      </c>
      <c r="C268" t="s">
        <v>38</v>
      </c>
      <c r="D268" t="s">
        <v>1573</v>
      </c>
      <c r="E268" s="4">
        <v>45880</v>
      </c>
      <c r="F268" s="6">
        <v>0</v>
      </c>
      <c r="G268" s="6" t="s">
        <v>2995</v>
      </c>
      <c r="H268" s="6" t="s">
        <v>2993</v>
      </c>
      <c r="I268" s="6" t="s">
        <v>2991</v>
      </c>
      <c r="J268" s="6" t="s">
        <v>2987</v>
      </c>
      <c r="K268" s="6"/>
      <c r="L268" s="6"/>
      <c r="M268" s="6" t="s">
        <v>3047</v>
      </c>
      <c r="N268" s="6" t="s">
        <v>3047</v>
      </c>
      <c r="O268" s="6"/>
      <c r="P268">
        <f t="shared" si="12"/>
        <v>1</v>
      </c>
      <c r="Q268">
        <f>IF(AND(P268=1,OR(ISNUMBER(MATCH(H268,{"menace","othering","ridicule","blame","victim"},0)),ISNUMBER(MATCH(J268,{"menace","othering","ridicule","blame","victim"},0)),ISNUMBER(MATCH(L268,{"menace","othering","ridicule","blame","victim"},0)))),1,0)</f>
        <v>1</v>
      </c>
      <c r="R268">
        <f>IF(AND(P268=1,Q268=0,OR(ISNUMBER(MATCH(H268,{"wholesome","heroic"},0)),ISNUMBER(MATCH(J268,{"wholesome","heroic"},0)),ISNUMBER(MATCH(L268,{"wholesome","heroic"},0)))),1,0)</f>
        <v>0</v>
      </c>
      <c r="S268">
        <f t="shared" si="13"/>
        <v>0</v>
      </c>
      <c r="T268">
        <f t="shared" si="14"/>
        <v>1</v>
      </c>
    </row>
    <row r="269" spans="1:20" x14ac:dyDescent="0.25">
      <c r="A269">
        <v>269</v>
      </c>
      <c r="B269">
        <v>5546</v>
      </c>
      <c r="C269" t="s">
        <v>38</v>
      </c>
      <c r="D269" t="s">
        <v>1573</v>
      </c>
      <c r="E269" s="4">
        <v>45884</v>
      </c>
      <c r="F269" s="6">
        <v>0</v>
      </c>
      <c r="G269" s="6" t="s">
        <v>2995</v>
      </c>
      <c r="H269" s="6" t="s">
        <v>2994</v>
      </c>
      <c r="I269" s="6"/>
      <c r="J269" s="6"/>
      <c r="K269" s="6"/>
      <c r="L269" s="6"/>
      <c r="M269" s="6" t="s">
        <v>3047</v>
      </c>
      <c r="N269" s="6"/>
      <c r="O269" s="6"/>
      <c r="P269">
        <f t="shared" si="12"/>
        <v>1</v>
      </c>
      <c r="Q269">
        <f>IF(AND(P269=1,OR(ISNUMBER(MATCH(H269,{"menace","othering","ridicule","blame","victim"},0)),ISNUMBER(MATCH(J269,{"menace","othering","ridicule","blame","victim"},0)),ISNUMBER(MATCH(L269,{"menace","othering","ridicule","blame","victim"},0)))),1,0)</f>
        <v>0</v>
      </c>
      <c r="R269">
        <f>IF(AND(P269=1,Q269=0,OR(ISNUMBER(MATCH(H269,{"wholesome","heroic"},0)),ISNUMBER(MATCH(J269,{"wholesome","heroic"},0)),ISNUMBER(MATCH(L269,{"wholesome","heroic"},0)))),1,0)</f>
        <v>1</v>
      </c>
      <c r="S269">
        <f t="shared" si="13"/>
        <v>0</v>
      </c>
      <c r="T269">
        <f t="shared" si="14"/>
        <v>1</v>
      </c>
    </row>
    <row r="270" spans="1:20" x14ac:dyDescent="0.25">
      <c r="A270">
        <v>270</v>
      </c>
      <c r="B270">
        <v>5547</v>
      </c>
      <c r="C270" t="s">
        <v>38</v>
      </c>
      <c r="D270" t="s">
        <v>1573</v>
      </c>
      <c r="E270" s="4">
        <v>45885</v>
      </c>
      <c r="F270" s="6">
        <v>0</v>
      </c>
      <c r="G270" s="6" t="s">
        <v>3000</v>
      </c>
      <c r="H270" s="6" t="s">
        <v>2989</v>
      </c>
      <c r="K270" s="6"/>
      <c r="L270" s="6"/>
      <c r="M270" s="6" t="s">
        <v>3047</v>
      </c>
      <c r="N270" s="6"/>
      <c r="O270" s="6"/>
      <c r="P270">
        <f t="shared" si="12"/>
        <v>1</v>
      </c>
      <c r="Q270">
        <f>IF(AND(P270=1,OR(ISNUMBER(MATCH(H270,{"menace","othering","ridicule","blame","victim"},0)),ISNUMBER(MATCH(J270,{"menace","othering","ridicule","blame","victim"},0)),ISNUMBER(MATCH(L270,{"menace","othering","ridicule","blame","victim"},0)))),1,0)</f>
        <v>0</v>
      </c>
      <c r="R270">
        <f>IF(AND(P270=1,Q270=0,OR(ISNUMBER(MATCH(H270,{"wholesome","heroic"},0)),ISNUMBER(MATCH(J270,{"wholesome","heroic"},0)),ISNUMBER(MATCH(L270,{"wholesome","heroic"},0)))),1,0)</f>
        <v>0</v>
      </c>
      <c r="S270">
        <f t="shared" si="13"/>
        <v>1</v>
      </c>
      <c r="T270">
        <f t="shared" si="14"/>
        <v>0</v>
      </c>
    </row>
    <row r="271" spans="1:20" x14ac:dyDescent="0.25">
      <c r="A271">
        <v>271</v>
      </c>
      <c r="B271">
        <v>5583</v>
      </c>
      <c r="C271" t="s">
        <v>38</v>
      </c>
      <c r="D271" t="s">
        <v>1573</v>
      </c>
      <c r="E271" s="4">
        <v>45906</v>
      </c>
      <c r="F271" s="6">
        <v>0</v>
      </c>
      <c r="G271" s="6" t="s">
        <v>3000</v>
      </c>
      <c r="H271" s="6" t="s">
        <v>2990</v>
      </c>
      <c r="K271" s="6"/>
      <c r="L271" s="6"/>
      <c r="M271" s="6" t="s">
        <v>3047</v>
      </c>
      <c r="N271" s="6"/>
      <c r="O271" s="6"/>
      <c r="P271">
        <f t="shared" si="12"/>
        <v>1</v>
      </c>
      <c r="Q271">
        <f>IF(AND(P271=1,OR(ISNUMBER(MATCH(H271,{"menace","othering","ridicule","blame","victim"},0)),ISNUMBER(MATCH(J271,{"menace","othering","ridicule","blame","victim"},0)),ISNUMBER(MATCH(L271,{"menace","othering","ridicule","blame","victim"},0)))),1,0)</f>
        <v>0</v>
      </c>
      <c r="R271">
        <f>IF(AND(P271=1,Q271=0,OR(ISNUMBER(MATCH(H271,{"wholesome","heroic"},0)),ISNUMBER(MATCH(J271,{"wholesome","heroic"},0)),ISNUMBER(MATCH(L271,{"wholesome","heroic"},0)))),1,0)</f>
        <v>1</v>
      </c>
      <c r="S271">
        <f t="shared" si="13"/>
        <v>0</v>
      </c>
      <c r="T271">
        <f t="shared" si="14"/>
        <v>0</v>
      </c>
    </row>
    <row r="272" spans="1:20" x14ac:dyDescent="0.25">
      <c r="A272">
        <v>272</v>
      </c>
      <c r="B272">
        <v>5640</v>
      </c>
      <c r="C272" t="s">
        <v>38</v>
      </c>
      <c r="D272" t="s">
        <v>1573</v>
      </c>
      <c r="E272" s="4">
        <v>45934</v>
      </c>
      <c r="F272" s="6">
        <v>0</v>
      </c>
      <c r="G272" s="6" t="s">
        <v>2995</v>
      </c>
      <c r="H272" s="6" t="s">
        <v>2990</v>
      </c>
      <c r="I272" s="6" t="s">
        <v>3000</v>
      </c>
      <c r="J272" s="6" t="s">
        <v>2990</v>
      </c>
      <c r="K272" s="6"/>
      <c r="L272" s="6"/>
      <c r="M272" s="6" t="s">
        <v>3047</v>
      </c>
      <c r="N272" s="6" t="s">
        <v>3047</v>
      </c>
      <c r="O272" s="6"/>
      <c r="P272">
        <f t="shared" si="12"/>
        <v>1</v>
      </c>
      <c r="Q272">
        <f>IF(AND(P272=1,OR(ISNUMBER(MATCH(H272,{"menace","othering","ridicule","blame","victim"},0)),ISNUMBER(MATCH(J272,{"menace","othering","ridicule","blame","victim"},0)),ISNUMBER(MATCH(L272,{"menace","othering","ridicule","blame","victim"},0)))),1,0)</f>
        <v>0</v>
      </c>
      <c r="R272">
        <f>IF(AND(P272=1,Q272=0,OR(ISNUMBER(MATCH(H272,{"wholesome","heroic"},0)),ISNUMBER(MATCH(J272,{"wholesome","heroic"},0)),ISNUMBER(MATCH(L272,{"wholesome","heroic"},0)))),1,0)</f>
        <v>1</v>
      </c>
      <c r="S272">
        <f t="shared" si="13"/>
        <v>0</v>
      </c>
      <c r="T272">
        <f t="shared" si="14"/>
        <v>1</v>
      </c>
    </row>
    <row r="273" spans="1:20" x14ac:dyDescent="0.25">
      <c r="A273">
        <v>273</v>
      </c>
      <c r="B273">
        <v>5641</v>
      </c>
      <c r="C273" t="s">
        <v>38</v>
      </c>
      <c r="D273" t="s">
        <v>1573</v>
      </c>
      <c r="E273" s="4">
        <v>45935</v>
      </c>
      <c r="F273" s="6">
        <v>0</v>
      </c>
      <c r="G273" s="6" t="s">
        <v>2991</v>
      </c>
      <c r="H273" s="6" t="s">
        <v>2989</v>
      </c>
      <c r="K273" s="6"/>
      <c r="L273" s="6"/>
      <c r="M273" s="6" t="s">
        <v>3047</v>
      </c>
      <c r="N273" s="6"/>
      <c r="O273" s="6"/>
      <c r="P273">
        <f t="shared" si="12"/>
        <v>1</v>
      </c>
      <c r="Q273">
        <f>IF(AND(P273=1,OR(ISNUMBER(MATCH(H273,{"menace","othering","ridicule","blame","victim"},0)),ISNUMBER(MATCH(J273,{"menace","othering","ridicule","blame","victim"},0)),ISNUMBER(MATCH(L273,{"menace","othering","ridicule","blame","victim"},0)))),1,0)</f>
        <v>0</v>
      </c>
      <c r="R273">
        <f>IF(AND(P273=1,Q273=0,OR(ISNUMBER(MATCH(H273,{"wholesome","heroic"},0)),ISNUMBER(MATCH(J273,{"wholesome","heroic"},0)),ISNUMBER(MATCH(L273,{"wholesome","heroic"},0)))),1,0)</f>
        <v>0</v>
      </c>
      <c r="S273">
        <f t="shared" si="13"/>
        <v>1</v>
      </c>
      <c r="T273">
        <f t="shared" si="14"/>
        <v>0</v>
      </c>
    </row>
    <row r="274" spans="1:20" x14ac:dyDescent="0.25">
      <c r="A274">
        <v>275</v>
      </c>
      <c r="B274">
        <v>5657</v>
      </c>
      <c r="C274" t="s">
        <v>38</v>
      </c>
      <c r="D274" t="s">
        <v>1573</v>
      </c>
      <c r="E274" s="4">
        <v>45946</v>
      </c>
      <c r="F274" s="6">
        <v>0</v>
      </c>
      <c r="G274" s="6" t="s">
        <v>2999</v>
      </c>
      <c r="H274" s="6" t="s">
        <v>2996</v>
      </c>
      <c r="K274" s="6"/>
      <c r="L274" s="6"/>
      <c r="M274" s="6" t="s">
        <v>3047</v>
      </c>
      <c r="N274" s="6"/>
      <c r="O274" s="6"/>
      <c r="P274">
        <f t="shared" si="12"/>
        <v>1</v>
      </c>
      <c r="Q274">
        <f>IF(AND(P274=1,OR(ISNUMBER(MATCH(H274,{"menace","othering","ridicule","blame","victim"},0)),ISNUMBER(MATCH(J274,{"menace","othering","ridicule","blame","victim"},0)),ISNUMBER(MATCH(L274,{"menace","othering","ridicule","blame","victim"},0)))),1,0)</f>
        <v>1</v>
      </c>
      <c r="R274">
        <f>IF(AND(P274=1,Q274=0,OR(ISNUMBER(MATCH(H274,{"wholesome","heroic"},0)),ISNUMBER(MATCH(J274,{"wholesome","heroic"},0)),ISNUMBER(MATCH(L274,{"wholesome","heroic"},0)))),1,0)</f>
        <v>0</v>
      </c>
      <c r="S274">
        <f t="shared" si="13"/>
        <v>0</v>
      </c>
      <c r="T274">
        <f t="shared" si="14"/>
        <v>0</v>
      </c>
    </row>
    <row r="275" spans="1:20" x14ac:dyDescent="0.25">
      <c r="A275">
        <v>276</v>
      </c>
      <c r="B275">
        <v>5669</v>
      </c>
      <c r="C275" t="s">
        <v>38</v>
      </c>
      <c r="D275" t="s">
        <v>1573</v>
      </c>
      <c r="E275" s="4">
        <v>45950</v>
      </c>
      <c r="F275" s="6">
        <v>0</v>
      </c>
      <c r="G275" s="6" t="s">
        <v>2995</v>
      </c>
      <c r="H275" s="6" t="s">
        <v>2989</v>
      </c>
      <c r="I275" s="6" t="s">
        <v>2995</v>
      </c>
      <c r="J275" s="6" t="s">
        <v>2989</v>
      </c>
      <c r="K275" s="6"/>
      <c r="L275" s="6"/>
      <c r="M275" s="6" t="s">
        <v>3047</v>
      </c>
      <c r="N275" s="6" t="s">
        <v>3046</v>
      </c>
      <c r="O275" s="6"/>
      <c r="P275">
        <f t="shared" si="12"/>
        <v>1</v>
      </c>
      <c r="Q275">
        <f>IF(AND(P275=1,OR(ISNUMBER(MATCH(H275,{"menace","othering","ridicule","blame","victim"},0)),ISNUMBER(MATCH(J275,{"menace","othering","ridicule","blame","victim"},0)),ISNUMBER(MATCH(L275,{"menace","othering","ridicule","blame","victim"},0)))),1,0)</f>
        <v>0</v>
      </c>
      <c r="R275">
        <f>IF(AND(P275=1,Q275=0,OR(ISNUMBER(MATCH(H275,{"wholesome","heroic"},0)),ISNUMBER(MATCH(J275,{"wholesome","heroic"},0)),ISNUMBER(MATCH(L275,{"wholesome","heroic"},0)))),1,0)</f>
        <v>0</v>
      </c>
      <c r="S275">
        <f t="shared" si="13"/>
        <v>1</v>
      </c>
      <c r="T275">
        <f t="shared" si="14"/>
        <v>1</v>
      </c>
    </row>
    <row r="276" spans="1:20" x14ac:dyDescent="0.25">
      <c r="A276">
        <v>277</v>
      </c>
      <c r="B276">
        <v>5857</v>
      </c>
      <c r="C276" t="s">
        <v>40</v>
      </c>
      <c r="D276" t="s">
        <v>1755</v>
      </c>
      <c r="E276" s="4">
        <v>45372</v>
      </c>
      <c r="F276" s="6">
        <v>0</v>
      </c>
      <c r="G276" s="6" t="s">
        <v>2988</v>
      </c>
      <c r="H276" s="6" t="s">
        <v>2987</v>
      </c>
      <c r="I276" s="6" t="s">
        <v>2986</v>
      </c>
      <c r="J276" s="6" t="s">
        <v>2989</v>
      </c>
      <c r="K276" s="6" t="s">
        <v>2995</v>
      </c>
      <c r="L276" s="6" t="s">
        <v>2989</v>
      </c>
      <c r="M276" s="6" t="s">
        <v>3047</v>
      </c>
      <c r="N276" s="6" t="s">
        <v>3046</v>
      </c>
      <c r="O276" s="6" t="s">
        <v>3046</v>
      </c>
      <c r="P276">
        <f t="shared" si="12"/>
        <v>1</v>
      </c>
      <c r="Q276">
        <f>IF(AND(P276=1,OR(ISNUMBER(MATCH(H276,{"menace","othering","ridicule","blame","victim"},0)),ISNUMBER(MATCH(J276,{"menace","othering","ridicule","blame","victim"},0)),ISNUMBER(MATCH(L276,{"menace","othering","ridicule","blame","victim"},0)))),1,0)</f>
        <v>1</v>
      </c>
      <c r="R276">
        <f>IF(AND(P276=1,Q276=0,OR(ISNUMBER(MATCH(H276,{"wholesome","heroic"},0)),ISNUMBER(MATCH(J276,{"wholesome","heroic"},0)),ISNUMBER(MATCH(L276,{"wholesome","heroic"},0)))),1,0)</f>
        <v>0</v>
      </c>
      <c r="S276">
        <f t="shared" si="13"/>
        <v>0</v>
      </c>
      <c r="T276">
        <f t="shared" si="14"/>
        <v>1</v>
      </c>
    </row>
    <row r="277" spans="1:20" x14ac:dyDescent="0.25">
      <c r="A277">
        <v>278</v>
      </c>
      <c r="B277">
        <v>5886</v>
      </c>
      <c r="C277" t="s">
        <v>40</v>
      </c>
      <c r="D277" t="s">
        <v>1755</v>
      </c>
      <c r="E277" s="4">
        <v>45381</v>
      </c>
      <c r="F277" s="6">
        <v>0</v>
      </c>
      <c r="G277" s="6" t="s">
        <v>2989</v>
      </c>
      <c r="H277" s="6" t="s">
        <v>2989</v>
      </c>
      <c r="K277" s="6"/>
      <c r="L277" s="6"/>
      <c r="M277" s="6"/>
      <c r="N277" s="6"/>
      <c r="O277" s="6"/>
      <c r="P277">
        <f t="shared" si="12"/>
        <v>1</v>
      </c>
      <c r="Q277">
        <f>IF(AND(P277=1,OR(ISNUMBER(MATCH(H277,{"menace","othering","ridicule","blame","victim"},0)),ISNUMBER(MATCH(J277,{"menace","othering","ridicule","blame","victim"},0)),ISNUMBER(MATCH(L277,{"menace","othering","ridicule","blame","victim"},0)))),1,0)</f>
        <v>0</v>
      </c>
      <c r="R277">
        <f>IF(AND(P277=1,Q277=0,OR(ISNUMBER(MATCH(H277,{"wholesome","heroic"},0)),ISNUMBER(MATCH(J277,{"wholesome","heroic"},0)),ISNUMBER(MATCH(L277,{"wholesome","heroic"},0)))),1,0)</f>
        <v>0</v>
      </c>
      <c r="S277">
        <f t="shared" si="13"/>
        <v>1</v>
      </c>
      <c r="T277">
        <f t="shared" si="14"/>
        <v>0</v>
      </c>
    </row>
    <row r="278" spans="1:20" x14ac:dyDescent="0.25">
      <c r="A278">
        <v>279</v>
      </c>
      <c r="B278">
        <v>5935</v>
      </c>
      <c r="C278" t="s">
        <v>40</v>
      </c>
      <c r="D278" t="s">
        <v>1755</v>
      </c>
      <c r="E278" s="4">
        <v>45398</v>
      </c>
      <c r="F278" s="6">
        <v>0</v>
      </c>
      <c r="G278" s="6" t="s">
        <v>2999</v>
      </c>
      <c r="H278" s="6" t="s">
        <v>2993</v>
      </c>
      <c r="K278" s="6"/>
      <c r="L278" s="6"/>
      <c r="M278" s="6" t="s">
        <v>3047</v>
      </c>
      <c r="N278" s="6"/>
      <c r="O278" s="6"/>
      <c r="P278">
        <f t="shared" si="12"/>
        <v>1</v>
      </c>
      <c r="Q278">
        <f>IF(AND(P278=1,OR(ISNUMBER(MATCH(H278,{"menace","othering","ridicule","blame","victim"},0)),ISNUMBER(MATCH(J278,{"menace","othering","ridicule","blame","victim"},0)),ISNUMBER(MATCH(L278,{"menace","othering","ridicule","blame","victim"},0)))),1,0)</f>
        <v>1</v>
      </c>
      <c r="R278">
        <f>IF(AND(P278=1,Q278=0,OR(ISNUMBER(MATCH(H278,{"wholesome","heroic"},0)),ISNUMBER(MATCH(J278,{"wholesome","heroic"},0)),ISNUMBER(MATCH(L278,{"wholesome","heroic"},0)))),1,0)</f>
        <v>0</v>
      </c>
      <c r="S278">
        <f t="shared" si="13"/>
        <v>0</v>
      </c>
      <c r="T278">
        <f t="shared" si="14"/>
        <v>0</v>
      </c>
    </row>
    <row r="279" spans="1:20" x14ac:dyDescent="0.25">
      <c r="A279">
        <v>280</v>
      </c>
      <c r="B279">
        <v>5987</v>
      </c>
      <c r="C279" t="s">
        <v>40</v>
      </c>
      <c r="D279" t="s">
        <v>1755</v>
      </c>
      <c r="E279" s="4">
        <v>45412</v>
      </c>
      <c r="F279" s="6">
        <v>0</v>
      </c>
      <c r="G279" s="6" t="s">
        <v>2986</v>
      </c>
      <c r="H279" s="6" t="s">
        <v>2989</v>
      </c>
      <c r="K279" s="6"/>
      <c r="L279" s="6"/>
      <c r="M279" s="6" t="s">
        <v>3046</v>
      </c>
      <c r="N279" s="6"/>
      <c r="O279" s="6"/>
      <c r="P279">
        <f t="shared" si="12"/>
        <v>1</v>
      </c>
      <c r="Q279">
        <f>IF(AND(P279=1,OR(ISNUMBER(MATCH(H279,{"menace","othering","ridicule","blame","victim"},0)),ISNUMBER(MATCH(J279,{"menace","othering","ridicule","blame","victim"},0)),ISNUMBER(MATCH(L279,{"menace","othering","ridicule","blame","victim"},0)))),1,0)</f>
        <v>0</v>
      </c>
      <c r="R279">
        <f>IF(AND(P279=1,Q279=0,OR(ISNUMBER(MATCH(H279,{"wholesome","heroic"},0)),ISNUMBER(MATCH(J279,{"wholesome","heroic"},0)),ISNUMBER(MATCH(L279,{"wholesome","heroic"},0)))),1,0)</f>
        <v>0</v>
      </c>
      <c r="S279">
        <f t="shared" si="13"/>
        <v>1</v>
      </c>
      <c r="T279">
        <f t="shared" si="14"/>
        <v>0</v>
      </c>
    </row>
    <row r="280" spans="1:20" x14ac:dyDescent="0.25">
      <c r="A280">
        <v>281</v>
      </c>
      <c r="B280">
        <v>6036</v>
      </c>
      <c r="C280" t="s">
        <v>40</v>
      </c>
      <c r="D280" t="s">
        <v>1755</v>
      </c>
      <c r="E280" s="4">
        <v>45422</v>
      </c>
      <c r="F280" s="6">
        <v>0</v>
      </c>
      <c r="G280" s="6" t="s">
        <v>2998</v>
      </c>
      <c r="H280" s="6" t="s">
        <v>2993</v>
      </c>
      <c r="K280" s="6"/>
      <c r="L280" s="6"/>
      <c r="M280" s="6" t="s">
        <v>3047</v>
      </c>
      <c r="N280" s="6"/>
      <c r="O280" s="6"/>
      <c r="P280">
        <f t="shared" si="12"/>
        <v>1</v>
      </c>
      <c r="Q280">
        <f>IF(AND(P280=1,OR(ISNUMBER(MATCH(H280,{"menace","othering","ridicule","blame","victim"},0)),ISNUMBER(MATCH(J280,{"menace","othering","ridicule","blame","victim"},0)),ISNUMBER(MATCH(L280,{"menace","othering","ridicule","blame","victim"},0)))),1,0)</f>
        <v>1</v>
      </c>
      <c r="R280">
        <f>IF(AND(P280=1,Q280=0,OR(ISNUMBER(MATCH(H280,{"wholesome","heroic"},0)),ISNUMBER(MATCH(J280,{"wholesome","heroic"},0)),ISNUMBER(MATCH(L280,{"wholesome","heroic"},0)))),1,0)</f>
        <v>0</v>
      </c>
      <c r="S280">
        <f t="shared" si="13"/>
        <v>0</v>
      </c>
      <c r="T280">
        <f t="shared" si="14"/>
        <v>0</v>
      </c>
    </row>
    <row r="281" spans="1:20" x14ac:dyDescent="0.25">
      <c r="A281">
        <v>282</v>
      </c>
      <c r="B281">
        <v>6054</v>
      </c>
      <c r="C281" t="s">
        <v>40</v>
      </c>
      <c r="D281" t="s">
        <v>1755</v>
      </c>
      <c r="E281" s="4">
        <v>45433</v>
      </c>
      <c r="F281" s="6">
        <v>0</v>
      </c>
      <c r="G281" s="6" t="s">
        <v>2999</v>
      </c>
      <c r="H281" s="6" t="s">
        <v>2993</v>
      </c>
      <c r="I281" s="6" t="s">
        <v>2986</v>
      </c>
      <c r="J281" s="6" t="s">
        <v>2985</v>
      </c>
      <c r="K281" s="6" t="s">
        <v>2995</v>
      </c>
      <c r="L281" s="6" t="s">
        <v>2989</v>
      </c>
      <c r="M281" s="6" t="s">
        <v>3047</v>
      </c>
      <c r="N281" s="6" t="s">
        <v>3046</v>
      </c>
      <c r="O281" s="6" t="s">
        <v>3046</v>
      </c>
      <c r="P281">
        <f t="shared" si="12"/>
        <v>1</v>
      </c>
      <c r="Q281">
        <f>IF(AND(P281=1,OR(ISNUMBER(MATCH(H281,{"menace","othering","ridicule","blame","victim"},0)),ISNUMBER(MATCH(J281,{"menace","othering","ridicule","blame","victim"},0)),ISNUMBER(MATCH(L281,{"menace","othering","ridicule","blame","victim"},0)))),1,0)</f>
        <v>1</v>
      </c>
      <c r="R281">
        <f>IF(AND(P281=1,Q281=0,OR(ISNUMBER(MATCH(H281,{"wholesome","heroic"},0)),ISNUMBER(MATCH(J281,{"wholesome","heroic"},0)),ISNUMBER(MATCH(L281,{"wholesome","heroic"},0)))),1,0)</f>
        <v>0</v>
      </c>
      <c r="S281">
        <f t="shared" si="13"/>
        <v>0</v>
      </c>
      <c r="T281">
        <f t="shared" si="14"/>
        <v>1</v>
      </c>
    </row>
    <row r="282" spans="1:20" x14ac:dyDescent="0.25">
      <c r="A282">
        <v>283</v>
      </c>
      <c r="B282">
        <v>6096</v>
      </c>
      <c r="C282" t="s">
        <v>40</v>
      </c>
      <c r="D282" t="s">
        <v>1755</v>
      </c>
      <c r="E282" s="4">
        <v>45446</v>
      </c>
      <c r="F282" s="6">
        <v>0</v>
      </c>
      <c r="G282" s="6" t="s">
        <v>3000</v>
      </c>
      <c r="H282" s="6" t="s">
        <v>2993</v>
      </c>
      <c r="K282" s="6"/>
      <c r="L282" s="6"/>
      <c r="M282" s="6" t="s">
        <v>3047</v>
      </c>
      <c r="N282" s="6"/>
      <c r="O282" s="6"/>
      <c r="P282">
        <f t="shared" si="12"/>
        <v>1</v>
      </c>
      <c r="Q282">
        <f>IF(AND(P282=1,OR(ISNUMBER(MATCH(H282,{"menace","othering","ridicule","blame","victim"},0)),ISNUMBER(MATCH(J282,{"menace","othering","ridicule","blame","victim"},0)),ISNUMBER(MATCH(L282,{"menace","othering","ridicule","blame","victim"},0)))),1,0)</f>
        <v>1</v>
      </c>
      <c r="R282">
        <f>IF(AND(P282=1,Q282=0,OR(ISNUMBER(MATCH(H282,{"wholesome","heroic"},0)),ISNUMBER(MATCH(J282,{"wholesome","heroic"},0)),ISNUMBER(MATCH(L282,{"wholesome","heroic"},0)))),1,0)</f>
        <v>0</v>
      </c>
      <c r="S282">
        <f t="shared" si="13"/>
        <v>0</v>
      </c>
      <c r="T282">
        <f t="shared" si="14"/>
        <v>0</v>
      </c>
    </row>
    <row r="283" spans="1:20" x14ac:dyDescent="0.25">
      <c r="A283">
        <v>284</v>
      </c>
      <c r="B283">
        <v>5542</v>
      </c>
      <c r="C283" t="s">
        <v>38</v>
      </c>
      <c r="D283" t="s">
        <v>1573</v>
      </c>
      <c r="E283" s="4">
        <v>45881</v>
      </c>
      <c r="F283" s="6">
        <v>0</v>
      </c>
      <c r="G283" s="6" t="s">
        <v>2986</v>
      </c>
      <c r="H283" s="6" t="s">
        <v>2996</v>
      </c>
      <c r="I283" s="6" t="s">
        <v>2995</v>
      </c>
      <c r="J283" s="6" t="s">
        <v>2989</v>
      </c>
      <c r="K283" s="6"/>
      <c r="L283" s="6"/>
      <c r="M283" s="6" t="s">
        <v>3047</v>
      </c>
      <c r="N283" s="6" t="s">
        <v>3047</v>
      </c>
      <c r="O283" s="6"/>
      <c r="P283">
        <f t="shared" si="12"/>
        <v>1</v>
      </c>
      <c r="Q283">
        <f>IF(AND(P283=1,OR(ISNUMBER(MATCH(H283,{"menace","othering","ridicule","blame","victim"},0)),ISNUMBER(MATCH(J283,{"menace","othering","ridicule","blame","victim"},0)),ISNUMBER(MATCH(L283,{"menace","othering","ridicule","blame","victim"},0)))),1,0)</f>
        <v>1</v>
      </c>
      <c r="R283">
        <f>IF(AND(P283=1,Q283=0,OR(ISNUMBER(MATCH(H283,{"wholesome","heroic"},0)),ISNUMBER(MATCH(J283,{"wholesome","heroic"},0)),ISNUMBER(MATCH(L283,{"wholesome","heroic"},0)))),1,0)</f>
        <v>0</v>
      </c>
      <c r="S283">
        <f t="shared" si="13"/>
        <v>0</v>
      </c>
      <c r="T283">
        <f t="shared" si="14"/>
        <v>1</v>
      </c>
    </row>
    <row r="284" spans="1:20" x14ac:dyDescent="0.25">
      <c r="A284">
        <v>285</v>
      </c>
      <c r="B284">
        <v>4136</v>
      </c>
      <c r="C284" t="s">
        <v>30</v>
      </c>
      <c r="D284" t="s">
        <v>1455</v>
      </c>
      <c r="E284" s="4">
        <v>45329</v>
      </c>
      <c r="F284" s="6">
        <v>0</v>
      </c>
      <c r="G284" s="6" t="s">
        <v>2991</v>
      </c>
      <c r="H284" s="6" t="s">
        <v>2987</v>
      </c>
      <c r="I284" s="6" t="s">
        <v>2991</v>
      </c>
      <c r="J284" s="6" t="s">
        <v>2993</v>
      </c>
      <c r="K284" s="6"/>
      <c r="L284" s="6"/>
      <c r="M284" s="6" t="s">
        <v>3047</v>
      </c>
      <c r="N284" s="6" t="s">
        <v>3046</v>
      </c>
      <c r="O284" s="6"/>
      <c r="P284">
        <f t="shared" si="12"/>
        <v>1</v>
      </c>
      <c r="Q284">
        <f>IF(AND(P284=1,OR(ISNUMBER(MATCH(H284,{"menace","othering","ridicule","blame","victim"},0)),ISNUMBER(MATCH(J284,{"menace","othering","ridicule","blame","victim"},0)),ISNUMBER(MATCH(L284,{"menace","othering","ridicule","blame","victim"},0)))),1,0)</f>
        <v>1</v>
      </c>
      <c r="R284">
        <f>IF(AND(P284=1,Q284=0,OR(ISNUMBER(MATCH(H284,{"wholesome","heroic"},0)),ISNUMBER(MATCH(J284,{"wholesome","heroic"},0)),ISNUMBER(MATCH(L284,{"wholesome","heroic"},0)))),1,0)</f>
        <v>0</v>
      </c>
      <c r="S284">
        <f t="shared" si="13"/>
        <v>0</v>
      </c>
      <c r="T284">
        <f t="shared" si="14"/>
        <v>0</v>
      </c>
    </row>
    <row r="285" spans="1:20" x14ac:dyDescent="0.25">
      <c r="A285">
        <v>286</v>
      </c>
      <c r="B285">
        <v>2297</v>
      </c>
      <c r="C285" t="s">
        <v>22</v>
      </c>
      <c r="D285" t="s">
        <v>1038</v>
      </c>
      <c r="E285" s="4">
        <v>45391</v>
      </c>
      <c r="F285" s="6">
        <v>0</v>
      </c>
      <c r="G285" s="6" t="s">
        <v>2991</v>
      </c>
      <c r="H285" s="6" t="s">
        <v>2990</v>
      </c>
      <c r="I285" s="6" t="s">
        <v>2986</v>
      </c>
      <c r="J285" s="6" t="s">
        <v>2989</v>
      </c>
      <c r="K285" s="6"/>
      <c r="L285" s="6"/>
      <c r="M285" s="6" t="s">
        <v>3047</v>
      </c>
      <c r="N285" s="6" t="s">
        <v>3046</v>
      </c>
      <c r="O285" s="6"/>
      <c r="P285">
        <f t="shared" si="12"/>
        <v>1</v>
      </c>
      <c r="Q285">
        <f>IF(AND(P285=1,OR(ISNUMBER(MATCH(H285,{"menace","othering","ridicule","blame","victim"},0)),ISNUMBER(MATCH(J285,{"menace","othering","ridicule","blame","victim"},0)),ISNUMBER(MATCH(L285,{"menace","othering","ridicule","blame","victim"},0)))),1,0)</f>
        <v>0</v>
      </c>
      <c r="R285">
        <f>IF(AND(P285=1,Q285=0,OR(ISNUMBER(MATCH(H285,{"wholesome","heroic"},0)),ISNUMBER(MATCH(J285,{"wholesome","heroic"},0)),ISNUMBER(MATCH(L285,{"wholesome","heroic"},0)))),1,0)</f>
        <v>1</v>
      </c>
      <c r="S285">
        <f t="shared" si="13"/>
        <v>0</v>
      </c>
      <c r="T285">
        <f t="shared" si="14"/>
        <v>0</v>
      </c>
    </row>
    <row r="286" spans="1:20" x14ac:dyDescent="0.25">
      <c r="A286">
        <v>287</v>
      </c>
      <c r="B286">
        <v>1872</v>
      </c>
      <c r="C286" t="s">
        <v>24</v>
      </c>
      <c r="D286" t="s">
        <v>1038</v>
      </c>
      <c r="E286" s="4">
        <v>45391</v>
      </c>
      <c r="F286" s="6">
        <v>0</v>
      </c>
      <c r="G286" s="6" t="s">
        <v>2988</v>
      </c>
      <c r="H286" s="6" t="s">
        <v>2987</v>
      </c>
      <c r="I286" s="6" t="s">
        <v>2986</v>
      </c>
      <c r="J286" s="6" t="s">
        <v>2985</v>
      </c>
      <c r="K286" s="6" t="s">
        <v>2995</v>
      </c>
      <c r="L286" s="6" t="s">
        <v>2989</v>
      </c>
      <c r="M286" s="6" t="s">
        <v>3047</v>
      </c>
      <c r="N286" s="6" t="s">
        <v>3046</v>
      </c>
      <c r="O286" s="6" t="s">
        <v>3046</v>
      </c>
      <c r="P286">
        <f t="shared" si="12"/>
        <v>1</v>
      </c>
      <c r="Q286">
        <f>IF(AND(P286=1,OR(ISNUMBER(MATCH(H286,{"menace","othering","ridicule","blame","victim"},0)),ISNUMBER(MATCH(J286,{"menace","othering","ridicule","blame","victim"},0)),ISNUMBER(MATCH(L286,{"menace","othering","ridicule","blame","victim"},0)))),1,0)</f>
        <v>1</v>
      </c>
      <c r="R286">
        <f>IF(AND(P286=1,Q286=0,OR(ISNUMBER(MATCH(H286,{"wholesome","heroic"},0)),ISNUMBER(MATCH(J286,{"wholesome","heroic"},0)),ISNUMBER(MATCH(L286,{"wholesome","heroic"},0)))),1,0)</f>
        <v>0</v>
      </c>
      <c r="S286">
        <f t="shared" si="13"/>
        <v>0</v>
      </c>
      <c r="T286">
        <f t="shared" si="14"/>
        <v>1</v>
      </c>
    </row>
    <row r="287" spans="1:20" x14ac:dyDescent="0.25">
      <c r="A287">
        <v>288</v>
      </c>
      <c r="B287">
        <v>2298</v>
      </c>
      <c r="C287" t="s">
        <v>22</v>
      </c>
      <c r="D287" t="s">
        <v>1038</v>
      </c>
      <c r="E287" s="4">
        <v>45391</v>
      </c>
      <c r="F287" s="6">
        <v>0</v>
      </c>
      <c r="G287" s="6" t="s">
        <v>2991</v>
      </c>
      <c r="H287" s="6" t="s">
        <v>2990</v>
      </c>
      <c r="K287" s="6"/>
      <c r="L287" s="6"/>
      <c r="M287" s="6" t="s">
        <v>3047</v>
      </c>
      <c r="N287" s="6"/>
      <c r="O287" s="6"/>
      <c r="P287">
        <f t="shared" si="12"/>
        <v>1</v>
      </c>
      <c r="Q287">
        <f>IF(AND(P287=1,OR(ISNUMBER(MATCH(H287,{"menace","othering","ridicule","blame","victim"},0)),ISNUMBER(MATCH(J287,{"menace","othering","ridicule","blame","victim"},0)),ISNUMBER(MATCH(L287,{"menace","othering","ridicule","blame","victim"},0)))),1,0)</f>
        <v>0</v>
      </c>
      <c r="R287">
        <f>IF(AND(P287=1,Q287=0,OR(ISNUMBER(MATCH(H287,{"wholesome","heroic"},0)),ISNUMBER(MATCH(J287,{"wholesome","heroic"},0)),ISNUMBER(MATCH(L287,{"wholesome","heroic"},0)))),1,0)</f>
        <v>1</v>
      </c>
      <c r="S287">
        <f t="shared" si="13"/>
        <v>0</v>
      </c>
      <c r="T287">
        <f t="shared" si="14"/>
        <v>0</v>
      </c>
    </row>
    <row r="288" spans="1:20" x14ac:dyDescent="0.25">
      <c r="A288">
        <v>289</v>
      </c>
      <c r="B288">
        <v>6037</v>
      </c>
      <c r="C288" t="s">
        <v>40</v>
      </c>
      <c r="D288" t="s">
        <v>1755</v>
      </c>
      <c r="E288" s="4">
        <v>45422</v>
      </c>
      <c r="F288" s="6">
        <v>0</v>
      </c>
      <c r="G288" s="6" t="s">
        <v>2986</v>
      </c>
      <c r="H288" s="6" t="s">
        <v>2989</v>
      </c>
      <c r="K288" s="6"/>
      <c r="L288" s="6"/>
      <c r="M288" s="6" t="s">
        <v>3046</v>
      </c>
      <c r="N288" s="6"/>
      <c r="O288" s="6"/>
      <c r="P288">
        <f t="shared" si="12"/>
        <v>1</v>
      </c>
      <c r="Q288">
        <f>IF(AND(P288=1,OR(ISNUMBER(MATCH(H288,{"menace","othering","ridicule","blame","victim"},0)),ISNUMBER(MATCH(J288,{"menace","othering","ridicule","blame","victim"},0)),ISNUMBER(MATCH(L288,{"menace","othering","ridicule","blame","victim"},0)))),1,0)</f>
        <v>0</v>
      </c>
      <c r="R288">
        <f>IF(AND(P288=1,Q288=0,OR(ISNUMBER(MATCH(H288,{"wholesome","heroic"},0)),ISNUMBER(MATCH(J288,{"wholesome","heroic"},0)),ISNUMBER(MATCH(L288,{"wholesome","heroic"},0)))),1,0)</f>
        <v>0</v>
      </c>
      <c r="S288">
        <f t="shared" si="13"/>
        <v>1</v>
      </c>
      <c r="T288">
        <f t="shared" si="1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73E9-90B9-4178-84EC-4D8EA82CD65A}">
  <sheetPr>
    <tabColor theme="5"/>
  </sheetPr>
  <dimension ref="A1:V487"/>
  <sheetViews>
    <sheetView workbookViewId="0">
      <pane ySplit="1" topLeftCell="A383" activePane="bottomLeft" state="frozen"/>
      <selection pane="bottomLeft" activeCell="J497" sqref="J497"/>
    </sheetView>
  </sheetViews>
  <sheetFormatPr defaultRowHeight="15" x14ac:dyDescent="0.25"/>
  <cols>
    <col min="3" max="3" width="30" customWidth="1"/>
    <col min="5" max="5" width="11" customWidth="1"/>
  </cols>
  <sheetData>
    <row r="1" spans="1:22" x14ac:dyDescent="0.25">
      <c r="A1" s="5" t="s">
        <v>3565</v>
      </c>
      <c r="B1" s="5" t="s">
        <v>63</v>
      </c>
      <c r="C1" s="5" t="s">
        <v>1</v>
      </c>
      <c r="D1" s="5" t="s">
        <v>64</v>
      </c>
      <c r="E1" s="5" t="s">
        <v>65</v>
      </c>
      <c r="F1" s="5" t="s">
        <v>3013</v>
      </c>
      <c r="G1" s="5" t="s">
        <v>3012</v>
      </c>
      <c r="H1" s="5" t="s">
        <v>3011</v>
      </c>
      <c r="I1" s="5" t="s">
        <v>3009</v>
      </c>
      <c r="J1" s="5" t="s">
        <v>3008</v>
      </c>
      <c r="K1" s="5" t="s">
        <v>3814</v>
      </c>
      <c r="L1" s="5" t="s">
        <v>3815</v>
      </c>
      <c r="M1" s="5" t="s">
        <v>3010</v>
      </c>
      <c r="N1" s="5" t="s">
        <v>3007</v>
      </c>
      <c r="O1" s="5" t="s">
        <v>3816</v>
      </c>
      <c r="P1" s="5" t="s">
        <v>3006</v>
      </c>
      <c r="Q1" s="5" t="s">
        <v>3005</v>
      </c>
      <c r="R1" s="5" t="s">
        <v>3004</v>
      </c>
      <c r="S1" s="5" t="s">
        <v>3003</v>
      </c>
      <c r="T1" s="5" t="s">
        <v>3002</v>
      </c>
      <c r="U1" s="5" t="s">
        <v>3564</v>
      </c>
      <c r="V1" s="5" t="s">
        <v>3563</v>
      </c>
    </row>
    <row r="2" spans="1:22" x14ac:dyDescent="0.25">
      <c r="A2" t="s">
        <v>3562</v>
      </c>
      <c r="B2">
        <v>15</v>
      </c>
      <c r="C2" t="s">
        <v>5</v>
      </c>
      <c r="D2" t="s">
        <v>73</v>
      </c>
      <c r="E2" s="4">
        <v>45674</v>
      </c>
      <c r="F2" s="6">
        <v>0</v>
      </c>
      <c r="G2" s="6" t="s">
        <v>3862</v>
      </c>
      <c r="H2" s="6" t="s">
        <v>2989</v>
      </c>
      <c r="I2" s="6"/>
      <c r="J2" s="6"/>
      <c r="K2" s="6"/>
      <c r="L2" s="6"/>
      <c r="M2" s="6" t="s">
        <v>3046</v>
      </c>
      <c r="N2" s="6"/>
      <c r="O2" s="6"/>
      <c r="P2">
        <f t="shared" ref="P2:P65" si="0">IF(F2=0,1,0)</f>
        <v>1</v>
      </c>
      <c r="Q2">
        <f>IF(AND(P2=1,OR(ISNUMBER(MATCH(H2,{"menace","othering","ridicule","blame","victim"},0)),ISNUMBER(MATCH(J2,{"menace","othering","ridicule","blame","victim"},0)),ISNUMBER(MATCH(L2,{"menace","othering","ridicule","blame","victim"},0)))),1,0)</f>
        <v>0</v>
      </c>
      <c r="R2">
        <f>IF(AND(P2=1,Q2=0,OR(ISNUMBER(MATCH(H2,{"wholesome","heroic"},0)),ISNUMBER(MATCH(J2,{"wholesome","heroic"},0)),ISNUMBER(MATCH(L2,{"wholesome","heroic"},0)))),1,0)</f>
        <v>0</v>
      </c>
      <c r="S2">
        <f t="shared" ref="S2:S65" si="1">IF(AND(P2=1,Q2=0,R2=0),1,0)</f>
        <v>1</v>
      </c>
      <c r="T2">
        <f t="shared" ref="T2:T65" si="2">IF(AND(P2=1,OR(G2="own_leader",I2="own_leader",K2="own_leader")),1,0)</f>
        <v>0</v>
      </c>
      <c r="U2" t="s">
        <v>3053</v>
      </c>
    </row>
    <row r="3" spans="1:22" x14ac:dyDescent="0.25">
      <c r="A3" t="s">
        <v>3561</v>
      </c>
      <c r="B3">
        <v>58</v>
      </c>
      <c r="C3" t="s">
        <v>5</v>
      </c>
      <c r="D3" t="s">
        <v>73</v>
      </c>
      <c r="E3" s="4">
        <v>45686</v>
      </c>
      <c r="F3" s="6">
        <v>0</v>
      </c>
      <c r="G3" s="6" t="s">
        <v>2986</v>
      </c>
      <c r="H3" s="6" t="s">
        <v>2989</v>
      </c>
      <c r="I3" s="6" t="s">
        <v>2995</v>
      </c>
      <c r="J3" s="6" t="s">
        <v>2989</v>
      </c>
      <c r="K3" s="6" t="s">
        <v>2991</v>
      </c>
      <c r="L3" s="6" t="s">
        <v>2990</v>
      </c>
      <c r="M3" s="6" t="s">
        <v>3046</v>
      </c>
      <c r="N3" s="6" t="s">
        <v>3046</v>
      </c>
      <c r="O3" s="6" t="s">
        <v>3046</v>
      </c>
      <c r="P3">
        <f t="shared" si="0"/>
        <v>1</v>
      </c>
      <c r="Q3">
        <f>IF(AND(P3=1,OR(ISNUMBER(MATCH(H3,{"menace","othering","ridicule","blame","victim"},0)),ISNUMBER(MATCH(J3,{"menace","othering","ridicule","blame","victim"},0)),ISNUMBER(MATCH(L3,{"menace","othering","ridicule","blame","victim"},0)))),1,0)</f>
        <v>0</v>
      </c>
      <c r="R3">
        <f>IF(AND(P3=1,Q3=0,OR(ISNUMBER(MATCH(H3,{"wholesome","heroic"},0)),ISNUMBER(MATCH(J3,{"wholesome","heroic"},0)),ISNUMBER(MATCH(L3,{"wholesome","heroic"},0)))),1,0)</f>
        <v>1</v>
      </c>
      <c r="S3">
        <f t="shared" si="1"/>
        <v>0</v>
      </c>
      <c r="T3">
        <f t="shared" si="2"/>
        <v>1</v>
      </c>
      <c r="U3" t="s">
        <v>3053</v>
      </c>
    </row>
    <row r="4" spans="1:22" x14ac:dyDescent="0.25">
      <c r="A4" t="s">
        <v>3560</v>
      </c>
      <c r="B4">
        <v>62</v>
      </c>
      <c r="C4" t="s">
        <v>5</v>
      </c>
      <c r="D4" t="s">
        <v>73</v>
      </c>
      <c r="E4" s="4">
        <v>45686</v>
      </c>
      <c r="F4" s="6">
        <v>0</v>
      </c>
      <c r="G4" s="6" t="s">
        <v>3000</v>
      </c>
      <c r="H4" s="6" t="s">
        <v>2989</v>
      </c>
      <c r="I4" s="6"/>
      <c r="J4" s="6"/>
      <c r="K4" s="6"/>
      <c r="L4" s="6"/>
      <c r="M4" s="6" t="s">
        <v>3046</v>
      </c>
      <c r="N4" s="6"/>
      <c r="O4" s="6"/>
      <c r="P4">
        <f t="shared" si="0"/>
        <v>1</v>
      </c>
      <c r="Q4">
        <f>IF(AND(P4=1,OR(ISNUMBER(MATCH(H4,{"menace","othering","ridicule","blame","victim"},0)),ISNUMBER(MATCH(J4,{"menace","othering","ridicule","blame","victim"},0)),ISNUMBER(MATCH(L4,{"menace","othering","ridicule","blame","victim"},0)))),1,0)</f>
        <v>0</v>
      </c>
      <c r="R4">
        <f>IF(AND(P4=1,Q4=0,OR(ISNUMBER(MATCH(H4,{"wholesome","heroic"},0)),ISNUMBER(MATCH(J4,{"wholesome","heroic"},0)),ISNUMBER(MATCH(L4,{"wholesome","heroic"},0)))),1,0)</f>
        <v>0</v>
      </c>
      <c r="S4">
        <f t="shared" si="1"/>
        <v>1</v>
      </c>
      <c r="T4">
        <f t="shared" si="2"/>
        <v>0</v>
      </c>
      <c r="U4" t="s">
        <v>3053</v>
      </c>
    </row>
    <row r="5" spans="1:22" x14ac:dyDescent="0.25">
      <c r="A5" t="s">
        <v>3559</v>
      </c>
      <c r="B5">
        <v>63</v>
      </c>
      <c r="C5" t="s">
        <v>5</v>
      </c>
      <c r="D5" t="s">
        <v>73</v>
      </c>
      <c r="E5" s="4">
        <v>45687</v>
      </c>
      <c r="F5" s="6">
        <v>0</v>
      </c>
      <c r="G5" s="6" t="s">
        <v>2995</v>
      </c>
      <c r="H5" s="6" t="s">
        <v>2989</v>
      </c>
      <c r="I5" s="6" t="s">
        <v>2986</v>
      </c>
      <c r="J5" s="6" t="s">
        <v>2985</v>
      </c>
      <c r="K5" s="6"/>
      <c r="L5" s="6"/>
      <c r="M5" s="6" t="s">
        <v>3046</v>
      </c>
      <c r="N5" s="6" t="s">
        <v>3046</v>
      </c>
      <c r="O5" s="6"/>
      <c r="P5">
        <f t="shared" si="0"/>
        <v>1</v>
      </c>
      <c r="Q5">
        <f>IF(AND(P5=1,OR(ISNUMBER(MATCH(H5,{"menace","othering","ridicule","blame","victim"},0)),ISNUMBER(MATCH(J5,{"menace","othering","ridicule","blame","victim"},0)),ISNUMBER(MATCH(L5,{"menace","othering","ridicule","blame","victim"},0)))),1,0)</f>
        <v>1</v>
      </c>
      <c r="R5">
        <f>IF(AND(P5=1,Q5=0,OR(ISNUMBER(MATCH(H5,{"wholesome","heroic"},0)),ISNUMBER(MATCH(J5,{"wholesome","heroic"},0)),ISNUMBER(MATCH(L5,{"wholesome","heroic"},0)))),1,0)</f>
        <v>0</v>
      </c>
      <c r="S5">
        <f t="shared" si="1"/>
        <v>0</v>
      </c>
      <c r="T5">
        <f t="shared" si="2"/>
        <v>1</v>
      </c>
      <c r="U5" t="s">
        <v>3053</v>
      </c>
    </row>
    <row r="6" spans="1:22" x14ac:dyDescent="0.25">
      <c r="A6" t="s">
        <v>3558</v>
      </c>
      <c r="B6">
        <v>104</v>
      </c>
      <c r="C6" t="s">
        <v>5</v>
      </c>
      <c r="D6" t="s">
        <v>73</v>
      </c>
      <c r="E6" s="4">
        <v>45695</v>
      </c>
      <c r="F6" s="6">
        <v>0</v>
      </c>
      <c r="G6" s="6" t="s">
        <v>2995</v>
      </c>
      <c r="H6" s="6" t="s">
        <v>2989</v>
      </c>
      <c r="I6" s="6" t="s">
        <v>2986</v>
      </c>
      <c r="J6" s="6" t="s">
        <v>2985</v>
      </c>
      <c r="K6" s="6"/>
      <c r="L6" s="6"/>
      <c r="M6" s="6" t="s">
        <v>3046</v>
      </c>
      <c r="N6" s="6" t="s">
        <v>3046</v>
      </c>
      <c r="O6" s="6"/>
      <c r="P6">
        <f t="shared" si="0"/>
        <v>1</v>
      </c>
      <c r="Q6">
        <f>IF(AND(P6=1,OR(ISNUMBER(MATCH(H6,{"menace","othering","ridicule","blame","victim"},0)),ISNUMBER(MATCH(J6,{"menace","othering","ridicule","blame","victim"},0)),ISNUMBER(MATCH(L6,{"menace","othering","ridicule","blame","victim"},0)))),1,0)</f>
        <v>1</v>
      </c>
      <c r="R6">
        <f>IF(AND(P6=1,Q6=0,OR(ISNUMBER(MATCH(H6,{"wholesome","heroic"},0)),ISNUMBER(MATCH(J6,{"wholesome","heroic"},0)),ISNUMBER(MATCH(L6,{"wholesome","heroic"},0)))),1,0)</f>
        <v>0</v>
      </c>
      <c r="S6">
        <f t="shared" si="1"/>
        <v>0</v>
      </c>
      <c r="T6">
        <f t="shared" si="2"/>
        <v>1</v>
      </c>
      <c r="U6" t="s">
        <v>3053</v>
      </c>
    </row>
    <row r="7" spans="1:22" x14ac:dyDescent="0.25">
      <c r="A7" t="s">
        <v>3557</v>
      </c>
      <c r="B7">
        <v>106</v>
      </c>
      <c r="C7" t="s">
        <v>5</v>
      </c>
      <c r="D7" t="s">
        <v>73</v>
      </c>
      <c r="E7" s="4">
        <v>45695</v>
      </c>
      <c r="F7" s="6">
        <v>0</v>
      </c>
      <c r="G7" s="6" t="s">
        <v>2995</v>
      </c>
      <c r="H7" s="6" t="s">
        <v>2989</v>
      </c>
      <c r="I7" s="6"/>
      <c r="J7" s="6"/>
      <c r="K7" s="6"/>
      <c r="L7" s="6"/>
      <c r="M7" s="6" t="s">
        <v>3046</v>
      </c>
      <c r="N7" s="6"/>
      <c r="O7" s="6"/>
      <c r="P7">
        <f t="shared" si="0"/>
        <v>1</v>
      </c>
      <c r="Q7">
        <f>IF(AND(P7=1,OR(ISNUMBER(MATCH(H7,{"menace","othering","ridicule","blame","victim"},0)),ISNUMBER(MATCH(J7,{"menace","othering","ridicule","blame","victim"},0)),ISNUMBER(MATCH(L7,{"menace","othering","ridicule","blame","victim"},0)))),1,0)</f>
        <v>0</v>
      </c>
      <c r="R7">
        <f>IF(AND(P7=1,Q7=0,OR(ISNUMBER(MATCH(H7,{"wholesome","heroic"},0)),ISNUMBER(MATCH(J7,{"wholesome","heroic"},0)),ISNUMBER(MATCH(L7,{"wholesome","heroic"},0)))),1,0)</f>
        <v>0</v>
      </c>
      <c r="S7">
        <f t="shared" si="1"/>
        <v>1</v>
      </c>
      <c r="T7">
        <f t="shared" si="2"/>
        <v>1</v>
      </c>
      <c r="U7" t="s">
        <v>3053</v>
      </c>
    </row>
    <row r="8" spans="1:22" x14ac:dyDescent="0.25">
      <c r="A8" t="s">
        <v>3556</v>
      </c>
      <c r="B8">
        <v>118</v>
      </c>
      <c r="C8" t="s">
        <v>5</v>
      </c>
      <c r="D8" t="s">
        <v>73</v>
      </c>
      <c r="E8" s="4">
        <v>45698</v>
      </c>
      <c r="F8" s="6">
        <v>0</v>
      </c>
      <c r="G8" s="6" t="s">
        <v>2995</v>
      </c>
      <c r="H8" s="6" t="s">
        <v>2989</v>
      </c>
      <c r="I8" s="6"/>
      <c r="J8" s="6"/>
      <c r="K8" s="6"/>
      <c r="L8" s="6"/>
      <c r="M8" s="6" t="s">
        <v>3046</v>
      </c>
      <c r="N8" s="6"/>
      <c r="O8" s="6"/>
      <c r="P8">
        <f t="shared" si="0"/>
        <v>1</v>
      </c>
      <c r="Q8">
        <f>IF(AND(P8=1,OR(ISNUMBER(MATCH(H8,{"menace","othering","ridicule","blame","victim"},0)),ISNUMBER(MATCH(J8,{"menace","othering","ridicule","blame","victim"},0)),ISNUMBER(MATCH(L8,{"menace","othering","ridicule","blame","victim"},0)))),1,0)</f>
        <v>0</v>
      </c>
      <c r="R8">
        <f>IF(AND(P8=1,Q8=0,OR(ISNUMBER(MATCH(H8,{"wholesome","heroic"},0)),ISNUMBER(MATCH(J8,{"wholesome","heroic"},0)),ISNUMBER(MATCH(L8,{"wholesome","heroic"},0)))),1,0)</f>
        <v>0</v>
      </c>
      <c r="S8">
        <f t="shared" si="1"/>
        <v>1</v>
      </c>
      <c r="T8">
        <f t="shared" si="2"/>
        <v>1</v>
      </c>
      <c r="U8" t="s">
        <v>3053</v>
      </c>
    </row>
    <row r="9" spans="1:22" x14ac:dyDescent="0.25">
      <c r="A9" t="s">
        <v>3555</v>
      </c>
      <c r="B9">
        <v>121</v>
      </c>
      <c r="C9" t="s">
        <v>5</v>
      </c>
      <c r="D9" t="s">
        <v>73</v>
      </c>
      <c r="E9" s="4">
        <v>45698</v>
      </c>
      <c r="F9" s="6">
        <v>0</v>
      </c>
      <c r="G9" s="6" t="s">
        <v>3862</v>
      </c>
      <c r="H9" s="6" t="s">
        <v>2989</v>
      </c>
      <c r="I9" s="6"/>
      <c r="J9" s="6"/>
      <c r="K9" s="6"/>
      <c r="L9" s="6"/>
      <c r="M9" s="6" t="s">
        <v>3046</v>
      </c>
      <c r="N9" s="6"/>
      <c r="O9" s="6"/>
      <c r="P9">
        <f t="shared" si="0"/>
        <v>1</v>
      </c>
      <c r="Q9">
        <f>IF(AND(P9=1,OR(ISNUMBER(MATCH(H9,{"menace","othering","ridicule","blame","victim"},0)),ISNUMBER(MATCH(J9,{"menace","othering","ridicule","blame","victim"},0)),ISNUMBER(MATCH(L9,{"menace","othering","ridicule","blame","victim"},0)))),1,0)</f>
        <v>0</v>
      </c>
      <c r="R9">
        <f>IF(AND(P9=1,Q9=0,OR(ISNUMBER(MATCH(H9,{"wholesome","heroic"},0)),ISNUMBER(MATCH(J9,{"wholesome","heroic"},0)),ISNUMBER(MATCH(L9,{"wholesome","heroic"},0)))),1,0)</f>
        <v>0</v>
      </c>
      <c r="S9">
        <f t="shared" si="1"/>
        <v>1</v>
      </c>
      <c r="T9">
        <f t="shared" si="2"/>
        <v>0</v>
      </c>
      <c r="U9" t="s">
        <v>3053</v>
      </c>
    </row>
    <row r="10" spans="1:22" x14ac:dyDescent="0.25">
      <c r="A10" t="s">
        <v>3554</v>
      </c>
      <c r="B10">
        <v>135</v>
      </c>
      <c r="C10" t="s">
        <v>5</v>
      </c>
      <c r="D10" t="s">
        <v>73</v>
      </c>
      <c r="E10" s="4">
        <v>45700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>
        <f t="shared" si="0"/>
        <v>0</v>
      </c>
      <c r="Q10">
        <f>IF(AND(P10=1,OR(ISNUMBER(MATCH(H10,{"menace","othering","ridicule","blame","victim"},0)),ISNUMBER(MATCH(J10,{"menace","othering","ridicule","blame","victim"},0)),ISNUMBER(MATCH(L10,{"menace","othering","ridicule","blame","victim"},0)))),1,0)</f>
        <v>0</v>
      </c>
      <c r="R10">
        <f>IF(AND(P10=1,Q10=0,OR(ISNUMBER(MATCH(H10,{"wholesome","heroic"},0)),ISNUMBER(MATCH(J10,{"wholesome","heroic"},0)),ISNUMBER(MATCH(L10,{"wholesome","heroic"},0)))),1,0)</f>
        <v>0</v>
      </c>
      <c r="S10">
        <f t="shared" si="1"/>
        <v>0</v>
      </c>
      <c r="T10">
        <f t="shared" si="2"/>
        <v>0</v>
      </c>
      <c r="U10" t="s">
        <v>3053</v>
      </c>
    </row>
    <row r="11" spans="1:22" x14ac:dyDescent="0.25">
      <c r="A11" t="s">
        <v>3553</v>
      </c>
      <c r="B11">
        <v>207</v>
      </c>
      <c r="C11" t="s">
        <v>5</v>
      </c>
      <c r="D11" t="s">
        <v>73</v>
      </c>
      <c r="E11" s="4">
        <v>45710</v>
      </c>
      <c r="F11" s="6">
        <v>0</v>
      </c>
      <c r="G11" s="6" t="s">
        <v>2995</v>
      </c>
      <c r="H11" s="6" t="s">
        <v>2989</v>
      </c>
      <c r="I11" s="6" t="s">
        <v>3862</v>
      </c>
      <c r="J11" s="6" t="s">
        <v>2989</v>
      </c>
      <c r="K11" s="6"/>
      <c r="L11" s="6"/>
      <c r="M11" s="6" t="s">
        <v>3046</v>
      </c>
      <c r="N11" s="6" t="s">
        <v>3046</v>
      </c>
      <c r="O11" s="6"/>
      <c r="P11">
        <f t="shared" si="0"/>
        <v>1</v>
      </c>
      <c r="Q11">
        <f>IF(AND(P11=1,OR(ISNUMBER(MATCH(H11,{"menace","othering","ridicule","blame","victim"},0)),ISNUMBER(MATCH(J11,{"menace","othering","ridicule","blame","victim"},0)),ISNUMBER(MATCH(L11,{"menace","othering","ridicule","blame","victim"},0)))),1,0)</f>
        <v>0</v>
      </c>
      <c r="R11">
        <f>IF(AND(P11=1,Q11=0,OR(ISNUMBER(MATCH(H11,{"wholesome","heroic"},0)),ISNUMBER(MATCH(J11,{"wholesome","heroic"},0)),ISNUMBER(MATCH(L11,{"wholesome","heroic"},0)))),1,0)</f>
        <v>0</v>
      </c>
      <c r="S11">
        <f t="shared" si="1"/>
        <v>1</v>
      </c>
      <c r="T11">
        <f t="shared" si="2"/>
        <v>1</v>
      </c>
      <c r="U11" t="s">
        <v>3053</v>
      </c>
    </row>
    <row r="12" spans="1:22" x14ac:dyDescent="0.25">
      <c r="A12" t="s">
        <v>3552</v>
      </c>
      <c r="B12">
        <v>298</v>
      </c>
      <c r="C12" t="s">
        <v>5</v>
      </c>
      <c r="D12" t="s">
        <v>73</v>
      </c>
      <c r="E12" s="4">
        <v>45742</v>
      </c>
      <c r="F12" s="6">
        <v>0</v>
      </c>
      <c r="G12" s="6" t="s">
        <v>3862</v>
      </c>
      <c r="H12" s="6" t="s">
        <v>2989</v>
      </c>
      <c r="I12" s="6"/>
      <c r="J12" s="6"/>
      <c r="K12" s="6"/>
      <c r="L12" s="6"/>
      <c r="M12" s="6" t="s">
        <v>3046</v>
      </c>
      <c r="N12" s="6"/>
      <c r="O12" s="6"/>
      <c r="P12">
        <f t="shared" si="0"/>
        <v>1</v>
      </c>
      <c r="Q12">
        <f>IF(AND(P12=1,OR(ISNUMBER(MATCH(H12,{"menace","othering","ridicule","blame","victim"},0)),ISNUMBER(MATCH(J12,{"menace","othering","ridicule","blame","victim"},0)),ISNUMBER(MATCH(L12,{"menace","othering","ridicule","blame","victim"},0)))),1,0)</f>
        <v>0</v>
      </c>
      <c r="R12">
        <f>IF(AND(P12=1,Q12=0,OR(ISNUMBER(MATCH(H12,{"wholesome","heroic"},0)),ISNUMBER(MATCH(J12,{"wholesome","heroic"},0)),ISNUMBER(MATCH(L12,{"wholesome","heroic"},0)))),1,0)</f>
        <v>0</v>
      </c>
      <c r="S12">
        <f t="shared" si="1"/>
        <v>1</v>
      </c>
      <c r="T12">
        <f t="shared" si="2"/>
        <v>0</v>
      </c>
      <c r="U12" t="s">
        <v>3053</v>
      </c>
    </row>
    <row r="13" spans="1:22" x14ac:dyDescent="0.25">
      <c r="A13" t="s">
        <v>3551</v>
      </c>
      <c r="B13">
        <v>370</v>
      </c>
      <c r="C13" t="s">
        <v>5</v>
      </c>
      <c r="D13" t="s">
        <v>73</v>
      </c>
      <c r="E13" s="4">
        <v>45762</v>
      </c>
      <c r="F13" s="6">
        <v>0</v>
      </c>
      <c r="G13" s="6" t="s">
        <v>2995</v>
      </c>
      <c r="H13" s="6" t="s">
        <v>2989</v>
      </c>
      <c r="I13" s="6"/>
      <c r="J13" s="6"/>
      <c r="K13" s="6"/>
      <c r="L13" s="6"/>
      <c r="M13" s="6" t="s">
        <v>3046</v>
      </c>
      <c r="N13" s="6"/>
      <c r="O13" s="6"/>
      <c r="P13">
        <f t="shared" si="0"/>
        <v>1</v>
      </c>
      <c r="Q13">
        <f>IF(AND(P13=1,OR(ISNUMBER(MATCH(H13,{"menace","othering","ridicule","blame","victim"},0)),ISNUMBER(MATCH(J13,{"menace","othering","ridicule","blame","victim"},0)),ISNUMBER(MATCH(L13,{"menace","othering","ridicule","blame","victim"},0)))),1,0)</f>
        <v>0</v>
      </c>
      <c r="R13">
        <f>IF(AND(P13=1,Q13=0,OR(ISNUMBER(MATCH(H13,{"wholesome","heroic"},0)),ISNUMBER(MATCH(J13,{"wholesome","heroic"},0)),ISNUMBER(MATCH(L13,{"wholesome","heroic"},0)))),1,0)</f>
        <v>0</v>
      </c>
      <c r="S13">
        <f t="shared" si="1"/>
        <v>1</v>
      </c>
      <c r="T13">
        <f t="shared" si="2"/>
        <v>1</v>
      </c>
      <c r="U13" t="s">
        <v>3053</v>
      </c>
    </row>
    <row r="14" spans="1:22" x14ac:dyDescent="0.25">
      <c r="A14" t="s">
        <v>3550</v>
      </c>
      <c r="B14">
        <v>392</v>
      </c>
      <c r="C14" t="s">
        <v>5</v>
      </c>
      <c r="D14" t="s">
        <v>73</v>
      </c>
      <c r="E14" s="4">
        <v>45773</v>
      </c>
      <c r="F14" s="6">
        <v>0</v>
      </c>
      <c r="G14" s="6" t="s">
        <v>3862</v>
      </c>
      <c r="H14" s="6" t="s">
        <v>2989</v>
      </c>
      <c r="I14" s="6"/>
      <c r="J14" s="6"/>
      <c r="K14" s="6"/>
      <c r="L14" s="6"/>
      <c r="M14" s="6" t="s">
        <v>3046</v>
      </c>
      <c r="N14" s="6"/>
      <c r="O14" s="6"/>
      <c r="P14">
        <f t="shared" si="0"/>
        <v>1</v>
      </c>
      <c r="Q14">
        <f>IF(AND(P14=1,OR(ISNUMBER(MATCH(H14,{"menace","othering","ridicule","blame","victim"},0)),ISNUMBER(MATCH(J14,{"menace","othering","ridicule","blame","victim"},0)),ISNUMBER(MATCH(L14,{"menace","othering","ridicule","blame","victim"},0)))),1,0)</f>
        <v>0</v>
      </c>
      <c r="R14">
        <f>IF(AND(P14=1,Q14=0,OR(ISNUMBER(MATCH(H14,{"wholesome","heroic"},0)),ISNUMBER(MATCH(J14,{"wholesome","heroic"},0)),ISNUMBER(MATCH(L14,{"wholesome","heroic"},0)))),1,0)</f>
        <v>0</v>
      </c>
      <c r="S14">
        <f t="shared" si="1"/>
        <v>1</v>
      </c>
      <c r="T14">
        <f t="shared" si="2"/>
        <v>0</v>
      </c>
      <c r="U14" t="s">
        <v>3053</v>
      </c>
    </row>
    <row r="15" spans="1:22" x14ac:dyDescent="0.25">
      <c r="A15" t="s">
        <v>3549</v>
      </c>
      <c r="B15">
        <v>398</v>
      </c>
      <c r="C15" t="s">
        <v>5</v>
      </c>
      <c r="D15" t="s">
        <v>73</v>
      </c>
      <c r="E15" s="4">
        <v>45775</v>
      </c>
      <c r="F15" s="6">
        <v>0</v>
      </c>
      <c r="G15" s="6" t="s">
        <v>3862</v>
      </c>
      <c r="H15" s="6" t="s">
        <v>2989</v>
      </c>
      <c r="I15" s="6"/>
      <c r="J15" s="6"/>
      <c r="K15" s="6"/>
      <c r="L15" s="6"/>
      <c r="M15" s="6" t="s">
        <v>3046</v>
      </c>
      <c r="N15" s="6"/>
      <c r="O15" s="6"/>
      <c r="P15">
        <f t="shared" si="0"/>
        <v>1</v>
      </c>
      <c r="Q15">
        <f>IF(AND(P15=1,OR(ISNUMBER(MATCH(H15,{"menace","othering","ridicule","blame","victim"},0)),ISNUMBER(MATCH(J15,{"menace","othering","ridicule","blame","victim"},0)),ISNUMBER(MATCH(L15,{"menace","othering","ridicule","blame","victim"},0)))),1,0)</f>
        <v>0</v>
      </c>
      <c r="R15">
        <f>IF(AND(P15=1,Q15=0,OR(ISNUMBER(MATCH(H15,{"wholesome","heroic"},0)),ISNUMBER(MATCH(J15,{"wholesome","heroic"},0)),ISNUMBER(MATCH(L15,{"wholesome","heroic"},0)))),1,0)</f>
        <v>0</v>
      </c>
      <c r="S15">
        <f t="shared" si="1"/>
        <v>1</v>
      </c>
      <c r="T15">
        <f t="shared" si="2"/>
        <v>0</v>
      </c>
      <c r="U15" t="s">
        <v>3053</v>
      </c>
    </row>
    <row r="16" spans="1:22" x14ac:dyDescent="0.25">
      <c r="A16" t="s">
        <v>3548</v>
      </c>
      <c r="B16">
        <v>414</v>
      </c>
      <c r="C16" t="s">
        <v>5</v>
      </c>
      <c r="D16" t="s">
        <v>73</v>
      </c>
      <c r="E16" s="4">
        <v>45778</v>
      </c>
      <c r="F16" s="6">
        <v>0</v>
      </c>
      <c r="G16" s="6" t="s">
        <v>3862</v>
      </c>
      <c r="H16" s="6" t="s">
        <v>2989</v>
      </c>
      <c r="I16" s="6"/>
      <c r="J16" s="6"/>
      <c r="K16" s="6"/>
      <c r="L16" s="6"/>
      <c r="M16" s="6" t="s">
        <v>3046</v>
      </c>
      <c r="N16" s="6"/>
      <c r="O16" s="6"/>
      <c r="P16">
        <f t="shared" si="0"/>
        <v>1</v>
      </c>
      <c r="Q16">
        <f>IF(AND(P16=1,OR(ISNUMBER(MATCH(H16,{"menace","othering","ridicule","blame","victim"},0)),ISNUMBER(MATCH(J16,{"menace","othering","ridicule","blame","victim"},0)),ISNUMBER(MATCH(L16,{"menace","othering","ridicule","blame","victim"},0)))),1,0)</f>
        <v>0</v>
      </c>
      <c r="R16">
        <f>IF(AND(P16=1,Q16=0,OR(ISNUMBER(MATCH(H16,{"wholesome","heroic"},0)),ISNUMBER(MATCH(J16,{"wholesome","heroic"},0)),ISNUMBER(MATCH(L16,{"wholesome","heroic"},0)))),1,0)</f>
        <v>0</v>
      </c>
      <c r="S16">
        <f t="shared" si="1"/>
        <v>1</v>
      </c>
      <c r="T16">
        <f t="shared" si="2"/>
        <v>0</v>
      </c>
      <c r="U16" t="s">
        <v>3053</v>
      </c>
    </row>
    <row r="17" spans="1:21" x14ac:dyDescent="0.25">
      <c r="A17" t="s">
        <v>3547</v>
      </c>
      <c r="B17">
        <v>428</v>
      </c>
      <c r="C17" t="s">
        <v>8</v>
      </c>
      <c r="D17" t="s">
        <v>73</v>
      </c>
      <c r="E17" s="4">
        <v>45693</v>
      </c>
      <c r="F17" s="6">
        <v>0</v>
      </c>
      <c r="G17" s="6" t="s">
        <v>2995</v>
      </c>
      <c r="H17" s="6" t="s">
        <v>2989</v>
      </c>
      <c r="I17" s="6"/>
      <c r="J17" s="6"/>
      <c r="K17" s="6"/>
      <c r="L17" s="6"/>
      <c r="M17" s="6" t="s">
        <v>3046</v>
      </c>
      <c r="N17" s="6"/>
      <c r="O17" s="6"/>
      <c r="P17">
        <f t="shared" si="0"/>
        <v>1</v>
      </c>
      <c r="Q17">
        <f>IF(AND(P17=1,OR(ISNUMBER(MATCH(H17,{"menace","othering","ridicule","blame","victim"},0)),ISNUMBER(MATCH(J17,{"menace","othering","ridicule","blame","victim"},0)),ISNUMBER(MATCH(L17,{"menace","othering","ridicule","blame","victim"},0)))),1,0)</f>
        <v>0</v>
      </c>
      <c r="R17">
        <f>IF(AND(P17=1,Q17=0,OR(ISNUMBER(MATCH(H17,{"wholesome","heroic"},0)),ISNUMBER(MATCH(J17,{"wholesome","heroic"},0)),ISNUMBER(MATCH(L17,{"wholesome","heroic"},0)))),1,0)</f>
        <v>0</v>
      </c>
      <c r="S17">
        <f t="shared" si="1"/>
        <v>1</v>
      </c>
      <c r="T17">
        <f t="shared" si="2"/>
        <v>1</v>
      </c>
      <c r="U17" t="s">
        <v>3053</v>
      </c>
    </row>
    <row r="18" spans="1:21" x14ac:dyDescent="0.25">
      <c r="A18" t="s">
        <v>3546</v>
      </c>
      <c r="B18">
        <v>430</v>
      </c>
      <c r="C18" t="s">
        <v>8</v>
      </c>
      <c r="D18" t="s">
        <v>73</v>
      </c>
      <c r="E18" s="4">
        <v>45708</v>
      </c>
      <c r="F18" s="6">
        <v>0</v>
      </c>
      <c r="G18" s="6" t="s">
        <v>2995</v>
      </c>
      <c r="H18" s="6" t="s">
        <v>2989</v>
      </c>
      <c r="I18" s="6"/>
      <c r="J18" s="6"/>
      <c r="K18" s="6"/>
      <c r="L18" s="6"/>
      <c r="M18" s="6" t="s">
        <v>3046</v>
      </c>
      <c r="N18" s="6"/>
      <c r="O18" s="6"/>
      <c r="P18">
        <f t="shared" si="0"/>
        <v>1</v>
      </c>
      <c r="Q18">
        <f>IF(AND(P18=1,OR(ISNUMBER(MATCH(H18,{"menace","othering","ridicule","blame","victim"},0)),ISNUMBER(MATCH(J18,{"menace","othering","ridicule","blame","victim"},0)),ISNUMBER(MATCH(L18,{"menace","othering","ridicule","blame","victim"},0)))),1,0)</f>
        <v>0</v>
      </c>
      <c r="R18">
        <f>IF(AND(P18=1,Q18=0,OR(ISNUMBER(MATCH(H18,{"wholesome","heroic"},0)),ISNUMBER(MATCH(J18,{"wholesome","heroic"},0)),ISNUMBER(MATCH(L18,{"wholesome","heroic"},0)))),1,0)</f>
        <v>0</v>
      </c>
      <c r="S18">
        <f t="shared" si="1"/>
        <v>1</v>
      </c>
      <c r="T18">
        <f t="shared" si="2"/>
        <v>1</v>
      </c>
      <c r="U18" t="s">
        <v>3053</v>
      </c>
    </row>
    <row r="19" spans="1:21" x14ac:dyDescent="0.25">
      <c r="A19" t="s">
        <v>3545</v>
      </c>
      <c r="B19">
        <v>431</v>
      </c>
      <c r="C19" t="s">
        <v>8</v>
      </c>
      <c r="D19" t="s">
        <v>73</v>
      </c>
      <c r="E19" s="4">
        <v>45708</v>
      </c>
      <c r="F19" s="6">
        <v>0</v>
      </c>
      <c r="G19" s="6" t="s">
        <v>2998</v>
      </c>
      <c r="H19" s="6" t="s">
        <v>2994</v>
      </c>
      <c r="I19" s="6"/>
      <c r="J19" s="6"/>
      <c r="K19" s="6"/>
      <c r="L19" s="6"/>
      <c r="M19" s="6" t="s">
        <v>3046</v>
      </c>
      <c r="N19" s="6"/>
      <c r="O19" s="6"/>
      <c r="P19">
        <f t="shared" si="0"/>
        <v>1</v>
      </c>
      <c r="Q19">
        <f>IF(AND(P19=1,OR(ISNUMBER(MATCH(H19,{"menace","othering","ridicule","blame","victim"},0)),ISNUMBER(MATCH(J19,{"menace","othering","ridicule","blame","victim"},0)),ISNUMBER(MATCH(L19,{"menace","othering","ridicule","blame","victim"},0)))),1,0)</f>
        <v>0</v>
      </c>
      <c r="R19">
        <f>IF(AND(P19=1,Q19=0,OR(ISNUMBER(MATCH(H19,{"wholesome","heroic"},0)),ISNUMBER(MATCH(J19,{"wholesome","heroic"},0)),ISNUMBER(MATCH(L19,{"wholesome","heroic"},0)))),1,0)</f>
        <v>1</v>
      </c>
      <c r="S19">
        <f t="shared" si="1"/>
        <v>0</v>
      </c>
      <c r="T19">
        <f t="shared" si="2"/>
        <v>0</v>
      </c>
      <c r="U19" t="s">
        <v>3053</v>
      </c>
    </row>
    <row r="20" spans="1:21" x14ac:dyDescent="0.25">
      <c r="A20" t="s">
        <v>3544</v>
      </c>
      <c r="B20">
        <v>432</v>
      </c>
      <c r="C20" t="s">
        <v>8</v>
      </c>
      <c r="D20" t="s">
        <v>73</v>
      </c>
      <c r="E20" s="4">
        <v>45716</v>
      </c>
      <c r="F20" s="6">
        <v>0</v>
      </c>
      <c r="G20" s="6" t="s">
        <v>2986</v>
      </c>
      <c r="H20" s="6" t="s">
        <v>2989</v>
      </c>
      <c r="I20" s="6"/>
      <c r="J20" s="6"/>
      <c r="K20" s="6"/>
      <c r="L20" s="6"/>
      <c r="M20" s="6" t="s">
        <v>3046</v>
      </c>
      <c r="N20" s="6"/>
      <c r="O20" s="6"/>
      <c r="P20">
        <f t="shared" si="0"/>
        <v>1</v>
      </c>
      <c r="Q20">
        <f>IF(AND(P20=1,OR(ISNUMBER(MATCH(H20,{"menace","othering","ridicule","blame","victim"},0)),ISNUMBER(MATCH(J20,{"menace","othering","ridicule","blame","victim"},0)),ISNUMBER(MATCH(L20,{"menace","othering","ridicule","blame","victim"},0)))),1,0)</f>
        <v>0</v>
      </c>
      <c r="R20">
        <f>IF(AND(P20=1,Q20=0,OR(ISNUMBER(MATCH(H20,{"wholesome","heroic"},0)),ISNUMBER(MATCH(J20,{"wholesome","heroic"},0)),ISNUMBER(MATCH(L20,{"wholesome","heroic"},0)))),1,0)</f>
        <v>0</v>
      </c>
      <c r="S20">
        <f t="shared" si="1"/>
        <v>1</v>
      </c>
      <c r="T20">
        <f t="shared" si="2"/>
        <v>0</v>
      </c>
      <c r="U20" t="s">
        <v>3053</v>
      </c>
    </row>
    <row r="21" spans="1:21" x14ac:dyDescent="0.25">
      <c r="A21" t="s">
        <v>3543</v>
      </c>
      <c r="B21">
        <v>433</v>
      </c>
      <c r="C21" t="s">
        <v>8</v>
      </c>
      <c r="D21" t="s">
        <v>73</v>
      </c>
      <c r="E21" s="4">
        <v>45719</v>
      </c>
      <c r="F21" s="6">
        <v>0</v>
      </c>
      <c r="G21" s="6" t="s">
        <v>2998</v>
      </c>
      <c r="H21" s="6" t="s">
        <v>2989</v>
      </c>
      <c r="I21" s="6"/>
      <c r="J21" s="6"/>
      <c r="K21" s="6"/>
      <c r="L21" s="6"/>
      <c r="M21" s="6" t="s">
        <v>3046</v>
      </c>
      <c r="N21" s="6"/>
      <c r="O21" s="6"/>
      <c r="P21">
        <f t="shared" si="0"/>
        <v>1</v>
      </c>
      <c r="Q21">
        <f>IF(AND(P21=1,OR(ISNUMBER(MATCH(H21,{"menace","othering","ridicule","blame","victim"},0)),ISNUMBER(MATCH(J21,{"menace","othering","ridicule","blame","victim"},0)),ISNUMBER(MATCH(L21,{"menace","othering","ridicule","blame","victim"},0)))),1,0)</f>
        <v>0</v>
      </c>
      <c r="R21">
        <f>IF(AND(P21=1,Q21=0,OR(ISNUMBER(MATCH(H21,{"wholesome","heroic"},0)),ISNUMBER(MATCH(J21,{"wholesome","heroic"},0)),ISNUMBER(MATCH(L21,{"wholesome","heroic"},0)))),1,0)</f>
        <v>0</v>
      </c>
      <c r="S21">
        <f t="shared" si="1"/>
        <v>1</v>
      </c>
      <c r="T21">
        <f t="shared" si="2"/>
        <v>0</v>
      </c>
      <c r="U21" t="s">
        <v>3053</v>
      </c>
    </row>
    <row r="22" spans="1:21" x14ac:dyDescent="0.25">
      <c r="A22" t="s">
        <v>3542</v>
      </c>
      <c r="B22">
        <v>434</v>
      </c>
      <c r="C22" t="s">
        <v>8</v>
      </c>
      <c r="D22" t="s">
        <v>73</v>
      </c>
      <c r="E22" s="4">
        <v>45720</v>
      </c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>
        <f t="shared" si="0"/>
        <v>0</v>
      </c>
      <c r="Q22">
        <f>IF(AND(P22=1,OR(ISNUMBER(MATCH(H22,{"menace","othering","ridicule","blame","victim"},0)),ISNUMBER(MATCH(J22,{"menace","othering","ridicule","blame","victim"},0)),ISNUMBER(MATCH(L22,{"menace","othering","ridicule","blame","victim"},0)))),1,0)</f>
        <v>0</v>
      </c>
      <c r="R22">
        <f>IF(AND(P22=1,Q22=0,OR(ISNUMBER(MATCH(H22,{"wholesome","heroic"},0)),ISNUMBER(MATCH(J22,{"wholesome","heroic"},0)),ISNUMBER(MATCH(L22,{"wholesome","heroic"},0)))),1,0)</f>
        <v>0</v>
      </c>
      <c r="S22">
        <f t="shared" si="1"/>
        <v>0</v>
      </c>
      <c r="T22">
        <f t="shared" si="2"/>
        <v>0</v>
      </c>
      <c r="U22" t="s">
        <v>3053</v>
      </c>
    </row>
    <row r="23" spans="1:21" x14ac:dyDescent="0.25">
      <c r="A23" t="s">
        <v>3541</v>
      </c>
      <c r="B23">
        <v>437</v>
      </c>
      <c r="C23" t="s">
        <v>8</v>
      </c>
      <c r="D23" t="s">
        <v>73</v>
      </c>
      <c r="E23" s="4">
        <v>45759</v>
      </c>
      <c r="F23" s="6">
        <v>0</v>
      </c>
      <c r="G23" s="6" t="s">
        <v>2995</v>
      </c>
      <c r="H23" s="6" t="s">
        <v>2990</v>
      </c>
      <c r="I23" s="6" t="s">
        <v>2998</v>
      </c>
      <c r="J23" s="6" t="s">
        <v>2989</v>
      </c>
      <c r="K23" s="6"/>
      <c r="L23" s="6"/>
      <c r="M23" s="6" t="s">
        <v>3046</v>
      </c>
      <c r="N23" s="6" t="s">
        <v>3046</v>
      </c>
      <c r="O23" s="6"/>
      <c r="P23">
        <f t="shared" si="0"/>
        <v>1</v>
      </c>
      <c r="Q23">
        <f>IF(AND(P23=1,OR(ISNUMBER(MATCH(H23,{"menace","othering","ridicule","blame","victim"},0)),ISNUMBER(MATCH(J23,{"menace","othering","ridicule","blame","victim"},0)),ISNUMBER(MATCH(L23,{"menace","othering","ridicule","blame","victim"},0)))),1,0)</f>
        <v>0</v>
      </c>
      <c r="R23">
        <f>IF(AND(P23=1,Q23=0,OR(ISNUMBER(MATCH(H23,{"wholesome","heroic"},0)),ISNUMBER(MATCH(J23,{"wholesome","heroic"},0)),ISNUMBER(MATCH(L23,{"wholesome","heroic"},0)))),1,0)</f>
        <v>1</v>
      </c>
      <c r="S23">
        <f t="shared" si="1"/>
        <v>0</v>
      </c>
      <c r="T23">
        <f t="shared" si="2"/>
        <v>1</v>
      </c>
      <c r="U23" t="s">
        <v>3053</v>
      </c>
    </row>
    <row r="24" spans="1:21" x14ac:dyDescent="0.25">
      <c r="A24" t="s">
        <v>3540</v>
      </c>
      <c r="B24">
        <v>438</v>
      </c>
      <c r="C24" t="s">
        <v>8</v>
      </c>
      <c r="D24" t="s">
        <v>73</v>
      </c>
      <c r="E24" s="4">
        <v>45761</v>
      </c>
      <c r="F24" s="6">
        <v>0</v>
      </c>
      <c r="G24" s="6" t="s">
        <v>2995</v>
      </c>
      <c r="H24" s="6" t="s">
        <v>2990</v>
      </c>
      <c r="I24" s="6"/>
      <c r="J24" s="6"/>
      <c r="K24" s="6"/>
      <c r="L24" s="6"/>
      <c r="M24" s="6" t="s">
        <v>3046</v>
      </c>
      <c r="N24" s="6"/>
      <c r="O24" s="6"/>
      <c r="P24">
        <f t="shared" si="0"/>
        <v>1</v>
      </c>
      <c r="Q24">
        <f>IF(AND(P24=1,OR(ISNUMBER(MATCH(H24,{"menace","othering","ridicule","blame","victim"},0)),ISNUMBER(MATCH(J24,{"menace","othering","ridicule","blame","victim"},0)),ISNUMBER(MATCH(L24,{"menace","othering","ridicule","blame","victim"},0)))),1,0)</f>
        <v>0</v>
      </c>
      <c r="R24">
        <f>IF(AND(P24=1,Q24=0,OR(ISNUMBER(MATCH(H24,{"wholesome","heroic"},0)),ISNUMBER(MATCH(J24,{"wholesome","heroic"},0)),ISNUMBER(MATCH(L24,{"wholesome","heroic"},0)))),1,0)</f>
        <v>1</v>
      </c>
      <c r="S24">
        <f t="shared" si="1"/>
        <v>0</v>
      </c>
      <c r="T24">
        <f t="shared" si="2"/>
        <v>1</v>
      </c>
      <c r="U24" t="s">
        <v>3053</v>
      </c>
    </row>
    <row r="25" spans="1:21" x14ac:dyDescent="0.25">
      <c r="A25" t="s">
        <v>3539</v>
      </c>
      <c r="B25">
        <v>441</v>
      </c>
      <c r="C25" t="s">
        <v>8</v>
      </c>
      <c r="D25" t="s">
        <v>73</v>
      </c>
      <c r="E25" s="4">
        <v>45767</v>
      </c>
      <c r="F25" s="6">
        <v>0</v>
      </c>
      <c r="G25" s="6" t="s">
        <v>2989</v>
      </c>
      <c r="H25" s="6" t="s">
        <v>2989</v>
      </c>
      <c r="I25" s="6"/>
      <c r="J25" s="6"/>
      <c r="K25" s="6"/>
      <c r="L25" s="6"/>
      <c r="M25" s="6"/>
      <c r="N25" s="6"/>
      <c r="O25" s="6"/>
      <c r="P25">
        <f t="shared" si="0"/>
        <v>1</v>
      </c>
      <c r="Q25">
        <f>IF(AND(P25=1,OR(ISNUMBER(MATCH(H25,{"menace","othering","ridicule","blame","victim"},0)),ISNUMBER(MATCH(J25,{"menace","othering","ridicule","blame","victim"},0)),ISNUMBER(MATCH(L25,{"menace","othering","ridicule","blame","victim"},0)))),1,0)</f>
        <v>0</v>
      </c>
      <c r="R25">
        <f>IF(AND(P25=1,Q25=0,OR(ISNUMBER(MATCH(H25,{"wholesome","heroic"},0)),ISNUMBER(MATCH(J25,{"wholesome","heroic"},0)),ISNUMBER(MATCH(L25,{"wholesome","heroic"},0)))),1,0)</f>
        <v>0</v>
      </c>
      <c r="S25">
        <f t="shared" si="1"/>
        <v>1</v>
      </c>
      <c r="T25">
        <f t="shared" si="2"/>
        <v>0</v>
      </c>
      <c r="U25" t="s">
        <v>3053</v>
      </c>
    </row>
    <row r="26" spans="1:21" x14ac:dyDescent="0.25">
      <c r="A26" t="s">
        <v>3538</v>
      </c>
      <c r="B26">
        <v>442</v>
      </c>
      <c r="C26" t="s">
        <v>8</v>
      </c>
      <c r="D26" t="s">
        <v>73</v>
      </c>
      <c r="E26" s="4">
        <v>45772</v>
      </c>
      <c r="F26" s="6">
        <v>0</v>
      </c>
      <c r="G26" s="6" t="s">
        <v>2989</v>
      </c>
      <c r="H26" s="6" t="s">
        <v>2989</v>
      </c>
      <c r="I26" s="6"/>
      <c r="J26" s="6"/>
      <c r="K26" s="6"/>
      <c r="L26" s="6"/>
      <c r="M26" s="6"/>
      <c r="N26" s="6"/>
      <c r="O26" s="6"/>
      <c r="P26">
        <f t="shared" si="0"/>
        <v>1</v>
      </c>
      <c r="Q26">
        <f>IF(AND(P26=1,OR(ISNUMBER(MATCH(H26,{"menace","othering","ridicule","blame","victim"},0)),ISNUMBER(MATCH(J26,{"menace","othering","ridicule","blame","victim"},0)),ISNUMBER(MATCH(L26,{"menace","othering","ridicule","blame","victim"},0)))),1,0)</f>
        <v>0</v>
      </c>
      <c r="R26">
        <f>IF(AND(P26=1,Q26=0,OR(ISNUMBER(MATCH(H26,{"wholesome","heroic"},0)),ISNUMBER(MATCH(J26,{"wholesome","heroic"},0)),ISNUMBER(MATCH(L26,{"wholesome","heroic"},0)))),1,0)</f>
        <v>0</v>
      </c>
      <c r="S26">
        <f t="shared" si="1"/>
        <v>1</v>
      </c>
      <c r="T26">
        <f t="shared" si="2"/>
        <v>0</v>
      </c>
      <c r="U26" t="s">
        <v>3053</v>
      </c>
    </row>
    <row r="27" spans="1:21" x14ac:dyDescent="0.25">
      <c r="A27" t="s">
        <v>3537</v>
      </c>
      <c r="B27">
        <v>444</v>
      </c>
      <c r="C27" t="s">
        <v>8</v>
      </c>
      <c r="D27" t="s">
        <v>73</v>
      </c>
      <c r="E27" s="4">
        <v>45774</v>
      </c>
      <c r="F27" s="6">
        <v>0</v>
      </c>
      <c r="G27" s="6" t="s">
        <v>3000</v>
      </c>
      <c r="H27" s="6" t="s">
        <v>2989</v>
      </c>
      <c r="I27" s="6"/>
      <c r="J27" s="6"/>
      <c r="K27" s="6"/>
      <c r="L27" s="6"/>
      <c r="M27" s="6" t="s">
        <v>3046</v>
      </c>
      <c r="N27" s="6"/>
      <c r="O27" s="6"/>
      <c r="P27">
        <f t="shared" si="0"/>
        <v>1</v>
      </c>
      <c r="Q27">
        <f>IF(AND(P27=1,OR(ISNUMBER(MATCH(H27,{"menace","othering","ridicule","blame","victim"},0)),ISNUMBER(MATCH(J27,{"menace","othering","ridicule","blame","victim"},0)),ISNUMBER(MATCH(L27,{"menace","othering","ridicule","blame","victim"},0)))),1,0)</f>
        <v>0</v>
      </c>
      <c r="R27">
        <f>IF(AND(P27=1,Q27=0,OR(ISNUMBER(MATCH(H27,{"wholesome","heroic"},0)),ISNUMBER(MATCH(J27,{"wholesome","heroic"},0)),ISNUMBER(MATCH(L27,{"wholesome","heroic"},0)))),1,0)</f>
        <v>0</v>
      </c>
      <c r="S27">
        <f t="shared" si="1"/>
        <v>1</v>
      </c>
      <c r="T27">
        <f t="shared" si="2"/>
        <v>0</v>
      </c>
      <c r="U27" t="s">
        <v>3053</v>
      </c>
    </row>
    <row r="28" spans="1:21" x14ac:dyDescent="0.25">
      <c r="A28" t="s">
        <v>3536</v>
      </c>
      <c r="B28">
        <v>445</v>
      </c>
      <c r="C28" t="s">
        <v>8</v>
      </c>
      <c r="D28" t="s">
        <v>73</v>
      </c>
      <c r="E28" s="4">
        <v>45775</v>
      </c>
      <c r="F28" s="6">
        <v>0</v>
      </c>
      <c r="G28" s="6" t="s">
        <v>2991</v>
      </c>
      <c r="H28" s="6" t="s">
        <v>2989</v>
      </c>
      <c r="I28" s="6"/>
      <c r="J28" s="6"/>
      <c r="K28" s="6"/>
      <c r="L28" s="6"/>
      <c r="M28" s="6" t="s">
        <v>3046</v>
      </c>
      <c r="N28" s="6"/>
      <c r="O28" s="6"/>
      <c r="P28">
        <f t="shared" si="0"/>
        <v>1</v>
      </c>
      <c r="Q28">
        <f>IF(AND(P28=1,OR(ISNUMBER(MATCH(H28,{"menace","othering","ridicule","blame","victim"},0)),ISNUMBER(MATCH(J28,{"menace","othering","ridicule","blame","victim"},0)),ISNUMBER(MATCH(L28,{"menace","othering","ridicule","blame","victim"},0)))),1,0)</f>
        <v>0</v>
      </c>
      <c r="R28">
        <f>IF(AND(P28=1,Q28=0,OR(ISNUMBER(MATCH(H28,{"wholesome","heroic"},0)),ISNUMBER(MATCH(J28,{"wholesome","heroic"},0)),ISNUMBER(MATCH(L28,{"wholesome","heroic"},0)))),1,0)</f>
        <v>0</v>
      </c>
      <c r="S28">
        <f t="shared" si="1"/>
        <v>1</v>
      </c>
      <c r="T28">
        <f t="shared" si="2"/>
        <v>0</v>
      </c>
      <c r="U28" t="s">
        <v>3053</v>
      </c>
    </row>
    <row r="29" spans="1:21" x14ac:dyDescent="0.25">
      <c r="A29" t="s">
        <v>3535</v>
      </c>
      <c r="B29">
        <v>446</v>
      </c>
      <c r="C29" t="s">
        <v>8</v>
      </c>
      <c r="D29" t="s">
        <v>73</v>
      </c>
      <c r="E29" s="4">
        <v>45778</v>
      </c>
      <c r="F29" s="6">
        <v>0</v>
      </c>
      <c r="G29" s="6" t="s">
        <v>2995</v>
      </c>
      <c r="H29" s="6" t="s">
        <v>2990</v>
      </c>
      <c r="I29" s="6"/>
      <c r="J29" s="6"/>
      <c r="K29" s="6"/>
      <c r="L29" s="6"/>
      <c r="M29" s="6" t="s">
        <v>3046</v>
      </c>
      <c r="N29" s="6"/>
      <c r="O29" s="6"/>
      <c r="P29">
        <f t="shared" si="0"/>
        <v>1</v>
      </c>
      <c r="Q29">
        <f>IF(AND(P29=1,OR(ISNUMBER(MATCH(H29,{"menace","othering","ridicule","blame","victim"},0)),ISNUMBER(MATCH(J29,{"menace","othering","ridicule","blame","victim"},0)),ISNUMBER(MATCH(L29,{"menace","othering","ridicule","blame","victim"},0)))),1,0)</f>
        <v>0</v>
      </c>
      <c r="R29">
        <f>IF(AND(P29=1,Q29=0,OR(ISNUMBER(MATCH(H29,{"wholesome","heroic"},0)),ISNUMBER(MATCH(J29,{"wholesome","heroic"},0)),ISNUMBER(MATCH(L29,{"wholesome","heroic"},0)))),1,0)</f>
        <v>1</v>
      </c>
      <c r="S29">
        <f t="shared" si="1"/>
        <v>0</v>
      </c>
      <c r="T29">
        <f t="shared" si="2"/>
        <v>1</v>
      </c>
      <c r="U29" t="s">
        <v>3053</v>
      </c>
    </row>
    <row r="30" spans="1:21" x14ac:dyDescent="0.25">
      <c r="A30" t="s">
        <v>3534</v>
      </c>
      <c r="B30">
        <v>447</v>
      </c>
      <c r="C30" t="s">
        <v>8</v>
      </c>
      <c r="D30" t="s">
        <v>73</v>
      </c>
      <c r="E30" s="4">
        <v>45779</v>
      </c>
      <c r="F30" s="6">
        <v>0</v>
      </c>
      <c r="G30" s="6" t="s">
        <v>2995</v>
      </c>
      <c r="H30" s="6" t="s">
        <v>2989</v>
      </c>
      <c r="I30" s="6"/>
      <c r="J30" s="6"/>
      <c r="K30" s="6"/>
      <c r="L30" s="6"/>
      <c r="M30" s="6" t="s">
        <v>3046</v>
      </c>
      <c r="N30" s="6"/>
      <c r="O30" s="6"/>
      <c r="P30">
        <f t="shared" si="0"/>
        <v>1</v>
      </c>
      <c r="Q30">
        <f>IF(AND(P30=1,OR(ISNUMBER(MATCH(H30,{"menace","othering","ridicule","blame","victim"},0)),ISNUMBER(MATCH(J30,{"menace","othering","ridicule","blame","victim"},0)),ISNUMBER(MATCH(L30,{"menace","othering","ridicule","blame","victim"},0)))),1,0)</f>
        <v>0</v>
      </c>
      <c r="R30">
        <f>IF(AND(P30=1,Q30=0,OR(ISNUMBER(MATCH(H30,{"wholesome","heroic"},0)),ISNUMBER(MATCH(J30,{"wholesome","heroic"},0)),ISNUMBER(MATCH(L30,{"wholesome","heroic"},0)))),1,0)</f>
        <v>0</v>
      </c>
      <c r="S30">
        <f t="shared" si="1"/>
        <v>1</v>
      </c>
      <c r="T30">
        <f t="shared" si="2"/>
        <v>1</v>
      </c>
      <c r="U30" t="s">
        <v>3053</v>
      </c>
    </row>
    <row r="31" spans="1:21" x14ac:dyDescent="0.25">
      <c r="A31" t="s">
        <v>3533</v>
      </c>
      <c r="B31">
        <v>448</v>
      </c>
      <c r="C31" t="s">
        <v>8</v>
      </c>
      <c r="D31" t="s">
        <v>73</v>
      </c>
      <c r="E31" s="4">
        <v>45779</v>
      </c>
      <c r="F31" s="6">
        <v>0</v>
      </c>
      <c r="G31" s="6" t="s">
        <v>2995</v>
      </c>
      <c r="H31" s="6" t="s">
        <v>2989</v>
      </c>
      <c r="I31" s="6"/>
      <c r="J31" s="6"/>
      <c r="K31" s="6"/>
      <c r="L31" s="6"/>
      <c r="M31" s="6" t="s">
        <v>3046</v>
      </c>
      <c r="N31" s="6"/>
      <c r="O31" s="6"/>
      <c r="P31">
        <f t="shared" si="0"/>
        <v>1</v>
      </c>
      <c r="Q31">
        <f>IF(AND(P31=1,OR(ISNUMBER(MATCH(H31,{"menace","othering","ridicule","blame","victim"},0)),ISNUMBER(MATCH(J31,{"menace","othering","ridicule","blame","victim"},0)),ISNUMBER(MATCH(L31,{"menace","othering","ridicule","blame","victim"},0)))),1,0)</f>
        <v>0</v>
      </c>
      <c r="R31">
        <f>IF(AND(P31=1,Q31=0,OR(ISNUMBER(MATCH(H31,{"wholesome","heroic"},0)),ISNUMBER(MATCH(J31,{"wholesome","heroic"},0)),ISNUMBER(MATCH(L31,{"wholesome","heroic"},0)))),1,0)</f>
        <v>0</v>
      </c>
      <c r="S31">
        <f t="shared" si="1"/>
        <v>1</v>
      </c>
      <c r="T31">
        <f t="shared" si="2"/>
        <v>1</v>
      </c>
      <c r="U31" t="s">
        <v>3053</v>
      </c>
    </row>
    <row r="32" spans="1:21" x14ac:dyDescent="0.25">
      <c r="A32" t="s">
        <v>3532</v>
      </c>
      <c r="B32">
        <v>456</v>
      </c>
      <c r="C32" t="s">
        <v>12</v>
      </c>
      <c r="D32" t="s">
        <v>250</v>
      </c>
      <c r="E32" s="4">
        <v>45353</v>
      </c>
      <c r="F32" s="6">
        <v>0</v>
      </c>
      <c r="G32" s="6" t="s">
        <v>2995</v>
      </c>
      <c r="H32" s="6" t="s">
        <v>2989</v>
      </c>
      <c r="I32" s="6"/>
      <c r="J32" s="6"/>
      <c r="K32" s="6"/>
      <c r="L32" s="6"/>
      <c r="M32" s="6" t="s">
        <v>3046</v>
      </c>
      <c r="N32" s="6"/>
      <c r="O32" s="6"/>
      <c r="P32">
        <f t="shared" si="0"/>
        <v>1</v>
      </c>
      <c r="Q32">
        <f>IF(AND(P32=1,OR(ISNUMBER(MATCH(H32,{"menace","othering","ridicule","blame","victim"},0)),ISNUMBER(MATCH(J32,{"menace","othering","ridicule","blame","victim"},0)),ISNUMBER(MATCH(L32,{"menace","othering","ridicule","blame","victim"},0)))),1,0)</f>
        <v>0</v>
      </c>
      <c r="R32">
        <f>IF(AND(P32=1,Q32=0,OR(ISNUMBER(MATCH(H32,{"wholesome","heroic"},0)),ISNUMBER(MATCH(J32,{"wholesome","heroic"},0)),ISNUMBER(MATCH(L32,{"wholesome","heroic"},0)))),1,0)</f>
        <v>0</v>
      </c>
      <c r="S32">
        <f t="shared" si="1"/>
        <v>1</v>
      </c>
      <c r="T32">
        <f t="shared" si="2"/>
        <v>1</v>
      </c>
      <c r="U32" t="s">
        <v>3053</v>
      </c>
    </row>
    <row r="33" spans="1:22" x14ac:dyDescent="0.25">
      <c r="A33" t="s">
        <v>3531</v>
      </c>
      <c r="B33">
        <v>460</v>
      </c>
      <c r="C33" t="s">
        <v>12</v>
      </c>
      <c r="D33" t="s">
        <v>250</v>
      </c>
      <c r="E33" s="4">
        <v>45353</v>
      </c>
      <c r="F33" s="6">
        <v>0</v>
      </c>
      <c r="G33" s="6" t="s">
        <v>2995</v>
      </c>
      <c r="H33" s="6" t="s">
        <v>2989</v>
      </c>
      <c r="I33" s="6" t="s">
        <v>2986</v>
      </c>
      <c r="J33" s="6" t="s">
        <v>2989</v>
      </c>
      <c r="K33" s="6"/>
      <c r="L33" s="6"/>
      <c r="M33" s="6" t="s">
        <v>3046</v>
      </c>
      <c r="N33" s="6" t="s">
        <v>3046</v>
      </c>
      <c r="O33" s="6"/>
      <c r="P33">
        <f t="shared" si="0"/>
        <v>1</v>
      </c>
      <c r="Q33">
        <f>IF(AND(P33=1,OR(ISNUMBER(MATCH(H33,{"menace","othering","ridicule","blame","victim"},0)),ISNUMBER(MATCH(J33,{"menace","othering","ridicule","blame","victim"},0)),ISNUMBER(MATCH(L33,{"menace","othering","ridicule","blame","victim"},0)))),1,0)</f>
        <v>0</v>
      </c>
      <c r="R33">
        <f>IF(AND(P33=1,Q33=0,OR(ISNUMBER(MATCH(H33,{"wholesome","heroic"},0)),ISNUMBER(MATCH(J33,{"wholesome","heroic"},0)),ISNUMBER(MATCH(L33,{"wholesome","heroic"},0)))),1,0)</f>
        <v>0</v>
      </c>
      <c r="S33">
        <f t="shared" si="1"/>
        <v>1</v>
      </c>
      <c r="T33">
        <f t="shared" si="2"/>
        <v>1</v>
      </c>
      <c r="U33" t="s">
        <v>3053</v>
      </c>
    </row>
    <row r="34" spans="1:22" x14ac:dyDescent="0.25">
      <c r="A34" t="s">
        <v>3530</v>
      </c>
      <c r="B34">
        <v>490</v>
      </c>
      <c r="C34" t="s">
        <v>12</v>
      </c>
      <c r="D34" t="s">
        <v>250</v>
      </c>
      <c r="E34" s="4">
        <v>45382</v>
      </c>
      <c r="F34" s="6">
        <v>0</v>
      </c>
      <c r="G34" s="6" t="s">
        <v>2995</v>
      </c>
      <c r="H34" s="6" t="s">
        <v>2990</v>
      </c>
      <c r="I34" s="6" t="s">
        <v>3862</v>
      </c>
      <c r="J34" s="6" t="s">
        <v>2990</v>
      </c>
      <c r="K34" s="6" t="s">
        <v>2988</v>
      </c>
      <c r="L34" s="6" t="s">
        <v>2990</v>
      </c>
      <c r="M34" s="6" t="s">
        <v>3046</v>
      </c>
      <c r="N34" s="6" t="s">
        <v>3046</v>
      </c>
      <c r="O34" s="6" t="s">
        <v>3046</v>
      </c>
      <c r="P34">
        <f t="shared" si="0"/>
        <v>1</v>
      </c>
      <c r="Q34">
        <f>IF(AND(P34=1,OR(ISNUMBER(MATCH(H34,{"menace","othering","ridicule","blame","victim"},0)),ISNUMBER(MATCH(J34,{"menace","othering","ridicule","blame","victim"},0)),ISNUMBER(MATCH(L34,{"menace","othering","ridicule","blame","victim"},0)))),1,0)</f>
        <v>0</v>
      </c>
      <c r="R34">
        <f>IF(AND(P34=1,Q34=0,OR(ISNUMBER(MATCH(H34,{"wholesome","heroic"},0)),ISNUMBER(MATCH(J34,{"wholesome","heroic"},0)),ISNUMBER(MATCH(L34,{"wholesome","heroic"},0)))),1,0)</f>
        <v>1</v>
      </c>
      <c r="S34">
        <f t="shared" si="1"/>
        <v>0</v>
      </c>
      <c r="T34">
        <f t="shared" si="2"/>
        <v>1</v>
      </c>
      <c r="U34" t="s">
        <v>3053</v>
      </c>
    </row>
    <row r="35" spans="1:22" x14ac:dyDescent="0.25">
      <c r="A35" t="s">
        <v>3529</v>
      </c>
      <c r="B35">
        <v>501</v>
      </c>
      <c r="C35" t="s">
        <v>12</v>
      </c>
      <c r="D35" t="s">
        <v>250</v>
      </c>
      <c r="E35" s="4">
        <v>45388</v>
      </c>
      <c r="F35" s="6">
        <v>0</v>
      </c>
      <c r="G35" s="6" t="s">
        <v>2995</v>
      </c>
      <c r="H35" s="6" t="s">
        <v>2989</v>
      </c>
      <c r="I35" s="6"/>
      <c r="J35" s="6"/>
      <c r="K35" s="6"/>
      <c r="L35" s="6"/>
      <c r="M35" s="6" t="s">
        <v>3046</v>
      </c>
      <c r="N35" s="6"/>
      <c r="O35" s="6"/>
      <c r="P35">
        <f t="shared" si="0"/>
        <v>1</v>
      </c>
      <c r="Q35">
        <f>IF(AND(P35=1,OR(ISNUMBER(MATCH(H35,{"menace","othering","ridicule","blame","victim"},0)),ISNUMBER(MATCH(J35,{"menace","othering","ridicule","blame","victim"},0)),ISNUMBER(MATCH(L35,{"menace","othering","ridicule","blame","victim"},0)))),1,0)</f>
        <v>0</v>
      </c>
      <c r="R35">
        <f>IF(AND(P35=1,Q35=0,OR(ISNUMBER(MATCH(H35,{"wholesome","heroic"},0)),ISNUMBER(MATCH(J35,{"wholesome","heroic"},0)),ISNUMBER(MATCH(L35,{"wholesome","heroic"},0)))),1,0)</f>
        <v>0</v>
      </c>
      <c r="S35">
        <f t="shared" si="1"/>
        <v>1</v>
      </c>
      <c r="T35">
        <f t="shared" si="2"/>
        <v>1</v>
      </c>
      <c r="U35" t="s">
        <v>3053</v>
      </c>
    </row>
    <row r="36" spans="1:22" x14ac:dyDescent="0.25">
      <c r="A36" t="s">
        <v>3528</v>
      </c>
      <c r="B36">
        <v>502</v>
      </c>
      <c r="C36" t="s">
        <v>12</v>
      </c>
      <c r="D36" t="s">
        <v>250</v>
      </c>
      <c r="E36" s="4">
        <v>45389</v>
      </c>
      <c r="F36" s="6">
        <v>0</v>
      </c>
      <c r="G36" s="6" t="s">
        <v>2995</v>
      </c>
      <c r="H36" s="6" t="s">
        <v>2989</v>
      </c>
      <c r="I36" s="6"/>
      <c r="J36" s="6"/>
      <c r="K36" s="6"/>
      <c r="L36" s="6"/>
      <c r="M36" s="6" t="s">
        <v>3046</v>
      </c>
      <c r="N36" s="6"/>
      <c r="O36" s="6"/>
      <c r="P36">
        <f t="shared" si="0"/>
        <v>1</v>
      </c>
      <c r="Q36">
        <f>IF(AND(P36=1,OR(ISNUMBER(MATCH(H36,{"menace","othering","ridicule","blame","victim"},0)),ISNUMBER(MATCH(J36,{"menace","othering","ridicule","blame","victim"},0)),ISNUMBER(MATCH(L36,{"menace","othering","ridicule","blame","victim"},0)))),1,0)</f>
        <v>0</v>
      </c>
      <c r="R36">
        <f>IF(AND(P36=1,Q36=0,OR(ISNUMBER(MATCH(H36,{"wholesome","heroic"},0)),ISNUMBER(MATCH(J36,{"wholesome","heroic"},0)),ISNUMBER(MATCH(L36,{"wholesome","heroic"},0)))),1,0)</f>
        <v>0</v>
      </c>
      <c r="S36">
        <f t="shared" si="1"/>
        <v>1</v>
      </c>
      <c r="T36">
        <f t="shared" si="2"/>
        <v>1</v>
      </c>
      <c r="U36" t="s">
        <v>3053</v>
      </c>
    </row>
    <row r="37" spans="1:22" x14ac:dyDescent="0.25">
      <c r="A37" t="s">
        <v>3527</v>
      </c>
      <c r="B37">
        <v>504</v>
      </c>
      <c r="C37" t="s">
        <v>12</v>
      </c>
      <c r="D37" t="s">
        <v>250</v>
      </c>
      <c r="E37" s="4">
        <v>45392</v>
      </c>
      <c r="F37" s="6">
        <v>0</v>
      </c>
      <c r="G37" s="6" t="s">
        <v>2995</v>
      </c>
      <c r="H37" s="6" t="s">
        <v>2989</v>
      </c>
      <c r="I37" s="6"/>
      <c r="J37" s="6"/>
      <c r="K37" s="6"/>
      <c r="L37" s="6"/>
      <c r="M37" s="6" t="s">
        <v>3046</v>
      </c>
      <c r="N37" s="6"/>
      <c r="O37" s="6"/>
      <c r="P37">
        <f t="shared" si="0"/>
        <v>1</v>
      </c>
      <c r="Q37">
        <f>IF(AND(P37=1,OR(ISNUMBER(MATCH(H37,{"menace","othering","ridicule","blame","victim"},0)),ISNUMBER(MATCH(J37,{"menace","othering","ridicule","blame","victim"},0)),ISNUMBER(MATCH(L37,{"menace","othering","ridicule","blame","victim"},0)))),1,0)</f>
        <v>0</v>
      </c>
      <c r="R37">
        <f>IF(AND(P37=1,Q37=0,OR(ISNUMBER(MATCH(H37,{"wholesome","heroic"},0)),ISNUMBER(MATCH(J37,{"wholesome","heroic"},0)),ISNUMBER(MATCH(L37,{"wholesome","heroic"},0)))),1,0)</f>
        <v>0</v>
      </c>
      <c r="S37">
        <f t="shared" si="1"/>
        <v>1</v>
      </c>
      <c r="T37">
        <f t="shared" si="2"/>
        <v>1</v>
      </c>
      <c r="U37" t="s">
        <v>3053</v>
      </c>
    </row>
    <row r="38" spans="1:22" x14ac:dyDescent="0.25">
      <c r="A38" t="s">
        <v>3526</v>
      </c>
      <c r="B38">
        <v>505</v>
      </c>
      <c r="C38" t="s">
        <v>12</v>
      </c>
      <c r="D38" t="s">
        <v>250</v>
      </c>
      <c r="E38" s="4">
        <v>45393</v>
      </c>
      <c r="F38" s="6">
        <v>0</v>
      </c>
      <c r="G38" s="6" t="s">
        <v>2988</v>
      </c>
      <c r="H38" s="6" t="s">
        <v>2992</v>
      </c>
      <c r="I38" s="6"/>
      <c r="J38" s="6"/>
      <c r="K38" s="6"/>
      <c r="L38" s="6"/>
      <c r="M38" s="6" t="s">
        <v>3046</v>
      </c>
      <c r="N38" s="6"/>
      <c r="O38" s="6"/>
      <c r="P38">
        <f t="shared" si="0"/>
        <v>1</v>
      </c>
      <c r="Q38">
        <f>IF(AND(P38=1,OR(ISNUMBER(MATCH(H38,{"menace","othering","ridicule","blame","victim"},0)),ISNUMBER(MATCH(J38,{"menace","othering","ridicule","blame","victim"},0)),ISNUMBER(MATCH(L38,{"menace","othering","ridicule","blame","victim"},0)))),1,0)</f>
        <v>1</v>
      </c>
      <c r="R38">
        <f>IF(AND(P38=1,Q38=0,OR(ISNUMBER(MATCH(H38,{"wholesome","heroic"},0)),ISNUMBER(MATCH(J38,{"wholesome","heroic"},0)),ISNUMBER(MATCH(L38,{"wholesome","heroic"},0)))),1,0)</f>
        <v>0</v>
      </c>
      <c r="S38">
        <f t="shared" si="1"/>
        <v>0</v>
      </c>
      <c r="T38">
        <f t="shared" si="2"/>
        <v>0</v>
      </c>
      <c r="U38" t="s">
        <v>3053</v>
      </c>
    </row>
    <row r="39" spans="1:22" x14ac:dyDescent="0.25">
      <c r="A39" t="s">
        <v>3525</v>
      </c>
      <c r="B39">
        <v>513</v>
      </c>
      <c r="C39" t="s">
        <v>12</v>
      </c>
      <c r="D39" t="s">
        <v>250</v>
      </c>
      <c r="E39" s="4">
        <v>45399</v>
      </c>
      <c r="F39" s="6">
        <v>0</v>
      </c>
      <c r="G39" s="6" t="s">
        <v>2995</v>
      </c>
      <c r="H39" s="6" t="s">
        <v>2989</v>
      </c>
      <c r="I39" s="6" t="s">
        <v>2986</v>
      </c>
      <c r="J39" s="6" t="s">
        <v>2989</v>
      </c>
      <c r="K39" s="6"/>
      <c r="L39" s="6"/>
      <c r="M39" s="6" t="s">
        <v>3046</v>
      </c>
      <c r="N39" s="6" t="s">
        <v>3046</v>
      </c>
      <c r="O39" s="6"/>
      <c r="P39">
        <f t="shared" si="0"/>
        <v>1</v>
      </c>
      <c r="Q39">
        <f>IF(AND(P39=1,OR(ISNUMBER(MATCH(H39,{"menace","othering","ridicule","blame","victim"},0)),ISNUMBER(MATCH(J39,{"menace","othering","ridicule","blame","victim"},0)),ISNUMBER(MATCH(L39,{"menace","othering","ridicule","blame","victim"},0)))),1,0)</f>
        <v>0</v>
      </c>
      <c r="R39">
        <f>IF(AND(P39=1,Q39=0,OR(ISNUMBER(MATCH(H39,{"wholesome","heroic"},0)),ISNUMBER(MATCH(J39,{"wholesome","heroic"},0)),ISNUMBER(MATCH(L39,{"wholesome","heroic"},0)))),1,0)</f>
        <v>0</v>
      </c>
      <c r="S39">
        <f t="shared" si="1"/>
        <v>1</v>
      </c>
      <c r="T39">
        <f t="shared" si="2"/>
        <v>1</v>
      </c>
      <c r="U39" t="s">
        <v>3053</v>
      </c>
    </row>
    <row r="40" spans="1:22" x14ac:dyDescent="0.25">
      <c r="A40" t="s">
        <v>3524</v>
      </c>
      <c r="B40">
        <v>557</v>
      </c>
      <c r="C40" t="s">
        <v>12</v>
      </c>
      <c r="D40" t="s">
        <v>250</v>
      </c>
      <c r="E40" s="4">
        <v>45419</v>
      </c>
      <c r="F40" s="6">
        <v>0</v>
      </c>
      <c r="G40" s="6" t="s">
        <v>2995</v>
      </c>
      <c r="H40" s="6" t="s">
        <v>2989</v>
      </c>
      <c r="I40" s="6" t="s">
        <v>2986</v>
      </c>
      <c r="J40" s="6" t="s">
        <v>2989</v>
      </c>
      <c r="K40" s="6"/>
      <c r="L40" s="6"/>
      <c r="M40" s="6" t="s">
        <v>3046</v>
      </c>
      <c r="N40" s="6" t="s">
        <v>3046</v>
      </c>
      <c r="O40" s="6"/>
      <c r="P40">
        <f t="shared" si="0"/>
        <v>1</v>
      </c>
      <c r="Q40">
        <f>IF(AND(P40=1,OR(ISNUMBER(MATCH(H40,{"menace","othering","ridicule","blame","victim"},0)),ISNUMBER(MATCH(J40,{"menace","othering","ridicule","blame","victim"},0)),ISNUMBER(MATCH(L40,{"menace","othering","ridicule","blame","victim"},0)))),1,0)</f>
        <v>0</v>
      </c>
      <c r="R40">
        <f>IF(AND(P40=1,Q40=0,OR(ISNUMBER(MATCH(H40,{"wholesome","heroic"},0)),ISNUMBER(MATCH(J40,{"wholesome","heroic"},0)),ISNUMBER(MATCH(L40,{"wholesome","heroic"},0)))),1,0)</f>
        <v>0</v>
      </c>
      <c r="S40">
        <f t="shared" si="1"/>
        <v>1</v>
      </c>
      <c r="T40">
        <f t="shared" si="2"/>
        <v>1</v>
      </c>
      <c r="U40" t="s">
        <v>3053</v>
      </c>
    </row>
    <row r="41" spans="1:22" x14ac:dyDescent="0.25">
      <c r="A41" t="s">
        <v>3523</v>
      </c>
      <c r="B41">
        <v>608</v>
      </c>
      <c r="C41" t="s">
        <v>12</v>
      </c>
      <c r="D41" t="s">
        <v>250</v>
      </c>
      <c r="E41" s="4">
        <v>45431</v>
      </c>
      <c r="F41" s="6">
        <v>0</v>
      </c>
      <c r="G41" s="6" t="s">
        <v>2995</v>
      </c>
      <c r="H41" s="6" t="s">
        <v>2989</v>
      </c>
      <c r="I41" s="6"/>
      <c r="J41" s="6"/>
      <c r="K41" s="6"/>
      <c r="L41" s="6"/>
      <c r="M41" s="6" t="s">
        <v>3046</v>
      </c>
      <c r="N41" s="6"/>
      <c r="O41" s="6"/>
      <c r="P41">
        <f t="shared" si="0"/>
        <v>1</v>
      </c>
      <c r="Q41">
        <f>IF(AND(P41=1,OR(ISNUMBER(MATCH(H41,{"menace","othering","ridicule","blame","victim"},0)),ISNUMBER(MATCH(J41,{"menace","othering","ridicule","blame","victim"},0)),ISNUMBER(MATCH(L41,{"menace","othering","ridicule","blame","victim"},0)))),1,0)</f>
        <v>0</v>
      </c>
      <c r="R41">
        <f>IF(AND(P41=1,Q41=0,OR(ISNUMBER(MATCH(H41,{"wholesome","heroic"},0)),ISNUMBER(MATCH(J41,{"wholesome","heroic"},0)),ISNUMBER(MATCH(L41,{"wholesome","heroic"},0)))),1,0)</f>
        <v>0</v>
      </c>
      <c r="S41">
        <f t="shared" si="1"/>
        <v>1</v>
      </c>
      <c r="T41">
        <f t="shared" si="2"/>
        <v>1</v>
      </c>
      <c r="U41" t="s">
        <v>3053</v>
      </c>
    </row>
    <row r="42" spans="1:22" x14ac:dyDescent="0.25">
      <c r="A42" t="s">
        <v>3522</v>
      </c>
      <c r="B42">
        <v>639</v>
      </c>
      <c r="C42" t="s">
        <v>12</v>
      </c>
      <c r="D42" t="s">
        <v>250</v>
      </c>
      <c r="E42" s="4">
        <v>45440</v>
      </c>
      <c r="F42" s="6">
        <v>0</v>
      </c>
      <c r="G42" s="6" t="s">
        <v>2998</v>
      </c>
      <c r="H42" s="6" t="s">
        <v>2994</v>
      </c>
      <c r="I42" s="6"/>
      <c r="J42" s="6"/>
      <c r="K42" s="6"/>
      <c r="L42" s="6"/>
      <c r="M42" s="6" t="s">
        <v>3046</v>
      </c>
      <c r="N42" s="6"/>
      <c r="O42" s="6"/>
      <c r="P42">
        <f t="shared" si="0"/>
        <v>1</v>
      </c>
      <c r="Q42">
        <f>IF(AND(P42=1,OR(ISNUMBER(MATCH(H42,{"menace","othering","ridicule","blame","victim"},0)),ISNUMBER(MATCH(J42,{"menace","othering","ridicule","blame","victim"},0)),ISNUMBER(MATCH(L42,{"menace","othering","ridicule","blame","victim"},0)))),1,0)</f>
        <v>0</v>
      </c>
      <c r="R42">
        <f>IF(AND(P42=1,Q42=0,OR(ISNUMBER(MATCH(H42,{"wholesome","heroic"},0)),ISNUMBER(MATCH(J42,{"wholesome","heroic"},0)),ISNUMBER(MATCH(L42,{"wholesome","heroic"},0)))),1,0)</f>
        <v>1</v>
      </c>
      <c r="S42">
        <f t="shared" si="1"/>
        <v>0</v>
      </c>
      <c r="T42">
        <f t="shared" si="2"/>
        <v>0</v>
      </c>
      <c r="U42" t="s">
        <v>3053</v>
      </c>
    </row>
    <row r="43" spans="1:22" x14ac:dyDescent="0.25">
      <c r="A43" t="s">
        <v>3521</v>
      </c>
      <c r="B43">
        <v>645</v>
      </c>
      <c r="C43" t="s">
        <v>12</v>
      </c>
      <c r="D43" t="s">
        <v>250</v>
      </c>
      <c r="E43" s="4">
        <v>45444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>
        <f t="shared" si="0"/>
        <v>0</v>
      </c>
      <c r="Q43">
        <f>IF(AND(P43=1,OR(ISNUMBER(MATCH(H43,{"menace","othering","ridicule","blame","victim"},0)),ISNUMBER(MATCH(J43,{"menace","othering","ridicule","blame","victim"},0)),ISNUMBER(MATCH(L43,{"menace","othering","ridicule","blame","victim"},0)))),1,0)</f>
        <v>0</v>
      </c>
      <c r="R43">
        <f>IF(AND(P43=1,Q43=0,OR(ISNUMBER(MATCH(H43,{"wholesome","heroic"},0)),ISNUMBER(MATCH(J43,{"wholesome","heroic"},0)),ISNUMBER(MATCH(L43,{"wholesome","heroic"},0)))),1,0)</f>
        <v>0</v>
      </c>
      <c r="S43">
        <f t="shared" si="1"/>
        <v>0</v>
      </c>
      <c r="T43">
        <f t="shared" si="2"/>
        <v>0</v>
      </c>
      <c r="U43" t="s">
        <v>3053</v>
      </c>
    </row>
    <row r="44" spans="1:22" x14ac:dyDescent="0.25">
      <c r="A44" t="s">
        <v>3520</v>
      </c>
      <c r="B44">
        <v>656</v>
      </c>
      <c r="C44" t="s">
        <v>12</v>
      </c>
      <c r="D44" t="s">
        <v>250</v>
      </c>
      <c r="E44" s="4">
        <v>45447</v>
      </c>
      <c r="F44" s="6">
        <v>0</v>
      </c>
      <c r="G44" s="6" t="s">
        <v>2995</v>
      </c>
      <c r="H44" s="6" t="s">
        <v>2989</v>
      </c>
      <c r="I44" s="6" t="s">
        <v>2997</v>
      </c>
      <c r="J44" s="6" t="s">
        <v>2989</v>
      </c>
      <c r="K44" s="6"/>
      <c r="L44" s="6"/>
      <c r="M44" s="6" t="s">
        <v>3046</v>
      </c>
      <c r="N44" s="6" t="s">
        <v>3046</v>
      </c>
      <c r="O44" s="6"/>
      <c r="P44">
        <f t="shared" si="0"/>
        <v>1</v>
      </c>
      <c r="Q44">
        <f>IF(AND(P44=1,OR(ISNUMBER(MATCH(H44,{"menace","othering","ridicule","blame","victim"},0)),ISNUMBER(MATCH(J44,{"menace","othering","ridicule","blame","victim"},0)),ISNUMBER(MATCH(L44,{"menace","othering","ridicule","blame","victim"},0)))),1,0)</f>
        <v>0</v>
      </c>
      <c r="R44">
        <f>IF(AND(P44=1,Q44=0,OR(ISNUMBER(MATCH(H44,{"wholesome","heroic"},0)),ISNUMBER(MATCH(J44,{"wholesome","heroic"},0)),ISNUMBER(MATCH(L44,{"wholesome","heroic"},0)))),1,0)</f>
        <v>0</v>
      </c>
      <c r="S44">
        <f t="shared" si="1"/>
        <v>1</v>
      </c>
      <c r="T44">
        <f t="shared" si="2"/>
        <v>1</v>
      </c>
      <c r="U44" t="s">
        <v>3053</v>
      </c>
    </row>
    <row r="45" spans="1:22" x14ac:dyDescent="0.25">
      <c r="A45" t="s">
        <v>3519</v>
      </c>
      <c r="B45">
        <v>665</v>
      </c>
      <c r="C45" t="s">
        <v>12</v>
      </c>
      <c r="D45" t="s">
        <v>250</v>
      </c>
      <c r="E45" s="4">
        <v>45448</v>
      </c>
      <c r="F45" s="6">
        <v>0</v>
      </c>
      <c r="G45" s="6" t="s">
        <v>2995</v>
      </c>
      <c r="H45" s="6" t="s">
        <v>2989</v>
      </c>
      <c r="I45" s="6"/>
      <c r="J45" s="6"/>
      <c r="K45" s="6"/>
      <c r="L45" s="6"/>
      <c r="M45" s="6" t="s">
        <v>3046</v>
      </c>
      <c r="N45" s="6"/>
      <c r="O45" s="6"/>
      <c r="P45">
        <f t="shared" si="0"/>
        <v>1</v>
      </c>
      <c r="Q45">
        <f>IF(AND(P45=1,OR(ISNUMBER(MATCH(H45,{"menace","othering","ridicule","blame","victim"},0)),ISNUMBER(MATCH(J45,{"menace","othering","ridicule","blame","victim"},0)),ISNUMBER(MATCH(L45,{"menace","othering","ridicule","blame","victim"},0)))),1,0)</f>
        <v>0</v>
      </c>
      <c r="R45">
        <f>IF(AND(P45=1,Q45=0,OR(ISNUMBER(MATCH(H45,{"wholesome","heroic"},0)),ISNUMBER(MATCH(J45,{"wholesome","heroic"},0)),ISNUMBER(MATCH(L45,{"wholesome","heroic"},0)))),1,0)</f>
        <v>0</v>
      </c>
      <c r="S45">
        <f t="shared" si="1"/>
        <v>1</v>
      </c>
      <c r="T45">
        <f t="shared" si="2"/>
        <v>1</v>
      </c>
      <c r="U45" t="s">
        <v>3053</v>
      </c>
    </row>
    <row r="46" spans="1:22" x14ac:dyDescent="0.25">
      <c r="A46" t="s">
        <v>3518</v>
      </c>
      <c r="B46">
        <v>684</v>
      </c>
      <c r="C46" t="s">
        <v>12</v>
      </c>
      <c r="D46" t="s">
        <v>250</v>
      </c>
      <c r="E46" s="4">
        <v>45452</v>
      </c>
      <c r="F46" s="6">
        <v>0</v>
      </c>
      <c r="G46" s="6" t="s">
        <v>2995</v>
      </c>
      <c r="H46" s="6" t="s">
        <v>2989</v>
      </c>
      <c r="I46" s="6"/>
      <c r="J46" s="6"/>
      <c r="K46" s="6"/>
      <c r="L46" s="6"/>
      <c r="M46" s="6" t="s">
        <v>3046</v>
      </c>
      <c r="N46" s="6"/>
      <c r="O46" s="6"/>
      <c r="P46">
        <f t="shared" si="0"/>
        <v>1</v>
      </c>
      <c r="Q46">
        <f>IF(AND(P46=1,OR(ISNUMBER(MATCH(H46,{"menace","othering","ridicule","blame","victim"},0)),ISNUMBER(MATCH(J46,{"menace","othering","ridicule","blame","victim"},0)),ISNUMBER(MATCH(L46,{"menace","othering","ridicule","blame","victim"},0)))),1,0)</f>
        <v>0</v>
      </c>
      <c r="R46">
        <f>IF(AND(P46=1,Q46=0,OR(ISNUMBER(MATCH(H46,{"wholesome","heroic"},0)),ISNUMBER(MATCH(J46,{"wholesome","heroic"},0)),ISNUMBER(MATCH(L46,{"wholesome","heroic"},0)))),1,0)</f>
        <v>0</v>
      </c>
      <c r="S46">
        <f t="shared" si="1"/>
        <v>1</v>
      </c>
      <c r="T46">
        <f t="shared" si="2"/>
        <v>1</v>
      </c>
      <c r="U46" t="s">
        <v>3053</v>
      </c>
    </row>
    <row r="47" spans="1:22" x14ac:dyDescent="0.25">
      <c r="A47" t="s">
        <v>3517</v>
      </c>
      <c r="B47">
        <v>690</v>
      </c>
      <c r="C47" t="s">
        <v>10</v>
      </c>
      <c r="D47" t="s">
        <v>250</v>
      </c>
      <c r="E47" s="4">
        <v>45330</v>
      </c>
      <c r="F47" s="6">
        <v>0</v>
      </c>
      <c r="G47" s="6" t="s">
        <v>2986</v>
      </c>
      <c r="H47" s="6" t="s">
        <v>2989</v>
      </c>
      <c r="I47" s="6"/>
      <c r="J47" s="6"/>
      <c r="K47" s="6"/>
      <c r="L47" s="6"/>
      <c r="M47" s="6" t="s">
        <v>3046</v>
      </c>
      <c r="N47" s="6"/>
      <c r="O47" s="6"/>
      <c r="P47">
        <f t="shared" si="0"/>
        <v>1</v>
      </c>
      <c r="Q47">
        <f>IF(AND(P47=1,OR(ISNUMBER(MATCH(H47,{"menace","othering","ridicule","blame","victim"},0)),ISNUMBER(MATCH(J47,{"menace","othering","ridicule","blame","victim"},0)),ISNUMBER(MATCH(L47,{"menace","othering","ridicule","blame","victim"},0)))),1,0)</f>
        <v>0</v>
      </c>
      <c r="R47">
        <f>IF(AND(P47=1,Q47=0,OR(ISNUMBER(MATCH(H47,{"wholesome","heroic"},0)),ISNUMBER(MATCH(J47,{"wholesome","heroic"},0)),ISNUMBER(MATCH(L47,{"wholesome","heroic"},0)))),1,0)</f>
        <v>0</v>
      </c>
      <c r="S47">
        <f t="shared" si="1"/>
        <v>1</v>
      </c>
      <c r="T47">
        <f t="shared" si="2"/>
        <v>0</v>
      </c>
      <c r="U47" t="s">
        <v>3049</v>
      </c>
      <c r="V47" t="s">
        <v>1872</v>
      </c>
    </row>
    <row r="48" spans="1:22" x14ac:dyDescent="0.25">
      <c r="A48" t="s">
        <v>3516</v>
      </c>
      <c r="B48">
        <v>694</v>
      </c>
      <c r="C48" t="s">
        <v>10</v>
      </c>
      <c r="D48" t="s">
        <v>250</v>
      </c>
      <c r="E48" s="4">
        <v>45333</v>
      </c>
      <c r="F48" s="6">
        <v>0</v>
      </c>
      <c r="G48" s="6" t="s">
        <v>2995</v>
      </c>
      <c r="H48" s="6" t="s">
        <v>2989</v>
      </c>
      <c r="I48" s="6"/>
      <c r="J48" s="6"/>
      <c r="K48" s="6"/>
      <c r="L48" s="6"/>
      <c r="M48" s="6" t="s">
        <v>3046</v>
      </c>
      <c r="N48" s="6"/>
      <c r="O48" s="6"/>
      <c r="P48">
        <f t="shared" si="0"/>
        <v>1</v>
      </c>
      <c r="Q48">
        <f>IF(AND(P48=1,OR(ISNUMBER(MATCH(H48,{"menace","othering","ridicule","blame","victim"},0)),ISNUMBER(MATCH(J48,{"menace","othering","ridicule","blame","victim"},0)),ISNUMBER(MATCH(L48,{"menace","othering","ridicule","blame","victim"},0)))),1,0)</f>
        <v>0</v>
      </c>
      <c r="R48">
        <f>IF(AND(P48=1,Q48=0,OR(ISNUMBER(MATCH(H48,{"wholesome","heroic"},0)),ISNUMBER(MATCH(J48,{"wholesome","heroic"},0)),ISNUMBER(MATCH(L48,{"wholesome","heroic"},0)))),1,0)</f>
        <v>0</v>
      </c>
      <c r="S48">
        <f t="shared" si="1"/>
        <v>1</v>
      </c>
      <c r="T48">
        <f t="shared" si="2"/>
        <v>1</v>
      </c>
      <c r="U48" t="s">
        <v>3053</v>
      </c>
    </row>
    <row r="49" spans="1:22" x14ac:dyDescent="0.25">
      <c r="A49" t="s">
        <v>3683</v>
      </c>
      <c r="B49">
        <v>695</v>
      </c>
      <c r="C49" t="s">
        <v>10</v>
      </c>
      <c r="D49" t="s">
        <v>250</v>
      </c>
      <c r="E49" s="4">
        <v>45335</v>
      </c>
      <c r="F49" s="6">
        <v>0</v>
      </c>
      <c r="G49" s="6" t="s">
        <v>2991</v>
      </c>
      <c r="H49" s="6" t="s">
        <v>2993</v>
      </c>
      <c r="I49" s="6" t="s">
        <v>2991</v>
      </c>
      <c r="J49" s="6" t="s">
        <v>2989</v>
      </c>
      <c r="K49" s="6" t="s">
        <v>2999</v>
      </c>
      <c r="L49" s="6" t="s">
        <v>2987</v>
      </c>
      <c r="M49" s="6" t="s">
        <v>3046</v>
      </c>
      <c r="N49" s="6" t="s">
        <v>3046</v>
      </c>
      <c r="O49" s="6" t="s">
        <v>3046</v>
      </c>
      <c r="P49">
        <f t="shared" si="0"/>
        <v>1</v>
      </c>
      <c r="Q49">
        <f>IF(AND(P49=1,OR(ISNUMBER(MATCH(H49,{"menace","othering","ridicule","blame","victim"},0)),ISNUMBER(MATCH(J49,{"menace","othering","ridicule","blame","victim"},0)),ISNUMBER(MATCH(L49,{"menace","othering","ridicule","blame","victim"},0)))),1,0)</f>
        <v>1</v>
      </c>
      <c r="R49">
        <f>IF(AND(P49=1,Q49=0,OR(ISNUMBER(MATCH(H49,{"wholesome","heroic"},0)),ISNUMBER(MATCH(J49,{"wholesome","heroic"},0)),ISNUMBER(MATCH(L49,{"wholesome","heroic"},0)))),1,0)</f>
        <v>0</v>
      </c>
      <c r="S49">
        <f t="shared" si="1"/>
        <v>0</v>
      </c>
      <c r="T49">
        <f t="shared" si="2"/>
        <v>0</v>
      </c>
      <c r="U49" t="s">
        <v>3049</v>
      </c>
      <c r="V49" t="s">
        <v>3507</v>
      </c>
    </row>
    <row r="50" spans="1:22" x14ac:dyDescent="0.25">
      <c r="A50" t="s">
        <v>3515</v>
      </c>
      <c r="B50">
        <v>700</v>
      </c>
      <c r="C50" t="s">
        <v>10</v>
      </c>
      <c r="D50" t="s">
        <v>250</v>
      </c>
      <c r="E50" s="4">
        <v>45338</v>
      </c>
      <c r="F50" s="6">
        <v>0</v>
      </c>
      <c r="G50" s="6" t="s">
        <v>2999</v>
      </c>
      <c r="H50" s="6" t="s">
        <v>2994</v>
      </c>
      <c r="I50" s="6" t="s">
        <v>3000</v>
      </c>
      <c r="J50" s="6" t="s">
        <v>2989</v>
      </c>
      <c r="K50" s="6"/>
      <c r="L50" s="6"/>
      <c r="M50" s="6" t="s">
        <v>3046</v>
      </c>
      <c r="N50" s="6" t="s">
        <v>3046</v>
      </c>
      <c r="O50" s="6"/>
      <c r="P50">
        <f t="shared" si="0"/>
        <v>1</v>
      </c>
      <c r="Q50">
        <f>IF(AND(P50=1,OR(ISNUMBER(MATCH(H50,{"menace","othering","ridicule","blame","victim"},0)),ISNUMBER(MATCH(J50,{"menace","othering","ridicule","blame","victim"},0)),ISNUMBER(MATCH(L50,{"menace","othering","ridicule","blame","victim"},0)))),1,0)</f>
        <v>0</v>
      </c>
      <c r="R50">
        <f>IF(AND(P50=1,Q50=0,OR(ISNUMBER(MATCH(H50,{"wholesome","heroic"},0)),ISNUMBER(MATCH(J50,{"wholesome","heroic"},0)),ISNUMBER(MATCH(L50,{"wholesome","heroic"},0)))),1,0)</f>
        <v>1</v>
      </c>
      <c r="S50">
        <f t="shared" si="1"/>
        <v>0</v>
      </c>
      <c r="T50">
        <f t="shared" si="2"/>
        <v>0</v>
      </c>
      <c r="U50" t="s">
        <v>3049</v>
      </c>
      <c r="V50" t="s">
        <v>1873</v>
      </c>
    </row>
    <row r="51" spans="1:22" x14ac:dyDescent="0.25">
      <c r="A51" t="s">
        <v>3514</v>
      </c>
      <c r="B51">
        <v>701</v>
      </c>
      <c r="C51" t="s">
        <v>10</v>
      </c>
      <c r="D51" t="s">
        <v>250</v>
      </c>
      <c r="E51" s="4">
        <v>45339</v>
      </c>
      <c r="F51" s="6">
        <v>0</v>
      </c>
      <c r="G51" s="6" t="s">
        <v>2988</v>
      </c>
      <c r="H51" s="6" t="s">
        <v>2987</v>
      </c>
      <c r="I51" s="6" t="s">
        <v>3000</v>
      </c>
      <c r="J51" s="6" t="s">
        <v>2993</v>
      </c>
      <c r="K51" s="6"/>
      <c r="L51" s="6"/>
      <c r="M51" s="6" t="s">
        <v>3046</v>
      </c>
      <c r="N51" s="6" t="s">
        <v>3046</v>
      </c>
      <c r="O51" s="6"/>
      <c r="P51">
        <f t="shared" si="0"/>
        <v>1</v>
      </c>
      <c r="Q51">
        <f>IF(AND(P51=1,OR(ISNUMBER(MATCH(H51,{"menace","othering","ridicule","blame","victim"},0)),ISNUMBER(MATCH(J51,{"menace","othering","ridicule","blame","victim"},0)),ISNUMBER(MATCH(L51,{"menace","othering","ridicule","blame","victim"},0)))),1,0)</f>
        <v>1</v>
      </c>
      <c r="R51">
        <f>IF(AND(P51=1,Q51=0,OR(ISNUMBER(MATCH(H51,{"wholesome","heroic"},0)),ISNUMBER(MATCH(J51,{"wholesome","heroic"},0)),ISNUMBER(MATCH(L51,{"wholesome","heroic"},0)))),1,0)</f>
        <v>0</v>
      </c>
      <c r="S51">
        <f t="shared" si="1"/>
        <v>0</v>
      </c>
      <c r="T51">
        <f t="shared" si="2"/>
        <v>0</v>
      </c>
      <c r="U51" t="s">
        <v>3053</v>
      </c>
    </row>
    <row r="52" spans="1:22" x14ac:dyDescent="0.25">
      <c r="A52" t="s">
        <v>3513</v>
      </c>
      <c r="B52">
        <v>704</v>
      </c>
      <c r="C52" t="s">
        <v>10</v>
      </c>
      <c r="D52" t="s">
        <v>250</v>
      </c>
      <c r="E52" s="4">
        <v>45350</v>
      </c>
      <c r="F52" s="6">
        <v>0</v>
      </c>
      <c r="G52" s="6" t="s">
        <v>2995</v>
      </c>
      <c r="H52" s="6" t="s">
        <v>2989</v>
      </c>
      <c r="I52" s="6"/>
      <c r="J52" s="6"/>
      <c r="K52" s="6"/>
      <c r="L52" s="6"/>
      <c r="M52" s="6" t="s">
        <v>3046</v>
      </c>
      <c r="N52" s="6"/>
      <c r="O52" s="6"/>
      <c r="P52">
        <f t="shared" si="0"/>
        <v>1</v>
      </c>
      <c r="Q52">
        <f>IF(AND(P52=1,OR(ISNUMBER(MATCH(H52,{"menace","othering","ridicule","blame","victim"},0)),ISNUMBER(MATCH(J52,{"menace","othering","ridicule","blame","victim"},0)),ISNUMBER(MATCH(L52,{"menace","othering","ridicule","blame","victim"},0)))),1,0)</f>
        <v>0</v>
      </c>
      <c r="R52">
        <f>IF(AND(P52=1,Q52=0,OR(ISNUMBER(MATCH(H52,{"wholesome","heroic"},0)),ISNUMBER(MATCH(J52,{"wholesome","heroic"},0)),ISNUMBER(MATCH(L52,{"wholesome","heroic"},0)))),1,0)</f>
        <v>0</v>
      </c>
      <c r="S52">
        <f t="shared" si="1"/>
        <v>1</v>
      </c>
      <c r="T52">
        <f t="shared" si="2"/>
        <v>1</v>
      </c>
      <c r="U52" t="s">
        <v>3053</v>
      </c>
    </row>
    <row r="53" spans="1:22" x14ac:dyDescent="0.25">
      <c r="A53" t="s">
        <v>3512</v>
      </c>
      <c r="B53">
        <v>719</v>
      </c>
      <c r="C53" t="s">
        <v>10</v>
      </c>
      <c r="D53" t="s">
        <v>250</v>
      </c>
      <c r="E53" s="4">
        <v>45373</v>
      </c>
      <c r="F53" s="6">
        <v>0</v>
      </c>
      <c r="G53" s="6" t="s">
        <v>2995</v>
      </c>
      <c r="H53" s="6" t="s">
        <v>2989</v>
      </c>
      <c r="I53" s="6"/>
      <c r="J53" s="6"/>
      <c r="K53" s="6"/>
      <c r="L53" s="6"/>
      <c r="M53" s="6" t="s">
        <v>3046</v>
      </c>
      <c r="N53" s="6"/>
      <c r="O53" s="6"/>
      <c r="P53">
        <f t="shared" si="0"/>
        <v>1</v>
      </c>
      <c r="Q53">
        <f>IF(AND(P53=1,OR(ISNUMBER(MATCH(H53,{"menace","othering","ridicule","blame","victim"},0)),ISNUMBER(MATCH(J53,{"menace","othering","ridicule","blame","victim"},0)),ISNUMBER(MATCH(L53,{"menace","othering","ridicule","blame","victim"},0)))),1,0)</f>
        <v>0</v>
      </c>
      <c r="R53">
        <f>IF(AND(P53=1,Q53=0,OR(ISNUMBER(MATCH(H53,{"wholesome","heroic"},0)),ISNUMBER(MATCH(J53,{"wholesome","heroic"},0)),ISNUMBER(MATCH(L53,{"wholesome","heroic"},0)))),1,0)</f>
        <v>0</v>
      </c>
      <c r="S53">
        <f t="shared" si="1"/>
        <v>1</v>
      </c>
      <c r="T53">
        <f t="shared" si="2"/>
        <v>1</v>
      </c>
      <c r="U53" t="s">
        <v>3053</v>
      </c>
    </row>
    <row r="54" spans="1:22" x14ac:dyDescent="0.25">
      <c r="A54" t="s">
        <v>3511</v>
      </c>
      <c r="B54">
        <v>721</v>
      </c>
      <c r="C54" t="s">
        <v>10</v>
      </c>
      <c r="D54" t="s">
        <v>250</v>
      </c>
      <c r="E54" s="4">
        <v>45374</v>
      </c>
      <c r="F54" s="6">
        <v>0</v>
      </c>
      <c r="G54" s="6" t="s">
        <v>2995</v>
      </c>
      <c r="H54" s="6" t="s">
        <v>2989</v>
      </c>
      <c r="I54" s="6"/>
      <c r="J54" s="6"/>
      <c r="K54" s="6"/>
      <c r="L54" s="6"/>
      <c r="M54" s="6" t="s">
        <v>3046</v>
      </c>
      <c r="N54" s="6"/>
      <c r="O54" s="6"/>
      <c r="P54">
        <f t="shared" si="0"/>
        <v>1</v>
      </c>
      <c r="Q54">
        <f>IF(AND(P54=1,OR(ISNUMBER(MATCH(H54,{"menace","othering","ridicule","blame","victim"},0)),ISNUMBER(MATCH(J54,{"menace","othering","ridicule","blame","victim"},0)),ISNUMBER(MATCH(L54,{"menace","othering","ridicule","blame","victim"},0)))),1,0)</f>
        <v>0</v>
      </c>
      <c r="R54">
        <f>IF(AND(P54=1,Q54=0,OR(ISNUMBER(MATCH(H54,{"wholesome","heroic"},0)),ISNUMBER(MATCH(J54,{"wholesome","heroic"},0)),ISNUMBER(MATCH(L54,{"wholesome","heroic"},0)))),1,0)</f>
        <v>0</v>
      </c>
      <c r="S54">
        <f t="shared" si="1"/>
        <v>1</v>
      </c>
      <c r="T54">
        <f t="shared" si="2"/>
        <v>1</v>
      </c>
      <c r="U54" t="s">
        <v>3053</v>
      </c>
    </row>
    <row r="55" spans="1:22" x14ac:dyDescent="0.25">
      <c r="A55" t="s">
        <v>3510</v>
      </c>
      <c r="B55">
        <v>728</v>
      </c>
      <c r="C55" t="s">
        <v>10</v>
      </c>
      <c r="D55" t="s">
        <v>250</v>
      </c>
      <c r="E55" s="4">
        <v>45377</v>
      </c>
      <c r="F55" s="6">
        <v>0</v>
      </c>
      <c r="G55" s="6" t="s">
        <v>3862</v>
      </c>
      <c r="H55" s="6" t="s">
        <v>2989</v>
      </c>
      <c r="I55" s="6"/>
      <c r="J55" s="6"/>
      <c r="K55" s="6"/>
      <c r="L55" s="6"/>
      <c r="M55" s="6" t="s">
        <v>3046</v>
      </c>
      <c r="N55" s="6"/>
      <c r="O55" s="6"/>
      <c r="P55">
        <f t="shared" si="0"/>
        <v>1</v>
      </c>
      <c r="Q55">
        <f>IF(AND(P55=1,OR(ISNUMBER(MATCH(H55,{"menace","othering","ridicule","blame","victim"},0)),ISNUMBER(MATCH(J55,{"menace","othering","ridicule","blame","victim"},0)),ISNUMBER(MATCH(L55,{"menace","othering","ridicule","blame","victim"},0)))),1,0)</f>
        <v>0</v>
      </c>
      <c r="R55">
        <f>IF(AND(P55=1,Q55=0,OR(ISNUMBER(MATCH(H55,{"wholesome","heroic"},0)),ISNUMBER(MATCH(J55,{"wholesome","heroic"},0)),ISNUMBER(MATCH(L55,{"wholesome","heroic"},0)))),1,0)</f>
        <v>0</v>
      </c>
      <c r="S55">
        <f t="shared" si="1"/>
        <v>1</v>
      </c>
      <c r="T55">
        <f t="shared" si="2"/>
        <v>0</v>
      </c>
      <c r="U55" t="s">
        <v>3053</v>
      </c>
    </row>
    <row r="56" spans="1:22" x14ac:dyDescent="0.25">
      <c r="A56" t="s">
        <v>3509</v>
      </c>
      <c r="B56">
        <v>739</v>
      </c>
      <c r="C56" t="s">
        <v>10</v>
      </c>
      <c r="D56" t="s">
        <v>250</v>
      </c>
      <c r="E56" s="4">
        <v>45382</v>
      </c>
      <c r="F56" s="6">
        <v>1</v>
      </c>
      <c r="G56" s="6"/>
      <c r="H56" s="6"/>
      <c r="I56" s="6"/>
      <c r="J56" s="6"/>
      <c r="K56" s="6"/>
      <c r="L56" s="6"/>
      <c r="M56" s="6"/>
      <c r="N56" s="6"/>
      <c r="O56" s="6"/>
      <c r="P56">
        <f t="shared" si="0"/>
        <v>0</v>
      </c>
      <c r="Q56">
        <f>IF(AND(P56=1,OR(ISNUMBER(MATCH(H56,{"menace","othering","ridicule","blame","victim"},0)),ISNUMBER(MATCH(J56,{"menace","othering","ridicule","blame","victim"},0)),ISNUMBER(MATCH(L56,{"menace","othering","ridicule","blame","victim"},0)))),1,0)</f>
        <v>0</v>
      </c>
      <c r="R56">
        <f>IF(AND(P56=1,Q56=0,OR(ISNUMBER(MATCH(H56,{"wholesome","heroic"},0)),ISNUMBER(MATCH(J56,{"wholesome","heroic"},0)),ISNUMBER(MATCH(L56,{"wholesome","heroic"},0)))),1,0)</f>
        <v>0</v>
      </c>
      <c r="S56">
        <f t="shared" si="1"/>
        <v>0</v>
      </c>
      <c r="T56">
        <f t="shared" si="2"/>
        <v>0</v>
      </c>
      <c r="U56" t="s">
        <v>3053</v>
      </c>
    </row>
    <row r="57" spans="1:22" x14ac:dyDescent="0.25">
      <c r="A57" t="s">
        <v>3508</v>
      </c>
      <c r="B57">
        <v>744</v>
      </c>
      <c r="C57" t="s">
        <v>10</v>
      </c>
      <c r="D57" t="s">
        <v>250</v>
      </c>
      <c r="E57" s="4">
        <v>45385</v>
      </c>
      <c r="F57" s="6">
        <v>0</v>
      </c>
      <c r="G57" s="6" t="s">
        <v>2988</v>
      </c>
      <c r="H57" s="6" t="s">
        <v>2987</v>
      </c>
      <c r="I57" s="6" t="s">
        <v>2991</v>
      </c>
      <c r="J57" s="6" t="s">
        <v>2993</v>
      </c>
      <c r="K57" s="6"/>
      <c r="L57" s="6"/>
      <c r="M57" s="6" t="s">
        <v>3046</v>
      </c>
      <c r="N57" s="6" t="s">
        <v>3046</v>
      </c>
      <c r="O57" s="6"/>
      <c r="P57">
        <f t="shared" si="0"/>
        <v>1</v>
      </c>
      <c r="Q57">
        <f>IF(AND(P57=1,OR(ISNUMBER(MATCH(H57,{"menace","othering","ridicule","blame","victim"},0)),ISNUMBER(MATCH(J57,{"menace","othering","ridicule","blame","victim"},0)),ISNUMBER(MATCH(L57,{"menace","othering","ridicule","blame","victim"},0)))),1,0)</f>
        <v>1</v>
      </c>
      <c r="R57">
        <f>IF(AND(P57=1,Q57=0,OR(ISNUMBER(MATCH(H57,{"wholesome","heroic"},0)),ISNUMBER(MATCH(J57,{"wholesome","heroic"},0)),ISNUMBER(MATCH(L57,{"wholesome","heroic"},0)))),1,0)</f>
        <v>0</v>
      </c>
      <c r="S57">
        <f t="shared" si="1"/>
        <v>0</v>
      </c>
      <c r="T57">
        <f t="shared" si="2"/>
        <v>0</v>
      </c>
      <c r="U57" t="s">
        <v>3053</v>
      </c>
    </row>
    <row r="58" spans="1:22" x14ac:dyDescent="0.25">
      <c r="A58" t="s">
        <v>3506</v>
      </c>
      <c r="B58">
        <v>747</v>
      </c>
      <c r="C58" t="s">
        <v>10</v>
      </c>
      <c r="D58" t="s">
        <v>250</v>
      </c>
      <c r="E58" s="4">
        <v>45387</v>
      </c>
      <c r="F58" s="6">
        <v>0</v>
      </c>
      <c r="G58" s="6" t="s">
        <v>2988</v>
      </c>
      <c r="H58" s="6" t="s">
        <v>2987</v>
      </c>
      <c r="I58" s="6" t="s">
        <v>2997</v>
      </c>
      <c r="J58" s="6" t="s">
        <v>2989</v>
      </c>
      <c r="K58" s="6"/>
      <c r="L58" s="6"/>
      <c r="M58" s="6" t="s">
        <v>3046</v>
      </c>
      <c r="N58" s="6" t="s">
        <v>3046</v>
      </c>
      <c r="O58" s="6"/>
      <c r="P58">
        <f t="shared" si="0"/>
        <v>1</v>
      </c>
      <c r="Q58">
        <f>IF(AND(P58=1,OR(ISNUMBER(MATCH(H58,{"menace","othering","ridicule","blame","victim"},0)),ISNUMBER(MATCH(J58,{"menace","othering","ridicule","blame","victim"},0)),ISNUMBER(MATCH(L58,{"menace","othering","ridicule","blame","victim"},0)))),1,0)</f>
        <v>1</v>
      </c>
      <c r="R58">
        <f>IF(AND(P58=1,Q58=0,OR(ISNUMBER(MATCH(H58,{"wholesome","heroic"},0)),ISNUMBER(MATCH(J58,{"wholesome","heroic"},0)),ISNUMBER(MATCH(L58,{"wholesome","heroic"},0)))),1,0)</f>
        <v>0</v>
      </c>
      <c r="S58">
        <f t="shared" si="1"/>
        <v>0</v>
      </c>
      <c r="T58">
        <f t="shared" si="2"/>
        <v>0</v>
      </c>
      <c r="U58" t="s">
        <v>3053</v>
      </c>
    </row>
    <row r="59" spans="1:22" x14ac:dyDescent="0.25">
      <c r="A59" t="s">
        <v>3505</v>
      </c>
      <c r="B59">
        <v>769</v>
      </c>
      <c r="C59" t="s">
        <v>10</v>
      </c>
      <c r="D59" t="s">
        <v>250</v>
      </c>
      <c r="E59" s="4">
        <v>45407</v>
      </c>
      <c r="F59" s="6">
        <v>0</v>
      </c>
      <c r="G59" s="6" t="s">
        <v>2986</v>
      </c>
      <c r="H59" s="6" t="s">
        <v>2989</v>
      </c>
      <c r="I59" s="6" t="s">
        <v>2991</v>
      </c>
      <c r="J59" s="6" t="s">
        <v>2989</v>
      </c>
      <c r="K59" s="6" t="s">
        <v>2997</v>
      </c>
      <c r="L59" s="6" t="s">
        <v>2993</v>
      </c>
      <c r="M59" s="6" t="s">
        <v>3046</v>
      </c>
      <c r="N59" s="6" t="s">
        <v>3046</v>
      </c>
      <c r="O59" s="6" t="s">
        <v>3046</v>
      </c>
      <c r="P59">
        <f t="shared" si="0"/>
        <v>1</v>
      </c>
      <c r="Q59">
        <f>IF(AND(P59=1,OR(ISNUMBER(MATCH(H59,{"menace","othering","ridicule","blame","victim"},0)),ISNUMBER(MATCH(J59,{"menace","othering","ridicule","blame","victim"},0)),ISNUMBER(MATCH(L59,{"menace","othering","ridicule","blame","victim"},0)))),1,0)</f>
        <v>1</v>
      </c>
      <c r="R59">
        <f>IF(AND(P59=1,Q59=0,OR(ISNUMBER(MATCH(H59,{"wholesome","heroic"},0)),ISNUMBER(MATCH(J59,{"wholesome","heroic"},0)),ISNUMBER(MATCH(L59,{"wholesome","heroic"},0)))),1,0)</f>
        <v>0</v>
      </c>
      <c r="S59">
        <f t="shared" si="1"/>
        <v>0</v>
      </c>
      <c r="T59">
        <f t="shared" si="2"/>
        <v>0</v>
      </c>
      <c r="U59" t="s">
        <v>3053</v>
      </c>
    </row>
    <row r="60" spans="1:22" x14ac:dyDescent="0.25">
      <c r="A60" t="s">
        <v>3504</v>
      </c>
      <c r="B60">
        <v>778</v>
      </c>
      <c r="C60" t="s">
        <v>10</v>
      </c>
      <c r="D60" t="s">
        <v>250</v>
      </c>
      <c r="E60" s="4">
        <v>45416</v>
      </c>
      <c r="F60" s="6">
        <v>0</v>
      </c>
      <c r="G60" s="6" t="s">
        <v>2986</v>
      </c>
      <c r="H60" s="6" t="s">
        <v>2985</v>
      </c>
      <c r="I60" s="6" t="s">
        <v>2997</v>
      </c>
      <c r="J60" s="6" t="s">
        <v>2993</v>
      </c>
      <c r="K60" s="6"/>
      <c r="L60" s="6"/>
      <c r="M60" s="6" t="s">
        <v>3046</v>
      </c>
      <c r="N60" s="6" t="s">
        <v>3046</v>
      </c>
      <c r="O60" s="6"/>
      <c r="P60">
        <f t="shared" si="0"/>
        <v>1</v>
      </c>
      <c r="Q60">
        <f>IF(AND(P60=1,OR(ISNUMBER(MATCH(H60,{"menace","othering","ridicule","blame","victim"},0)),ISNUMBER(MATCH(J60,{"menace","othering","ridicule","blame","victim"},0)),ISNUMBER(MATCH(L60,{"menace","othering","ridicule","blame","victim"},0)))),1,0)</f>
        <v>1</v>
      </c>
      <c r="R60">
        <f>IF(AND(P60=1,Q60=0,OR(ISNUMBER(MATCH(H60,{"wholesome","heroic"},0)),ISNUMBER(MATCH(J60,{"wholesome","heroic"},0)),ISNUMBER(MATCH(L60,{"wholesome","heroic"},0)))),1,0)</f>
        <v>0</v>
      </c>
      <c r="S60">
        <f t="shared" si="1"/>
        <v>0</v>
      </c>
      <c r="T60">
        <f t="shared" si="2"/>
        <v>0</v>
      </c>
      <c r="U60" t="s">
        <v>3053</v>
      </c>
    </row>
    <row r="61" spans="1:22" x14ac:dyDescent="0.25">
      <c r="A61" t="s">
        <v>3503</v>
      </c>
      <c r="B61">
        <v>783</v>
      </c>
      <c r="C61" t="s">
        <v>10</v>
      </c>
      <c r="D61" t="s">
        <v>250</v>
      </c>
      <c r="E61" s="4">
        <v>45419</v>
      </c>
      <c r="F61" s="6">
        <v>0</v>
      </c>
      <c r="G61" s="6" t="s">
        <v>2991</v>
      </c>
      <c r="H61" s="6" t="s">
        <v>2993</v>
      </c>
      <c r="I61" s="6" t="s">
        <v>2998</v>
      </c>
      <c r="J61" s="6" t="s">
        <v>2989</v>
      </c>
      <c r="K61" s="6"/>
      <c r="L61" s="6"/>
      <c r="M61" s="6" t="s">
        <v>3046</v>
      </c>
      <c r="N61" s="6" t="s">
        <v>3046</v>
      </c>
      <c r="O61" s="6"/>
      <c r="P61">
        <f t="shared" si="0"/>
        <v>1</v>
      </c>
      <c r="Q61">
        <f>IF(AND(P61=1,OR(ISNUMBER(MATCH(H61,{"menace","othering","ridicule","blame","victim"},0)),ISNUMBER(MATCH(J61,{"menace","othering","ridicule","blame","victim"},0)),ISNUMBER(MATCH(L61,{"menace","othering","ridicule","blame","victim"},0)))),1,0)</f>
        <v>1</v>
      </c>
      <c r="R61">
        <f>IF(AND(P61=1,Q61=0,OR(ISNUMBER(MATCH(H61,{"wholesome","heroic"},0)),ISNUMBER(MATCH(J61,{"wholesome","heroic"},0)),ISNUMBER(MATCH(L61,{"wholesome","heroic"},0)))),1,0)</f>
        <v>0</v>
      </c>
      <c r="S61">
        <f t="shared" si="1"/>
        <v>0</v>
      </c>
      <c r="T61">
        <f t="shared" si="2"/>
        <v>0</v>
      </c>
      <c r="U61" t="s">
        <v>3053</v>
      </c>
    </row>
    <row r="62" spans="1:22" x14ac:dyDescent="0.25">
      <c r="A62" t="s">
        <v>3502</v>
      </c>
      <c r="B62">
        <v>786</v>
      </c>
      <c r="C62" t="s">
        <v>10</v>
      </c>
      <c r="D62" t="s">
        <v>250</v>
      </c>
      <c r="E62" s="4">
        <v>45420</v>
      </c>
      <c r="F62" s="6">
        <v>0</v>
      </c>
      <c r="G62" s="6" t="s">
        <v>2986</v>
      </c>
      <c r="H62" s="6" t="s">
        <v>2989</v>
      </c>
      <c r="I62" s="6" t="s">
        <v>2988</v>
      </c>
      <c r="J62" s="6" t="s">
        <v>2990</v>
      </c>
      <c r="K62" s="6"/>
      <c r="L62" s="6"/>
      <c r="M62" s="6" t="s">
        <v>3046</v>
      </c>
      <c r="N62" s="6" t="s">
        <v>3046</v>
      </c>
      <c r="O62" s="6"/>
      <c r="P62">
        <f t="shared" si="0"/>
        <v>1</v>
      </c>
      <c r="Q62">
        <f>IF(AND(P62=1,OR(ISNUMBER(MATCH(H62,{"menace","othering","ridicule","blame","victim"},0)),ISNUMBER(MATCH(J62,{"menace","othering","ridicule","blame","victim"},0)),ISNUMBER(MATCH(L62,{"menace","othering","ridicule","blame","victim"},0)))),1,0)</f>
        <v>0</v>
      </c>
      <c r="R62">
        <f>IF(AND(P62=1,Q62=0,OR(ISNUMBER(MATCH(H62,{"wholesome","heroic"},0)),ISNUMBER(MATCH(J62,{"wholesome","heroic"},0)),ISNUMBER(MATCH(L62,{"wholesome","heroic"},0)))),1,0)</f>
        <v>1</v>
      </c>
      <c r="S62">
        <f t="shared" si="1"/>
        <v>0</v>
      </c>
      <c r="T62">
        <f t="shared" si="2"/>
        <v>0</v>
      </c>
      <c r="U62" t="s">
        <v>3053</v>
      </c>
    </row>
    <row r="63" spans="1:22" x14ac:dyDescent="0.25">
      <c r="A63" t="s">
        <v>3501</v>
      </c>
      <c r="B63">
        <v>845</v>
      </c>
      <c r="C63" t="s">
        <v>10</v>
      </c>
      <c r="D63" t="s">
        <v>250</v>
      </c>
      <c r="E63" s="4">
        <v>45449</v>
      </c>
      <c r="F63" s="6">
        <v>0</v>
      </c>
      <c r="G63" s="6" t="s">
        <v>2995</v>
      </c>
      <c r="H63" s="6" t="s">
        <v>2989</v>
      </c>
      <c r="I63" s="6"/>
      <c r="J63" s="6"/>
      <c r="K63" s="6"/>
      <c r="L63" s="6"/>
      <c r="M63" s="6" t="s">
        <v>3046</v>
      </c>
      <c r="N63" s="6"/>
      <c r="O63" s="6"/>
      <c r="P63">
        <f t="shared" si="0"/>
        <v>1</v>
      </c>
      <c r="Q63">
        <f>IF(AND(P63=1,OR(ISNUMBER(MATCH(H63,{"menace","othering","ridicule","blame","victim"},0)),ISNUMBER(MATCH(J63,{"menace","othering","ridicule","blame","victim"},0)),ISNUMBER(MATCH(L63,{"menace","othering","ridicule","blame","victim"},0)))),1,0)</f>
        <v>0</v>
      </c>
      <c r="R63">
        <f>IF(AND(P63=1,Q63=0,OR(ISNUMBER(MATCH(H63,{"wholesome","heroic"},0)),ISNUMBER(MATCH(J63,{"wholesome","heroic"},0)),ISNUMBER(MATCH(L63,{"wholesome","heroic"},0)))),1,0)</f>
        <v>0</v>
      </c>
      <c r="S63">
        <f t="shared" si="1"/>
        <v>1</v>
      </c>
      <c r="T63">
        <f t="shared" si="2"/>
        <v>1</v>
      </c>
      <c r="U63" t="s">
        <v>3053</v>
      </c>
    </row>
    <row r="64" spans="1:22" x14ac:dyDescent="0.25">
      <c r="A64" t="s">
        <v>3500</v>
      </c>
      <c r="B64">
        <v>857</v>
      </c>
      <c r="C64" t="s">
        <v>10</v>
      </c>
      <c r="D64" t="s">
        <v>250</v>
      </c>
      <c r="E64" s="4">
        <v>45450</v>
      </c>
      <c r="F64" s="6">
        <v>0</v>
      </c>
      <c r="G64" s="6" t="s">
        <v>2995</v>
      </c>
      <c r="H64" s="6" t="s">
        <v>2989</v>
      </c>
      <c r="I64" s="6"/>
      <c r="J64" s="6"/>
      <c r="K64" s="6"/>
      <c r="L64" s="6"/>
      <c r="M64" s="6" t="s">
        <v>3046</v>
      </c>
      <c r="N64" s="6"/>
      <c r="O64" s="6"/>
      <c r="P64">
        <f t="shared" si="0"/>
        <v>1</v>
      </c>
      <c r="Q64">
        <f>IF(AND(P64=1,OR(ISNUMBER(MATCH(H64,{"menace","othering","ridicule","blame","victim"},0)),ISNUMBER(MATCH(J64,{"menace","othering","ridicule","blame","victim"},0)),ISNUMBER(MATCH(L64,{"menace","othering","ridicule","blame","victim"},0)))),1,0)</f>
        <v>0</v>
      </c>
      <c r="R64">
        <f>IF(AND(P64=1,Q64=0,OR(ISNUMBER(MATCH(H64,{"wholesome","heroic"},0)),ISNUMBER(MATCH(J64,{"wholesome","heroic"},0)),ISNUMBER(MATCH(L64,{"wholesome","heroic"},0)))),1,0)</f>
        <v>0</v>
      </c>
      <c r="S64">
        <f t="shared" si="1"/>
        <v>1</v>
      </c>
      <c r="T64">
        <f t="shared" si="2"/>
        <v>1</v>
      </c>
      <c r="U64" t="s">
        <v>3053</v>
      </c>
    </row>
    <row r="65" spans="1:22" x14ac:dyDescent="0.25">
      <c r="A65" t="s">
        <v>3499</v>
      </c>
      <c r="B65">
        <v>871</v>
      </c>
      <c r="C65" t="s">
        <v>14</v>
      </c>
      <c r="D65" t="s">
        <v>523</v>
      </c>
      <c r="E65" s="4">
        <v>45594</v>
      </c>
      <c r="F65" s="6">
        <v>0</v>
      </c>
      <c r="G65" s="6" t="s">
        <v>2986</v>
      </c>
      <c r="H65" s="6" t="s">
        <v>2996</v>
      </c>
      <c r="I65" s="6"/>
      <c r="J65" s="6"/>
      <c r="K65" s="6"/>
      <c r="L65" s="6"/>
      <c r="M65" s="6" t="s">
        <v>3046</v>
      </c>
      <c r="N65" s="6"/>
      <c r="O65" s="6"/>
      <c r="P65">
        <f t="shared" si="0"/>
        <v>1</v>
      </c>
      <c r="Q65">
        <f>IF(AND(P65=1,OR(ISNUMBER(MATCH(H65,{"menace","othering","ridicule","blame","victim"},0)),ISNUMBER(MATCH(J65,{"menace","othering","ridicule","blame","victim"},0)),ISNUMBER(MATCH(L65,{"menace","othering","ridicule","blame","victim"},0)))),1,0)</f>
        <v>1</v>
      </c>
      <c r="R65">
        <f>IF(AND(P65=1,Q65=0,OR(ISNUMBER(MATCH(H65,{"wholesome","heroic"},0)),ISNUMBER(MATCH(J65,{"wholesome","heroic"},0)),ISNUMBER(MATCH(L65,{"wholesome","heroic"},0)))),1,0)</f>
        <v>0</v>
      </c>
      <c r="S65">
        <f t="shared" si="1"/>
        <v>0</v>
      </c>
      <c r="T65">
        <f t="shared" si="2"/>
        <v>0</v>
      </c>
      <c r="U65" t="s">
        <v>3053</v>
      </c>
    </row>
    <row r="66" spans="1:22" x14ac:dyDescent="0.25">
      <c r="A66" t="s">
        <v>3498</v>
      </c>
      <c r="B66">
        <v>878</v>
      </c>
      <c r="C66" t="s">
        <v>14</v>
      </c>
      <c r="D66" t="s">
        <v>523</v>
      </c>
      <c r="E66" s="4">
        <v>45597</v>
      </c>
      <c r="F66" s="6">
        <v>0</v>
      </c>
      <c r="G66" s="6" t="s">
        <v>2999</v>
      </c>
      <c r="H66" s="6" t="s">
        <v>2989</v>
      </c>
      <c r="I66" s="6"/>
      <c r="J66" s="6"/>
      <c r="K66" s="6"/>
      <c r="L66" s="6"/>
      <c r="M66" s="6" t="s">
        <v>3046</v>
      </c>
      <c r="N66" s="6"/>
      <c r="O66" s="6"/>
      <c r="P66">
        <f t="shared" ref="P66:P129" si="3">IF(F66=0,1,0)</f>
        <v>1</v>
      </c>
      <c r="Q66">
        <f>IF(AND(P66=1,OR(ISNUMBER(MATCH(H66,{"menace","othering","ridicule","blame","victim"},0)),ISNUMBER(MATCH(J66,{"menace","othering","ridicule","blame","victim"},0)),ISNUMBER(MATCH(L66,{"menace","othering","ridicule","blame","victim"},0)))),1,0)</f>
        <v>0</v>
      </c>
      <c r="R66">
        <f>IF(AND(P66=1,Q66=0,OR(ISNUMBER(MATCH(H66,{"wholesome","heroic"},0)),ISNUMBER(MATCH(J66,{"wholesome","heroic"},0)),ISNUMBER(MATCH(L66,{"wholesome","heroic"},0)))),1,0)</f>
        <v>0</v>
      </c>
      <c r="S66">
        <f t="shared" ref="S66:S129" si="4">IF(AND(P66=1,Q66=0,R66=0),1,0)</f>
        <v>1</v>
      </c>
      <c r="T66">
        <f t="shared" ref="T66:T129" si="5">IF(AND(P66=1,OR(G66="own_leader",I66="own_leader",K66="own_leader")),1,0)</f>
        <v>0</v>
      </c>
      <c r="U66" t="s">
        <v>3049</v>
      </c>
      <c r="V66" t="s">
        <v>3497</v>
      </c>
    </row>
    <row r="67" spans="1:22" x14ac:dyDescent="0.25">
      <c r="A67" t="s">
        <v>3496</v>
      </c>
      <c r="B67">
        <v>881</v>
      </c>
      <c r="C67" t="s">
        <v>14</v>
      </c>
      <c r="D67" t="s">
        <v>523</v>
      </c>
      <c r="E67" s="4">
        <v>45601</v>
      </c>
      <c r="F67" s="6">
        <v>0</v>
      </c>
      <c r="G67" s="6" t="s">
        <v>3000</v>
      </c>
      <c r="H67" s="6" t="s">
        <v>2989</v>
      </c>
      <c r="I67" s="6"/>
      <c r="J67" s="6"/>
      <c r="K67" s="6"/>
      <c r="L67" s="6"/>
      <c r="M67" s="6" t="s">
        <v>3046</v>
      </c>
      <c r="N67" s="6"/>
      <c r="O67" s="6"/>
      <c r="P67">
        <f t="shared" si="3"/>
        <v>1</v>
      </c>
      <c r="Q67">
        <f>IF(AND(P67=1,OR(ISNUMBER(MATCH(H67,{"menace","othering","ridicule","blame","victim"},0)),ISNUMBER(MATCH(J67,{"menace","othering","ridicule","blame","victim"},0)),ISNUMBER(MATCH(L67,{"menace","othering","ridicule","blame","victim"},0)))),1,0)</f>
        <v>0</v>
      </c>
      <c r="R67">
        <f>IF(AND(P67=1,Q67=0,OR(ISNUMBER(MATCH(H67,{"wholesome","heroic"},0)),ISNUMBER(MATCH(J67,{"wholesome","heroic"},0)),ISNUMBER(MATCH(L67,{"wholesome","heroic"},0)))),1,0)</f>
        <v>0</v>
      </c>
      <c r="S67">
        <f t="shared" si="4"/>
        <v>1</v>
      </c>
      <c r="T67">
        <f t="shared" si="5"/>
        <v>0</v>
      </c>
      <c r="U67" t="s">
        <v>3049</v>
      </c>
      <c r="V67" t="s">
        <v>1966</v>
      </c>
    </row>
    <row r="68" spans="1:22" x14ac:dyDescent="0.25">
      <c r="A68" t="s">
        <v>3495</v>
      </c>
      <c r="B68">
        <v>885</v>
      </c>
      <c r="C68" t="s">
        <v>14</v>
      </c>
      <c r="D68" t="s">
        <v>523</v>
      </c>
      <c r="E68" s="4">
        <v>45603</v>
      </c>
      <c r="F68" s="6">
        <v>0</v>
      </c>
      <c r="G68" s="6" t="s">
        <v>2995</v>
      </c>
      <c r="H68" s="6" t="s">
        <v>2989</v>
      </c>
      <c r="I68" s="6" t="s">
        <v>3862</v>
      </c>
      <c r="J68" s="6" t="s">
        <v>2989</v>
      </c>
      <c r="K68" s="6"/>
      <c r="L68" s="6"/>
      <c r="M68" s="6" t="s">
        <v>3046</v>
      </c>
      <c r="N68" s="6" t="s">
        <v>3046</v>
      </c>
      <c r="O68" s="6"/>
      <c r="P68">
        <f t="shared" si="3"/>
        <v>1</v>
      </c>
      <c r="Q68">
        <f>IF(AND(P68=1,OR(ISNUMBER(MATCH(H68,{"menace","othering","ridicule","blame","victim"},0)),ISNUMBER(MATCH(J68,{"menace","othering","ridicule","blame","victim"},0)),ISNUMBER(MATCH(L68,{"menace","othering","ridicule","blame","victim"},0)))),1,0)</f>
        <v>0</v>
      </c>
      <c r="R68">
        <f>IF(AND(P68=1,Q68=0,OR(ISNUMBER(MATCH(H68,{"wholesome","heroic"},0)),ISNUMBER(MATCH(J68,{"wholesome","heroic"},0)),ISNUMBER(MATCH(L68,{"wholesome","heroic"},0)))),1,0)</f>
        <v>0</v>
      </c>
      <c r="S68">
        <f t="shared" si="4"/>
        <v>1</v>
      </c>
      <c r="T68">
        <f t="shared" si="5"/>
        <v>1</v>
      </c>
      <c r="U68" t="s">
        <v>3053</v>
      </c>
    </row>
    <row r="69" spans="1:22" x14ac:dyDescent="0.25">
      <c r="A69" t="s">
        <v>3494</v>
      </c>
      <c r="B69">
        <v>887</v>
      </c>
      <c r="C69" t="s">
        <v>14</v>
      </c>
      <c r="D69" t="s">
        <v>523</v>
      </c>
      <c r="E69" s="4">
        <v>45604</v>
      </c>
      <c r="F69" s="6">
        <v>0</v>
      </c>
      <c r="G69" s="6" t="s">
        <v>2999</v>
      </c>
      <c r="H69" s="6" t="s">
        <v>2994</v>
      </c>
      <c r="I69" s="6"/>
      <c r="J69" s="6"/>
      <c r="K69" s="6"/>
      <c r="L69" s="6"/>
      <c r="M69" s="6" t="s">
        <v>3046</v>
      </c>
      <c r="N69" s="6"/>
      <c r="O69" s="6"/>
      <c r="P69">
        <f t="shared" si="3"/>
        <v>1</v>
      </c>
      <c r="Q69">
        <f>IF(AND(P69=1,OR(ISNUMBER(MATCH(H69,{"menace","othering","ridicule","blame","victim"},0)),ISNUMBER(MATCH(J69,{"menace","othering","ridicule","blame","victim"},0)),ISNUMBER(MATCH(L69,{"menace","othering","ridicule","blame","victim"},0)))),1,0)</f>
        <v>0</v>
      </c>
      <c r="R69">
        <f>IF(AND(P69=1,Q69=0,OR(ISNUMBER(MATCH(H69,{"wholesome","heroic"},0)),ISNUMBER(MATCH(J69,{"wholesome","heroic"},0)),ISNUMBER(MATCH(L69,{"wholesome","heroic"},0)))),1,0)</f>
        <v>1</v>
      </c>
      <c r="S69">
        <f t="shared" si="4"/>
        <v>0</v>
      </c>
      <c r="T69">
        <f t="shared" si="5"/>
        <v>0</v>
      </c>
      <c r="U69" t="s">
        <v>3049</v>
      </c>
      <c r="V69" t="s">
        <v>3493</v>
      </c>
    </row>
    <row r="70" spans="1:22" x14ac:dyDescent="0.25">
      <c r="A70" t="s">
        <v>3492</v>
      </c>
      <c r="B70">
        <v>890</v>
      </c>
      <c r="C70" t="s">
        <v>14</v>
      </c>
      <c r="D70" t="s">
        <v>523</v>
      </c>
      <c r="E70" s="4">
        <v>45612</v>
      </c>
      <c r="F70" s="6">
        <v>0</v>
      </c>
      <c r="G70" s="6" t="s">
        <v>3862</v>
      </c>
      <c r="H70" s="6" t="s">
        <v>2989</v>
      </c>
      <c r="I70" s="6" t="s">
        <v>2986</v>
      </c>
      <c r="J70" s="6" t="s">
        <v>2989</v>
      </c>
      <c r="K70" s="6"/>
      <c r="L70" s="6"/>
      <c r="M70" s="6" t="s">
        <v>3046</v>
      </c>
      <c r="N70" s="6" t="s">
        <v>3046</v>
      </c>
      <c r="O70" s="6"/>
      <c r="P70">
        <f t="shared" si="3"/>
        <v>1</v>
      </c>
      <c r="Q70">
        <f>IF(AND(P70=1,OR(ISNUMBER(MATCH(H70,{"menace","othering","ridicule","blame","victim"},0)),ISNUMBER(MATCH(J70,{"menace","othering","ridicule","blame","victim"},0)),ISNUMBER(MATCH(L70,{"menace","othering","ridicule","blame","victim"},0)))),1,0)</f>
        <v>0</v>
      </c>
      <c r="R70">
        <f>IF(AND(P70=1,Q70=0,OR(ISNUMBER(MATCH(H70,{"wholesome","heroic"},0)),ISNUMBER(MATCH(J70,{"wholesome","heroic"},0)),ISNUMBER(MATCH(L70,{"wholesome","heroic"},0)))),1,0)</f>
        <v>0</v>
      </c>
      <c r="S70">
        <f t="shared" si="4"/>
        <v>1</v>
      </c>
      <c r="T70">
        <f t="shared" si="5"/>
        <v>0</v>
      </c>
      <c r="U70" t="s">
        <v>3053</v>
      </c>
    </row>
    <row r="71" spans="1:22" x14ac:dyDescent="0.25">
      <c r="A71" t="s">
        <v>3491</v>
      </c>
      <c r="B71">
        <v>891</v>
      </c>
      <c r="C71" t="s">
        <v>14</v>
      </c>
      <c r="D71" t="s">
        <v>523</v>
      </c>
      <c r="E71" s="4">
        <v>45614</v>
      </c>
      <c r="F71" s="6">
        <v>0</v>
      </c>
      <c r="G71" s="6" t="s">
        <v>3000</v>
      </c>
      <c r="H71" s="6" t="s">
        <v>2987</v>
      </c>
      <c r="I71" s="6"/>
      <c r="J71" s="6"/>
      <c r="K71" s="6"/>
      <c r="L71" s="6"/>
      <c r="M71" s="6" t="s">
        <v>3046</v>
      </c>
      <c r="N71" s="6"/>
      <c r="O71" s="6"/>
      <c r="P71">
        <f t="shared" si="3"/>
        <v>1</v>
      </c>
      <c r="Q71">
        <f>IF(AND(P71=1,OR(ISNUMBER(MATCH(H71,{"menace","othering","ridicule","blame","victim"},0)),ISNUMBER(MATCH(J71,{"menace","othering","ridicule","blame","victim"},0)),ISNUMBER(MATCH(L71,{"menace","othering","ridicule","blame","victim"},0)))),1,0)</f>
        <v>1</v>
      </c>
      <c r="R71">
        <f>IF(AND(P71=1,Q71=0,OR(ISNUMBER(MATCH(H71,{"wholesome","heroic"},0)),ISNUMBER(MATCH(J71,{"wholesome","heroic"},0)),ISNUMBER(MATCH(L71,{"wholesome","heroic"},0)))),1,0)</f>
        <v>0</v>
      </c>
      <c r="S71">
        <f t="shared" si="4"/>
        <v>0</v>
      </c>
      <c r="T71">
        <f t="shared" si="5"/>
        <v>0</v>
      </c>
      <c r="U71" t="s">
        <v>3049</v>
      </c>
      <c r="V71" t="s">
        <v>3490</v>
      </c>
    </row>
    <row r="72" spans="1:22" x14ac:dyDescent="0.25">
      <c r="A72" t="s">
        <v>3489</v>
      </c>
      <c r="B72">
        <v>893</v>
      </c>
      <c r="C72" t="s">
        <v>14</v>
      </c>
      <c r="D72" t="s">
        <v>523</v>
      </c>
      <c r="E72" s="4">
        <v>45615</v>
      </c>
      <c r="F72" s="6">
        <v>0</v>
      </c>
      <c r="G72" s="6" t="s">
        <v>2997</v>
      </c>
      <c r="H72" s="6" t="s">
        <v>2989</v>
      </c>
      <c r="I72" s="6"/>
      <c r="J72" s="6"/>
      <c r="K72" s="6"/>
      <c r="L72" s="6"/>
      <c r="M72" s="6" t="s">
        <v>3046</v>
      </c>
      <c r="N72" s="6"/>
      <c r="O72" s="6"/>
      <c r="P72">
        <f t="shared" si="3"/>
        <v>1</v>
      </c>
      <c r="Q72">
        <f>IF(AND(P72=1,OR(ISNUMBER(MATCH(H72,{"menace","othering","ridicule","blame","victim"},0)),ISNUMBER(MATCH(J72,{"menace","othering","ridicule","blame","victim"},0)),ISNUMBER(MATCH(L72,{"menace","othering","ridicule","blame","victim"},0)))),1,0)</f>
        <v>0</v>
      </c>
      <c r="R72">
        <f>IF(AND(P72=1,Q72=0,OR(ISNUMBER(MATCH(H72,{"wholesome","heroic"},0)),ISNUMBER(MATCH(J72,{"wholesome","heroic"},0)),ISNUMBER(MATCH(L72,{"wholesome","heroic"},0)))),1,0)</f>
        <v>0</v>
      </c>
      <c r="S72">
        <f t="shared" si="4"/>
        <v>1</v>
      </c>
      <c r="T72">
        <f t="shared" si="5"/>
        <v>0</v>
      </c>
      <c r="U72" t="s">
        <v>3049</v>
      </c>
      <c r="V72" t="s">
        <v>1967</v>
      </c>
    </row>
    <row r="73" spans="1:22" x14ac:dyDescent="0.25">
      <c r="A73" t="s">
        <v>3070</v>
      </c>
      <c r="B73">
        <v>898</v>
      </c>
      <c r="C73" t="s">
        <v>14</v>
      </c>
      <c r="D73" t="s">
        <v>523</v>
      </c>
      <c r="E73" s="4">
        <v>45617</v>
      </c>
      <c r="F73" s="6">
        <v>0</v>
      </c>
      <c r="G73" s="6" t="s">
        <v>2986</v>
      </c>
      <c r="H73" s="6" t="s">
        <v>2989</v>
      </c>
      <c r="I73" s="6"/>
      <c r="J73" s="6"/>
      <c r="K73" s="6"/>
      <c r="L73" s="6"/>
      <c r="M73" s="6" t="s">
        <v>3046</v>
      </c>
      <c r="N73" s="6"/>
      <c r="O73" s="6"/>
      <c r="P73">
        <f t="shared" si="3"/>
        <v>1</v>
      </c>
      <c r="Q73">
        <f>IF(AND(P73=1,OR(ISNUMBER(MATCH(H73,{"menace","othering","ridicule","blame","victim"},0)),ISNUMBER(MATCH(J73,{"menace","othering","ridicule","blame","victim"},0)),ISNUMBER(MATCH(L73,{"menace","othering","ridicule","blame","victim"},0)))),1,0)</f>
        <v>0</v>
      </c>
      <c r="R73">
        <f>IF(AND(P73=1,Q73=0,OR(ISNUMBER(MATCH(H73,{"wholesome","heroic"},0)),ISNUMBER(MATCH(J73,{"wholesome","heroic"},0)),ISNUMBER(MATCH(L73,{"wholesome","heroic"},0)))),1,0)</f>
        <v>0</v>
      </c>
      <c r="S73">
        <f t="shared" si="4"/>
        <v>1</v>
      </c>
      <c r="T73">
        <f t="shared" si="5"/>
        <v>0</v>
      </c>
      <c r="U73" t="s">
        <v>3053</v>
      </c>
    </row>
    <row r="74" spans="1:22" x14ac:dyDescent="0.25">
      <c r="A74" t="s">
        <v>3073</v>
      </c>
      <c r="B74">
        <v>903</v>
      </c>
      <c r="C74" t="s">
        <v>14</v>
      </c>
      <c r="D74" t="s">
        <v>523</v>
      </c>
      <c r="E74" s="4">
        <v>45623</v>
      </c>
      <c r="F74" s="6">
        <v>0</v>
      </c>
      <c r="G74" s="6" t="s">
        <v>2986</v>
      </c>
      <c r="H74" s="6" t="s">
        <v>2996</v>
      </c>
      <c r="I74" s="6"/>
      <c r="J74" s="6"/>
      <c r="K74" s="6"/>
      <c r="L74" s="6"/>
      <c r="M74" s="6" t="s">
        <v>3046</v>
      </c>
      <c r="N74" s="6"/>
      <c r="O74" s="6"/>
      <c r="P74">
        <f t="shared" si="3"/>
        <v>1</v>
      </c>
      <c r="Q74">
        <f>IF(AND(P74=1,OR(ISNUMBER(MATCH(H74,{"menace","othering","ridicule","blame","victim"},0)),ISNUMBER(MATCH(J74,{"menace","othering","ridicule","blame","victim"},0)),ISNUMBER(MATCH(L74,{"menace","othering","ridicule","blame","victim"},0)))),1,0)</f>
        <v>1</v>
      </c>
      <c r="R74">
        <f>IF(AND(P74=1,Q74=0,OR(ISNUMBER(MATCH(H74,{"wholesome","heroic"},0)),ISNUMBER(MATCH(J74,{"wholesome","heroic"},0)),ISNUMBER(MATCH(L74,{"wholesome","heroic"},0)))),1,0)</f>
        <v>0</v>
      </c>
      <c r="S74">
        <f t="shared" si="4"/>
        <v>0</v>
      </c>
      <c r="T74">
        <f t="shared" si="5"/>
        <v>0</v>
      </c>
      <c r="U74" t="s">
        <v>3049</v>
      </c>
      <c r="V74" t="s">
        <v>3072</v>
      </c>
    </row>
    <row r="75" spans="1:22" x14ac:dyDescent="0.25">
      <c r="A75" t="s">
        <v>3488</v>
      </c>
      <c r="B75">
        <v>904</v>
      </c>
      <c r="C75" t="s">
        <v>14</v>
      </c>
      <c r="D75" t="s">
        <v>523</v>
      </c>
      <c r="E75" s="4">
        <v>45623</v>
      </c>
      <c r="F75" s="6">
        <v>0</v>
      </c>
      <c r="G75" s="6" t="s">
        <v>2991</v>
      </c>
      <c r="H75" s="6" t="s">
        <v>2989</v>
      </c>
      <c r="I75" s="6" t="s">
        <v>3000</v>
      </c>
      <c r="J75" s="6" t="s">
        <v>2989</v>
      </c>
      <c r="K75" s="6" t="s">
        <v>2988</v>
      </c>
      <c r="L75" s="6" t="s">
        <v>2989</v>
      </c>
      <c r="M75" s="6" t="s">
        <v>3046</v>
      </c>
      <c r="N75" s="6" t="s">
        <v>3046</v>
      </c>
      <c r="O75" s="6" t="s">
        <v>3046</v>
      </c>
      <c r="P75">
        <f t="shared" si="3"/>
        <v>1</v>
      </c>
      <c r="Q75">
        <f>IF(AND(P75=1,OR(ISNUMBER(MATCH(H75,{"menace","othering","ridicule","blame","victim"},0)),ISNUMBER(MATCH(J75,{"menace","othering","ridicule","blame","victim"},0)),ISNUMBER(MATCH(L75,{"menace","othering","ridicule","blame","victim"},0)))),1,0)</f>
        <v>0</v>
      </c>
      <c r="R75">
        <f>IF(AND(P75=1,Q75=0,OR(ISNUMBER(MATCH(H75,{"wholesome","heroic"},0)),ISNUMBER(MATCH(J75,{"wholesome","heroic"},0)),ISNUMBER(MATCH(L75,{"wholesome","heroic"},0)))),1,0)</f>
        <v>0</v>
      </c>
      <c r="S75">
        <f t="shared" si="4"/>
        <v>1</v>
      </c>
      <c r="T75">
        <f t="shared" si="5"/>
        <v>0</v>
      </c>
      <c r="U75" t="s">
        <v>3049</v>
      </c>
      <c r="V75" t="s">
        <v>3487</v>
      </c>
    </row>
    <row r="76" spans="1:22" x14ac:dyDescent="0.25">
      <c r="A76" t="s">
        <v>3486</v>
      </c>
      <c r="B76">
        <v>905</v>
      </c>
      <c r="C76" t="s">
        <v>14</v>
      </c>
      <c r="D76" t="s">
        <v>523</v>
      </c>
      <c r="E76" s="4">
        <v>45624</v>
      </c>
      <c r="F76" s="6">
        <v>0</v>
      </c>
      <c r="G76" s="6" t="s">
        <v>2986</v>
      </c>
      <c r="H76" s="6" t="s">
        <v>2989</v>
      </c>
      <c r="I76" s="6"/>
      <c r="J76" s="6"/>
      <c r="K76" s="6"/>
      <c r="L76" s="6"/>
      <c r="M76" s="6" t="s">
        <v>3046</v>
      </c>
      <c r="N76" s="6"/>
      <c r="O76" s="6"/>
      <c r="P76">
        <f t="shared" si="3"/>
        <v>1</v>
      </c>
      <c r="Q76">
        <f>IF(AND(P76=1,OR(ISNUMBER(MATCH(H76,{"menace","othering","ridicule","blame","victim"},0)),ISNUMBER(MATCH(J76,{"menace","othering","ridicule","blame","victim"},0)),ISNUMBER(MATCH(L76,{"menace","othering","ridicule","blame","victim"},0)))),1,0)</f>
        <v>0</v>
      </c>
      <c r="R76">
        <f>IF(AND(P76=1,Q76=0,OR(ISNUMBER(MATCH(H76,{"wholesome","heroic"},0)),ISNUMBER(MATCH(J76,{"wholesome","heroic"},0)),ISNUMBER(MATCH(L76,{"wholesome","heroic"},0)))),1,0)</f>
        <v>0</v>
      </c>
      <c r="S76">
        <f t="shared" si="4"/>
        <v>1</v>
      </c>
      <c r="T76">
        <f t="shared" si="5"/>
        <v>0</v>
      </c>
      <c r="U76" t="s">
        <v>3049</v>
      </c>
      <c r="V76" t="s">
        <v>3485</v>
      </c>
    </row>
    <row r="77" spans="1:22" x14ac:dyDescent="0.25">
      <c r="A77" t="s">
        <v>3484</v>
      </c>
      <c r="B77">
        <v>913</v>
      </c>
      <c r="C77" t="s">
        <v>14</v>
      </c>
      <c r="D77" t="s">
        <v>523</v>
      </c>
      <c r="E77" s="4">
        <v>45629</v>
      </c>
      <c r="F77" s="6">
        <v>0</v>
      </c>
      <c r="G77" s="6" t="s">
        <v>2986</v>
      </c>
      <c r="H77" s="6" t="s">
        <v>2989</v>
      </c>
      <c r="I77" s="6"/>
      <c r="J77" s="6"/>
      <c r="K77" s="6"/>
      <c r="L77" s="6"/>
      <c r="M77" s="6" t="s">
        <v>3046</v>
      </c>
      <c r="N77" s="6"/>
      <c r="O77" s="6"/>
      <c r="P77">
        <f t="shared" si="3"/>
        <v>1</v>
      </c>
      <c r="Q77">
        <f>IF(AND(P77=1,OR(ISNUMBER(MATCH(H77,{"menace","othering","ridicule","blame","victim"},0)),ISNUMBER(MATCH(J77,{"menace","othering","ridicule","blame","victim"},0)),ISNUMBER(MATCH(L77,{"menace","othering","ridicule","blame","victim"},0)))),1,0)</f>
        <v>0</v>
      </c>
      <c r="R77">
        <f>IF(AND(P77=1,Q77=0,OR(ISNUMBER(MATCH(H77,{"wholesome","heroic"},0)),ISNUMBER(MATCH(J77,{"wholesome","heroic"},0)),ISNUMBER(MATCH(L77,{"wholesome","heroic"},0)))),1,0)</f>
        <v>0</v>
      </c>
      <c r="S77">
        <f t="shared" si="4"/>
        <v>1</v>
      </c>
      <c r="T77">
        <f t="shared" si="5"/>
        <v>0</v>
      </c>
      <c r="U77" t="s">
        <v>3049</v>
      </c>
      <c r="V77" t="s">
        <v>1969</v>
      </c>
    </row>
    <row r="78" spans="1:22" x14ac:dyDescent="0.25">
      <c r="A78" t="s">
        <v>3482</v>
      </c>
      <c r="B78">
        <v>914</v>
      </c>
      <c r="C78" t="s">
        <v>14</v>
      </c>
      <c r="D78" t="s">
        <v>523</v>
      </c>
      <c r="E78" s="4">
        <v>45630</v>
      </c>
      <c r="F78" s="6">
        <v>0</v>
      </c>
      <c r="G78" s="6" t="s">
        <v>2991</v>
      </c>
      <c r="H78" s="6" t="s">
        <v>2989</v>
      </c>
      <c r="I78" s="6" t="s">
        <v>2991</v>
      </c>
      <c r="J78" s="6" t="s">
        <v>2993</v>
      </c>
      <c r="K78" s="6"/>
      <c r="L78" s="6"/>
      <c r="M78" s="6" t="s">
        <v>3046</v>
      </c>
      <c r="N78" s="6" t="s">
        <v>3046</v>
      </c>
      <c r="O78" s="6"/>
      <c r="P78">
        <f t="shared" si="3"/>
        <v>1</v>
      </c>
      <c r="Q78">
        <f>IF(AND(P78=1,OR(ISNUMBER(MATCH(H78,{"menace","othering","ridicule","blame","victim"},0)),ISNUMBER(MATCH(J78,{"menace","othering","ridicule","blame","victim"},0)),ISNUMBER(MATCH(L78,{"menace","othering","ridicule","blame","victim"},0)))),1,0)</f>
        <v>1</v>
      </c>
      <c r="R78">
        <f>IF(AND(P78=1,Q78=0,OR(ISNUMBER(MATCH(H78,{"wholesome","heroic"},0)),ISNUMBER(MATCH(J78,{"wholesome","heroic"},0)),ISNUMBER(MATCH(L78,{"wholesome","heroic"},0)))),1,0)</f>
        <v>0</v>
      </c>
      <c r="S78">
        <f t="shared" si="4"/>
        <v>0</v>
      </c>
      <c r="T78">
        <f t="shared" si="5"/>
        <v>0</v>
      </c>
      <c r="U78" t="s">
        <v>3049</v>
      </c>
      <c r="V78" t="s">
        <v>3481</v>
      </c>
    </row>
    <row r="79" spans="1:22" x14ac:dyDescent="0.25">
      <c r="A79" t="s">
        <v>3480</v>
      </c>
      <c r="B79">
        <v>918</v>
      </c>
      <c r="C79" t="s">
        <v>14</v>
      </c>
      <c r="D79" t="s">
        <v>523</v>
      </c>
      <c r="E79" s="4">
        <v>45632</v>
      </c>
      <c r="F79" s="6">
        <v>0</v>
      </c>
      <c r="G79" s="6" t="s">
        <v>2986</v>
      </c>
      <c r="H79" s="6" t="s">
        <v>2989</v>
      </c>
      <c r="I79" s="6"/>
      <c r="J79" s="6"/>
      <c r="K79" s="6"/>
      <c r="L79" s="6"/>
      <c r="M79" s="6" t="s">
        <v>3046</v>
      </c>
      <c r="N79" s="6"/>
      <c r="O79" s="6"/>
      <c r="P79">
        <f t="shared" si="3"/>
        <v>1</v>
      </c>
      <c r="Q79">
        <f>IF(AND(P79=1,OR(ISNUMBER(MATCH(H79,{"menace","othering","ridicule","blame","victim"},0)),ISNUMBER(MATCH(J79,{"menace","othering","ridicule","blame","victim"},0)),ISNUMBER(MATCH(L79,{"menace","othering","ridicule","blame","victim"},0)))),1,0)</f>
        <v>0</v>
      </c>
      <c r="R79">
        <f>IF(AND(P79=1,Q79=0,OR(ISNUMBER(MATCH(H79,{"wholesome","heroic"},0)),ISNUMBER(MATCH(J79,{"wholesome","heroic"},0)),ISNUMBER(MATCH(L79,{"wholesome","heroic"},0)))),1,0)</f>
        <v>0</v>
      </c>
      <c r="S79">
        <f t="shared" si="4"/>
        <v>1</v>
      </c>
      <c r="T79">
        <f t="shared" si="5"/>
        <v>0</v>
      </c>
      <c r="U79" t="s">
        <v>3049</v>
      </c>
      <c r="V79" t="s">
        <v>3434</v>
      </c>
    </row>
    <row r="80" spans="1:22" x14ac:dyDescent="0.25">
      <c r="A80" t="s">
        <v>3479</v>
      </c>
      <c r="B80">
        <v>921</v>
      </c>
      <c r="C80" t="s">
        <v>14</v>
      </c>
      <c r="D80" t="s">
        <v>523</v>
      </c>
      <c r="E80" s="4">
        <v>45635</v>
      </c>
      <c r="F80" s="6">
        <v>0</v>
      </c>
      <c r="G80" s="6" t="s">
        <v>2995</v>
      </c>
      <c r="H80" s="6" t="s">
        <v>2989</v>
      </c>
      <c r="I80" s="6"/>
      <c r="J80" s="6"/>
      <c r="K80" s="6"/>
      <c r="L80" s="6"/>
      <c r="M80" s="6" t="s">
        <v>3046</v>
      </c>
      <c r="N80" s="6"/>
      <c r="O80" s="6"/>
      <c r="P80">
        <f t="shared" si="3"/>
        <v>1</v>
      </c>
      <c r="Q80">
        <f>IF(AND(P80=1,OR(ISNUMBER(MATCH(H80,{"menace","othering","ridicule","blame","victim"},0)),ISNUMBER(MATCH(J80,{"menace","othering","ridicule","blame","victim"},0)),ISNUMBER(MATCH(L80,{"menace","othering","ridicule","blame","victim"},0)))),1,0)</f>
        <v>0</v>
      </c>
      <c r="R80">
        <f>IF(AND(P80=1,Q80=0,OR(ISNUMBER(MATCH(H80,{"wholesome","heroic"},0)),ISNUMBER(MATCH(J80,{"wholesome","heroic"},0)),ISNUMBER(MATCH(L80,{"wholesome","heroic"},0)))),1,0)</f>
        <v>0</v>
      </c>
      <c r="S80">
        <f t="shared" si="4"/>
        <v>1</v>
      </c>
      <c r="T80">
        <f t="shared" si="5"/>
        <v>1</v>
      </c>
      <c r="U80" t="s">
        <v>3049</v>
      </c>
      <c r="V80" t="s">
        <v>3478</v>
      </c>
    </row>
    <row r="81" spans="1:22" x14ac:dyDescent="0.25">
      <c r="A81" t="s">
        <v>3477</v>
      </c>
      <c r="B81">
        <v>923</v>
      </c>
      <c r="C81" t="s">
        <v>14</v>
      </c>
      <c r="D81" t="s">
        <v>523</v>
      </c>
      <c r="E81" s="4">
        <v>45637</v>
      </c>
      <c r="F81" s="6">
        <v>0</v>
      </c>
      <c r="G81" s="6" t="s">
        <v>2986</v>
      </c>
      <c r="H81" s="6" t="s">
        <v>2989</v>
      </c>
      <c r="I81" s="6"/>
      <c r="J81" s="6"/>
      <c r="K81" s="6"/>
      <c r="L81" s="6"/>
      <c r="M81" s="6" t="s">
        <v>3046</v>
      </c>
      <c r="N81" s="6"/>
      <c r="O81" s="6"/>
      <c r="P81">
        <f t="shared" si="3"/>
        <v>1</v>
      </c>
      <c r="Q81">
        <f>IF(AND(P81=1,OR(ISNUMBER(MATCH(H81,{"menace","othering","ridicule","blame","victim"},0)),ISNUMBER(MATCH(J81,{"menace","othering","ridicule","blame","victim"},0)),ISNUMBER(MATCH(L81,{"menace","othering","ridicule","blame","victim"},0)))),1,0)</f>
        <v>0</v>
      </c>
      <c r="R81">
        <f>IF(AND(P81=1,Q81=0,OR(ISNUMBER(MATCH(H81,{"wholesome","heroic"},0)),ISNUMBER(MATCH(J81,{"wholesome","heroic"},0)),ISNUMBER(MATCH(L81,{"wholesome","heroic"},0)))),1,0)</f>
        <v>0</v>
      </c>
      <c r="S81">
        <f t="shared" si="4"/>
        <v>1</v>
      </c>
      <c r="T81">
        <f t="shared" si="5"/>
        <v>0</v>
      </c>
      <c r="U81" t="s">
        <v>3049</v>
      </c>
      <c r="V81" t="s">
        <v>1965</v>
      </c>
    </row>
    <row r="82" spans="1:22" x14ac:dyDescent="0.25">
      <c r="A82" t="s">
        <v>3067</v>
      </c>
      <c r="B82">
        <v>925</v>
      </c>
      <c r="C82" t="s">
        <v>14</v>
      </c>
      <c r="D82" t="s">
        <v>523</v>
      </c>
      <c r="E82" s="4">
        <v>45638</v>
      </c>
      <c r="F82" s="6">
        <v>0</v>
      </c>
      <c r="G82" s="6" t="s">
        <v>3000</v>
      </c>
      <c r="H82" s="6" t="s">
        <v>2989</v>
      </c>
      <c r="I82" s="6"/>
      <c r="J82" s="6"/>
      <c r="K82" s="6"/>
      <c r="L82" s="6"/>
      <c r="M82" s="6" t="s">
        <v>3046</v>
      </c>
      <c r="N82" s="6"/>
      <c r="O82" s="6"/>
      <c r="P82">
        <f t="shared" si="3"/>
        <v>1</v>
      </c>
      <c r="Q82">
        <f>IF(AND(P82=1,OR(ISNUMBER(MATCH(H82,{"menace","othering","ridicule","blame","victim"},0)),ISNUMBER(MATCH(J82,{"menace","othering","ridicule","blame","victim"},0)),ISNUMBER(MATCH(L82,{"menace","othering","ridicule","blame","victim"},0)))),1,0)</f>
        <v>0</v>
      </c>
      <c r="R82">
        <f>IF(AND(P82=1,Q82=0,OR(ISNUMBER(MATCH(H82,{"wholesome","heroic"},0)),ISNUMBER(MATCH(J82,{"wholesome","heroic"},0)),ISNUMBER(MATCH(L82,{"wholesome","heroic"},0)))),1,0)</f>
        <v>0</v>
      </c>
      <c r="S82">
        <f t="shared" si="4"/>
        <v>1</v>
      </c>
      <c r="T82">
        <f t="shared" si="5"/>
        <v>0</v>
      </c>
      <c r="U82" t="s">
        <v>3049</v>
      </c>
      <c r="V82" t="s">
        <v>1963</v>
      </c>
    </row>
    <row r="83" spans="1:22" x14ac:dyDescent="0.25">
      <c r="A83" t="s">
        <v>3064</v>
      </c>
      <c r="B83">
        <v>927</v>
      </c>
      <c r="C83" t="s">
        <v>14</v>
      </c>
      <c r="D83" t="s">
        <v>523</v>
      </c>
      <c r="E83" s="4">
        <v>45639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>
        <f t="shared" si="3"/>
        <v>0</v>
      </c>
      <c r="Q83">
        <f>IF(AND(P83=1,OR(ISNUMBER(MATCH(H83,{"menace","othering","ridicule","blame","victim"},0)),ISNUMBER(MATCH(J83,{"menace","othering","ridicule","blame","victim"},0)),ISNUMBER(MATCH(L83,{"menace","othering","ridicule","blame","victim"},0)))),1,0)</f>
        <v>0</v>
      </c>
      <c r="R83">
        <f>IF(AND(P83=1,Q83=0,OR(ISNUMBER(MATCH(H83,{"wholesome","heroic"},0)),ISNUMBER(MATCH(J83,{"wholesome","heroic"},0)),ISNUMBER(MATCH(L83,{"wholesome","heroic"},0)))),1,0)</f>
        <v>0</v>
      </c>
      <c r="S83">
        <f t="shared" si="4"/>
        <v>0</v>
      </c>
      <c r="T83">
        <f t="shared" si="5"/>
        <v>0</v>
      </c>
      <c r="U83" t="s">
        <v>3049</v>
      </c>
      <c r="V83" t="s">
        <v>1961</v>
      </c>
    </row>
    <row r="84" spans="1:22" x14ac:dyDescent="0.25">
      <c r="A84" t="s">
        <v>3475</v>
      </c>
      <c r="B84">
        <v>932</v>
      </c>
      <c r="C84" t="s">
        <v>14</v>
      </c>
      <c r="D84" t="s">
        <v>523</v>
      </c>
      <c r="E84" s="4">
        <v>45644</v>
      </c>
      <c r="F84" s="6">
        <v>0</v>
      </c>
      <c r="G84" s="6" t="s">
        <v>2995</v>
      </c>
      <c r="H84" s="6" t="s">
        <v>2989</v>
      </c>
      <c r="I84" s="6"/>
      <c r="J84" s="6"/>
      <c r="K84" s="6"/>
      <c r="L84" s="6"/>
      <c r="M84" s="6" t="s">
        <v>3046</v>
      </c>
      <c r="N84" s="6"/>
      <c r="O84" s="6"/>
      <c r="P84">
        <f t="shared" si="3"/>
        <v>1</v>
      </c>
      <c r="Q84">
        <f>IF(AND(P84=1,OR(ISNUMBER(MATCH(H84,{"menace","othering","ridicule","blame","victim"},0)),ISNUMBER(MATCH(J84,{"menace","othering","ridicule","blame","victim"},0)),ISNUMBER(MATCH(L84,{"menace","othering","ridicule","blame","victim"},0)))),1,0)</f>
        <v>0</v>
      </c>
      <c r="R84">
        <f>IF(AND(P84=1,Q84=0,OR(ISNUMBER(MATCH(H84,{"wholesome","heroic"},0)),ISNUMBER(MATCH(J84,{"wholesome","heroic"},0)),ISNUMBER(MATCH(L84,{"wholesome","heroic"},0)))),1,0)</f>
        <v>0</v>
      </c>
      <c r="S84">
        <f t="shared" si="4"/>
        <v>1</v>
      </c>
      <c r="T84">
        <f t="shared" si="5"/>
        <v>1</v>
      </c>
      <c r="U84" t="s">
        <v>3049</v>
      </c>
      <c r="V84" t="s">
        <v>3471</v>
      </c>
    </row>
    <row r="85" spans="1:22" x14ac:dyDescent="0.25">
      <c r="A85" t="s">
        <v>3474</v>
      </c>
      <c r="B85">
        <v>934</v>
      </c>
      <c r="C85" t="s">
        <v>14</v>
      </c>
      <c r="D85" t="s">
        <v>523</v>
      </c>
      <c r="E85" s="4">
        <v>45644</v>
      </c>
      <c r="F85" s="6">
        <v>0</v>
      </c>
      <c r="G85" s="6" t="s">
        <v>2986</v>
      </c>
      <c r="H85" s="6" t="s">
        <v>2989</v>
      </c>
      <c r="I85" s="6" t="s">
        <v>2991</v>
      </c>
      <c r="J85" s="6" t="s">
        <v>2992</v>
      </c>
      <c r="K85" s="6"/>
      <c r="L85" s="6"/>
      <c r="M85" s="6" t="s">
        <v>3046</v>
      </c>
      <c r="N85" s="6" t="s">
        <v>3046</v>
      </c>
      <c r="O85" s="6"/>
      <c r="P85">
        <f t="shared" si="3"/>
        <v>1</v>
      </c>
      <c r="Q85">
        <f>IF(AND(P85=1,OR(ISNUMBER(MATCH(H85,{"menace","othering","ridicule","blame","victim"},0)),ISNUMBER(MATCH(J85,{"menace","othering","ridicule","blame","victim"},0)),ISNUMBER(MATCH(L85,{"menace","othering","ridicule","blame","victim"},0)))),1,0)</f>
        <v>1</v>
      </c>
      <c r="R85">
        <f>IF(AND(P85=1,Q85=0,OR(ISNUMBER(MATCH(H85,{"wholesome","heroic"},0)),ISNUMBER(MATCH(J85,{"wholesome","heroic"},0)),ISNUMBER(MATCH(L85,{"wholesome","heroic"},0)))),1,0)</f>
        <v>0</v>
      </c>
      <c r="S85">
        <f t="shared" si="4"/>
        <v>0</v>
      </c>
      <c r="T85">
        <f t="shared" si="5"/>
        <v>0</v>
      </c>
      <c r="U85" t="s">
        <v>3049</v>
      </c>
      <c r="V85" t="s">
        <v>1962</v>
      </c>
    </row>
    <row r="86" spans="1:22" x14ac:dyDescent="0.25">
      <c r="A86" t="s">
        <v>3473</v>
      </c>
      <c r="B86">
        <v>935</v>
      </c>
      <c r="C86" t="s">
        <v>14</v>
      </c>
      <c r="D86" t="s">
        <v>523</v>
      </c>
      <c r="E86" s="4">
        <v>45645</v>
      </c>
      <c r="F86" s="6">
        <v>0</v>
      </c>
      <c r="G86" s="6" t="s">
        <v>2995</v>
      </c>
      <c r="H86" s="6" t="s">
        <v>2989</v>
      </c>
      <c r="I86" s="6"/>
      <c r="J86" s="6"/>
      <c r="K86" s="6"/>
      <c r="L86" s="6"/>
      <c r="M86" s="6" t="s">
        <v>3046</v>
      </c>
      <c r="N86" s="6"/>
      <c r="O86" s="6"/>
      <c r="P86">
        <f t="shared" si="3"/>
        <v>1</v>
      </c>
      <c r="Q86">
        <f>IF(AND(P86=1,OR(ISNUMBER(MATCH(H86,{"menace","othering","ridicule","blame","victim"},0)),ISNUMBER(MATCH(J86,{"menace","othering","ridicule","blame","victim"},0)),ISNUMBER(MATCH(L86,{"menace","othering","ridicule","blame","victim"},0)))),1,0)</f>
        <v>0</v>
      </c>
      <c r="R86">
        <f>IF(AND(P86=1,Q86=0,OR(ISNUMBER(MATCH(H86,{"wholesome","heroic"},0)),ISNUMBER(MATCH(J86,{"wholesome","heroic"},0)),ISNUMBER(MATCH(L86,{"wholesome","heroic"},0)))),1,0)</f>
        <v>0</v>
      </c>
      <c r="S86">
        <f t="shared" si="4"/>
        <v>1</v>
      </c>
      <c r="T86">
        <f t="shared" si="5"/>
        <v>1</v>
      </c>
      <c r="U86" t="s">
        <v>3053</v>
      </c>
    </row>
    <row r="87" spans="1:22" x14ac:dyDescent="0.25">
      <c r="A87" t="s">
        <v>3068</v>
      </c>
      <c r="B87">
        <v>936</v>
      </c>
      <c r="C87" t="s">
        <v>14</v>
      </c>
      <c r="D87" t="s">
        <v>523</v>
      </c>
      <c r="E87" s="4">
        <v>45645</v>
      </c>
      <c r="F87" s="6">
        <v>0</v>
      </c>
      <c r="G87" s="6" t="s">
        <v>2986</v>
      </c>
      <c r="H87" s="6" t="s">
        <v>2989</v>
      </c>
      <c r="I87" s="6"/>
      <c r="J87" s="6"/>
      <c r="K87" s="6"/>
      <c r="L87" s="6"/>
      <c r="M87" s="6" t="s">
        <v>3046</v>
      </c>
      <c r="N87" s="6"/>
      <c r="O87" s="6"/>
      <c r="P87">
        <f t="shared" si="3"/>
        <v>1</v>
      </c>
      <c r="Q87">
        <f>IF(AND(P87=1,OR(ISNUMBER(MATCH(H87,{"menace","othering","ridicule","blame","victim"},0)),ISNUMBER(MATCH(J87,{"menace","othering","ridicule","blame","victim"},0)),ISNUMBER(MATCH(L87,{"menace","othering","ridicule","blame","victim"},0)))),1,0)</f>
        <v>0</v>
      </c>
      <c r="R87">
        <f>IF(AND(P87=1,Q87=0,OR(ISNUMBER(MATCH(H87,{"wholesome","heroic"},0)),ISNUMBER(MATCH(J87,{"wholesome","heroic"},0)),ISNUMBER(MATCH(L87,{"wholesome","heroic"},0)))),1,0)</f>
        <v>0</v>
      </c>
      <c r="S87">
        <f t="shared" si="4"/>
        <v>1</v>
      </c>
      <c r="T87">
        <f t="shared" si="5"/>
        <v>0</v>
      </c>
      <c r="U87" t="s">
        <v>3049</v>
      </c>
      <c r="V87" t="s">
        <v>1968</v>
      </c>
    </row>
    <row r="88" spans="1:22" x14ac:dyDescent="0.25">
      <c r="A88" t="s">
        <v>3472</v>
      </c>
      <c r="B88">
        <v>937</v>
      </c>
      <c r="C88" t="s">
        <v>14</v>
      </c>
      <c r="D88" t="s">
        <v>523</v>
      </c>
      <c r="E88" s="4">
        <v>45645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>
        <f t="shared" si="3"/>
        <v>0</v>
      </c>
      <c r="Q88">
        <f>IF(AND(P88=1,OR(ISNUMBER(MATCH(H88,{"menace","othering","ridicule","blame","victim"},0)),ISNUMBER(MATCH(J88,{"menace","othering","ridicule","blame","victim"},0)),ISNUMBER(MATCH(L88,{"menace","othering","ridicule","blame","victim"},0)))),1,0)</f>
        <v>0</v>
      </c>
      <c r="R88">
        <f>IF(AND(P88=1,Q88=0,OR(ISNUMBER(MATCH(H88,{"wholesome","heroic"},0)),ISNUMBER(MATCH(J88,{"wholesome","heroic"},0)),ISNUMBER(MATCH(L88,{"wholesome","heroic"},0)))),1,0)</f>
        <v>0</v>
      </c>
      <c r="S88">
        <f t="shared" si="4"/>
        <v>0</v>
      </c>
      <c r="T88">
        <f t="shared" si="5"/>
        <v>0</v>
      </c>
      <c r="U88" t="s">
        <v>3049</v>
      </c>
      <c r="V88" t="s">
        <v>3445</v>
      </c>
    </row>
    <row r="89" spans="1:22" x14ac:dyDescent="0.25">
      <c r="A89" t="s">
        <v>3684</v>
      </c>
      <c r="B89">
        <v>939</v>
      </c>
      <c r="C89" t="s">
        <v>14</v>
      </c>
      <c r="D89" t="s">
        <v>523</v>
      </c>
      <c r="E89" s="4">
        <v>45646</v>
      </c>
      <c r="F89" s="6">
        <v>0</v>
      </c>
      <c r="G89" s="6" t="s">
        <v>2995</v>
      </c>
      <c r="H89" s="6" t="s">
        <v>2989</v>
      </c>
      <c r="I89" s="6"/>
      <c r="J89" s="6"/>
      <c r="K89" s="6"/>
      <c r="L89" s="6"/>
      <c r="M89" s="6" t="s">
        <v>3046</v>
      </c>
      <c r="N89" s="6"/>
      <c r="O89" s="6"/>
      <c r="P89">
        <f t="shared" si="3"/>
        <v>1</v>
      </c>
      <c r="Q89">
        <f>IF(AND(P89=1,OR(ISNUMBER(MATCH(H89,{"menace","othering","ridicule","blame","victim"},0)),ISNUMBER(MATCH(J89,{"menace","othering","ridicule","blame","victim"},0)),ISNUMBER(MATCH(L89,{"menace","othering","ridicule","blame","victim"},0)))),1,0)</f>
        <v>0</v>
      </c>
      <c r="R89">
        <f>IF(AND(P89=1,Q89=0,OR(ISNUMBER(MATCH(H89,{"wholesome","heroic"},0)),ISNUMBER(MATCH(J89,{"wholesome","heroic"},0)),ISNUMBER(MATCH(L89,{"wholesome","heroic"},0)))),1,0)</f>
        <v>0</v>
      </c>
      <c r="S89">
        <f t="shared" si="4"/>
        <v>1</v>
      </c>
      <c r="T89">
        <f t="shared" si="5"/>
        <v>1</v>
      </c>
      <c r="U89" t="s">
        <v>3049</v>
      </c>
      <c r="V89" t="s">
        <v>1950</v>
      </c>
    </row>
    <row r="90" spans="1:22" x14ac:dyDescent="0.25">
      <c r="A90" t="s">
        <v>3470</v>
      </c>
      <c r="B90">
        <v>941</v>
      </c>
      <c r="C90" t="s">
        <v>14</v>
      </c>
      <c r="D90" t="s">
        <v>523</v>
      </c>
      <c r="E90" s="4">
        <v>45646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>
        <f t="shared" si="3"/>
        <v>0</v>
      </c>
      <c r="Q90">
        <f>IF(AND(P90=1,OR(ISNUMBER(MATCH(H90,{"menace","othering","ridicule","blame","victim"},0)),ISNUMBER(MATCH(J90,{"menace","othering","ridicule","blame","victim"},0)),ISNUMBER(MATCH(L90,{"menace","othering","ridicule","blame","victim"},0)))),1,0)</f>
        <v>0</v>
      </c>
      <c r="R90">
        <f>IF(AND(P90=1,Q90=0,OR(ISNUMBER(MATCH(H90,{"wholesome","heroic"},0)),ISNUMBER(MATCH(J90,{"wholesome","heroic"},0)),ISNUMBER(MATCH(L90,{"wholesome","heroic"},0)))),1,0)</f>
        <v>0</v>
      </c>
      <c r="S90">
        <f t="shared" si="4"/>
        <v>0</v>
      </c>
      <c r="T90">
        <f t="shared" si="5"/>
        <v>0</v>
      </c>
      <c r="U90" t="s">
        <v>3049</v>
      </c>
      <c r="V90" t="s">
        <v>1960</v>
      </c>
    </row>
    <row r="91" spans="1:22" x14ac:dyDescent="0.25">
      <c r="A91" t="s">
        <v>3685</v>
      </c>
      <c r="B91">
        <v>944</v>
      </c>
      <c r="C91" t="s">
        <v>14</v>
      </c>
      <c r="D91" t="s">
        <v>523</v>
      </c>
      <c r="E91" s="4">
        <v>45648</v>
      </c>
      <c r="F91" s="6">
        <v>0</v>
      </c>
      <c r="G91" s="6" t="s">
        <v>3862</v>
      </c>
      <c r="H91" s="6" t="s">
        <v>2989</v>
      </c>
      <c r="I91" s="6"/>
      <c r="J91" s="6"/>
      <c r="K91" s="6"/>
      <c r="L91" s="6"/>
      <c r="M91" s="6" t="s">
        <v>3046</v>
      </c>
      <c r="N91" s="6"/>
      <c r="O91" s="6"/>
      <c r="P91">
        <f t="shared" si="3"/>
        <v>1</v>
      </c>
      <c r="Q91">
        <f>IF(AND(P91=1,OR(ISNUMBER(MATCH(H91,{"menace","othering","ridicule","blame","victim"},0)),ISNUMBER(MATCH(J91,{"menace","othering","ridicule","blame","victim"},0)),ISNUMBER(MATCH(L91,{"menace","othering","ridicule","blame","victim"},0)))),1,0)</f>
        <v>0</v>
      </c>
      <c r="R91">
        <f>IF(AND(P91=1,Q91=0,OR(ISNUMBER(MATCH(H91,{"wholesome","heroic"},0)),ISNUMBER(MATCH(J91,{"wholesome","heroic"},0)),ISNUMBER(MATCH(L91,{"wholesome","heroic"},0)))),1,0)</f>
        <v>0</v>
      </c>
      <c r="S91">
        <f t="shared" si="4"/>
        <v>1</v>
      </c>
      <c r="T91">
        <f t="shared" si="5"/>
        <v>0</v>
      </c>
      <c r="U91" t="s">
        <v>3049</v>
      </c>
      <c r="V91" t="s">
        <v>3463</v>
      </c>
    </row>
    <row r="92" spans="1:22" x14ac:dyDescent="0.25">
      <c r="A92" t="s">
        <v>3469</v>
      </c>
      <c r="B92">
        <v>945</v>
      </c>
      <c r="C92" t="s">
        <v>14</v>
      </c>
      <c r="D92" t="s">
        <v>523</v>
      </c>
      <c r="E92" s="4">
        <v>45648</v>
      </c>
      <c r="F92" s="6">
        <v>1</v>
      </c>
      <c r="G92" s="6"/>
      <c r="H92" s="6"/>
      <c r="I92" s="6"/>
      <c r="J92" s="6"/>
      <c r="K92" s="6"/>
      <c r="L92" s="6"/>
      <c r="M92" s="6"/>
      <c r="N92" s="6"/>
      <c r="O92" s="6"/>
      <c r="P92">
        <f t="shared" si="3"/>
        <v>0</v>
      </c>
      <c r="Q92">
        <f>IF(AND(P92=1,OR(ISNUMBER(MATCH(H92,{"menace","othering","ridicule","blame","victim"},0)),ISNUMBER(MATCH(J92,{"menace","othering","ridicule","blame","victim"},0)),ISNUMBER(MATCH(L92,{"menace","othering","ridicule","blame","victim"},0)))),1,0)</f>
        <v>0</v>
      </c>
      <c r="R92">
        <f>IF(AND(P92=1,Q92=0,OR(ISNUMBER(MATCH(H92,{"wholesome","heroic"},0)),ISNUMBER(MATCH(J92,{"wholesome","heroic"},0)),ISNUMBER(MATCH(L92,{"wholesome","heroic"},0)))),1,0)</f>
        <v>0</v>
      </c>
      <c r="S92">
        <f t="shared" si="4"/>
        <v>0</v>
      </c>
      <c r="T92">
        <f t="shared" si="5"/>
        <v>0</v>
      </c>
      <c r="U92" t="s">
        <v>3049</v>
      </c>
      <c r="V92" t="s">
        <v>3468</v>
      </c>
    </row>
    <row r="93" spans="1:22" x14ac:dyDescent="0.25">
      <c r="A93" t="s">
        <v>3467</v>
      </c>
      <c r="B93">
        <v>947</v>
      </c>
      <c r="C93" t="s">
        <v>14</v>
      </c>
      <c r="D93" t="s">
        <v>523</v>
      </c>
      <c r="E93" s="4">
        <v>45649</v>
      </c>
      <c r="F93" s="6">
        <v>0</v>
      </c>
      <c r="G93" s="6" t="s">
        <v>2995</v>
      </c>
      <c r="H93" s="6" t="s">
        <v>2989</v>
      </c>
      <c r="I93" s="6"/>
      <c r="J93" s="6"/>
      <c r="K93" s="6"/>
      <c r="L93" s="6"/>
      <c r="M93" s="6" t="s">
        <v>3046</v>
      </c>
      <c r="N93" s="6"/>
      <c r="O93" s="6"/>
      <c r="P93">
        <f t="shared" si="3"/>
        <v>1</v>
      </c>
      <c r="Q93">
        <f>IF(AND(P93=1,OR(ISNUMBER(MATCH(H93,{"menace","othering","ridicule","blame","victim"},0)),ISNUMBER(MATCH(J93,{"menace","othering","ridicule","blame","victim"},0)),ISNUMBER(MATCH(L93,{"menace","othering","ridicule","blame","victim"},0)))),1,0)</f>
        <v>0</v>
      </c>
      <c r="R93">
        <f>IF(AND(P93=1,Q93=0,OR(ISNUMBER(MATCH(H93,{"wholesome","heroic"},0)),ISNUMBER(MATCH(J93,{"wholesome","heroic"},0)),ISNUMBER(MATCH(L93,{"wholesome","heroic"},0)))),1,0)</f>
        <v>0</v>
      </c>
      <c r="S93">
        <f t="shared" si="4"/>
        <v>1</v>
      </c>
      <c r="T93">
        <f t="shared" si="5"/>
        <v>1</v>
      </c>
      <c r="U93" t="s">
        <v>3049</v>
      </c>
      <c r="V93" t="s">
        <v>3466</v>
      </c>
    </row>
    <row r="94" spans="1:22" x14ac:dyDescent="0.25">
      <c r="A94" t="s">
        <v>3465</v>
      </c>
      <c r="B94">
        <v>948</v>
      </c>
      <c r="C94" t="s">
        <v>14</v>
      </c>
      <c r="D94" t="s">
        <v>523</v>
      </c>
      <c r="E94" s="4">
        <v>45651</v>
      </c>
      <c r="F94" s="6">
        <v>1</v>
      </c>
      <c r="G94" s="6"/>
      <c r="H94" s="6"/>
      <c r="I94" s="6"/>
      <c r="J94" s="6"/>
      <c r="K94" s="6"/>
      <c r="L94" s="6"/>
      <c r="M94" s="6"/>
      <c r="N94" s="6"/>
      <c r="O94" s="6"/>
      <c r="P94">
        <f t="shared" si="3"/>
        <v>0</v>
      </c>
      <c r="Q94">
        <f>IF(AND(P94=1,OR(ISNUMBER(MATCH(H94,{"menace","othering","ridicule","blame","victim"},0)),ISNUMBER(MATCH(J94,{"menace","othering","ridicule","blame","victim"},0)),ISNUMBER(MATCH(L94,{"menace","othering","ridicule","blame","victim"},0)))),1,0)</f>
        <v>0</v>
      </c>
      <c r="R94">
        <f>IF(AND(P94=1,Q94=0,OR(ISNUMBER(MATCH(H94,{"wholesome","heroic"},0)),ISNUMBER(MATCH(J94,{"wholesome","heroic"},0)),ISNUMBER(MATCH(L94,{"wholesome","heroic"},0)))),1,0)</f>
        <v>0</v>
      </c>
      <c r="S94">
        <f t="shared" si="4"/>
        <v>0</v>
      </c>
      <c r="T94">
        <f t="shared" si="5"/>
        <v>0</v>
      </c>
      <c r="U94" t="s">
        <v>3053</v>
      </c>
    </row>
    <row r="95" spans="1:22" x14ac:dyDescent="0.25">
      <c r="A95" t="s">
        <v>3464</v>
      </c>
      <c r="B95">
        <v>951</v>
      </c>
      <c r="C95" t="s">
        <v>14</v>
      </c>
      <c r="D95" t="s">
        <v>523</v>
      </c>
      <c r="E95" s="4">
        <v>45653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>
        <f t="shared" si="3"/>
        <v>0</v>
      </c>
      <c r="Q95">
        <f>IF(AND(P95=1,OR(ISNUMBER(MATCH(H95,{"menace","othering","ridicule","blame","victim"},0)),ISNUMBER(MATCH(J95,{"menace","othering","ridicule","blame","victim"},0)),ISNUMBER(MATCH(L95,{"menace","othering","ridicule","blame","victim"},0)))),1,0)</f>
        <v>0</v>
      </c>
      <c r="R95">
        <f>IF(AND(P95=1,Q95=0,OR(ISNUMBER(MATCH(H95,{"wholesome","heroic"},0)),ISNUMBER(MATCH(J95,{"wholesome","heroic"},0)),ISNUMBER(MATCH(L95,{"wholesome","heroic"},0)))),1,0)</f>
        <v>0</v>
      </c>
      <c r="S95">
        <f t="shared" si="4"/>
        <v>0</v>
      </c>
      <c r="T95">
        <f t="shared" si="5"/>
        <v>0</v>
      </c>
      <c r="U95" t="s">
        <v>3049</v>
      </c>
      <c r="V95" t="s">
        <v>1959</v>
      </c>
    </row>
    <row r="96" spans="1:22" x14ac:dyDescent="0.25">
      <c r="A96" t="s">
        <v>3462</v>
      </c>
      <c r="B96">
        <v>954</v>
      </c>
      <c r="C96" t="s">
        <v>14</v>
      </c>
      <c r="D96" t="s">
        <v>523</v>
      </c>
      <c r="E96" s="4">
        <v>45656</v>
      </c>
      <c r="F96" s="6">
        <v>1</v>
      </c>
      <c r="G96" s="6"/>
      <c r="H96" s="6"/>
      <c r="I96" s="6"/>
      <c r="J96" s="6"/>
      <c r="K96" s="6"/>
      <c r="L96" s="6"/>
      <c r="M96" s="6"/>
      <c r="N96" s="6"/>
      <c r="O96" s="6"/>
      <c r="P96">
        <f t="shared" si="3"/>
        <v>0</v>
      </c>
      <c r="Q96">
        <f>IF(AND(P96=1,OR(ISNUMBER(MATCH(H96,{"menace","othering","ridicule","blame","victim"},0)),ISNUMBER(MATCH(J96,{"menace","othering","ridicule","blame","victim"},0)),ISNUMBER(MATCH(L96,{"menace","othering","ridicule","blame","victim"},0)))),1,0)</f>
        <v>0</v>
      </c>
      <c r="R96">
        <f>IF(AND(P96=1,Q96=0,OR(ISNUMBER(MATCH(H96,{"wholesome","heroic"},0)),ISNUMBER(MATCH(J96,{"wholesome","heroic"},0)),ISNUMBER(MATCH(L96,{"wholesome","heroic"},0)))),1,0)</f>
        <v>0</v>
      </c>
      <c r="S96">
        <f t="shared" si="4"/>
        <v>0</v>
      </c>
      <c r="T96">
        <f t="shared" si="5"/>
        <v>0</v>
      </c>
      <c r="U96" t="s">
        <v>3049</v>
      </c>
      <c r="V96" t="s">
        <v>3461</v>
      </c>
    </row>
    <row r="97" spans="1:22" x14ac:dyDescent="0.25">
      <c r="A97" t="s">
        <v>3460</v>
      </c>
      <c r="B97">
        <v>955</v>
      </c>
      <c r="C97" t="s">
        <v>14</v>
      </c>
      <c r="D97" t="s">
        <v>523</v>
      </c>
      <c r="E97" s="4">
        <v>45657</v>
      </c>
      <c r="F97" s="6">
        <v>1</v>
      </c>
      <c r="G97" s="6"/>
      <c r="H97" s="6"/>
      <c r="I97" s="6"/>
      <c r="J97" s="6"/>
      <c r="K97" s="6"/>
      <c r="L97" s="6"/>
      <c r="M97" s="6"/>
      <c r="N97" s="6"/>
      <c r="O97" s="6"/>
      <c r="P97">
        <f t="shared" si="3"/>
        <v>0</v>
      </c>
      <c r="Q97">
        <f>IF(AND(P97=1,OR(ISNUMBER(MATCH(H97,{"menace","othering","ridicule","blame","victim"},0)),ISNUMBER(MATCH(J97,{"menace","othering","ridicule","blame","victim"},0)),ISNUMBER(MATCH(L97,{"menace","othering","ridicule","blame","victim"},0)))),1,0)</f>
        <v>0</v>
      </c>
      <c r="R97">
        <f>IF(AND(P97=1,Q97=0,OR(ISNUMBER(MATCH(H97,{"wholesome","heroic"},0)),ISNUMBER(MATCH(J97,{"wholesome","heroic"},0)),ISNUMBER(MATCH(L97,{"wholesome","heroic"},0)))),1,0)</f>
        <v>0</v>
      </c>
      <c r="S97">
        <f t="shared" si="4"/>
        <v>0</v>
      </c>
      <c r="T97">
        <f t="shared" si="5"/>
        <v>0</v>
      </c>
      <c r="U97" t="s">
        <v>3049</v>
      </c>
      <c r="V97" t="s">
        <v>1953</v>
      </c>
    </row>
    <row r="98" spans="1:22" x14ac:dyDescent="0.25">
      <c r="A98" t="s">
        <v>3459</v>
      </c>
      <c r="B98">
        <v>957</v>
      </c>
      <c r="C98" t="s">
        <v>14</v>
      </c>
      <c r="D98" t="s">
        <v>523</v>
      </c>
      <c r="E98" s="4">
        <v>45659</v>
      </c>
      <c r="F98" s="6">
        <v>0</v>
      </c>
      <c r="G98" s="6" t="s">
        <v>2991</v>
      </c>
      <c r="H98" s="6" t="s">
        <v>2990</v>
      </c>
      <c r="I98" s="6"/>
      <c r="J98" s="6"/>
      <c r="K98" s="6"/>
      <c r="L98" s="6"/>
      <c r="M98" s="6" t="s">
        <v>3046</v>
      </c>
      <c r="N98" s="6"/>
      <c r="O98" s="6"/>
      <c r="P98">
        <f t="shared" si="3"/>
        <v>1</v>
      </c>
      <c r="Q98">
        <f>IF(AND(P98=1,OR(ISNUMBER(MATCH(H98,{"menace","othering","ridicule","blame","victim"},0)),ISNUMBER(MATCH(J98,{"menace","othering","ridicule","blame","victim"},0)),ISNUMBER(MATCH(L98,{"menace","othering","ridicule","blame","victim"},0)))),1,0)</f>
        <v>0</v>
      </c>
      <c r="R98">
        <f>IF(AND(P98=1,Q98=0,OR(ISNUMBER(MATCH(H98,{"wholesome","heroic"},0)),ISNUMBER(MATCH(J98,{"wholesome","heroic"},0)),ISNUMBER(MATCH(L98,{"wholesome","heroic"},0)))),1,0)</f>
        <v>1</v>
      </c>
      <c r="S98">
        <f t="shared" si="4"/>
        <v>0</v>
      </c>
      <c r="T98">
        <f t="shared" si="5"/>
        <v>0</v>
      </c>
      <c r="U98" t="s">
        <v>3049</v>
      </c>
      <c r="V98" t="s">
        <v>3458</v>
      </c>
    </row>
    <row r="99" spans="1:22" x14ac:dyDescent="0.25">
      <c r="A99" t="s">
        <v>3071</v>
      </c>
      <c r="B99">
        <v>958</v>
      </c>
      <c r="C99" t="s">
        <v>14</v>
      </c>
      <c r="D99" t="s">
        <v>523</v>
      </c>
      <c r="E99" s="4">
        <v>45660</v>
      </c>
      <c r="F99" s="6">
        <v>1</v>
      </c>
      <c r="G99" s="6"/>
      <c r="H99" s="6"/>
      <c r="I99" s="6"/>
      <c r="J99" s="6"/>
      <c r="K99" s="6"/>
      <c r="L99" s="6"/>
      <c r="M99" s="6"/>
      <c r="N99" s="6"/>
      <c r="O99" s="6"/>
      <c r="P99">
        <f t="shared" si="3"/>
        <v>0</v>
      </c>
      <c r="Q99">
        <f>IF(AND(P99=1,OR(ISNUMBER(MATCH(H99,{"menace","othering","ridicule","blame","victim"},0)),ISNUMBER(MATCH(J99,{"menace","othering","ridicule","blame","victim"},0)),ISNUMBER(MATCH(L99,{"menace","othering","ridicule","blame","victim"},0)))),1,0)</f>
        <v>0</v>
      </c>
      <c r="R99">
        <f>IF(AND(P99=1,Q99=0,OR(ISNUMBER(MATCH(H99,{"wholesome","heroic"},0)),ISNUMBER(MATCH(J99,{"wholesome","heroic"},0)),ISNUMBER(MATCH(L99,{"wholesome","heroic"},0)))),1,0)</f>
        <v>0</v>
      </c>
      <c r="S99">
        <f t="shared" si="4"/>
        <v>0</v>
      </c>
      <c r="T99">
        <f t="shared" si="5"/>
        <v>0</v>
      </c>
      <c r="U99" t="s">
        <v>3053</v>
      </c>
    </row>
    <row r="100" spans="1:22" x14ac:dyDescent="0.25">
      <c r="A100" t="s">
        <v>3457</v>
      </c>
      <c r="B100">
        <v>959</v>
      </c>
      <c r="C100" t="s">
        <v>14</v>
      </c>
      <c r="D100" t="s">
        <v>523</v>
      </c>
      <c r="E100" s="4">
        <v>45660</v>
      </c>
      <c r="F100" s="6">
        <v>1</v>
      </c>
      <c r="G100" s="6"/>
      <c r="H100" s="6"/>
      <c r="I100" s="6"/>
      <c r="J100" s="6"/>
      <c r="K100" s="6"/>
      <c r="L100" s="6"/>
      <c r="M100" s="6"/>
      <c r="N100" s="6"/>
      <c r="O100" s="6"/>
      <c r="P100">
        <f t="shared" si="3"/>
        <v>0</v>
      </c>
      <c r="Q100">
        <f>IF(AND(P100=1,OR(ISNUMBER(MATCH(H100,{"menace","othering","ridicule","blame","victim"},0)),ISNUMBER(MATCH(J100,{"menace","othering","ridicule","blame","victim"},0)),ISNUMBER(MATCH(L100,{"menace","othering","ridicule","blame","victim"},0)))),1,0)</f>
        <v>0</v>
      </c>
      <c r="R100">
        <f>IF(AND(P100=1,Q100=0,OR(ISNUMBER(MATCH(H100,{"wholesome","heroic"},0)),ISNUMBER(MATCH(J100,{"wholesome","heroic"},0)),ISNUMBER(MATCH(L100,{"wholesome","heroic"},0)))),1,0)</f>
        <v>0</v>
      </c>
      <c r="S100">
        <f t="shared" si="4"/>
        <v>0</v>
      </c>
      <c r="T100">
        <f t="shared" si="5"/>
        <v>0</v>
      </c>
      <c r="U100" t="s">
        <v>3053</v>
      </c>
    </row>
    <row r="101" spans="1:22" x14ac:dyDescent="0.25">
      <c r="A101" t="s">
        <v>3456</v>
      </c>
      <c r="B101">
        <v>960</v>
      </c>
      <c r="C101" t="s">
        <v>14</v>
      </c>
      <c r="D101" t="s">
        <v>523</v>
      </c>
      <c r="E101" s="4">
        <v>45660</v>
      </c>
      <c r="F101" s="6">
        <v>0</v>
      </c>
      <c r="G101" s="6" t="s">
        <v>2991</v>
      </c>
      <c r="H101" s="6" t="s">
        <v>2987</v>
      </c>
      <c r="I101" s="6"/>
      <c r="J101" s="6"/>
      <c r="K101" s="6"/>
      <c r="L101" s="6"/>
      <c r="M101" s="6" t="s">
        <v>3046</v>
      </c>
      <c r="N101" s="6"/>
      <c r="O101" s="6"/>
      <c r="P101">
        <f t="shared" si="3"/>
        <v>1</v>
      </c>
      <c r="Q101">
        <f>IF(AND(P101=1,OR(ISNUMBER(MATCH(H101,{"menace","othering","ridicule","blame","victim"},0)),ISNUMBER(MATCH(J101,{"menace","othering","ridicule","blame","victim"},0)),ISNUMBER(MATCH(L101,{"menace","othering","ridicule","blame","victim"},0)))),1,0)</f>
        <v>1</v>
      </c>
      <c r="R101">
        <f>IF(AND(P101=1,Q101=0,OR(ISNUMBER(MATCH(H101,{"wholesome","heroic"},0)),ISNUMBER(MATCH(J101,{"wholesome","heroic"},0)),ISNUMBER(MATCH(L101,{"wholesome","heroic"},0)))),1,0)</f>
        <v>0</v>
      </c>
      <c r="S101">
        <f t="shared" si="4"/>
        <v>0</v>
      </c>
      <c r="T101">
        <f t="shared" si="5"/>
        <v>0</v>
      </c>
      <c r="U101" t="s">
        <v>3049</v>
      </c>
      <c r="V101" t="s">
        <v>3065</v>
      </c>
    </row>
    <row r="102" spans="1:22" x14ac:dyDescent="0.25">
      <c r="A102" t="s">
        <v>3454</v>
      </c>
      <c r="B102">
        <v>962</v>
      </c>
      <c r="C102" t="s">
        <v>14</v>
      </c>
      <c r="D102" t="s">
        <v>523</v>
      </c>
      <c r="E102" s="4">
        <v>45661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>
        <f t="shared" si="3"/>
        <v>0</v>
      </c>
      <c r="Q102">
        <f>IF(AND(P102=1,OR(ISNUMBER(MATCH(H102,{"menace","othering","ridicule","blame","victim"},0)),ISNUMBER(MATCH(J102,{"menace","othering","ridicule","blame","victim"},0)),ISNUMBER(MATCH(L102,{"menace","othering","ridicule","blame","victim"},0)))),1,0)</f>
        <v>0</v>
      </c>
      <c r="R102">
        <f>IF(AND(P102=1,Q102=0,OR(ISNUMBER(MATCH(H102,{"wholesome","heroic"},0)),ISNUMBER(MATCH(J102,{"wholesome","heroic"},0)),ISNUMBER(MATCH(L102,{"wholesome","heroic"},0)))),1,0)</f>
        <v>0</v>
      </c>
      <c r="S102">
        <f t="shared" si="4"/>
        <v>0</v>
      </c>
      <c r="T102">
        <f t="shared" si="5"/>
        <v>0</v>
      </c>
      <c r="U102" t="s">
        <v>3049</v>
      </c>
      <c r="V102" t="s">
        <v>1964</v>
      </c>
    </row>
    <row r="103" spans="1:22" x14ac:dyDescent="0.25">
      <c r="A103" t="s">
        <v>3453</v>
      </c>
      <c r="B103">
        <v>963</v>
      </c>
      <c r="C103" t="s">
        <v>14</v>
      </c>
      <c r="D103" t="s">
        <v>523</v>
      </c>
      <c r="E103" s="4">
        <v>45661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>
        <f t="shared" si="3"/>
        <v>0</v>
      </c>
      <c r="Q103">
        <f>IF(AND(P103=1,OR(ISNUMBER(MATCH(H103,{"menace","othering","ridicule","blame","victim"},0)),ISNUMBER(MATCH(J103,{"menace","othering","ridicule","blame","victim"},0)),ISNUMBER(MATCH(L103,{"menace","othering","ridicule","blame","victim"},0)))),1,0)</f>
        <v>0</v>
      </c>
      <c r="R103">
        <f>IF(AND(P103=1,Q103=0,OR(ISNUMBER(MATCH(H103,{"wholesome","heroic"},0)),ISNUMBER(MATCH(J103,{"wholesome","heroic"},0)),ISNUMBER(MATCH(L103,{"wholesome","heroic"},0)))),1,0)</f>
        <v>0</v>
      </c>
      <c r="S103">
        <f t="shared" si="4"/>
        <v>0</v>
      </c>
      <c r="T103">
        <f t="shared" si="5"/>
        <v>0</v>
      </c>
      <c r="U103" t="s">
        <v>3049</v>
      </c>
      <c r="V103" t="s">
        <v>3476</v>
      </c>
    </row>
    <row r="104" spans="1:22" x14ac:dyDescent="0.25">
      <c r="A104" t="s">
        <v>3451</v>
      </c>
      <c r="B104">
        <v>964</v>
      </c>
      <c r="C104" t="s">
        <v>14</v>
      </c>
      <c r="D104" t="s">
        <v>523</v>
      </c>
      <c r="E104" s="4">
        <v>45661</v>
      </c>
      <c r="F104" s="6">
        <v>1</v>
      </c>
      <c r="G104" s="6"/>
      <c r="H104" s="6"/>
      <c r="I104" s="6"/>
      <c r="J104" s="6"/>
      <c r="K104" s="6"/>
      <c r="L104" s="6"/>
      <c r="M104" s="6"/>
      <c r="N104" s="6"/>
      <c r="O104" s="6"/>
      <c r="P104">
        <f t="shared" si="3"/>
        <v>0</v>
      </c>
      <c r="Q104">
        <f>IF(AND(P104=1,OR(ISNUMBER(MATCH(H104,{"menace","othering","ridicule","blame","victim"},0)),ISNUMBER(MATCH(J104,{"menace","othering","ridicule","blame","victim"},0)),ISNUMBER(MATCH(L104,{"menace","othering","ridicule","blame","victim"},0)))),1,0)</f>
        <v>0</v>
      </c>
      <c r="R104">
        <f>IF(AND(P104=1,Q104=0,OR(ISNUMBER(MATCH(H104,{"wholesome","heroic"},0)),ISNUMBER(MATCH(J104,{"wholesome","heroic"},0)),ISNUMBER(MATCH(L104,{"wholesome","heroic"},0)))),1,0)</f>
        <v>0</v>
      </c>
      <c r="S104">
        <f t="shared" si="4"/>
        <v>0</v>
      </c>
      <c r="T104">
        <f t="shared" si="5"/>
        <v>0</v>
      </c>
      <c r="U104" t="s">
        <v>3049</v>
      </c>
      <c r="V104" t="s">
        <v>3450</v>
      </c>
    </row>
    <row r="105" spans="1:22" x14ac:dyDescent="0.25">
      <c r="A105" t="s">
        <v>3449</v>
      </c>
      <c r="B105">
        <v>965</v>
      </c>
      <c r="C105" t="s">
        <v>14</v>
      </c>
      <c r="D105" t="s">
        <v>523</v>
      </c>
      <c r="E105" s="4">
        <v>45662</v>
      </c>
      <c r="F105" s="6">
        <v>1</v>
      </c>
      <c r="G105" s="6"/>
      <c r="H105" s="6"/>
      <c r="I105" s="6"/>
      <c r="J105" s="6"/>
      <c r="K105" s="6"/>
      <c r="L105" s="6"/>
      <c r="M105" s="6"/>
      <c r="N105" s="6"/>
      <c r="O105" s="6"/>
      <c r="P105">
        <f t="shared" si="3"/>
        <v>0</v>
      </c>
      <c r="Q105">
        <f>IF(AND(P105=1,OR(ISNUMBER(MATCH(H105,{"menace","othering","ridicule","blame","victim"},0)),ISNUMBER(MATCH(J105,{"menace","othering","ridicule","blame","victim"},0)),ISNUMBER(MATCH(L105,{"menace","othering","ridicule","blame","victim"},0)))),1,0)</f>
        <v>0</v>
      </c>
      <c r="R105">
        <f>IF(AND(P105=1,Q105=0,OR(ISNUMBER(MATCH(H105,{"wholesome","heroic"},0)),ISNUMBER(MATCH(J105,{"wholesome","heroic"},0)),ISNUMBER(MATCH(L105,{"wholesome","heroic"},0)))),1,0)</f>
        <v>0</v>
      </c>
      <c r="S105">
        <f t="shared" si="4"/>
        <v>0</v>
      </c>
      <c r="T105">
        <f t="shared" si="5"/>
        <v>0</v>
      </c>
      <c r="U105" t="s">
        <v>3049</v>
      </c>
      <c r="V105" t="s">
        <v>3448</v>
      </c>
    </row>
    <row r="106" spans="1:22" x14ac:dyDescent="0.25">
      <c r="A106" t="s">
        <v>3447</v>
      </c>
      <c r="B106">
        <v>966</v>
      </c>
      <c r="C106" t="s">
        <v>14</v>
      </c>
      <c r="D106" t="s">
        <v>523</v>
      </c>
      <c r="E106" s="4">
        <v>45663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>
        <f t="shared" si="3"/>
        <v>0</v>
      </c>
      <c r="Q106">
        <f>IF(AND(P106=1,OR(ISNUMBER(MATCH(H106,{"menace","othering","ridicule","blame","victim"},0)),ISNUMBER(MATCH(J106,{"menace","othering","ridicule","blame","victim"},0)),ISNUMBER(MATCH(L106,{"menace","othering","ridicule","blame","victim"},0)))),1,0)</f>
        <v>0</v>
      </c>
      <c r="R106">
        <f>IF(AND(P106=1,Q106=0,OR(ISNUMBER(MATCH(H106,{"wholesome","heroic"},0)),ISNUMBER(MATCH(J106,{"wholesome","heroic"},0)),ISNUMBER(MATCH(L106,{"wholesome","heroic"},0)))),1,0)</f>
        <v>0</v>
      </c>
      <c r="S106">
        <f t="shared" si="4"/>
        <v>0</v>
      </c>
      <c r="T106">
        <f t="shared" si="5"/>
        <v>0</v>
      </c>
      <c r="U106" t="s">
        <v>3049</v>
      </c>
      <c r="V106" t="s">
        <v>3452</v>
      </c>
    </row>
    <row r="107" spans="1:22" x14ac:dyDescent="0.25">
      <c r="A107" t="s">
        <v>3446</v>
      </c>
      <c r="B107">
        <v>967</v>
      </c>
      <c r="C107" t="s">
        <v>14</v>
      </c>
      <c r="D107" t="s">
        <v>523</v>
      </c>
      <c r="E107" s="4">
        <v>45664</v>
      </c>
      <c r="F107" s="6">
        <v>1</v>
      </c>
      <c r="G107" s="6"/>
      <c r="H107" s="6"/>
      <c r="I107" s="6"/>
      <c r="J107" s="6"/>
      <c r="K107" s="6"/>
      <c r="L107" s="6"/>
      <c r="M107" s="6"/>
      <c r="N107" s="6"/>
      <c r="O107" s="6"/>
      <c r="P107">
        <f t="shared" si="3"/>
        <v>0</v>
      </c>
      <c r="Q107">
        <f>IF(AND(P107=1,OR(ISNUMBER(MATCH(H107,{"menace","othering","ridicule","blame","victim"},0)),ISNUMBER(MATCH(J107,{"menace","othering","ridicule","blame","victim"},0)),ISNUMBER(MATCH(L107,{"menace","othering","ridicule","blame","victim"},0)))),1,0)</f>
        <v>0</v>
      </c>
      <c r="R107">
        <f>IF(AND(P107=1,Q107=0,OR(ISNUMBER(MATCH(H107,{"wholesome","heroic"},0)),ISNUMBER(MATCH(J107,{"wholesome","heroic"},0)),ISNUMBER(MATCH(L107,{"wholesome","heroic"},0)))),1,0)</f>
        <v>0</v>
      </c>
      <c r="S107">
        <f t="shared" si="4"/>
        <v>0</v>
      </c>
      <c r="T107">
        <f t="shared" si="5"/>
        <v>0</v>
      </c>
      <c r="U107" t="s">
        <v>3049</v>
      </c>
      <c r="V107" t="s">
        <v>3066</v>
      </c>
    </row>
    <row r="108" spans="1:22" x14ac:dyDescent="0.25">
      <c r="A108" t="s">
        <v>3444</v>
      </c>
      <c r="B108">
        <v>971</v>
      </c>
      <c r="C108" t="s">
        <v>14</v>
      </c>
      <c r="D108" t="s">
        <v>523</v>
      </c>
      <c r="E108" s="4">
        <v>45668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>
        <f t="shared" si="3"/>
        <v>0</v>
      </c>
      <c r="Q108">
        <f>IF(AND(P108=1,OR(ISNUMBER(MATCH(H108,{"menace","othering","ridicule","blame","victim"},0)),ISNUMBER(MATCH(J108,{"menace","othering","ridicule","blame","victim"},0)),ISNUMBER(MATCH(L108,{"menace","othering","ridicule","blame","victim"},0)))),1,0)</f>
        <v>0</v>
      </c>
      <c r="R108">
        <f>IF(AND(P108=1,Q108=0,OR(ISNUMBER(MATCH(H108,{"wholesome","heroic"},0)),ISNUMBER(MATCH(J108,{"wholesome","heroic"},0)),ISNUMBER(MATCH(L108,{"wholesome","heroic"},0)))),1,0)</f>
        <v>0</v>
      </c>
      <c r="S108">
        <f t="shared" si="4"/>
        <v>0</v>
      </c>
      <c r="T108">
        <f t="shared" si="5"/>
        <v>0</v>
      </c>
      <c r="U108" t="s">
        <v>3049</v>
      </c>
      <c r="V108" t="s">
        <v>3443</v>
      </c>
    </row>
    <row r="109" spans="1:22" x14ac:dyDescent="0.25">
      <c r="A109" t="s">
        <v>3442</v>
      </c>
      <c r="B109">
        <v>973</v>
      </c>
      <c r="C109" t="s">
        <v>14</v>
      </c>
      <c r="D109" t="s">
        <v>523</v>
      </c>
      <c r="E109" s="4">
        <v>45669</v>
      </c>
      <c r="F109" s="6">
        <v>1</v>
      </c>
      <c r="G109" s="6"/>
      <c r="H109" s="6"/>
      <c r="I109" s="6"/>
      <c r="J109" s="6"/>
      <c r="K109" s="6"/>
      <c r="L109" s="6"/>
      <c r="M109" s="6"/>
      <c r="N109" s="6"/>
      <c r="O109" s="6"/>
      <c r="P109">
        <f t="shared" si="3"/>
        <v>0</v>
      </c>
      <c r="Q109">
        <f>IF(AND(P109=1,OR(ISNUMBER(MATCH(H109,{"menace","othering","ridicule","blame","victim"},0)),ISNUMBER(MATCH(J109,{"menace","othering","ridicule","blame","victim"},0)),ISNUMBER(MATCH(L109,{"menace","othering","ridicule","blame","victim"},0)))),1,0)</f>
        <v>0</v>
      </c>
      <c r="R109">
        <f>IF(AND(P109=1,Q109=0,OR(ISNUMBER(MATCH(H109,{"wholesome","heroic"},0)),ISNUMBER(MATCH(J109,{"wholesome","heroic"},0)),ISNUMBER(MATCH(L109,{"wholesome","heroic"},0)))),1,0)</f>
        <v>0</v>
      </c>
      <c r="S109">
        <f t="shared" si="4"/>
        <v>0</v>
      </c>
      <c r="T109">
        <f t="shared" si="5"/>
        <v>0</v>
      </c>
      <c r="U109" t="s">
        <v>3049</v>
      </c>
      <c r="V109" t="s">
        <v>3441</v>
      </c>
    </row>
    <row r="110" spans="1:22" x14ac:dyDescent="0.25">
      <c r="A110" t="s">
        <v>3686</v>
      </c>
      <c r="B110">
        <v>977</v>
      </c>
      <c r="C110" t="s">
        <v>14</v>
      </c>
      <c r="D110" t="s">
        <v>523</v>
      </c>
      <c r="E110" s="4">
        <v>45671</v>
      </c>
      <c r="F110" s="6">
        <v>1</v>
      </c>
      <c r="G110" s="6"/>
      <c r="H110" s="6"/>
      <c r="I110" s="6"/>
      <c r="J110" s="6"/>
      <c r="K110" s="6"/>
      <c r="L110" s="6"/>
      <c r="M110" s="6"/>
      <c r="N110" s="6"/>
      <c r="O110" s="6"/>
      <c r="P110">
        <f t="shared" si="3"/>
        <v>0</v>
      </c>
      <c r="Q110">
        <f>IF(AND(P110=1,OR(ISNUMBER(MATCH(H110,{"menace","othering","ridicule","blame","victim"},0)),ISNUMBER(MATCH(J110,{"menace","othering","ridicule","blame","victim"},0)),ISNUMBER(MATCH(L110,{"menace","othering","ridicule","blame","victim"},0)))),1,0)</f>
        <v>0</v>
      </c>
      <c r="R110">
        <f>IF(AND(P110=1,Q110=0,OR(ISNUMBER(MATCH(H110,{"wholesome","heroic"},0)),ISNUMBER(MATCH(J110,{"wholesome","heroic"},0)),ISNUMBER(MATCH(L110,{"wholesome","heroic"},0)))),1,0)</f>
        <v>0</v>
      </c>
      <c r="S110">
        <f t="shared" si="4"/>
        <v>0</v>
      </c>
      <c r="T110">
        <f t="shared" si="5"/>
        <v>0</v>
      </c>
      <c r="U110" t="s">
        <v>3049</v>
      </c>
      <c r="V110" t="s">
        <v>1952</v>
      </c>
    </row>
    <row r="111" spans="1:22" x14ac:dyDescent="0.25">
      <c r="A111" t="s">
        <v>3440</v>
      </c>
      <c r="B111">
        <v>981</v>
      </c>
      <c r="C111" t="s">
        <v>14</v>
      </c>
      <c r="D111" t="s">
        <v>523</v>
      </c>
      <c r="E111" s="4">
        <v>45672</v>
      </c>
      <c r="F111" s="6">
        <v>0</v>
      </c>
      <c r="G111" s="6" t="s">
        <v>2986</v>
      </c>
      <c r="H111" s="6" t="s">
        <v>2989</v>
      </c>
      <c r="I111" s="6" t="s">
        <v>2998</v>
      </c>
      <c r="J111" s="6" t="s">
        <v>2990</v>
      </c>
      <c r="K111" s="6"/>
      <c r="L111" s="6"/>
      <c r="M111" s="6" t="s">
        <v>3046</v>
      </c>
      <c r="N111" s="6" t="s">
        <v>3046</v>
      </c>
      <c r="O111" s="6"/>
      <c r="P111">
        <f t="shared" si="3"/>
        <v>1</v>
      </c>
      <c r="Q111">
        <f>IF(AND(P111=1,OR(ISNUMBER(MATCH(H111,{"menace","othering","ridicule","blame","victim"},0)),ISNUMBER(MATCH(J111,{"menace","othering","ridicule","blame","victim"},0)),ISNUMBER(MATCH(L111,{"menace","othering","ridicule","blame","victim"},0)))),1,0)</f>
        <v>0</v>
      </c>
      <c r="R111">
        <f>IF(AND(P111=1,Q111=0,OR(ISNUMBER(MATCH(H111,{"wholesome","heroic"},0)),ISNUMBER(MATCH(J111,{"wholesome","heroic"},0)),ISNUMBER(MATCH(L111,{"wholesome","heroic"},0)))),1,0)</f>
        <v>1</v>
      </c>
      <c r="S111">
        <f t="shared" si="4"/>
        <v>0</v>
      </c>
      <c r="T111">
        <f t="shared" si="5"/>
        <v>0</v>
      </c>
      <c r="U111" t="s">
        <v>3049</v>
      </c>
      <c r="V111" t="s">
        <v>1956</v>
      </c>
    </row>
    <row r="112" spans="1:22" x14ac:dyDescent="0.25">
      <c r="A112" t="s">
        <v>3439</v>
      </c>
      <c r="B112">
        <v>983</v>
      </c>
      <c r="C112" t="s">
        <v>14</v>
      </c>
      <c r="D112" t="s">
        <v>523</v>
      </c>
      <c r="E112" s="4">
        <v>45672</v>
      </c>
      <c r="F112" s="6">
        <v>0</v>
      </c>
      <c r="G112" s="6" t="s">
        <v>2986</v>
      </c>
      <c r="H112" s="6" t="s">
        <v>2989</v>
      </c>
      <c r="I112" s="6" t="s">
        <v>2991</v>
      </c>
      <c r="J112" s="6" t="s">
        <v>2989</v>
      </c>
      <c r="K112" s="6"/>
      <c r="L112" s="6"/>
      <c r="M112" s="6" t="s">
        <v>3046</v>
      </c>
      <c r="N112" s="6" t="s">
        <v>3046</v>
      </c>
      <c r="O112" s="6"/>
      <c r="P112">
        <f t="shared" si="3"/>
        <v>1</v>
      </c>
      <c r="Q112">
        <f>IF(AND(P112=1,OR(ISNUMBER(MATCH(H112,{"menace","othering","ridicule","blame","victim"},0)),ISNUMBER(MATCH(J112,{"menace","othering","ridicule","blame","victim"},0)),ISNUMBER(MATCH(L112,{"menace","othering","ridicule","blame","victim"},0)))),1,0)</f>
        <v>0</v>
      </c>
      <c r="R112">
        <f>IF(AND(P112=1,Q112=0,OR(ISNUMBER(MATCH(H112,{"wholesome","heroic"},0)),ISNUMBER(MATCH(J112,{"wholesome","heroic"},0)),ISNUMBER(MATCH(L112,{"wholesome","heroic"},0)))),1,0)</f>
        <v>0</v>
      </c>
      <c r="S112">
        <f t="shared" si="4"/>
        <v>1</v>
      </c>
      <c r="T112">
        <f t="shared" si="5"/>
        <v>0</v>
      </c>
      <c r="U112" t="s">
        <v>3049</v>
      </c>
      <c r="V112" t="s">
        <v>3438</v>
      </c>
    </row>
    <row r="113" spans="1:22" x14ac:dyDescent="0.25">
      <c r="A113" t="s">
        <v>3687</v>
      </c>
      <c r="B113">
        <v>984</v>
      </c>
      <c r="C113" t="s">
        <v>14</v>
      </c>
      <c r="D113" t="s">
        <v>523</v>
      </c>
      <c r="E113" s="4">
        <v>45673</v>
      </c>
      <c r="F113" s="6">
        <v>1</v>
      </c>
      <c r="G113" s="6"/>
      <c r="H113" s="6"/>
      <c r="I113" s="6"/>
      <c r="J113" s="6"/>
      <c r="K113" s="6"/>
      <c r="L113" s="6"/>
      <c r="M113" s="6"/>
      <c r="N113" s="6"/>
      <c r="O113" s="6"/>
      <c r="P113">
        <f t="shared" si="3"/>
        <v>0</v>
      </c>
      <c r="Q113">
        <f>IF(AND(P113=1,OR(ISNUMBER(MATCH(H113,{"menace","othering","ridicule","blame","victim"},0)),ISNUMBER(MATCH(J113,{"menace","othering","ridicule","blame","victim"},0)),ISNUMBER(MATCH(L113,{"menace","othering","ridicule","blame","victim"},0)))),1,0)</f>
        <v>0</v>
      </c>
      <c r="R113">
        <f>IF(AND(P113=1,Q113=0,OR(ISNUMBER(MATCH(H113,{"wholesome","heroic"},0)),ISNUMBER(MATCH(J113,{"wholesome","heroic"},0)),ISNUMBER(MATCH(L113,{"wholesome","heroic"},0)))),1,0)</f>
        <v>0</v>
      </c>
      <c r="S113">
        <f t="shared" si="4"/>
        <v>0</v>
      </c>
      <c r="T113">
        <f t="shared" si="5"/>
        <v>0</v>
      </c>
      <c r="U113" t="s">
        <v>3049</v>
      </c>
      <c r="V113" t="s">
        <v>1951</v>
      </c>
    </row>
    <row r="114" spans="1:22" x14ac:dyDescent="0.25">
      <c r="A114" t="s">
        <v>3069</v>
      </c>
      <c r="B114">
        <v>987</v>
      </c>
      <c r="C114" t="s">
        <v>14</v>
      </c>
      <c r="D114" t="s">
        <v>523</v>
      </c>
      <c r="E114" s="4">
        <v>45673</v>
      </c>
      <c r="F114" s="6">
        <v>0</v>
      </c>
      <c r="G114" s="6" t="s">
        <v>2986</v>
      </c>
      <c r="H114" s="6" t="s">
        <v>2989</v>
      </c>
      <c r="I114" s="6"/>
      <c r="J114" s="6"/>
      <c r="K114" s="6"/>
      <c r="L114" s="6"/>
      <c r="M114" s="6" t="s">
        <v>3046</v>
      </c>
      <c r="N114" s="6"/>
      <c r="O114" s="6"/>
      <c r="P114">
        <f t="shared" si="3"/>
        <v>1</v>
      </c>
      <c r="Q114">
        <f>IF(AND(P114=1,OR(ISNUMBER(MATCH(H114,{"menace","othering","ridicule","blame","victim"},0)),ISNUMBER(MATCH(J114,{"menace","othering","ridicule","blame","victim"},0)),ISNUMBER(MATCH(L114,{"menace","othering","ridicule","blame","victim"},0)))),1,0)</f>
        <v>0</v>
      </c>
      <c r="R114">
        <f>IF(AND(P114=1,Q114=0,OR(ISNUMBER(MATCH(H114,{"wholesome","heroic"},0)),ISNUMBER(MATCH(J114,{"wholesome","heroic"},0)),ISNUMBER(MATCH(L114,{"wholesome","heroic"},0)))),1,0)</f>
        <v>0</v>
      </c>
      <c r="S114">
        <f t="shared" si="4"/>
        <v>1</v>
      </c>
      <c r="T114">
        <f t="shared" si="5"/>
        <v>0</v>
      </c>
      <c r="U114" t="s">
        <v>3049</v>
      </c>
      <c r="V114" t="s">
        <v>3455</v>
      </c>
    </row>
    <row r="115" spans="1:22" x14ac:dyDescent="0.25">
      <c r="A115" t="s">
        <v>3437</v>
      </c>
      <c r="B115">
        <v>988</v>
      </c>
      <c r="C115" t="s">
        <v>14</v>
      </c>
      <c r="D115" t="s">
        <v>523</v>
      </c>
      <c r="E115" s="4">
        <v>45674</v>
      </c>
      <c r="F115" s="6">
        <v>1</v>
      </c>
      <c r="G115" s="6"/>
      <c r="H115" s="6"/>
      <c r="I115" s="6"/>
      <c r="J115" s="6"/>
      <c r="K115" s="6"/>
      <c r="L115" s="6"/>
      <c r="M115" s="6"/>
      <c r="N115" s="6"/>
      <c r="O115" s="6"/>
      <c r="P115">
        <f t="shared" si="3"/>
        <v>0</v>
      </c>
      <c r="Q115">
        <f>IF(AND(P115=1,OR(ISNUMBER(MATCH(H115,{"menace","othering","ridicule","blame","victim"},0)),ISNUMBER(MATCH(J115,{"menace","othering","ridicule","blame","victim"},0)),ISNUMBER(MATCH(L115,{"menace","othering","ridicule","blame","victim"},0)))),1,0)</f>
        <v>0</v>
      </c>
      <c r="R115">
        <f>IF(AND(P115=1,Q115=0,OR(ISNUMBER(MATCH(H115,{"wholesome","heroic"},0)),ISNUMBER(MATCH(J115,{"wholesome","heroic"},0)),ISNUMBER(MATCH(L115,{"wholesome","heroic"},0)))),1,0)</f>
        <v>0</v>
      </c>
      <c r="S115">
        <f t="shared" si="4"/>
        <v>0</v>
      </c>
      <c r="T115">
        <f t="shared" si="5"/>
        <v>0</v>
      </c>
      <c r="U115" t="s">
        <v>3049</v>
      </c>
      <c r="V115" t="s">
        <v>3436</v>
      </c>
    </row>
    <row r="116" spans="1:22" x14ac:dyDescent="0.25">
      <c r="A116" t="s">
        <v>3688</v>
      </c>
      <c r="B116">
        <v>990</v>
      </c>
      <c r="C116" t="s">
        <v>14</v>
      </c>
      <c r="D116" t="s">
        <v>523</v>
      </c>
      <c r="E116" s="4">
        <v>45675</v>
      </c>
      <c r="F116" s="6">
        <v>0</v>
      </c>
      <c r="G116" s="6" t="s">
        <v>3000</v>
      </c>
      <c r="H116" s="6" t="s">
        <v>2989</v>
      </c>
      <c r="I116" s="6"/>
      <c r="J116" s="6"/>
      <c r="K116" s="6"/>
      <c r="L116" s="6"/>
      <c r="M116" s="6" t="s">
        <v>3046</v>
      </c>
      <c r="N116" s="6"/>
      <c r="O116" s="6"/>
      <c r="P116">
        <f t="shared" si="3"/>
        <v>1</v>
      </c>
      <c r="Q116">
        <f>IF(AND(P116=1,OR(ISNUMBER(MATCH(H116,{"menace","othering","ridicule","blame","victim"},0)),ISNUMBER(MATCH(J116,{"menace","othering","ridicule","blame","victim"},0)),ISNUMBER(MATCH(L116,{"menace","othering","ridicule","blame","victim"},0)))),1,0)</f>
        <v>0</v>
      </c>
      <c r="R116">
        <f>IF(AND(P116=1,Q116=0,OR(ISNUMBER(MATCH(H116,{"wholesome","heroic"},0)),ISNUMBER(MATCH(J116,{"wholesome","heroic"},0)),ISNUMBER(MATCH(L116,{"wholesome","heroic"},0)))),1,0)</f>
        <v>0</v>
      </c>
      <c r="S116">
        <f t="shared" si="4"/>
        <v>1</v>
      </c>
      <c r="T116">
        <f t="shared" si="5"/>
        <v>0</v>
      </c>
      <c r="U116" t="s">
        <v>3049</v>
      </c>
      <c r="V116" t="s">
        <v>3411</v>
      </c>
    </row>
    <row r="117" spans="1:22" x14ac:dyDescent="0.25">
      <c r="A117" t="s">
        <v>3435</v>
      </c>
      <c r="B117">
        <v>991</v>
      </c>
      <c r="C117" t="s">
        <v>14</v>
      </c>
      <c r="D117" t="s">
        <v>523</v>
      </c>
      <c r="E117" s="4">
        <v>45676</v>
      </c>
      <c r="F117" s="6">
        <v>1</v>
      </c>
      <c r="G117" s="6"/>
      <c r="H117" s="6"/>
      <c r="I117" s="6"/>
      <c r="J117" s="6"/>
      <c r="K117" s="6"/>
      <c r="L117" s="6"/>
      <c r="M117" s="6"/>
      <c r="N117" s="6"/>
      <c r="O117" s="6"/>
      <c r="P117">
        <f t="shared" si="3"/>
        <v>0</v>
      </c>
      <c r="Q117">
        <f>IF(AND(P117=1,OR(ISNUMBER(MATCH(H117,{"menace","othering","ridicule","blame","victim"},0)),ISNUMBER(MATCH(J117,{"menace","othering","ridicule","blame","victim"},0)),ISNUMBER(MATCH(L117,{"menace","othering","ridicule","blame","victim"},0)))),1,0)</f>
        <v>0</v>
      </c>
      <c r="R117">
        <f>IF(AND(P117=1,Q117=0,OR(ISNUMBER(MATCH(H117,{"wholesome","heroic"},0)),ISNUMBER(MATCH(J117,{"wholesome","heroic"},0)),ISNUMBER(MATCH(L117,{"wholesome","heroic"},0)))),1,0)</f>
        <v>0</v>
      </c>
      <c r="S117">
        <f t="shared" si="4"/>
        <v>0</v>
      </c>
      <c r="T117">
        <f t="shared" si="5"/>
        <v>0</v>
      </c>
      <c r="U117" t="s">
        <v>3049</v>
      </c>
      <c r="V117" t="s">
        <v>1958</v>
      </c>
    </row>
    <row r="118" spans="1:22" x14ac:dyDescent="0.25">
      <c r="A118" t="s">
        <v>3433</v>
      </c>
      <c r="B118">
        <v>992</v>
      </c>
      <c r="C118" t="s">
        <v>14</v>
      </c>
      <c r="D118" t="s">
        <v>523</v>
      </c>
      <c r="E118" s="4">
        <v>45677</v>
      </c>
      <c r="F118" s="6">
        <v>0</v>
      </c>
      <c r="G118" s="6" t="s">
        <v>3000</v>
      </c>
      <c r="H118" s="6" t="s">
        <v>2989</v>
      </c>
      <c r="I118" s="6"/>
      <c r="J118" s="6"/>
      <c r="K118" s="6"/>
      <c r="L118" s="6"/>
      <c r="M118" s="6" t="s">
        <v>3046</v>
      </c>
      <c r="N118" s="6"/>
      <c r="O118" s="6"/>
      <c r="P118">
        <f t="shared" si="3"/>
        <v>1</v>
      </c>
      <c r="Q118">
        <f>IF(AND(P118=1,OR(ISNUMBER(MATCH(H118,{"menace","othering","ridicule","blame","victim"},0)),ISNUMBER(MATCH(J118,{"menace","othering","ridicule","blame","victim"},0)),ISNUMBER(MATCH(L118,{"menace","othering","ridicule","blame","victim"},0)))),1,0)</f>
        <v>0</v>
      </c>
      <c r="R118">
        <f>IF(AND(P118=1,Q118=0,OR(ISNUMBER(MATCH(H118,{"wholesome","heroic"},0)),ISNUMBER(MATCH(J118,{"wholesome","heroic"},0)),ISNUMBER(MATCH(L118,{"wholesome","heroic"},0)))),1,0)</f>
        <v>0</v>
      </c>
      <c r="S118">
        <f t="shared" si="4"/>
        <v>1</v>
      </c>
      <c r="T118">
        <f t="shared" si="5"/>
        <v>0</v>
      </c>
      <c r="U118" t="s">
        <v>3049</v>
      </c>
      <c r="V118" t="s">
        <v>3483</v>
      </c>
    </row>
    <row r="119" spans="1:22" x14ac:dyDescent="0.25">
      <c r="A119" t="s">
        <v>3432</v>
      </c>
      <c r="B119">
        <v>998</v>
      </c>
      <c r="C119" t="s">
        <v>14</v>
      </c>
      <c r="D119" t="s">
        <v>523</v>
      </c>
      <c r="E119" s="4">
        <v>45679</v>
      </c>
      <c r="F119" s="6">
        <v>0</v>
      </c>
      <c r="G119" s="6" t="s">
        <v>2986</v>
      </c>
      <c r="H119" s="6" t="s">
        <v>2989</v>
      </c>
      <c r="I119" s="6"/>
      <c r="J119" s="6"/>
      <c r="K119" s="6"/>
      <c r="L119" s="6"/>
      <c r="M119" s="6" t="s">
        <v>3046</v>
      </c>
      <c r="N119" s="6"/>
      <c r="O119" s="6"/>
      <c r="P119">
        <f t="shared" si="3"/>
        <v>1</v>
      </c>
      <c r="Q119">
        <f>IF(AND(P119=1,OR(ISNUMBER(MATCH(H119,{"menace","othering","ridicule","blame","victim"},0)),ISNUMBER(MATCH(J119,{"menace","othering","ridicule","blame","victim"},0)),ISNUMBER(MATCH(L119,{"menace","othering","ridicule","blame","victim"},0)))),1,0)</f>
        <v>0</v>
      </c>
      <c r="R119">
        <f>IF(AND(P119=1,Q119=0,OR(ISNUMBER(MATCH(H119,{"wholesome","heroic"},0)),ISNUMBER(MATCH(J119,{"wholesome","heroic"},0)),ISNUMBER(MATCH(L119,{"wholesome","heroic"},0)))),1,0)</f>
        <v>0</v>
      </c>
      <c r="S119">
        <f t="shared" si="4"/>
        <v>1</v>
      </c>
      <c r="T119">
        <f t="shared" si="5"/>
        <v>0</v>
      </c>
      <c r="U119" t="s">
        <v>3049</v>
      </c>
      <c r="V119" t="s">
        <v>3413</v>
      </c>
    </row>
    <row r="120" spans="1:22" x14ac:dyDescent="0.25">
      <c r="A120" t="s">
        <v>3430</v>
      </c>
      <c r="B120">
        <v>1000</v>
      </c>
      <c r="C120" t="s">
        <v>14</v>
      </c>
      <c r="D120" t="s">
        <v>523</v>
      </c>
      <c r="E120" s="4">
        <v>45680</v>
      </c>
      <c r="F120" s="6">
        <v>0</v>
      </c>
      <c r="G120" s="6" t="s">
        <v>3000</v>
      </c>
      <c r="H120" s="6" t="s">
        <v>2993</v>
      </c>
      <c r="I120" s="6"/>
      <c r="J120" s="6"/>
      <c r="K120" s="6"/>
      <c r="L120" s="6"/>
      <c r="M120" s="6" t="s">
        <v>3046</v>
      </c>
      <c r="N120" s="6"/>
      <c r="O120" s="6"/>
      <c r="P120">
        <f t="shared" si="3"/>
        <v>1</v>
      </c>
      <c r="Q120">
        <f>IF(AND(P120=1,OR(ISNUMBER(MATCH(H120,{"menace","othering","ridicule","blame","victim"},0)),ISNUMBER(MATCH(J120,{"menace","othering","ridicule","blame","victim"},0)),ISNUMBER(MATCH(L120,{"menace","othering","ridicule","blame","victim"},0)))),1,0)</f>
        <v>1</v>
      </c>
      <c r="R120">
        <f>IF(AND(P120=1,Q120=0,OR(ISNUMBER(MATCH(H120,{"wholesome","heroic"},0)),ISNUMBER(MATCH(J120,{"wholesome","heroic"},0)),ISNUMBER(MATCH(L120,{"wholesome","heroic"},0)))),1,0)</f>
        <v>0</v>
      </c>
      <c r="S120">
        <f t="shared" si="4"/>
        <v>0</v>
      </c>
      <c r="T120">
        <f t="shared" si="5"/>
        <v>0</v>
      </c>
      <c r="U120" t="s">
        <v>3049</v>
      </c>
      <c r="V120" t="s">
        <v>3429</v>
      </c>
    </row>
    <row r="121" spans="1:22" x14ac:dyDescent="0.25">
      <c r="A121" t="s">
        <v>3428</v>
      </c>
      <c r="B121">
        <v>1003</v>
      </c>
      <c r="C121" t="s">
        <v>14</v>
      </c>
      <c r="D121" t="s">
        <v>523</v>
      </c>
      <c r="E121" s="4">
        <v>45683</v>
      </c>
      <c r="F121" s="6">
        <v>0</v>
      </c>
      <c r="G121" s="6" t="s">
        <v>2995</v>
      </c>
      <c r="H121" s="6" t="s">
        <v>2994</v>
      </c>
      <c r="I121" s="6" t="s">
        <v>2988</v>
      </c>
      <c r="J121" s="6" t="s">
        <v>2990</v>
      </c>
      <c r="K121" s="6" t="s">
        <v>2986</v>
      </c>
      <c r="L121" s="6" t="s">
        <v>2989</v>
      </c>
      <c r="M121" s="6" t="s">
        <v>3046</v>
      </c>
      <c r="N121" s="6" t="s">
        <v>3046</v>
      </c>
      <c r="O121" s="6" t="s">
        <v>3046</v>
      </c>
      <c r="P121">
        <f t="shared" si="3"/>
        <v>1</v>
      </c>
      <c r="Q121">
        <f>IF(AND(P121=1,OR(ISNUMBER(MATCH(H121,{"menace","othering","ridicule","blame","victim"},0)),ISNUMBER(MATCH(J121,{"menace","othering","ridicule","blame","victim"},0)),ISNUMBER(MATCH(L121,{"menace","othering","ridicule","blame","victim"},0)))),1,0)</f>
        <v>0</v>
      </c>
      <c r="R121">
        <f>IF(AND(P121=1,Q121=0,OR(ISNUMBER(MATCH(H121,{"wholesome","heroic"},0)),ISNUMBER(MATCH(J121,{"wholesome","heroic"},0)),ISNUMBER(MATCH(L121,{"wholesome","heroic"},0)))),1,0)</f>
        <v>1</v>
      </c>
      <c r="S121">
        <f t="shared" si="4"/>
        <v>0</v>
      </c>
      <c r="T121">
        <f t="shared" si="5"/>
        <v>1</v>
      </c>
      <c r="U121" t="s">
        <v>3053</v>
      </c>
    </row>
    <row r="122" spans="1:22" x14ac:dyDescent="0.25">
      <c r="A122" t="s">
        <v>3427</v>
      </c>
      <c r="B122">
        <v>1005</v>
      </c>
      <c r="C122" t="s">
        <v>14</v>
      </c>
      <c r="D122" t="s">
        <v>523</v>
      </c>
      <c r="E122" s="4">
        <v>45683</v>
      </c>
      <c r="F122" s="6">
        <v>0</v>
      </c>
      <c r="G122" s="6" t="s">
        <v>2995</v>
      </c>
      <c r="H122" s="6" t="s">
        <v>2994</v>
      </c>
      <c r="I122" s="6" t="s">
        <v>2997</v>
      </c>
      <c r="J122" s="6" t="s">
        <v>2994</v>
      </c>
      <c r="K122" s="6"/>
      <c r="L122" s="6"/>
      <c r="M122" s="6" t="s">
        <v>3046</v>
      </c>
      <c r="N122" s="6" t="s">
        <v>3046</v>
      </c>
      <c r="O122" s="6"/>
      <c r="P122">
        <f t="shared" si="3"/>
        <v>1</v>
      </c>
      <c r="Q122">
        <f>IF(AND(P122=1,OR(ISNUMBER(MATCH(H122,{"menace","othering","ridicule","blame","victim"},0)),ISNUMBER(MATCH(J122,{"menace","othering","ridicule","blame","victim"},0)),ISNUMBER(MATCH(L122,{"menace","othering","ridicule","blame","victim"},0)))),1,0)</f>
        <v>0</v>
      </c>
      <c r="R122">
        <f>IF(AND(P122=1,Q122=0,OR(ISNUMBER(MATCH(H122,{"wholesome","heroic"},0)),ISNUMBER(MATCH(J122,{"wholesome","heroic"},0)),ISNUMBER(MATCH(L122,{"wholesome","heroic"},0)))),1,0)</f>
        <v>1</v>
      </c>
      <c r="S122">
        <f t="shared" si="4"/>
        <v>0</v>
      </c>
      <c r="T122">
        <f t="shared" si="5"/>
        <v>1</v>
      </c>
      <c r="U122" t="s">
        <v>3049</v>
      </c>
      <c r="V122" t="s">
        <v>1955</v>
      </c>
    </row>
    <row r="123" spans="1:22" x14ac:dyDescent="0.25">
      <c r="A123" t="s">
        <v>3426</v>
      </c>
      <c r="B123">
        <v>1007</v>
      </c>
      <c r="C123" t="s">
        <v>14</v>
      </c>
      <c r="D123" t="s">
        <v>523</v>
      </c>
      <c r="E123" s="4">
        <v>45684</v>
      </c>
      <c r="F123" s="6">
        <v>0</v>
      </c>
      <c r="G123" s="6" t="s">
        <v>2986</v>
      </c>
      <c r="H123" s="6" t="s">
        <v>2985</v>
      </c>
      <c r="I123" s="6" t="s">
        <v>3000</v>
      </c>
      <c r="J123" s="6" t="s">
        <v>2993</v>
      </c>
      <c r="K123" s="6"/>
      <c r="L123" s="6"/>
      <c r="M123" s="6" t="s">
        <v>3046</v>
      </c>
      <c r="N123" s="6" t="s">
        <v>3046</v>
      </c>
      <c r="O123" s="6"/>
      <c r="P123">
        <f t="shared" si="3"/>
        <v>1</v>
      </c>
      <c r="Q123">
        <f>IF(AND(P123=1,OR(ISNUMBER(MATCH(H123,{"menace","othering","ridicule","blame","victim"},0)),ISNUMBER(MATCH(J123,{"menace","othering","ridicule","blame","victim"},0)),ISNUMBER(MATCH(L123,{"menace","othering","ridicule","blame","victim"},0)))),1,0)</f>
        <v>1</v>
      </c>
      <c r="R123">
        <f>IF(AND(P123=1,Q123=0,OR(ISNUMBER(MATCH(H123,{"wholesome","heroic"},0)),ISNUMBER(MATCH(J123,{"wholesome","heroic"},0)),ISNUMBER(MATCH(L123,{"wholesome","heroic"},0)))),1,0)</f>
        <v>0</v>
      </c>
      <c r="S123">
        <f t="shared" si="4"/>
        <v>0</v>
      </c>
      <c r="T123">
        <f t="shared" si="5"/>
        <v>0</v>
      </c>
      <c r="U123" t="s">
        <v>3049</v>
      </c>
      <c r="V123" t="s">
        <v>3425</v>
      </c>
    </row>
    <row r="124" spans="1:22" x14ac:dyDescent="0.25">
      <c r="A124" t="s">
        <v>3424</v>
      </c>
      <c r="B124">
        <v>1013</v>
      </c>
      <c r="C124" t="s">
        <v>14</v>
      </c>
      <c r="D124" t="s">
        <v>523</v>
      </c>
      <c r="E124" s="4">
        <v>45692</v>
      </c>
      <c r="F124" s="6">
        <v>0</v>
      </c>
      <c r="G124" s="6" t="s">
        <v>2995</v>
      </c>
      <c r="H124" s="6" t="s">
        <v>2989</v>
      </c>
      <c r="I124" s="6"/>
      <c r="J124" s="6"/>
      <c r="K124" s="6"/>
      <c r="L124" s="6"/>
      <c r="M124" s="6" t="s">
        <v>3046</v>
      </c>
      <c r="N124" s="6"/>
      <c r="O124" s="6"/>
      <c r="P124">
        <f t="shared" si="3"/>
        <v>1</v>
      </c>
      <c r="Q124">
        <f>IF(AND(P124=1,OR(ISNUMBER(MATCH(H124,{"menace","othering","ridicule","blame","victim"},0)),ISNUMBER(MATCH(J124,{"menace","othering","ridicule","blame","victim"},0)),ISNUMBER(MATCH(L124,{"menace","othering","ridicule","blame","victim"},0)))),1,0)</f>
        <v>0</v>
      </c>
      <c r="R124">
        <f>IF(AND(P124=1,Q124=0,OR(ISNUMBER(MATCH(H124,{"wholesome","heroic"},0)),ISNUMBER(MATCH(J124,{"wholesome","heroic"},0)),ISNUMBER(MATCH(L124,{"wholesome","heroic"},0)))),1,0)</f>
        <v>0</v>
      </c>
      <c r="S124">
        <f t="shared" si="4"/>
        <v>1</v>
      </c>
      <c r="T124">
        <f t="shared" si="5"/>
        <v>1</v>
      </c>
      <c r="U124" t="s">
        <v>3053</v>
      </c>
    </row>
    <row r="125" spans="1:22" x14ac:dyDescent="0.25">
      <c r="A125" t="s">
        <v>3422</v>
      </c>
      <c r="B125">
        <v>1018</v>
      </c>
      <c r="C125" t="s">
        <v>14</v>
      </c>
      <c r="D125" t="s">
        <v>523</v>
      </c>
      <c r="E125" s="4">
        <v>45694</v>
      </c>
      <c r="F125" s="6">
        <v>0</v>
      </c>
      <c r="G125" s="6" t="s">
        <v>3862</v>
      </c>
      <c r="H125" s="6" t="s">
        <v>2989</v>
      </c>
      <c r="I125" s="6"/>
      <c r="J125" s="6"/>
      <c r="K125" s="6"/>
      <c r="L125" s="6"/>
      <c r="M125" s="6" t="s">
        <v>3046</v>
      </c>
      <c r="N125" s="6"/>
      <c r="O125" s="6"/>
      <c r="P125">
        <f t="shared" si="3"/>
        <v>1</v>
      </c>
      <c r="Q125">
        <f>IF(AND(P125=1,OR(ISNUMBER(MATCH(H125,{"menace","othering","ridicule","blame","victim"},0)),ISNUMBER(MATCH(J125,{"menace","othering","ridicule","blame","victim"},0)),ISNUMBER(MATCH(L125,{"menace","othering","ridicule","blame","victim"},0)))),1,0)</f>
        <v>0</v>
      </c>
      <c r="R125">
        <f>IF(AND(P125=1,Q125=0,OR(ISNUMBER(MATCH(H125,{"wholesome","heroic"},0)),ISNUMBER(MATCH(J125,{"wholesome","heroic"},0)),ISNUMBER(MATCH(L125,{"wholesome","heroic"},0)))),1,0)</f>
        <v>0</v>
      </c>
      <c r="S125">
        <f t="shared" si="4"/>
        <v>1</v>
      </c>
      <c r="T125">
        <f t="shared" si="5"/>
        <v>0</v>
      </c>
      <c r="U125" t="s">
        <v>3053</v>
      </c>
    </row>
    <row r="126" spans="1:22" x14ac:dyDescent="0.25">
      <c r="A126" t="s">
        <v>3421</v>
      </c>
      <c r="B126">
        <v>1022</v>
      </c>
      <c r="C126" t="s">
        <v>14</v>
      </c>
      <c r="D126" t="s">
        <v>523</v>
      </c>
      <c r="E126" s="4">
        <v>45695</v>
      </c>
      <c r="F126" s="6">
        <v>0</v>
      </c>
      <c r="G126" s="6" t="s">
        <v>3862</v>
      </c>
      <c r="H126" s="6" t="s">
        <v>2989</v>
      </c>
      <c r="I126" s="6" t="s">
        <v>2991</v>
      </c>
      <c r="J126" s="6" t="s">
        <v>2989</v>
      </c>
      <c r="K126" s="6"/>
      <c r="L126" s="6"/>
      <c r="M126" s="6" t="s">
        <v>3046</v>
      </c>
      <c r="N126" s="6" t="s">
        <v>3046</v>
      </c>
      <c r="O126" s="6"/>
      <c r="P126">
        <f t="shared" si="3"/>
        <v>1</v>
      </c>
      <c r="Q126">
        <f>IF(AND(P126=1,OR(ISNUMBER(MATCH(H126,{"menace","othering","ridicule","blame","victim"},0)),ISNUMBER(MATCH(J126,{"menace","othering","ridicule","blame","victim"},0)),ISNUMBER(MATCH(L126,{"menace","othering","ridicule","blame","victim"},0)))),1,0)</f>
        <v>0</v>
      </c>
      <c r="R126">
        <f>IF(AND(P126=1,Q126=0,OR(ISNUMBER(MATCH(H126,{"wholesome","heroic"},0)),ISNUMBER(MATCH(J126,{"wholesome","heroic"},0)),ISNUMBER(MATCH(L126,{"wholesome","heroic"},0)))),1,0)</f>
        <v>0</v>
      </c>
      <c r="S126">
        <f t="shared" si="4"/>
        <v>1</v>
      </c>
      <c r="T126">
        <f t="shared" si="5"/>
        <v>0</v>
      </c>
      <c r="U126" t="s">
        <v>3053</v>
      </c>
    </row>
    <row r="127" spans="1:22" x14ac:dyDescent="0.25">
      <c r="A127" t="s">
        <v>3420</v>
      </c>
      <c r="B127">
        <v>1023</v>
      </c>
      <c r="C127" t="s">
        <v>14</v>
      </c>
      <c r="D127" t="s">
        <v>523</v>
      </c>
      <c r="E127" s="4">
        <v>45695</v>
      </c>
      <c r="F127" s="6">
        <v>0</v>
      </c>
      <c r="G127" s="6" t="s">
        <v>2986</v>
      </c>
      <c r="H127" s="6" t="s">
        <v>2989</v>
      </c>
      <c r="I127" s="6"/>
      <c r="J127" s="6"/>
      <c r="K127" s="6"/>
      <c r="L127" s="6"/>
      <c r="M127" s="6" t="s">
        <v>3046</v>
      </c>
      <c r="N127" s="6"/>
      <c r="O127" s="6"/>
      <c r="P127">
        <f t="shared" si="3"/>
        <v>1</v>
      </c>
      <c r="Q127">
        <f>IF(AND(P127=1,OR(ISNUMBER(MATCH(H127,{"menace","othering","ridicule","blame","victim"},0)),ISNUMBER(MATCH(J127,{"menace","othering","ridicule","blame","victim"},0)),ISNUMBER(MATCH(L127,{"menace","othering","ridicule","blame","victim"},0)))),1,0)</f>
        <v>0</v>
      </c>
      <c r="R127">
        <f>IF(AND(P127=1,Q127=0,OR(ISNUMBER(MATCH(H127,{"wholesome","heroic"},0)),ISNUMBER(MATCH(J127,{"wholesome","heroic"},0)),ISNUMBER(MATCH(L127,{"wholesome","heroic"},0)))),1,0)</f>
        <v>0</v>
      </c>
      <c r="S127">
        <f t="shared" si="4"/>
        <v>1</v>
      </c>
      <c r="T127">
        <f t="shared" si="5"/>
        <v>0</v>
      </c>
      <c r="U127" t="s">
        <v>3049</v>
      </c>
      <c r="V127" t="s">
        <v>1957</v>
      </c>
    </row>
    <row r="128" spans="1:22" x14ac:dyDescent="0.25">
      <c r="A128" t="s">
        <v>3419</v>
      </c>
      <c r="B128">
        <v>1027</v>
      </c>
      <c r="C128" t="s">
        <v>14</v>
      </c>
      <c r="D128" t="s">
        <v>523</v>
      </c>
      <c r="E128" s="4">
        <v>45698</v>
      </c>
      <c r="F128" s="6">
        <v>0</v>
      </c>
      <c r="G128" s="6" t="s">
        <v>2986</v>
      </c>
      <c r="H128" s="6" t="s">
        <v>2989</v>
      </c>
      <c r="I128" s="6"/>
      <c r="J128" s="6"/>
      <c r="K128" s="6"/>
      <c r="L128" s="6"/>
      <c r="M128" s="6" t="s">
        <v>3046</v>
      </c>
      <c r="N128" s="6"/>
      <c r="O128" s="6"/>
      <c r="P128">
        <f t="shared" si="3"/>
        <v>1</v>
      </c>
      <c r="Q128">
        <f>IF(AND(P128=1,OR(ISNUMBER(MATCH(H128,{"menace","othering","ridicule","blame","victim"},0)),ISNUMBER(MATCH(J128,{"menace","othering","ridicule","blame","victim"},0)),ISNUMBER(MATCH(L128,{"menace","othering","ridicule","blame","victim"},0)))),1,0)</f>
        <v>0</v>
      </c>
      <c r="R128">
        <f>IF(AND(P128=1,Q128=0,OR(ISNUMBER(MATCH(H128,{"wholesome","heroic"},0)),ISNUMBER(MATCH(J128,{"wholesome","heroic"},0)),ISNUMBER(MATCH(L128,{"wholesome","heroic"},0)))),1,0)</f>
        <v>0</v>
      </c>
      <c r="S128">
        <f t="shared" si="4"/>
        <v>1</v>
      </c>
      <c r="T128">
        <f t="shared" si="5"/>
        <v>0</v>
      </c>
      <c r="U128" t="s">
        <v>3053</v>
      </c>
    </row>
    <row r="129" spans="1:22" x14ac:dyDescent="0.25">
      <c r="A129" t="s">
        <v>3418</v>
      </c>
      <c r="B129">
        <v>1034</v>
      </c>
      <c r="C129" t="s">
        <v>14</v>
      </c>
      <c r="D129" t="s">
        <v>523</v>
      </c>
      <c r="E129" s="4">
        <v>45702</v>
      </c>
      <c r="F129" s="6">
        <v>0</v>
      </c>
      <c r="G129" s="6" t="s">
        <v>2995</v>
      </c>
      <c r="H129" s="6" t="s">
        <v>2989</v>
      </c>
      <c r="I129" s="6"/>
      <c r="J129" s="6"/>
      <c r="K129" s="6"/>
      <c r="L129" s="6"/>
      <c r="M129" s="6" t="s">
        <v>3046</v>
      </c>
      <c r="N129" s="6"/>
      <c r="O129" s="6"/>
      <c r="P129">
        <f t="shared" si="3"/>
        <v>1</v>
      </c>
      <c r="Q129">
        <f>IF(AND(P129=1,OR(ISNUMBER(MATCH(H129,{"menace","othering","ridicule","blame","victim"},0)),ISNUMBER(MATCH(J129,{"menace","othering","ridicule","blame","victim"},0)),ISNUMBER(MATCH(L129,{"menace","othering","ridicule","blame","victim"},0)))),1,0)</f>
        <v>0</v>
      </c>
      <c r="R129">
        <f>IF(AND(P129=1,Q129=0,OR(ISNUMBER(MATCH(H129,{"wholesome","heroic"},0)),ISNUMBER(MATCH(J129,{"wholesome","heroic"},0)),ISNUMBER(MATCH(L129,{"wholesome","heroic"},0)))),1,0)</f>
        <v>0</v>
      </c>
      <c r="S129">
        <f t="shared" si="4"/>
        <v>1</v>
      </c>
      <c r="T129">
        <f t="shared" si="5"/>
        <v>1</v>
      </c>
      <c r="U129" t="s">
        <v>3049</v>
      </c>
      <c r="V129" t="s">
        <v>3417</v>
      </c>
    </row>
    <row r="130" spans="1:22" x14ac:dyDescent="0.25">
      <c r="A130" t="s">
        <v>3416</v>
      </c>
      <c r="B130">
        <v>1038</v>
      </c>
      <c r="C130" t="s">
        <v>14</v>
      </c>
      <c r="D130" t="s">
        <v>523</v>
      </c>
      <c r="E130" s="4">
        <v>45705</v>
      </c>
      <c r="F130" s="6">
        <v>0</v>
      </c>
      <c r="G130" s="6" t="s">
        <v>2995</v>
      </c>
      <c r="H130" s="6" t="s">
        <v>2989</v>
      </c>
      <c r="I130" s="6"/>
      <c r="J130" s="6"/>
      <c r="K130" s="6"/>
      <c r="L130" s="6"/>
      <c r="M130" s="6" t="s">
        <v>3046</v>
      </c>
      <c r="N130" s="6"/>
      <c r="O130" s="6"/>
      <c r="P130">
        <f t="shared" ref="P130:P193" si="6">IF(F130=0,1,0)</f>
        <v>1</v>
      </c>
      <c r="Q130">
        <f>IF(AND(P130=1,OR(ISNUMBER(MATCH(H130,{"menace","othering","ridicule","blame","victim"},0)),ISNUMBER(MATCH(J130,{"menace","othering","ridicule","blame","victim"},0)),ISNUMBER(MATCH(L130,{"menace","othering","ridicule","blame","victim"},0)))),1,0)</f>
        <v>0</v>
      </c>
      <c r="R130">
        <f>IF(AND(P130=1,Q130=0,OR(ISNUMBER(MATCH(H130,{"wholesome","heroic"},0)),ISNUMBER(MATCH(J130,{"wholesome","heroic"},0)),ISNUMBER(MATCH(L130,{"wholesome","heroic"},0)))),1,0)</f>
        <v>0</v>
      </c>
      <c r="S130">
        <f t="shared" ref="S130:S193" si="7">IF(AND(P130=1,Q130=0,R130=0),1,0)</f>
        <v>1</v>
      </c>
      <c r="T130">
        <f t="shared" ref="T130:T193" si="8">IF(AND(P130=1,OR(G130="own_leader",I130="own_leader",K130="own_leader")),1,0)</f>
        <v>1</v>
      </c>
      <c r="U130" t="s">
        <v>3053</v>
      </c>
    </row>
    <row r="131" spans="1:22" x14ac:dyDescent="0.25">
      <c r="A131" t="s">
        <v>3817</v>
      </c>
      <c r="B131">
        <v>1015</v>
      </c>
      <c r="C131" t="s">
        <v>14</v>
      </c>
      <c r="D131" t="s">
        <v>523</v>
      </c>
      <c r="E131" s="4">
        <v>45692</v>
      </c>
      <c r="F131" s="6">
        <v>0</v>
      </c>
      <c r="G131" s="6" t="s">
        <v>2995</v>
      </c>
      <c r="H131" s="6" t="s">
        <v>2989</v>
      </c>
      <c r="I131" s="6"/>
      <c r="J131" s="6"/>
      <c r="K131" s="6"/>
      <c r="L131" s="6"/>
      <c r="M131" s="6" t="s">
        <v>3046</v>
      </c>
      <c r="N131" s="6"/>
      <c r="O131" s="6"/>
      <c r="P131">
        <f t="shared" si="6"/>
        <v>1</v>
      </c>
      <c r="Q131">
        <f>IF(AND(P131=1,OR(ISNUMBER(MATCH(H131,{"menace","othering","ridicule","blame","victim"},0)),ISNUMBER(MATCH(J131,{"menace","othering","ridicule","blame","victim"},0)),ISNUMBER(MATCH(L131,{"menace","othering","ridicule","blame","victim"},0)))),1,0)</f>
        <v>0</v>
      </c>
      <c r="R131">
        <f>IF(AND(P131=1,Q131=0,OR(ISNUMBER(MATCH(H131,{"wholesome","heroic"},0)),ISNUMBER(MATCH(J131,{"wholesome","heroic"},0)),ISNUMBER(MATCH(L131,{"wholesome","heroic"},0)))),1,0)</f>
        <v>0</v>
      </c>
      <c r="S131">
        <f t="shared" si="7"/>
        <v>1</v>
      </c>
      <c r="T131">
        <f t="shared" si="8"/>
        <v>1</v>
      </c>
      <c r="U131" t="s">
        <v>3049</v>
      </c>
      <c r="V131" t="s">
        <v>3415</v>
      </c>
    </row>
    <row r="132" spans="1:22" x14ac:dyDescent="0.25">
      <c r="A132" t="s">
        <v>3414</v>
      </c>
      <c r="B132">
        <v>1041</v>
      </c>
      <c r="C132" t="s">
        <v>14</v>
      </c>
      <c r="D132" t="s">
        <v>523</v>
      </c>
      <c r="E132" s="4">
        <v>45706</v>
      </c>
      <c r="F132" s="6">
        <v>0</v>
      </c>
      <c r="G132" s="6" t="s">
        <v>2991</v>
      </c>
      <c r="H132" s="6" t="s">
        <v>2989</v>
      </c>
      <c r="I132" s="6"/>
      <c r="J132" s="6"/>
      <c r="K132" s="6"/>
      <c r="L132" s="6"/>
      <c r="M132" s="6" t="s">
        <v>3046</v>
      </c>
      <c r="N132" s="6"/>
      <c r="O132" s="6"/>
      <c r="P132">
        <f t="shared" si="6"/>
        <v>1</v>
      </c>
      <c r="Q132">
        <f>IF(AND(P132=1,OR(ISNUMBER(MATCH(H132,{"menace","othering","ridicule","blame","victim"},0)),ISNUMBER(MATCH(J132,{"menace","othering","ridicule","blame","victim"},0)),ISNUMBER(MATCH(L132,{"menace","othering","ridicule","blame","victim"},0)))),1,0)</f>
        <v>0</v>
      </c>
      <c r="R132">
        <f>IF(AND(P132=1,Q132=0,OR(ISNUMBER(MATCH(H132,{"wholesome","heroic"},0)),ISNUMBER(MATCH(J132,{"wholesome","heroic"},0)),ISNUMBER(MATCH(L132,{"wholesome","heroic"},0)))),1,0)</f>
        <v>0</v>
      </c>
      <c r="S132">
        <f t="shared" si="7"/>
        <v>1</v>
      </c>
      <c r="T132">
        <f t="shared" si="8"/>
        <v>0</v>
      </c>
      <c r="U132" t="s">
        <v>3049</v>
      </c>
      <c r="V132" t="s">
        <v>3431</v>
      </c>
    </row>
    <row r="133" spans="1:22" x14ac:dyDescent="0.25">
      <c r="A133" t="s">
        <v>3412</v>
      </c>
      <c r="B133">
        <v>1047</v>
      </c>
      <c r="C133" t="s">
        <v>14</v>
      </c>
      <c r="D133" t="s">
        <v>523</v>
      </c>
      <c r="E133" s="4">
        <v>45709</v>
      </c>
      <c r="F133" s="6">
        <v>0</v>
      </c>
      <c r="G133" s="6" t="s">
        <v>2999</v>
      </c>
      <c r="H133" s="6" t="s">
        <v>2989</v>
      </c>
      <c r="I133" s="6"/>
      <c r="J133" s="6"/>
      <c r="K133" s="6"/>
      <c r="L133" s="6"/>
      <c r="M133" s="6" t="s">
        <v>3046</v>
      </c>
      <c r="N133" s="6"/>
      <c r="O133" s="6"/>
      <c r="P133">
        <f t="shared" si="6"/>
        <v>1</v>
      </c>
      <c r="Q133">
        <f>IF(AND(P133=1,OR(ISNUMBER(MATCH(H133,{"menace","othering","ridicule","blame","victim"},0)),ISNUMBER(MATCH(J133,{"menace","othering","ridicule","blame","victim"},0)),ISNUMBER(MATCH(L133,{"menace","othering","ridicule","blame","victim"},0)))),1,0)</f>
        <v>0</v>
      </c>
      <c r="R133">
        <f>IF(AND(P133=1,Q133=0,OR(ISNUMBER(MATCH(H133,{"wholesome","heroic"},0)),ISNUMBER(MATCH(J133,{"wholesome","heroic"},0)),ISNUMBER(MATCH(L133,{"wholesome","heroic"},0)))),1,0)</f>
        <v>0</v>
      </c>
      <c r="S133">
        <f t="shared" si="7"/>
        <v>1</v>
      </c>
      <c r="T133">
        <f t="shared" si="8"/>
        <v>0</v>
      </c>
      <c r="U133" t="s">
        <v>3049</v>
      </c>
      <c r="V133" t="s">
        <v>3423</v>
      </c>
    </row>
    <row r="134" spans="1:22" x14ac:dyDescent="0.25">
      <c r="A134" t="s">
        <v>3410</v>
      </c>
      <c r="B134">
        <v>1049</v>
      </c>
      <c r="C134" t="s">
        <v>14</v>
      </c>
      <c r="D134" t="s">
        <v>523</v>
      </c>
      <c r="E134" s="4">
        <v>45709</v>
      </c>
      <c r="F134" s="6">
        <v>0</v>
      </c>
      <c r="G134" s="6" t="s">
        <v>2997</v>
      </c>
      <c r="H134" s="6" t="s">
        <v>2993</v>
      </c>
      <c r="I134" s="6" t="s">
        <v>3000</v>
      </c>
      <c r="J134" s="6" t="s">
        <v>2987</v>
      </c>
      <c r="K134" s="6"/>
      <c r="L134" s="6"/>
      <c r="M134" s="6" t="s">
        <v>3046</v>
      </c>
      <c r="N134" s="6" t="s">
        <v>3046</v>
      </c>
      <c r="O134" s="6"/>
      <c r="P134">
        <f t="shared" si="6"/>
        <v>1</v>
      </c>
      <c r="Q134">
        <f>IF(AND(P134=1,OR(ISNUMBER(MATCH(H134,{"menace","othering","ridicule","blame","victim"},0)),ISNUMBER(MATCH(J134,{"menace","othering","ridicule","blame","victim"},0)),ISNUMBER(MATCH(L134,{"menace","othering","ridicule","blame","victim"},0)))),1,0)</f>
        <v>1</v>
      </c>
      <c r="R134">
        <f>IF(AND(P134=1,Q134=0,OR(ISNUMBER(MATCH(H134,{"wholesome","heroic"},0)),ISNUMBER(MATCH(J134,{"wholesome","heroic"},0)),ISNUMBER(MATCH(L134,{"wholesome","heroic"},0)))),1,0)</f>
        <v>0</v>
      </c>
      <c r="S134">
        <f t="shared" si="7"/>
        <v>0</v>
      </c>
      <c r="T134">
        <f t="shared" si="8"/>
        <v>0</v>
      </c>
      <c r="U134" t="s">
        <v>3049</v>
      </c>
      <c r="V134" t="s">
        <v>1954</v>
      </c>
    </row>
    <row r="135" spans="1:22" x14ac:dyDescent="0.25">
      <c r="A135" t="s">
        <v>3063</v>
      </c>
      <c r="B135">
        <v>1097</v>
      </c>
      <c r="C135" t="s">
        <v>16</v>
      </c>
      <c r="D135" t="s">
        <v>523</v>
      </c>
      <c r="E135" s="4">
        <v>45638</v>
      </c>
      <c r="F135" s="6">
        <v>0</v>
      </c>
      <c r="G135" s="6" t="s">
        <v>2995</v>
      </c>
      <c r="H135" s="6" t="s">
        <v>2989</v>
      </c>
      <c r="I135" s="6"/>
      <c r="J135" s="6"/>
      <c r="K135" s="6"/>
      <c r="L135" s="6"/>
      <c r="M135" s="6" t="s">
        <v>3046</v>
      </c>
      <c r="N135" s="6"/>
      <c r="O135" s="6"/>
      <c r="P135">
        <f t="shared" si="6"/>
        <v>1</v>
      </c>
      <c r="Q135">
        <f>IF(AND(P135=1,OR(ISNUMBER(MATCH(H135,{"menace","othering","ridicule","blame","victim"},0)),ISNUMBER(MATCH(J135,{"menace","othering","ridicule","blame","victim"},0)),ISNUMBER(MATCH(L135,{"menace","othering","ridicule","blame","victim"},0)))),1,0)</f>
        <v>0</v>
      </c>
      <c r="R135">
        <f>IF(AND(P135=1,Q135=0,OR(ISNUMBER(MATCH(H135,{"wholesome","heroic"},0)),ISNUMBER(MATCH(J135,{"wholesome","heroic"},0)),ISNUMBER(MATCH(L135,{"wholesome","heroic"},0)))),1,0)</f>
        <v>0</v>
      </c>
      <c r="S135">
        <f t="shared" si="7"/>
        <v>1</v>
      </c>
      <c r="T135">
        <f t="shared" si="8"/>
        <v>1</v>
      </c>
      <c r="U135" t="s">
        <v>3053</v>
      </c>
    </row>
    <row r="136" spans="1:22" x14ac:dyDescent="0.25">
      <c r="A136" t="s">
        <v>3689</v>
      </c>
      <c r="B136">
        <v>1102</v>
      </c>
      <c r="C136" t="s">
        <v>16</v>
      </c>
      <c r="D136" t="s">
        <v>523</v>
      </c>
      <c r="E136" s="4">
        <v>45639</v>
      </c>
      <c r="F136" s="6">
        <v>0</v>
      </c>
      <c r="G136" s="6" t="s">
        <v>2995</v>
      </c>
      <c r="H136" s="6" t="s">
        <v>2989</v>
      </c>
      <c r="I136" s="6"/>
      <c r="J136" s="6"/>
      <c r="K136" s="6"/>
      <c r="L136" s="6"/>
      <c r="M136" s="6" t="s">
        <v>3046</v>
      </c>
      <c r="N136" s="6"/>
      <c r="O136" s="6"/>
      <c r="P136">
        <f t="shared" si="6"/>
        <v>1</v>
      </c>
      <c r="Q136">
        <f>IF(AND(P136=1,OR(ISNUMBER(MATCH(H136,{"menace","othering","ridicule","blame","victim"},0)),ISNUMBER(MATCH(J136,{"menace","othering","ridicule","blame","victim"},0)),ISNUMBER(MATCH(L136,{"menace","othering","ridicule","blame","victim"},0)))),1,0)</f>
        <v>0</v>
      </c>
      <c r="R136">
        <f>IF(AND(P136=1,Q136=0,OR(ISNUMBER(MATCH(H136,{"wholesome","heroic"},0)),ISNUMBER(MATCH(J136,{"wholesome","heroic"},0)),ISNUMBER(MATCH(L136,{"wholesome","heroic"},0)))),1,0)</f>
        <v>0</v>
      </c>
      <c r="S136">
        <f t="shared" si="7"/>
        <v>1</v>
      </c>
      <c r="T136">
        <f t="shared" si="8"/>
        <v>1</v>
      </c>
      <c r="U136" t="s">
        <v>3049</v>
      </c>
      <c r="V136" t="s">
        <v>3385</v>
      </c>
    </row>
    <row r="137" spans="1:22" x14ac:dyDescent="0.25">
      <c r="A137" t="s">
        <v>3690</v>
      </c>
      <c r="B137">
        <v>1104</v>
      </c>
      <c r="C137" t="s">
        <v>16</v>
      </c>
      <c r="D137" t="s">
        <v>523</v>
      </c>
      <c r="E137" s="4">
        <v>45640</v>
      </c>
      <c r="F137" s="6">
        <v>0</v>
      </c>
      <c r="G137" s="6" t="s">
        <v>2995</v>
      </c>
      <c r="H137" s="6" t="s">
        <v>2989</v>
      </c>
      <c r="I137" s="6"/>
      <c r="J137" s="6"/>
      <c r="K137" s="6"/>
      <c r="L137" s="6"/>
      <c r="M137" s="6" t="s">
        <v>3046</v>
      </c>
      <c r="N137" s="6"/>
      <c r="O137" s="6"/>
      <c r="P137">
        <f t="shared" si="6"/>
        <v>1</v>
      </c>
      <c r="Q137">
        <f>IF(AND(P137=1,OR(ISNUMBER(MATCH(H137,{"menace","othering","ridicule","blame","victim"},0)),ISNUMBER(MATCH(J137,{"menace","othering","ridicule","blame","victim"},0)),ISNUMBER(MATCH(L137,{"menace","othering","ridicule","blame","victim"},0)))),1,0)</f>
        <v>0</v>
      </c>
      <c r="R137">
        <f>IF(AND(P137=1,Q137=0,OR(ISNUMBER(MATCH(H137,{"wholesome","heroic"},0)),ISNUMBER(MATCH(J137,{"wholesome","heroic"},0)),ISNUMBER(MATCH(L137,{"wholesome","heroic"},0)))),1,0)</f>
        <v>0</v>
      </c>
      <c r="S137">
        <f t="shared" si="7"/>
        <v>1</v>
      </c>
      <c r="T137">
        <f t="shared" si="8"/>
        <v>1</v>
      </c>
      <c r="U137" t="s">
        <v>3049</v>
      </c>
      <c r="V137" t="s">
        <v>3408</v>
      </c>
    </row>
    <row r="138" spans="1:22" x14ac:dyDescent="0.25">
      <c r="A138" t="s">
        <v>3409</v>
      </c>
      <c r="B138">
        <v>1149</v>
      </c>
      <c r="C138" t="s">
        <v>16</v>
      </c>
      <c r="D138" t="s">
        <v>523</v>
      </c>
      <c r="E138" s="4">
        <v>45655</v>
      </c>
      <c r="F138" s="6">
        <v>0</v>
      </c>
      <c r="G138" s="6" t="s">
        <v>2986</v>
      </c>
      <c r="H138" s="6" t="s">
        <v>2989</v>
      </c>
      <c r="I138" s="6"/>
      <c r="J138" s="6"/>
      <c r="K138" s="6"/>
      <c r="L138" s="6"/>
      <c r="M138" s="6" t="s">
        <v>3046</v>
      </c>
      <c r="N138" s="6"/>
      <c r="O138" s="6"/>
      <c r="P138">
        <f t="shared" si="6"/>
        <v>1</v>
      </c>
      <c r="Q138">
        <f>IF(AND(P138=1,OR(ISNUMBER(MATCH(H138,{"menace","othering","ridicule","blame","victim"},0)),ISNUMBER(MATCH(J138,{"menace","othering","ridicule","blame","victim"},0)),ISNUMBER(MATCH(L138,{"menace","othering","ridicule","blame","victim"},0)))),1,0)</f>
        <v>0</v>
      </c>
      <c r="R138">
        <f>IF(AND(P138=1,Q138=0,OR(ISNUMBER(MATCH(H138,{"wholesome","heroic"},0)),ISNUMBER(MATCH(J138,{"wholesome","heroic"},0)),ISNUMBER(MATCH(L138,{"wholesome","heroic"},0)))),1,0)</f>
        <v>0</v>
      </c>
      <c r="S138">
        <f t="shared" si="7"/>
        <v>1</v>
      </c>
      <c r="T138">
        <f t="shared" si="8"/>
        <v>0</v>
      </c>
      <c r="U138" t="s">
        <v>3049</v>
      </c>
      <c r="V138" t="s">
        <v>3393</v>
      </c>
    </row>
    <row r="139" spans="1:22" x14ac:dyDescent="0.25">
      <c r="A139" t="s">
        <v>3691</v>
      </c>
      <c r="B139">
        <v>1153</v>
      </c>
      <c r="C139" t="s">
        <v>16</v>
      </c>
      <c r="D139" t="s">
        <v>523</v>
      </c>
      <c r="E139" s="4">
        <v>45657</v>
      </c>
      <c r="F139" s="6">
        <v>0</v>
      </c>
      <c r="G139" s="6" t="s">
        <v>2986</v>
      </c>
      <c r="H139" s="6" t="s">
        <v>2989</v>
      </c>
      <c r="I139" s="6"/>
      <c r="J139" s="6"/>
      <c r="K139" s="6"/>
      <c r="L139" s="6"/>
      <c r="M139" s="6" t="s">
        <v>3046</v>
      </c>
      <c r="N139" s="6"/>
      <c r="O139" s="6"/>
      <c r="P139">
        <f t="shared" si="6"/>
        <v>1</v>
      </c>
      <c r="Q139">
        <f>IF(AND(P139=1,OR(ISNUMBER(MATCH(H139,{"menace","othering","ridicule","blame","victim"},0)),ISNUMBER(MATCH(J139,{"menace","othering","ridicule","blame","victim"},0)),ISNUMBER(MATCH(L139,{"menace","othering","ridicule","blame","victim"},0)))),1,0)</f>
        <v>0</v>
      </c>
      <c r="R139">
        <f>IF(AND(P139=1,Q139=0,OR(ISNUMBER(MATCH(H139,{"wholesome","heroic"},0)),ISNUMBER(MATCH(J139,{"wholesome","heroic"},0)),ISNUMBER(MATCH(L139,{"wholesome","heroic"},0)))),1,0)</f>
        <v>0</v>
      </c>
      <c r="S139">
        <f t="shared" si="7"/>
        <v>1</v>
      </c>
      <c r="T139">
        <f t="shared" si="8"/>
        <v>0</v>
      </c>
      <c r="U139" t="s">
        <v>3049</v>
      </c>
      <c r="V139" t="s">
        <v>3389</v>
      </c>
    </row>
    <row r="140" spans="1:22" x14ac:dyDescent="0.25">
      <c r="A140" t="s">
        <v>3407</v>
      </c>
      <c r="B140">
        <v>1175</v>
      </c>
      <c r="C140" t="s">
        <v>16</v>
      </c>
      <c r="D140" t="s">
        <v>523</v>
      </c>
      <c r="E140" s="4">
        <v>45664</v>
      </c>
      <c r="F140" s="6">
        <v>0</v>
      </c>
      <c r="G140" s="6" t="s">
        <v>2995</v>
      </c>
      <c r="H140" s="6" t="s">
        <v>2989</v>
      </c>
      <c r="I140" s="6"/>
      <c r="J140" s="6"/>
      <c r="K140" s="6"/>
      <c r="L140" s="6"/>
      <c r="M140" s="6" t="s">
        <v>3046</v>
      </c>
      <c r="N140" s="6"/>
      <c r="O140" s="6"/>
      <c r="P140">
        <f t="shared" si="6"/>
        <v>1</v>
      </c>
      <c r="Q140">
        <f>IF(AND(P140=1,OR(ISNUMBER(MATCH(H140,{"menace","othering","ridicule","blame","victim"},0)),ISNUMBER(MATCH(J140,{"menace","othering","ridicule","blame","victim"},0)),ISNUMBER(MATCH(L140,{"menace","othering","ridicule","blame","victim"},0)))),1,0)</f>
        <v>0</v>
      </c>
      <c r="R140">
        <f>IF(AND(P140=1,Q140=0,OR(ISNUMBER(MATCH(H140,{"wholesome","heroic"},0)),ISNUMBER(MATCH(J140,{"wholesome","heroic"},0)),ISNUMBER(MATCH(L140,{"wholesome","heroic"},0)))),1,0)</f>
        <v>0</v>
      </c>
      <c r="S140">
        <f t="shared" si="7"/>
        <v>1</v>
      </c>
      <c r="T140">
        <f t="shared" si="8"/>
        <v>1</v>
      </c>
      <c r="U140" t="s">
        <v>3053</v>
      </c>
    </row>
    <row r="141" spans="1:22" x14ac:dyDescent="0.25">
      <c r="A141" t="s">
        <v>3406</v>
      </c>
      <c r="B141">
        <v>1177</v>
      </c>
      <c r="C141" t="s">
        <v>16</v>
      </c>
      <c r="D141" t="s">
        <v>523</v>
      </c>
      <c r="E141" s="4">
        <v>45665</v>
      </c>
      <c r="F141" s="6">
        <v>0</v>
      </c>
      <c r="G141" s="6" t="s">
        <v>2995</v>
      </c>
      <c r="H141" s="6" t="s">
        <v>2994</v>
      </c>
      <c r="I141" s="6" t="s">
        <v>2988</v>
      </c>
      <c r="J141" s="6" t="s">
        <v>2990</v>
      </c>
      <c r="K141" s="6"/>
      <c r="L141" s="6"/>
      <c r="M141" s="6" t="s">
        <v>3046</v>
      </c>
      <c r="N141" s="6" t="s">
        <v>3046</v>
      </c>
      <c r="O141" s="6"/>
      <c r="P141">
        <f t="shared" si="6"/>
        <v>1</v>
      </c>
      <c r="Q141">
        <f>IF(AND(P141=1,OR(ISNUMBER(MATCH(H141,{"menace","othering","ridicule","blame","victim"},0)),ISNUMBER(MATCH(J141,{"menace","othering","ridicule","blame","victim"},0)),ISNUMBER(MATCH(L141,{"menace","othering","ridicule","blame","victim"},0)))),1,0)</f>
        <v>0</v>
      </c>
      <c r="R141">
        <f>IF(AND(P141=1,Q141=0,OR(ISNUMBER(MATCH(H141,{"wholesome","heroic"},0)),ISNUMBER(MATCH(J141,{"wholesome","heroic"},0)),ISNUMBER(MATCH(L141,{"wholesome","heroic"},0)))),1,0)</f>
        <v>1</v>
      </c>
      <c r="S141">
        <f t="shared" si="7"/>
        <v>0</v>
      </c>
      <c r="T141">
        <f t="shared" si="8"/>
        <v>1</v>
      </c>
      <c r="U141" t="s">
        <v>3053</v>
      </c>
    </row>
    <row r="142" spans="1:22" x14ac:dyDescent="0.25">
      <c r="A142" t="s">
        <v>3405</v>
      </c>
      <c r="B142">
        <v>1187</v>
      </c>
      <c r="C142" t="s">
        <v>16</v>
      </c>
      <c r="D142" t="s">
        <v>523</v>
      </c>
      <c r="E142" s="4">
        <v>45667</v>
      </c>
      <c r="F142" s="6">
        <v>0</v>
      </c>
      <c r="G142" s="6" t="s">
        <v>2995</v>
      </c>
      <c r="H142" s="6" t="s">
        <v>2989</v>
      </c>
      <c r="I142" s="6" t="s">
        <v>2986</v>
      </c>
      <c r="J142" s="6" t="s">
        <v>2989</v>
      </c>
      <c r="K142" s="6"/>
      <c r="L142" s="6"/>
      <c r="M142" s="6" t="s">
        <v>3046</v>
      </c>
      <c r="N142" s="6" t="s">
        <v>3046</v>
      </c>
      <c r="O142" s="6"/>
      <c r="P142">
        <f t="shared" si="6"/>
        <v>1</v>
      </c>
      <c r="Q142">
        <f>IF(AND(P142=1,OR(ISNUMBER(MATCH(H142,{"menace","othering","ridicule","blame","victim"},0)),ISNUMBER(MATCH(J142,{"menace","othering","ridicule","blame","victim"},0)),ISNUMBER(MATCH(L142,{"menace","othering","ridicule","blame","victim"},0)))),1,0)</f>
        <v>0</v>
      </c>
      <c r="R142">
        <f>IF(AND(P142=1,Q142=0,OR(ISNUMBER(MATCH(H142,{"wholesome","heroic"},0)),ISNUMBER(MATCH(J142,{"wholesome","heroic"},0)),ISNUMBER(MATCH(L142,{"wholesome","heroic"},0)))),1,0)</f>
        <v>0</v>
      </c>
      <c r="S142">
        <f t="shared" si="7"/>
        <v>1</v>
      </c>
      <c r="T142">
        <f t="shared" si="8"/>
        <v>1</v>
      </c>
      <c r="U142" t="s">
        <v>3053</v>
      </c>
    </row>
    <row r="143" spans="1:22" x14ac:dyDescent="0.25">
      <c r="A143" t="s">
        <v>3404</v>
      </c>
      <c r="B143">
        <v>1193</v>
      </c>
      <c r="C143" t="s">
        <v>16</v>
      </c>
      <c r="D143" t="s">
        <v>523</v>
      </c>
      <c r="E143" s="4">
        <v>45668</v>
      </c>
      <c r="F143" s="6">
        <v>0</v>
      </c>
      <c r="G143" s="6" t="s">
        <v>2995</v>
      </c>
      <c r="H143" s="6" t="s">
        <v>2990</v>
      </c>
      <c r="I143" s="6" t="s">
        <v>2988</v>
      </c>
      <c r="J143" s="6" t="s">
        <v>2989</v>
      </c>
      <c r="K143" s="6"/>
      <c r="L143" s="6"/>
      <c r="M143" s="6" t="s">
        <v>3046</v>
      </c>
      <c r="N143" s="6" t="s">
        <v>3046</v>
      </c>
      <c r="O143" s="6"/>
      <c r="P143">
        <f t="shared" si="6"/>
        <v>1</v>
      </c>
      <c r="Q143">
        <f>IF(AND(P143=1,OR(ISNUMBER(MATCH(H143,{"menace","othering","ridicule","blame","victim"},0)),ISNUMBER(MATCH(J143,{"menace","othering","ridicule","blame","victim"},0)),ISNUMBER(MATCH(L143,{"menace","othering","ridicule","blame","victim"},0)))),1,0)</f>
        <v>0</v>
      </c>
      <c r="R143">
        <f>IF(AND(P143=1,Q143=0,OR(ISNUMBER(MATCH(H143,{"wholesome","heroic"},0)),ISNUMBER(MATCH(J143,{"wholesome","heroic"},0)),ISNUMBER(MATCH(L143,{"wholesome","heroic"},0)))),1,0)</f>
        <v>1</v>
      </c>
      <c r="S143">
        <f t="shared" si="7"/>
        <v>0</v>
      </c>
      <c r="T143">
        <f t="shared" si="8"/>
        <v>1</v>
      </c>
      <c r="U143" t="s">
        <v>3053</v>
      </c>
    </row>
    <row r="144" spans="1:22" x14ac:dyDescent="0.25">
      <c r="A144" t="s">
        <v>3403</v>
      </c>
      <c r="B144">
        <v>1211</v>
      </c>
      <c r="C144" t="s">
        <v>16</v>
      </c>
      <c r="D144" t="s">
        <v>523</v>
      </c>
      <c r="E144" s="4">
        <v>45673</v>
      </c>
      <c r="F144" s="6">
        <v>0</v>
      </c>
      <c r="G144" s="6" t="s">
        <v>2995</v>
      </c>
      <c r="H144" s="6" t="s">
        <v>2989</v>
      </c>
      <c r="I144" s="6" t="s">
        <v>2986</v>
      </c>
      <c r="J144" s="6" t="s">
        <v>2989</v>
      </c>
      <c r="K144" s="6" t="s">
        <v>3000</v>
      </c>
      <c r="L144" s="6" t="s">
        <v>2989</v>
      </c>
      <c r="M144" s="6" t="s">
        <v>3046</v>
      </c>
      <c r="N144" s="6" t="s">
        <v>3046</v>
      </c>
      <c r="O144" s="6" t="s">
        <v>3046</v>
      </c>
      <c r="P144">
        <f t="shared" si="6"/>
        <v>1</v>
      </c>
      <c r="Q144">
        <f>IF(AND(P144=1,OR(ISNUMBER(MATCH(H144,{"menace","othering","ridicule","blame","victim"},0)),ISNUMBER(MATCH(J144,{"menace","othering","ridicule","blame","victim"},0)),ISNUMBER(MATCH(L144,{"menace","othering","ridicule","blame","victim"},0)))),1,0)</f>
        <v>0</v>
      </c>
      <c r="R144">
        <f>IF(AND(P144=1,Q144=0,OR(ISNUMBER(MATCH(H144,{"wholesome","heroic"},0)),ISNUMBER(MATCH(J144,{"wholesome","heroic"},0)),ISNUMBER(MATCH(L144,{"wholesome","heroic"},0)))),1,0)</f>
        <v>0</v>
      </c>
      <c r="S144">
        <f t="shared" si="7"/>
        <v>1</v>
      </c>
      <c r="T144">
        <f t="shared" si="8"/>
        <v>1</v>
      </c>
      <c r="U144" t="s">
        <v>3053</v>
      </c>
    </row>
    <row r="145" spans="1:22" x14ac:dyDescent="0.25">
      <c r="A145" t="s">
        <v>3402</v>
      </c>
      <c r="B145">
        <v>1213</v>
      </c>
      <c r="C145" t="s">
        <v>16</v>
      </c>
      <c r="D145" t="s">
        <v>523</v>
      </c>
      <c r="E145" s="4">
        <v>45673</v>
      </c>
      <c r="F145" s="6">
        <v>0</v>
      </c>
      <c r="G145" s="6" t="s">
        <v>2995</v>
      </c>
      <c r="H145" s="6" t="s">
        <v>2989</v>
      </c>
      <c r="I145" s="6"/>
      <c r="J145" s="6"/>
      <c r="K145" s="6"/>
      <c r="L145" s="6"/>
      <c r="M145" s="6" t="s">
        <v>3046</v>
      </c>
      <c r="N145" s="6"/>
      <c r="O145" s="6"/>
      <c r="P145">
        <f t="shared" si="6"/>
        <v>1</v>
      </c>
      <c r="Q145">
        <f>IF(AND(P145=1,OR(ISNUMBER(MATCH(H145,{"menace","othering","ridicule","blame","victim"},0)),ISNUMBER(MATCH(J145,{"menace","othering","ridicule","blame","victim"},0)),ISNUMBER(MATCH(L145,{"menace","othering","ridicule","blame","victim"},0)))),1,0)</f>
        <v>0</v>
      </c>
      <c r="R145">
        <f>IF(AND(P145=1,Q145=0,OR(ISNUMBER(MATCH(H145,{"wholesome","heroic"},0)),ISNUMBER(MATCH(J145,{"wholesome","heroic"},0)),ISNUMBER(MATCH(L145,{"wholesome","heroic"},0)))),1,0)</f>
        <v>0</v>
      </c>
      <c r="S145">
        <f t="shared" si="7"/>
        <v>1</v>
      </c>
      <c r="T145">
        <f t="shared" si="8"/>
        <v>1</v>
      </c>
      <c r="U145" t="s">
        <v>3053</v>
      </c>
    </row>
    <row r="146" spans="1:22" x14ac:dyDescent="0.25">
      <c r="A146" t="s">
        <v>3401</v>
      </c>
      <c r="B146">
        <v>1222</v>
      </c>
      <c r="C146" t="s">
        <v>16</v>
      </c>
      <c r="D146" t="s">
        <v>523</v>
      </c>
      <c r="E146" s="4">
        <v>45675</v>
      </c>
      <c r="F146" s="6">
        <v>0</v>
      </c>
      <c r="G146" s="6" t="s">
        <v>2995</v>
      </c>
      <c r="H146" s="6" t="s">
        <v>2989</v>
      </c>
      <c r="I146" s="6"/>
      <c r="J146" s="6"/>
      <c r="K146" s="6"/>
      <c r="L146" s="6"/>
      <c r="M146" s="6" t="s">
        <v>3046</v>
      </c>
      <c r="N146" s="6"/>
      <c r="O146" s="6"/>
      <c r="P146">
        <f t="shared" si="6"/>
        <v>1</v>
      </c>
      <c r="Q146">
        <f>IF(AND(P146=1,OR(ISNUMBER(MATCH(H146,{"menace","othering","ridicule","blame","victim"},0)),ISNUMBER(MATCH(J146,{"menace","othering","ridicule","blame","victim"},0)),ISNUMBER(MATCH(L146,{"menace","othering","ridicule","blame","victim"},0)))),1,0)</f>
        <v>0</v>
      </c>
      <c r="R146">
        <f>IF(AND(P146=1,Q146=0,OR(ISNUMBER(MATCH(H146,{"wholesome","heroic"},0)),ISNUMBER(MATCH(J146,{"wholesome","heroic"},0)),ISNUMBER(MATCH(L146,{"wholesome","heroic"},0)))),1,0)</f>
        <v>0</v>
      </c>
      <c r="S146">
        <f t="shared" si="7"/>
        <v>1</v>
      </c>
      <c r="T146">
        <f t="shared" si="8"/>
        <v>1</v>
      </c>
      <c r="U146" t="s">
        <v>3053</v>
      </c>
    </row>
    <row r="147" spans="1:22" x14ac:dyDescent="0.25">
      <c r="A147" t="s">
        <v>3400</v>
      </c>
      <c r="B147">
        <v>1227</v>
      </c>
      <c r="C147" t="s">
        <v>16</v>
      </c>
      <c r="D147" t="s">
        <v>523</v>
      </c>
      <c r="E147" s="4">
        <v>45678</v>
      </c>
      <c r="F147" s="6">
        <v>0</v>
      </c>
      <c r="G147" s="6" t="s">
        <v>2995</v>
      </c>
      <c r="H147" s="6" t="s">
        <v>2989</v>
      </c>
      <c r="I147" s="6"/>
      <c r="J147" s="6"/>
      <c r="K147" s="6"/>
      <c r="L147" s="6"/>
      <c r="M147" s="6" t="s">
        <v>3046</v>
      </c>
      <c r="N147" s="6"/>
      <c r="O147" s="6"/>
      <c r="P147">
        <f t="shared" si="6"/>
        <v>1</v>
      </c>
      <c r="Q147">
        <f>IF(AND(P147=1,OR(ISNUMBER(MATCH(H147,{"menace","othering","ridicule","blame","victim"},0)),ISNUMBER(MATCH(J147,{"menace","othering","ridicule","blame","victim"},0)),ISNUMBER(MATCH(L147,{"menace","othering","ridicule","blame","victim"},0)))),1,0)</f>
        <v>0</v>
      </c>
      <c r="R147">
        <f>IF(AND(P147=1,Q147=0,OR(ISNUMBER(MATCH(H147,{"wholesome","heroic"},0)),ISNUMBER(MATCH(J147,{"wholesome","heroic"},0)),ISNUMBER(MATCH(L147,{"wholesome","heroic"},0)))),1,0)</f>
        <v>0</v>
      </c>
      <c r="S147">
        <f t="shared" si="7"/>
        <v>1</v>
      </c>
      <c r="T147">
        <f t="shared" si="8"/>
        <v>1</v>
      </c>
      <c r="U147" t="s">
        <v>3053</v>
      </c>
    </row>
    <row r="148" spans="1:22" x14ac:dyDescent="0.25">
      <c r="A148" t="s">
        <v>3399</v>
      </c>
      <c r="B148">
        <v>1229</v>
      </c>
      <c r="C148" t="s">
        <v>16</v>
      </c>
      <c r="D148" t="s">
        <v>523</v>
      </c>
      <c r="E148" s="4">
        <v>45678</v>
      </c>
      <c r="F148" s="6">
        <v>0</v>
      </c>
      <c r="G148" s="6" t="s">
        <v>2995</v>
      </c>
      <c r="H148" s="6" t="s">
        <v>2989</v>
      </c>
      <c r="I148" s="6"/>
      <c r="J148" s="6"/>
      <c r="K148" s="6"/>
      <c r="L148" s="6"/>
      <c r="M148" s="6" t="s">
        <v>3046</v>
      </c>
      <c r="N148" s="6"/>
      <c r="O148" s="6"/>
      <c r="P148">
        <f t="shared" si="6"/>
        <v>1</v>
      </c>
      <c r="Q148">
        <f>IF(AND(P148=1,OR(ISNUMBER(MATCH(H148,{"menace","othering","ridicule","blame","victim"},0)),ISNUMBER(MATCH(J148,{"menace","othering","ridicule","blame","victim"},0)),ISNUMBER(MATCH(L148,{"menace","othering","ridicule","blame","victim"},0)))),1,0)</f>
        <v>0</v>
      </c>
      <c r="R148">
        <f>IF(AND(P148=1,Q148=0,OR(ISNUMBER(MATCH(H148,{"wholesome","heroic"},0)),ISNUMBER(MATCH(J148,{"wholesome","heroic"},0)),ISNUMBER(MATCH(L148,{"wholesome","heroic"},0)))),1,0)</f>
        <v>0</v>
      </c>
      <c r="S148">
        <f t="shared" si="7"/>
        <v>1</v>
      </c>
      <c r="T148">
        <f t="shared" si="8"/>
        <v>1</v>
      </c>
      <c r="U148" t="s">
        <v>3049</v>
      </c>
      <c r="V148" t="s">
        <v>3398</v>
      </c>
    </row>
    <row r="149" spans="1:22" x14ac:dyDescent="0.25">
      <c r="A149" t="s">
        <v>3397</v>
      </c>
      <c r="B149">
        <v>1256</v>
      </c>
      <c r="C149" t="s">
        <v>16</v>
      </c>
      <c r="D149" t="s">
        <v>523</v>
      </c>
      <c r="E149" s="4">
        <v>45687</v>
      </c>
      <c r="F149" s="6">
        <v>0</v>
      </c>
      <c r="G149" s="6" t="s">
        <v>2995</v>
      </c>
      <c r="H149" s="6" t="s">
        <v>2989</v>
      </c>
      <c r="I149" s="6"/>
      <c r="J149" s="6"/>
      <c r="K149" s="6"/>
      <c r="L149" s="6"/>
      <c r="M149" s="6" t="s">
        <v>3046</v>
      </c>
      <c r="N149" s="6"/>
      <c r="O149" s="6"/>
      <c r="P149">
        <f t="shared" si="6"/>
        <v>1</v>
      </c>
      <c r="Q149">
        <f>IF(AND(P149=1,OR(ISNUMBER(MATCH(H149,{"menace","othering","ridicule","blame","victim"},0)),ISNUMBER(MATCH(J149,{"menace","othering","ridicule","blame","victim"},0)),ISNUMBER(MATCH(L149,{"menace","othering","ridicule","blame","victim"},0)))),1,0)</f>
        <v>0</v>
      </c>
      <c r="R149">
        <f>IF(AND(P149=1,Q149=0,OR(ISNUMBER(MATCH(H149,{"wholesome","heroic"},0)),ISNUMBER(MATCH(J149,{"wholesome","heroic"},0)),ISNUMBER(MATCH(L149,{"wholesome","heroic"},0)))),1,0)</f>
        <v>0</v>
      </c>
      <c r="S149">
        <f t="shared" si="7"/>
        <v>1</v>
      </c>
      <c r="T149">
        <f t="shared" si="8"/>
        <v>1</v>
      </c>
      <c r="U149" t="s">
        <v>3053</v>
      </c>
    </row>
    <row r="150" spans="1:22" x14ac:dyDescent="0.25">
      <c r="A150" t="s">
        <v>3396</v>
      </c>
      <c r="B150">
        <v>1257</v>
      </c>
      <c r="C150" t="s">
        <v>16</v>
      </c>
      <c r="D150" t="s">
        <v>523</v>
      </c>
      <c r="E150" s="4">
        <v>45687</v>
      </c>
      <c r="F150" s="6">
        <v>0</v>
      </c>
      <c r="G150" s="6" t="s">
        <v>2995</v>
      </c>
      <c r="H150" s="6" t="s">
        <v>2989</v>
      </c>
      <c r="I150" s="6" t="s">
        <v>3000</v>
      </c>
      <c r="J150" s="6" t="s">
        <v>2989</v>
      </c>
      <c r="K150" s="6" t="s">
        <v>2991</v>
      </c>
      <c r="L150" s="6" t="s">
        <v>2992</v>
      </c>
      <c r="M150" s="6" t="s">
        <v>3046</v>
      </c>
      <c r="N150" s="6" t="s">
        <v>3046</v>
      </c>
      <c r="O150" s="6" t="s">
        <v>3046</v>
      </c>
      <c r="P150">
        <f t="shared" si="6"/>
        <v>1</v>
      </c>
      <c r="Q150">
        <f>IF(AND(P150=1,OR(ISNUMBER(MATCH(H150,{"menace","othering","ridicule","blame","victim"},0)),ISNUMBER(MATCH(J150,{"menace","othering","ridicule","blame","victim"},0)),ISNUMBER(MATCH(L150,{"menace","othering","ridicule","blame","victim"},0)))),1,0)</f>
        <v>1</v>
      </c>
      <c r="R150">
        <f>IF(AND(P150=1,Q150=0,OR(ISNUMBER(MATCH(H150,{"wholesome","heroic"},0)),ISNUMBER(MATCH(J150,{"wholesome","heroic"},0)),ISNUMBER(MATCH(L150,{"wholesome","heroic"},0)))),1,0)</f>
        <v>0</v>
      </c>
      <c r="S150">
        <f t="shared" si="7"/>
        <v>0</v>
      </c>
      <c r="T150">
        <f t="shared" si="8"/>
        <v>1</v>
      </c>
      <c r="U150" t="s">
        <v>3053</v>
      </c>
    </row>
    <row r="151" spans="1:22" x14ac:dyDescent="0.25">
      <c r="A151" t="s">
        <v>3395</v>
      </c>
      <c r="B151">
        <v>1262</v>
      </c>
      <c r="C151" t="s">
        <v>16</v>
      </c>
      <c r="D151" t="s">
        <v>523</v>
      </c>
      <c r="E151" s="4">
        <v>45689</v>
      </c>
      <c r="F151" s="6">
        <v>0</v>
      </c>
      <c r="G151" s="6" t="s">
        <v>2995</v>
      </c>
      <c r="H151" s="6" t="s">
        <v>2989</v>
      </c>
      <c r="I151" s="6"/>
      <c r="J151" s="6"/>
      <c r="K151" s="6"/>
      <c r="L151" s="6"/>
      <c r="M151" s="6" t="s">
        <v>3046</v>
      </c>
      <c r="N151" s="6"/>
      <c r="O151" s="6"/>
      <c r="P151">
        <f t="shared" si="6"/>
        <v>1</v>
      </c>
      <c r="Q151">
        <f>IF(AND(P151=1,OR(ISNUMBER(MATCH(H151,{"menace","othering","ridicule","blame","victim"},0)),ISNUMBER(MATCH(J151,{"menace","othering","ridicule","blame","victim"},0)),ISNUMBER(MATCH(L151,{"menace","othering","ridicule","blame","victim"},0)))),1,0)</f>
        <v>0</v>
      </c>
      <c r="R151">
        <f>IF(AND(P151=1,Q151=0,OR(ISNUMBER(MATCH(H151,{"wholesome","heroic"},0)),ISNUMBER(MATCH(J151,{"wholesome","heroic"},0)),ISNUMBER(MATCH(L151,{"wholesome","heroic"},0)))),1,0)</f>
        <v>0</v>
      </c>
      <c r="S151">
        <f t="shared" si="7"/>
        <v>1</v>
      </c>
      <c r="T151">
        <f t="shared" si="8"/>
        <v>1</v>
      </c>
      <c r="U151" t="s">
        <v>3053</v>
      </c>
    </row>
    <row r="152" spans="1:22" x14ac:dyDescent="0.25">
      <c r="A152" t="s">
        <v>3394</v>
      </c>
      <c r="B152">
        <v>1283</v>
      </c>
      <c r="C152" t="s">
        <v>16</v>
      </c>
      <c r="D152" t="s">
        <v>523</v>
      </c>
      <c r="E152" s="4">
        <v>45695</v>
      </c>
      <c r="F152" s="6">
        <v>0</v>
      </c>
      <c r="G152" s="6" t="s">
        <v>2995</v>
      </c>
      <c r="H152" s="6" t="s">
        <v>2994</v>
      </c>
      <c r="I152" s="6"/>
      <c r="J152" s="6"/>
      <c r="K152" s="6"/>
      <c r="L152" s="6"/>
      <c r="M152" s="6" t="s">
        <v>3046</v>
      </c>
      <c r="N152" s="6"/>
      <c r="O152" s="6"/>
      <c r="P152">
        <f t="shared" si="6"/>
        <v>1</v>
      </c>
      <c r="Q152">
        <f>IF(AND(P152=1,OR(ISNUMBER(MATCH(H152,{"menace","othering","ridicule","blame","victim"},0)),ISNUMBER(MATCH(J152,{"menace","othering","ridicule","blame","victim"},0)),ISNUMBER(MATCH(L152,{"menace","othering","ridicule","blame","victim"},0)))),1,0)</f>
        <v>0</v>
      </c>
      <c r="R152">
        <f>IF(AND(P152=1,Q152=0,OR(ISNUMBER(MATCH(H152,{"wholesome","heroic"},0)),ISNUMBER(MATCH(J152,{"wholesome","heroic"},0)),ISNUMBER(MATCH(L152,{"wholesome","heroic"},0)))),1,0)</f>
        <v>1</v>
      </c>
      <c r="S152">
        <f t="shared" si="7"/>
        <v>0</v>
      </c>
      <c r="T152">
        <f t="shared" si="8"/>
        <v>1</v>
      </c>
      <c r="U152" t="s">
        <v>3053</v>
      </c>
    </row>
    <row r="153" spans="1:22" x14ac:dyDescent="0.25">
      <c r="A153" t="s">
        <v>3392</v>
      </c>
      <c r="B153">
        <v>1299</v>
      </c>
      <c r="C153" t="s">
        <v>16</v>
      </c>
      <c r="D153" t="s">
        <v>523</v>
      </c>
      <c r="E153" s="4">
        <v>45699</v>
      </c>
      <c r="F153" s="6">
        <v>0</v>
      </c>
      <c r="G153" s="6" t="s">
        <v>2995</v>
      </c>
      <c r="H153" s="6" t="s">
        <v>2989</v>
      </c>
      <c r="I153" s="6"/>
      <c r="J153" s="6"/>
      <c r="K153" s="6"/>
      <c r="L153" s="6"/>
      <c r="M153" s="6" t="s">
        <v>3046</v>
      </c>
      <c r="N153" s="6"/>
      <c r="O153" s="6"/>
      <c r="P153">
        <f t="shared" si="6"/>
        <v>1</v>
      </c>
      <c r="Q153">
        <f>IF(AND(P153=1,OR(ISNUMBER(MATCH(H153,{"menace","othering","ridicule","blame","victim"},0)),ISNUMBER(MATCH(J153,{"menace","othering","ridicule","blame","victim"},0)),ISNUMBER(MATCH(L153,{"menace","othering","ridicule","blame","victim"},0)))),1,0)</f>
        <v>0</v>
      </c>
      <c r="R153">
        <f>IF(AND(P153=1,Q153=0,OR(ISNUMBER(MATCH(H153,{"wholesome","heroic"},0)),ISNUMBER(MATCH(J153,{"wholesome","heroic"},0)),ISNUMBER(MATCH(L153,{"wholesome","heroic"},0)))),1,0)</f>
        <v>0</v>
      </c>
      <c r="S153">
        <f t="shared" si="7"/>
        <v>1</v>
      </c>
      <c r="T153">
        <f t="shared" si="8"/>
        <v>1</v>
      </c>
      <c r="U153" t="s">
        <v>3049</v>
      </c>
      <c r="V153" t="s">
        <v>3391</v>
      </c>
    </row>
    <row r="154" spans="1:22" x14ac:dyDescent="0.25">
      <c r="A154" t="s">
        <v>3390</v>
      </c>
      <c r="B154">
        <v>1300</v>
      </c>
      <c r="C154" t="s">
        <v>16</v>
      </c>
      <c r="D154" t="s">
        <v>523</v>
      </c>
      <c r="E154" s="4">
        <v>45699</v>
      </c>
      <c r="F154" s="6">
        <v>0</v>
      </c>
      <c r="G154" s="6" t="s">
        <v>2995</v>
      </c>
      <c r="H154" s="6" t="s">
        <v>2989</v>
      </c>
      <c r="I154" s="6" t="s">
        <v>3862</v>
      </c>
      <c r="J154" s="6" t="s">
        <v>2989</v>
      </c>
      <c r="K154" s="6" t="s">
        <v>2988</v>
      </c>
      <c r="L154" s="6" t="s">
        <v>2989</v>
      </c>
      <c r="M154" s="6" t="s">
        <v>3046</v>
      </c>
      <c r="N154" s="6" t="s">
        <v>3046</v>
      </c>
      <c r="O154" s="6" t="s">
        <v>3046</v>
      </c>
      <c r="P154">
        <f t="shared" si="6"/>
        <v>1</v>
      </c>
      <c r="Q154">
        <f>IF(AND(P154=1,OR(ISNUMBER(MATCH(H154,{"menace","othering","ridicule","blame","victim"},0)),ISNUMBER(MATCH(J154,{"menace","othering","ridicule","blame","victim"},0)),ISNUMBER(MATCH(L154,{"menace","othering","ridicule","blame","victim"},0)))),1,0)</f>
        <v>0</v>
      </c>
      <c r="R154">
        <f>IF(AND(P154=1,Q154=0,OR(ISNUMBER(MATCH(H154,{"wholesome","heroic"},0)),ISNUMBER(MATCH(J154,{"wholesome","heroic"},0)),ISNUMBER(MATCH(L154,{"wholesome","heroic"},0)))),1,0)</f>
        <v>0</v>
      </c>
      <c r="S154">
        <f t="shared" si="7"/>
        <v>1</v>
      </c>
      <c r="T154">
        <f t="shared" si="8"/>
        <v>1</v>
      </c>
      <c r="U154" t="s">
        <v>3049</v>
      </c>
      <c r="V154" t="s">
        <v>1948</v>
      </c>
    </row>
    <row r="155" spans="1:22" x14ac:dyDescent="0.25">
      <c r="A155" t="s">
        <v>3388</v>
      </c>
      <c r="B155">
        <v>1302</v>
      </c>
      <c r="C155" t="s">
        <v>16</v>
      </c>
      <c r="D155" t="s">
        <v>523</v>
      </c>
      <c r="E155" s="4">
        <v>45699</v>
      </c>
      <c r="F155" s="6">
        <v>0</v>
      </c>
      <c r="G155" s="6" t="s">
        <v>2995</v>
      </c>
      <c r="H155" s="6" t="s">
        <v>2989</v>
      </c>
      <c r="I155" s="6"/>
      <c r="J155" s="6"/>
      <c r="K155" s="6"/>
      <c r="L155" s="6"/>
      <c r="M155" s="6" t="s">
        <v>3046</v>
      </c>
      <c r="N155" s="6"/>
      <c r="O155" s="6"/>
      <c r="P155">
        <f t="shared" si="6"/>
        <v>1</v>
      </c>
      <c r="Q155">
        <f>IF(AND(P155=1,OR(ISNUMBER(MATCH(H155,{"menace","othering","ridicule","blame","victim"},0)),ISNUMBER(MATCH(J155,{"menace","othering","ridicule","blame","victim"},0)),ISNUMBER(MATCH(L155,{"menace","othering","ridicule","blame","victim"},0)))),1,0)</f>
        <v>0</v>
      </c>
      <c r="R155">
        <f>IF(AND(P155=1,Q155=0,OR(ISNUMBER(MATCH(H155,{"wholesome","heroic"},0)),ISNUMBER(MATCH(J155,{"wholesome","heroic"},0)),ISNUMBER(MATCH(L155,{"wholesome","heroic"},0)))),1,0)</f>
        <v>0</v>
      </c>
      <c r="S155">
        <f t="shared" si="7"/>
        <v>1</v>
      </c>
      <c r="T155">
        <f t="shared" si="8"/>
        <v>1</v>
      </c>
      <c r="U155" t="s">
        <v>3049</v>
      </c>
      <c r="V155" t="s">
        <v>1947</v>
      </c>
    </row>
    <row r="156" spans="1:22" x14ac:dyDescent="0.25">
      <c r="A156" t="s">
        <v>3386</v>
      </c>
      <c r="B156">
        <v>1308</v>
      </c>
      <c r="C156" t="s">
        <v>16</v>
      </c>
      <c r="D156" t="s">
        <v>523</v>
      </c>
      <c r="E156" s="4">
        <v>45700</v>
      </c>
      <c r="F156" s="6">
        <v>0</v>
      </c>
      <c r="G156" s="6" t="s">
        <v>2995</v>
      </c>
      <c r="H156" s="6" t="s">
        <v>2989</v>
      </c>
      <c r="I156" s="6"/>
      <c r="J156" s="6"/>
      <c r="K156" s="6"/>
      <c r="L156" s="6"/>
      <c r="M156" s="6" t="s">
        <v>3046</v>
      </c>
      <c r="N156" s="6"/>
      <c r="O156" s="6"/>
      <c r="P156">
        <f t="shared" si="6"/>
        <v>1</v>
      </c>
      <c r="Q156">
        <f>IF(AND(P156=1,OR(ISNUMBER(MATCH(H156,{"menace","othering","ridicule","blame","victim"},0)),ISNUMBER(MATCH(J156,{"menace","othering","ridicule","blame","victim"},0)),ISNUMBER(MATCH(L156,{"menace","othering","ridicule","blame","victim"},0)))),1,0)</f>
        <v>0</v>
      </c>
      <c r="R156">
        <f>IF(AND(P156=1,Q156=0,OR(ISNUMBER(MATCH(H156,{"wholesome","heroic"},0)),ISNUMBER(MATCH(J156,{"wholesome","heroic"},0)),ISNUMBER(MATCH(L156,{"wholesome","heroic"},0)))),1,0)</f>
        <v>0</v>
      </c>
      <c r="S156">
        <f t="shared" si="7"/>
        <v>1</v>
      </c>
      <c r="T156">
        <f t="shared" si="8"/>
        <v>1</v>
      </c>
      <c r="U156" t="s">
        <v>3049</v>
      </c>
      <c r="V156" t="s">
        <v>3387</v>
      </c>
    </row>
    <row r="157" spans="1:22" x14ac:dyDescent="0.25">
      <c r="A157" t="s">
        <v>3383</v>
      </c>
      <c r="B157">
        <v>1321</v>
      </c>
      <c r="C157" t="s">
        <v>16</v>
      </c>
      <c r="D157" t="s">
        <v>523</v>
      </c>
      <c r="E157" s="4">
        <v>45702</v>
      </c>
      <c r="F157" s="6">
        <v>0</v>
      </c>
      <c r="G157" s="6" t="s">
        <v>2995</v>
      </c>
      <c r="H157" s="6" t="s">
        <v>2989</v>
      </c>
      <c r="I157" s="6" t="s">
        <v>2986</v>
      </c>
      <c r="J157" s="6" t="s">
        <v>2989</v>
      </c>
      <c r="K157" s="6"/>
      <c r="L157" s="6"/>
      <c r="M157" s="6" t="s">
        <v>3046</v>
      </c>
      <c r="N157" s="6" t="s">
        <v>3046</v>
      </c>
      <c r="O157" s="6"/>
      <c r="P157">
        <f t="shared" si="6"/>
        <v>1</v>
      </c>
      <c r="Q157">
        <f>IF(AND(P157=1,OR(ISNUMBER(MATCH(H157,{"menace","othering","ridicule","blame","victim"},0)),ISNUMBER(MATCH(J157,{"menace","othering","ridicule","blame","victim"},0)),ISNUMBER(MATCH(L157,{"menace","othering","ridicule","blame","victim"},0)))),1,0)</f>
        <v>0</v>
      </c>
      <c r="R157">
        <f>IF(AND(P157=1,Q157=0,OR(ISNUMBER(MATCH(H157,{"wholesome","heroic"},0)),ISNUMBER(MATCH(J157,{"wholesome","heroic"},0)),ISNUMBER(MATCH(L157,{"wholesome","heroic"},0)))),1,0)</f>
        <v>0</v>
      </c>
      <c r="S157">
        <f t="shared" si="7"/>
        <v>1</v>
      </c>
      <c r="T157">
        <f t="shared" si="8"/>
        <v>1</v>
      </c>
      <c r="U157" t="s">
        <v>3049</v>
      </c>
      <c r="V157" t="s">
        <v>1949</v>
      </c>
    </row>
    <row r="158" spans="1:22" x14ac:dyDescent="0.25">
      <c r="A158" t="s">
        <v>3381</v>
      </c>
      <c r="B158">
        <v>1325</v>
      </c>
      <c r="C158" t="s">
        <v>16</v>
      </c>
      <c r="D158" t="s">
        <v>523</v>
      </c>
      <c r="E158" s="4">
        <v>45703</v>
      </c>
      <c r="F158" s="6">
        <v>0</v>
      </c>
      <c r="G158" s="6" t="s">
        <v>2995</v>
      </c>
      <c r="H158" s="6" t="s">
        <v>2989</v>
      </c>
      <c r="I158" s="6"/>
      <c r="J158" s="6"/>
      <c r="K158" s="6"/>
      <c r="L158" s="6"/>
      <c r="M158" s="6" t="s">
        <v>3046</v>
      </c>
      <c r="N158" s="6"/>
      <c r="O158" s="6"/>
      <c r="P158">
        <f t="shared" si="6"/>
        <v>1</v>
      </c>
      <c r="Q158">
        <f>IF(AND(P158=1,OR(ISNUMBER(MATCH(H158,{"menace","othering","ridicule","blame","victim"},0)),ISNUMBER(MATCH(J158,{"menace","othering","ridicule","blame","victim"},0)),ISNUMBER(MATCH(L158,{"menace","othering","ridicule","blame","victim"},0)))),1,0)</f>
        <v>0</v>
      </c>
      <c r="R158">
        <f>IF(AND(P158=1,Q158=0,OR(ISNUMBER(MATCH(H158,{"wholesome","heroic"},0)),ISNUMBER(MATCH(J158,{"wholesome","heroic"},0)),ISNUMBER(MATCH(L158,{"wholesome","heroic"},0)))),1,0)</f>
        <v>0</v>
      </c>
      <c r="S158">
        <f t="shared" si="7"/>
        <v>1</v>
      </c>
      <c r="T158">
        <f t="shared" si="8"/>
        <v>1</v>
      </c>
      <c r="U158" t="s">
        <v>3053</v>
      </c>
    </row>
    <row r="159" spans="1:22" x14ac:dyDescent="0.25">
      <c r="A159" t="s">
        <v>3380</v>
      </c>
      <c r="B159">
        <v>1328</v>
      </c>
      <c r="C159" t="s">
        <v>16</v>
      </c>
      <c r="D159" t="s">
        <v>523</v>
      </c>
      <c r="E159" s="4">
        <v>45704</v>
      </c>
      <c r="F159" s="6">
        <v>0</v>
      </c>
      <c r="G159" s="6" t="s">
        <v>2995</v>
      </c>
      <c r="H159" s="6" t="s">
        <v>2989</v>
      </c>
      <c r="I159" s="6"/>
      <c r="J159" s="6"/>
      <c r="K159" s="6"/>
      <c r="L159" s="6"/>
      <c r="M159" s="6" t="s">
        <v>3046</v>
      </c>
      <c r="N159" s="6"/>
      <c r="O159" s="6"/>
      <c r="P159">
        <f t="shared" si="6"/>
        <v>1</v>
      </c>
      <c r="Q159">
        <f>IF(AND(P159=1,OR(ISNUMBER(MATCH(H159,{"menace","othering","ridicule","blame","victim"},0)),ISNUMBER(MATCH(J159,{"menace","othering","ridicule","blame","victim"},0)),ISNUMBER(MATCH(L159,{"menace","othering","ridicule","blame","victim"},0)))),1,0)</f>
        <v>0</v>
      </c>
      <c r="R159">
        <f>IF(AND(P159=1,Q159=0,OR(ISNUMBER(MATCH(H159,{"wholesome","heroic"},0)),ISNUMBER(MATCH(J159,{"wholesome","heroic"},0)),ISNUMBER(MATCH(L159,{"wholesome","heroic"},0)))),1,0)</f>
        <v>0</v>
      </c>
      <c r="S159">
        <f t="shared" si="7"/>
        <v>1</v>
      </c>
      <c r="T159">
        <f t="shared" si="8"/>
        <v>1</v>
      </c>
      <c r="U159" t="s">
        <v>3053</v>
      </c>
    </row>
    <row r="160" spans="1:22" x14ac:dyDescent="0.25">
      <c r="A160" t="s">
        <v>3692</v>
      </c>
      <c r="B160">
        <v>1331</v>
      </c>
      <c r="C160" t="s">
        <v>16</v>
      </c>
      <c r="D160" t="s">
        <v>523</v>
      </c>
      <c r="E160" s="4">
        <v>45705</v>
      </c>
      <c r="F160" s="6">
        <v>0</v>
      </c>
      <c r="G160" s="6" t="s">
        <v>2995</v>
      </c>
      <c r="H160" s="6" t="s">
        <v>2989</v>
      </c>
      <c r="I160" s="6"/>
      <c r="J160" s="6"/>
      <c r="K160" s="6"/>
      <c r="L160" s="6"/>
      <c r="M160" s="6" t="s">
        <v>3046</v>
      </c>
      <c r="N160" s="6"/>
      <c r="O160" s="6"/>
      <c r="P160">
        <f t="shared" si="6"/>
        <v>1</v>
      </c>
      <c r="Q160">
        <f>IF(AND(P160=1,OR(ISNUMBER(MATCH(H160,{"menace","othering","ridicule","blame","victim"},0)),ISNUMBER(MATCH(J160,{"menace","othering","ridicule","blame","victim"},0)),ISNUMBER(MATCH(L160,{"menace","othering","ridicule","blame","victim"},0)))),1,0)</f>
        <v>0</v>
      </c>
      <c r="R160">
        <f>IF(AND(P160=1,Q160=0,OR(ISNUMBER(MATCH(H160,{"wholesome","heroic"},0)),ISNUMBER(MATCH(J160,{"wholesome","heroic"},0)),ISNUMBER(MATCH(L160,{"wholesome","heroic"},0)))),1,0)</f>
        <v>0</v>
      </c>
      <c r="S160">
        <f t="shared" si="7"/>
        <v>1</v>
      </c>
      <c r="T160">
        <f t="shared" si="8"/>
        <v>1</v>
      </c>
      <c r="U160" t="s">
        <v>3049</v>
      </c>
      <c r="V160" t="s">
        <v>3384</v>
      </c>
    </row>
    <row r="161" spans="1:22" x14ac:dyDescent="0.25">
      <c r="A161" t="s">
        <v>3693</v>
      </c>
      <c r="B161">
        <v>1333</v>
      </c>
      <c r="C161" t="s">
        <v>16</v>
      </c>
      <c r="D161" t="s">
        <v>523</v>
      </c>
      <c r="E161" s="4">
        <v>45705</v>
      </c>
      <c r="F161" s="6">
        <v>0</v>
      </c>
      <c r="G161" s="6" t="s">
        <v>2995</v>
      </c>
      <c r="H161" s="6" t="s">
        <v>2989</v>
      </c>
      <c r="I161" s="6"/>
      <c r="J161" s="6"/>
      <c r="K161" s="6"/>
      <c r="L161" s="6"/>
      <c r="M161" s="6" t="s">
        <v>3046</v>
      </c>
      <c r="N161" s="6"/>
      <c r="O161" s="6"/>
      <c r="P161">
        <f t="shared" si="6"/>
        <v>1</v>
      </c>
      <c r="Q161">
        <f>IF(AND(P161=1,OR(ISNUMBER(MATCH(H161,{"menace","othering","ridicule","blame","victim"},0)),ISNUMBER(MATCH(J161,{"menace","othering","ridicule","blame","victim"},0)),ISNUMBER(MATCH(L161,{"menace","othering","ridicule","blame","victim"},0)))),1,0)</f>
        <v>0</v>
      </c>
      <c r="R161">
        <f>IF(AND(P161=1,Q161=0,OR(ISNUMBER(MATCH(H161,{"wholesome","heroic"},0)),ISNUMBER(MATCH(J161,{"wholesome","heroic"},0)),ISNUMBER(MATCH(L161,{"wholesome","heroic"},0)))),1,0)</f>
        <v>0</v>
      </c>
      <c r="S161">
        <f t="shared" si="7"/>
        <v>1</v>
      </c>
      <c r="T161">
        <f t="shared" si="8"/>
        <v>1</v>
      </c>
      <c r="U161" t="s">
        <v>3049</v>
      </c>
      <c r="V161" t="s">
        <v>3382</v>
      </c>
    </row>
    <row r="162" spans="1:22" x14ac:dyDescent="0.25">
      <c r="A162" t="s">
        <v>3379</v>
      </c>
      <c r="B162">
        <v>1343</v>
      </c>
      <c r="C162" t="s">
        <v>16</v>
      </c>
      <c r="D162" t="s">
        <v>523</v>
      </c>
      <c r="E162" s="4">
        <v>45707</v>
      </c>
      <c r="F162" s="6">
        <v>0</v>
      </c>
      <c r="G162" s="6" t="s">
        <v>2995</v>
      </c>
      <c r="H162" s="6" t="s">
        <v>2989</v>
      </c>
      <c r="I162" s="6"/>
      <c r="J162" s="6"/>
      <c r="K162" s="6"/>
      <c r="L162" s="6"/>
      <c r="M162" s="6" t="s">
        <v>3046</v>
      </c>
      <c r="N162" s="6"/>
      <c r="O162" s="6"/>
      <c r="P162">
        <f t="shared" si="6"/>
        <v>1</v>
      </c>
      <c r="Q162">
        <f>IF(AND(P162=1,OR(ISNUMBER(MATCH(H162,{"menace","othering","ridicule","blame","victim"},0)),ISNUMBER(MATCH(J162,{"menace","othering","ridicule","blame","victim"},0)),ISNUMBER(MATCH(L162,{"menace","othering","ridicule","blame","victim"},0)))),1,0)</f>
        <v>0</v>
      </c>
      <c r="R162">
        <f>IF(AND(P162=1,Q162=0,OR(ISNUMBER(MATCH(H162,{"wholesome","heroic"},0)),ISNUMBER(MATCH(J162,{"wholesome","heroic"},0)),ISNUMBER(MATCH(L162,{"wholesome","heroic"},0)))),1,0)</f>
        <v>0</v>
      </c>
      <c r="S162">
        <f t="shared" si="7"/>
        <v>1</v>
      </c>
      <c r="T162">
        <f t="shared" si="8"/>
        <v>1</v>
      </c>
      <c r="U162" t="s">
        <v>3049</v>
      </c>
      <c r="V162" t="s">
        <v>3378</v>
      </c>
    </row>
    <row r="163" spans="1:22" x14ac:dyDescent="0.25">
      <c r="A163" t="s">
        <v>3694</v>
      </c>
      <c r="B163">
        <v>1344</v>
      </c>
      <c r="C163" t="s">
        <v>16</v>
      </c>
      <c r="D163" t="s">
        <v>523</v>
      </c>
      <c r="E163" s="4">
        <v>45707</v>
      </c>
      <c r="F163" s="6">
        <v>0</v>
      </c>
      <c r="G163" s="6" t="s">
        <v>2995</v>
      </c>
      <c r="H163" s="6" t="s">
        <v>2989</v>
      </c>
      <c r="I163" s="6" t="s">
        <v>2991</v>
      </c>
      <c r="J163" s="6" t="s">
        <v>2989</v>
      </c>
      <c r="K163" s="6" t="s">
        <v>2997</v>
      </c>
      <c r="L163" s="6" t="s">
        <v>2990</v>
      </c>
      <c r="M163" s="6" t="s">
        <v>3046</v>
      </c>
      <c r="N163" s="6" t="s">
        <v>3046</v>
      </c>
      <c r="O163" s="6" t="s">
        <v>3046</v>
      </c>
      <c r="P163">
        <f t="shared" si="6"/>
        <v>1</v>
      </c>
      <c r="Q163">
        <f>IF(AND(P163=1,OR(ISNUMBER(MATCH(H163,{"menace","othering","ridicule","blame","victim"},0)),ISNUMBER(MATCH(J163,{"menace","othering","ridicule","blame","victim"},0)),ISNUMBER(MATCH(L163,{"menace","othering","ridicule","blame","victim"},0)))),1,0)</f>
        <v>0</v>
      </c>
      <c r="R163">
        <f>IF(AND(P163=1,Q163=0,OR(ISNUMBER(MATCH(H163,{"wholesome","heroic"},0)),ISNUMBER(MATCH(J163,{"wholesome","heroic"},0)),ISNUMBER(MATCH(L163,{"wholesome","heroic"},0)))),1,0)</f>
        <v>1</v>
      </c>
      <c r="S163">
        <f t="shared" si="7"/>
        <v>0</v>
      </c>
      <c r="T163">
        <f t="shared" si="8"/>
        <v>1</v>
      </c>
      <c r="U163" t="s">
        <v>3049</v>
      </c>
      <c r="V163" t="s">
        <v>1946</v>
      </c>
    </row>
    <row r="164" spans="1:22" x14ac:dyDescent="0.25">
      <c r="A164" t="s">
        <v>3377</v>
      </c>
      <c r="B164">
        <v>1357</v>
      </c>
      <c r="C164" t="s">
        <v>16</v>
      </c>
      <c r="D164" t="s">
        <v>523</v>
      </c>
      <c r="E164" s="4">
        <v>45710</v>
      </c>
      <c r="F164" s="6">
        <v>0</v>
      </c>
      <c r="G164" s="6" t="s">
        <v>2995</v>
      </c>
      <c r="H164" s="6" t="s">
        <v>2989</v>
      </c>
      <c r="I164" s="6"/>
      <c r="J164" s="6"/>
      <c r="K164" s="6"/>
      <c r="L164" s="6"/>
      <c r="M164" s="6" t="s">
        <v>3046</v>
      </c>
      <c r="N164" s="6"/>
      <c r="O164" s="6"/>
      <c r="P164">
        <f t="shared" si="6"/>
        <v>1</v>
      </c>
      <c r="Q164">
        <f>IF(AND(P164=1,OR(ISNUMBER(MATCH(H164,{"menace","othering","ridicule","blame","victim"},0)),ISNUMBER(MATCH(J164,{"menace","othering","ridicule","blame","victim"},0)),ISNUMBER(MATCH(L164,{"menace","othering","ridicule","blame","victim"},0)))),1,0)</f>
        <v>0</v>
      </c>
      <c r="R164">
        <f>IF(AND(P164=1,Q164=0,OR(ISNUMBER(MATCH(H164,{"wholesome","heroic"},0)),ISNUMBER(MATCH(J164,{"wholesome","heroic"},0)),ISNUMBER(MATCH(L164,{"wholesome","heroic"},0)))),1,0)</f>
        <v>0</v>
      </c>
      <c r="S164">
        <f t="shared" si="7"/>
        <v>1</v>
      </c>
      <c r="T164">
        <f t="shared" si="8"/>
        <v>1</v>
      </c>
      <c r="U164" t="s">
        <v>3049</v>
      </c>
      <c r="V164" t="s">
        <v>1945</v>
      </c>
    </row>
    <row r="165" spans="1:22" x14ac:dyDescent="0.25">
      <c r="A165" t="s">
        <v>3376</v>
      </c>
      <c r="B165">
        <v>1379</v>
      </c>
      <c r="C165" t="s">
        <v>18</v>
      </c>
      <c r="D165" t="s">
        <v>835</v>
      </c>
      <c r="E165" s="4">
        <v>45356</v>
      </c>
      <c r="F165" s="6">
        <v>0</v>
      </c>
      <c r="G165" s="6" t="s">
        <v>2995</v>
      </c>
      <c r="H165" s="6" t="s">
        <v>2989</v>
      </c>
      <c r="I165" s="6"/>
      <c r="J165" s="6"/>
      <c r="K165" s="6"/>
      <c r="L165" s="6"/>
      <c r="M165" s="6" t="s">
        <v>3046</v>
      </c>
      <c r="N165" s="6"/>
      <c r="O165" s="6"/>
      <c r="P165">
        <f t="shared" si="6"/>
        <v>1</v>
      </c>
      <c r="Q165">
        <f>IF(AND(P165=1,OR(ISNUMBER(MATCH(H165,{"menace","othering","ridicule","blame","victim"},0)),ISNUMBER(MATCH(J165,{"menace","othering","ridicule","blame","victim"},0)),ISNUMBER(MATCH(L165,{"menace","othering","ridicule","blame","victim"},0)))),1,0)</f>
        <v>0</v>
      </c>
      <c r="R165">
        <f>IF(AND(P165=1,Q165=0,OR(ISNUMBER(MATCH(H165,{"wholesome","heroic"},0)),ISNUMBER(MATCH(J165,{"wholesome","heroic"},0)),ISNUMBER(MATCH(L165,{"wholesome","heroic"},0)))),1,0)</f>
        <v>0</v>
      </c>
      <c r="S165">
        <f t="shared" si="7"/>
        <v>1</v>
      </c>
      <c r="T165">
        <f t="shared" si="8"/>
        <v>1</v>
      </c>
      <c r="U165" t="s">
        <v>3053</v>
      </c>
    </row>
    <row r="166" spans="1:22" x14ac:dyDescent="0.25">
      <c r="A166" t="s">
        <v>3375</v>
      </c>
      <c r="B166">
        <v>1387</v>
      </c>
      <c r="C166" t="s">
        <v>18</v>
      </c>
      <c r="D166" t="s">
        <v>835</v>
      </c>
      <c r="E166" s="4">
        <v>45361</v>
      </c>
      <c r="F166" s="6">
        <v>0</v>
      </c>
      <c r="G166" s="6" t="s">
        <v>2995</v>
      </c>
      <c r="H166" s="6" t="s">
        <v>2989</v>
      </c>
      <c r="I166" s="6" t="s">
        <v>3000</v>
      </c>
      <c r="J166" s="6" t="s">
        <v>2989</v>
      </c>
      <c r="K166" s="6"/>
      <c r="L166" s="6"/>
      <c r="M166" s="6" t="s">
        <v>3046</v>
      </c>
      <c r="N166" s="6" t="s">
        <v>3046</v>
      </c>
      <c r="O166" s="6"/>
      <c r="P166">
        <f t="shared" si="6"/>
        <v>1</v>
      </c>
      <c r="Q166">
        <f>IF(AND(P166=1,OR(ISNUMBER(MATCH(H166,{"menace","othering","ridicule","blame","victim"},0)),ISNUMBER(MATCH(J166,{"menace","othering","ridicule","blame","victim"},0)),ISNUMBER(MATCH(L166,{"menace","othering","ridicule","blame","victim"},0)))),1,0)</f>
        <v>0</v>
      </c>
      <c r="R166">
        <f>IF(AND(P166=1,Q166=0,OR(ISNUMBER(MATCH(H166,{"wholesome","heroic"},0)),ISNUMBER(MATCH(J166,{"wholesome","heroic"},0)),ISNUMBER(MATCH(L166,{"wholesome","heroic"},0)))),1,0)</f>
        <v>0</v>
      </c>
      <c r="S166">
        <f t="shared" si="7"/>
        <v>1</v>
      </c>
      <c r="T166">
        <f t="shared" si="8"/>
        <v>1</v>
      </c>
      <c r="U166" t="s">
        <v>3053</v>
      </c>
    </row>
    <row r="167" spans="1:22" x14ac:dyDescent="0.25">
      <c r="A167" t="s">
        <v>3374</v>
      </c>
      <c r="B167">
        <v>1393</v>
      </c>
      <c r="C167" t="s">
        <v>18</v>
      </c>
      <c r="D167" t="s">
        <v>835</v>
      </c>
      <c r="E167" s="4">
        <v>45364</v>
      </c>
      <c r="F167" s="6">
        <v>0</v>
      </c>
      <c r="G167" s="6" t="s">
        <v>2986</v>
      </c>
      <c r="H167" s="6" t="s">
        <v>2989</v>
      </c>
      <c r="I167" s="6"/>
      <c r="J167" s="6"/>
      <c r="K167" s="6"/>
      <c r="L167" s="6"/>
      <c r="M167" s="6" t="s">
        <v>3046</v>
      </c>
      <c r="N167" s="6"/>
      <c r="O167" s="6"/>
      <c r="P167">
        <f t="shared" si="6"/>
        <v>1</v>
      </c>
      <c r="Q167">
        <f>IF(AND(P167=1,OR(ISNUMBER(MATCH(H167,{"menace","othering","ridicule","blame","victim"},0)),ISNUMBER(MATCH(J167,{"menace","othering","ridicule","blame","victim"},0)),ISNUMBER(MATCH(L167,{"menace","othering","ridicule","blame","victim"},0)))),1,0)</f>
        <v>0</v>
      </c>
      <c r="R167">
        <f>IF(AND(P167=1,Q167=0,OR(ISNUMBER(MATCH(H167,{"wholesome","heroic"},0)),ISNUMBER(MATCH(J167,{"wholesome","heroic"},0)),ISNUMBER(MATCH(L167,{"wholesome","heroic"},0)))),1,0)</f>
        <v>0</v>
      </c>
      <c r="S167">
        <f t="shared" si="7"/>
        <v>1</v>
      </c>
      <c r="T167">
        <f t="shared" si="8"/>
        <v>0</v>
      </c>
      <c r="U167" t="s">
        <v>3049</v>
      </c>
      <c r="V167" t="s">
        <v>1944</v>
      </c>
    </row>
    <row r="168" spans="1:22" x14ac:dyDescent="0.25">
      <c r="A168" t="s">
        <v>3373</v>
      </c>
      <c r="B168">
        <v>1395</v>
      </c>
      <c r="C168" t="s">
        <v>18</v>
      </c>
      <c r="D168" t="s">
        <v>835</v>
      </c>
      <c r="E168" s="4">
        <v>45365</v>
      </c>
      <c r="F168" s="6">
        <v>0</v>
      </c>
      <c r="G168" s="6" t="s">
        <v>2995</v>
      </c>
      <c r="H168" s="6" t="s">
        <v>2989</v>
      </c>
      <c r="I168" s="6"/>
      <c r="J168" s="6"/>
      <c r="K168" s="6"/>
      <c r="L168" s="6"/>
      <c r="M168" s="6" t="s">
        <v>3046</v>
      </c>
      <c r="N168" s="6"/>
      <c r="O168" s="6"/>
      <c r="P168">
        <f t="shared" si="6"/>
        <v>1</v>
      </c>
      <c r="Q168">
        <f>IF(AND(P168=1,OR(ISNUMBER(MATCH(H168,{"menace","othering","ridicule","blame","victim"},0)),ISNUMBER(MATCH(J168,{"menace","othering","ridicule","blame","victim"},0)),ISNUMBER(MATCH(L168,{"menace","othering","ridicule","blame","victim"},0)))),1,0)</f>
        <v>0</v>
      </c>
      <c r="R168">
        <f>IF(AND(P168=1,Q168=0,OR(ISNUMBER(MATCH(H168,{"wholesome","heroic"},0)),ISNUMBER(MATCH(J168,{"wholesome","heroic"},0)),ISNUMBER(MATCH(L168,{"wholesome","heroic"},0)))),1,0)</f>
        <v>0</v>
      </c>
      <c r="S168">
        <f t="shared" si="7"/>
        <v>1</v>
      </c>
      <c r="T168">
        <f t="shared" si="8"/>
        <v>1</v>
      </c>
      <c r="U168" t="s">
        <v>3053</v>
      </c>
    </row>
    <row r="169" spans="1:22" x14ac:dyDescent="0.25">
      <c r="A169" t="s">
        <v>3372</v>
      </c>
      <c r="B169">
        <v>1444</v>
      </c>
      <c r="C169" t="s">
        <v>18</v>
      </c>
      <c r="D169" t="s">
        <v>835</v>
      </c>
      <c r="E169" s="4">
        <v>45397</v>
      </c>
      <c r="F169" s="6">
        <v>0</v>
      </c>
      <c r="G169" s="6" t="s">
        <v>2995</v>
      </c>
      <c r="H169" s="6" t="s">
        <v>2989</v>
      </c>
      <c r="I169" s="6"/>
      <c r="J169" s="6"/>
      <c r="K169" s="6"/>
      <c r="L169" s="6"/>
      <c r="M169" s="6" t="s">
        <v>3046</v>
      </c>
      <c r="N169" s="6"/>
      <c r="O169" s="6"/>
      <c r="P169">
        <f t="shared" si="6"/>
        <v>1</v>
      </c>
      <c r="Q169">
        <f>IF(AND(P169=1,OR(ISNUMBER(MATCH(H169,{"menace","othering","ridicule","blame","victim"},0)),ISNUMBER(MATCH(J169,{"menace","othering","ridicule","blame","victim"},0)),ISNUMBER(MATCH(L169,{"menace","othering","ridicule","blame","victim"},0)))),1,0)</f>
        <v>0</v>
      </c>
      <c r="R169">
        <f>IF(AND(P169=1,Q169=0,OR(ISNUMBER(MATCH(H169,{"wholesome","heroic"},0)),ISNUMBER(MATCH(J169,{"wholesome","heroic"},0)),ISNUMBER(MATCH(L169,{"wholesome","heroic"},0)))),1,0)</f>
        <v>0</v>
      </c>
      <c r="S169">
        <f t="shared" si="7"/>
        <v>1</v>
      </c>
      <c r="T169">
        <f t="shared" si="8"/>
        <v>1</v>
      </c>
      <c r="U169" t="s">
        <v>3053</v>
      </c>
    </row>
    <row r="170" spans="1:22" x14ac:dyDescent="0.25">
      <c r="A170" t="s">
        <v>3371</v>
      </c>
      <c r="B170">
        <v>1450</v>
      </c>
      <c r="C170" t="s">
        <v>18</v>
      </c>
      <c r="D170" t="s">
        <v>835</v>
      </c>
      <c r="E170" s="4">
        <v>45400</v>
      </c>
      <c r="F170" s="6">
        <v>0</v>
      </c>
      <c r="G170" s="6" t="s">
        <v>2995</v>
      </c>
      <c r="H170" s="6" t="s">
        <v>2989</v>
      </c>
      <c r="I170" s="6"/>
      <c r="J170" s="6"/>
      <c r="K170" s="6"/>
      <c r="L170" s="6"/>
      <c r="M170" s="6" t="s">
        <v>3046</v>
      </c>
      <c r="N170" s="6"/>
      <c r="O170" s="6"/>
      <c r="P170">
        <f t="shared" si="6"/>
        <v>1</v>
      </c>
      <c r="Q170">
        <f>IF(AND(P170=1,OR(ISNUMBER(MATCH(H170,{"menace","othering","ridicule","blame","victim"},0)),ISNUMBER(MATCH(J170,{"menace","othering","ridicule","blame","victim"},0)),ISNUMBER(MATCH(L170,{"menace","othering","ridicule","blame","victim"},0)))),1,0)</f>
        <v>0</v>
      </c>
      <c r="R170">
        <f>IF(AND(P170=1,Q170=0,OR(ISNUMBER(MATCH(H170,{"wholesome","heroic"},0)),ISNUMBER(MATCH(J170,{"wholesome","heroic"},0)),ISNUMBER(MATCH(L170,{"wholesome","heroic"},0)))),1,0)</f>
        <v>0</v>
      </c>
      <c r="S170">
        <f t="shared" si="7"/>
        <v>1</v>
      </c>
      <c r="T170">
        <f t="shared" si="8"/>
        <v>1</v>
      </c>
      <c r="U170" t="s">
        <v>3053</v>
      </c>
    </row>
    <row r="171" spans="1:22" x14ac:dyDescent="0.25">
      <c r="A171" t="s">
        <v>3370</v>
      </c>
      <c r="B171">
        <v>1457</v>
      </c>
      <c r="C171" t="s">
        <v>18</v>
      </c>
      <c r="D171" t="s">
        <v>835</v>
      </c>
      <c r="E171" s="4">
        <v>45404</v>
      </c>
      <c r="F171" s="6">
        <v>0</v>
      </c>
      <c r="G171" s="6" t="s">
        <v>2995</v>
      </c>
      <c r="H171" s="6" t="s">
        <v>2989</v>
      </c>
      <c r="I171" s="6"/>
      <c r="J171" s="6"/>
      <c r="K171" s="6"/>
      <c r="L171" s="6"/>
      <c r="M171" s="6" t="s">
        <v>3046</v>
      </c>
      <c r="N171" s="6"/>
      <c r="O171" s="6"/>
      <c r="P171">
        <f t="shared" si="6"/>
        <v>1</v>
      </c>
      <c r="Q171">
        <f>IF(AND(P171=1,OR(ISNUMBER(MATCH(H171,{"menace","othering","ridicule","blame","victim"},0)),ISNUMBER(MATCH(J171,{"menace","othering","ridicule","blame","victim"},0)),ISNUMBER(MATCH(L171,{"menace","othering","ridicule","blame","victim"},0)))),1,0)</f>
        <v>0</v>
      </c>
      <c r="R171">
        <f>IF(AND(P171=1,Q171=0,OR(ISNUMBER(MATCH(H171,{"wholesome","heroic"},0)),ISNUMBER(MATCH(J171,{"wholesome","heroic"},0)),ISNUMBER(MATCH(L171,{"wholesome","heroic"},0)))),1,0)</f>
        <v>0</v>
      </c>
      <c r="S171">
        <f t="shared" si="7"/>
        <v>1</v>
      </c>
      <c r="T171">
        <f t="shared" si="8"/>
        <v>1</v>
      </c>
      <c r="U171" t="s">
        <v>3053</v>
      </c>
    </row>
    <row r="172" spans="1:22" x14ac:dyDescent="0.25">
      <c r="A172" t="s">
        <v>3062</v>
      </c>
      <c r="B172">
        <v>1461</v>
      </c>
      <c r="C172" t="s">
        <v>18</v>
      </c>
      <c r="D172" t="s">
        <v>835</v>
      </c>
      <c r="E172" s="4">
        <v>45407</v>
      </c>
      <c r="F172" s="6">
        <v>0</v>
      </c>
      <c r="G172" s="6" t="s">
        <v>2989</v>
      </c>
      <c r="H172" s="6" t="s">
        <v>2989</v>
      </c>
      <c r="I172" s="6"/>
      <c r="J172" s="6"/>
      <c r="K172" s="6"/>
      <c r="L172" s="6"/>
      <c r="M172" s="6"/>
      <c r="N172" s="6"/>
      <c r="O172" s="6"/>
      <c r="P172">
        <f t="shared" si="6"/>
        <v>1</v>
      </c>
      <c r="Q172">
        <f>IF(AND(P172=1,OR(ISNUMBER(MATCH(H172,{"menace","othering","ridicule","blame","victim"},0)),ISNUMBER(MATCH(J172,{"menace","othering","ridicule","blame","victim"},0)),ISNUMBER(MATCH(L172,{"menace","othering","ridicule","blame","victim"},0)))),1,0)</f>
        <v>0</v>
      </c>
      <c r="R172">
        <f>IF(AND(P172=1,Q172=0,OR(ISNUMBER(MATCH(H172,{"wholesome","heroic"},0)),ISNUMBER(MATCH(J172,{"wholesome","heroic"},0)),ISNUMBER(MATCH(L172,{"wholesome","heroic"},0)))),1,0)</f>
        <v>0</v>
      </c>
      <c r="S172">
        <f t="shared" si="7"/>
        <v>1</v>
      </c>
      <c r="T172">
        <f t="shared" si="8"/>
        <v>0</v>
      </c>
      <c r="U172" t="s">
        <v>3049</v>
      </c>
      <c r="V172" t="s">
        <v>1943</v>
      </c>
    </row>
    <row r="173" spans="1:22" x14ac:dyDescent="0.25">
      <c r="A173" t="s">
        <v>3695</v>
      </c>
      <c r="B173">
        <v>1463</v>
      </c>
      <c r="C173" t="s">
        <v>18</v>
      </c>
      <c r="D173" t="s">
        <v>835</v>
      </c>
      <c r="E173" s="4">
        <v>45408</v>
      </c>
      <c r="F173" s="6">
        <v>0</v>
      </c>
      <c r="G173" s="6" t="s">
        <v>2995</v>
      </c>
      <c r="H173" s="6" t="s">
        <v>2989</v>
      </c>
      <c r="I173" s="6"/>
      <c r="J173" s="6"/>
      <c r="K173" s="6"/>
      <c r="L173" s="6"/>
      <c r="M173" s="6" t="s">
        <v>3046</v>
      </c>
      <c r="N173" s="6"/>
      <c r="O173" s="6"/>
      <c r="P173">
        <f t="shared" si="6"/>
        <v>1</v>
      </c>
      <c r="Q173">
        <f>IF(AND(P173=1,OR(ISNUMBER(MATCH(H173,{"menace","othering","ridicule","blame","victim"},0)),ISNUMBER(MATCH(J173,{"menace","othering","ridicule","blame","victim"},0)),ISNUMBER(MATCH(L173,{"menace","othering","ridicule","blame","victim"},0)))),1,0)</f>
        <v>0</v>
      </c>
      <c r="R173">
        <f>IF(AND(P173=1,Q173=0,OR(ISNUMBER(MATCH(H173,{"wholesome","heroic"},0)),ISNUMBER(MATCH(J173,{"wholesome","heroic"},0)),ISNUMBER(MATCH(L173,{"wholesome","heroic"},0)))),1,0)</f>
        <v>0</v>
      </c>
      <c r="S173">
        <f t="shared" si="7"/>
        <v>1</v>
      </c>
      <c r="T173">
        <f t="shared" si="8"/>
        <v>1</v>
      </c>
      <c r="U173" t="s">
        <v>3049</v>
      </c>
      <c r="V173" t="s">
        <v>3369</v>
      </c>
    </row>
    <row r="174" spans="1:22" x14ac:dyDescent="0.25">
      <c r="A174" t="s">
        <v>3368</v>
      </c>
      <c r="B174">
        <v>1467</v>
      </c>
      <c r="C174" t="s">
        <v>18</v>
      </c>
      <c r="D174" t="s">
        <v>835</v>
      </c>
      <c r="E174" s="4">
        <v>45411</v>
      </c>
      <c r="F174" s="6">
        <v>0</v>
      </c>
      <c r="G174" s="6" t="s">
        <v>2995</v>
      </c>
      <c r="H174" s="6" t="s">
        <v>2989</v>
      </c>
      <c r="I174" s="6"/>
      <c r="J174" s="6"/>
      <c r="K174" s="6"/>
      <c r="L174" s="6"/>
      <c r="M174" s="6" t="s">
        <v>3046</v>
      </c>
      <c r="N174" s="6"/>
      <c r="O174" s="6"/>
      <c r="P174">
        <f t="shared" si="6"/>
        <v>1</v>
      </c>
      <c r="Q174">
        <f>IF(AND(P174=1,OR(ISNUMBER(MATCH(H174,{"menace","othering","ridicule","blame","victim"},0)),ISNUMBER(MATCH(J174,{"menace","othering","ridicule","blame","victim"},0)),ISNUMBER(MATCH(L174,{"menace","othering","ridicule","blame","victim"},0)))),1,0)</f>
        <v>0</v>
      </c>
      <c r="R174">
        <f>IF(AND(P174=1,Q174=0,OR(ISNUMBER(MATCH(H174,{"wholesome","heroic"},0)),ISNUMBER(MATCH(J174,{"wholesome","heroic"},0)),ISNUMBER(MATCH(L174,{"wholesome","heroic"},0)))),1,0)</f>
        <v>0</v>
      </c>
      <c r="S174">
        <f t="shared" si="7"/>
        <v>1</v>
      </c>
      <c r="T174">
        <f t="shared" si="8"/>
        <v>1</v>
      </c>
      <c r="U174" t="s">
        <v>3053</v>
      </c>
    </row>
    <row r="175" spans="1:22" x14ac:dyDescent="0.25">
      <c r="A175" t="s">
        <v>3367</v>
      </c>
      <c r="B175">
        <v>1470</v>
      </c>
      <c r="C175" t="s">
        <v>18</v>
      </c>
      <c r="D175" t="s">
        <v>835</v>
      </c>
      <c r="E175" s="4">
        <v>45413</v>
      </c>
      <c r="F175" s="6">
        <v>0</v>
      </c>
      <c r="G175" s="6" t="s">
        <v>2995</v>
      </c>
      <c r="H175" s="6" t="s">
        <v>2989</v>
      </c>
      <c r="I175" s="6"/>
      <c r="J175" s="6"/>
      <c r="K175" s="6"/>
      <c r="L175" s="6"/>
      <c r="M175" s="6" t="s">
        <v>3046</v>
      </c>
      <c r="N175" s="6"/>
      <c r="O175" s="6"/>
      <c r="P175">
        <f t="shared" si="6"/>
        <v>1</v>
      </c>
      <c r="Q175">
        <f>IF(AND(P175=1,OR(ISNUMBER(MATCH(H175,{"menace","othering","ridicule","blame","victim"},0)),ISNUMBER(MATCH(J175,{"menace","othering","ridicule","blame","victim"},0)),ISNUMBER(MATCH(L175,{"menace","othering","ridicule","blame","victim"},0)))),1,0)</f>
        <v>0</v>
      </c>
      <c r="R175">
        <f>IF(AND(P175=1,Q175=0,OR(ISNUMBER(MATCH(H175,{"wholesome","heroic"},0)),ISNUMBER(MATCH(J175,{"wholesome","heroic"},0)),ISNUMBER(MATCH(L175,{"wholesome","heroic"},0)))),1,0)</f>
        <v>0</v>
      </c>
      <c r="S175">
        <f t="shared" si="7"/>
        <v>1</v>
      </c>
      <c r="T175">
        <f t="shared" si="8"/>
        <v>1</v>
      </c>
      <c r="U175" t="s">
        <v>3053</v>
      </c>
    </row>
    <row r="176" spans="1:22" x14ac:dyDescent="0.25">
      <c r="A176" t="s">
        <v>3366</v>
      </c>
      <c r="B176">
        <v>1507</v>
      </c>
      <c r="C176" t="s">
        <v>18</v>
      </c>
      <c r="D176" t="s">
        <v>835</v>
      </c>
      <c r="E176" s="4">
        <v>45436</v>
      </c>
      <c r="F176" s="6">
        <v>0</v>
      </c>
      <c r="G176" s="6" t="s">
        <v>3000</v>
      </c>
      <c r="H176" s="6" t="s">
        <v>2989</v>
      </c>
      <c r="I176" s="6"/>
      <c r="J176" s="6"/>
      <c r="K176" s="6"/>
      <c r="L176" s="6"/>
      <c r="M176" s="6" t="s">
        <v>3046</v>
      </c>
      <c r="N176" s="6"/>
      <c r="O176" s="6"/>
      <c r="P176">
        <f t="shared" si="6"/>
        <v>1</v>
      </c>
      <c r="Q176">
        <f>IF(AND(P176=1,OR(ISNUMBER(MATCH(H176,{"menace","othering","ridicule","blame","victim"},0)),ISNUMBER(MATCH(J176,{"menace","othering","ridicule","blame","victim"},0)),ISNUMBER(MATCH(L176,{"menace","othering","ridicule","blame","victim"},0)))),1,0)</f>
        <v>0</v>
      </c>
      <c r="R176">
        <f>IF(AND(P176=1,Q176=0,OR(ISNUMBER(MATCH(H176,{"wholesome","heroic"},0)),ISNUMBER(MATCH(J176,{"wholesome","heroic"},0)),ISNUMBER(MATCH(L176,{"wholesome","heroic"},0)))),1,0)</f>
        <v>0</v>
      </c>
      <c r="S176">
        <f t="shared" si="7"/>
        <v>1</v>
      </c>
      <c r="T176">
        <f t="shared" si="8"/>
        <v>0</v>
      </c>
      <c r="U176" t="s">
        <v>3053</v>
      </c>
    </row>
    <row r="177" spans="1:22" x14ac:dyDescent="0.25">
      <c r="A177" t="s">
        <v>3365</v>
      </c>
      <c r="B177">
        <v>1520</v>
      </c>
      <c r="C177" t="s">
        <v>18</v>
      </c>
      <c r="D177" t="s">
        <v>835</v>
      </c>
      <c r="E177" s="4">
        <v>45442</v>
      </c>
      <c r="F177" s="6">
        <v>0</v>
      </c>
      <c r="G177" s="6" t="s">
        <v>2995</v>
      </c>
      <c r="H177" s="6" t="s">
        <v>2989</v>
      </c>
      <c r="I177" s="6" t="s">
        <v>2986</v>
      </c>
      <c r="J177" s="6" t="s">
        <v>2989</v>
      </c>
      <c r="K177" s="6"/>
      <c r="L177" s="6"/>
      <c r="M177" s="6" t="s">
        <v>3046</v>
      </c>
      <c r="N177" s="6" t="s">
        <v>3046</v>
      </c>
      <c r="O177" s="6"/>
      <c r="P177">
        <f t="shared" si="6"/>
        <v>1</v>
      </c>
      <c r="Q177">
        <f>IF(AND(P177=1,OR(ISNUMBER(MATCH(H177,{"menace","othering","ridicule","blame","victim"},0)),ISNUMBER(MATCH(J177,{"menace","othering","ridicule","blame","victim"},0)),ISNUMBER(MATCH(L177,{"menace","othering","ridicule","blame","victim"},0)))),1,0)</f>
        <v>0</v>
      </c>
      <c r="R177">
        <f>IF(AND(P177=1,Q177=0,OR(ISNUMBER(MATCH(H177,{"wholesome","heroic"},0)),ISNUMBER(MATCH(J177,{"wholesome","heroic"},0)),ISNUMBER(MATCH(L177,{"wholesome","heroic"},0)))),1,0)</f>
        <v>0</v>
      </c>
      <c r="S177">
        <f t="shared" si="7"/>
        <v>1</v>
      </c>
      <c r="T177">
        <f t="shared" si="8"/>
        <v>1</v>
      </c>
      <c r="U177" t="s">
        <v>3049</v>
      </c>
      <c r="V177" t="s">
        <v>3364</v>
      </c>
    </row>
    <row r="178" spans="1:22" x14ac:dyDescent="0.25">
      <c r="A178" t="s">
        <v>3363</v>
      </c>
      <c r="B178">
        <v>1524</v>
      </c>
      <c r="C178" t="s">
        <v>18</v>
      </c>
      <c r="D178" t="s">
        <v>835</v>
      </c>
      <c r="E178" s="4">
        <v>45443</v>
      </c>
      <c r="F178" s="6">
        <v>0</v>
      </c>
      <c r="G178" s="6" t="s">
        <v>2991</v>
      </c>
      <c r="H178" s="6" t="s">
        <v>2987</v>
      </c>
      <c r="I178" s="6" t="s">
        <v>2991</v>
      </c>
      <c r="J178" s="6" t="s">
        <v>2993</v>
      </c>
      <c r="K178" s="6" t="s">
        <v>2991</v>
      </c>
      <c r="L178" s="6" t="s">
        <v>2989</v>
      </c>
      <c r="M178" s="6" t="s">
        <v>3046</v>
      </c>
      <c r="N178" s="6" t="s">
        <v>3046</v>
      </c>
      <c r="O178" s="6" t="s">
        <v>3046</v>
      </c>
      <c r="P178">
        <f t="shared" si="6"/>
        <v>1</v>
      </c>
      <c r="Q178">
        <f>IF(AND(P178=1,OR(ISNUMBER(MATCH(H178,{"menace","othering","ridicule","blame","victim"},0)),ISNUMBER(MATCH(J178,{"menace","othering","ridicule","blame","victim"},0)),ISNUMBER(MATCH(L178,{"menace","othering","ridicule","blame","victim"},0)))),1,0)</f>
        <v>1</v>
      </c>
      <c r="R178">
        <f>IF(AND(P178=1,Q178=0,OR(ISNUMBER(MATCH(H178,{"wholesome","heroic"},0)),ISNUMBER(MATCH(J178,{"wholesome","heroic"},0)),ISNUMBER(MATCH(L178,{"wholesome","heroic"},0)))),1,0)</f>
        <v>0</v>
      </c>
      <c r="S178">
        <f t="shared" si="7"/>
        <v>0</v>
      </c>
      <c r="T178">
        <f t="shared" si="8"/>
        <v>0</v>
      </c>
      <c r="U178" t="s">
        <v>3053</v>
      </c>
    </row>
    <row r="179" spans="1:22" x14ac:dyDescent="0.25">
      <c r="A179" t="s">
        <v>3362</v>
      </c>
      <c r="B179">
        <v>1529</v>
      </c>
      <c r="C179" t="s">
        <v>18</v>
      </c>
      <c r="D179" t="s">
        <v>835</v>
      </c>
      <c r="E179" s="4">
        <v>45445</v>
      </c>
      <c r="F179" s="6">
        <v>0</v>
      </c>
      <c r="G179" s="6" t="s">
        <v>2995</v>
      </c>
      <c r="H179" s="6" t="s">
        <v>2989</v>
      </c>
      <c r="I179" s="6"/>
      <c r="J179" s="6"/>
      <c r="K179" s="6"/>
      <c r="L179" s="6"/>
      <c r="M179" s="6" t="s">
        <v>3046</v>
      </c>
      <c r="N179" s="6"/>
      <c r="O179" s="6"/>
      <c r="P179">
        <f t="shared" si="6"/>
        <v>1</v>
      </c>
      <c r="Q179">
        <f>IF(AND(P179=1,OR(ISNUMBER(MATCH(H179,{"menace","othering","ridicule","blame","victim"},0)),ISNUMBER(MATCH(J179,{"menace","othering","ridicule","blame","victim"},0)),ISNUMBER(MATCH(L179,{"menace","othering","ridicule","blame","victim"},0)))),1,0)</f>
        <v>0</v>
      </c>
      <c r="R179">
        <f>IF(AND(P179=1,Q179=0,OR(ISNUMBER(MATCH(H179,{"wholesome","heroic"},0)),ISNUMBER(MATCH(J179,{"wholesome","heroic"},0)),ISNUMBER(MATCH(L179,{"wholesome","heroic"},0)))),1,0)</f>
        <v>0</v>
      </c>
      <c r="S179">
        <f t="shared" si="7"/>
        <v>1</v>
      </c>
      <c r="T179">
        <f t="shared" si="8"/>
        <v>1</v>
      </c>
      <c r="U179" t="s">
        <v>3053</v>
      </c>
    </row>
    <row r="180" spans="1:22" x14ac:dyDescent="0.25">
      <c r="A180" t="s">
        <v>3361</v>
      </c>
      <c r="B180">
        <v>1538</v>
      </c>
      <c r="C180" t="s">
        <v>18</v>
      </c>
      <c r="D180" t="s">
        <v>835</v>
      </c>
      <c r="E180" s="4">
        <v>45447</v>
      </c>
      <c r="F180" s="6">
        <v>0</v>
      </c>
      <c r="G180" s="6" t="s">
        <v>3862</v>
      </c>
      <c r="H180" s="6" t="s">
        <v>2989</v>
      </c>
      <c r="I180" s="6"/>
      <c r="J180" s="6"/>
      <c r="K180" s="6"/>
      <c r="L180" s="6"/>
      <c r="M180" s="6" t="s">
        <v>3046</v>
      </c>
      <c r="N180" s="6"/>
      <c r="O180" s="6"/>
      <c r="P180">
        <f t="shared" si="6"/>
        <v>1</v>
      </c>
      <c r="Q180">
        <f>IF(AND(P180=1,OR(ISNUMBER(MATCH(H180,{"menace","othering","ridicule","blame","victim"},0)),ISNUMBER(MATCH(J180,{"menace","othering","ridicule","blame","victim"},0)),ISNUMBER(MATCH(L180,{"menace","othering","ridicule","blame","victim"},0)))),1,0)</f>
        <v>0</v>
      </c>
      <c r="R180">
        <f>IF(AND(P180=1,Q180=0,OR(ISNUMBER(MATCH(H180,{"wholesome","heroic"},0)),ISNUMBER(MATCH(J180,{"wholesome","heroic"},0)),ISNUMBER(MATCH(L180,{"wholesome","heroic"},0)))),1,0)</f>
        <v>0</v>
      </c>
      <c r="S180">
        <f t="shared" si="7"/>
        <v>1</v>
      </c>
      <c r="T180">
        <f t="shared" si="8"/>
        <v>0</v>
      </c>
      <c r="U180" t="s">
        <v>3053</v>
      </c>
    </row>
    <row r="181" spans="1:22" x14ac:dyDescent="0.25">
      <c r="A181" t="s">
        <v>3360</v>
      </c>
      <c r="B181">
        <v>1547</v>
      </c>
      <c r="C181" t="s">
        <v>18</v>
      </c>
      <c r="D181" t="s">
        <v>835</v>
      </c>
      <c r="E181" s="4">
        <v>45449</v>
      </c>
      <c r="F181" s="6">
        <v>0</v>
      </c>
      <c r="G181" s="6" t="s">
        <v>2997</v>
      </c>
      <c r="H181" s="6" t="s">
        <v>2989</v>
      </c>
      <c r="I181" s="6"/>
      <c r="J181" s="6"/>
      <c r="K181" s="6"/>
      <c r="L181" s="6"/>
      <c r="M181" s="6" t="s">
        <v>3046</v>
      </c>
      <c r="N181" s="6"/>
      <c r="O181" s="6"/>
      <c r="P181">
        <f t="shared" si="6"/>
        <v>1</v>
      </c>
      <c r="Q181">
        <f>IF(AND(P181=1,OR(ISNUMBER(MATCH(H181,{"menace","othering","ridicule","blame","victim"},0)),ISNUMBER(MATCH(J181,{"menace","othering","ridicule","blame","victim"},0)),ISNUMBER(MATCH(L181,{"menace","othering","ridicule","blame","victim"},0)))),1,0)</f>
        <v>0</v>
      </c>
      <c r="R181">
        <f>IF(AND(P181=1,Q181=0,OR(ISNUMBER(MATCH(H181,{"wholesome","heroic"},0)),ISNUMBER(MATCH(J181,{"wholesome","heroic"},0)),ISNUMBER(MATCH(L181,{"wholesome","heroic"},0)))),1,0)</f>
        <v>0</v>
      </c>
      <c r="S181">
        <f t="shared" si="7"/>
        <v>1</v>
      </c>
      <c r="T181">
        <f t="shared" si="8"/>
        <v>0</v>
      </c>
      <c r="U181" t="s">
        <v>3049</v>
      </c>
      <c r="V181" t="s">
        <v>3359</v>
      </c>
    </row>
    <row r="182" spans="1:22" x14ac:dyDescent="0.25">
      <c r="A182" t="s">
        <v>3358</v>
      </c>
      <c r="B182">
        <v>1553</v>
      </c>
      <c r="C182" t="s">
        <v>18</v>
      </c>
      <c r="D182" t="s">
        <v>835</v>
      </c>
      <c r="E182" s="4">
        <v>45450</v>
      </c>
      <c r="F182" s="6">
        <v>0</v>
      </c>
      <c r="G182" s="6" t="s">
        <v>2995</v>
      </c>
      <c r="H182" s="6" t="s">
        <v>2989</v>
      </c>
      <c r="I182" s="6" t="s">
        <v>3862</v>
      </c>
      <c r="J182" s="6" t="s">
        <v>2989</v>
      </c>
      <c r="K182" s="6"/>
      <c r="L182" s="6"/>
      <c r="M182" s="6" t="s">
        <v>3046</v>
      </c>
      <c r="N182" s="6" t="s">
        <v>3046</v>
      </c>
      <c r="O182" s="6"/>
      <c r="P182">
        <f t="shared" si="6"/>
        <v>1</v>
      </c>
      <c r="Q182">
        <f>IF(AND(P182=1,OR(ISNUMBER(MATCH(H182,{"menace","othering","ridicule","blame","victim"},0)),ISNUMBER(MATCH(J182,{"menace","othering","ridicule","blame","victim"},0)),ISNUMBER(MATCH(L182,{"menace","othering","ridicule","blame","victim"},0)))),1,0)</f>
        <v>0</v>
      </c>
      <c r="R182">
        <f>IF(AND(P182=1,Q182=0,OR(ISNUMBER(MATCH(H182,{"wholesome","heroic"},0)),ISNUMBER(MATCH(J182,{"wholesome","heroic"},0)),ISNUMBER(MATCH(L182,{"wholesome","heroic"},0)))),1,0)</f>
        <v>0</v>
      </c>
      <c r="S182">
        <f t="shared" si="7"/>
        <v>1</v>
      </c>
      <c r="T182">
        <f t="shared" si="8"/>
        <v>1</v>
      </c>
      <c r="U182" t="s">
        <v>3053</v>
      </c>
    </row>
    <row r="183" spans="1:22" x14ac:dyDescent="0.25">
      <c r="A183" t="s">
        <v>3357</v>
      </c>
      <c r="B183">
        <v>1563</v>
      </c>
      <c r="C183" t="s">
        <v>18</v>
      </c>
      <c r="D183" t="s">
        <v>835</v>
      </c>
      <c r="E183" s="4">
        <v>45452</v>
      </c>
      <c r="F183" s="6">
        <v>0</v>
      </c>
      <c r="G183" s="6" t="s">
        <v>2995</v>
      </c>
      <c r="H183" s="6" t="s">
        <v>2990</v>
      </c>
      <c r="I183" s="6" t="s">
        <v>3862</v>
      </c>
      <c r="J183" s="6" t="s">
        <v>2990</v>
      </c>
      <c r="K183" s="6"/>
      <c r="L183" s="6"/>
      <c r="M183" s="6" t="s">
        <v>3046</v>
      </c>
      <c r="N183" s="6" t="s">
        <v>3046</v>
      </c>
      <c r="O183" s="6"/>
      <c r="P183">
        <f t="shared" si="6"/>
        <v>1</v>
      </c>
      <c r="Q183">
        <f>IF(AND(P183=1,OR(ISNUMBER(MATCH(H183,{"menace","othering","ridicule","blame","victim"},0)),ISNUMBER(MATCH(J183,{"menace","othering","ridicule","blame","victim"},0)),ISNUMBER(MATCH(L183,{"menace","othering","ridicule","blame","victim"},0)))),1,0)</f>
        <v>0</v>
      </c>
      <c r="R183">
        <f>IF(AND(P183=1,Q183=0,OR(ISNUMBER(MATCH(H183,{"wholesome","heroic"},0)),ISNUMBER(MATCH(J183,{"wholesome","heroic"},0)),ISNUMBER(MATCH(L183,{"wholesome","heroic"},0)))),1,0)</f>
        <v>1</v>
      </c>
      <c r="S183">
        <f t="shared" si="7"/>
        <v>0</v>
      </c>
      <c r="T183">
        <f t="shared" si="8"/>
        <v>1</v>
      </c>
      <c r="U183" t="s">
        <v>3053</v>
      </c>
    </row>
    <row r="184" spans="1:22" x14ac:dyDescent="0.25">
      <c r="A184" t="s">
        <v>3356</v>
      </c>
      <c r="B184">
        <v>1564</v>
      </c>
      <c r="C184" t="s">
        <v>18</v>
      </c>
      <c r="D184" t="s">
        <v>835</v>
      </c>
      <c r="E184" s="4">
        <v>45452</v>
      </c>
      <c r="F184" s="6">
        <v>0</v>
      </c>
      <c r="G184" s="6" t="s">
        <v>2995</v>
      </c>
      <c r="H184" s="6" t="s">
        <v>2994</v>
      </c>
      <c r="I184" s="6" t="s">
        <v>3862</v>
      </c>
      <c r="J184" s="6" t="s">
        <v>2994</v>
      </c>
      <c r="K184" s="6" t="s">
        <v>2988</v>
      </c>
      <c r="L184" s="6" t="s">
        <v>2990</v>
      </c>
      <c r="M184" s="6" t="s">
        <v>3046</v>
      </c>
      <c r="N184" s="6" t="s">
        <v>3046</v>
      </c>
      <c r="O184" s="6" t="s">
        <v>3046</v>
      </c>
      <c r="P184">
        <f t="shared" si="6"/>
        <v>1</v>
      </c>
      <c r="Q184">
        <f>IF(AND(P184=1,OR(ISNUMBER(MATCH(H184,{"menace","othering","ridicule","blame","victim"},0)),ISNUMBER(MATCH(J184,{"menace","othering","ridicule","blame","victim"},0)),ISNUMBER(MATCH(L184,{"menace","othering","ridicule","blame","victim"},0)))),1,0)</f>
        <v>0</v>
      </c>
      <c r="R184">
        <f>IF(AND(P184=1,Q184=0,OR(ISNUMBER(MATCH(H184,{"wholesome","heroic"},0)),ISNUMBER(MATCH(J184,{"wholesome","heroic"},0)),ISNUMBER(MATCH(L184,{"wholesome","heroic"},0)))),1,0)</f>
        <v>1</v>
      </c>
      <c r="S184">
        <f t="shared" si="7"/>
        <v>0</v>
      </c>
      <c r="T184">
        <f t="shared" si="8"/>
        <v>1</v>
      </c>
      <c r="U184" t="s">
        <v>3053</v>
      </c>
    </row>
    <row r="185" spans="1:22" x14ac:dyDescent="0.25">
      <c r="A185" t="s">
        <v>3355</v>
      </c>
      <c r="B185">
        <v>1565</v>
      </c>
      <c r="C185" t="s">
        <v>20</v>
      </c>
      <c r="D185" t="s">
        <v>835</v>
      </c>
      <c r="E185" s="4">
        <v>45329</v>
      </c>
      <c r="F185" s="6">
        <v>0</v>
      </c>
      <c r="G185" s="6" t="s">
        <v>2995</v>
      </c>
      <c r="H185" s="6" t="s">
        <v>2989</v>
      </c>
      <c r="I185" s="6" t="s">
        <v>2986</v>
      </c>
      <c r="J185" s="6" t="s">
        <v>2989</v>
      </c>
      <c r="K185" s="6"/>
      <c r="L185" s="6"/>
      <c r="M185" s="6" t="s">
        <v>3046</v>
      </c>
      <c r="N185" s="6" t="s">
        <v>3046</v>
      </c>
      <c r="O185" s="6"/>
      <c r="P185">
        <f t="shared" si="6"/>
        <v>1</v>
      </c>
      <c r="Q185">
        <f>IF(AND(P185=1,OR(ISNUMBER(MATCH(H185,{"menace","othering","ridicule","blame","victim"},0)),ISNUMBER(MATCH(J185,{"menace","othering","ridicule","blame","victim"},0)),ISNUMBER(MATCH(L185,{"menace","othering","ridicule","blame","victim"},0)))),1,0)</f>
        <v>0</v>
      </c>
      <c r="R185">
        <f>IF(AND(P185=1,Q185=0,OR(ISNUMBER(MATCH(H185,{"wholesome","heroic"},0)),ISNUMBER(MATCH(J185,{"wholesome","heroic"},0)),ISNUMBER(MATCH(L185,{"wholesome","heroic"},0)))),1,0)</f>
        <v>0</v>
      </c>
      <c r="S185">
        <f t="shared" si="7"/>
        <v>1</v>
      </c>
      <c r="T185">
        <f t="shared" si="8"/>
        <v>1</v>
      </c>
      <c r="U185" t="s">
        <v>3053</v>
      </c>
    </row>
    <row r="186" spans="1:22" x14ac:dyDescent="0.25">
      <c r="A186" t="s">
        <v>3354</v>
      </c>
      <c r="B186">
        <v>1569</v>
      </c>
      <c r="C186" t="s">
        <v>20</v>
      </c>
      <c r="D186" t="s">
        <v>835</v>
      </c>
      <c r="E186" s="4">
        <v>45333</v>
      </c>
      <c r="F186" s="6">
        <v>0</v>
      </c>
      <c r="G186" s="6" t="s">
        <v>3862</v>
      </c>
      <c r="H186" s="6" t="s">
        <v>2989</v>
      </c>
      <c r="I186" s="6"/>
      <c r="J186" s="6"/>
      <c r="K186" s="6"/>
      <c r="L186" s="6"/>
      <c r="M186" s="6" t="s">
        <v>3046</v>
      </c>
      <c r="N186" s="6"/>
      <c r="O186" s="6"/>
      <c r="P186">
        <f t="shared" si="6"/>
        <v>1</v>
      </c>
      <c r="Q186">
        <f>IF(AND(P186=1,OR(ISNUMBER(MATCH(H186,{"menace","othering","ridicule","blame","victim"},0)),ISNUMBER(MATCH(J186,{"menace","othering","ridicule","blame","victim"},0)),ISNUMBER(MATCH(L186,{"menace","othering","ridicule","blame","victim"},0)))),1,0)</f>
        <v>0</v>
      </c>
      <c r="R186">
        <f>IF(AND(P186=1,Q186=0,OR(ISNUMBER(MATCH(H186,{"wholesome","heroic"},0)),ISNUMBER(MATCH(J186,{"wholesome","heroic"},0)),ISNUMBER(MATCH(L186,{"wholesome","heroic"},0)))),1,0)</f>
        <v>0</v>
      </c>
      <c r="S186">
        <f t="shared" si="7"/>
        <v>1</v>
      </c>
      <c r="T186">
        <f t="shared" si="8"/>
        <v>0</v>
      </c>
      <c r="U186" t="s">
        <v>3053</v>
      </c>
    </row>
    <row r="187" spans="1:22" x14ac:dyDescent="0.25">
      <c r="A187" t="s">
        <v>3353</v>
      </c>
      <c r="B187">
        <v>1573</v>
      </c>
      <c r="C187" t="s">
        <v>20</v>
      </c>
      <c r="D187" t="s">
        <v>835</v>
      </c>
      <c r="E187" s="4">
        <v>45338</v>
      </c>
      <c r="F187" s="6">
        <v>0</v>
      </c>
      <c r="G187" s="6" t="s">
        <v>2986</v>
      </c>
      <c r="H187" s="6" t="s">
        <v>2989</v>
      </c>
      <c r="I187" s="6"/>
      <c r="J187" s="6"/>
      <c r="K187" s="6"/>
      <c r="L187" s="6"/>
      <c r="M187" s="6" t="s">
        <v>3046</v>
      </c>
      <c r="N187" s="6"/>
      <c r="O187" s="6"/>
      <c r="P187">
        <f t="shared" si="6"/>
        <v>1</v>
      </c>
      <c r="Q187">
        <f>IF(AND(P187=1,OR(ISNUMBER(MATCH(H187,{"menace","othering","ridicule","blame","victim"},0)),ISNUMBER(MATCH(J187,{"menace","othering","ridicule","blame","victim"},0)),ISNUMBER(MATCH(L187,{"menace","othering","ridicule","blame","victim"},0)))),1,0)</f>
        <v>0</v>
      </c>
      <c r="R187">
        <f>IF(AND(P187=1,Q187=0,OR(ISNUMBER(MATCH(H187,{"wholesome","heroic"},0)),ISNUMBER(MATCH(J187,{"wholesome","heroic"},0)),ISNUMBER(MATCH(L187,{"wholesome","heroic"},0)))),1,0)</f>
        <v>0</v>
      </c>
      <c r="S187">
        <f t="shared" si="7"/>
        <v>1</v>
      </c>
      <c r="T187">
        <f t="shared" si="8"/>
        <v>0</v>
      </c>
      <c r="U187" t="s">
        <v>3053</v>
      </c>
    </row>
    <row r="188" spans="1:22" x14ac:dyDescent="0.25">
      <c r="A188" t="s">
        <v>3352</v>
      </c>
      <c r="B188">
        <v>1584</v>
      </c>
      <c r="C188" t="s">
        <v>20</v>
      </c>
      <c r="D188" t="s">
        <v>835</v>
      </c>
      <c r="E188" s="4">
        <v>45351</v>
      </c>
      <c r="F188" s="6">
        <v>0</v>
      </c>
      <c r="G188" s="6" t="s">
        <v>2986</v>
      </c>
      <c r="H188" s="6" t="s">
        <v>2989</v>
      </c>
      <c r="I188" s="6"/>
      <c r="J188" s="6"/>
      <c r="K188" s="6"/>
      <c r="L188" s="6"/>
      <c r="M188" s="6" t="s">
        <v>3046</v>
      </c>
      <c r="N188" s="6"/>
      <c r="O188" s="6"/>
      <c r="P188">
        <f t="shared" si="6"/>
        <v>1</v>
      </c>
      <c r="Q188">
        <f>IF(AND(P188=1,OR(ISNUMBER(MATCH(H188,{"menace","othering","ridicule","blame","victim"},0)),ISNUMBER(MATCH(J188,{"menace","othering","ridicule","blame","victim"},0)),ISNUMBER(MATCH(L188,{"menace","othering","ridicule","blame","victim"},0)))),1,0)</f>
        <v>0</v>
      </c>
      <c r="R188">
        <f>IF(AND(P188=1,Q188=0,OR(ISNUMBER(MATCH(H188,{"wholesome","heroic"},0)),ISNUMBER(MATCH(J188,{"wholesome","heroic"},0)),ISNUMBER(MATCH(L188,{"wholesome","heroic"},0)))),1,0)</f>
        <v>0</v>
      </c>
      <c r="S188">
        <f t="shared" si="7"/>
        <v>1</v>
      </c>
      <c r="T188">
        <f t="shared" si="8"/>
        <v>0</v>
      </c>
      <c r="U188" t="s">
        <v>3053</v>
      </c>
    </row>
    <row r="189" spans="1:22" x14ac:dyDescent="0.25">
      <c r="A189" t="s">
        <v>3351</v>
      </c>
      <c r="B189">
        <v>1604</v>
      </c>
      <c r="C189" t="s">
        <v>20</v>
      </c>
      <c r="D189" t="s">
        <v>835</v>
      </c>
      <c r="E189" s="4">
        <v>45364</v>
      </c>
      <c r="F189" s="6">
        <v>0</v>
      </c>
      <c r="G189" s="6" t="s">
        <v>2995</v>
      </c>
      <c r="H189" s="6" t="s">
        <v>2989</v>
      </c>
      <c r="I189" s="6"/>
      <c r="J189" s="6"/>
      <c r="K189" s="6"/>
      <c r="L189" s="6"/>
      <c r="M189" s="6" t="s">
        <v>3046</v>
      </c>
      <c r="N189" s="6"/>
      <c r="O189" s="6"/>
      <c r="P189">
        <f t="shared" si="6"/>
        <v>1</v>
      </c>
      <c r="Q189">
        <f>IF(AND(P189=1,OR(ISNUMBER(MATCH(H189,{"menace","othering","ridicule","blame","victim"},0)),ISNUMBER(MATCH(J189,{"menace","othering","ridicule","blame","victim"},0)),ISNUMBER(MATCH(L189,{"menace","othering","ridicule","blame","victim"},0)))),1,0)</f>
        <v>0</v>
      </c>
      <c r="R189">
        <f>IF(AND(P189=1,Q189=0,OR(ISNUMBER(MATCH(H189,{"wholesome","heroic"},0)),ISNUMBER(MATCH(J189,{"wholesome","heroic"},0)),ISNUMBER(MATCH(L189,{"wholesome","heroic"},0)))),1,0)</f>
        <v>0</v>
      </c>
      <c r="S189">
        <f t="shared" si="7"/>
        <v>1</v>
      </c>
      <c r="T189">
        <f t="shared" si="8"/>
        <v>1</v>
      </c>
      <c r="U189" t="s">
        <v>3053</v>
      </c>
    </row>
    <row r="190" spans="1:22" x14ac:dyDescent="0.25">
      <c r="A190" t="s">
        <v>3350</v>
      </c>
      <c r="B190">
        <v>1612</v>
      </c>
      <c r="C190" t="s">
        <v>20</v>
      </c>
      <c r="D190" t="s">
        <v>835</v>
      </c>
      <c r="E190" s="4">
        <v>45367</v>
      </c>
      <c r="F190" s="6">
        <v>0</v>
      </c>
      <c r="G190" s="6" t="s">
        <v>2986</v>
      </c>
      <c r="H190" s="6" t="s">
        <v>2990</v>
      </c>
      <c r="I190" s="6" t="s">
        <v>3000</v>
      </c>
      <c r="J190" s="6" t="s">
        <v>2990</v>
      </c>
      <c r="K190" s="6"/>
      <c r="L190" s="6"/>
      <c r="M190" s="6" t="s">
        <v>3046</v>
      </c>
      <c r="N190" s="6" t="s">
        <v>3046</v>
      </c>
      <c r="O190" s="6"/>
      <c r="P190">
        <f t="shared" si="6"/>
        <v>1</v>
      </c>
      <c r="Q190">
        <f>IF(AND(P190=1,OR(ISNUMBER(MATCH(H190,{"menace","othering","ridicule","blame","victim"},0)),ISNUMBER(MATCH(J190,{"menace","othering","ridicule","blame","victim"},0)),ISNUMBER(MATCH(L190,{"menace","othering","ridicule","blame","victim"},0)))),1,0)</f>
        <v>0</v>
      </c>
      <c r="R190">
        <f>IF(AND(P190=1,Q190=0,OR(ISNUMBER(MATCH(H190,{"wholesome","heroic"},0)),ISNUMBER(MATCH(J190,{"wholesome","heroic"},0)),ISNUMBER(MATCH(L190,{"wholesome","heroic"},0)))),1,0)</f>
        <v>1</v>
      </c>
      <c r="S190">
        <f t="shared" si="7"/>
        <v>0</v>
      </c>
      <c r="T190">
        <f t="shared" si="8"/>
        <v>0</v>
      </c>
      <c r="U190" t="s">
        <v>3053</v>
      </c>
    </row>
    <row r="191" spans="1:22" x14ac:dyDescent="0.25">
      <c r="A191" t="s">
        <v>3349</v>
      </c>
      <c r="B191">
        <v>1616</v>
      </c>
      <c r="C191" t="s">
        <v>20</v>
      </c>
      <c r="D191" t="s">
        <v>835</v>
      </c>
      <c r="E191" s="4">
        <v>45370</v>
      </c>
      <c r="F191" s="6">
        <v>0</v>
      </c>
      <c r="G191" s="6" t="s">
        <v>2995</v>
      </c>
      <c r="H191" s="6" t="s">
        <v>2989</v>
      </c>
      <c r="I191" s="6"/>
      <c r="J191" s="6"/>
      <c r="K191" s="6"/>
      <c r="L191" s="6"/>
      <c r="M191" s="6" t="s">
        <v>3046</v>
      </c>
      <c r="N191" s="6"/>
      <c r="O191" s="6"/>
      <c r="P191">
        <f t="shared" si="6"/>
        <v>1</v>
      </c>
      <c r="Q191">
        <f>IF(AND(P191=1,OR(ISNUMBER(MATCH(H191,{"menace","othering","ridicule","blame","victim"},0)),ISNUMBER(MATCH(J191,{"menace","othering","ridicule","blame","victim"},0)),ISNUMBER(MATCH(L191,{"menace","othering","ridicule","blame","victim"},0)))),1,0)</f>
        <v>0</v>
      </c>
      <c r="R191">
        <f>IF(AND(P191=1,Q191=0,OR(ISNUMBER(MATCH(H191,{"wholesome","heroic"},0)),ISNUMBER(MATCH(J191,{"wholesome","heroic"},0)),ISNUMBER(MATCH(L191,{"wholesome","heroic"},0)))),1,0)</f>
        <v>0</v>
      </c>
      <c r="S191">
        <f t="shared" si="7"/>
        <v>1</v>
      </c>
      <c r="T191">
        <f t="shared" si="8"/>
        <v>1</v>
      </c>
      <c r="U191" t="s">
        <v>3053</v>
      </c>
    </row>
    <row r="192" spans="1:22" x14ac:dyDescent="0.25">
      <c r="A192" t="s">
        <v>3348</v>
      </c>
      <c r="B192">
        <v>1628</v>
      </c>
      <c r="C192" t="s">
        <v>20</v>
      </c>
      <c r="D192" t="s">
        <v>835</v>
      </c>
      <c r="E192" s="4">
        <v>45376</v>
      </c>
      <c r="F192" s="6">
        <v>0</v>
      </c>
      <c r="G192" s="6" t="s">
        <v>2995</v>
      </c>
      <c r="H192" s="6" t="s">
        <v>2989</v>
      </c>
      <c r="I192" s="6"/>
      <c r="J192" s="6"/>
      <c r="K192" s="6"/>
      <c r="L192" s="6"/>
      <c r="M192" s="6" t="s">
        <v>3046</v>
      </c>
      <c r="N192" s="6"/>
      <c r="O192" s="6"/>
      <c r="P192">
        <f t="shared" si="6"/>
        <v>1</v>
      </c>
      <c r="Q192">
        <f>IF(AND(P192=1,OR(ISNUMBER(MATCH(H192,{"menace","othering","ridicule","blame","victim"},0)),ISNUMBER(MATCH(J192,{"menace","othering","ridicule","blame","victim"},0)),ISNUMBER(MATCH(L192,{"menace","othering","ridicule","blame","victim"},0)))),1,0)</f>
        <v>0</v>
      </c>
      <c r="R192">
        <f>IF(AND(P192=1,Q192=0,OR(ISNUMBER(MATCH(H192,{"wholesome","heroic"},0)),ISNUMBER(MATCH(J192,{"wholesome","heroic"},0)),ISNUMBER(MATCH(L192,{"wholesome","heroic"},0)))),1,0)</f>
        <v>0</v>
      </c>
      <c r="S192">
        <f t="shared" si="7"/>
        <v>1</v>
      </c>
      <c r="T192">
        <f t="shared" si="8"/>
        <v>1</v>
      </c>
      <c r="U192" t="s">
        <v>3053</v>
      </c>
    </row>
    <row r="193" spans="1:22" x14ac:dyDescent="0.25">
      <c r="A193" t="s">
        <v>3347</v>
      </c>
      <c r="B193">
        <v>1665</v>
      </c>
      <c r="C193" t="s">
        <v>20</v>
      </c>
      <c r="D193" t="s">
        <v>835</v>
      </c>
      <c r="E193" s="4">
        <v>45400</v>
      </c>
      <c r="F193" s="6">
        <v>0</v>
      </c>
      <c r="G193" s="6" t="s">
        <v>2986</v>
      </c>
      <c r="H193" s="6" t="s">
        <v>2989</v>
      </c>
      <c r="I193" s="6" t="s">
        <v>2995</v>
      </c>
      <c r="J193" s="6" t="s">
        <v>2989</v>
      </c>
      <c r="K193" s="6"/>
      <c r="L193" s="6"/>
      <c r="M193" s="6" t="s">
        <v>3046</v>
      </c>
      <c r="N193" s="6" t="s">
        <v>3046</v>
      </c>
      <c r="O193" s="6"/>
      <c r="P193">
        <f t="shared" si="6"/>
        <v>1</v>
      </c>
      <c r="Q193">
        <f>IF(AND(P193=1,OR(ISNUMBER(MATCH(H193,{"menace","othering","ridicule","blame","victim"},0)),ISNUMBER(MATCH(J193,{"menace","othering","ridicule","blame","victim"},0)),ISNUMBER(MATCH(L193,{"menace","othering","ridicule","blame","victim"},0)))),1,0)</f>
        <v>0</v>
      </c>
      <c r="R193">
        <f>IF(AND(P193=1,Q193=0,OR(ISNUMBER(MATCH(H193,{"wholesome","heroic"},0)),ISNUMBER(MATCH(J193,{"wholesome","heroic"},0)),ISNUMBER(MATCH(L193,{"wholesome","heroic"},0)))),1,0)</f>
        <v>0</v>
      </c>
      <c r="S193">
        <f t="shared" si="7"/>
        <v>1</v>
      </c>
      <c r="T193">
        <f t="shared" si="8"/>
        <v>1</v>
      </c>
      <c r="U193" t="s">
        <v>3053</v>
      </c>
    </row>
    <row r="194" spans="1:22" x14ac:dyDescent="0.25">
      <c r="A194" t="s">
        <v>3696</v>
      </c>
      <c r="B194">
        <v>1681</v>
      </c>
      <c r="C194" t="s">
        <v>20</v>
      </c>
      <c r="D194" t="s">
        <v>835</v>
      </c>
      <c r="E194" s="4">
        <v>45410</v>
      </c>
      <c r="F194" s="6">
        <v>0</v>
      </c>
      <c r="G194" s="6" t="s">
        <v>2995</v>
      </c>
      <c r="H194" s="6" t="s">
        <v>2989</v>
      </c>
      <c r="I194" s="6"/>
      <c r="J194" s="6"/>
      <c r="K194" s="6"/>
      <c r="L194" s="6"/>
      <c r="M194" s="6" t="s">
        <v>3046</v>
      </c>
      <c r="N194" s="6"/>
      <c r="O194" s="6"/>
      <c r="P194">
        <f t="shared" ref="P194:P257" si="9">IF(F194=0,1,0)</f>
        <v>1</v>
      </c>
      <c r="Q194">
        <f>IF(AND(P194=1,OR(ISNUMBER(MATCH(H194,{"menace","othering","ridicule","blame","victim"},0)),ISNUMBER(MATCH(J194,{"menace","othering","ridicule","blame","victim"},0)),ISNUMBER(MATCH(L194,{"menace","othering","ridicule","blame","victim"},0)))),1,0)</f>
        <v>0</v>
      </c>
      <c r="R194">
        <f>IF(AND(P194=1,Q194=0,OR(ISNUMBER(MATCH(H194,{"wholesome","heroic"},0)),ISNUMBER(MATCH(J194,{"wholesome","heroic"},0)),ISNUMBER(MATCH(L194,{"wholesome","heroic"},0)))),1,0)</f>
        <v>0</v>
      </c>
      <c r="S194">
        <f t="shared" ref="S194:S257" si="10">IF(AND(P194=1,Q194=0,R194=0),1,0)</f>
        <v>1</v>
      </c>
      <c r="T194">
        <f t="shared" ref="T194:T257" si="11">IF(AND(P194=1,OR(G194="own_leader",I194="own_leader",K194="own_leader")),1,0)</f>
        <v>1</v>
      </c>
      <c r="U194" t="s">
        <v>3049</v>
      </c>
      <c r="V194" t="s">
        <v>1940</v>
      </c>
    </row>
    <row r="195" spans="1:22" x14ac:dyDescent="0.25">
      <c r="A195" t="s">
        <v>3697</v>
      </c>
      <c r="B195">
        <v>1693</v>
      </c>
      <c r="C195" t="s">
        <v>20</v>
      </c>
      <c r="D195" t="s">
        <v>835</v>
      </c>
      <c r="E195" s="4">
        <v>45415</v>
      </c>
      <c r="F195" s="6">
        <v>0</v>
      </c>
      <c r="G195" s="6" t="s">
        <v>2995</v>
      </c>
      <c r="H195" s="6" t="s">
        <v>2989</v>
      </c>
      <c r="I195" s="6"/>
      <c r="J195" s="6"/>
      <c r="K195" s="6"/>
      <c r="L195" s="6"/>
      <c r="M195" s="6" t="s">
        <v>3046</v>
      </c>
      <c r="N195" s="6"/>
      <c r="O195" s="6"/>
      <c r="P195">
        <f t="shared" si="9"/>
        <v>1</v>
      </c>
      <c r="Q195">
        <f>IF(AND(P195=1,OR(ISNUMBER(MATCH(H195,{"menace","othering","ridicule","blame","victim"},0)),ISNUMBER(MATCH(J195,{"menace","othering","ridicule","blame","victim"},0)),ISNUMBER(MATCH(L195,{"menace","othering","ridicule","blame","victim"},0)))),1,0)</f>
        <v>0</v>
      </c>
      <c r="R195">
        <f>IF(AND(P195=1,Q195=0,OR(ISNUMBER(MATCH(H195,{"wholesome","heroic"},0)),ISNUMBER(MATCH(J195,{"wholesome","heroic"},0)),ISNUMBER(MATCH(L195,{"wholesome","heroic"},0)))),1,0)</f>
        <v>0</v>
      </c>
      <c r="S195">
        <f t="shared" si="10"/>
        <v>1</v>
      </c>
      <c r="T195">
        <f t="shared" si="11"/>
        <v>1</v>
      </c>
      <c r="U195" t="s">
        <v>3049</v>
      </c>
      <c r="V195" t="s">
        <v>1941</v>
      </c>
    </row>
    <row r="196" spans="1:22" x14ac:dyDescent="0.25">
      <c r="A196" t="s">
        <v>3346</v>
      </c>
      <c r="B196">
        <v>1697</v>
      </c>
      <c r="C196" t="s">
        <v>20</v>
      </c>
      <c r="D196" t="s">
        <v>835</v>
      </c>
      <c r="E196" s="4">
        <v>45417</v>
      </c>
      <c r="F196" s="6">
        <v>0</v>
      </c>
      <c r="G196" s="6" t="s">
        <v>2995</v>
      </c>
      <c r="H196" s="6" t="s">
        <v>2989</v>
      </c>
      <c r="I196" s="6"/>
      <c r="J196" s="6"/>
      <c r="K196" s="6"/>
      <c r="L196" s="6"/>
      <c r="M196" s="6" t="s">
        <v>3046</v>
      </c>
      <c r="N196" s="6"/>
      <c r="O196" s="6"/>
      <c r="P196">
        <f t="shared" si="9"/>
        <v>1</v>
      </c>
      <c r="Q196">
        <f>IF(AND(P196=1,OR(ISNUMBER(MATCH(H196,{"menace","othering","ridicule","blame","victim"},0)),ISNUMBER(MATCH(J196,{"menace","othering","ridicule","blame","victim"},0)),ISNUMBER(MATCH(L196,{"menace","othering","ridicule","blame","victim"},0)))),1,0)</f>
        <v>0</v>
      </c>
      <c r="R196">
        <f>IF(AND(P196=1,Q196=0,OR(ISNUMBER(MATCH(H196,{"wholesome","heroic"},0)),ISNUMBER(MATCH(J196,{"wholesome","heroic"},0)),ISNUMBER(MATCH(L196,{"wholesome","heroic"},0)))),1,0)</f>
        <v>0</v>
      </c>
      <c r="S196">
        <f t="shared" si="10"/>
        <v>1</v>
      </c>
      <c r="T196">
        <f t="shared" si="11"/>
        <v>1</v>
      </c>
      <c r="U196" t="s">
        <v>3049</v>
      </c>
      <c r="V196" t="s">
        <v>1942</v>
      </c>
    </row>
    <row r="197" spans="1:22" x14ac:dyDescent="0.25">
      <c r="A197" t="s">
        <v>3345</v>
      </c>
      <c r="B197">
        <v>1709</v>
      </c>
      <c r="C197" t="s">
        <v>20</v>
      </c>
      <c r="D197" t="s">
        <v>835</v>
      </c>
      <c r="E197" s="4">
        <v>45425</v>
      </c>
      <c r="F197" s="6">
        <v>0</v>
      </c>
      <c r="G197" s="6" t="s">
        <v>2995</v>
      </c>
      <c r="H197" s="6" t="s">
        <v>2989</v>
      </c>
      <c r="I197" s="6"/>
      <c r="J197" s="6"/>
      <c r="K197" s="6"/>
      <c r="L197" s="6"/>
      <c r="M197" s="6" t="s">
        <v>3046</v>
      </c>
      <c r="N197" s="6"/>
      <c r="O197" s="6"/>
      <c r="P197">
        <f t="shared" si="9"/>
        <v>1</v>
      </c>
      <c r="Q197">
        <f>IF(AND(P197=1,OR(ISNUMBER(MATCH(H197,{"menace","othering","ridicule","blame","victim"},0)),ISNUMBER(MATCH(J197,{"menace","othering","ridicule","blame","victim"},0)),ISNUMBER(MATCH(L197,{"menace","othering","ridicule","blame","victim"},0)))),1,0)</f>
        <v>0</v>
      </c>
      <c r="R197">
        <f>IF(AND(P197=1,Q197=0,OR(ISNUMBER(MATCH(H197,{"wholesome","heroic"},0)),ISNUMBER(MATCH(J197,{"wholesome","heroic"},0)),ISNUMBER(MATCH(L197,{"wholesome","heroic"},0)))),1,0)</f>
        <v>0</v>
      </c>
      <c r="S197">
        <f t="shared" si="10"/>
        <v>1</v>
      </c>
      <c r="T197">
        <f t="shared" si="11"/>
        <v>1</v>
      </c>
      <c r="U197" t="s">
        <v>3049</v>
      </c>
      <c r="V197" t="s">
        <v>3344</v>
      </c>
    </row>
    <row r="198" spans="1:22" x14ac:dyDescent="0.25">
      <c r="A198" t="s">
        <v>3343</v>
      </c>
      <c r="B198">
        <v>1716</v>
      </c>
      <c r="C198" t="s">
        <v>20</v>
      </c>
      <c r="D198" t="s">
        <v>835</v>
      </c>
      <c r="E198" s="4">
        <v>45428</v>
      </c>
      <c r="F198" s="6">
        <v>0</v>
      </c>
      <c r="G198" s="6" t="s">
        <v>2995</v>
      </c>
      <c r="H198" s="6" t="s">
        <v>2989</v>
      </c>
      <c r="I198" s="6"/>
      <c r="J198" s="6"/>
      <c r="K198" s="6"/>
      <c r="L198" s="6"/>
      <c r="M198" s="6" t="s">
        <v>3046</v>
      </c>
      <c r="N198" s="6"/>
      <c r="O198" s="6"/>
      <c r="P198">
        <f t="shared" si="9"/>
        <v>1</v>
      </c>
      <c r="Q198">
        <f>IF(AND(P198=1,OR(ISNUMBER(MATCH(H198,{"menace","othering","ridicule","blame","victim"},0)),ISNUMBER(MATCH(J198,{"menace","othering","ridicule","blame","victim"},0)),ISNUMBER(MATCH(L198,{"menace","othering","ridicule","blame","victim"},0)))),1,0)</f>
        <v>0</v>
      </c>
      <c r="R198">
        <f>IF(AND(P198=1,Q198=0,OR(ISNUMBER(MATCH(H198,{"wholesome","heroic"},0)),ISNUMBER(MATCH(J198,{"wholesome","heroic"},0)),ISNUMBER(MATCH(L198,{"wholesome","heroic"},0)))),1,0)</f>
        <v>0</v>
      </c>
      <c r="S198">
        <f t="shared" si="10"/>
        <v>1</v>
      </c>
      <c r="T198">
        <f t="shared" si="11"/>
        <v>1</v>
      </c>
      <c r="U198" t="s">
        <v>3053</v>
      </c>
    </row>
    <row r="199" spans="1:22" x14ac:dyDescent="0.25">
      <c r="A199" t="s">
        <v>3698</v>
      </c>
      <c r="B199">
        <v>1741</v>
      </c>
      <c r="C199" t="s">
        <v>20</v>
      </c>
      <c r="D199" t="s">
        <v>835</v>
      </c>
      <c r="E199" s="4">
        <v>45440</v>
      </c>
      <c r="F199" s="6">
        <v>0</v>
      </c>
      <c r="G199" s="6" t="s">
        <v>2995</v>
      </c>
      <c r="H199" s="6" t="s">
        <v>2989</v>
      </c>
      <c r="I199" s="6"/>
      <c r="J199" s="6"/>
      <c r="K199" s="6"/>
      <c r="L199" s="6"/>
      <c r="M199" s="6" t="s">
        <v>3046</v>
      </c>
      <c r="N199" s="6"/>
      <c r="O199" s="6"/>
      <c r="P199">
        <f t="shared" si="9"/>
        <v>1</v>
      </c>
      <c r="Q199">
        <f>IF(AND(P199=1,OR(ISNUMBER(MATCH(H199,{"menace","othering","ridicule","blame","victim"},0)),ISNUMBER(MATCH(J199,{"menace","othering","ridicule","blame","victim"},0)),ISNUMBER(MATCH(L199,{"menace","othering","ridicule","blame","victim"},0)))),1,0)</f>
        <v>0</v>
      </c>
      <c r="R199">
        <f>IF(AND(P199=1,Q199=0,OR(ISNUMBER(MATCH(H199,{"wholesome","heroic"},0)),ISNUMBER(MATCH(J199,{"wholesome","heroic"},0)),ISNUMBER(MATCH(L199,{"wholesome","heroic"},0)))),1,0)</f>
        <v>0</v>
      </c>
      <c r="S199">
        <f t="shared" si="10"/>
        <v>1</v>
      </c>
      <c r="T199">
        <f t="shared" si="11"/>
        <v>1</v>
      </c>
      <c r="U199" t="s">
        <v>3049</v>
      </c>
      <c r="V199" t="s">
        <v>3340</v>
      </c>
    </row>
    <row r="200" spans="1:22" x14ac:dyDescent="0.25">
      <c r="A200" t="s">
        <v>3342</v>
      </c>
      <c r="B200">
        <v>1747</v>
      </c>
      <c r="C200" t="s">
        <v>20</v>
      </c>
      <c r="D200" t="s">
        <v>835</v>
      </c>
      <c r="E200" s="4">
        <v>45443</v>
      </c>
      <c r="F200" s="6">
        <v>0</v>
      </c>
      <c r="G200" s="6" t="s">
        <v>2995</v>
      </c>
      <c r="H200" s="6" t="s">
        <v>2990</v>
      </c>
      <c r="I200" s="6" t="s">
        <v>3000</v>
      </c>
      <c r="J200" s="6" t="s">
        <v>2990</v>
      </c>
      <c r="K200" s="6"/>
      <c r="L200" s="6"/>
      <c r="M200" s="6" t="s">
        <v>3046</v>
      </c>
      <c r="N200" s="6" t="s">
        <v>3046</v>
      </c>
      <c r="O200" s="6"/>
      <c r="P200">
        <f t="shared" si="9"/>
        <v>1</v>
      </c>
      <c r="Q200">
        <f>IF(AND(P200=1,OR(ISNUMBER(MATCH(H200,{"menace","othering","ridicule","blame","victim"},0)),ISNUMBER(MATCH(J200,{"menace","othering","ridicule","blame","victim"},0)),ISNUMBER(MATCH(L200,{"menace","othering","ridicule","blame","victim"},0)))),1,0)</f>
        <v>0</v>
      </c>
      <c r="R200">
        <f>IF(AND(P200=1,Q200=0,OR(ISNUMBER(MATCH(H200,{"wholesome","heroic"},0)),ISNUMBER(MATCH(J200,{"wholesome","heroic"},0)),ISNUMBER(MATCH(L200,{"wholesome","heroic"},0)))),1,0)</f>
        <v>1</v>
      </c>
      <c r="S200">
        <f t="shared" si="10"/>
        <v>0</v>
      </c>
      <c r="T200">
        <f t="shared" si="11"/>
        <v>1</v>
      </c>
      <c r="U200" t="s">
        <v>3053</v>
      </c>
    </row>
    <row r="201" spans="1:22" x14ac:dyDescent="0.25">
      <c r="A201" t="s">
        <v>3341</v>
      </c>
      <c r="B201">
        <v>1752</v>
      </c>
      <c r="C201" t="s">
        <v>20</v>
      </c>
      <c r="D201" t="s">
        <v>835</v>
      </c>
      <c r="E201" s="4">
        <v>45445</v>
      </c>
      <c r="F201" s="6">
        <v>0</v>
      </c>
      <c r="G201" s="6" t="s">
        <v>2995</v>
      </c>
      <c r="H201" s="6" t="s">
        <v>2989</v>
      </c>
      <c r="I201" s="6"/>
      <c r="J201" s="6"/>
      <c r="K201" s="6"/>
      <c r="L201" s="6"/>
      <c r="M201" s="6" t="s">
        <v>3046</v>
      </c>
      <c r="N201" s="6"/>
      <c r="O201" s="6"/>
      <c r="P201">
        <f t="shared" si="9"/>
        <v>1</v>
      </c>
      <c r="Q201">
        <f>IF(AND(P201=1,OR(ISNUMBER(MATCH(H201,{"menace","othering","ridicule","blame","victim"},0)),ISNUMBER(MATCH(J201,{"menace","othering","ridicule","blame","victim"},0)),ISNUMBER(MATCH(L201,{"menace","othering","ridicule","blame","victim"},0)))),1,0)</f>
        <v>0</v>
      </c>
      <c r="R201">
        <f>IF(AND(P201=1,Q201=0,OR(ISNUMBER(MATCH(H201,{"wholesome","heroic"},0)),ISNUMBER(MATCH(J201,{"wholesome","heroic"},0)),ISNUMBER(MATCH(L201,{"wholesome","heroic"},0)))),1,0)</f>
        <v>0</v>
      </c>
      <c r="S201">
        <f t="shared" si="10"/>
        <v>1</v>
      </c>
      <c r="T201">
        <f t="shared" si="11"/>
        <v>1</v>
      </c>
      <c r="U201" t="s">
        <v>3053</v>
      </c>
    </row>
    <row r="202" spans="1:22" x14ac:dyDescent="0.25">
      <c r="A202" t="s">
        <v>3699</v>
      </c>
      <c r="B202">
        <v>1755</v>
      </c>
      <c r="C202" t="s">
        <v>20</v>
      </c>
      <c r="D202" t="s">
        <v>835</v>
      </c>
      <c r="E202" s="4">
        <v>45446</v>
      </c>
      <c r="F202" s="6">
        <v>0</v>
      </c>
      <c r="G202" s="6" t="s">
        <v>2991</v>
      </c>
      <c r="H202" s="6" t="s">
        <v>2989</v>
      </c>
      <c r="I202" s="6"/>
      <c r="J202" s="6"/>
      <c r="K202" s="6"/>
      <c r="L202" s="6"/>
      <c r="M202" s="6" t="s">
        <v>3046</v>
      </c>
      <c r="N202" s="6"/>
      <c r="O202" s="6"/>
      <c r="P202">
        <f t="shared" si="9"/>
        <v>1</v>
      </c>
      <c r="Q202">
        <f>IF(AND(P202=1,OR(ISNUMBER(MATCH(H202,{"menace","othering","ridicule","blame","victim"},0)),ISNUMBER(MATCH(J202,{"menace","othering","ridicule","blame","victim"},0)),ISNUMBER(MATCH(L202,{"menace","othering","ridicule","blame","victim"},0)))),1,0)</f>
        <v>0</v>
      </c>
      <c r="R202">
        <f>IF(AND(P202=1,Q202=0,OR(ISNUMBER(MATCH(H202,{"wholesome","heroic"},0)),ISNUMBER(MATCH(J202,{"wholesome","heroic"},0)),ISNUMBER(MATCH(L202,{"wholesome","heroic"},0)))),1,0)</f>
        <v>0</v>
      </c>
      <c r="S202">
        <f t="shared" si="10"/>
        <v>1</v>
      </c>
      <c r="T202">
        <f t="shared" si="11"/>
        <v>0</v>
      </c>
      <c r="U202" t="s">
        <v>3049</v>
      </c>
      <c r="V202" t="s">
        <v>1939</v>
      </c>
    </row>
    <row r="203" spans="1:22" x14ac:dyDescent="0.25">
      <c r="A203" t="s">
        <v>3339</v>
      </c>
      <c r="B203">
        <v>1764</v>
      </c>
      <c r="C203" t="s">
        <v>20</v>
      </c>
      <c r="D203" t="s">
        <v>835</v>
      </c>
      <c r="E203" s="4">
        <v>45449</v>
      </c>
      <c r="F203" s="6">
        <v>0</v>
      </c>
      <c r="G203" s="6" t="s">
        <v>2995</v>
      </c>
      <c r="H203" s="6" t="s">
        <v>2989</v>
      </c>
      <c r="I203" s="6"/>
      <c r="J203" s="6"/>
      <c r="K203" s="6"/>
      <c r="L203" s="6"/>
      <c r="M203" s="6" t="s">
        <v>3046</v>
      </c>
      <c r="N203" s="6"/>
      <c r="O203" s="6"/>
      <c r="P203">
        <f t="shared" si="9"/>
        <v>1</v>
      </c>
      <c r="Q203">
        <f>IF(AND(P203=1,OR(ISNUMBER(MATCH(H203,{"menace","othering","ridicule","blame","victim"},0)),ISNUMBER(MATCH(J203,{"menace","othering","ridicule","blame","victim"},0)),ISNUMBER(MATCH(L203,{"menace","othering","ridicule","blame","victim"},0)))),1,0)</f>
        <v>0</v>
      </c>
      <c r="R203">
        <f>IF(AND(P203=1,Q203=0,OR(ISNUMBER(MATCH(H203,{"wholesome","heroic"},0)),ISNUMBER(MATCH(J203,{"wholesome","heroic"},0)),ISNUMBER(MATCH(L203,{"wholesome","heroic"},0)))),1,0)</f>
        <v>0</v>
      </c>
      <c r="S203">
        <f t="shared" si="10"/>
        <v>1</v>
      </c>
      <c r="T203">
        <f t="shared" si="11"/>
        <v>1</v>
      </c>
      <c r="U203" t="s">
        <v>3053</v>
      </c>
    </row>
    <row r="204" spans="1:22" x14ac:dyDescent="0.25">
      <c r="A204" t="s">
        <v>3338</v>
      </c>
      <c r="B204">
        <v>1767</v>
      </c>
      <c r="C204" t="s">
        <v>20</v>
      </c>
      <c r="D204" t="s">
        <v>835</v>
      </c>
      <c r="E204" s="4">
        <v>45449</v>
      </c>
      <c r="F204" s="6">
        <v>1</v>
      </c>
      <c r="G204" s="6"/>
      <c r="H204" s="6"/>
      <c r="I204" s="6"/>
      <c r="J204" s="6"/>
      <c r="K204" s="6"/>
      <c r="L204" s="6"/>
      <c r="M204" s="6"/>
      <c r="N204" s="6"/>
      <c r="O204" s="6"/>
      <c r="P204">
        <f t="shared" si="9"/>
        <v>0</v>
      </c>
      <c r="Q204">
        <f>IF(AND(P204=1,OR(ISNUMBER(MATCH(H204,{"menace","othering","ridicule","blame","victim"},0)),ISNUMBER(MATCH(J204,{"menace","othering","ridicule","blame","victim"},0)),ISNUMBER(MATCH(L204,{"menace","othering","ridicule","blame","victim"},0)))),1,0)</f>
        <v>0</v>
      </c>
      <c r="R204">
        <f>IF(AND(P204=1,Q204=0,OR(ISNUMBER(MATCH(H204,{"wholesome","heroic"},0)),ISNUMBER(MATCH(J204,{"wholesome","heroic"},0)),ISNUMBER(MATCH(L204,{"wholesome","heroic"},0)))),1,0)</f>
        <v>0</v>
      </c>
      <c r="S204">
        <f t="shared" si="10"/>
        <v>0</v>
      </c>
      <c r="T204">
        <f t="shared" si="11"/>
        <v>0</v>
      </c>
      <c r="U204" t="s">
        <v>3053</v>
      </c>
    </row>
    <row r="205" spans="1:22" x14ac:dyDescent="0.25">
      <c r="A205" t="s">
        <v>3337</v>
      </c>
      <c r="B205">
        <v>1777</v>
      </c>
      <c r="C205" t="s">
        <v>20</v>
      </c>
      <c r="D205" t="s">
        <v>835</v>
      </c>
      <c r="E205" s="4">
        <v>45451</v>
      </c>
      <c r="F205" s="6">
        <v>0</v>
      </c>
      <c r="G205" s="6" t="s">
        <v>2995</v>
      </c>
      <c r="H205" s="6" t="s">
        <v>2989</v>
      </c>
      <c r="I205" s="6" t="s">
        <v>3862</v>
      </c>
      <c r="J205" s="6" t="s">
        <v>2989</v>
      </c>
      <c r="K205" s="6"/>
      <c r="L205" s="6"/>
      <c r="M205" s="6" t="s">
        <v>3046</v>
      </c>
      <c r="N205" s="6" t="s">
        <v>3046</v>
      </c>
      <c r="O205" s="6"/>
      <c r="P205">
        <f t="shared" si="9"/>
        <v>1</v>
      </c>
      <c r="Q205">
        <f>IF(AND(P205=1,OR(ISNUMBER(MATCH(H205,{"menace","othering","ridicule","blame","victim"},0)),ISNUMBER(MATCH(J205,{"menace","othering","ridicule","blame","victim"},0)),ISNUMBER(MATCH(L205,{"menace","othering","ridicule","blame","victim"},0)))),1,0)</f>
        <v>0</v>
      </c>
      <c r="R205">
        <f>IF(AND(P205=1,Q205=0,OR(ISNUMBER(MATCH(H205,{"wholesome","heroic"},0)),ISNUMBER(MATCH(J205,{"wholesome","heroic"},0)),ISNUMBER(MATCH(L205,{"wholesome","heroic"},0)))),1,0)</f>
        <v>0</v>
      </c>
      <c r="S205">
        <f t="shared" si="10"/>
        <v>1</v>
      </c>
      <c r="T205">
        <f t="shared" si="11"/>
        <v>1</v>
      </c>
      <c r="U205" t="s">
        <v>3053</v>
      </c>
    </row>
    <row r="206" spans="1:22" x14ac:dyDescent="0.25">
      <c r="A206" t="s">
        <v>3336</v>
      </c>
      <c r="B206">
        <v>1784</v>
      </c>
      <c r="C206" t="s">
        <v>24</v>
      </c>
      <c r="D206" t="s">
        <v>1038</v>
      </c>
      <c r="E206" s="4">
        <v>45329</v>
      </c>
      <c r="F206" s="6">
        <v>0</v>
      </c>
      <c r="G206" s="6" t="s">
        <v>2995</v>
      </c>
      <c r="H206" s="6" t="s">
        <v>2989</v>
      </c>
      <c r="I206" s="6"/>
      <c r="J206" s="6"/>
      <c r="K206" s="6"/>
      <c r="L206" s="6"/>
      <c r="M206" s="6" t="s">
        <v>3046</v>
      </c>
      <c r="N206" s="6"/>
      <c r="O206" s="6"/>
      <c r="P206">
        <f t="shared" si="9"/>
        <v>1</v>
      </c>
      <c r="Q206">
        <f>IF(AND(P206=1,OR(ISNUMBER(MATCH(H206,{"menace","othering","ridicule","blame","victim"},0)),ISNUMBER(MATCH(J206,{"menace","othering","ridicule","blame","victim"},0)),ISNUMBER(MATCH(L206,{"menace","othering","ridicule","blame","victim"},0)))),1,0)</f>
        <v>0</v>
      </c>
      <c r="R206">
        <f>IF(AND(P206=1,Q206=0,OR(ISNUMBER(MATCH(H206,{"wholesome","heroic"},0)),ISNUMBER(MATCH(J206,{"wholesome","heroic"},0)),ISNUMBER(MATCH(L206,{"wholesome","heroic"},0)))),1,0)</f>
        <v>0</v>
      </c>
      <c r="S206">
        <f t="shared" si="10"/>
        <v>1</v>
      </c>
      <c r="T206">
        <f t="shared" si="11"/>
        <v>1</v>
      </c>
      <c r="U206" t="s">
        <v>3053</v>
      </c>
    </row>
    <row r="207" spans="1:22" x14ac:dyDescent="0.25">
      <c r="A207" t="s">
        <v>3334</v>
      </c>
      <c r="B207">
        <v>1798</v>
      </c>
      <c r="C207" t="s">
        <v>24</v>
      </c>
      <c r="D207" t="s">
        <v>1038</v>
      </c>
      <c r="E207" s="4">
        <v>45334</v>
      </c>
      <c r="F207" s="6">
        <v>0</v>
      </c>
      <c r="G207" s="6" t="s">
        <v>2995</v>
      </c>
      <c r="H207" s="6" t="s">
        <v>2990</v>
      </c>
      <c r="I207" s="6" t="s">
        <v>2991</v>
      </c>
      <c r="J207" s="6" t="s">
        <v>2989</v>
      </c>
      <c r="K207" s="6"/>
      <c r="L207" s="6"/>
      <c r="M207" s="6" t="s">
        <v>3046</v>
      </c>
      <c r="N207" s="6" t="s">
        <v>3046</v>
      </c>
      <c r="O207" s="6"/>
      <c r="P207">
        <f t="shared" si="9"/>
        <v>1</v>
      </c>
      <c r="Q207">
        <f>IF(AND(P207=1,OR(ISNUMBER(MATCH(H207,{"menace","othering","ridicule","blame","victim"},0)),ISNUMBER(MATCH(J207,{"menace","othering","ridicule","blame","victim"},0)),ISNUMBER(MATCH(L207,{"menace","othering","ridicule","blame","victim"},0)))),1,0)</f>
        <v>0</v>
      </c>
      <c r="R207">
        <f>IF(AND(P207=1,Q207=0,OR(ISNUMBER(MATCH(H207,{"wholesome","heroic"},0)),ISNUMBER(MATCH(J207,{"wholesome","heroic"},0)),ISNUMBER(MATCH(L207,{"wholesome","heroic"},0)))),1,0)</f>
        <v>1</v>
      </c>
      <c r="S207">
        <f t="shared" si="10"/>
        <v>0</v>
      </c>
      <c r="T207">
        <f t="shared" si="11"/>
        <v>1</v>
      </c>
      <c r="U207" t="s">
        <v>3053</v>
      </c>
    </row>
    <row r="208" spans="1:22" x14ac:dyDescent="0.25">
      <c r="A208" t="s">
        <v>3700</v>
      </c>
      <c r="B208">
        <v>1804</v>
      </c>
      <c r="C208" t="s">
        <v>24</v>
      </c>
      <c r="D208" t="s">
        <v>1038</v>
      </c>
      <c r="E208" s="4">
        <v>45338</v>
      </c>
      <c r="F208" s="6">
        <v>0</v>
      </c>
      <c r="G208" s="6" t="s">
        <v>2995</v>
      </c>
      <c r="H208" s="6" t="s">
        <v>2994</v>
      </c>
      <c r="I208" s="6" t="s">
        <v>2988</v>
      </c>
      <c r="J208" s="6" t="s">
        <v>2990</v>
      </c>
      <c r="K208" s="6"/>
      <c r="L208" s="6"/>
      <c r="M208" s="6" t="s">
        <v>3046</v>
      </c>
      <c r="N208" s="6" t="s">
        <v>3046</v>
      </c>
      <c r="O208" s="6"/>
      <c r="P208">
        <f t="shared" si="9"/>
        <v>1</v>
      </c>
      <c r="Q208">
        <f>IF(AND(P208=1,OR(ISNUMBER(MATCH(H208,{"menace","othering","ridicule","blame","victim"},0)),ISNUMBER(MATCH(J208,{"menace","othering","ridicule","blame","victim"},0)),ISNUMBER(MATCH(L208,{"menace","othering","ridicule","blame","victim"},0)))),1,0)</f>
        <v>0</v>
      </c>
      <c r="R208">
        <f>IF(AND(P208=1,Q208=0,OR(ISNUMBER(MATCH(H208,{"wholesome","heroic"},0)),ISNUMBER(MATCH(J208,{"wholesome","heroic"},0)),ISNUMBER(MATCH(L208,{"wholesome","heroic"},0)))),1,0)</f>
        <v>1</v>
      </c>
      <c r="S208">
        <f t="shared" si="10"/>
        <v>0</v>
      </c>
      <c r="T208">
        <f t="shared" si="11"/>
        <v>1</v>
      </c>
      <c r="U208" t="s">
        <v>3049</v>
      </c>
      <c r="V208" t="s">
        <v>3335</v>
      </c>
    </row>
    <row r="209" spans="1:22" x14ac:dyDescent="0.25">
      <c r="A209" t="s">
        <v>3333</v>
      </c>
      <c r="B209">
        <v>1806</v>
      </c>
      <c r="C209" t="s">
        <v>24</v>
      </c>
      <c r="D209" t="s">
        <v>1038</v>
      </c>
      <c r="E209" s="4">
        <v>45338</v>
      </c>
      <c r="F209" s="6">
        <v>0</v>
      </c>
      <c r="G209" s="6" t="s">
        <v>2995</v>
      </c>
      <c r="H209" s="6" t="s">
        <v>2994</v>
      </c>
      <c r="I209" s="6" t="s">
        <v>3862</v>
      </c>
      <c r="J209" s="6" t="s">
        <v>2994</v>
      </c>
      <c r="K209" s="6" t="s">
        <v>2988</v>
      </c>
      <c r="L209" s="6" t="s">
        <v>2990</v>
      </c>
      <c r="M209" s="6" t="s">
        <v>3046</v>
      </c>
      <c r="N209" s="6" t="s">
        <v>3046</v>
      </c>
      <c r="O209" s="6" t="s">
        <v>3046</v>
      </c>
      <c r="P209">
        <f t="shared" si="9"/>
        <v>1</v>
      </c>
      <c r="Q209">
        <f>IF(AND(P209=1,OR(ISNUMBER(MATCH(H209,{"menace","othering","ridicule","blame","victim"},0)),ISNUMBER(MATCH(J209,{"menace","othering","ridicule","blame","victim"},0)),ISNUMBER(MATCH(L209,{"menace","othering","ridicule","blame","victim"},0)))),1,0)</f>
        <v>0</v>
      </c>
      <c r="R209">
        <f>IF(AND(P209=1,Q209=0,OR(ISNUMBER(MATCH(H209,{"wholesome","heroic"},0)),ISNUMBER(MATCH(J209,{"wholesome","heroic"},0)),ISNUMBER(MATCH(L209,{"wholesome","heroic"},0)))),1,0)</f>
        <v>1</v>
      </c>
      <c r="S209">
        <f t="shared" si="10"/>
        <v>0</v>
      </c>
      <c r="T209">
        <f t="shared" si="11"/>
        <v>1</v>
      </c>
      <c r="U209" t="s">
        <v>3053</v>
      </c>
    </row>
    <row r="210" spans="1:22" x14ac:dyDescent="0.25">
      <c r="A210" t="s">
        <v>3332</v>
      </c>
      <c r="B210">
        <v>1832</v>
      </c>
      <c r="C210" t="s">
        <v>24</v>
      </c>
      <c r="D210" t="s">
        <v>1038</v>
      </c>
      <c r="E210" s="4">
        <v>45359</v>
      </c>
      <c r="F210" s="6">
        <v>0</v>
      </c>
      <c r="G210" s="6" t="s">
        <v>2995</v>
      </c>
      <c r="H210" s="6" t="s">
        <v>2994</v>
      </c>
      <c r="I210" s="6" t="s">
        <v>2988</v>
      </c>
      <c r="J210" s="6" t="s">
        <v>2990</v>
      </c>
      <c r="K210" s="6"/>
      <c r="L210" s="6"/>
      <c r="M210" s="6" t="s">
        <v>3046</v>
      </c>
      <c r="N210" s="6" t="s">
        <v>3046</v>
      </c>
      <c r="O210" s="6"/>
      <c r="P210">
        <f t="shared" si="9"/>
        <v>1</v>
      </c>
      <c r="Q210">
        <f>IF(AND(P210=1,OR(ISNUMBER(MATCH(H210,{"menace","othering","ridicule","blame","victim"},0)),ISNUMBER(MATCH(J210,{"menace","othering","ridicule","blame","victim"},0)),ISNUMBER(MATCH(L210,{"menace","othering","ridicule","blame","victim"},0)))),1,0)</f>
        <v>0</v>
      </c>
      <c r="R210">
        <f>IF(AND(P210=1,Q210=0,OR(ISNUMBER(MATCH(H210,{"wholesome","heroic"},0)),ISNUMBER(MATCH(J210,{"wholesome","heroic"},0)),ISNUMBER(MATCH(L210,{"wholesome","heroic"},0)))),1,0)</f>
        <v>1</v>
      </c>
      <c r="S210">
        <f t="shared" si="10"/>
        <v>0</v>
      </c>
      <c r="T210">
        <f t="shared" si="11"/>
        <v>1</v>
      </c>
      <c r="U210" t="s">
        <v>3053</v>
      </c>
    </row>
    <row r="211" spans="1:22" x14ac:dyDescent="0.25">
      <c r="A211" t="s">
        <v>3331</v>
      </c>
      <c r="B211">
        <v>1862</v>
      </c>
      <c r="C211" t="s">
        <v>24</v>
      </c>
      <c r="D211" t="s">
        <v>1038</v>
      </c>
      <c r="E211" s="4">
        <v>45388</v>
      </c>
      <c r="F211" s="6">
        <v>0</v>
      </c>
      <c r="G211" s="6" t="s">
        <v>2995</v>
      </c>
      <c r="H211" s="6" t="s">
        <v>2990</v>
      </c>
      <c r="I211" s="6" t="s">
        <v>3862</v>
      </c>
      <c r="J211" s="6" t="s">
        <v>2990</v>
      </c>
      <c r="K211" s="6" t="s">
        <v>2988</v>
      </c>
      <c r="L211" s="6" t="s">
        <v>2990</v>
      </c>
      <c r="M211" s="6" t="s">
        <v>3046</v>
      </c>
      <c r="N211" s="6" t="s">
        <v>3046</v>
      </c>
      <c r="O211" s="6" t="s">
        <v>3046</v>
      </c>
      <c r="P211">
        <f t="shared" si="9"/>
        <v>1</v>
      </c>
      <c r="Q211">
        <f>IF(AND(P211=1,OR(ISNUMBER(MATCH(H211,{"menace","othering","ridicule","blame","victim"},0)),ISNUMBER(MATCH(J211,{"menace","othering","ridicule","blame","victim"},0)),ISNUMBER(MATCH(L211,{"menace","othering","ridicule","blame","victim"},0)))),1,0)</f>
        <v>0</v>
      </c>
      <c r="R211">
        <f>IF(AND(P211=1,Q211=0,OR(ISNUMBER(MATCH(H211,{"wholesome","heroic"},0)),ISNUMBER(MATCH(J211,{"wholesome","heroic"},0)),ISNUMBER(MATCH(L211,{"wholesome","heroic"},0)))),1,0)</f>
        <v>1</v>
      </c>
      <c r="S211">
        <f t="shared" si="10"/>
        <v>0</v>
      </c>
      <c r="T211">
        <f t="shared" si="11"/>
        <v>1</v>
      </c>
      <c r="U211" t="s">
        <v>3049</v>
      </c>
      <c r="V211" t="s">
        <v>1898</v>
      </c>
    </row>
    <row r="212" spans="1:22" x14ac:dyDescent="0.25">
      <c r="A212" t="s">
        <v>3330</v>
      </c>
      <c r="B212">
        <v>1881</v>
      </c>
      <c r="C212" t="s">
        <v>24</v>
      </c>
      <c r="D212" t="s">
        <v>1038</v>
      </c>
      <c r="E212" s="4">
        <v>45393</v>
      </c>
      <c r="F212" s="6">
        <v>0</v>
      </c>
      <c r="G212" s="6" t="s">
        <v>2988</v>
      </c>
      <c r="H212" s="6" t="s">
        <v>2989</v>
      </c>
      <c r="I212" s="6" t="s">
        <v>2995</v>
      </c>
      <c r="J212" s="6" t="s">
        <v>2989</v>
      </c>
      <c r="K212" s="6"/>
      <c r="L212" s="6"/>
      <c r="M212" s="6" t="s">
        <v>3046</v>
      </c>
      <c r="N212" s="6" t="s">
        <v>3046</v>
      </c>
      <c r="O212" s="6"/>
      <c r="P212">
        <f t="shared" si="9"/>
        <v>1</v>
      </c>
      <c r="Q212">
        <f>IF(AND(P212=1,OR(ISNUMBER(MATCH(H212,{"menace","othering","ridicule","blame","victim"},0)),ISNUMBER(MATCH(J212,{"menace","othering","ridicule","blame","victim"},0)),ISNUMBER(MATCH(L212,{"menace","othering","ridicule","blame","victim"},0)))),1,0)</f>
        <v>0</v>
      </c>
      <c r="R212">
        <f>IF(AND(P212=1,Q212=0,OR(ISNUMBER(MATCH(H212,{"wholesome","heroic"},0)),ISNUMBER(MATCH(J212,{"wholesome","heroic"},0)),ISNUMBER(MATCH(L212,{"wholesome","heroic"},0)))),1,0)</f>
        <v>0</v>
      </c>
      <c r="S212">
        <f t="shared" si="10"/>
        <v>1</v>
      </c>
      <c r="T212">
        <f t="shared" si="11"/>
        <v>1</v>
      </c>
      <c r="U212" t="s">
        <v>3053</v>
      </c>
    </row>
    <row r="213" spans="1:22" x14ac:dyDescent="0.25">
      <c r="A213" t="s">
        <v>3329</v>
      </c>
      <c r="B213">
        <v>1883</v>
      </c>
      <c r="C213" t="s">
        <v>24</v>
      </c>
      <c r="D213" t="s">
        <v>1038</v>
      </c>
      <c r="E213" s="4">
        <v>45394</v>
      </c>
      <c r="F213" s="6">
        <v>0</v>
      </c>
      <c r="G213" s="6" t="s">
        <v>2995</v>
      </c>
      <c r="H213" s="6" t="s">
        <v>2994</v>
      </c>
      <c r="I213" s="6" t="s">
        <v>3862</v>
      </c>
      <c r="J213" s="6" t="s">
        <v>2994</v>
      </c>
      <c r="K213" s="6" t="s">
        <v>2988</v>
      </c>
      <c r="L213" s="6" t="s">
        <v>2990</v>
      </c>
      <c r="M213" s="6" t="s">
        <v>3046</v>
      </c>
      <c r="N213" s="6" t="s">
        <v>3046</v>
      </c>
      <c r="O213" s="6" t="s">
        <v>3046</v>
      </c>
      <c r="P213">
        <f t="shared" si="9"/>
        <v>1</v>
      </c>
      <c r="Q213">
        <f>IF(AND(P213=1,OR(ISNUMBER(MATCH(H213,{"menace","othering","ridicule","blame","victim"},0)),ISNUMBER(MATCH(J213,{"menace","othering","ridicule","blame","victim"},0)),ISNUMBER(MATCH(L213,{"menace","othering","ridicule","blame","victim"},0)))),1,0)</f>
        <v>0</v>
      </c>
      <c r="R213">
        <f>IF(AND(P213=1,Q213=0,OR(ISNUMBER(MATCH(H213,{"wholesome","heroic"},0)),ISNUMBER(MATCH(J213,{"wholesome","heroic"},0)),ISNUMBER(MATCH(L213,{"wholesome","heroic"},0)))),1,0)</f>
        <v>1</v>
      </c>
      <c r="S213">
        <f t="shared" si="10"/>
        <v>0</v>
      </c>
      <c r="T213">
        <f t="shared" si="11"/>
        <v>1</v>
      </c>
      <c r="U213" t="s">
        <v>3053</v>
      </c>
    </row>
    <row r="214" spans="1:22" x14ac:dyDescent="0.25">
      <c r="A214" t="s">
        <v>3328</v>
      </c>
      <c r="B214">
        <v>1925</v>
      </c>
      <c r="C214" t="s">
        <v>24</v>
      </c>
      <c r="D214" t="s">
        <v>1038</v>
      </c>
      <c r="E214" s="4">
        <v>45409</v>
      </c>
      <c r="F214" s="6">
        <v>0</v>
      </c>
      <c r="G214" s="6" t="s">
        <v>2995</v>
      </c>
      <c r="H214" s="6" t="s">
        <v>2989</v>
      </c>
      <c r="I214" s="6" t="s">
        <v>2986</v>
      </c>
      <c r="J214" s="6" t="s">
        <v>2989</v>
      </c>
      <c r="K214" s="6"/>
      <c r="L214" s="6"/>
      <c r="M214" s="6" t="s">
        <v>3046</v>
      </c>
      <c r="N214" s="6" t="s">
        <v>3046</v>
      </c>
      <c r="O214" s="6"/>
      <c r="P214">
        <f t="shared" si="9"/>
        <v>1</v>
      </c>
      <c r="Q214">
        <f>IF(AND(P214=1,OR(ISNUMBER(MATCH(H214,{"menace","othering","ridicule","blame","victim"},0)),ISNUMBER(MATCH(J214,{"menace","othering","ridicule","blame","victim"},0)),ISNUMBER(MATCH(L214,{"menace","othering","ridicule","blame","victim"},0)))),1,0)</f>
        <v>0</v>
      </c>
      <c r="R214">
        <f>IF(AND(P214=1,Q214=0,OR(ISNUMBER(MATCH(H214,{"wholesome","heroic"},0)),ISNUMBER(MATCH(J214,{"wholesome","heroic"},0)),ISNUMBER(MATCH(L214,{"wholesome","heroic"},0)))),1,0)</f>
        <v>0</v>
      </c>
      <c r="S214">
        <f t="shared" si="10"/>
        <v>1</v>
      </c>
      <c r="T214">
        <f t="shared" si="11"/>
        <v>1</v>
      </c>
      <c r="U214" t="s">
        <v>3053</v>
      </c>
    </row>
    <row r="215" spans="1:22" x14ac:dyDescent="0.25">
      <c r="A215" t="s">
        <v>3327</v>
      </c>
      <c r="B215">
        <v>1938</v>
      </c>
      <c r="C215" t="s">
        <v>24</v>
      </c>
      <c r="D215" t="s">
        <v>1038</v>
      </c>
      <c r="E215" s="4">
        <v>45414</v>
      </c>
      <c r="F215" s="6">
        <v>0</v>
      </c>
      <c r="G215" s="6" t="s">
        <v>2995</v>
      </c>
      <c r="H215" s="6" t="s">
        <v>2989</v>
      </c>
      <c r="I215" s="6" t="s">
        <v>3862</v>
      </c>
      <c r="J215" s="6" t="s">
        <v>2989</v>
      </c>
      <c r="K215" s="6"/>
      <c r="L215" s="6"/>
      <c r="M215" s="6" t="s">
        <v>3046</v>
      </c>
      <c r="N215" s="6" t="s">
        <v>3046</v>
      </c>
      <c r="O215" s="6"/>
      <c r="P215">
        <f t="shared" si="9"/>
        <v>1</v>
      </c>
      <c r="Q215">
        <f>IF(AND(P215=1,OR(ISNUMBER(MATCH(H215,{"menace","othering","ridicule","blame","victim"},0)),ISNUMBER(MATCH(J215,{"menace","othering","ridicule","blame","victim"},0)),ISNUMBER(MATCH(L215,{"menace","othering","ridicule","blame","victim"},0)))),1,0)</f>
        <v>0</v>
      </c>
      <c r="R215">
        <f>IF(AND(P215=1,Q215=0,OR(ISNUMBER(MATCH(H215,{"wholesome","heroic"},0)),ISNUMBER(MATCH(J215,{"wholesome","heroic"},0)),ISNUMBER(MATCH(L215,{"wholesome","heroic"},0)))),1,0)</f>
        <v>0</v>
      </c>
      <c r="S215">
        <f t="shared" si="10"/>
        <v>1</v>
      </c>
      <c r="T215">
        <f t="shared" si="11"/>
        <v>1</v>
      </c>
      <c r="U215" t="s">
        <v>3053</v>
      </c>
    </row>
    <row r="216" spans="1:22" x14ac:dyDescent="0.25">
      <c r="A216" t="s">
        <v>3326</v>
      </c>
      <c r="B216">
        <v>1943</v>
      </c>
      <c r="C216" t="s">
        <v>24</v>
      </c>
      <c r="D216" t="s">
        <v>1038</v>
      </c>
      <c r="E216" s="4">
        <v>45416</v>
      </c>
      <c r="F216" s="6">
        <v>0</v>
      </c>
      <c r="G216" s="6" t="s">
        <v>2995</v>
      </c>
      <c r="H216" s="6" t="s">
        <v>2990</v>
      </c>
      <c r="I216" s="6" t="s">
        <v>2988</v>
      </c>
      <c r="J216" s="6" t="s">
        <v>2990</v>
      </c>
      <c r="K216" s="6"/>
      <c r="L216" s="6"/>
      <c r="M216" s="6" t="s">
        <v>3046</v>
      </c>
      <c r="N216" s="6" t="s">
        <v>3046</v>
      </c>
      <c r="O216" s="6"/>
      <c r="P216">
        <f t="shared" si="9"/>
        <v>1</v>
      </c>
      <c r="Q216">
        <f>IF(AND(P216=1,OR(ISNUMBER(MATCH(H216,{"menace","othering","ridicule","blame","victim"},0)),ISNUMBER(MATCH(J216,{"menace","othering","ridicule","blame","victim"},0)),ISNUMBER(MATCH(L216,{"menace","othering","ridicule","blame","victim"},0)))),1,0)</f>
        <v>0</v>
      </c>
      <c r="R216">
        <f>IF(AND(P216=1,Q216=0,OR(ISNUMBER(MATCH(H216,{"wholesome","heroic"},0)),ISNUMBER(MATCH(J216,{"wholesome","heroic"},0)),ISNUMBER(MATCH(L216,{"wholesome","heroic"},0)))),1,0)</f>
        <v>1</v>
      </c>
      <c r="S216">
        <f t="shared" si="10"/>
        <v>0</v>
      </c>
      <c r="T216">
        <f t="shared" si="11"/>
        <v>1</v>
      </c>
      <c r="U216" t="s">
        <v>3053</v>
      </c>
    </row>
    <row r="217" spans="1:22" x14ac:dyDescent="0.25">
      <c r="A217" t="s">
        <v>3325</v>
      </c>
      <c r="B217">
        <v>1957</v>
      </c>
      <c r="C217" t="s">
        <v>24</v>
      </c>
      <c r="D217" t="s">
        <v>1038</v>
      </c>
      <c r="E217" s="4">
        <v>45419</v>
      </c>
      <c r="F217" s="6">
        <v>0</v>
      </c>
      <c r="G217" s="6" t="s">
        <v>2995</v>
      </c>
      <c r="H217" s="6" t="s">
        <v>2990</v>
      </c>
      <c r="I217" s="6" t="s">
        <v>3862</v>
      </c>
      <c r="J217" s="6" t="s">
        <v>2990</v>
      </c>
      <c r="K217" s="6"/>
      <c r="L217" s="6"/>
      <c r="M217" s="6" t="s">
        <v>3046</v>
      </c>
      <c r="N217" s="6" t="s">
        <v>3046</v>
      </c>
      <c r="O217" s="6"/>
      <c r="P217">
        <f t="shared" si="9"/>
        <v>1</v>
      </c>
      <c r="Q217">
        <f>IF(AND(P217=1,OR(ISNUMBER(MATCH(H217,{"menace","othering","ridicule","blame","victim"},0)),ISNUMBER(MATCH(J217,{"menace","othering","ridicule","blame","victim"},0)),ISNUMBER(MATCH(L217,{"menace","othering","ridicule","blame","victim"},0)))),1,0)</f>
        <v>0</v>
      </c>
      <c r="R217">
        <f>IF(AND(P217=1,Q217=0,OR(ISNUMBER(MATCH(H217,{"wholesome","heroic"},0)),ISNUMBER(MATCH(J217,{"wholesome","heroic"},0)),ISNUMBER(MATCH(L217,{"wholesome","heroic"},0)))),1,0)</f>
        <v>1</v>
      </c>
      <c r="S217">
        <f t="shared" si="10"/>
        <v>0</v>
      </c>
      <c r="T217">
        <f t="shared" si="11"/>
        <v>1</v>
      </c>
      <c r="U217" t="s">
        <v>3053</v>
      </c>
    </row>
    <row r="218" spans="1:22" x14ac:dyDescent="0.25">
      <c r="A218" t="s">
        <v>3074</v>
      </c>
      <c r="B218">
        <v>1966</v>
      </c>
      <c r="C218" t="s">
        <v>24</v>
      </c>
      <c r="D218" t="s">
        <v>1038</v>
      </c>
      <c r="E218" s="4">
        <v>45420</v>
      </c>
      <c r="F218" s="6">
        <v>0</v>
      </c>
      <c r="G218" s="6" t="s">
        <v>2995</v>
      </c>
      <c r="H218" s="6" t="s">
        <v>2990</v>
      </c>
      <c r="I218" s="6" t="s">
        <v>3862</v>
      </c>
      <c r="J218" s="6" t="s">
        <v>2990</v>
      </c>
      <c r="K218" s="6"/>
      <c r="L218" s="6"/>
      <c r="M218" s="6" t="s">
        <v>3046</v>
      </c>
      <c r="N218" s="6" t="s">
        <v>3046</v>
      </c>
      <c r="O218" s="6"/>
      <c r="P218">
        <f t="shared" si="9"/>
        <v>1</v>
      </c>
      <c r="Q218">
        <f>IF(AND(P218=1,OR(ISNUMBER(MATCH(H218,{"menace","othering","ridicule","blame","victim"},0)),ISNUMBER(MATCH(J218,{"menace","othering","ridicule","blame","victim"},0)),ISNUMBER(MATCH(L218,{"menace","othering","ridicule","blame","victim"},0)))),1,0)</f>
        <v>0</v>
      </c>
      <c r="R218">
        <f>IF(AND(P218=1,Q218=0,OR(ISNUMBER(MATCH(H218,{"wholesome","heroic"},0)),ISNUMBER(MATCH(J218,{"wholesome","heroic"},0)),ISNUMBER(MATCH(L218,{"wholesome","heroic"},0)))),1,0)</f>
        <v>1</v>
      </c>
      <c r="S218">
        <f t="shared" si="10"/>
        <v>0</v>
      </c>
      <c r="T218">
        <f t="shared" si="11"/>
        <v>1</v>
      </c>
      <c r="U218" t="s">
        <v>3053</v>
      </c>
    </row>
    <row r="219" spans="1:22" x14ac:dyDescent="0.25">
      <c r="A219" t="s">
        <v>3701</v>
      </c>
      <c r="B219">
        <v>1977</v>
      </c>
      <c r="C219" t="s">
        <v>24</v>
      </c>
      <c r="D219" t="s">
        <v>1038</v>
      </c>
      <c r="E219" s="4">
        <v>45422</v>
      </c>
      <c r="F219" s="6">
        <v>0</v>
      </c>
      <c r="G219" s="6" t="s">
        <v>2988</v>
      </c>
      <c r="H219" s="6" t="s">
        <v>2989</v>
      </c>
      <c r="I219" s="6" t="s">
        <v>2995</v>
      </c>
      <c r="J219" s="6" t="s">
        <v>2989</v>
      </c>
      <c r="K219" s="6"/>
      <c r="L219" s="6"/>
      <c r="M219" s="6" t="s">
        <v>3046</v>
      </c>
      <c r="N219" s="6" t="s">
        <v>3046</v>
      </c>
      <c r="O219" s="6"/>
      <c r="P219">
        <f t="shared" si="9"/>
        <v>1</v>
      </c>
      <c r="Q219">
        <f>IF(AND(P219=1,OR(ISNUMBER(MATCH(H219,{"menace","othering","ridicule","blame","victim"},0)),ISNUMBER(MATCH(J219,{"menace","othering","ridicule","blame","victim"},0)),ISNUMBER(MATCH(L219,{"menace","othering","ridicule","blame","victim"},0)))),1,0)</f>
        <v>0</v>
      </c>
      <c r="R219">
        <f>IF(AND(P219=1,Q219=0,OR(ISNUMBER(MATCH(H219,{"wholesome","heroic"},0)),ISNUMBER(MATCH(J219,{"wholesome","heroic"},0)),ISNUMBER(MATCH(L219,{"wholesome","heroic"},0)))),1,0)</f>
        <v>0</v>
      </c>
      <c r="S219">
        <f t="shared" si="10"/>
        <v>1</v>
      </c>
      <c r="T219">
        <f t="shared" si="11"/>
        <v>1</v>
      </c>
      <c r="U219" t="s">
        <v>3049</v>
      </c>
      <c r="V219" t="s">
        <v>3324</v>
      </c>
    </row>
    <row r="220" spans="1:22" x14ac:dyDescent="0.25">
      <c r="A220" t="s">
        <v>3323</v>
      </c>
      <c r="B220">
        <v>2013</v>
      </c>
      <c r="C220" t="s">
        <v>24</v>
      </c>
      <c r="D220" t="s">
        <v>1038</v>
      </c>
      <c r="E220" s="4">
        <v>45435</v>
      </c>
      <c r="F220" s="6">
        <v>0</v>
      </c>
      <c r="G220" s="6" t="s">
        <v>2995</v>
      </c>
      <c r="H220" s="6" t="s">
        <v>2990</v>
      </c>
      <c r="I220" s="6" t="s">
        <v>2988</v>
      </c>
      <c r="J220" s="6" t="s">
        <v>2990</v>
      </c>
      <c r="K220" s="6"/>
      <c r="L220" s="6"/>
      <c r="M220" s="6" t="s">
        <v>3046</v>
      </c>
      <c r="N220" s="6" t="s">
        <v>3046</v>
      </c>
      <c r="O220" s="6"/>
      <c r="P220">
        <f t="shared" si="9"/>
        <v>1</v>
      </c>
      <c r="Q220">
        <f>IF(AND(P220=1,OR(ISNUMBER(MATCH(H220,{"menace","othering","ridicule","blame","victim"},0)),ISNUMBER(MATCH(J220,{"menace","othering","ridicule","blame","victim"},0)),ISNUMBER(MATCH(L220,{"menace","othering","ridicule","blame","victim"},0)))),1,0)</f>
        <v>0</v>
      </c>
      <c r="R220">
        <f>IF(AND(P220=1,Q220=0,OR(ISNUMBER(MATCH(H220,{"wholesome","heroic"},0)),ISNUMBER(MATCH(J220,{"wholesome","heroic"},0)),ISNUMBER(MATCH(L220,{"wholesome","heroic"},0)))),1,0)</f>
        <v>1</v>
      </c>
      <c r="S220">
        <f t="shared" si="10"/>
        <v>0</v>
      </c>
      <c r="T220">
        <f t="shared" si="11"/>
        <v>1</v>
      </c>
      <c r="U220" t="s">
        <v>3053</v>
      </c>
    </row>
    <row r="221" spans="1:22" x14ac:dyDescent="0.25">
      <c r="A221" t="s">
        <v>3321</v>
      </c>
      <c r="B221">
        <v>2024</v>
      </c>
      <c r="C221" t="s">
        <v>24</v>
      </c>
      <c r="D221" t="s">
        <v>1038</v>
      </c>
      <c r="E221" s="4">
        <v>45438</v>
      </c>
      <c r="F221" s="6">
        <v>0</v>
      </c>
      <c r="G221" s="6" t="s">
        <v>2995</v>
      </c>
      <c r="H221" s="6" t="s">
        <v>2990</v>
      </c>
      <c r="I221" s="6" t="s">
        <v>2988</v>
      </c>
      <c r="J221" s="6" t="s">
        <v>2990</v>
      </c>
      <c r="K221" s="6"/>
      <c r="L221" s="6"/>
      <c r="M221" s="6" t="s">
        <v>3046</v>
      </c>
      <c r="N221" s="6" t="s">
        <v>3046</v>
      </c>
      <c r="O221" s="6"/>
      <c r="P221">
        <f t="shared" si="9"/>
        <v>1</v>
      </c>
      <c r="Q221">
        <f>IF(AND(P221=1,OR(ISNUMBER(MATCH(H221,{"menace","othering","ridicule","blame","victim"},0)),ISNUMBER(MATCH(J221,{"menace","othering","ridicule","blame","victim"},0)),ISNUMBER(MATCH(L221,{"menace","othering","ridicule","blame","victim"},0)))),1,0)</f>
        <v>0</v>
      </c>
      <c r="R221">
        <f>IF(AND(P221=1,Q221=0,OR(ISNUMBER(MATCH(H221,{"wholesome","heroic"},0)),ISNUMBER(MATCH(J221,{"wholesome","heroic"},0)),ISNUMBER(MATCH(L221,{"wholesome","heroic"},0)))),1,0)</f>
        <v>1</v>
      </c>
      <c r="S221">
        <f t="shared" si="10"/>
        <v>0</v>
      </c>
      <c r="T221">
        <f t="shared" si="11"/>
        <v>1</v>
      </c>
      <c r="U221" t="s">
        <v>3053</v>
      </c>
    </row>
    <row r="222" spans="1:22" x14ac:dyDescent="0.25">
      <c r="A222" t="s">
        <v>3320</v>
      </c>
      <c r="B222">
        <v>2035</v>
      </c>
      <c r="C222" t="s">
        <v>24</v>
      </c>
      <c r="D222" t="s">
        <v>1038</v>
      </c>
      <c r="E222" s="4">
        <v>45442</v>
      </c>
      <c r="F222" s="6">
        <v>0</v>
      </c>
      <c r="G222" s="6" t="s">
        <v>3862</v>
      </c>
      <c r="H222" s="6" t="s">
        <v>2989</v>
      </c>
      <c r="I222" s="6" t="s">
        <v>2995</v>
      </c>
      <c r="J222" s="6" t="s">
        <v>2994</v>
      </c>
      <c r="K222" s="6"/>
      <c r="L222" s="6"/>
      <c r="M222" s="6" t="s">
        <v>3046</v>
      </c>
      <c r="N222" s="6" t="s">
        <v>3046</v>
      </c>
      <c r="O222" s="6"/>
      <c r="P222">
        <f t="shared" si="9"/>
        <v>1</v>
      </c>
      <c r="Q222">
        <f>IF(AND(P222=1,OR(ISNUMBER(MATCH(H222,{"menace","othering","ridicule","blame","victim"},0)),ISNUMBER(MATCH(J222,{"menace","othering","ridicule","blame","victim"},0)),ISNUMBER(MATCH(L222,{"menace","othering","ridicule","blame","victim"},0)))),1,0)</f>
        <v>0</v>
      </c>
      <c r="R222">
        <f>IF(AND(P222=1,Q222=0,OR(ISNUMBER(MATCH(H222,{"wholesome","heroic"},0)),ISNUMBER(MATCH(J222,{"wholesome","heroic"},0)),ISNUMBER(MATCH(L222,{"wholesome","heroic"},0)))),1,0)</f>
        <v>1</v>
      </c>
      <c r="S222">
        <f t="shared" si="10"/>
        <v>0</v>
      </c>
      <c r="T222">
        <f t="shared" si="11"/>
        <v>1</v>
      </c>
      <c r="U222" t="s">
        <v>3053</v>
      </c>
    </row>
    <row r="223" spans="1:22" x14ac:dyDescent="0.25">
      <c r="A223" t="s">
        <v>3702</v>
      </c>
      <c r="B223">
        <v>2040</v>
      </c>
      <c r="C223" t="s">
        <v>24</v>
      </c>
      <c r="D223" t="s">
        <v>1038</v>
      </c>
      <c r="E223" s="4">
        <v>45444</v>
      </c>
      <c r="F223" s="6">
        <v>0</v>
      </c>
      <c r="G223" s="6" t="s">
        <v>2988</v>
      </c>
      <c r="H223" s="6" t="s">
        <v>2990</v>
      </c>
      <c r="I223" s="6" t="s">
        <v>2995</v>
      </c>
      <c r="J223" s="6" t="s">
        <v>2994</v>
      </c>
      <c r="K223" s="6"/>
      <c r="L223" s="6"/>
      <c r="M223" s="6" t="s">
        <v>3046</v>
      </c>
      <c r="N223" s="6" t="s">
        <v>3046</v>
      </c>
      <c r="O223" s="6"/>
      <c r="P223">
        <f t="shared" si="9"/>
        <v>1</v>
      </c>
      <c r="Q223">
        <f>IF(AND(P223=1,OR(ISNUMBER(MATCH(H223,{"menace","othering","ridicule","blame","victim"},0)),ISNUMBER(MATCH(J223,{"menace","othering","ridicule","blame","victim"},0)),ISNUMBER(MATCH(L223,{"menace","othering","ridicule","blame","victim"},0)))),1,0)</f>
        <v>0</v>
      </c>
      <c r="R223">
        <f>IF(AND(P223=1,Q223=0,OR(ISNUMBER(MATCH(H223,{"wholesome","heroic"},0)),ISNUMBER(MATCH(J223,{"wholesome","heroic"},0)),ISNUMBER(MATCH(L223,{"wholesome","heroic"},0)))),1,0)</f>
        <v>1</v>
      </c>
      <c r="S223">
        <f t="shared" si="10"/>
        <v>0</v>
      </c>
      <c r="T223">
        <f t="shared" si="11"/>
        <v>1</v>
      </c>
      <c r="U223" t="s">
        <v>3049</v>
      </c>
      <c r="V223" t="s">
        <v>3322</v>
      </c>
    </row>
    <row r="224" spans="1:22" x14ac:dyDescent="0.25">
      <c r="A224" t="s">
        <v>3703</v>
      </c>
      <c r="B224">
        <v>2090</v>
      </c>
      <c r="C224" t="s">
        <v>22</v>
      </c>
      <c r="D224" t="s">
        <v>1038</v>
      </c>
      <c r="E224" s="4">
        <v>45332</v>
      </c>
      <c r="F224" s="6">
        <v>0</v>
      </c>
      <c r="G224" s="6" t="s">
        <v>2995</v>
      </c>
      <c r="H224" s="6" t="s">
        <v>2989</v>
      </c>
      <c r="I224" s="6"/>
      <c r="J224" s="6"/>
      <c r="K224" s="6"/>
      <c r="L224" s="6"/>
      <c r="M224" s="6" t="s">
        <v>3046</v>
      </c>
      <c r="N224" s="6"/>
      <c r="O224" s="6"/>
      <c r="P224">
        <f t="shared" si="9"/>
        <v>1</v>
      </c>
      <c r="Q224">
        <f>IF(AND(P224=1,OR(ISNUMBER(MATCH(H224,{"menace","othering","ridicule","blame","victim"},0)),ISNUMBER(MATCH(J224,{"menace","othering","ridicule","blame","victim"},0)),ISNUMBER(MATCH(L224,{"menace","othering","ridicule","blame","victim"},0)))),1,0)</f>
        <v>0</v>
      </c>
      <c r="R224">
        <f>IF(AND(P224=1,Q224=0,OR(ISNUMBER(MATCH(H224,{"wholesome","heroic"},0)),ISNUMBER(MATCH(J224,{"wholesome","heroic"},0)),ISNUMBER(MATCH(L224,{"wholesome","heroic"},0)))),1,0)</f>
        <v>0</v>
      </c>
      <c r="S224">
        <f t="shared" si="10"/>
        <v>1</v>
      </c>
      <c r="T224">
        <f t="shared" si="11"/>
        <v>1</v>
      </c>
      <c r="U224" t="s">
        <v>3049</v>
      </c>
      <c r="V224" t="s">
        <v>3318</v>
      </c>
    </row>
    <row r="225" spans="1:22" x14ac:dyDescent="0.25">
      <c r="A225" t="s">
        <v>3319</v>
      </c>
      <c r="B225">
        <v>2105</v>
      </c>
      <c r="C225" t="s">
        <v>22</v>
      </c>
      <c r="D225" t="s">
        <v>1038</v>
      </c>
      <c r="E225" s="4">
        <v>45335</v>
      </c>
      <c r="F225" s="6">
        <v>0</v>
      </c>
      <c r="G225" s="6" t="s">
        <v>3862</v>
      </c>
      <c r="H225" s="6" t="s">
        <v>2989</v>
      </c>
      <c r="I225" s="6"/>
      <c r="J225" s="6"/>
      <c r="K225" s="6"/>
      <c r="L225" s="6"/>
      <c r="M225" s="6" t="s">
        <v>3046</v>
      </c>
      <c r="N225" s="6"/>
      <c r="O225" s="6"/>
      <c r="P225">
        <f t="shared" si="9"/>
        <v>1</v>
      </c>
      <c r="Q225">
        <f>IF(AND(P225=1,OR(ISNUMBER(MATCH(H225,{"menace","othering","ridicule","blame","victim"},0)),ISNUMBER(MATCH(J225,{"menace","othering","ridicule","blame","victim"},0)),ISNUMBER(MATCH(L225,{"menace","othering","ridicule","blame","victim"},0)))),1,0)</f>
        <v>0</v>
      </c>
      <c r="R225">
        <f>IF(AND(P225=1,Q225=0,OR(ISNUMBER(MATCH(H225,{"wholesome","heroic"},0)),ISNUMBER(MATCH(J225,{"wholesome","heroic"},0)),ISNUMBER(MATCH(L225,{"wholesome","heroic"},0)))),1,0)</f>
        <v>0</v>
      </c>
      <c r="S225">
        <f t="shared" si="10"/>
        <v>1</v>
      </c>
      <c r="T225">
        <f t="shared" si="11"/>
        <v>0</v>
      </c>
      <c r="U225" t="s">
        <v>3053</v>
      </c>
    </row>
    <row r="226" spans="1:22" x14ac:dyDescent="0.25">
      <c r="A226" t="s">
        <v>3317</v>
      </c>
      <c r="B226">
        <v>2113</v>
      </c>
      <c r="C226" t="s">
        <v>22</v>
      </c>
      <c r="D226" t="s">
        <v>1038</v>
      </c>
      <c r="E226" s="4">
        <v>45336</v>
      </c>
      <c r="F226" s="6">
        <v>0</v>
      </c>
      <c r="G226" s="6" t="s">
        <v>3862</v>
      </c>
      <c r="H226" s="6" t="s">
        <v>2989</v>
      </c>
      <c r="I226" s="6" t="s">
        <v>2991</v>
      </c>
      <c r="J226" s="6" t="s">
        <v>2989</v>
      </c>
      <c r="K226" s="6" t="s">
        <v>2998</v>
      </c>
      <c r="L226" s="6" t="s">
        <v>2989</v>
      </c>
      <c r="M226" s="6" t="s">
        <v>3046</v>
      </c>
      <c r="N226" s="6" t="s">
        <v>3046</v>
      </c>
      <c r="O226" s="6" t="s">
        <v>3046</v>
      </c>
      <c r="P226">
        <f t="shared" si="9"/>
        <v>1</v>
      </c>
      <c r="Q226">
        <f>IF(AND(P226=1,OR(ISNUMBER(MATCH(H226,{"menace","othering","ridicule","blame","victim"},0)),ISNUMBER(MATCH(J226,{"menace","othering","ridicule","blame","victim"},0)),ISNUMBER(MATCH(L226,{"menace","othering","ridicule","blame","victim"},0)))),1,0)</f>
        <v>0</v>
      </c>
      <c r="R226">
        <f>IF(AND(P226=1,Q226=0,OR(ISNUMBER(MATCH(H226,{"wholesome","heroic"},0)),ISNUMBER(MATCH(J226,{"wholesome","heroic"},0)),ISNUMBER(MATCH(L226,{"wholesome","heroic"},0)))),1,0)</f>
        <v>0</v>
      </c>
      <c r="S226">
        <f t="shared" si="10"/>
        <v>1</v>
      </c>
      <c r="T226">
        <f t="shared" si="11"/>
        <v>0</v>
      </c>
      <c r="U226" t="s">
        <v>3053</v>
      </c>
    </row>
    <row r="227" spans="1:22" x14ac:dyDescent="0.25">
      <c r="A227" t="s">
        <v>3316</v>
      </c>
      <c r="B227">
        <v>2123</v>
      </c>
      <c r="C227" t="s">
        <v>22</v>
      </c>
      <c r="D227" t="s">
        <v>1038</v>
      </c>
      <c r="E227" s="4">
        <v>45338</v>
      </c>
      <c r="F227" s="6">
        <v>0</v>
      </c>
      <c r="G227" s="6" t="s">
        <v>2995</v>
      </c>
      <c r="H227" s="6" t="s">
        <v>2989</v>
      </c>
      <c r="I227" s="6"/>
      <c r="J227" s="6"/>
      <c r="K227" s="6"/>
      <c r="L227" s="6"/>
      <c r="M227" s="6" t="s">
        <v>3046</v>
      </c>
      <c r="N227" s="6"/>
      <c r="O227" s="6"/>
      <c r="P227">
        <f t="shared" si="9"/>
        <v>1</v>
      </c>
      <c r="Q227">
        <f>IF(AND(P227=1,OR(ISNUMBER(MATCH(H227,{"menace","othering","ridicule","blame","victim"},0)),ISNUMBER(MATCH(J227,{"menace","othering","ridicule","blame","victim"},0)),ISNUMBER(MATCH(L227,{"menace","othering","ridicule","blame","victim"},0)))),1,0)</f>
        <v>0</v>
      </c>
      <c r="R227">
        <f>IF(AND(P227=1,Q227=0,OR(ISNUMBER(MATCH(H227,{"wholesome","heroic"},0)),ISNUMBER(MATCH(J227,{"wholesome","heroic"},0)),ISNUMBER(MATCH(L227,{"wholesome","heroic"},0)))),1,0)</f>
        <v>0</v>
      </c>
      <c r="S227">
        <f t="shared" si="10"/>
        <v>1</v>
      </c>
      <c r="T227">
        <f t="shared" si="11"/>
        <v>1</v>
      </c>
      <c r="U227" t="s">
        <v>3053</v>
      </c>
    </row>
    <row r="228" spans="1:22" x14ac:dyDescent="0.25">
      <c r="A228" t="s">
        <v>3704</v>
      </c>
      <c r="B228">
        <v>2136</v>
      </c>
      <c r="C228" t="s">
        <v>22</v>
      </c>
      <c r="D228" t="s">
        <v>1038</v>
      </c>
      <c r="E228" s="4">
        <v>45342</v>
      </c>
      <c r="F228" s="6">
        <v>0</v>
      </c>
      <c r="G228" s="6" t="s">
        <v>2988</v>
      </c>
      <c r="H228" s="6" t="s">
        <v>2987</v>
      </c>
      <c r="I228" s="6"/>
      <c r="J228" s="6"/>
      <c r="K228" s="6"/>
      <c r="L228" s="6"/>
      <c r="M228" s="6" t="s">
        <v>3046</v>
      </c>
      <c r="N228" s="6"/>
      <c r="O228" s="6"/>
      <c r="P228">
        <f t="shared" si="9"/>
        <v>1</v>
      </c>
      <c r="Q228">
        <f>IF(AND(P228=1,OR(ISNUMBER(MATCH(H228,{"menace","othering","ridicule","blame","victim"},0)),ISNUMBER(MATCH(J228,{"menace","othering","ridicule","blame","victim"},0)),ISNUMBER(MATCH(L228,{"menace","othering","ridicule","blame","victim"},0)))),1,0)</f>
        <v>1</v>
      </c>
      <c r="R228">
        <f>IF(AND(P228=1,Q228=0,OR(ISNUMBER(MATCH(H228,{"wholesome","heroic"},0)),ISNUMBER(MATCH(J228,{"wholesome","heroic"},0)),ISNUMBER(MATCH(L228,{"wholesome","heroic"},0)))),1,0)</f>
        <v>0</v>
      </c>
      <c r="S228">
        <f t="shared" si="10"/>
        <v>0</v>
      </c>
      <c r="T228">
        <f t="shared" si="11"/>
        <v>0</v>
      </c>
      <c r="U228" t="s">
        <v>3049</v>
      </c>
      <c r="V228" t="s">
        <v>3061</v>
      </c>
    </row>
    <row r="229" spans="1:22" x14ac:dyDescent="0.25">
      <c r="A229" t="s">
        <v>3315</v>
      </c>
      <c r="B229">
        <v>2155</v>
      </c>
      <c r="C229" t="s">
        <v>22</v>
      </c>
      <c r="D229" t="s">
        <v>1038</v>
      </c>
      <c r="E229" s="4">
        <v>45347</v>
      </c>
      <c r="F229" s="6">
        <v>0</v>
      </c>
      <c r="G229" s="6" t="s">
        <v>2988</v>
      </c>
      <c r="H229" s="6" t="s">
        <v>2987</v>
      </c>
      <c r="I229" s="6"/>
      <c r="J229" s="6"/>
      <c r="K229" s="6"/>
      <c r="L229" s="6"/>
      <c r="M229" s="6" t="s">
        <v>3046</v>
      </c>
      <c r="N229" s="6"/>
      <c r="O229" s="6"/>
      <c r="P229">
        <f t="shared" si="9"/>
        <v>1</v>
      </c>
      <c r="Q229">
        <f>IF(AND(P229=1,OR(ISNUMBER(MATCH(H229,{"menace","othering","ridicule","blame","victim"},0)),ISNUMBER(MATCH(J229,{"menace","othering","ridicule","blame","victim"},0)),ISNUMBER(MATCH(L229,{"menace","othering","ridicule","blame","victim"},0)))),1,0)</f>
        <v>1</v>
      </c>
      <c r="R229">
        <f>IF(AND(P229=1,Q229=0,OR(ISNUMBER(MATCH(H229,{"wholesome","heroic"},0)),ISNUMBER(MATCH(J229,{"wholesome","heroic"},0)),ISNUMBER(MATCH(L229,{"wholesome","heroic"},0)))),1,0)</f>
        <v>0</v>
      </c>
      <c r="S229">
        <f t="shared" si="10"/>
        <v>0</v>
      </c>
      <c r="T229">
        <f t="shared" si="11"/>
        <v>0</v>
      </c>
      <c r="U229" t="s">
        <v>3053</v>
      </c>
    </row>
    <row r="230" spans="1:22" x14ac:dyDescent="0.25">
      <c r="A230" t="s">
        <v>3314</v>
      </c>
      <c r="B230">
        <v>2173</v>
      </c>
      <c r="C230" t="s">
        <v>22</v>
      </c>
      <c r="D230" t="s">
        <v>1038</v>
      </c>
      <c r="E230" s="4">
        <v>45353</v>
      </c>
      <c r="F230" s="6">
        <v>0</v>
      </c>
      <c r="G230" s="6" t="s">
        <v>2995</v>
      </c>
      <c r="H230" s="6" t="s">
        <v>2989</v>
      </c>
      <c r="I230" s="6"/>
      <c r="J230" s="6"/>
      <c r="K230" s="6"/>
      <c r="L230" s="6"/>
      <c r="M230" s="6" t="s">
        <v>3046</v>
      </c>
      <c r="N230" s="6"/>
      <c r="O230" s="6"/>
      <c r="P230">
        <f t="shared" si="9"/>
        <v>1</v>
      </c>
      <c r="Q230">
        <f>IF(AND(P230=1,OR(ISNUMBER(MATCH(H230,{"menace","othering","ridicule","blame","victim"},0)),ISNUMBER(MATCH(J230,{"menace","othering","ridicule","blame","victim"},0)),ISNUMBER(MATCH(L230,{"menace","othering","ridicule","blame","victim"},0)))),1,0)</f>
        <v>0</v>
      </c>
      <c r="R230">
        <f>IF(AND(P230=1,Q230=0,OR(ISNUMBER(MATCH(H230,{"wholesome","heroic"},0)),ISNUMBER(MATCH(J230,{"wholesome","heroic"},0)),ISNUMBER(MATCH(L230,{"wholesome","heroic"},0)))),1,0)</f>
        <v>0</v>
      </c>
      <c r="S230">
        <f t="shared" si="10"/>
        <v>1</v>
      </c>
      <c r="T230">
        <f t="shared" si="11"/>
        <v>1</v>
      </c>
      <c r="U230" t="s">
        <v>3053</v>
      </c>
    </row>
    <row r="231" spans="1:22" x14ac:dyDescent="0.25">
      <c r="A231" t="s">
        <v>3313</v>
      </c>
      <c r="B231">
        <v>2182</v>
      </c>
      <c r="C231" t="s">
        <v>22</v>
      </c>
      <c r="D231" t="s">
        <v>1038</v>
      </c>
      <c r="E231" s="4">
        <v>45356</v>
      </c>
      <c r="F231" s="6">
        <v>0</v>
      </c>
      <c r="G231" s="6" t="s">
        <v>3862</v>
      </c>
      <c r="H231" s="6" t="s">
        <v>2989</v>
      </c>
      <c r="I231" s="6"/>
      <c r="J231" s="6"/>
      <c r="K231" s="6"/>
      <c r="L231" s="6"/>
      <c r="M231" s="6" t="s">
        <v>3046</v>
      </c>
      <c r="N231" s="6"/>
      <c r="O231" s="6"/>
      <c r="P231">
        <f t="shared" si="9"/>
        <v>1</v>
      </c>
      <c r="Q231">
        <f>IF(AND(P231=1,OR(ISNUMBER(MATCH(H231,{"menace","othering","ridicule","blame","victim"},0)),ISNUMBER(MATCH(J231,{"menace","othering","ridicule","blame","victim"},0)),ISNUMBER(MATCH(L231,{"menace","othering","ridicule","blame","victim"},0)))),1,0)</f>
        <v>0</v>
      </c>
      <c r="R231">
        <f>IF(AND(P231=1,Q231=0,OR(ISNUMBER(MATCH(H231,{"wholesome","heroic"},0)),ISNUMBER(MATCH(J231,{"wholesome","heroic"},0)),ISNUMBER(MATCH(L231,{"wholesome","heroic"},0)))),1,0)</f>
        <v>0</v>
      </c>
      <c r="S231">
        <f t="shared" si="10"/>
        <v>1</v>
      </c>
      <c r="T231">
        <f t="shared" si="11"/>
        <v>0</v>
      </c>
      <c r="U231" t="s">
        <v>3053</v>
      </c>
    </row>
    <row r="232" spans="1:22" x14ac:dyDescent="0.25">
      <c r="A232" t="s">
        <v>3705</v>
      </c>
      <c r="B232">
        <v>2186</v>
      </c>
      <c r="C232" t="s">
        <v>22</v>
      </c>
      <c r="D232" t="s">
        <v>1038</v>
      </c>
      <c r="E232" s="4">
        <v>45357</v>
      </c>
      <c r="F232" s="6">
        <v>0</v>
      </c>
      <c r="G232" s="6" t="s">
        <v>2986</v>
      </c>
      <c r="H232" s="6" t="s">
        <v>2985</v>
      </c>
      <c r="I232" s="6" t="s">
        <v>3000</v>
      </c>
      <c r="J232" s="6" t="s">
        <v>2987</v>
      </c>
      <c r="K232" s="6"/>
      <c r="L232" s="6"/>
      <c r="M232" s="6" t="s">
        <v>3046</v>
      </c>
      <c r="N232" s="6" t="s">
        <v>3046</v>
      </c>
      <c r="O232" s="6"/>
      <c r="P232">
        <f t="shared" si="9"/>
        <v>1</v>
      </c>
      <c r="Q232">
        <f>IF(AND(P232=1,OR(ISNUMBER(MATCH(H232,{"menace","othering","ridicule","blame","victim"},0)),ISNUMBER(MATCH(J232,{"menace","othering","ridicule","blame","victim"},0)),ISNUMBER(MATCH(L232,{"menace","othering","ridicule","blame","victim"},0)))),1,0)</f>
        <v>1</v>
      </c>
      <c r="R232">
        <f>IF(AND(P232=1,Q232=0,OR(ISNUMBER(MATCH(H232,{"wholesome","heroic"},0)),ISNUMBER(MATCH(J232,{"wholesome","heroic"},0)),ISNUMBER(MATCH(L232,{"wholesome","heroic"},0)))),1,0)</f>
        <v>0</v>
      </c>
      <c r="S232">
        <f t="shared" si="10"/>
        <v>0</v>
      </c>
      <c r="T232">
        <f t="shared" si="11"/>
        <v>0</v>
      </c>
      <c r="U232" t="s">
        <v>3049</v>
      </c>
      <c r="V232" t="s">
        <v>3290</v>
      </c>
    </row>
    <row r="233" spans="1:22" x14ac:dyDescent="0.25">
      <c r="A233" t="s">
        <v>3312</v>
      </c>
      <c r="B233">
        <v>2197</v>
      </c>
      <c r="C233" t="s">
        <v>22</v>
      </c>
      <c r="D233" t="s">
        <v>1038</v>
      </c>
      <c r="E233" s="4">
        <v>45359</v>
      </c>
      <c r="F233" s="6">
        <v>0</v>
      </c>
      <c r="G233" s="6" t="s">
        <v>3862</v>
      </c>
      <c r="H233" s="6" t="s">
        <v>2989</v>
      </c>
      <c r="I233" s="6" t="s">
        <v>2986</v>
      </c>
      <c r="J233" s="6" t="s">
        <v>2989</v>
      </c>
      <c r="K233" s="6"/>
      <c r="L233" s="6"/>
      <c r="M233" s="6" t="s">
        <v>3046</v>
      </c>
      <c r="N233" s="6" t="s">
        <v>3046</v>
      </c>
      <c r="O233" s="6"/>
      <c r="P233">
        <f t="shared" si="9"/>
        <v>1</v>
      </c>
      <c r="Q233">
        <f>IF(AND(P233=1,OR(ISNUMBER(MATCH(H233,{"menace","othering","ridicule","blame","victim"},0)),ISNUMBER(MATCH(J233,{"menace","othering","ridicule","blame","victim"},0)),ISNUMBER(MATCH(L233,{"menace","othering","ridicule","blame","victim"},0)))),1,0)</f>
        <v>0</v>
      </c>
      <c r="R233">
        <f>IF(AND(P233=1,Q233=0,OR(ISNUMBER(MATCH(H233,{"wholesome","heroic"},0)),ISNUMBER(MATCH(J233,{"wholesome","heroic"},0)),ISNUMBER(MATCH(L233,{"wholesome","heroic"},0)))),1,0)</f>
        <v>0</v>
      </c>
      <c r="S233">
        <f t="shared" si="10"/>
        <v>1</v>
      </c>
      <c r="T233">
        <f t="shared" si="11"/>
        <v>0</v>
      </c>
      <c r="U233" t="s">
        <v>3053</v>
      </c>
    </row>
    <row r="234" spans="1:22" x14ac:dyDescent="0.25">
      <c r="A234" t="s">
        <v>3706</v>
      </c>
      <c r="B234">
        <v>2272</v>
      </c>
      <c r="C234" t="s">
        <v>22</v>
      </c>
      <c r="D234" t="s">
        <v>1038</v>
      </c>
      <c r="E234" s="4">
        <v>45386</v>
      </c>
      <c r="F234" s="6">
        <v>0</v>
      </c>
      <c r="G234" s="6" t="s">
        <v>2995</v>
      </c>
      <c r="H234" s="6" t="s">
        <v>2989</v>
      </c>
      <c r="I234" s="6" t="s">
        <v>3862</v>
      </c>
      <c r="J234" s="6" t="s">
        <v>2989</v>
      </c>
      <c r="K234" s="6"/>
      <c r="L234" s="6"/>
      <c r="M234" s="6" t="s">
        <v>3046</v>
      </c>
      <c r="N234" s="6" t="s">
        <v>3046</v>
      </c>
      <c r="O234" s="6"/>
      <c r="P234">
        <f t="shared" si="9"/>
        <v>1</v>
      </c>
      <c r="Q234">
        <f>IF(AND(P234=1,OR(ISNUMBER(MATCH(H234,{"menace","othering","ridicule","blame","victim"},0)),ISNUMBER(MATCH(J234,{"menace","othering","ridicule","blame","victim"},0)),ISNUMBER(MATCH(L234,{"menace","othering","ridicule","blame","victim"},0)))),1,0)</f>
        <v>0</v>
      </c>
      <c r="R234">
        <f>IF(AND(P234=1,Q234=0,OR(ISNUMBER(MATCH(H234,{"wholesome","heroic"},0)),ISNUMBER(MATCH(J234,{"wholesome","heroic"},0)),ISNUMBER(MATCH(L234,{"wholesome","heroic"},0)))),1,0)</f>
        <v>0</v>
      </c>
      <c r="S234">
        <f t="shared" si="10"/>
        <v>1</v>
      </c>
      <c r="T234">
        <f t="shared" si="11"/>
        <v>1</v>
      </c>
      <c r="U234" t="s">
        <v>3049</v>
      </c>
      <c r="V234" t="s">
        <v>3058</v>
      </c>
    </row>
    <row r="235" spans="1:22" x14ac:dyDescent="0.25">
      <c r="A235" t="s">
        <v>3311</v>
      </c>
      <c r="B235">
        <v>2277</v>
      </c>
      <c r="C235" t="s">
        <v>22</v>
      </c>
      <c r="D235" t="s">
        <v>1038</v>
      </c>
      <c r="E235" s="4">
        <v>45387</v>
      </c>
      <c r="F235" s="6">
        <v>0</v>
      </c>
      <c r="G235" s="6" t="s">
        <v>3000</v>
      </c>
      <c r="H235" s="6" t="s">
        <v>2994</v>
      </c>
      <c r="I235" s="6" t="s">
        <v>2988</v>
      </c>
      <c r="J235" s="6" t="s">
        <v>2990</v>
      </c>
      <c r="K235" s="6"/>
      <c r="L235" s="6"/>
      <c r="M235" s="6" t="s">
        <v>3046</v>
      </c>
      <c r="N235" s="6" t="s">
        <v>3046</v>
      </c>
      <c r="O235" s="6"/>
      <c r="P235">
        <f t="shared" si="9"/>
        <v>1</v>
      </c>
      <c r="Q235">
        <f>IF(AND(P235=1,OR(ISNUMBER(MATCH(H235,{"menace","othering","ridicule","blame","victim"},0)),ISNUMBER(MATCH(J235,{"menace","othering","ridicule","blame","victim"},0)),ISNUMBER(MATCH(L235,{"menace","othering","ridicule","blame","victim"},0)))),1,0)</f>
        <v>0</v>
      </c>
      <c r="R235">
        <f>IF(AND(P235=1,Q235=0,OR(ISNUMBER(MATCH(H235,{"wholesome","heroic"},0)),ISNUMBER(MATCH(J235,{"wholesome","heroic"},0)),ISNUMBER(MATCH(L235,{"wholesome","heroic"},0)))),1,0)</f>
        <v>1</v>
      </c>
      <c r="S235">
        <f t="shared" si="10"/>
        <v>0</v>
      </c>
      <c r="T235">
        <f t="shared" si="11"/>
        <v>0</v>
      </c>
      <c r="U235" t="s">
        <v>3053</v>
      </c>
    </row>
    <row r="236" spans="1:22" x14ac:dyDescent="0.25">
      <c r="A236" t="s">
        <v>3818</v>
      </c>
      <c r="B236">
        <v>2265</v>
      </c>
      <c r="C236" t="s">
        <v>22</v>
      </c>
      <c r="D236" t="s">
        <v>1038</v>
      </c>
      <c r="E236" s="4">
        <v>45385</v>
      </c>
      <c r="F236" s="6">
        <v>0</v>
      </c>
      <c r="G236" s="6" t="s">
        <v>2999</v>
      </c>
      <c r="H236" s="6" t="s">
        <v>2987</v>
      </c>
      <c r="I236" s="6" t="s">
        <v>2986</v>
      </c>
      <c r="J236" s="6" t="s">
        <v>2987</v>
      </c>
      <c r="K236" s="6"/>
      <c r="L236" s="6"/>
      <c r="M236" s="6" t="s">
        <v>3046</v>
      </c>
      <c r="N236" s="6" t="s">
        <v>3046</v>
      </c>
      <c r="O236" s="6"/>
      <c r="P236">
        <f t="shared" si="9"/>
        <v>1</v>
      </c>
      <c r="Q236">
        <f>IF(AND(P236=1,OR(ISNUMBER(MATCH(H236,{"menace","othering","ridicule","blame","victim"},0)),ISNUMBER(MATCH(J236,{"menace","othering","ridicule","blame","victim"},0)),ISNUMBER(MATCH(L236,{"menace","othering","ridicule","blame","victim"},0)))),1,0)</f>
        <v>1</v>
      </c>
      <c r="R236">
        <f>IF(AND(P236=1,Q236=0,OR(ISNUMBER(MATCH(H236,{"wholesome","heroic"},0)),ISNUMBER(MATCH(J236,{"wholesome","heroic"},0)),ISNUMBER(MATCH(L236,{"wholesome","heroic"},0)))),1,0)</f>
        <v>0</v>
      </c>
      <c r="S236">
        <f t="shared" si="10"/>
        <v>0</v>
      </c>
      <c r="T236">
        <f t="shared" si="11"/>
        <v>0</v>
      </c>
      <c r="U236" t="s">
        <v>3049</v>
      </c>
      <c r="V236" t="s">
        <v>3295</v>
      </c>
    </row>
    <row r="237" spans="1:22" x14ac:dyDescent="0.25">
      <c r="A237" t="s">
        <v>3308</v>
      </c>
      <c r="B237">
        <v>2304</v>
      </c>
      <c r="C237" t="s">
        <v>22</v>
      </c>
      <c r="D237" t="s">
        <v>1038</v>
      </c>
      <c r="E237" s="4">
        <v>45391</v>
      </c>
      <c r="F237" s="6">
        <v>0</v>
      </c>
      <c r="G237" s="6" t="s">
        <v>3862</v>
      </c>
      <c r="H237" s="6" t="s">
        <v>2989</v>
      </c>
      <c r="I237" s="6"/>
      <c r="J237" s="6"/>
      <c r="K237" s="6"/>
      <c r="L237" s="6"/>
      <c r="M237" s="6" t="s">
        <v>3046</v>
      </c>
      <c r="N237" s="6"/>
      <c r="O237" s="6"/>
      <c r="P237">
        <f t="shared" si="9"/>
        <v>1</v>
      </c>
      <c r="Q237">
        <f>IF(AND(P237=1,OR(ISNUMBER(MATCH(H237,{"menace","othering","ridicule","blame","victim"},0)),ISNUMBER(MATCH(J237,{"menace","othering","ridicule","blame","victim"},0)),ISNUMBER(MATCH(L237,{"menace","othering","ridicule","blame","victim"},0)))),1,0)</f>
        <v>0</v>
      </c>
      <c r="R237">
        <f>IF(AND(P237=1,Q237=0,OR(ISNUMBER(MATCH(H237,{"wholesome","heroic"},0)),ISNUMBER(MATCH(J237,{"wholesome","heroic"},0)),ISNUMBER(MATCH(L237,{"wholesome","heroic"},0)))),1,0)</f>
        <v>0</v>
      </c>
      <c r="S237">
        <f t="shared" si="10"/>
        <v>1</v>
      </c>
      <c r="T237">
        <f t="shared" si="11"/>
        <v>0</v>
      </c>
      <c r="U237" t="s">
        <v>3049</v>
      </c>
      <c r="V237" t="s">
        <v>3307</v>
      </c>
    </row>
    <row r="238" spans="1:22" x14ac:dyDescent="0.25">
      <c r="A238" t="s">
        <v>3707</v>
      </c>
      <c r="B238">
        <v>2309</v>
      </c>
      <c r="C238" t="s">
        <v>22</v>
      </c>
      <c r="D238" t="s">
        <v>1038</v>
      </c>
      <c r="E238" s="4">
        <v>45392</v>
      </c>
      <c r="F238" s="6">
        <v>0</v>
      </c>
      <c r="G238" s="6" t="s">
        <v>2995</v>
      </c>
      <c r="H238" s="6" t="s">
        <v>2994</v>
      </c>
      <c r="I238" s="6" t="s">
        <v>3862</v>
      </c>
      <c r="J238" s="6" t="s">
        <v>2994</v>
      </c>
      <c r="K238" s="6"/>
      <c r="L238" s="6"/>
      <c r="M238" s="6" t="s">
        <v>3046</v>
      </c>
      <c r="N238" s="6" t="s">
        <v>3046</v>
      </c>
      <c r="O238" s="6"/>
      <c r="P238">
        <f t="shared" si="9"/>
        <v>1</v>
      </c>
      <c r="Q238">
        <f>IF(AND(P238=1,OR(ISNUMBER(MATCH(H238,{"menace","othering","ridicule","blame","victim"},0)),ISNUMBER(MATCH(J238,{"menace","othering","ridicule","blame","victim"},0)),ISNUMBER(MATCH(L238,{"menace","othering","ridicule","blame","victim"},0)))),1,0)</f>
        <v>0</v>
      </c>
      <c r="R238">
        <f>IF(AND(P238=1,Q238=0,OR(ISNUMBER(MATCH(H238,{"wholesome","heroic"},0)),ISNUMBER(MATCH(J238,{"wholesome","heroic"},0)),ISNUMBER(MATCH(L238,{"wholesome","heroic"},0)))),1,0)</f>
        <v>1</v>
      </c>
      <c r="S238">
        <f t="shared" si="10"/>
        <v>0</v>
      </c>
      <c r="T238">
        <f t="shared" si="11"/>
        <v>1</v>
      </c>
      <c r="U238" t="s">
        <v>3049</v>
      </c>
      <c r="V238" t="s">
        <v>3075</v>
      </c>
    </row>
    <row r="239" spans="1:22" x14ac:dyDescent="0.25">
      <c r="A239" t="s">
        <v>3306</v>
      </c>
      <c r="B239">
        <v>2311</v>
      </c>
      <c r="C239" t="s">
        <v>22</v>
      </c>
      <c r="D239" t="s">
        <v>1038</v>
      </c>
      <c r="E239" s="4">
        <v>45392</v>
      </c>
      <c r="F239" s="6">
        <v>0</v>
      </c>
      <c r="G239" s="6" t="s">
        <v>2995</v>
      </c>
      <c r="H239" s="6" t="s">
        <v>2989</v>
      </c>
      <c r="I239" s="6"/>
      <c r="J239" s="6"/>
      <c r="K239" s="6"/>
      <c r="L239" s="6"/>
      <c r="M239" s="6" t="s">
        <v>3046</v>
      </c>
      <c r="N239" s="6"/>
      <c r="O239" s="6"/>
      <c r="P239">
        <f t="shared" si="9"/>
        <v>1</v>
      </c>
      <c r="Q239">
        <f>IF(AND(P239=1,OR(ISNUMBER(MATCH(H239,{"menace","othering","ridicule","blame","victim"},0)),ISNUMBER(MATCH(J239,{"menace","othering","ridicule","blame","victim"},0)),ISNUMBER(MATCH(L239,{"menace","othering","ridicule","blame","victim"},0)))),1,0)</f>
        <v>0</v>
      </c>
      <c r="R239">
        <f>IF(AND(P239=1,Q239=0,OR(ISNUMBER(MATCH(H239,{"wholesome","heroic"},0)),ISNUMBER(MATCH(J239,{"wholesome","heroic"},0)),ISNUMBER(MATCH(L239,{"wholesome","heroic"},0)))),1,0)</f>
        <v>0</v>
      </c>
      <c r="S239">
        <f t="shared" si="10"/>
        <v>1</v>
      </c>
      <c r="T239">
        <f t="shared" si="11"/>
        <v>1</v>
      </c>
      <c r="U239" t="s">
        <v>3053</v>
      </c>
    </row>
    <row r="240" spans="1:22" x14ac:dyDescent="0.25">
      <c r="A240" t="s">
        <v>3708</v>
      </c>
      <c r="B240">
        <v>2314</v>
      </c>
      <c r="C240" t="s">
        <v>22</v>
      </c>
      <c r="D240" t="s">
        <v>1038</v>
      </c>
      <c r="E240" s="4">
        <v>45392</v>
      </c>
      <c r="F240" s="6">
        <v>0</v>
      </c>
      <c r="G240" s="6" t="s">
        <v>2988</v>
      </c>
      <c r="H240" s="6" t="s">
        <v>2992</v>
      </c>
      <c r="I240" s="6"/>
      <c r="J240" s="6"/>
      <c r="K240" s="6"/>
      <c r="L240" s="6"/>
      <c r="M240" s="6" t="s">
        <v>3046</v>
      </c>
      <c r="N240" s="6"/>
      <c r="O240" s="6"/>
      <c r="P240">
        <f t="shared" si="9"/>
        <v>1</v>
      </c>
      <c r="Q240">
        <f>IF(AND(P240=1,OR(ISNUMBER(MATCH(H240,{"menace","othering","ridicule","blame","victim"},0)),ISNUMBER(MATCH(J240,{"menace","othering","ridicule","blame","victim"},0)),ISNUMBER(MATCH(L240,{"menace","othering","ridicule","blame","victim"},0)))),1,0)</f>
        <v>1</v>
      </c>
      <c r="R240">
        <f>IF(AND(P240=1,Q240=0,OR(ISNUMBER(MATCH(H240,{"wholesome","heroic"},0)),ISNUMBER(MATCH(J240,{"wholesome","heroic"},0)),ISNUMBER(MATCH(L240,{"wholesome","heroic"},0)))),1,0)</f>
        <v>0</v>
      </c>
      <c r="S240">
        <f t="shared" si="10"/>
        <v>0</v>
      </c>
      <c r="T240">
        <f t="shared" si="11"/>
        <v>0</v>
      </c>
      <c r="U240" t="s">
        <v>3049</v>
      </c>
      <c r="V240" t="s">
        <v>3310</v>
      </c>
    </row>
    <row r="241" spans="1:22" x14ac:dyDescent="0.25">
      <c r="A241" t="s">
        <v>3305</v>
      </c>
      <c r="B241">
        <v>2316</v>
      </c>
      <c r="C241" t="s">
        <v>22</v>
      </c>
      <c r="D241" t="s">
        <v>1038</v>
      </c>
      <c r="E241" s="4">
        <v>45392</v>
      </c>
      <c r="F241" s="6">
        <v>0</v>
      </c>
      <c r="G241" s="6" t="s">
        <v>3862</v>
      </c>
      <c r="H241" s="6" t="s">
        <v>2989</v>
      </c>
      <c r="I241" s="6"/>
      <c r="J241" s="6"/>
      <c r="K241" s="6"/>
      <c r="L241" s="6"/>
      <c r="M241" s="6" t="s">
        <v>3046</v>
      </c>
      <c r="N241" s="6"/>
      <c r="O241" s="6"/>
      <c r="P241">
        <f t="shared" si="9"/>
        <v>1</v>
      </c>
      <c r="Q241">
        <f>IF(AND(P241=1,OR(ISNUMBER(MATCH(H241,{"menace","othering","ridicule","blame","victim"},0)),ISNUMBER(MATCH(J241,{"menace","othering","ridicule","blame","victim"},0)),ISNUMBER(MATCH(L241,{"menace","othering","ridicule","blame","victim"},0)))),1,0)</f>
        <v>0</v>
      </c>
      <c r="R241">
        <f>IF(AND(P241=1,Q241=0,OR(ISNUMBER(MATCH(H241,{"wholesome","heroic"},0)),ISNUMBER(MATCH(J241,{"wholesome","heroic"},0)),ISNUMBER(MATCH(L241,{"wholesome","heroic"},0)))),1,0)</f>
        <v>0</v>
      </c>
      <c r="S241">
        <f t="shared" si="10"/>
        <v>1</v>
      </c>
      <c r="T241">
        <f t="shared" si="11"/>
        <v>0</v>
      </c>
      <c r="U241" t="s">
        <v>3049</v>
      </c>
      <c r="V241" t="s">
        <v>1938</v>
      </c>
    </row>
    <row r="242" spans="1:22" x14ac:dyDescent="0.25">
      <c r="A242" t="s">
        <v>3709</v>
      </c>
      <c r="B242">
        <v>2318</v>
      </c>
      <c r="C242" t="s">
        <v>22</v>
      </c>
      <c r="D242" t="s">
        <v>1038</v>
      </c>
      <c r="E242" s="4">
        <v>45393</v>
      </c>
      <c r="F242" s="6">
        <v>0</v>
      </c>
      <c r="G242" s="6" t="s">
        <v>2995</v>
      </c>
      <c r="H242" s="6" t="s">
        <v>2989</v>
      </c>
      <c r="I242" s="6"/>
      <c r="J242" s="6"/>
      <c r="K242" s="6"/>
      <c r="L242" s="6"/>
      <c r="M242" s="6" t="s">
        <v>3046</v>
      </c>
      <c r="N242" s="6"/>
      <c r="O242" s="6"/>
      <c r="P242">
        <f t="shared" si="9"/>
        <v>1</v>
      </c>
      <c r="Q242">
        <f>IF(AND(P242=1,OR(ISNUMBER(MATCH(H242,{"menace","othering","ridicule","blame","victim"},0)),ISNUMBER(MATCH(J242,{"menace","othering","ridicule","blame","victim"},0)),ISNUMBER(MATCH(L242,{"menace","othering","ridicule","blame","victim"},0)))),1,0)</f>
        <v>0</v>
      </c>
      <c r="R242">
        <f>IF(AND(P242=1,Q242=0,OR(ISNUMBER(MATCH(H242,{"wholesome","heroic"},0)),ISNUMBER(MATCH(J242,{"wholesome","heroic"},0)),ISNUMBER(MATCH(L242,{"wholesome","heroic"},0)))),1,0)</f>
        <v>0</v>
      </c>
      <c r="S242">
        <f t="shared" si="10"/>
        <v>1</v>
      </c>
      <c r="T242">
        <f t="shared" si="11"/>
        <v>1</v>
      </c>
      <c r="U242" t="s">
        <v>3049</v>
      </c>
      <c r="V242" t="s">
        <v>3060</v>
      </c>
    </row>
    <row r="243" spans="1:22" x14ac:dyDescent="0.25">
      <c r="A243" t="s">
        <v>3710</v>
      </c>
      <c r="B243">
        <v>2325</v>
      </c>
      <c r="C243" t="s">
        <v>22</v>
      </c>
      <c r="D243" t="s">
        <v>1038</v>
      </c>
      <c r="E243" s="4">
        <v>45393</v>
      </c>
      <c r="F243" s="6">
        <v>0</v>
      </c>
      <c r="G243" s="6" t="s">
        <v>2995</v>
      </c>
      <c r="H243" s="6" t="s">
        <v>2994</v>
      </c>
      <c r="I243" s="6" t="s">
        <v>3862</v>
      </c>
      <c r="J243" s="6" t="s">
        <v>2994</v>
      </c>
      <c r="K243" s="6" t="s">
        <v>2988</v>
      </c>
      <c r="L243" s="6" t="s">
        <v>2990</v>
      </c>
      <c r="M243" s="6" t="s">
        <v>3046</v>
      </c>
      <c r="N243" s="6" t="s">
        <v>3046</v>
      </c>
      <c r="O243" s="6" t="s">
        <v>3046</v>
      </c>
      <c r="P243">
        <f t="shared" si="9"/>
        <v>1</v>
      </c>
      <c r="Q243">
        <f>IF(AND(P243=1,OR(ISNUMBER(MATCH(H243,{"menace","othering","ridicule","blame","victim"},0)),ISNUMBER(MATCH(J243,{"menace","othering","ridicule","blame","victim"},0)),ISNUMBER(MATCH(L243,{"menace","othering","ridicule","blame","victim"},0)))),1,0)</f>
        <v>0</v>
      </c>
      <c r="R243">
        <f>IF(AND(P243=1,Q243=0,OR(ISNUMBER(MATCH(H243,{"wholesome","heroic"},0)),ISNUMBER(MATCH(J243,{"wholesome","heroic"},0)),ISNUMBER(MATCH(L243,{"wholesome","heroic"},0)))),1,0)</f>
        <v>1</v>
      </c>
      <c r="S243">
        <f t="shared" si="10"/>
        <v>0</v>
      </c>
      <c r="T243">
        <f t="shared" si="11"/>
        <v>1</v>
      </c>
      <c r="U243" t="s">
        <v>3049</v>
      </c>
      <c r="V243" t="s">
        <v>3301</v>
      </c>
    </row>
    <row r="244" spans="1:22" x14ac:dyDescent="0.25">
      <c r="A244" t="s">
        <v>3304</v>
      </c>
      <c r="B244">
        <v>2329</v>
      </c>
      <c r="C244" t="s">
        <v>22</v>
      </c>
      <c r="D244" t="s">
        <v>1038</v>
      </c>
      <c r="E244" s="4">
        <v>45394</v>
      </c>
      <c r="F244" s="6">
        <v>0</v>
      </c>
      <c r="G244" s="6" t="s">
        <v>3862</v>
      </c>
      <c r="H244" s="6" t="s">
        <v>2994</v>
      </c>
      <c r="I244" s="6" t="s">
        <v>2988</v>
      </c>
      <c r="J244" s="6" t="s">
        <v>2990</v>
      </c>
      <c r="K244" s="6"/>
      <c r="L244" s="6"/>
      <c r="M244" s="6" t="s">
        <v>3046</v>
      </c>
      <c r="N244" s="6" t="s">
        <v>3046</v>
      </c>
      <c r="O244" s="6"/>
      <c r="P244">
        <f t="shared" si="9"/>
        <v>1</v>
      </c>
      <c r="Q244">
        <f>IF(AND(P244=1,OR(ISNUMBER(MATCH(H244,{"menace","othering","ridicule","blame","victim"},0)),ISNUMBER(MATCH(J244,{"menace","othering","ridicule","blame","victim"},0)),ISNUMBER(MATCH(L244,{"menace","othering","ridicule","blame","victim"},0)))),1,0)</f>
        <v>0</v>
      </c>
      <c r="R244">
        <f>IF(AND(P244=1,Q244=0,OR(ISNUMBER(MATCH(H244,{"wholesome","heroic"},0)),ISNUMBER(MATCH(J244,{"wholesome","heroic"},0)),ISNUMBER(MATCH(L244,{"wholesome","heroic"},0)))),1,0)</f>
        <v>1</v>
      </c>
      <c r="S244">
        <f t="shared" si="10"/>
        <v>0</v>
      </c>
      <c r="T244">
        <f t="shared" si="11"/>
        <v>0</v>
      </c>
      <c r="U244" t="s">
        <v>3049</v>
      </c>
      <c r="V244" t="s">
        <v>1936</v>
      </c>
    </row>
    <row r="245" spans="1:22" x14ac:dyDescent="0.25">
      <c r="A245" t="s">
        <v>3711</v>
      </c>
      <c r="B245">
        <v>2379</v>
      </c>
      <c r="C245" t="s">
        <v>22</v>
      </c>
      <c r="D245" t="s">
        <v>1038</v>
      </c>
      <c r="E245" s="4">
        <v>45404</v>
      </c>
      <c r="F245" s="6">
        <v>0</v>
      </c>
      <c r="G245" s="6" t="s">
        <v>3000</v>
      </c>
      <c r="H245" s="6" t="s">
        <v>2989</v>
      </c>
      <c r="I245" s="6"/>
      <c r="J245" s="6"/>
      <c r="K245" s="6"/>
      <c r="L245" s="6"/>
      <c r="M245" s="6" t="s">
        <v>3046</v>
      </c>
      <c r="N245" s="6"/>
      <c r="O245" s="6"/>
      <c r="P245">
        <f t="shared" si="9"/>
        <v>1</v>
      </c>
      <c r="Q245">
        <f>IF(AND(P245=1,OR(ISNUMBER(MATCH(H245,{"menace","othering","ridicule","blame","victim"},0)),ISNUMBER(MATCH(J245,{"menace","othering","ridicule","blame","victim"},0)),ISNUMBER(MATCH(L245,{"menace","othering","ridicule","blame","victim"},0)))),1,0)</f>
        <v>0</v>
      </c>
      <c r="R245">
        <f>IF(AND(P245=1,Q245=0,OR(ISNUMBER(MATCH(H245,{"wholesome","heroic"},0)),ISNUMBER(MATCH(J245,{"wholesome","heroic"},0)),ISNUMBER(MATCH(L245,{"wholesome","heroic"},0)))),1,0)</f>
        <v>0</v>
      </c>
      <c r="S245">
        <f t="shared" si="10"/>
        <v>1</v>
      </c>
      <c r="T245">
        <f t="shared" si="11"/>
        <v>0</v>
      </c>
      <c r="U245" t="s">
        <v>3049</v>
      </c>
      <c r="V245" t="s">
        <v>3302</v>
      </c>
    </row>
    <row r="246" spans="1:22" x14ac:dyDescent="0.25">
      <c r="A246" t="s">
        <v>3300</v>
      </c>
      <c r="B246">
        <v>2410</v>
      </c>
      <c r="C246" t="s">
        <v>22</v>
      </c>
      <c r="D246" t="s">
        <v>1038</v>
      </c>
      <c r="E246" s="4">
        <v>45410</v>
      </c>
      <c r="F246" s="6">
        <v>0</v>
      </c>
      <c r="G246" s="6" t="s">
        <v>2991</v>
      </c>
      <c r="H246" s="6" t="s">
        <v>2990</v>
      </c>
      <c r="I246" s="6" t="s">
        <v>3862</v>
      </c>
      <c r="J246" s="6" t="s">
        <v>2989</v>
      </c>
      <c r="K246" s="6"/>
      <c r="L246" s="6"/>
      <c r="M246" s="6" t="s">
        <v>3046</v>
      </c>
      <c r="N246" s="6" t="s">
        <v>3046</v>
      </c>
      <c r="O246" s="6"/>
      <c r="P246">
        <f t="shared" si="9"/>
        <v>1</v>
      </c>
      <c r="Q246">
        <f>IF(AND(P246=1,OR(ISNUMBER(MATCH(H246,{"menace","othering","ridicule","blame","victim"},0)),ISNUMBER(MATCH(J246,{"menace","othering","ridicule","blame","victim"},0)),ISNUMBER(MATCH(L246,{"menace","othering","ridicule","blame","victim"},0)))),1,0)</f>
        <v>0</v>
      </c>
      <c r="R246">
        <f>IF(AND(P246=1,Q246=0,OR(ISNUMBER(MATCH(H246,{"wholesome","heroic"},0)),ISNUMBER(MATCH(J246,{"wholesome","heroic"},0)),ISNUMBER(MATCH(L246,{"wholesome","heroic"},0)))),1,0)</f>
        <v>1</v>
      </c>
      <c r="S246">
        <f t="shared" si="10"/>
        <v>0</v>
      </c>
      <c r="T246">
        <f t="shared" si="11"/>
        <v>0</v>
      </c>
      <c r="U246" t="s">
        <v>3053</v>
      </c>
    </row>
    <row r="247" spans="1:22" x14ac:dyDescent="0.25">
      <c r="A247" t="s">
        <v>3712</v>
      </c>
      <c r="B247">
        <v>2424</v>
      </c>
      <c r="C247" t="s">
        <v>22</v>
      </c>
      <c r="D247" t="s">
        <v>1038</v>
      </c>
      <c r="E247" s="4">
        <v>45412</v>
      </c>
      <c r="F247" s="6">
        <v>0</v>
      </c>
      <c r="G247" s="6" t="s">
        <v>2991</v>
      </c>
      <c r="H247" s="6" t="s">
        <v>2993</v>
      </c>
      <c r="I247" s="6" t="s">
        <v>2991</v>
      </c>
      <c r="J247" s="6" t="s">
        <v>2987</v>
      </c>
      <c r="K247" s="6"/>
      <c r="L247" s="6"/>
      <c r="M247" s="6" t="s">
        <v>3046</v>
      </c>
      <c r="N247" s="6" t="s">
        <v>3046</v>
      </c>
      <c r="O247" s="6"/>
      <c r="P247">
        <f t="shared" si="9"/>
        <v>1</v>
      </c>
      <c r="Q247">
        <f>IF(AND(P247=1,OR(ISNUMBER(MATCH(H247,{"menace","othering","ridicule","blame","victim"},0)),ISNUMBER(MATCH(J247,{"menace","othering","ridicule","blame","victim"},0)),ISNUMBER(MATCH(L247,{"menace","othering","ridicule","blame","victim"},0)))),1,0)</f>
        <v>1</v>
      </c>
      <c r="R247">
        <f>IF(AND(P247=1,Q247=0,OR(ISNUMBER(MATCH(H247,{"wholesome","heroic"},0)),ISNUMBER(MATCH(J247,{"wholesome","heroic"},0)),ISNUMBER(MATCH(L247,{"wholesome","heroic"},0)))),1,0)</f>
        <v>0</v>
      </c>
      <c r="S247">
        <f t="shared" si="10"/>
        <v>0</v>
      </c>
      <c r="T247">
        <f t="shared" si="11"/>
        <v>0</v>
      </c>
      <c r="U247" t="s">
        <v>3049</v>
      </c>
      <c r="V247" t="s">
        <v>1935</v>
      </c>
    </row>
    <row r="248" spans="1:22" x14ac:dyDescent="0.25">
      <c r="A248" t="s">
        <v>3713</v>
      </c>
      <c r="B248">
        <v>2455</v>
      </c>
      <c r="C248" t="s">
        <v>22</v>
      </c>
      <c r="D248" t="s">
        <v>1038</v>
      </c>
      <c r="E248" s="4">
        <v>45415</v>
      </c>
      <c r="F248" s="6">
        <v>0</v>
      </c>
      <c r="G248" s="6" t="s">
        <v>3862</v>
      </c>
      <c r="H248" s="6" t="s">
        <v>2989</v>
      </c>
      <c r="I248" s="6"/>
      <c r="J248" s="6"/>
      <c r="K248" s="6"/>
      <c r="L248" s="6"/>
      <c r="M248" s="6" t="s">
        <v>3046</v>
      </c>
      <c r="N248" s="6"/>
      <c r="O248" s="6"/>
      <c r="P248">
        <f t="shared" si="9"/>
        <v>1</v>
      </c>
      <c r="Q248">
        <f>IF(AND(P248=1,OR(ISNUMBER(MATCH(H248,{"menace","othering","ridicule","blame","victim"},0)),ISNUMBER(MATCH(J248,{"menace","othering","ridicule","blame","victim"},0)),ISNUMBER(MATCH(L248,{"menace","othering","ridicule","blame","victim"},0)))),1,0)</f>
        <v>0</v>
      </c>
      <c r="R248">
        <f>IF(AND(P248=1,Q248=0,OR(ISNUMBER(MATCH(H248,{"wholesome","heroic"},0)),ISNUMBER(MATCH(J248,{"wholesome","heroic"},0)),ISNUMBER(MATCH(L248,{"wholesome","heroic"},0)))),1,0)</f>
        <v>0</v>
      </c>
      <c r="S248">
        <f t="shared" si="10"/>
        <v>1</v>
      </c>
      <c r="T248">
        <f t="shared" si="11"/>
        <v>0</v>
      </c>
      <c r="U248" t="s">
        <v>3049</v>
      </c>
      <c r="V248" t="s">
        <v>3303</v>
      </c>
    </row>
    <row r="249" spans="1:22" x14ac:dyDescent="0.25">
      <c r="A249" t="s">
        <v>3714</v>
      </c>
      <c r="B249">
        <v>2467</v>
      </c>
      <c r="C249" t="s">
        <v>22</v>
      </c>
      <c r="D249" t="s">
        <v>1038</v>
      </c>
      <c r="E249" s="4">
        <v>45416</v>
      </c>
      <c r="F249" s="6">
        <v>0</v>
      </c>
      <c r="G249" s="6" t="s">
        <v>2995</v>
      </c>
      <c r="H249" s="6" t="s">
        <v>2989</v>
      </c>
      <c r="I249" s="6"/>
      <c r="J249" s="6"/>
      <c r="K249" s="6"/>
      <c r="L249" s="6"/>
      <c r="M249" s="6" t="s">
        <v>3046</v>
      </c>
      <c r="N249" s="6"/>
      <c r="O249" s="6"/>
      <c r="P249">
        <f t="shared" si="9"/>
        <v>1</v>
      </c>
      <c r="Q249">
        <f>IF(AND(P249=1,OR(ISNUMBER(MATCH(H249,{"menace","othering","ridicule","blame","victim"},0)),ISNUMBER(MATCH(J249,{"menace","othering","ridicule","blame","victim"},0)),ISNUMBER(MATCH(L249,{"menace","othering","ridicule","blame","victim"},0)))),1,0)</f>
        <v>0</v>
      </c>
      <c r="R249">
        <f>IF(AND(P249=1,Q249=0,OR(ISNUMBER(MATCH(H249,{"wholesome","heroic"},0)),ISNUMBER(MATCH(J249,{"wholesome","heroic"},0)),ISNUMBER(MATCH(L249,{"wholesome","heroic"},0)))),1,0)</f>
        <v>0</v>
      </c>
      <c r="S249">
        <f t="shared" si="10"/>
        <v>1</v>
      </c>
      <c r="T249">
        <f t="shared" si="11"/>
        <v>1</v>
      </c>
      <c r="U249" t="s">
        <v>3049</v>
      </c>
      <c r="V249" t="s">
        <v>3055</v>
      </c>
    </row>
    <row r="250" spans="1:22" x14ac:dyDescent="0.25">
      <c r="A250" t="s">
        <v>3059</v>
      </c>
      <c r="B250">
        <v>2493</v>
      </c>
      <c r="C250" t="s">
        <v>22</v>
      </c>
      <c r="D250" t="s">
        <v>1038</v>
      </c>
      <c r="E250" s="4">
        <v>45418</v>
      </c>
      <c r="F250" s="6">
        <v>0</v>
      </c>
      <c r="G250" s="6" t="s">
        <v>2989</v>
      </c>
      <c r="H250" s="6" t="s">
        <v>2989</v>
      </c>
      <c r="I250" s="6"/>
      <c r="J250" s="6"/>
      <c r="K250" s="6"/>
      <c r="L250" s="6"/>
      <c r="M250" s="6"/>
      <c r="N250" s="6"/>
      <c r="O250" s="6"/>
      <c r="P250">
        <f t="shared" si="9"/>
        <v>1</v>
      </c>
      <c r="Q250">
        <f>IF(AND(P250=1,OR(ISNUMBER(MATCH(H250,{"menace","othering","ridicule","blame","victim"},0)),ISNUMBER(MATCH(J250,{"menace","othering","ridicule","blame","victim"},0)),ISNUMBER(MATCH(L250,{"menace","othering","ridicule","blame","victim"},0)))),1,0)</f>
        <v>0</v>
      </c>
      <c r="R250">
        <f>IF(AND(P250=1,Q250=0,OR(ISNUMBER(MATCH(H250,{"wholesome","heroic"},0)),ISNUMBER(MATCH(J250,{"wholesome","heroic"},0)),ISNUMBER(MATCH(L250,{"wholesome","heroic"},0)))),1,0)</f>
        <v>0</v>
      </c>
      <c r="S250">
        <f t="shared" si="10"/>
        <v>1</v>
      </c>
      <c r="T250">
        <f t="shared" si="11"/>
        <v>0</v>
      </c>
      <c r="U250" t="s">
        <v>3049</v>
      </c>
      <c r="V250" t="s">
        <v>3048</v>
      </c>
    </row>
    <row r="251" spans="1:22" x14ac:dyDescent="0.25">
      <c r="A251" t="s">
        <v>3050</v>
      </c>
      <c r="B251">
        <v>2511</v>
      </c>
      <c r="C251" t="s">
        <v>22</v>
      </c>
      <c r="D251" t="s">
        <v>1038</v>
      </c>
      <c r="E251" s="4">
        <v>45419</v>
      </c>
      <c r="F251" s="6">
        <v>0</v>
      </c>
      <c r="G251" s="6" t="s">
        <v>2989</v>
      </c>
      <c r="H251" s="6" t="s">
        <v>2989</v>
      </c>
      <c r="I251" s="6"/>
      <c r="J251" s="6"/>
      <c r="K251" s="6"/>
      <c r="L251" s="6"/>
      <c r="M251" s="6"/>
      <c r="N251" s="6"/>
      <c r="O251" s="6"/>
      <c r="P251">
        <f t="shared" si="9"/>
        <v>1</v>
      </c>
      <c r="Q251">
        <f>IF(AND(P251=1,OR(ISNUMBER(MATCH(H251,{"menace","othering","ridicule","blame","victim"},0)),ISNUMBER(MATCH(J251,{"menace","othering","ridicule","blame","victim"},0)),ISNUMBER(MATCH(L251,{"menace","othering","ridicule","blame","victim"},0)))),1,0)</f>
        <v>0</v>
      </c>
      <c r="R251">
        <f>IF(AND(P251=1,Q251=0,OR(ISNUMBER(MATCH(H251,{"wholesome","heroic"},0)),ISNUMBER(MATCH(J251,{"wholesome","heroic"},0)),ISNUMBER(MATCH(L251,{"wholesome","heroic"},0)))),1,0)</f>
        <v>0</v>
      </c>
      <c r="S251">
        <f t="shared" si="10"/>
        <v>1</v>
      </c>
      <c r="T251">
        <f t="shared" si="11"/>
        <v>0</v>
      </c>
      <c r="U251" t="s">
        <v>3049</v>
      </c>
      <c r="V251" t="s">
        <v>3076</v>
      </c>
    </row>
    <row r="252" spans="1:22" x14ac:dyDescent="0.25">
      <c r="A252" t="s">
        <v>3297</v>
      </c>
      <c r="B252">
        <v>2522</v>
      </c>
      <c r="C252" t="s">
        <v>22</v>
      </c>
      <c r="D252" t="s">
        <v>1038</v>
      </c>
      <c r="E252" s="4">
        <v>45420</v>
      </c>
      <c r="F252" s="6">
        <v>0</v>
      </c>
      <c r="G252" s="6" t="s">
        <v>2995</v>
      </c>
      <c r="H252" s="6" t="s">
        <v>2994</v>
      </c>
      <c r="I252" s="6"/>
      <c r="J252" s="6"/>
      <c r="K252" s="6"/>
      <c r="L252" s="6"/>
      <c r="M252" s="6" t="s">
        <v>3046</v>
      </c>
      <c r="N252" s="6"/>
      <c r="O252" s="6"/>
      <c r="P252">
        <f t="shared" si="9"/>
        <v>1</v>
      </c>
      <c r="Q252">
        <f>IF(AND(P252=1,OR(ISNUMBER(MATCH(H252,{"menace","othering","ridicule","blame","victim"},0)),ISNUMBER(MATCH(J252,{"menace","othering","ridicule","blame","victim"},0)),ISNUMBER(MATCH(L252,{"menace","othering","ridicule","blame","victim"},0)))),1,0)</f>
        <v>0</v>
      </c>
      <c r="R252">
        <f>IF(AND(P252=1,Q252=0,OR(ISNUMBER(MATCH(H252,{"wholesome","heroic"},0)),ISNUMBER(MATCH(J252,{"wholesome","heroic"},0)),ISNUMBER(MATCH(L252,{"wholesome","heroic"},0)))),1,0)</f>
        <v>1</v>
      </c>
      <c r="S252">
        <f t="shared" si="10"/>
        <v>0</v>
      </c>
      <c r="T252">
        <f t="shared" si="11"/>
        <v>1</v>
      </c>
      <c r="U252" t="s">
        <v>3049</v>
      </c>
      <c r="V252" t="s">
        <v>1933</v>
      </c>
    </row>
    <row r="253" spans="1:22" x14ac:dyDescent="0.25">
      <c r="A253" t="s">
        <v>3294</v>
      </c>
      <c r="B253">
        <v>2526</v>
      </c>
      <c r="C253" t="s">
        <v>22</v>
      </c>
      <c r="D253" t="s">
        <v>1038</v>
      </c>
      <c r="E253" s="4">
        <v>45420</v>
      </c>
      <c r="F253" s="6">
        <v>0</v>
      </c>
      <c r="G253" s="6" t="s">
        <v>3862</v>
      </c>
      <c r="H253" s="6" t="s">
        <v>2989</v>
      </c>
      <c r="I253" s="6" t="s">
        <v>2991</v>
      </c>
      <c r="J253" s="6" t="s">
        <v>2989</v>
      </c>
      <c r="K253" s="6" t="s">
        <v>2991</v>
      </c>
      <c r="L253" s="6" t="s">
        <v>2987</v>
      </c>
      <c r="M253" s="6" t="s">
        <v>3046</v>
      </c>
      <c r="N253" s="6" t="s">
        <v>3046</v>
      </c>
      <c r="O253" s="6" t="s">
        <v>3046</v>
      </c>
      <c r="P253">
        <f t="shared" si="9"/>
        <v>1</v>
      </c>
      <c r="Q253">
        <f>IF(AND(P253=1,OR(ISNUMBER(MATCH(H253,{"menace","othering","ridicule","blame","victim"},0)),ISNUMBER(MATCH(J253,{"menace","othering","ridicule","blame","victim"},0)),ISNUMBER(MATCH(L253,{"menace","othering","ridicule","blame","victim"},0)))),1,0)</f>
        <v>1</v>
      </c>
      <c r="R253">
        <f>IF(AND(P253=1,Q253=0,OR(ISNUMBER(MATCH(H253,{"wholesome","heroic"},0)),ISNUMBER(MATCH(J253,{"wholesome","heroic"},0)),ISNUMBER(MATCH(L253,{"wholesome","heroic"},0)))),1,0)</f>
        <v>0</v>
      </c>
      <c r="S253">
        <f t="shared" si="10"/>
        <v>0</v>
      </c>
      <c r="T253">
        <f t="shared" si="11"/>
        <v>0</v>
      </c>
      <c r="U253" t="s">
        <v>3053</v>
      </c>
    </row>
    <row r="254" spans="1:22" x14ac:dyDescent="0.25">
      <c r="A254" t="s">
        <v>3715</v>
      </c>
      <c r="B254">
        <v>2529</v>
      </c>
      <c r="C254" t="s">
        <v>22</v>
      </c>
      <c r="D254" t="s">
        <v>1038</v>
      </c>
      <c r="E254" s="4">
        <v>45420</v>
      </c>
      <c r="F254" s="6">
        <v>0</v>
      </c>
      <c r="G254" s="6" t="s">
        <v>3862</v>
      </c>
      <c r="H254" s="6" t="s">
        <v>2989</v>
      </c>
      <c r="I254" s="6"/>
      <c r="J254" s="6"/>
      <c r="K254" s="6"/>
      <c r="L254" s="6"/>
      <c r="M254" s="6" t="s">
        <v>3046</v>
      </c>
      <c r="N254" s="6"/>
      <c r="O254" s="6"/>
      <c r="P254">
        <f t="shared" si="9"/>
        <v>1</v>
      </c>
      <c r="Q254">
        <f>IF(AND(P254=1,OR(ISNUMBER(MATCH(H254,{"menace","othering","ridicule","blame","victim"},0)),ISNUMBER(MATCH(J254,{"menace","othering","ridicule","blame","victim"},0)),ISNUMBER(MATCH(L254,{"menace","othering","ridicule","blame","victim"},0)))),1,0)</f>
        <v>0</v>
      </c>
      <c r="R254">
        <f>IF(AND(P254=1,Q254=0,OR(ISNUMBER(MATCH(H254,{"wholesome","heroic"},0)),ISNUMBER(MATCH(J254,{"wholesome","heroic"},0)),ISNUMBER(MATCH(L254,{"wholesome","heroic"},0)))),1,0)</f>
        <v>0</v>
      </c>
      <c r="S254">
        <f t="shared" si="10"/>
        <v>1</v>
      </c>
      <c r="T254">
        <f t="shared" si="11"/>
        <v>0</v>
      </c>
      <c r="U254" t="s">
        <v>3049</v>
      </c>
      <c r="V254" t="s">
        <v>3299</v>
      </c>
    </row>
    <row r="255" spans="1:22" x14ac:dyDescent="0.25">
      <c r="A255" t="s">
        <v>3716</v>
      </c>
      <c r="B255">
        <v>2540</v>
      </c>
      <c r="C255" t="s">
        <v>22</v>
      </c>
      <c r="D255" t="s">
        <v>1038</v>
      </c>
      <c r="E255" s="4">
        <v>45421</v>
      </c>
      <c r="F255" s="6">
        <v>0</v>
      </c>
      <c r="G255" s="6" t="s">
        <v>3862</v>
      </c>
      <c r="H255" s="6" t="s">
        <v>2989</v>
      </c>
      <c r="I255" s="6" t="s">
        <v>2986</v>
      </c>
      <c r="J255" s="6" t="s">
        <v>2985</v>
      </c>
      <c r="K255" s="6"/>
      <c r="L255" s="6"/>
      <c r="M255" s="6" t="s">
        <v>3046</v>
      </c>
      <c r="N255" s="6" t="s">
        <v>3046</v>
      </c>
      <c r="O255" s="6"/>
      <c r="P255">
        <f t="shared" si="9"/>
        <v>1</v>
      </c>
      <c r="Q255">
        <f>IF(AND(P255=1,OR(ISNUMBER(MATCH(H255,{"menace","othering","ridicule","blame","victim"},0)),ISNUMBER(MATCH(J255,{"menace","othering","ridicule","blame","victim"},0)),ISNUMBER(MATCH(L255,{"menace","othering","ridicule","blame","victim"},0)))),1,0)</f>
        <v>1</v>
      </c>
      <c r="R255">
        <f>IF(AND(P255=1,Q255=0,OR(ISNUMBER(MATCH(H255,{"wholesome","heroic"},0)),ISNUMBER(MATCH(J255,{"wholesome","heroic"},0)),ISNUMBER(MATCH(L255,{"wholesome","heroic"},0)))),1,0)</f>
        <v>0</v>
      </c>
      <c r="S255">
        <f t="shared" si="10"/>
        <v>0</v>
      </c>
      <c r="T255">
        <f t="shared" si="11"/>
        <v>0</v>
      </c>
      <c r="U255" t="s">
        <v>3049</v>
      </c>
      <c r="V255" t="s">
        <v>3287</v>
      </c>
    </row>
    <row r="256" spans="1:22" x14ac:dyDescent="0.25">
      <c r="A256" t="s">
        <v>3717</v>
      </c>
      <c r="B256">
        <v>2549</v>
      </c>
      <c r="C256" t="s">
        <v>22</v>
      </c>
      <c r="D256" t="s">
        <v>1038</v>
      </c>
      <c r="E256" s="4">
        <v>45422</v>
      </c>
      <c r="F256" s="6">
        <v>0</v>
      </c>
      <c r="G256" s="6" t="s">
        <v>3862</v>
      </c>
      <c r="H256" s="6" t="s">
        <v>2994</v>
      </c>
      <c r="I256" s="6" t="s">
        <v>2988</v>
      </c>
      <c r="J256" s="6" t="s">
        <v>2990</v>
      </c>
      <c r="K256" s="6"/>
      <c r="L256" s="6"/>
      <c r="M256" s="6" t="s">
        <v>3046</v>
      </c>
      <c r="N256" s="6" t="s">
        <v>3046</v>
      </c>
      <c r="O256" s="6"/>
      <c r="P256">
        <f t="shared" si="9"/>
        <v>1</v>
      </c>
      <c r="Q256">
        <f>IF(AND(P256=1,OR(ISNUMBER(MATCH(H256,{"menace","othering","ridicule","blame","victim"},0)),ISNUMBER(MATCH(J256,{"menace","othering","ridicule","blame","victim"},0)),ISNUMBER(MATCH(L256,{"menace","othering","ridicule","blame","victim"},0)))),1,0)</f>
        <v>0</v>
      </c>
      <c r="R256">
        <f>IF(AND(P256=1,Q256=0,OR(ISNUMBER(MATCH(H256,{"wholesome","heroic"},0)),ISNUMBER(MATCH(J256,{"wholesome","heroic"},0)),ISNUMBER(MATCH(L256,{"wholesome","heroic"},0)))),1,0)</f>
        <v>1</v>
      </c>
      <c r="S256">
        <f t="shared" si="10"/>
        <v>0</v>
      </c>
      <c r="T256">
        <f t="shared" si="11"/>
        <v>0</v>
      </c>
      <c r="U256" t="s">
        <v>3049</v>
      </c>
      <c r="V256" t="s">
        <v>3296</v>
      </c>
    </row>
    <row r="257" spans="1:22" x14ac:dyDescent="0.25">
      <c r="A257" t="s">
        <v>3292</v>
      </c>
      <c r="B257">
        <v>2589</v>
      </c>
      <c r="C257" t="s">
        <v>22</v>
      </c>
      <c r="D257" t="s">
        <v>1038</v>
      </c>
      <c r="E257" s="4">
        <v>45431</v>
      </c>
      <c r="F257" s="6">
        <v>0</v>
      </c>
      <c r="G257" s="6" t="s">
        <v>3000</v>
      </c>
      <c r="H257" s="6" t="s">
        <v>2994</v>
      </c>
      <c r="I257" s="6" t="s">
        <v>2988</v>
      </c>
      <c r="J257" s="6" t="s">
        <v>2990</v>
      </c>
      <c r="K257" s="6"/>
      <c r="L257" s="6"/>
      <c r="M257" s="6" t="s">
        <v>3046</v>
      </c>
      <c r="N257" s="6" t="s">
        <v>3046</v>
      </c>
      <c r="O257" s="6"/>
      <c r="P257">
        <f t="shared" si="9"/>
        <v>1</v>
      </c>
      <c r="Q257">
        <f>IF(AND(P257=1,OR(ISNUMBER(MATCH(H257,{"menace","othering","ridicule","blame","victim"},0)),ISNUMBER(MATCH(J257,{"menace","othering","ridicule","blame","victim"},0)),ISNUMBER(MATCH(L257,{"menace","othering","ridicule","blame","victim"},0)))),1,0)</f>
        <v>0</v>
      </c>
      <c r="R257">
        <f>IF(AND(P257=1,Q257=0,OR(ISNUMBER(MATCH(H257,{"wholesome","heroic"},0)),ISNUMBER(MATCH(J257,{"wholesome","heroic"},0)),ISNUMBER(MATCH(L257,{"wholesome","heroic"},0)))),1,0)</f>
        <v>1</v>
      </c>
      <c r="S257">
        <f t="shared" si="10"/>
        <v>0</v>
      </c>
      <c r="T257">
        <f t="shared" si="11"/>
        <v>0</v>
      </c>
      <c r="U257" t="s">
        <v>3053</v>
      </c>
    </row>
    <row r="258" spans="1:22" x14ac:dyDescent="0.25">
      <c r="A258" t="s">
        <v>3718</v>
      </c>
      <c r="B258">
        <v>2625</v>
      </c>
      <c r="C258" t="s">
        <v>22</v>
      </c>
      <c r="D258" t="s">
        <v>1038</v>
      </c>
      <c r="E258" s="4">
        <v>45436</v>
      </c>
      <c r="F258" s="6">
        <v>0</v>
      </c>
      <c r="G258" s="6" t="s">
        <v>2989</v>
      </c>
      <c r="H258" s="6" t="s">
        <v>2989</v>
      </c>
      <c r="I258" s="6"/>
      <c r="J258" s="6"/>
      <c r="K258" s="6"/>
      <c r="L258" s="6"/>
      <c r="M258" s="6"/>
      <c r="N258" s="6"/>
      <c r="O258" s="6"/>
      <c r="P258">
        <f t="shared" ref="P258:P321" si="12">IF(F258=0,1,0)</f>
        <v>1</v>
      </c>
      <c r="Q258">
        <f>IF(AND(P258=1,OR(ISNUMBER(MATCH(H258,{"menace","othering","ridicule","blame","victim"},0)),ISNUMBER(MATCH(J258,{"menace","othering","ridicule","blame","victim"},0)),ISNUMBER(MATCH(L258,{"menace","othering","ridicule","blame","victim"},0)))),1,0)</f>
        <v>0</v>
      </c>
      <c r="R258">
        <f>IF(AND(P258=1,Q258=0,OR(ISNUMBER(MATCH(H258,{"wholesome","heroic"},0)),ISNUMBER(MATCH(J258,{"wholesome","heroic"},0)),ISNUMBER(MATCH(L258,{"wholesome","heroic"},0)))),1,0)</f>
        <v>0</v>
      </c>
      <c r="S258">
        <f t="shared" ref="S258:S321" si="13">IF(AND(P258=1,Q258=0,R258=0),1,0)</f>
        <v>1</v>
      </c>
      <c r="T258">
        <f t="shared" ref="T258:T321" si="14">IF(AND(P258=1,OR(G258="own_leader",I258="own_leader",K258="own_leader")),1,0)</f>
        <v>0</v>
      </c>
      <c r="U258" t="s">
        <v>3049</v>
      </c>
      <c r="V258" t="s">
        <v>3280</v>
      </c>
    </row>
    <row r="259" spans="1:22" x14ac:dyDescent="0.25">
      <c r="A259" t="s">
        <v>3719</v>
      </c>
      <c r="B259">
        <v>2634</v>
      </c>
      <c r="C259" t="s">
        <v>22</v>
      </c>
      <c r="D259" t="s">
        <v>1038</v>
      </c>
      <c r="E259" s="4">
        <v>45437</v>
      </c>
      <c r="F259" s="6">
        <v>0</v>
      </c>
      <c r="G259" s="6" t="s">
        <v>3862</v>
      </c>
      <c r="H259" s="6" t="s">
        <v>2994</v>
      </c>
      <c r="I259" s="6" t="s">
        <v>2991</v>
      </c>
      <c r="J259" s="6" t="s">
        <v>2989</v>
      </c>
      <c r="K259" s="6"/>
      <c r="L259" s="6"/>
      <c r="M259" s="6" t="s">
        <v>3046</v>
      </c>
      <c r="N259" s="6" t="s">
        <v>3046</v>
      </c>
      <c r="O259" s="6"/>
      <c r="P259">
        <f t="shared" si="12"/>
        <v>1</v>
      </c>
      <c r="Q259">
        <f>IF(AND(P259=1,OR(ISNUMBER(MATCH(H259,{"menace","othering","ridicule","blame","victim"},0)),ISNUMBER(MATCH(J259,{"menace","othering","ridicule","blame","victim"},0)),ISNUMBER(MATCH(L259,{"menace","othering","ridicule","blame","victim"},0)))),1,0)</f>
        <v>0</v>
      </c>
      <c r="R259">
        <f>IF(AND(P259=1,Q259=0,OR(ISNUMBER(MATCH(H259,{"wholesome","heroic"},0)),ISNUMBER(MATCH(J259,{"wholesome","heroic"},0)),ISNUMBER(MATCH(L259,{"wholesome","heroic"},0)))),1,0)</f>
        <v>1</v>
      </c>
      <c r="S259">
        <f t="shared" si="13"/>
        <v>0</v>
      </c>
      <c r="T259">
        <f t="shared" si="14"/>
        <v>0</v>
      </c>
      <c r="U259" t="s">
        <v>3049</v>
      </c>
      <c r="V259" t="s">
        <v>1930</v>
      </c>
    </row>
    <row r="260" spans="1:22" x14ac:dyDescent="0.25">
      <c r="A260" t="s">
        <v>3291</v>
      </c>
      <c r="B260">
        <v>2640</v>
      </c>
      <c r="C260" t="s">
        <v>22</v>
      </c>
      <c r="D260" t="s">
        <v>1038</v>
      </c>
      <c r="E260" s="4">
        <v>45437</v>
      </c>
      <c r="F260" s="6">
        <v>0</v>
      </c>
      <c r="G260" s="6" t="s">
        <v>3862</v>
      </c>
      <c r="H260" s="6" t="s">
        <v>2994</v>
      </c>
      <c r="I260" s="6"/>
      <c r="J260" s="6"/>
      <c r="K260" s="6"/>
      <c r="L260" s="6"/>
      <c r="M260" s="6" t="s">
        <v>3046</v>
      </c>
      <c r="N260" s="6"/>
      <c r="O260" s="6"/>
      <c r="P260">
        <f t="shared" si="12"/>
        <v>1</v>
      </c>
      <c r="Q260">
        <f>IF(AND(P260=1,OR(ISNUMBER(MATCH(H260,{"menace","othering","ridicule","blame","victim"},0)),ISNUMBER(MATCH(J260,{"menace","othering","ridicule","blame","victim"},0)),ISNUMBER(MATCH(L260,{"menace","othering","ridicule","blame","victim"},0)))),1,0)</f>
        <v>0</v>
      </c>
      <c r="R260">
        <f>IF(AND(P260=1,Q260=0,OR(ISNUMBER(MATCH(H260,{"wholesome","heroic"},0)),ISNUMBER(MATCH(J260,{"wholesome","heroic"},0)),ISNUMBER(MATCH(L260,{"wholesome","heroic"},0)))),1,0)</f>
        <v>1</v>
      </c>
      <c r="S260">
        <f t="shared" si="13"/>
        <v>0</v>
      </c>
      <c r="T260">
        <f t="shared" si="14"/>
        <v>0</v>
      </c>
      <c r="U260" t="s">
        <v>3053</v>
      </c>
    </row>
    <row r="261" spans="1:22" x14ac:dyDescent="0.25">
      <c r="A261" t="s">
        <v>3720</v>
      </c>
      <c r="B261">
        <v>2649</v>
      </c>
      <c r="C261" t="s">
        <v>22</v>
      </c>
      <c r="D261" t="s">
        <v>1038</v>
      </c>
      <c r="E261" s="4">
        <v>45438</v>
      </c>
      <c r="F261" s="6">
        <v>0</v>
      </c>
      <c r="G261" s="6" t="s">
        <v>2995</v>
      </c>
      <c r="H261" s="6" t="s">
        <v>2994</v>
      </c>
      <c r="I261" s="6" t="s">
        <v>2988</v>
      </c>
      <c r="J261" s="6" t="s">
        <v>2990</v>
      </c>
      <c r="K261" s="6"/>
      <c r="L261" s="6"/>
      <c r="M261" s="6" t="s">
        <v>3046</v>
      </c>
      <c r="N261" s="6" t="s">
        <v>3046</v>
      </c>
      <c r="O261" s="6"/>
      <c r="P261">
        <f t="shared" si="12"/>
        <v>1</v>
      </c>
      <c r="Q261">
        <f>IF(AND(P261=1,OR(ISNUMBER(MATCH(H261,{"menace","othering","ridicule","blame","victim"},0)),ISNUMBER(MATCH(J261,{"menace","othering","ridicule","blame","victim"},0)),ISNUMBER(MATCH(L261,{"menace","othering","ridicule","blame","victim"},0)))),1,0)</f>
        <v>0</v>
      </c>
      <c r="R261">
        <f>IF(AND(P261=1,Q261=0,OR(ISNUMBER(MATCH(H261,{"wholesome","heroic"},0)),ISNUMBER(MATCH(J261,{"wholesome","heroic"},0)),ISNUMBER(MATCH(L261,{"wholesome","heroic"},0)))),1,0)</f>
        <v>1</v>
      </c>
      <c r="S261">
        <f t="shared" si="13"/>
        <v>0</v>
      </c>
      <c r="T261">
        <f t="shared" si="14"/>
        <v>1</v>
      </c>
      <c r="U261" t="s">
        <v>3049</v>
      </c>
      <c r="V261" t="s">
        <v>3309</v>
      </c>
    </row>
    <row r="262" spans="1:22" x14ac:dyDescent="0.25">
      <c r="A262" t="s">
        <v>3721</v>
      </c>
      <c r="B262">
        <v>2654</v>
      </c>
      <c r="C262" t="s">
        <v>22</v>
      </c>
      <c r="D262" t="s">
        <v>1038</v>
      </c>
      <c r="E262" s="4">
        <v>45439</v>
      </c>
      <c r="F262" s="6">
        <v>0</v>
      </c>
      <c r="G262" s="6" t="s">
        <v>2995</v>
      </c>
      <c r="H262" s="6" t="s">
        <v>2994</v>
      </c>
      <c r="I262" s="6" t="s">
        <v>3862</v>
      </c>
      <c r="J262" s="6" t="s">
        <v>2994</v>
      </c>
      <c r="K262" s="6"/>
      <c r="L262" s="6"/>
      <c r="M262" s="6" t="s">
        <v>3046</v>
      </c>
      <c r="N262" s="6" t="s">
        <v>3046</v>
      </c>
      <c r="O262" s="6"/>
      <c r="P262">
        <f t="shared" si="12"/>
        <v>1</v>
      </c>
      <c r="Q262">
        <f>IF(AND(P262=1,OR(ISNUMBER(MATCH(H262,{"menace","othering","ridicule","blame","victim"},0)),ISNUMBER(MATCH(J262,{"menace","othering","ridicule","blame","victim"},0)),ISNUMBER(MATCH(L262,{"menace","othering","ridicule","blame","victim"},0)))),1,0)</f>
        <v>0</v>
      </c>
      <c r="R262">
        <f>IF(AND(P262=1,Q262=0,OR(ISNUMBER(MATCH(H262,{"wholesome","heroic"},0)),ISNUMBER(MATCH(J262,{"wholesome","heroic"},0)),ISNUMBER(MATCH(L262,{"wholesome","heroic"},0)))),1,0)</f>
        <v>1</v>
      </c>
      <c r="S262">
        <f t="shared" si="13"/>
        <v>0</v>
      </c>
      <c r="T262">
        <f t="shared" si="14"/>
        <v>1</v>
      </c>
      <c r="U262" t="s">
        <v>3049</v>
      </c>
      <c r="V262" t="s">
        <v>3289</v>
      </c>
    </row>
    <row r="263" spans="1:22" x14ac:dyDescent="0.25">
      <c r="A263" t="s">
        <v>3722</v>
      </c>
      <c r="B263">
        <v>2655</v>
      </c>
      <c r="C263" t="s">
        <v>22</v>
      </c>
      <c r="D263" t="s">
        <v>1038</v>
      </c>
      <c r="E263" s="4">
        <v>45439</v>
      </c>
      <c r="F263" s="6">
        <v>0</v>
      </c>
      <c r="G263" s="6" t="s">
        <v>3862</v>
      </c>
      <c r="H263" s="6" t="s">
        <v>2989</v>
      </c>
      <c r="I263" s="6"/>
      <c r="J263" s="6"/>
      <c r="K263" s="6"/>
      <c r="L263" s="6"/>
      <c r="M263" s="6" t="s">
        <v>3046</v>
      </c>
      <c r="N263" s="6"/>
      <c r="O263" s="6"/>
      <c r="P263">
        <f t="shared" si="12"/>
        <v>1</v>
      </c>
      <c r="Q263">
        <f>IF(AND(P263=1,OR(ISNUMBER(MATCH(H263,{"menace","othering","ridicule","blame","victim"},0)),ISNUMBER(MATCH(J263,{"menace","othering","ridicule","blame","victim"},0)),ISNUMBER(MATCH(L263,{"menace","othering","ridicule","blame","victim"},0)))),1,0)</f>
        <v>0</v>
      </c>
      <c r="R263">
        <f>IF(AND(P263=1,Q263=0,OR(ISNUMBER(MATCH(H263,{"wholesome","heroic"},0)),ISNUMBER(MATCH(J263,{"wholesome","heroic"},0)),ISNUMBER(MATCH(L263,{"wholesome","heroic"},0)))),1,0)</f>
        <v>0</v>
      </c>
      <c r="S263">
        <f t="shared" si="13"/>
        <v>1</v>
      </c>
      <c r="T263">
        <f t="shared" si="14"/>
        <v>0</v>
      </c>
      <c r="U263" t="s">
        <v>3049</v>
      </c>
      <c r="V263" t="s">
        <v>3293</v>
      </c>
    </row>
    <row r="264" spans="1:22" x14ac:dyDescent="0.25">
      <c r="A264" t="s">
        <v>3057</v>
      </c>
      <c r="B264">
        <v>2673</v>
      </c>
      <c r="C264" t="s">
        <v>22</v>
      </c>
      <c r="D264" t="s">
        <v>1038</v>
      </c>
      <c r="E264" s="4">
        <v>45441</v>
      </c>
      <c r="F264" s="6">
        <v>0</v>
      </c>
      <c r="G264" s="6" t="s">
        <v>3862</v>
      </c>
      <c r="H264" s="6" t="s">
        <v>2989</v>
      </c>
      <c r="I264" s="6"/>
      <c r="J264" s="6"/>
      <c r="K264" s="6"/>
      <c r="L264" s="6"/>
      <c r="M264" s="6" t="s">
        <v>3046</v>
      </c>
      <c r="N264" s="6"/>
      <c r="O264" s="6"/>
      <c r="P264">
        <f t="shared" si="12"/>
        <v>1</v>
      </c>
      <c r="Q264">
        <f>IF(AND(P264=1,OR(ISNUMBER(MATCH(H264,{"menace","othering","ridicule","blame","victim"},0)),ISNUMBER(MATCH(J264,{"menace","othering","ridicule","blame","victim"},0)),ISNUMBER(MATCH(L264,{"menace","othering","ridicule","blame","victim"},0)))),1,0)</f>
        <v>0</v>
      </c>
      <c r="R264">
        <f>IF(AND(P264=1,Q264=0,OR(ISNUMBER(MATCH(H264,{"wholesome","heroic"},0)),ISNUMBER(MATCH(J264,{"wholesome","heroic"},0)),ISNUMBER(MATCH(L264,{"wholesome","heroic"},0)))),1,0)</f>
        <v>0</v>
      </c>
      <c r="S264">
        <f t="shared" si="13"/>
        <v>1</v>
      </c>
      <c r="T264">
        <f t="shared" si="14"/>
        <v>0</v>
      </c>
      <c r="U264" t="s">
        <v>3049</v>
      </c>
      <c r="V264" t="s">
        <v>3056</v>
      </c>
    </row>
    <row r="265" spans="1:22" x14ac:dyDescent="0.25">
      <c r="A265" t="s">
        <v>3723</v>
      </c>
      <c r="B265">
        <v>2692</v>
      </c>
      <c r="C265" t="s">
        <v>22</v>
      </c>
      <c r="D265" t="s">
        <v>1038</v>
      </c>
      <c r="E265" s="4">
        <v>45443</v>
      </c>
      <c r="F265" s="6">
        <v>0</v>
      </c>
      <c r="G265" s="6" t="s">
        <v>3862</v>
      </c>
      <c r="H265" s="6" t="s">
        <v>2989</v>
      </c>
      <c r="I265" s="6" t="s">
        <v>3000</v>
      </c>
      <c r="J265" s="6" t="s">
        <v>2993</v>
      </c>
      <c r="K265" s="6"/>
      <c r="L265" s="6"/>
      <c r="M265" s="6" t="s">
        <v>3046</v>
      </c>
      <c r="N265" s="6" t="s">
        <v>3046</v>
      </c>
      <c r="O265" s="6"/>
      <c r="P265">
        <f t="shared" si="12"/>
        <v>1</v>
      </c>
      <c r="Q265">
        <f>IF(AND(P265=1,OR(ISNUMBER(MATCH(H265,{"menace","othering","ridicule","blame","victim"},0)),ISNUMBER(MATCH(J265,{"menace","othering","ridicule","blame","victim"},0)),ISNUMBER(MATCH(L265,{"menace","othering","ridicule","blame","victim"},0)))),1,0)</f>
        <v>1</v>
      </c>
      <c r="R265">
        <f>IF(AND(P265=1,Q265=0,OR(ISNUMBER(MATCH(H265,{"wholesome","heroic"},0)),ISNUMBER(MATCH(J265,{"wholesome","heroic"},0)),ISNUMBER(MATCH(L265,{"wholesome","heroic"},0)))),1,0)</f>
        <v>0</v>
      </c>
      <c r="S265">
        <f t="shared" si="13"/>
        <v>0</v>
      </c>
      <c r="T265">
        <f t="shared" si="14"/>
        <v>0</v>
      </c>
      <c r="U265" t="s">
        <v>3049</v>
      </c>
      <c r="V265" t="s">
        <v>3286</v>
      </c>
    </row>
    <row r="266" spans="1:22" x14ac:dyDescent="0.25">
      <c r="A266" t="s">
        <v>3288</v>
      </c>
      <c r="B266">
        <v>2709</v>
      </c>
      <c r="C266" t="s">
        <v>22</v>
      </c>
      <c r="D266" t="s">
        <v>1038</v>
      </c>
      <c r="E266" s="4">
        <v>45444</v>
      </c>
      <c r="F266" s="6">
        <v>0</v>
      </c>
      <c r="G266" s="6" t="s">
        <v>2986</v>
      </c>
      <c r="H266" s="6" t="s">
        <v>2985</v>
      </c>
      <c r="I266" s="6" t="s">
        <v>2995</v>
      </c>
      <c r="J266" s="6" t="s">
        <v>2989</v>
      </c>
      <c r="K266" s="6" t="s">
        <v>3862</v>
      </c>
      <c r="L266" s="6" t="s">
        <v>2989</v>
      </c>
      <c r="M266" s="6" t="s">
        <v>3046</v>
      </c>
      <c r="N266" s="6" t="s">
        <v>3046</v>
      </c>
      <c r="O266" s="6" t="s">
        <v>3046</v>
      </c>
      <c r="P266">
        <f t="shared" si="12"/>
        <v>1</v>
      </c>
      <c r="Q266">
        <f>IF(AND(P266=1,OR(ISNUMBER(MATCH(H266,{"menace","othering","ridicule","blame","victim"},0)),ISNUMBER(MATCH(J266,{"menace","othering","ridicule","blame","victim"},0)),ISNUMBER(MATCH(L266,{"menace","othering","ridicule","blame","victim"},0)))),1,0)</f>
        <v>1</v>
      </c>
      <c r="R266">
        <f>IF(AND(P266=1,Q266=0,OR(ISNUMBER(MATCH(H266,{"wholesome","heroic"},0)),ISNUMBER(MATCH(J266,{"wholesome","heroic"},0)),ISNUMBER(MATCH(L266,{"wholesome","heroic"},0)))),1,0)</f>
        <v>0</v>
      </c>
      <c r="S266">
        <f t="shared" si="13"/>
        <v>0</v>
      </c>
      <c r="T266">
        <f t="shared" si="14"/>
        <v>1</v>
      </c>
      <c r="U266" t="s">
        <v>3049</v>
      </c>
      <c r="V266" t="s">
        <v>1932</v>
      </c>
    </row>
    <row r="267" spans="1:22" x14ac:dyDescent="0.25">
      <c r="A267" t="s">
        <v>3285</v>
      </c>
      <c r="B267">
        <v>2713</v>
      </c>
      <c r="C267" t="s">
        <v>22</v>
      </c>
      <c r="D267" t="s">
        <v>1038</v>
      </c>
      <c r="E267" s="4">
        <v>45444</v>
      </c>
      <c r="F267" s="6">
        <v>0</v>
      </c>
      <c r="G267" s="6" t="s">
        <v>2995</v>
      </c>
      <c r="H267" s="6" t="s">
        <v>2994</v>
      </c>
      <c r="I267" s="6"/>
      <c r="J267" s="6"/>
      <c r="K267" s="6"/>
      <c r="L267" s="6"/>
      <c r="M267" s="6" t="s">
        <v>3046</v>
      </c>
      <c r="N267" s="6"/>
      <c r="O267" s="6"/>
      <c r="P267">
        <f t="shared" si="12"/>
        <v>1</v>
      </c>
      <c r="Q267">
        <f>IF(AND(P267=1,OR(ISNUMBER(MATCH(H267,{"menace","othering","ridicule","blame","victim"},0)),ISNUMBER(MATCH(J267,{"menace","othering","ridicule","blame","victim"},0)),ISNUMBER(MATCH(L267,{"menace","othering","ridicule","blame","victim"},0)))),1,0)</f>
        <v>0</v>
      </c>
      <c r="R267">
        <f>IF(AND(P267=1,Q267=0,OR(ISNUMBER(MATCH(H267,{"wholesome","heroic"},0)),ISNUMBER(MATCH(J267,{"wholesome","heroic"},0)),ISNUMBER(MATCH(L267,{"wholesome","heroic"},0)))),1,0)</f>
        <v>1</v>
      </c>
      <c r="S267">
        <f t="shared" si="13"/>
        <v>0</v>
      </c>
      <c r="T267">
        <f t="shared" si="14"/>
        <v>1</v>
      </c>
      <c r="U267" t="s">
        <v>3053</v>
      </c>
    </row>
    <row r="268" spans="1:22" x14ac:dyDescent="0.25">
      <c r="A268" t="s">
        <v>3284</v>
      </c>
      <c r="B268">
        <v>2733</v>
      </c>
      <c r="C268" t="s">
        <v>22</v>
      </c>
      <c r="D268" t="s">
        <v>1038</v>
      </c>
      <c r="E268" s="4">
        <v>45446</v>
      </c>
      <c r="F268" s="6">
        <v>0</v>
      </c>
      <c r="G268" s="6" t="s">
        <v>2995</v>
      </c>
      <c r="H268" s="6" t="s">
        <v>2990</v>
      </c>
      <c r="I268" s="6" t="s">
        <v>2988</v>
      </c>
      <c r="J268" s="6" t="s">
        <v>2990</v>
      </c>
      <c r="K268" s="6"/>
      <c r="L268" s="6"/>
      <c r="M268" s="6" t="s">
        <v>3046</v>
      </c>
      <c r="N268" s="6" t="s">
        <v>3046</v>
      </c>
      <c r="O268" s="6"/>
      <c r="P268">
        <f t="shared" si="12"/>
        <v>1</v>
      </c>
      <c r="Q268">
        <f>IF(AND(P268=1,OR(ISNUMBER(MATCH(H268,{"menace","othering","ridicule","blame","victim"},0)),ISNUMBER(MATCH(J268,{"menace","othering","ridicule","blame","victim"},0)),ISNUMBER(MATCH(L268,{"menace","othering","ridicule","blame","victim"},0)))),1,0)</f>
        <v>0</v>
      </c>
      <c r="R268">
        <f>IF(AND(P268=1,Q268=0,OR(ISNUMBER(MATCH(H268,{"wholesome","heroic"},0)),ISNUMBER(MATCH(J268,{"wholesome","heroic"},0)),ISNUMBER(MATCH(L268,{"wholesome","heroic"},0)))),1,0)</f>
        <v>1</v>
      </c>
      <c r="S268">
        <f t="shared" si="13"/>
        <v>0</v>
      </c>
      <c r="T268">
        <f t="shared" si="14"/>
        <v>1</v>
      </c>
      <c r="U268" t="s">
        <v>3053</v>
      </c>
    </row>
    <row r="269" spans="1:22" x14ac:dyDescent="0.25">
      <c r="A269" t="s">
        <v>3282</v>
      </c>
      <c r="B269">
        <v>2751</v>
      </c>
      <c r="C269" t="s">
        <v>22</v>
      </c>
      <c r="D269" t="s">
        <v>1038</v>
      </c>
      <c r="E269" s="4">
        <v>45448</v>
      </c>
      <c r="F269" s="6">
        <v>0</v>
      </c>
      <c r="G269" s="6" t="s">
        <v>2986</v>
      </c>
      <c r="H269" s="6" t="s">
        <v>2989</v>
      </c>
      <c r="I269" s="6"/>
      <c r="J269" s="6"/>
      <c r="K269" s="6"/>
      <c r="L269" s="6"/>
      <c r="M269" s="6" t="s">
        <v>3046</v>
      </c>
      <c r="N269" s="6"/>
      <c r="O269" s="6"/>
      <c r="P269">
        <f t="shared" si="12"/>
        <v>1</v>
      </c>
      <c r="Q269">
        <f>IF(AND(P269=1,OR(ISNUMBER(MATCH(H269,{"menace","othering","ridicule","blame","victim"},0)),ISNUMBER(MATCH(J269,{"menace","othering","ridicule","blame","victim"},0)),ISNUMBER(MATCH(L269,{"menace","othering","ridicule","blame","victim"},0)))),1,0)</f>
        <v>0</v>
      </c>
      <c r="R269">
        <f>IF(AND(P269=1,Q269=0,OR(ISNUMBER(MATCH(H269,{"wholesome","heroic"},0)),ISNUMBER(MATCH(J269,{"wholesome","heroic"},0)),ISNUMBER(MATCH(L269,{"wholesome","heroic"},0)))),1,0)</f>
        <v>0</v>
      </c>
      <c r="S269">
        <f t="shared" si="13"/>
        <v>1</v>
      </c>
      <c r="T269">
        <f t="shared" si="14"/>
        <v>0</v>
      </c>
      <c r="U269" t="s">
        <v>3049</v>
      </c>
      <c r="V269" t="s">
        <v>1934</v>
      </c>
    </row>
    <row r="270" spans="1:22" x14ac:dyDescent="0.25">
      <c r="A270" t="s">
        <v>3724</v>
      </c>
      <c r="B270">
        <v>2754</v>
      </c>
      <c r="C270" t="s">
        <v>22</v>
      </c>
      <c r="D270" t="s">
        <v>1038</v>
      </c>
      <c r="E270" s="4">
        <v>45448</v>
      </c>
      <c r="F270" s="6">
        <v>0</v>
      </c>
      <c r="G270" s="6" t="s">
        <v>2991</v>
      </c>
      <c r="H270" s="6" t="s">
        <v>2989</v>
      </c>
      <c r="I270" s="6" t="s">
        <v>3862</v>
      </c>
      <c r="J270" s="6" t="s">
        <v>2990</v>
      </c>
      <c r="K270" s="6" t="s">
        <v>2991</v>
      </c>
      <c r="L270" s="6" t="s">
        <v>2990</v>
      </c>
      <c r="M270" s="6" t="s">
        <v>3046</v>
      </c>
      <c r="N270" s="6" t="s">
        <v>3046</v>
      </c>
      <c r="O270" s="6" t="s">
        <v>3046</v>
      </c>
      <c r="P270">
        <f t="shared" si="12"/>
        <v>1</v>
      </c>
      <c r="Q270">
        <f>IF(AND(P270=1,OR(ISNUMBER(MATCH(H270,{"menace","othering","ridicule","blame","victim"},0)),ISNUMBER(MATCH(J270,{"menace","othering","ridicule","blame","victim"},0)),ISNUMBER(MATCH(L270,{"menace","othering","ridicule","blame","victim"},0)))),1,0)</f>
        <v>0</v>
      </c>
      <c r="R270">
        <f>IF(AND(P270=1,Q270=0,OR(ISNUMBER(MATCH(H270,{"wholesome","heroic"},0)),ISNUMBER(MATCH(J270,{"wholesome","heroic"},0)),ISNUMBER(MATCH(L270,{"wholesome","heroic"},0)))),1,0)</f>
        <v>1</v>
      </c>
      <c r="S270">
        <f t="shared" si="13"/>
        <v>0</v>
      </c>
      <c r="T270">
        <f t="shared" si="14"/>
        <v>0</v>
      </c>
      <c r="U270" t="s">
        <v>3049</v>
      </c>
      <c r="V270" t="s">
        <v>1931</v>
      </c>
    </row>
    <row r="271" spans="1:22" x14ac:dyDescent="0.25">
      <c r="A271" t="s">
        <v>3725</v>
      </c>
      <c r="B271">
        <v>2758</v>
      </c>
      <c r="C271" t="s">
        <v>22</v>
      </c>
      <c r="D271" t="s">
        <v>1038</v>
      </c>
      <c r="E271" s="4">
        <v>45448</v>
      </c>
      <c r="F271" s="6">
        <v>0</v>
      </c>
      <c r="G271" s="6" t="s">
        <v>2986</v>
      </c>
      <c r="H271" s="6" t="s">
        <v>2989</v>
      </c>
      <c r="I271" s="6"/>
      <c r="J271" s="6"/>
      <c r="K271" s="6"/>
      <c r="L271" s="6"/>
      <c r="M271" s="6" t="s">
        <v>3046</v>
      </c>
      <c r="N271" s="6"/>
      <c r="O271" s="6"/>
      <c r="P271">
        <f t="shared" si="12"/>
        <v>1</v>
      </c>
      <c r="Q271">
        <f>IF(AND(P271=1,OR(ISNUMBER(MATCH(H271,{"menace","othering","ridicule","blame","victim"},0)),ISNUMBER(MATCH(J271,{"menace","othering","ridicule","blame","victim"},0)),ISNUMBER(MATCH(L271,{"menace","othering","ridicule","blame","victim"},0)))),1,0)</f>
        <v>0</v>
      </c>
      <c r="R271">
        <f>IF(AND(P271=1,Q271=0,OR(ISNUMBER(MATCH(H271,{"wholesome","heroic"},0)),ISNUMBER(MATCH(J271,{"wholesome","heroic"},0)),ISNUMBER(MATCH(L271,{"wholesome","heroic"},0)))),1,0)</f>
        <v>0</v>
      </c>
      <c r="S271">
        <f t="shared" si="13"/>
        <v>1</v>
      </c>
      <c r="T271">
        <f t="shared" si="14"/>
        <v>0</v>
      </c>
      <c r="U271" t="s">
        <v>3049</v>
      </c>
      <c r="V271" t="s">
        <v>3298</v>
      </c>
    </row>
    <row r="272" spans="1:22" x14ac:dyDescent="0.25">
      <c r="A272" t="s">
        <v>3726</v>
      </c>
      <c r="B272">
        <v>2761</v>
      </c>
      <c r="C272" t="s">
        <v>22</v>
      </c>
      <c r="D272" t="s">
        <v>1038</v>
      </c>
      <c r="E272" s="4">
        <v>45449</v>
      </c>
      <c r="F272" s="6">
        <v>0</v>
      </c>
      <c r="G272" s="6" t="s">
        <v>2995</v>
      </c>
      <c r="H272" s="6" t="s">
        <v>2994</v>
      </c>
      <c r="I272" s="6" t="s">
        <v>2988</v>
      </c>
      <c r="J272" s="6" t="s">
        <v>2990</v>
      </c>
      <c r="K272" s="6"/>
      <c r="L272" s="6"/>
      <c r="M272" s="6" t="s">
        <v>3046</v>
      </c>
      <c r="N272" s="6" t="s">
        <v>3046</v>
      </c>
      <c r="O272" s="6"/>
      <c r="P272">
        <f t="shared" si="12"/>
        <v>1</v>
      </c>
      <c r="Q272">
        <f>IF(AND(P272=1,OR(ISNUMBER(MATCH(H272,{"menace","othering","ridicule","blame","victim"},0)),ISNUMBER(MATCH(J272,{"menace","othering","ridicule","blame","victim"},0)),ISNUMBER(MATCH(L272,{"menace","othering","ridicule","blame","victim"},0)))),1,0)</f>
        <v>0</v>
      </c>
      <c r="R272">
        <f>IF(AND(P272=1,Q272=0,OR(ISNUMBER(MATCH(H272,{"wholesome","heroic"},0)),ISNUMBER(MATCH(J272,{"wholesome","heroic"},0)),ISNUMBER(MATCH(L272,{"wholesome","heroic"},0)))),1,0)</f>
        <v>1</v>
      </c>
      <c r="S272">
        <f t="shared" si="13"/>
        <v>0</v>
      </c>
      <c r="T272">
        <f t="shared" si="14"/>
        <v>1</v>
      </c>
      <c r="U272" t="s">
        <v>3049</v>
      </c>
      <c r="V272" t="s">
        <v>1937</v>
      </c>
    </row>
    <row r="273" spans="1:22" x14ac:dyDescent="0.25">
      <c r="A273" t="s">
        <v>3727</v>
      </c>
      <c r="B273">
        <v>2776</v>
      </c>
      <c r="C273" t="s">
        <v>22</v>
      </c>
      <c r="D273" t="s">
        <v>1038</v>
      </c>
      <c r="E273" s="4">
        <v>45449</v>
      </c>
      <c r="F273" s="6">
        <v>0</v>
      </c>
      <c r="G273" s="6" t="s">
        <v>3862</v>
      </c>
      <c r="H273" s="6" t="s">
        <v>2994</v>
      </c>
      <c r="I273" s="6"/>
      <c r="J273" s="6"/>
      <c r="K273" s="6"/>
      <c r="L273" s="6"/>
      <c r="M273" s="6" t="s">
        <v>3046</v>
      </c>
      <c r="N273" s="6"/>
      <c r="O273" s="6"/>
      <c r="P273">
        <f t="shared" si="12"/>
        <v>1</v>
      </c>
      <c r="Q273">
        <f>IF(AND(P273=1,OR(ISNUMBER(MATCH(H273,{"menace","othering","ridicule","blame","victim"},0)),ISNUMBER(MATCH(J273,{"menace","othering","ridicule","blame","victim"},0)),ISNUMBER(MATCH(L273,{"menace","othering","ridicule","blame","victim"},0)))),1,0)</f>
        <v>0</v>
      </c>
      <c r="R273">
        <f>IF(AND(P273=1,Q273=0,OR(ISNUMBER(MATCH(H273,{"wholesome","heroic"},0)),ISNUMBER(MATCH(J273,{"wholesome","heroic"},0)),ISNUMBER(MATCH(L273,{"wholesome","heroic"},0)))),1,0)</f>
        <v>1</v>
      </c>
      <c r="S273">
        <f t="shared" si="13"/>
        <v>0</v>
      </c>
      <c r="T273">
        <f t="shared" si="14"/>
        <v>0</v>
      </c>
      <c r="U273" t="s">
        <v>3049</v>
      </c>
      <c r="V273" t="s">
        <v>3281</v>
      </c>
    </row>
    <row r="274" spans="1:22" x14ac:dyDescent="0.25">
      <c r="A274" t="s">
        <v>3728</v>
      </c>
      <c r="B274">
        <v>2777</v>
      </c>
      <c r="C274" t="s">
        <v>22</v>
      </c>
      <c r="D274" t="s">
        <v>1038</v>
      </c>
      <c r="E274" s="4">
        <v>45450</v>
      </c>
      <c r="F274" s="6">
        <v>0</v>
      </c>
      <c r="G274" s="6" t="s">
        <v>3862</v>
      </c>
      <c r="H274" s="6" t="s">
        <v>2989</v>
      </c>
      <c r="I274" s="6"/>
      <c r="J274" s="6"/>
      <c r="K274" s="6"/>
      <c r="L274" s="6"/>
      <c r="M274" s="6" t="s">
        <v>3046</v>
      </c>
      <c r="N274" s="6"/>
      <c r="O274" s="6"/>
      <c r="P274">
        <f t="shared" si="12"/>
        <v>1</v>
      </c>
      <c r="Q274">
        <f>IF(AND(P274=1,OR(ISNUMBER(MATCH(H274,{"menace","othering","ridicule","blame","victim"},0)),ISNUMBER(MATCH(J274,{"menace","othering","ridicule","blame","victim"},0)),ISNUMBER(MATCH(L274,{"menace","othering","ridicule","blame","victim"},0)))),1,0)</f>
        <v>0</v>
      </c>
      <c r="R274">
        <f>IF(AND(P274=1,Q274=0,OR(ISNUMBER(MATCH(H274,{"wholesome","heroic"},0)),ISNUMBER(MATCH(J274,{"wholesome","heroic"},0)),ISNUMBER(MATCH(L274,{"wholesome","heroic"},0)))),1,0)</f>
        <v>0</v>
      </c>
      <c r="S274">
        <f t="shared" si="13"/>
        <v>1</v>
      </c>
      <c r="T274">
        <f t="shared" si="14"/>
        <v>0</v>
      </c>
      <c r="U274" t="s">
        <v>3049</v>
      </c>
      <c r="V274" t="s">
        <v>3283</v>
      </c>
    </row>
    <row r="275" spans="1:22" x14ac:dyDescent="0.25">
      <c r="A275" t="s">
        <v>3279</v>
      </c>
      <c r="B275">
        <v>2798</v>
      </c>
      <c r="C275" t="s">
        <v>28</v>
      </c>
      <c r="D275" t="s">
        <v>1218</v>
      </c>
      <c r="E275" s="4">
        <v>45342</v>
      </c>
      <c r="F275" s="6">
        <v>0</v>
      </c>
      <c r="G275" s="6" t="s">
        <v>2995</v>
      </c>
      <c r="H275" s="6" t="s">
        <v>2989</v>
      </c>
      <c r="I275" s="6" t="s">
        <v>2991</v>
      </c>
      <c r="J275" s="6" t="s">
        <v>2989</v>
      </c>
      <c r="K275" s="6" t="s">
        <v>2988</v>
      </c>
      <c r="L275" s="6" t="s">
        <v>2994</v>
      </c>
      <c r="M275" s="6" t="s">
        <v>3046</v>
      </c>
      <c r="N275" s="6" t="s">
        <v>3046</v>
      </c>
      <c r="O275" s="6" t="s">
        <v>3046</v>
      </c>
      <c r="P275">
        <f t="shared" si="12"/>
        <v>1</v>
      </c>
      <c r="Q275">
        <f>IF(AND(P275=1,OR(ISNUMBER(MATCH(H275,{"menace","othering","ridicule","blame","victim"},0)),ISNUMBER(MATCH(J275,{"menace","othering","ridicule","blame","victim"},0)),ISNUMBER(MATCH(L275,{"menace","othering","ridicule","blame","victim"},0)))),1,0)</f>
        <v>0</v>
      </c>
      <c r="R275">
        <f>IF(AND(P275=1,Q275=0,OR(ISNUMBER(MATCH(H275,{"wholesome","heroic"},0)),ISNUMBER(MATCH(J275,{"wholesome","heroic"},0)),ISNUMBER(MATCH(L275,{"wholesome","heroic"},0)))),1,0)</f>
        <v>1</v>
      </c>
      <c r="S275">
        <f t="shared" si="13"/>
        <v>0</v>
      </c>
      <c r="T275">
        <f t="shared" si="14"/>
        <v>1</v>
      </c>
      <c r="U275" t="s">
        <v>3053</v>
      </c>
    </row>
    <row r="276" spans="1:22" x14ac:dyDescent="0.25">
      <c r="A276" t="s">
        <v>3278</v>
      </c>
      <c r="B276">
        <v>2815</v>
      </c>
      <c r="C276" t="s">
        <v>28</v>
      </c>
      <c r="D276" t="s">
        <v>1218</v>
      </c>
      <c r="E276" s="4">
        <v>45374</v>
      </c>
      <c r="F276" s="6">
        <v>0</v>
      </c>
      <c r="G276" s="6" t="s">
        <v>2995</v>
      </c>
      <c r="H276" s="6" t="s">
        <v>2990</v>
      </c>
      <c r="I276" s="6"/>
      <c r="J276" s="6"/>
      <c r="K276" s="6"/>
      <c r="L276" s="6"/>
      <c r="M276" s="6" t="s">
        <v>3046</v>
      </c>
      <c r="N276" s="6"/>
      <c r="O276" s="6"/>
      <c r="P276">
        <f t="shared" si="12"/>
        <v>1</v>
      </c>
      <c r="Q276">
        <f>IF(AND(P276=1,OR(ISNUMBER(MATCH(H276,{"menace","othering","ridicule","blame","victim"},0)),ISNUMBER(MATCH(J276,{"menace","othering","ridicule","blame","victim"},0)),ISNUMBER(MATCH(L276,{"menace","othering","ridicule","blame","victim"},0)))),1,0)</f>
        <v>0</v>
      </c>
      <c r="R276">
        <f>IF(AND(P276=1,Q276=0,OR(ISNUMBER(MATCH(H276,{"wholesome","heroic"},0)),ISNUMBER(MATCH(J276,{"wholesome","heroic"},0)),ISNUMBER(MATCH(L276,{"wholesome","heroic"},0)))),1,0)</f>
        <v>1</v>
      </c>
      <c r="S276">
        <f t="shared" si="13"/>
        <v>0</v>
      </c>
      <c r="T276">
        <f t="shared" si="14"/>
        <v>1</v>
      </c>
      <c r="U276" t="s">
        <v>3053</v>
      </c>
    </row>
    <row r="277" spans="1:22" x14ac:dyDescent="0.25">
      <c r="A277" t="s">
        <v>3277</v>
      </c>
      <c r="B277">
        <v>2825</v>
      </c>
      <c r="C277" t="s">
        <v>28</v>
      </c>
      <c r="D277" t="s">
        <v>1218</v>
      </c>
      <c r="E277" s="4">
        <v>45389</v>
      </c>
      <c r="F277" s="6">
        <v>0</v>
      </c>
      <c r="G277" s="6" t="s">
        <v>2995</v>
      </c>
      <c r="H277" s="6" t="s">
        <v>2990</v>
      </c>
      <c r="I277" s="6" t="s">
        <v>2988</v>
      </c>
      <c r="J277" s="6" t="s">
        <v>2990</v>
      </c>
      <c r="K277" s="6"/>
      <c r="L277" s="6"/>
      <c r="M277" s="6" t="s">
        <v>3046</v>
      </c>
      <c r="N277" s="6" t="s">
        <v>3046</v>
      </c>
      <c r="O277" s="6"/>
      <c r="P277">
        <f t="shared" si="12"/>
        <v>1</v>
      </c>
      <c r="Q277">
        <f>IF(AND(P277=1,OR(ISNUMBER(MATCH(H277,{"menace","othering","ridicule","blame","victim"},0)),ISNUMBER(MATCH(J277,{"menace","othering","ridicule","blame","victim"},0)),ISNUMBER(MATCH(L277,{"menace","othering","ridicule","blame","victim"},0)))),1,0)</f>
        <v>0</v>
      </c>
      <c r="R277">
        <f>IF(AND(P277=1,Q277=0,OR(ISNUMBER(MATCH(H277,{"wholesome","heroic"},0)),ISNUMBER(MATCH(J277,{"wholesome","heroic"},0)),ISNUMBER(MATCH(L277,{"wholesome","heroic"},0)))),1,0)</f>
        <v>1</v>
      </c>
      <c r="S277">
        <f t="shared" si="13"/>
        <v>0</v>
      </c>
      <c r="T277">
        <f t="shared" si="14"/>
        <v>1</v>
      </c>
      <c r="U277" t="s">
        <v>3053</v>
      </c>
    </row>
    <row r="278" spans="1:22" x14ac:dyDescent="0.25">
      <c r="A278" t="s">
        <v>3276</v>
      </c>
      <c r="B278">
        <v>2828</v>
      </c>
      <c r="C278" t="s">
        <v>28</v>
      </c>
      <c r="D278" t="s">
        <v>1218</v>
      </c>
      <c r="E278" s="4">
        <v>45396</v>
      </c>
      <c r="F278" s="6">
        <v>0</v>
      </c>
      <c r="G278" s="6" t="s">
        <v>2988</v>
      </c>
      <c r="H278" s="6" t="s">
        <v>2990</v>
      </c>
      <c r="I278" s="6" t="s">
        <v>2995</v>
      </c>
      <c r="J278" s="6" t="s">
        <v>2990</v>
      </c>
      <c r="K278" s="6"/>
      <c r="L278" s="6"/>
      <c r="M278" s="6" t="s">
        <v>3046</v>
      </c>
      <c r="N278" s="6" t="s">
        <v>3046</v>
      </c>
      <c r="O278" s="6"/>
      <c r="P278">
        <f t="shared" si="12"/>
        <v>1</v>
      </c>
      <c r="Q278">
        <f>IF(AND(P278=1,OR(ISNUMBER(MATCH(H278,{"menace","othering","ridicule","blame","victim"},0)),ISNUMBER(MATCH(J278,{"menace","othering","ridicule","blame","victim"},0)),ISNUMBER(MATCH(L278,{"menace","othering","ridicule","blame","victim"},0)))),1,0)</f>
        <v>0</v>
      </c>
      <c r="R278">
        <f>IF(AND(P278=1,Q278=0,OR(ISNUMBER(MATCH(H278,{"wholesome","heroic"},0)),ISNUMBER(MATCH(J278,{"wholesome","heroic"},0)),ISNUMBER(MATCH(L278,{"wholesome","heroic"},0)))),1,0)</f>
        <v>1</v>
      </c>
      <c r="S278">
        <f t="shared" si="13"/>
        <v>0</v>
      </c>
      <c r="T278">
        <f t="shared" si="14"/>
        <v>1</v>
      </c>
      <c r="U278" t="s">
        <v>3053</v>
      </c>
    </row>
    <row r="279" spans="1:22" x14ac:dyDescent="0.25">
      <c r="A279" t="s">
        <v>3275</v>
      </c>
      <c r="B279">
        <v>2832</v>
      </c>
      <c r="C279" t="s">
        <v>28</v>
      </c>
      <c r="D279" t="s">
        <v>1218</v>
      </c>
      <c r="E279" s="4">
        <v>45401</v>
      </c>
      <c r="F279" s="6">
        <v>0</v>
      </c>
      <c r="G279" s="6" t="s">
        <v>2991</v>
      </c>
      <c r="H279" s="6" t="s">
        <v>2989</v>
      </c>
      <c r="I279" s="6" t="s">
        <v>2986</v>
      </c>
      <c r="J279" s="6" t="s">
        <v>2989</v>
      </c>
      <c r="K279" s="6"/>
      <c r="L279" s="6"/>
      <c r="M279" s="6" t="s">
        <v>3046</v>
      </c>
      <c r="N279" s="6" t="s">
        <v>3046</v>
      </c>
      <c r="O279" s="6"/>
      <c r="P279">
        <f t="shared" si="12"/>
        <v>1</v>
      </c>
      <c r="Q279">
        <f>IF(AND(P279=1,OR(ISNUMBER(MATCH(H279,{"menace","othering","ridicule","blame","victim"},0)),ISNUMBER(MATCH(J279,{"menace","othering","ridicule","blame","victim"},0)),ISNUMBER(MATCH(L279,{"menace","othering","ridicule","blame","victim"},0)))),1,0)</f>
        <v>0</v>
      </c>
      <c r="R279">
        <f>IF(AND(P279=1,Q279=0,OR(ISNUMBER(MATCH(H279,{"wholesome","heroic"},0)),ISNUMBER(MATCH(J279,{"wholesome","heroic"},0)),ISNUMBER(MATCH(L279,{"wholesome","heroic"},0)))),1,0)</f>
        <v>0</v>
      </c>
      <c r="S279">
        <f t="shared" si="13"/>
        <v>1</v>
      </c>
      <c r="T279">
        <f t="shared" si="14"/>
        <v>0</v>
      </c>
      <c r="U279" t="s">
        <v>3053</v>
      </c>
    </row>
    <row r="280" spans="1:22" x14ac:dyDescent="0.25">
      <c r="A280" t="s">
        <v>3274</v>
      </c>
      <c r="B280">
        <v>2842</v>
      </c>
      <c r="C280" t="s">
        <v>28</v>
      </c>
      <c r="D280" t="s">
        <v>1218</v>
      </c>
      <c r="E280" s="4">
        <v>45414</v>
      </c>
      <c r="F280" s="6">
        <v>0</v>
      </c>
      <c r="G280" s="6" t="s">
        <v>2995</v>
      </c>
      <c r="H280" s="6" t="s">
        <v>2990</v>
      </c>
      <c r="I280" s="6" t="s">
        <v>3862</v>
      </c>
      <c r="J280" s="6" t="s">
        <v>2990</v>
      </c>
      <c r="K280" s="6" t="s">
        <v>2988</v>
      </c>
      <c r="L280" s="6" t="s">
        <v>2990</v>
      </c>
      <c r="M280" s="6" t="s">
        <v>3046</v>
      </c>
      <c r="N280" s="6" t="s">
        <v>3046</v>
      </c>
      <c r="O280" s="6" t="s">
        <v>3046</v>
      </c>
      <c r="P280">
        <f t="shared" si="12"/>
        <v>1</v>
      </c>
      <c r="Q280">
        <f>IF(AND(P280=1,OR(ISNUMBER(MATCH(H280,{"menace","othering","ridicule","blame","victim"},0)),ISNUMBER(MATCH(J280,{"menace","othering","ridicule","blame","victim"},0)),ISNUMBER(MATCH(L280,{"menace","othering","ridicule","blame","victim"},0)))),1,0)</f>
        <v>0</v>
      </c>
      <c r="R280">
        <f>IF(AND(P280=1,Q280=0,OR(ISNUMBER(MATCH(H280,{"wholesome","heroic"},0)),ISNUMBER(MATCH(J280,{"wholesome","heroic"},0)),ISNUMBER(MATCH(L280,{"wholesome","heroic"},0)))),1,0)</f>
        <v>1</v>
      </c>
      <c r="S280">
        <f t="shared" si="13"/>
        <v>0</v>
      </c>
      <c r="T280">
        <f t="shared" si="14"/>
        <v>1</v>
      </c>
      <c r="U280" t="s">
        <v>3053</v>
      </c>
    </row>
    <row r="281" spans="1:22" x14ac:dyDescent="0.25">
      <c r="A281" t="s">
        <v>3273</v>
      </c>
      <c r="B281">
        <v>2848</v>
      </c>
      <c r="C281" t="s">
        <v>28</v>
      </c>
      <c r="D281" t="s">
        <v>1218</v>
      </c>
      <c r="E281" s="4">
        <v>45420</v>
      </c>
      <c r="F281" s="6">
        <v>0</v>
      </c>
      <c r="G281" s="6" t="s">
        <v>2995</v>
      </c>
      <c r="H281" s="6" t="s">
        <v>2994</v>
      </c>
      <c r="I281" s="6" t="s">
        <v>2991</v>
      </c>
      <c r="J281" s="6" t="s">
        <v>2994</v>
      </c>
      <c r="K281" s="6"/>
      <c r="L281" s="6"/>
      <c r="M281" s="6" t="s">
        <v>3046</v>
      </c>
      <c r="N281" s="6" t="s">
        <v>3046</v>
      </c>
      <c r="O281" s="6"/>
      <c r="P281">
        <f t="shared" si="12"/>
        <v>1</v>
      </c>
      <c r="Q281">
        <f>IF(AND(P281=1,OR(ISNUMBER(MATCH(H281,{"menace","othering","ridicule","blame","victim"},0)),ISNUMBER(MATCH(J281,{"menace","othering","ridicule","blame","victim"},0)),ISNUMBER(MATCH(L281,{"menace","othering","ridicule","blame","victim"},0)))),1,0)</f>
        <v>0</v>
      </c>
      <c r="R281">
        <f>IF(AND(P281=1,Q281=0,OR(ISNUMBER(MATCH(H281,{"wholesome","heroic"},0)),ISNUMBER(MATCH(J281,{"wholesome","heroic"},0)),ISNUMBER(MATCH(L281,{"wholesome","heroic"},0)))),1,0)</f>
        <v>1</v>
      </c>
      <c r="S281">
        <f t="shared" si="13"/>
        <v>0</v>
      </c>
      <c r="T281">
        <f t="shared" si="14"/>
        <v>1</v>
      </c>
      <c r="U281" t="s">
        <v>3053</v>
      </c>
    </row>
    <row r="282" spans="1:22" x14ac:dyDescent="0.25">
      <c r="A282" t="s">
        <v>3272</v>
      </c>
      <c r="B282">
        <v>2855</v>
      </c>
      <c r="C282" t="s">
        <v>28</v>
      </c>
      <c r="D282" t="s">
        <v>1218</v>
      </c>
      <c r="E282" s="4">
        <v>45433</v>
      </c>
      <c r="F282" s="6">
        <v>0</v>
      </c>
      <c r="G282" s="6" t="s">
        <v>2989</v>
      </c>
      <c r="H282" s="6" t="s">
        <v>2989</v>
      </c>
      <c r="I282" s="6"/>
      <c r="J282" s="6"/>
      <c r="K282" s="6"/>
      <c r="L282" s="6"/>
      <c r="M282" s="6"/>
      <c r="N282" s="6"/>
      <c r="O282" s="6"/>
      <c r="P282">
        <f t="shared" si="12"/>
        <v>1</v>
      </c>
      <c r="Q282">
        <f>IF(AND(P282=1,OR(ISNUMBER(MATCH(H282,{"menace","othering","ridicule","blame","victim"},0)),ISNUMBER(MATCH(J282,{"menace","othering","ridicule","blame","victim"},0)),ISNUMBER(MATCH(L282,{"menace","othering","ridicule","blame","victim"},0)))),1,0)</f>
        <v>0</v>
      </c>
      <c r="R282">
        <f>IF(AND(P282=1,Q282=0,OR(ISNUMBER(MATCH(H282,{"wholesome","heroic"},0)),ISNUMBER(MATCH(J282,{"wholesome","heroic"},0)),ISNUMBER(MATCH(L282,{"wholesome","heroic"},0)))),1,0)</f>
        <v>0</v>
      </c>
      <c r="S282">
        <f t="shared" si="13"/>
        <v>1</v>
      </c>
      <c r="T282">
        <f t="shared" si="14"/>
        <v>0</v>
      </c>
      <c r="U282" t="s">
        <v>3053</v>
      </c>
    </row>
    <row r="283" spans="1:22" x14ac:dyDescent="0.25">
      <c r="A283" t="s">
        <v>3271</v>
      </c>
      <c r="B283">
        <v>2872</v>
      </c>
      <c r="C283" t="s">
        <v>28</v>
      </c>
      <c r="D283" t="s">
        <v>1218</v>
      </c>
      <c r="E283" s="4">
        <v>45447</v>
      </c>
      <c r="F283" s="6">
        <v>0</v>
      </c>
      <c r="G283" s="6" t="s">
        <v>2995</v>
      </c>
      <c r="H283" s="6" t="s">
        <v>2994</v>
      </c>
      <c r="I283" s="6" t="s">
        <v>2988</v>
      </c>
      <c r="J283" s="6" t="s">
        <v>2990</v>
      </c>
      <c r="K283" s="6"/>
      <c r="L283" s="6"/>
      <c r="M283" s="6" t="s">
        <v>3046</v>
      </c>
      <c r="N283" s="6" t="s">
        <v>3046</v>
      </c>
      <c r="O283" s="6"/>
      <c r="P283">
        <f t="shared" si="12"/>
        <v>1</v>
      </c>
      <c r="Q283">
        <f>IF(AND(P283=1,OR(ISNUMBER(MATCH(H283,{"menace","othering","ridicule","blame","victim"},0)),ISNUMBER(MATCH(J283,{"menace","othering","ridicule","blame","victim"},0)),ISNUMBER(MATCH(L283,{"menace","othering","ridicule","blame","victim"},0)))),1,0)</f>
        <v>0</v>
      </c>
      <c r="R283">
        <f>IF(AND(P283=1,Q283=0,OR(ISNUMBER(MATCH(H283,{"wholesome","heroic"},0)),ISNUMBER(MATCH(J283,{"wholesome","heroic"},0)),ISNUMBER(MATCH(L283,{"wholesome","heroic"},0)))),1,0)</f>
        <v>1</v>
      </c>
      <c r="S283">
        <f t="shared" si="13"/>
        <v>0</v>
      </c>
      <c r="T283">
        <f t="shared" si="14"/>
        <v>1</v>
      </c>
      <c r="U283" t="s">
        <v>3053</v>
      </c>
    </row>
    <row r="284" spans="1:22" x14ac:dyDescent="0.25">
      <c r="A284" t="s">
        <v>3270</v>
      </c>
      <c r="B284">
        <v>2876</v>
      </c>
      <c r="C284" t="s">
        <v>28</v>
      </c>
      <c r="D284" t="s">
        <v>1218</v>
      </c>
      <c r="E284" s="4">
        <v>45449</v>
      </c>
      <c r="F284" s="6">
        <v>0</v>
      </c>
      <c r="G284" s="6" t="s">
        <v>2995</v>
      </c>
      <c r="H284" s="6" t="s">
        <v>2989</v>
      </c>
      <c r="I284" s="6"/>
      <c r="J284" s="6"/>
      <c r="K284" s="6"/>
      <c r="L284" s="6"/>
      <c r="M284" s="6" t="s">
        <v>3046</v>
      </c>
      <c r="N284" s="6"/>
      <c r="O284" s="6"/>
      <c r="P284">
        <f t="shared" si="12"/>
        <v>1</v>
      </c>
      <c r="Q284">
        <f>IF(AND(P284=1,OR(ISNUMBER(MATCH(H284,{"menace","othering","ridicule","blame","victim"},0)),ISNUMBER(MATCH(J284,{"menace","othering","ridicule","blame","victim"},0)),ISNUMBER(MATCH(L284,{"menace","othering","ridicule","blame","victim"},0)))),1,0)</f>
        <v>0</v>
      </c>
      <c r="R284">
        <f>IF(AND(P284=1,Q284=0,OR(ISNUMBER(MATCH(H284,{"wholesome","heroic"},0)),ISNUMBER(MATCH(J284,{"wholesome","heroic"},0)),ISNUMBER(MATCH(L284,{"wholesome","heroic"},0)))),1,0)</f>
        <v>0</v>
      </c>
      <c r="S284">
        <f t="shared" si="13"/>
        <v>1</v>
      </c>
      <c r="T284">
        <f t="shared" si="14"/>
        <v>1</v>
      </c>
      <c r="U284" t="s">
        <v>3053</v>
      </c>
    </row>
    <row r="285" spans="1:22" x14ac:dyDescent="0.25">
      <c r="A285" t="s">
        <v>3269</v>
      </c>
      <c r="B285">
        <v>2878</v>
      </c>
      <c r="C285" t="s">
        <v>28</v>
      </c>
      <c r="D285" t="s">
        <v>1218</v>
      </c>
      <c r="E285" s="4">
        <v>45451</v>
      </c>
      <c r="F285" s="6">
        <v>0</v>
      </c>
      <c r="G285" s="6" t="s">
        <v>2995</v>
      </c>
      <c r="H285" s="6" t="s">
        <v>2989</v>
      </c>
      <c r="I285" s="6" t="s">
        <v>3862</v>
      </c>
      <c r="J285" s="6" t="s">
        <v>2989</v>
      </c>
      <c r="K285" s="6"/>
      <c r="L285" s="6"/>
      <c r="M285" s="6" t="s">
        <v>3046</v>
      </c>
      <c r="N285" s="6" t="s">
        <v>3046</v>
      </c>
      <c r="O285" s="6"/>
      <c r="P285">
        <f t="shared" si="12"/>
        <v>1</v>
      </c>
      <c r="Q285">
        <f>IF(AND(P285=1,OR(ISNUMBER(MATCH(H285,{"menace","othering","ridicule","blame","victim"},0)),ISNUMBER(MATCH(J285,{"menace","othering","ridicule","blame","victim"},0)),ISNUMBER(MATCH(L285,{"menace","othering","ridicule","blame","victim"},0)))),1,0)</f>
        <v>0</v>
      </c>
      <c r="R285">
        <f>IF(AND(P285=1,Q285=0,OR(ISNUMBER(MATCH(H285,{"wholesome","heroic"},0)),ISNUMBER(MATCH(J285,{"wholesome","heroic"},0)),ISNUMBER(MATCH(L285,{"wholesome","heroic"},0)))),1,0)</f>
        <v>0</v>
      </c>
      <c r="S285">
        <f t="shared" si="13"/>
        <v>1</v>
      </c>
      <c r="T285">
        <f t="shared" si="14"/>
        <v>1</v>
      </c>
      <c r="U285" t="s">
        <v>3053</v>
      </c>
    </row>
    <row r="286" spans="1:22" x14ac:dyDescent="0.25">
      <c r="A286" t="s">
        <v>3268</v>
      </c>
      <c r="B286">
        <v>2888</v>
      </c>
      <c r="C286" t="s">
        <v>28</v>
      </c>
      <c r="D286" t="s">
        <v>1218</v>
      </c>
      <c r="E286" s="4">
        <v>45460</v>
      </c>
      <c r="F286" s="6">
        <v>0</v>
      </c>
      <c r="G286" s="6" t="s">
        <v>2995</v>
      </c>
      <c r="H286" s="6" t="s">
        <v>2990</v>
      </c>
      <c r="I286" s="6"/>
      <c r="J286" s="6"/>
      <c r="K286" s="6"/>
      <c r="L286" s="6"/>
      <c r="M286" s="6" t="s">
        <v>3046</v>
      </c>
      <c r="N286" s="6"/>
      <c r="O286" s="6"/>
      <c r="P286">
        <f t="shared" si="12"/>
        <v>1</v>
      </c>
      <c r="Q286">
        <f>IF(AND(P286=1,OR(ISNUMBER(MATCH(H286,{"menace","othering","ridicule","blame","victim"},0)),ISNUMBER(MATCH(J286,{"menace","othering","ridicule","blame","victim"},0)),ISNUMBER(MATCH(L286,{"menace","othering","ridicule","blame","victim"},0)))),1,0)</f>
        <v>0</v>
      </c>
      <c r="R286">
        <f>IF(AND(P286=1,Q286=0,OR(ISNUMBER(MATCH(H286,{"wholesome","heroic"},0)),ISNUMBER(MATCH(J286,{"wholesome","heroic"},0)),ISNUMBER(MATCH(L286,{"wholesome","heroic"},0)))),1,0)</f>
        <v>1</v>
      </c>
      <c r="S286">
        <f t="shared" si="13"/>
        <v>0</v>
      </c>
      <c r="T286">
        <f t="shared" si="14"/>
        <v>1</v>
      </c>
      <c r="U286" t="s">
        <v>3053</v>
      </c>
    </row>
    <row r="287" spans="1:22" x14ac:dyDescent="0.25">
      <c r="A287" t="s">
        <v>3267</v>
      </c>
      <c r="B287">
        <v>2891</v>
      </c>
      <c r="C287" t="s">
        <v>28</v>
      </c>
      <c r="D287" t="s">
        <v>1218</v>
      </c>
      <c r="E287" s="4">
        <v>45463</v>
      </c>
      <c r="F287" s="6">
        <v>0</v>
      </c>
      <c r="G287" s="6" t="s">
        <v>2995</v>
      </c>
      <c r="H287" s="6" t="s">
        <v>2989</v>
      </c>
      <c r="I287" s="6"/>
      <c r="J287" s="6"/>
      <c r="K287" s="6"/>
      <c r="L287" s="6"/>
      <c r="M287" s="6" t="s">
        <v>3046</v>
      </c>
      <c r="N287" s="6"/>
      <c r="O287" s="6"/>
      <c r="P287">
        <f t="shared" si="12"/>
        <v>1</v>
      </c>
      <c r="Q287">
        <f>IF(AND(P287=1,OR(ISNUMBER(MATCH(H287,{"menace","othering","ridicule","blame","victim"},0)),ISNUMBER(MATCH(J287,{"menace","othering","ridicule","blame","victim"},0)),ISNUMBER(MATCH(L287,{"menace","othering","ridicule","blame","victim"},0)))),1,0)</f>
        <v>0</v>
      </c>
      <c r="R287">
        <f>IF(AND(P287=1,Q287=0,OR(ISNUMBER(MATCH(H287,{"wholesome","heroic"},0)),ISNUMBER(MATCH(J287,{"wholesome","heroic"},0)),ISNUMBER(MATCH(L287,{"wholesome","heroic"},0)))),1,0)</f>
        <v>0</v>
      </c>
      <c r="S287">
        <f t="shared" si="13"/>
        <v>1</v>
      </c>
      <c r="T287">
        <f t="shared" si="14"/>
        <v>1</v>
      </c>
      <c r="U287" t="s">
        <v>3053</v>
      </c>
    </row>
    <row r="288" spans="1:22" x14ac:dyDescent="0.25">
      <c r="A288" t="s">
        <v>3266</v>
      </c>
      <c r="B288">
        <v>2895</v>
      </c>
      <c r="C288" t="s">
        <v>28</v>
      </c>
      <c r="D288" t="s">
        <v>1218</v>
      </c>
      <c r="E288" s="4">
        <v>45465</v>
      </c>
      <c r="F288" s="6">
        <v>0</v>
      </c>
      <c r="G288" s="6" t="s">
        <v>2995</v>
      </c>
      <c r="H288" s="6" t="s">
        <v>2989</v>
      </c>
      <c r="I288" s="6"/>
      <c r="J288" s="6"/>
      <c r="K288" s="6"/>
      <c r="L288" s="6"/>
      <c r="M288" s="6" t="s">
        <v>3046</v>
      </c>
      <c r="N288" s="6"/>
      <c r="O288" s="6"/>
      <c r="P288">
        <f t="shared" si="12"/>
        <v>1</v>
      </c>
      <c r="Q288">
        <f>IF(AND(P288=1,OR(ISNUMBER(MATCH(H288,{"menace","othering","ridicule","blame","victim"},0)),ISNUMBER(MATCH(J288,{"menace","othering","ridicule","blame","victim"},0)),ISNUMBER(MATCH(L288,{"menace","othering","ridicule","blame","victim"},0)))),1,0)</f>
        <v>0</v>
      </c>
      <c r="R288">
        <f>IF(AND(P288=1,Q288=0,OR(ISNUMBER(MATCH(H288,{"wholesome","heroic"},0)),ISNUMBER(MATCH(J288,{"wholesome","heroic"},0)),ISNUMBER(MATCH(L288,{"wholesome","heroic"},0)))),1,0)</f>
        <v>0</v>
      </c>
      <c r="S288">
        <f t="shared" si="13"/>
        <v>1</v>
      </c>
      <c r="T288">
        <f t="shared" si="14"/>
        <v>1</v>
      </c>
      <c r="U288" t="s">
        <v>3053</v>
      </c>
    </row>
    <row r="289" spans="1:22" x14ac:dyDescent="0.25">
      <c r="A289" t="s">
        <v>3265</v>
      </c>
      <c r="B289">
        <v>2907</v>
      </c>
      <c r="C289" t="s">
        <v>28</v>
      </c>
      <c r="D289" t="s">
        <v>1218</v>
      </c>
      <c r="E289" s="4">
        <v>45478</v>
      </c>
      <c r="F289" s="6">
        <v>0</v>
      </c>
      <c r="G289" s="6" t="s">
        <v>2995</v>
      </c>
      <c r="H289" s="6" t="s">
        <v>2989</v>
      </c>
      <c r="I289" s="6"/>
      <c r="J289" s="6"/>
      <c r="K289" s="6"/>
      <c r="L289" s="6"/>
      <c r="M289" s="6" t="s">
        <v>3046</v>
      </c>
      <c r="N289" s="6"/>
      <c r="O289" s="6"/>
      <c r="P289">
        <f t="shared" si="12"/>
        <v>1</v>
      </c>
      <c r="Q289">
        <f>IF(AND(P289=1,OR(ISNUMBER(MATCH(H289,{"menace","othering","ridicule","blame","victim"},0)),ISNUMBER(MATCH(J289,{"menace","othering","ridicule","blame","victim"},0)),ISNUMBER(MATCH(L289,{"menace","othering","ridicule","blame","victim"},0)))),1,0)</f>
        <v>0</v>
      </c>
      <c r="R289">
        <f>IF(AND(P289=1,Q289=0,OR(ISNUMBER(MATCH(H289,{"wholesome","heroic"},0)),ISNUMBER(MATCH(J289,{"wholesome","heroic"},0)),ISNUMBER(MATCH(L289,{"wholesome","heroic"},0)))),1,0)</f>
        <v>0</v>
      </c>
      <c r="S289">
        <f t="shared" si="13"/>
        <v>1</v>
      </c>
      <c r="T289">
        <f t="shared" si="14"/>
        <v>1</v>
      </c>
      <c r="U289" t="s">
        <v>3053</v>
      </c>
    </row>
    <row r="290" spans="1:22" x14ac:dyDescent="0.25">
      <c r="A290" t="s">
        <v>3729</v>
      </c>
      <c r="B290">
        <v>2929</v>
      </c>
      <c r="C290" t="s">
        <v>26</v>
      </c>
      <c r="D290" t="s">
        <v>1218</v>
      </c>
      <c r="E290" s="4">
        <v>45331</v>
      </c>
      <c r="F290" s="6">
        <v>0</v>
      </c>
      <c r="G290" s="6" t="s">
        <v>2995</v>
      </c>
      <c r="H290" s="6" t="s">
        <v>2989</v>
      </c>
      <c r="I290" s="6"/>
      <c r="J290" s="6"/>
      <c r="K290" s="6"/>
      <c r="L290" s="6"/>
      <c r="M290" s="6" t="s">
        <v>3046</v>
      </c>
      <c r="N290" s="6"/>
      <c r="O290" s="6"/>
      <c r="P290">
        <f t="shared" si="12"/>
        <v>1</v>
      </c>
      <c r="Q290">
        <f>IF(AND(P290=1,OR(ISNUMBER(MATCH(H290,{"menace","othering","ridicule","blame","victim"},0)),ISNUMBER(MATCH(J290,{"menace","othering","ridicule","blame","victim"},0)),ISNUMBER(MATCH(L290,{"menace","othering","ridicule","blame","victim"},0)))),1,0)</f>
        <v>0</v>
      </c>
      <c r="R290">
        <f>IF(AND(P290=1,Q290=0,OR(ISNUMBER(MATCH(H290,{"wholesome","heroic"},0)),ISNUMBER(MATCH(J290,{"wholesome","heroic"},0)),ISNUMBER(MATCH(L290,{"wholesome","heroic"},0)))),1,0)</f>
        <v>0</v>
      </c>
      <c r="S290">
        <f t="shared" si="13"/>
        <v>1</v>
      </c>
      <c r="T290">
        <f t="shared" si="14"/>
        <v>1</v>
      </c>
      <c r="U290" t="s">
        <v>3049</v>
      </c>
      <c r="V290" t="s">
        <v>3242</v>
      </c>
    </row>
    <row r="291" spans="1:22" x14ac:dyDescent="0.25">
      <c r="A291" t="s">
        <v>3730</v>
      </c>
      <c r="B291">
        <v>2940</v>
      </c>
      <c r="C291" t="s">
        <v>26</v>
      </c>
      <c r="D291" t="s">
        <v>1218</v>
      </c>
      <c r="E291" s="4">
        <v>45334</v>
      </c>
      <c r="F291" s="6">
        <v>0</v>
      </c>
      <c r="G291" s="6" t="s">
        <v>2991</v>
      </c>
      <c r="H291" s="6" t="s">
        <v>2992</v>
      </c>
      <c r="I291" s="6"/>
      <c r="J291" s="6"/>
      <c r="K291" s="6"/>
      <c r="L291" s="6"/>
      <c r="M291" s="6" t="s">
        <v>3046</v>
      </c>
      <c r="N291" s="6"/>
      <c r="O291" s="6"/>
      <c r="P291">
        <f t="shared" si="12"/>
        <v>1</v>
      </c>
      <c r="Q291">
        <f>IF(AND(P291=1,OR(ISNUMBER(MATCH(H291,{"menace","othering","ridicule","blame","victim"},0)),ISNUMBER(MATCH(J291,{"menace","othering","ridicule","blame","victim"},0)),ISNUMBER(MATCH(L291,{"menace","othering","ridicule","blame","victim"},0)))),1,0)</f>
        <v>1</v>
      </c>
      <c r="R291">
        <f>IF(AND(P291=1,Q291=0,OR(ISNUMBER(MATCH(H291,{"wholesome","heroic"},0)),ISNUMBER(MATCH(J291,{"wholesome","heroic"},0)),ISNUMBER(MATCH(L291,{"wholesome","heroic"},0)))),1,0)</f>
        <v>0</v>
      </c>
      <c r="S291">
        <f t="shared" si="13"/>
        <v>0</v>
      </c>
      <c r="T291">
        <f t="shared" si="14"/>
        <v>0</v>
      </c>
      <c r="U291" t="s">
        <v>3049</v>
      </c>
      <c r="V291" t="s">
        <v>3251</v>
      </c>
    </row>
    <row r="292" spans="1:22" x14ac:dyDescent="0.25">
      <c r="A292" t="s">
        <v>3731</v>
      </c>
      <c r="B292">
        <v>2948</v>
      </c>
      <c r="C292" t="s">
        <v>26</v>
      </c>
      <c r="D292" t="s">
        <v>1218</v>
      </c>
      <c r="E292" s="4">
        <v>45335</v>
      </c>
      <c r="F292" s="6">
        <v>0</v>
      </c>
      <c r="G292" s="6" t="s">
        <v>3862</v>
      </c>
      <c r="H292" s="6" t="s">
        <v>2989</v>
      </c>
      <c r="I292" s="6"/>
      <c r="J292" s="6"/>
      <c r="K292" s="6"/>
      <c r="L292" s="6"/>
      <c r="M292" s="6" t="s">
        <v>3046</v>
      </c>
      <c r="N292" s="6"/>
      <c r="O292" s="6"/>
      <c r="P292">
        <f t="shared" si="12"/>
        <v>1</v>
      </c>
      <c r="Q292">
        <f>IF(AND(P292=1,OR(ISNUMBER(MATCH(H292,{"menace","othering","ridicule","blame","victim"},0)),ISNUMBER(MATCH(J292,{"menace","othering","ridicule","blame","victim"},0)),ISNUMBER(MATCH(L292,{"menace","othering","ridicule","blame","victim"},0)))),1,0)</f>
        <v>0</v>
      </c>
      <c r="R292">
        <f>IF(AND(P292=1,Q292=0,OR(ISNUMBER(MATCH(H292,{"wholesome","heroic"},0)),ISNUMBER(MATCH(J292,{"wholesome","heroic"},0)),ISNUMBER(MATCH(L292,{"wholesome","heroic"},0)))),1,0)</f>
        <v>0</v>
      </c>
      <c r="S292">
        <f t="shared" si="13"/>
        <v>1</v>
      </c>
      <c r="T292">
        <f t="shared" si="14"/>
        <v>0</v>
      </c>
      <c r="U292" t="s">
        <v>3049</v>
      </c>
      <c r="V292" t="s">
        <v>1925</v>
      </c>
    </row>
    <row r="293" spans="1:22" x14ac:dyDescent="0.25">
      <c r="A293" t="s">
        <v>3732</v>
      </c>
      <c r="B293">
        <v>2975</v>
      </c>
      <c r="C293" t="s">
        <v>26</v>
      </c>
      <c r="D293" t="s">
        <v>1218</v>
      </c>
      <c r="E293" s="4">
        <v>45338</v>
      </c>
      <c r="F293" s="6">
        <v>0</v>
      </c>
      <c r="G293" s="6" t="s">
        <v>3000</v>
      </c>
      <c r="H293" s="6" t="s">
        <v>2989</v>
      </c>
      <c r="I293" s="6"/>
      <c r="J293" s="6"/>
      <c r="K293" s="6"/>
      <c r="L293" s="6"/>
      <c r="M293" s="6" t="s">
        <v>3046</v>
      </c>
      <c r="N293" s="6"/>
      <c r="O293" s="6"/>
      <c r="P293">
        <f t="shared" si="12"/>
        <v>1</v>
      </c>
      <c r="Q293">
        <f>IF(AND(P293=1,OR(ISNUMBER(MATCH(H293,{"menace","othering","ridicule","blame","victim"},0)),ISNUMBER(MATCH(J293,{"menace","othering","ridicule","blame","victim"},0)),ISNUMBER(MATCH(L293,{"menace","othering","ridicule","blame","victim"},0)))),1,0)</f>
        <v>0</v>
      </c>
      <c r="R293">
        <f>IF(AND(P293=1,Q293=0,OR(ISNUMBER(MATCH(H293,{"wholesome","heroic"},0)),ISNUMBER(MATCH(J293,{"wholesome","heroic"},0)),ISNUMBER(MATCH(L293,{"wholesome","heroic"},0)))),1,0)</f>
        <v>0</v>
      </c>
      <c r="S293">
        <f t="shared" si="13"/>
        <v>1</v>
      </c>
      <c r="T293">
        <f t="shared" si="14"/>
        <v>0</v>
      </c>
      <c r="U293" t="s">
        <v>3049</v>
      </c>
      <c r="V293" t="s">
        <v>3253</v>
      </c>
    </row>
    <row r="294" spans="1:22" x14ac:dyDescent="0.25">
      <c r="A294" t="s">
        <v>3733</v>
      </c>
      <c r="B294">
        <v>2993</v>
      </c>
      <c r="C294" t="s">
        <v>26</v>
      </c>
      <c r="D294" t="s">
        <v>1218</v>
      </c>
      <c r="E294" s="4">
        <v>45340</v>
      </c>
      <c r="F294" s="6">
        <v>0</v>
      </c>
      <c r="G294" s="6" t="s">
        <v>2991</v>
      </c>
      <c r="H294" s="6" t="s">
        <v>2989</v>
      </c>
      <c r="I294" s="6"/>
      <c r="J294" s="6"/>
      <c r="K294" s="6"/>
      <c r="L294" s="6"/>
      <c r="M294" s="6" t="s">
        <v>3046</v>
      </c>
      <c r="N294" s="6"/>
      <c r="O294" s="6"/>
      <c r="P294">
        <f t="shared" si="12"/>
        <v>1</v>
      </c>
      <c r="Q294">
        <f>IF(AND(P294=1,OR(ISNUMBER(MATCH(H294,{"menace","othering","ridicule","blame","victim"},0)),ISNUMBER(MATCH(J294,{"menace","othering","ridicule","blame","victim"},0)),ISNUMBER(MATCH(L294,{"menace","othering","ridicule","blame","victim"},0)))),1,0)</f>
        <v>0</v>
      </c>
      <c r="R294">
        <f>IF(AND(P294=1,Q294=0,OR(ISNUMBER(MATCH(H294,{"wholesome","heroic"},0)),ISNUMBER(MATCH(J294,{"wholesome","heroic"},0)),ISNUMBER(MATCH(L294,{"wholesome","heroic"},0)))),1,0)</f>
        <v>0</v>
      </c>
      <c r="S294">
        <f t="shared" si="13"/>
        <v>1</v>
      </c>
      <c r="T294">
        <f t="shared" si="14"/>
        <v>0</v>
      </c>
      <c r="U294" t="s">
        <v>3049</v>
      </c>
      <c r="V294" t="s">
        <v>3250</v>
      </c>
    </row>
    <row r="295" spans="1:22" x14ac:dyDescent="0.25">
      <c r="A295" t="s">
        <v>3734</v>
      </c>
      <c r="B295">
        <v>3026</v>
      </c>
      <c r="C295" t="s">
        <v>26</v>
      </c>
      <c r="D295" t="s">
        <v>1218</v>
      </c>
      <c r="E295" s="4">
        <v>45344</v>
      </c>
      <c r="F295" s="6">
        <v>0</v>
      </c>
      <c r="G295" s="6" t="s">
        <v>2991</v>
      </c>
      <c r="H295" s="6" t="s">
        <v>2990</v>
      </c>
      <c r="I295" s="6"/>
      <c r="J295" s="6"/>
      <c r="K295" s="6"/>
      <c r="L295" s="6"/>
      <c r="M295" s="6" t="s">
        <v>3046</v>
      </c>
      <c r="N295" s="6"/>
      <c r="O295" s="6"/>
      <c r="P295">
        <f t="shared" si="12"/>
        <v>1</v>
      </c>
      <c r="Q295">
        <f>IF(AND(P295=1,OR(ISNUMBER(MATCH(H295,{"menace","othering","ridicule","blame","victim"},0)),ISNUMBER(MATCH(J295,{"menace","othering","ridicule","blame","victim"},0)),ISNUMBER(MATCH(L295,{"menace","othering","ridicule","blame","victim"},0)))),1,0)</f>
        <v>0</v>
      </c>
      <c r="R295">
        <f>IF(AND(P295=1,Q295=0,OR(ISNUMBER(MATCH(H295,{"wholesome","heroic"},0)),ISNUMBER(MATCH(J295,{"wholesome","heroic"},0)),ISNUMBER(MATCH(L295,{"wholesome","heroic"},0)))),1,0)</f>
        <v>1</v>
      </c>
      <c r="S295">
        <f t="shared" si="13"/>
        <v>0</v>
      </c>
      <c r="T295">
        <f t="shared" si="14"/>
        <v>0</v>
      </c>
      <c r="U295" t="s">
        <v>3049</v>
      </c>
      <c r="V295" t="s">
        <v>3248</v>
      </c>
    </row>
    <row r="296" spans="1:22" x14ac:dyDescent="0.25">
      <c r="A296" t="s">
        <v>3735</v>
      </c>
      <c r="B296">
        <v>3033</v>
      </c>
      <c r="C296" t="s">
        <v>26</v>
      </c>
      <c r="D296" t="s">
        <v>1218</v>
      </c>
      <c r="E296" s="4">
        <v>45345</v>
      </c>
      <c r="F296" s="6">
        <v>0</v>
      </c>
      <c r="G296" s="6" t="s">
        <v>2995</v>
      </c>
      <c r="H296" s="6" t="s">
        <v>2989</v>
      </c>
      <c r="I296" s="6" t="s">
        <v>3862</v>
      </c>
      <c r="J296" s="6" t="s">
        <v>2989</v>
      </c>
      <c r="K296" s="6"/>
      <c r="L296" s="6"/>
      <c r="M296" s="6" t="s">
        <v>3046</v>
      </c>
      <c r="N296" s="6" t="s">
        <v>3046</v>
      </c>
      <c r="O296" s="6"/>
      <c r="P296">
        <f t="shared" si="12"/>
        <v>1</v>
      </c>
      <c r="Q296">
        <f>IF(AND(P296=1,OR(ISNUMBER(MATCH(H296,{"menace","othering","ridicule","blame","victim"},0)),ISNUMBER(MATCH(J296,{"menace","othering","ridicule","blame","victim"},0)),ISNUMBER(MATCH(L296,{"menace","othering","ridicule","blame","victim"},0)))),1,0)</f>
        <v>0</v>
      </c>
      <c r="R296">
        <f>IF(AND(P296=1,Q296=0,OR(ISNUMBER(MATCH(H296,{"wholesome","heroic"},0)),ISNUMBER(MATCH(J296,{"wholesome","heroic"},0)),ISNUMBER(MATCH(L296,{"wholesome","heroic"},0)))),1,0)</f>
        <v>0</v>
      </c>
      <c r="S296">
        <f t="shared" si="13"/>
        <v>1</v>
      </c>
      <c r="T296">
        <f t="shared" si="14"/>
        <v>1</v>
      </c>
      <c r="U296" t="s">
        <v>3049</v>
      </c>
      <c r="V296" t="s">
        <v>3257</v>
      </c>
    </row>
    <row r="297" spans="1:22" x14ac:dyDescent="0.25">
      <c r="A297" t="s">
        <v>3262</v>
      </c>
      <c r="B297">
        <v>3092</v>
      </c>
      <c r="C297" t="s">
        <v>26</v>
      </c>
      <c r="D297" t="s">
        <v>1218</v>
      </c>
      <c r="E297" s="4">
        <v>45348</v>
      </c>
      <c r="F297" s="6">
        <v>0</v>
      </c>
      <c r="G297" s="6" t="s">
        <v>2995</v>
      </c>
      <c r="H297" s="6" t="s">
        <v>2990</v>
      </c>
      <c r="I297" s="6" t="s">
        <v>3000</v>
      </c>
      <c r="J297" s="6" t="s">
        <v>2989</v>
      </c>
      <c r="K297" s="6"/>
      <c r="L297" s="6"/>
      <c r="M297" s="6" t="s">
        <v>3046</v>
      </c>
      <c r="N297" s="6" t="s">
        <v>3046</v>
      </c>
      <c r="O297" s="6"/>
      <c r="P297">
        <f t="shared" si="12"/>
        <v>1</v>
      </c>
      <c r="Q297">
        <f>IF(AND(P297=1,OR(ISNUMBER(MATCH(H297,{"menace","othering","ridicule","blame","victim"},0)),ISNUMBER(MATCH(J297,{"menace","othering","ridicule","blame","victim"},0)),ISNUMBER(MATCH(L297,{"menace","othering","ridicule","blame","victim"},0)))),1,0)</f>
        <v>0</v>
      </c>
      <c r="R297">
        <f>IF(AND(P297=1,Q297=0,OR(ISNUMBER(MATCH(H297,{"wholesome","heroic"},0)),ISNUMBER(MATCH(J297,{"wholesome","heroic"},0)),ISNUMBER(MATCH(L297,{"wholesome","heroic"},0)))),1,0)</f>
        <v>1</v>
      </c>
      <c r="S297">
        <f t="shared" si="13"/>
        <v>0</v>
      </c>
      <c r="T297">
        <f t="shared" si="14"/>
        <v>1</v>
      </c>
      <c r="U297" t="s">
        <v>3053</v>
      </c>
    </row>
    <row r="298" spans="1:22" x14ac:dyDescent="0.25">
      <c r="A298" t="s">
        <v>3736</v>
      </c>
      <c r="B298">
        <v>3114</v>
      </c>
      <c r="C298" t="s">
        <v>26</v>
      </c>
      <c r="D298" t="s">
        <v>1218</v>
      </c>
      <c r="E298" s="4">
        <v>45350</v>
      </c>
      <c r="F298" s="6">
        <v>0</v>
      </c>
      <c r="G298" s="6" t="s">
        <v>3862</v>
      </c>
      <c r="H298" s="6" t="s">
        <v>2990</v>
      </c>
      <c r="I298" s="6"/>
      <c r="J298" s="6"/>
      <c r="K298" s="6"/>
      <c r="L298" s="6"/>
      <c r="M298" s="6" t="s">
        <v>3046</v>
      </c>
      <c r="N298" s="6"/>
      <c r="O298" s="6"/>
      <c r="P298">
        <f t="shared" si="12"/>
        <v>1</v>
      </c>
      <c r="Q298">
        <f>IF(AND(P298=1,OR(ISNUMBER(MATCH(H298,{"menace","othering","ridicule","blame","victim"},0)),ISNUMBER(MATCH(J298,{"menace","othering","ridicule","blame","victim"},0)),ISNUMBER(MATCH(L298,{"menace","othering","ridicule","blame","victim"},0)))),1,0)</f>
        <v>0</v>
      </c>
      <c r="R298">
        <f>IF(AND(P298=1,Q298=0,OR(ISNUMBER(MATCH(H298,{"wholesome","heroic"},0)),ISNUMBER(MATCH(J298,{"wholesome","heroic"},0)),ISNUMBER(MATCH(L298,{"wholesome","heroic"},0)))),1,0)</f>
        <v>1</v>
      </c>
      <c r="S298">
        <f t="shared" si="13"/>
        <v>0</v>
      </c>
      <c r="T298">
        <f t="shared" si="14"/>
        <v>0</v>
      </c>
      <c r="U298" t="s">
        <v>3049</v>
      </c>
      <c r="V298" t="s">
        <v>3260</v>
      </c>
    </row>
    <row r="299" spans="1:22" x14ac:dyDescent="0.25">
      <c r="A299" t="s">
        <v>3737</v>
      </c>
      <c r="B299">
        <v>3158</v>
      </c>
      <c r="C299" t="s">
        <v>26</v>
      </c>
      <c r="D299" t="s">
        <v>1218</v>
      </c>
      <c r="E299" s="4">
        <v>45354</v>
      </c>
      <c r="F299" s="6">
        <v>0</v>
      </c>
      <c r="G299" s="6" t="s">
        <v>2988</v>
      </c>
      <c r="H299" s="6" t="s">
        <v>2990</v>
      </c>
      <c r="I299" s="6"/>
      <c r="J299" s="6"/>
      <c r="K299" s="6"/>
      <c r="L299" s="6"/>
      <c r="M299" s="6" t="s">
        <v>3046</v>
      </c>
      <c r="N299" s="6"/>
      <c r="O299" s="6"/>
      <c r="P299">
        <f t="shared" si="12"/>
        <v>1</v>
      </c>
      <c r="Q299">
        <f>IF(AND(P299=1,OR(ISNUMBER(MATCH(H299,{"menace","othering","ridicule","blame","victim"},0)),ISNUMBER(MATCH(J299,{"menace","othering","ridicule","blame","victim"},0)),ISNUMBER(MATCH(L299,{"menace","othering","ridicule","blame","victim"},0)))),1,0)</f>
        <v>0</v>
      </c>
      <c r="R299">
        <f>IF(AND(P299=1,Q299=0,OR(ISNUMBER(MATCH(H299,{"wholesome","heroic"},0)),ISNUMBER(MATCH(J299,{"wholesome","heroic"},0)),ISNUMBER(MATCH(L299,{"wholesome","heroic"},0)))),1,0)</f>
        <v>1</v>
      </c>
      <c r="S299">
        <f t="shared" si="13"/>
        <v>0</v>
      </c>
      <c r="T299">
        <f t="shared" si="14"/>
        <v>0</v>
      </c>
      <c r="U299" t="s">
        <v>3049</v>
      </c>
      <c r="V299" t="s">
        <v>1928</v>
      </c>
    </row>
    <row r="300" spans="1:22" x14ac:dyDescent="0.25">
      <c r="A300" t="s">
        <v>3738</v>
      </c>
      <c r="B300">
        <v>3178</v>
      </c>
      <c r="C300" t="s">
        <v>26</v>
      </c>
      <c r="D300" t="s">
        <v>1218</v>
      </c>
      <c r="E300" s="4">
        <v>45354</v>
      </c>
      <c r="F300" s="6">
        <v>0</v>
      </c>
      <c r="G300" s="6" t="s">
        <v>2995</v>
      </c>
      <c r="H300" s="6" t="s">
        <v>2989</v>
      </c>
      <c r="I300" s="6"/>
      <c r="J300" s="6"/>
      <c r="K300" s="6"/>
      <c r="L300" s="6"/>
      <c r="M300" s="6" t="s">
        <v>3046</v>
      </c>
      <c r="N300" s="6"/>
      <c r="O300" s="6"/>
      <c r="P300">
        <f t="shared" si="12"/>
        <v>1</v>
      </c>
      <c r="Q300">
        <f>IF(AND(P300=1,OR(ISNUMBER(MATCH(H300,{"menace","othering","ridicule","blame","victim"},0)),ISNUMBER(MATCH(J300,{"menace","othering","ridicule","blame","victim"},0)),ISNUMBER(MATCH(L300,{"menace","othering","ridicule","blame","victim"},0)))),1,0)</f>
        <v>0</v>
      </c>
      <c r="R300">
        <f>IF(AND(P300=1,Q300=0,OR(ISNUMBER(MATCH(H300,{"wholesome","heroic"},0)),ISNUMBER(MATCH(J300,{"wholesome","heroic"},0)),ISNUMBER(MATCH(L300,{"wholesome","heroic"},0)))),1,0)</f>
        <v>0</v>
      </c>
      <c r="S300">
        <f t="shared" si="13"/>
        <v>1</v>
      </c>
      <c r="T300">
        <f t="shared" si="14"/>
        <v>1</v>
      </c>
      <c r="U300" t="s">
        <v>3049</v>
      </c>
      <c r="V300" t="s">
        <v>3263</v>
      </c>
    </row>
    <row r="301" spans="1:22" x14ac:dyDescent="0.25">
      <c r="A301" t="s">
        <v>3259</v>
      </c>
      <c r="B301">
        <v>3186</v>
      </c>
      <c r="C301" t="s">
        <v>26</v>
      </c>
      <c r="D301" t="s">
        <v>1218</v>
      </c>
      <c r="E301" s="4">
        <v>45354</v>
      </c>
      <c r="F301" s="6">
        <v>0</v>
      </c>
      <c r="G301" s="6" t="s">
        <v>2995</v>
      </c>
      <c r="H301" s="6" t="s">
        <v>2990</v>
      </c>
      <c r="I301" s="6" t="s">
        <v>2988</v>
      </c>
      <c r="J301" s="6" t="s">
        <v>2990</v>
      </c>
      <c r="K301" s="6"/>
      <c r="L301" s="6"/>
      <c r="M301" s="6" t="s">
        <v>3046</v>
      </c>
      <c r="N301" s="6" t="s">
        <v>3046</v>
      </c>
      <c r="O301" s="6"/>
      <c r="P301">
        <f t="shared" si="12"/>
        <v>1</v>
      </c>
      <c r="Q301">
        <f>IF(AND(P301=1,OR(ISNUMBER(MATCH(H301,{"menace","othering","ridicule","blame","victim"},0)),ISNUMBER(MATCH(J301,{"menace","othering","ridicule","blame","victim"},0)),ISNUMBER(MATCH(L301,{"menace","othering","ridicule","blame","victim"},0)))),1,0)</f>
        <v>0</v>
      </c>
      <c r="R301">
        <f>IF(AND(P301=1,Q301=0,OR(ISNUMBER(MATCH(H301,{"wholesome","heroic"},0)),ISNUMBER(MATCH(J301,{"wholesome","heroic"},0)),ISNUMBER(MATCH(L301,{"wholesome","heroic"},0)))),1,0)</f>
        <v>1</v>
      </c>
      <c r="S301">
        <f t="shared" si="13"/>
        <v>0</v>
      </c>
      <c r="T301">
        <f t="shared" si="14"/>
        <v>1</v>
      </c>
      <c r="U301" t="s">
        <v>3053</v>
      </c>
    </row>
    <row r="302" spans="1:22" x14ac:dyDescent="0.25">
      <c r="A302" t="s">
        <v>3256</v>
      </c>
      <c r="B302">
        <v>3279</v>
      </c>
      <c r="C302" t="s">
        <v>26</v>
      </c>
      <c r="D302" t="s">
        <v>1218</v>
      </c>
      <c r="E302" s="4">
        <v>45365</v>
      </c>
      <c r="F302" s="6">
        <v>0</v>
      </c>
      <c r="G302" s="6" t="s">
        <v>2986</v>
      </c>
      <c r="H302" s="6" t="s">
        <v>2989</v>
      </c>
      <c r="I302" s="6"/>
      <c r="J302" s="6"/>
      <c r="K302" s="6"/>
      <c r="L302" s="6"/>
      <c r="M302" s="6" t="s">
        <v>3046</v>
      </c>
      <c r="N302" s="6"/>
      <c r="O302" s="6"/>
      <c r="P302">
        <f t="shared" si="12"/>
        <v>1</v>
      </c>
      <c r="Q302">
        <f>IF(AND(P302=1,OR(ISNUMBER(MATCH(H302,{"menace","othering","ridicule","blame","victim"},0)),ISNUMBER(MATCH(J302,{"menace","othering","ridicule","blame","victim"},0)),ISNUMBER(MATCH(L302,{"menace","othering","ridicule","blame","victim"},0)))),1,0)</f>
        <v>0</v>
      </c>
      <c r="R302">
        <f>IF(AND(P302=1,Q302=0,OR(ISNUMBER(MATCH(H302,{"wholesome","heroic"},0)),ISNUMBER(MATCH(J302,{"wholesome","heroic"},0)),ISNUMBER(MATCH(L302,{"wholesome","heroic"},0)))),1,0)</f>
        <v>0</v>
      </c>
      <c r="S302">
        <f t="shared" si="13"/>
        <v>1</v>
      </c>
      <c r="T302">
        <f t="shared" si="14"/>
        <v>0</v>
      </c>
      <c r="U302" t="s">
        <v>3049</v>
      </c>
      <c r="V302" t="s">
        <v>1922</v>
      </c>
    </row>
    <row r="303" spans="1:22" x14ac:dyDescent="0.25">
      <c r="A303" t="s">
        <v>3739</v>
      </c>
      <c r="B303">
        <v>3307</v>
      </c>
      <c r="C303" t="s">
        <v>26</v>
      </c>
      <c r="D303" t="s">
        <v>1218</v>
      </c>
      <c r="E303" s="4">
        <v>45367</v>
      </c>
      <c r="F303" s="6">
        <v>0</v>
      </c>
      <c r="G303" s="6" t="s">
        <v>2986</v>
      </c>
      <c r="H303" s="6" t="s">
        <v>2985</v>
      </c>
      <c r="I303" s="6" t="s">
        <v>2988</v>
      </c>
      <c r="J303" s="6" t="s">
        <v>2987</v>
      </c>
      <c r="K303" s="6"/>
      <c r="L303" s="6"/>
      <c r="M303" s="6" t="s">
        <v>3046</v>
      </c>
      <c r="N303" s="6" t="s">
        <v>3046</v>
      </c>
      <c r="O303" s="6"/>
      <c r="P303">
        <f t="shared" si="12"/>
        <v>1</v>
      </c>
      <c r="Q303">
        <f>IF(AND(P303=1,OR(ISNUMBER(MATCH(H303,{"menace","othering","ridicule","blame","victim"},0)),ISNUMBER(MATCH(J303,{"menace","othering","ridicule","blame","victim"},0)),ISNUMBER(MATCH(L303,{"menace","othering","ridicule","blame","victim"},0)))),1,0)</f>
        <v>1</v>
      </c>
      <c r="R303">
        <f>IF(AND(P303=1,Q303=0,OR(ISNUMBER(MATCH(H303,{"wholesome","heroic"},0)),ISNUMBER(MATCH(J303,{"wholesome","heroic"},0)),ISNUMBER(MATCH(L303,{"wholesome","heroic"},0)))),1,0)</f>
        <v>0</v>
      </c>
      <c r="S303">
        <f t="shared" si="13"/>
        <v>0</v>
      </c>
      <c r="T303">
        <f t="shared" si="14"/>
        <v>0</v>
      </c>
      <c r="U303" t="s">
        <v>3049</v>
      </c>
      <c r="V303" t="s">
        <v>1929</v>
      </c>
    </row>
    <row r="304" spans="1:22" x14ac:dyDescent="0.25">
      <c r="A304" t="s">
        <v>3740</v>
      </c>
      <c r="B304">
        <v>3342</v>
      </c>
      <c r="C304" t="s">
        <v>26</v>
      </c>
      <c r="D304" t="s">
        <v>1218</v>
      </c>
      <c r="E304" s="4">
        <v>45371</v>
      </c>
      <c r="F304" s="6">
        <v>0</v>
      </c>
      <c r="G304" s="6" t="s">
        <v>2986</v>
      </c>
      <c r="H304" s="6" t="s">
        <v>2989</v>
      </c>
      <c r="I304" s="6"/>
      <c r="J304" s="6"/>
      <c r="K304" s="6"/>
      <c r="L304" s="6"/>
      <c r="M304" s="6" t="s">
        <v>3046</v>
      </c>
      <c r="N304" s="6"/>
      <c r="O304" s="6"/>
      <c r="P304">
        <f t="shared" si="12"/>
        <v>1</v>
      </c>
      <c r="Q304">
        <f>IF(AND(P304=1,OR(ISNUMBER(MATCH(H304,{"menace","othering","ridicule","blame","victim"},0)),ISNUMBER(MATCH(J304,{"menace","othering","ridicule","blame","victim"},0)),ISNUMBER(MATCH(L304,{"menace","othering","ridicule","blame","victim"},0)))),1,0)</f>
        <v>0</v>
      </c>
      <c r="R304">
        <f>IF(AND(P304=1,Q304=0,OR(ISNUMBER(MATCH(H304,{"wholesome","heroic"},0)),ISNUMBER(MATCH(J304,{"wholesome","heroic"},0)),ISNUMBER(MATCH(L304,{"wholesome","heroic"},0)))),1,0)</f>
        <v>0</v>
      </c>
      <c r="S304">
        <f t="shared" si="13"/>
        <v>1</v>
      </c>
      <c r="T304">
        <f t="shared" si="14"/>
        <v>0</v>
      </c>
      <c r="U304" t="s">
        <v>3049</v>
      </c>
      <c r="V304" t="s">
        <v>3252</v>
      </c>
    </row>
    <row r="305" spans="1:22" x14ac:dyDescent="0.25">
      <c r="A305" t="s">
        <v>3741</v>
      </c>
      <c r="B305">
        <v>3362</v>
      </c>
      <c r="C305" t="s">
        <v>26</v>
      </c>
      <c r="D305" t="s">
        <v>1218</v>
      </c>
      <c r="E305" s="4">
        <v>45373</v>
      </c>
      <c r="F305" s="6">
        <v>0</v>
      </c>
      <c r="G305" s="6" t="s">
        <v>2988</v>
      </c>
      <c r="H305" s="6" t="s">
        <v>2990</v>
      </c>
      <c r="I305" s="6" t="s">
        <v>2991</v>
      </c>
      <c r="J305" s="6" t="s">
        <v>2990</v>
      </c>
      <c r="K305" s="6"/>
      <c r="L305" s="6"/>
      <c r="M305" s="6" t="s">
        <v>3046</v>
      </c>
      <c r="N305" s="6" t="s">
        <v>3046</v>
      </c>
      <c r="O305" s="6"/>
      <c r="P305">
        <f t="shared" si="12"/>
        <v>1</v>
      </c>
      <c r="Q305">
        <f>IF(AND(P305=1,OR(ISNUMBER(MATCH(H305,{"menace","othering","ridicule","blame","victim"},0)),ISNUMBER(MATCH(J305,{"menace","othering","ridicule","blame","victim"},0)),ISNUMBER(MATCH(L305,{"menace","othering","ridicule","blame","victim"},0)))),1,0)</f>
        <v>0</v>
      </c>
      <c r="R305">
        <f>IF(AND(P305=1,Q305=0,OR(ISNUMBER(MATCH(H305,{"wholesome","heroic"},0)),ISNUMBER(MATCH(J305,{"wholesome","heroic"},0)),ISNUMBER(MATCH(L305,{"wholesome","heroic"},0)))),1,0)</f>
        <v>1</v>
      </c>
      <c r="S305">
        <f t="shared" si="13"/>
        <v>0</v>
      </c>
      <c r="T305">
        <f t="shared" si="14"/>
        <v>0</v>
      </c>
      <c r="U305" t="s">
        <v>3049</v>
      </c>
      <c r="V305" t="s">
        <v>3254</v>
      </c>
    </row>
    <row r="306" spans="1:22" x14ac:dyDescent="0.25">
      <c r="A306" t="s">
        <v>3742</v>
      </c>
      <c r="B306">
        <v>3394</v>
      </c>
      <c r="C306" t="s">
        <v>26</v>
      </c>
      <c r="D306" t="s">
        <v>1218</v>
      </c>
      <c r="E306" s="4">
        <v>45376</v>
      </c>
      <c r="F306" s="6">
        <v>0</v>
      </c>
      <c r="G306" s="6" t="s">
        <v>3862</v>
      </c>
      <c r="H306" s="6" t="s">
        <v>2989</v>
      </c>
      <c r="I306" s="6"/>
      <c r="J306" s="6"/>
      <c r="K306" s="6"/>
      <c r="L306" s="6"/>
      <c r="M306" s="6" t="s">
        <v>3046</v>
      </c>
      <c r="N306" s="6"/>
      <c r="O306" s="6"/>
      <c r="P306">
        <f t="shared" si="12"/>
        <v>1</v>
      </c>
      <c r="Q306">
        <f>IF(AND(P306=1,OR(ISNUMBER(MATCH(H306,{"menace","othering","ridicule","blame","victim"},0)),ISNUMBER(MATCH(J306,{"menace","othering","ridicule","blame","victim"},0)),ISNUMBER(MATCH(L306,{"menace","othering","ridicule","blame","victim"},0)))),1,0)</f>
        <v>0</v>
      </c>
      <c r="R306">
        <f>IF(AND(P306=1,Q306=0,OR(ISNUMBER(MATCH(H306,{"wholesome","heroic"},0)),ISNUMBER(MATCH(J306,{"wholesome","heroic"},0)),ISNUMBER(MATCH(L306,{"wholesome","heroic"},0)))),1,0)</f>
        <v>0</v>
      </c>
      <c r="S306">
        <f t="shared" si="13"/>
        <v>1</v>
      </c>
      <c r="T306">
        <f t="shared" si="14"/>
        <v>0</v>
      </c>
      <c r="U306" t="s">
        <v>3049</v>
      </c>
      <c r="V306" t="s">
        <v>1926</v>
      </c>
    </row>
    <row r="307" spans="1:22" x14ac:dyDescent="0.25">
      <c r="A307" t="s">
        <v>3249</v>
      </c>
      <c r="B307">
        <v>3434</v>
      </c>
      <c r="C307" t="s">
        <v>26</v>
      </c>
      <c r="D307" t="s">
        <v>1218</v>
      </c>
      <c r="E307" s="4">
        <v>45379</v>
      </c>
      <c r="F307" s="6">
        <v>0</v>
      </c>
      <c r="G307" s="6" t="s">
        <v>3862</v>
      </c>
      <c r="H307" s="6" t="s">
        <v>2989</v>
      </c>
      <c r="I307" s="6"/>
      <c r="J307" s="6"/>
      <c r="K307" s="6"/>
      <c r="L307" s="6"/>
      <c r="M307" s="6" t="s">
        <v>3046</v>
      </c>
      <c r="N307" s="6"/>
      <c r="O307" s="6"/>
      <c r="P307">
        <f t="shared" si="12"/>
        <v>1</v>
      </c>
      <c r="Q307">
        <f>IF(AND(P307=1,OR(ISNUMBER(MATCH(H307,{"menace","othering","ridicule","blame","victim"},0)),ISNUMBER(MATCH(J307,{"menace","othering","ridicule","blame","victim"},0)),ISNUMBER(MATCH(L307,{"menace","othering","ridicule","blame","victim"},0)))),1,0)</f>
        <v>0</v>
      </c>
      <c r="R307">
        <f>IF(AND(P307=1,Q307=0,OR(ISNUMBER(MATCH(H307,{"wholesome","heroic"},0)),ISNUMBER(MATCH(J307,{"wholesome","heroic"},0)),ISNUMBER(MATCH(L307,{"wholesome","heroic"},0)))),1,0)</f>
        <v>0</v>
      </c>
      <c r="S307">
        <f t="shared" si="13"/>
        <v>1</v>
      </c>
      <c r="T307">
        <f t="shared" si="14"/>
        <v>0</v>
      </c>
      <c r="U307" t="s">
        <v>3049</v>
      </c>
      <c r="V307" t="s">
        <v>3244</v>
      </c>
    </row>
    <row r="308" spans="1:22" x14ac:dyDescent="0.25">
      <c r="A308" t="s">
        <v>3743</v>
      </c>
      <c r="B308">
        <v>3507</v>
      </c>
      <c r="C308" t="s">
        <v>26</v>
      </c>
      <c r="D308" t="s">
        <v>1218</v>
      </c>
      <c r="E308" s="4">
        <v>45388</v>
      </c>
      <c r="F308" s="6">
        <v>0</v>
      </c>
      <c r="G308" s="6" t="s">
        <v>3862</v>
      </c>
      <c r="H308" s="6" t="s">
        <v>2989</v>
      </c>
      <c r="I308" s="6" t="s">
        <v>2988</v>
      </c>
      <c r="J308" s="6" t="s">
        <v>2989</v>
      </c>
      <c r="K308" s="6"/>
      <c r="L308" s="6"/>
      <c r="M308" s="6" t="s">
        <v>3046</v>
      </c>
      <c r="N308" s="6" t="s">
        <v>3046</v>
      </c>
      <c r="O308" s="6"/>
      <c r="P308">
        <f t="shared" si="12"/>
        <v>1</v>
      </c>
      <c r="Q308">
        <f>IF(AND(P308=1,OR(ISNUMBER(MATCH(H308,{"menace","othering","ridicule","blame","victim"},0)),ISNUMBER(MATCH(J308,{"menace","othering","ridicule","blame","victim"},0)),ISNUMBER(MATCH(L308,{"menace","othering","ridicule","blame","victim"},0)))),1,0)</f>
        <v>0</v>
      </c>
      <c r="R308">
        <f>IF(AND(P308=1,Q308=0,OR(ISNUMBER(MATCH(H308,{"wholesome","heroic"},0)),ISNUMBER(MATCH(J308,{"wholesome","heroic"},0)),ISNUMBER(MATCH(L308,{"wholesome","heroic"},0)))),1,0)</f>
        <v>0</v>
      </c>
      <c r="S308">
        <f t="shared" si="13"/>
        <v>1</v>
      </c>
      <c r="T308">
        <f t="shared" si="14"/>
        <v>0</v>
      </c>
      <c r="U308" t="s">
        <v>3049</v>
      </c>
      <c r="V308" t="s">
        <v>1924</v>
      </c>
    </row>
    <row r="309" spans="1:22" x14ac:dyDescent="0.25">
      <c r="A309" t="s">
        <v>3247</v>
      </c>
      <c r="B309">
        <v>3517</v>
      </c>
      <c r="C309" t="s">
        <v>26</v>
      </c>
      <c r="D309" t="s">
        <v>1218</v>
      </c>
      <c r="E309" s="4">
        <v>45388</v>
      </c>
      <c r="F309" s="6">
        <v>0</v>
      </c>
      <c r="G309" s="6" t="s">
        <v>2991</v>
      </c>
      <c r="H309" s="6" t="s">
        <v>2990</v>
      </c>
      <c r="I309" s="6"/>
      <c r="J309" s="6"/>
      <c r="K309" s="6"/>
      <c r="L309" s="6"/>
      <c r="M309" s="6" t="s">
        <v>3046</v>
      </c>
      <c r="N309" s="6"/>
      <c r="O309" s="6"/>
      <c r="P309">
        <f t="shared" si="12"/>
        <v>1</v>
      </c>
      <c r="Q309">
        <f>IF(AND(P309=1,OR(ISNUMBER(MATCH(H309,{"menace","othering","ridicule","blame","victim"},0)),ISNUMBER(MATCH(J309,{"menace","othering","ridicule","blame","victim"},0)),ISNUMBER(MATCH(L309,{"menace","othering","ridicule","blame","victim"},0)))),1,0)</f>
        <v>0</v>
      </c>
      <c r="R309">
        <f>IF(AND(P309=1,Q309=0,OR(ISNUMBER(MATCH(H309,{"wholesome","heroic"},0)),ISNUMBER(MATCH(J309,{"wholesome","heroic"},0)),ISNUMBER(MATCH(L309,{"wholesome","heroic"},0)))),1,0)</f>
        <v>1</v>
      </c>
      <c r="S309">
        <f t="shared" si="13"/>
        <v>0</v>
      </c>
      <c r="T309">
        <f t="shared" si="14"/>
        <v>0</v>
      </c>
      <c r="U309" t="s">
        <v>3053</v>
      </c>
    </row>
    <row r="310" spans="1:22" x14ac:dyDescent="0.25">
      <c r="A310" t="s">
        <v>3744</v>
      </c>
      <c r="B310">
        <v>3530</v>
      </c>
      <c r="C310" t="s">
        <v>26</v>
      </c>
      <c r="D310" t="s">
        <v>1218</v>
      </c>
      <c r="E310" s="4">
        <v>45390</v>
      </c>
      <c r="F310" s="6">
        <v>0</v>
      </c>
      <c r="G310" s="6" t="s">
        <v>2988</v>
      </c>
      <c r="H310" s="6" t="s">
        <v>2987</v>
      </c>
      <c r="I310" s="6"/>
      <c r="J310" s="6"/>
      <c r="K310" s="6"/>
      <c r="L310" s="6"/>
      <c r="M310" s="6" t="s">
        <v>3046</v>
      </c>
      <c r="N310" s="6"/>
      <c r="O310" s="6"/>
      <c r="P310">
        <f t="shared" si="12"/>
        <v>1</v>
      </c>
      <c r="Q310">
        <f>IF(AND(P310=1,OR(ISNUMBER(MATCH(H310,{"menace","othering","ridicule","blame","victim"},0)),ISNUMBER(MATCH(J310,{"menace","othering","ridicule","blame","victim"},0)),ISNUMBER(MATCH(L310,{"menace","othering","ridicule","blame","victim"},0)))),1,0)</f>
        <v>1</v>
      </c>
      <c r="R310">
        <f>IF(AND(P310=1,Q310=0,OR(ISNUMBER(MATCH(H310,{"wholesome","heroic"},0)),ISNUMBER(MATCH(J310,{"wholesome","heroic"},0)),ISNUMBER(MATCH(L310,{"wholesome","heroic"},0)))),1,0)</f>
        <v>0</v>
      </c>
      <c r="S310">
        <f t="shared" si="13"/>
        <v>0</v>
      </c>
      <c r="T310">
        <f t="shared" si="14"/>
        <v>0</v>
      </c>
      <c r="U310" t="s">
        <v>3049</v>
      </c>
      <c r="V310" t="s">
        <v>3261</v>
      </c>
    </row>
    <row r="311" spans="1:22" x14ac:dyDescent="0.25">
      <c r="A311" t="s">
        <v>3745</v>
      </c>
      <c r="B311">
        <v>3554</v>
      </c>
      <c r="C311" t="s">
        <v>26</v>
      </c>
      <c r="D311" t="s">
        <v>1218</v>
      </c>
      <c r="E311" s="4">
        <v>45392</v>
      </c>
      <c r="F311" s="6">
        <v>0</v>
      </c>
      <c r="G311" s="6" t="s">
        <v>2988</v>
      </c>
      <c r="H311" s="6" t="s">
        <v>2987</v>
      </c>
      <c r="I311" s="6"/>
      <c r="J311" s="6"/>
      <c r="K311" s="6"/>
      <c r="L311" s="6"/>
      <c r="M311" s="6" t="s">
        <v>3046</v>
      </c>
      <c r="N311" s="6"/>
      <c r="O311" s="6"/>
      <c r="P311">
        <f t="shared" si="12"/>
        <v>1</v>
      </c>
      <c r="Q311">
        <f>IF(AND(P311=1,OR(ISNUMBER(MATCH(H311,{"menace","othering","ridicule","blame","victim"},0)),ISNUMBER(MATCH(J311,{"menace","othering","ridicule","blame","victim"},0)),ISNUMBER(MATCH(L311,{"menace","othering","ridicule","blame","victim"},0)))),1,0)</f>
        <v>1</v>
      </c>
      <c r="R311">
        <f>IF(AND(P311=1,Q311=0,OR(ISNUMBER(MATCH(H311,{"wholesome","heroic"},0)),ISNUMBER(MATCH(J311,{"wholesome","heroic"},0)),ISNUMBER(MATCH(L311,{"wholesome","heroic"},0)))),1,0)</f>
        <v>0</v>
      </c>
      <c r="S311">
        <f t="shared" si="13"/>
        <v>0</v>
      </c>
      <c r="T311">
        <f t="shared" si="14"/>
        <v>0</v>
      </c>
      <c r="U311" t="s">
        <v>3049</v>
      </c>
      <c r="V311" t="s">
        <v>1923</v>
      </c>
    </row>
    <row r="312" spans="1:22" x14ac:dyDescent="0.25">
      <c r="A312" t="s">
        <v>3746</v>
      </c>
      <c r="B312">
        <v>3560</v>
      </c>
      <c r="C312" t="s">
        <v>26</v>
      </c>
      <c r="D312" t="s">
        <v>1218</v>
      </c>
      <c r="E312" s="4">
        <v>45393</v>
      </c>
      <c r="F312" s="6">
        <v>0</v>
      </c>
      <c r="G312" s="6" t="s">
        <v>3862</v>
      </c>
      <c r="H312" s="6" t="s">
        <v>2989</v>
      </c>
      <c r="I312" s="6"/>
      <c r="J312" s="6"/>
      <c r="K312" s="6"/>
      <c r="L312" s="6"/>
      <c r="M312" s="6" t="s">
        <v>3046</v>
      </c>
      <c r="N312" s="6"/>
      <c r="O312" s="6"/>
      <c r="P312">
        <f t="shared" si="12"/>
        <v>1</v>
      </c>
      <c r="Q312">
        <f>IF(AND(P312=1,OR(ISNUMBER(MATCH(H312,{"menace","othering","ridicule","blame","victim"},0)),ISNUMBER(MATCH(J312,{"menace","othering","ridicule","blame","victim"},0)),ISNUMBER(MATCH(L312,{"menace","othering","ridicule","blame","victim"},0)))),1,0)</f>
        <v>0</v>
      </c>
      <c r="R312">
        <f>IF(AND(P312=1,Q312=0,OR(ISNUMBER(MATCH(H312,{"wholesome","heroic"},0)),ISNUMBER(MATCH(J312,{"wholesome","heroic"},0)),ISNUMBER(MATCH(L312,{"wholesome","heroic"},0)))),1,0)</f>
        <v>0</v>
      </c>
      <c r="S312">
        <f t="shared" si="13"/>
        <v>1</v>
      </c>
      <c r="T312">
        <f t="shared" si="14"/>
        <v>0</v>
      </c>
      <c r="U312" t="s">
        <v>3049</v>
      </c>
      <c r="V312" t="s">
        <v>1927</v>
      </c>
    </row>
    <row r="313" spans="1:22" x14ac:dyDescent="0.25">
      <c r="A313" t="s">
        <v>3246</v>
      </c>
      <c r="B313">
        <v>3565</v>
      </c>
      <c r="C313" t="s">
        <v>26</v>
      </c>
      <c r="D313" t="s">
        <v>1218</v>
      </c>
      <c r="E313" s="4">
        <v>45393</v>
      </c>
      <c r="F313" s="6">
        <v>0</v>
      </c>
      <c r="G313" s="6" t="s">
        <v>2989</v>
      </c>
      <c r="H313" s="6" t="s">
        <v>2989</v>
      </c>
      <c r="I313" s="6"/>
      <c r="J313" s="6"/>
      <c r="K313" s="6"/>
      <c r="L313" s="6"/>
      <c r="M313" s="6"/>
      <c r="N313" s="6"/>
      <c r="O313" s="6"/>
      <c r="P313">
        <f t="shared" si="12"/>
        <v>1</v>
      </c>
      <c r="Q313">
        <f>IF(AND(P313=1,OR(ISNUMBER(MATCH(H313,{"menace","othering","ridicule","blame","victim"},0)),ISNUMBER(MATCH(J313,{"menace","othering","ridicule","blame","victim"},0)),ISNUMBER(MATCH(L313,{"menace","othering","ridicule","blame","victim"},0)))),1,0)</f>
        <v>0</v>
      </c>
      <c r="R313">
        <f>IF(AND(P313=1,Q313=0,OR(ISNUMBER(MATCH(H313,{"wholesome","heroic"},0)),ISNUMBER(MATCH(J313,{"wholesome","heroic"},0)),ISNUMBER(MATCH(L313,{"wholesome","heroic"},0)))),1,0)</f>
        <v>0</v>
      </c>
      <c r="S313">
        <f t="shared" si="13"/>
        <v>1</v>
      </c>
      <c r="T313">
        <f t="shared" si="14"/>
        <v>0</v>
      </c>
      <c r="U313" t="s">
        <v>3053</v>
      </c>
    </row>
    <row r="314" spans="1:22" x14ac:dyDescent="0.25">
      <c r="A314" t="s">
        <v>3245</v>
      </c>
      <c r="B314">
        <v>3593</v>
      </c>
      <c r="C314" t="s">
        <v>26</v>
      </c>
      <c r="D314" t="s">
        <v>1218</v>
      </c>
      <c r="E314" s="4">
        <v>45397</v>
      </c>
      <c r="F314" s="6">
        <v>0</v>
      </c>
      <c r="G314" s="6" t="s">
        <v>2995</v>
      </c>
      <c r="H314" s="6" t="s">
        <v>2994</v>
      </c>
      <c r="I314" s="6"/>
      <c r="J314" s="6"/>
      <c r="K314" s="6"/>
      <c r="L314" s="6"/>
      <c r="M314" s="6" t="s">
        <v>3046</v>
      </c>
      <c r="N314" s="6"/>
      <c r="O314" s="6"/>
      <c r="P314">
        <f t="shared" si="12"/>
        <v>1</v>
      </c>
      <c r="Q314">
        <f>IF(AND(P314=1,OR(ISNUMBER(MATCH(H314,{"menace","othering","ridicule","blame","victim"},0)),ISNUMBER(MATCH(J314,{"menace","othering","ridicule","blame","victim"},0)),ISNUMBER(MATCH(L314,{"menace","othering","ridicule","blame","victim"},0)))),1,0)</f>
        <v>0</v>
      </c>
      <c r="R314">
        <f>IF(AND(P314=1,Q314=0,OR(ISNUMBER(MATCH(H314,{"wholesome","heroic"},0)),ISNUMBER(MATCH(J314,{"wholesome","heroic"},0)),ISNUMBER(MATCH(L314,{"wholesome","heroic"},0)))),1,0)</f>
        <v>1</v>
      </c>
      <c r="S314">
        <f t="shared" si="13"/>
        <v>0</v>
      </c>
      <c r="T314">
        <f t="shared" si="14"/>
        <v>1</v>
      </c>
      <c r="U314" t="s">
        <v>3053</v>
      </c>
    </row>
    <row r="315" spans="1:22" x14ac:dyDescent="0.25">
      <c r="A315" t="s">
        <v>3243</v>
      </c>
      <c r="B315">
        <v>3640</v>
      </c>
      <c r="C315" t="s">
        <v>26</v>
      </c>
      <c r="D315" t="s">
        <v>1218</v>
      </c>
      <c r="E315" s="4">
        <v>45403</v>
      </c>
      <c r="F315" s="6">
        <v>0</v>
      </c>
      <c r="G315" s="6" t="s">
        <v>2988</v>
      </c>
      <c r="H315" s="6" t="s">
        <v>2990</v>
      </c>
      <c r="I315" s="6" t="s">
        <v>2995</v>
      </c>
      <c r="J315" s="6" t="s">
        <v>2990</v>
      </c>
      <c r="K315" s="6"/>
      <c r="L315" s="6"/>
      <c r="M315" s="6" t="s">
        <v>3046</v>
      </c>
      <c r="N315" s="6" t="s">
        <v>3046</v>
      </c>
      <c r="O315" s="6"/>
      <c r="P315">
        <f t="shared" si="12"/>
        <v>1</v>
      </c>
      <c r="Q315">
        <f>IF(AND(P315=1,OR(ISNUMBER(MATCH(H315,{"menace","othering","ridicule","blame","victim"},0)),ISNUMBER(MATCH(J315,{"menace","othering","ridicule","blame","victim"},0)),ISNUMBER(MATCH(L315,{"menace","othering","ridicule","blame","victim"},0)))),1,0)</f>
        <v>0</v>
      </c>
      <c r="R315">
        <f>IF(AND(P315=1,Q315=0,OR(ISNUMBER(MATCH(H315,{"wholesome","heroic"},0)),ISNUMBER(MATCH(J315,{"wholesome","heroic"},0)),ISNUMBER(MATCH(L315,{"wholesome","heroic"},0)))),1,0)</f>
        <v>1</v>
      </c>
      <c r="S315">
        <f t="shared" si="13"/>
        <v>0</v>
      </c>
      <c r="T315">
        <f t="shared" si="14"/>
        <v>1</v>
      </c>
      <c r="U315" t="s">
        <v>3053</v>
      </c>
    </row>
    <row r="316" spans="1:22" x14ac:dyDescent="0.25">
      <c r="A316" t="s">
        <v>3241</v>
      </c>
      <c r="B316">
        <v>3749</v>
      </c>
      <c r="C316" t="s">
        <v>26</v>
      </c>
      <c r="D316" t="s">
        <v>1218</v>
      </c>
      <c r="E316" s="4">
        <v>45418</v>
      </c>
      <c r="F316" s="6">
        <v>0</v>
      </c>
      <c r="G316" s="6" t="s">
        <v>3862</v>
      </c>
      <c r="H316" s="6" t="s">
        <v>2989</v>
      </c>
      <c r="I316" s="6"/>
      <c r="J316" s="6"/>
      <c r="K316" s="6"/>
      <c r="L316" s="6"/>
      <c r="M316" s="6" t="s">
        <v>3046</v>
      </c>
      <c r="N316" s="6"/>
      <c r="O316" s="6"/>
      <c r="P316">
        <f t="shared" si="12"/>
        <v>1</v>
      </c>
      <c r="Q316">
        <f>IF(AND(P316=1,OR(ISNUMBER(MATCH(H316,{"menace","othering","ridicule","blame","victim"},0)),ISNUMBER(MATCH(J316,{"menace","othering","ridicule","blame","victim"},0)),ISNUMBER(MATCH(L316,{"menace","othering","ridicule","blame","victim"},0)))),1,0)</f>
        <v>0</v>
      </c>
      <c r="R316">
        <f>IF(AND(P316=1,Q316=0,OR(ISNUMBER(MATCH(H316,{"wholesome","heroic"},0)),ISNUMBER(MATCH(J316,{"wholesome","heroic"},0)),ISNUMBER(MATCH(L316,{"wholesome","heroic"},0)))),1,0)</f>
        <v>0</v>
      </c>
      <c r="S316">
        <f t="shared" si="13"/>
        <v>1</v>
      </c>
      <c r="T316">
        <f t="shared" si="14"/>
        <v>0</v>
      </c>
      <c r="U316" t="s">
        <v>3053</v>
      </c>
    </row>
    <row r="317" spans="1:22" x14ac:dyDescent="0.25">
      <c r="A317" t="s">
        <v>3240</v>
      </c>
      <c r="B317">
        <v>3762</v>
      </c>
      <c r="C317" t="s">
        <v>26</v>
      </c>
      <c r="D317" t="s">
        <v>1218</v>
      </c>
      <c r="E317" s="4">
        <v>45419</v>
      </c>
      <c r="F317" s="6">
        <v>0</v>
      </c>
      <c r="G317" s="6" t="s">
        <v>2988</v>
      </c>
      <c r="H317" s="6" t="s">
        <v>2990</v>
      </c>
      <c r="I317" s="6" t="s">
        <v>2995</v>
      </c>
      <c r="J317" s="6" t="s">
        <v>2994</v>
      </c>
      <c r="K317" s="6" t="s">
        <v>3862</v>
      </c>
      <c r="L317" s="6" t="s">
        <v>2994</v>
      </c>
      <c r="M317" s="6" t="s">
        <v>3046</v>
      </c>
      <c r="N317" s="6" t="s">
        <v>3046</v>
      </c>
      <c r="O317" s="6" t="s">
        <v>3046</v>
      </c>
      <c r="P317">
        <f t="shared" si="12"/>
        <v>1</v>
      </c>
      <c r="Q317">
        <f>IF(AND(P317=1,OR(ISNUMBER(MATCH(H317,{"menace","othering","ridicule","blame","victim"},0)),ISNUMBER(MATCH(J317,{"menace","othering","ridicule","blame","victim"},0)),ISNUMBER(MATCH(L317,{"menace","othering","ridicule","blame","victim"},0)))),1,0)</f>
        <v>0</v>
      </c>
      <c r="R317">
        <f>IF(AND(P317=1,Q317=0,OR(ISNUMBER(MATCH(H317,{"wholesome","heroic"},0)),ISNUMBER(MATCH(J317,{"wholesome","heroic"},0)),ISNUMBER(MATCH(L317,{"wholesome","heroic"},0)))),1,0)</f>
        <v>1</v>
      </c>
      <c r="S317">
        <f t="shared" si="13"/>
        <v>0</v>
      </c>
      <c r="T317">
        <f t="shared" si="14"/>
        <v>1</v>
      </c>
      <c r="U317" t="s">
        <v>3053</v>
      </c>
    </row>
    <row r="318" spans="1:22" x14ac:dyDescent="0.25">
      <c r="A318" t="s">
        <v>3747</v>
      </c>
      <c r="B318">
        <v>3788</v>
      </c>
      <c r="C318" t="s">
        <v>26</v>
      </c>
      <c r="D318" t="s">
        <v>1218</v>
      </c>
      <c r="E318" s="4">
        <v>45423</v>
      </c>
      <c r="F318" s="6">
        <v>0</v>
      </c>
      <c r="G318" s="6" t="s">
        <v>2995</v>
      </c>
      <c r="H318" s="6" t="s">
        <v>2994</v>
      </c>
      <c r="I318" s="6" t="s">
        <v>3862</v>
      </c>
      <c r="J318" s="6" t="s">
        <v>2994</v>
      </c>
      <c r="K318" s="6" t="s">
        <v>2988</v>
      </c>
      <c r="L318" s="6" t="s">
        <v>2990</v>
      </c>
      <c r="M318" s="6" t="s">
        <v>3046</v>
      </c>
      <c r="N318" s="6" t="s">
        <v>3046</v>
      </c>
      <c r="O318" s="6" t="s">
        <v>3046</v>
      </c>
      <c r="P318">
        <f t="shared" si="12"/>
        <v>1</v>
      </c>
      <c r="Q318">
        <f>IF(AND(P318=1,OR(ISNUMBER(MATCH(H318,{"menace","othering","ridicule","blame","victim"},0)),ISNUMBER(MATCH(J318,{"menace","othering","ridicule","blame","victim"},0)),ISNUMBER(MATCH(L318,{"menace","othering","ridicule","blame","victim"},0)))),1,0)</f>
        <v>0</v>
      </c>
      <c r="R318">
        <f>IF(AND(P318=1,Q318=0,OR(ISNUMBER(MATCH(H318,{"wholesome","heroic"},0)),ISNUMBER(MATCH(J318,{"wholesome","heroic"},0)),ISNUMBER(MATCH(L318,{"wholesome","heroic"},0)))),1,0)</f>
        <v>1</v>
      </c>
      <c r="S318">
        <f t="shared" si="13"/>
        <v>0</v>
      </c>
      <c r="T318">
        <f t="shared" si="14"/>
        <v>1</v>
      </c>
      <c r="U318" t="s">
        <v>3049</v>
      </c>
      <c r="V318" t="s">
        <v>3255</v>
      </c>
    </row>
    <row r="319" spans="1:22" x14ac:dyDescent="0.25">
      <c r="A319" t="s">
        <v>3748</v>
      </c>
      <c r="B319">
        <v>3792</v>
      </c>
      <c r="C319" t="s">
        <v>26</v>
      </c>
      <c r="D319" t="s">
        <v>1218</v>
      </c>
      <c r="E319" s="4">
        <v>45425</v>
      </c>
      <c r="F319" s="6">
        <v>0</v>
      </c>
      <c r="G319" s="6" t="s">
        <v>2999</v>
      </c>
      <c r="H319" s="6" t="s">
        <v>2989</v>
      </c>
      <c r="I319" s="6"/>
      <c r="J319" s="6"/>
      <c r="K319" s="6"/>
      <c r="L319" s="6"/>
      <c r="M319" s="6" t="s">
        <v>3046</v>
      </c>
      <c r="N319" s="6"/>
      <c r="O319" s="6"/>
      <c r="P319">
        <f t="shared" si="12"/>
        <v>1</v>
      </c>
      <c r="Q319">
        <f>IF(AND(P319=1,OR(ISNUMBER(MATCH(H319,{"menace","othering","ridicule","blame","victim"},0)),ISNUMBER(MATCH(J319,{"menace","othering","ridicule","blame","victim"},0)),ISNUMBER(MATCH(L319,{"menace","othering","ridicule","blame","victim"},0)))),1,0)</f>
        <v>0</v>
      </c>
      <c r="R319">
        <f>IF(AND(P319=1,Q319=0,OR(ISNUMBER(MATCH(H319,{"wholesome","heroic"},0)),ISNUMBER(MATCH(J319,{"wholesome","heroic"},0)),ISNUMBER(MATCH(L319,{"wholesome","heroic"},0)))),1,0)</f>
        <v>0</v>
      </c>
      <c r="S319">
        <f t="shared" si="13"/>
        <v>1</v>
      </c>
      <c r="T319">
        <f t="shared" si="14"/>
        <v>0</v>
      </c>
      <c r="U319" t="s">
        <v>3049</v>
      </c>
      <c r="V319" t="s">
        <v>3258</v>
      </c>
    </row>
    <row r="320" spans="1:22" x14ac:dyDescent="0.25">
      <c r="A320" t="s">
        <v>3239</v>
      </c>
      <c r="B320">
        <v>3846</v>
      </c>
      <c r="C320" t="s">
        <v>26</v>
      </c>
      <c r="D320" t="s">
        <v>1218</v>
      </c>
      <c r="E320" s="4">
        <v>45436</v>
      </c>
      <c r="F320" s="6">
        <v>0</v>
      </c>
      <c r="G320" s="6" t="s">
        <v>3862</v>
      </c>
      <c r="H320" s="6" t="s">
        <v>2989</v>
      </c>
      <c r="I320" s="6"/>
      <c r="J320" s="6"/>
      <c r="K320" s="6"/>
      <c r="L320" s="6"/>
      <c r="M320" s="6" t="s">
        <v>3046</v>
      </c>
      <c r="N320" s="6"/>
      <c r="O320" s="6"/>
      <c r="P320">
        <f t="shared" si="12"/>
        <v>1</v>
      </c>
      <c r="Q320">
        <f>IF(AND(P320=1,OR(ISNUMBER(MATCH(H320,{"menace","othering","ridicule","blame","victim"},0)),ISNUMBER(MATCH(J320,{"menace","othering","ridicule","blame","victim"},0)),ISNUMBER(MATCH(L320,{"menace","othering","ridicule","blame","victim"},0)))),1,0)</f>
        <v>0</v>
      </c>
      <c r="R320">
        <f>IF(AND(P320=1,Q320=0,OR(ISNUMBER(MATCH(H320,{"wholesome","heroic"},0)),ISNUMBER(MATCH(J320,{"wholesome","heroic"},0)),ISNUMBER(MATCH(L320,{"wholesome","heroic"},0)))),1,0)</f>
        <v>0</v>
      </c>
      <c r="S320">
        <f t="shared" si="13"/>
        <v>1</v>
      </c>
      <c r="T320">
        <f t="shared" si="14"/>
        <v>0</v>
      </c>
      <c r="U320" t="s">
        <v>3053</v>
      </c>
    </row>
    <row r="321" spans="1:22" x14ac:dyDescent="0.25">
      <c r="A321" t="s">
        <v>3238</v>
      </c>
      <c r="B321">
        <v>3933</v>
      </c>
      <c r="C321" t="s">
        <v>26</v>
      </c>
      <c r="D321" t="s">
        <v>1218</v>
      </c>
      <c r="E321" s="4">
        <v>45447</v>
      </c>
      <c r="F321" s="6">
        <v>0</v>
      </c>
      <c r="G321" s="6" t="s">
        <v>2995</v>
      </c>
      <c r="H321" s="6" t="s">
        <v>2989</v>
      </c>
      <c r="I321" s="6" t="s">
        <v>3862</v>
      </c>
      <c r="J321" s="6" t="s">
        <v>2989</v>
      </c>
      <c r="K321" s="6"/>
      <c r="L321" s="6"/>
      <c r="M321" s="6" t="s">
        <v>3046</v>
      </c>
      <c r="N321" s="6" t="s">
        <v>3046</v>
      </c>
      <c r="O321" s="6"/>
      <c r="P321">
        <f t="shared" si="12"/>
        <v>1</v>
      </c>
      <c r="Q321">
        <f>IF(AND(P321=1,OR(ISNUMBER(MATCH(H321,{"menace","othering","ridicule","blame","victim"},0)),ISNUMBER(MATCH(J321,{"menace","othering","ridicule","blame","victim"},0)),ISNUMBER(MATCH(L321,{"menace","othering","ridicule","blame","victim"},0)))),1,0)</f>
        <v>0</v>
      </c>
      <c r="R321">
        <f>IF(AND(P321=1,Q321=0,OR(ISNUMBER(MATCH(H321,{"wholesome","heroic"},0)),ISNUMBER(MATCH(J321,{"wholesome","heroic"},0)),ISNUMBER(MATCH(L321,{"wholesome","heroic"},0)))),1,0)</f>
        <v>0</v>
      </c>
      <c r="S321">
        <f t="shared" si="13"/>
        <v>1</v>
      </c>
      <c r="T321">
        <f t="shared" si="14"/>
        <v>1</v>
      </c>
      <c r="U321" t="s">
        <v>3053</v>
      </c>
    </row>
    <row r="322" spans="1:22" x14ac:dyDescent="0.25">
      <c r="A322" t="s">
        <v>3237</v>
      </c>
      <c r="B322">
        <v>3986</v>
      </c>
      <c r="C322" t="s">
        <v>26</v>
      </c>
      <c r="D322" t="s">
        <v>1218</v>
      </c>
      <c r="E322" s="4">
        <v>45461</v>
      </c>
      <c r="F322" s="6">
        <v>0</v>
      </c>
      <c r="G322" s="6" t="s">
        <v>2995</v>
      </c>
      <c r="H322" s="6" t="s">
        <v>2989</v>
      </c>
      <c r="I322" s="6"/>
      <c r="J322" s="6"/>
      <c r="K322" s="6"/>
      <c r="L322" s="6"/>
      <c r="M322" s="6" t="s">
        <v>3046</v>
      </c>
      <c r="N322" s="6"/>
      <c r="O322" s="6"/>
      <c r="P322">
        <f t="shared" ref="P322:P385" si="15">IF(F322=0,1,0)</f>
        <v>1</v>
      </c>
      <c r="Q322">
        <f>IF(AND(P322=1,OR(ISNUMBER(MATCH(H322,{"menace","othering","ridicule","blame","victim"},0)),ISNUMBER(MATCH(J322,{"menace","othering","ridicule","blame","victim"},0)),ISNUMBER(MATCH(L322,{"menace","othering","ridicule","blame","victim"},0)))),1,0)</f>
        <v>0</v>
      </c>
      <c r="R322">
        <f>IF(AND(P322=1,Q322=0,OR(ISNUMBER(MATCH(H322,{"wholesome","heroic"},0)),ISNUMBER(MATCH(J322,{"wholesome","heroic"},0)),ISNUMBER(MATCH(L322,{"wholesome","heroic"},0)))),1,0)</f>
        <v>0</v>
      </c>
      <c r="S322">
        <f t="shared" ref="S322:S385" si="16">IF(AND(P322=1,Q322=0,R322=0),1,0)</f>
        <v>1</v>
      </c>
      <c r="T322">
        <f t="shared" ref="T322:T385" si="17">IF(AND(P322=1,OR(G322="own_leader",I322="own_leader",K322="own_leader")),1,0)</f>
        <v>1</v>
      </c>
      <c r="U322" t="s">
        <v>3053</v>
      </c>
    </row>
    <row r="323" spans="1:22" x14ac:dyDescent="0.25">
      <c r="A323" t="s">
        <v>3749</v>
      </c>
      <c r="B323">
        <v>3989</v>
      </c>
      <c r="C323" t="s">
        <v>26</v>
      </c>
      <c r="D323" t="s">
        <v>1218</v>
      </c>
      <c r="E323" s="4">
        <v>45461</v>
      </c>
      <c r="F323" s="6">
        <v>0</v>
      </c>
      <c r="G323" s="6" t="s">
        <v>2995</v>
      </c>
      <c r="H323" s="6" t="s">
        <v>2989</v>
      </c>
      <c r="I323" s="6"/>
      <c r="J323" s="6"/>
      <c r="K323" s="6"/>
      <c r="L323" s="6"/>
      <c r="M323" s="6" t="s">
        <v>3046</v>
      </c>
      <c r="N323" s="6"/>
      <c r="O323" s="6"/>
      <c r="P323">
        <f t="shared" si="15"/>
        <v>1</v>
      </c>
      <c r="Q323">
        <f>IF(AND(P323=1,OR(ISNUMBER(MATCH(H323,{"menace","othering","ridicule","blame","victim"},0)),ISNUMBER(MATCH(J323,{"menace","othering","ridicule","blame","victim"},0)),ISNUMBER(MATCH(L323,{"menace","othering","ridicule","blame","victim"},0)))),1,0)</f>
        <v>0</v>
      </c>
      <c r="R323">
        <f>IF(AND(P323=1,Q323=0,OR(ISNUMBER(MATCH(H323,{"wholesome","heroic"},0)),ISNUMBER(MATCH(J323,{"wholesome","heroic"},0)),ISNUMBER(MATCH(L323,{"wholesome","heroic"},0)))),1,0)</f>
        <v>0</v>
      </c>
      <c r="S323">
        <f t="shared" si="16"/>
        <v>1</v>
      </c>
      <c r="T323">
        <f t="shared" si="17"/>
        <v>1</v>
      </c>
      <c r="U323" t="s">
        <v>3049</v>
      </c>
      <c r="V323" t="s">
        <v>3264</v>
      </c>
    </row>
    <row r="324" spans="1:22" x14ac:dyDescent="0.25">
      <c r="A324" t="s">
        <v>3236</v>
      </c>
      <c r="B324">
        <v>4005</v>
      </c>
      <c r="C324" t="s">
        <v>26</v>
      </c>
      <c r="D324" t="s">
        <v>1218</v>
      </c>
      <c r="E324" s="4">
        <v>45463</v>
      </c>
      <c r="F324" s="6">
        <v>0</v>
      </c>
      <c r="G324" s="6" t="s">
        <v>2995</v>
      </c>
      <c r="H324" s="6" t="s">
        <v>2989</v>
      </c>
      <c r="I324" s="6" t="s">
        <v>2986</v>
      </c>
      <c r="J324" s="6" t="s">
        <v>2989</v>
      </c>
      <c r="K324" s="6"/>
      <c r="L324" s="6"/>
      <c r="M324" s="6" t="s">
        <v>3046</v>
      </c>
      <c r="N324" s="6" t="s">
        <v>3046</v>
      </c>
      <c r="O324" s="6"/>
      <c r="P324">
        <f t="shared" si="15"/>
        <v>1</v>
      </c>
      <c r="Q324">
        <f>IF(AND(P324=1,OR(ISNUMBER(MATCH(H324,{"menace","othering","ridicule","blame","victim"},0)),ISNUMBER(MATCH(J324,{"menace","othering","ridicule","blame","victim"},0)),ISNUMBER(MATCH(L324,{"menace","othering","ridicule","blame","victim"},0)))),1,0)</f>
        <v>0</v>
      </c>
      <c r="R324">
        <f>IF(AND(P324=1,Q324=0,OR(ISNUMBER(MATCH(H324,{"wholesome","heroic"},0)),ISNUMBER(MATCH(J324,{"wholesome","heroic"},0)),ISNUMBER(MATCH(L324,{"wholesome","heroic"},0)))),1,0)</f>
        <v>0</v>
      </c>
      <c r="S324">
        <f t="shared" si="16"/>
        <v>1</v>
      </c>
      <c r="T324">
        <f t="shared" si="17"/>
        <v>1</v>
      </c>
      <c r="U324" t="s">
        <v>3053</v>
      </c>
    </row>
    <row r="325" spans="1:22" x14ac:dyDescent="0.25">
      <c r="A325" t="s">
        <v>3235</v>
      </c>
      <c r="B325">
        <v>4033</v>
      </c>
      <c r="C325" t="s">
        <v>26</v>
      </c>
      <c r="D325" t="s">
        <v>1218</v>
      </c>
      <c r="E325" s="4">
        <v>45469</v>
      </c>
      <c r="F325" s="6">
        <v>0</v>
      </c>
      <c r="G325" s="6" t="s">
        <v>2995</v>
      </c>
      <c r="H325" s="6" t="s">
        <v>2989</v>
      </c>
      <c r="I325" s="6" t="s">
        <v>2986</v>
      </c>
      <c r="J325" s="6" t="s">
        <v>2989</v>
      </c>
      <c r="K325" s="6"/>
      <c r="L325" s="6"/>
      <c r="M325" s="6" t="s">
        <v>3046</v>
      </c>
      <c r="N325" s="6" t="s">
        <v>3046</v>
      </c>
      <c r="O325" s="6"/>
      <c r="P325">
        <f t="shared" si="15"/>
        <v>1</v>
      </c>
      <c r="Q325">
        <f>IF(AND(P325=1,OR(ISNUMBER(MATCH(H325,{"menace","othering","ridicule","blame","victim"},0)),ISNUMBER(MATCH(J325,{"menace","othering","ridicule","blame","victim"},0)),ISNUMBER(MATCH(L325,{"menace","othering","ridicule","blame","victim"},0)))),1,0)</f>
        <v>0</v>
      </c>
      <c r="R325">
        <f>IF(AND(P325=1,Q325=0,OR(ISNUMBER(MATCH(H325,{"wholesome","heroic"},0)),ISNUMBER(MATCH(J325,{"wholesome","heroic"},0)),ISNUMBER(MATCH(L325,{"wholesome","heroic"},0)))),1,0)</f>
        <v>0</v>
      </c>
      <c r="S325">
        <f t="shared" si="16"/>
        <v>1</v>
      </c>
      <c r="T325">
        <f t="shared" si="17"/>
        <v>1</v>
      </c>
      <c r="U325" t="s">
        <v>3053</v>
      </c>
    </row>
    <row r="326" spans="1:22" x14ac:dyDescent="0.25">
      <c r="A326" t="s">
        <v>3234</v>
      </c>
      <c r="B326">
        <v>4067</v>
      </c>
      <c r="C326" t="s">
        <v>26</v>
      </c>
      <c r="D326" t="s">
        <v>1218</v>
      </c>
      <c r="E326" s="4">
        <v>45474</v>
      </c>
      <c r="F326" s="6">
        <v>0</v>
      </c>
      <c r="G326" s="6" t="s">
        <v>2995</v>
      </c>
      <c r="H326" s="6" t="s">
        <v>2990</v>
      </c>
      <c r="I326" s="6" t="s">
        <v>3862</v>
      </c>
      <c r="J326" s="6" t="s">
        <v>2990</v>
      </c>
      <c r="K326" s="6"/>
      <c r="L326" s="6"/>
      <c r="M326" s="6" t="s">
        <v>3046</v>
      </c>
      <c r="N326" s="6" t="s">
        <v>3046</v>
      </c>
      <c r="O326" s="6"/>
      <c r="P326">
        <f t="shared" si="15"/>
        <v>1</v>
      </c>
      <c r="Q326">
        <f>IF(AND(P326=1,OR(ISNUMBER(MATCH(H326,{"menace","othering","ridicule","blame","victim"},0)),ISNUMBER(MATCH(J326,{"menace","othering","ridicule","blame","victim"},0)),ISNUMBER(MATCH(L326,{"menace","othering","ridicule","blame","victim"},0)))),1,0)</f>
        <v>0</v>
      </c>
      <c r="R326">
        <f>IF(AND(P326=1,Q326=0,OR(ISNUMBER(MATCH(H326,{"wholesome","heroic"},0)),ISNUMBER(MATCH(J326,{"wholesome","heroic"},0)),ISNUMBER(MATCH(L326,{"wholesome","heroic"},0)))),1,0)</f>
        <v>1</v>
      </c>
      <c r="S326">
        <f t="shared" si="16"/>
        <v>0</v>
      </c>
      <c r="T326">
        <f t="shared" si="17"/>
        <v>1</v>
      </c>
      <c r="U326" t="s">
        <v>3053</v>
      </c>
    </row>
    <row r="327" spans="1:22" x14ac:dyDescent="0.25">
      <c r="A327" t="s">
        <v>3233</v>
      </c>
      <c r="B327">
        <v>4120</v>
      </c>
      <c r="C327" t="s">
        <v>26</v>
      </c>
      <c r="D327" t="s">
        <v>1218</v>
      </c>
      <c r="E327" s="4">
        <v>45478</v>
      </c>
      <c r="F327" s="6">
        <v>0</v>
      </c>
      <c r="G327" s="6" t="s">
        <v>2995</v>
      </c>
      <c r="H327" s="6" t="s">
        <v>2989</v>
      </c>
      <c r="I327" s="6"/>
      <c r="J327" s="6"/>
      <c r="K327" s="6"/>
      <c r="L327" s="6"/>
      <c r="M327" s="6" t="s">
        <v>3046</v>
      </c>
      <c r="N327" s="6"/>
      <c r="O327" s="6"/>
      <c r="P327">
        <f t="shared" si="15"/>
        <v>1</v>
      </c>
      <c r="Q327">
        <f>IF(AND(P327=1,OR(ISNUMBER(MATCH(H327,{"menace","othering","ridicule","blame","victim"},0)),ISNUMBER(MATCH(J327,{"menace","othering","ridicule","blame","victim"},0)),ISNUMBER(MATCH(L327,{"menace","othering","ridicule","blame","victim"},0)))),1,0)</f>
        <v>0</v>
      </c>
      <c r="R327">
        <f>IF(AND(P327=1,Q327=0,OR(ISNUMBER(MATCH(H327,{"wholesome","heroic"},0)),ISNUMBER(MATCH(J327,{"wholesome","heroic"},0)),ISNUMBER(MATCH(L327,{"wholesome","heroic"},0)))),1,0)</f>
        <v>0</v>
      </c>
      <c r="S327">
        <f t="shared" si="16"/>
        <v>1</v>
      </c>
      <c r="T327">
        <f t="shared" si="17"/>
        <v>1</v>
      </c>
      <c r="U327" t="s">
        <v>3049</v>
      </c>
      <c r="V327" t="s">
        <v>1921</v>
      </c>
    </row>
    <row r="328" spans="1:22" x14ac:dyDescent="0.25">
      <c r="A328" t="s">
        <v>3750</v>
      </c>
      <c r="B328">
        <v>4134</v>
      </c>
      <c r="C328" t="s">
        <v>30</v>
      </c>
      <c r="D328" t="s">
        <v>1455</v>
      </c>
      <c r="E328" s="4">
        <v>45329</v>
      </c>
      <c r="F328" s="6">
        <v>0</v>
      </c>
      <c r="G328" s="6" t="s">
        <v>2986</v>
      </c>
      <c r="H328" s="6" t="s">
        <v>2989</v>
      </c>
      <c r="I328" s="6"/>
      <c r="J328" s="6"/>
      <c r="K328" s="6"/>
      <c r="L328" s="6"/>
      <c r="M328" s="6" t="s">
        <v>3046</v>
      </c>
      <c r="N328" s="6"/>
      <c r="O328" s="6"/>
      <c r="P328">
        <f t="shared" si="15"/>
        <v>1</v>
      </c>
      <c r="Q328">
        <f>IF(AND(P328=1,OR(ISNUMBER(MATCH(H328,{"menace","othering","ridicule","blame","victim"},0)),ISNUMBER(MATCH(J328,{"menace","othering","ridicule","blame","victim"},0)),ISNUMBER(MATCH(L328,{"menace","othering","ridicule","blame","victim"},0)))),1,0)</f>
        <v>0</v>
      </c>
      <c r="R328">
        <f>IF(AND(P328=1,Q328=0,OR(ISNUMBER(MATCH(H328,{"wholesome","heroic"},0)),ISNUMBER(MATCH(J328,{"wholesome","heroic"},0)),ISNUMBER(MATCH(L328,{"wholesome","heroic"},0)))),1,0)</f>
        <v>0</v>
      </c>
      <c r="S328">
        <f t="shared" si="16"/>
        <v>1</v>
      </c>
      <c r="T328">
        <f t="shared" si="17"/>
        <v>0</v>
      </c>
      <c r="U328" t="s">
        <v>3049</v>
      </c>
      <c r="V328" t="s">
        <v>3077</v>
      </c>
    </row>
    <row r="329" spans="1:22" x14ac:dyDescent="0.25">
      <c r="A329" t="s">
        <v>3232</v>
      </c>
      <c r="B329">
        <v>4147</v>
      </c>
      <c r="C329" t="s">
        <v>30</v>
      </c>
      <c r="D329" t="s">
        <v>1455</v>
      </c>
      <c r="E329" s="4">
        <v>45333</v>
      </c>
      <c r="F329" s="6">
        <v>0</v>
      </c>
      <c r="G329" s="6" t="s">
        <v>2995</v>
      </c>
      <c r="H329" s="6" t="s">
        <v>2989</v>
      </c>
      <c r="I329" s="6" t="s">
        <v>2986</v>
      </c>
      <c r="J329" s="6" t="s">
        <v>2989</v>
      </c>
      <c r="K329" s="6"/>
      <c r="L329" s="6"/>
      <c r="M329" s="6" t="s">
        <v>3046</v>
      </c>
      <c r="N329" s="6" t="s">
        <v>3046</v>
      </c>
      <c r="O329" s="6"/>
      <c r="P329">
        <f t="shared" si="15"/>
        <v>1</v>
      </c>
      <c r="Q329">
        <f>IF(AND(P329=1,OR(ISNUMBER(MATCH(H329,{"menace","othering","ridicule","blame","victim"},0)),ISNUMBER(MATCH(J329,{"menace","othering","ridicule","blame","victim"},0)),ISNUMBER(MATCH(L329,{"menace","othering","ridicule","blame","victim"},0)))),1,0)</f>
        <v>0</v>
      </c>
      <c r="R329">
        <f>IF(AND(P329=1,Q329=0,OR(ISNUMBER(MATCH(H329,{"wholesome","heroic"},0)),ISNUMBER(MATCH(J329,{"wholesome","heroic"},0)),ISNUMBER(MATCH(L329,{"wholesome","heroic"},0)))),1,0)</f>
        <v>0</v>
      </c>
      <c r="S329">
        <f t="shared" si="16"/>
        <v>1</v>
      </c>
      <c r="T329">
        <f t="shared" si="17"/>
        <v>1</v>
      </c>
      <c r="U329" t="s">
        <v>3053</v>
      </c>
    </row>
    <row r="330" spans="1:22" x14ac:dyDescent="0.25">
      <c r="A330" t="s">
        <v>3231</v>
      </c>
      <c r="B330">
        <v>4166</v>
      </c>
      <c r="C330" t="s">
        <v>30</v>
      </c>
      <c r="D330" t="s">
        <v>1455</v>
      </c>
      <c r="E330" s="4">
        <v>45337</v>
      </c>
      <c r="F330" s="6">
        <v>0</v>
      </c>
      <c r="G330" s="6" t="s">
        <v>2998</v>
      </c>
      <c r="H330" s="6" t="s">
        <v>2989</v>
      </c>
      <c r="I330" s="6" t="s">
        <v>2991</v>
      </c>
      <c r="J330" s="6" t="s">
        <v>2989</v>
      </c>
      <c r="K330" s="6" t="s">
        <v>2995</v>
      </c>
      <c r="L330" s="6" t="s">
        <v>2989</v>
      </c>
      <c r="M330" s="6" t="s">
        <v>3046</v>
      </c>
      <c r="N330" s="6" t="s">
        <v>3046</v>
      </c>
      <c r="O330" s="6" t="s">
        <v>3046</v>
      </c>
      <c r="P330">
        <f t="shared" si="15"/>
        <v>1</v>
      </c>
      <c r="Q330">
        <f>IF(AND(P330=1,OR(ISNUMBER(MATCH(H330,{"menace","othering","ridicule","blame","victim"},0)),ISNUMBER(MATCH(J330,{"menace","othering","ridicule","blame","victim"},0)),ISNUMBER(MATCH(L330,{"menace","othering","ridicule","blame","victim"},0)))),1,0)</f>
        <v>0</v>
      </c>
      <c r="R330">
        <f>IF(AND(P330=1,Q330=0,OR(ISNUMBER(MATCH(H330,{"wholesome","heroic"},0)),ISNUMBER(MATCH(J330,{"wholesome","heroic"},0)),ISNUMBER(MATCH(L330,{"wholesome","heroic"},0)))),1,0)</f>
        <v>0</v>
      </c>
      <c r="S330">
        <f t="shared" si="16"/>
        <v>1</v>
      </c>
      <c r="T330">
        <f t="shared" si="17"/>
        <v>1</v>
      </c>
      <c r="U330" t="s">
        <v>3053</v>
      </c>
    </row>
    <row r="331" spans="1:22" x14ac:dyDescent="0.25">
      <c r="A331" t="s">
        <v>3751</v>
      </c>
      <c r="B331">
        <v>4167</v>
      </c>
      <c r="C331" t="s">
        <v>30</v>
      </c>
      <c r="D331" t="s">
        <v>1455</v>
      </c>
      <c r="E331" s="4">
        <v>45337</v>
      </c>
      <c r="F331" s="6">
        <v>0</v>
      </c>
      <c r="G331" s="6" t="s">
        <v>2986</v>
      </c>
      <c r="H331" s="6" t="s">
        <v>2989</v>
      </c>
      <c r="I331" s="6"/>
      <c r="J331" s="6"/>
      <c r="K331" s="6"/>
      <c r="L331" s="6"/>
      <c r="M331" s="6" t="s">
        <v>3046</v>
      </c>
      <c r="N331" s="6"/>
      <c r="O331" s="6"/>
      <c r="P331">
        <f t="shared" si="15"/>
        <v>1</v>
      </c>
      <c r="Q331">
        <f>IF(AND(P331=1,OR(ISNUMBER(MATCH(H331,{"menace","othering","ridicule","blame","victim"},0)),ISNUMBER(MATCH(J331,{"menace","othering","ridicule","blame","victim"},0)),ISNUMBER(MATCH(L331,{"menace","othering","ridicule","blame","victim"},0)))),1,0)</f>
        <v>0</v>
      </c>
      <c r="R331">
        <f>IF(AND(P331=1,Q331=0,OR(ISNUMBER(MATCH(H331,{"wholesome","heroic"},0)),ISNUMBER(MATCH(J331,{"wholesome","heroic"},0)),ISNUMBER(MATCH(L331,{"wholesome","heroic"},0)))),1,0)</f>
        <v>0</v>
      </c>
      <c r="S331">
        <f t="shared" si="16"/>
        <v>1</v>
      </c>
      <c r="T331">
        <f t="shared" si="17"/>
        <v>0</v>
      </c>
      <c r="U331" t="s">
        <v>3049</v>
      </c>
      <c r="V331" t="s">
        <v>1920</v>
      </c>
    </row>
    <row r="332" spans="1:22" x14ac:dyDescent="0.25">
      <c r="A332" t="s">
        <v>3752</v>
      </c>
      <c r="B332">
        <v>4213</v>
      </c>
      <c r="C332" t="s">
        <v>30</v>
      </c>
      <c r="D332" t="s">
        <v>1455</v>
      </c>
      <c r="E332" s="4">
        <v>45350</v>
      </c>
      <c r="F332" s="6">
        <v>0</v>
      </c>
      <c r="G332" s="6" t="s">
        <v>2991</v>
      </c>
      <c r="H332" s="6" t="s">
        <v>2989</v>
      </c>
      <c r="I332" s="6" t="s">
        <v>2988</v>
      </c>
      <c r="J332" s="6" t="s">
        <v>2989</v>
      </c>
      <c r="K332" s="6"/>
      <c r="L332" s="6"/>
      <c r="M332" s="6" t="s">
        <v>3046</v>
      </c>
      <c r="N332" s="6" t="s">
        <v>3046</v>
      </c>
      <c r="O332" s="6"/>
      <c r="P332">
        <f t="shared" si="15"/>
        <v>1</v>
      </c>
      <c r="Q332">
        <f>IF(AND(P332=1,OR(ISNUMBER(MATCH(H332,{"menace","othering","ridicule","blame","victim"},0)),ISNUMBER(MATCH(J332,{"menace","othering","ridicule","blame","victim"},0)),ISNUMBER(MATCH(L332,{"menace","othering","ridicule","blame","victim"},0)))),1,0)</f>
        <v>0</v>
      </c>
      <c r="R332">
        <f>IF(AND(P332=1,Q332=0,OR(ISNUMBER(MATCH(H332,{"wholesome","heroic"},0)),ISNUMBER(MATCH(J332,{"wholesome","heroic"},0)),ISNUMBER(MATCH(L332,{"wholesome","heroic"},0)))),1,0)</f>
        <v>0</v>
      </c>
      <c r="S332">
        <f t="shared" si="16"/>
        <v>1</v>
      </c>
      <c r="T332">
        <f t="shared" si="17"/>
        <v>0</v>
      </c>
      <c r="U332" t="s">
        <v>3049</v>
      </c>
      <c r="V332" t="s">
        <v>3230</v>
      </c>
    </row>
    <row r="333" spans="1:22" x14ac:dyDescent="0.25">
      <c r="A333" t="s">
        <v>3229</v>
      </c>
      <c r="B333">
        <v>4228</v>
      </c>
      <c r="C333" t="s">
        <v>30</v>
      </c>
      <c r="D333" t="s">
        <v>1455</v>
      </c>
      <c r="E333" s="4">
        <v>45355</v>
      </c>
      <c r="F333" s="6">
        <v>0</v>
      </c>
      <c r="G333" s="6" t="s">
        <v>2995</v>
      </c>
      <c r="H333" s="6" t="s">
        <v>2990</v>
      </c>
      <c r="I333" s="6" t="s">
        <v>2988</v>
      </c>
      <c r="J333" s="6" t="s">
        <v>2989</v>
      </c>
      <c r="K333" s="6"/>
      <c r="L333" s="6"/>
      <c r="M333" s="6" t="s">
        <v>3046</v>
      </c>
      <c r="N333" s="6" t="s">
        <v>3046</v>
      </c>
      <c r="O333" s="6"/>
      <c r="P333">
        <f t="shared" si="15"/>
        <v>1</v>
      </c>
      <c r="Q333">
        <f>IF(AND(P333=1,OR(ISNUMBER(MATCH(H333,{"menace","othering","ridicule","blame","victim"},0)),ISNUMBER(MATCH(J333,{"menace","othering","ridicule","blame","victim"},0)),ISNUMBER(MATCH(L333,{"menace","othering","ridicule","blame","victim"},0)))),1,0)</f>
        <v>0</v>
      </c>
      <c r="R333">
        <f>IF(AND(P333=1,Q333=0,OR(ISNUMBER(MATCH(H333,{"wholesome","heroic"},0)),ISNUMBER(MATCH(J333,{"wholesome","heroic"},0)),ISNUMBER(MATCH(L333,{"wholesome","heroic"},0)))),1,0)</f>
        <v>1</v>
      </c>
      <c r="S333">
        <f t="shared" si="16"/>
        <v>0</v>
      </c>
      <c r="T333">
        <f t="shared" si="17"/>
        <v>1</v>
      </c>
      <c r="U333" t="s">
        <v>3053</v>
      </c>
    </row>
    <row r="334" spans="1:22" x14ac:dyDescent="0.25">
      <c r="A334" t="s">
        <v>3228</v>
      </c>
      <c r="B334">
        <v>4236</v>
      </c>
      <c r="C334" t="s">
        <v>30</v>
      </c>
      <c r="D334" t="s">
        <v>1455</v>
      </c>
      <c r="E334" s="4">
        <v>45358</v>
      </c>
      <c r="F334" s="6">
        <v>0</v>
      </c>
      <c r="G334" s="6" t="s">
        <v>2991</v>
      </c>
      <c r="H334" s="6" t="s">
        <v>2987</v>
      </c>
      <c r="I334" s="6"/>
      <c r="J334" s="6"/>
      <c r="K334" s="6"/>
      <c r="L334" s="6"/>
      <c r="M334" s="6" t="s">
        <v>3046</v>
      </c>
      <c r="N334" s="6"/>
      <c r="O334" s="6"/>
      <c r="P334">
        <f t="shared" si="15"/>
        <v>1</v>
      </c>
      <c r="Q334">
        <f>IF(AND(P334=1,OR(ISNUMBER(MATCH(H334,{"menace","othering","ridicule","blame","victim"},0)),ISNUMBER(MATCH(J334,{"menace","othering","ridicule","blame","victim"},0)),ISNUMBER(MATCH(L334,{"menace","othering","ridicule","blame","victim"},0)))),1,0)</f>
        <v>1</v>
      </c>
      <c r="R334">
        <f>IF(AND(P334=1,Q334=0,OR(ISNUMBER(MATCH(H334,{"wholesome","heroic"},0)),ISNUMBER(MATCH(J334,{"wholesome","heroic"},0)),ISNUMBER(MATCH(L334,{"wholesome","heroic"},0)))),1,0)</f>
        <v>0</v>
      </c>
      <c r="S334">
        <f t="shared" si="16"/>
        <v>0</v>
      </c>
      <c r="T334">
        <f t="shared" si="17"/>
        <v>0</v>
      </c>
      <c r="U334" t="s">
        <v>3053</v>
      </c>
    </row>
    <row r="335" spans="1:22" x14ac:dyDescent="0.25">
      <c r="A335" t="s">
        <v>3227</v>
      </c>
      <c r="B335">
        <v>4312</v>
      </c>
      <c r="C335" t="s">
        <v>30</v>
      </c>
      <c r="D335" t="s">
        <v>1455</v>
      </c>
      <c r="E335" s="4">
        <v>45385</v>
      </c>
      <c r="F335" s="6">
        <v>0</v>
      </c>
      <c r="G335" s="6" t="s">
        <v>2995</v>
      </c>
      <c r="H335" s="6" t="s">
        <v>2989</v>
      </c>
      <c r="I335" s="6"/>
      <c r="J335" s="6"/>
      <c r="K335" s="6"/>
      <c r="L335" s="6"/>
      <c r="M335" s="6" t="s">
        <v>3046</v>
      </c>
      <c r="N335" s="6"/>
      <c r="O335" s="6"/>
      <c r="P335">
        <f t="shared" si="15"/>
        <v>1</v>
      </c>
      <c r="Q335">
        <f>IF(AND(P335=1,OR(ISNUMBER(MATCH(H335,{"menace","othering","ridicule","blame","victim"},0)),ISNUMBER(MATCH(J335,{"menace","othering","ridicule","blame","victim"},0)),ISNUMBER(MATCH(L335,{"menace","othering","ridicule","blame","victim"},0)))),1,0)</f>
        <v>0</v>
      </c>
      <c r="R335">
        <f>IF(AND(P335=1,Q335=0,OR(ISNUMBER(MATCH(H335,{"wholesome","heroic"},0)),ISNUMBER(MATCH(J335,{"wholesome","heroic"},0)),ISNUMBER(MATCH(L335,{"wholesome","heroic"},0)))),1,0)</f>
        <v>0</v>
      </c>
      <c r="S335">
        <f t="shared" si="16"/>
        <v>1</v>
      </c>
      <c r="T335">
        <f t="shared" si="17"/>
        <v>1</v>
      </c>
      <c r="U335" t="s">
        <v>3053</v>
      </c>
    </row>
    <row r="336" spans="1:22" x14ac:dyDescent="0.25">
      <c r="A336" t="s">
        <v>3226</v>
      </c>
      <c r="B336">
        <v>4315</v>
      </c>
      <c r="C336" t="s">
        <v>30</v>
      </c>
      <c r="D336" t="s">
        <v>1455</v>
      </c>
      <c r="E336" s="4">
        <v>45386</v>
      </c>
      <c r="F336" s="6">
        <v>0</v>
      </c>
      <c r="G336" s="6" t="s">
        <v>2995</v>
      </c>
      <c r="H336" s="6" t="s">
        <v>2989</v>
      </c>
      <c r="I336" s="6"/>
      <c r="J336" s="6"/>
      <c r="K336" s="6"/>
      <c r="L336" s="6"/>
      <c r="M336" s="6" t="s">
        <v>3046</v>
      </c>
      <c r="N336" s="6"/>
      <c r="O336" s="6"/>
      <c r="P336">
        <f t="shared" si="15"/>
        <v>1</v>
      </c>
      <c r="Q336">
        <f>IF(AND(P336=1,OR(ISNUMBER(MATCH(H336,{"menace","othering","ridicule","blame","victim"},0)),ISNUMBER(MATCH(J336,{"menace","othering","ridicule","blame","victim"},0)),ISNUMBER(MATCH(L336,{"menace","othering","ridicule","blame","victim"},0)))),1,0)</f>
        <v>0</v>
      </c>
      <c r="R336">
        <f>IF(AND(P336=1,Q336=0,OR(ISNUMBER(MATCH(H336,{"wholesome","heroic"},0)),ISNUMBER(MATCH(J336,{"wholesome","heroic"},0)),ISNUMBER(MATCH(L336,{"wholesome","heroic"},0)))),1,0)</f>
        <v>0</v>
      </c>
      <c r="S336">
        <f t="shared" si="16"/>
        <v>1</v>
      </c>
      <c r="T336">
        <f t="shared" si="17"/>
        <v>1</v>
      </c>
      <c r="U336" t="s">
        <v>3053</v>
      </c>
    </row>
    <row r="337" spans="1:22" x14ac:dyDescent="0.25">
      <c r="A337" t="s">
        <v>3753</v>
      </c>
      <c r="B337">
        <v>4339</v>
      </c>
      <c r="C337" t="s">
        <v>30</v>
      </c>
      <c r="D337" t="s">
        <v>1455</v>
      </c>
      <c r="E337" s="4">
        <v>45391</v>
      </c>
      <c r="F337" s="6">
        <v>0</v>
      </c>
      <c r="G337" s="6" t="s">
        <v>2995</v>
      </c>
      <c r="H337" s="6" t="s">
        <v>2989</v>
      </c>
      <c r="I337" s="6"/>
      <c r="J337" s="6"/>
      <c r="K337" s="6"/>
      <c r="L337" s="6"/>
      <c r="M337" s="6" t="s">
        <v>3046</v>
      </c>
      <c r="N337" s="6"/>
      <c r="O337" s="6"/>
      <c r="P337">
        <f t="shared" si="15"/>
        <v>1</v>
      </c>
      <c r="Q337">
        <f>IF(AND(P337=1,OR(ISNUMBER(MATCH(H337,{"menace","othering","ridicule","blame","victim"},0)),ISNUMBER(MATCH(J337,{"menace","othering","ridicule","blame","victim"},0)),ISNUMBER(MATCH(L337,{"menace","othering","ridicule","blame","victim"},0)))),1,0)</f>
        <v>0</v>
      </c>
      <c r="R337">
        <f>IF(AND(P337=1,Q337=0,OR(ISNUMBER(MATCH(H337,{"wholesome","heroic"},0)),ISNUMBER(MATCH(J337,{"wholesome","heroic"},0)),ISNUMBER(MATCH(L337,{"wholesome","heroic"},0)))),1,0)</f>
        <v>0</v>
      </c>
      <c r="S337">
        <f t="shared" si="16"/>
        <v>1</v>
      </c>
      <c r="T337">
        <f t="shared" si="17"/>
        <v>1</v>
      </c>
      <c r="U337" t="s">
        <v>3049</v>
      </c>
      <c r="V337" t="s">
        <v>1919</v>
      </c>
    </row>
    <row r="338" spans="1:22" x14ac:dyDescent="0.25">
      <c r="A338" t="s">
        <v>3225</v>
      </c>
      <c r="B338">
        <v>4346</v>
      </c>
      <c r="C338" t="s">
        <v>30</v>
      </c>
      <c r="D338" t="s">
        <v>1455</v>
      </c>
      <c r="E338" s="4">
        <v>45394</v>
      </c>
      <c r="F338" s="6">
        <v>0</v>
      </c>
      <c r="G338" s="6" t="s">
        <v>2995</v>
      </c>
      <c r="H338" s="6" t="s">
        <v>2990</v>
      </c>
      <c r="I338" s="6" t="s">
        <v>2986</v>
      </c>
      <c r="J338" s="6" t="s">
        <v>2990</v>
      </c>
      <c r="K338" s="6"/>
      <c r="L338" s="6"/>
      <c r="M338" s="6" t="s">
        <v>3046</v>
      </c>
      <c r="N338" s="6" t="s">
        <v>3046</v>
      </c>
      <c r="O338" s="6"/>
      <c r="P338">
        <f t="shared" si="15"/>
        <v>1</v>
      </c>
      <c r="Q338">
        <f>IF(AND(P338=1,OR(ISNUMBER(MATCH(H338,{"menace","othering","ridicule","blame","victim"},0)),ISNUMBER(MATCH(J338,{"menace","othering","ridicule","blame","victim"},0)),ISNUMBER(MATCH(L338,{"menace","othering","ridicule","blame","victim"},0)))),1,0)</f>
        <v>0</v>
      </c>
      <c r="R338">
        <f>IF(AND(P338=1,Q338=0,OR(ISNUMBER(MATCH(H338,{"wholesome","heroic"},0)),ISNUMBER(MATCH(J338,{"wholesome","heroic"},0)),ISNUMBER(MATCH(L338,{"wholesome","heroic"},0)))),1,0)</f>
        <v>1</v>
      </c>
      <c r="S338">
        <f t="shared" si="16"/>
        <v>0</v>
      </c>
      <c r="T338">
        <f t="shared" si="17"/>
        <v>1</v>
      </c>
      <c r="U338" t="s">
        <v>3053</v>
      </c>
    </row>
    <row r="339" spans="1:22" x14ac:dyDescent="0.25">
      <c r="A339" t="s">
        <v>3224</v>
      </c>
      <c r="B339">
        <v>4357</v>
      </c>
      <c r="C339" t="s">
        <v>30</v>
      </c>
      <c r="D339" t="s">
        <v>1455</v>
      </c>
      <c r="E339" s="4">
        <v>45399</v>
      </c>
      <c r="F339" s="6">
        <v>0</v>
      </c>
      <c r="G339" s="6" t="s">
        <v>2986</v>
      </c>
      <c r="H339" s="6" t="s">
        <v>2994</v>
      </c>
      <c r="I339" s="6"/>
      <c r="J339" s="6"/>
      <c r="K339" s="6"/>
      <c r="L339" s="6"/>
      <c r="M339" s="6" t="s">
        <v>3046</v>
      </c>
      <c r="N339" s="6"/>
      <c r="O339" s="6"/>
      <c r="P339">
        <f t="shared" si="15"/>
        <v>1</v>
      </c>
      <c r="Q339">
        <f>IF(AND(P339=1,OR(ISNUMBER(MATCH(H339,{"menace","othering","ridicule","blame","victim"},0)),ISNUMBER(MATCH(J339,{"menace","othering","ridicule","blame","victim"},0)),ISNUMBER(MATCH(L339,{"menace","othering","ridicule","blame","victim"},0)))),1,0)</f>
        <v>0</v>
      </c>
      <c r="R339">
        <f>IF(AND(P339=1,Q339=0,OR(ISNUMBER(MATCH(H339,{"wholesome","heroic"},0)),ISNUMBER(MATCH(J339,{"wholesome","heroic"},0)),ISNUMBER(MATCH(L339,{"wholesome","heroic"},0)))),1,0)</f>
        <v>1</v>
      </c>
      <c r="S339">
        <f t="shared" si="16"/>
        <v>0</v>
      </c>
      <c r="T339">
        <f t="shared" si="17"/>
        <v>0</v>
      </c>
      <c r="U339" t="s">
        <v>3053</v>
      </c>
    </row>
    <row r="340" spans="1:22" x14ac:dyDescent="0.25">
      <c r="A340" t="s">
        <v>3223</v>
      </c>
      <c r="B340">
        <v>4379</v>
      </c>
      <c r="C340" t="s">
        <v>30</v>
      </c>
      <c r="D340" t="s">
        <v>1455</v>
      </c>
      <c r="E340" s="4">
        <v>45407</v>
      </c>
      <c r="F340" s="6">
        <v>0</v>
      </c>
      <c r="G340" s="6" t="s">
        <v>2995</v>
      </c>
      <c r="H340" s="6" t="s">
        <v>2994</v>
      </c>
      <c r="I340" s="6"/>
      <c r="J340" s="6"/>
      <c r="K340" s="6"/>
      <c r="L340" s="6"/>
      <c r="M340" s="6" t="s">
        <v>3046</v>
      </c>
      <c r="N340" s="6"/>
      <c r="O340" s="6"/>
      <c r="P340">
        <f t="shared" si="15"/>
        <v>1</v>
      </c>
      <c r="Q340">
        <f>IF(AND(P340=1,OR(ISNUMBER(MATCH(H340,{"menace","othering","ridicule","blame","victim"},0)),ISNUMBER(MATCH(J340,{"menace","othering","ridicule","blame","victim"},0)),ISNUMBER(MATCH(L340,{"menace","othering","ridicule","blame","victim"},0)))),1,0)</f>
        <v>0</v>
      </c>
      <c r="R340">
        <f>IF(AND(P340=1,Q340=0,OR(ISNUMBER(MATCH(H340,{"wholesome","heroic"},0)),ISNUMBER(MATCH(J340,{"wholesome","heroic"},0)),ISNUMBER(MATCH(L340,{"wholesome","heroic"},0)))),1,0)</f>
        <v>1</v>
      </c>
      <c r="S340">
        <f t="shared" si="16"/>
        <v>0</v>
      </c>
      <c r="T340">
        <f t="shared" si="17"/>
        <v>1</v>
      </c>
      <c r="U340" t="s">
        <v>3053</v>
      </c>
    </row>
    <row r="341" spans="1:22" x14ac:dyDescent="0.25">
      <c r="A341" t="s">
        <v>3222</v>
      </c>
      <c r="B341">
        <v>4396</v>
      </c>
      <c r="C341" t="s">
        <v>30</v>
      </c>
      <c r="D341" t="s">
        <v>1455</v>
      </c>
      <c r="E341" s="4">
        <v>45411</v>
      </c>
      <c r="F341" s="6">
        <v>0</v>
      </c>
      <c r="G341" s="6" t="s">
        <v>2995</v>
      </c>
      <c r="H341" s="6" t="s">
        <v>2989</v>
      </c>
      <c r="I341" s="6"/>
      <c r="J341" s="6"/>
      <c r="K341" s="6"/>
      <c r="L341" s="6"/>
      <c r="M341" s="6" t="s">
        <v>3046</v>
      </c>
      <c r="N341" s="6"/>
      <c r="O341" s="6"/>
      <c r="P341">
        <f t="shared" si="15"/>
        <v>1</v>
      </c>
      <c r="Q341">
        <f>IF(AND(P341=1,OR(ISNUMBER(MATCH(H341,{"menace","othering","ridicule","blame","victim"},0)),ISNUMBER(MATCH(J341,{"menace","othering","ridicule","blame","victim"},0)),ISNUMBER(MATCH(L341,{"menace","othering","ridicule","blame","victim"},0)))),1,0)</f>
        <v>0</v>
      </c>
      <c r="R341">
        <f>IF(AND(P341=1,Q341=0,OR(ISNUMBER(MATCH(H341,{"wholesome","heroic"},0)),ISNUMBER(MATCH(J341,{"wholesome","heroic"},0)),ISNUMBER(MATCH(L341,{"wholesome","heroic"},0)))),1,0)</f>
        <v>0</v>
      </c>
      <c r="S341">
        <f t="shared" si="16"/>
        <v>1</v>
      </c>
      <c r="T341">
        <f t="shared" si="17"/>
        <v>1</v>
      </c>
      <c r="U341" t="s">
        <v>3049</v>
      </c>
      <c r="V341" t="s">
        <v>1918</v>
      </c>
    </row>
    <row r="342" spans="1:22" x14ac:dyDescent="0.25">
      <c r="A342" t="s">
        <v>3221</v>
      </c>
      <c r="B342">
        <v>4501</v>
      </c>
      <c r="C342" t="s">
        <v>30</v>
      </c>
      <c r="D342" t="s">
        <v>1455</v>
      </c>
      <c r="E342" s="4">
        <v>45435</v>
      </c>
      <c r="F342" s="6">
        <v>0</v>
      </c>
      <c r="G342" s="6" t="s">
        <v>2995</v>
      </c>
      <c r="H342" s="6" t="s">
        <v>2989</v>
      </c>
      <c r="I342" s="6" t="s">
        <v>2991</v>
      </c>
      <c r="J342" s="6" t="s">
        <v>2989</v>
      </c>
      <c r="K342" s="6"/>
      <c r="L342" s="6"/>
      <c r="M342" s="6" t="s">
        <v>3046</v>
      </c>
      <c r="N342" s="6" t="s">
        <v>3046</v>
      </c>
      <c r="O342" s="6"/>
      <c r="P342">
        <f t="shared" si="15"/>
        <v>1</v>
      </c>
      <c r="Q342">
        <f>IF(AND(P342=1,OR(ISNUMBER(MATCH(H342,{"menace","othering","ridicule","blame","victim"},0)),ISNUMBER(MATCH(J342,{"menace","othering","ridicule","blame","victim"},0)),ISNUMBER(MATCH(L342,{"menace","othering","ridicule","blame","victim"},0)))),1,0)</f>
        <v>0</v>
      </c>
      <c r="R342">
        <f>IF(AND(P342=1,Q342=0,OR(ISNUMBER(MATCH(H342,{"wholesome","heroic"},0)),ISNUMBER(MATCH(J342,{"wholesome","heroic"},0)),ISNUMBER(MATCH(L342,{"wholesome","heroic"},0)))),1,0)</f>
        <v>0</v>
      </c>
      <c r="S342">
        <f t="shared" si="16"/>
        <v>1</v>
      </c>
      <c r="T342">
        <f t="shared" si="17"/>
        <v>1</v>
      </c>
      <c r="U342" t="s">
        <v>3053</v>
      </c>
    </row>
    <row r="343" spans="1:22" x14ac:dyDescent="0.25">
      <c r="A343" t="s">
        <v>3220</v>
      </c>
      <c r="B343">
        <v>4516</v>
      </c>
      <c r="C343" t="s">
        <v>30</v>
      </c>
      <c r="D343" t="s">
        <v>1455</v>
      </c>
      <c r="E343" s="4">
        <v>45438</v>
      </c>
      <c r="F343" s="6">
        <v>0</v>
      </c>
      <c r="G343" s="6" t="s">
        <v>2999</v>
      </c>
      <c r="H343" s="6" t="s">
        <v>2989</v>
      </c>
      <c r="I343" s="6"/>
      <c r="J343" s="6"/>
      <c r="K343" s="6"/>
      <c r="L343" s="6"/>
      <c r="M343" s="6" t="s">
        <v>3046</v>
      </c>
      <c r="N343" s="6"/>
      <c r="O343" s="6"/>
      <c r="P343">
        <f t="shared" si="15"/>
        <v>1</v>
      </c>
      <c r="Q343">
        <f>IF(AND(P343=1,OR(ISNUMBER(MATCH(H343,{"menace","othering","ridicule","blame","victim"},0)),ISNUMBER(MATCH(J343,{"menace","othering","ridicule","blame","victim"},0)),ISNUMBER(MATCH(L343,{"menace","othering","ridicule","blame","victim"},0)))),1,0)</f>
        <v>0</v>
      </c>
      <c r="R343">
        <f>IF(AND(P343=1,Q343=0,OR(ISNUMBER(MATCH(H343,{"wholesome","heroic"},0)),ISNUMBER(MATCH(J343,{"wholesome","heroic"},0)),ISNUMBER(MATCH(L343,{"wholesome","heroic"},0)))),1,0)</f>
        <v>0</v>
      </c>
      <c r="S343">
        <f t="shared" si="16"/>
        <v>1</v>
      </c>
      <c r="T343">
        <f t="shared" si="17"/>
        <v>0</v>
      </c>
      <c r="U343" t="s">
        <v>3053</v>
      </c>
    </row>
    <row r="344" spans="1:22" x14ac:dyDescent="0.25">
      <c r="A344" t="s">
        <v>3054</v>
      </c>
      <c r="B344">
        <v>4523</v>
      </c>
      <c r="C344" t="s">
        <v>30</v>
      </c>
      <c r="D344" t="s">
        <v>1455</v>
      </c>
      <c r="E344" s="4">
        <v>45439</v>
      </c>
      <c r="F344" s="6">
        <v>0</v>
      </c>
      <c r="G344" s="6" t="s">
        <v>2995</v>
      </c>
      <c r="H344" s="6" t="s">
        <v>2989</v>
      </c>
      <c r="I344" s="6" t="s">
        <v>3000</v>
      </c>
      <c r="J344" s="6" t="s">
        <v>2989</v>
      </c>
      <c r="K344" s="6"/>
      <c r="L344" s="6"/>
      <c r="M344" s="6" t="s">
        <v>3046</v>
      </c>
      <c r="N344" s="6" t="s">
        <v>3046</v>
      </c>
      <c r="O344" s="6"/>
      <c r="P344">
        <f t="shared" si="15"/>
        <v>1</v>
      </c>
      <c r="Q344">
        <f>IF(AND(P344=1,OR(ISNUMBER(MATCH(H344,{"menace","othering","ridicule","blame","victim"},0)),ISNUMBER(MATCH(J344,{"menace","othering","ridicule","blame","victim"},0)),ISNUMBER(MATCH(L344,{"menace","othering","ridicule","blame","victim"},0)))),1,0)</f>
        <v>0</v>
      </c>
      <c r="R344">
        <f>IF(AND(P344=1,Q344=0,OR(ISNUMBER(MATCH(H344,{"wholesome","heroic"},0)),ISNUMBER(MATCH(J344,{"wholesome","heroic"},0)),ISNUMBER(MATCH(L344,{"wholesome","heroic"},0)))),1,0)</f>
        <v>0</v>
      </c>
      <c r="S344">
        <f t="shared" si="16"/>
        <v>1</v>
      </c>
      <c r="T344">
        <f t="shared" si="17"/>
        <v>1</v>
      </c>
      <c r="U344" t="s">
        <v>3053</v>
      </c>
    </row>
    <row r="345" spans="1:22" x14ac:dyDescent="0.25">
      <c r="A345" t="s">
        <v>3218</v>
      </c>
      <c r="B345">
        <v>4534</v>
      </c>
      <c r="C345" t="s">
        <v>30</v>
      </c>
      <c r="D345" t="s">
        <v>1455</v>
      </c>
      <c r="E345" s="4">
        <v>45441</v>
      </c>
      <c r="F345" s="6">
        <v>0</v>
      </c>
      <c r="G345" s="6" t="s">
        <v>2995</v>
      </c>
      <c r="H345" s="6" t="s">
        <v>2989</v>
      </c>
      <c r="I345" s="6"/>
      <c r="J345" s="6"/>
      <c r="K345" s="6"/>
      <c r="L345" s="6"/>
      <c r="M345" s="6" t="s">
        <v>3046</v>
      </c>
      <c r="N345" s="6"/>
      <c r="O345" s="6"/>
      <c r="P345">
        <f t="shared" si="15"/>
        <v>1</v>
      </c>
      <c r="Q345">
        <f>IF(AND(P345=1,OR(ISNUMBER(MATCH(H345,{"menace","othering","ridicule","blame","victim"},0)),ISNUMBER(MATCH(J345,{"menace","othering","ridicule","blame","victim"},0)),ISNUMBER(MATCH(L345,{"menace","othering","ridicule","blame","victim"},0)))),1,0)</f>
        <v>0</v>
      </c>
      <c r="R345">
        <f>IF(AND(P345=1,Q345=0,OR(ISNUMBER(MATCH(H345,{"wholesome","heroic"},0)),ISNUMBER(MATCH(J345,{"wholesome","heroic"},0)),ISNUMBER(MATCH(L345,{"wholesome","heroic"},0)))),1,0)</f>
        <v>0</v>
      </c>
      <c r="S345">
        <f t="shared" si="16"/>
        <v>1</v>
      </c>
      <c r="T345">
        <f t="shared" si="17"/>
        <v>1</v>
      </c>
      <c r="U345" t="s">
        <v>3053</v>
      </c>
    </row>
    <row r="346" spans="1:22" x14ac:dyDescent="0.25">
      <c r="A346" t="s">
        <v>3754</v>
      </c>
      <c r="B346">
        <v>4550</v>
      </c>
      <c r="C346" t="s">
        <v>30</v>
      </c>
      <c r="D346" t="s">
        <v>1455</v>
      </c>
      <c r="E346" s="4">
        <v>45444</v>
      </c>
      <c r="F346" s="6">
        <v>0</v>
      </c>
      <c r="G346" s="6" t="s">
        <v>2995</v>
      </c>
      <c r="H346" s="6" t="s">
        <v>2989</v>
      </c>
      <c r="I346" s="6"/>
      <c r="J346" s="6"/>
      <c r="K346" s="6"/>
      <c r="L346" s="6"/>
      <c r="M346" s="6" t="s">
        <v>3046</v>
      </c>
      <c r="N346" s="6"/>
      <c r="O346" s="6"/>
      <c r="P346">
        <f t="shared" si="15"/>
        <v>1</v>
      </c>
      <c r="Q346">
        <f>IF(AND(P346=1,OR(ISNUMBER(MATCH(H346,{"menace","othering","ridicule","blame","victim"},0)),ISNUMBER(MATCH(J346,{"menace","othering","ridicule","blame","victim"},0)),ISNUMBER(MATCH(L346,{"menace","othering","ridicule","blame","victim"},0)))),1,0)</f>
        <v>0</v>
      </c>
      <c r="R346">
        <f>IF(AND(P346=1,Q346=0,OR(ISNUMBER(MATCH(H346,{"wholesome","heroic"},0)),ISNUMBER(MATCH(J346,{"wholesome","heroic"},0)),ISNUMBER(MATCH(L346,{"wholesome","heroic"},0)))),1,0)</f>
        <v>0</v>
      </c>
      <c r="S346">
        <f t="shared" si="16"/>
        <v>1</v>
      </c>
      <c r="T346">
        <f t="shared" si="17"/>
        <v>1</v>
      </c>
      <c r="U346" t="s">
        <v>3049</v>
      </c>
      <c r="V346" t="s">
        <v>3215</v>
      </c>
    </row>
    <row r="347" spans="1:22" x14ac:dyDescent="0.25">
      <c r="A347" t="s">
        <v>3755</v>
      </c>
      <c r="B347">
        <v>4572</v>
      </c>
      <c r="C347" t="s">
        <v>30</v>
      </c>
      <c r="D347" t="s">
        <v>1455</v>
      </c>
      <c r="E347" s="4">
        <v>45446</v>
      </c>
      <c r="F347" s="6">
        <v>0</v>
      </c>
      <c r="G347" s="6" t="s">
        <v>2995</v>
      </c>
      <c r="H347" s="6" t="s">
        <v>2989</v>
      </c>
      <c r="I347" s="6"/>
      <c r="J347" s="6"/>
      <c r="K347" s="6"/>
      <c r="L347" s="6"/>
      <c r="M347" s="6" t="s">
        <v>3046</v>
      </c>
      <c r="N347" s="6"/>
      <c r="O347" s="6"/>
      <c r="P347">
        <f t="shared" si="15"/>
        <v>1</v>
      </c>
      <c r="Q347">
        <f>IF(AND(P347=1,OR(ISNUMBER(MATCH(H347,{"menace","othering","ridicule","blame","victim"},0)),ISNUMBER(MATCH(J347,{"menace","othering","ridicule","blame","victim"},0)),ISNUMBER(MATCH(L347,{"menace","othering","ridicule","blame","victim"},0)))),1,0)</f>
        <v>0</v>
      </c>
      <c r="R347">
        <f>IF(AND(P347=1,Q347=0,OR(ISNUMBER(MATCH(H347,{"wholesome","heroic"},0)),ISNUMBER(MATCH(J347,{"wholesome","heroic"},0)),ISNUMBER(MATCH(L347,{"wholesome","heroic"},0)))),1,0)</f>
        <v>0</v>
      </c>
      <c r="S347">
        <f t="shared" si="16"/>
        <v>1</v>
      </c>
      <c r="T347">
        <f t="shared" si="17"/>
        <v>1</v>
      </c>
      <c r="U347" t="s">
        <v>3049</v>
      </c>
      <c r="V347" t="s">
        <v>1917</v>
      </c>
    </row>
    <row r="348" spans="1:22" x14ac:dyDescent="0.25">
      <c r="A348" t="s">
        <v>3756</v>
      </c>
      <c r="B348">
        <v>4600</v>
      </c>
      <c r="C348" t="s">
        <v>30</v>
      </c>
      <c r="D348" t="s">
        <v>1455</v>
      </c>
      <c r="E348" s="4">
        <v>45449</v>
      </c>
      <c r="F348" s="6">
        <v>0</v>
      </c>
      <c r="G348" s="6" t="s">
        <v>3862</v>
      </c>
      <c r="H348" s="6" t="s">
        <v>2989</v>
      </c>
      <c r="I348" s="6"/>
      <c r="J348" s="6"/>
      <c r="K348" s="6"/>
      <c r="L348" s="6"/>
      <c r="M348" s="6" t="s">
        <v>3046</v>
      </c>
      <c r="N348" s="6"/>
      <c r="O348" s="6"/>
      <c r="P348">
        <f t="shared" si="15"/>
        <v>1</v>
      </c>
      <c r="Q348">
        <f>IF(AND(P348=1,OR(ISNUMBER(MATCH(H348,{"menace","othering","ridicule","blame","victim"},0)),ISNUMBER(MATCH(J348,{"menace","othering","ridicule","blame","victim"},0)),ISNUMBER(MATCH(L348,{"menace","othering","ridicule","blame","victim"},0)))),1,0)</f>
        <v>0</v>
      </c>
      <c r="R348">
        <f>IF(AND(P348=1,Q348=0,OR(ISNUMBER(MATCH(H348,{"wholesome","heroic"},0)),ISNUMBER(MATCH(J348,{"wholesome","heroic"},0)),ISNUMBER(MATCH(L348,{"wholesome","heroic"},0)))),1,0)</f>
        <v>0</v>
      </c>
      <c r="S348">
        <f t="shared" si="16"/>
        <v>1</v>
      </c>
      <c r="T348">
        <f t="shared" si="17"/>
        <v>0</v>
      </c>
      <c r="U348" t="s">
        <v>3049</v>
      </c>
      <c r="V348" t="s">
        <v>1916</v>
      </c>
    </row>
    <row r="349" spans="1:22" x14ac:dyDescent="0.25">
      <c r="A349" t="s">
        <v>3217</v>
      </c>
      <c r="B349">
        <v>4602</v>
      </c>
      <c r="C349" t="s">
        <v>30</v>
      </c>
      <c r="D349" t="s">
        <v>1455</v>
      </c>
      <c r="E349" s="4">
        <v>45449</v>
      </c>
      <c r="F349" s="6">
        <v>0</v>
      </c>
      <c r="G349" s="6" t="s">
        <v>3862</v>
      </c>
      <c r="H349" s="6" t="s">
        <v>2989</v>
      </c>
      <c r="I349" s="6"/>
      <c r="J349" s="6"/>
      <c r="K349" s="6"/>
      <c r="L349" s="6"/>
      <c r="M349" s="6" t="s">
        <v>3046</v>
      </c>
      <c r="N349" s="6"/>
      <c r="O349" s="6"/>
      <c r="P349">
        <f t="shared" si="15"/>
        <v>1</v>
      </c>
      <c r="Q349">
        <f>IF(AND(P349=1,OR(ISNUMBER(MATCH(H349,{"menace","othering","ridicule","blame","victim"},0)),ISNUMBER(MATCH(J349,{"menace","othering","ridicule","blame","victim"},0)),ISNUMBER(MATCH(L349,{"menace","othering","ridicule","blame","victim"},0)))),1,0)</f>
        <v>0</v>
      </c>
      <c r="R349">
        <f>IF(AND(P349=1,Q349=0,OR(ISNUMBER(MATCH(H349,{"wholesome","heroic"},0)),ISNUMBER(MATCH(J349,{"wholesome","heroic"},0)),ISNUMBER(MATCH(L349,{"wholesome","heroic"},0)))),1,0)</f>
        <v>0</v>
      </c>
      <c r="S349">
        <f t="shared" si="16"/>
        <v>1</v>
      </c>
      <c r="T349">
        <f t="shared" si="17"/>
        <v>0</v>
      </c>
      <c r="U349" t="s">
        <v>3053</v>
      </c>
    </row>
    <row r="350" spans="1:22" x14ac:dyDescent="0.25">
      <c r="A350" t="s">
        <v>3757</v>
      </c>
      <c r="B350">
        <v>4606</v>
      </c>
      <c r="C350" t="s">
        <v>30</v>
      </c>
      <c r="D350" t="s">
        <v>1455</v>
      </c>
      <c r="E350" s="4">
        <v>45450</v>
      </c>
      <c r="F350" s="6">
        <v>0</v>
      </c>
      <c r="G350" s="6" t="s">
        <v>2995</v>
      </c>
      <c r="H350" s="6" t="s">
        <v>2989</v>
      </c>
      <c r="I350" s="6"/>
      <c r="J350" s="6"/>
      <c r="K350" s="6"/>
      <c r="L350" s="6"/>
      <c r="M350" s="6" t="s">
        <v>3046</v>
      </c>
      <c r="N350" s="6"/>
      <c r="O350" s="6"/>
      <c r="P350">
        <f t="shared" si="15"/>
        <v>1</v>
      </c>
      <c r="Q350">
        <f>IF(AND(P350=1,OR(ISNUMBER(MATCH(H350,{"menace","othering","ridicule","blame","victim"},0)),ISNUMBER(MATCH(J350,{"menace","othering","ridicule","blame","victim"},0)),ISNUMBER(MATCH(L350,{"menace","othering","ridicule","blame","victim"},0)))),1,0)</f>
        <v>0</v>
      </c>
      <c r="R350">
        <f>IF(AND(P350=1,Q350=0,OR(ISNUMBER(MATCH(H350,{"wholesome","heroic"},0)),ISNUMBER(MATCH(J350,{"wholesome","heroic"},0)),ISNUMBER(MATCH(L350,{"wholesome","heroic"},0)))),1,0)</f>
        <v>0</v>
      </c>
      <c r="S350">
        <f t="shared" si="16"/>
        <v>1</v>
      </c>
      <c r="T350">
        <f t="shared" si="17"/>
        <v>1</v>
      </c>
      <c r="U350" t="s">
        <v>3049</v>
      </c>
      <c r="V350" t="s">
        <v>3219</v>
      </c>
    </row>
    <row r="351" spans="1:22" x14ac:dyDescent="0.25">
      <c r="A351" t="s">
        <v>3216</v>
      </c>
      <c r="B351">
        <v>4609</v>
      </c>
      <c r="C351" t="s">
        <v>30</v>
      </c>
      <c r="D351" t="s">
        <v>1455</v>
      </c>
      <c r="E351" s="4">
        <v>45450</v>
      </c>
      <c r="F351" s="6">
        <v>0</v>
      </c>
      <c r="G351" s="6" t="s">
        <v>2986</v>
      </c>
      <c r="H351" s="6" t="s">
        <v>2989</v>
      </c>
      <c r="I351" s="6" t="s">
        <v>2995</v>
      </c>
      <c r="J351" s="6" t="s">
        <v>2989</v>
      </c>
      <c r="K351" s="6"/>
      <c r="L351" s="6"/>
      <c r="M351" s="6" t="s">
        <v>3046</v>
      </c>
      <c r="N351" s="6" t="s">
        <v>3046</v>
      </c>
      <c r="O351" s="6"/>
      <c r="P351">
        <f t="shared" si="15"/>
        <v>1</v>
      </c>
      <c r="Q351">
        <f>IF(AND(P351=1,OR(ISNUMBER(MATCH(H351,{"menace","othering","ridicule","blame","victim"},0)),ISNUMBER(MATCH(J351,{"menace","othering","ridicule","blame","victim"},0)),ISNUMBER(MATCH(L351,{"menace","othering","ridicule","blame","victim"},0)))),1,0)</f>
        <v>0</v>
      </c>
      <c r="R351">
        <f>IF(AND(P351=1,Q351=0,OR(ISNUMBER(MATCH(H351,{"wholesome","heroic"},0)),ISNUMBER(MATCH(J351,{"wholesome","heroic"},0)),ISNUMBER(MATCH(L351,{"wholesome","heroic"},0)))),1,0)</f>
        <v>0</v>
      </c>
      <c r="S351">
        <f t="shared" si="16"/>
        <v>1</v>
      </c>
      <c r="T351">
        <f t="shared" si="17"/>
        <v>1</v>
      </c>
      <c r="U351" t="s">
        <v>3053</v>
      </c>
    </row>
    <row r="352" spans="1:22" x14ac:dyDescent="0.25">
      <c r="A352" t="s">
        <v>3758</v>
      </c>
      <c r="B352">
        <v>4633</v>
      </c>
      <c r="C352" t="s">
        <v>32</v>
      </c>
      <c r="D352" t="s">
        <v>1455</v>
      </c>
      <c r="E352" s="4">
        <v>45330</v>
      </c>
      <c r="F352" s="6">
        <v>0</v>
      </c>
      <c r="G352" s="6" t="s">
        <v>2995</v>
      </c>
      <c r="H352" s="6" t="s">
        <v>2990</v>
      </c>
      <c r="I352" s="6" t="s">
        <v>2998</v>
      </c>
      <c r="J352" s="6" t="s">
        <v>2989</v>
      </c>
      <c r="K352" s="6"/>
      <c r="L352" s="6"/>
      <c r="M352" s="6" t="s">
        <v>3046</v>
      </c>
      <c r="N352" s="6" t="s">
        <v>3046</v>
      </c>
      <c r="O352" s="6"/>
      <c r="P352">
        <f t="shared" si="15"/>
        <v>1</v>
      </c>
      <c r="Q352">
        <f>IF(AND(P352=1,OR(ISNUMBER(MATCH(H352,{"menace","othering","ridicule","blame","victim"},0)),ISNUMBER(MATCH(J352,{"menace","othering","ridicule","blame","victim"},0)),ISNUMBER(MATCH(L352,{"menace","othering","ridicule","blame","victim"},0)))),1,0)</f>
        <v>0</v>
      </c>
      <c r="R352">
        <f>IF(AND(P352=1,Q352=0,OR(ISNUMBER(MATCH(H352,{"wholesome","heroic"},0)),ISNUMBER(MATCH(J352,{"wholesome","heroic"},0)),ISNUMBER(MATCH(L352,{"wholesome","heroic"},0)))),1,0)</f>
        <v>1</v>
      </c>
      <c r="S352">
        <f t="shared" si="16"/>
        <v>0</v>
      </c>
      <c r="T352">
        <f t="shared" si="17"/>
        <v>1</v>
      </c>
      <c r="U352" t="s">
        <v>3049</v>
      </c>
      <c r="V352" t="s">
        <v>1914</v>
      </c>
    </row>
    <row r="353" spans="1:22" x14ac:dyDescent="0.25">
      <c r="A353" t="s">
        <v>3213</v>
      </c>
      <c r="B353">
        <v>4707</v>
      </c>
      <c r="C353" t="s">
        <v>32</v>
      </c>
      <c r="D353" t="s">
        <v>1455</v>
      </c>
      <c r="E353" s="4">
        <v>45343</v>
      </c>
      <c r="F353" s="6">
        <v>0</v>
      </c>
      <c r="G353" s="6" t="s">
        <v>2995</v>
      </c>
      <c r="H353" s="6" t="s">
        <v>2989</v>
      </c>
      <c r="I353" s="6"/>
      <c r="J353" s="6"/>
      <c r="K353" s="6"/>
      <c r="L353" s="6"/>
      <c r="M353" s="6" t="s">
        <v>3046</v>
      </c>
      <c r="N353" s="6"/>
      <c r="O353" s="6"/>
      <c r="P353">
        <f t="shared" si="15"/>
        <v>1</v>
      </c>
      <c r="Q353">
        <f>IF(AND(P353=1,OR(ISNUMBER(MATCH(H353,{"menace","othering","ridicule","blame","victim"},0)),ISNUMBER(MATCH(J353,{"menace","othering","ridicule","blame","victim"},0)),ISNUMBER(MATCH(L353,{"menace","othering","ridicule","blame","victim"},0)))),1,0)</f>
        <v>0</v>
      </c>
      <c r="R353">
        <f>IF(AND(P353=1,Q353=0,OR(ISNUMBER(MATCH(H353,{"wholesome","heroic"},0)),ISNUMBER(MATCH(J353,{"wholesome","heroic"},0)),ISNUMBER(MATCH(L353,{"wholesome","heroic"},0)))),1,0)</f>
        <v>0</v>
      </c>
      <c r="S353">
        <f t="shared" si="16"/>
        <v>1</v>
      </c>
      <c r="T353">
        <f t="shared" si="17"/>
        <v>1</v>
      </c>
      <c r="U353" t="s">
        <v>3053</v>
      </c>
    </row>
    <row r="354" spans="1:22" x14ac:dyDescent="0.25">
      <c r="A354" t="s">
        <v>3759</v>
      </c>
      <c r="B354">
        <v>4727</v>
      </c>
      <c r="C354" t="s">
        <v>32</v>
      </c>
      <c r="D354" t="s">
        <v>1455</v>
      </c>
      <c r="E354" s="4">
        <v>45346</v>
      </c>
      <c r="F354" s="6">
        <v>0</v>
      </c>
      <c r="G354" s="6" t="s">
        <v>2991</v>
      </c>
      <c r="H354" s="6" t="s">
        <v>2993</v>
      </c>
      <c r="I354" s="6"/>
      <c r="J354" s="6"/>
      <c r="K354" s="6"/>
      <c r="L354" s="6"/>
      <c r="M354" s="6" t="s">
        <v>3046</v>
      </c>
      <c r="N354" s="6"/>
      <c r="O354" s="6"/>
      <c r="P354">
        <f t="shared" si="15"/>
        <v>1</v>
      </c>
      <c r="Q354">
        <f>IF(AND(P354=1,OR(ISNUMBER(MATCH(H354,{"menace","othering","ridicule","blame","victim"},0)),ISNUMBER(MATCH(J354,{"menace","othering","ridicule","blame","victim"},0)),ISNUMBER(MATCH(L354,{"menace","othering","ridicule","blame","victim"},0)))),1,0)</f>
        <v>1</v>
      </c>
      <c r="R354">
        <f>IF(AND(P354=1,Q354=0,OR(ISNUMBER(MATCH(H354,{"wholesome","heroic"},0)),ISNUMBER(MATCH(J354,{"wholesome","heroic"},0)),ISNUMBER(MATCH(L354,{"wholesome","heroic"},0)))),1,0)</f>
        <v>0</v>
      </c>
      <c r="S354">
        <f t="shared" si="16"/>
        <v>0</v>
      </c>
      <c r="T354">
        <f t="shared" si="17"/>
        <v>0</v>
      </c>
      <c r="U354" t="s">
        <v>3049</v>
      </c>
      <c r="V354" t="s">
        <v>1913</v>
      </c>
    </row>
    <row r="355" spans="1:22" x14ac:dyDescent="0.25">
      <c r="A355" t="s">
        <v>3211</v>
      </c>
      <c r="B355">
        <v>4754</v>
      </c>
      <c r="C355" t="s">
        <v>32</v>
      </c>
      <c r="D355" t="s">
        <v>1455</v>
      </c>
      <c r="E355" s="4">
        <v>45351</v>
      </c>
      <c r="F355" s="6">
        <v>0</v>
      </c>
      <c r="G355" s="6" t="s">
        <v>2995</v>
      </c>
      <c r="H355" s="6" t="s">
        <v>2989</v>
      </c>
      <c r="I355" s="6" t="s">
        <v>2988</v>
      </c>
      <c r="J355" s="6" t="s">
        <v>2989</v>
      </c>
      <c r="K355" s="6"/>
      <c r="L355" s="6"/>
      <c r="M355" s="6" t="s">
        <v>3046</v>
      </c>
      <c r="N355" s="6" t="s">
        <v>3046</v>
      </c>
      <c r="O355" s="6"/>
      <c r="P355">
        <f t="shared" si="15"/>
        <v>1</v>
      </c>
      <c r="Q355">
        <f>IF(AND(P355=1,OR(ISNUMBER(MATCH(H355,{"menace","othering","ridicule","blame","victim"},0)),ISNUMBER(MATCH(J355,{"menace","othering","ridicule","blame","victim"},0)),ISNUMBER(MATCH(L355,{"menace","othering","ridicule","blame","victim"},0)))),1,0)</f>
        <v>0</v>
      </c>
      <c r="R355">
        <f>IF(AND(P355=1,Q355=0,OR(ISNUMBER(MATCH(H355,{"wholesome","heroic"},0)),ISNUMBER(MATCH(J355,{"wholesome","heroic"},0)),ISNUMBER(MATCH(L355,{"wholesome","heroic"},0)))),1,0)</f>
        <v>0</v>
      </c>
      <c r="S355">
        <f t="shared" si="16"/>
        <v>1</v>
      </c>
      <c r="T355">
        <f t="shared" si="17"/>
        <v>1</v>
      </c>
      <c r="U355" t="s">
        <v>3053</v>
      </c>
    </row>
    <row r="356" spans="1:22" x14ac:dyDescent="0.25">
      <c r="A356" t="s">
        <v>3760</v>
      </c>
      <c r="B356">
        <v>4777</v>
      </c>
      <c r="C356" t="s">
        <v>32</v>
      </c>
      <c r="D356" t="s">
        <v>1455</v>
      </c>
      <c r="E356" s="4">
        <v>45354</v>
      </c>
      <c r="F356" s="6">
        <v>0</v>
      </c>
      <c r="G356" s="6" t="s">
        <v>2988</v>
      </c>
      <c r="H356" s="6" t="s">
        <v>2993</v>
      </c>
      <c r="I356" s="6" t="s">
        <v>2988</v>
      </c>
      <c r="J356" s="6" t="s">
        <v>2987</v>
      </c>
      <c r="K356" s="6"/>
      <c r="L356" s="6"/>
      <c r="M356" s="6" t="s">
        <v>3046</v>
      </c>
      <c r="N356" s="6" t="s">
        <v>3046</v>
      </c>
      <c r="O356" s="6"/>
      <c r="P356">
        <f t="shared" si="15"/>
        <v>1</v>
      </c>
      <c r="Q356">
        <f>IF(AND(P356=1,OR(ISNUMBER(MATCH(H356,{"menace","othering","ridicule","blame","victim"},0)),ISNUMBER(MATCH(J356,{"menace","othering","ridicule","blame","victim"},0)),ISNUMBER(MATCH(L356,{"menace","othering","ridicule","blame","victim"},0)))),1,0)</f>
        <v>1</v>
      </c>
      <c r="R356">
        <f>IF(AND(P356=1,Q356=0,OR(ISNUMBER(MATCH(H356,{"wholesome","heroic"},0)),ISNUMBER(MATCH(J356,{"wholesome","heroic"},0)),ISNUMBER(MATCH(L356,{"wholesome","heroic"},0)))),1,0)</f>
        <v>0</v>
      </c>
      <c r="S356">
        <f t="shared" si="16"/>
        <v>0</v>
      </c>
      <c r="T356">
        <f t="shared" si="17"/>
        <v>0</v>
      </c>
      <c r="U356" t="s">
        <v>3049</v>
      </c>
      <c r="V356" t="s">
        <v>1911</v>
      </c>
    </row>
    <row r="357" spans="1:22" x14ac:dyDescent="0.25">
      <c r="A357" t="s">
        <v>3209</v>
      </c>
      <c r="B357">
        <v>4784</v>
      </c>
      <c r="C357" t="s">
        <v>32</v>
      </c>
      <c r="D357" t="s">
        <v>1455</v>
      </c>
      <c r="E357" s="4">
        <v>45355</v>
      </c>
      <c r="F357" s="6">
        <v>0</v>
      </c>
      <c r="G357" s="6" t="s">
        <v>2995</v>
      </c>
      <c r="H357" s="6" t="s">
        <v>2990</v>
      </c>
      <c r="I357" s="6" t="s">
        <v>2997</v>
      </c>
      <c r="J357" s="6" t="s">
        <v>2989</v>
      </c>
      <c r="K357" s="6" t="s">
        <v>2986</v>
      </c>
      <c r="L357" s="6" t="s">
        <v>2994</v>
      </c>
      <c r="M357" s="6" t="s">
        <v>3046</v>
      </c>
      <c r="N357" s="6" t="s">
        <v>3046</v>
      </c>
      <c r="O357" s="6" t="s">
        <v>3046</v>
      </c>
      <c r="P357">
        <f t="shared" si="15"/>
        <v>1</v>
      </c>
      <c r="Q357">
        <f>IF(AND(P357=1,OR(ISNUMBER(MATCH(H357,{"menace","othering","ridicule","blame","victim"},0)),ISNUMBER(MATCH(J357,{"menace","othering","ridicule","blame","victim"},0)),ISNUMBER(MATCH(L357,{"menace","othering","ridicule","blame","victim"},0)))),1,0)</f>
        <v>0</v>
      </c>
      <c r="R357">
        <f>IF(AND(P357=1,Q357=0,OR(ISNUMBER(MATCH(H357,{"wholesome","heroic"},0)),ISNUMBER(MATCH(J357,{"wholesome","heroic"},0)),ISNUMBER(MATCH(L357,{"wholesome","heroic"},0)))),1,0)</f>
        <v>1</v>
      </c>
      <c r="S357">
        <f t="shared" si="16"/>
        <v>0</v>
      </c>
      <c r="T357">
        <f t="shared" si="17"/>
        <v>1</v>
      </c>
      <c r="U357" t="s">
        <v>3053</v>
      </c>
    </row>
    <row r="358" spans="1:22" x14ac:dyDescent="0.25">
      <c r="A358" t="s">
        <v>3208</v>
      </c>
      <c r="B358">
        <v>4794</v>
      </c>
      <c r="C358" t="s">
        <v>32</v>
      </c>
      <c r="D358" t="s">
        <v>1455</v>
      </c>
      <c r="E358" s="4">
        <v>45357</v>
      </c>
      <c r="F358" s="6">
        <v>0</v>
      </c>
      <c r="G358" s="6" t="s">
        <v>2986</v>
      </c>
      <c r="H358" s="6" t="s">
        <v>2994</v>
      </c>
      <c r="I358" s="6"/>
      <c r="J358" s="6"/>
      <c r="K358" s="6"/>
      <c r="L358" s="6"/>
      <c r="M358" s="6" t="s">
        <v>3046</v>
      </c>
      <c r="N358" s="6"/>
      <c r="O358" s="6"/>
      <c r="P358">
        <f t="shared" si="15"/>
        <v>1</v>
      </c>
      <c r="Q358">
        <f>IF(AND(P358=1,OR(ISNUMBER(MATCH(H358,{"menace","othering","ridicule","blame","victim"},0)),ISNUMBER(MATCH(J358,{"menace","othering","ridicule","blame","victim"},0)),ISNUMBER(MATCH(L358,{"menace","othering","ridicule","blame","victim"},0)))),1,0)</f>
        <v>0</v>
      </c>
      <c r="R358">
        <f>IF(AND(P358=1,Q358=0,OR(ISNUMBER(MATCH(H358,{"wholesome","heroic"},0)),ISNUMBER(MATCH(J358,{"wholesome","heroic"},0)),ISNUMBER(MATCH(L358,{"wholesome","heroic"},0)))),1,0)</f>
        <v>1</v>
      </c>
      <c r="S358">
        <f t="shared" si="16"/>
        <v>0</v>
      </c>
      <c r="T358">
        <f t="shared" si="17"/>
        <v>0</v>
      </c>
      <c r="U358" t="s">
        <v>3053</v>
      </c>
    </row>
    <row r="359" spans="1:22" x14ac:dyDescent="0.25">
      <c r="A359" t="s">
        <v>3761</v>
      </c>
      <c r="B359">
        <v>4797</v>
      </c>
      <c r="C359" t="s">
        <v>32</v>
      </c>
      <c r="D359" t="s">
        <v>1455</v>
      </c>
      <c r="E359" s="4">
        <v>45357</v>
      </c>
      <c r="F359" s="6">
        <v>0</v>
      </c>
      <c r="G359" s="6" t="s">
        <v>2991</v>
      </c>
      <c r="H359" s="6" t="s">
        <v>2994</v>
      </c>
      <c r="I359" s="6"/>
      <c r="J359" s="6"/>
      <c r="K359" s="6"/>
      <c r="L359" s="6"/>
      <c r="M359" s="6" t="s">
        <v>3046</v>
      </c>
      <c r="N359" s="6"/>
      <c r="O359" s="6"/>
      <c r="P359">
        <f t="shared" si="15"/>
        <v>1</v>
      </c>
      <c r="Q359">
        <f>IF(AND(P359=1,OR(ISNUMBER(MATCH(H359,{"menace","othering","ridicule","blame","victim"},0)),ISNUMBER(MATCH(J359,{"menace","othering","ridicule","blame","victim"},0)),ISNUMBER(MATCH(L359,{"menace","othering","ridicule","blame","victim"},0)))),1,0)</f>
        <v>0</v>
      </c>
      <c r="R359">
        <f>IF(AND(P359=1,Q359=0,OR(ISNUMBER(MATCH(H359,{"wholesome","heroic"},0)),ISNUMBER(MATCH(J359,{"wholesome","heroic"},0)),ISNUMBER(MATCH(L359,{"wholesome","heroic"},0)))),1,0)</f>
        <v>1</v>
      </c>
      <c r="S359">
        <f t="shared" si="16"/>
        <v>0</v>
      </c>
      <c r="T359">
        <f t="shared" si="17"/>
        <v>0</v>
      </c>
      <c r="U359" t="s">
        <v>3049</v>
      </c>
      <c r="V359" t="s">
        <v>3203</v>
      </c>
    </row>
    <row r="360" spans="1:22" x14ac:dyDescent="0.25">
      <c r="A360" t="s">
        <v>3762</v>
      </c>
      <c r="B360">
        <v>4801</v>
      </c>
      <c r="C360" t="s">
        <v>32</v>
      </c>
      <c r="D360" t="s">
        <v>1455</v>
      </c>
      <c r="E360" s="4">
        <v>45358</v>
      </c>
      <c r="F360" s="6">
        <v>0</v>
      </c>
      <c r="G360" s="6" t="s">
        <v>2986</v>
      </c>
      <c r="H360" s="6" t="s">
        <v>2989</v>
      </c>
      <c r="I360" s="6"/>
      <c r="J360" s="6"/>
      <c r="K360" s="6"/>
      <c r="L360" s="6"/>
      <c r="M360" s="6" t="s">
        <v>3046</v>
      </c>
      <c r="N360" s="6"/>
      <c r="O360" s="6"/>
      <c r="P360">
        <f t="shared" si="15"/>
        <v>1</v>
      </c>
      <c r="Q360">
        <f>IF(AND(P360=1,OR(ISNUMBER(MATCH(H360,{"menace","othering","ridicule","blame","victim"},0)),ISNUMBER(MATCH(J360,{"menace","othering","ridicule","blame","victim"},0)),ISNUMBER(MATCH(L360,{"menace","othering","ridicule","blame","victim"},0)))),1,0)</f>
        <v>0</v>
      </c>
      <c r="R360">
        <f>IF(AND(P360=1,Q360=0,OR(ISNUMBER(MATCH(H360,{"wholesome","heroic"},0)),ISNUMBER(MATCH(J360,{"wholesome","heroic"},0)),ISNUMBER(MATCH(L360,{"wholesome","heroic"},0)))),1,0)</f>
        <v>0</v>
      </c>
      <c r="S360">
        <f t="shared" si="16"/>
        <v>1</v>
      </c>
      <c r="T360">
        <f t="shared" si="17"/>
        <v>0</v>
      </c>
      <c r="U360" t="s">
        <v>3049</v>
      </c>
      <c r="V360" t="s">
        <v>3052</v>
      </c>
    </row>
    <row r="361" spans="1:22" x14ac:dyDescent="0.25">
      <c r="A361" t="s">
        <v>3763</v>
      </c>
      <c r="B361">
        <v>4802</v>
      </c>
      <c r="C361" t="s">
        <v>32</v>
      </c>
      <c r="D361" t="s">
        <v>1455</v>
      </c>
      <c r="E361" s="4">
        <v>45358</v>
      </c>
      <c r="F361" s="6">
        <v>0</v>
      </c>
      <c r="G361" s="6" t="s">
        <v>3000</v>
      </c>
      <c r="H361" s="6" t="s">
        <v>2990</v>
      </c>
      <c r="I361" s="6"/>
      <c r="J361" s="6"/>
      <c r="K361" s="6"/>
      <c r="L361" s="6"/>
      <c r="M361" s="6" t="s">
        <v>3046</v>
      </c>
      <c r="N361" s="6"/>
      <c r="O361" s="6"/>
      <c r="P361">
        <f t="shared" si="15"/>
        <v>1</v>
      </c>
      <c r="Q361">
        <f>IF(AND(P361=1,OR(ISNUMBER(MATCH(H361,{"menace","othering","ridicule","blame","victim"},0)),ISNUMBER(MATCH(J361,{"menace","othering","ridicule","blame","victim"},0)),ISNUMBER(MATCH(L361,{"menace","othering","ridicule","blame","victim"},0)))),1,0)</f>
        <v>0</v>
      </c>
      <c r="R361">
        <f>IF(AND(P361=1,Q361=0,OR(ISNUMBER(MATCH(H361,{"wholesome","heroic"},0)),ISNUMBER(MATCH(J361,{"wholesome","heroic"},0)),ISNUMBER(MATCH(L361,{"wholesome","heroic"},0)))),1,0)</f>
        <v>1</v>
      </c>
      <c r="S361">
        <f t="shared" si="16"/>
        <v>0</v>
      </c>
      <c r="T361">
        <f t="shared" si="17"/>
        <v>0</v>
      </c>
      <c r="U361" t="s">
        <v>3049</v>
      </c>
      <c r="V361" t="s">
        <v>3210</v>
      </c>
    </row>
    <row r="362" spans="1:22" x14ac:dyDescent="0.25">
      <c r="A362" t="s">
        <v>3764</v>
      </c>
      <c r="B362">
        <v>4807</v>
      </c>
      <c r="C362" t="s">
        <v>32</v>
      </c>
      <c r="D362" t="s">
        <v>1455</v>
      </c>
      <c r="E362" s="4">
        <v>45359</v>
      </c>
      <c r="F362" s="6">
        <v>0</v>
      </c>
      <c r="G362" s="6" t="s">
        <v>2995</v>
      </c>
      <c r="H362" s="6" t="s">
        <v>2989</v>
      </c>
      <c r="I362" s="6"/>
      <c r="J362" s="6"/>
      <c r="K362" s="6"/>
      <c r="L362" s="6"/>
      <c r="M362" s="6" t="s">
        <v>3046</v>
      </c>
      <c r="N362" s="6"/>
      <c r="O362" s="6"/>
      <c r="P362">
        <f t="shared" si="15"/>
        <v>1</v>
      </c>
      <c r="Q362">
        <f>IF(AND(P362=1,OR(ISNUMBER(MATCH(H362,{"menace","othering","ridicule","blame","victim"},0)),ISNUMBER(MATCH(J362,{"menace","othering","ridicule","blame","victim"},0)),ISNUMBER(MATCH(L362,{"menace","othering","ridicule","blame","victim"},0)))),1,0)</f>
        <v>0</v>
      </c>
      <c r="R362">
        <f>IF(AND(P362=1,Q362=0,OR(ISNUMBER(MATCH(H362,{"wholesome","heroic"},0)),ISNUMBER(MATCH(J362,{"wholesome","heroic"},0)),ISNUMBER(MATCH(L362,{"wholesome","heroic"},0)))),1,0)</f>
        <v>0</v>
      </c>
      <c r="S362">
        <f t="shared" si="16"/>
        <v>1</v>
      </c>
      <c r="T362">
        <f t="shared" si="17"/>
        <v>1</v>
      </c>
      <c r="U362" t="s">
        <v>3049</v>
      </c>
      <c r="V362" t="s">
        <v>3212</v>
      </c>
    </row>
    <row r="363" spans="1:22" x14ac:dyDescent="0.25">
      <c r="A363" t="s">
        <v>3207</v>
      </c>
      <c r="B363">
        <v>4808</v>
      </c>
      <c r="C363" t="s">
        <v>32</v>
      </c>
      <c r="D363" t="s">
        <v>1455</v>
      </c>
      <c r="E363" s="4">
        <v>45359</v>
      </c>
      <c r="F363" s="6">
        <v>0</v>
      </c>
      <c r="G363" s="6" t="s">
        <v>2995</v>
      </c>
      <c r="H363" s="6" t="s">
        <v>2990</v>
      </c>
      <c r="I363" s="6" t="s">
        <v>2988</v>
      </c>
      <c r="J363" s="6" t="s">
        <v>2989</v>
      </c>
      <c r="K363" s="6"/>
      <c r="L363" s="6"/>
      <c r="M363" s="6" t="s">
        <v>3046</v>
      </c>
      <c r="N363" s="6" t="s">
        <v>3046</v>
      </c>
      <c r="O363" s="6"/>
      <c r="P363">
        <f t="shared" si="15"/>
        <v>1</v>
      </c>
      <c r="Q363">
        <f>IF(AND(P363=1,OR(ISNUMBER(MATCH(H363,{"menace","othering","ridicule","blame","victim"},0)),ISNUMBER(MATCH(J363,{"menace","othering","ridicule","blame","victim"},0)),ISNUMBER(MATCH(L363,{"menace","othering","ridicule","blame","victim"},0)))),1,0)</f>
        <v>0</v>
      </c>
      <c r="R363">
        <f>IF(AND(P363=1,Q363=0,OR(ISNUMBER(MATCH(H363,{"wholesome","heroic"},0)),ISNUMBER(MATCH(J363,{"wholesome","heroic"},0)),ISNUMBER(MATCH(L363,{"wholesome","heroic"},0)))),1,0)</f>
        <v>1</v>
      </c>
      <c r="S363">
        <f t="shared" si="16"/>
        <v>0</v>
      </c>
      <c r="T363">
        <f t="shared" si="17"/>
        <v>1</v>
      </c>
      <c r="U363" t="s">
        <v>3053</v>
      </c>
    </row>
    <row r="364" spans="1:22" x14ac:dyDescent="0.25">
      <c r="A364" t="s">
        <v>3765</v>
      </c>
      <c r="B364">
        <v>4817</v>
      </c>
      <c r="C364" t="s">
        <v>32</v>
      </c>
      <c r="D364" t="s">
        <v>1455</v>
      </c>
      <c r="E364" s="4">
        <v>45360</v>
      </c>
      <c r="F364" s="6">
        <v>0</v>
      </c>
      <c r="G364" s="6" t="s">
        <v>2991</v>
      </c>
      <c r="H364" s="6" t="s">
        <v>2993</v>
      </c>
      <c r="I364" s="6"/>
      <c r="J364" s="6"/>
      <c r="K364" s="6"/>
      <c r="L364" s="6"/>
      <c r="M364" s="6" t="s">
        <v>3046</v>
      </c>
      <c r="N364" s="6"/>
      <c r="O364" s="6"/>
      <c r="P364">
        <f t="shared" si="15"/>
        <v>1</v>
      </c>
      <c r="Q364">
        <f>IF(AND(P364=1,OR(ISNUMBER(MATCH(H364,{"menace","othering","ridicule","blame","victim"},0)),ISNUMBER(MATCH(J364,{"menace","othering","ridicule","blame","victim"},0)),ISNUMBER(MATCH(L364,{"menace","othering","ridicule","blame","victim"},0)))),1,0)</f>
        <v>1</v>
      </c>
      <c r="R364">
        <f>IF(AND(P364=1,Q364=0,OR(ISNUMBER(MATCH(H364,{"wholesome","heroic"},0)),ISNUMBER(MATCH(J364,{"wholesome","heroic"},0)),ISNUMBER(MATCH(L364,{"wholesome","heroic"},0)))),1,0)</f>
        <v>0</v>
      </c>
      <c r="S364">
        <f t="shared" si="16"/>
        <v>0</v>
      </c>
      <c r="T364">
        <f t="shared" si="17"/>
        <v>0</v>
      </c>
      <c r="U364" t="s">
        <v>3049</v>
      </c>
      <c r="V364" t="s">
        <v>3214</v>
      </c>
    </row>
    <row r="365" spans="1:22" x14ac:dyDescent="0.25">
      <c r="A365" t="s">
        <v>3766</v>
      </c>
      <c r="B365">
        <v>4846</v>
      </c>
      <c r="C365" t="s">
        <v>32</v>
      </c>
      <c r="D365" t="s">
        <v>1455</v>
      </c>
      <c r="E365" s="4">
        <v>45364</v>
      </c>
      <c r="F365" s="6">
        <v>0</v>
      </c>
      <c r="G365" s="6" t="s">
        <v>2991</v>
      </c>
      <c r="H365" s="6" t="s">
        <v>2990</v>
      </c>
      <c r="I365" s="6"/>
      <c r="J365" s="6"/>
      <c r="K365" s="6"/>
      <c r="L365" s="6"/>
      <c r="M365" s="6" t="s">
        <v>3046</v>
      </c>
      <c r="N365" s="6"/>
      <c r="O365" s="6"/>
      <c r="P365">
        <f t="shared" si="15"/>
        <v>1</v>
      </c>
      <c r="Q365">
        <f>IF(AND(P365=1,OR(ISNUMBER(MATCH(H365,{"menace","othering","ridicule","blame","victim"},0)),ISNUMBER(MATCH(J365,{"menace","othering","ridicule","blame","victim"},0)),ISNUMBER(MATCH(L365,{"menace","othering","ridicule","blame","victim"},0)))),1,0)</f>
        <v>0</v>
      </c>
      <c r="R365">
        <f>IF(AND(P365=1,Q365=0,OR(ISNUMBER(MATCH(H365,{"wholesome","heroic"},0)),ISNUMBER(MATCH(J365,{"wholesome","heroic"},0)),ISNUMBER(MATCH(L365,{"wholesome","heroic"},0)))),1,0)</f>
        <v>1</v>
      </c>
      <c r="S365">
        <f t="shared" si="16"/>
        <v>0</v>
      </c>
      <c r="T365">
        <f t="shared" si="17"/>
        <v>0</v>
      </c>
      <c r="U365" t="s">
        <v>3049</v>
      </c>
      <c r="V365" t="s">
        <v>1912</v>
      </c>
    </row>
    <row r="366" spans="1:22" x14ac:dyDescent="0.25">
      <c r="A366" t="s">
        <v>3204</v>
      </c>
      <c r="B366">
        <v>4880</v>
      </c>
      <c r="C366" t="s">
        <v>32</v>
      </c>
      <c r="D366" t="s">
        <v>1455</v>
      </c>
      <c r="E366" s="4">
        <v>45370</v>
      </c>
      <c r="F366" s="6">
        <v>0</v>
      </c>
      <c r="G366" s="6" t="s">
        <v>2991</v>
      </c>
      <c r="H366" s="6" t="s">
        <v>2987</v>
      </c>
      <c r="I366" s="6" t="s">
        <v>2991</v>
      </c>
      <c r="J366" s="6" t="s">
        <v>2993</v>
      </c>
      <c r="K366" s="6"/>
      <c r="L366" s="6"/>
      <c r="M366" s="6" t="s">
        <v>3046</v>
      </c>
      <c r="N366" s="6" t="s">
        <v>3046</v>
      </c>
      <c r="O366" s="6"/>
      <c r="P366">
        <f t="shared" si="15"/>
        <v>1</v>
      </c>
      <c r="Q366">
        <f>IF(AND(P366=1,OR(ISNUMBER(MATCH(H366,{"menace","othering","ridicule","blame","victim"},0)),ISNUMBER(MATCH(J366,{"menace","othering","ridicule","blame","victim"},0)),ISNUMBER(MATCH(L366,{"menace","othering","ridicule","blame","victim"},0)))),1,0)</f>
        <v>1</v>
      </c>
      <c r="R366">
        <f>IF(AND(P366=1,Q366=0,OR(ISNUMBER(MATCH(H366,{"wholesome","heroic"},0)),ISNUMBER(MATCH(J366,{"wholesome","heroic"},0)),ISNUMBER(MATCH(L366,{"wholesome","heroic"},0)))),1,0)</f>
        <v>0</v>
      </c>
      <c r="S366">
        <f t="shared" si="16"/>
        <v>0</v>
      </c>
      <c r="T366">
        <f t="shared" si="17"/>
        <v>0</v>
      </c>
      <c r="U366" t="s">
        <v>3053</v>
      </c>
    </row>
    <row r="367" spans="1:22" x14ac:dyDescent="0.25">
      <c r="A367" t="s">
        <v>3767</v>
      </c>
      <c r="B367">
        <v>4921</v>
      </c>
      <c r="C367" t="s">
        <v>32</v>
      </c>
      <c r="D367" t="s">
        <v>1455</v>
      </c>
      <c r="E367" s="4">
        <v>45376</v>
      </c>
      <c r="F367" s="6">
        <v>0</v>
      </c>
      <c r="G367" s="6" t="s">
        <v>3000</v>
      </c>
      <c r="H367" s="6" t="s">
        <v>2993</v>
      </c>
      <c r="I367" s="6"/>
      <c r="J367" s="6"/>
      <c r="K367" s="6"/>
      <c r="L367" s="6"/>
      <c r="M367" s="6" t="s">
        <v>3046</v>
      </c>
      <c r="N367" s="6"/>
      <c r="O367" s="6"/>
      <c r="P367">
        <f t="shared" si="15"/>
        <v>1</v>
      </c>
      <c r="Q367">
        <f>IF(AND(P367=1,OR(ISNUMBER(MATCH(H367,{"menace","othering","ridicule","blame","victim"},0)),ISNUMBER(MATCH(J367,{"menace","othering","ridicule","blame","victim"},0)),ISNUMBER(MATCH(L367,{"menace","othering","ridicule","blame","victim"},0)))),1,0)</f>
        <v>1</v>
      </c>
      <c r="R367">
        <f>IF(AND(P367=1,Q367=0,OR(ISNUMBER(MATCH(H367,{"wholesome","heroic"},0)),ISNUMBER(MATCH(J367,{"wholesome","heroic"},0)),ISNUMBER(MATCH(L367,{"wholesome","heroic"},0)))),1,0)</f>
        <v>0</v>
      </c>
      <c r="S367">
        <f t="shared" si="16"/>
        <v>0</v>
      </c>
      <c r="T367">
        <f t="shared" si="17"/>
        <v>0</v>
      </c>
      <c r="U367" t="s">
        <v>3049</v>
      </c>
      <c r="V367" t="s">
        <v>1915</v>
      </c>
    </row>
    <row r="368" spans="1:22" x14ac:dyDescent="0.25">
      <c r="A368" t="s">
        <v>3768</v>
      </c>
      <c r="B368">
        <v>4950</v>
      </c>
      <c r="C368" t="s">
        <v>32</v>
      </c>
      <c r="D368" t="s">
        <v>1455</v>
      </c>
      <c r="E368" s="4">
        <v>45380</v>
      </c>
      <c r="F368" s="6">
        <v>0</v>
      </c>
      <c r="G368" s="6" t="s">
        <v>2995</v>
      </c>
      <c r="H368" s="6" t="s">
        <v>2989</v>
      </c>
      <c r="I368" s="6"/>
      <c r="J368" s="6"/>
      <c r="K368" s="6"/>
      <c r="L368" s="6"/>
      <c r="M368" s="6" t="s">
        <v>3046</v>
      </c>
      <c r="N368" s="6"/>
      <c r="O368" s="6"/>
      <c r="P368">
        <f t="shared" si="15"/>
        <v>1</v>
      </c>
      <c r="Q368">
        <f>IF(AND(P368=1,OR(ISNUMBER(MATCH(H368,{"menace","othering","ridicule","blame","victim"},0)),ISNUMBER(MATCH(J368,{"menace","othering","ridicule","blame","victim"},0)),ISNUMBER(MATCH(L368,{"menace","othering","ridicule","blame","victim"},0)))),1,0)</f>
        <v>0</v>
      </c>
      <c r="R368">
        <f>IF(AND(P368=1,Q368=0,OR(ISNUMBER(MATCH(H368,{"wholesome","heroic"},0)),ISNUMBER(MATCH(J368,{"wholesome","heroic"},0)),ISNUMBER(MATCH(L368,{"wholesome","heroic"},0)))),1,0)</f>
        <v>0</v>
      </c>
      <c r="S368">
        <f t="shared" si="16"/>
        <v>1</v>
      </c>
      <c r="T368">
        <f t="shared" si="17"/>
        <v>1</v>
      </c>
      <c r="U368" t="s">
        <v>3049</v>
      </c>
      <c r="V368" t="s">
        <v>3181</v>
      </c>
    </row>
    <row r="369" spans="1:22" x14ac:dyDescent="0.25">
      <c r="A369" t="s">
        <v>3202</v>
      </c>
      <c r="B369">
        <v>4953</v>
      </c>
      <c r="C369" t="s">
        <v>32</v>
      </c>
      <c r="D369" t="s">
        <v>1455</v>
      </c>
      <c r="E369" s="4">
        <v>45380</v>
      </c>
      <c r="F369" s="6">
        <v>0</v>
      </c>
      <c r="G369" s="6" t="s">
        <v>3000</v>
      </c>
      <c r="H369" s="6" t="s">
        <v>2993</v>
      </c>
      <c r="I369" s="6" t="s">
        <v>3000</v>
      </c>
      <c r="J369" s="6" t="s">
        <v>2989</v>
      </c>
      <c r="K369" s="6"/>
      <c r="L369" s="6"/>
      <c r="M369" s="6" t="s">
        <v>3046</v>
      </c>
      <c r="N369" s="6" t="s">
        <v>3046</v>
      </c>
      <c r="O369" s="6"/>
      <c r="P369">
        <f t="shared" si="15"/>
        <v>1</v>
      </c>
      <c r="Q369">
        <f>IF(AND(P369=1,OR(ISNUMBER(MATCH(H369,{"menace","othering","ridicule","blame","victim"},0)),ISNUMBER(MATCH(J369,{"menace","othering","ridicule","blame","victim"},0)),ISNUMBER(MATCH(L369,{"menace","othering","ridicule","blame","victim"},0)))),1,0)</f>
        <v>1</v>
      </c>
      <c r="R369">
        <f>IF(AND(P369=1,Q369=0,OR(ISNUMBER(MATCH(H369,{"wholesome","heroic"},0)),ISNUMBER(MATCH(J369,{"wholesome","heroic"},0)),ISNUMBER(MATCH(L369,{"wholesome","heroic"},0)))),1,0)</f>
        <v>0</v>
      </c>
      <c r="S369">
        <f t="shared" si="16"/>
        <v>0</v>
      </c>
      <c r="T369">
        <f t="shared" si="17"/>
        <v>0</v>
      </c>
      <c r="U369" t="s">
        <v>3049</v>
      </c>
      <c r="V369" t="s">
        <v>3205</v>
      </c>
    </row>
    <row r="370" spans="1:22" x14ac:dyDescent="0.25">
      <c r="A370" t="s">
        <v>3199</v>
      </c>
      <c r="B370">
        <v>5059</v>
      </c>
      <c r="C370" t="s">
        <v>32</v>
      </c>
      <c r="D370" t="s">
        <v>1455</v>
      </c>
      <c r="E370" s="4">
        <v>45397</v>
      </c>
      <c r="F370" s="6">
        <v>0</v>
      </c>
      <c r="G370" s="6" t="s">
        <v>2995</v>
      </c>
      <c r="H370" s="6" t="s">
        <v>2989</v>
      </c>
      <c r="I370" s="6"/>
      <c r="J370" s="6"/>
      <c r="K370" s="6"/>
      <c r="L370" s="6"/>
      <c r="M370" s="6" t="s">
        <v>3046</v>
      </c>
      <c r="N370" s="6"/>
      <c r="O370" s="6"/>
      <c r="P370">
        <f t="shared" si="15"/>
        <v>1</v>
      </c>
      <c r="Q370">
        <f>IF(AND(P370=1,OR(ISNUMBER(MATCH(H370,{"menace","othering","ridicule","blame","victim"},0)),ISNUMBER(MATCH(J370,{"menace","othering","ridicule","blame","victim"},0)),ISNUMBER(MATCH(L370,{"menace","othering","ridicule","blame","victim"},0)))),1,0)</f>
        <v>0</v>
      </c>
      <c r="R370">
        <f>IF(AND(P370=1,Q370=0,OR(ISNUMBER(MATCH(H370,{"wholesome","heroic"},0)),ISNUMBER(MATCH(J370,{"wholesome","heroic"},0)),ISNUMBER(MATCH(L370,{"wholesome","heroic"},0)))),1,0)</f>
        <v>0</v>
      </c>
      <c r="S370">
        <f t="shared" si="16"/>
        <v>1</v>
      </c>
      <c r="T370">
        <f t="shared" si="17"/>
        <v>1</v>
      </c>
      <c r="U370" t="s">
        <v>3053</v>
      </c>
    </row>
    <row r="371" spans="1:22" x14ac:dyDescent="0.25">
      <c r="A371" t="s">
        <v>3769</v>
      </c>
      <c r="B371">
        <v>5081</v>
      </c>
      <c r="C371" t="s">
        <v>32</v>
      </c>
      <c r="D371" t="s">
        <v>1455</v>
      </c>
      <c r="E371" s="4">
        <v>45400</v>
      </c>
      <c r="F371" s="6">
        <v>0</v>
      </c>
      <c r="G371" s="6" t="s">
        <v>2986</v>
      </c>
      <c r="H371" s="6" t="s">
        <v>2989</v>
      </c>
      <c r="I371" s="6"/>
      <c r="J371" s="6"/>
      <c r="K371" s="6"/>
      <c r="L371" s="6"/>
      <c r="M371" s="6" t="s">
        <v>3046</v>
      </c>
      <c r="N371" s="6"/>
      <c r="O371" s="6"/>
      <c r="P371">
        <f t="shared" si="15"/>
        <v>1</v>
      </c>
      <c r="Q371">
        <f>IF(AND(P371=1,OR(ISNUMBER(MATCH(H371,{"menace","othering","ridicule","blame","victim"},0)),ISNUMBER(MATCH(J371,{"menace","othering","ridicule","blame","victim"},0)),ISNUMBER(MATCH(L371,{"menace","othering","ridicule","blame","victim"},0)))),1,0)</f>
        <v>0</v>
      </c>
      <c r="R371">
        <f>IF(AND(P371=1,Q371=0,OR(ISNUMBER(MATCH(H371,{"wholesome","heroic"},0)),ISNUMBER(MATCH(J371,{"wholesome","heroic"},0)),ISNUMBER(MATCH(L371,{"wholesome","heroic"},0)))),1,0)</f>
        <v>0</v>
      </c>
      <c r="S371">
        <f t="shared" si="16"/>
        <v>1</v>
      </c>
      <c r="T371">
        <f t="shared" si="17"/>
        <v>0</v>
      </c>
      <c r="U371" t="s">
        <v>3049</v>
      </c>
      <c r="V371" t="s">
        <v>3179</v>
      </c>
    </row>
    <row r="372" spans="1:22" x14ac:dyDescent="0.25">
      <c r="A372" t="s">
        <v>3196</v>
      </c>
      <c r="B372">
        <v>5082</v>
      </c>
      <c r="C372" t="s">
        <v>32</v>
      </c>
      <c r="D372" t="s">
        <v>1455</v>
      </c>
      <c r="E372" s="4">
        <v>45400</v>
      </c>
      <c r="F372" s="6">
        <v>0</v>
      </c>
      <c r="G372" s="6" t="s">
        <v>2986</v>
      </c>
      <c r="H372" s="6" t="s">
        <v>2989</v>
      </c>
      <c r="I372" s="6"/>
      <c r="J372" s="6"/>
      <c r="K372" s="6"/>
      <c r="L372" s="6"/>
      <c r="M372" s="6" t="s">
        <v>3046</v>
      </c>
      <c r="N372" s="6"/>
      <c r="O372" s="6"/>
      <c r="P372">
        <f t="shared" si="15"/>
        <v>1</v>
      </c>
      <c r="Q372">
        <f>IF(AND(P372=1,OR(ISNUMBER(MATCH(H372,{"menace","othering","ridicule","blame","victim"},0)),ISNUMBER(MATCH(J372,{"menace","othering","ridicule","blame","victim"},0)),ISNUMBER(MATCH(L372,{"menace","othering","ridicule","blame","victim"},0)))),1,0)</f>
        <v>0</v>
      </c>
      <c r="R372">
        <f>IF(AND(P372=1,Q372=0,OR(ISNUMBER(MATCH(H372,{"wholesome","heroic"},0)),ISNUMBER(MATCH(J372,{"wholesome","heroic"},0)),ISNUMBER(MATCH(L372,{"wholesome","heroic"},0)))),1,0)</f>
        <v>0</v>
      </c>
      <c r="S372">
        <f t="shared" si="16"/>
        <v>1</v>
      </c>
      <c r="T372">
        <f t="shared" si="17"/>
        <v>0</v>
      </c>
      <c r="U372" t="s">
        <v>3053</v>
      </c>
    </row>
    <row r="373" spans="1:22" x14ac:dyDescent="0.25">
      <c r="A373" t="s">
        <v>3770</v>
      </c>
      <c r="B373">
        <v>5106</v>
      </c>
      <c r="C373" t="s">
        <v>32</v>
      </c>
      <c r="D373" t="s">
        <v>1455</v>
      </c>
      <c r="E373" s="4">
        <v>45405</v>
      </c>
      <c r="F373" s="6">
        <v>0</v>
      </c>
      <c r="G373" s="6" t="s">
        <v>2995</v>
      </c>
      <c r="H373" s="6" t="s">
        <v>2989</v>
      </c>
      <c r="I373" s="6" t="s">
        <v>3000</v>
      </c>
      <c r="J373" s="6" t="s">
        <v>2989</v>
      </c>
      <c r="K373" s="6"/>
      <c r="L373" s="6"/>
      <c r="M373" s="6" t="s">
        <v>3046</v>
      </c>
      <c r="N373" s="6" t="s">
        <v>3046</v>
      </c>
      <c r="O373" s="6"/>
      <c r="P373">
        <f t="shared" si="15"/>
        <v>1</v>
      </c>
      <c r="Q373">
        <f>IF(AND(P373=1,OR(ISNUMBER(MATCH(H373,{"menace","othering","ridicule","blame","victim"},0)),ISNUMBER(MATCH(J373,{"menace","othering","ridicule","blame","victim"},0)),ISNUMBER(MATCH(L373,{"menace","othering","ridicule","blame","victim"},0)))),1,0)</f>
        <v>0</v>
      </c>
      <c r="R373">
        <f>IF(AND(P373=1,Q373=0,OR(ISNUMBER(MATCH(H373,{"wholesome","heroic"},0)),ISNUMBER(MATCH(J373,{"wholesome","heroic"},0)),ISNUMBER(MATCH(L373,{"wholesome","heroic"},0)))),1,0)</f>
        <v>0</v>
      </c>
      <c r="S373">
        <f t="shared" si="16"/>
        <v>1</v>
      </c>
      <c r="T373">
        <f t="shared" si="17"/>
        <v>1</v>
      </c>
      <c r="U373" t="s">
        <v>3049</v>
      </c>
      <c r="V373" t="s">
        <v>1909</v>
      </c>
    </row>
    <row r="374" spans="1:22" x14ac:dyDescent="0.25">
      <c r="A374" t="s">
        <v>3771</v>
      </c>
      <c r="B374">
        <v>5110</v>
      </c>
      <c r="C374" t="s">
        <v>32</v>
      </c>
      <c r="D374" t="s">
        <v>1455</v>
      </c>
      <c r="E374" s="4">
        <v>45405</v>
      </c>
      <c r="F374" s="6">
        <v>0</v>
      </c>
      <c r="G374" s="6" t="s">
        <v>3000</v>
      </c>
      <c r="H374" s="6" t="s">
        <v>2993</v>
      </c>
      <c r="I374" s="6"/>
      <c r="J374" s="6"/>
      <c r="K374" s="6"/>
      <c r="L374" s="6"/>
      <c r="M374" s="6" t="s">
        <v>3046</v>
      </c>
      <c r="N374" s="6"/>
      <c r="O374" s="6"/>
      <c r="P374">
        <f t="shared" si="15"/>
        <v>1</v>
      </c>
      <c r="Q374">
        <f>IF(AND(P374=1,OR(ISNUMBER(MATCH(H374,{"menace","othering","ridicule","blame","victim"},0)),ISNUMBER(MATCH(J374,{"menace","othering","ridicule","blame","victim"},0)),ISNUMBER(MATCH(L374,{"menace","othering","ridicule","blame","victim"},0)))),1,0)</f>
        <v>1</v>
      </c>
      <c r="R374">
        <f>IF(AND(P374=1,Q374=0,OR(ISNUMBER(MATCH(H374,{"wholesome","heroic"},0)),ISNUMBER(MATCH(J374,{"wholesome","heroic"},0)),ISNUMBER(MATCH(L374,{"wholesome","heroic"},0)))),1,0)</f>
        <v>0</v>
      </c>
      <c r="S374">
        <f t="shared" si="16"/>
        <v>0</v>
      </c>
      <c r="T374">
        <f t="shared" si="17"/>
        <v>0</v>
      </c>
      <c r="U374" t="s">
        <v>3049</v>
      </c>
      <c r="V374" t="s">
        <v>3201</v>
      </c>
    </row>
    <row r="375" spans="1:22" x14ac:dyDescent="0.25">
      <c r="A375" t="s">
        <v>3772</v>
      </c>
      <c r="B375">
        <v>5113</v>
      </c>
      <c r="C375" t="s">
        <v>32</v>
      </c>
      <c r="D375" t="s">
        <v>1455</v>
      </c>
      <c r="E375" s="4">
        <v>45406</v>
      </c>
      <c r="F375" s="6">
        <v>0</v>
      </c>
      <c r="G375" s="6" t="s">
        <v>3000</v>
      </c>
      <c r="H375" s="6" t="s">
        <v>2994</v>
      </c>
      <c r="I375" s="6"/>
      <c r="J375" s="6"/>
      <c r="K375" s="6"/>
      <c r="L375" s="6"/>
      <c r="M375" s="6" t="s">
        <v>3046</v>
      </c>
      <c r="N375" s="6"/>
      <c r="O375" s="6"/>
      <c r="P375">
        <f t="shared" si="15"/>
        <v>1</v>
      </c>
      <c r="Q375">
        <f>IF(AND(P375=1,OR(ISNUMBER(MATCH(H375,{"menace","othering","ridicule","blame","victim"},0)),ISNUMBER(MATCH(J375,{"menace","othering","ridicule","blame","victim"},0)),ISNUMBER(MATCH(L375,{"menace","othering","ridicule","blame","victim"},0)))),1,0)</f>
        <v>0</v>
      </c>
      <c r="R375">
        <f>IF(AND(P375=1,Q375=0,OR(ISNUMBER(MATCH(H375,{"wholesome","heroic"},0)),ISNUMBER(MATCH(J375,{"wholesome","heroic"},0)),ISNUMBER(MATCH(L375,{"wholesome","heroic"},0)))),1,0)</f>
        <v>1</v>
      </c>
      <c r="S375">
        <f t="shared" si="16"/>
        <v>0</v>
      </c>
      <c r="T375">
        <f t="shared" si="17"/>
        <v>0</v>
      </c>
      <c r="U375" t="s">
        <v>3049</v>
      </c>
      <c r="V375" t="s">
        <v>1910</v>
      </c>
    </row>
    <row r="376" spans="1:22" x14ac:dyDescent="0.25">
      <c r="A376" t="s">
        <v>3194</v>
      </c>
      <c r="B376">
        <v>5155</v>
      </c>
      <c r="C376" t="s">
        <v>32</v>
      </c>
      <c r="D376" t="s">
        <v>1455</v>
      </c>
      <c r="E376" s="4">
        <v>45413</v>
      </c>
      <c r="F376" s="6">
        <v>0</v>
      </c>
      <c r="G376" s="6" t="s">
        <v>2986</v>
      </c>
      <c r="H376" s="6" t="s">
        <v>2993</v>
      </c>
      <c r="I376" s="6"/>
      <c r="J376" s="6"/>
      <c r="K376" s="6"/>
      <c r="L376" s="6"/>
      <c r="M376" s="6" t="s">
        <v>3046</v>
      </c>
      <c r="N376" s="6"/>
      <c r="O376" s="6"/>
      <c r="P376">
        <f t="shared" si="15"/>
        <v>1</v>
      </c>
      <c r="Q376">
        <f>IF(AND(P376=1,OR(ISNUMBER(MATCH(H376,{"menace","othering","ridicule","blame","victim"},0)),ISNUMBER(MATCH(J376,{"menace","othering","ridicule","blame","victim"},0)),ISNUMBER(MATCH(L376,{"menace","othering","ridicule","blame","victim"},0)))),1,0)</f>
        <v>1</v>
      </c>
      <c r="R376">
        <f>IF(AND(P376=1,Q376=0,OR(ISNUMBER(MATCH(H376,{"wholesome","heroic"},0)),ISNUMBER(MATCH(J376,{"wholesome","heroic"},0)),ISNUMBER(MATCH(L376,{"wholesome","heroic"},0)))),1,0)</f>
        <v>0</v>
      </c>
      <c r="S376">
        <f t="shared" si="16"/>
        <v>0</v>
      </c>
      <c r="T376">
        <f t="shared" si="17"/>
        <v>0</v>
      </c>
      <c r="U376" t="s">
        <v>3053</v>
      </c>
    </row>
    <row r="377" spans="1:22" x14ac:dyDescent="0.25">
      <c r="A377" t="s">
        <v>3192</v>
      </c>
      <c r="B377">
        <v>5175</v>
      </c>
      <c r="C377" t="s">
        <v>32</v>
      </c>
      <c r="D377" t="s">
        <v>1455</v>
      </c>
      <c r="E377" s="4">
        <v>45416</v>
      </c>
      <c r="F377" s="6">
        <v>0</v>
      </c>
      <c r="G377" s="6" t="s">
        <v>2991</v>
      </c>
      <c r="H377" s="6" t="s">
        <v>2994</v>
      </c>
      <c r="I377" s="6" t="s">
        <v>2995</v>
      </c>
      <c r="J377" s="6" t="s">
        <v>2989</v>
      </c>
      <c r="K377" s="6" t="s">
        <v>2991</v>
      </c>
      <c r="L377" s="6" t="s">
        <v>2993</v>
      </c>
      <c r="M377" s="6" t="s">
        <v>3046</v>
      </c>
      <c r="N377" s="6" t="s">
        <v>3046</v>
      </c>
      <c r="O377" s="6" t="s">
        <v>3046</v>
      </c>
      <c r="P377">
        <f t="shared" si="15"/>
        <v>1</v>
      </c>
      <c r="Q377">
        <f>IF(AND(P377=1,OR(ISNUMBER(MATCH(H377,{"menace","othering","ridicule","blame","victim"},0)),ISNUMBER(MATCH(J377,{"menace","othering","ridicule","blame","victim"},0)),ISNUMBER(MATCH(L377,{"menace","othering","ridicule","blame","victim"},0)))),1,0)</f>
        <v>1</v>
      </c>
      <c r="R377">
        <f>IF(AND(P377=1,Q377=0,OR(ISNUMBER(MATCH(H377,{"wholesome","heroic"},0)),ISNUMBER(MATCH(J377,{"wholesome","heroic"},0)),ISNUMBER(MATCH(L377,{"wholesome","heroic"},0)))),1,0)</f>
        <v>0</v>
      </c>
      <c r="S377">
        <f t="shared" si="16"/>
        <v>0</v>
      </c>
      <c r="T377">
        <f t="shared" si="17"/>
        <v>1</v>
      </c>
      <c r="U377" t="s">
        <v>3053</v>
      </c>
    </row>
    <row r="378" spans="1:22" x14ac:dyDescent="0.25">
      <c r="A378" t="s">
        <v>3191</v>
      </c>
      <c r="B378">
        <v>5183</v>
      </c>
      <c r="C378" t="s">
        <v>32</v>
      </c>
      <c r="D378" t="s">
        <v>1455</v>
      </c>
      <c r="E378" s="4">
        <v>45417</v>
      </c>
      <c r="F378" s="6">
        <v>0</v>
      </c>
      <c r="G378" s="6" t="s">
        <v>2995</v>
      </c>
      <c r="H378" s="6" t="s">
        <v>2989</v>
      </c>
      <c r="I378" s="6" t="s">
        <v>2986</v>
      </c>
      <c r="J378" s="6" t="s">
        <v>2989</v>
      </c>
      <c r="K378" s="6"/>
      <c r="L378" s="6"/>
      <c r="M378" s="6" t="s">
        <v>3046</v>
      </c>
      <c r="N378" s="6" t="s">
        <v>3046</v>
      </c>
      <c r="O378" s="6"/>
      <c r="P378">
        <f t="shared" si="15"/>
        <v>1</v>
      </c>
      <c r="Q378">
        <f>IF(AND(P378=1,OR(ISNUMBER(MATCH(H378,{"menace","othering","ridicule","blame","victim"},0)),ISNUMBER(MATCH(J378,{"menace","othering","ridicule","blame","victim"},0)),ISNUMBER(MATCH(L378,{"menace","othering","ridicule","blame","victim"},0)))),1,0)</f>
        <v>0</v>
      </c>
      <c r="R378">
        <f>IF(AND(P378=1,Q378=0,OR(ISNUMBER(MATCH(H378,{"wholesome","heroic"},0)),ISNUMBER(MATCH(J378,{"wholesome","heroic"},0)),ISNUMBER(MATCH(L378,{"wholesome","heroic"},0)))),1,0)</f>
        <v>0</v>
      </c>
      <c r="S378">
        <f t="shared" si="16"/>
        <v>1</v>
      </c>
      <c r="T378">
        <f t="shared" si="17"/>
        <v>1</v>
      </c>
      <c r="U378" t="s">
        <v>3049</v>
      </c>
      <c r="V378" t="s">
        <v>1906</v>
      </c>
    </row>
    <row r="379" spans="1:22" x14ac:dyDescent="0.25">
      <c r="A379" t="s">
        <v>3773</v>
      </c>
      <c r="B379">
        <v>5187</v>
      </c>
      <c r="C379" t="s">
        <v>32</v>
      </c>
      <c r="D379" t="s">
        <v>1455</v>
      </c>
      <c r="E379" s="4">
        <v>45418</v>
      </c>
      <c r="F379" s="6">
        <v>0</v>
      </c>
      <c r="G379" s="6" t="s">
        <v>3862</v>
      </c>
      <c r="H379" s="6" t="s">
        <v>2989</v>
      </c>
      <c r="I379" s="6"/>
      <c r="J379" s="6"/>
      <c r="K379" s="6"/>
      <c r="L379" s="6"/>
      <c r="M379" s="6" t="s">
        <v>3046</v>
      </c>
      <c r="N379" s="6"/>
      <c r="O379" s="6"/>
      <c r="P379">
        <f t="shared" si="15"/>
        <v>1</v>
      </c>
      <c r="Q379">
        <f>IF(AND(P379=1,OR(ISNUMBER(MATCH(H379,{"menace","othering","ridicule","blame","victim"},0)),ISNUMBER(MATCH(J379,{"menace","othering","ridicule","blame","victim"},0)),ISNUMBER(MATCH(L379,{"menace","othering","ridicule","blame","victim"},0)))),1,0)</f>
        <v>0</v>
      </c>
      <c r="R379">
        <f>IF(AND(P379=1,Q379=0,OR(ISNUMBER(MATCH(H379,{"wholesome","heroic"},0)),ISNUMBER(MATCH(J379,{"wholesome","heroic"},0)),ISNUMBER(MATCH(L379,{"wholesome","heroic"},0)))),1,0)</f>
        <v>0</v>
      </c>
      <c r="S379">
        <f t="shared" si="16"/>
        <v>1</v>
      </c>
      <c r="T379">
        <f t="shared" si="17"/>
        <v>0</v>
      </c>
      <c r="U379" t="s">
        <v>3049</v>
      </c>
      <c r="V379" t="s">
        <v>3177</v>
      </c>
    </row>
    <row r="380" spans="1:22" x14ac:dyDescent="0.25">
      <c r="A380" t="s">
        <v>3774</v>
      </c>
      <c r="B380">
        <v>5197</v>
      </c>
      <c r="C380" t="s">
        <v>32</v>
      </c>
      <c r="D380" t="s">
        <v>1455</v>
      </c>
      <c r="E380" s="4">
        <v>45420</v>
      </c>
      <c r="F380" s="6">
        <v>0</v>
      </c>
      <c r="G380" s="6" t="s">
        <v>2991</v>
      </c>
      <c r="H380" s="6" t="s">
        <v>2987</v>
      </c>
      <c r="I380" s="6" t="s">
        <v>2997</v>
      </c>
      <c r="J380" s="6" t="s">
        <v>2989</v>
      </c>
      <c r="K380" s="6"/>
      <c r="L380" s="6"/>
      <c r="M380" s="6" t="s">
        <v>3046</v>
      </c>
      <c r="N380" s="6" t="s">
        <v>3046</v>
      </c>
      <c r="O380" s="6"/>
      <c r="P380">
        <f t="shared" si="15"/>
        <v>1</v>
      </c>
      <c r="Q380">
        <f>IF(AND(P380=1,OR(ISNUMBER(MATCH(H380,{"menace","othering","ridicule","blame","victim"},0)),ISNUMBER(MATCH(J380,{"menace","othering","ridicule","blame","victim"},0)),ISNUMBER(MATCH(L380,{"menace","othering","ridicule","blame","victim"},0)))),1,0)</f>
        <v>1</v>
      </c>
      <c r="R380">
        <f>IF(AND(P380=1,Q380=0,OR(ISNUMBER(MATCH(H380,{"wholesome","heroic"},0)),ISNUMBER(MATCH(J380,{"wholesome","heroic"},0)),ISNUMBER(MATCH(L380,{"wholesome","heroic"},0)))),1,0)</f>
        <v>0</v>
      </c>
      <c r="S380">
        <f t="shared" si="16"/>
        <v>0</v>
      </c>
      <c r="T380">
        <f t="shared" si="17"/>
        <v>0</v>
      </c>
      <c r="U380" t="s">
        <v>3049</v>
      </c>
      <c r="V380" t="s">
        <v>3197</v>
      </c>
    </row>
    <row r="381" spans="1:22" x14ac:dyDescent="0.25">
      <c r="A381" t="s">
        <v>3775</v>
      </c>
      <c r="B381">
        <v>5202</v>
      </c>
      <c r="C381" t="s">
        <v>32</v>
      </c>
      <c r="D381" t="s">
        <v>1455</v>
      </c>
      <c r="E381" s="4">
        <v>45420</v>
      </c>
      <c r="F381" s="6">
        <v>0</v>
      </c>
      <c r="G381" s="6" t="s">
        <v>2991</v>
      </c>
      <c r="H381" s="6" t="s">
        <v>2989</v>
      </c>
      <c r="I381" s="6" t="s">
        <v>2998</v>
      </c>
      <c r="J381" s="6" t="s">
        <v>2990</v>
      </c>
      <c r="K381" s="6"/>
      <c r="L381" s="6"/>
      <c r="M381" s="6" t="s">
        <v>3046</v>
      </c>
      <c r="N381" s="6" t="s">
        <v>3046</v>
      </c>
      <c r="O381" s="6"/>
      <c r="P381">
        <f t="shared" si="15"/>
        <v>1</v>
      </c>
      <c r="Q381">
        <f>IF(AND(P381=1,OR(ISNUMBER(MATCH(H381,{"menace","othering","ridicule","blame","victim"},0)),ISNUMBER(MATCH(J381,{"menace","othering","ridicule","blame","victim"},0)),ISNUMBER(MATCH(L381,{"menace","othering","ridicule","blame","victim"},0)))),1,0)</f>
        <v>0</v>
      </c>
      <c r="R381">
        <f>IF(AND(P381=1,Q381=0,OR(ISNUMBER(MATCH(H381,{"wholesome","heroic"},0)),ISNUMBER(MATCH(J381,{"wholesome","heroic"},0)),ISNUMBER(MATCH(L381,{"wholesome","heroic"},0)))),1,0)</f>
        <v>1</v>
      </c>
      <c r="S381">
        <f t="shared" si="16"/>
        <v>0</v>
      </c>
      <c r="T381">
        <f t="shared" si="17"/>
        <v>0</v>
      </c>
      <c r="U381" t="s">
        <v>3049</v>
      </c>
      <c r="V381" t="s">
        <v>3198</v>
      </c>
    </row>
    <row r="382" spans="1:22" x14ac:dyDescent="0.25">
      <c r="A382" t="s">
        <v>3190</v>
      </c>
      <c r="B382">
        <v>5205</v>
      </c>
      <c r="C382" t="s">
        <v>32</v>
      </c>
      <c r="D382" t="s">
        <v>1455</v>
      </c>
      <c r="E382" s="4">
        <v>45421</v>
      </c>
      <c r="F382" s="6">
        <v>0</v>
      </c>
      <c r="G382" s="6" t="s">
        <v>2991</v>
      </c>
      <c r="H382" s="6" t="s">
        <v>2987</v>
      </c>
      <c r="I382" s="6" t="s">
        <v>2986</v>
      </c>
      <c r="J382" s="6" t="s">
        <v>2989</v>
      </c>
      <c r="K382" s="6"/>
      <c r="L382" s="6"/>
      <c r="M382" s="6" t="s">
        <v>3046</v>
      </c>
      <c r="N382" s="6" t="s">
        <v>3046</v>
      </c>
      <c r="O382" s="6"/>
      <c r="P382">
        <f t="shared" si="15"/>
        <v>1</v>
      </c>
      <c r="Q382">
        <f>IF(AND(P382=1,OR(ISNUMBER(MATCH(H382,{"menace","othering","ridicule","blame","victim"},0)),ISNUMBER(MATCH(J382,{"menace","othering","ridicule","blame","victim"},0)),ISNUMBER(MATCH(L382,{"menace","othering","ridicule","blame","victim"},0)))),1,0)</f>
        <v>1</v>
      </c>
      <c r="R382">
        <f>IF(AND(P382=1,Q382=0,OR(ISNUMBER(MATCH(H382,{"wholesome","heroic"},0)),ISNUMBER(MATCH(J382,{"wholesome","heroic"},0)),ISNUMBER(MATCH(L382,{"wholesome","heroic"},0)))),1,0)</f>
        <v>0</v>
      </c>
      <c r="S382">
        <f t="shared" si="16"/>
        <v>0</v>
      </c>
      <c r="T382">
        <f t="shared" si="17"/>
        <v>0</v>
      </c>
      <c r="U382" t="s">
        <v>3053</v>
      </c>
    </row>
    <row r="383" spans="1:22" x14ac:dyDescent="0.25">
      <c r="A383" t="s">
        <v>3189</v>
      </c>
      <c r="B383">
        <v>5209</v>
      </c>
      <c r="C383" t="s">
        <v>32</v>
      </c>
      <c r="D383" t="s">
        <v>1455</v>
      </c>
      <c r="E383" s="4">
        <v>45421</v>
      </c>
      <c r="F383" s="6">
        <v>0</v>
      </c>
      <c r="G383" s="6" t="s">
        <v>2991</v>
      </c>
      <c r="H383" s="6" t="s">
        <v>2993</v>
      </c>
      <c r="I383" s="6" t="s">
        <v>2991</v>
      </c>
      <c r="J383" s="6" t="s">
        <v>2989</v>
      </c>
      <c r="K383" s="6"/>
      <c r="L383" s="6"/>
      <c r="M383" s="6" t="s">
        <v>3046</v>
      </c>
      <c r="N383" s="6" t="s">
        <v>3046</v>
      </c>
      <c r="O383" s="6"/>
      <c r="P383">
        <f t="shared" si="15"/>
        <v>1</v>
      </c>
      <c r="Q383">
        <f>IF(AND(P383=1,OR(ISNUMBER(MATCH(H383,{"menace","othering","ridicule","blame","victim"},0)),ISNUMBER(MATCH(J383,{"menace","othering","ridicule","blame","victim"},0)),ISNUMBER(MATCH(L383,{"menace","othering","ridicule","blame","victim"},0)))),1,0)</f>
        <v>1</v>
      </c>
      <c r="R383">
        <f>IF(AND(P383=1,Q383=0,OR(ISNUMBER(MATCH(H383,{"wholesome","heroic"},0)),ISNUMBER(MATCH(J383,{"wholesome","heroic"},0)),ISNUMBER(MATCH(L383,{"wholesome","heroic"},0)))),1,0)</f>
        <v>0</v>
      </c>
      <c r="S383">
        <f t="shared" si="16"/>
        <v>0</v>
      </c>
      <c r="T383">
        <f t="shared" si="17"/>
        <v>0</v>
      </c>
      <c r="U383" t="s">
        <v>3049</v>
      </c>
      <c r="V383" t="s">
        <v>3188</v>
      </c>
    </row>
    <row r="384" spans="1:22" x14ac:dyDescent="0.25">
      <c r="A384" t="s">
        <v>3187</v>
      </c>
      <c r="B384">
        <v>5234</v>
      </c>
      <c r="C384" t="s">
        <v>32</v>
      </c>
      <c r="D384" t="s">
        <v>1455</v>
      </c>
      <c r="E384" s="4">
        <v>45425</v>
      </c>
      <c r="F384" s="6">
        <v>0</v>
      </c>
      <c r="G384" s="6" t="s">
        <v>2986</v>
      </c>
      <c r="H384" s="6" t="s">
        <v>2989</v>
      </c>
      <c r="I384" s="6" t="s">
        <v>2991</v>
      </c>
      <c r="J384" s="6" t="s">
        <v>2989</v>
      </c>
      <c r="K384" s="6"/>
      <c r="L384" s="6"/>
      <c r="M384" s="6" t="s">
        <v>3046</v>
      </c>
      <c r="N384" s="6" t="s">
        <v>3046</v>
      </c>
      <c r="O384" s="6"/>
      <c r="P384">
        <f t="shared" si="15"/>
        <v>1</v>
      </c>
      <c r="Q384">
        <f>IF(AND(P384=1,OR(ISNUMBER(MATCH(H384,{"menace","othering","ridicule","blame","victim"},0)),ISNUMBER(MATCH(J384,{"menace","othering","ridicule","blame","victim"},0)),ISNUMBER(MATCH(L384,{"menace","othering","ridicule","blame","victim"},0)))),1,0)</f>
        <v>0</v>
      </c>
      <c r="R384">
        <f>IF(AND(P384=1,Q384=0,OR(ISNUMBER(MATCH(H384,{"wholesome","heroic"},0)),ISNUMBER(MATCH(J384,{"wholesome","heroic"},0)),ISNUMBER(MATCH(L384,{"wholesome","heroic"},0)))),1,0)</f>
        <v>0</v>
      </c>
      <c r="S384">
        <f t="shared" si="16"/>
        <v>1</v>
      </c>
      <c r="T384">
        <f t="shared" si="17"/>
        <v>0</v>
      </c>
      <c r="U384" t="s">
        <v>3053</v>
      </c>
    </row>
    <row r="385" spans="1:22" x14ac:dyDescent="0.25">
      <c r="A385" t="s">
        <v>3776</v>
      </c>
      <c r="B385">
        <v>5258</v>
      </c>
      <c r="C385" t="s">
        <v>32</v>
      </c>
      <c r="D385" t="s">
        <v>1455</v>
      </c>
      <c r="E385" s="4">
        <v>45428</v>
      </c>
      <c r="F385" s="6">
        <v>0</v>
      </c>
      <c r="G385" s="6" t="s">
        <v>2997</v>
      </c>
      <c r="H385" s="6" t="s">
        <v>2989</v>
      </c>
      <c r="I385" s="6"/>
      <c r="J385" s="6"/>
      <c r="K385" s="6"/>
      <c r="L385" s="6"/>
      <c r="M385" s="6" t="s">
        <v>3046</v>
      </c>
      <c r="N385" s="6"/>
      <c r="O385" s="6"/>
      <c r="P385">
        <f t="shared" si="15"/>
        <v>1</v>
      </c>
      <c r="Q385">
        <f>IF(AND(P385=1,OR(ISNUMBER(MATCH(H385,{"menace","othering","ridicule","blame","victim"},0)),ISNUMBER(MATCH(J385,{"menace","othering","ridicule","blame","victim"},0)),ISNUMBER(MATCH(L385,{"menace","othering","ridicule","blame","victim"},0)))),1,0)</f>
        <v>0</v>
      </c>
      <c r="R385">
        <f>IF(AND(P385=1,Q385=0,OR(ISNUMBER(MATCH(H385,{"wholesome","heroic"},0)),ISNUMBER(MATCH(J385,{"wholesome","heroic"},0)),ISNUMBER(MATCH(L385,{"wholesome","heroic"},0)))),1,0)</f>
        <v>0</v>
      </c>
      <c r="S385">
        <f t="shared" si="16"/>
        <v>1</v>
      </c>
      <c r="T385">
        <f t="shared" si="17"/>
        <v>0</v>
      </c>
      <c r="U385" t="s">
        <v>3049</v>
      </c>
      <c r="V385" t="s">
        <v>3185</v>
      </c>
    </row>
    <row r="386" spans="1:22" x14ac:dyDescent="0.25">
      <c r="A386" t="s">
        <v>3777</v>
      </c>
      <c r="B386">
        <v>5278</v>
      </c>
      <c r="C386" t="s">
        <v>32</v>
      </c>
      <c r="D386" t="s">
        <v>1455</v>
      </c>
      <c r="E386" s="4">
        <v>45431</v>
      </c>
      <c r="F386" s="6">
        <v>0</v>
      </c>
      <c r="G386" s="6" t="s">
        <v>2995</v>
      </c>
      <c r="H386" s="6" t="s">
        <v>2990</v>
      </c>
      <c r="I386" s="6" t="s">
        <v>2991</v>
      </c>
      <c r="J386" s="6" t="s">
        <v>2987</v>
      </c>
      <c r="K386" s="6" t="s">
        <v>2991</v>
      </c>
      <c r="L386" s="6" t="s">
        <v>2993</v>
      </c>
      <c r="M386" s="6" t="s">
        <v>3046</v>
      </c>
      <c r="N386" s="6" t="s">
        <v>3046</v>
      </c>
      <c r="O386" s="6" t="s">
        <v>3046</v>
      </c>
      <c r="P386">
        <f t="shared" ref="P386:P449" si="18">IF(F386=0,1,0)</f>
        <v>1</v>
      </c>
      <c r="Q386">
        <f>IF(AND(P386=1,OR(ISNUMBER(MATCH(H386,{"menace","othering","ridicule","blame","victim"},0)),ISNUMBER(MATCH(J386,{"menace","othering","ridicule","blame","victim"},0)),ISNUMBER(MATCH(L386,{"menace","othering","ridicule","blame","victim"},0)))),1,0)</f>
        <v>1</v>
      </c>
      <c r="R386">
        <f>IF(AND(P386=1,Q386=0,OR(ISNUMBER(MATCH(H386,{"wholesome","heroic"},0)),ISNUMBER(MATCH(J386,{"wholesome","heroic"},0)),ISNUMBER(MATCH(L386,{"wholesome","heroic"},0)))),1,0)</f>
        <v>0</v>
      </c>
      <c r="S386">
        <f t="shared" ref="S386:S449" si="19">IF(AND(P386=1,Q386=0,R386=0),1,0)</f>
        <v>0</v>
      </c>
      <c r="T386">
        <f t="shared" ref="T386:T449" si="20">IF(AND(P386=1,OR(G386="own_leader",I386="own_leader",K386="own_leader")),1,0)</f>
        <v>1</v>
      </c>
      <c r="U386" t="s">
        <v>3049</v>
      </c>
      <c r="V386" t="s">
        <v>3195</v>
      </c>
    </row>
    <row r="387" spans="1:22" x14ac:dyDescent="0.25">
      <c r="A387" t="s">
        <v>3778</v>
      </c>
      <c r="B387">
        <v>5308</v>
      </c>
      <c r="C387" t="s">
        <v>32</v>
      </c>
      <c r="D387" t="s">
        <v>1455</v>
      </c>
      <c r="E387" s="4">
        <v>45435</v>
      </c>
      <c r="F387" s="6">
        <v>0</v>
      </c>
      <c r="G387" s="6" t="s">
        <v>2995</v>
      </c>
      <c r="H387" s="6" t="s">
        <v>2989</v>
      </c>
      <c r="I387" s="6"/>
      <c r="J387" s="6"/>
      <c r="K387" s="6"/>
      <c r="L387" s="6"/>
      <c r="M387" s="6" t="s">
        <v>3046</v>
      </c>
      <c r="N387" s="6"/>
      <c r="O387" s="6"/>
      <c r="P387">
        <f t="shared" si="18"/>
        <v>1</v>
      </c>
      <c r="Q387">
        <f>IF(AND(P387=1,OR(ISNUMBER(MATCH(H387,{"menace","othering","ridicule","blame","victim"},0)),ISNUMBER(MATCH(J387,{"menace","othering","ridicule","blame","victim"},0)),ISNUMBER(MATCH(L387,{"menace","othering","ridicule","blame","victim"},0)))),1,0)</f>
        <v>0</v>
      </c>
      <c r="R387">
        <f>IF(AND(P387=1,Q387=0,OR(ISNUMBER(MATCH(H387,{"wholesome","heroic"},0)),ISNUMBER(MATCH(J387,{"wholesome","heroic"},0)),ISNUMBER(MATCH(L387,{"wholesome","heroic"},0)))),1,0)</f>
        <v>0</v>
      </c>
      <c r="S387">
        <f t="shared" si="19"/>
        <v>1</v>
      </c>
      <c r="T387">
        <f t="shared" si="20"/>
        <v>1</v>
      </c>
      <c r="U387" t="s">
        <v>3049</v>
      </c>
      <c r="V387" t="s">
        <v>3182</v>
      </c>
    </row>
    <row r="388" spans="1:22" x14ac:dyDescent="0.25">
      <c r="A388" t="s">
        <v>3186</v>
      </c>
      <c r="B388">
        <v>5321</v>
      </c>
      <c r="C388" t="s">
        <v>32</v>
      </c>
      <c r="D388" t="s">
        <v>1455</v>
      </c>
      <c r="E388" s="4">
        <v>45437</v>
      </c>
      <c r="F388" s="6">
        <v>0</v>
      </c>
      <c r="G388" s="6" t="s">
        <v>2991</v>
      </c>
      <c r="H388" s="6" t="s">
        <v>2992</v>
      </c>
      <c r="I388" s="6" t="s">
        <v>2991</v>
      </c>
      <c r="J388" s="6" t="s">
        <v>2990</v>
      </c>
      <c r="K388" s="6"/>
      <c r="L388" s="6"/>
      <c r="M388" s="6" t="s">
        <v>3046</v>
      </c>
      <c r="N388" s="6" t="s">
        <v>3046</v>
      </c>
      <c r="O388" s="6"/>
      <c r="P388">
        <f t="shared" si="18"/>
        <v>1</v>
      </c>
      <c r="Q388">
        <f>IF(AND(P388=1,OR(ISNUMBER(MATCH(H388,{"menace","othering","ridicule","blame","victim"},0)),ISNUMBER(MATCH(J388,{"menace","othering","ridicule","blame","victim"},0)),ISNUMBER(MATCH(L388,{"menace","othering","ridicule","blame","victim"},0)))),1,0)</f>
        <v>1</v>
      </c>
      <c r="R388">
        <f>IF(AND(P388=1,Q388=0,OR(ISNUMBER(MATCH(H388,{"wholesome","heroic"},0)),ISNUMBER(MATCH(J388,{"wholesome","heroic"},0)),ISNUMBER(MATCH(L388,{"wholesome","heroic"},0)))),1,0)</f>
        <v>0</v>
      </c>
      <c r="S388">
        <f t="shared" si="19"/>
        <v>0</v>
      </c>
      <c r="T388">
        <f t="shared" si="20"/>
        <v>0</v>
      </c>
      <c r="U388" t="s">
        <v>3049</v>
      </c>
      <c r="V388" t="s">
        <v>3193</v>
      </c>
    </row>
    <row r="389" spans="1:22" x14ac:dyDescent="0.25">
      <c r="A389" t="s">
        <v>3184</v>
      </c>
      <c r="B389">
        <v>5330</v>
      </c>
      <c r="C389" t="s">
        <v>32</v>
      </c>
      <c r="D389" t="s">
        <v>1455</v>
      </c>
      <c r="E389" s="4">
        <v>45438</v>
      </c>
      <c r="F389" s="6">
        <v>0</v>
      </c>
      <c r="G389" s="6" t="s">
        <v>2995</v>
      </c>
      <c r="H389" s="6" t="s">
        <v>2989</v>
      </c>
      <c r="I389" s="6" t="s">
        <v>2988</v>
      </c>
      <c r="J389" s="6" t="s">
        <v>2989</v>
      </c>
      <c r="K389" s="6"/>
      <c r="L389" s="6"/>
      <c r="M389" s="6" t="s">
        <v>3046</v>
      </c>
      <c r="N389" s="6" t="s">
        <v>3046</v>
      </c>
      <c r="O389" s="6"/>
      <c r="P389">
        <f t="shared" si="18"/>
        <v>1</v>
      </c>
      <c r="Q389">
        <f>IF(AND(P389=1,OR(ISNUMBER(MATCH(H389,{"menace","othering","ridicule","blame","victim"},0)),ISNUMBER(MATCH(J389,{"menace","othering","ridicule","blame","victim"},0)),ISNUMBER(MATCH(L389,{"menace","othering","ridicule","blame","victim"},0)))),1,0)</f>
        <v>0</v>
      </c>
      <c r="R389">
        <f>IF(AND(P389=1,Q389=0,OR(ISNUMBER(MATCH(H389,{"wholesome","heroic"},0)),ISNUMBER(MATCH(J389,{"wholesome","heroic"},0)),ISNUMBER(MATCH(L389,{"wholesome","heroic"},0)))),1,0)</f>
        <v>0</v>
      </c>
      <c r="S389">
        <f t="shared" si="19"/>
        <v>1</v>
      </c>
      <c r="T389">
        <f t="shared" si="20"/>
        <v>1</v>
      </c>
      <c r="U389" t="s">
        <v>3053</v>
      </c>
    </row>
    <row r="390" spans="1:22" x14ac:dyDescent="0.25">
      <c r="A390" t="s">
        <v>3779</v>
      </c>
      <c r="B390">
        <v>5333</v>
      </c>
      <c r="C390" t="s">
        <v>32</v>
      </c>
      <c r="D390" t="s">
        <v>1455</v>
      </c>
      <c r="E390" s="4">
        <v>45438</v>
      </c>
      <c r="F390" s="6">
        <v>0</v>
      </c>
      <c r="G390" s="6" t="s">
        <v>2986</v>
      </c>
      <c r="H390" s="6" t="s">
        <v>2989</v>
      </c>
      <c r="I390" s="6" t="s">
        <v>3000</v>
      </c>
      <c r="J390" s="6" t="s">
        <v>2989</v>
      </c>
      <c r="K390" s="6"/>
      <c r="L390" s="6"/>
      <c r="M390" s="6" t="s">
        <v>3046</v>
      </c>
      <c r="N390" s="6" t="s">
        <v>3046</v>
      </c>
      <c r="O390" s="6"/>
      <c r="P390">
        <f t="shared" si="18"/>
        <v>1</v>
      </c>
      <c r="Q390">
        <f>IF(AND(P390=1,OR(ISNUMBER(MATCH(H390,{"menace","othering","ridicule","blame","victim"},0)),ISNUMBER(MATCH(J390,{"menace","othering","ridicule","blame","victim"},0)),ISNUMBER(MATCH(L390,{"menace","othering","ridicule","blame","victim"},0)))),1,0)</f>
        <v>0</v>
      </c>
      <c r="R390">
        <f>IF(AND(P390=1,Q390=0,OR(ISNUMBER(MATCH(H390,{"wholesome","heroic"},0)),ISNUMBER(MATCH(J390,{"wholesome","heroic"},0)),ISNUMBER(MATCH(L390,{"wholesome","heroic"},0)))),1,0)</f>
        <v>0</v>
      </c>
      <c r="S390">
        <f t="shared" si="19"/>
        <v>1</v>
      </c>
      <c r="T390">
        <f t="shared" si="20"/>
        <v>0</v>
      </c>
      <c r="U390" t="s">
        <v>3049</v>
      </c>
      <c r="V390" t="s">
        <v>3051</v>
      </c>
    </row>
    <row r="391" spans="1:22" x14ac:dyDescent="0.25">
      <c r="A391" t="s">
        <v>3183</v>
      </c>
      <c r="B391">
        <v>5337</v>
      </c>
      <c r="C391" t="s">
        <v>32</v>
      </c>
      <c r="D391" t="s">
        <v>1455</v>
      </c>
      <c r="E391" s="4">
        <v>45439</v>
      </c>
      <c r="F391" s="6">
        <v>0</v>
      </c>
      <c r="G391" s="6" t="s">
        <v>2991</v>
      </c>
      <c r="H391" s="6" t="s">
        <v>2993</v>
      </c>
      <c r="I391" s="6" t="s">
        <v>2991</v>
      </c>
      <c r="J391" s="6" t="s">
        <v>2989</v>
      </c>
      <c r="K391" s="6"/>
      <c r="L391" s="6"/>
      <c r="M391" s="6" t="s">
        <v>3046</v>
      </c>
      <c r="N391" s="6" t="s">
        <v>3046</v>
      </c>
      <c r="O391" s="6"/>
      <c r="P391">
        <f t="shared" si="18"/>
        <v>1</v>
      </c>
      <c r="Q391">
        <f>IF(AND(P391=1,OR(ISNUMBER(MATCH(H391,{"menace","othering","ridicule","blame","victim"},0)),ISNUMBER(MATCH(J391,{"menace","othering","ridicule","blame","victim"},0)),ISNUMBER(MATCH(L391,{"menace","othering","ridicule","blame","victim"},0)))),1,0)</f>
        <v>1</v>
      </c>
      <c r="R391">
        <f>IF(AND(P391=1,Q391=0,OR(ISNUMBER(MATCH(H391,{"wholesome","heroic"},0)),ISNUMBER(MATCH(J391,{"wholesome","heroic"},0)),ISNUMBER(MATCH(L391,{"wholesome","heroic"},0)))),1,0)</f>
        <v>0</v>
      </c>
      <c r="S391">
        <f t="shared" si="19"/>
        <v>0</v>
      </c>
      <c r="T391">
        <f t="shared" si="20"/>
        <v>0</v>
      </c>
      <c r="U391" t="s">
        <v>3053</v>
      </c>
    </row>
    <row r="392" spans="1:22" x14ac:dyDescent="0.25">
      <c r="A392" t="s">
        <v>3780</v>
      </c>
      <c r="B392">
        <v>5371</v>
      </c>
      <c r="C392" t="s">
        <v>32</v>
      </c>
      <c r="D392" t="s">
        <v>1455</v>
      </c>
      <c r="E392" s="4">
        <v>45443</v>
      </c>
      <c r="F392" s="6">
        <v>0</v>
      </c>
      <c r="G392" s="6" t="s">
        <v>2991</v>
      </c>
      <c r="H392" s="6" t="s">
        <v>2989</v>
      </c>
      <c r="I392" s="6" t="s">
        <v>2991</v>
      </c>
      <c r="J392" s="6" t="s">
        <v>2993</v>
      </c>
      <c r="K392" s="6"/>
      <c r="L392" s="6"/>
      <c r="M392" s="6" t="s">
        <v>3046</v>
      </c>
      <c r="N392" s="6" t="s">
        <v>3046</v>
      </c>
      <c r="O392" s="6"/>
      <c r="P392">
        <f t="shared" si="18"/>
        <v>1</v>
      </c>
      <c r="Q392">
        <f>IF(AND(P392=1,OR(ISNUMBER(MATCH(H392,{"menace","othering","ridicule","blame","victim"},0)),ISNUMBER(MATCH(J392,{"menace","othering","ridicule","blame","victim"},0)),ISNUMBER(MATCH(L392,{"menace","othering","ridicule","blame","victim"},0)))),1,0)</f>
        <v>1</v>
      </c>
      <c r="R392">
        <f>IF(AND(P392=1,Q392=0,OR(ISNUMBER(MATCH(H392,{"wholesome","heroic"},0)),ISNUMBER(MATCH(J392,{"wholesome","heroic"},0)),ISNUMBER(MATCH(L392,{"wholesome","heroic"},0)))),1,0)</f>
        <v>0</v>
      </c>
      <c r="S392">
        <f t="shared" si="19"/>
        <v>0</v>
      </c>
      <c r="T392">
        <f t="shared" si="20"/>
        <v>0</v>
      </c>
      <c r="U392" t="s">
        <v>3049</v>
      </c>
      <c r="V392" t="s">
        <v>3200</v>
      </c>
    </row>
    <row r="393" spans="1:22" x14ac:dyDescent="0.25">
      <c r="A393" t="s">
        <v>3781</v>
      </c>
      <c r="B393">
        <v>5412</v>
      </c>
      <c r="C393" t="s">
        <v>32</v>
      </c>
      <c r="D393" t="s">
        <v>1455</v>
      </c>
      <c r="E393" s="4">
        <v>45447</v>
      </c>
      <c r="F393" s="6">
        <v>0</v>
      </c>
      <c r="G393" s="6" t="s">
        <v>2986</v>
      </c>
      <c r="H393" s="6" t="s">
        <v>2989</v>
      </c>
      <c r="I393" s="6" t="s">
        <v>2999</v>
      </c>
      <c r="J393" s="6" t="s">
        <v>2996</v>
      </c>
      <c r="K393" s="6"/>
      <c r="L393" s="6"/>
      <c r="M393" s="6" t="s">
        <v>3046</v>
      </c>
      <c r="N393" s="6" t="s">
        <v>3046</v>
      </c>
      <c r="O393" s="6"/>
      <c r="P393">
        <f t="shared" si="18"/>
        <v>1</v>
      </c>
      <c r="Q393">
        <f>IF(AND(P393=1,OR(ISNUMBER(MATCH(H393,{"menace","othering","ridicule","blame","victim"},0)),ISNUMBER(MATCH(J393,{"menace","othering","ridicule","blame","victim"},0)),ISNUMBER(MATCH(L393,{"menace","othering","ridicule","blame","victim"},0)))),1,0)</f>
        <v>1</v>
      </c>
      <c r="R393">
        <f>IF(AND(P393=1,Q393=0,OR(ISNUMBER(MATCH(H393,{"wholesome","heroic"},0)),ISNUMBER(MATCH(J393,{"wholesome","heroic"},0)),ISNUMBER(MATCH(L393,{"wholesome","heroic"},0)))),1,0)</f>
        <v>0</v>
      </c>
      <c r="S393">
        <f t="shared" si="19"/>
        <v>0</v>
      </c>
      <c r="T393">
        <f t="shared" si="20"/>
        <v>0</v>
      </c>
      <c r="U393" t="s">
        <v>3049</v>
      </c>
      <c r="V393" t="s">
        <v>3206</v>
      </c>
    </row>
    <row r="394" spans="1:22" x14ac:dyDescent="0.25">
      <c r="A394" t="s">
        <v>3180</v>
      </c>
      <c r="B394">
        <v>5416</v>
      </c>
      <c r="C394" t="s">
        <v>32</v>
      </c>
      <c r="D394" t="s">
        <v>1455</v>
      </c>
      <c r="E394" s="4">
        <v>45447</v>
      </c>
      <c r="F394" s="6">
        <v>0</v>
      </c>
      <c r="G394" s="6" t="s">
        <v>2986</v>
      </c>
      <c r="H394" s="6" t="s">
        <v>2989</v>
      </c>
      <c r="I394" s="6"/>
      <c r="J394" s="6"/>
      <c r="K394" s="6"/>
      <c r="L394" s="6"/>
      <c r="M394" s="6" t="s">
        <v>3046</v>
      </c>
      <c r="N394" s="6"/>
      <c r="O394" s="6"/>
      <c r="P394">
        <f t="shared" si="18"/>
        <v>1</v>
      </c>
      <c r="Q394">
        <f>IF(AND(P394=1,OR(ISNUMBER(MATCH(H394,{"menace","othering","ridicule","blame","victim"},0)),ISNUMBER(MATCH(J394,{"menace","othering","ridicule","blame","victim"},0)),ISNUMBER(MATCH(L394,{"menace","othering","ridicule","blame","victim"},0)))),1,0)</f>
        <v>0</v>
      </c>
      <c r="R394">
        <f>IF(AND(P394=1,Q394=0,OR(ISNUMBER(MATCH(H394,{"wholesome","heroic"},0)),ISNUMBER(MATCH(J394,{"wholesome","heroic"},0)),ISNUMBER(MATCH(L394,{"wholesome","heroic"},0)))),1,0)</f>
        <v>0</v>
      </c>
      <c r="S394">
        <f t="shared" si="19"/>
        <v>1</v>
      </c>
      <c r="T394">
        <f t="shared" si="20"/>
        <v>0</v>
      </c>
      <c r="U394" t="s">
        <v>3053</v>
      </c>
    </row>
    <row r="395" spans="1:22" x14ac:dyDescent="0.25">
      <c r="A395" t="s">
        <v>3178</v>
      </c>
      <c r="B395">
        <v>5436</v>
      </c>
      <c r="C395" t="s">
        <v>32</v>
      </c>
      <c r="D395" t="s">
        <v>1455</v>
      </c>
      <c r="E395" s="4">
        <v>45449</v>
      </c>
      <c r="F395" s="6">
        <v>0</v>
      </c>
      <c r="G395" s="6" t="s">
        <v>2995</v>
      </c>
      <c r="H395" s="6" t="s">
        <v>2990</v>
      </c>
      <c r="I395" s="6" t="s">
        <v>3862</v>
      </c>
      <c r="J395" s="6" t="s">
        <v>2990</v>
      </c>
      <c r="K395" s="6" t="s">
        <v>2995</v>
      </c>
      <c r="L395" s="6" t="s">
        <v>2989</v>
      </c>
      <c r="M395" s="6" t="s">
        <v>3046</v>
      </c>
      <c r="N395" s="6" t="s">
        <v>3046</v>
      </c>
      <c r="O395" s="6" t="s">
        <v>3046</v>
      </c>
      <c r="P395">
        <f t="shared" si="18"/>
        <v>1</v>
      </c>
      <c r="Q395">
        <f>IF(AND(P395=1,OR(ISNUMBER(MATCH(H395,{"menace","othering","ridicule","blame","victim"},0)),ISNUMBER(MATCH(J395,{"menace","othering","ridicule","blame","victim"},0)),ISNUMBER(MATCH(L395,{"menace","othering","ridicule","blame","victim"},0)))),1,0)</f>
        <v>0</v>
      </c>
      <c r="R395">
        <f>IF(AND(P395=1,Q395=0,OR(ISNUMBER(MATCH(H395,{"wholesome","heroic"},0)),ISNUMBER(MATCH(J395,{"wholesome","heroic"},0)),ISNUMBER(MATCH(L395,{"wholesome","heroic"},0)))),1,0)</f>
        <v>1</v>
      </c>
      <c r="S395">
        <f t="shared" si="19"/>
        <v>0</v>
      </c>
      <c r="T395">
        <f t="shared" si="20"/>
        <v>1</v>
      </c>
      <c r="U395" t="s">
        <v>3049</v>
      </c>
      <c r="V395" t="s">
        <v>1908</v>
      </c>
    </row>
    <row r="396" spans="1:22" x14ac:dyDescent="0.25">
      <c r="A396" t="s">
        <v>3782</v>
      </c>
      <c r="B396">
        <v>5446</v>
      </c>
      <c r="C396" t="s">
        <v>32</v>
      </c>
      <c r="D396" t="s">
        <v>1455</v>
      </c>
      <c r="E396" s="4">
        <v>45450</v>
      </c>
      <c r="F396" s="6">
        <v>0</v>
      </c>
      <c r="G396" s="6" t="s">
        <v>2988</v>
      </c>
      <c r="H396" s="6" t="s">
        <v>2990</v>
      </c>
      <c r="I396" s="6" t="s">
        <v>2991</v>
      </c>
      <c r="J396" s="6" t="s">
        <v>2990</v>
      </c>
      <c r="K396" s="6"/>
      <c r="L396" s="6"/>
      <c r="M396" s="6" t="s">
        <v>3046</v>
      </c>
      <c r="N396" s="6" t="s">
        <v>3046</v>
      </c>
      <c r="O396" s="6"/>
      <c r="P396">
        <f t="shared" si="18"/>
        <v>1</v>
      </c>
      <c r="Q396">
        <f>IF(AND(P396=1,OR(ISNUMBER(MATCH(H396,{"menace","othering","ridicule","blame","victim"},0)),ISNUMBER(MATCH(J396,{"menace","othering","ridicule","blame","victim"},0)),ISNUMBER(MATCH(L396,{"menace","othering","ridicule","blame","victim"},0)))),1,0)</f>
        <v>0</v>
      </c>
      <c r="R396">
        <f>IF(AND(P396=1,Q396=0,OR(ISNUMBER(MATCH(H396,{"wholesome","heroic"},0)),ISNUMBER(MATCH(J396,{"wholesome","heroic"},0)),ISNUMBER(MATCH(L396,{"wholesome","heroic"},0)))),1,0)</f>
        <v>1</v>
      </c>
      <c r="S396">
        <f t="shared" si="19"/>
        <v>0</v>
      </c>
      <c r="T396">
        <f t="shared" si="20"/>
        <v>0</v>
      </c>
      <c r="U396" t="s">
        <v>3049</v>
      </c>
      <c r="V396" t="s">
        <v>1907</v>
      </c>
    </row>
    <row r="397" spans="1:22" x14ac:dyDescent="0.25">
      <c r="A397" t="s">
        <v>3176</v>
      </c>
      <c r="B397">
        <v>5468</v>
      </c>
      <c r="C397" t="s">
        <v>34</v>
      </c>
      <c r="D397" t="s">
        <v>1573</v>
      </c>
      <c r="E397" s="4">
        <v>45349</v>
      </c>
      <c r="F397" s="6">
        <v>0</v>
      </c>
      <c r="G397" s="6" t="s">
        <v>2986</v>
      </c>
      <c r="H397" s="6" t="s">
        <v>2989</v>
      </c>
      <c r="I397" s="6" t="s">
        <v>2995</v>
      </c>
      <c r="J397" s="6" t="s">
        <v>2989</v>
      </c>
      <c r="K397" s="6"/>
      <c r="L397" s="6"/>
      <c r="M397" s="6" t="s">
        <v>3046</v>
      </c>
      <c r="N397" s="6" t="s">
        <v>3046</v>
      </c>
      <c r="O397" s="6"/>
      <c r="P397">
        <f t="shared" si="18"/>
        <v>1</v>
      </c>
      <c r="Q397">
        <f>IF(AND(P397=1,OR(ISNUMBER(MATCH(H397,{"menace","othering","ridicule","blame","victim"},0)),ISNUMBER(MATCH(J397,{"menace","othering","ridicule","blame","victim"},0)),ISNUMBER(MATCH(L397,{"menace","othering","ridicule","blame","victim"},0)))),1,0)</f>
        <v>0</v>
      </c>
      <c r="R397">
        <f>IF(AND(P397=1,Q397=0,OR(ISNUMBER(MATCH(H397,{"wholesome","heroic"},0)),ISNUMBER(MATCH(J397,{"wholesome","heroic"},0)),ISNUMBER(MATCH(L397,{"wholesome","heroic"},0)))),1,0)</f>
        <v>0</v>
      </c>
      <c r="S397">
        <f t="shared" si="19"/>
        <v>1</v>
      </c>
      <c r="T397">
        <f t="shared" si="20"/>
        <v>1</v>
      </c>
      <c r="U397" t="s">
        <v>3053</v>
      </c>
    </row>
    <row r="398" spans="1:22" x14ac:dyDescent="0.25">
      <c r="A398" t="s">
        <v>3175</v>
      </c>
      <c r="B398">
        <v>5469</v>
      </c>
      <c r="C398" t="s">
        <v>34</v>
      </c>
      <c r="D398" t="s">
        <v>1573</v>
      </c>
      <c r="E398" s="4">
        <v>45354</v>
      </c>
      <c r="F398" s="6">
        <v>1</v>
      </c>
      <c r="G398" s="6"/>
      <c r="H398" s="6"/>
      <c r="I398" s="6"/>
      <c r="J398" s="6"/>
      <c r="K398" s="6"/>
      <c r="L398" s="6"/>
      <c r="M398" s="6"/>
      <c r="N398" s="6"/>
      <c r="O398" s="6"/>
      <c r="P398">
        <f t="shared" si="18"/>
        <v>0</v>
      </c>
      <c r="Q398">
        <f>IF(AND(P398=1,OR(ISNUMBER(MATCH(H398,{"menace","othering","ridicule","blame","victim"},0)),ISNUMBER(MATCH(J398,{"menace","othering","ridicule","blame","victim"},0)),ISNUMBER(MATCH(L398,{"menace","othering","ridicule","blame","victim"},0)))),1,0)</f>
        <v>0</v>
      </c>
      <c r="R398">
        <f>IF(AND(P398=1,Q398=0,OR(ISNUMBER(MATCH(H398,{"wholesome","heroic"},0)),ISNUMBER(MATCH(J398,{"wholesome","heroic"},0)),ISNUMBER(MATCH(L398,{"wholesome","heroic"},0)))),1,0)</f>
        <v>0</v>
      </c>
      <c r="S398">
        <f t="shared" si="19"/>
        <v>0</v>
      </c>
      <c r="T398">
        <f t="shared" si="20"/>
        <v>0</v>
      </c>
      <c r="U398" t="s">
        <v>3053</v>
      </c>
    </row>
    <row r="399" spans="1:22" x14ac:dyDescent="0.25">
      <c r="A399" t="s">
        <v>3174</v>
      </c>
      <c r="B399">
        <v>5470</v>
      </c>
      <c r="C399" t="s">
        <v>34</v>
      </c>
      <c r="D399" t="s">
        <v>1573</v>
      </c>
      <c r="E399" s="4">
        <v>45362</v>
      </c>
      <c r="F399" s="6">
        <v>0</v>
      </c>
      <c r="G399" s="6" t="s">
        <v>2995</v>
      </c>
      <c r="H399" s="6" t="s">
        <v>2989</v>
      </c>
      <c r="I399" s="6" t="s">
        <v>2986</v>
      </c>
      <c r="J399" s="6" t="s">
        <v>2989</v>
      </c>
      <c r="K399" s="6"/>
      <c r="L399" s="6"/>
      <c r="M399" s="6" t="s">
        <v>3046</v>
      </c>
      <c r="N399" s="6" t="s">
        <v>3046</v>
      </c>
      <c r="O399" s="6"/>
      <c r="P399">
        <f t="shared" si="18"/>
        <v>1</v>
      </c>
      <c r="Q399">
        <f>IF(AND(P399=1,OR(ISNUMBER(MATCH(H399,{"menace","othering","ridicule","blame","victim"},0)),ISNUMBER(MATCH(J399,{"menace","othering","ridicule","blame","victim"},0)),ISNUMBER(MATCH(L399,{"menace","othering","ridicule","blame","victim"},0)))),1,0)</f>
        <v>0</v>
      </c>
      <c r="R399">
        <f>IF(AND(P399=1,Q399=0,OR(ISNUMBER(MATCH(H399,{"wholesome","heroic"},0)),ISNUMBER(MATCH(J399,{"wholesome","heroic"},0)),ISNUMBER(MATCH(L399,{"wholesome","heroic"},0)))),1,0)</f>
        <v>0</v>
      </c>
      <c r="S399">
        <f t="shared" si="19"/>
        <v>1</v>
      </c>
      <c r="T399">
        <f t="shared" si="20"/>
        <v>1</v>
      </c>
      <c r="U399" t="s">
        <v>3053</v>
      </c>
    </row>
    <row r="400" spans="1:22" x14ac:dyDescent="0.25">
      <c r="A400" t="s">
        <v>3173</v>
      </c>
      <c r="B400">
        <v>5472</v>
      </c>
      <c r="C400" t="s">
        <v>34</v>
      </c>
      <c r="D400" t="s">
        <v>1573</v>
      </c>
      <c r="E400" s="4">
        <v>45374</v>
      </c>
      <c r="F400" s="6">
        <v>0</v>
      </c>
      <c r="G400" s="6" t="s">
        <v>3000</v>
      </c>
      <c r="H400" s="6" t="s">
        <v>2990</v>
      </c>
      <c r="I400" s="6"/>
      <c r="J400" s="6"/>
      <c r="K400" s="6"/>
      <c r="L400" s="6"/>
      <c r="M400" s="6" t="s">
        <v>3046</v>
      </c>
      <c r="N400" s="6"/>
      <c r="O400" s="6"/>
      <c r="P400">
        <f t="shared" si="18"/>
        <v>1</v>
      </c>
      <c r="Q400">
        <f>IF(AND(P400=1,OR(ISNUMBER(MATCH(H400,{"menace","othering","ridicule","blame","victim"},0)),ISNUMBER(MATCH(J400,{"menace","othering","ridicule","blame","victim"},0)),ISNUMBER(MATCH(L400,{"menace","othering","ridicule","blame","victim"},0)))),1,0)</f>
        <v>0</v>
      </c>
      <c r="R400">
        <f>IF(AND(P400=1,Q400=0,OR(ISNUMBER(MATCH(H400,{"wholesome","heroic"},0)),ISNUMBER(MATCH(J400,{"wholesome","heroic"},0)),ISNUMBER(MATCH(L400,{"wholesome","heroic"},0)))),1,0)</f>
        <v>1</v>
      </c>
      <c r="S400">
        <f t="shared" si="19"/>
        <v>0</v>
      </c>
      <c r="T400">
        <f t="shared" si="20"/>
        <v>0</v>
      </c>
      <c r="U400" t="s">
        <v>3049</v>
      </c>
      <c r="V400" t="s">
        <v>1904</v>
      </c>
    </row>
    <row r="401" spans="1:22" x14ac:dyDescent="0.25">
      <c r="A401" t="s">
        <v>3172</v>
      </c>
      <c r="B401">
        <v>5474</v>
      </c>
      <c r="C401" t="s">
        <v>34</v>
      </c>
      <c r="D401" t="s">
        <v>1573</v>
      </c>
      <c r="E401" s="4">
        <v>45388</v>
      </c>
      <c r="F401" s="6">
        <v>0</v>
      </c>
      <c r="G401" s="6" t="s">
        <v>3000</v>
      </c>
      <c r="H401" s="6" t="s">
        <v>2989</v>
      </c>
      <c r="I401" s="6"/>
      <c r="J401" s="6"/>
      <c r="K401" s="6"/>
      <c r="L401" s="6"/>
      <c r="M401" s="6" t="s">
        <v>3046</v>
      </c>
      <c r="N401" s="6"/>
      <c r="O401" s="6"/>
      <c r="P401">
        <f t="shared" si="18"/>
        <v>1</v>
      </c>
      <c r="Q401">
        <f>IF(AND(P401=1,OR(ISNUMBER(MATCH(H401,{"menace","othering","ridicule","blame","victim"},0)),ISNUMBER(MATCH(J401,{"menace","othering","ridicule","blame","victim"},0)),ISNUMBER(MATCH(L401,{"menace","othering","ridicule","blame","victim"},0)))),1,0)</f>
        <v>0</v>
      </c>
      <c r="R401">
        <f>IF(AND(P401=1,Q401=0,OR(ISNUMBER(MATCH(H401,{"wholesome","heroic"},0)),ISNUMBER(MATCH(J401,{"wholesome","heroic"},0)),ISNUMBER(MATCH(L401,{"wholesome","heroic"},0)))),1,0)</f>
        <v>0</v>
      </c>
      <c r="S401">
        <f t="shared" si="19"/>
        <v>1</v>
      </c>
      <c r="T401">
        <f t="shared" si="20"/>
        <v>0</v>
      </c>
      <c r="U401" t="s">
        <v>3053</v>
      </c>
    </row>
    <row r="402" spans="1:22" x14ac:dyDescent="0.25">
      <c r="A402" t="s">
        <v>3171</v>
      </c>
      <c r="B402">
        <v>5476</v>
      </c>
      <c r="C402" t="s">
        <v>34</v>
      </c>
      <c r="D402" t="s">
        <v>1573</v>
      </c>
      <c r="E402" s="4">
        <v>45397</v>
      </c>
      <c r="F402" s="6">
        <v>0</v>
      </c>
      <c r="G402" s="6" t="s">
        <v>2995</v>
      </c>
      <c r="H402" s="6" t="s">
        <v>2989</v>
      </c>
      <c r="I402" s="6"/>
      <c r="J402" s="6"/>
      <c r="K402" s="6"/>
      <c r="L402" s="6"/>
      <c r="M402" s="6" t="s">
        <v>3046</v>
      </c>
      <c r="N402" s="6"/>
      <c r="O402" s="6"/>
      <c r="P402">
        <f t="shared" si="18"/>
        <v>1</v>
      </c>
      <c r="Q402">
        <f>IF(AND(P402=1,OR(ISNUMBER(MATCH(H402,{"menace","othering","ridicule","blame","victim"},0)),ISNUMBER(MATCH(J402,{"menace","othering","ridicule","blame","victim"},0)),ISNUMBER(MATCH(L402,{"menace","othering","ridicule","blame","victim"},0)))),1,0)</f>
        <v>0</v>
      </c>
      <c r="R402">
        <f>IF(AND(P402=1,Q402=0,OR(ISNUMBER(MATCH(H402,{"wholesome","heroic"},0)),ISNUMBER(MATCH(J402,{"wholesome","heroic"},0)),ISNUMBER(MATCH(L402,{"wholesome","heroic"},0)))),1,0)</f>
        <v>0</v>
      </c>
      <c r="S402">
        <f t="shared" si="19"/>
        <v>1</v>
      </c>
      <c r="T402">
        <f t="shared" si="20"/>
        <v>1</v>
      </c>
      <c r="U402" t="s">
        <v>3053</v>
      </c>
    </row>
    <row r="403" spans="1:22" x14ac:dyDescent="0.25">
      <c r="A403" t="s">
        <v>3170</v>
      </c>
      <c r="B403">
        <v>5477</v>
      </c>
      <c r="C403" t="s">
        <v>34</v>
      </c>
      <c r="D403" t="s">
        <v>1573</v>
      </c>
      <c r="E403" s="4">
        <v>45409</v>
      </c>
      <c r="F403" s="6">
        <v>0</v>
      </c>
      <c r="G403" s="6" t="s">
        <v>2995</v>
      </c>
      <c r="H403" s="6" t="s">
        <v>2989</v>
      </c>
      <c r="I403" s="6" t="s">
        <v>2986</v>
      </c>
      <c r="J403" s="6" t="s">
        <v>2989</v>
      </c>
      <c r="K403" s="6"/>
      <c r="L403" s="6"/>
      <c r="M403" s="6" t="s">
        <v>3046</v>
      </c>
      <c r="N403" s="6" t="s">
        <v>3046</v>
      </c>
      <c r="O403" s="6"/>
      <c r="P403">
        <f t="shared" si="18"/>
        <v>1</v>
      </c>
      <c r="Q403">
        <f>IF(AND(P403=1,OR(ISNUMBER(MATCH(H403,{"menace","othering","ridicule","blame","victim"},0)),ISNUMBER(MATCH(J403,{"menace","othering","ridicule","blame","victim"},0)),ISNUMBER(MATCH(L403,{"menace","othering","ridicule","blame","victim"},0)))),1,0)</f>
        <v>0</v>
      </c>
      <c r="R403">
        <f>IF(AND(P403=1,Q403=0,OR(ISNUMBER(MATCH(H403,{"wholesome","heroic"},0)),ISNUMBER(MATCH(J403,{"wholesome","heroic"},0)),ISNUMBER(MATCH(L403,{"wholesome","heroic"},0)))),1,0)</f>
        <v>0</v>
      </c>
      <c r="S403">
        <f t="shared" si="19"/>
        <v>1</v>
      </c>
      <c r="T403">
        <f t="shared" si="20"/>
        <v>1</v>
      </c>
      <c r="U403" t="s">
        <v>3053</v>
      </c>
    </row>
    <row r="404" spans="1:22" x14ac:dyDescent="0.25">
      <c r="A404" t="s">
        <v>3169</v>
      </c>
      <c r="B404">
        <v>5478</v>
      </c>
      <c r="C404" t="s">
        <v>34</v>
      </c>
      <c r="D404" t="s">
        <v>1573</v>
      </c>
      <c r="E404" s="4">
        <v>45409</v>
      </c>
      <c r="F404" s="6">
        <v>0</v>
      </c>
      <c r="G404" s="6" t="s">
        <v>2995</v>
      </c>
      <c r="H404" s="6" t="s">
        <v>2989</v>
      </c>
      <c r="I404" s="6" t="s">
        <v>2988</v>
      </c>
      <c r="J404" s="6" t="s">
        <v>2989</v>
      </c>
      <c r="K404" s="6"/>
      <c r="L404" s="6"/>
      <c r="M404" s="6" t="s">
        <v>3046</v>
      </c>
      <c r="N404" s="6" t="s">
        <v>3046</v>
      </c>
      <c r="O404" s="6"/>
      <c r="P404">
        <f t="shared" si="18"/>
        <v>1</v>
      </c>
      <c r="Q404">
        <f>IF(AND(P404=1,OR(ISNUMBER(MATCH(H404,{"menace","othering","ridicule","blame","victim"},0)),ISNUMBER(MATCH(J404,{"menace","othering","ridicule","blame","victim"},0)),ISNUMBER(MATCH(L404,{"menace","othering","ridicule","blame","victim"},0)))),1,0)</f>
        <v>0</v>
      </c>
      <c r="R404">
        <f>IF(AND(P404=1,Q404=0,OR(ISNUMBER(MATCH(H404,{"wholesome","heroic"},0)),ISNUMBER(MATCH(J404,{"wholesome","heroic"},0)),ISNUMBER(MATCH(L404,{"wholesome","heroic"},0)))),1,0)</f>
        <v>0</v>
      </c>
      <c r="S404">
        <f t="shared" si="19"/>
        <v>1</v>
      </c>
      <c r="T404">
        <f t="shared" si="20"/>
        <v>1</v>
      </c>
      <c r="U404" t="s">
        <v>3053</v>
      </c>
    </row>
    <row r="405" spans="1:22" x14ac:dyDescent="0.25">
      <c r="A405" t="s">
        <v>3168</v>
      </c>
      <c r="B405">
        <v>5479</v>
      </c>
      <c r="C405" t="s">
        <v>34</v>
      </c>
      <c r="D405" t="s">
        <v>1573</v>
      </c>
      <c r="E405" s="4">
        <v>45410</v>
      </c>
      <c r="F405" s="6">
        <v>0</v>
      </c>
      <c r="G405" s="6" t="s">
        <v>2988</v>
      </c>
      <c r="H405" s="6" t="s">
        <v>2987</v>
      </c>
      <c r="I405" s="6"/>
      <c r="J405" s="6"/>
      <c r="K405" s="6"/>
      <c r="L405" s="6"/>
      <c r="M405" s="6" t="s">
        <v>3046</v>
      </c>
      <c r="N405" s="6"/>
      <c r="O405" s="6"/>
      <c r="P405">
        <f t="shared" si="18"/>
        <v>1</v>
      </c>
      <c r="Q405">
        <f>IF(AND(P405=1,OR(ISNUMBER(MATCH(H405,{"menace","othering","ridicule","blame","victim"},0)),ISNUMBER(MATCH(J405,{"menace","othering","ridicule","blame","victim"},0)),ISNUMBER(MATCH(L405,{"menace","othering","ridicule","blame","victim"},0)))),1,0)</f>
        <v>1</v>
      </c>
      <c r="R405">
        <f>IF(AND(P405=1,Q405=0,OR(ISNUMBER(MATCH(H405,{"wholesome","heroic"},0)),ISNUMBER(MATCH(J405,{"wholesome","heroic"},0)),ISNUMBER(MATCH(L405,{"wholesome","heroic"},0)))),1,0)</f>
        <v>0</v>
      </c>
      <c r="S405">
        <f t="shared" si="19"/>
        <v>0</v>
      </c>
      <c r="T405">
        <f t="shared" si="20"/>
        <v>0</v>
      </c>
      <c r="U405" t="s">
        <v>3053</v>
      </c>
    </row>
    <row r="406" spans="1:22" x14ac:dyDescent="0.25">
      <c r="A406" t="s">
        <v>3167</v>
      </c>
      <c r="B406">
        <v>5480</v>
      </c>
      <c r="C406" t="s">
        <v>34</v>
      </c>
      <c r="D406" t="s">
        <v>1573</v>
      </c>
      <c r="E406" s="4">
        <v>45416</v>
      </c>
      <c r="F406" s="6">
        <v>1</v>
      </c>
      <c r="G406" s="6"/>
      <c r="H406" s="6"/>
      <c r="I406" s="6"/>
      <c r="J406" s="6"/>
      <c r="K406" s="6"/>
      <c r="L406" s="6"/>
      <c r="M406" s="6"/>
      <c r="N406" s="6"/>
      <c r="O406" s="6"/>
      <c r="P406">
        <f t="shared" si="18"/>
        <v>0</v>
      </c>
      <c r="Q406">
        <f>IF(AND(P406=1,OR(ISNUMBER(MATCH(H406,{"menace","othering","ridicule","blame","victim"},0)),ISNUMBER(MATCH(J406,{"menace","othering","ridicule","blame","victim"},0)),ISNUMBER(MATCH(L406,{"menace","othering","ridicule","blame","victim"},0)))),1,0)</f>
        <v>0</v>
      </c>
      <c r="R406">
        <f>IF(AND(P406=1,Q406=0,OR(ISNUMBER(MATCH(H406,{"wholesome","heroic"},0)),ISNUMBER(MATCH(J406,{"wholesome","heroic"},0)),ISNUMBER(MATCH(L406,{"wholesome","heroic"},0)))),1,0)</f>
        <v>0</v>
      </c>
      <c r="S406">
        <f t="shared" si="19"/>
        <v>0</v>
      </c>
      <c r="T406">
        <f t="shared" si="20"/>
        <v>0</v>
      </c>
      <c r="U406" t="s">
        <v>3053</v>
      </c>
    </row>
    <row r="407" spans="1:22" x14ac:dyDescent="0.25">
      <c r="A407" t="s">
        <v>3166</v>
      </c>
      <c r="B407">
        <v>5481</v>
      </c>
      <c r="C407" t="s">
        <v>34</v>
      </c>
      <c r="D407" t="s">
        <v>1573</v>
      </c>
      <c r="E407" s="4">
        <v>45417</v>
      </c>
      <c r="F407" s="6">
        <v>1</v>
      </c>
      <c r="G407" s="6"/>
      <c r="H407" s="6"/>
      <c r="I407" s="6"/>
      <c r="J407" s="6"/>
      <c r="K407" s="6"/>
      <c r="L407" s="6"/>
      <c r="M407" s="6"/>
      <c r="N407" s="6"/>
      <c r="O407" s="6"/>
      <c r="P407">
        <f t="shared" si="18"/>
        <v>0</v>
      </c>
      <c r="Q407">
        <f>IF(AND(P407=1,OR(ISNUMBER(MATCH(H407,{"menace","othering","ridicule","blame","victim"},0)),ISNUMBER(MATCH(J407,{"menace","othering","ridicule","blame","victim"},0)),ISNUMBER(MATCH(L407,{"menace","othering","ridicule","blame","victim"},0)))),1,0)</f>
        <v>0</v>
      </c>
      <c r="R407">
        <f>IF(AND(P407=1,Q407=0,OR(ISNUMBER(MATCH(H407,{"wholesome","heroic"},0)),ISNUMBER(MATCH(J407,{"wholesome","heroic"},0)),ISNUMBER(MATCH(L407,{"wholesome","heroic"},0)))),1,0)</f>
        <v>0</v>
      </c>
      <c r="S407">
        <f t="shared" si="19"/>
        <v>0</v>
      </c>
      <c r="T407">
        <f t="shared" si="20"/>
        <v>0</v>
      </c>
      <c r="U407" t="s">
        <v>3053</v>
      </c>
    </row>
    <row r="408" spans="1:22" x14ac:dyDescent="0.25">
      <c r="A408" t="s">
        <v>3165</v>
      </c>
      <c r="B408">
        <v>5482</v>
      </c>
      <c r="C408" t="s">
        <v>34</v>
      </c>
      <c r="D408" t="s">
        <v>1573</v>
      </c>
      <c r="E408" s="4">
        <v>45417</v>
      </c>
      <c r="F408" s="6">
        <v>0</v>
      </c>
      <c r="G408" s="6" t="s">
        <v>2988</v>
      </c>
      <c r="H408" s="6" t="s">
        <v>2992</v>
      </c>
      <c r="I408" s="6"/>
      <c r="J408" s="6"/>
      <c r="K408" s="6"/>
      <c r="L408" s="6"/>
      <c r="M408" s="6" t="s">
        <v>3046</v>
      </c>
      <c r="N408" s="6"/>
      <c r="O408" s="6"/>
      <c r="P408">
        <f t="shared" si="18"/>
        <v>1</v>
      </c>
      <c r="Q408">
        <f>IF(AND(P408=1,OR(ISNUMBER(MATCH(H408,{"menace","othering","ridicule","blame","victim"},0)),ISNUMBER(MATCH(J408,{"menace","othering","ridicule","blame","victim"},0)),ISNUMBER(MATCH(L408,{"menace","othering","ridicule","blame","victim"},0)))),1,0)</f>
        <v>1</v>
      </c>
      <c r="R408">
        <f>IF(AND(P408=1,Q408=0,OR(ISNUMBER(MATCH(H408,{"wholesome","heroic"},0)),ISNUMBER(MATCH(J408,{"wholesome","heroic"},0)),ISNUMBER(MATCH(L408,{"wholesome","heroic"},0)))),1,0)</f>
        <v>0</v>
      </c>
      <c r="S408">
        <f t="shared" si="19"/>
        <v>0</v>
      </c>
      <c r="T408">
        <f t="shared" si="20"/>
        <v>0</v>
      </c>
      <c r="U408" t="s">
        <v>3049</v>
      </c>
      <c r="V408" t="s">
        <v>1905</v>
      </c>
    </row>
    <row r="409" spans="1:22" x14ac:dyDescent="0.25">
      <c r="A409" t="s">
        <v>3164</v>
      </c>
      <c r="B409">
        <v>5483</v>
      </c>
      <c r="C409" t="s">
        <v>34</v>
      </c>
      <c r="D409" t="s">
        <v>1573</v>
      </c>
      <c r="E409" s="4">
        <v>45418</v>
      </c>
      <c r="F409" s="6">
        <v>0</v>
      </c>
      <c r="G409" s="6" t="s">
        <v>2986</v>
      </c>
      <c r="H409" s="6" t="s">
        <v>2993</v>
      </c>
      <c r="I409" s="6"/>
      <c r="J409" s="6"/>
      <c r="K409" s="6"/>
      <c r="L409" s="6"/>
      <c r="M409" s="6" t="s">
        <v>3046</v>
      </c>
      <c r="N409" s="6"/>
      <c r="O409" s="6"/>
      <c r="P409">
        <f t="shared" si="18"/>
        <v>1</v>
      </c>
      <c r="Q409">
        <f>IF(AND(P409=1,OR(ISNUMBER(MATCH(H409,{"menace","othering","ridicule","blame","victim"},0)),ISNUMBER(MATCH(J409,{"menace","othering","ridicule","blame","victim"},0)),ISNUMBER(MATCH(L409,{"menace","othering","ridicule","blame","victim"},0)))),1,0)</f>
        <v>1</v>
      </c>
      <c r="R409">
        <f>IF(AND(P409=1,Q409=0,OR(ISNUMBER(MATCH(H409,{"wholesome","heroic"},0)),ISNUMBER(MATCH(J409,{"wholesome","heroic"},0)),ISNUMBER(MATCH(L409,{"wholesome","heroic"},0)))),1,0)</f>
        <v>0</v>
      </c>
      <c r="S409">
        <f t="shared" si="19"/>
        <v>0</v>
      </c>
      <c r="T409">
        <f t="shared" si="20"/>
        <v>0</v>
      </c>
      <c r="U409" t="s">
        <v>3049</v>
      </c>
      <c r="V409" t="s">
        <v>1903</v>
      </c>
    </row>
    <row r="410" spans="1:22" x14ac:dyDescent="0.25">
      <c r="A410" t="s">
        <v>3163</v>
      </c>
      <c r="B410">
        <v>5484</v>
      </c>
      <c r="C410" t="s">
        <v>34</v>
      </c>
      <c r="D410" t="s">
        <v>1573</v>
      </c>
      <c r="E410" s="4">
        <v>45423</v>
      </c>
      <c r="F410" s="6">
        <v>0</v>
      </c>
      <c r="G410" s="6" t="s">
        <v>2995</v>
      </c>
      <c r="H410" s="6" t="s">
        <v>2989</v>
      </c>
      <c r="I410" s="6"/>
      <c r="J410" s="6"/>
      <c r="K410" s="6"/>
      <c r="L410" s="6"/>
      <c r="M410" s="6" t="s">
        <v>3046</v>
      </c>
      <c r="N410" s="6"/>
      <c r="O410" s="6"/>
      <c r="P410">
        <f t="shared" si="18"/>
        <v>1</v>
      </c>
      <c r="Q410">
        <f>IF(AND(P410=1,OR(ISNUMBER(MATCH(H410,{"menace","othering","ridicule","blame","victim"},0)),ISNUMBER(MATCH(J410,{"menace","othering","ridicule","blame","victim"},0)),ISNUMBER(MATCH(L410,{"menace","othering","ridicule","blame","victim"},0)))),1,0)</f>
        <v>0</v>
      </c>
      <c r="R410">
        <f>IF(AND(P410=1,Q410=0,OR(ISNUMBER(MATCH(H410,{"wholesome","heroic"},0)),ISNUMBER(MATCH(J410,{"wholesome","heroic"},0)),ISNUMBER(MATCH(L410,{"wholesome","heroic"},0)))),1,0)</f>
        <v>0</v>
      </c>
      <c r="S410">
        <f t="shared" si="19"/>
        <v>1</v>
      </c>
      <c r="T410">
        <f t="shared" si="20"/>
        <v>1</v>
      </c>
      <c r="U410" t="s">
        <v>3053</v>
      </c>
    </row>
    <row r="411" spans="1:22" x14ac:dyDescent="0.25">
      <c r="A411" t="s">
        <v>3162</v>
      </c>
      <c r="B411">
        <v>5488</v>
      </c>
      <c r="C411" t="s">
        <v>34</v>
      </c>
      <c r="D411" t="s">
        <v>1573</v>
      </c>
      <c r="E411" s="4">
        <v>45438</v>
      </c>
      <c r="F411" s="6">
        <v>0</v>
      </c>
      <c r="G411" s="6" t="s">
        <v>2995</v>
      </c>
      <c r="H411" s="6" t="s">
        <v>2989</v>
      </c>
      <c r="I411" s="6" t="s">
        <v>2986</v>
      </c>
      <c r="J411" s="6" t="s">
        <v>2989</v>
      </c>
      <c r="K411" s="6"/>
      <c r="L411" s="6"/>
      <c r="M411" s="6" t="s">
        <v>3046</v>
      </c>
      <c r="N411" s="6" t="s">
        <v>3046</v>
      </c>
      <c r="O411" s="6"/>
      <c r="P411">
        <f t="shared" si="18"/>
        <v>1</v>
      </c>
      <c r="Q411">
        <f>IF(AND(P411=1,OR(ISNUMBER(MATCH(H411,{"menace","othering","ridicule","blame","victim"},0)),ISNUMBER(MATCH(J411,{"menace","othering","ridicule","blame","victim"},0)),ISNUMBER(MATCH(L411,{"menace","othering","ridicule","blame","victim"},0)))),1,0)</f>
        <v>0</v>
      </c>
      <c r="R411">
        <f>IF(AND(P411=1,Q411=0,OR(ISNUMBER(MATCH(H411,{"wholesome","heroic"},0)),ISNUMBER(MATCH(J411,{"wholesome","heroic"},0)),ISNUMBER(MATCH(L411,{"wholesome","heroic"},0)))),1,0)</f>
        <v>0</v>
      </c>
      <c r="S411">
        <f t="shared" si="19"/>
        <v>1</v>
      </c>
      <c r="T411">
        <f t="shared" si="20"/>
        <v>1</v>
      </c>
      <c r="U411" t="s">
        <v>3053</v>
      </c>
    </row>
    <row r="412" spans="1:22" x14ac:dyDescent="0.25">
      <c r="A412" t="s">
        <v>3161</v>
      </c>
      <c r="B412">
        <v>5489</v>
      </c>
      <c r="C412" t="s">
        <v>34</v>
      </c>
      <c r="D412" t="s">
        <v>1573</v>
      </c>
      <c r="E412" s="4">
        <v>45444</v>
      </c>
      <c r="F412" s="6">
        <v>0</v>
      </c>
      <c r="G412" s="6" t="s">
        <v>2991</v>
      </c>
      <c r="H412" s="6" t="s">
        <v>2987</v>
      </c>
      <c r="I412" s="6" t="s">
        <v>2991</v>
      </c>
      <c r="J412" s="6" t="s">
        <v>2993</v>
      </c>
      <c r="K412" s="6" t="s">
        <v>2991</v>
      </c>
      <c r="L412" s="6" t="s">
        <v>2989</v>
      </c>
      <c r="M412" s="6" t="s">
        <v>3046</v>
      </c>
      <c r="N412" s="6" t="s">
        <v>3046</v>
      </c>
      <c r="O412" s="6" t="s">
        <v>3046</v>
      </c>
      <c r="P412">
        <f t="shared" si="18"/>
        <v>1</v>
      </c>
      <c r="Q412">
        <f>IF(AND(P412=1,OR(ISNUMBER(MATCH(H412,{"menace","othering","ridicule","blame","victim"},0)),ISNUMBER(MATCH(J412,{"menace","othering","ridicule","blame","victim"},0)),ISNUMBER(MATCH(L412,{"menace","othering","ridicule","blame","victim"},0)))),1,0)</f>
        <v>1</v>
      </c>
      <c r="R412">
        <f>IF(AND(P412=1,Q412=0,OR(ISNUMBER(MATCH(H412,{"wholesome","heroic"},0)),ISNUMBER(MATCH(J412,{"wholesome","heroic"},0)),ISNUMBER(MATCH(L412,{"wholesome","heroic"},0)))),1,0)</f>
        <v>0</v>
      </c>
      <c r="S412">
        <f t="shared" si="19"/>
        <v>0</v>
      </c>
      <c r="T412">
        <f t="shared" si="20"/>
        <v>0</v>
      </c>
      <c r="U412" t="s">
        <v>3053</v>
      </c>
    </row>
    <row r="413" spans="1:22" x14ac:dyDescent="0.25">
      <c r="A413" t="s">
        <v>3160</v>
      </c>
      <c r="B413">
        <v>5490</v>
      </c>
      <c r="C413" t="s">
        <v>34</v>
      </c>
      <c r="D413" t="s">
        <v>1573</v>
      </c>
      <c r="E413" s="4">
        <v>45445</v>
      </c>
      <c r="F413" s="6">
        <v>0</v>
      </c>
      <c r="G413" s="6" t="s">
        <v>2986</v>
      </c>
      <c r="H413" s="6" t="s">
        <v>2989</v>
      </c>
      <c r="I413" s="6" t="s">
        <v>2995</v>
      </c>
      <c r="J413" s="6" t="s">
        <v>2989</v>
      </c>
      <c r="K413" s="6"/>
      <c r="L413" s="6"/>
      <c r="M413" s="6" t="s">
        <v>3046</v>
      </c>
      <c r="N413" s="6" t="s">
        <v>3046</v>
      </c>
      <c r="O413" s="6"/>
      <c r="P413">
        <f t="shared" si="18"/>
        <v>1</v>
      </c>
      <c r="Q413">
        <f>IF(AND(P413=1,OR(ISNUMBER(MATCH(H413,{"menace","othering","ridicule","blame","victim"},0)),ISNUMBER(MATCH(J413,{"menace","othering","ridicule","blame","victim"},0)),ISNUMBER(MATCH(L413,{"menace","othering","ridicule","blame","victim"},0)))),1,0)</f>
        <v>0</v>
      </c>
      <c r="R413">
        <f>IF(AND(P413=1,Q413=0,OR(ISNUMBER(MATCH(H413,{"wholesome","heroic"},0)),ISNUMBER(MATCH(J413,{"wholesome","heroic"},0)),ISNUMBER(MATCH(L413,{"wholesome","heroic"},0)))),1,0)</f>
        <v>0</v>
      </c>
      <c r="S413">
        <f t="shared" si="19"/>
        <v>1</v>
      </c>
      <c r="T413">
        <f t="shared" si="20"/>
        <v>1</v>
      </c>
      <c r="U413" t="s">
        <v>3053</v>
      </c>
    </row>
    <row r="414" spans="1:22" x14ac:dyDescent="0.25">
      <c r="A414" t="s">
        <v>3159</v>
      </c>
      <c r="B414">
        <v>5494</v>
      </c>
      <c r="C414" t="s">
        <v>34</v>
      </c>
      <c r="D414" t="s">
        <v>1573</v>
      </c>
      <c r="E414" s="4">
        <v>45447</v>
      </c>
      <c r="F414" s="6">
        <v>0</v>
      </c>
      <c r="G414" s="6" t="s">
        <v>2995</v>
      </c>
      <c r="H414" s="6" t="s">
        <v>2989</v>
      </c>
      <c r="I414" s="6"/>
      <c r="J414" s="6"/>
      <c r="K414" s="6"/>
      <c r="L414" s="6"/>
      <c r="M414" s="6" t="s">
        <v>3046</v>
      </c>
      <c r="N414" s="6"/>
      <c r="O414" s="6"/>
      <c r="P414">
        <f t="shared" si="18"/>
        <v>1</v>
      </c>
      <c r="Q414">
        <f>IF(AND(P414=1,OR(ISNUMBER(MATCH(H414,{"menace","othering","ridicule","blame","victim"},0)),ISNUMBER(MATCH(J414,{"menace","othering","ridicule","blame","victim"},0)),ISNUMBER(MATCH(L414,{"menace","othering","ridicule","blame","victim"},0)))),1,0)</f>
        <v>0</v>
      </c>
      <c r="R414">
        <f>IF(AND(P414=1,Q414=0,OR(ISNUMBER(MATCH(H414,{"wholesome","heroic"},0)),ISNUMBER(MATCH(J414,{"wholesome","heroic"},0)),ISNUMBER(MATCH(L414,{"wholesome","heroic"},0)))),1,0)</f>
        <v>0</v>
      </c>
      <c r="S414">
        <f t="shared" si="19"/>
        <v>1</v>
      </c>
      <c r="T414">
        <f t="shared" si="20"/>
        <v>1</v>
      </c>
      <c r="U414" t="s">
        <v>3053</v>
      </c>
    </row>
    <row r="415" spans="1:22" x14ac:dyDescent="0.25">
      <c r="A415" t="s">
        <v>3158</v>
      </c>
      <c r="B415">
        <v>5497</v>
      </c>
      <c r="C415" t="s">
        <v>34</v>
      </c>
      <c r="D415" t="s">
        <v>1573</v>
      </c>
      <c r="E415" s="4">
        <v>45449</v>
      </c>
      <c r="F415" s="6">
        <v>0</v>
      </c>
      <c r="G415" s="6" t="s">
        <v>2995</v>
      </c>
      <c r="H415" s="6" t="s">
        <v>2989</v>
      </c>
      <c r="I415" s="6"/>
      <c r="J415" s="6"/>
      <c r="K415" s="6"/>
      <c r="L415" s="6"/>
      <c r="M415" s="6" t="s">
        <v>3046</v>
      </c>
      <c r="N415" s="6"/>
      <c r="O415" s="6"/>
      <c r="P415">
        <f t="shared" si="18"/>
        <v>1</v>
      </c>
      <c r="Q415">
        <f>IF(AND(P415=1,OR(ISNUMBER(MATCH(H415,{"menace","othering","ridicule","blame","victim"},0)),ISNUMBER(MATCH(J415,{"menace","othering","ridicule","blame","victim"},0)),ISNUMBER(MATCH(L415,{"menace","othering","ridicule","blame","victim"},0)))),1,0)</f>
        <v>0</v>
      </c>
      <c r="R415">
        <f>IF(AND(P415=1,Q415=0,OR(ISNUMBER(MATCH(H415,{"wholesome","heroic"},0)),ISNUMBER(MATCH(J415,{"wholesome","heroic"},0)),ISNUMBER(MATCH(L415,{"wholesome","heroic"},0)))),1,0)</f>
        <v>0</v>
      </c>
      <c r="S415">
        <f t="shared" si="19"/>
        <v>1</v>
      </c>
      <c r="T415">
        <f t="shared" si="20"/>
        <v>1</v>
      </c>
      <c r="U415" t="s">
        <v>3049</v>
      </c>
      <c r="V415" t="s">
        <v>3157</v>
      </c>
    </row>
    <row r="416" spans="1:22" x14ac:dyDescent="0.25">
      <c r="A416" t="s">
        <v>3156</v>
      </c>
      <c r="B416">
        <v>5498</v>
      </c>
      <c r="C416" t="s">
        <v>34</v>
      </c>
      <c r="D416" t="s">
        <v>1573</v>
      </c>
      <c r="E416" s="4">
        <v>45452</v>
      </c>
      <c r="F416" s="6">
        <v>1</v>
      </c>
      <c r="G416" s="6"/>
      <c r="H416" s="6"/>
      <c r="I416" s="6"/>
      <c r="J416" s="6"/>
      <c r="K416" s="6"/>
      <c r="L416" s="6"/>
      <c r="M416" s="6"/>
      <c r="N416" s="6"/>
      <c r="O416" s="6"/>
      <c r="P416">
        <f t="shared" si="18"/>
        <v>0</v>
      </c>
      <c r="Q416">
        <f>IF(AND(P416=1,OR(ISNUMBER(MATCH(H416,{"menace","othering","ridicule","blame","victim"},0)),ISNUMBER(MATCH(J416,{"menace","othering","ridicule","blame","victim"},0)),ISNUMBER(MATCH(L416,{"menace","othering","ridicule","blame","victim"},0)))),1,0)</f>
        <v>0</v>
      </c>
      <c r="R416">
        <f>IF(AND(P416=1,Q416=0,OR(ISNUMBER(MATCH(H416,{"wholesome","heroic"},0)),ISNUMBER(MATCH(J416,{"wholesome","heroic"},0)),ISNUMBER(MATCH(L416,{"wholesome","heroic"},0)))),1,0)</f>
        <v>0</v>
      </c>
      <c r="S416">
        <f t="shared" si="19"/>
        <v>0</v>
      </c>
      <c r="T416">
        <f t="shared" si="20"/>
        <v>0</v>
      </c>
      <c r="U416" t="s">
        <v>3049</v>
      </c>
      <c r="V416" t="s">
        <v>3155</v>
      </c>
    </row>
    <row r="417" spans="1:22" x14ac:dyDescent="0.25">
      <c r="A417" t="s">
        <v>3154</v>
      </c>
      <c r="B417">
        <v>5506</v>
      </c>
      <c r="C417" t="s">
        <v>38</v>
      </c>
      <c r="D417" t="s">
        <v>1573</v>
      </c>
      <c r="E417" s="4">
        <v>45843</v>
      </c>
      <c r="F417" s="6">
        <v>1</v>
      </c>
      <c r="G417" s="6"/>
      <c r="H417" s="6"/>
      <c r="I417" s="6"/>
      <c r="J417" s="6"/>
      <c r="K417" s="6"/>
      <c r="L417" s="6"/>
      <c r="M417" s="6"/>
      <c r="N417" s="6"/>
      <c r="O417" s="6"/>
      <c r="P417">
        <f t="shared" si="18"/>
        <v>0</v>
      </c>
      <c r="Q417">
        <f>IF(AND(P417=1,OR(ISNUMBER(MATCH(H417,{"menace","othering","ridicule","blame","victim"},0)),ISNUMBER(MATCH(J417,{"menace","othering","ridicule","blame","victim"},0)),ISNUMBER(MATCH(L417,{"menace","othering","ridicule","blame","victim"},0)))),1,0)</f>
        <v>0</v>
      </c>
      <c r="R417">
        <f>IF(AND(P417=1,Q417=0,OR(ISNUMBER(MATCH(H417,{"wholesome","heroic"},0)),ISNUMBER(MATCH(J417,{"wholesome","heroic"},0)),ISNUMBER(MATCH(L417,{"wholesome","heroic"},0)))),1,0)</f>
        <v>0</v>
      </c>
      <c r="S417">
        <f t="shared" si="19"/>
        <v>0</v>
      </c>
      <c r="T417">
        <f t="shared" si="20"/>
        <v>0</v>
      </c>
      <c r="U417" t="s">
        <v>3049</v>
      </c>
      <c r="V417" t="s">
        <v>3150</v>
      </c>
    </row>
    <row r="418" spans="1:22" x14ac:dyDescent="0.25">
      <c r="A418" t="s">
        <v>3153</v>
      </c>
      <c r="B418">
        <v>5518</v>
      </c>
      <c r="C418" t="s">
        <v>38</v>
      </c>
      <c r="D418" t="s">
        <v>1573</v>
      </c>
      <c r="E418" s="4">
        <v>45856</v>
      </c>
      <c r="F418" s="6">
        <v>0</v>
      </c>
      <c r="G418" s="6" t="s">
        <v>2995</v>
      </c>
      <c r="H418" s="6" t="s">
        <v>2989</v>
      </c>
      <c r="I418" s="6"/>
      <c r="J418" s="6"/>
      <c r="K418" s="6"/>
      <c r="L418" s="6"/>
      <c r="M418" s="6" t="s">
        <v>3046</v>
      </c>
      <c r="N418" s="6"/>
      <c r="O418" s="6"/>
      <c r="P418">
        <f t="shared" si="18"/>
        <v>1</v>
      </c>
      <c r="Q418">
        <f>IF(AND(P418=1,OR(ISNUMBER(MATCH(H418,{"menace","othering","ridicule","blame","victim"},0)),ISNUMBER(MATCH(J418,{"menace","othering","ridicule","blame","victim"},0)),ISNUMBER(MATCH(L418,{"menace","othering","ridicule","blame","victim"},0)))),1,0)</f>
        <v>0</v>
      </c>
      <c r="R418">
        <f>IF(AND(P418=1,Q418=0,OR(ISNUMBER(MATCH(H418,{"wholesome","heroic"},0)),ISNUMBER(MATCH(J418,{"wholesome","heroic"},0)),ISNUMBER(MATCH(L418,{"wholesome","heroic"},0)))),1,0)</f>
        <v>0</v>
      </c>
      <c r="S418">
        <f t="shared" si="19"/>
        <v>1</v>
      </c>
      <c r="T418">
        <f t="shared" si="20"/>
        <v>1</v>
      </c>
      <c r="U418" t="s">
        <v>3049</v>
      </c>
      <c r="V418" t="s">
        <v>3147</v>
      </c>
    </row>
    <row r="419" spans="1:22" x14ac:dyDescent="0.25">
      <c r="A419" t="s">
        <v>3151</v>
      </c>
      <c r="B419">
        <v>5519</v>
      </c>
      <c r="C419" t="s">
        <v>38</v>
      </c>
      <c r="D419" t="s">
        <v>1573</v>
      </c>
      <c r="E419" s="4">
        <v>45858</v>
      </c>
      <c r="F419" s="6">
        <v>0</v>
      </c>
      <c r="G419" s="6" t="s">
        <v>2991</v>
      </c>
      <c r="H419" s="6" t="s">
        <v>2990</v>
      </c>
      <c r="I419" s="6"/>
      <c r="J419" s="6"/>
      <c r="K419" s="6"/>
      <c r="L419" s="6"/>
      <c r="M419" s="6" t="s">
        <v>3046</v>
      </c>
      <c r="N419" s="6"/>
      <c r="O419" s="6"/>
      <c r="P419">
        <f t="shared" si="18"/>
        <v>1</v>
      </c>
      <c r="Q419">
        <f>IF(AND(P419=1,OR(ISNUMBER(MATCH(H419,{"menace","othering","ridicule","blame","victim"},0)),ISNUMBER(MATCH(J419,{"menace","othering","ridicule","blame","victim"},0)),ISNUMBER(MATCH(L419,{"menace","othering","ridicule","blame","victim"},0)))),1,0)</f>
        <v>0</v>
      </c>
      <c r="R419">
        <f>IF(AND(P419=1,Q419=0,OR(ISNUMBER(MATCH(H419,{"wholesome","heroic"},0)),ISNUMBER(MATCH(J419,{"wholesome","heroic"},0)),ISNUMBER(MATCH(L419,{"wholesome","heroic"},0)))),1,0)</f>
        <v>1</v>
      </c>
      <c r="S419">
        <f t="shared" si="19"/>
        <v>0</v>
      </c>
      <c r="T419">
        <f t="shared" si="20"/>
        <v>0</v>
      </c>
      <c r="U419" t="s">
        <v>3053</v>
      </c>
    </row>
    <row r="420" spans="1:22" x14ac:dyDescent="0.25">
      <c r="A420" t="s">
        <v>3149</v>
      </c>
      <c r="B420">
        <v>5532</v>
      </c>
      <c r="C420" t="s">
        <v>38</v>
      </c>
      <c r="D420" t="s">
        <v>1573</v>
      </c>
      <c r="E420" s="4">
        <v>45875</v>
      </c>
      <c r="F420" s="6">
        <v>0</v>
      </c>
      <c r="G420" s="6" t="s">
        <v>2995</v>
      </c>
      <c r="H420" s="6" t="s">
        <v>2989</v>
      </c>
      <c r="I420" s="6" t="s">
        <v>2999</v>
      </c>
      <c r="J420" s="6" t="s">
        <v>2985</v>
      </c>
      <c r="K420" s="6" t="s">
        <v>2988</v>
      </c>
      <c r="L420" s="6" t="s">
        <v>2987</v>
      </c>
      <c r="M420" s="6" t="s">
        <v>3046</v>
      </c>
      <c r="N420" s="6" t="s">
        <v>3046</v>
      </c>
      <c r="O420" s="6" t="s">
        <v>3046</v>
      </c>
      <c r="P420">
        <f t="shared" si="18"/>
        <v>1</v>
      </c>
      <c r="Q420">
        <f>IF(AND(P420=1,OR(ISNUMBER(MATCH(H420,{"menace","othering","ridicule","blame","victim"},0)),ISNUMBER(MATCH(J420,{"menace","othering","ridicule","blame","victim"},0)),ISNUMBER(MATCH(L420,{"menace","othering","ridicule","blame","victim"},0)))),1,0)</f>
        <v>1</v>
      </c>
      <c r="R420">
        <f>IF(AND(P420=1,Q420=0,OR(ISNUMBER(MATCH(H420,{"wholesome","heroic"},0)),ISNUMBER(MATCH(J420,{"wholesome","heroic"},0)),ISNUMBER(MATCH(L420,{"wholesome","heroic"},0)))),1,0)</f>
        <v>0</v>
      </c>
      <c r="S420">
        <f t="shared" si="19"/>
        <v>0</v>
      </c>
      <c r="T420">
        <f t="shared" si="20"/>
        <v>1</v>
      </c>
      <c r="U420" t="s">
        <v>3049</v>
      </c>
      <c r="V420" t="s">
        <v>3148</v>
      </c>
    </row>
    <row r="421" spans="1:22" x14ac:dyDescent="0.25">
      <c r="A421" t="s">
        <v>3783</v>
      </c>
      <c r="B421">
        <v>5539</v>
      </c>
      <c r="C421" t="s">
        <v>38</v>
      </c>
      <c r="D421" t="s">
        <v>1573</v>
      </c>
      <c r="E421" s="4">
        <v>45879</v>
      </c>
      <c r="F421" s="6">
        <v>1</v>
      </c>
      <c r="G421" s="6"/>
      <c r="H421" s="6"/>
      <c r="I421" s="6"/>
      <c r="J421" s="6"/>
      <c r="K421" s="6"/>
      <c r="L421" s="6"/>
      <c r="M421" s="6"/>
      <c r="N421" s="6"/>
      <c r="O421" s="6"/>
      <c r="P421">
        <f t="shared" si="18"/>
        <v>0</v>
      </c>
      <c r="Q421">
        <f>IF(AND(P421=1,OR(ISNUMBER(MATCH(H421,{"menace","othering","ridicule","blame","victim"},0)),ISNUMBER(MATCH(J421,{"menace","othering","ridicule","blame","victim"},0)),ISNUMBER(MATCH(L421,{"menace","othering","ridicule","blame","victim"},0)))),1,0)</f>
        <v>0</v>
      </c>
      <c r="R421">
        <f>IF(AND(P421=1,Q421=0,OR(ISNUMBER(MATCH(H421,{"wholesome","heroic"},0)),ISNUMBER(MATCH(J421,{"wholesome","heroic"},0)),ISNUMBER(MATCH(L421,{"wholesome","heroic"},0)))),1,0)</f>
        <v>0</v>
      </c>
      <c r="S421">
        <f t="shared" si="19"/>
        <v>0</v>
      </c>
      <c r="T421">
        <f t="shared" si="20"/>
        <v>0</v>
      </c>
      <c r="U421" t="s">
        <v>3049</v>
      </c>
      <c r="V421" t="s">
        <v>1902</v>
      </c>
    </row>
    <row r="422" spans="1:22" x14ac:dyDescent="0.25">
      <c r="A422" t="s">
        <v>3146</v>
      </c>
      <c r="B422">
        <v>5541</v>
      </c>
      <c r="C422" t="s">
        <v>38</v>
      </c>
      <c r="D422" t="s">
        <v>1573</v>
      </c>
      <c r="E422" s="4">
        <v>45881</v>
      </c>
      <c r="F422" s="6">
        <v>1</v>
      </c>
      <c r="G422" s="6"/>
      <c r="H422" s="6"/>
      <c r="I422" s="6"/>
      <c r="J422" s="6"/>
      <c r="K422" s="6"/>
      <c r="L422" s="6"/>
      <c r="M422" s="6"/>
      <c r="N422" s="6"/>
      <c r="O422" s="6"/>
      <c r="P422">
        <f t="shared" si="18"/>
        <v>0</v>
      </c>
      <c r="Q422">
        <f>IF(AND(P422=1,OR(ISNUMBER(MATCH(H422,{"menace","othering","ridicule","blame","victim"},0)),ISNUMBER(MATCH(J422,{"menace","othering","ridicule","blame","victim"},0)),ISNUMBER(MATCH(L422,{"menace","othering","ridicule","blame","victim"},0)))),1,0)</f>
        <v>0</v>
      </c>
      <c r="R422">
        <f>IF(AND(P422=1,Q422=0,OR(ISNUMBER(MATCH(H422,{"wholesome","heroic"},0)),ISNUMBER(MATCH(J422,{"wholesome","heroic"},0)),ISNUMBER(MATCH(L422,{"wholesome","heroic"},0)))),1,0)</f>
        <v>0</v>
      </c>
      <c r="S422">
        <f t="shared" si="19"/>
        <v>0</v>
      </c>
      <c r="T422">
        <f t="shared" si="20"/>
        <v>0</v>
      </c>
      <c r="U422" t="s">
        <v>3053</v>
      </c>
    </row>
    <row r="423" spans="1:22" x14ac:dyDescent="0.25">
      <c r="A423" t="s">
        <v>3145</v>
      </c>
      <c r="B423">
        <v>5544</v>
      </c>
      <c r="C423" t="s">
        <v>38</v>
      </c>
      <c r="D423" t="s">
        <v>1573</v>
      </c>
      <c r="E423" s="4">
        <v>45883</v>
      </c>
      <c r="F423" s="6">
        <v>0</v>
      </c>
      <c r="G423" s="6" t="s">
        <v>2986</v>
      </c>
      <c r="H423" s="6" t="s">
        <v>2989</v>
      </c>
      <c r="I423" s="6"/>
      <c r="J423" s="6"/>
      <c r="K423" s="6"/>
      <c r="L423" s="6"/>
      <c r="M423" s="6" t="s">
        <v>3046</v>
      </c>
      <c r="N423" s="6"/>
      <c r="O423" s="6"/>
      <c r="P423">
        <f t="shared" si="18"/>
        <v>1</v>
      </c>
      <c r="Q423">
        <f>IF(AND(P423=1,OR(ISNUMBER(MATCH(H423,{"menace","othering","ridicule","blame","victim"},0)),ISNUMBER(MATCH(J423,{"menace","othering","ridicule","blame","victim"},0)),ISNUMBER(MATCH(L423,{"menace","othering","ridicule","blame","victim"},0)))),1,0)</f>
        <v>0</v>
      </c>
      <c r="R423">
        <f>IF(AND(P423=1,Q423=0,OR(ISNUMBER(MATCH(H423,{"wholesome","heroic"},0)),ISNUMBER(MATCH(J423,{"wholesome","heroic"},0)),ISNUMBER(MATCH(L423,{"wholesome","heroic"},0)))),1,0)</f>
        <v>0</v>
      </c>
      <c r="S423">
        <f t="shared" si="19"/>
        <v>1</v>
      </c>
      <c r="T423">
        <f t="shared" si="20"/>
        <v>0</v>
      </c>
      <c r="U423" t="s">
        <v>3053</v>
      </c>
    </row>
    <row r="424" spans="1:22" x14ac:dyDescent="0.25">
      <c r="A424" t="s">
        <v>3144</v>
      </c>
      <c r="B424">
        <v>5552</v>
      </c>
      <c r="C424" t="s">
        <v>38</v>
      </c>
      <c r="D424" t="s">
        <v>1573</v>
      </c>
      <c r="E424" s="4">
        <v>45892</v>
      </c>
      <c r="F424" s="6">
        <v>0</v>
      </c>
      <c r="G424" s="6" t="s">
        <v>2995</v>
      </c>
      <c r="H424" s="6" t="s">
        <v>2989</v>
      </c>
      <c r="I424" s="6"/>
      <c r="J424" s="6"/>
      <c r="K424" s="6"/>
      <c r="L424" s="6"/>
      <c r="M424" s="6" t="s">
        <v>3046</v>
      </c>
      <c r="N424" s="6"/>
      <c r="O424" s="6"/>
      <c r="P424">
        <f t="shared" si="18"/>
        <v>1</v>
      </c>
      <c r="Q424">
        <f>IF(AND(P424=1,OR(ISNUMBER(MATCH(H424,{"menace","othering","ridicule","blame","victim"},0)),ISNUMBER(MATCH(J424,{"menace","othering","ridicule","blame","victim"},0)),ISNUMBER(MATCH(L424,{"menace","othering","ridicule","blame","victim"},0)))),1,0)</f>
        <v>0</v>
      </c>
      <c r="R424">
        <f>IF(AND(P424=1,Q424=0,OR(ISNUMBER(MATCH(H424,{"wholesome","heroic"},0)),ISNUMBER(MATCH(J424,{"wholesome","heroic"},0)),ISNUMBER(MATCH(L424,{"wholesome","heroic"},0)))),1,0)</f>
        <v>0</v>
      </c>
      <c r="S424">
        <f t="shared" si="19"/>
        <v>1</v>
      </c>
      <c r="T424">
        <f t="shared" si="20"/>
        <v>1</v>
      </c>
      <c r="U424" t="s">
        <v>3049</v>
      </c>
      <c r="V424" t="s">
        <v>3143</v>
      </c>
    </row>
    <row r="425" spans="1:22" x14ac:dyDescent="0.25">
      <c r="A425" t="s">
        <v>3142</v>
      </c>
      <c r="B425">
        <v>5570</v>
      </c>
      <c r="C425" t="s">
        <v>38</v>
      </c>
      <c r="D425" t="s">
        <v>1573</v>
      </c>
      <c r="E425" s="4">
        <v>45899</v>
      </c>
      <c r="F425" s="6">
        <v>0</v>
      </c>
      <c r="G425" s="6" t="s">
        <v>2997</v>
      </c>
      <c r="H425" s="6" t="s">
        <v>2989</v>
      </c>
      <c r="I425" s="6"/>
      <c r="J425" s="6"/>
      <c r="K425" s="6"/>
      <c r="L425" s="6"/>
      <c r="M425" s="6" t="s">
        <v>3046</v>
      </c>
      <c r="N425" s="6"/>
      <c r="O425" s="6"/>
      <c r="P425">
        <f t="shared" si="18"/>
        <v>1</v>
      </c>
      <c r="Q425">
        <f>IF(AND(P425=1,OR(ISNUMBER(MATCH(H425,{"menace","othering","ridicule","blame","victim"},0)),ISNUMBER(MATCH(J425,{"menace","othering","ridicule","blame","victim"},0)),ISNUMBER(MATCH(L425,{"menace","othering","ridicule","blame","victim"},0)))),1,0)</f>
        <v>0</v>
      </c>
      <c r="R425">
        <f>IF(AND(P425=1,Q425=0,OR(ISNUMBER(MATCH(H425,{"wholesome","heroic"},0)),ISNUMBER(MATCH(J425,{"wholesome","heroic"},0)),ISNUMBER(MATCH(L425,{"wholesome","heroic"},0)))),1,0)</f>
        <v>0</v>
      </c>
      <c r="S425">
        <f t="shared" si="19"/>
        <v>1</v>
      </c>
      <c r="T425">
        <f t="shared" si="20"/>
        <v>0</v>
      </c>
      <c r="U425" t="s">
        <v>3053</v>
      </c>
    </row>
    <row r="426" spans="1:22" x14ac:dyDescent="0.25">
      <c r="A426" t="s">
        <v>3141</v>
      </c>
      <c r="B426">
        <v>5577</v>
      </c>
      <c r="C426" t="s">
        <v>38</v>
      </c>
      <c r="D426" t="s">
        <v>1573</v>
      </c>
      <c r="E426" s="4">
        <v>45903</v>
      </c>
      <c r="F426" s="6">
        <v>1</v>
      </c>
      <c r="G426" s="6"/>
      <c r="H426" s="6"/>
      <c r="I426" s="6"/>
      <c r="J426" s="6"/>
      <c r="K426" s="6"/>
      <c r="L426" s="6"/>
      <c r="M426" s="6"/>
      <c r="N426" s="6"/>
      <c r="O426" s="6"/>
      <c r="P426">
        <f t="shared" si="18"/>
        <v>0</v>
      </c>
      <c r="Q426">
        <f>IF(AND(P426=1,OR(ISNUMBER(MATCH(H426,{"menace","othering","ridicule","blame","victim"},0)),ISNUMBER(MATCH(J426,{"menace","othering","ridicule","blame","victim"},0)),ISNUMBER(MATCH(L426,{"menace","othering","ridicule","blame","victim"},0)))),1,0)</f>
        <v>0</v>
      </c>
      <c r="R426">
        <f>IF(AND(P426=1,Q426=0,OR(ISNUMBER(MATCH(H426,{"wholesome","heroic"},0)),ISNUMBER(MATCH(J426,{"wholesome","heroic"},0)),ISNUMBER(MATCH(L426,{"wholesome","heroic"},0)))),1,0)</f>
        <v>0</v>
      </c>
      <c r="S426">
        <f t="shared" si="19"/>
        <v>0</v>
      </c>
      <c r="T426">
        <f t="shared" si="20"/>
        <v>0</v>
      </c>
      <c r="U426" t="s">
        <v>3053</v>
      </c>
    </row>
    <row r="427" spans="1:22" x14ac:dyDescent="0.25">
      <c r="A427" t="s">
        <v>3140</v>
      </c>
      <c r="B427">
        <v>5579</v>
      </c>
      <c r="C427" t="s">
        <v>38</v>
      </c>
      <c r="D427" t="s">
        <v>1573</v>
      </c>
      <c r="E427" s="4">
        <v>45905</v>
      </c>
      <c r="F427" s="6">
        <v>0</v>
      </c>
      <c r="G427" s="6" t="s">
        <v>3000</v>
      </c>
      <c r="H427" s="6" t="s">
        <v>2990</v>
      </c>
      <c r="I427" s="6"/>
      <c r="J427" s="6"/>
      <c r="K427" s="6"/>
      <c r="L427" s="6"/>
      <c r="M427" s="6" t="s">
        <v>3046</v>
      </c>
      <c r="N427" s="6"/>
      <c r="O427" s="6"/>
      <c r="P427">
        <f t="shared" si="18"/>
        <v>1</v>
      </c>
      <c r="Q427">
        <f>IF(AND(P427=1,OR(ISNUMBER(MATCH(H427,{"menace","othering","ridicule","blame","victim"},0)),ISNUMBER(MATCH(J427,{"menace","othering","ridicule","blame","victim"},0)),ISNUMBER(MATCH(L427,{"menace","othering","ridicule","blame","victim"},0)))),1,0)</f>
        <v>0</v>
      </c>
      <c r="R427">
        <f>IF(AND(P427=1,Q427=0,OR(ISNUMBER(MATCH(H427,{"wholesome","heroic"},0)),ISNUMBER(MATCH(J427,{"wholesome","heroic"},0)),ISNUMBER(MATCH(L427,{"wholesome","heroic"},0)))),1,0)</f>
        <v>1</v>
      </c>
      <c r="S427">
        <f t="shared" si="19"/>
        <v>0</v>
      </c>
      <c r="T427">
        <f t="shared" si="20"/>
        <v>0</v>
      </c>
      <c r="U427" t="s">
        <v>3049</v>
      </c>
      <c r="V427" t="s">
        <v>3139</v>
      </c>
    </row>
    <row r="428" spans="1:22" x14ac:dyDescent="0.25">
      <c r="A428" t="s">
        <v>3138</v>
      </c>
      <c r="B428">
        <v>5585</v>
      </c>
      <c r="C428" t="s">
        <v>38</v>
      </c>
      <c r="D428" t="s">
        <v>1573</v>
      </c>
      <c r="E428" s="4">
        <v>45907</v>
      </c>
      <c r="F428" s="6">
        <v>0</v>
      </c>
      <c r="G428" s="6" t="s">
        <v>2986</v>
      </c>
      <c r="H428" s="6" t="s">
        <v>2989</v>
      </c>
      <c r="I428" s="6"/>
      <c r="J428" s="6"/>
      <c r="K428" s="6"/>
      <c r="L428" s="6"/>
      <c r="M428" s="6" t="s">
        <v>3046</v>
      </c>
      <c r="N428" s="6"/>
      <c r="O428" s="6"/>
      <c r="P428">
        <f t="shared" si="18"/>
        <v>1</v>
      </c>
      <c r="Q428">
        <f>IF(AND(P428=1,OR(ISNUMBER(MATCH(H428,{"menace","othering","ridicule","blame","victim"},0)),ISNUMBER(MATCH(J428,{"menace","othering","ridicule","blame","victim"},0)),ISNUMBER(MATCH(L428,{"menace","othering","ridicule","blame","victim"},0)))),1,0)</f>
        <v>0</v>
      </c>
      <c r="R428">
        <f>IF(AND(P428=1,Q428=0,OR(ISNUMBER(MATCH(H428,{"wholesome","heroic"},0)),ISNUMBER(MATCH(J428,{"wholesome","heroic"},0)),ISNUMBER(MATCH(L428,{"wholesome","heroic"},0)))),1,0)</f>
        <v>0</v>
      </c>
      <c r="S428">
        <f t="shared" si="19"/>
        <v>1</v>
      </c>
      <c r="T428">
        <f t="shared" si="20"/>
        <v>0</v>
      </c>
      <c r="U428" t="s">
        <v>3053</v>
      </c>
    </row>
    <row r="429" spans="1:22" x14ac:dyDescent="0.25">
      <c r="A429" t="s">
        <v>3137</v>
      </c>
      <c r="B429">
        <v>5599</v>
      </c>
      <c r="C429" t="s">
        <v>38</v>
      </c>
      <c r="D429" t="s">
        <v>1573</v>
      </c>
      <c r="E429" s="4">
        <v>45918</v>
      </c>
      <c r="F429" s="6">
        <v>0</v>
      </c>
      <c r="G429" s="6" t="s">
        <v>2995</v>
      </c>
      <c r="H429" s="6" t="s">
        <v>2989</v>
      </c>
      <c r="I429" s="6"/>
      <c r="J429" s="6"/>
      <c r="K429" s="6"/>
      <c r="L429" s="6"/>
      <c r="M429" s="6" t="s">
        <v>3046</v>
      </c>
      <c r="N429" s="6"/>
      <c r="O429" s="6"/>
      <c r="P429">
        <f t="shared" si="18"/>
        <v>1</v>
      </c>
      <c r="Q429">
        <f>IF(AND(P429=1,OR(ISNUMBER(MATCH(H429,{"menace","othering","ridicule","blame","victim"},0)),ISNUMBER(MATCH(J429,{"menace","othering","ridicule","blame","victim"},0)),ISNUMBER(MATCH(L429,{"menace","othering","ridicule","blame","victim"},0)))),1,0)</f>
        <v>0</v>
      </c>
      <c r="R429">
        <f>IF(AND(P429=1,Q429=0,OR(ISNUMBER(MATCH(H429,{"wholesome","heroic"},0)),ISNUMBER(MATCH(J429,{"wholesome","heroic"},0)),ISNUMBER(MATCH(L429,{"wholesome","heroic"},0)))),1,0)</f>
        <v>0</v>
      </c>
      <c r="S429">
        <f t="shared" si="19"/>
        <v>1</v>
      </c>
      <c r="T429">
        <f t="shared" si="20"/>
        <v>1</v>
      </c>
      <c r="U429" t="s">
        <v>3049</v>
      </c>
      <c r="V429" t="s">
        <v>3136</v>
      </c>
    </row>
    <row r="430" spans="1:22" x14ac:dyDescent="0.25">
      <c r="A430" t="s">
        <v>3135</v>
      </c>
      <c r="B430">
        <v>5609</v>
      </c>
      <c r="C430" t="s">
        <v>38</v>
      </c>
      <c r="D430" t="s">
        <v>1573</v>
      </c>
      <c r="E430" s="4">
        <v>45919</v>
      </c>
      <c r="F430" s="6">
        <v>1</v>
      </c>
      <c r="G430" s="6"/>
      <c r="H430" s="6"/>
      <c r="I430" s="6"/>
      <c r="J430" s="6"/>
      <c r="K430" s="6"/>
      <c r="L430" s="6"/>
      <c r="M430" s="6"/>
      <c r="N430" s="6"/>
      <c r="O430" s="6"/>
      <c r="P430">
        <f t="shared" si="18"/>
        <v>0</v>
      </c>
      <c r="Q430">
        <f>IF(AND(P430=1,OR(ISNUMBER(MATCH(H430,{"menace","othering","ridicule","blame","victim"},0)),ISNUMBER(MATCH(J430,{"menace","othering","ridicule","blame","victim"},0)),ISNUMBER(MATCH(L430,{"menace","othering","ridicule","blame","victim"},0)))),1,0)</f>
        <v>0</v>
      </c>
      <c r="R430">
        <f>IF(AND(P430=1,Q430=0,OR(ISNUMBER(MATCH(H430,{"wholesome","heroic"},0)),ISNUMBER(MATCH(J430,{"wholesome","heroic"},0)),ISNUMBER(MATCH(L430,{"wholesome","heroic"},0)))),1,0)</f>
        <v>0</v>
      </c>
      <c r="S430">
        <f t="shared" si="19"/>
        <v>0</v>
      </c>
      <c r="T430">
        <f t="shared" si="20"/>
        <v>0</v>
      </c>
      <c r="U430" t="s">
        <v>3053</v>
      </c>
    </row>
    <row r="431" spans="1:22" x14ac:dyDescent="0.25">
      <c r="A431" t="s">
        <v>3134</v>
      </c>
      <c r="B431">
        <v>5610</v>
      </c>
      <c r="C431" t="s">
        <v>38</v>
      </c>
      <c r="D431" t="s">
        <v>1573</v>
      </c>
      <c r="E431" s="4">
        <v>45920</v>
      </c>
      <c r="F431" s="6">
        <v>0</v>
      </c>
      <c r="G431" s="6" t="s">
        <v>2991</v>
      </c>
      <c r="H431" s="6" t="s">
        <v>2989</v>
      </c>
      <c r="I431" s="6"/>
      <c r="J431" s="6"/>
      <c r="K431" s="6"/>
      <c r="L431" s="6"/>
      <c r="M431" s="6" t="s">
        <v>3046</v>
      </c>
      <c r="N431" s="6"/>
      <c r="O431" s="6"/>
      <c r="P431">
        <f t="shared" si="18"/>
        <v>1</v>
      </c>
      <c r="Q431">
        <f>IF(AND(P431=1,OR(ISNUMBER(MATCH(H431,{"menace","othering","ridicule","blame","victim"},0)),ISNUMBER(MATCH(J431,{"menace","othering","ridicule","blame","victim"},0)),ISNUMBER(MATCH(L431,{"menace","othering","ridicule","blame","victim"},0)))),1,0)</f>
        <v>0</v>
      </c>
      <c r="R431">
        <f>IF(AND(P431=1,Q431=0,OR(ISNUMBER(MATCH(H431,{"wholesome","heroic"},0)),ISNUMBER(MATCH(J431,{"wholesome","heroic"},0)),ISNUMBER(MATCH(L431,{"wholesome","heroic"},0)))),1,0)</f>
        <v>0</v>
      </c>
      <c r="S431">
        <f t="shared" si="19"/>
        <v>1</v>
      </c>
      <c r="T431">
        <f t="shared" si="20"/>
        <v>0</v>
      </c>
      <c r="U431" t="s">
        <v>3053</v>
      </c>
    </row>
    <row r="432" spans="1:22" x14ac:dyDescent="0.25">
      <c r="A432" t="s">
        <v>3133</v>
      </c>
      <c r="B432">
        <v>5629</v>
      </c>
      <c r="C432" t="s">
        <v>38</v>
      </c>
      <c r="D432" t="s">
        <v>1573</v>
      </c>
      <c r="E432" s="4">
        <v>45927</v>
      </c>
      <c r="F432" s="6">
        <v>0</v>
      </c>
      <c r="G432" s="6" t="s">
        <v>2995</v>
      </c>
      <c r="H432" s="6" t="s">
        <v>2989</v>
      </c>
      <c r="I432" s="6"/>
      <c r="J432" s="6"/>
      <c r="K432" s="6"/>
      <c r="L432" s="6"/>
      <c r="M432" s="6" t="s">
        <v>3046</v>
      </c>
      <c r="N432" s="6"/>
      <c r="O432" s="6"/>
      <c r="P432">
        <f t="shared" si="18"/>
        <v>1</v>
      </c>
      <c r="Q432">
        <f>IF(AND(P432=1,OR(ISNUMBER(MATCH(H432,{"menace","othering","ridicule","blame","victim"},0)),ISNUMBER(MATCH(J432,{"menace","othering","ridicule","blame","victim"},0)),ISNUMBER(MATCH(L432,{"menace","othering","ridicule","blame","victim"},0)))),1,0)</f>
        <v>0</v>
      </c>
      <c r="R432">
        <f>IF(AND(P432=1,Q432=0,OR(ISNUMBER(MATCH(H432,{"wholesome","heroic"},0)),ISNUMBER(MATCH(J432,{"wholesome","heroic"},0)),ISNUMBER(MATCH(L432,{"wholesome","heroic"},0)))),1,0)</f>
        <v>0</v>
      </c>
      <c r="S432">
        <f t="shared" si="19"/>
        <v>1</v>
      </c>
      <c r="T432">
        <f t="shared" si="20"/>
        <v>1</v>
      </c>
      <c r="U432" t="s">
        <v>3049</v>
      </c>
      <c r="V432" t="s">
        <v>1901</v>
      </c>
    </row>
    <row r="433" spans="1:22" x14ac:dyDescent="0.25">
      <c r="A433" t="s">
        <v>3132</v>
      </c>
      <c r="B433">
        <v>5632</v>
      </c>
      <c r="C433" t="s">
        <v>38</v>
      </c>
      <c r="D433" t="s">
        <v>1573</v>
      </c>
      <c r="E433" s="4">
        <v>45928</v>
      </c>
      <c r="F433" s="6">
        <v>0</v>
      </c>
      <c r="G433" s="6" t="s">
        <v>2995</v>
      </c>
      <c r="H433" s="6" t="s">
        <v>2989</v>
      </c>
      <c r="I433" s="6"/>
      <c r="J433" s="6"/>
      <c r="K433" s="6"/>
      <c r="L433" s="6"/>
      <c r="M433" s="6" t="s">
        <v>3046</v>
      </c>
      <c r="N433" s="6"/>
      <c r="O433" s="6"/>
      <c r="P433">
        <f t="shared" si="18"/>
        <v>1</v>
      </c>
      <c r="Q433">
        <f>IF(AND(P433=1,OR(ISNUMBER(MATCH(H433,{"menace","othering","ridicule","blame","victim"},0)),ISNUMBER(MATCH(J433,{"menace","othering","ridicule","blame","victim"},0)),ISNUMBER(MATCH(L433,{"menace","othering","ridicule","blame","victim"},0)))),1,0)</f>
        <v>0</v>
      </c>
      <c r="R433">
        <f>IF(AND(P433=1,Q433=0,OR(ISNUMBER(MATCH(H433,{"wholesome","heroic"},0)),ISNUMBER(MATCH(J433,{"wholesome","heroic"},0)),ISNUMBER(MATCH(L433,{"wholesome","heroic"},0)))),1,0)</f>
        <v>0</v>
      </c>
      <c r="S433">
        <f t="shared" si="19"/>
        <v>1</v>
      </c>
      <c r="T433">
        <f t="shared" si="20"/>
        <v>1</v>
      </c>
      <c r="U433" t="s">
        <v>3053</v>
      </c>
    </row>
    <row r="434" spans="1:22" x14ac:dyDescent="0.25">
      <c r="A434" t="s">
        <v>3131</v>
      </c>
      <c r="B434">
        <v>5634</v>
      </c>
      <c r="C434" t="s">
        <v>38</v>
      </c>
      <c r="D434" t="s">
        <v>1573</v>
      </c>
      <c r="E434" s="4">
        <v>45929</v>
      </c>
      <c r="F434" s="6">
        <v>0</v>
      </c>
      <c r="G434" s="6" t="s">
        <v>2995</v>
      </c>
      <c r="H434" s="6" t="s">
        <v>2989</v>
      </c>
      <c r="I434" s="6"/>
      <c r="J434" s="6"/>
      <c r="K434" s="6"/>
      <c r="L434" s="6"/>
      <c r="M434" s="6" t="s">
        <v>3046</v>
      </c>
      <c r="N434" s="6"/>
      <c r="O434" s="6"/>
      <c r="P434">
        <f t="shared" si="18"/>
        <v>1</v>
      </c>
      <c r="Q434">
        <f>IF(AND(P434=1,OR(ISNUMBER(MATCH(H434,{"menace","othering","ridicule","blame","victim"},0)),ISNUMBER(MATCH(J434,{"menace","othering","ridicule","blame","victim"},0)),ISNUMBER(MATCH(L434,{"menace","othering","ridicule","blame","victim"},0)))),1,0)</f>
        <v>0</v>
      </c>
      <c r="R434">
        <f>IF(AND(P434=1,Q434=0,OR(ISNUMBER(MATCH(H434,{"wholesome","heroic"},0)),ISNUMBER(MATCH(J434,{"wholesome","heroic"},0)),ISNUMBER(MATCH(L434,{"wholesome","heroic"},0)))),1,0)</f>
        <v>0</v>
      </c>
      <c r="S434">
        <f t="shared" si="19"/>
        <v>1</v>
      </c>
      <c r="T434">
        <f t="shared" si="20"/>
        <v>1</v>
      </c>
      <c r="U434" t="s">
        <v>3053</v>
      </c>
    </row>
    <row r="435" spans="1:22" x14ac:dyDescent="0.25">
      <c r="A435" t="s">
        <v>3130</v>
      </c>
      <c r="B435">
        <v>5637</v>
      </c>
      <c r="C435" t="s">
        <v>38</v>
      </c>
      <c r="D435" t="s">
        <v>1573</v>
      </c>
      <c r="E435" s="4">
        <v>45930</v>
      </c>
      <c r="F435" s="6">
        <v>0</v>
      </c>
      <c r="G435" s="6" t="s">
        <v>3862</v>
      </c>
      <c r="H435" s="6" t="s">
        <v>2994</v>
      </c>
      <c r="I435" s="6" t="s">
        <v>2986</v>
      </c>
      <c r="J435" s="6" t="s">
        <v>2989</v>
      </c>
      <c r="K435" s="6"/>
      <c r="L435" s="6"/>
      <c r="M435" s="6" t="s">
        <v>3046</v>
      </c>
      <c r="N435" s="6" t="s">
        <v>3046</v>
      </c>
      <c r="O435" s="6"/>
      <c r="P435">
        <f t="shared" si="18"/>
        <v>1</v>
      </c>
      <c r="Q435">
        <f>IF(AND(P435=1,OR(ISNUMBER(MATCH(H435,{"menace","othering","ridicule","blame","victim"},0)),ISNUMBER(MATCH(J435,{"menace","othering","ridicule","blame","victim"},0)),ISNUMBER(MATCH(L435,{"menace","othering","ridicule","blame","victim"},0)))),1,0)</f>
        <v>0</v>
      </c>
      <c r="R435">
        <f>IF(AND(P435=1,Q435=0,OR(ISNUMBER(MATCH(H435,{"wholesome","heroic"},0)),ISNUMBER(MATCH(J435,{"wholesome","heroic"},0)),ISNUMBER(MATCH(L435,{"wholesome","heroic"},0)))),1,0)</f>
        <v>1</v>
      </c>
      <c r="S435">
        <f t="shared" si="19"/>
        <v>0</v>
      </c>
      <c r="T435">
        <f t="shared" si="20"/>
        <v>0</v>
      </c>
      <c r="U435" t="s">
        <v>3049</v>
      </c>
      <c r="V435" t="s">
        <v>3129</v>
      </c>
    </row>
    <row r="436" spans="1:22" x14ac:dyDescent="0.25">
      <c r="A436" t="s">
        <v>3127</v>
      </c>
      <c r="B436">
        <v>5648</v>
      </c>
      <c r="C436" t="s">
        <v>38</v>
      </c>
      <c r="D436" t="s">
        <v>1573</v>
      </c>
      <c r="E436" s="4">
        <v>45940</v>
      </c>
      <c r="F436" s="6">
        <v>0</v>
      </c>
      <c r="G436" s="6" t="s">
        <v>2991</v>
      </c>
      <c r="H436" s="6" t="s">
        <v>2989</v>
      </c>
      <c r="I436" s="6"/>
      <c r="J436" s="6"/>
      <c r="K436" s="6"/>
      <c r="L436" s="6"/>
      <c r="M436" s="6" t="s">
        <v>3046</v>
      </c>
      <c r="N436" s="6"/>
      <c r="O436" s="6"/>
      <c r="P436">
        <f t="shared" si="18"/>
        <v>1</v>
      </c>
      <c r="Q436">
        <f>IF(AND(P436=1,OR(ISNUMBER(MATCH(H436,{"menace","othering","ridicule","blame","victim"},0)),ISNUMBER(MATCH(J436,{"menace","othering","ridicule","blame","victim"},0)),ISNUMBER(MATCH(L436,{"menace","othering","ridicule","blame","victim"},0)))),1,0)</f>
        <v>0</v>
      </c>
      <c r="R436">
        <f>IF(AND(P436=1,Q436=0,OR(ISNUMBER(MATCH(H436,{"wholesome","heroic"},0)),ISNUMBER(MATCH(J436,{"wholesome","heroic"},0)),ISNUMBER(MATCH(L436,{"wholesome","heroic"},0)))),1,0)</f>
        <v>0</v>
      </c>
      <c r="S436">
        <f t="shared" si="19"/>
        <v>1</v>
      </c>
      <c r="T436">
        <f t="shared" si="20"/>
        <v>0</v>
      </c>
      <c r="U436" t="s">
        <v>3053</v>
      </c>
    </row>
    <row r="437" spans="1:22" x14ac:dyDescent="0.25">
      <c r="A437" t="s">
        <v>3784</v>
      </c>
      <c r="B437">
        <v>5650</v>
      </c>
      <c r="C437" t="s">
        <v>38</v>
      </c>
      <c r="D437" t="s">
        <v>1573</v>
      </c>
      <c r="E437" s="4">
        <v>45940</v>
      </c>
      <c r="F437" s="6">
        <v>0</v>
      </c>
      <c r="G437" s="6" t="s">
        <v>2997</v>
      </c>
      <c r="H437" s="6" t="s">
        <v>2989</v>
      </c>
      <c r="I437" s="6" t="s">
        <v>2991</v>
      </c>
      <c r="J437" s="6" t="s">
        <v>2990</v>
      </c>
      <c r="K437" s="6"/>
      <c r="L437" s="6"/>
      <c r="M437" s="6" t="s">
        <v>3046</v>
      </c>
      <c r="N437" s="6" t="s">
        <v>3046</v>
      </c>
      <c r="O437" s="6"/>
      <c r="P437">
        <f t="shared" si="18"/>
        <v>1</v>
      </c>
      <c r="Q437">
        <f>IF(AND(P437=1,OR(ISNUMBER(MATCH(H437,{"menace","othering","ridicule","blame","victim"},0)),ISNUMBER(MATCH(J437,{"menace","othering","ridicule","blame","victim"},0)),ISNUMBER(MATCH(L437,{"menace","othering","ridicule","blame","victim"},0)))),1,0)</f>
        <v>0</v>
      </c>
      <c r="R437">
        <f>IF(AND(P437=1,Q437=0,OR(ISNUMBER(MATCH(H437,{"wholesome","heroic"},0)),ISNUMBER(MATCH(J437,{"wholesome","heroic"},0)),ISNUMBER(MATCH(L437,{"wholesome","heroic"},0)))),1,0)</f>
        <v>1</v>
      </c>
      <c r="S437">
        <f t="shared" si="19"/>
        <v>0</v>
      </c>
      <c r="T437">
        <f t="shared" si="20"/>
        <v>0</v>
      </c>
      <c r="U437" t="s">
        <v>3049</v>
      </c>
      <c r="V437" t="s">
        <v>3128</v>
      </c>
    </row>
    <row r="438" spans="1:22" x14ac:dyDescent="0.25">
      <c r="A438" t="s">
        <v>3785</v>
      </c>
      <c r="B438">
        <v>5658</v>
      </c>
      <c r="C438" t="s">
        <v>38</v>
      </c>
      <c r="D438" t="s">
        <v>1573</v>
      </c>
      <c r="E438" s="4">
        <v>45947</v>
      </c>
      <c r="F438" s="6">
        <v>0</v>
      </c>
      <c r="G438" s="6" t="s">
        <v>2986</v>
      </c>
      <c r="H438" s="6" t="s">
        <v>2989</v>
      </c>
      <c r="I438" s="6"/>
      <c r="J438" s="6"/>
      <c r="K438" s="6"/>
      <c r="L438" s="6"/>
      <c r="M438" s="6" t="s">
        <v>3046</v>
      </c>
      <c r="N438" s="6"/>
      <c r="O438" s="6"/>
      <c r="P438">
        <f t="shared" si="18"/>
        <v>1</v>
      </c>
      <c r="Q438">
        <f>IF(AND(P438=1,OR(ISNUMBER(MATCH(H438,{"menace","othering","ridicule","blame","victim"},0)),ISNUMBER(MATCH(J438,{"menace","othering","ridicule","blame","victim"},0)),ISNUMBER(MATCH(L438,{"menace","othering","ridicule","blame","victim"},0)))),1,0)</f>
        <v>0</v>
      </c>
      <c r="R438">
        <f>IF(AND(P438=1,Q438=0,OR(ISNUMBER(MATCH(H438,{"wholesome","heroic"},0)),ISNUMBER(MATCH(J438,{"wholesome","heroic"},0)),ISNUMBER(MATCH(L438,{"wholesome","heroic"},0)))),1,0)</f>
        <v>0</v>
      </c>
      <c r="S438">
        <f t="shared" si="19"/>
        <v>1</v>
      </c>
      <c r="T438">
        <f t="shared" si="20"/>
        <v>0</v>
      </c>
      <c r="U438" t="s">
        <v>3049</v>
      </c>
      <c r="V438" t="s">
        <v>1899</v>
      </c>
    </row>
    <row r="439" spans="1:22" x14ac:dyDescent="0.25">
      <c r="A439" t="s">
        <v>3786</v>
      </c>
      <c r="B439">
        <v>5663</v>
      </c>
      <c r="C439" t="s">
        <v>38</v>
      </c>
      <c r="D439" t="s">
        <v>1573</v>
      </c>
      <c r="E439" s="4">
        <v>45948</v>
      </c>
      <c r="F439" s="6">
        <v>1</v>
      </c>
      <c r="G439" s="6"/>
      <c r="H439" s="6"/>
      <c r="I439" s="6"/>
      <c r="J439" s="6"/>
      <c r="K439" s="6"/>
      <c r="L439" s="6"/>
      <c r="M439" s="6"/>
      <c r="N439" s="6"/>
      <c r="O439" s="6"/>
      <c r="P439">
        <f t="shared" si="18"/>
        <v>0</v>
      </c>
      <c r="Q439">
        <f>IF(AND(P439=1,OR(ISNUMBER(MATCH(H439,{"menace","othering","ridicule","blame","victim"},0)),ISNUMBER(MATCH(J439,{"menace","othering","ridicule","blame","victim"},0)),ISNUMBER(MATCH(L439,{"menace","othering","ridicule","blame","victim"},0)))),1,0)</f>
        <v>0</v>
      </c>
      <c r="R439">
        <f>IF(AND(P439=1,Q439=0,OR(ISNUMBER(MATCH(H439,{"wholesome","heroic"},0)),ISNUMBER(MATCH(J439,{"wholesome","heroic"},0)),ISNUMBER(MATCH(L439,{"wholesome","heroic"},0)))),1,0)</f>
        <v>0</v>
      </c>
      <c r="S439">
        <f t="shared" si="19"/>
        <v>0</v>
      </c>
      <c r="T439">
        <f t="shared" si="20"/>
        <v>0</v>
      </c>
      <c r="U439" t="s">
        <v>3049</v>
      </c>
      <c r="V439" t="s">
        <v>3152</v>
      </c>
    </row>
    <row r="440" spans="1:22" x14ac:dyDescent="0.25">
      <c r="A440" t="s">
        <v>3126</v>
      </c>
      <c r="B440">
        <v>5664</v>
      </c>
      <c r="C440" t="s">
        <v>38</v>
      </c>
      <c r="D440" t="s">
        <v>1573</v>
      </c>
      <c r="E440" s="4">
        <v>45949</v>
      </c>
      <c r="F440" s="6">
        <v>0</v>
      </c>
      <c r="G440" s="6" t="s">
        <v>2995</v>
      </c>
      <c r="H440" s="6" t="s">
        <v>2989</v>
      </c>
      <c r="I440" s="6" t="s">
        <v>2986</v>
      </c>
      <c r="J440" s="6" t="s">
        <v>2989</v>
      </c>
      <c r="K440" s="6"/>
      <c r="L440" s="6"/>
      <c r="M440" s="6" t="s">
        <v>3046</v>
      </c>
      <c r="N440" s="6" t="s">
        <v>3046</v>
      </c>
      <c r="O440" s="6"/>
      <c r="P440">
        <f t="shared" si="18"/>
        <v>1</v>
      </c>
      <c r="Q440">
        <f>IF(AND(P440=1,OR(ISNUMBER(MATCH(H440,{"menace","othering","ridicule","blame","victim"},0)),ISNUMBER(MATCH(J440,{"menace","othering","ridicule","blame","victim"},0)),ISNUMBER(MATCH(L440,{"menace","othering","ridicule","blame","victim"},0)))),1,0)</f>
        <v>0</v>
      </c>
      <c r="R440">
        <f>IF(AND(P440=1,Q440=0,OR(ISNUMBER(MATCH(H440,{"wholesome","heroic"},0)),ISNUMBER(MATCH(J440,{"wholesome","heroic"},0)),ISNUMBER(MATCH(L440,{"wholesome","heroic"},0)))),1,0)</f>
        <v>0</v>
      </c>
      <c r="S440">
        <f t="shared" si="19"/>
        <v>1</v>
      </c>
      <c r="T440">
        <f t="shared" si="20"/>
        <v>1</v>
      </c>
      <c r="U440" t="s">
        <v>3053</v>
      </c>
    </row>
    <row r="441" spans="1:22" x14ac:dyDescent="0.25">
      <c r="A441" t="s">
        <v>3125</v>
      </c>
      <c r="B441">
        <v>5666</v>
      </c>
      <c r="C441" t="s">
        <v>38</v>
      </c>
      <c r="D441" t="s">
        <v>1573</v>
      </c>
      <c r="E441" s="4">
        <v>45949</v>
      </c>
      <c r="F441" s="6">
        <v>0</v>
      </c>
      <c r="G441" s="6" t="s">
        <v>2995</v>
      </c>
      <c r="H441" s="6" t="s">
        <v>2989</v>
      </c>
      <c r="I441" s="6"/>
      <c r="J441" s="6"/>
      <c r="K441" s="6"/>
      <c r="L441" s="6"/>
      <c r="M441" s="6" t="s">
        <v>3046</v>
      </c>
      <c r="N441" s="6"/>
      <c r="O441" s="6"/>
      <c r="P441">
        <f t="shared" si="18"/>
        <v>1</v>
      </c>
      <c r="Q441">
        <f>IF(AND(P441=1,OR(ISNUMBER(MATCH(H441,{"menace","othering","ridicule","blame","victim"},0)),ISNUMBER(MATCH(J441,{"menace","othering","ridicule","blame","victim"},0)),ISNUMBER(MATCH(L441,{"menace","othering","ridicule","blame","victim"},0)))),1,0)</f>
        <v>0</v>
      </c>
      <c r="R441">
        <f>IF(AND(P441=1,Q441=0,OR(ISNUMBER(MATCH(H441,{"wholesome","heroic"},0)),ISNUMBER(MATCH(J441,{"wholesome","heroic"},0)),ISNUMBER(MATCH(L441,{"wholesome","heroic"},0)))),1,0)</f>
        <v>0</v>
      </c>
      <c r="S441">
        <f t="shared" si="19"/>
        <v>1</v>
      </c>
      <c r="T441">
        <f t="shared" si="20"/>
        <v>1</v>
      </c>
      <c r="U441" t="s">
        <v>3049</v>
      </c>
      <c r="V441" t="s">
        <v>3124</v>
      </c>
    </row>
    <row r="442" spans="1:22" x14ac:dyDescent="0.25">
      <c r="A442" t="s">
        <v>3787</v>
      </c>
      <c r="B442">
        <v>5676</v>
      </c>
      <c r="C442" t="s">
        <v>38</v>
      </c>
      <c r="D442" t="s">
        <v>1573</v>
      </c>
      <c r="E442" s="4">
        <v>45955</v>
      </c>
      <c r="F442" s="6">
        <v>0</v>
      </c>
      <c r="G442" s="6" t="s">
        <v>2995</v>
      </c>
      <c r="H442" s="6" t="s">
        <v>2989</v>
      </c>
      <c r="I442" s="6" t="s">
        <v>2986</v>
      </c>
      <c r="J442" s="6" t="s">
        <v>2989</v>
      </c>
      <c r="K442" s="6"/>
      <c r="L442" s="6"/>
      <c r="M442" s="6" t="s">
        <v>3046</v>
      </c>
      <c r="N442" s="6" t="s">
        <v>3046</v>
      </c>
      <c r="O442" s="6"/>
      <c r="P442">
        <f t="shared" si="18"/>
        <v>1</v>
      </c>
      <c r="Q442">
        <f>IF(AND(P442=1,OR(ISNUMBER(MATCH(H442,{"menace","othering","ridicule","blame","victim"},0)),ISNUMBER(MATCH(J442,{"menace","othering","ridicule","blame","victim"},0)),ISNUMBER(MATCH(L442,{"menace","othering","ridicule","blame","victim"},0)))),1,0)</f>
        <v>0</v>
      </c>
      <c r="R442">
        <f>IF(AND(P442=1,Q442=0,OR(ISNUMBER(MATCH(H442,{"wholesome","heroic"},0)),ISNUMBER(MATCH(J442,{"wholesome","heroic"},0)),ISNUMBER(MATCH(L442,{"wholesome","heroic"},0)))),1,0)</f>
        <v>0</v>
      </c>
      <c r="S442">
        <f t="shared" si="19"/>
        <v>1</v>
      </c>
      <c r="T442">
        <f t="shared" si="20"/>
        <v>1</v>
      </c>
      <c r="U442" t="s">
        <v>3049</v>
      </c>
      <c r="V442" t="s">
        <v>1900</v>
      </c>
    </row>
    <row r="443" spans="1:22" x14ac:dyDescent="0.25">
      <c r="A443" t="s">
        <v>3123</v>
      </c>
      <c r="B443">
        <v>5680</v>
      </c>
      <c r="C443" t="s">
        <v>38</v>
      </c>
      <c r="D443" t="s">
        <v>1573</v>
      </c>
      <c r="E443" s="4">
        <v>45955</v>
      </c>
      <c r="F443" s="6">
        <v>0</v>
      </c>
      <c r="G443" s="6" t="s">
        <v>2995</v>
      </c>
      <c r="H443" s="6" t="s">
        <v>2989</v>
      </c>
      <c r="I443" s="6"/>
      <c r="J443" s="6"/>
      <c r="K443" s="6"/>
      <c r="L443" s="6"/>
      <c r="M443" s="6" t="s">
        <v>3046</v>
      </c>
      <c r="N443" s="6"/>
      <c r="O443" s="6"/>
      <c r="P443">
        <f t="shared" si="18"/>
        <v>1</v>
      </c>
      <c r="Q443">
        <f>IF(AND(P443=1,OR(ISNUMBER(MATCH(H443,{"menace","othering","ridicule","blame","victim"},0)),ISNUMBER(MATCH(J443,{"menace","othering","ridicule","blame","victim"},0)),ISNUMBER(MATCH(L443,{"menace","othering","ridicule","blame","victim"},0)))),1,0)</f>
        <v>0</v>
      </c>
      <c r="R443">
        <f>IF(AND(P443=1,Q443=0,OR(ISNUMBER(MATCH(H443,{"wholesome","heroic"},0)),ISNUMBER(MATCH(J443,{"wholesome","heroic"},0)),ISNUMBER(MATCH(L443,{"wholesome","heroic"},0)))),1,0)</f>
        <v>0</v>
      </c>
      <c r="S443">
        <f t="shared" si="19"/>
        <v>1</v>
      </c>
      <c r="T443">
        <f t="shared" si="20"/>
        <v>1</v>
      </c>
      <c r="U443" t="s">
        <v>3053</v>
      </c>
    </row>
    <row r="444" spans="1:22" x14ac:dyDescent="0.25">
      <c r="A444" t="s">
        <v>3122</v>
      </c>
      <c r="B444">
        <v>5684</v>
      </c>
      <c r="C444" t="s">
        <v>38</v>
      </c>
      <c r="D444" t="s">
        <v>1573</v>
      </c>
      <c r="E444" s="4">
        <v>45956</v>
      </c>
      <c r="F444" s="6">
        <v>0</v>
      </c>
      <c r="G444" s="6" t="s">
        <v>2986</v>
      </c>
      <c r="H444" s="6" t="s">
        <v>2989</v>
      </c>
      <c r="I444" s="6"/>
      <c r="J444" s="6"/>
      <c r="K444" s="6"/>
      <c r="L444" s="6"/>
      <c r="M444" s="6" t="s">
        <v>3046</v>
      </c>
      <c r="N444" s="6"/>
      <c r="O444" s="6"/>
      <c r="P444">
        <f t="shared" si="18"/>
        <v>1</v>
      </c>
      <c r="Q444">
        <f>IF(AND(P444=1,OR(ISNUMBER(MATCH(H444,{"menace","othering","ridicule","blame","victim"},0)),ISNUMBER(MATCH(J444,{"menace","othering","ridicule","blame","victim"},0)),ISNUMBER(MATCH(L444,{"menace","othering","ridicule","blame","victim"},0)))),1,0)</f>
        <v>0</v>
      </c>
      <c r="R444">
        <f>IF(AND(P444=1,Q444=0,OR(ISNUMBER(MATCH(H444,{"wholesome","heroic"},0)),ISNUMBER(MATCH(J444,{"wholesome","heroic"},0)),ISNUMBER(MATCH(L444,{"wholesome","heroic"},0)))),1,0)</f>
        <v>0</v>
      </c>
      <c r="S444">
        <f t="shared" si="19"/>
        <v>1</v>
      </c>
      <c r="T444">
        <f t="shared" si="20"/>
        <v>0</v>
      </c>
      <c r="U444" t="s">
        <v>3049</v>
      </c>
      <c r="V444" t="s">
        <v>3121</v>
      </c>
    </row>
    <row r="445" spans="1:22" x14ac:dyDescent="0.25">
      <c r="A445" t="s">
        <v>3120</v>
      </c>
      <c r="B445">
        <v>5697</v>
      </c>
      <c r="C445" t="s">
        <v>36</v>
      </c>
      <c r="D445" t="s">
        <v>1573</v>
      </c>
      <c r="E445" s="4">
        <v>45952</v>
      </c>
      <c r="F445" s="6">
        <v>0</v>
      </c>
      <c r="G445" s="6" t="s">
        <v>2995</v>
      </c>
      <c r="H445" s="6" t="s">
        <v>2989</v>
      </c>
      <c r="I445" s="6"/>
      <c r="J445" s="6"/>
      <c r="K445" s="6"/>
      <c r="L445" s="6"/>
      <c r="M445" s="6" t="s">
        <v>3046</v>
      </c>
      <c r="N445" s="6"/>
      <c r="O445" s="6"/>
      <c r="P445">
        <f t="shared" si="18"/>
        <v>1</v>
      </c>
      <c r="Q445">
        <f>IF(AND(P445=1,OR(ISNUMBER(MATCH(H445,{"menace","othering","ridicule","blame","victim"},0)),ISNUMBER(MATCH(J445,{"menace","othering","ridicule","blame","victim"},0)),ISNUMBER(MATCH(L445,{"menace","othering","ridicule","blame","victim"},0)))),1,0)</f>
        <v>0</v>
      </c>
      <c r="R445">
        <f>IF(AND(P445=1,Q445=0,OR(ISNUMBER(MATCH(H445,{"wholesome","heroic"},0)),ISNUMBER(MATCH(J445,{"wholesome","heroic"},0)),ISNUMBER(MATCH(L445,{"wholesome","heroic"},0)))),1,0)</f>
        <v>0</v>
      </c>
      <c r="S445">
        <f t="shared" si="19"/>
        <v>1</v>
      </c>
      <c r="T445">
        <f t="shared" si="20"/>
        <v>1</v>
      </c>
      <c r="U445" t="s">
        <v>3053</v>
      </c>
    </row>
    <row r="446" spans="1:22" x14ac:dyDescent="0.25">
      <c r="A446" t="s">
        <v>3119</v>
      </c>
      <c r="B446">
        <v>5701</v>
      </c>
      <c r="C446" t="s">
        <v>36</v>
      </c>
      <c r="D446" t="s">
        <v>1573</v>
      </c>
      <c r="E446" s="4">
        <v>45958</v>
      </c>
      <c r="F446" s="6">
        <v>0</v>
      </c>
      <c r="G446" s="6" t="s">
        <v>2986</v>
      </c>
      <c r="H446" s="6" t="s">
        <v>2989</v>
      </c>
      <c r="I446" s="6"/>
      <c r="J446" s="6"/>
      <c r="K446" s="6"/>
      <c r="L446" s="6"/>
      <c r="M446" s="6" t="s">
        <v>3046</v>
      </c>
      <c r="N446" s="6"/>
      <c r="O446" s="6"/>
      <c r="P446">
        <f t="shared" si="18"/>
        <v>1</v>
      </c>
      <c r="Q446">
        <f>IF(AND(P446=1,OR(ISNUMBER(MATCH(H446,{"menace","othering","ridicule","blame","victim"},0)),ISNUMBER(MATCH(J446,{"menace","othering","ridicule","blame","victim"},0)),ISNUMBER(MATCH(L446,{"menace","othering","ridicule","blame","victim"},0)))),1,0)</f>
        <v>0</v>
      </c>
      <c r="R446">
        <f>IF(AND(P446=1,Q446=0,OR(ISNUMBER(MATCH(H446,{"wholesome","heroic"},0)),ISNUMBER(MATCH(J446,{"wholesome","heroic"},0)),ISNUMBER(MATCH(L446,{"wholesome","heroic"},0)))),1,0)</f>
        <v>0</v>
      </c>
      <c r="S446">
        <f t="shared" si="19"/>
        <v>1</v>
      </c>
      <c r="T446">
        <f t="shared" si="20"/>
        <v>0</v>
      </c>
      <c r="U446" t="s">
        <v>3053</v>
      </c>
    </row>
    <row r="447" spans="1:22" x14ac:dyDescent="0.25">
      <c r="A447" t="s">
        <v>3118</v>
      </c>
      <c r="B447">
        <v>5702</v>
      </c>
      <c r="C447" t="s">
        <v>36</v>
      </c>
      <c r="D447" t="s">
        <v>1573</v>
      </c>
      <c r="E447" s="4">
        <v>45958</v>
      </c>
      <c r="F447" s="6">
        <v>0</v>
      </c>
      <c r="G447" s="6" t="s">
        <v>2986</v>
      </c>
      <c r="H447" s="6" t="s">
        <v>2989</v>
      </c>
      <c r="I447" s="6" t="s">
        <v>2995</v>
      </c>
      <c r="J447" s="6" t="s">
        <v>2989</v>
      </c>
      <c r="K447" s="6"/>
      <c r="L447" s="6"/>
      <c r="M447" s="6" t="s">
        <v>3046</v>
      </c>
      <c r="N447" s="6" t="s">
        <v>3046</v>
      </c>
      <c r="O447" s="6"/>
      <c r="P447">
        <f t="shared" si="18"/>
        <v>1</v>
      </c>
      <c r="Q447">
        <f>IF(AND(P447=1,OR(ISNUMBER(MATCH(H447,{"menace","othering","ridicule","blame","victim"},0)),ISNUMBER(MATCH(J447,{"menace","othering","ridicule","blame","victim"},0)),ISNUMBER(MATCH(L447,{"menace","othering","ridicule","blame","victim"},0)))),1,0)</f>
        <v>0</v>
      </c>
      <c r="R447">
        <f>IF(AND(P447=1,Q447=0,OR(ISNUMBER(MATCH(H447,{"wholesome","heroic"},0)),ISNUMBER(MATCH(J447,{"wholesome","heroic"},0)),ISNUMBER(MATCH(L447,{"wholesome","heroic"},0)))),1,0)</f>
        <v>0</v>
      </c>
      <c r="S447">
        <f t="shared" si="19"/>
        <v>1</v>
      </c>
      <c r="T447">
        <f t="shared" si="20"/>
        <v>1</v>
      </c>
      <c r="U447" t="s">
        <v>3053</v>
      </c>
    </row>
    <row r="448" spans="1:22" x14ac:dyDescent="0.25">
      <c r="A448" t="s">
        <v>3117</v>
      </c>
      <c r="B448">
        <v>5705</v>
      </c>
      <c r="C448" t="s">
        <v>36</v>
      </c>
      <c r="D448" t="s">
        <v>1573</v>
      </c>
      <c r="E448" s="4">
        <v>45959</v>
      </c>
      <c r="F448" s="6">
        <v>0</v>
      </c>
      <c r="G448" s="6" t="s">
        <v>2995</v>
      </c>
      <c r="H448" s="6" t="s">
        <v>2989</v>
      </c>
      <c r="I448" s="6"/>
      <c r="J448" s="6"/>
      <c r="K448" s="6"/>
      <c r="L448" s="6"/>
      <c r="M448" s="6" t="s">
        <v>3046</v>
      </c>
      <c r="N448" s="6"/>
      <c r="O448" s="6"/>
      <c r="P448">
        <f t="shared" si="18"/>
        <v>1</v>
      </c>
      <c r="Q448">
        <f>IF(AND(P448=1,OR(ISNUMBER(MATCH(H448,{"menace","othering","ridicule","blame","victim"},0)),ISNUMBER(MATCH(J448,{"menace","othering","ridicule","blame","victim"},0)),ISNUMBER(MATCH(L448,{"menace","othering","ridicule","blame","victim"},0)))),1,0)</f>
        <v>0</v>
      </c>
      <c r="R448">
        <f>IF(AND(P448=1,Q448=0,OR(ISNUMBER(MATCH(H448,{"wholesome","heroic"},0)),ISNUMBER(MATCH(J448,{"wholesome","heroic"},0)),ISNUMBER(MATCH(L448,{"wholesome","heroic"},0)))),1,0)</f>
        <v>0</v>
      </c>
      <c r="S448">
        <f t="shared" si="19"/>
        <v>1</v>
      </c>
      <c r="T448">
        <f t="shared" si="20"/>
        <v>1</v>
      </c>
      <c r="U448" t="s">
        <v>3053</v>
      </c>
    </row>
    <row r="449" spans="1:21" x14ac:dyDescent="0.25">
      <c r="A449" t="s">
        <v>3116</v>
      </c>
      <c r="B449">
        <v>5710</v>
      </c>
      <c r="C449" t="s">
        <v>42</v>
      </c>
      <c r="D449" t="s">
        <v>1755</v>
      </c>
      <c r="E449" s="4">
        <v>45370</v>
      </c>
      <c r="F449" s="6">
        <v>0</v>
      </c>
      <c r="G449" s="6" t="s">
        <v>2995</v>
      </c>
      <c r="H449" s="6" t="s">
        <v>2989</v>
      </c>
      <c r="I449" s="6"/>
      <c r="J449" s="6"/>
      <c r="K449" s="6"/>
      <c r="L449" s="6"/>
      <c r="M449" s="6" t="s">
        <v>3046</v>
      </c>
      <c r="N449" s="6"/>
      <c r="O449" s="6"/>
      <c r="P449">
        <f t="shared" si="18"/>
        <v>1</v>
      </c>
      <c r="Q449">
        <f>IF(AND(P449=1,OR(ISNUMBER(MATCH(H449,{"menace","othering","ridicule","blame","victim"},0)),ISNUMBER(MATCH(J449,{"menace","othering","ridicule","blame","victim"},0)),ISNUMBER(MATCH(L449,{"menace","othering","ridicule","blame","victim"},0)))),1,0)</f>
        <v>0</v>
      </c>
      <c r="R449">
        <f>IF(AND(P449=1,Q449=0,OR(ISNUMBER(MATCH(H449,{"wholesome","heroic"},0)),ISNUMBER(MATCH(J449,{"wholesome","heroic"},0)),ISNUMBER(MATCH(L449,{"wholesome","heroic"},0)))),1,0)</f>
        <v>0</v>
      </c>
      <c r="S449">
        <f t="shared" si="19"/>
        <v>1</v>
      </c>
      <c r="T449">
        <f t="shared" si="20"/>
        <v>1</v>
      </c>
      <c r="U449" t="s">
        <v>3053</v>
      </c>
    </row>
    <row r="450" spans="1:21" x14ac:dyDescent="0.25">
      <c r="A450" t="s">
        <v>3115</v>
      </c>
      <c r="B450">
        <v>5714</v>
      </c>
      <c r="C450" t="s">
        <v>42</v>
      </c>
      <c r="D450" t="s">
        <v>1755</v>
      </c>
      <c r="E450" s="4">
        <v>45371</v>
      </c>
      <c r="F450" s="6">
        <v>0</v>
      </c>
      <c r="G450" s="6" t="s">
        <v>2995</v>
      </c>
      <c r="H450" s="6" t="s">
        <v>2989</v>
      </c>
      <c r="I450" s="6"/>
      <c r="J450" s="6"/>
      <c r="K450" s="6"/>
      <c r="L450" s="6"/>
      <c r="M450" s="6" t="s">
        <v>3046</v>
      </c>
      <c r="N450" s="6"/>
      <c r="O450" s="6"/>
      <c r="P450">
        <f t="shared" ref="P450:P487" si="21">IF(F450=0,1,0)</f>
        <v>1</v>
      </c>
      <c r="Q450">
        <f>IF(AND(P450=1,OR(ISNUMBER(MATCH(H450,{"menace","othering","ridicule","blame","victim"},0)),ISNUMBER(MATCH(J450,{"menace","othering","ridicule","blame","victim"},0)),ISNUMBER(MATCH(L450,{"menace","othering","ridicule","blame","victim"},0)))),1,0)</f>
        <v>0</v>
      </c>
      <c r="R450">
        <f>IF(AND(P450=1,Q450=0,OR(ISNUMBER(MATCH(H450,{"wholesome","heroic"},0)),ISNUMBER(MATCH(J450,{"wholesome","heroic"},0)),ISNUMBER(MATCH(L450,{"wholesome","heroic"},0)))),1,0)</f>
        <v>0</v>
      </c>
      <c r="S450">
        <f t="shared" ref="S450:S487" si="22">IF(AND(P450=1,Q450=0,R450=0),1,0)</f>
        <v>1</v>
      </c>
      <c r="T450">
        <f t="shared" ref="T450:T487" si="23">IF(AND(P450=1,OR(G450="own_leader",I450="own_leader",K450="own_leader")),1,0)</f>
        <v>1</v>
      </c>
      <c r="U450" t="s">
        <v>3053</v>
      </c>
    </row>
    <row r="451" spans="1:21" x14ac:dyDescent="0.25">
      <c r="A451" t="s">
        <v>3114</v>
      </c>
      <c r="B451">
        <v>5725</v>
      </c>
      <c r="C451" t="s">
        <v>42</v>
      </c>
      <c r="D451" t="s">
        <v>1755</v>
      </c>
      <c r="E451" s="4">
        <v>45404</v>
      </c>
      <c r="F451" s="6">
        <v>0</v>
      </c>
      <c r="G451" s="6" t="s">
        <v>2995</v>
      </c>
      <c r="H451" s="6" t="s">
        <v>2989</v>
      </c>
      <c r="I451" s="6" t="s">
        <v>3000</v>
      </c>
      <c r="J451" s="6" t="s">
        <v>2989</v>
      </c>
      <c r="K451" s="6"/>
      <c r="L451" s="6"/>
      <c r="M451" s="6" t="s">
        <v>3046</v>
      </c>
      <c r="N451" s="6" t="s">
        <v>3046</v>
      </c>
      <c r="O451" s="6"/>
      <c r="P451">
        <f t="shared" si="21"/>
        <v>1</v>
      </c>
      <c r="Q451">
        <f>IF(AND(P451=1,OR(ISNUMBER(MATCH(H451,{"menace","othering","ridicule","blame","victim"},0)),ISNUMBER(MATCH(J451,{"menace","othering","ridicule","blame","victim"},0)),ISNUMBER(MATCH(L451,{"menace","othering","ridicule","blame","victim"},0)))),1,0)</f>
        <v>0</v>
      </c>
      <c r="R451">
        <f>IF(AND(P451=1,Q451=0,OR(ISNUMBER(MATCH(H451,{"wholesome","heroic"},0)),ISNUMBER(MATCH(J451,{"wholesome","heroic"},0)),ISNUMBER(MATCH(L451,{"wholesome","heroic"},0)))),1,0)</f>
        <v>0</v>
      </c>
      <c r="S451">
        <f t="shared" si="22"/>
        <v>1</v>
      </c>
      <c r="T451">
        <f t="shared" si="23"/>
        <v>1</v>
      </c>
      <c r="U451" t="s">
        <v>3053</v>
      </c>
    </row>
    <row r="452" spans="1:21" x14ac:dyDescent="0.25">
      <c r="A452" t="s">
        <v>3113</v>
      </c>
      <c r="B452">
        <v>5739</v>
      </c>
      <c r="C452" t="s">
        <v>42</v>
      </c>
      <c r="D452" t="s">
        <v>1755</v>
      </c>
      <c r="E452" s="4">
        <v>45442</v>
      </c>
      <c r="F452" s="6">
        <v>0</v>
      </c>
      <c r="G452" s="6" t="s">
        <v>2995</v>
      </c>
      <c r="H452" s="6" t="s">
        <v>2990</v>
      </c>
      <c r="I452" s="6"/>
      <c r="J452" s="6"/>
      <c r="K452" s="6"/>
      <c r="L452" s="6"/>
      <c r="M452" s="6" t="s">
        <v>3046</v>
      </c>
      <c r="N452" s="6"/>
      <c r="O452" s="6"/>
      <c r="P452">
        <f t="shared" si="21"/>
        <v>1</v>
      </c>
      <c r="Q452">
        <f>IF(AND(P452=1,OR(ISNUMBER(MATCH(H452,{"menace","othering","ridicule","blame","victim"},0)),ISNUMBER(MATCH(J452,{"menace","othering","ridicule","blame","victim"},0)),ISNUMBER(MATCH(L452,{"menace","othering","ridicule","blame","victim"},0)))),1,0)</f>
        <v>0</v>
      </c>
      <c r="R452">
        <f>IF(AND(P452=1,Q452=0,OR(ISNUMBER(MATCH(H452,{"wholesome","heroic"},0)),ISNUMBER(MATCH(J452,{"wholesome","heroic"},0)),ISNUMBER(MATCH(L452,{"wholesome","heroic"},0)))),1,0)</f>
        <v>1</v>
      </c>
      <c r="S452">
        <f t="shared" si="22"/>
        <v>0</v>
      </c>
      <c r="T452">
        <f t="shared" si="23"/>
        <v>1</v>
      </c>
      <c r="U452" t="s">
        <v>3053</v>
      </c>
    </row>
    <row r="453" spans="1:21" x14ac:dyDescent="0.25">
      <c r="A453" t="s">
        <v>3112</v>
      </c>
      <c r="B453">
        <v>5744</v>
      </c>
      <c r="C453" t="s">
        <v>42</v>
      </c>
      <c r="D453" t="s">
        <v>1755</v>
      </c>
      <c r="E453" s="4">
        <v>45444</v>
      </c>
      <c r="F453" s="6">
        <v>0</v>
      </c>
      <c r="G453" s="6" t="s">
        <v>2995</v>
      </c>
      <c r="H453" s="6" t="s">
        <v>2989</v>
      </c>
      <c r="I453" s="6"/>
      <c r="J453" s="6"/>
      <c r="K453" s="6"/>
      <c r="L453" s="6"/>
      <c r="M453" s="6" t="s">
        <v>3046</v>
      </c>
      <c r="N453" s="6"/>
      <c r="O453" s="6"/>
      <c r="P453">
        <f t="shared" si="21"/>
        <v>1</v>
      </c>
      <c r="Q453">
        <f>IF(AND(P453=1,OR(ISNUMBER(MATCH(H453,{"menace","othering","ridicule","blame","victim"},0)),ISNUMBER(MATCH(J453,{"menace","othering","ridicule","blame","victim"},0)),ISNUMBER(MATCH(L453,{"menace","othering","ridicule","blame","victim"},0)))),1,0)</f>
        <v>0</v>
      </c>
      <c r="R453">
        <f>IF(AND(P453=1,Q453=0,OR(ISNUMBER(MATCH(H453,{"wholesome","heroic"},0)),ISNUMBER(MATCH(J453,{"wholesome","heroic"},0)),ISNUMBER(MATCH(L453,{"wholesome","heroic"},0)))),1,0)</f>
        <v>0</v>
      </c>
      <c r="S453">
        <f t="shared" si="22"/>
        <v>1</v>
      </c>
      <c r="T453">
        <f t="shared" si="23"/>
        <v>1</v>
      </c>
      <c r="U453" t="s">
        <v>3053</v>
      </c>
    </row>
    <row r="454" spans="1:21" x14ac:dyDescent="0.25">
      <c r="A454" t="s">
        <v>3111</v>
      </c>
      <c r="B454">
        <v>5751</v>
      </c>
      <c r="C454" t="s">
        <v>42</v>
      </c>
      <c r="D454" t="s">
        <v>1755</v>
      </c>
      <c r="E454" s="4">
        <v>45447</v>
      </c>
      <c r="F454" s="6">
        <v>0</v>
      </c>
      <c r="G454" s="6" t="s">
        <v>2995</v>
      </c>
      <c r="H454" s="6" t="s">
        <v>2989</v>
      </c>
      <c r="I454" s="6"/>
      <c r="J454" s="6"/>
      <c r="K454" s="6"/>
      <c r="L454" s="6"/>
      <c r="M454" s="6" t="s">
        <v>3046</v>
      </c>
      <c r="N454" s="6"/>
      <c r="O454" s="6"/>
      <c r="P454">
        <f t="shared" si="21"/>
        <v>1</v>
      </c>
      <c r="Q454">
        <f>IF(AND(P454=1,OR(ISNUMBER(MATCH(H454,{"menace","othering","ridicule","blame","victim"},0)),ISNUMBER(MATCH(J454,{"menace","othering","ridicule","blame","victim"},0)),ISNUMBER(MATCH(L454,{"menace","othering","ridicule","blame","victim"},0)))),1,0)</f>
        <v>0</v>
      </c>
      <c r="R454">
        <f>IF(AND(P454=1,Q454=0,OR(ISNUMBER(MATCH(H454,{"wholesome","heroic"},0)),ISNUMBER(MATCH(J454,{"wholesome","heroic"},0)),ISNUMBER(MATCH(L454,{"wholesome","heroic"},0)))),1,0)</f>
        <v>0</v>
      </c>
      <c r="S454">
        <f t="shared" si="22"/>
        <v>1</v>
      </c>
      <c r="T454">
        <f t="shared" si="23"/>
        <v>1</v>
      </c>
      <c r="U454" t="s">
        <v>3053</v>
      </c>
    </row>
    <row r="455" spans="1:21" x14ac:dyDescent="0.25">
      <c r="A455" t="s">
        <v>3110</v>
      </c>
      <c r="B455">
        <v>5755</v>
      </c>
      <c r="C455" t="s">
        <v>42</v>
      </c>
      <c r="D455" t="s">
        <v>1755</v>
      </c>
      <c r="E455" s="4">
        <v>45448</v>
      </c>
      <c r="F455" s="6">
        <v>0</v>
      </c>
      <c r="G455" s="6" t="s">
        <v>2995</v>
      </c>
      <c r="H455" s="6" t="s">
        <v>2994</v>
      </c>
      <c r="I455" s="6" t="s">
        <v>2988</v>
      </c>
      <c r="J455" s="6" t="s">
        <v>2990</v>
      </c>
      <c r="K455" s="6"/>
      <c r="L455" s="6"/>
      <c r="M455" s="6" t="s">
        <v>3046</v>
      </c>
      <c r="N455" s="6" t="s">
        <v>3046</v>
      </c>
      <c r="O455" s="6"/>
      <c r="P455">
        <f t="shared" si="21"/>
        <v>1</v>
      </c>
      <c r="Q455">
        <f>IF(AND(P455=1,OR(ISNUMBER(MATCH(H455,{"menace","othering","ridicule","blame","victim"},0)),ISNUMBER(MATCH(J455,{"menace","othering","ridicule","blame","victim"},0)),ISNUMBER(MATCH(L455,{"menace","othering","ridicule","blame","victim"},0)))),1,0)</f>
        <v>0</v>
      </c>
      <c r="R455">
        <f>IF(AND(P455=1,Q455=0,OR(ISNUMBER(MATCH(H455,{"wholesome","heroic"},0)),ISNUMBER(MATCH(J455,{"wholesome","heroic"},0)),ISNUMBER(MATCH(L455,{"wholesome","heroic"},0)))),1,0)</f>
        <v>1</v>
      </c>
      <c r="S455">
        <f t="shared" si="22"/>
        <v>0</v>
      </c>
      <c r="T455">
        <f t="shared" si="23"/>
        <v>1</v>
      </c>
      <c r="U455" t="s">
        <v>3053</v>
      </c>
    </row>
    <row r="456" spans="1:21" x14ac:dyDescent="0.25">
      <c r="A456" t="s">
        <v>3109</v>
      </c>
      <c r="B456">
        <v>5761</v>
      </c>
      <c r="C456" t="s">
        <v>42</v>
      </c>
      <c r="D456" t="s">
        <v>1755</v>
      </c>
      <c r="E456" s="4">
        <v>45450</v>
      </c>
      <c r="F456" s="6">
        <v>0</v>
      </c>
      <c r="G456" s="6" t="s">
        <v>2995</v>
      </c>
      <c r="H456" s="6" t="s">
        <v>2989</v>
      </c>
      <c r="I456" s="6"/>
      <c r="J456" s="6"/>
      <c r="K456" s="6"/>
      <c r="L456" s="6"/>
      <c r="M456" s="6" t="s">
        <v>3046</v>
      </c>
      <c r="N456" s="6"/>
      <c r="O456" s="6"/>
      <c r="P456">
        <f t="shared" si="21"/>
        <v>1</v>
      </c>
      <c r="Q456">
        <f>IF(AND(P456=1,OR(ISNUMBER(MATCH(H456,{"menace","othering","ridicule","blame","victim"},0)),ISNUMBER(MATCH(J456,{"menace","othering","ridicule","blame","victim"},0)),ISNUMBER(MATCH(L456,{"menace","othering","ridicule","blame","victim"},0)))),1,0)</f>
        <v>0</v>
      </c>
      <c r="R456">
        <f>IF(AND(P456=1,Q456=0,OR(ISNUMBER(MATCH(H456,{"wholesome","heroic"},0)),ISNUMBER(MATCH(J456,{"wholesome","heroic"},0)),ISNUMBER(MATCH(L456,{"wholesome","heroic"},0)))),1,0)</f>
        <v>0</v>
      </c>
      <c r="S456">
        <f t="shared" si="22"/>
        <v>1</v>
      </c>
      <c r="T456">
        <f t="shared" si="23"/>
        <v>1</v>
      </c>
      <c r="U456" t="s">
        <v>3053</v>
      </c>
    </row>
    <row r="457" spans="1:21" x14ac:dyDescent="0.25">
      <c r="A457" t="s">
        <v>3108</v>
      </c>
      <c r="B457">
        <v>5766</v>
      </c>
      <c r="C457" t="s">
        <v>42</v>
      </c>
      <c r="D457" t="s">
        <v>1755</v>
      </c>
      <c r="E457" s="4">
        <v>45452</v>
      </c>
      <c r="F457" s="6">
        <v>0</v>
      </c>
      <c r="G457" s="6" t="s">
        <v>2995</v>
      </c>
      <c r="H457" s="6" t="s">
        <v>2989</v>
      </c>
      <c r="I457" s="6"/>
      <c r="J457" s="6"/>
      <c r="K457" s="6"/>
      <c r="L457" s="6"/>
      <c r="M457" s="6" t="s">
        <v>3046</v>
      </c>
      <c r="N457" s="6"/>
      <c r="O457" s="6"/>
      <c r="P457">
        <f t="shared" si="21"/>
        <v>1</v>
      </c>
      <c r="Q457">
        <f>IF(AND(P457=1,OR(ISNUMBER(MATCH(H457,{"menace","othering","ridicule","blame","victim"},0)),ISNUMBER(MATCH(J457,{"menace","othering","ridicule","blame","victim"},0)),ISNUMBER(MATCH(L457,{"menace","othering","ridicule","blame","victim"},0)))),1,0)</f>
        <v>0</v>
      </c>
      <c r="R457">
        <f>IF(AND(P457=1,Q457=0,OR(ISNUMBER(MATCH(H457,{"wholesome","heroic"},0)),ISNUMBER(MATCH(J457,{"wholesome","heroic"},0)),ISNUMBER(MATCH(L457,{"wholesome","heroic"},0)))),1,0)</f>
        <v>0</v>
      </c>
      <c r="S457">
        <f t="shared" si="22"/>
        <v>1</v>
      </c>
      <c r="T457">
        <f t="shared" si="23"/>
        <v>1</v>
      </c>
      <c r="U457" t="s">
        <v>3053</v>
      </c>
    </row>
    <row r="458" spans="1:21" x14ac:dyDescent="0.25">
      <c r="A458" t="s">
        <v>3107</v>
      </c>
      <c r="B458">
        <v>5772</v>
      </c>
      <c r="C458" t="s">
        <v>42</v>
      </c>
      <c r="D458" t="s">
        <v>1755</v>
      </c>
      <c r="E458" s="4">
        <v>45457</v>
      </c>
      <c r="F458" s="6">
        <v>0</v>
      </c>
      <c r="G458" s="6" t="s">
        <v>2995</v>
      </c>
      <c r="H458" s="6" t="s">
        <v>2989</v>
      </c>
      <c r="I458" s="6"/>
      <c r="J458" s="6"/>
      <c r="K458" s="6"/>
      <c r="L458" s="6"/>
      <c r="M458" s="6" t="s">
        <v>3046</v>
      </c>
      <c r="N458" s="6"/>
      <c r="O458" s="6"/>
      <c r="P458">
        <f t="shared" si="21"/>
        <v>1</v>
      </c>
      <c r="Q458">
        <f>IF(AND(P458=1,OR(ISNUMBER(MATCH(H458,{"menace","othering","ridicule","blame","victim"},0)),ISNUMBER(MATCH(J458,{"menace","othering","ridicule","blame","victim"},0)),ISNUMBER(MATCH(L458,{"menace","othering","ridicule","blame","victim"},0)))),1,0)</f>
        <v>0</v>
      </c>
      <c r="R458">
        <f>IF(AND(P458=1,Q458=0,OR(ISNUMBER(MATCH(H458,{"wholesome","heroic"},0)),ISNUMBER(MATCH(J458,{"wholesome","heroic"},0)),ISNUMBER(MATCH(L458,{"wholesome","heroic"},0)))),1,0)</f>
        <v>0</v>
      </c>
      <c r="S458">
        <f t="shared" si="22"/>
        <v>1</v>
      </c>
      <c r="T458">
        <f t="shared" si="23"/>
        <v>1</v>
      </c>
      <c r="U458" t="s">
        <v>3053</v>
      </c>
    </row>
    <row r="459" spans="1:21" x14ac:dyDescent="0.25">
      <c r="A459" t="s">
        <v>3106</v>
      </c>
      <c r="B459">
        <v>5797</v>
      </c>
      <c r="C459" t="s">
        <v>42</v>
      </c>
      <c r="D459" t="s">
        <v>1755</v>
      </c>
      <c r="E459" s="4">
        <v>45474</v>
      </c>
      <c r="F459" s="6">
        <v>0</v>
      </c>
      <c r="G459" s="6" t="s">
        <v>2995</v>
      </c>
      <c r="H459" s="6" t="s">
        <v>2994</v>
      </c>
      <c r="I459" s="6"/>
      <c r="J459" s="6"/>
      <c r="K459" s="6"/>
      <c r="L459" s="6"/>
      <c r="M459" s="6" t="s">
        <v>3046</v>
      </c>
      <c r="N459" s="6"/>
      <c r="O459" s="6"/>
      <c r="P459">
        <f t="shared" si="21"/>
        <v>1</v>
      </c>
      <c r="Q459">
        <f>IF(AND(P459=1,OR(ISNUMBER(MATCH(H459,{"menace","othering","ridicule","blame","victim"},0)),ISNUMBER(MATCH(J459,{"menace","othering","ridicule","blame","victim"},0)),ISNUMBER(MATCH(L459,{"menace","othering","ridicule","blame","victim"},0)))),1,0)</f>
        <v>0</v>
      </c>
      <c r="R459">
        <f>IF(AND(P459=1,Q459=0,OR(ISNUMBER(MATCH(H459,{"wholesome","heroic"},0)),ISNUMBER(MATCH(J459,{"wholesome","heroic"},0)),ISNUMBER(MATCH(L459,{"wholesome","heroic"},0)))),1,0)</f>
        <v>1</v>
      </c>
      <c r="S459">
        <f t="shared" si="22"/>
        <v>0</v>
      </c>
      <c r="T459">
        <f t="shared" si="23"/>
        <v>1</v>
      </c>
      <c r="U459" t="s">
        <v>3053</v>
      </c>
    </row>
    <row r="460" spans="1:21" x14ac:dyDescent="0.25">
      <c r="A460" t="s">
        <v>3105</v>
      </c>
      <c r="B460">
        <v>5803</v>
      </c>
      <c r="C460" t="s">
        <v>42</v>
      </c>
      <c r="D460" t="s">
        <v>1755</v>
      </c>
      <c r="E460" s="4">
        <v>45477</v>
      </c>
      <c r="F460" s="6">
        <v>0</v>
      </c>
      <c r="G460" s="6" t="s">
        <v>2995</v>
      </c>
      <c r="H460" s="6" t="s">
        <v>2989</v>
      </c>
      <c r="I460" s="6"/>
      <c r="J460" s="6"/>
      <c r="K460" s="6"/>
      <c r="L460" s="6"/>
      <c r="M460" s="6" t="s">
        <v>3046</v>
      </c>
      <c r="N460" s="6"/>
      <c r="O460" s="6"/>
      <c r="P460">
        <f t="shared" si="21"/>
        <v>1</v>
      </c>
      <c r="Q460">
        <f>IF(AND(P460=1,OR(ISNUMBER(MATCH(H460,{"menace","othering","ridicule","blame","victim"},0)),ISNUMBER(MATCH(J460,{"menace","othering","ridicule","blame","victim"},0)),ISNUMBER(MATCH(L460,{"menace","othering","ridicule","blame","victim"},0)))),1,0)</f>
        <v>0</v>
      </c>
      <c r="R460">
        <f>IF(AND(P460=1,Q460=0,OR(ISNUMBER(MATCH(H460,{"wholesome","heroic"},0)),ISNUMBER(MATCH(J460,{"wholesome","heroic"},0)),ISNUMBER(MATCH(L460,{"wholesome","heroic"},0)))),1,0)</f>
        <v>0</v>
      </c>
      <c r="S460">
        <f t="shared" si="22"/>
        <v>1</v>
      </c>
      <c r="T460">
        <f t="shared" si="23"/>
        <v>1</v>
      </c>
      <c r="U460" t="s">
        <v>3053</v>
      </c>
    </row>
    <row r="461" spans="1:21" x14ac:dyDescent="0.25">
      <c r="A461" t="s">
        <v>3104</v>
      </c>
      <c r="B461">
        <v>5805</v>
      </c>
      <c r="C461" t="s">
        <v>42</v>
      </c>
      <c r="D461" t="s">
        <v>1755</v>
      </c>
      <c r="E461" s="4">
        <v>45477</v>
      </c>
      <c r="F461" s="6">
        <v>0</v>
      </c>
      <c r="G461" s="6" t="s">
        <v>2995</v>
      </c>
      <c r="H461" s="6" t="s">
        <v>2989</v>
      </c>
      <c r="I461" s="6"/>
      <c r="J461" s="6"/>
      <c r="K461" s="6"/>
      <c r="L461" s="6"/>
      <c r="M461" s="6" t="s">
        <v>3046</v>
      </c>
      <c r="N461" s="6"/>
      <c r="O461" s="6"/>
      <c r="P461">
        <f t="shared" si="21"/>
        <v>1</v>
      </c>
      <c r="Q461">
        <f>IF(AND(P461=1,OR(ISNUMBER(MATCH(H461,{"menace","othering","ridicule","blame","victim"},0)),ISNUMBER(MATCH(J461,{"menace","othering","ridicule","blame","victim"},0)),ISNUMBER(MATCH(L461,{"menace","othering","ridicule","blame","victim"},0)))),1,0)</f>
        <v>0</v>
      </c>
      <c r="R461">
        <f>IF(AND(P461=1,Q461=0,OR(ISNUMBER(MATCH(H461,{"wholesome","heroic"},0)),ISNUMBER(MATCH(J461,{"wholesome","heroic"},0)),ISNUMBER(MATCH(L461,{"wholesome","heroic"},0)))),1,0)</f>
        <v>0</v>
      </c>
      <c r="S461">
        <f t="shared" si="22"/>
        <v>1</v>
      </c>
      <c r="T461">
        <f t="shared" si="23"/>
        <v>1</v>
      </c>
      <c r="U461" t="s">
        <v>3053</v>
      </c>
    </row>
    <row r="462" spans="1:21" x14ac:dyDescent="0.25">
      <c r="A462" t="s">
        <v>3103</v>
      </c>
      <c r="B462">
        <v>5807</v>
      </c>
      <c r="C462" t="s">
        <v>42</v>
      </c>
      <c r="D462" t="s">
        <v>1755</v>
      </c>
      <c r="E462" s="4">
        <v>45477</v>
      </c>
      <c r="F462" s="6">
        <v>0</v>
      </c>
      <c r="G462" s="6" t="s">
        <v>2995</v>
      </c>
      <c r="H462" s="6" t="s">
        <v>2989</v>
      </c>
      <c r="I462" s="6" t="s">
        <v>2986</v>
      </c>
      <c r="J462" s="6" t="s">
        <v>2994</v>
      </c>
      <c r="K462" s="6" t="s">
        <v>2991</v>
      </c>
      <c r="L462" s="6" t="s">
        <v>2994</v>
      </c>
      <c r="M462" s="6" t="s">
        <v>3046</v>
      </c>
      <c r="N462" s="6" t="s">
        <v>3046</v>
      </c>
      <c r="O462" s="6" t="s">
        <v>3046</v>
      </c>
      <c r="P462">
        <f t="shared" si="21"/>
        <v>1</v>
      </c>
      <c r="Q462">
        <f>IF(AND(P462=1,OR(ISNUMBER(MATCH(H462,{"menace","othering","ridicule","blame","victim"},0)),ISNUMBER(MATCH(J462,{"menace","othering","ridicule","blame","victim"},0)),ISNUMBER(MATCH(L462,{"menace","othering","ridicule","blame","victim"},0)))),1,0)</f>
        <v>0</v>
      </c>
      <c r="R462">
        <f>IF(AND(P462=1,Q462=0,OR(ISNUMBER(MATCH(H462,{"wholesome","heroic"},0)),ISNUMBER(MATCH(J462,{"wholesome","heroic"},0)),ISNUMBER(MATCH(L462,{"wholesome","heroic"},0)))),1,0)</f>
        <v>1</v>
      </c>
      <c r="S462">
        <f t="shared" si="22"/>
        <v>0</v>
      </c>
      <c r="T462">
        <f t="shared" si="23"/>
        <v>1</v>
      </c>
      <c r="U462" t="s">
        <v>3053</v>
      </c>
    </row>
    <row r="463" spans="1:21" x14ac:dyDescent="0.25">
      <c r="A463" t="s">
        <v>3102</v>
      </c>
      <c r="B463">
        <v>5808</v>
      </c>
      <c r="C463" t="s">
        <v>42</v>
      </c>
      <c r="D463" t="s">
        <v>1755</v>
      </c>
      <c r="E463" s="4">
        <v>45477</v>
      </c>
      <c r="F463" s="6">
        <v>0</v>
      </c>
      <c r="G463" s="6" t="s">
        <v>2988</v>
      </c>
      <c r="H463" s="6" t="s">
        <v>2990</v>
      </c>
      <c r="I463" s="6" t="s">
        <v>2995</v>
      </c>
      <c r="J463" s="6" t="s">
        <v>2994</v>
      </c>
      <c r="K463" s="6" t="s">
        <v>2991</v>
      </c>
      <c r="L463" s="6" t="s">
        <v>2994</v>
      </c>
      <c r="M463" s="6" t="s">
        <v>3046</v>
      </c>
      <c r="N463" s="6" t="s">
        <v>3046</v>
      </c>
      <c r="O463" s="6" t="s">
        <v>3046</v>
      </c>
      <c r="P463">
        <f t="shared" si="21"/>
        <v>1</v>
      </c>
      <c r="Q463">
        <f>IF(AND(P463=1,OR(ISNUMBER(MATCH(H463,{"menace","othering","ridicule","blame","victim"},0)),ISNUMBER(MATCH(J463,{"menace","othering","ridicule","blame","victim"},0)),ISNUMBER(MATCH(L463,{"menace","othering","ridicule","blame","victim"},0)))),1,0)</f>
        <v>0</v>
      </c>
      <c r="R463">
        <f>IF(AND(P463=1,Q463=0,OR(ISNUMBER(MATCH(H463,{"wholesome","heroic"},0)),ISNUMBER(MATCH(J463,{"wholesome","heroic"},0)),ISNUMBER(MATCH(L463,{"wholesome","heroic"},0)))),1,0)</f>
        <v>1</v>
      </c>
      <c r="S463">
        <f t="shared" si="22"/>
        <v>0</v>
      </c>
      <c r="T463">
        <f t="shared" si="23"/>
        <v>1</v>
      </c>
      <c r="U463" t="s">
        <v>3053</v>
      </c>
    </row>
    <row r="464" spans="1:21" x14ac:dyDescent="0.25">
      <c r="A464" t="s">
        <v>3101</v>
      </c>
      <c r="B464">
        <v>5828</v>
      </c>
      <c r="C464" t="s">
        <v>40</v>
      </c>
      <c r="D464" t="s">
        <v>1755</v>
      </c>
      <c r="E464" s="4">
        <v>45364</v>
      </c>
      <c r="F464" s="6">
        <v>1</v>
      </c>
      <c r="G464" s="6"/>
      <c r="H464" s="6"/>
      <c r="I464" s="6"/>
      <c r="J464" s="6"/>
      <c r="K464" s="6"/>
      <c r="L464" s="6"/>
      <c r="M464" s="6"/>
      <c r="N464" s="6"/>
      <c r="O464" s="6"/>
      <c r="P464">
        <f t="shared" si="21"/>
        <v>0</v>
      </c>
      <c r="Q464">
        <f>IF(AND(P464=1,OR(ISNUMBER(MATCH(H464,{"menace","othering","ridicule","blame","victim"},0)),ISNUMBER(MATCH(J464,{"menace","othering","ridicule","blame","victim"},0)),ISNUMBER(MATCH(L464,{"menace","othering","ridicule","blame","victim"},0)))),1,0)</f>
        <v>0</v>
      </c>
      <c r="R464">
        <f>IF(AND(P464=1,Q464=0,OR(ISNUMBER(MATCH(H464,{"wholesome","heroic"},0)),ISNUMBER(MATCH(J464,{"wholesome","heroic"},0)),ISNUMBER(MATCH(L464,{"wholesome","heroic"},0)))),1,0)</f>
        <v>0</v>
      </c>
      <c r="S464">
        <f t="shared" si="22"/>
        <v>0</v>
      </c>
      <c r="T464">
        <f t="shared" si="23"/>
        <v>0</v>
      </c>
      <c r="U464" t="s">
        <v>3053</v>
      </c>
    </row>
    <row r="465" spans="1:22" x14ac:dyDescent="0.25">
      <c r="A465" t="s">
        <v>3788</v>
      </c>
      <c r="B465">
        <v>5871</v>
      </c>
      <c r="C465" t="s">
        <v>40</v>
      </c>
      <c r="D465" t="s">
        <v>1755</v>
      </c>
      <c r="E465" s="4">
        <v>45375</v>
      </c>
      <c r="F465" s="6">
        <v>0</v>
      </c>
      <c r="G465" s="6" t="s">
        <v>2995</v>
      </c>
      <c r="H465" s="6" t="s">
        <v>2989</v>
      </c>
      <c r="I465" s="6"/>
      <c r="J465" s="6"/>
      <c r="K465" s="6"/>
      <c r="L465" s="6"/>
      <c r="M465" s="6" t="s">
        <v>3046</v>
      </c>
      <c r="N465" s="6"/>
      <c r="O465" s="6"/>
      <c r="P465">
        <f t="shared" si="21"/>
        <v>1</v>
      </c>
      <c r="Q465">
        <f>IF(AND(P465=1,OR(ISNUMBER(MATCH(H465,{"menace","othering","ridicule","blame","victim"},0)),ISNUMBER(MATCH(J465,{"menace","othering","ridicule","blame","victim"},0)),ISNUMBER(MATCH(L465,{"menace","othering","ridicule","blame","victim"},0)))),1,0)</f>
        <v>0</v>
      </c>
      <c r="R465">
        <f>IF(AND(P465=1,Q465=0,OR(ISNUMBER(MATCH(H465,{"wholesome","heroic"},0)),ISNUMBER(MATCH(J465,{"wholesome","heroic"},0)),ISNUMBER(MATCH(L465,{"wholesome","heroic"},0)))),1,0)</f>
        <v>0</v>
      </c>
      <c r="S465">
        <f t="shared" si="22"/>
        <v>1</v>
      </c>
      <c r="T465">
        <f t="shared" si="23"/>
        <v>1</v>
      </c>
      <c r="U465" t="s">
        <v>3049</v>
      </c>
      <c r="V465" t="s">
        <v>3100</v>
      </c>
    </row>
    <row r="466" spans="1:22" x14ac:dyDescent="0.25">
      <c r="A466" t="s">
        <v>3098</v>
      </c>
      <c r="B466">
        <v>5882</v>
      </c>
      <c r="C466" t="s">
        <v>40</v>
      </c>
      <c r="D466" t="s">
        <v>1755</v>
      </c>
      <c r="E466" s="4">
        <v>45380</v>
      </c>
      <c r="F466" s="6">
        <v>0</v>
      </c>
      <c r="G466" s="6" t="s">
        <v>3862</v>
      </c>
      <c r="H466" s="6" t="s">
        <v>2989</v>
      </c>
      <c r="I466" s="6"/>
      <c r="J466" s="6"/>
      <c r="K466" s="6"/>
      <c r="L466" s="6"/>
      <c r="M466" s="6" t="s">
        <v>3046</v>
      </c>
      <c r="N466" s="6"/>
      <c r="O466" s="6"/>
      <c r="P466">
        <f t="shared" si="21"/>
        <v>1</v>
      </c>
      <c r="Q466">
        <f>IF(AND(P466=1,OR(ISNUMBER(MATCH(H466,{"menace","othering","ridicule","blame","victim"},0)),ISNUMBER(MATCH(J466,{"menace","othering","ridicule","blame","victim"},0)),ISNUMBER(MATCH(L466,{"menace","othering","ridicule","blame","victim"},0)))),1,0)</f>
        <v>0</v>
      </c>
      <c r="R466">
        <f>IF(AND(P466=1,Q466=0,OR(ISNUMBER(MATCH(H466,{"wholesome","heroic"},0)),ISNUMBER(MATCH(J466,{"wholesome","heroic"},0)),ISNUMBER(MATCH(L466,{"wholesome","heroic"},0)))),1,0)</f>
        <v>0</v>
      </c>
      <c r="S466">
        <f t="shared" si="22"/>
        <v>1</v>
      </c>
      <c r="T466">
        <f t="shared" si="23"/>
        <v>0</v>
      </c>
      <c r="U466" t="s">
        <v>3053</v>
      </c>
    </row>
    <row r="467" spans="1:22" x14ac:dyDescent="0.25">
      <c r="A467" t="s">
        <v>3789</v>
      </c>
      <c r="B467">
        <v>5893</v>
      </c>
      <c r="C467" t="s">
        <v>40</v>
      </c>
      <c r="D467" t="s">
        <v>1755</v>
      </c>
      <c r="E467" s="4">
        <v>45384</v>
      </c>
      <c r="F467" s="6">
        <v>0</v>
      </c>
      <c r="G467" s="6" t="s">
        <v>2989</v>
      </c>
      <c r="H467" s="6" t="s">
        <v>2989</v>
      </c>
      <c r="I467" s="6"/>
      <c r="J467" s="6"/>
      <c r="K467" s="6"/>
      <c r="L467" s="6"/>
      <c r="M467" s="6"/>
      <c r="N467" s="6"/>
      <c r="O467" s="6"/>
      <c r="P467">
        <f t="shared" si="21"/>
        <v>1</v>
      </c>
      <c r="Q467">
        <f>IF(AND(P467=1,OR(ISNUMBER(MATCH(H467,{"menace","othering","ridicule","blame","victim"},0)),ISNUMBER(MATCH(J467,{"menace","othering","ridicule","blame","victim"},0)),ISNUMBER(MATCH(L467,{"menace","othering","ridicule","blame","victim"},0)))),1,0)</f>
        <v>0</v>
      </c>
      <c r="R467">
        <f>IF(AND(P467=1,Q467=0,OR(ISNUMBER(MATCH(H467,{"wholesome","heroic"},0)),ISNUMBER(MATCH(J467,{"wholesome","heroic"},0)),ISNUMBER(MATCH(L467,{"wholesome","heroic"},0)))),1,0)</f>
        <v>0</v>
      </c>
      <c r="S467">
        <f t="shared" si="22"/>
        <v>1</v>
      </c>
      <c r="T467">
        <f t="shared" si="23"/>
        <v>0</v>
      </c>
      <c r="U467" t="s">
        <v>3049</v>
      </c>
      <c r="V467" t="s">
        <v>3099</v>
      </c>
    </row>
    <row r="468" spans="1:22" x14ac:dyDescent="0.25">
      <c r="A468" t="s">
        <v>3097</v>
      </c>
      <c r="B468">
        <v>5909</v>
      </c>
      <c r="C468" t="s">
        <v>40</v>
      </c>
      <c r="D468" t="s">
        <v>1755</v>
      </c>
      <c r="E468" s="4">
        <v>45390</v>
      </c>
      <c r="F468" s="6">
        <v>0</v>
      </c>
      <c r="G468" s="6" t="s">
        <v>2995</v>
      </c>
      <c r="H468" s="6" t="s">
        <v>2989</v>
      </c>
      <c r="I468" s="6"/>
      <c r="J468" s="6"/>
      <c r="K468" s="6"/>
      <c r="L468" s="6"/>
      <c r="M468" s="6" t="s">
        <v>3046</v>
      </c>
      <c r="N468" s="6"/>
      <c r="O468" s="6"/>
      <c r="P468">
        <f t="shared" si="21"/>
        <v>1</v>
      </c>
      <c r="Q468">
        <f>IF(AND(P468=1,OR(ISNUMBER(MATCH(H468,{"menace","othering","ridicule","blame","victim"},0)),ISNUMBER(MATCH(J468,{"menace","othering","ridicule","blame","victim"},0)),ISNUMBER(MATCH(L468,{"menace","othering","ridicule","blame","victim"},0)))),1,0)</f>
        <v>0</v>
      </c>
      <c r="R468">
        <f>IF(AND(P468=1,Q468=0,OR(ISNUMBER(MATCH(H468,{"wholesome","heroic"},0)),ISNUMBER(MATCH(J468,{"wholesome","heroic"},0)),ISNUMBER(MATCH(L468,{"wholesome","heroic"},0)))),1,0)</f>
        <v>0</v>
      </c>
      <c r="S468">
        <f t="shared" si="22"/>
        <v>1</v>
      </c>
      <c r="T468">
        <f t="shared" si="23"/>
        <v>1</v>
      </c>
      <c r="U468" t="s">
        <v>3053</v>
      </c>
    </row>
    <row r="469" spans="1:22" x14ac:dyDescent="0.25">
      <c r="A469" t="s">
        <v>3096</v>
      </c>
      <c r="B469">
        <v>5911</v>
      </c>
      <c r="C469" t="s">
        <v>40</v>
      </c>
      <c r="D469" t="s">
        <v>1755</v>
      </c>
      <c r="E469" s="4">
        <v>45390</v>
      </c>
      <c r="F469" s="6">
        <v>0</v>
      </c>
      <c r="G469" s="6" t="s">
        <v>2995</v>
      </c>
      <c r="H469" s="6" t="s">
        <v>2989</v>
      </c>
      <c r="I469" s="6"/>
      <c r="J469" s="6"/>
      <c r="K469" s="6"/>
      <c r="L469" s="6"/>
      <c r="M469" s="6" t="s">
        <v>3046</v>
      </c>
      <c r="N469" s="6"/>
      <c r="O469" s="6"/>
      <c r="P469">
        <f t="shared" si="21"/>
        <v>1</v>
      </c>
      <c r="Q469">
        <f>IF(AND(P469=1,OR(ISNUMBER(MATCH(H469,{"menace","othering","ridicule","blame","victim"},0)),ISNUMBER(MATCH(J469,{"menace","othering","ridicule","blame","victim"},0)),ISNUMBER(MATCH(L469,{"menace","othering","ridicule","blame","victim"},0)))),1,0)</f>
        <v>0</v>
      </c>
      <c r="R469">
        <f>IF(AND(P469=1,Q469=0,OR(ISNUMBER(MATCH(H469,{"wholesome","heroic"},0)),ISNUMBER(MATCH(J469,{"wholesome","heroic"},0)),ISNUMBER(MATCH(L469,{"wholesome","heroic"},0)))),1,0)</f>
        <v>0</v>
      </c>
      <c r="S469">
        <f t="shared" si="22"/>
        <v>1</v>
      </c>
      <c r="T469">
        <f t="shared" si="23"/>
        <v>1</v>
      </c>
      <c r="U469" t="s">
        <v>3053</v>
      </c>
    </row>
    <row r="470" spans="1:22" x14ac:dyDescent="0.25">
      <c r="A470" t="s">
        <v>3095</v>
      </c>
      <c r="B470">
        <v>5924</v>
      </c>
      <c r="C470" t="s">
        <v>40</v>
      </c>
      <c r="D470" t="s">
        <v>1755</v>
      </c>
      <c r="E470" s="4">
        <v>45394</v>
      </c>
      <c r="F470" s="6">
        <v>0</v>
      </c>
      <c r="G470" s="6" t="s">
        <v>2991</v>
      </c>
      <c r="H470" s="6" t="s">
        <v>2989</v>
      </c>
      <c r="I470" s="6" t="s">
        <v>3862</v>
      </c>
      <c r="J470" s="6" t="s">
        <v>2989</v>
      </c>
      <c r="K470" s="6"/>
      <c r="L470" s="6"/>
      <c r="M470" s="6" t="s">
        <v>3046</v>
      </c>
      <c r="N470" s="6" t="s">
        <v>3046</v>
      </c>
      <c r="O470" s="6"/>
      <c r="P470">
        <f t="shared" si="21"/>
        <v>1</v>
      </c>
      <c r="Q470">
        <f>IF(AND(P470=1,OR(ISNUMBER(MATCH(H470,{"menace","othering","ridicule","blame","victim"},0)),ISNUMBER(MATCH(J470,{"menace","othering","ridicule","blame","victim"},0)),ISNUMBER(MATCH(L470,{"menace","othering","ridicule","blame","victim"},0)))),1,0)</f>
        <v>0</v>
      </c>
      <c r="R470">
        <f>IF(AND(P470=1,Q470=0,OR(ISNUMBER(MATCH(H470,{"wholesome","heroic"},0)),ISNUMBER(MATCH(J470,{"wholesome","heroic"},0)),ISNUMBER(MATCH(L470,{"wholesome","heroic"},0)))),1,0)</f>
        <v>0</v>
      </c>
      <c r="S470">
        <f t="shared" si="22"/>
        <v>1</v>
      </c>
      <c r="T470">
        <f t="shared" si="23"/>
        <v>0</v>
      </c>
      <c r="U470" t="s">
        <v>3053</v>
      </c>
    </row>
    <row r="471" spans="1:22" x14ac:dyDescent="0.25">
      <c r="A471" t="s">
        <v>3094</v>
      </c>
      <c r="B471">
        <v>5952</v>
      </c>
      <c r="C471" t="s">
        <v>40</v>
      </c>
      <c r="D471" t="s">
        <v>1755</v>
      </c>
      <c r="E471" s="4">
        <v>45403</v>
      </c>
      <c r="F471" s="6">
        <v>0</v>
      </c>
      <c r="G471" s="6" t="s">
        <v>2995</v>
      </c>
      <c r="H471" s="6" t="s">
        <v>2989</v>
      </c>
      <c r="I471" s="6"/>
      <c r="J471" s="6"/>
      <c r="K471" s="6"/>
      <c r="L471" s="6"/>
      <c r="M471" s="6" t="s">
        <v>3046</v>
      </c>
      <c r="N471" s="6"/>
      <c r="O471" s="6"/>
      <c r="P471">
        <f t="shared" si="21"/>
        <v>1</v>
      </c>
      <c r="Q471">
        <f>IF(AND(P471=1,OR(ISNUMBER(MATCH(H471,{"menace","othering","ridicule","blame","victim"},0)),ISNUMBER(MATCH(J471,{"menace","othering","ridicule","blame","victim"},0)),ISNUMBER(MATCH(L471,{"menace","othering","ridicule","blame","victim"},0)))),1,0)</f>
        <v>0</v>
      </c>
      <c r="R471">
        <f>IF(AND(P471=1,Q471=0,OR(ISNUMBER(MATCH(H471,{"wholesome","heroic"},0)),ISNUMBER(MATCH(J471,{"wholesome","heroic"},0)),ISNUMBER(MATCH(L471,{"wholesome","heroic"},0)))),1,0)</f>
        <v>0</v>
      </c>
      <c r="S471">
        <f t="shared" si="22"/>
        <v>1</v>
      </c>
      <c r="T471">
        <f t="shared" si="23"/>
        <v>1</v>
      </c>
      <c r="U471" t="s">
        <v>3053</v>
      </c>
    </row>
    <row r="472" spans="1:22" x14ac:dyDescent="0.25">
      <c r="A472" t="s">
        <v>3093</v>
      </c>
      <c r="B472">
        <v>5985</v>
      </c>
      <c r="C472" t="s">
        <v>40</v>
      </c>
      <c r="D472" t="s">
        <v>1755</v>
      </c>
      <c r="E472" s="4">
        <v>45411</v>
      </c>
      <c r="F472" s="6">
        <v>1</v>
      </c>
      <c r="G472" s="6"/>
      <c r="H472" s="6"/>
      <c r="I472" s="6"/>
      <c r="J472" s="6"/>
      <c r="K472" s="6"/>
      <c r="L472" s="6"/>
      <c r="M472" s="6"/>
      <c r="N472" s="6"/>
      <c r="O472" s="6"/>
      <c r="P472">
        <f t="shared" si="21"/>
        <v>0</v>
      </c>
      <c r="Q472">
        <f>IF(AND(P472=1,OR(ISNUMBER(MATCH(H472,{"menace","othering","ridicule","blame","victim"},0)),ISNUMBER(MATCH(J472,{"menace","othering","ridicule","blame","victim"},0)),ISNUMBER(MATCH(L472,{"menace","othering","ridicule","blame","victim"},0)))),1,0)</f>
        <v>0</v>
      </c>
      <c r="R472">
        <f>IF(AND(P472=1,Q472=0,OR(ISNUMBER(MATCH(H472,{"wholesome","heroic"},0)),ISNUMBER(MATCH(J472,{"wholesome","heroic"},0)),ISNUMBER(MATCH(L472,{"wholesome","heroic"},0)))),1,0)</f>
        <v>0</v>
      </c>
      <c r="S472">
        <f t="shared" si="22"/>
        <v>0</v>
      </c>
      <c r="T472">
        <f t="shared" si="23"/>
        <v>0</v>
      </c>
      <c r="U472" t="s">
        <v>3053</v>
      </c>
    </row>
    <row r="473" spans="1:22" x14ac:dyDescent="0.25">
      <c r="A473" t="s">
        <v>3092</v>
      </c>
      <c r="B473">
        <v>5989</v>
      </c>
      <c r="C473" t="s">
        <v>40</v>
      </c>
      <c r="D473" t="s">
        <v>1755</v>
      </c>
      <c r="E473" s="4">
        <v>45412</v>
      </c>
      <c r="F473" s="6">
        <v>0</v>
      </c>
      <c r="G473" s="6" t="s">
        <v>3862</v>
      </c>
      <c r="H473" s="6" t="s">
        <v>2989</v>
      </c>
      <c r="I473" s="6"/>
      <c r="J473" s="6"/>
      <c r="K473" s="6"/>
      <c r="L473" s="6"/>
      <c r="M473" s="6" t="s">
        <v>3046</v>
      </c>
      <c r="N473" s="6"/>
      <c r="O473" s="6"/>
      <c r="P473">
        <f t="shared" si="21"/>
        <v>1</v>
      </c>
      <c r="Q473">
        <f>IF(AND(P473=1,OR(ISNUMBER(MATCH(H473,{"menace","othering","ridicule","blame","victim"},0)),ISNUMBER(MATCH(J473,{"menace","othering","ridicule","blame","victim"},0)),ISNUMBER(MATCH(L473,{"menace","othering","ridicule","blame","victim"},0)))),1,0)</f>
        <v>0</v>
      </c>
      <c r="R473">
        <f>IF(AND(P473=1,Q473=0,OR(ISNUMBER(MATCH(H473,{"wholesome","heroic"},0)),ISNUMBER(MATCH(J473,{"wholesome","heroic"},0)),ISNUMBER(MATCH(L473,{"wholesome","heroic"},0)))),1,0)</f>
        <v>0</v>
      </c>
      <c r="S473">
        <f t="shared" si="22"/>
        <v>1</v>
      </c>
      <c r="T473">
        <f t="shared" si="23"/>
        <v>0</v>
      </c>
      <c r="U473" t="s">
        <v>3053</v>
      </c>
    </row>
    <row r="474" spans="1:22" x14ac:dyDescent="0.25">
      <c r="A474" t="s">
        <v>3091</v>
      </c>
      <c r="B474">
        <v>5991</v>
      </c>
      <c r="C474" t="s">
        <v>40</v>
      </c>
      <c r="D474" t="s">
        <v>1755</v>
      </c>
      <c r="E474" s="4">
        <v>45413</v>
      </c>
      <c r="F474" s="6">
        <v>0</v>
      </c>
      <c r="G474" s="6" t="s">
        <v>2989</v>
      </c>
      <c r="H474" s="6" t="s">
        <v>2989</v>
      </c>
      <c r="I474" s="6"/>
      <c r="J474" s="6"/>
      <c r="K474" s="6"/>
      <c r="L474" s="6"/>
      <c r="M474" s="6"/>
      <c r="N474" s="6"/>
      <c r="O474" s="6"/>
      <c r="P474">
        <f t="shared" si="21"/>
        <v>1</v>
      </c>
      <c r="Q474">
        <f>IF(AND(P474=1,OR(ISNUMBER(MATCH(H474,{"menace","othering","ridicule","blame","victim"},0)),ISNUMBER(MATCH(J474,{"menace","othering","ridicule","blame","victim"},0)),ISNUMBER(MATCH(L474,{"menace","othering","ridicule","blame","victim"},0)))),1,0)</f>
        <v>0</v>
      </c>
      <c r="R474">
        <f>IF(AND(P474=1,Q474=0,OR(ISNUMBER(MATCH(H474,{"wholesome","heroic"},0)),ISNUMBER(MATCH(J474,{"wholesome","heroic"},0)),ISNUMBER(MATCH(L474,{"wholesome","heroic"},0)))),1,0)</f>
        <v>0</v>
      </c>
      <c r="S474">
        <f t="shared" si="22"/>
        <v>1</v>
      </c>
      <c r="T474">
        <f t="shared" si="23"/>
        <v>0</v>
      </c>
      <c r="U474" t="s">
        <v>3049</v>
      </c>
      <c r="V474" t="s">
        <v>3090</v>
      </c>
    </row>
    <row r="475" spans="1:22" x14ac:dyDescent="0.25">
      <c r="A475" t="s">
        <v>3089</v>
      </c>
      <c r="B475">
        <v>5992</v>
      </c>
      <c r="C475" t="s">
        <v>40</v>
      </c>
      <c r="D475" t="s">
        <v>1755</v>
      </c>
      <c r="E475" s="4">
        <v>45413</v>
      </c>
      <c r="F475" s="6">
        <v>0</v>
      </c>
      <c r="G475" s="6" t="s">
        <v>2991</v>
      </c>
      <c r="H475" s="6" t="s">
        <v>2989</v>
      </c>
      <c r="I475" s="6"/>
      <c r="J475" s="6"/>
      <c r="K475" s="6"/>
      <c r="L475" s="6"/>
      <c r="M475" s="6" t="s">
        <v>3046</v>
      </c>
      <c r="N475" s="6"/>
      <c r="O475" s="6"/>
      <c r="P475">
        <f t="shared" si="21"/>
        <v>1</v>
      </c>
      <c r="Q475">
        <f>IF(AND(P475=1,OR(ISNUMBER(MATCH(H475,{"menace","othering","ridicule","blame","victim"},0)),ISNUMBER(MATCH(J475,{"menace","othering","ridicule","blame","victim"},0)),ISNUMBER(MATCH(L475,{"menace","othering","ridicule","blame","victim"},0)))),1,0)</f>
        <v>0</v>
      </c>
      <c r="R475">
        <f>IF(AND(P475=1,Q475=0,OR(ISNUMBER(MATCH(H475,{"wholesome","heroic"},0)),ISNUMBER(MATCH(J475,{"wholesome","heroic"},0)),ISNUMBER(MATCH(L475,{"wholesome","heroic"},0)))),1,0)</f>
        <v>0</v>
      </c>
      <c r="S475">
        <f t="shared" si="22"/>
        <v>1</v>
      </c>
      <c r="T475">
        <f t="shared" si="23"/>
        <v>0</v>
      </c>
      <c r="U475" t="s">
        <v>3053</v>
      </c>
    </row>
    <row r="476" spans="1:22" x14ac:dyDescent="0.25">
      <c r="A476" t="s">
        <v>3087</v>
      </c>
      <c r="B476">
        <v>6012</v>
      </c>
      <c r="C476" t="s">
        <v>40</v>
      </c>
      <c r="D476" t="s">
        <v>1755</v>
      </c>
      <c r="E476" s="4">
        <v>45415</v>
      </c>
      <c r="F476" s="6">
        <v>1</v>
      </c>
      <c r="G476" s="6"/>
      <c r="H476" s="6"/>
      <c r="I476" s="6"/>
      <c r="J476" s="6"/>
      <c r="K476" s="6"/>
      <c r="L476" s="6"/>
      <c r="M476" s="6"/>
      <c r="N476" s="6"/>
      <c r="O476" s="6"/>
      <c r="P476">
        <f t="shared" si="21"/>
        <v>0</v>
      </c>
      <c r="Q476">
        <f>IF(AND(P476=1,OR(ISNUMBER(MATCH(H476,{"menace","othering","ridicule","blame","victim"},0)),ISNUMBER(MATCH(J476,{"menace","othering","ridicule","blame","victim"},0)),ISNUMBER(MATCH(L476,{"menace","othering","ridicule","blame","victim"},0)))),1,0)</f>
        <v>0</v>
      </c>
      <c r="R476">
        <f>IF(AND(P476=1,Q476=0,OR(ISNUMBER(MATCH(H476,{"wholesome","heroic"},0)),ISNUMBER(MATCH(J476,{"wholesome","heroic"},0)),ISNUMBER(MATCH(L476,{"wholesome","heroic"},0)))),1,0)</f>
        <v>0</v>
      </c>
      <c r="S476">
        <f t="shared" si="22"/>
        <v>0</v>
      </c>
      <c r="T476">
        <f t="shared" si="23"/>
        <v>0</v>
      </c>
      <c r="U476" t="s">
        <v>3053</v>
      </c>
    </row>
    <row r="477" spans="1:22" x14ac:dyDescent="0.25">
      <c r="A477" t="s">
        <v>3085</v>
      </c>
      <c r="B477">
        <v>6028</v>
      </c>
      <c r="C477" t="s">
        <v>40</v>
      </c>
      <c r="D477" t="s">
        <v>1755</v>
      </c>
      <c r="E477" s="4">
        <v>45421</v>
      </c>
      <c r="F477" s="6">
        <v>0</v>
      </c>
      <c r="G477" s="6" t="s">
        <v>2989</v>
      </c>
      <c r="H477" s="6" t="s">
        <v>2989</v>
      </c>
      <c r="I477" s="6"/>
      <c r="J477" s="6"/>
      <c r="K477" s="6"/>
      <c r="L477" s="6"/>
      <c r="M477" s="6"/>
      <c r="N477" s="6"/>
      <c r="O477" s="6"/>
      <c r="P477">
        <f t="shared" si="21"/>
        <v>1</v>
      </c>
      <c r="Q477">
        <f>IF(AND(P477=1,OR(ISNUMBER(MATCH(H477,{"menace","othering","ridicule","blame","victim"},0)),ISNUMBER(MATCH(J477,{"menace","othering","ridicule","blame","victim"},0)),ISNUMBER(MATCH(L477,{"menace","othering","ridicule","blame","victim"},0)))),1,0)</f>
        <v>0</v>
      </c>
      <c r="R477">
        <f>IF(AND(P477=1,Q477=0,OR(ISNUMBER(MATCH(H477,{"wholesome","heroic"},0)),ISNUMBER(MATCH(J477,{"wholesome","heroic"},0)),ISNUMBER(MATCH(L477,{"wholesome","heroic"},0)))),1,0)</f>
        <v>0</v>
      </c>
      <c r="S477">
        <f t="shared" si="22"/>
        <v>1</v>
      </c>
      <c r="T477">
        <f t="shared" si="23"/>
        <v>0</v>
      </c>
      <c r="U477" t="s">
        <v>3049</v>
      </c>
      <c r="V477" t="s">
        <v>3084</v>
      </c>
    </row>
    <row r="478" spans="1:22" x14ac:dyDescent="0.25">
      <c r="A478" t="s">
        <v>3083</v>
      </c>
      <c r="B478">
        <v>6032</v>
      </c>
      <c r="C478" t="s">
        <v>40</v>
      </c>
      <c r="D478" t="s">
        <v>1755</v>
      </c>
      <c r="E478" s="4">
        <v>45421</v>
      </c>
      <c r="F478" s="6">
        <v>1</v>
      </c>
      <c r="G478" s="6"/>
      <c r="H478" s="6"/>
      <c r="I478" s="6"/>
      <c r="J478" s="6"/>
      <c r="K478" s="6"/>
      <c r="L478" s="6"/>
      <c r="M478" s="6"/>
      <c r="N478" s="6"/>
      <c r="O478" s="6"/>
      <c r="P478">
        <f t="shared" si="21"/>
        <v>0</v>
      </c>
      <c r="Q478">
        <f>IF(AND(P478=1,OR(ISNUMBER(MATCH(H478,{"menace","othering","ridicule","blame","victim"},0)),ISNUMBER(MATCH(J478,{"menace","othering","ridicule","blame","victim"},0)),ISNUMBER(MATCH(L478,{"menace","othering","ridicule","blame","victim"},0)))),1,0)</f>
        <v>0</v>
      </c>
      <c r="R478">
        <f>IF(AND(P478=1,Q478=0,OR(ISNUMBER(MATCH(H478,{"wholesome","heroic"},0)),ISNUMBER(MATCH(J478,{"wholesome","heroic"},0)),ISNUMBER(MATCH(L478,{"wholesome","heroic"},0)))),1,0)</f>
        <v>0</v>
      </c>
      <c r="S478">
        <f t="shared" si="22"/>
        <v>0</v>
      </c>
      <c r="T478">
        <f t="shared" si="23"/>
        <v>0</v>
      </c>
      <c r="U478" t="s">
        <v>3053</v>
      </c>
    </row>
    <row r="479" spans="1:22" x14ac:dyDescent="0.25">
      <c r="A479" t="s">
        <v>3790</v>
      </c>
      <c r="B479">
        <v>6063</v>
      </c>
      <c r="C479" t="s">
        <v>40</v>
      </c>
      <c r="D479" t="s">
        <v>1755</v>
      </c>
      <c r="E479" s="4">
        <v>45435</v>
      </c>
      <c r="F479" s="6">
        <v>0</v>
      </c>
      <c r="G479" s="6" t="s">
        <v>2997</v>
      </c>
      <c r="H479" s="6" t="s">
        <v>2989</v>
      </c>
      <c r="I479" s="6"/>
      <c r="J479" s="6"/>
      <c r="K479" s="6"/>
      <c r="L479" s="6"/>
      <c r="M479" s="6" t="s">
        <v>3046</v>
      </c>
      <c r="N479" s="6"/>
      <c r="O479" s="6"/>
      <c r="P479">
        <f t="shared" si="21"/>
        <v>1</v>
      </c>
      <c r="Q479">
        <f>IF(AND(P479=1,OR(ISNUMBER(MATCH(H479,{"menace","othering","ridicule","blame","victim"},0)),ISNUMBER(MATCH(J479,{"menace","othering","ridicule","blame","victim"},0)),ISNUMBER(MATCH(L479,{"menace","othering","ridicule","blame","victim"},0)))),1,0)</f>
        <v>0</v>
      </c>
      <c r="R479">
        <f>IF(AND(P479=1,Q479=0,OR(ISNUMBER(MATCH(H479,{"wholesome","heroic"},0)),ISNUMBER(MATCH(J479,{"wholesome","heroic"},0)),ISNUMBER(MATCH(L479,{"wholesome","heroic"},0)))),1,0)</f>
        <v>0</v>
      </c>
      <c r="S479">
        <f t="shared" si="22"/>
        <v>1</v>
      </c>
      <c r="T479">
        <f t="shared" si="23"/>
        <v>0</v>
      </c>
      <c r="U479" t="s">
        <v>3049</v>
      </c>
      <c r="V479" t="s">
        <v>3081</v>
      </c>
    </row>
    <row r="480" spans="1:22" x14ac:dyDescent="0.25">
      <c r="A480" t="s">
        <v>3791</v>
      </c>
      <c r="B480">
        <v>6085</v>
      </c>
      <c r="C480" t="s">
        <v>40</v>
      </c>
      <c r="D480" t="s">
        <v>1755</v>
      </c>
      <c r="E480" s="4">
        <v>45442</v>
      </c>
      <c r="F480" s="6">
        <v>0</v>
      </c>
      <c r="G480" s="6" t="s">
        <v>2986</v>
      </c>
      <c r="H480" s="6" t="s">
        <v>2996</v>
      </c>
      <c r="I480" s="6" t="s">
        <v>2986</v>
      </c>
      <c r="J480" s="6" t="s">
        <v>2989</v>
      </c>
      <c r="K480" s="6"/>
      <c r="L480" s="6"/>
      <c r="M480" s="6" t="s">
        <v>3046</v>
      </c>
      <c r="N480" s="6" t="s">
        <v>3046</v>
      </c>
      <c r="O480" s="6"/>
      <c r="P480">
        <f t="shared" si="21"/>
        <v>1</v>
      </c>
      <c r="Q480">
        <f>IF(AND(P480=1,OR(ISNUMBER(MATCH(H480,{"menace","othering","ridicule","blame","victim"},0)),ISNUMBER(MATCH(J480,{"menace","othering","ridicule","blame","victim"},0)),ISNUMBER(MATCH(L480,{"menace","othering","ridicule","blame","victim"},0)))),1,0)</f>
        <v>1</v>
      </c>
      <c r="R480">
        <f>IF(AND(P480=1,Q480=0,OR(ISNUMBER(MATCH(H480,{"wholesome","heroic"},0)),ISNUMBER(MATCH(J480,{"wholesome","heroic"},0)),ISNUMBER(MATCH(L480,{"wholesome","heroic"},0)))),1,0)</f>
        <v>0</v>
      </c>
      <c r="S480">
        <f t="shared" si="22"/>
        <v>0</v>
      </c>
      <c r="T480">
        <f t="shared" si="23"/>
        <v>0</v>
      </c>
      <c r="U480" t="s">
        <v>3049</v>
      </c>
      <c r="V480" t="s">
        <v>3086</v>
      </c>
    </row>
    <row r="481" spans="1:22" x14ac:dyDescent="0.25">
      <c r="A481" t="s">
        <v>3082</v>
      </c>
      <c r="B481">
        <v>6087</v>
      </c>
      <c r="C481" t="s">
        <v>40</v>
      </c>
      <c r="D481" t="s">
        <v>1755</v>
      </c>
      <c r="E481" s="4">
        <v>45442</v>
      </c>
      <c r="F481" s="6">
        <v>0</v>
      </c>
      <c r="G481" s="6" t="s">
        <v>2989</v>
      </c>
      <c r="H481" s="6" t="s">
        <v>2989</v>
      </c>
      <c r="I481" s="6"/>
      <c r="J481" s="6"/>
      <c r="K481" s="6"/>
      <c r="L481" s="6"/>
      <c r="M481" s="6"/>
      <c r="N481" s="6"/>
      <c r="O481" s="6"/>
      <c r="P481">
        <f t="shared" si="21"/>
        <v>1</v>
      </c>
      <c r="Q481">
        <f>IF(AND(P481=1,OR(ISNUMBER(MATCH(H481,{"menace","othering","ridicule","blame","victim"},0)),ISNUMBER(MATCH(J481,{"menace","othering","ridicule","blame","victim"},0)),ISNUMBER(MATCH(L481,{"menace","othering","ridicule","blame","victim"},0)))),1,0)</f>
        <v>0</v>
      </c>
      <c r="R481">
        <f>IF(AND(P481=1,Q481=0,OR(ISNUMBER(MATCH(H481,{"wholesome","heroic"},0)),ISNUMBER(MATCH(J481,{"wholesome","heroic"},0)),ISNUMBER(MATCH(L481,{"wholesome","heroic"},0)))),1,0)</f>
        <v>0</v>
      </c>
      <c r="S481">
        <f t="shared" si="22"/>
        <v>1</v>
      </c>
      <c r="T481">
        <f t="shared" si="23"/>
        <v>0</v>
      </c>
      <c r="U481" t="s">
        <v>3053</v>
      </c>
    </row>
    <row r="482" spans="1:22" x14ac:dyDescent="0.25">
      <c r="A482" t="s">
        <v>3080</v>
      </c>
      <c r="B482">
        <v>6100</v>
      </c>
      <c r="C482" t="s">
        <v>40</v>
      </c>
      <c r="D482" t="s">
        <v>1755</v>
      </c>
      <c r="E482" s="4">
        <v>45452</v>
      </c>
      <c r="F482" s="6">
        <v>1</v>
      </c>
      <c r="G482" s="6"/>
      <c r="H482" s="6"/>
      <c r="I482" s="6"/>
      <c r="J482" s="6"/>
      <c r="K482" s="6"/>
      <c r="L482" s="6"/>
      <c r="M482" s="6"/>
      <c r="N482" s="6"/>
      <c r="O482" s="6"/>
      <c r="P482">
        <f t="shared" si="21"/>
        <v>0</v>
      </c>
      <c r="Q482">
        <f>IF(AND(P482=1,OR(ISNUMBER(MATCH(H482,{"menace","othering","ridicule","blame","victim"},0)),ISNUMBER(MATCH(J482,{"menace","othering","ridicule","blame","victim"},0)),ISNUMBER(MATCH(L482,{"menace","othering","ridicule","blame","victim"},0)))),1,0)</f>
        <v>0</v>
      </c>
      <c r="R482">
        <f>IF(AND(P482=1,Q482=0,OR(ISNUMBER(MATCH(H482,{"wholesome","heroic"},0)),ISNUMBER(MATCH(J482,{"wholesome","heroic"},0)),ISNUMBER(MATCH(L482,{"wholesome","heroic"},0)))),1,0)</f>
        <v>0</v>
      </c>
      <c r="S482">
        <f t="shared" si="22"/>
        <v>0</v>
      </c>
      <c r="T482">
        <f t="shared" si="23"/>
        <v>0</v>
      </c>
      <c r="U482" t="s">
        <v>3053</v>
      </c>
    </row>
    <row r="483" spans="1:22" x14ac:dyDescent="0.25">
      <c r="A483" t="s">
        <v>3792</v>
      </c>
      <c r="B483">
        <v>6113</v>
      </c>
      <c r="C483" t="s">
        <v>40</v>
      </c>
      <c r="D483" t="s">
        <v>1755</v>
      </c>
      <c r="E483" s="4">
        <v>45456</v>
      </c>
      <c r="F483" s="6">
        <v>0</v>
      </c>
      <c r="G483" s="6" t="s">
        <v>2988</v>
      </c>
      <c r="H483" s="6" t="s">
        <v>2987</v>
      </c>
      <c r="I483" s="6" t="s">
        <v>2997</v>
      </c>
      <c r="J483" s="6" t="s">
        <v>2993</v>
      </c>
      <c r="K483" s="6"/>
      <c r="L483" s="6"/>
      <c r="M483" s="6" t="s">
        <v>3046</v>
      </c>
      <c r="N483" s="6" t="s">
        <v>3046</v>
      </c>
      <c r="O483" s="6"/>
      <c r="P483">
        <f t="shared" si="21"/>
        <v>1</v>
      </c>
      <c r="Q483">
        <f>IF(AND(P483=1,OR(ISNUMBER(MATCH(H483,{"menace","othering","ridicule","blame","victim"},0)),ISNUMBER(MATCH(J483,{"menace","othering","ridicule","blame","victim"},0)),ISNUMBER(MATCH(L483,{"menace","othering","ridicule","blame","victim"},0)))),1,0)</f>
        <v>1</v>
      </c>
      <c r="R483">
        <f>IF(AND(P483=1,Q483=0,OR(ISNUMBER(MATCH(H483,{"wholesome","heroic"},0)),ISNUMBER(MATCH(J483,{"wholesome","heroic"},0)),ISNUMBER(MATCH(L483,{"wholesome","heroic"},0)))),1,0)</f>
        <v>0</v>
      </c>
      <c r="S483">
        <f t="shared" si="22"/>
        <v>0</v>
      </c>
      <c r="T483">
        <f t="shared" si="23"/>
        <v>0</v>
      </c>
      <c r="U483" t="s">
        <v>3049</v>
      </c>
      <c r="V483" t="s">
        <v>3088</v>
      </c>
    </row>
    <row r="484" spans="1:22" x14ac:dyDescent="0.25">
      <c r="A484" t="s">
        <v>3079</v>
      </c>
      <c r="B484">
        <v>6120</v>
      </c>
      <c r="C484" t="s">
        <v>40</v>
      </c>
      <c r="D484" t="s">
        <v>1755</v>
      </c>
      <c r="E484" s="4">
        <v>45457</v>
      </c>
      <c r="F484" s="6">
        <v>0</v>
      </c>
      <c r="G484" s="6" t="s">
        <v>2995</v>
      </c>
      <c r="H484" s="6" t="s">
        <v>2989</v>
      </c>
      <c r="I484" s="6"/>
      <c r="J484" s="6"/>
      <c r="K484" s="6"/>
      <c r="L484" s="6"/>
      <c r="M484" s="6" t="s">
        <v>3046</v>
      </c>
      <c r="N484" s="6"/>
      <c r="O484" s="6"/>
      <c r="P484">
        <f t="shared" si="21"/>
        <v>1</v>
      </c>
      <c r="Q484">
        <f>IF(AND(P484=1,OR(ISNUMBER(MATCH(H484,{"menace","othering","ridicule","blame","victim"},0)),ISNUMBER(MATCH(J484,{"menace","othering","ridicule","blame","victim"},0)),ISNUMBER(MATCH(L484,{"menace","othering","ridicule","blame","victim"},0)))),1,0)</f>
        <v>0</v>
      </c>
      <c r="R484">
        <f>IF(AND(P484=1,Q484=0,OR(ISNUMBER(MATCH(H484,{"wholesome","heroic"},0)),ISNUMBER(MATCH(J484,{"wholesome","heroic"},0)),ISNUMBER(MATCH(L484,{"wholesome","heroic"},0)))),1,0)</f>
        <v>0</v>
      </c>
      <c r="S484">
        <f t="shared" si="22"/>
        <v>1</v>
      </c>
      <c r="T484">
        <f t="shared" si="23"/>
        <v>1</v>
      </c>
      <c r="U484" t="s">
        <v>3053</v>
      </c>
    </row>
    <row r="485" spans="1:22" x14ac:dyDescent="0.25">
      <c r="A485" t="s">
        <v>3078</v>
      </c>
      <c r="B485">
        <v>6188</v>
      </c>
      <c r="C485" t="s">
        <v>40</v>
      </c>
      <c r="D485" t="s">
        <v>1755</v>
      </c>
      <c r="E485" s="4">
        <v>45475</v>
      </c>
      <c r="F485" s="6">
        <v>0</v>
      </c>
      <c r="G485" s="6" t="s">
        <v>2995</v>
      </c>
      <c r="H485" s="6" t="s">
        <v>2994</v>
      </c>
      <c r="I485" s="6" t="s">
        <v>2988</v>
      </c>
      <c r="J485" s="6" t="s">
        <v>2990</v>
      </c>
      <c r="K485" s="6"/>
      <c r="L485" s="6"/>
      <c r="M485" s="6" t="s">
        <v>3046</v>
      </c>
      <c r="N485" s="6" t="s">
        <v>3046</v>
      </c>
      <c r="O485" s="6"/>
      <c r="P485">
        <f t="shared" si="21"/>
        <v>1</v>
      </c>
      <c r="Q485">
        <f>IF(AND(P485=1,OR(ISNUMBER(MATCH(H485,{"menace","othering","ridicule","blame","victim"},0)),ISNUMBER(MATCH(J485,{"menace","othering","ridicule","blame","victim"},0)),ISNUMBER(MATCH(L485,{"menace","othering","ridicule","blame","victim"},0)))),1,0)</f>
        <v>0</v>
      </c>
      <c r="R485">
        <f>IF(AND(P485=1,Q485=0,OR(ISNUMBER(MATCH(H485,{"wholesome","heroic"},0)),ISNUMBER(MATCH(J485,{"wholesome","heroic"},0)),ISNUMBER(MATCH(L485,{"wholesome","heroic"},0)))),1,0)</f>
        <v>1</v>
      </c>
      <c r="S485">
        <f t="shared" si="22"/>
        <v>0</v>
      </c>
      <c r="T485">
        <f t="shared" si="23"/>
        <v>1</v>
      </c>
      <c r="U485" t="s">
        <v>3053</v>
      </c>
    </row>
    <row r="486" spans="1:22" x14ac:dyDescent="0.25">
      <c r="A486" t="s">
        <v>3819</v>
      </c>
      <c r="B486">
        <v>2704</v>
      </c>
      <c r="C486" t="s">
        <v>22</v>
      </c>
      <c r="D486" t="s">
        <v>1038</v>
      </c>
      <c r="E486" s="4">
        <v>45444</v>
      </c>
      <c r="F486" s="6">
        <v>0</v>
      </c>
      <c r="G486" s="6" t="s">
        <v>2988</v>
      </c>
      <c r="H486" s="6" t="s">
        <v>2990</v>
      </c>
      <c r="K486" s="6"/>
      <c r="L486" s="6"/>
      <c r="M486" s="6" t="s">
        <v>3046</v>
      </c>
      <c r="N486" s="6"/>
      <c r="O486" s="6"/>
      <c r="P486">
        <f t="shared" si="21"/>
        <v>1</v>
      </c>
      <c r="Q486">
        <f>IF(AND(P486=1,OR(ISNUMBER(MATCH(H486,{"menace","othering","ridicule","blame","victim"},0)),ISNUMBER(MATCH(J486,{"menace","othering","ridicule","blame","victim"},0)),ISNUMBER(MATCH(L486,{"menace","othering","ridicule","blame","victim"},0)))),1,0)</f>
        <v>0</v>
      </c>
      <c r="R486">
        <f>IF(AND(P486=1,Q486=0,OR(ISNUMBER(MATCH(H486,{"wholesome","heroic"},0)),ISNUMBER(MATCH(J486,{"wholesome","heroic"},0)),ISNUMBER(MATCH(L486,{"wholesome","heroic"},0)))),1,0)</f>
        <v>1</v>
      </c>
      <c r="S486">
        <f t="shared" si="22"/>
        <v>0</v>
      </c>
      <c r="T486">
        <f t="shared" si="23"/>
        <v>0</v>
      </c>
      <c r="U486" t="s">
        <v>3049</v>
      </c>
      <c r="V486" t="s">
        <v>3820</v>
      </c>
    </row>
    <row r="487" spans="1:22" x14ac:dyDescent="0.25">
      <c r="A487" t="s">
        <v>3821</v>
      </c>
      <c r="B487">
        <v>6040</v>
      </c>
      <c r="C487" t="s">
        <v>40</v>
      </c>
      <c r="D487" t="s">
        <v>1755</v>
      </c>
      <c r="E487" s="4">
        <v>45425</v>
      </c>
      <c r="F487" s="6">
        <v>0</v>
      </c>
      <c r="G487" s="6" t="s">
        <v>2988</v>
      </c>
      <c r="H487" s="6" t="s">
        <v>2987</v>
      </c>
      <c r="I487" s="6" t="s">
        <v>2986</v>
      </c>
      <c r="J487" s="6" t="s">
        <v>2985</v>
      </c>
      <c r="K487" s="6"/>
      <c r="L487" s="6"/>
      <c r="M487" s="6" t="s">
        <v>3046</v>
      </c>
      <c r="N487" s="6" t="s">
        <v>3046</v>
      </c>
      <c r="O487" s="6"/>
      <c r="P487">
        <f t="shared" si="21"/>
        <v>1</v>
      </c>
      <c r="Q487">
        <f>IF(AND(P487=1,OR(ISNUMBER(MATCH(H487,{"menace","othering","ridicule","blame","victim"},0)),ISNUMBER(MATCH(J487,{"menace","othering","ridicule","blame","victim"},0)),ISNUMBER(MATCH(L487,{"menace","othering","ridicule","blame","victim"},0)))),1,0)</f>
        <v>1</v>
      </c>
      <c r="R487">
        <f>IF(AND(P487=1,Q487=0,OR(ISNUMBER(MATCH(H487,{"wholesome","heroic"},0)),ISNUMBER(MATCH(J487,{"wholesome","heroic"},0)),ISNUMBER(MATCH(L487,{"wholesome","heroic"},0)))),1,0)</f>
        <v>0</v>
      </c>
      <c r="S487">
        <f t="shared" si="22"/>
        <v>0</v>
      </c>
      <c r="T487">
        <f t="shared" si="23"/>
        <v>0</v>
      </c>
      <c r="U487" t="s">
        <v>3049</v>
      </c>
      <c r="V487" t="s">
        <v>3822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6DA2-83A0-4638-90EE-DA5A76730BD8}">
  <sheetPr>
    <tabColor rgb="FF375623"/>
  </sheetPr>
  <dimension ref="A1:AE52"/>
  <sheetViews>
    <sheetView showGridLines="0" zoomScaleNormal="100" workbookViewId="0">
      <pane ySplit="8" topLeftCell="A69" activePane="bottomLeft" state="frozen"/>
      <selection pane="bottomLeft" activeCell="A9" sqref="A9"/>
    </sheetView>
  </sheetViews>
  <sheetFormatPr defaultColWidth="8.7109375" defaultRowHeight="15" outlineLevelCol="1" x14ac:dyDescent="0.25"/>
  <cols>
    <col min="1" max="1" width="36.140625" style="3" customWidth="1"/>
    <col min="2" max="2" width="15.28515625" style="3" customWidth="1"/>
    <col min="3" max="22" width="11" style="3" customWidth="1"/>
    <col min="23" max="23" width="33.85546875" customWidth="1" outlineLevel="1"/>
    <col min="24" max="24" width="18.85546875" style="3" customWidth="1" outlineLevel="1"/>
    <col min="25" max="25" width="48" customWidth="1" outlineLevel="1"/>
    <col min="26" max="26" width="17.5703125" style="3" customWidth="1" outlineLevel="1"/>
    <col min="27" max="27" width="20" style="3" customWidth="1" outlineLevel="1"/>
    <col min="28" max="28" width="8.7109375" style="3" outlineLevel="1"/>
    <col min="29" max="29" width="12.85546875" style="3" customWidth="1" outlineLevel="1"/>
    <col min="30" max="30" width="9.42578125" style="3" customWidth="1" outlineLevel="1"/>
    <col min="31" max="31" width="8.7109375" style="3" outlineLevel="1"/>
    <col min="32" max="16384" width="8.7109375" style="3"/>
  </cols>
  <sheetData>
    <row r="1" spans="1:31" ht="18" customHeight="1" x14ac:dyDescent="0.25">
      <c r="A1" s="123" t="s">
        <v>3669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31" ht="15.6" customHeight="1" x14ac:dyDescent="0.25">
      <c r="A2" s="106" t="s">
        <v>3874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</row>
    <row r="3" spans="1:31" ht="15.6" customHeight="1" x14ac:dyDescent="0.25">
      <c r="A3" s="106" t="s">
        <v>3823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</row>
    <row r="4" spans="1:31" ht="15.6" customHeight="1" x14ac:dyDescent="0.25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</row>
    <row r="5" spans="1:31" x14ac:dyDescent="0.2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31" x14ac:dyDescent="0.25">
      <c r="A6" s="37" t="s">
        <v>3670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 t="s">
        <v>3824</v>
      </c>
      <c r="X6" s="57"/>
      <c r="Y6" s="58"/>
      <c r="Z6" s="57"/>
      <c r="AA6" s="57"/>
      <c r="AB6" s="57"/>
      <c r="AC6" s="57"/>
      <c r="AD6" s="57"/>
      <c r="AE6" s="57"/>
    </row>
    <row r="7" spans="1:31" x14ac:dyDescent="0.25">
      <c r="A7" s="59"/>
      <c r="B7" s="59"/>
      <c r="C7" s="124" t="s">
        <v>3671</v>
      </c>
      <c r="D7" s="124"/>
      <c r="E7" s="124"/>
      <c r="F7" s="124" t="s">
        <v>3875</v>
      </c>
      <c r="G7" s="124"/>
      <c r="H7" s="124"/>
      <c r="I7" s="124"/>
      <c r="J7" s="124"/>
      <c r="K7" s="124"/>
      <c r="L7" s="124"/>
      <c r="M7" s="124" t="s">
        <v>3651</v>
      </c>
      <c r="N7" s="124"/>
      <c r="O7" s="124"/>
      <c r="P7" s="124"/>
      <c r="Q7" s="124"/>
      <c r="R7" s="124"/>
      <c r="S7" s="124"/>
      <c r="T7" s="124"/>
      <c r="U7" s="124"/>
      <c r="V7" s="124"/>
      <c r="W7" s="58"/>
      <c r="X7" s="57"/>
      <c r="Y7" s="58"/>
      <c r="Z7" s="57"/>
      <c r="AA7" s="57"/>
      <c r="AB7" s="57"/>
      <c r="AC7" s="57"/>
      <c r="AD7" s="57"/>
      <c r="AE7" s="57"/>
    </row>
    <row r="8" spans="1:31" ht="42" customHeight="1" x14ac:dyDescent="0.25">
      <c r="A8" s="60" t="s">
        <v>3045</v>
      </c>
      <c r="B8" s="60" t="s">
        <v>3640</v>
      </c>
      <c r="C8" s="61" t="s">
        <v>3664</v>
      </c>
      <c r="D8" s="61" t="s">
        <v>3665</v>
      </c>
      <c r="E8" s="61" t="s">
        <v>44</v>
      </c>
      <c r="F8" s="61" t="s">
        <v>3876</v>
      </c>
      <c r="G8" s="61" t="s">
        <v>3877</v>
      </c>
      <c r="H8" s="61" t="s">
        <v>3878</v>
      </c>
      <c r="I8" s="61" t="s">
        <v>3879</v>
      </c>
      <c r="J8" s="61" t="s">
        <v>3880</v>
      </c>
      <c r="K8" s="61"/>
      <c r="L8" s="61" t="s">
        <v>3663</v>
      </c>
      <c r="M8" s="61" t="s">
        <v>3664</v>
      </c>
      <c r="N8" s="61" t="s">
        <v>3665</v>
      </c>
      <c r="O8" s="61" t="s">
        <v>44</v>
      </c>
      <c r="P8" s="61" t="s">
        <v>3666</v>
      </c>
      <c r="Q8" s="61" t="s">
        <v>3667</v>
      </c>
      <c r="R8" s="61" t="s">
        <v>3668</v>
      </c>
      <c r="S8" s="61" t="s">
        <v>3638</v>
      </c>
      <c r="T8" s="61" t="s">
        <v>3639</v>
      </c>
      <c r="U8" s="61" t="s">
        <v>3662</v>
      </c>
      <c r="V8" s="61" t="s">
        <v>3663</v>
      </c>
      <c r="W8" s="62" t="s">
        <v>3648</v>
      </c>
      <c r="X8" s="26"/>
      <c r="Y8" s="8"/>
      <c r="Z8" s="26"/>
      <c r="AA8" s="26"/>
      <c r="AB8" s="26"/>
    </row>
    <row r="9" spans="1:31" ht="15" customHeight="1" x14ac:dyDescent="0.25">
      <c r="A9" s="55" t="s">
        <v>5</v>
      </c>
      <c r="B9" s="55" t="s">
        <v>3624</v>
      </c>
      <c r="C9" s="46">
        <v>311</v>
      </c>
      <c r="D9" s="46">
        <v>117</v>
      </c>
      <c r="E9" s="46">
        <f t="shared" ref="E9:E27" si="0">C9+D9</f>
        <v>428</v>
      </c>
      <c r="F9" s="46">
        <v>0</v>
      </c>
      <c r="G9" s="46">
        <v>0</v>
      </c>
      <c r="H9" s="46">
        <f t="shared" ref="H9:H27" si="1">F9+G9</f>
        <v>0</v>
      </c>
      <c r="I9" s="46">
        <v>0</v>
      </c>
      <c r="J9" s="46">
        <f t="shared" ref="J9:J27" si="2">H9-I9</f>
        <v>0</v>
      </c>
      <c r="K9" s="63"/>
      <c r="L9" s="63">
        <f t="shared" ref="L9:L28" si="3">H9/H$28</f>
        <v>0</v>
      </c>
      <c r="M9" s="46">
        <v>311</v>
      </c>
      <c r="N9" s="46">
        <v>117</v>
      </c>
      <c r="O9" s="46">
        <f t="shared" ref="O9:O27" si="4">COUNTIF(acct,$A9)</f>
        <v>428</v>
      </c>
      <c r="P9" s="46">
        <v>0</v>
      </c>
      <c r="Q9" s="46">
        <v>0</v>
      </c>
      <c r="R9" s="46">
        <f t="shared" ref="R9:R27" si="5">S9+T9</f>
        <v>0</v>
      </c>
      <c r="S9" s="46">
        <f t="shared" ref="S9:S27" si="6">COUNTIFS(acct,$A9,ai_st,"ai_branding")</f>
        <v>0</v>
      </c>
      <c r="T9" s="46">
        <f t="shared" ref="T9:T27" si="7">COUNTIFS(acct,$A9,ai_full,1)</f>
        <v>0</v>
      </c>
      <c r="U9" s="63">
        <f t="shared" ref="U9:U28" si="8">IFERROR(R9/O9,0)</f>
        <v>0</v>
      </c>
      <c r="V9" s="63">
        <f t="shared" ref="V9:V28" si="9">R9/R$28</f>
        <v>0</v>
      </c>
      <c r="W9" s="64" t="s">
        <v>3045</v>
      </c>
      <c r="X9" s="65" t="s">
        <v>3650</v>
      </c>
      <c r="Y9" s="65" t="s">
        <v>3647</v>
      </c>
      <c r="Z9" s="65" t="s">
        <v>3646</v>
      </c>
      <c r="AA9" s="65" t="s">
        <v>3645</v>
      </c>
      <c r="AB9" s="65" t="s">
        <v>3644</v>
      </c>
    </row>
    <row r="10" spans="1:31" ht="15" customHeight="1" x14ac:dyDescent="0.25">
      <c r="A10" s="55" t="s">
        <v>8</v>
      </c>
      <c r="B10" s="55" t="s">
        <v>3637</v>
      </c>
      <c r="C10" s="46">
        <v>28</v>
      </c>
      <c r="D10" s="46">
        <v>2</v>
      </c>
      <c r="E10" s="46">
        <f t="shared" si="0"/>
        <v>30</v>
      </c>
      <c r="F10" s="46">
        <v>0</v>
      </c>
      <c r="G10" s="46">
        <v>0</v>
      </c>
      <c r="H10" s="46">
        <f t="shared" si="1"/>
        <v>0</v>
      </c>
      <c r="I10" s="46">
        <v>0</v>
      </c>
      <c r="J10" s="46">
        <f t="shared" si="2"/>
        <v>0</v>
      </c>
      <c r="K10" s="63"/>
      <c r="L10" s="63">
        <f t="shared" si="3"/>
        <v>0</v>
      </c>
      <c r="M10" s="46">
        <v>19</v>
      </c>
      <c r="N10" s="46">
        <v>2</v>
      </c>
      <c r="O10" s="46">
        <f t="shared" si="4"/>
        <v>21</v>
      </c>
      <c r="P10" s="46">
        <v>0</v>
      </c>
      <c r="Q10" s="46">
        <v>0</v>
      </c>
      <c r="R10" s="46">
        <f t="shared" si="5"/>
        <v>0</v>
      </c>
      <c r="S10" s="46">
        <f t="shared" si="6"/>
        <v>0</v>
      </c>
      <c r="T10" s="46">
        <f t="shared" si="7"/>
        <v>0</v>
      </c>
      <c r="U10" s="63">
        <f t="shared" si="8"/>
        <v>0</v>
      </c>
      <c r="V10" s="63">
        <f t="shared" si="9"/>
        <v>0</v>
      </c>
      <c r="W10" s="23" t="str">
        <f t="shared" ref="W10:W28" si="10">A9</f>
        <v>AU_onenationoz</v>
      </c>
      <c r="X10" s="44">
        <f t="shared" ref="X10:X28" si="11">O9</f>
        <v>428</v>
      </c>
      <c r="Y10" s="38">
        <f t="shared" ref="Y10:Y28" si="12">T9/O9</f>
        <v>0</v>
      </c>
      <c r="Z10" s="38">
        <f t="shared" ref="Z10:Z28" si="13">S9/O9</f>
        <v>0</v>
      </c>
      <c r="AA10" s="38">
        <f t="shared" ref="AA10:AA28" si="14">Y10+Z10</f>
        <v>0</v>
      </c>
      <c r="AB10" s="38">
        <f t="shared" ref="AB10:AB28" si="15">AA10-ROW()/1000000000</f>
        <v>-1E-8</v>
      </c>
    </row>
    <row r="11" spans="1:31" ht="15" customHeight="1" x14ac:dyDescent="0.25">
      <c r="A11" s="55" t="s">
        <v>12</v>
      </c>
      <c r="B11" s="55" t="s">
        <v>3637</v>
      </c>
      <c r="C11" s="46">
        <v>375</v>
      </c>
      <c r="D11" s="46">
        <v>88</v>
      </c>
      <c r="E11" s="46">
        <f t="shared" si="0"/>
        <v>463</v>
      </c>
      <c r="F11" s="46">
        <v>0</v>
      </c>
      <c r="G11" s="46">
        <v>0</v>
      </c>
      <c r="H11" s="46">
        <f t="shared" si="1"/>
        <v>0</v>
      </c>
      <c r="I11" s="46">
        <v>0</v>
      </c>
      <c r="J11" s="46">
        <f t="shared" si="2"/>
        <v>0</v>
      </c>
      <c r="K11" s="63"/>
      <c r="L11" s="63">
        <f t="shared" si="3"/>
        <v>0</v>
      </c>
      <c r="M11" s="46">
        <v>149</v>
      </c>
      <c r="N11" s="46">
        <v>88</v>
      </c>
      <c r="O11" s="46">
        <f t="shared" si="4"/>
        <v>237</v>
      </c>
      <c r="P11" s="46">
        <v>0</v>
      </c>
      <c r="Q11" s="46">
        <v>0</v>
      </c>
      <c r="R11" s="46">
        <f t="shared" si="5"/>
        <v>0</v>
      </c>
      <c r="S11" s="46">
        <f t="shared" si="6"/>
        <v>0</v>
      </c>
      <c r="T11" s="46">
        <f t="shared" si="7"/>
        <v>0</v>
      </c>
      <c r="U11" s="63">
        <f t="shared" si="8"/>
        <v>0</v>
      </c>
      <c r="V11" s="63">
        <f t="shared" si="9"/>
        <v>0</v>
      </c>
      <c r="W11" s="23" t="str">
        <f t="shared" si="10"/>
        <v>AU_senatorpaulinehanson</v>
      </c>
      <c r="X11" s="44">
        <f t="shared" si="11"/>
        <v>21</v>
      </c>
      <c r="Y11" s="38">
        <f t="shared" si="12"/>
        <v>0</v>
      </c>
      <c r="Z11" s="38">
        <f t="shared" si="13"/>
        <v>0</v>
      </c>
      <c r="AA11" s="38">
        <f t="shared" si="14"/>
        <v>0</v>
      </c>
      <c r="AB11" s="38">
        <f t="shared" si="15"/>
        <v>-1.0999999999999999E-8</v>
      </c>
    </row>
    <row r="12" spans="1:31" ht="15" customHeight="1" x14ac:dyDescent="0.25">
      <c r="A12" s="55" t="s">
        <v>10</v>
      </c>
      <c r="B12" s="55" t="s">
        <v>3624</v>
      </c>
      <c r="C12" s="46">
        <v>85</v>
      </c>
      <c r="D12" s="46">
        <v>119</v>
      </c>
      <c r="E12" s="46">
        <f t="shared" si="0"/>
        <v>204</v>
      </c>
      <c r="F12" s="46">
        <v>3</v>
      </c>
      <c r="G12" s="46">
        <v>0</v>
      </c>
      <c r="H12" s="46">
        <f t="shared" si="1"/>
        <v>3</v>
      </c>
      <c r="I12" s="46">
        <v>0</v>
      </c>
      <c r="J12" s="46">
        <f t="shared" si="2"/>
        <v>3</v>
      </c>
      <c r="K12" s="63"/>
      <c r="L12" s="63">
        <f t="shared" si="3"/>
        <v>1.0452961672473868E-2</v>
      </c>
      <c r="M12" s="46">
        <v>64</v>
      </c>
      <c r="N12" s="46">
        <v>119</v>
      </c>
      <c r="O12" s="46">
        <f t="shared" si="4"/>
        <v>183</v>
      </c>
      <c r="P12" s="46">
        <v>3</v>
      </c>
      <c r="Q12" s="46">
        <v>0</v>
      </c>
      <c r="R12" s="46">
        <f t="shared" si="5"/>
        <v>3</v>
      </c>
      <c r="S12" s="46">
        <f t="shared" si="6"/>
        <v>0</v>
      </c>
      <c r="T12" s="46">
        <f t="shared" si="7"/>
        <v>3</v>
      </c>
      <c r="U12" s="63">
        <f t="shared" si="8"/>
        <v>1.6393442622950821E-2</v>
      </c>
      <c r="V12" s="63">
        <f t="shared" si="9"/>
        <v>1.0452961672473868E-2</v>
      </c>
      <c r="W12" s="23" t="str">
        <f t="shared" si="10"/>
        <v>BE_EU-vangriekentom</v>
      </c>
      <c r="X12" s="44">
        <f t="shared" si="11"/>
        <v>237</v>
      </c>
      <c r="Y12" s="38">
        <f t="shared" si="12"/>
        <v>0</v>
      </c>
      <c r="Z12" s="38">
        <f t="shared" si="13"/>
        <v>0</v>
      </c>
      <c r="AA12" s="38">
        <f t="shared" si="14"/>
        <v>0</v>
      </c>
      <c r="AB12" s="38">
        <f t="shared" si="15"/>
        <v>-1.2E-8</v>
      </c>
    </row>
    <row r="13" spans="1:31" ht="15" customHeight="1" x14ac:dyDescent="0.25">
      <c r="A13" s="55" t="s">
        <v>14</v>
      </c>
      <c r="B13" s="55" t="s">
        <v>3624</v>
      </c>
      <c r="C13" s="46">
        <v>188</v>
      </c>
      <c r="D13" s="46">
        <v>10</v>
      </c>
      <c r="E13" s="46">
        <f t="shared" si="0"/>
        <v>198</v>
      </c>
      <c r="F13" s="46">
        <v>55</v>
      </c>
      <c r="G13" s="46">
        <v>1</v>
      </c>
      <c r="H13" s="46">
        <f t="shared" si="1"/>
        <v>56</v>
      </c>
      <c r="I13" s="46">
        <v>0</v>
      </c>
      <c r="J13" s="46">
        <f t="shared" si="2"/>
        <v>56</v>
      </c>
      <c r="K13" s="63"/>
      <c r="L13" s="63">
        <f t="shared" si="3"/>
        <v>0.1951219512195122</v>
      </c>
      <c r="M13" s="46">
        <v>175</v>
      </c>
      <c r="N13" s="46">
        <v>10</v>
      </c>
      <c r="O13" s="46">
        <f t="shared" si="4"/>
        <v>185</v>
      </c>
      <c r="P13" s="46">
        <v>55</v>
      </c>
      <c r="Q13" s="46">
        <v>1</v>
      </c>
      <c r="R13" s="46">
        <f t="shared" si="5"/>
        <v>56</v>
      </c>
      <c r="S13" s="46">
        <f t="shared" si="6"/>
        <v>0</v>
      </c>
      <c r="T13" s="46">
        <f t="shared" si="7"/>
        <v>56</v>
      </c>
      <c r="U13" s="63">
        <f t="shared" si="8"/>
        <v>0.30270270270270272</v>
      </c>
      <c r="V13" s="63">
        <f t="shared" si="9"/>
        <v>0.1951219512195122</v>
      </c>
      <c r="W13" s="23" t="str">
        <f t="shared" si="10"/>
        <v>BE_EU_vlaamsbelang</v>
      </c>
      <c r="X13" s="44">
        <f t="shared" si="11"/>
        <v>183</v>
      </c>
      <c r="Y13" s="38">
        <f t="shared" si="12"/>
        <v>1.6393442622950821E-2</v>
      </c>
      <c r="Z13" s="38">
        <f t="shared" si="13"/>
        <v>0</v>
      </c>
      <c r="AA13" s="38">
        <f t="shared" si="14"/>
        <v>1.6393442622950821E-2</v>
      </c>
      <c r="AB13" s="38">
        <f t="shared" si="15"/>
        <v>1.639342962295082E-2</v>
      </c>
    </row>
    <row r="14" spans="1:31" ht="15" customHeight="1" x14ac:dyDescent="0.25">
      <c r="A14" s="55" t="s">
        <v>16</v>
      </c>
      <c r="B14" s="55" t="s">
        <v>3637</v>
      </c>
      <c r="C14" s="46">
        <v>251</v>
      </c>
      <c r="D14" s="46">
        <v>162</v>
      </c>
      <c r="E14" s="46">
        <f t="shared" si="0"/>
        <v>413</v>
      </c>
      <c r="F14" s="46">
        <v>9</v>
      </c>
      <c r="G14" s="46">
        <v>19</v>
      </c>
      <c r="H14" s="46">
        <f t="shared" si="1"/>
        <v>28</v>
      </c>
      <c r="I14" s="46">
        <v>13</v>
      </c>
      <c r="J14" s="46">
        <f t="shared" si="2"/>
        <v>15</v>
      </c>
      <c r="K14" s="63"/>
      <c r="L14" s="63">
        <f t="shared" si="3"/>
        <v>9.7560975609756101E-2</v>
      </c>
      <c r="M14" s="46">
        <v>147</v>
      </c>
      <c r="N14" s="46">
        <v>162</v>
      </c>
      <c r="O14" s="46">
        <f t="shared" si="4"/>
        <v>309</v>
      </c>
      <c r="P14" s="46">
        <v>9</v>
      </c>
      <c r="Q14" s="46">
        <v>19</v>
      </c>
      <c r="R14" s="46">
        <f t="shared" si="5"/>
        <v>28</v>
      </c>
      <c r="S14" s="46">
        <f t="shared" si="6"/>
        <v>13</v>
      </c>
      <c r="T14" s="46">
        <f t="shared" si="7"/>
        <v>15</v>
      </c>
      <c r="U14" s="63">
        <f t="shared" si="8"/>
        <v>9.0614886731391592E-2</v>
      </c>
      <c r="V14" s="63">
        <f t="shared" si="9"/>
        <v>9.7560975609756101E-2</v>
      </c>
      <c r="W14" s="23" t="str">
        <f t="shared" si="10"/>
        <v>DE_afd.bund</v>
      </c>
      <c r="X14" s="44">
        <f t="shared" si="11"/>
        <v>185</v>
      </c>
      <c r="Y14" s="38">
        <f t="shared" si="12"/>
        <v>0.30270270270270272</v>
      </c>
      <c r="Z14" s="38">
        <f t="shared" si="13"/>
        <v>0</v>
      </c>
      <c r="AA14" s="38">
        <f t="shared" si="14"/>
        <v>0.30270270270270272</v>
      </c>
      <c r="AB14" s="38">
        <f t="shared" si="15"/>
        <v>0.30270268870270273</v>
      </c>
    </row>
    <row r="15" spans="1:31" ht="15" customHeight="1" x14ac:dyDescent="0.25">
      <c r="A15" s="55" t="s">
        <v>18</v>
      </c>
      <c r="B15" s="55" t="s">
        <v>3624</v>
      </c>
      <c r="C15" s="46">
        <v>48</v>
      </c>
      <c r="D15" s="46">
        <v>167</v>
      </c>
      <c r="E15" s="46">
        <f t="shared" si="0"/>
        <v>215</v>
      </c>
      <c r="F15" s="46">
        <v>3</v>
      </c>
      <c r="G15" s="46">
        <v>2</v>
      </c>
      <c r="H15" s="46">
        <f t="shared" si="1"/>
        <v>5</v>
      </c>
      <c r="I15" s="46">
        <v>0</v>
      </c>
      <c r="J15" s="46">
        <f t="shared" si="2"/>
        <v>5</v>
      </c>
      <c r="K15" s="63"/>
      <c r="L15" s="63">
        <f t="shared" si="3"/>
        <v>1.7421602787456445E-2</v>
      </c>
      <c r="M15" s="46">
        <v>35</v>
      </c>
      <c r="N15" s="46">
        <v>167</v>
      </c>
      <c r="O15" s="46">
        <f t="shared" si="4"/>
        <v>202</v>
      </c>
      <c r="P15" s="46">
        <v>3</v>
      </c>
      <c r="Q15" s="46">
        <v>2</v>
      </c>
      <c r="R15" s="46">
        <f t="shared" si="5"/>
        <v>5</v>
      </c>
      <c r="S15" s="46">
        <f t="shared" si="6"/>
        <v>0</v>
      </c>
      <c r="T15" s="46">
        <f t="shared" si="7"/>
        <v>5</v>
      </c>
      <c r="U15" s="63">
        <f t="shared" si="8"/>
        <v>2.4752475247524754E-2</v>
      </c>
      <c r="V15" s="63">
        <f t="shared" si="9"/>
        <v>1.7421602787456445E-2</v>
      </c>
      <c r="W15" s="23" t="str">
        <f t="shared" si="10"/>
        <v>DE_alice.weidel</v>
      </c>
      <c r="X15" s="44">
        <f t="shared" si="11"/>
        <v>309</v>
      </c>
      <c r="Y15" s="38">
        <f t="shared" si="12"/>
        <v>4.8543689320388349E-2</v>
      </c>
      <c r="Z15" s="38">
        <f t="shared" si="13"/>
        <v>4.2071197411003236E-2</v>
      </c>
      <c r="AA15" s="38">
        <f t="shared" si="14"/>
        <v>9.0614886731391592E-2</v>
      </c>
      <c r="AB15" s="38">
        <f t="shared" si="15"/>
        <v>9.0614871731391586E-2</v>
      </c>
    </row>
    <row r="16" spans="1:31" ht="15" customHeight="1" x14ac:dyDescent="0.25">
      <c r="A16" s="55" t="s">
        <v>20</v>
      </c>
      <c r="B16" s="55" t="s">
        <v>3637</v>
      </c>
      <c r="C16" s="46">
        <v>91</v>
      </c>
      <c r="D16" s="46">
        <v>159</v>
      </c>
      <c r="E16" s="46">
        <f t="shared" si="0"/>
        <v>250</v>
      </c>
      <c r="F16" s="46">
        <v>2</v>
      </c>
      <c r="G16" s="46">
        <v>4</v>
      </c>
      <c r="H16" s="46">
        <f t="shared" si="1"/>
        <v>6</v>
      </c>
      <c r="I16" s="46">
        <v>0</v>
      </c>
      <c r="J16" s="46">
        <f t="shared" si="2"/>
        <v>6</v>
      </c>
      <c r="K16" s="63"/>
      <c r="L16" s="63">
        <f t="shared" si="3"/>
        <v>2.0905923344947737E-2</v>
      </c>
      <c r="M16" s="46">
        <v>60</v>
      </c>
      <c r="N16" s="46">
        <v>159</v>
      </c>
      <c r="O16" s="46">
        <f t="shared" si="4"/>
        <v>219</v>
      </c>
      <c r="P16" s="46">
        <v>2</v>
      </c>
      <c r="Q16" s="46">
        <v>4</v>
      </c>
      <c r="R16" s="46">
        <f t="shared" si="5"/>
        <v>6</v>
      </c>
      <c r="S16" s="46">
        <f t="shared" si="6"/>
        <v>0</v>
      </c>
      <c r="T16" s="46">
        <f t="shared" si="7"/>
        <v>6</v>
      </c>
      <c r="U16" s="63">
        <f t="shared" si="8"/>
        <v>2.7397260273972601E-2</v>
      </c>
      <c r="V16" s="63">
        <f t="shared" si="9"/>
        <v>2.0905923344947737E-2</v>
      </c>
      <c r="W16" s="23" t="str">
        <f t="shared" si="10"/>
        <v>DK-EU_dansk_folkeparti_1995_</v>
      </c>
      <c r="X16" s="44">
        <f t="shared" si="11"/>
        <v>202</v>
      </c>
      <c r="Y16" s="38">
        <f t="shared" si="12"/>
        <v>2.4752475247524754E-2</v>
      </c>
      <c r="Z16" s="38">
        <f t="shared" si="13"/>
        <v>0</v>
      </c>
      <c r="AA16" s="38">
        <f t="shared" si="14"/>
        <v>2.4752475247524754E-2</v>
      </c>
      <c r="AB16" s="38">
        <f t="shared" si="15"/>
        <v>2.4752459247524755E-2</v>
      </c>
    </row>
    <row r="17" spans="1:28" ht="15" customHeight="1" x14ac:dyDescent="0.25">
      <c r="A17" s="55" t="s">
        <v>24</v>
      </c>
      <c r="B17" s="55" t="s">
        <v>3637</v>
      </c>
      <c r="C17" s="46">
        <v>711</v>
      </c>
      <c r="D17" s="46">
        <v>159</v>
      </c>
      <c r="E17" s="46">
        <f t="shared" si="0"/>
        <v>870</v>
      </c>
      <c r="F17" s="46">
        <v>2</v>
      </c>
      <c r="G17" s="46">
        <v>2</v>
      </c>
      <c r="H17" s="46">
        <f t="shared" si="1"/>
        <v>4</v>
      </c>
      <c r="I17" s="46">
        <v>0</v>
      </c>
      <c r="J17" s="46">
        <f t="shared" si="2"/>
        <v>4</v>
      </c>
      <c r="K17" s="63"/>
      <c r="L17" s="63">
        <f t="shared" si="3"/>
        <v>1.3937282229965157E-2</v>
      </c>
      <c r="M17" s="46">
        <v>139</v>
      </c>
      <c r="N17" s="46">
        <v>149</v>
      </c>
      <c r="O17" s="46">
        <f t="shared" si="4"/>
        <v>288</v>
      </c>
      <c r="P17" s="46">
        <v>2</v>
      </c>
      <c r="Q17" s="46">
        <v>2</v>
      </c>
      <c r="R17" s="46">
        <f t="shared" si="5"/>
        <v>4</v>
      </c>
      <c r="S17" s="46">
        <f t="shared" si="6"/>
        <v>0</v>
      </c>
      <c r="T17" s="46">
        <f t="shared" si="7"/>
        <v>4</v>
      </c>
      <c r="U17" s="63">
        <f t="shared" si="8"/>
        <v>1.3888888888888888E-2</v>
      </c>
      <c r="V17" s="63">
        <f t="shared" si="9"/>
        <v>1.3937282229965157E-2</v>
      </c>
      <c r="W17" s="23" t="str">
        <f t="shared" si="10"/>
        <v>DK-EU_mrmesserschmidt</v>
      </c>
      <c r="X17" s="44">
        <f t="shared" si="11"/>
        <v>219</v>
      </c>
      <c r="Y17" s="38">
        <f t="shared" si="12"/>
        <v>2.7397260273972601E-2</v>
      </c>
      <c r="Z17" s="38">
        <f t="shared" si="13"/>
        <v>0</v>
      </c>
      <c r="AA17" s="38">
        <f t="shared" si="14"/>
        <v>2.7397260273972601E-2</v>
      </c>
      <c r="AB17" s="38">
        <f t="shared" si="15"/>
        <v>2.73972432739726E-2</v>
      </c>
    </row>
    <row r="18" spans="1:28" ht="15" customHeight="1" x14ac:dyDescent="0.25">
      <c r="A18" s="55" t="s">
        <v>22</v>
      </c>
      <c r="B18" s="55" t="s">
        <v>3624</v>
      </c>
      <c r="C18" s="46">
        <v>354</v>
      </c>
      <c r="D18" s="46">
        <v>533</v>
      </c>
      <c r="E18" s="46">
        <f t="shared" si="0"/>
        <v>887</v>
      </c>
      <c r="F18" s="46">
        <v>21</v>
      </c>
      <c r="G18" s="46">
        <v>16</v>
      </c>
      <c r="H18" s="46">
        <f t="shared" si="1"/>
        <v>37</v>
      </c>
      <c r="I18" s="46">
        <v>0</v>
      </c>
      <c r="J18" s="46">
        <f t="shared" si="2"/>
        <v>37</v>
      </c>
      <c r="K18" s="63"/>
      <c r="L18" s="63">
        <f t="shared" si="3"/>
        <v>0.1289198606271777</v>
      </c>
      <c r="M18" s="46">
        <v>192</v>
      </c>
      <c r="N18" s="46">
        <v>530</v>
      </c>
      <c r="O18" s="46">
        <f t="shared" si="4"/>
        <v>722</v>
      </c>
      <c r="P18" s="46">
        <v>21</v>
      </c>
      <c r="Q18" s="46">
        <v>16</v>
      </c>
      <c r="R18" s="46">
        <f t="shared" si="5"/>
        <v>37</v>
      </c>
      <c r="S18" s="46">
        <f t="shared" si="6"/>
        <v>0</v>
      </c>
      <c r="T18" s="46">
        <f t="shared" si="7"/>
        <v>37</v>
      </c>
      <c r="U18" s="63">
        <f t="shared" si="8"/>
        <v>5.1246537396121887E-2</v>
      </c>
      <c r="V18" s="63">
        <f t="shared" si="9"/>
        <v>0.1289198606271777</v>
      </c>
      <c r="W18" s="23" t="str">
        <f t="shared" si="10"/>
        <v>ES-EU_santi_abascal</v>
      </c>
      <c r="X18" s="44">
        <f t="shared" si="11"/>
        <v>288</v>
      </c>
      <c r="Y18" s="38">
        <f t="shared" si="12"/>
        <v>1.3888888888888888E-2</v>
      </c>
      <c r="Z18" s="38">
        <f t="shared" si="13"/>
        <v>0</v>
      </c>
      <c r="AA18" s="38">
        <f t="shared" si="14"/>
        <v>1.3888888888888888E-2</v>
      </c>
      <c r="AB18" s="38">
        <f t="shared" si="15"/>
        <v>1.3888870888888889E-2</v>
      </c>
    </row>
    <row r="19" spans="1:28" ht="15" customHeight="1" x14ac:dyDescent="0.25">
      <c r="A19" s="55" t="s">
        <v>28</v>
      </c>
      <c r="B19" s="55" t="s">
        <v>3637</v>
      </c>
      <c r="C19" s="46">
        <v>91</v>
      </c>
      <c r="D19" s="46">
        <v>82</v>
      </c>
      <c r="E19" s="46">
        <f t="shared" si="0"/>
        <v>173</v>
      </c>
      <c r="F19" s="46">
        <v>0</v>
      </c>
      <c r="G19" s="46">
        <v>9</v>
      </c>
      <c r="H19" s="46">
        <f t="shared" si="1"/>
        <v>9</v>
      </c>
      <c r="I19" s="46">
        <v>9</v>
      </c>
      <c r="J19" s="46">
        <f t="shared" si="2"/>
        <v>0</v>
      </c>
      <c r="K19" s="63"/>
      <c r="L19" s="63">
        <f t="shared" si="3"/>
        <v>3.1358885017421602E-2</v>
      </c>
      <c r="M19" s="46">
        <v>32</v>
      </c>
      <c r="N19" s="46">
        <v>82</v>
      </c>
      <c r="O19" s="46">
        <f t="shared" si="4"/>
        <v>114</v>
      </c>
      <c r="P19" s="46">
        <v>0</v>
      </c>
      <c r="Q19" s="46">
        <v>9</v>
      </c>
      <c r="R19" s="46">
        <f t="shared" si="5"/>
        <v>9</v>
      </c>
      <c r="S19" s="46">
        <f t="shared" si="6"/>
        <v>9</v>
      </c>
      <c r="T19" s="46">
        <f t="shared" si="7"/>
        <v>0</v>
      </c>
      <c r="U19" s="63">
        <f t="shared" si="8"/>
        <v>7.8947368421052627E-2</v>
      </c>
      <c r="V19" s="63">
        <f t="shared" si="9"/>
        <v>3.1358885017421602E-2</v>
      </c>
      <c r="W19" s="23" t="str">
        <f t="shared" si="10"/>
        <v>ES-EU_vox_es</v>
      </c>
      <c r="X19" s="44">
        <f t="shared" si="11"/>
        <v>722</v>
      </c>
      <c r="Y19" s="38">
        <f t="shared" si="12"/>
        <v>5.1246537396121887E-2</v>
      </c>
      <c r="Z19" s="38">
        <f t="shared" si="13"/>
        <v>0</v>
      </c>
      <c r="AA19" s="38">
        <f t="shared" si="14"/>
        <v>5.1246537396121887E-2</v>
      </c>
      <c r="AB19" s="38">
        <f t="shared" si="15"/>
        <v>5.124651839612189E-2</v>
      </c>
    </row>
    <row r="20" spans="1:28" ht="15" customHeight="1" x14ac:dyDescent="0.25">
      <c r="A20" s="55" t="s">
        <v>26</v>
      </c>
      <c r="B20" s="55" t="s">
        <v>3624</v>
      </c>
      <c r="C20" s="46">
        <v>1414</v>
      </c>
      <c r="D20" s="46">
        <v>238</v>
      </c>
      <c r="E20" s="46">
        <f t="shared" si="0"/>
        <v>1652</v>
      </c>
      <c r="F20" s="46">
        <v>15</v>
      </c>
      <c r="G20" s="46">
        <v>57</v>
      </c>
      <c r="H20" s="46">
        <f t="shared" si="1"/>
        <v>72</v>
      </c>
      <c r="I20" s="46">
        <v>48</v>
      </c>
      <c r="J20" s="46">
        <f t="shared" si="2"/>
        <v>24</v>
      </c>
      <c r="K20" s="63"/>
      <c r="L20" s="63">
        <f t="shared" si="3"/>
        <v>0.25087108013937282</v>
      </c>
      <c r="M20" s="46">
        <v>988</v>
      </c>
      <c r="N20" s="46">
        <v>238</v>
      </c>
      <c r="O20" s="46">
        <f t="shared" si="4"/>
        <v>1226</v>
      </c>
      <c r="P20" s="46">
        <v>15</v>
      </c>
      <c r="Q20" s="46">
        <v>57</v>
      </c>
      <c r="R20" s="46">
        <f t="shared" si="5"/>
        <v>72</v>
      </c>
      <c r="S20" s="46">
        <f t="shared" si="6"/>
        <v>48</v>
      </c>
      <c r="T20" s="46">
        <f t="shared" si="7"/>
        <v>24</v>
      </c>
      <c r="U20" s="63">
        <f t="shared" si="8"/>
        <v>5.872756933115824E-2</v>
      </c>
      <c r="V20" s="63">
        <f t="shared" si="9"/>
        <v>0.25087108013937282</v>
      </c>
      <c r="W20" s="23" t="str">
        <f t="shared" si="10"/>
        <v>FR_EU_jordanbardella</v>
      </c>
      <c r="X20" s="44">
        <f t="shared" si="11"/>
        <v>114</v>
      </c>
      <c r="Y20" s="38">
        <f t="shared" si="12"/>
        <v>0</v>
      </c>
      <c r="Z20" s="38">
        <f t="shared" si="13"/>
        <v>7.8947368421052627E-2</v>
      </c>
      <c r="AA20" s="38">
        <f t="shared" si="14"/>
        <v>7.8947368421052627E-2</v>
      </c>
      <c r="AB20" s="38">
        <f t="shared" si="15"/>
        <v>7.8947348421052624E-2</v>
      </c>
    </row>
    <row r="21" spans="1:28" ht="15" customHeight="1" x14ac:dyDescent="0.25">
      <c r="A21" s="55" t="s">
        <v>30</v>
      </c>
      <c r="B21" s="55" t="s">
        <v>3624</v>
      </c>
      <c r="C21" s="46">
        <v>772</v>
      </c>
      <c r="D21" s="46">
        <v>81</v>
      </c>
      <c r="E21" s="46">
        <f t="shared" si="0"/>
        <v>853</v>
      </c>
      <c r="F21" s="46">
        <v>9</v>
      </c>
      <c r="G21" s="46">
        <v>0</v>
      </c>
      <c r="H21" s="46">
        <f t="shared" si="1"/>
        <v>9</v>
      </c>
      <c r="I21" s="46">
        <v>0</v>
      </c>
      <c r="J21" s="46">
        <f t="shared" si="2"/>
        <v>9</v>
      </c>
      <c r="K21" s="63"/>
      <c r="L21" s="63">
        <f t="shared" si="3"/>
        <v>3.1358885017421602E-2</v>
      </c>
      <c r="M21" s="46">
        <v>407</v>
      </c>
      <c r="N21" s="46">
        <v>81</v>
      </c>
      <c r="O21" s="46">
        <f t="shared" si="4"/>
        <v>488</v>
      </c>
      <c r="P21" s="46">
        <v>9</v>
      </c>
      <c r="Q21" s="46">
        <v>0</v>
      </c>
      <c r="R21" s="46">
        <f t="shared" si="5"/>
        <v>9</v>
      </c>
      <c r="S21" s="46">
        <f t="shared" si="6"/>
        <v>0</v>
      </c>
      <c r="T21" s="46">
        <f t="shared" si="7"/>
        <v>9</v>
      </c>
      <c r="U21" s="63">
        <f t="shared" si="8"/>
        <v>1.8442622950819672E-2</v>
      </c>
      <c r="V21" s="63">
        <f t="shared" si="9"/>
        <v>3.1358885017421602E-2</v>
      </c>
      <c r="W21" s="23" t="str">
        <f t="shared" si="10"/>
        <v>FR_EU_rassemblementnational_fr</v>
      </c>
      <c r="X21" s="44">
        <f t="shared" si="11"/>
        <v>1226</v>
      </c>
      <c r="Y21" s="38">
        <f t="shared" si="12"/>
        <v>1.9575856443719411E-2</v>
      </c>
      <c r="Z21" s="38">
        <f t="shared" si="13"/>
        <v>3.9151712887438822E-2</v>
      </c>
      <c r="AA21" s="38">
        <f t="shared" si="14"/>
        <v>5.8727569331158233E-2</v>
      </c>
      <c r="AB21" s="38">
        <f t="shared" si="15"/>
        <v>5.872754833115823E-2</v>
      </c>
    </row>
    <row r="22" spans="1:28" ht="15" customHeight="1" x14ac:dyDescent="0.25">
      <c r="A22" s="55" t="s">
        <v>32</v>
      </c>
      <c r="B22" s="55" t="s">
        <v>3637</v>
      </c>
      <c r="C22" s="46">
        <v>641</v>
      </c>
      <c r="D22" s="46">
        <v>395</v>
      </c>
      <c r="E22" s="46">
        <f t="shared" si="0"/>
        <v>1036</v>
      </c>
      <c r="F22" s="46">
        <v>25</v>
      </c>
      <c r="G22" s="46">
        <v>5</v>
      </c>
      <c r="H22" s="46">
        <f t="shared" si="1"/>
        <v>30</v>
      </c>
      <c r="I22" s="46">
        <v>0</v>
      </c>
      <c r="J22" s="46">
        <f t="shared" si="2"/>
        <v>30</v>
      </c>
      <c r="K22" s="63"/>
      <c r="L22" s="63">
        <f t="shared" si="3"/>
        <v>0.10452961672473868</v>
      </c>
      <c r="M22" s="46">
        <v>452</v>
      </c>
      <c r="N22" s="46">
        <v>391</v>
      </c>
      <c r="O22" s="46">
        <f t="shared" si="4"/>
        <v>843</v>
      </c>
      <c r="P22" s="46">
        <v>25</v>
      </c>
      <c r="Q22" s="46">
        <v>5</v>
      </c>
      <c r="R22" s="46">
        <f t="shared" si="5"/>
        <v>30</v>
      </c>
      <c r="S22" s="46">
        <f t="shared" si="6"/>
        <v>0</v>
      </c>
      <c r="T22" s="46">
        <f t="shared" si="7"/>
        <v>30</v>
      </c>
      <c r="U22" s="63">
        <f t="shared" si="8"/>
        <v>3.5587188612099648E-2</v>
      </c>
      <c r="V22" s="63">
        <f t="shared" si="9"/>
        <v>0.10452961672473868</v>
      </c>
      <c r="W22" s="23" t="str">
        <f t="shared" si="10"/>
        <v>IT-EU_legaofficial</v>
      </c>
      <c r="X22" s="44">
        <f t="shared" si="11"/>
        <v>488</v>
      </c>
      <c r="Y22" s="38">
        <f t="shared" si="12"/>
        <v>1.8442622950819672E-2</v>
      </c>
      <c r="Z22" s="38">
        <f t="shared" si="13"/>
        <v>0</v>
      </c>
      <c r="AA22" s="38">
        <f t="shared" si="14"/>
        <v>1.8442622950819672E-2</v>
      </c>
      <c r="AB22" s="38">
        <f t="shared" si="15"/>
        <v>1.8442600950819673E-2</v>
      </c>
    </row>
    <row r="23" spans="1:28" ht="15" customHeight="1" x14ac:dyDescent="0.25">
      <c r="A23" s="55" t="s">
        <v>34</v>
      </c>
      <c r="B23" s="55" t="s">
        <v>3637</v>
      </c>
      <c r="C23" s="46">
        <v>1</v>
      </c>
      <c r="D23" s="46">
        <v>33</v>
      </c>
      <c r="E23" s="46">
        <f t="shared" si="0"/>
        <v>34</v>
      </c>
      <c r="F23" s="46">
        <v>0</v>
      </c>
      <c r="G23" s="46">
        <v>5</v>
      </c>
      <c r="H23" s="46">
        <f t="shared" si="1"/>
        <v>5</v>
      </c>
      <c r="I23" s="46">
        <v>0</v>
      </c>
      <c r="J23" s="46">
        <f t="shared" si="2"/>
        <v>5</v>
      </c>
      <c r="K23" s="63"/>
      <c r="L23" s="63">
        <f t="shared" si="3"/>
        <v>1.7421602787456445E-2</v>
      </c>
      <c r="M23" s="46">
        <v>1</v>
      </c>
      <c r="N23" s="46">
        <v>33</v>
      </c>
      <c r="O23" s="46">
        <f t="shared" si="4"/>
        <v>34</v>
      </c>
      <c r="P23" s="46">
        <v>0</v>
      </c>
      <c r="Q23" s="46">
        <v>5</v>
      </c>
      <c r="R23" s="46">
        <f t="shared" si="5"/>
        <v>5</v>
      </c>
      <c r="S23" s="46">
        <f t="shared" si="6"/>
        <v>0</v>
      </c>
      <c r="T23" s="46">
        <f t="shared" si="7"/>
        <v>5</v>
      </c>
      <c r="U23" s="63">
        <f t="shared" si="8"/>
        <v>0.14705882352941177</v>
      </c>
      <c r="V23" s="63">
        <f t="shared" si="9"/>
        <v>1.7421602787456445E-2</v>
      </c>
      <c r="W23" s="23" t="str">
        <f t="shared" si="10"/>
        <v>IT-EU_matteosalviniofficial</v>
      </c>
      <c r="X23" s="44">
        <f t="shared" si="11"/>
        <v>843</v>
      </c>
      <c r="Y23" s="38">
        <f t="shared" si="12"/>
        <v>3.5587188612099648E-2</v>
      </c>
      <c r="Z23" s="38">
        <f t="shared" si="13"/>
        <v>0</v>
      </c>
      <c r="AA23" s="38">
        <f t="shared" si="14"/>
        <v>3.5587188612099648E-2</v>
      </c>
      <c r="AB23" s="38">
        <f t="shared" si="15"/>
        <v>3.5587165612099646E-2</v>
      </c>
    </row>
    <row r="24" spans="1:28" ht="15" customHeight="1" x14ac:dyDescent="0.25">
      <c r="A24" s="55" t="s">
        <v>38</v>
      </c>
      <c r="B24" s="55" t="s">
        <v>3637</v>
      </c>
      <c r="C24" s="46">
        <v>139</v>
      </c>
      <c r="D24" s="46">
        <v>58</v>
      </c>
      <c r="E24" s="46">
        <f t="shared" si="0"/>
        <v>197</v>
      </c>
      <c r="F24" s="46">
        <v>10</v>
      </c>
      <c r="G24" s="46">
        <v>5</v>
      </c>
      <c r="H24" s="46">
        <f t="shared" si="1"/>
        <v>15</v>
      </c>
      <c r="I24" s="46">
        <v>0</v>
      </c>
      <c r="J24" s="46">
        <f t="shared" si="2"/>
        <v>15</v>
      </c>
      <c r="K24" s="63"/>
      <c r="L24" s="63">
        <f t="shared" si="3"/>
        <v>5.2264808362369339E-2</v>
      </c>
      <c r="M24" s="46">
        <v>139</v>
      </c>
      <c r="N24" s="46">
        <v>58</v>
      </c>
      <c r="O24" s="46">
        <f t="shared" si="4"/>
        <v>197</v>
      </c>
      <c r="P24" s="46">
        <v>10</v>
      </c>
      <c r="Q24" s="46">
        <v>5</v>
      </c>
      <c r="R24" s="46">
        <f t="shared" si="5"/>
        <v>15</v>
      </c>
      <c r="S24" s="46">
        <f t="shared" si="6"/>
        <v>0</v>
      </c>
      <c r="T24" s="46">
        <f t="shared" si="7"/>
        <v>15</v>
      </c>
      <c r="U24" s="63">
        <f t="shared" si="8"/>
        <v>7.6142131979695438E-2</v>
      </c>
      <c r="V24" s="63">
        <f t="shared" si="9"/>
        <v>5.2264808362369339E-2</v>
      </c>
      <c r="W24" s="23" t="str">
        <f t="shared" si="10"/>
        <v>NL-EU_geertwilders</v>
      </c>
      <c r="X24" s="44">
        <f t="shared" si="11"/>
        <v>34</v>
      </c>
      <c r="Y24" s="38">
        <f t="shared" si="12"/>
        <v>0.14705882352941177</v>
      </c>
      <c r="Z24" s="38">
        <f t="shared" si="13"/>
        <v>0</v>
      </c>
      <c r="AA24" s="38">
        <f t="shared" si="14"/>
        <v>0.14705882352941177</v>
      </c>
      <c r="AB24" s="38">
        <f t="shared" si="15"/>
        <v>0.14705879952941178</v>
      </c>
    </row>
    <row r="25" spans="1:28" ht="15" customHeight="1" x14ac:dyDescent="0.25">
      <c r="A25" s="55" t="s">
        <v>36</v>
      </c>
      <c r="B25" s="55" t="s">
        <v>3624</v>
      </c>
      <c r="C25" s="46">
        <v>8</v>
      </c>
      <c r="D25" s="46">
        <v>3</v>
      </c>
      <c r="E25" s="46">
        <f t="shared" si="0"/>
        <v>11</v>
      </c>
      <c r="F25" s="46">
        <v>0</v>
      </c>
      <c r="G25" s="46">
        <v>0</v>
      </c>
      <c r="H25" s="46">
        <f t="shared" si="1"/>
        <v>0</v>
      </c>
      <c r="I25" s="46">
        <v>0</v>
      </c>
      <c r="J25" s="46">
        <f t="shared" si="2"/>
        <v>0</v>
      </c>
      <c r="K25" s="63"/>
      <c r="L25" s="63">
        <f t="shared" si="3"/>
        <v>0</v>
      </c>
      <c r="M25" s="46">
        <v>8</v>
      </c>
      <c r="N25" s="46">
        <v>3</v>
      </c>
      <c r="O25" s="46">
        <f t="shared" si="4"/>
        <v>11</v>
      </c>
      <c r="P25" s="46">
        <v>0</v>
      </c>
      <c r="Q25" s="46">
        <v>0</v>
      </c>
      <c r="R25" s="46">
        <f t="shared" si="5"/>
        <v>0</v>
      </c>
      <c r="S25" s="46">
        <f t="shared" si="6"/>
        <v>0</v>
      </c>
      <c r="T25" s="46">
        <f t="shared" si="7"/>
        <v>0</v>
      </c>
      <c r="U25" s="63">
        <f t="shared" si="8"/>
        <v>0</v>
      </c>
      <c r="V25" s="63">
        <f t="shared" si="9"/>
        <v>0</v>
      </c>
      <c r="W25" s="23" t="str">
        <f t="shared" si="10"/>
        <v>NL_geertwilders</v>
      </c>
      <c r="X25" s="44">
        <f t="shared" si="11"/>
        <v>197</v>
      </c>
      <c r="Y25" s="38">
        <f t="shared" si="12"/>
        <v>7.6142131979695438E-2</v>
      </c>
      <c r="Z25" s="38">
        <f t="shared" si="13"/>
        <v>0</v>
      </c>
      <c r="AA25" s="38">
        <f t="shared" si="14"/>
        <v>7.6142131979695438E-2</v>
      </c>
      <c r="AB25" s="38">
        <f t="shared" si="15"/>
        <v>7.6142106979695437E-2</v>
      </c>
    </row>
    <row r="26" spans="1:28" ht="15" customHeight="1" x14ac:dyDescent="0.25">
      <c r="A26" s="55" t="s">
        <v>42</v>
      </c>
      <c r="B26" s="55" t="s">
        <v>3637</v>
      </c>
      <c r="C26" s="46">
        <v>58</v>
      </c>
      <c r="D26" s="46">
        <v>66</v>
      </c>
      <c r="E26" s="46">
        <f t="shared" si="0"/>
        <v>124</v>
      </c>
      <c r="F26" s="46">
        <v>0</v>
      </c>
      <c r="G26" s="46">
        <v>0</v>
      </c>
      <c r="H26" s="46">
        <f t="shared" si="1"/>
        <v>0</v>
      </c>
      <c r="I26" s="46">
        <v>0</v>
      </c>
      <c r="J26" s="46">
        <f t="shared" si="2"/>
        <v>0</v>
      </c>
      <c r="K26" s="63"/>
      <c r="L26" s="63">
        <f t="shared" si="3"/>
        <v>0</v>
      </c>
      <c r="M26" s="46">
        <v>36</v>
      </c>
      <c r="N26" s="46">
        <v>66</v>
      </c>
      <c r="O26" s="46">
        <f t="shared" si="4"/>
        <v>102</v>
      </c>
      <c r="P26" s="46">
        <v>0</v>
      </c>
      <c r="Q26" s="46">
        <v>0</v>
      </c>
      <c r="R26" s="46">
        <f t="shared" si="5"/>
        <v>0</v>
      </c>
      <c r="S26" s="46">
        <f t="shared" si="6"/>
        <v>0</v>
      </c>
      <c r="T26" s="46">
        <f t="shared" si="7"/>
        <v>0</v>
      </c>
      <c r="U26" s="63">
        <f t="shared" si="8"/>
        <v>0</v>
      </c>
      <c r="V26" s="63">
        <f t="shared" si="9"/>
        <v>0</v>
      </c>
      <c r="W26" s="23" t="str">
        <f t="shared" si="10"/>
        <v>NL_partijvoordevrijheidnl</v>
      </c>
      <c r="X26" s="44">
        <f t="shared" si="11"/>
        <v>11</v>
      </c>
      <c r="Y26" s="38">
        <f t="shared" si="12"/>
        <v>0</v>
      </c>
      <c r="Z26" s="38">
        <f t="shared" si="13"/>
        <v>0</v>
      </c>
      <c r="AA26" s="38">
        <f t="shared" si="14"/>
        <v>0</v>
      </c>
      <c r="AB26" s="38">
        <f t="shared" si="15"/>
        <v>-2.6000000000000001E-8</v>
      </c>
    </row>
    <row r="27" spans="1:28" ht="15" customHeight="1" x14ac:dyDescent="0.25">
      <c r="A27" s="55" t="s">
        <v>40</v>
      </c>
      <c r="B27" s="55" t="s">
        <v>3624</v>
      </c>
      <c r="C27" s="46">
        <v>262</v>
      </c>
      <c r="D27" s="46">
        <v>154</v>
      </c>
      <c r="E27" s="46">
        <f t="shared" si="0"/>
        <v>416</v>
      </c>
      <c r="F27" s="46">
        <v>7</v>
      </c>
      <c r="G27" s="46">
        <v>1</v>
      </c>
      <c r="H27" s="46">
        <f t="shared" si="1"/>
        <v>8</v>
      </c>
      <c r="I27" s="46">
        <v>0</v>
      </c>
      <c r="J27" s="46">
        <f t="shared" si="2"/>
        <v>8</v>
      </c>
      <c r="K27" s="63"/>
      <c r="L27" s="63">
        <f t="shared" si="3"/>
        <v>2.7874564459930314E-2</v>
      </c>
      <c r="M27" s="46">
        <v>243</v>
      </c>
      <c r="N27" s="46">
        <v>154</v>
      </c>
      <c r="O27" s="46">
        <f t="shared" si="4"/>
        <v>397</v>
      </c>
      <c r="P27" s="46">
        <v>7</v>
      </c>
      <c r="Q27" s="46">
        <v>1</v>
      </c>
      <c r="R27" s="46">
        <f t="shared" si="5"/>
        <v>8</v>
      </c>
      <c r="S27" s="46">
        <f t="shared" si="6"/>
        <v>0</v>
      </c>
      <c r="T27" s="46">
        <f t="shared" si="7"/>
        <v>8</v>
      </c>
      <c r="U27" s="63">
        <f t="shared" si="8"/>
        <v>2.0151133501259445E-2</v>
      </c>
      <c r="V27" s="63">
        <f t="shared" si="9"/>
        <v>2.7874564459930314E-2</v>
      </c>
      <c r="W27" s="23" t="str">
        <f t="shared" si="10"/>
        <v>UK_nigel_farage</v>
      </c>
      <c r="X27" s="44">
        <f t="shared" si="11"/>
        <v>102</v>
      </c>
      <c r="Y27" s="38">
        <f t="shared" si="12"/>
        <v>0</v>
      </c>
      <c r="Z27" s="38">
        <f t="shared" si="13"/>
        <v>0</v>
      </c>
      <c r="AA27" s="38">
        <f t="shared" si="14"/>
        <v>0</v>
      </c>
      <c r="AB27" s="38">
        <f t="shared" si="15"/>
        <v>-2.7E-8</v>
      </c>
    </row>
    <row r="28" spans="1:28" ht="15" customHeight="1" x14ac:dyDescent="0.25">
      <c r="A28" s="66" t="s">
        <v>44</v>
      </c>
      <c r="B28" s="66"/>
      <c r="C28" s="47">
        <f t="shared" ref="C28:J28" si="16">SUM(C9:C27)</f>
        <v>5828</v>
      </c>
      <c r="D28" s="47">
        <f t="shared" si="16"/>
        <v>2626</v>
      </c>
      <c r="E28" s="47">
        <f t="shared" si="16"/>
        <v>8454</v>
      </c>
      <c r="F28" s="47">
        <f t="shared" si="16"/>
        <v>161</v>
      </c>
      <c r="G28" s="47">
        <f t="shared" si="16"/>
        <v>126</v>
      </c>
      <c r="H28" s="47">
        <f t="shared" si="16"/>
        <v>287</v>
      </c>
      <c r="I28" s="47">
        <f t="shared" si="16"/>
        <v>70</v>
      </c>
      <c r="J28" s="47">
        <f t="shared" si="16"/>
        <v>217</v>
      </c>
      <c r="K28" s="67"/>
      <c r="L28" s="67">
        <f t="shared" si="3"/>
        <v>1</v>
      </c>
      <c r="M28" s="47">
        <f t="shared" ref="M28:T28" si="17">SUM(M9:M27)</f>
        <v>3597</v>
      </c>
      <c r="N28" s="47">
        <f t="shared" si="17"/>
        <v>2609</v>
      </c>
      <c r="O28" s="47">
        <f t="shared" si="17"/>
        <v>6206</v>
      </c>
      <c r="P28" s="47">
        <f t="shared" si="17"/>
        <v>161</v>
      </c>
      <c r="Q28" s="47">
        <f t="shared" si="17"/>
        <v>126</v>
      </c>
      <c r="R28" s="47">
        <f t="shared" si="17"/>
        <v>287</v>
      </c>
      <c r="S28" s="47">
        <f t="shared" si="17"/>
        <v>70</v>
      </c>
      <c r="T28" s="47">
        <f t="shared" si="17"/>
        <v>217</v>
      </c>
      <c r="U28" s="67">
        <f t="shared" si="8"/>
        <v>4.6245568804382853E-2</v>
      </c>
      <c r="V28" s="67">
        <f t="shared" si="9"/>
        <v>1</v>
      </c>
      <c r="W28" s="24" t="str">
        <f t="shared" si="10"/>
        <v>UK_thereformpartyuk</v>
      </c>
      <c r="X28" s="45">
        <f t="shared" si="11"/>
        <v>397</v>
      </c>
      <c r="Y28" s="39">
        <f t="shared" si="12"/>
        <v>2.0151133501259445E-2</v>
      </c>
      <c r="Z28" s="39">
        <f t="shared" si="13"/>
        <v>0</v>
      </c>
      <c r="AA28" s="39">
        <f t="shared" si="14"/>
        <v>2.0151133501259445E-2</v>
      </c>
      <c r="AB28" s="39">
        <f t="shared" si="15"/>
        <v>2.0151105501259446E-2</v>
      </c>
    </row>
    <row r="29" spans="1:28" ht="1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8"/>
      <c r="X29" s="26"/>
      <c r="Y29" s="8"/>
      <c r="Z29" s="26"/>
      <c r="AA29" s="26"/>
      <c r="AB29" s="26"/>
    </row>
    <row r="30" spans="1:28" ht="1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62" t="s">
        <v>3643</v>
      </c>
      <c r="X30" s="26"/>
      <c r="Y30" s="8"/>
      <c r="Z30" s="26"/>
      <c r="AA30" s="26"/>
      <c r="AB30" s="26"/>
    </row>
    <row r="31" spans="1:28" ht="15" customHeight="1" x14ac:dyDescent="0.25">
      <c r="A31" s="37" t="s">
        <v>3672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64" t="s">
        <v>3642</v>
      </c>
      <c r="X31" s="65" t="s">
        <v>3641</v>
      </c>
      <c r="Y31" s="65" t="s">
        <v>1970</v>
      </c>
      <c r="Z31" s="65" t="s">
        <v>3639</v>
      </c>
      <c r="AA31" s="65" t="s">
        <v>3638</v>
      </c>
      <c r="AB31" s="65" t="s">
        <v>44</v>
      </c>
    </row>
    <row r="32" spans="1:28" ht="15" customHeight="1" x14ac:dyDescent="0.25">
      <c r="A32" s="59"/>
      <c r="B32" s="59"/>
      <c r="C32" s="68" t="s">
        <v>3671</v>
      </c>
      <c r="D32" s="68"/>
      <c r="E32" s="68"/>
      <c r="F32" s="68"/>
      <c r="G32" s="68"/>
      <c r="H32" s="68"/>
      <c r="I32" s="68" t="s">
        <v>3651</v>
      </c>
      <c r="J32" s="68"/>
      <c r="K32" s="68"/>
      <c r="L32" s="68"/>
      <c r="M32" s="68"/>
      <c r="N32" s="68"/>
      <c r="O32" s="55"/>
      <c r="P32" s="55"/>
      <c r="Q32" s="55"/>
      <c r="R32" s="55"/>
      <c r="S32" s="55"/>
      <c r="T32" s="55"/>
      <c r="U32" s="55"/>
      <c r="V32" s="55"/>
      <c r="W32" s="23">
        <v>1</v>
      </c>
      <c r="X32" s="8">
        <f t="shared" ref="X32:X50" si="18">MATCH(LARGE($AB$10:$AB$28,W32),$AB$10:$AB$28,0)</f>
        <v>5</v>
      </c>
      <c r="Y32" s="8" t="str">
        <f t="shared" ref="Y32:Y50" si="19">INDEX($W$10:$W$28,X32)&amp;"  (n = "&amp;TEXT(INDEX($X$10:$X$28,X32),"#,##0")&amp;")"</f>
        <v>DE_afd.bund  (n = 185)</v>
      </c>
      <c r="Z32" s="38">
        <f t="shared" ref="Z32:Z50" si="20">INDEX($Y$10:$Y$28,X32)</f>
        <v>0.30270270270270272</v>
      </c>
      <c r="AA32" s="38">
        <f t="shared" ref="AA32:AA50" si="21">INDEX($Z$10:$Z$28,X32)</f>
        <v>0</v>
      </c>
      <c r="AB32" s="38">
        <f t="shared" ref="AB32:AB50" si="22">INDEX($AA$10:$AA$28,X32)</f>
        <v>0.30270270270270272</v>
      </c>
    </row>
    <row r="33" spans="1:28" ht="42" customHeight="1" x14ac:dyDescent="0.25">
      <c r="A33" s="60" t="s">
        <v>3640</v>
      </c>
      <c r="B33" s="60"/>
      <c r="C33" s="61" t="s">
        <v>44</v>
      </c>
      <c r="D33" s="61" t="s">
        <v>3878</v>
      </c>
      <c r="E33" s="61" t="s">
        <v>3880</v>
      </c>
      <c r="F33" s="61" t="s">
        <v>3879</v>
      </c>
      <c r="G33" s="61"/>
      <c r="H33" s="61"/>
      <c r="I33" s="61" t="s">
        <v>44</v>
      </c>
      <c r="J33" s="61" t="s">
        <v>3668</v>
      </c>
      <c r="K33" s="61" t="s">
        <v>3639</v>
      </c>
      <c r="L33" s="61" t="s">
        <v>3638</v>
      </c>
      <c r="M33" s="61" t="s">
        <v>3662</v>
      </c>
      <c r="N33" s="61" t="s">
        <v>3675</v>
      </c>
      <c r="O33" s="55"/>
      <c r="P33" s="55"/>
      <c r="Q33" s="55"/>
      <c r="R33" s="55"/>
      <c r="S33" s="55"/>
      <c r="T33" s="55"/>
      <c r="U33" s="55"/>
      <c r="V33" s="55"/>
      <c r="W33" s="23">
        <v>2</v>
      </c>
      <c r="X33" s="8">
        <f t="shared" si="18"/>
        <v>15</v>
      </c>
      <c r="Y33" s="8" t="str">
        <f t="shared" si="19"/>
        <v>NL-EU_geertwilders  (n = 34)</v>
      </c>
      <c r="Z33" s="38">
        <f t="shared" si="20"/>
        <v>0.14705882352941177</v>
      </c>
      <c r="AA33" s="38">
        <f t="shared" si="21"/>
        <v>0</v>
      </c>
      <c r="AB33" s="38">
        <f t="shared" si="22"/>
        <v>0.14705882352941177</v>
      </c>
    </row>
    <row r="34" spans="1:28" ht="15" customHeight="1" x14ac:dyDescent="0.25">
      <c r="A34" s="55" t="s">
        <v>3637</v>
      </c>
      <c r="B34" s="55"/>
      <c r="C34" s="46">
        <f>SUMIF($B$9:$B$27,$A34,$E$9:$E$27)</f>
        <v>3590</v>
      </c>
      <c r="D34" s="46">
        <f>SUMIF($B$9:$B$27,$A34,$H$9:$H$27)</f>
        <v>97</v>
      </c>
      <c r="E34" s="46">
        <f>SUMIF($B$9:$B$27,$A34,$J$9:$J$27)</f>
        <v>75</v>
      </c>
      <c r="F34" s="46">
        <f>SUMIF($B$9:$B$27,$A34,$I$9:$I$27)</f>
        <v>22</v>
      </c>
      <c r="G34" s="63"/>
      <c r="H34" s="63"/>
      <c r="I34" s="46">
        <f>SUMIF($B$9:$B$27,$A34,$O$9:$O$27)</f>
        <v>2364</v>
      </c>
      <c r="J34" s="46">
        <f>SUMIF($B$9:$B$27,$A34,$R$9:$R$27)</f>
        <v>97</v>
      </c>
      <c r="K34" s="46">
        <f>SUMIF($B$9:$B$27,$A34,$T$9:$T$27)</f>
        <v>75</v>
      </c>
      <c r="L34" s="46">
        <f>SUMIF($B$9:$B$27,$A34,$S$9:$S$27)</f>
        <v>22</v>
      </c>
      <c r="M34" s="63">
        <f>J34/I34</f>
        <v>4.1032148900169207E-2</v>
      </c>
      <c r="N34" s="63">
        <f>K34/I34</f>
        <v>3.1725888324873094E-2</v>
      </c>
      <c r="O34" s="55"/>
      <c r="P34" s="55"/>
      <c r="Q34" s="55"/>
      <c r="R34" s="55"/>
      <c r="S34" s="55"/>
      <c r="T34" s="55"/>
      <c r="U34" s="55"/>
      <c r="V34" s="55"/>
      <c r="W34" s="23">
        <v>3</v>
      </c>
      <c r="X34" s="8">
        <f t="shared" si="18"/>
        <v>6</v>
      </c>
      <c r="Y34" s="8" t="str">
        <f t="shared" si="19"/>
        <v>DE_alice.weidel  (n = 309)</v>
      </c>
      <c r="Z34" s="38">
        <f t="shared" si="20"/>
        <v>4.8543689320388349E-2</v>
      </c>
      <c r="AA34" s="38">
        <f t="shared" si="21"/>
        <v>4.2071197411003236E-2</v>
      </c>
      <c r="AB34" s="38">
        <f t="shared" si="22"/>
        <v>9.0614886731391592E-2</v>
      </c>
    </row>
    <row r="35" spans="1:28" ht="15" customHeight="1" x14ac:dyDescent="0.25">
      <c r="A35" s="55" t="s">
        <v>3624</v>
      </c>
      <c r="B35" s="55"/>
      <c r="C35" s="46">
        <f>SUMIF($B$9:$B$27,$A35,$E$9:$E$27)</f>
        <v>4864</v>
      </c>
      <c r="D35" s="46">
        <f>SUMIF($B$9:$B$27,$A35,$H$9:$H$27)</f>
        <v>190</v>
      </c>
      <c r="E35" s="46">
        <f>SUMIF($B$9:$B$27,$A35,$J$9:$J$27)</f>
        <v>142</v>
      </c>
      <c r="F35" s="46">
        <f>SUMIF($B$9:$B$27,$A35,$I$9:$I$27)</f>
        <v>48</v>
      </c>
      <c r="G35" s="63"/>
      <c r="H35" s="63"/>
      <c r="I35" s="46">
        <f>SUMIF($B$9:$B$27,$A35,$O$9:$O$27)</f>
        <v>3842</v>
      </c>
      <c r="J35" s="46">
        <f>SUMIF($B$9:$B$27,$A35,$R$9:$R$27)</f>
        <v>190</v>
      </c>
      <c r="K35" s="46">
        <f>SUMIF($B$9:$B$27,$A35,$T$9:$T$27)</f>
        <v>142</v>
      </c>
      <c r="L35" s="46">
        <f>SUMIF($B$9:$B$27,$A35,$S$9:$S$27)</f>
        <v>48</v>
      </c>
      <c r="M35" s="63">
        <f>J35/I35</f>
        <v>4.9453409682457053E-2</v>
      </c>
      <c r="N35" s="63">
        <f>K35/I35</f>
        <v>3.695991671004685E-2</v>
      </c>
      <c r="O35" s="55"/>
      <c r="P35" s="55"/>
      <c r="Q35" s="55"/>
      <c r="R35" s="55"/>
      <c r="S35" s="55"/>
      <c r="T35" s="55"/>
      <c r="U35" s="55"/>
      <c r="V35" s="55"/>
      <c r="W35" s="23">
        <v>4</v>
      </c>
      <c r="X35" s="8">
        <f t="shared" si="18"/>
        <v>11</v>
      </c>
      <c r="Y35" s="8" t="str">
        <f t="shared" si="19"/>
        <v>FR_EU_jordanbardella  (n = 114)</v>
      </c>
      <c r="Z35" s="38">
        <f t="shared" si="20"/>
        <v>0</v>
      </c>
      <c r="AA35" s="38">
        <f t="shared" si="21"/>
        <v>7.8947368421052627E-2</v>
      </c>
      <c r="AB35" s="38">
        <f t="shared" si="22"/>
        <v>7.8947368421052627E-2</v>
      </c>
    </row>
    <row r="36" spans="1:28" ht="15" customHeight="1" x14ac:dyDescent="0.25">
      <c r="A36" s="66" t="s">
        <v>44</v>
      </c>
      <c r="B36" s="66"/>
      <c r="C36" s="47">
        <f>SUM(C34:C35)</f>
        <v>8454</v>
      </c>
      <c r="D36" s="47">
        <f>SUM(D34:D35)</f>
        <v>287</v>
      </c>
      <c r="E36" s="47">
        <f>SUM(E34:E35)</f>
        <v>217</v>
      </c>
      <c r="F36" s="47">
        <f>SUM(F34:F35)</f>
        <v>70</v>
      </c>
      <c r="G36" s="67"/>
      <c r="H36" s="67"/>
      <c r="I36" s="47">
        <f>SUM(I34:I35)</f>
        <v>6206</v>
      </c>
      <c r="J36" s="47">
        <f>SUM(J34:J35)</f>
        <v>287</v>
      </c>
      <c r="K36" s="47">
        <f>SUM(K34:K35)</f>
        <v>217</v>
      </c>
      <c r="L36" s="47">
        <f>SUM(L34:L35)</f>
        <v>70</v>
      </c>
      <c r="M36" s="67">
        <f>J36/I36</f>
        <v>4.6245568804382853E-2</v>
      </c>
      <c r="N36" s="67">
        <f>K36/I36</f>
        <v>3.4966161778923623E-2</v>
      </c>
      <c r="O36" s="55"/>
      <c r="P36" s="55"/>
      <c r="Q36" s="55"/>
      <c r="R36" s="55"/>
      <c r="S36" s="55"/>
      <c r="T36" s="55"/>
      <c r="U36" s="55"/>
      <c r="V36" s="55"/>
      <c r="W36" s="23">
        <v>5</v>
      </c>
      <c r="X36" s="8">
        <f t="shared" si="18"/>
        <v>16</v>
      </c>
      <c r="Y36" s="8" t="str">
        <f t="shared" si="19"/>
        <v>NL_geertwilders  (n = 197)</v>
      </c>
      <c r="Z36" s="38">
        <f t="shared" si="20"/>
        <v>7.6142131979695438E-2</v>
      </c>
      <c r="AA36" s="38">
        <f t="shared" si="21"/>
        <v>0</v>
      </c>
      <c r="AB36" s="38">
        <f t="shared" si="22"/>
        <v>7.6142131979695438E-2</v>
      </c>
    </row>
    <row r="37" spans="1:28" ht="1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23">
        <v>6</v>
      </c>
      <c r="X37" s="8">
        <f t="shared" si="18"/>
        <v>12</v>
      </c>
      <c r="Y37" s="8" t="str">
        <f t="shared" si="19"/>
        <v>FR_EU_rassemblementnational_fr  (n = 1,226)</v>
      </c>
      <c r="Z37" s="38">
        <f t="shared" si="20"/>
        <v>1.9575856443719411E-2</v>
      </c>
      <c r="AA37" s="38">
        <f t="shared" si="21"/>
        <v>3.9151712887438822E-2</v>
      </c>
      <c r="AB37" s="38">
        <f t="shared" si="22"/>
        <v>5.8727569331158233E-2</v>
      </c>
    </row>
    <row r="38" spans="1:28" ht="15" customHeight="1" x14ac:dyDescent="0.25">
      <c r="A38" s="37" t="s">
        <v>3673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23">
        <v>7</v>
      </c>
      <c r="X38" s="8">
        <f t="shared" si="18"/>
        <v>10</v>
      </c>
      <c r="Y38" s="8" t="str">
        <f t="shared" si="19"/>
        <v>ES-EU_vox_es  (n = 722)</v>
      </c>
      <c r="Z38" s="38">
        <f t="shared" si="20"/>
        <v>5.1246537396121887E-2</v>
      </c>
      <c r="AA38" s="38">
        <f t="shared" si="21"/>
        <v>0</v>
      </c>
      <c r="AB38" s="38">
        <f t="shared" si="22"/>
        <v>5.1246537396121887E-2</v>
      </c>
    </row>
    <row r="39" spans="1:28" ht="15" customHeight="1" x14ac:dyDescent="0.25">
      <c r="A39" s="59"/>
      <c r="B39" s="59"/>
      <c r="C39" s="68" t="s">
        <v>3671</v>
      </c>
      <c r="D39" s="68"/>
      <c r="E39" s="68"/>
      <c r="F39" s="68"/>
      <c r="G39" s="68"/>
      <c r="H39" s="68"/>
      <c r="I39" s="68" t="s">
        <v>3651</v>
      </c>
      <c r="J39" s="68"/>
      <c r="K39" s="68"/>
      <c r="L39" s="68"/>
      <c r="M39" s="68"/>
      <c r="N39" s="68"/>
      <c r="O39" s="55"/>
      <c r="P39" s="55"/>
      <c r="Q39" s="55"/>
      <c r="R39" s="55"/>
      <c r="S39" s="55"/>
      <c r="T39" s="55"/>
      <c r="U39" s="55"/>
      <c r="V39" s="55"/>
      <c r="W39" s="23">
        <v>8</v>
      </c>
      <c r="X39" s="8">
        <f t="shared" si="18"/>
        <v>14</v>
      </c>
      <c r="Y39" s="8" t="str">
        <f t="shared" si="19"/>
        <v>IT-EU_matteosalviniofficial  (n = 843)</v>
      </c>
      <c r="Z39" s="38">
        <f t="shared" si="20"/>
        <v>3.5587188612099648E-2</v>
      </c>
      <c r="AA39" s="38">
        <f t="shared" si="21"/>
        <v>0</v>
      </c>
      <c r="AB39" s="38">
        <f t="shared" si="22"/>
        <v>3.5587188612099648E-2</v>
      </c>
    </row>
    <row r="40" spans="1:28" ht="42" customHeight="1" x14ac:dyDescent="0.25">
      <c r="A40" s="60" t="s">
        <v>3649</v>
      </c>
      <c r="B40" s="60" t="s">
        <v>3626</v>
      </c>
      <c r="C40" s="61" t="s">
        <v>44</v>
      </c>
      <c r="D40" s="61" t="s">
        <v>3878</v>
      </c>
      <c r="E40" s="61" t="s">
        <v>3880</v>
      </c>
      <c r="F40" s="61" t="s">
        <v>3879</v>
      </c>
      <c r="G40" s="61"/>
      <c r="H40" s="61"/>
      <c r="I40" s="61" t="s">
        <v>44</v>
      </c>
      <c r="J40" s="61" t="s">
        <v>3668</v>
      </c>
      <c r="K40" s="61" t="s">
        <v>3639</v>
      </c>
      <c r="L40" s="61" t="s">
        <v>3638</v>
      </c>
      <c r="M40" s="61" t="s">
        <v>3662</v>
      </c>
      <c r="N40" s="61" t="s">
        <v>3675</v>
      </c>
      <c r="O40" s="55"/>
      <c r="P40" s="55"/>
      <c r="Q40" s="55"/>
      <c r="R40" s="55"/>
      <c r="S40" s="55"/>
      <c r="T40" s="55"/>
      <c r="U40" s="55"/>
      <c r="V40" s="55"/>
      <c r="W40" s="23">
        <v>9</v>
      </c>
      <c r="X40" s="8">
        <f t="shared" si="18"/>
        <v>8</v>
      </c>
      <c r="Y40" s="8" t="str">
        <f t="shared" si="19"/>
        <v>DK-EU_mrmesserschmidt  (n = 219)</v>
      </c>
      <c r="Z40" s="38">
        <f t="shared" si="20"/>
        <v>2.7397260273972601E-2</v>
      </c>
      <c r="AA40" s="38">
        <f t="shared" si="21"/>
        <v>0</v>
      </c>
      <c r="AB40" s="38">
        <f t="shared" si="22"/>
        <v>2.7397260273972601E-2</v>
      </c>
    </row>
    <row r="41" spans="1:28" ht="15" customHeight="1" x14ac:dyDescent="0.25">
      <c r="A41" s="55" t="s">
        <v>73</v>
      </c>
      <c r="B41" s="55" t="s">
        <v>1979</v>
      </c>
      <c r="C41" s="46" cm="1">
        <f t="array" ref="C41">SUMPRODUCT((LEFT($A$9:$A$27,2)=$A41)*$E$9:$E$27)</f>
        <v>458</v>
      </c>
      <c r="D41" s="46" cm="1">
        <f t="array" ref="D41">SUMPRODUCT((LEFT($A$9:$A$27,2)=$A41)*$H$9:$H$27)</f>
        <v>0</v>
      </c>
      <c r="E41" s="46" cm="1">
        <f t="array" ref="E41">SUMPRODUCT((LEFT($A$9:$A$27,2)=$A41)*$J$9:$J$27)</f>
        <v>0</v>
      </c>
      <c r="F41" s="46" cm="1">
        <f t="array" ref="F41">SUMPRODUCT((LEFT($A$9:$A$27,2)=$A41)*$I$9:$I$27)</f>
        <v>0</v>
      </c>
      <c r="G41" s="63"/>
      <c r="H41" s="63"/>
      <c r="I41" s="46" cm="1">
        <f t="array" ref="I41">SUMPRODUCT((LEFT($A$9:$A$27,2)=$A41)*$O$9:$O$27)</f>
        <v>449</v>
      </c>
      <c r="J41" s="46" cm="1">
        <f t="array" ref="J41">SUMPRODUCT((LEFT($A$9:$A$27,2)=$A41)*$R$9:$R$27)</f>
        <v>0</v>
      </c>
      <c r="K41" s="46" cm="1">
        <f t="array" ref="K41">SUMPRODUCT((LEFT($A$9:$A$27,2)=$A41)*$T$9:$T$27)</f>
        <v>0</v>
      </c>
      <c r="L41" s="46" cm="1">
        <f t="array" ref="L41">SUMPRODUCT((LEFT($A$9:$A$27,2)=$A41)*$S$9:$S$27)</f>
        <v>0</v>
      </c>
      <c r="M41" s="63">
        <f t="shared" ref="M41:M50" si="23">J41/I41</f>
        <v>0</v>
      </c>
      <c r="N41" s="63">
        <f t="shared" ref="N41:N50" si="24">K41/I41</f>
        <v>0</v>
      </c>
      <c r="O41" s="55"/>
      <c r="P41" s="55"/>
      <c r="Q41" s="55"/>
      <c r="R41" s="55"/>
      <c r="S41" s="55"/>
      <c r="T41" s="55"/>
      <c r="U41" s="55"/>
      <c r="V41" s="55"/>
      <c r="W41" s="23">
        <v>10</v>
      </c>
      <c r="X41" s="8">
        <f t="shared" si="18"/>
        <v>7</v>
      </c>
      <c r="Y41" s="8" t="str">
        <f t="shared" si="19"/>
        <v>DK-EU_dansk_folkeparti_1995_  (n = 202)</v>
      </c>
      <c r="Z41" s="38">
        <f t="shared" si="20"/>
        <v>2.4752475247524754E-2</v>
      </c>
      <c r="AA41" s="38">
        <f t="shared" si="21"/>
        <v>0</v>
      </c>
      <c r="AB41" s="38">
        <f t="shared" si="22"/>
        <v>2.4752475247524754E-2</v>
      </c>
    </row>
    <row r="42" spans="1:28" ht="15" customHeight="1" x14ac:dyDescent="0.25">
      <c r="A42" s="55" t="s">
        <v>250</v>
      </c>
      <c r="B42" s="55" t="s">
        <v>1971</v>
      </c>
      <c r="C42" s="46" cm="1">
        <f t="array" ref="C42">SUMPRODUCT((LEFT($A$9:$A$27,2)=$A42)*$E$9:$E$27)</f>
        <v>667</v>
      </c>
      <c r="D42" s="46" cm="1">
        <f t="array" ref="D42">SUMPRODUCT((LEFT($A$9:$A$27,2)=$A42)*$H$9:$H$27)</f>
        <v>3</v>
      </c>
      <c r="E42" s="46" cm="1">
        <f t="array" ref="E42">SUMPRODUCT((LEFT($A$9:$A$27,2)=$A42)*$J$9:$J$27)</f>
        <v>3</v>
      </c>
      <c r="F42" s="46" cm="1">
        <f t="array" ref="F42">SUMPRODUCT((LEFT($A$9:$A$27,2)=$A42)*$I$9:$I$27)</f>
        <v>0</v>
      </c>
      <c r="G42" s="63"/>
      <c r="H42" s="63"/>
      <c r="I42" s="46" cm="1">
        <f t="array" ref="I42">SUMPRODUCT((LEFT($A$9:$A$27,2)=$A42)*$O$9:$O$27)</f>
        <v>420</v>
      </c>
      <c r="J42" s="46" cm="1">
        <f t="array" ref="J42">SUMPRODUCT((LEFT($A$9:$A$27,2)=$A42)*$R$9:$R$27)</f>
        <v>3</v>
      </c>
      <c r="K42" s="46" cm="1">
        <f t="array" ref="K42">SUMPRODUCT((LEFT($A$9:$A$27,2)=$A42)*$T$9:$T$27)</f>
        <v>3</v>
      </c>
      <c r="L42" s="46" cm="1">
        <f t="array" ref="L42">SUMPRODUCT((LEFT($A$9:$A$27,2)=$A42)*$S$9:$S$27)</f>
        <v>0</v>
      </c>
      <c r="M42" s="63">
        <f t="shared" si="23"/>
        <v>7.1428571428571426E-3</v>
      </c>
      <c r="N42" s="63">
        <f t="shared" si="24"/>
        <v>7.1428571428571426E-3</v>
      </c>
      <c r="O42" s="55"/>
      <c r="P42" s="55"/>
      <c r="Q42" s="55"/>
      <c r="R42" s="55"/>
      <c r="S42" s="55"/>
      <c r="T42" s="55"/>
      <c r="U42" s="55"/>
      <c r="V42" s="55"/>
      <c r="W42" s="23">
        <v>11</v>
      </c>
      <c r="X42" s="8">
        <f t="shared" si="18"/>
        <v>19</v>
      </c>
      <c r="Y42" s="8" t="str">
        <f t="shared" si="19"/>
        <v>UK_thereformpartyuk  (n = 397)</v>
      </c>
      <c r="Z42" s="38">
        <f t="shared" si="20"/>
        <v>2.0151133501259445E-2</v>
      </c>
      <c r="AA42" s="38">
        <f t="shared" si="21"/>
        <v>0</v>
      </c>
      <c r="AB42" s="38">
        <f t="shared" si="22"/>
        <v>2.0151133501259445E-2</v>
      </c>
    </row>
    <row r="43" spans="1:28" ht="15" customHeight="1" x14ac:dyDescent="0.25">
      <c r="A43" s="55" t="s">
        <v>523</v>
      </c>
      <c r="B43" s="55" t="s">
        <v>1974</v>
      </c>
      <c r="C43" s="46" cm="1">
        <f t="array" ref="C43">SUMPRODUCT((LEFT($A$9:$A$27,2)=$A43)*$E$9:$E$27)</f>
        <v>611</v>
      </c>
      <c r="D43" s="46" cm="1">
        <f t="array" ref="D43">SUMPRODUCT((LEFT($A$9:$A$27,2)=$A43)*$H$9:$H$27)</f>
        <v>84</v>
      </c>
      <c r="E43" s="46" cm="1">
        <f t="array" ref="E43">SUMPRODUCT((LEFT($A$9:$A$27,2)=$A43)*$J$9:$J$27)</f>
        <v>71</v>
      </c>
      <c r="F43" s="46" cm="1">
        <f t="array" ref="F43">SUMPRODUCT((LEFT($A$9:$A$27,2)=$A43)*$I$9:$I$27)</f>
        <v>13</v>
      </c>
      <c r="G43" s="63"/>
      <c r="H43" s="63"/>
      <c r="I43" s="46" cm="1">
        <f t="array" ref="I43">SUMPRODUCT((LEFT($A$9:$A$27,2)=$A43)*$O$9:$O$27)</f>
        <v>494</v>
      </c>
      <c r="J43" s="46" cm="1">
        <f t="array" ref="J43">SUMPRODUCT((LEFT($A$9:$A$27,2)=$A43)*$R$9:$R$27)</f>
        <v>84</v>
      </c>
      <c r="K43" s="46" cm="1">
        <f t="array" ref="K43">SUMPRODUCT((LEFT($A$9:$A$27,2)=$A43)*$T$9:$T$27)</f>
        <v>71</v>
      </c>
      <c r="L43" s="46" cm="1">
        <f t="array" ref="L43">SUMPRODUCT((LEFT($A$9:$A$27,2)=$A43)*$S$9:$S$27)</f>
        <v>13</v>
      </c>
      <c r="M43" s="63">
        <f t="shared" si="23"/>
        <v>0.17004048582995951</v>
      </c>
      <c r="N43" s="63">
        <f t="shared" si="24"/>
        <v>0.1437246963562753</v>
      </c>
      <c r="O43" s="55"/>
      <c r="P43" s="55"/>
      <c r="Q43" s="55"/>
      <c r="R43" s="55"/>
      <c r="S43" s="55"/>
      <c r="T43" s="55"/>
      <c r="U43" s="55"/>
      <c r="V43" s="55"/>
      <c r="W43" s="23">
        <v>12</v>
      </c>
      <c r="X43" s="8">
        <f t="shared" si="18"/>
        <v>13</v>
      </c>
      <c r="Y43" s="8" t="str">
        <f t="shared" si="19"/>
        <v>IT-EU_legaofficial  (n = 488)</v>
      </c>
      <c r="Z43" s="38">
        <f t="shared" si="20"/>
        <v>1.8442622950819672E-2</v>
      </c>
      <c r="AA43" s="38">
        <f t="shared" si="21"/>
        <v>0</v>
      </c>
      <c r="AB43" s="38">
        <f t="shared" si="22"/>
        <v>1.8442622950819672E-2</v>
      </c>
    </row>
    <row r="44" spans="1:28" ht="15" customHeight="1" x14ac:dyDescent="0.25">
      <c r="A44" s="55" t="s">
        <v>835</v>
      </c>
      <c r="B44" s="55" t="s">
        <v>1977</v>
      </c>
      <c r="C44" s="46" cm="1">
        <f t="array" ref="C44">SUMPRODUCT((LEFT($A$9:$A$27,2)=$A44)*$E$9:$E$27)</f>
        <v>465</v>
      </c>
      <c r="D44" s="46" cm="1">
        <f t="array" ref="D44">SUMPRODUCT((LEFT($A$9:$A$27,2)=$A44)*$H$9:$H$27)</f>
        <v>11</v>
      </c>
      <c r="E44" s="46" cm="1">
        <f t="array" ref="E44">SUMPRODUCT((LEFT($A$9:$A$27,2)=$A44)*$J$9:$J$27)</f>
        <v>11</v>
      </c>
      <c r="F44" s="46" cm="1">
        <f t="array" ref="F44">SUMPRODUCT((LEFT($A$9:$A$27,2)=$A44)*$I$9:$I$27)</f>
        <v>0</v>
      </c>
      <c r="G44" s="63"/>
      <c r="H44" s="63"/>
      <c r="I44" s="46" cm="1">
        <f t="array" ref="I44">SUMPRODUCT((LEFT($A$9:$A$27,2)=$A44)*$O$9:$O$27)</f>
        <v>421</v>
      </c>
      <c r="J44" s="46" cm="1">
        <f t="array" ref="J44">SUMPRODUCT((LEFT($A$9:$A$27,2)=$A44)*$R$9:$R$27)</f>
        <v>11</v>
      </c>
      <c r="K44" s="46" cm="1">
        <f t="array" ref="K44">SUMPRODUCT((LEFT($A$9:$A$27,2)=$A44)*$T$9:$T$27)</f>
        <v>11</v>
      </c>
      <c r="L44" s="46" cm="1">
        <f t="array" ref="L44">SUMPRODUCT((LEFT($A$9:$A$27,2)=$A44)*$S$9:$S$27)</f>
        <v>0</v>
      </c>
      <c r="M44" s="63">
        <f t="shared" si="23"/>
        <v>2.6128266033254157E-2</v>
      </c>
      <c r="N44" s="63">
        <f t="shared" si="24"/>
        <v>2.6128266033254157E-2</v>
      </c>
      <c r="O44" s="55"/>
      <c r="P44" s="55"/>
      <c r="Q44" s="55"/>
      <c r="R44" s="55"/>
      <c r="S44" s="55"/>
      <c r="T44" s="55"/>
      <c r="U44" s="55"/>
      <c r="V44" s="55"/>
      <c r="W44" s="23">
        <v>13</v>
      </c>
      <c r="X44" s="8">
        <f t="shared" si="18"/>
        <v>4</v>
      </c>
      <c r="Y44" s="8" t="str">
        <f t="shared" si="19"/>
        <v>BE_EU_vlaamsbelang  (n = 183)</v>
      </c>
      <c r="Z44" s="38">
        <f t="shared" si="20"/>
        <v>1.6393442622950821E-2</v>
      </c>
      <c r="AA44" s="38">
        <f t="shared" si="21"/>
        <v>0</v>
      </c>
      <c r="AB44" s="38">
        <f t="shared" si="22"/>
        <v>1.6393442622950821E-2</v>
      </c>
    </row>
    <row r="45" spans="1:28" ht="15" customHeight="1" x14ac:dyDescent="0.25">
      <c r="A45" s="55" t="s">
        <v>1038</v>
      </c>
      <c r="B45" s="55" t="s">
        <v>1972</v>
      </c>
      <c r="C45" s="46" cm="1">
        <f t="array" ref="C45">SUMPRODUCT((LEFT($A$9:$A$27,2)=$A45)*$E$9:$E$27)</f>
        <v>1757</v>
      </c>
      <c r="D45" s="46" cm="1">
        <f t="array" ref="D45">SUMPRODUCT((LEFT($A$9:$A$27,2)=$A45)*$H$9:$H$27)</f>
        <v>41</v>
      </c>
      <c r="E45" s="46" cm="1">
        <f t="array" ref="E45">SUMPRODUCT((LEFT($A$9:$A$27,2)=$A45)*$J$9:$J$27)</f>
        <v>41</v>
      </c>
      <c r="F45" s="46" cm="1">
        <f t="array" ref="F45">SUMPRODUCT((LEFT($A$9:$A$27,2)=$A45)*$I$9:$I$27)</f>
        <v>0</v>
      </c>
      <c r="G45" s="63"/>
      <c r="H45" s="63"/>
      <c r="I45" s="46" cm="1">
        <f t="array" ref="I45">SUMPRODUCT((LEFT($A$9:$A$27,2)=$A45)*$O$9:$O$27)</f>
        <v>1010</v>
      </c>
      <c r="J45" s="46" cm="1">
        <f t="array" ref="J45">SUMPRODUCT((LEFT($A$9:$A$27,2)=$A45)*$R$9:$R$27)</f>
        <v>41</v>
      </c>
      <c r="K45" s="46" cm="1">
        <f t="array" ref="K45">SUMPRODUCT((LEFT($A$9:$A$27,2)=$A45)*$T$9:$T$27)</f>
        <v>41</v>
      </c>
      <c r="L45" s="46" cm="1">
        <f t="array" ref="L45">SUMPRODUCT((LEFT($A$9:$A$27,2)=$A45)*$S$9:$S$27)</f>
        <v>0</v>
      </c>
      <c r="M45" s="63">
        <f t="shared" si="23"/>
        <v>4.0594059405940595E-2</v>
      </c>
      <c r="N45" s="63">
        <f t="shared" si="24"/>
        <v>4.0594059405940595E-2</v>
      </c>
      <c r="O45" s="55"/>
      <c r="P45" s="55"/>
      <c r="Q45" s="55"/>
      <c r="R45" s="55"/>
      <c r="S45" s="55"/>
      <c r="T45" s="55"/>
      <c r="U45" s="55"/>
      <c r="V45" s="55"/>
      <c r="W45" s="23">
        <v>14</v>
      </c>
      <c r="X45" s="8">
        <f t="shared" si="18"/>
        <v>9</v>
      </c>
      <c r="Y45" s="8" t="str">
        <f t="shared" si="19"/>
        <v>ES-EU_santi_abascal  (n = 288)</v>
      </c>
      <c r="Z45" s="38">
        <f t="shared" si="20"/>
        <v>1.3888888888888888E-2</v>
      </c>
      <c r="AA45" s="38">
        <f t="shared" si="21"/>
        <v>0</v>
      </c>
      <c r="AB45" s="38">
        <f t="shared" si="22"/>
        <v>1.3888888888888888E-2</v>
      </c>
    </row>
    <row r="46" spans="1:28" ht="15" customHeight="1" x14ac:dyDescent="0.25">
      <c r="A46" s="55" t="s">
        <v>1218</v>
      </c>
      <c r="B46" s="55" t="s">
        <v>1973</v>
      </c>
      <c r="C46" s="46" cm="1">
        <f t="array" ref="C46">SUMPRODUCT((LEFT($A$9:$A$27,2)=$A46)*$E$9:$E$27)</f>
        <v>1825</v>
      </c>
      <c r="D46" s="46" cm="1">
        <f t="array" ref="D46">SUMPRODUCT((LEFT($A$9:$A$27,2)=$A46)*$H$9:$H$27)</f>
        <v>81</v>
      </c>
      <c r="E46" s="46" cm="1">
        <f t="array" ref="E46">SUMPRODUCT((LEFT($A$9:$A$27,2)=$A46)*$J$9:$J$27)</f>
        <v>24</v>
      </c>
      <c r="F46" s="46" cm="1">
        <f t="array" ref="F46">SUMPRODUCT((LEFT($A$9:$A$27,2)=$A46)*$I$9:$I$27)</f>
        <v>57</v>
      </c>
      <c r="G46" s="63"/>
      <c r="H46" s="63"/>
      <c r="I46" s="46" cm="1">
        <f t="array" ref="I46">SUMPRODUCT((LEFT($A$9:$A$27,2)=$A46)*$O$9:$O$27)</f>
        <v>1340</v>
      </c>
      <c r="J46" s="46" cm="1">
        <f t="array" ref="J46">SUMPRODUCT((LEFT($A$9:$A$27,2)=$A46)*$R$9:$R$27)</f>
        <v>81</v>
      </c>
      <c r="K46" s="46" cm="1">
        <f t="array" ref="K46">SUMPRODUCT((LEFT($A$9:$A$27,2)=$A46)*$T$9:$T$27)</f>
        <v>24</v>
      </c>
      <c r="L46" s="46" cm="1">
        <f t="array" ref="L46">SUMPRODUCT((LEFT($A$9:$A$27,2)=$A46)*$S$9:$S$27)</f>
        <v>57</v>
      </c>
      <c r="M46" s="63">
        <f t="shared" si="23"/>
        <v>6.044776119402985E-2</v>
      </c>
      <c r="N46" s="63">
        <f t="shared" si="24"/>
        <v>1.7910447761194031E-2</v>
      </c>
      <c r="O46" s="55"/>
      <c r="P46" s="55"/>
      <c r="Q46" s="55"/>
      <c r="R46" s="55"/>
      <c r="S46" s="55"/>
      <c r="T46" s="55"/>
      <c r="U46" s="55"/>
      <c r="V46" s="55"/>
      <c r="W46" s="23">
        <v>15</v>
      </c>
      <c r="X46" s="8">
        <f t="shared" si="18"/>
        <v>1</v>
      </c>
      <c r="Y46" s="8" t="str">
        <f t="shared" si="19"/>
        <v>AU_onenationoz  (n = 428)</v>
      </c>
      <c r="Z46" s="38">
        <f t="shared" si="20"/>
        <v>0</v>
      </c>
      <c r="AA46" s="38">
        <f t="shared" si="21"/>
        <v>0</v>
      </c>
      <c r="AB46" s="38">
        <f t="shared" si="22"/>
        <v>0</v>
      </c>
    </row>
    <row r="47" spans="1:28" ht="15" customHeight="1" x14ac:dyDescent="0.25">
      <c r="A47" s="55" t="s">
        <v>1455</v>
      </c>
      <c r="B47" s="55" t="s">
        <v>1975</v>
      </c>
      <c r="C47" s="46" cm="1">
        <f t="array" ref="C47">SUMPRODUCT((LEFT($A$9:$A$27,2)=$A47)*$E$9:$E$27)</f>
        <v>1889</v>
      </c>
      <c r="D47" s="46" cm="1">
        <f t="array" ref="D47">SUMPRODUCT((LEFT($A$9:$A$27,2)=$A47)*$H$9:$H$27)</f>
        <v>39</v>
      </c>
      <c r="E47" s="46" cm="1">
        <f t="array" ref="E47">SUMPRODUCT((LEFT($A$9:$A$27,2)=$A47)*$J$9:$J$27)</f>
        <v>39</v>
      </c>
      <c r="F47" s="46" cm="1">
        <f t="array" ref="F47">SUMPRODUCT((LEFT($A$9:$A$27,2)=$A47)*$I$9:$I$27)</f>
        <v>0</v>
      </c>
      <c r="G47" s="63"/>
      <c r="H47" s="63"/>
      <c r="I47" s="46" cm="1">
        <f t="array" ref="I47">SUMPRODUCT((LEFT($A$9:$A$27,2)=$A47)*$O$9:$O$27)</f>
        <v>1331</v>
      </c>
      <c r="J47" s="46" cm="1">
        <f t="array" ref="J47">SUMPRODUCT((LEFT($A$9:$A$27,2)=$A47)*$R$9:$R$27)</f>
        <v>39</v>
      </c>
      <c r="K47" s="46" cm="1">
        <f t="array" ref="K47">SUMPRODUCT((LEFT($A$9:$A$27,2)=$A47)*$T$9:$T$27)</f>
        <v>39</v>
      </c>
      <c r="L47" s="46" cm="1">
        <f t="array" ref="L47">SUMPRODUCT((LEFT($A$9:$A$27,2)=$A47)*$S$9:$S$27)</f>
        <v>0</v>
      </c>
      <c r="M47" s="63">
        <f t="shared" si="23"/>
        <v>2.9301277235161533E-2</v>
      </c>
      <c r="N47" s="63">
        <f t="shared" si="24"/>
        <v>2.9301277235161533E-2</v>
      </c>
      <c r="O47" s="55"/>
      <c r="P47" s="55"/>
      <c r="Q47" s="55"/>
      <c r="R47" s="55"/>
      <c r="S47" s="55"/>
      <c r="T47" s="55"/>
      <c r="U47" s="55"/>
      <c r="V47" s="55"/>
      <c r="W47" s="23">
        <v>16</v>
      </c>
      <c r="X47" s="8">
        <f t="shared" si="18"/>
        <v>2</v>
      </c>
      <c r="Y47" s="8" t="str">
        <f t="shared" si="19"/>
        <v>AU_senatorpaulinehanson  (n = 21)</v>
      </c>
      <c r="Z47" s="38">
        <f t="shared" si="20"/>
        <v>0</v>
      </c>
      <c r="AA47" s="38">
        <f t="shared" si="21"/>
        <v>0</v>
      </c>
      <c r="AB47" s="38">
        <f t="shared" si="22"/>
        <v>0</v>
      </c>
    </row>
    <row r="48" spans="1:28" ht="15" customHeight="1" x14ac:dyDescent="0.25">
      <c r="A48" s="55" t="s">
        <v>1573</v>
      </c>
      <c r="B48" s="55" t="s">
        <v>1978</v>
      </c>
      <c r="C48" s="46" cm="1">
        <f t="array" ref="C48">SUMPRODUCT((LEFT($A$9:$A$27,2)=$A48)*$E$9:$E$27)</f>
        <v>242</v>
      </c>
      <c r="D48" s="46" cm="1">
        <f t="array" ref="D48">SUMPRODUCT((LEFT($A$9:$A$27,2)=$A48)*$H$9:$H$27)</f>
        <v>20</v>
      </c>
      <c r="E48" s="46" cm="1">
        <f t="array" ref="E48">SUMPRODUCT((LEFT($A$9:$A$27,2)=$A48)*$J$9:$J$27)</f>
        <v>20</v>
      </c>
      <c r="F48" s="46" cm="1">
        <f t="array" ref="F48">SUMPRODUCT((LEFT($A$9:$A$27,2)=$A48)*$I$9:$I$27)</f>
        <v>0</v>
      </c>
      <c r="G48" s="63"/>
      <c r="H48" s="63"/>
      <c r="I48" s="46" cm="1">
        <f t="array" ref="I48">SUMPRODUCT((LEFT($A$9:$A$27,2)=$A48)*$O$9:$O$27)</f>
        <v>242</v>
      </c>
      <c r="J48" s="46" cm="1">
        <f t="array" ref="J48">SUMPRODUCT((LEFT($A$9:$A$27,2)=$A48)*$R$9:$R$27)</f>
        <v>20</v>
      </c>
      <c r="K48" s="46" cm="1">
        <f t="array" ref="K48">SUMPRODUCT((LEFT($A$9:$A$27,2)=$A48)*$T$9:$T$27)</f>
        <v>20</v>
      </c>
      <c r="L48" s="46" cm="1">
        <f t="array" ref="L48">SUMPRODUCT((LEFT($A$9:$A$27,2)=$A48)*$S$9:$S$27)</f>
        <v>0</v>
      </c>
      <c r="M48" s="63">
        <f t="shared" si="23"/>
        <v>8.2644628099173556E-2</v>
      </c>
      <c r="N48" s="63">
        <f t="shared" si="24"/>
        <v>8.2644628099173556E-2</v>
      </c>
      <c r="O48" s="55"/>
      <c r="P48" s="55"/>
      <c r="Q48" s="55"/>
      <c r="R48" s="55"/>
      <c r="S48" s="55"/>
      <c r="T48" s="55"/>
      <c r="U48" s="55"/>
      <c r="V48" s="55"/>
      <c r="W48" s="23">
        <v>17</v>
      </c>
      <c r="X48" s="8">
        <f t="shared" si="18"/>
        <v>3</v>
      </c>
      <c r="Y48" s="8" t="str">
        <f t="shared" si="19"/>
        <v>BE_EU-vangriekentom  (n = 237)</v>
      </c>
      <c r="Z48" s="38">
        <f t="shared" si="20"/>
        <v>0</v>
      </c>
      <c r="AA48" s="38">
        <f t="shared" si="21"/>
        <v>0</v>
      </c>
      <c r="AB48" s="38">
        <f t="shared" si="22"/>
        <v>0</v>
      </c>
    </row>
    <row r="49" spans="1:28" ht="15" customHeight="1" x14ac:dyDescent="0.25">
      <c r="A49" s="55" t="s">
        <v>1755</v>
      </c>
      <c r="B49" s="55" t="s">
        <v>1976</v>
      </c>
      <c r="C49" s="46" cm="1">
        <f t="array" ref="C49">SUMPRODUCT((LEFT($A$9:$A$27,2)=$A49)*$E$9:$E$27)</f>
        <v>540</v>
      </c>
      <c r="D49" s="46" cm="1">
        <f t="array" ref="D49">SUMPRODUCT((LEFT($A$9:$A$27,2)=$A49)*$H$9:$H$27)</f>
        <v>8</v>
      </c>
      <c r="E49" s="46" cm="1">
        <f t="array" ref="E49">SUMPRODUCT((LEFT($A$9:$A$27,2)=$A49)*$J$9:$J$27)</f>
        <v>8</v>
      </c>
      <c r="F49" s="46" cm="1">
        <f t="array" ref="F49">SUMPRODUCT((LEFT($A$9:$A$27,2)=$A49)*$I$9:$I$27)</f>
        <v>0</v>
      </c>
      <c r="G49" s="63"/>
      <c r="H49" s="63"/>
      <c r="I49" s="46" cm="1">
        <f t="array" ref="I49">SUMPRODUCT((LEFT($A$9:$A$27,2)=$A49)*$O$9:$O$27)</f>
        <v>499</v>
      </c>
      <c r="J49" s="46" cm="1">
        <f t="array" ref="J49">SUMPRODUCT((LEFT($A$9:$A$27,2)=$A49)*$R$9:$R$27)</f>
        <v>8</v>
      </c>
      <c r="K49" s="46" cm="1">
        <f t="array" ref="K49">SUMPRODUCT((LEFT($A$9:$A$27,2)=$A49)*$T$9:$T$27)</f>
        <v>8</v>
      </c>
      <c r="L49" s="46" cm="1">
        <f t="array" ref="L49">SUMPRODUCT((LEFT($A$9:$A$27,2)=$A49)*$S$9:$S$27)</f>
        <v>0</v>
      </c>
      <c r="M49" s="63">
        <f t="shared" si="23"/>
        <v>1.6032064128256512E-2</v>
      </c>
      <c r="N49" s="63">
        <f t="shared" si="24"/>
        <v>1.6032064128256512E-2</v>
      </c>
      <c r="O49" s="55"/>
      <c r="P49" s="55"/>
      <c r="Q49" s="55"/>
      <c r="R49" s="55"/>
      <c r="S49" s="55"/>
      <c r="T49" s="55"/>
      <c r="U49" s="55"/>
      <c r="V49" s="55"/>
      <c r="W49" s="23">
        <v>18</v>
      </c>
      <c r="X49" s="8">
        <f t="shared" si="18"/>
        <v>17</v>
      </c>
      <c r="Y49" s="8" t="str">
        <f t="shared" si="19"/>
        <v>NL_partijvoordevrijheidnl  (n = 11)</v>
      </c>
      <c r="Z49" s="38">
        <f t="shared" si="20"/>
        <v>0</v>
      </c>
      <c r="AA49" s="38">
        <f t="shared" si="21"/>
        <v>0</v>
      </c>
      <c r="AB49" s="38">
        <f t="shared" si="22"/>
        <v>0</v>
      </c>
    </row>
    <row r="50" spans="1:28" ht="15" customHeight="1" x14ac:dyDescent="0.25">
      <c r="A50" s="66" t="s">
        <v>44</v>
      </c>
      <c r="B50" s="66"/>
      <c r="C50" s="47">
        <f>SUM(C41:C49)</f>
        <v>8454</v>
      </c>
      <c r="D50" s="47">
        <f>SUM(D41:D49)</f>
        <v>287</v>
      </c>
      <c r="E50" s="47">
        <f>SUM(E41:E49)</f>
        <v>217</v>
      </c>
      <c r="F50" s="47">
        <f>SUM(F41:F49)</f>
        <v>70</v>
      </c>
      <c r="G50" s="67"/>
      <c r="H50" s="67"/>
      <c r="I50" s="47">
        <f>SUM(I41:I49)</f>
        <v>6206</v>
      </c>
      <c r="J50" s="47">
        <f>SUM(J41:J49)</f>
        <v>287</v>
      </c>
      <c r="K50" s="47">
        <f>SUM(K41:K49)</f>
        <v>217</v>
      </c>
      <c r="L50" s="47">
        <f>SUM(L41:L49)</f>
        <v>70</v>
      </c>
      <c r="M50" s="67">
        <f t="shared" si="23"/>
        <v>4.6245568804382853E-2</v>
      </c>
      <c r="N50" s="67">
        <f t="shared" si="24"/>
        <v>3.4966161778923623E-2</v>
      </c>
      <c r="O50" s="55"/>
      <c r="P50" s="55"/>
      <c r="Q50" s="55"/>
      <c r="R50" s="55"/>
      <c r="S50" s="55"/>
      <c r="T50" s="55"/>
      <c r="U50" s="55"/>
      <c r="V50" s="55"/>
      <c r="W50" s="24">
        <v>19</v>
      </c>
      <c r="X50" s="12">
        <f t="shared" si="18"/>
        <v>18</v>
      </c>
      <c r="Y50" s="12" t="str">
        <f t="shared" si="19"/>
        <v>UK_nigel_farage  (n = 102)</v>
      </c>
      <c r="Z50" s="39">
        <f t="shared" si="20"/>
        <v>0</v>
      </c>
      <c r="AA50" s="39">
        <f t="shared" si="21"/>
        <v>0</v>
      </c>
      <c r="AB50" s="39">
        <f t="shared" si="22"/>
        <v>0</v>
      </c>
    </row>
    <row r="51" spans="1:28" ht="1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</row>
    <row r="52" spans="1:28" ht="40.5" customHeight="1" x14ac:dyDescent="0.25">
      <c r="A52" s="101" t="s">
        <v>3825</v>
      </c>
      <c r="B52" s="69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</sheetData>
  <mergeCells count="7">
    <mergeCell ref="A1:V1"/>
    <mergeCell ref="A2:AE2"/>
    <mergeCell ref="A3:AE3"/>
    <mergeCell ref="A4:AE4"/>
    <mergeCell ref="C7:E7"/>
    <mergeCell ref="F7:L7"/>
    <mergeCell ref="M7:V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AABD-8D61-4806-BFC4-8D202A6ABC18}">
  <sheetPr>
    <tabColor rgb="FF375623"/>
  </sheetPr>
  <dimension ref="A1:BB71"/>
  <sheetViews>
    <sheetView showGridLines="0" zoomScaleNormal="100" workbookViewId="0">
      <selection activeCell="C57" sqref="C57"/>
    </sheetView>
  </sheetViews>
  <sheetFormatPr defaultRowHeight="15" x14ac:dyDescent="0.25"/>
  <cols>
    <col min="1" max="1" width="26" customWidth="1"/>
    <col min="2" max="2" width="10" customWidth="1"/>
    <col min="3" max="3" width="9.140625" customWidth="1"/>
    <col min="4" max="4" width="14" customWidth="1"/>
    <col min="5" max="5" width="35.85546875" customWidth="1"/>
    <col min="6" max="11" width="14.140625" customWidth="1"/>
    <col min="14" max="14" width="13.85546875" customWidth="1"/>
    <col min="15" max="15" width="9.85546875" customWidth="1"/>
  </cols>
  <sheetData>
    <row r="1" spans="1:54" ht="15.6" customHeight="1" x14ac:dyDescent="0.25">
      <c r="A1" s="107" t="s">
        <v>3682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</row>
    <row r="2" spans="1:54" ht="27.95" customHeight="1" x14ac:dyDescent="0.25">
      <c r="A2" s="128" t="s">
        <v>3826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7.9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5" customHeight="1" x14ac:dyDescent="0.25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</row>
    <row r="5" spans="1:54" ht="15.6" customHeight="1" x14ac:dyDescent="0.25">
      <c r="A5" s="129" t="s">
        <v>3827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</row>
    <row r="7" spans="1:54" ht="15.6" customHeight="1" x14ac:dyDescent="0.25">
      <c r="A7" s="112" t="s">
        <v>3828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</row>
    <row r="8" spans="1:54" ht="39" x14ac:dyDescent="0.25">
      <c r="A8" s="27" t="s">
        <v>3624</v>
      </c>
      <c r="B8" s="28" t="s">
        <v>3623</v>
      </c>
      <c r="C8" s="28" t="s">
        <v>3622</v>
      </c>
      <c r="D8" s="28" t="s">
        <v>3621</v>
      </c>
      <c r="E8" s="28" t="s">
        <v>3620</v>
      </c>
      <c r="F8" s="28" t="s">
        <v>3619</v>
      </c>
      <c r="G8" s="28" t="s">
        <v>3618</v>
      </c>
      <c r="H8" s="28" t="s">
        <v>3617</v>
      </c>
      <c r="I8" s="29"/>
    </row>
    <row r="9" spans="1:54" x14ac:dyDescent="0.25">
      <c r="A9" s="36" t="s">
        <v>7</v>
      </c>
      <c r="B9" s="33" t="s">
        <v>3614</v>
      </c>
      <c r="C9" s="33" t="s">
        <v>3600</v>
      </c>
      <c r="D9" s="33" t="s">
        <v>3608</v>
      </c>
      <c r="E9" s="33" t="s">
        <v>3604</v>
      </c>
      <c r="F9" s="33" t="s">
        <v>3599</v>
      </c>
      <c r="G9" s="33" t="s">
        <v>3580</v>
      </c>
      <c r="H9" s="33" t="s">
        <v>3572</v>
      </c>
      <c r="I9" s="26"/>
    </row>
    <row r="10" spans="1:54" x14ac:dyDescent="0.25">
      <c r="A10" s="31" t="s">
        <v>15</v>
      </c>
      <c r="B10" s="34">
        <f t="shared" ref="B10:B17" si="0">INDEX($E$64:$E$71,MATCH($A10,$A$64:$A$71,0))</f>
        <v>14.372</v>
      </c>
      <c r="C10" s="34">
        <v>9.2629999999999999</v>
      </c>
      <c r="D10" s="34">
        <v>7.6319999999999997</v>
      </c>
      <c r="E10" s="34">
        <v>9.3889999999999993</v>
      </c>
      <c r="F10" s="34">
        <v>9.9469999999999992</v>
      </c>
      <c r="G10" s="34">
        <v>9.5709999999999997</v>
      </c>
      <c r="H10" s="34">
        <v>8</v>
      </c>
      <c r="I10" s="26"/>
    </row>
    <row r="11" spans="1:54" x14ac:dyDescent="0.25">
      <c r="A11" s="31" t="s">
        <v>37</v>
      </c>
      <c r="B11" s="34">
        <f t="shared" si="0"/>
        <v>8.2639999999999993</v>
      </c>
      <c r="C11" s="34">
        <v>9.0830000000000002</v>
      </c>
      <c r="D11" s="34">
        <v>6.3330000000000002</v>
      </c>
      <c r="E11" s="34">
        <v>8.0909999999999993</v>
      </c>
      <c r="F11" s="34">
        <v>9.8330000000000002</v>
      </c>
      <c r="G11" s="34">
        <v>6</v>
      </c>
      <c r="H11" s="34">
        <v>4.5</v>
      </c>
      <c r="I11" s="26"/>
    </row>
    <row r="12" spans="1:54" x14ac:dyDescent="0.25">
      <c r="A12" s="31" t="s">
        <v>23</v>
      </c>
      <c r="B12" s="34">
        <f t="shared" si="0"/>
        <v>4.0590000000000002</v>
      </c>
      <c r="C12" s="34">
        <v>9.375</v>
      </c>
      <c r="D12" s="34">
        <v>9</v>
      </c>
      <c r="E12" s="34">
        <v>9.5</v>
      </c>
      <c r="F12" s="34">
        <v>9.6880000000000006</v>
      </c>
      <c r="G12" s="34">
        <v>9.625</v>
      </c>
      <c r="H12" s="34">
        <v>4.8</v>
      </c>
      <c r="I12" s="26"/>
    </row>
    <row r="13" spans="1:54" x14ac:dyDescent="0.25">
      <c r="A13" s="31" t="s">
        <v>31</v>
      </c>
      <c r="B13" s="34">
        <f t="shared" si="0"/>
        <v>2.93</v>
      </c>
      <c r="C13" s="34">
        <v>8.6669999999999998</v>
      </c>
      <c r="D13" s="34">
        <v>6.8</v>
      </c>
      <c r="E13" s="34">
        <v>8.8670000000000009</v>
      </c>
      <c r="F13" s="34">
        <v>9.8670000000000009</v>
      </c>
      <c r="G13" s="34">
        <v>9.125</v>
      </c>
      <c r="H13" s="34">
        <v>6.375</v>
      </c>
      <c r="I13" s="26"/>
    </row>
    <row r="14" spans="1:54" x14ac:dyDescent="0.25">
      <c r="A14" s="31" t="s">
        <v>3567</v>
      </c>
      <c r="B14" s="34">
        <f t="shared" si="0"/>
        <v>2.613</v>
      </c>
      <c r="C14" s="34">
        <v>8</v>
      </c>
      <c r="D14" s="34">
        <v>5.5449999999999999</v>
      </c>
      <c r="E14" s="34">
        <v>7.6360000000000001</v>
      </c>
      <c r="F14" s="34">
        <v>9</v>
      </c>
      <c r="G14" s="34">
        <v>8.8330000000000002</v>
      </c>
      <c r="H14" s="34">
        <v>5</v>
      </c>
      <c r="I14" s="26"/>
    </row>
    <row r="15" spans="1:54" x14ac:dyDescent="0.25">
      <c r="A15" s="31" t="s">
        <v>27</v>
      </c>
      <c r="B15" s="34">
        <f t="shared" si="0"/>
        <v>1.7909999999999999</v>
      </c>
      <c r="C15" s="34">
        <v>8.8179999999999996</v>
      </c>
      <c r="D15" s="34">
        <v>6</v>
      </c>
      <c r="E15" s="34">
        <v>8.3640000000000008</v>
      </c>
      <c r="F15" s="34">
        <v>9.5449999999999999</v>
      </c>
      <c r="G15" s="34">
        <v>10</v>
      </c>
      <c r="H15" s="34">
        <v>7</v>
      </c>
      <c r="I15" s="26"/>
    </row>
    <row r="16" spans="1:54" x14ac:dyDescent="0.25">
      <c r="A16" s="31" t="s">
        <v>41</v>
      </c>
      <c r="B16" s="34">
        <f t="shared" si="0"/>
        <v>1.603</v>
      </c>
      <c r="C16" s="34">
        <v>9.2379999999999995</v>
      </c>
      <c r="D16" s="34">
        <v>8.3889999999999993</v>
      </c>
      <c r="E16" s="34">
        <v>9.1</v>
      </c>
      <c r="F16" s="34">
        <v>9.81</v>
      </c>
      <c r="G16" s="34">
        <v>9.8179999999999996</v>
      </c>
      <c r="H16" s="34">
        <v>6.556</v>
      </c>
      <c r="I16" s="26"/>
    </row>
    <row r="17" spans="1:54" x14ac:dyDescent="0.25">
      <c r="A17" s="32" t="s">
        <v>3566</v>
      </c>
      <c r="B17" s="35">
        <f t="shared" si="0"/>
        <v>0.71399999999999997</v>
      </c>
      <c r="C17" s="35">
        <v>9.1999999999999993</v>
      </c>
      <c r="D17" s="35">
        <v>7</v>
      </c>
      <c r="E17" s="35">
        <v>8.9</v>
      </c>
      <c r="F17" s="35">
        <v>9.9</v>
      </c>
      <c r="G17" s="35">
        <v>9.25</v>
      </c>
      <c r="H17" s="35">
        <v>7.6669999999999998</v>
      </c>
      <c r="I17" s="30"/>
    </row>
    <row r="18" spans="1:5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54" x14ac:dyDescent="0.25">
      <c r="A19" s="104"/>
    </row>
    <row r="21" spans="1:5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54" ht="15.6" customHeight="1" x14ac:dyDescent="0.25">
      <c r="A22" s="126" t="s">
        <v>3860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</row>
    <row r="23" spans="1:54" ht="15.6" customHeight="1" x14ac:dyDescent="0.25">
      <c r="A23" s="127" t="s">
        <v>3829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</row>
    <row r="24" spans="1:54" ht="15.6" customHeight="1" x14ac:dyDescent="0.25">
      <c r="A24" s="127" t="s">
        <v>3830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</row>
    <row r="58" spans="1:54" ht="15.6" customHeight="1" x14ac:dyDescent="0.25">
      <c r="A58" s="111" t="s">
        <v>3831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</row>
    <row r="59" spans="1:54" ht="15.6" customHeight="1" x14ac:dyDescent="0.25">
      <c r="A59" s="128" t="s">
        <v>3832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</row>
    <row r="60" spans="1:54" x14ac:dyDescent="0.25">
      <c r="A60" t="s">
        <v>3859</v>
      </c>
    </row>
    <row r="61" spans="1:54" ht="15" customHeight="1" x14ac:dyDescent="0.25">
      <c r="A61" s="125" t="s">
        <v>3861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</row>
    <row r="63" spans="1:54" ht="39" x14ac:dyDescent="0.25">
      <c r="A63" s="9" t="s">
        <v>7</v>
      </c>
      <c r="B63" s="10" t="s">
        <v>3616</v>
      </c>
      <c r="C63" s="10" t="s">
        <v>3615</v>
      </c>
      <c r="D63" s="10" t="s">
        <v>3</v>
      </c>
      <c r="E63" s="10" t="s">
        <v>3614</v>
      </c>
      <c r="F63" s="10" t="s">
        <v>3613</v>
      </c>
      <c r="G63" s="10" t="s">
        <v>3612</v>
      </c>
      <c r="H63" s="10" t="s">
        <v>3611</v>
      </c>
      <c r="I63" s="10" t="s">
        <v>3610</v>
      </c>
      <c r="J63" s="10" t="s">
        <v>3609</v>
      </c>
      <c r="K63" s="10" t="s">
        <v>3608</v>
      </c>
      <c r="L63" s="10" t="s">
        <v>3607</v>
      </c>
      <c r="M63" s="10" t="s">
        <v>3606</v>
      </c>
      <c r="N63" s="10" t="s">
        <v>3605</v>
      </c>
      <c r="O63" s="10" t="s">
        <v>3604</v>
      </c>
      <c r="P63" s="10" t="s">
        <v>3603</v>
      </c>
      <c r="Q63" s="10" t="s">
        <v>3602</v>
      </c>
      <c r="R63" s="10" t="s">
        <v>3601</v>
      </c>
      <c r="S63" s="10" t="s">
        <v>3600</v>
      </c>
      <c r="T63" s="10" t="s">
        <v>3599</v>
      </c>
      <c r="U63" s="10" t="s">
        <v>3598</v>
      </c>
      <c r="V63" s="10" t="s">
        <v>3597</v>
      </c>
      <c r="W63" s="10" t="s">
        <v>3596</v>
      </c>
      <c r="X63" s="10" t="s">
        <v>3595</v>
      </c>
      <c r="Y63" s="10" t="s">
        <v>3594</v>
      </c>
      <c r="Z63" s="10" t="s">
        <v>3593</v>
      </c>
      <c r="AA63" s="10" t="s">
        <v>3592</v>
      </c>
      <c r="AB63" s="10" t="s">
        <v>3591</v>
      </c>
      <c r="AC63" s="10" t="s">
        <v>3590</v>
      </c>
      <c r="AD63" s="10" t="s">
        <v>3589</v>
      </c>
      <c r="AE63" s="10" t="s">
        <v>3588</v>
      </c>
      <c r="AF63" s="10" t="s">
        <v>3587</v>
      </c>
      <c r="AG63" s="10" t="s">
        <v>3586</v>
      </c>
      <c r="AH63" s="10" t="s">
        <v>3585</v>
      </c>
      <c r="AI63" s="10" t="s">
        <v>3584</v>
      </c>
      <c r="AJ63" s="10" t="s">
        <v>3583</v>
      </c>
      <c r="AK63" s="10" t="s">
        <v>3582</v>
      </c>
      <c r="AL63" s="10" t="s">
        <v>3581</v>
      </c>
      <c r="AM63" s="10" t="s">
        <v>3580</v>
      </c>
      <c r="AN63" s="10" t="s">
        <v>3579</v>
      </c>
      <c r="AO63" s="10" t="s">
        <v>3578</v>
      </c>
      <c r="AP63" s="10" t="s">
        <v>3577</v>
      </c>
      <c r="AQ63" s="10" t="s">
        <v>3576</v>
      </c>
      <c r="AR63" s="10" t="s">
        <v>3575</v>
      </c>
      <c r="AS63" s="10" t="s">
        <v>3574</v>
      </c>
      <c r="AT63" s="10" t="s">
        <v>3573</v>
      </c>
      <c r="AU63" s="10" t="s">
        <v>3572</v>
      </c>
      <c r="AV63" s="10" t="s">
        <v>3571</v>
      </c>
      <c r="AW63" s="10" t="s">
        <v>3570</v>
      </c>
      <c r="AX63" s="10" t="s">
        <v>3569</v>
      </c>
      <c r="AY63" s="10" t="s">
        <v>3568</v>
      </c>
    </row>
    <row r="64" spans="1:54" x14ac:dyDescent="0.25">
      <c r="A64" s="13" t="s">
        <v>15</v>
      </c>
      <c r="B64" s="7">
        <v>310</v>
      </c>
      <c r="C64" s="7" cm="1">
        <f t="array" ref="C64">SUMPRODUCT((README!$D$20:$D$38=$A64)*README!$C$20:$C$38)</f>
        <v>494</v>
      </c>
      <c r="D64" s="7" cm="1">
        <f t="array" ref="D64">SUMPRODUCT((README!$D$20:$D$38=$A64)*README!$E$20:$E$38)</f>
        <v>71</v>
      </c>
      <c r="E64" s="7">
        <f t="shared" ref="E64:E71" si="1">ROUND(100*D64/C64,3)</f>
        <v>14.372</v>
      </c>
      <c r="F64" s="7">
        <v>10.3</v>
      </c>
      <c r="G64" s="7">
        <v>1.895</v>
      </c>
      <c r="H64" s="7">
        <v>7.2220000000000004</v>
      </c>
      <c r="I64" s="7">
        <v>3.6669999999999998</v>
      </c>
      <c r="J64" s="7">
        <v>2.6669999999999998</v>
      </c>
      <c r="K64" s="7">
        <v>7.6319999999999997</v>
      </c>
      <c r="L64" s="7">
        <v>6.2</v>
      </c>
      <c r="M64" s="7">
        <v>4.8570000000000002</v>
      </c>
      <c r="N64" s="7">
        <v>4</v>
      </c>
      <c r="O64" s="7">
        <v>9.3889999999999993</v>
      </c>
      <c r="P64" s="7">
        <v>0.75</v>
      </c>
      <c r="Q64" s="7">
        <v>2.444</v>
      </c>
      <c r="R64" s="7">
        <v>8.6669999999999998</v>
      </c>
      <c r="S64" s="7">
        <v>9.2629999999999999</v>
      </c>
      <c r="T64" s="7">
        <v>9.9469999999999992</v>
      </c>
      <c r="U64" s="7">
        <v>9.9469999999999992</v>
      </c>
      <c r="V64" s="7">
        <v>1.0529999999999999</v>
      </c>
      <c r="W64" s="7">
        <v>9.8889999999999993</v>
      </c>
      <c r="X64" s="7">
        <v>9.3160000000000007</v>
      </c>
      <c r="Y64" s="7">
        <v>7.0590000000000002</v>
      </c>
      <c r="Z64" s="7">
        <v>3.9409999999999998</v>
      </c>
      <c r="AA64" s="7">
        <v>9.4440000000000008</v>
      </c>
      <c r="AB64" s="7">
        <v>5.8890000000000002</v>
      </c>
      <c r="AC64" s="7">
        <v>9</v>
      </c>
      <c r="AD64" s="7">
        <v>4.444</v>
      </c>
      <c r="AE64" s="7">
        <v>7.1</v>
      </c>
      <c r="AF64" s="7">
        <v>6.6</v>
      </c>
      <c r="AG64" s="7">
        <v>9.1110000000000007</v>
      </c>
      <c r="AH64" s="7">
        <v>7.3330000000000002</v>
      </c>
      <c r="AI64" s="7">
        <v>8.2219999999999995</v>
      </c>
      <c r="AJ64" s="7">
        <v>6.75</v>
      </c>
      <c r="AK64" s="7">
        <v>4.8570000000000002</v>
      </c>
      <c r="AL64" s="7">
        <v>10</v>
      </c>
      <c r="AM64" s="7">
        <v>9.5709999999999997</v>
      </c>
      <c r="AN64" s="7">
        <v>6.7</v>
      </c>
      <c r="AO64" s="7">
        <v>7</v>
      </c>
      <c r="AP64" s="7">
        <v>4.25</v>
      </c>
      <c r="AQ64" s="7">
        <v>7.2729999999999997</v>
      </c>
      <c r="AR64" s="7">
        <v>9.5</v>
      </c>
      <c r="AS64" s="7">
        <v>4.5709999999999997</v>
      </c>
      <c r="AT64" s="7">
        <v>9.75</v>
      </c>
      <c r="AU64" s="7">
        <v>8</v>
      </c>
      <c r="AV64" s="7">
        <v>9</v>
      </c>
      <c r="AW64" s="7">
        <v>1.167</v>
      </c>
      <c r="AX64" s="7">
        <v>2.4289999999999998</v>
      </c>
      <c r="AY64" s="7">
        <v>8.4</v>
      </c>
    </row>
    <row r="65" spans="1:51" x14ac:dyDescent="0.25">
      <c r="A65" s="13" t="s">
        <v>37</v>
      </c>
      <c r="B65" s="7">
        <v>1017</v>
      </c>
      <c r="C65" s="7" cm="1">
        <f t="array" ref="C65">SUMPRODUCT((README!$D$20:$D$38=$A65)*README!$C$20:$C$38)</f>
        <v>242</v>
      </c>
      <c r="D65" s="7" cm="1">
        <f t="array" ref="D65">SUMPRODUCT((README!$D$20:$D$38=$A65)*README!$E$20:$E$38)</f>
        <v>20</v>
      </c>
      <c r="E65" s="7">
        <f t="shared" si="1"/>
        <v>8.2639999999999993</v>
      </c>
      <c r="F65" s="7">
        <v>23.49</v>
      </c>
      <c r="G65" s="7">
        <v>1.5</v>
      </c>
      <c r="H65" s="7">
        <v>6.5</v>
      </c>
      <c r="I65" s="7">
        <v>1.167</v>
      </c>
      <c r="J65" s="7">
        <v>2.6669999999999998</v>
      </c>
      <c r="K65" s="7">
        <v>6.3330000000000002</v>
      </c>
      <c r="L65" s="7">
        <v>6.8</v>
      </c>
      <c r="M65" s="7">
        <v>3.6669999999999998</v>
      </c>
      <c r="N65" s="7">
        <v>4.9169999999999998</v>
      </c>
      <c r="O65" s="7">
        <v>8.0909999999999993</v>
      </c>
      <c r="P65" s="7">
        <v>3.4289999999999998</v>
      </c>
      <c r="Q65" s="7">
        <v>0</v>
      </c>
      <c r="R65" s="7">
        <v>7</v>
      </c>
      <c r="S65" s="7">
        <v>9.0830000000000002</v>
      </c>
      <c r="T65" s="7">
        <v>9.8330000000000002</v>
      </c>
      <c r="U65" s="7">
        <v>9.8330000000000002</v>
      </c>
      <c r="V65" s="7">
        <v>0.375</v>
      </c>
      <c r="W65" s="7">
        <v>9.5449999999999999</v>
      </c>
      <c r="X65" s="7">
        <v>8.7780000000000005</v>
      </c>
      <c r="Y65" s="7">
        <v>5.2220000000000004</v>
      </c>
      <c r="Z65" s="7">
        <v>4.8890000000000002</v>
      </c>
      <c r="AA65" s="7">
        <v>8.8330000000000002</v>
      </c>
      <c r="AB65" s="7">
        <v>4.5999999999999996</v>
      </c>
      <c r="AC65" s="7">
        <v>7.6</v>
      </c>
      <c r="AD65" s="7">
        <v>2.4</v>
      </c>
      <c r="AE65" s="7">
        <v>8</v>
      </c>
      <c r="AF65" s="7">
        <v>5</v>
      </c>
      <c r="AG65" s="7">
        <v>9.8000000000000007</v>
      </c>
      <c r="AH65" s="7">
        <v>6.6</v>
      </c>
      <c r="AI65" s="7">
        <v>7.2</v>
      </c>
      <c r="AJ65" s="7">
        <v>2.75</v>
      </c>
      <c r="AK65" s="7">
        <v>6.8570000000000002</v>
      </c>
      <c r="AL65" s="7">
        <v>9.5</v>
      </c>
      <c r="AM65" s="7">
        <v>6</v>
      </c>
      <c r="AN65" s="7">
        <v>5.5709999999999997</v>
      </c>
      <c r="AO65" s="7">
        <v>8</v>
      </c>
      <c r="AP65" s="7">
        <v>6</v>
      </c>
      <c r="AQ65" s="7">
        <v>9.3330000000000002</v>
      </c>
      <c r="AR65" s="7">
        <v>9</v>
      </c>
      <c r="AS65" s="7">
        <v>2.8</v>
      </c>
      <c r="AT65" s="7">
        <v>9.75</v>
      </c>
      <c r="AU65" s="7">
        <v>4.5</v>
      </c>
      <c r="AV65" s="7">
        <v>9.6669999999999998</v>
      </c>
      <c r="AW65" s="7">
        <v>1</v>
      </c>
      <c r="AX65" s="7">
        <v>1.333</v>
      </c>
      <c r="AY65" s="7">
        <v>7.5</v>
      </c>
    </row>
    <row r="66" spans="1:51" x14ac:dyDescent="0.25">
      <c r="A66" s="13" t="s">
        <v>23</v>
      </c>
      <c r="B66" s="7">
        <v>527</v>
      </c>
      <c r="C66" s="7" cm="1">
        <f t="array" ref="C66">SUMPRODUCT((README!$D$20:$D$38=$A66)*README!$C$20:$C$38)</f>
        <v>1010</v>
      </c>
      <c r="D66" s="7" cm="1">
        <f t="array" ref="D66">SUMPRODUCT((README!$D$20:$D$38=$A66)*README!$E$20:$E$38)</f>
        <v>41</v>
      </c>
      <c r="E66" s="7">
        <f t="shared" si="1"/>
        <v>4.0590000000000002</v>
      </c>
      <c r="F66" s="7">
        <v>12.38</v>
      </c>
      <c r="G66" s="7">
        <v>3.0619999999999998</v>
      </c>
      <c r="H66" s="7">
        <v>5.6879999999999997</v>
      </c>
      <c r="I66" s="7">
        <v>2</v>
      </c>
      <c r="J66" s="7">
        <v>4.875</v>
      </c>
      <c r="K66" s="7">
        <v>9</v>
      </c>
      <c r="L66" s="7">
        <v>4.1669999999999998</v>
      </c>
      <c r="M66" s="7">
        <v>2.8</v>
      </c>
      <c r="N66" s="7">
        <v>5.5620000000000003</v>
      </c>
      <c r="O66" s="7">
        <v>9.5</v>
      </c>
      <c r="P66" s="7">
        <v>1.833</v>
      </c>
      <c r="Q66" s="7">
        <v>1.4</v>
      </c>
      <c r="R66" s="7">
        <v>8.5619999999999994</v>
      </c>
      <c r="S66" s="7">
        <v>9.375</v>
      </c>
      <c r="T66" s="7">
        <v>9.6880000000000006</v>
      </c>
      <c r="U66" s="7">
        <v>9.5329999999999995</v>
      </c>
      <c r="V66" s="7">
        <v>0.8</v>
      </c>
      <c r="W66" s="7">
        <v>9.9329999999999998</v>
      </c>
      <c r="X66" s="7">
        <v>8.8000000000000007</v>
      </c>
      <c r="Y66" s="7">
        <v>8.5619999999999994</v>
      </c>
      <c r="Z66" s="7">
        <v>6.0670000000000002</v>
      </c>
      <c r="AA66" s="7">
        <v>9</v>
      </c>
      <c r="AB66" s="7">
        <v>4.4290000000000003</v>
      </c>
      <c r="AC66" s="7">
        <v>9.2859999999999996</v>
      </c>
      <c r="AD66" s="7">
        <v>6.8570000000000002</v>
      </c>
      <c r="AE66" s="7">
        <v>9.625</v>
      </c>
      <c r="AF66" s="7">
        <v>8.7140000000000004</v>
      </c>
      <c r="AG66" s="7">
        <v>9.8569999999999993</v>
      </c>
      <c r="AH66" s="7">
        <v>8.625</v>
      </c>
      <c r="AI66" s="7">
        <v>7.5</v>
      </c>
      <c r="AJ66" s="7">
        <v>8</v>
      </c>
      <c r="AK66" s="7">
        <v>8.2859999999999996</v>
      </c>
      <c r="AL66" s="7">
        <v>9.375</v>
      </c>
      <c r="AM66" s="7">
        <v>9.625</v>
      </c>
      <c r="AN66" s="7">
        <v>7.5709999999999997</v>
      </c>
      <c r="AO66" s="7">
        <v>6.875</v>
      </c>
      <c r="AP66" s="7">
        <v>10</v>
      </c>
      <c r="AQ66" s="7">
        <v>6</v>
      </c>
      <c r="AR66" s="7">
        <v>5.5</v>
      </c>
      <c r="AS66" s="7">
        <v>6.5</v>
      </c>
      <c r="AT66" s="7">
        <v>8.8330000000000002</v>
      </c>
      <c r="AU66" s="7">
        <v>4.8</v>
      </c>
      <c r="AV66" s="7">
        <v>7.75</v>
      </c>
      <c r="AW66" s="7">
        <v>4.2</v>
      </c>
      <c r="AX66" s="7">
        <v>1</v>
      </c>
      <c r="AY66" s="7">
        <v>2.4</v>
      </c>
    </row>
    <row r="67" spans="1:51" x14ac:dyDescent="0.25">
      <c r="A67" s="13" t="s">
        <v>31</v>
      </c>
      <c r="B67" s="7">
        <v>811</v>
      </c>
      <c r="C67" s="7" cm="1">
        <f t="array" ref="C67">SUMPRODUCT((README!$D$20:$D$38=$A67)*README!$C$20:$C$38)</f>
        <v>1331</v>
      </c>
      <c r="D67" s="7" cm="1">
        <f t="array" ref="D67">SUMPRODUCT((README!$D$20:$D$38=$A67)*README!$E$20:$E$38)</f>
        <v>39</v>
      </c>
      <c r="E67" s="7">
        <f t="shared" si="1"/>
        <v>2.93</v>
      </c>
      <c r="F67" s="7">
        <v>8.7899999999999991</v>
      </c>
      <c r="G67" s="7">
        <v>1.6</v>
      </c>
      <c r="H67" s="7">
        <v>7.867</v>
      </c>
      <c r="I67" s="7">
        <v>3.5</v>
      </c>
      <c r="J67" s="7">
        <v>2.556</v>
      </c>
      <c r="K67" s="7">
        <v>6.8</v>
      </c>
      <c r="L67" s="7">
        <v>3.75</v>
      </c>
      <c r="M67" s="7">
        <v>4.8</v>
      </c>
      <c r="N67" s="7">
        <v>6.9329999999999998</v>
      </c>
      <c r="O67" s="7">
        <v>8.8670000000000009</v>
      </c>
      <c r="P67" s="7">
        <v>1</v>
      </c>
      <c r="Q67" s="7">
        <v>2.6669999999999998</v>
      </c>
      <c r="R67" s="7">
        <v>8.1999999999999993</v>
      </c>
      <c r="S67" s="7">
        <v>8.6669999999999998</v>
      </c>
      <c r="T67" s="7">
        <v>9.8670000000000009</v>
      </c>
      <c r="U67" s="7">
        <v>9.6</v>
      </c>
      <c r="V67" s="7">
        <v>0.41699999999999998</v>
      </c>
      <c r="W67" s="7">
        <v>9.7690000000000001</v>
      </c>
      <c r="X67" s="7">
        <v>9.6920000000000002</v>
      </c>
      <c r="Y67" s="7">
        <v>7.7140000000000004</v>
      </c>
      <c r="Z67" s="7">
        <v>6.077</v>
      </c>
      <c r="AA67" s="7">
        <v>7.1429999999999998</v>
      </c>
      <c r="AB67" s="7">
        <v>2.714</v>
      </c>
      <c r="AC67" s="7">
        <v>8.25</v>
      </c>
      <c r="AD67" s="7">
        <v>5.625</v>
      </c>
      <c r="AE67" s="7">
        <v>7.25</v>
      </c>
      <c r="AF67" s="7">
        <v>5.9</v>
      </c>
      <c r="AG67" s="7">
        <v>8.6669999999999998</v>
      </c>
      <c r="AH67" s="7">
        <v>6.7779999999999996</v>
      </c>
      <c r="AI67" s="7">
        <v>9.4</v>
      </c>
      <c r="AJ67" s="7">
        <v>8.8889999999999993</v>
      </c>
      <c r="AK67" s="7">
        <v>7.25</v>
      </c>
      <c r="AL67" s="7">
        <v>8</v>
      </c>
      <c r="AM67" s="7">
        <v>9.125</v>
      </c>
      <c r="AN67" s="7">
        <v>7.7140000000000004</v>
      </c>
      <c r="AO67" s="7">
        <v>10</v>
      </c>
      <c r="AP67" s="7">
        <v>2.923</v>
      </c>
      <c r="AQ67" s="7">
        <v>8</v>
      </c>
      <c r="AR67" s="7">
        <v>7.2859999999999996</v>
      </c>
      <c r="AS67" s="7">
        <v>2.75</v>
      </c>
      <c r="AT67" s="7">
        <v>9.5</v>
      </c>
      <c r="AU67" s="7">
        <v>6.375</v>
      </c>
      <c r="AV67" s="7">
        <v>7.6669999999999998</v>
      </c>
      <c r="AW67" s="7">
        <v>1.2</v>
      </c>
      <c r="AX67" s="7">
        <v>3.6669999999999998</v>
      </c>
      <c r="AY67" s="7">
        <v>7</v>
      </c>
    </row>
    <row r="68" spans="1:51" x14ac:dyDescent="0.25">
      <c r="A68" s="13" t="s">
        <v>3567</v>
      </c>
      <c r="B68" s="7">
        <v>215</v>
      </c>
      <c r="C68" s="7" cm="1">
        <f t="array" ref="C68">SUMPRODUCT((README!$D$20:$D$38=$A68)*README!$C$20:$C$38)</f>
        <v>421</v>
      </c>
      <c r="D68" s="7" cm="1">
        <f t="array" ref="D68">SUMPRODUCT((README!$D$20:$D$38=$A68)*README!$E$20:$E$38)</f>
        <v>11</v>
      </c>
      <c r="E68" s="7">
        <f t="shared" si="1"/>
        <v>2.613</v>
      </c>
      <c r="F68" s="7">
        <v>2.63</v>
      </c>
      <c r="G68" s="7">
        <v>1.909</v>
      </c>
      <c r="H68" s="7">
        <v>6.9089999999999998</v>
      </c>
      <c r="I68" s="7">
        <v>1.25</v>
      </c>
      <c r="J68" s="7">
        <v>0.83299999999999996</v>
      </c>
      <c r="K68" s="7">
        <v>5.5449999999999999</v>
      </c>
      <c r="L68" s="7">
        <v>3</v>
      </c>
      <c r="M68" s="7">
        <v>3.25</v>
      </c>
      <c r="N68" s="7">
        <v>4.9089999999999998</v>
      </c>
      <c r="O68" s="7">
        <v>7.6360000000000001</v>
      </c>
      <c r="P68" s="7">
        <v>1.429</v>
      </c>
      <c r="Q68" s="7">
        <v>1</v>
      </c>
      <c r="R68" s="7">
        <v>7.2729999999999997</v>
      </c>
      <c r="S68" s="7">
        <v>8</v>
      </c>
      <c r="T68" s="7">
        <v>9</v>
      </c>
      <c r="U68" s="7">
        <v>8.9090000000000007</v>
      </c>
      <c r="V68" s="7">
        <v>1</v>
      </c>
      <c r="W68" s="7">
        <v>9.3330000000000002</v>
      </c>
      <c r="X68" s="7">
        <v>8.7780000000000005</v>
      </c>
      <c r="Y68" s="7">
        <v>5.6</v>
      </c>
      <c r="Z68" s="7">
        <v>4.8890000000000002</v>
      </c>
      <c r="AA68" s="7">
        <v>7.1669999999999998</v>
      </c>
      <c r="AB68" s="7">
        <v>4</v>
      </c>
      <c r="AC68" s="7">
        <v>7</v>
      </c>
      <c r="AD68" s="7">
        <v>3.4</v>
      </c>
      <c r="AE68" s="7">
        <v>5.1669999999999998</v>
      </c>
      <c r="AF68" s="7">
        <v>6</v>
      </c>
      <c r="AG68" s="7">
        <v>8.25</v>
      </c>
      <c r="AH68" s="7">
        <v>6.1669999999999998</v>
      </c>
      <c r="AI68" s="7">
        <v>7</v>
      </c>
      <c r="AJ68" s="7">
        <v>3</v>
      </c>
      <c r="AK68" s="7">
        <v>2</v>
      </c>
      <c r="AL68" s="7">
        <v>9</v>
      </c>
      <c r="AM68" s="7">
        <v>8.8330000000000002</v>
      </c>
      <c r="AN68" s="7">
        <v>6.25</v>
      </c>
      <c r="AO68" s="7">
        <v>5</v>
      </c>
      <c r="AP68" s="7">
        <v>4.25</v>
      </c>
      <c r="AQ68" s="7">
        <v>5</v>
      </c>
      <c r="AR68" s="7">
        <v>2.6669999999999998</v>
      </c>
      <c r="AS68" s="7">
        <v>2.6</v>
      </c>
      <c r="AT68" s="7">
        <v>10</v>
      </c>
      <c r="AU68" s="7">
        <v>5</v>
      </c>
      <c r="AV68" s="7">
        <v>7</v>
      </c>
      <c r="AW68" s="7">
        <v>1.333</v>
      </c>
      <c r="AX68" s="7">
        <v>3</v>
      </c>
      <c r="AY68" s="7">
        <v>4.5</v>
      </c>
    </row>
    <row r="69" spans="1:51" x14ac:dyDescent="0.25">
      <c r="A69" s="13" t="s">
        <v>27</v>
      </c>
      <c r="B69" s="7">
        <v>610</v>
      </c>
      <c r="C69" s="7" cm="1">
        <f t="array" ref="C69">SUMPRODUCT((README!$D$20:$D$38=$A69)*README!$C$20:$C$38)</f>
        <v>1340</v>
      </c>
      <c r="D69" s="7" cm="1">
        <f t="array" ref="D69">SUMPRODUCT((README!$D$20:$D$38=$A69)*README!$E$20:$E$38)</f>
        <v>24</v>
      </c>
      <c r="E69" s="7">
        <f t="shared" si="1"/>
        <v>1.7909999999999999</v>
      </c>
      <c r="F69" s="7">
        <v>37.06</v>
      </c>
      <c r="G69" s="7">
        <v>2.1819999999999999</v>
      </c>
      <c r="H69" s="7">
        <v>5.3639999999999999</v>
      </c>
      <c r="I69" s="7">
        <v>2.8</v>
      </c>
      <c r="J69" s="7">
        <v>4.4000000000000004</v>
      </c>
      <c r="K69" s="7">
        <v>6</v>
      </c>
      <c r="L69" s="7">
        <v>5</v>
      </c>
      <c r="M69" s="7">
        <v>3.8</v>
      </c>
      <c r="N69" s="7">
        <v>6.2</v>
      </c>
      <c r="O69" s="7">
        <v>8.3640000000000008</v>
      </c>
      <c r="P69" s="7">
        <v>3.3330000000000002</v>
      </c>
      <c r="Q69" s="7">
        <v>2.8</v>
      </c>
      <c r="R69" s="7">
        <v>6.6</v>
      </c>
      <c r="S69" s="7">
        <v>8.8179999999999996</v>
      </c>
      <c r="T69" s="7">
        <v>9.5449999999999999</v>
      </c>
      <c r="U69" s="7">
        <v>9.6</v>
      </c>
      <c r="V69" s="7">
        <v>1.2</v>
      </c>
      <c r="W69" s="7">
        <v>9.8179999999999996</v>
      </c>
      <c r="X69" s="7">
        <v>9.6999999999999993</v>
      </c>
      <c r="Y69" s="7">
        <v>4.7</v>
      </c>
      <c r="Z69" s="7">
        <v>5.444</v>
      </c>
      <c r="AA69" s="7">
        <v>7.5</v>
      </c>
      <c r="AB69" s="7">
        <v>5.25</v>
      </c>
      <c r="AC69" s="7">
        <v>8</v>
      </c>
      <c r="AD69" s="7">
        <v>3.2</v>
      </c>
      <c r="AE69" s="7">
        <v>4.3330000000000002</v>
      </c>
      <c r="AF69" s="7">
        <v>4</v>
      </c>
      <c r="AG69" s="7">
        <v>8.8330000000000002</v>
      </c>
      <c r="AH69" s="7">
        <v>6.5</v>
      </c>
      <c r="AI69" s="7">
        <v>7.2</v>
      </c>
      <c r="AJ69" s="7">
        <v>7</v>
      </c>
      <c r="AK69" s="7">
        <v>2.8570000000000002</v>
      </c>
      <c r="AL69" s="7">
        <v>9.3330000000000002</v>
      </c>
      <c r="AM69" s="7">
        <v>10</v>
      </c>
      <c r="AN69" s="7">
        <v>7.2859999999999996</v>
      </c>
      <c r="AO69" s="7">
        <v>8.5</v>
      </c>
      <c r="AP69" s="7">
        <v>5</v>
      </c>
      <c r="AQ69" s="7">
        <v>7.8</v>
      </c>
      <c r="AR69" s="7">
        <v>8.25</v>
      </c>
      <c r="AS69" s="7">
        <v>2</v>
      </c>
      <c r="AT69" s="7">
        <v>10</v>
      </c>
      <c r="AU69" s="7">
        <v>7</v>
      </c>
      <c r="AV69" s="7">
        <v>8.75</v>
      </c>
      <c r="AW69" s="7">
        <v>1</v>
      </c>
      <c r="AX69" s="7">
        <v>2</v>
      </c>
      <c r="AY69" s="7">
        <v>7.6669999999999998</v>
      </c>
    </row>
    <row r="70" spans="1:51" x14ac:dyDescent="0.25">
      <c r="A70" s="13" t="s">
        <v>41</v>
      </c>
      <c r="B70" s="7">
        <v>1110</v>
      </c>
      <c r="C70" s="7" cm="1">
        <f t="array" ref="C70">SUMPRODUCT((README!$D$20:$D$38=$A70)*README!$C$20:$C$38)</f>
        <v>499</v>
      </c>
      <c r="D70" s="7" cm="1">
        <f t="array" ref="D70">SUMPRODUCT((README!$D$20:$D$38=$A70)*README!$E$20:$E$38)</f>
        <v>8</v>
      </c>
      <c r="E70" s="7">
        <f t="shared" si="1"/>
        <v>1.603</v>
      </c>
      <c r="F70" s="7">
        <v>14.3</v>
      </c>
      <c r="G70" s="7">
        <v>1.048</v>
      </c>
      <c r="H70" s="7">
        <v>7.048</v>
      </c>
      <c r="I70" s="7">
        <v>0.66700000000000004</v>
      </c>
      <c r="J70" s="7">
        <v>0.25</v>
      </c>
      <c r="K70" s="7">
        <v>8.3889999999999993</v>
      </c>
      <c r="L70" s="7">
        <v>6.0830000000000002</v>
      </c>
      <c r="M70" s="7">
        <v>1.5</v>
      </c>
      <c r="N70" s="7">
        <v>3.952</v>
      </c>
      <c r="O70" s="7">
        <v>9.1</v>
      </c>
      <c r="P70" s="7">
        <v>1.833</v>
      </c>
      <c r="Q70" s="7">
        <v>1.143</v>
      </c>
      <c r="R70" s="7">
        <v>8.5239999999999991</v>
      </c>
      <c r="S70" s="7">
        <v>9.2379999999999995</v>
      </c>
      <c r="T70" s="7">
        <v>9.81</v>
      </c>
      <c r="U70" s="7">
        <v>9.81</v>
      </c>
      <c r="V70" s="7">
        <v>0.90500000000000003</v>
      </c>
      <c r="W70" s="7">
        <v>9.3680000000000003</v>
      </c>
      <c r="X70" s="7">
        <v>9.5259999999999998</v>
      </c>
      <c r="Y70" s="7">
        <v>8</v>
      </c>
      <c r="Z70" s="7">
        <v>3.5289999999999999</v>
      </c>
      <c r="AA70" s="7">
        <v>8.1820000000000004</v>
      </c>
      <c r="AB70" s="7">
        <v>5.3639999999999999</v>
      </c>
      <c r="AC70" s="7">
        <v>8.5559999999999992</v>
      </c>
      <c r="AD70" s="7">
        <v>2.3330000000000002</v>
      </c>
      <c r="AE70" s="7">
        <v>7.6</v>
      </c>
      <c r="AF70" s="7">
        <v>7.1820000000000004</v>
      </c>
      <c r="AG70" s="7">
        <v>9.7140000000000004</v>
      </c>
      <c r="AH70" s="7">
        <v>7.077</v>
      </c>
      <c r="AI70" s="7">
        <v>7.8179999999999996</v>
      </c>
      <c r="AJ70" s="7">
        <v>6.375</v>
      </c>
      <c r="AK70" s="7">
        <v>5.6669999999999998</v>
      </c>
      <c r="AL70" s="7">
        <v>8.2729999999999997</v>
      </c>
      <c r="AM70" s="7">
        <v>9.8179999999999996</v>
      </c>
      <c r="AN70" s="7">
        <v>5.75</v>
      </c>
      <c r="AO70" s="7">
        <v>6.0910000000000002</v>
      </c>
      <c r="AP70" s="7">
        <v>9</v>
      </c>
      <c r="AQ70" s="7">
        <v>9.6669999999999998</v>
      </c>
      <c r="AR70" s="7">
        <v>6.6669999999999998</v>
      </c>
      <c r="AS70" s="7">
        <v>6</v>
      </c>
      <c r="AT70" s="7">
        <v>6.8460000000000001</v>
      </c>
      <c r="AU70" s="7">
        <v>6.556</v>
      </c>
      <c r="AV70" s="7">
        <v>9.4</v>
      </c>
      <c r="AW70" s="7">
        <v>1</v>
      </c>
      <c r="AX70" s="7">
        <v>1</v>
      </c>
      <c r="AY70" s="7">
        <v>3.75</v>
      </c>
    </row>
    <row r="71" spans="1:51" x14ac:dyDescent="0.25">
      <c r="A71" s="14" t="s">
        <v>3566</v>
      </c>
      <c r="B71" s="11">
        <v>112</v>
      </c>
      <c r="C71" s="11" cm="1">
        <f t="array" ref="C71">SUMPRODUCT((README!$D$20:$D$38=$A71)*README!$C$20:$C$38)</f>
        <v>420</v>
      </c>
      <c r="D71" s="11" cm="1">
        <f t="array" ref="D71">SUMPRODUCT((README!$D$20:$D$38=$A71)*README!$E$20:$E$38)</f>
        <v>3</v>
      </c>
      <c r="E71" s="11">
        <f t="shared" si="1"/>
        <v>0.71399999999999997</v>
      </c>
      <c r="F71" s="11">
        <v>13.77</v>
      </c>
      <c r="G71" s="11">
        <v>2</v>
      </c>
      <c r="H71" s="11">
        <v>4.2</v>
      </c>
      <c r="I71" s="11">
        <v>1.4</v>
      </c>
      <c r="J71" s="11">
        <v>1.333</v>
      </c>
      <c r="K71" s="11">
        <v>7</v>
      </c>
      <c r="L71" s="11">
        <v>5.3330000000000002</v>
      </c>
      <c r="M71" s="11">
        <v>3</v>
      </c>
      <c r="N71" s="11">
        <v>3.4</v>
      </c>
      <c r="O71" s="11">
        <v>8.9</v>
      </c>
      <c r="P71" s="11">
        <v>3.3330000000000002</v>
      </c>
      <c r="Q71" s="11">
        <v>1.5</v>
      </c>
      <c r="R71" s="11">
        <v>6.1</v>
      </c>
      <c r="S71" s="11">
        <v>9.1999999999999993</v>
      </c>
      <c r="T71" s="11">
        <v>9.9</v>
      </c>
      <c r="U71" s="11">
        <v>9.8000000000000007</v>
      </c>
      <c r="V71" s="11">
        <v>0.55600000000000005</v>
      </c>
      <c r="W71" s="11">
        <v>9.8889999999999993</v>
      </c>
      <c r="X71" s="11">
        <v>9.7780000000000005</v>
      </c>
      <c r="Y71" s="11">
        <v>5.25</v>
      </c>
      <c r="Z71" s="11">
        <v>3.75</v>
      </c>
      <c r="AA71" s="11">
        <v>7</v>
      </c>
      <c r="AB71" s="11">
        <v>1</v>
      </c>
      <c r="AC71" s="11">
        <v>8</v>
      </c>
      <c r="AD71" s="11">
        <v>3.4</v>
      </c>
      <c r="AE71" s="11">
        <v>6</v>
      </c>
      <c r="AF71" s="11">
        <v>5.5</v>
      </c>
      <c r="AG71" s="11">
        <v>9.3330000000000002</v>
      </c>
      <c r="AH71" s="11">
        <v>5.5709999999999997</v>
      </c>
      <c r="AI71" s="11">
        <v>7.5</v>
      </c>
      <c r="AJ71" s="11">
        <v>6.8570000000000002</v>
      </c>
      <c r="AK71" s="11">
        <v>3.4</v>
      </c>
      <c r="AL71" s="11">
        <v>9.75</v>
      </c>
      <c r="AM71" s="11">
        <v>9.25</v>
      </c>
      <c r="AN71" s="11">
        <v>5</v>
      </c>
      <c r="AO71" s="11">
        <v>7</v>
      </c>
      <c r="AP71" s="11">
        <v>1.25</v>
      </c>
      <c r="AQ71" s="11">
        <v>6</v>
      </c>
      <c r="AR71" s="11">
        <v>6</v>
      </c>
      <c r="AS71" s="11">
        <v>0.5</v>
      </c>
      <c r="AT71" s="11">
        <v>9</v>
      </c>
      <c r="AU71" s="11">
        <v>7.6669999999999998</v>
      </c>
      <c r="AV71" s="11">
        <v>8.7140000000000004</v>
      </c>
      <c r="AW71" s="11">
        <v>2</v>
      </c>
      <c r="AX71" s="11">
        <v>2.5</v>
      </c>
      <c r="AY71" s="11">
        <v>5.6669999999999998</v>
      </c>
    </row>
  </sheetData>
  <mergeCells count="11">
    <mergeCell ref="A1:BB1"/>
    <mergeCell ref="A2:P2"/>
    <mergeCell ref="A4:BB4"/>
    <mergeCell ref="A5:BB5"/>
    <mergeCell ref="A7:BB7"/>
    <mergeCell ref="A61:BB61"/>
    <mergeCell ref="A22:BB22"/>
    <mergeCell ref="A23:BB23"/>
    <mergeCell ref="A24:BB24"/>
    <mergeCell ref="A58:BB58"/>
    <mergeCell ref="A59:BB59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5A2D-0B1C-45F7-B7AD-F568E0809D30}">
  <sheetPr>
    <tabColor rgb="FF375623"/>
  </sheetPr>
  <dimension ref="A1:J53"/>
  <sheetViews>
    <sheetView showGridLines="0" zoomScale="55" zoomScaleNormal="55" workbookViewId="0">
      <selection activeCell="H48" sqref="H48"/>
    </sheetView>
  </sheetViews>
  <sheetFormatPr defaultRowHeight="15" x14ac:dyDescent="0.25"/>
  <cols>
    <col min="1" max="1" width="35.28515625" customWidth="1"/>
    <col min="2" max="2" width="16.7109375" customWidth="1"/>
    <col min="3" max="3" width="17.28515625" customWidth="1"/>
    <col min="4" max="4" width="14.85546875" customWidth="1"/>
    <col min="5" max="5" width="17" customWidth="1"/>
    <col min="6" max="6" width="15.42578125" customWidth="1"/>
    <col min="7" max="8" width="13.5703125" customWidth="1"/>
  </cols>
  <sheetData>
    <row r="1" spans="1:10" ht="15.75" x14ac:dyDescent="0.25">
      <c r="A1" s="89" t="s">
        <v>3855</v>
      </c>
    </row>
    <row r="3" spans="1:10" x14ac:dyDescent="0.25">
      <c r="A3" s="92" t="s">
        <v>3674</v>
      </c>
    </row>
    <row r="5" spans="1:10" x14ac:dyDescent="0.25">
      <c r="A5" s="25" t="s">
        <v>3626</v>
      </c>
      <c r="B5" s="15" t="s">
        <v>3632</v>
      </c>
      <c r="C5" s="15" t="s">
        <v>3631</v>
      </c>
      <c r="D5" s="15" t="s">
        <v>3630</v>
      </c>
      <c r="E5" s="15" t="s">
        <v>3629</v>
      </c>
      <c r="F5" s="15" t="s">
        <v>3628</v>
      </c>
      <c r="G5" s="15" t="s">
        <v>3627</v>
      </c>
      <c r="H5" s="15" t="s">
        <v>3625</v>
      </c>
      <c r="J5" s="43"/>
    </row>
    <row r="6" spans="1:10" x14ac:dyDescent="0.25">
      <c r="A6" s="90" t="s">
        <v>73</v>
      </c>
      <c r="B6" s="48">
        <v>118</v>
      </c>
      <c r="C6" s="97">
        <f t="shared" ref="C6:C15" si="0">IFERROR(B6/H6,0)</f>
        <v>0.99159663865546221</v>
      </c>
      <c r="D6" s="48">
        <v>1</v>
      </c>
      <c r="E6" s="97">
        <f t="shared" ref="E6:E15" si="1">IFERROR(D6/H6,0)</f>
        <v>8.4033613445378148E-3</v>
      </c>
      <c r="F6" s="48">
        <v>0</v>
      </c>
      <c r="G6" s="97">
        <f t="shared" ref="G6:G15" si="2">IFERROR(F6/H6,0)</f>
        <v>0</v>
      </c>
      <c r="H6" s="48">
        <f t="shared" ref="H6:H14" si="3">B6+D6+F6</f>
        <v>119</v>
      </c>
    </row>
    <row r="7" spans="1:10" x14ac:dyDescent="0.25">
      <c r="A7" s="90" t="s">
        <v>250</v>
      </c>
      <c r="B7" s="48">
        <v>2</v>
      </c>
      <c r="C7" s="97">
        <f t="shared" si="0"/>
        <v>9.6618357487922701E-3</v>
      </c>
      <c r="D7" s="48">
        <v>201</v>
      </c>
      <c r="E7" s="97">
        <f t="shared" si="1"/>
        <v>0.97101449275362317</v>
      </c>
      <c r="F7" s="48">
        <v>4</v>
      </c>
      <c r="G7" s="97">
        <f t="shared" si="2"/>
        <v>1.932367149758454E-2</v>
      </c>
      <c r="H7" s="48">
        <f t="shared" si="3"/>
        <v>207</v>
      </c>
    </row>
    <row r="8" spans="1:10" x14ac:dyDescent="0.25">
      <c r="A8" s="90" t="s">
        <v>523</v>
      </c>
      <c r="B8" s="48">
        <v>13</v>
      </c>
      <c r="C8" s="97">
        <f t="shared" si="0"/>
        <v>7.5581395348837205E-2</v>
      </c>
      <c r="D8" s="48">
        <v>154</v>
      </c>
      <c r="E8" s="97">
        <f t="shared" si="1"/>
        <v>0.89534883720930236</v>
      </c>
      <c r="F8" s="48">
        <v>5</v>
      </c>
      <c r="G8" s="97">
        <f t="shared" si="2"/>
        <v>2.9069767441860465E-2</v>
      </c>
      <c r="H8" s="48">
        <f t="shared" si="3"/>
        <v>172</v>
      </c>
    </row>
    <row r="9" spans="1:10" x14ac:dyDescent="0.25">
      <c r="A9" s="90" t="s">
        <v>835</v>
      </c>
      <c r="B9" s="48">
        <v>1</v>
      </c>
      <c r="C9" s="97">
        <f t="shared" si="0"/>
        <v>3.0674846625766872E-3</v>
      </c>
      <c r="D9" s="48">
        <v>314</v>
      </c>
      <c r="E9" s="97">
        <f t="shared" si="1"/>
        <v>0.96319018404907975</v>
      </c>
      <c r="F9" s="48">
        <v>11</v>
      </c>
      <c r="G9" s="97">
        <f t="shared" si="2"/>
        <v>3.3742331288343558E-2</v>
      </c>
      <c r="H9" s="48">
        <f t="shared" si="3"/>
        <v>326</v>
      </c>
    </row>
    <row r="10" spans="1:10" x14ac:dyDescent="0.25">
      <c r="A10" s="90" t="s">
        <v>1038</v>
      </c>
      <c r="B10" s="48">
        <v>185</v>
      </c>
      <c r="C10" s="97">
        <f t="shared" si="0"/>
        <v>0.26734104046242774</v>
      </c>
      <c r="D10" s="48">
        <v>497</v>
      </c>
      <c r="E10" s="97">
        <f t="shared" si="1"/>
        <v>0.71820809248554918</v>
      </c>
      <c r="F10" s="48">
        <v>10</v>
      </c>
      <c r="G10" s="97">
        <f t="shared" si="2"/>
        <v>1.4450867052023121E-2</v>
      </c>
      <c r="H10" s="48">
        <f t="shared" si="3"/>
        <v>692</v>
      </c>
    </row>
    <row r="11" spans="1:10" x14ac:dyDescent="0.25">
      <c r="A11" s="90" t="s">
        <v>1218</v>
      </c>
      <c r="B11" s="48">
        <v>35</v>
      </c>
      <c r="C11" s="97">
        <f t="shared" si="0"/>
        <v>0.109375</v>
      </c>
      <c r="D11" s="48">
        <v>282</v>
      </c>
      <c r="E11" s="97">
        <f t="shared" si="1"/>
        <v>0.88124999999999998</v>
      </c>
      <c r="F11" s="48">
        <v>3</v>
      </c>
      <c r="G11" s="97">
        <f t="shared" si="2"/>
        <v>9.3749999999999997E-3</v>
      </c>
      <c r="H11" s="48">
        <f t="shared" si="3"/>
        <v>320</v>
      </c>
    </row>
    <row r="12" spans="1:10" x14ac:dyDescent="0.25">
      <c r="A12" s="90" t="s">
        <v>1455</v>
      </c>
      <c r="B12" s="48">
        <v>7</v>
      </c>
      <c r="C12" s="97">
        <f t="shared" si="0"/>
        <v>1.4705882352941176E-2</v>
      </c>
      <c r="D12" s="48">
        <v>460</v>
      </c>
      <c r="E12" s="97">
        <f t="shared" si="1"/>
        <v>0.96638655462184875</v>
      </c>
      <c r="F12" s="48">
        <v>9</v>
      </c>
      <c r="G12" s="97">
        <f t="shared" si="2"/>
        <v>1.8907563025210083E-2</v>
      </c>
      <c r="H12" s="48">
        <f t="shared" si="3"/>
        <v>476</v>
      </c>
    </row>
    <row r="13" spans="1:10" x14ac:dyDescent="0.25">
      <c r="A13" s="90" t="s">
        <v>1573</v>
      </c>
      <c r="B13" s="48">
        <v>52</v>
      </c>
      <c r="C13" s="97">
        <f t="shared" si="0"/>
        <v>0.55319148936170215</v>
      </c>
      <c r="D13" s="48">
        <v>42</v>
      </c>
      <c r="E13" s="97">
        <f t="shared" si="1"/>
        <v>0.44680851063829785</v>
      </c>
      <c r="F13" s="48">
        <v>0</v>
      </c>
      <c r="G13" s="97">
        <f t="shared" si="2"/>
        <v>0</v>
      </c>
      <c r="H13" s="48">
        <f t="shared" si="3"/>
        <v>94</v>
      </c>
    </row>
    <row r="14" spans="1:10" x14ac:dyDescent="0.25">
      <c r="A14" s="90" t="s">
        <v>1755</v>
      </c>
      <c r="B14" s="48">
        <v>67</v>
      </c>
      <c r="C14" s="97">
        <f t="shared" si="0"/>
        <v>0.30454545454545456</v>
      </c>
      <c r="D14" s="48">
        <v>121</v>
      </c>
      <c r="E14" s="97">
        <f t="shared" si="1"/>
        <v>0.55000000000000004</v>
      </c>
      <c r="F14" s="48">
        <v>32</v>
      </c>
      <c r="G14" s="97">
        <f t="shared" si="2"/>
        <v>0.14545454545454545</v>
      </c>
      <c r="H14" s="48">
        <f t="shared" si="3"/>
        <v>220</v>
      </c>
    </row>
    <row r="15" spans="1:10" x14ac:dyDescent="0.25">
      <c r="A15" s="91" t="s">
        <v>44</v>
      </c>
      <c r="B15" s="49">
        <f>SUM(B6:B14)</f>
        <v>480</v>
      </c>
      <c r="C15" s="98">
        <f t="shared" si="0"/>
        <v>0.1827875095201828</v>
      </c>
      <c r="D15" s="49">
        <f>SUM(D6:D14)</f>
        <v>2072</v>
      </c>
      <c r="E15" s="98">
        <f t="shared" si="1"/>
        <v>0.78903274942878898</v>
      </c>
      <c r="F15" s="49">
        <f>SUM(F6:F14)</f>
        <v>74</v>
      </c>
      <c r="G15" s="98">
        <f t="shared" si="2"/>
        <v>2.8179741051028179E-2</v>
      </c>
      <c r="H15" s="49">
        <f>SUM(H6:H14)</f>
        <v>2626</v>
      </c>
    </row>
    <row r="16" spans="1:10" x14ac:dyDescent="0.25">
      <c r="A16" s="92" t="s">
        <v>3678</v>
      </c>
    </row>
    <row r="17" spans="1:10" x14ac:dyDescent="0.25">
      <c r="A17" s="25" t="s">
        <v>3045</v>
      </c>
      <c r="B17" s="15" t="s">
        <v>3632</v>
      </c>
      <c r="C17" s="15" t="s">
        <v>3631</v>
      </c>
      <c r="D17" s="15" t="s">
        <v>3630</v>
      </c>
      <c r="E17" s="15" t="s">
        <v>3629</v>
      </c>
      <c r="F17" s="15" t="s">
        <v>3628</v>
      </c>
      <c r="G17" s="15" t="s">
        <v>3627</v>
      </c>
      <c r="H17" s="15" t="s">
        <v>3625</v>
      </c>
      <c r="I17" s="15"/>
      <c r="J17" s="15"/>
    </row>
    <row r="18" spans="1:10" x14ac:dyDescent="0.25">
      <c r="A18" s="23" t="s">
        <v>8</v>
      </c>
      <c r="B18" s="50">
        <v>2</v>
      </c>
      <c r="C18" s="38">
        <f t="shared" ref="C18:C37" si="4">IFERROR(B18/H18,0)</f>
        <v>1</v>
      </c>
      <c r="D18" s="50">
        <v>0</v>
      </c>
      <c r="E18" s="38">
        <f t="shared" ref="E18:E37" si="5">IFERROR(D18/H18,0)</f>
        <v>0</v>
      </c>
      <c r="F18" s="50">
        <v>0</v>
      </c>
      <c r="G18" s="38">
        <f t="shared" ref="G18:G37" si="6">IFERROR(F18/H18,0)</f>
        <v>0</v>
      </c>
      <c r="H18" s="50">
        <f t="shared" ref="H18:H36" si="7">B18+D18+F18</f>
        <v>2</v>
      </c>
      <c r="I18" s="8"/>
      <c r="J18" s="8"/>
    </row>
    <row r="19" spans="1:10" x14ac:dyDescent="0.25">
      <c r="A19" s="23" t="s">
        <v>12</v>
      </c>
      <c r="B19" s="50">
        <v>0</v>
      </c>
      <c r="C19" s="38">
        <f t="shared" si="4"/>
        <v>0</v>
      </c>
      <c r="D19" s="50">
        <v>84</v>
      </c>
      <c r="E19" s="38">
        <f t="shared" si="5"/>
        <v>0.95454545454545459</v>
      </c>
      <c r="F19" s="50">
        <v>4</v>
      </c>
      <c r="G19" s="38">
        <f t="shared" si="6"/>
        <v>4.5454545454545456E-2</v>
      </c>
      <c r="H19" s="50">
        <f t="shared" si="7"/>
        <v>88</v>
      </c>
      <c r="I19" s="8"/>
      <c r="J19" s="8"/>
    </row>
    <row r="20" spans="1:10" x14ac:dyDescent="0.25">
      <c r="A20" s="23" t="s">
        <v>16</v>
      </c>
      <c r="B20" s="50">
        <v>10</v>
      </c>
      <c r="C20" s="38">
        <f t="shared" si="4"/>
        <v>6.1728395061728392E-2</v>
      </c>
      <c r="D20" s="50">
        <v>148</v>
      </c>
      <c r="E20" s="38">
        <f t="shared" si="5"/>
        <v>0.9135802469135802</v>
      </c>
      <c r="F20" s="50">
        <v>4</v>
      </c>
      <c r="G20" s="38">
        <f t="shared" si="6"/>
        <v>2.4691358024691357E-2</v>
      </c>
      <c r="H20" s="50">
        <f t="shared" si="7"/>
        <v>162</v>
      </c>
      <c r="I20" s="8"/>
      <c r="J20" s="8"/>
    </row>
    <row r="21" spans="1:10" x14ac:dyDescent="0.25">
      <c r="A21" s="23" t="s">
        <v>20</v>
      </c>
      <c r="B21" s="50">
        <v>1</v>
      </c>
      <c r="C21" s="38">
        <f t="shared" si="4"/>
        <v>6.2893081761006293E-3</v>
      </c>
      <c r="D21" s="50">
        <v>157</v>
      </c>
      <c r="E21" s="38">
        <f t="shared" si="5"/>
        <v>0.98742138364779874</v>
      </c>
      <c r="F21" s="50">
        <v>1</v>
      </c>
      <c r="G21" s="38">
        <f t="shared" si="6"/>
        <v>6.2893081761006293E-3</v>
      </c>
      <c r="H21" s="50">
        <f t="shared" si="7"/>
        <v>159</v>
      </c>
      <c r="I21" s="8"/>
      <c r="J21" s="8"/>
    </row>
    <row r="22" spans="1:10" x14ac:dyDescent="0.25">
      <c r="A22" s="23" t="s">
        <v>24</v>
      </c>
      <c r="B22" s="50">
        <v>25</v>
      </c>
      <c r="C22" s="38">
        <f t="shared" si="4"/>
        <v>0.15723270440251572</v>
      </c>
      <c r="D22" s="50">
        <v>134</v>
      </c>
      <c r="E22" s="38">
        <f t="shared" si="5"/>
        <v>0.84276729559748431</v>
      </c>
      <c r="F22" s="50">
        <v>0</v>
      </c>
      <c r="G22" s="38">
        <f t="shared" si="6"/>
        <v>0</v>
      </c>
      <c r="H22" s="50">
        <f t="shared" si="7"/>
        <v>159</v>
      </c>
      <c r="I22" s="8"/>
      <c r="J22" s="8"/>
    </row>
    <row r="23" spans="1:10" x14ac:dyDescent="0.25">
      <c r="A23" s="23" t="s">
        <v>28</v>
      </c>
      <c r="B23" s="50">
        <v>0</v>
      </c>
      <c r="C23" s="38">
        <f t="shared" si="4"/>
        <v>0</v>
      </c>
      <c r="D23" s="50">
        <v>82</v>
      </c>
      <c r="E23" s="38">
        <f t="shared" si="5"/>
        <v>1</v>
      </c>
      <c r="F23" s="50">
        <v>0</v>
      </c>
      <c r="G23" s="38">
        <f t="shared" si="6"/>
        <v>0</v>
      </c>
      <c r="H23" s="50">
        <f t="shared" si="7"/>
        <v>82</v>
      </c>
      <c r="I23" s="8"/>
      <c r="J23" s="8"/>
    </row>
    <row r="24" spans="1:10" x14ac:dyDescent="0.25">
      <c r="A24" s="23" t="s">
        <v>32</v>
      </c>
      <c r="B24" s="50">
        <v>5</v>
      </c>
      <c r="C24" s="38">
        <f t="shared" si="4"/>
        <v>1.2658227848101266E-2</v>
      </c>
      <c r="D24" s="50">
        <v>383</v>
      </c>
      <c r="E24" s="38">
        <f t="shared" si="5"/>
        <v>0.96962025316455691</v>
      </c>
      <c r="F24" s="50">
        <v>7</v>
      </c>
      <c r="G24" s="38">
        <f t="shared" si="6"/>
        <v>1.7721518987341773E-2</v>
      </c>
      <c r="H24" s="50">
        <f t="shared" si="7"/>
        <v>395</v>
      </c>
      <c r="I24" s="8"/>
      <c r="J24" s="8"/>
    </row>
    <row r="25" spans="1:10" x14ac:dyDescent="0.25">
      <c r="A25" s="23" t="s">
        <v>34</v>
      </c>
      <c r="B25" s="50">
        <v>0</v>
      </c>
      <c r="C25" s="38">
        <f t="shared" si="4"/>
        <v>0</v>
      </c>
      <c r="D25" s="50">
        <v>33</v>
      </c>
      <c r="E25" s="38">
        <f t="shared" si="5"/>
        <v>1</v>
      </c>
      <c r="F25" s="50">
        <v>0</v>
      </c>
      <c r="G25" s="38">
        <f t="shared" si="6"/>
        <v>0</v>
      </c>
      <c r="H25" s="50">
        <f t="shared" si="7"/>
        <v>33</v>
      </c>
      <c r="I25" s="8"/>
      <c r="J25" s="8"/>
    </row>
    <row r="26" spans="1:10" x14ac:dyDescent="0.25">
      <c r="A26" s="23" t="s">
        <v>38</v>
      </c>
      <c r="B26" s="50">
        <v>51</v>
      </c>
      <c r="C26" s="38">
        <f t="shared" si="4"/>
        <v>0.87931034482758619</v>
      </c>
      <c r="D26" s="50">
        <v>7</v>
      </c>
      <c r="E26" s="38">
        <f t="shared" si="5"/>
        <v>0.1206896551724138</v>
      </c>
      <c r="F26" s="50">
        <v>0</v>
      </c>
      <c r="G26" s="38">
        <f t="shared" si="6"/>
        <v>0</v>
      </c>
      <c r="H26" s="50">
        <f t="shared" si="7"/>
        <v>58</v>
      </c>
      <c r="I26" s="8"/>
      <c r="J26" s="8"/>
    </row>
    <row r="27" spans="1:10" x14ac:dyDescent="0.25">
      <c r="A27" s="23" t="s">
        <v>42</v>
      </c>
      <c r="B27" s="50">
        <v>0</v>
      </c>
      <c r="C27" s="38">
        <f t="shared" si="4"/>
        <v>0</v>
      </c>
      <c r="D27" s="50">
        <v>66</v>
      </c>
      <c r="E27" s="38">
        <f t="shared" si="5"/>
        <v>1</v>
      </c>
      <c r="F27" s="50">
        <v>0</v>
      </c>
      <c r="G27" s="38">
        <f t="shared" si="6"/>
        <v>0</v>
      </c>
      <c r="H27" s="50">
        <f t="shared" si="7"/>
        <v>66</v>
      </c>
      <c r="I27" s="8"/>
      <c r="J27" s="8"/>
    </row>
    <row r="28" spans="1:10" x14ac:dyDescent="0.25">
      <c r="A28" s="23" t="s">
        <v>5</v>
      </c>
      <c r="B28" s="50">
        <v>116</v>
      </c>
      <c r="C28" s="38">
        <f t="shared" si="4"/>
        <v>0.99145299145299148</v>
      </c>
      <c r="D28" s="50">
        <v>1</v>
      </c>
      <c r="E28" s="38">
        <f t="shared" si="5"/>
        <v>8.5470085470085479E-3</v>
      </c>
      <c r="F28" s="50">
        <v>0</v>
      </c>
      <c r="G28" s="38">
        <f t="shared" si="6"/>
        <v>0</v>
      </c>
      <c r="H28" s="50">
        <f t="shared" si="7"/>
        <v>117</v>
      </c>
      <c r="I28" s="8"/>
      <c r="J28" s="8"/>
    </row>
    <row r="29" spans="1:10" x14ac:dyDescent="0.25">
      <c r="A29" s="23" t="s">
        <v>10</v>
      </c>
      <c r="B29" s="50">
        <v>2</v>
      </c>
      <c r="C29" s="38">
        <f t="shared" si="4"/>
        <v>1.680672268907563E-2</v>
      </c>
      <c r="D29" s="50">
        <v>117</v>
      </c>
      <c r="E29" s="38">
        <f t="shared" si="5"/>
        <v>0.98319327731092432</v>
      </c>
      <c r="F29" s="50">
        <v>0</v>
      </c>
      <c r="G29" s="38">
        <f t="shared" si="6"/>
        <v>0</v>
      </c>
      <c r="H29" s="50">
        <f t="shared" si="7"/>
        <v>119</v>
      </c>
      <c r="I29" s="8"/>
      <c r="J29" s="8"/>
    </row>
    <row r="30" spans="1:10" x14ac:dyDescent="0.25">
      <c r="A30" s="23" t="s">
        <v>14</v>
      </c>
      <c r="B30" s="50">
        <v>3</v>
      </c>
      <c r="C30" s="38">
        <f t="shared" si="4"/>
        <v>0.3</v>
      </c>
      <c r="D30" s="50">
        <v>6</v>
      </c>
      <c r="E30" s="38">
        <f t="shared" si="5"/>
        <v>0.6</v>
      </c>
      <c r="F30" s="50">
        <v>1</v>
      </c>
      <c r="G30" s="38">
        <f t="shared" si="6"/>
        <v>0.1</v>
      </c>
      <c r="H30" s="50">
        <f t="shared" si="7"/>
        <v>10</v>
      </c>
      <c r="I30" s="8"/>
      <c r="J30" s="8"/>
    </row>
    <row r="31" spans="1:10" x14ac:dyDescent="0.25">
      <c r="A31" s="23" t="s">
        <v>18</v>
      </c>
      <c r="B31" s="50">
        <v>0</v>
      </c>
      <c r="C31" s="38">
        <f t="shared" si="4"/>
        <v>0</v>
      </c>
      <c r="D31" s="50">
        <v>157</v>
      </c>
      <c r="E31" s="38">
        <f t="shared" si="5"/>
        <v>0.94011976047904189</v>
      </c>
      <c r="F31" s="50">
        <v>10</v>
      </c>
      <c r="G31" s="38">
        <f t="shared" si="6"/>
        <v>5.9880239520958084E-2</v>
      </c>
      <c r="H31" s="50">
        <f t="shared" si="7"/>
        <v>167</v>
      </c>
      <c r="I31" s="8"/>
      <c r="J31" s="8"/>
    </row>
    <row r="32" spans="1:10" x14ac:dyDescent="0.25">
      <c r="A32" s="23" t="s">
        <v>22</v>
      </c>
      <c r="B32" s="50">
        <v>160</v>
      </c>
      <c r="C32" s="38">
        <f t="shared" si="4"/>
        <v>0.30018761726078802</v>
      </c>
      <c r="D32" s="50">
        <v>363</v>
      </c>
      <c r="E32" s="38">
        <f t="shared" si="5"/>
        <v>0.68105065666041276</v>
      </c>
      <c r="F32" s="50">
        <v>10</v>
      </c>
      <c r="G32" s="38">
        <f t="shared" si="6"/>
        <v>1.8761726078799251E-2</v>
      </c>
      <c r="H32" s="50">
        <f t="shared" si="7"/>
        <v>533</v>
      </c>
      <c r="I32" s="8"/>
      <c r="J32" s="8"/>
    </row>
    <row r="33" spans="1:10" x14ac:dyDescent="0.25">
      <c r="A33" s="23" t="s">
        <v>26</v>
      </c>
      <c r="B33" s="50">
        <v>35</v>
      </c>
      <c r="C33" s="38">
        <f t="shared" si="4"/>
        <v>0.14705882352941177</v>
      </c>
      <c r="D33" s="50">
        <v>200</v>
      </c>
      <c r="E33" s="38">
        <f t="shared" si="5"/>
        <v>0.84033613445378152</v>
      </c>
      <c r="F33" s="50">
        <v>3</v>
      </c>
      <c r="G33" s="38">
        <f t="shared" si="6"/>
        <v>1.2605042016806723E-2</v>
      </c>
      <c r="H33" s="50">
        <f t="shared" si="7"/>
        <v>238</v>
      </c>
      <c r="I33" s="8"/>
      <c r="J33" s="8"/>
    </row>
    <row r="34" spans="1:10" x14ac:dyDescent="0.25">
      <c r="A34" s="23" t="s">
        <v>30</v>
      </c>
      <c r="B34" s="50">
        <v>2</v>
      </c>
      <c r="C34" s="38">
        <f t="shared" si="4"/>
        <v>2.4691358024691357E-2</v>
      </c>
      <c r="D34" s="50">
        <v>77</v>
      </c>
      <c r="E34" s="38">
        <f t="shared" si="5"/>
        <v>0.95061728395061729</v>
      </c>
      <c r="F34" s="50">
        <v>2</v>
      </c>
      <c r="G34" s="38">
        <f t="shared" si="6"/>
        <v>2.4691358024691357E-2</v>
      </c>
      <c r="H34" s="50">
        <f t="shared" si="7"/>
        <v>81</v>
      </c>
      <c r="I34" s="8"/>
      <c r="J34" s="8"/>
    </row>
    <row r="35" spans="1:10" x14ac:dyDescent="0.25">
      <c r="A35" s="23" t="s">
        <v>36</v>
      </c>
      <c r="B35" s="50">
        <v>1</v>
      </c>
      <c r="C35" s="38">
        <f t="shared" si="4"/>
        <v>0.33333333333333331</v>
      </c>
      <c r="D35" s="50">
        <v>2</v>
      </c>
      <c r="E35" s="38">
        <f t="shared" si="5"/>
        <v>0.66666666666666663</v>
      </c>
      <c r="F35" s="50">
        <v>0</v>
      </c>
      <c r="G35" s="38">
        <f t="shared" si="6"/>
        <v>0</v>
      </c>
      <c r="H35" s="50">
        <f t="shared" si="7"/>
        <v>3</v>
      </c>
      <c r="I35" s="8"/>
      <c r="J35" s="8"/>
    </row>
    <row r="36" spans="1:10" x14ac:dyDescent="0.25">
      <c r="A36" s="23" t="s">
        <v>40</v>
      </c>
      <c r="B36" s="50">
        <v>67</v>
      </c>
      <c r="C36" s="38">
        <f t="shared" si="4"/>
        <v>0.43506493506493504</v>
      </c>
      <c r="D36" s="50">
        <v>55</v>
      </c>
      <c r="E36" s="38">
        <f t="shared" si="5"/>
        <v>0.35714285714285715</v>
      </c>
      <c r="F36" s="50">
        <v>32</v>
      </c>
      <c r="G36" s="38">
        <f t="shared" si="6"/>
        <v>0.20779220779220781</v>
      </c>
      <c r="H36" s="50">
        <f t="shared" si="7"/>
        <v>154</v>
      </c>
      <c r="I36" s="8"/>
      <c r="J36" s="8"/>
    </row>
    <row r="37" spans="1:10" x14ac:dyDescent="0.25">
      <c r="A37" s="24" t="s">
        <v>44</v>
      </c>
      <c r="B37" s="51">
        <f>SUM(B18:B36)</f>
        <v>480</v>
      </c>
      <c r="C37" s="39">
        <f t="shared" si="4"/>
        <v>0.1827875095201828</v>
      </c>
      <c r="D37" s="51">
        <f>SUM(D18:D36)</f>
        <v>2072</v>
      </c>
      <c r="E37" s="39">
        <f t="shared" si="5"/>
        <v>0.78903274942878898</v>
      </c>
      <c r="F37" s="51">
        <f>SUM(F18:F36)</f>
        <v>74</v>
      </c>
      <c r="G37" s="39">
        <f t="shared" si="6"/>
        <v>2.8179741051028179E-2</v>
      </c>
      <c r="H37" s="51">
        <f>SUM(H18:H36)</f>
        <v>2626</v>
      </c>
      <c r="I37" s="12"/>
      <c r="J37" s="12"/>
    </row>
    <row r="40" spans="1:10" x14ac:dyDescent="0.25">
      <c r="A40" s="130" t="s">
        <v>3677</v>
      </c>
      <c r="B40" s="131"/>
      <c r="C40" s="131"/>
      <c r="D40" s="131"/>
      <c r="E40" s="131"/>
      <c r="F40" s="131"/>
      <c r="G40" s="131"/>
      <c r="H40" s="37"/>
    </row>
    <row r="41" spans="1:10" ht="15.6" customHeight="1" x14ac:dyDescent="0.25">
      <c r="A41" s="132" t="s">
        <v>3858</v>
      </c>
      <c r="B41" s="132"/>
      <c r="C41" s="132"/>
      <c r="D41" s="132"/>
      <c r="E41" s="132"/>
      <c r="F41" s="132"/>
      <c r="G41" s="132"/>
      <c r="H41" s="132"/>
    </row>
    <row r="42" spans="1:10" x14ac:dyDescent="0.25">
      <c r="A42" s="93" t="s">
        <v>3626</v>
      </c>
      <c r="B42" s="94" t="s">
        <v>1869</v>
      </c>
      <c r="C42" s="29" t="s">
        <v>3636</v>
      </c>
      <c r="D42" s="29" t="s">
        <v>3635</v>
      </c>
      <c r="E42" s="29" t="s">
        <v>3634</v>
      </c>
      <c r="F42" s="29" t="s">
        <v>3633</v>
      </c>
      <c r="G42" s="3"/>
    </row>
    <row r="43" spans="1:10" x14ac:dyDescent="0.25">
      <c r="A43" s="95" t="s">
        <v>73</v>
      </c>
      <c r="B43" s="40">
        <v>119</v>
      </c>
      <c r="C43" s="99">
        <v>246.22689075630251</v>
      </c>
      <c r="D43" s="99">
        <v>139.99999999999997</v>
      </c>
      <c r="E43" s="99">
        <v>224.76155196846676</v>
      </c>
      <c r="F43" s="99">
        <v>375.5</v>
      </c>
      <c r="G43" s="3"/>
    </row>
    <row r="44" spans="1:10" x14ac:dyDescent="0.25">
      <c r="A44" s="95" t="s">
        <v>250</v>
      </c>
      <c r="B44" s="40">
        <v>207</v>
      </c>
      <c r="C44" s="99">
        <v>43.526570048309182</v>
      </c>
      <c r="D44" s="99">
        <v>35</v>
      </c>
      <c r="E44" s="99">
        <v>31.551476523993724</v>
      </c>
      <c r="F44" s="99">
        <v>30.000000000000004</v>
      </c>
      <c r="G44" s="3"/>
    </row>
    <row r="45" spans="1:10" x14ac:dyDescent="0.25">
      <c r="A45" s="95" t="s">
        <v>523</v>
      </c>
      <c r="B45" s="40">
        <v>172</v>
      </c>
      <c r="C45" s="99">
        <v>61.238372093023258</v>
      </c>
      <c r="D45" s="99">
        <v>43.999999999999993</v>
      </c>
      <c r="E45" s="99">
        <v>73.446200320615404</v>
      </c>
      <c r="F45" s="99">
        <v>28.25</v>
      </c>
      <c r="G45" s="3"/>
    </row>
    <row r="46" spans="1:10" x14ac:dyDescent="0.25">
      <c r="A46" s="95" t="s">
        <v>835</v>
      </c>
      <c r="B46" s="40">
        <v>326</v>
      </c>
      <c r="C46" s="99">
        <v>51.815950920245399</v>
      </c>
      <c r="D46" s="99">
        <v>36</v>
      </c>
      <c r="E46" s="99">
        <v>55.62056371101729</v>
      </c>
      <c r="F46" s="99">
        <v>23.75</v>
      </c>
      <c r="G46" s="3"/>
    </row>
    <row r="47" spans="1:10" x14ac:dyDescent="0.25">
      <c r="A47" s="95" t="s">
        <v>1038</v>
      </c>
      <c r="B47" s="40">
        <v>692</v>
      </c>
      <c r="C47" s="99">
        <v>94.693641618497111</v>
      </c>
      <c r="D47" s="99">
        <v>68</v>
      </c>
      <c r="E47" s="99">
        <v>92.903432461019392</v>
      </c>
      <c r="F47" s="99">
        <v>71.249999999999972</v>
      </c>
      <c r="G47" s="3"/>
    </row>
    <row r="48" spans="1:10" x14ac:dyDescent="0.25">
      <c r="A48" s="95" t="s">
        <v>1218</v>
      </c>
      <c r="B48" s="40">
        <v>320</v>
      </c>
      <c r="C48" s="99">
        <v>64.05</v>
      </c>
      <c r="D48" s="99">
        <v>63.5</v>
      </c>
      <c r="E48" s="99">
        <v>32.896295384131022</v>
      </c>
      <c r="F48" s="99">
        <v>43.250000000000007</v>
      </c>
      <c r="G48" s="3"/>
    </row>
    <row r="49" spans="1:7" x14ac:dyDescent="0.25">
      <c r="A49" s="95" t="s">
        <v>1455</v>
      </c>
      <c r="B49" s="40">
        <v>476</v>
      </c>
      <c r="C49" s="99">
        <v>87.056722689075627</v>
      </c>
      <c r="D49" s="99">
        <v>52.000000000000007</v>
      </c>
      <c r="E49" s="99">
        <v>250.94827494625849</v>
      </c>
      <c r="F49" s="99">
        <v>37</v>
      </c>
      <c r="G49" s="3"/>
    </row>
    <row r="50" spans="1:7" x14ac:dyDescent="0.25">
      <c r="A50" s="95" t="s">
        <v>1573</v>
      </c>
      <c r="B50" s="40">
        <v>94</v>
      </c>
      <c r="C50" s="99">
        <v>43.531914893617021</v>
      </c>
      <c r="D50" s="99">
        <v>29.5</v>
      </c>
      <c r="E50" s="99">
        <v>46.252705988155988</v>
      </c>
      <c r="F50" s="99">
        <v>64.5</v>
      </c>
      <c r="G50" s="3"/>
    </row>
    <row r="51" spans="1:7" x14ac:dyDescent="0.25">
      <c r="A51" s="96" t="s">
        <v>1755</v>
      </c>
      <c r="B51" s="41">
        <v>220</v>
      </c>
      <c r="C51" s="100">
        <v>39.440909090909088</v>
      </c>
      <c r="D51" s="100">
        <v>34</v>
      </c>
      <c r="E51" s="100">
        <v>30.101663486061682</v>
      </c>
      <c r="F51" s="100">
        <v>31</v>
      </c>
      <c r="G51" s="3"/>
    </row>
    <row r="52" spans="1:7" x14ac:dyDescent="0.25">
      <c r="A52" s="103"/>
    </row>
    <row r="53" spans="1:7" x14ac:dyDescent="0.25">
      <c r="A53" s="103"/>
    </row>
  </sheetData>
  <mergeCells count="2">
    <mergeCell ref="A40:G40"/>
    <mergeCell ref="A41:H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README</vt:lpstr>
      <vt:lpstr>Posts</vt:lpstr>
      <vt:lpstr>Themes</vt:lpstr>
      <vt:lpstr>Register</vt:lpstr>
      <vt:lpstr>Register_AI</vt:lpstr>
      <vt:lpstr>Register_Conv</vt:lpstr>
      <vt:lpstr>Adoption</vt:lpstr>
      <vt:lpstr>CHES</vt:lpstr>
      <vt:lpstr>Media Format</vt:lpstr>
      <vt:lpstr>acc_tbl</vt:lpstr>
      <vt:lpstr>acct</vt:lpstr>
      <vt:lpstr>ai_full</vt:lpstr>
      <vt:lpstr>ai_st</vt:lpstr>
      <vt:lpstr>is_ai</vt:lpstr>
      <vt:lpstr>is_conv</vt:lpstr>
      <vt:lpstr>n_top</vt:lpstr>
      <vt:lpstr>T_CRI</vt:lpstr>
      <vt:lpstr>T_CULT</vt:lpstr>
      <vt:lpstr>T_DEF</vt:lpstr>
      <vt:lpstr>T_ECON</vt:lpstr>
      <vt:lpstr>T_IMM</vt:lpstr>
      <vt:lpstr>T_ISL</vt:lpstr>
      <vt:lpstr>T_LAND</vt:lpstr>
      <vt:lpstr>T_SOV</vt:lpstr>
      <vt:lpstr>topical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</dc:creator>
  <cp:lastModifiedBy>elle</cp:lastModifiedBy>
  <dcterms:created xsi:type="dcterms:W3CDTF">2026-09-20T11:08:37Z</dcterms:created>
  <dcterms:modified xsi:type="dcterms:W3CDTF">2026-10-15T13:34:36Z</dcterms:modified>
</cp:coreProperties>
</file>